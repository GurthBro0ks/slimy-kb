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gus F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FF000000"/>
      <sz val="12"/>
    </font>
    <font>
      <name val="Calibri"/>
      <b val="1"/>
      <color rgb="FF000000"/>
      <sz val="12"/>
    </font>
    <font>
      <name val="Calibri"/>
      <color rgb="FFFF0000"/>
      <sz val="12"/>
    </font>
    <font>
      <name val="Calibri"/>
      <strike val="1"/>
      <color rgb="FFFF0000"/>
      <sz val="12"/>
    </font>
    <font>
      <name val="Calibri"/>
      <color theme="1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0" fontId="1" fillId="0" borderId="4" applyAlignment="1" pivotButton="0" quotePrefix="0" xfId="0">
      <alignment horizontal="right" vertical="bottom"/>
    </xf>
    <xf numFmtId="0" fontId="3" fillId="0" borderId="4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1" fillId="0" borderId="8" applyAlignment="1" pivotButton="0" quotePrefix="0" xfId="0">
      <alignment horizontal="right" vertical="bottom"/>
    </xf>
    <xf numFmtId="10" fontId="1" fillId="0" borderId="9" applyAlignment="1" pivotButton="0" quotePrefix="0" xfId="0">
      <alignment vertical="bottom"/>
    </xf>
    <xf numFmtId="10" fontId="1" fillId="0" borderId="6" applyAlignment="1" pivotButton="0" quotePrefix="0" xfId="0">
      <alignment vertical="bottom"/>
    </xf>
    <xf numFmtId="0" fontId="1" fillId="0" borderId="1" pivotButton="0" quotePrefix="0" xfId="0"/>
    <xf numFmtId="0" fontId="1" fillId="0" borderId="2" pivotButton="0" quotePrefix="0" xfId="0"/>
    <xf numFmtId="10" fontId="1" fillId="0" borderId="3" applyAlignment="1" pivotButton="0" quotePrefix="0" xfId="0">
      <alignment vertical="bottom"/>
    </xf>
    <xf numFmtId="0" fontId="1" fillId="0" borderId="5" pivotButton="0" quotePrefix="0" xfId="0"/>
    <xf numFmtId="0" fontId="1" fillId="0" borderId="4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applyAlignment="1" pivotButton="0" quotePrefix="0" xfId="0">
      <alignment vertical="bottom"/>
    </xf>
    <xf numFmtId="10" fontId="1" fillId="0" borderId="3" pivotButton="0" quotePrefix="0" xfId="0"/>
    <xf numFmtId="0" fontId="1" fillId="0" borderId="9" pivotButton="0" quotePrefix="0" xfId="0"/>
    <xf numFmtId="10" fontId="1" fillId="0" borderId="6" pivotButton="0" quotePrefix="0" xfId="0"/>
    <xf numFmtId="10" fontId="1" fillId="0" borderId="9" pivotButton="0" quotePrefix="0" xfId="0"/>
    <xf numFmtId="0" fontId="4" fillId="0" borderId="6" applyAlignment="1" pivotButton="0" quotePrefix="0" xfId="0">
      <alignment vertical="bottom"/>
    </xf>
    <xf numFmtId="0" fontId="5" fillId="0" borderId="6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1" fillId="0" borderId="10" applyAlignment="1" pivotButton="0" quotePrefix="0" xfId="0">
      <alignment vertical="bottom"/>
    </xf>
    <xf numFmtId="0" fontId="1" fillId="0" borderId="11" applyAlignment="1" pivotButton="0" quotePrefix="0" xfId="0">
      <alignment horizontal="right" vertical="bottom"/>
    </xf>
    <xf numFmtId="0" fontId="1" fillId="0" borderId="12" applyAlignment="1" pivotButton="0" quotePrefix="0" xfId="0">
      <alignment vertical="bottom"/>
    </xf>
    <xf numFmtId="0" fontId="1" fillId="0" borderId="9" applyAlignment="1" pivotButton="0" quotePrefix="0" xfId="0">
      <alignment horizontal="right" vertical="bottom"/>
    </xf>
    <xf numFmtId="0" fontId="1" fillId="0" borderId="13" applyAlignment="1" pivotButton="0" quotePrefix="0" xfId="0">
      <alignment vertical="bottom"/>
    </xf>
    <xf numFmtId="10" fontId="1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cols>
    <col width="15.91" customWidth="1" min="1" max="1"/>
    <col width="8.09" customWidth="1" min="2" max="2"/>
    <col width="7.82" customWidth="1" min="3" max="3"/>
    <col width="8.09" customWidth="1" min="4" max="4"/>
    <col width="11.73" customWidth="1" min="5" max="5"/>
    <col width="6.09" customWidth="1" min="6" max="6"/>
    <col width="9.73" customWidth="1" min="7" max="7"/>
    <col width="10" customWidth="1" min="8" max="8"/>
    <col width="16.82" customWidth="1" min="9" max="9"/>
    <col width="8.82" customWidth="1" min="10" max="10"/>
    <col width="103.27" customWidth="1" min="11" max="11"/>
  </cols>
  <sheetData>
    <row r="1">
      <c r="A1" s="1" t="inlineStr">
        <is>
          <t>Name</t>
        </is>
      </c>
      <c r="B1" s="2" t="inlineStr">
        <is>
          <t>Rarity</t>
        </is>
      </c>
      <c r="C1" s="2" t="inlineStr">
        <is>
          <t>Type</t>
        </is>
      </c>
      <c r="D1" s="2" t="inlineStr">
        <is>
          <t>Base Output</t>
        </is>
      </c>
      <c r="E1" s="2" t="inlineStr">
        <is>
          <t>Awakening Output</t>
        </is>
      </c>
      <c r="F1" s="2" t="inlineStr">
        <is>
          <t>Base Cap</t>
        </is>
      </c>
      <c r="G1" s="2" t="inlineStr">
        <is>
          <t>Awakening Cap</t>
        </is>
      </c>
      <c r="H1" s="2" t="inlineStr">
        <is>
          <t>Wonder Fungus</t>
        </is>
      </c>
      <c r="I1" s="2" t="inlineStr">
        <is>
          <t>Awakening Wonder Fungus</t>
        </is>
      </c>
      <c r="J1" s="2" t="inlineStr">
        <is>
          <t>AFFECT Boost</t>
        </is>
      </c>
      <c r="K1" s="3" t="inlineStr">
        <is>
          <t>Source</t>
        </is>
      </c>
      <c r="L1" s="4" t="n"/>
      <c r="M1" s="4" t="n"/>
      <c r="N1" s="4" t="n"/>
      <c r="O1" s="4" t="n"/>
    </row>
    <row r="2">
      <c r="A2" s="5" t="inlineStr">
        <is>
          <t>INDIVIDUAL RELICS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6" t="n"/>
      <c r="L2" s="4" t="n"/>
      <c r="M2" s="4" t="n"/>
      <c r="N2" s="4" t="n"/>
      <c r="O2" s="4" t="n"/>
    </row>
    <row r="3">
      <c r="A3" s="7" t="inlineStr">
        <is>
          <t xml:space="preserve">   The Last Supper</t>
        </is>
      </c>
      <c r="B3" s="4" t="inlineStr">
        <is>
          <t>S</t>
        </is>
      </c>
      <c r="C3" s="4" t="inlineStr">
        <is>
          <t>ART</t>
        </is>
      </c>
      <c r="D3" s="8" t="n">
        <v>20</v>
      </c>
      <c r="E3" s="8" t="n">
        <v>20</v>
      </c>
      <c r="F3" s="8" t="n">
        <v>20</v>
      </c>
      <c r="G3" s="4" t="n"/>
      <c r="H3" s="4" t="n"/>
      <c r="I3" s="4" t="n"/>
      <c r="J3" s="4" t="n"/>
      <c r="K3" s="6" t="inlineStr">
        <is>
          <t>Fragment Crafting (18.1%), Lottery Machine #1 (0.81%), Wishing (0.68%), Relic Forge (90 Relic RF)</t>
        </is>
      </c>
      <c r="L3" s="4" t="n"/>
      <c r="M3" s="4" t="n"/>
      <c r="N3" s="4" t="n"/>
      <c r="O3" s="4" t="n"/>
    </row>
    <row r="4">
      <c r="A4" s="7" t="inlineStr">
        <is>
          <t xml:space="preserve">   Sunflowers</t>
        </is>
      </c>
      <c r="B4" s="4" t="inlineStr">
        <is>
          <t>SS</t>
        </is>
      </c>
      <c r="C4" s="4" t="inlineStr">
        <is>
          <t>ART</t>
        </is>
      </c>
      <c r="D4" s="8" t="n">
        <v>22</v>
      </c>
      <c r="E4" s="8" t="n">
        <v>20</v>
      </c>
      <c r="F4" s="4" t="n"/>
      <c r="G4" s="4" t="n"/>
      <c r="H4" s="4" t="n"/>
      <c r="I4" s="4" t="n"/>
      <c r="J4" s="4" t="n"/>
      <c r="K4" s="6" t="inlineStr">
        <is>
          <t>Lottery Machine #1 (0.12%), Wishing (0.1%), Fungus Chest (1%), Grandmaster Scrolls (1%), Relic Forge (100 Relic RF)</t>
        </is>
      </c>
      <c r="L4" s="4" t="n"/>
      <c r="M4" s="4" t="n"/>
      <c r="N4" s="4" t="n"/>
      <c r="O4" s="4" t="n"/>
    </row>
    <row r="5">
      <c r="A5" s="7" t="inlineStr">
        <is>
          <t xml:space="preserve">   Golden Wheat</t>
        </is>
      </c>
      <c r="B5" s="4" t="inlineStr">
        <is>
          <t>SSS</t>
        </is>
      </c>
      <c r="C5" s="4" t="inlineStr">
        <is>
          <t>ART</t>
        </is>
      </c>
      <c r="D5" s="8" t="n">
        <v>24</v>
      </c>
      <c r="E5" s="4" t="n"/>
      <c r="F5" s="4" t="n"/>
      <c r="G5" s="4" t="n"/>
      <c r="H5" s="4" t="n"/>
      <c r="I5" s="4" t="n"/>
      <c r="J5" s="4" t="n"/>
      <c r="K5" s="6" t="inlineStr">
        <is>
          <t>Wish Pack, Lottery Machine #1 (0.09%), Wishing (0.08%), Yamato Treasure Maps (0.01%), Grandmaster Scrolls (0.81%), Relic Forge (120 Relic RF)</t>
        </is>
      </c>
      <c r="L5" s="4" t="n"/>
      <c r="M5" s="4" t="n"/>
      <c r="N5" s="4" t="n"/>
      <c r="O5" s="4" t="n"/>
    </row>
    <row r="6">
      <c r="A6" s="7" t="inlineStr">
        <is>
          <t xml:space="preserve">   Edict of Milan</t>
        </is>
      </c>
      <c r="B6" s="4" t="inlineStr">
        <is>
          <t>AAA</t>
        </is>
      </c>
      <c r="C6" s="9" t="inlineStr">
        <is>
          <t>FAME</t>
        </is>
      </c>
      <c r="D6" s="4" t="n"/>
      <c r="E6" s="4" t="n"/>
      <c r="F6" s="4" t="n"/>
      <c r="G6" s="4" t="n"/>
      <c r="H6" s="8" t="n">
        <v>18</v>
      </c>
      <c r="I6" s="8" t="n">
        <v>14</v>
      </c>
      <c r="J6" s="4" t="n"/>
      <c r="K6" s="6" t="inlineStr">
        <is>
          <t>Fragment Crafting (1.6%), Lottery Machine #1 (0.03%), Wishing (0.14%), Relic Forge (80 Relic RF)</t>
        </is>
      </c>
      <c r="L6" s="4" t="n"/>
      <c r="M6" s="4" t="n"/>
      <c r="N6" s="4" t="n"/>
      <c r="O6" s="4" t="n"/>
    </row>
    <row r="7">
      <c r="A7" s="7" t="inlineStr">
        <is>
          <t xml:space="preserve">   The Goodbye Kiss</t>
        </is>
      </c>
      <c r="B7" s="4" t="inlineStr">
        <is>
          <t>AAA</t>
        </is>
      </c>
      <c r="C7" s="4" t="inlineStr">
        <is>
          <t>ART</t>
        </is>
      </c>
      <c r="D7" s="8" t="n"/>
      <c r="E7" s="4" t="n"/>
      <c r="F7" s="8" t="n"/>
      <c r="G7" s="8" t="n"/>
      <c r="H7" s="4" t="n">
        <v>9</v>
      </c>
      <c r="I7" s="4" t="n">
        <v>7</v>
      </c>
      <c r="J7" s="4" t="n"/>
      <c r="K7" s="10" t="inlineStr">
        <is>
          <t>Lottery Box Relic #2</t>
        </is>
      </c>
      <c r="L7" s="4" t="n"/>
      <c r="M7" s="4" t="n"/>
      <c r="N7" s="4" t="n"/>
      <c r="O7" s="4" t="n"/>
    </row>
    <row r="8">
      <c r="A8" s="7" t="inlineStr">
        <is>
          <t xml:space="preserve">   Frigga's Wheel</t>
        </is>
      </c>
      <c r="B8" s="4" t="inlineStr">
        <is>
          <t>AAA</t>
        </is>
      </c>
      <c r="C8" s="4" t="inlineStr">
        <is>
          <t>FTH</t>
        </is>
      </c>
      <c r="D8" s="8" t="n">
        <v>14</v>
      </c>
      <c r="E8" s="4" t="n"/>
      <c r="F8" s="8" t="n">
        <v>14</v>
      </c>
      <c r="G8" s="8" t="n">
        <v>14</v>
      </c>
      <c r="H8" s="4" t="n"/>
      <c r="I8" s="4" t="n"/>
      <c r="J8" s="4" t="n"/>
      <c r="K8" s="6" t="inlineStr">
        <is>
          <t>Fragment Crafting (30.8%), Lottery Machine #1 (0.66%), Wishing (2.8%), Expert Scrolls (7.6%)</t>
        </is>
      </c>
      <c r="L8" s="4" t="n"/>
      <c r="M8" s="4" t="n"/>
      <c r="N8" s="4" t="n"/>
      <c r="O8" s="4" t="n"/>
    </row>
    <row r="9">
      <c r="A9" s="7" t="inlineStr">
        <is>
          <t xml:space="preserve">   Peacock Throne</t>
        </is>
      </c>
      <c r="B9" s="4" t="inlineStr">
        <is>
          <t>AAA</t>
        </is>
      </c>
      <c r="C9" s="4" t="inlineStr">
        <is>
          <t>ART</t>
        </is>
      </c>
      <c r="D9" s="8" t="n">
        <v>5</v>
      </c>
      <c r="E9" s="4" t="n">
        <v>5</v>
      </c>
      <c r="F9" s="4" t="n"/>
      <c r="G9" s="4" t="n"/>
      <c r="H9" s="8" t="n"/>
      <c r="I9" s="4" t="n"/>
      <c r="J9" s="4" t="n"/>
      <c r="K9" s="6" t="inlineStr">
        <is>
          <t>Supreme Relic</t>
        </is>
      </c>
      <c r="L9" s="4" t="n"/>
      <c r="M9" s="4" t="n"/>
      <c r="N9" s="4" t="n"/>
      <c r="O9" s="4" t="n"/>
    </row>
    <row r="10">
      <c r="A10" s="7" t="inlineStr">
        <is>
          <t xml:space="preserve">   Leo's Plant</t>
        </is>
      </c>
      <c r="B10" s="4" t="inlineStr">
        <is>
          <t>Blue</t>
        </is>
      </c>
      <c r="C10" s="4" t="inlineStr">
        <is>
          <t>CIV</t>
        </is>
      </c>
      <c r="D10" s="8" t="n">
        <v>10</v>
      </c>
      <c r="E10" s="8" t="n">
        <v>10</v>
      </c>
      <c r="F10" s="4" t="n"/>
      <c r="G10" s="4" t="n"/>
      <c r="H10" s="4" t="n"/>
      <c r="I10" s="4" t="n"/>
      <c r="J10" s="4" t="n"/>
      <c r="K10" s="6" t="inlineStr">
        <is>
          <t>Lottery Machine #1 (0.36%), Wishing (10.3%), Fungus Chest (2%), Trainee Scrolls (5%)</t>
        </is>
      </c>
      <c r="L10" s="4" t="n"/>
      <c r="M10" s="4" t="n"/>
      <c r="N10" s="4" t="n"/>
      <c r="O10" s="4" t="n"/>
    </row>
    <row r="11">
      <c r="A11" s="5" t="inlineStr">
        <is>
          <t xml:space="preserve">   Portland Vase</t>
        </is>
      </c>
      <c r="B11" s="4" t="inlineStr">
        <is>
          <t>Blue</t>
        </is>
      </c>
      <c r="C11" s="4" t="inlineStr">
        <is>
          <t>ART</t>
        </is>
      </c>
      <c r="D11" s="4" t="n"/>
      <c r="E11" s="4" t="n"/>
      <c r="F11" s="8" t="n">
        <v>10</v>
      </c>
      <c r="G11" s="8" t="n">
        <v>10</v>
      </c>
      <c r="H11" s="4" t="n"/>
      <c r="I11" s="4" t="n"/>
      <c r="J11" s="4" t="n"/>
      <c r="K11" s="6" t="inlineStr">
        <is>
          <t>Lottery Machine #1 (0.03%), Wishing (1.2%), Fungus Chest (2%)</t>
        </is>
      </c>
      <c r="L11" s="4" t="n"/>
      <c r="M11" s="4" t="n"/>
      <c r="N11" s="4" t="n"/>
      <c r="O11" s="4" t="n"/>
    </row>
    <row r="12">
      <c r="A12" s="5" t="inlineStr">
        <is>
          <t xml:space="preserve">   Earthworm Codex</t>
        </is>
      </c>
      <c r="B12" s="4" t="inlineStr">
        <is>
          <t>Green</t>
        </is>
      </c>
      <c r="C12" s="9" t="inlineStr">
        <is>
          <t>FAME</t>
        </is>
      </c>
      <c r="D12" s="4" t="n"/>
      <c r="E12" s="4" t="n"/>
      <c r="F12" s="4" t="n"/>
      <c r="G12" s="4" t="n"/>
      <c r="H12" s="8" t="n">
        <v>6</v>
      </c>
      <c r="I12" s="4" t="n"/>
      <c r="J12" s="4" t="n"/>
      <c r="K12" s="6" t="inlineStr">
        <is>
          <t>Earth Worm Reactor (Species War Cabin) Reward</t>
        </is>
      </c>
      <c r="L12" s="4" t="n"/>
      <c r="M12" s="4" t="n"/>
      <c r="N12" s="4" t="n"/>
      <c r="O12" s="4" t="n"/>
    </row>
    <row r="13">
      <c r="A13" s="5" t="inlineStr">
        <is>
          <t xml:space="preserve">   Isle Turnip</t>
        </is>
      </c>
      <c r="B13" s="4" t="inlineStr">
        <is>
          <t>Green</t>
        </is>
      </c>
      <c r="C13" s="4" t="inlineStr">
        <is>
          <t>CIV</t>
        </is>
      </c>
      <c r="D13" s="4" t="n"/>
      <c r="E13" s="4" t="n"/>
      <c r="F13" s="4" t="n"/>
      <c r="G13" s="4" t="n"/>
      <c r="H13" s="8" t="n">
        <v>6</v>
      </c>
      <c r="I13" s="4" t="n"/>
      <c r="J13" s="4" t="n"/>
      <c r="K13" s="6" t="inlineStr">
        <is>
          <t>Racoon Storyline</t>
        </is>
      </c>
      <c r="L13" s="4" t="n"/>
      <c r="M13" s="4" t="n"/>
      <c r="N13" s="4" t="n"/>
      <c r="O13" s="4" t="n"/>
    </row>
    <row r="14">
      <c r="A14" s="5" t="inlineStr">
        <is>
          <t xml:space="preserve">   Mutant Fungus</t>
        </is>
      </c>
      <c r="B14" s="4" t="inlineStr">
        <is>
          <t>Green</t>
        </is>
      </c>
      <c r="C14" s="4" t="inlineStr">
        <is>
          <t>FTH</t>
        </is>
      </c>
      <c r="D14" s="4" t="n"/>
      <c r="E14" s="4" t="n"/>
      <c r="F14" s="4" t="n"/>
      <c r="G14" s="4" t="n"/>
      <c r="H14" s="8" t="n">
        <v>6</v>
      </c>
      <c r="I14" s="4" t="n"/>
      <c r="J14" s="4" t="n"/>
      <c r="K14" s="6" t="inlineStr">
        <is>
          <t>Buried in the Farm</t>
        </is>
      </c>
      <c r="L14" s="4" t="n"/>
      <c r="M14" s="4" t="n"/>
      <c r="N14" s="4" t="n"/>
      <c r="O14" s="4" t="n"/>
    </row>
    <row r="15">
      <c r="A15" s="5" t="inlineStr">
        <is>
          <t xml:space="preserve">   Shinkage Ryu: Shift</t>
        </is>
      </c>
      <c r="B15" s="4" t="inlineStr">
        <is>
          <t>Green</t>
        </is>
      </c>
      <c r="C15" s="4" t="inlineStr">
        <is>
          <t>TECH</t>
        </is>
      </c>
      <c r="D15" s="8" t="n">
        <v>6</v>
      </c>
      <c r="E15" s="4" t="n"/>
      <c r="F15" s="4" t="n"/>
      <c r="G15" s="4" t="n"/>
      <c r="H15" s="4" t="n"/>
      <c r="I15" s="4" t="n"/>
      <c r="J15" s="4" t="n"/>
      <c r="K15" s="6" t="inlineStr">
        <is>
          <t>Yamato Domain</t>
        </is>
      </c>
      <c r="L15" s="4" t="n"/>
      <c r="M15" s="4" t="n"/>
      <c r="N15" s="4" t="n"/>
      <c r="O15" s="4" t="n"/>
    </row>
    <row r="16">
      <c r="A16" s="11" t="inlineStr">
        <is>
          <t>MAX INDIVIDUAL RELICS</t>
        </is>
      </c>
      <c r="B16" s="12" t="n"/>
      <c r="C16" s="12" t="n"/>
      <c r="D16" s="13">
        <f>sum(D3:E15)</f>
        <v/>
      </c>
      <c r="E16" s="12" t="n"/>
      <c r="F16" s="13">
        <f>sum(F3:G15)</f>
        <v/>
      </c>
      <c r="G16" s="12" t="n"/>
      <c r="H16" s="13">
        <f>sum(H3:I15)</f>
        <v/>
      </c>
      <c r="I16" s="12" t="n"/>
      <c r="J16" s="12" t="n"/>
      <c r="K16" s="14" t="n"/>
      <c r="L16" s="4" t="n"/>
      <c r="M16" s="4" t="n"/>
      <c r="N16" s="4" t="n"/>
      <c r="O16" s="4" t="n"/>
    </row>
    <row r="17">
      <c r="A17" s="5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15" t="n"/>
      <c r="L17" s="4" t="n"/>
      <c r="M17" s="4" t="n"/>
      <c r="N17" s="4" t="n"/>
      <c r="O17" s="4" t="n"/>
    </row>
    <row r="18">
      <c r="A18" s="16" t="inlineStr">
        <is>
          <t>ORGAN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2" t="n"/>
      <c r="K18" s="18" t="n"/>
      <c r="L18" s="4" t="n"/>
      <c r="M18" s="4" t="n"/>
      <c r="N18" s="4" t="n"/>
      <c r="O18" s="4" t="n"/>
    </row>
    <row r="19">
      <c r="A19" s="19" t="inlineStr">
        <is>
          <t xml:space="preserve">   Warp Horn</t>
        </is>
      </c>
      <c r="B19" s="20" t="n"/>
      <c r="C19" s="20" t="n"/>
      <c r="D19" s="20" t="n">
        <v>10</v>
      </c>
      <c r="E19" s="20" t="n"/>
      <c r="F19" s="20" t="n">
        <v>10</v>
      </c>
      <c r="G19" s="20" t="n"/>
      <c r="H19" s="20" t="n"/>
      <c r="I19" s="20" t="n"/>
      <c r="J19" s="4" t="n"/>
      <c r="K19" s="6" t="inlineStr">
        <is>
          <t>lv20</t>
        </is>
      </c>
      <c r="L19" s="4" t="n"/>
      <c r="M19" s="4" t="n"/>
      <c r="N19" s="4" t="n"/>
      <c r="O19" s="4" t="n"/>
    </row>
    <row r="20">
      <c r="A20" s="21" t="inlineStr">
        <is>
          <t xml:space="preserve">   Alveolus of Gaia</t>
        </is>
      </c>
      <c r="B20" s="22" t="n"/>
      <c r="C20" s="22" t="n"/>
      <c r="D20" s="22" t="n">
        <v>20</v>
      </c>
      <c r="E20" s="22" t="n"/>
      <c r="F20" s="22" t="n">
        <v>20</v>
      </c>
      <c r="G20" s="22" t="n"/>
      <c r="H20" s="22" t="n"/>
      <c r="I20" s="22" t="n"/>
      <c r="J20" s="12" t="n"/>
      <c r="K20" s="23" t="inlineStr">
        <is>
          <t>lv40</t>
        </is>
      </c>
      <c r="L20" s="4" t="n"/>
      <c r="M20" s="4" t="n"/>
      <c r="N20" s="4" t="n"/>
      <c r="O20" s="4" t="n"/>
    </row>
    <row r="21">
      <c r="A21" s="19" t="inlineStr">
        <is>
          <t>MAX ORGAN</t>
        </is>
      </c>
      <c r="B21" s="20" t="n"/>
      <c r="C21" s="20" t="n"/>
      <c r="D21" s="20">
        <f>sum(D19:D20)</f>
        <v/>
      </c>
      <c r="E21" s="20" t="n"/>
      <c r="F21" s="20">
        <f>sum(F19:F20)</f>
        <v/>
      </c>
      <c r="G21" s="20" t="n"/>
      <c r="H21" s="20">
        <f>sum(H19:H20)</f>
        <v/>
      </c>
      <c r="I21" s="4" t="n"/>
      <c r="J21" s="4" t="n"/>
      <c r="K21" s="15" t="n"/>
      <c r="L21" s="4" t="n"/>
      <c r="M21" s="4" t="n"/>
      <c r="N21" s="4" t="n"/>
      <c r="O21" s="4" t="n"/>
    </row>
    <row r="22">
      <c r="A22" s="5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15" t="n"/>
      <c r="L22" s="4" t="n"/>
      <c r="M22" s="4" t="n"/>
      <c r="N22" s="4" t="n"/>
      <c r="O22" s="4" t="n"/>
    </row>
    <row r="23">
      <c r="A23" s="1" t="inlineStr">
        <is>
          <t>BUBBLE FRAMES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18" t="n"/>
      <c r="L23" s="4" t="n"/>
      <c r="M23" s="4" t="n"/>
      <c r="N23" s="4" t="n"/>
      <c r="O23" s="4" t="n"/>
    </row>
    <row r="24">
      <c r="A24" s="5" t="inlineStr">
        <is>
          <t xml:space="preserve">   Whale Power III</t>
        </is>
      </c>
      <c r="B24" s="4" t="n"/>
      <c r="C24" s="4" t="n"/>
      <c r="D24" s="4" t="n">
        <v>12</v>
      </c>
      <c r="E24" s="4" t="n"/>
      <c r="F24" s="4" t="n"/>
      <c r="G24" s="4" t="n"/>
      <c r="H24" s="4" t="n"/>
      <c r="I24" s="4" t="n"/>
      <c r="J24" s="4" t="n"/>
      <c r="K24" s="6" t="inlineStr">
        <is>
          <t>5M W-tads Spent</t>
        </is>
      </c>
      <c r="L24" s="4" t="n"/>
      <c r="M24" s="4" t="n"/>
      <c r="N24" s="4" t="n"/>
      <c r="O24" s="4" t="n"/>
    </row>
    <row r="25">
      <c r="A25" s="11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4" t="n"/>
      <c r="L25" s="4" t="n"/>
      <c r="M25" s="4" t="n"/>
      <c r="N25" s="4" t="n"/>
      <c r="O25" s="4" t="n"/>
    </row>
    <row r="26">
      <c r="A26" s="1" t="inlineStr">
        <is>
          <t>COLLECTORS TALENTS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18" t="n"/>
      <c r="L26" s="4" t="n"/>
      <c r="M26" s="4" t="n"/>
      <c r="N26" s="4" t="n"/>
      <c r="O26" s="4" t="n"/>
    </row>
    <row r="27">
      <c r="A27" s="11" t="inlineStr">
        <is>
          <t xml:space="preserve">   Fungus Growth</t>
        </is>
      </c>
      <c r="B27" s="12" t="n"/>
      <c r="C27" s="12" t="n"/>
      <c r="D27" s="12" t="n">
        <v>25</v>
      </c>
      <c r="E27" s="12" t="n"/>
      <c r="F27" s="12" t="n">
        <v>25</v>
      </c>
      <c r="G27" s="12" t="n"/>
      <c r="H27" s="12" t="n"/>
      <c r="I27" s="12" t="n"/>
      <c r="J27" s="12" t="n"/>
      <c r="K27" s="23" t="inlineStr">
        <is>
          <t>10 Blue Talent Points</t>
        </is>
      </c>
      <c r="L27" s="4" t="n"/>
      <c r="M27" s="4" t="n"/>
      <c r="N27" s="4" t="n"/>
      <c r="O27" s="4" t="n"/>
    </row>
    <row r="28">
      <c r="A28" s="5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15" t="n"/>
      <c r="L28" s="4" t="n"/>
      <c r="M28" s="4" t="n"/>
      <c r="N28" s="4" t="n"/>
      <c r="O28" s="4" t="n"/>
    </row>
    <row r="29">
      <c r="A29" s="16" t="inlineStr">
        <is>
          <t>ROCKET UPGRADES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24" t="n"/>
      <c r="L29" s="4" t="n"/>
      <c r="M29" s="4" t="n"/>
      <c r="N29" s="4" t="n"/>
      <c r="O29" s="4" t="n"/>
    </row>
    <row r="30">
      <c r="A30" s="21" t="inlineStr">
        <is>
          <t xml:space="preserve">   Eternal Hall</t>
        </is>
      </c>
      <c r="B30" s="22" t="n"/>
      <c r="C30" s="22" t="n"/>
      <c r="D30" s="22" t="n">
        <v>10</v>
      </c>
      <c r="E30" s="22" t="n"/>
      <c r="F30" s="22" t="n">
        <v>10</v>
      </c>
      <c r="G30" s="22" t="n"/>
      <c r="H30" s="22" t="n"/>
      <c r="I30" s="22" t="n"/>
      <c r="J30" s="22" t="n"/>
      <c r="K30" s="25" t="inlineStr">
        <is>
          <t>Lv5</t>
        </is>
      </c>
      <c r="L30" s="4" t="n"/>
      <c r="M30" s="4" t="n"/>
      <c r="N30" s="4" t="n"/>
      <c r="O30" s="4" t="n"/>
    </row>
    <row r="31">
      <c r="A31" s="19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6" t="n"/>
      <c r="L31" s="4" t="n"/>
      <c r="M31" s="4" t="n"/>
      <c r="N31" s="4" t="n"/>
      <c r="O31" s="4" t="n"/>
    </row>
    <row r="32">
      <c r="A32" s="16" t="inlineStr">
        <is>
          <t>AVATARS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24" t="n"/>
      <c r="L32" s="4" t="n"/>
      <c r="M32" s="4" t="n"/>
      <c r="N32" s="4" t="n"/>
      <c r="O32" s="4" t="n"/>
    </row>
    <row r="33">
      <c r="A33" s="21" t="inlineStr">
        <is>
          <t xml:space="preserve">   Mirage Avatar I Bonus</t>
        </is>
      </c>
      <c r="B33" s="22" t="n"/>
      <c r="C33" s="22" t="n"/>
      <c r="D33" s="22" t="n">
        <v>20</v>
      </c>
      <c r="E33" s="22" t="n"/>
      <c r="F33" s="22" t="n">
        <v>40</v>
      </c>
      <c r="G33" s="22" t="n"/>
      <c r="H33" s="22" t="n"/>
      <c r="I33" s="22" t="n"/>
      <c r="J33" s="22" t="n"/>
      <c r="K33" s="27" t="n"/>
      <c r="L33" s="4" t="n"/>
      <c r="M33" s="4" t="n"/>
      <c r="N33" s="4" t="n"/>
      <c r="O33" s="4" t="n"/>
    </row>
    <row r="34">
      <c r="A34" s="5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15" t="n"/>
      <c r="L34" s="4" t="n"/>
      <c r="M34" s="4" t="n"/>
      <c r="N34" s="4" t="n"/>
      <c r="O34" s="4" t="n"/>
    </row>
    <row r="35">
      <c r="A35" s="1" t="inlineStr">
        <is>
          <t>STAMPS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18" t="n"/>
      <c r="L35" s="4" t="n"/>
      <c r="M35" s="4" t="n"/>
      <c r="N35" s="4" t="n"/>
      <c r="O35" s="4" t="n"/>
    </row>
    <row r="36">
      <c r="A36" s="7" t="inlineStr">
        <is>
          <t xml:space="preserve">   1001 Nights</t>
        </is>
      </c>
      <c r="B36" s="4" t="inlineStr">
        <is>
          <t>SSS</t>
        </is>
      </c>
      <c r="C36" s="4" t="inlineStr">
        <is>
          <t>CIV</t>
        </is>
      </c>
      <c r="D36" s="8" t="n">
        <v>30</v>
      </c>
      <c r="E36" s="4" t="n"/>
      <c r="F36" s="4" t="n"/>
      <c r="G36" s="4" t="n"/>
      <c r="H36" s="8" t="n">
        <v>30</v>
      </c>
      <c r="I36" s="4" t="n"/>
      <c r="J36" s="8" t="n">
        <v>15</v>
      </c>
      <c r="K36" s="6" t="inlineStr">
        <is>
          <t>Wish Pack, Lottery Machine #1 (0.09%), Wishing (0.08%), Bharata Treasure Maps(%), Grandmaster Scrolls (0.81%), Relic Forge (120 Relic RF)</t>
        </is>
      </c>
      <c r="L36" s="4" t="n"/>
      <c r="M36" s="4" t="n"/>
      <c r="N36" s="4" t="n"/>
      <c r="O36" s="4" t="n"/>
    </row>
    <row r="37">
      <c r="A37" s="7" t="inlineStr">
        <is>
          <t xml:space="preserve">   Creation of Adam</t>
        </is>
      </c>
      <c r="B37" s="4" t="inlineStr">
        <is>
          <t>SSS</t>
        </is>
      </c>
      <c r="C37" s="4" t="inlineStr">
        <is>
          <t>CIV</t>
        </is>
      </c>
      <c r="D37" s="4" t="n"/>
      <c r="E37" s="4" t="n"/>
      <c r="F37" s="4" t="n">
        <v>30</v>
      </c>
      <c r="G37" s="4" t="n"/>
      <c r="H37" s="8" t="n">
        <v>30</v>
      </c>
      <c r="I37" s="4" t="n"/>
      <c r="J37" s="8" t="n">
        <v>15</v>
      </c>
      <c r="K37" s="6" t="inlineStr">
        <is>
          <t>Lottery Machine #1 (0.09%), Wishing (0.08%), Grandmaster Scrolls (0.77%)</t>
        </is>
      </c>
      <c r="L37" s="4" t="n"/>
      <c r="M37" s="4" t="n"/>
      <c r="N37" s="4" t="n"/>
      <c r="O37" s="4" t="n"/>
    </row>
    <row r="38">
      <c r="A38" s="7" t="inlineStr">
        <is>
          <t xml:space="preserve">   Cyrus Cylinder</t>
        </is>
      </c>
      <c r="B38" s="4" t="inlineStr">
        <is>
          <t>SSS</t>
        </is>
      </c>
      <c r="C38" s="4" t="inlineStr">
        <is>
          <t>CIV</t>
        </is>
      </c>
      <c r="D38" s="8" t="n">
        <v>30</v>
      </c>
      <c r="E38" s="4" t="n"/>
      <c r="F38" s="8" t="n">
        <v>30</v>
      </c>
      <c r="G38" s="4" t="n"/>
      <c r="H38" s="4" t="n"/>
      <c r="I38" s="4" t="n"/>
      <c r="J38" s="4" t="n">
        <v>15</v>
      </c>
      <c r="K38" s="28" t="inlineStr">
        <is>
          <t>Lottery Machine #2 (?%)</t>
        </is>
      </c>
      <c r="L38" s="4" t="n"/>
      <c r="M38" s="4" t="n"/>
      <c r="N38" s="4" t="n"/>
      <c r="O38" s="4" t="n"/>
    </row>
    <row r="39">
      <c r="A39" s="5" t="inlineStr">
        <is>
          <t xml:space="preserve">   The Song of Roland</t>
        </is>
      </c>
      <c r="B39" s="4" t="inlineStr">
        <is>
          <t>SS</t>
        </is>
      </c>
      <c r="C39" s="4" t="inlineStr">
        <is>
          <t>CIV</t>
        </is>
      </c>
      <c r="D39" s="8" t="n">
        <v>30</v>
      </c>
      <c r="E39" s="4" t="n"/>
      <c r="F39" s="8" t="n">
        <v>30</v>
      </c>
      <c r="G39" s="4" t="n"/>
      <c r="H39" s="4" t="n"/>
      <c r="I39" s="4" t="n"/>
      <c r="J39" s="4" t="n"/>
      <c r="K39" s="6" t="inlineStr">
        <is>
          <t>Fragment Crafting (5.5%), Lottery Machine #1 (0.24%), Wishing (0.2%), Master Scroll (1.9%), Grandmaster Scroll (2.1%), CIV Master Scroll (10.2%)</t>
        </is>
      </c>
      <c r="L39" s="4" t="n"/>
      <c r="M39" s="4" t="n"/>
      <c r="N39" s="4" t="n"/>
      <c r="O39" s="4" t="n"/>
    </row>
    <row r="40">
      <c r="A40" s="5" t="inlineStr">
        <is>
          <t xml:space="preserve">   Das Kapital</t>
        </is>
      </c>
      <c r="B40" s="4" t="inlineStr">
        <is>
          <t>SS</t>
        </is>
      </c>
      <c r="C40" s="4" t="inlineStr">
        <is>
          <t>CIV</t>
        </is>
      </c>
      <c r="D40" s="8" t="n">
        <v>30</v>
      </c>
      <c r="E40" s="4" t="n"/>
      <c r="F40" s="8" t="n">
        <v>30</v>
      </c>
      <c r="G40" s="4" t="n"/>
      <c r="H40" s="4" t="n"/>
      <c r="I40" s="4" t="n"/>
      <c r="J40" s="4" t="n"/>
      <c r="K40" s="6" t="inlineStr">
        <is>
          <t>Lottery Machine #1 (0.12%), Wishing (0.1%), Britland Treasure Maps (5%), Grandmaster Scrolls (1%), Relic Forge (100 Relic RF), beat Mr. Raccoon in combat</t>
        </is>
      </c>
      <c r="L40" s="4" t="n"/>
      <c r="M40" s="4" t="n"/>
      <c r="N40" s="4" t="n"/>
      <c r="O40" s="4" t="n"/>
    </row>
    <row r="41">
      <c r="A41" s="5" t="inlineStr">
        <is>
          <t xml:space="preserve">   Plato's Republic</t>
        </is>
      </c>
      <c r="B41" s="4" t="inlineStr">
        <is>
          <t>SS</t>
        </is>
      </c>
      <c r="C41" s="4" t="inlineStr">
        <is>
          <t>CIV</t>
        </is>
      </c>
      <c r="D41" s="4" t="n"/>
      <c r="E41" s="4" t="n"/>
      <c r="F41" s="4" t="n"/>
      <c r="G41" s="4" t="n"/>
      <c r="H41" s="8" t="n">
        <v>30</v>
      </c>
      <c r="I41" s="4" t="n"/>
      <c r="J41" s="8" t="n">
        <v>15</v>
      </c>
      <c r="K41" s="6" t="inlineStr">
        <is>
          <t>Lottery Machine #1 (0.12%), Wishing (0.1%), Grandmaster Scrolls (1%), Relic Forge (100 Relic RF), Home Value Pack III ($14.99)</t>
        </is>
      </c>
      <c r="L41" s="4" t="n"/>
      <c r="M41" s="4" t="n"/>
      <c r="N41" s="4" t="n"/>
      <c r="O41" s="4" t="n"/>
    </row>
    <row r="42">
      <c r="A42" s="5" t="inlineStr">
        <is>
          <t xml:space="preserve">   Pride &amp; Prejudice</t>
        </is>
      </c>
      <c r="B42" s="4" t="inlineStr">
        <is>
          <t>S</t>
        </is>
      </c>
      <c r="C42" s="4" t="inlineStr">
        <is>
          <t>CIV</t>
        </is>
      </c>
      <c r="D42" s="4" t="n"/>
      <c r="E42" s="4" t="n"/>
      <c r="F42" s="4" t="n"/>
      <c r="G42" s="4" t="n"/>
      <c r="H42" s="8" t="n">
        <v>30</v>
      </c>
      <c r="I42" s="4" t="n"/>
      <c r="J42" s="4" t="n"/>
      <c r="K42" s="29" t="inlineStr">
        <is>
          <t>Lottery Machine #2 (1.59%)</t>
        </is>
      </c>
      <c r="L42" s="4" t="n"/>
      <c r="M42" s="4" t="n"/>
      <c r="N42" s="4" t="n"/>
      <c r="O42" s="4" t="n"/>
    </row>
    <row r="43">
      <c r="A43" s="5" t="inlineStr">
        <is>
          <t xml:space="preserve">   Julian Calendar</t>
        </is>
      </c>
      <c r="B43" s="4" t="inlineStr">
        <is>
          <t>SS</t>
        </is>
      </c>
      <c r="C43" s="4" t="inlineStr">
        <is>
          <t>CIV</t>
        </is>
      </c>
      <c r="D43" s="4" t="n"/>
      <c r="E43" s="4" t="n"/>
      <c r="F43" s="8" t="n">
        <v>30</v>
      </c>
      <c r="G43" s="4" t="n"/>
      <c r="H43" s="4" t="n"/>
      <c r="I43" s="4" t="n"/>
      <c r="J43" s="4" t="n"/>
      <c r="K43" s="6" t="inlineStr">
        <is>
          <t>Fragment Crafting (5.5%), Lottery Machine #1 (0.24%), Wishing (0.2%), Master Scrolls (1.9%), Grandmaster Scrolls (2.1%), CIV Master Scrolls (10.2%)</t>
        </is>
      </c>
      <c r="L43" s="4" t="n"/>
      <c r="M43" s="4" t="n"/>
      <c r="N43" s="4" t="n"/>
      <c r="O43" s="4" t="n"/>
    </row>
    <row r="44">
      <c r="A44" s="5" t="inlineStr">
        <is>
          <t xml:space="preserve">   Boat of St. Peter</t>
        </is>
      </c>
      <c r="B44" s="4" t="inlineStr">
        <is>
          <t>SS</t>
        </is>
      </c>
      <c r="C44" s="4" t="inlineStr">
        <is>
          <t>FTH</t>
        </is>
      </c>
      <c r="D44" s="4" t="n"/>
      <c r="E44" s="4" t="n"/>
      <c r="F44" s="4" t="n"/>
      <c r="G44" s="4" t="n"/>
      <c r="H44" s="8" t="n">
        <v>30</v>
      </c>
      <c r="I44" s="4" t="n"/>
      <c r="J44" s="4" t="n"/>
      <c r="K44" s="6" t="inlineStr">
        <is>
          <t>Fragment Crafting (4%), Lottery Machine #1 (0.18%), Wishing (0.15%), Grandmaster Scrolls (1.6%)</t>
        </is>
      </c>
      <c r="L44" s="4" t="n"/>
      <c r="M44" s="4" t="n"/>
      <c r="N44" s="4" t="n"/>
      <c r="O44" s="4" t="n"/>
    </row>
    <row r="45">
      <c r="A45" s="5" t="inlineStr">
        <is>
          <t xml:space="preserve">   Golden Scarab</t>
        </is>
      </c>
      <c r="B45" s="4" t="inlineStr">
        <is>
          <t>S</t>
        </is>
      </c>
      <c r="C45" s="4" t="inlineStr">
        <is>
          <t>FTH</t>
        </is>
      </c>
      <c r="D45" s="4" t="n"/>
      <c r="E45" s="4" t="n"/>
      <c r="F45" s="4" t="n"/>
      <c r="G45" s="4" t="n"/>
      <c r="H45" s="8" t="n">
        <v>30</v>
      </c>
      <c r="I45" s="4" t="n"/>
      <c r="J45" s="4" t="n"/>
      <c r="K45" s="6" t="inlineStr">
        <is>
          <t>Fragment Crafting (15.1%), Lottery Machine #1 (0.81%), Wishing (0.53%), Kemetic Treasure Maps (5%), Master Scrolls (6.5%), FTH Master Scrolls (31.5%), Relic Forge (90 Relic RF)</t>
        </is>
      </c>
      <c r="L45" s="4" t="n"/>
      <c r="M45" s="4" t="n"/>
      <c r="N45" s="4" t="n"/>
      <c r="O45" s="4" t="n"/>
    </row>
    <row r="46">
      <c r="A46" s="5" t="inlineStr">
        <is>
          <t xml:space="preserve">   Holy Loaves</t>
        </is>
      </c>
      <c r="B46" s="4" t="inlineStr">
        <is>
          <t>SS</t>
        </is>
      </c>
      <c r="C46" s="4" t="inlineStr">
        <is>
          <t>FTH</t>
        </is>
      </c>
      <c r="D46" s="8" t="n">
        <v>30</v>
      </c>
      <c r="E46" s="4" t="n"/>
      <c r="F46" s="4" t="n"/>
      <c r="G46" s="4" t="n"/>
      <c r="H46" s="4" t="n"/>
      <c r="I46" s="4" t="n"/>
      <c r="J46" s="4" t="n"/>
      <c r="K46" s="6" t="inlineStr">
        <is>
          <t>Lottery Machine #1 (0.12%), Wishing (0.08%), Evolution Chest (1%), Grandmaster Scrolls (1%), Relic Forge (100 Relic RF)</t>
        </is>
      </c>
      <c r="L46" s="4" t="n"/>
      <c r="M46" s="4" t="n"/>
      <c r="N46" s="4" t="n"/>
      <c r="O46" s="4" t="n"/>
    </row>
    <row r="47">
      <c r="A47" s="5" t="inlineStr">
        <is>
          <t xml:space="preserve">   The Last Supper</t>
        </is>
      </c>
      <c r="B47" s="4" t="inlineStr">
        <is>
          <t>S</t>
        </is>
      </c>
      <c r="C47" s="4" t="inlineStr">
        <is>
          <t>ART</t>
        </is>
      </c>
      <c r="D47" s="4" t="n"/>
      <c r="E47" s="4" t="n"/>
      <c r="F47" s="4" t="n"/>
      <c r="G47" s="4" t="n"/>
      <c r="H47" s="4" t="n"/>
      <c r="I47" s="4" t="n"/>
      <c r="J47" s="8" t="n">
        <v>15</v>
      </c>
      <c r="K47" s="6" t="inlineStr">
        <is>
          <t>Fragment Crafting (18.1%), Lottery Machine #1 (0.81%), Wishing (0.68%), Relic Forge (90 Relic RF)</t>
        </is>
      </c>
      <c r="L47" s="4" t="n"/>
      <c r="M47" s="4" t="n"/>
      <c r="N47" s="4" t="n"/>
      <c r="O47" s="4" t="n"/>
    </row>
    <row r="48">
      <c r="A48" s="5" t="inlineStr">
        <is>
          <t xml:space="preserve">   Leaf of Yggdrasil</t>
        </is>
      </c>
      <c r="B48" s="4" t="inlineStr">
        <is>
          <t>SS</t>
        </is>
      </c>
      <c r="C48" s="9" t="inlineStr">
        <is>
          <t>FAME</t>
        </is>
      </c>
      <c r="D48" s="4" t="n"/>
      <c r="E48" s="4" t="n"/>
      <c r="F48" s="4" t="n"/>
      <c r="G48" s="4" t="n"/>
      <c r="H48" s="4" t="n"/>
      <c r="I48" s="4" t="n"/>
      <c r="J48" s="8" t="n">
        <v>15</v>
      </c>
      <c r="K48" s="6" t="inlineStr">
        <is>
          <t>Fragment Crafting (20.7%), Lottery Machine #1 (0.81%), Wishing (0.75%), Super Treasure Map (15%), Master Scrolls (6.5%), FAME Master Scrolls (31.5%), Relic Forge (90 Relic RF)</t>
        </is>
      </c>
      <c r="L48" s="4" t="n"/>
      <c r="M48" s="4" t="n"/>
      <c r="N48" s="4" t="n"/>
      <c r="O48" s="4" t="n"/>
    </row>
    <row r="49">
      <c r="A49" s="5" t="inlineStr">
        <is>
          <t xml:space="preserve">   Forbidden Fruit</t>
        </is>
      </c>
      <c r="B49" s="4" t="inlineStr">
        <is>
          <t>SS</t>
        </is>
      </c>
      <c r="C49" s="4" t="inlineStr">
        <is>
          <t>FTH</t>
        </is>
      </c>
      <c r="D49" s="4" t="n"/>
      <c r="E49" s="4" t="n"/>
      <c r="F49" s="4" t="n"/>
      <c r="G49" s="4" t="n"/>
      <c r="H49" s="4" t="n"/>
      <c r="I49" s="4" t="n"/>
      <c r="J49" s="8" t="n">
        <v>15</v>
      </c>
      <c r="K49" s="6" t="inlineStr">
        <is>
          <t>Lottery Machine #1 (0.12%), Wishing (0.8%), Super Treasure Maps (5%), Grandmaster Scrolls (1%), Relic Forge (100 Relic RF)</t>
        </is>
      </c>
      <c r="L49" s="4" t="n"/>
      <c r="M49" s="4" t="n"/>
      <c r="N49" s="4" t="n"/>
      <c r="O49" s="4" t="n"/>
    </row>
    <row r="50">
      <c r="A50" s="5" t="inlineStr">
        <is>
          <t xml:space="preserve">   Swan Lake</t>
        </is>
      </c>
      <c r="B50" s="4" t="inlineStr">
        <is>
          <t>SS</t>
        </is>
      </c>
      <c r="C50" s="4" t="inlineStr">
        <is>
          <t>ART</t>
        </is>
      </c>
      <c r="D50" s="4" t="n"/>
      <c r="E50" s="4" t="n"/>
      <c r="F50" s="4" t="n"/>
      <c r="G50" s="4" t="n"/>
      <c r="H50" s="4" t="n"/>
      <c r="I50" s="4" t="n"/>
      <c r="J50" s="8" t="n">
        <v>15</v>
      </c>
      <c r="K50" s="6" t="inlineStr">
        <is>
          <t>Lottery Machine #1 (0.12%), Wishing (0.1%), Grandmaster Scrolls (1%), Relic Forge (100 Relic RF)</t>
        </is>
      </c>
      <c r="L50" s="4" t="n"/>
      <c r="M50" s="4" t="n"/>
      <c r="N50" s="4" t="n"/>
      <c r="O50" s="4" t="n"/>
    </row>
    <row r="51">
      <c r="A51" s="5" t="inlineStr">
        <is>
          <t xml:space="preserve">   The Key of Solomon</t>
        </is>
      </c>
      <c r="B51" s="4" t="inlineStr">
        <is>
          <t>SS</t>
        </is>
      </c>
      <c r="C51" s="4" t="inlineStr">
        <is>
          <t>FTH</t>
        </is>
      </c>
      <c r="D51" s="4" t="n"/>
      <c r="E51" s="4" t="n"/>
      <c r="F51" s="8" t="n">
        <v>30</v>
      </c>
      <c r="G51" s="4" t="n"/>
      <c r="H51" s="4" t="n"/>
      <c r="I51" s="4" t="n"/>
      <c r="J51" s="4" t="n"/>
      <c r="K51" s="6" t="inlineStr">
        <is>
          <t>T7.5 Demon Gene Research</t>
        </is>
      </c>
      <c r="L51" s="4" t="n"/>
      <c r="M51" s="4" t="n"/>
      <c r="N51" s="4" t="n"/>
      <c r="O51" s="4" t="n"/>
    </row>
    <row r="52">
      <c r="A52" s="11" t="inlineStr">
        <is>
          <t>MAX FARM STAMPS</t>
        </is>
      </c>
      <c r="B52" s="12" t="n"/>
      <c r="C52" s="12" t="n"/>
      <c r="D52" s="13">
        <f>D36+D37+D38</f>
        <v/>
      </c>
      <c r="E52" s="12" t="n"/>
      <c r="F52" s="13">
        <f>F36+F37+F38</f>
        <v/>
      </c>
      <c r="G52" s="12" t="n"/>
      <c r="H52" s="13">
        <f>H36+H37+H38</f>
        <v/>
      </c>
      <c r="I52" s="12" t="n"/>
      <c r="J52" s="13">
        <f>J36+J37+J38</f>
        <v/>
      </c>
      <c r="K52" s="14" t="n"/>
      <c r="L52" s="4" t="n"/>
      <c r="M52" s="4" t="n"/>
      <c r="N52" s="4" t="n"/>
      <c r="O52" s="4" t="n"/>
    </row>
    <row r="53">
      <c r="A53" s="5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15" t="n"/>
      <c r="L53" s="4" t="n"/>
      <c r="M53" s="4" t="n"/>
      <c r="N53" s="4" t="n"/>
      <c r="O53" s="4" t="n"/>
    </row>
    <row r="54">
      <c r="A54" s="30" t="inlineStr">
        <is>
          <t>RESONANCE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18" t="n"/>
      <c r="L54" s="4" t="n"/>
      <c r="M54" s="4" t="n"/>
      <c r="N54" s="4" t="n"/>
      <c r="O54" s="4" t="n"/>
    </row>
    <row r="55">
      <c r="A55" s="5" t="inlineStr">
        <is>
          <t xml:space="preserve">   BLUE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15" t="n"/>
      <c r="L55" s="4" t="n"/>
      <c r="M55" s="4" t="n"/>
      <c r="N55" s="4" t="n"/>
      <c r="O55" s="4" t="n"/>
    </row>
    <row r="56">
      <c r="A56" s="5" t="inlineStr">
        <is>
          <t xml:space="preserve">     Output</t>
        </is>
      </c>
      <c r="B56" s="4" t="n"/>
      <c r="C56" s="4" t="n"/>
      <c r="D56" s="8" t="n">
        <v>14</v>
      </c>
      <c r="E56" s="4" t="n"/>
      <c r="F56" s="4" t="n"/>
      <c r="G56" s="4" t="n"/>
      <c r="H56" s="4" t="n"/>
      <c r="I56" s="4" t="n"/>
      <c r="J56" s="4" t="n"/>
      <c r="K56" s="15" t="n"/>
      <c r="L56" s="4" t="n"/>
      <c r="M56" s="4" t="n"/>
      <c r="N56" s="4" t="n"/>
      <c r="O56" s="4" t="n"/>
    </row>
    <row r="57">
      <c r="A57" s="5" t="inlineStr">
        <is>
          <t xml:space="preserve">        No. 1 Majesty</t>
        </is>
      </c>
      <c r="B57" s="4" t="inlineStr">
        <is>
          <t>Blue</t>
        </is>
      </c>
      <c r="C57" s="4" t="inlineStr">
        <is>
          <t>CIV</t>
        </is>
      </c>
      <c r="D57" s="4" t="n"/>
      <c r="E57" s="4" t="n"/>
      <c r="F57" s="4" t="n"/>
      <c r="G57" s="4" t="n"/>
      <c r="H57" s="4" t="n"/>
      <c r="I57" s="4" t="n"/>
      <c r="J57" s="4" t="n"/>
      <c r="K57" s="6" t="inlineStr">
        <is>
          <t>Lottery Machine #1 (0.03%), Wishing (0.82%)</t>
        </is>
      </c>
      <c r="L57" s="4" t="n"/>
      <c r="M57" s="4" t="n"/>
      <c r="N57" s="4" t="n"/>
      <c r="O57" s="4" t="n"/>
    </row>
    <row r="58">
      <c r="A58" s="5" t="inlineStr">
        <is>
          <t xml:space="preserve">        Requiem</t>
        </is>
      </c>
      <c r="B58" s="4" t="inlineStr">
        <is>
          <t>Blue</t>
        </is>
      </c>
      <c r="C58" s="4" t="inlineStr">
        <is>
          <t>ART</t>
        </is>
      </c>
      <c r="D58" s="4" t="n"/>
      <c r="E58" s="4" t="n"/>
      <c r="F58" s="4" t="n"/>
      <c r="G58" s="4" t="n"/>
      <c r="H58" s="4" t="n"/>
      <c r="I58" s="4" t="n"/>
      <c r="J58" s="4" t="n"/>
      <c r="K58" s="6" t="inlineStr">
        <is>
          <t>T2 Demon Gene Research</t>
        </is>
      </c>
      <c r="L58" s="4" t="n"/>
      <c r="M58" s="4" t="n"/>
      <c r="N58" s="4" t="n"/>
      <c r="O58" s="4" t="n"/>
    </row>
    <row r="59">
      <c r="A59" s="5" t="inlineStr">
        <is>
          <t xml:space="preserve">        Genesis</t>
        </is>
      </c>
      <c r="B59" s="4" t="inlineStr">
        <is>
          <t>Blue</t>
        </is>
      </c>
      <c r="C59" s="4" t="inlineStr">
        <is>
          <t>FTH</t>
        </is>
      </c>
      <c r="D59" s="4" t="n"/>
      <c r="E59" s="4" t="n"/>
      <c r="F59" s="4" t="n"/>
      <c r="G59" s="4" t="n"/>
      <c r="H59" s="4" t="n"/>
      <c r="I59" s="4" t="n"/>
      <c r="J59" s="4" t="n"/>
      <c r="K59" s="6" t="inlineStr">
        <is>
          <t>Lottery Machine #1 (0.07%), Wishing (2.1%), Club Chest (2%), Trainee Scroll (1%)</t>
        </is>
      </c>
      <c r="L59" s="4" t="n"/>
      <c r="M59" s="4" t="n"/>
      <c r="N59" s="4" t="n"/>
      <c r="O59" s="4" t="n"/>
    </row>
    <row r="60">
      <c r="A60" s="5" t="inlineStr">
        <is>
          <t xml:space="preserve">        Klein Bottle</t>
        </is>
      </c>
      <c r="B60" s="4" t="inlineStr">
        <is>
          <t>Blue</t>
        </is>
      </c>
      <c r="C60" s="4" t="inlineStr">
        <is>
          <t>TECH</t>
        </is>
      </c>
      <c r="D60" s="4" t="n"/>
      <c r="E60" s="4" t="n"/>
      <c r="F60" s="4" t="n"/>
      <c r="G60" s="4" t="n"/>
      <c r="H60" s="4" t="n"/>
      <c r="I60" s="4" t="n"/>
      <c r="J60" s="4" t="n"/>
      <c r="K60" s="6" t="inlineStr">
        <is>
          <t>Lottery Machine #1 (0.07%), Wishing (2.6%), Novice Scrolls (1%)</t>
        </is>
      </c>
      <c r="L60" s="4" t="n"/>
      <c r="M60" s="4" t="n"/>
      <c r="N60" s="4" t="n"/>
      <c r="O60" s="4" t="n"/>
    </row>
    <row r="61">
      <c r="A61" s="5" t="inlineStr">
        <is>
          <t xml:space="preserve">     Wonder Fungus</t>
        </is>
      </c>
      <c r="B61" s="4" t="n"/>
      <c r="C61" s="4" t="n"/>
      <c r="D61" s="4" t="n"/>
      <c r="E61" s="4" t="n"/>
      <c r="F61" s="4" t="n"/>
      <c r="G61" s="4" t="n"/>
      <c r="H61" s="8" t="n">
        <v>14</v>
      </c>
      <c r="I61" s="4" t="n"/>
      <c r="J61" s="4" t="n"/>
      <c r="K61" s="15" t="n"/>
      <c r="L61" s="4" t="n"/>
      <c r="M61" s="4" t="n"/>
      <c r="N61" s="4" t="n"/>
      <c r="O61" s="4" t="n"/>
    </row>
    <row r="62">
      <c r="A62" s="5" t="inlineStr">
        <is>
          <t xml:space="preserve">        Melcades' Prophecy</t>
        </is>
      </c>
      <c r="B62" s="4" t="inlineStr">
        <is>
          <t>Blue</t>
        </is>
      </c>
      <c r="C62" s="4" t="inlineStr">
        <is>
          <t>FTH</t>
        </is>
      </c>
      <c r="D62" s="4" t="n"/>
      <c r="E62" s="4" t="n"/>
      <c r="F62" s="4" t="n"/>
      <c r="G62" s="4" t="n"/>
      <c r="H62" s="4" t="n"/>
      <c r="I62" s="4" t="n"/>
      <c r="J62" s="4" t="n"/>
      <c r="K62" s="6" t="inlineStr">
        <is>
          <t>Lottery Machine #1 (0.03%), Wishing (0.85%)</t>
        </is>
      </c>
      <c r="L62" s="4" t="n"/>
      <c r="M62" s="4" t="n"/>
      <c r="N62" s="4" t="n"/>
      <c r="O62" s="4" t="n"/>
    </row>
    <row r="63">
      <c r="A63" s="5" t="inlineStr">
        <is>
          <t xml:space="preserve">        Hillary's Pickaxe</t>
        </is>
      </c>
      <c r="B63" s="4" t="inlineStr">
        <is>
          <t>Blue</t>
        </is>
      </c>
      <c r="C63" s="4" t="inlineStr">
        <is>
          <t>CIV</t>
        </is>
      </c>
      <c r="D63" s="4" t="n"/>
      <c r="E63" s="4" t="n"/>
      <c r="F63" s="4" t="n"/>
      <c r="G63" s="4" t="n"/>
      <c r="H63" s="4" t="n"/>
      <c r="I63" s="4" t="n"/>
      <c r="J63" s="4" t="n"/>
      <c r="K63" s="6" t="inlineStr">
        <is>
          <t>Lottery Machine #1 (0.07%), Wishing (2.1%), Trainee Scrolls (1%)</t>
        </is>
      </c>
      <c r="L63" s="4" t="n"/>
      <c r="M63" s="4" t="n"/>
      <c r="N63" s="4" t="n"/>
      <c r="O63" s="4" t="n"/>
    </row>
    <row r="64">
      <c r="A64" s="5" t="inlineStr">
        <is>
          <t xml:space="preserve">        Musketeer's Mask</t>
        </is>
      </c>
      <c r="B64" s="4" t="inlineStr">
        <is>
          <t>Blue</t>
        </is>
      </c>
      <c r="C64" s="4" t="inlineStr">
        <is>
          <t>CIV</t>
        </is>
      </c>
      <c r="D64" s="4" t="n"/>
      <c r="E64" s="4" t="n"/>
      <c r="F64" s="4" t="n"/>
      <c r="G64" s="4" t="n"/>
      <c r="H64" s="4" t="n"/>
      <c r="I64" s="4" t="n"/>
      <c r="J64" s="4" t="n"/>
      <c r="K64" s="6" t="inlineStr">
        <is>
          <t>Lottery Machine #1 (0.36%), Wishing (10.3%), Trainee Scroll (5%)</t>
        </is>
      </c>
      <c r="L64" s="4" t="n"/>
      <c r="M64" s="4" t="n"/>
      <c r="N64" s="4" t="n"/>
      <c r="O64" s="4" t="n"/>
    </row>
    <row r="65">
      <c r="A65" s="5" t="inlineStr">
        <is>
          <t xml:space="preserve">        Universe Bowl</t>
        </is>
      </c>
      <c r="B65" s="4" t="inlineStr">
        <is>
          <t>Blue</t>
        </is>
      </c>
      <c r="C65" s="4" t="inlineStr">
        <is>
          <t>ART</t>
        </is>
      </c>
      <c r="D65" s="4" t="n"/>
      <c r="E65" s="4" t="n"/>
      <c r="F65" s="4" t="n"/>
      <c r="G65" s="4" t="n"/>
      <c r="H65" s="4" t="n"/>
      <c r="I65" s="4" t="n"/>
      <c r="J65" s="4" t="n"/>
      <c r="K65" s="6" t="inlineStr">
        <is>
          <t>Lottery Machine #1 (0.07%), Wishing (3%), Fungus Chest (2%), Trainee Scrolls (1%)</t>
        </is>
      </c>
      <c r="L65" s="4" t="n"/>
      <c r="M65" s="4" t="n"/>
      <c r="N65" s="4" t="n"/>
      <c r="O65" s="4" t="n"/>
    </row>
    <row r="66">
      <c r="A66" s="5" t="inlineStr">
        <is>
          <t xml:space="preserve">   PURPLE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15" t="n"/>
      <c r="L66" s="4" t="n"/>
      <c r="M66" s="4" t="n"/>
      <c r="N66" s="4" t="n"/>
      <c r="O66" s="4" t="n"/>
    </row>
    <row r="67">
      <c r="A67" s="5" t="inlineStr">
        <is>
          <t xml:space="preserve">     Output</t>
        </is>
      </c>
      <c r="B67" s="4" t="n"/>
      <c r="C67" s="4" t="n"/>
      <c r="D67" s="8" t="n">
        <v>12</v>
      </c>
      <c r="E67" s="4" t="n"/>
      <c r="F67" s="4" t="n"/>
      <c r="G67" s="4" t="n"/>
      <c r="H67" s="4" t="n"/>
      <c r="I67" s="4" t="n"/>
      <c r="J67" s="4" t="n"/>
      <c r="K67" s="15" t="n"/>
      <c r="L67" s="4" t="n"/>
      <c r="M67" s="4" t="n"/>
      <c r="N67" s="4" t="n"/>
      <c r="O67" s="4" t="n"/>
    </row>
    <row r="68">
      <c r="A68" s="5" t="inlineStr">
        <is>
          <t xml:space="preserve">       Manneken Pis</t>
        </is>
      </c>
      <c r="B68" s="4" t="inlineStr">
        <is>
          <t>AAA</t>
        </is>
      </c>
      <c r="C68" s="4" t="inlineStr">
        <is>
          <t>ART</t>
        </is>
      </c>
      <c r="D68" s="4" t="n"/>
      <c r="E68" s="4" t="n"/>
      <c r="F68" s="4" t="n"/>
      <c r="G68" s="4" t="n"/>
      <c r="H68" s="4" t="n"/>
      <c r="I68" s="4" t="n"/>
      <c r="J68" s="4" t="n"/>
      <c r="K68" s="6" t="inlineStr">
        <is>
          <t>Fragment Crafting (1.6%), Lottery Machine #1 (0.03%), Wishing (0.14%), Relic Forge (80 Relic RF)</t>
        </is>
      </c>
      <c r="L68" s="4" t="n"/>
      <c r="M68" s="4" t="n"/>
      <c r="N68" s="4" t="n"/>
      <c r="O68" s="4" t="n"/>
    </row>
    <row r="69">
      <c r="A69" s="5" t="inlineStr">
        <is>
          <t xml:space="preserve">       Boy with Goose</t>
        </is>
      </c>
      <c r="B69" s="4" t="inlineStr">
        <is>
          <t>A</t>
        </is>
      </c>
      <c r="C69" s="4" t="inlineStr">
        <is>
          <t>ART</t>
        </is>
      </c>
      <c r="D69" s="4" t="n"/>
      <c r="E69" s="4" t="n"/>
      <c r="F69" s="4" t="n"/>
      <c r="G69" s="4" t="n"/>
      <c r="H69" s="4" t="n"/>
      <c r="I69" s="4" t="n"/>
      <c r="J69" s="4" t="n"/>
      <c r="K69" s="6" t="inlineStr">
        <is>
          <t>Fragment Crafting (31.2%), Lottery Machine #1 (0.66%), Wishing (2.8%), Expert Scrolls (7.6%)</t>
        </is>
      </c>
      <c r="L69" s="4" t="n"/>
      <c r="M69" s="4" t="n"/>
      <c r="N69" s="4" t="n"/>
      <c r="O69" s="4" t="n"/>
    </row>
    <row r="70">
      <c r="A70" s="5" t="inlineStr">
        <is>
          <t xml:space="preserve">     Wonder Fungus</t>
        </is>
      </c>
      <c r="B70" s="4" t="n"/>
      <c r="C70" s="4" t="n"/>
      <c r="D70" s="4" t="n"/>
      <c r="E70" s="4" t="n"/>
      <c r="F70" s="4" t="n"/>
      <c r="G70" s="4" t="n"/>
      <c r="H70" s="8" t="n">
        <v>12</v>
      </c>
      <c r="I70" s="4" t="n"/>
      <c r="J70" s="4" t="n"/>
      <c r="K70" s="6" t="n"/>
      <c r="L70" s="4" t="n"/>
      <c r="M70" s="4" t="n"/>
      <c r="N70" s="4" t="n"/>
      <c r="O70" s="4" t="n"/>
    </row>
    <row r="71">
      <c r="A71" s="5" t="inlineStr">
        <is>
          <t xml:space="preserve">       Gene Map</t>
        </is>
      </c>
      <c r="B71" s="4" t="inlineStr">
        <is>
          <t>AAA</t>
        </is>
      </c>
      <c r="C71" s="4" t="inlineStr">
        <is>
          <t>TECH</t>
        </is>
      </c>
      <c r="D71" s="4" t="n"/>
      <c r="E71" s="4" t="n"/>
      <c r="F71" s="4" t="n"/>
      <c r="G71" s="4" t="n"/>
      <c r="H71" s="4" t="n"/>
      <c r="I71" s="4" t="n"/>
      <c r="J71" s="4" t="n"/>
      <c r="K71" s="6" t="inlineStr">
        <is>
          <t>Fragment Crafting (1.6%), Lottery Machine #1 (0.03%), Wishing (0.14%), Evolution Chest (1.5%), Relic Forge (80 Relic RF)</t>
        </is>
      </c>
      <c r="L71" s="4" t="n"/>
      <c r="M71" s="4" t="n"/>
      <c r="N71" s="4" t="n"/>
      <c r="O71" s="4" t="n"/>
    </row>
    <row r="72">
      <c r="A72" s="5" t="inlineStr">
        <is>
          <t xml:space="preserve">       Dolly Specimen</t>
        </is>
      </c>
      <c r="B72" s="4" t="inlineStr">
        <is>
          <t>A</t>
        </is>
      </c>
      <c r="C72" s="4" t="inlineStr">
        <is>
          <t>TECH</t>
        </is>
      </c>
      <c r="D72" s="4" t="n"/>
      <c r="E72" s="4" t="n"/>
      <c r="F72" s="4" t="n"/>
      <c r="G72" s="4" t="n"/>
      <c r="H72" s="4" t="n"/>
      <c r="I72" s="4" t="n"/>
      <c r="J72" s="4" t="n"/>
      <c r="K72" s="6" t="inlineStr">
        <is>
          <t>Fragment Crafting (31.5%), Lottery Machine #1 (0.66%), Wishing (2.9%), Expert Scrolls (7.6%)</t>
        </is>
      </c>
      <c r="L72" s="4" t="n"/>
      <c r="M72" s="4" t="n"/>
      <c r="N72" s="4" t="n"/>
      <c r="O72" s="4" t="n"/>
    </row>
    <row r="73">
      <c r="A73" s="5" t="inlineStr">
        <is>
          <t xml:space="preserve">   ORANGE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15" t="n"/>
      <c r="L73" s="4" t="n"/>
      <c r="M73" s="4" t="n"/>
      <c r="N73" s="4" t="n"/>
      <c r="O73" s="4" t="n"/>
    </row>
    <row r="74">
      <c r="A74" s="5" t="inlineStr">
        <is>
          <t xml:space="preserve">     Output</t>
        </is>
      </c>
      <c r="B74" s="4" t="n"/>
      <c r="C74" s="4" t="n"/>
      <c r="D74" s="8" t="n">
        <v>14</v>
      </c>
      <c r="E74" s="4" t="n"/>
      <c r="F74" s="4" t="n"/>
      <c r="G74" s="4" t="n"/>
      <c r="H74" s="4" t="n"/>
      <c r="I74" s="4" t="n"/>
      <c r="J74" s="4" t="n"/>
      <c r="K74" s="15" t="n"/>
      <c r="L74" s="4" t="n"/>
      <c r="M74" s="4" t="n"/>
      <c r="N74" s="4" t="n"/>
      <c r="O74" s="4" t="n"/>
    </row>
    <row r="75">
      <c r="A75" s="5" t="inlineStr">
        <is>
          <t xml:space="preserve">       Ship in a Bottle</t>
        </is>
      </c>
      <c r="B75" s="4" t="inlineStr">
        <is>
          <t>SS</t>
        </is>
      </c>
      <c r="C75" s="4" t="inlineStr">
        <is>
          <t>ART</t>
        </is>
      </c>
      <c r="D75" s="4" t="n"/>
      <c r="E75" s="4" t="n"/>
      <c r="F75" s="4" t="n"/>
      <c r="G75" s="4" t="n"/>
      <c r="H75" s="4" t="n"/>
      <c r="I75" s="4" t="n"/>
      <c r="J75" s="4" t="n"/>
      <c r="K75" s="6" t="inlineStr">
        <is>
          <t>Fragment Crafting (4%), Lottery Machine #1 (0.18%), Wishing (0.15%), Grandmaster Scrolls (1.6%)</t>
        </is>
      </c>
      <c r="L75" s="4" t="n"/>
      <c r="M75" s="4" t="n"/>
      <c r="N75" s="4" t="n"/>
      <c r="O75" s="4" t="n"/>
    </row>
    <row r="76">
      <c r="A76" s="5" t="inlineStr">
        <is>
          <t xml:space="preserve">       Boat of St. Peter</t>
        </is>
      </c>
      <c r="B76" s="4" t="inlineStr">
        <is>
          <t>SS</t>
        </is>
      </c>
      <c r="C76" s="4" t="inlineStr">
        <is>
          <t>FTH</t>
        </is>
      </c>
      <c r="D76" s="4" t="n"/>
      <c r="E76" s="4" t="n"/>
      <c r="F76" s="4" t="n"/>
      <c r="G76" s="4" t="n"/>
      <c r="H76" s="4" t="n"/>
      <c r="I76" s="4" t="n"/>
      <c r="J76" s="4" t="n"/>
      <c r="K76" s="6" t="inlineStr">
        <is>
          <t>Fragment Crafting (4%), Lottery Machine #1 (0.18%), Wishing (0.15%), Grandmaster Scrolls (1.6%)</t>
        </is>
      </c>
      <c r="L76" s="4" t="n"/>
      <c r="M76" s="4" t="n"/>
      <c r="N76" s="4" t="n"/>
      <c r="O76" s="4" t="n"/>
    </row>
    <row r="77">
      <c r="A77" s="5" t="inlineStr">
        <is>
          <t xml:space="preserve">     Wonder Fungus</t>
        </is>
      </c>
      <c r="B77" s="4" t="n"/>
      <c r="C77" s="4" t="n"/>
      <c r="D77" s="4" t="n"/>
      <c r="E77" s="4" t="n"/>
      <c r="F77" s="4" t="n"/>
      <c r="G77" s="4" t="n"/>
      <c r="H77" s="8" t="n">
        <v>14</v>
      </c>
      <c r="I77" s="4" t="n"/>
      <c r="J77" s="4" t="n"/>
      <c r="K77" s="15" t="n"/>
      <c r="L77" s="4" t="n"/>
      <c r="M77" s="4" t="n"/>
      <c r="N77" s="4" t="n"/>
      <c r="O77" s="4" t="n"/>
    </row>
    <row r="78">
      <c r="A78" s="5" t="inlineStr">
        <is>
          <t xml:space="preserve">       Matrix System</t>
        </is>
      </c>
      <c r="B78" s="4" t="inlineStr">
        <is>
          <t>SS</t>
        </is>
      </c>
      <c r="C78" s="4" t="inlineStr">
        <is>
          <t>TECH</t>
        </is>
      </c>
      <c r="D78" s="4" t="n"/>
      <c r="E78" s="4" t="n"/>
      <c r="F78" s="4" t="n"/>
      <c r="G78" s="4" t="n"/>
      <c r="H78" s="4" t="n"/>
      <c r="I78" s="4" t="n"/>
      <c r="J78" s="4" t="n"/>
      <c r="K78" s="6" t="inlineStr">
        <is>
          <t>T7.5 Mecha Gene Research</t>
        </is>
      </c>
      <c r="L78" s="4" t="n"/>
      <c r="M78" s="4" t="n"/>
      <c r="N78" s="4" t="n"/>
      <c r="O78" s="4" t="n"/>
    </row>
    <row r="79">
      <c r="A79" s="5" t="inlineStr">
        <is>
          <t xml:space="preserve">       Causality</t>
        </is>
      </c>
      <c r="B79" s="4" t="inlineStr">
        <is>
          <t>SS</t>
        </is>
      </c>
      <c r="C79" s="4" t="inlineStr">
        <is>
          <t>TECH</t>
        </is>
      </c>
      <c r="D79" s="4" t="n"/>
      <c r="E79" s="4" t="n"/>
      <c r="F79" s="4" t="n"/>
      <c r="G79" s="4" t="n"/>
      <c r="H79" s="4" t="n"/>
      <c r="I79" s="4" t="n"/>
      <c r="J79" s="4" t="n"/>
      <c r="K79" s="6" t="inlineStr">
        <is>
          <t>Fragment Crafting (3.9%), Lottery Machine #1 (0.18%), Alchemy Furnace (0.14%), Grandmaster Scrolls (1.6%)</t>
        </is>
      </c>
      <c r="L79" s="4" t="n"/>
      <c r="M79" s="4" t="n"/>
      <c r="N79" s="4" t="n"/>
      <c r="O79" s="4" t="n"/>
    </row>
    <row r="80">
      <c r="A80" s="11" t="inlineStr">
        <is>
          <t>MAX RESONANCE</t>
        </is>
      </c>
      <c r="B80" s="12" t="n"/>
      <c r="C80" s="12" t="n"/>
      <c r="D80" s="13">
        <f>sum(D55:D79)</f>
        <v/>
      </c>
      <c r="E80" s="12" t="n"/>
      <c r="F80" s="13">
        <f>sum(F55:F79)</f>
        <v/>
      </c>
      <c r="G80" s="12" t="n"/>
      <c r="H80" s="13">
        <f>sum(H55:H79)</f>
        <v/>
      </c>
      <c r="I80" s="12" t="n"/>
      <c r="J80" s="12" t="n"/>
      <c r="K80" s="23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31" t="inlineStr">
        <is>
          <t>Total Food Output</t>
        </is>
      </c>
      <c r="B83" s="32">
        <f>D16+D27+D52+D80+D21+D33+D24+D30</f>
        <v/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33" t="inlineStr">
        <is>
          <t>Total Food Cap</t>
        </is>
      </c>
      <c r="B84" s="34">
        <f>F16+F27+F52+F80+F21+F33+F30</f>
        <v/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35" t="inlineStr">
        <is>
          <t>Total Wonder Fungus Gen</t>
        </is>
      </c>
      <c r="B85" s="34">
        <f>H16+H27+H52+H80+H33+H21</f>
        <v/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17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36" t="n"/>
    </row>
    <row r="87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36" t="n"/>
    </row>
    <row r="88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</row>
    <row r="89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</row>
    <row r="90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</row>
    <row r="9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</row>
    <row r="92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36" t="n"/>
    </row>
    <row r="94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36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</row>
    <row r="96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36" t="n"/>
    </row>
    <row r="98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</row>
    <row r="100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</row>
    <row r="102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2026-04-25T21:15:15Z</dcterms:created>
  <dcterms:modified xmlns:dcterms="http://purl.org/dc/terms/" xmlns:xsi="http://www.w3.org/2001/XMLSchema-instance" xsi:type="dcterms:W3CDTF">2026-04-25T21:15:15Z</dcterms:modified>
</cp:coreProperties>
</file>