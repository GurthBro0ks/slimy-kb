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ber C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FF0000"/>
      <sz val="12"/>
    </font>
    <font>
      <name val="Calibri"/>
      <color theme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3" fillId="0" borderId="5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10" fontId="1" fillId="0" borderId="3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10" fontId="1" fillId="0" borderId="3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4" pivotButton="0" quotePrefix="0" xfId="0"/>
    <xf numFmtId="0" fontId="1" fillId="0" borderId="5" pivotButton="0" quotePrefix="0" xfId="0"/>
    <xf numFmtId="10" fontId="1" fillId="0" borderId="6" pivotButton="0" quotePrefix="0" xfId="0"/>
    <xf numFmtId="10" fontId="1" fillId="0" borderId="9" pivotButton="0" quotePrefix="0" xfId="0"/>
    <xf numFmtId="0" fontId="4" fillId="0" borderId="6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horizontal="right" vertical="bottom"/>
    </xf>
    <xf numFmtId="0" fontId="1" fillId="0" borderId="12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6" customWidth="1" min="1" max="1"/>
    <col width="7.09" customWidth="1" min="2" max="2"/>
    <col width="7.82" customWidth="1" min="3" max="3"/>
    <col width="8.09" customWidth="1" min="4" max="4"/>
    <col width="11.73" customWidth="1" min="5" max="5"/>
    <col width="6.09" customWidth="1" min="6" max="6"/>
    <col width="9.73" customWidth="1" min="7" max="7"/>
    <col width="10.09" customWidth="1" min="8" max="8"/>
    <col width="16.91" customWidth="1" min="9" max="9"/>
    <col width="8.82" customWidth="1" min="10" max="10"/>
    <col width="138.73" customWidth="1" min="11" max="11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Output</t>
        </is>
      </c>
      <c r="E1" s="2" t="inlineStr">
        <is>
          <t>Awakening Output</t>
        </is>
      </c>
      <c r="F1" s="2" t="inlineStr">
        <is>
          <t>Base Cap</t>
        </is>
      </c>
      <c r="G1" s="2" t="inlineStr">
        <is>
          <t>Awakening Cap</t>
        </is>
      </c>
      <c r="H1" s="2" t="inlineStr">
        <is>
          <t>Ancient Lumber</t>
        </is>
      </c>
      <c r="I1" s="2" t="inlineStr">
        <is>
          <t>Awakening Ancient Lumber</t>
        </is>
      </c>
      <c r="J1" s="2" t="inlineStr">
        <is>
          <t>AFFECT Boost</t>
        </is>
      </c>
      <c r="K1" s="3" t="inlineStr">
        <is>
          <t>Source</t>
        </is>
      </c>
    </row>
    <row r="2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 t="n"/>
    </row>
    <row r="3">
      <c r="A3" s="7" t="inlineStr">
        <is>
          <t xml:space="preserve">   Julian Calendar</t>
        </is>
      </c>
      <c r="B3" s="5" t="inlineStr">
        <is>
          <t>SS</t>
        </is>
      </c>
      <c r="C3" s="5" t="inlineStr">
        <is>
          <t>CIV</t>
        </is>
      </c>
      <c r="D3" s="8" t="n">
        <v>22</v>
      </c>
      <c r="E3" s="8" t="n">
        <v>20</v>
      </c>
      <c r="F3" s="8" t="n">
        <v>22</v>
      </c>
      <c r="G3" s="5" t="n"/>
      <c r="H3" s="5" t="n"/>
      <c r="I3" s="5" t="n"/>
      <c r="J3" s="5" t="n"/>
      <c r="K3" s="6" t="inlineStr">
        <is>
          <t>Fragment Crafting (5.5%), Lottery Machine #1 (0.24%), Wishing (0.2%), Master Scrolls (1.9%), Grandmaster Scrolls (2.1%), CIV Master Scrolls (10.2%)</t>
        </is>
      </c>
    </row>
    <row r="4">
      <c r="A4" s="7" t="inlineStr">
        <is>
          <t xml:space="preserve">   Encyclopedia</t>
        </is>
      </c>
      <c r="B4" s="5" t="inlineStr">
        <is>
          <t>SSS</t>
        </is>
      </c>
      <c r="C4" s="9" t="inlineStr">
        <is>
          <t>FAME</t>
        </is>
      </c>
      <c r="D4" s="8" t="n">
        <v>24</v>
      </c>
      <c r="E4" s="8" t="n">
        <v>20</v>
      </c>
      <c r="F4" s="5" t="n"/>
      <c r="G4" s="5" t="n"/>
      <c r="H4" s="5" t="n"/>
      <c r="I4" s="5" t="n"/>
      <c r="J4" s="5" t="n"/>
      <c r="K4" s="6" t="inlineStr">
        <is>
          <t>Wish Box, Lottery Machine #1 (0.09%), Wishing (0.09%), Grandmaster Scrolls (0.81%), Relic Forge (120 Relic RF)</t>
        </is>
      </c>
    </row>
    <row r="5">
      <c r="A5" s="7" t="inlineStr">
        <is>
          <t xml:space="preserve">   Das Kapital</t>
        </is>
      </c>
      <c r="B5" s="5" t="inlineStr">
        <is>
          <t>SS</t>
        </is>
      </c>
      <c r="C5" s="5" t="inlineStr">
        <is>
          <t>CIV</t>
        </is>
      </c>
      <c r="D5" s="8" t="n">
        <v>22</v>
      </c>
      <c r="E5" s="5" t="n"/>
      <c r="F5" s="8" t="n">
        <v>22</v>
      </c>
      <c r="G5" s="5" t="n"/>
      <c r="H5" s="5" t="n"/>
      <c r="I5" s="5" t="n"/>
      <c r="J5" s="5" t="n"/>
      <c r="K5" s="6" t="inlineStr">
        <is>
          <t>Lottery Machine #1 (0.12%), Wishing (0.1%), Britland Treasure Maps (5%), Grandmaster Scrolls (1%), Relic Forge (100 Relic RF), beat Mr. Raccoon in combat</t>
        </is>
      </c>
    </row>
    <row r="6">
      <c r="A6" s="7" t="inlineStr">
        <is>
          <t xml:space="preserve">   Plato's Republic</t>
        </is>
      </c>
      <c r="B6" s="5" t="inlineStr">
        <is>
          <t>SS</t>
        </is>
      </c>
      <c r="C6" s="5" t="inlineStr">
        <is>
          <t>CIV</t>
        </is>
      </c>
      <c r="D6" s="8" t="n">
        <v>22</v>
      </c>
      <c r="E6" s="5" t="n"/>
      <c r="F6" s="5" t="n"/>
      <c r="G6" s="5" t="n"/>
      <c r="H6" s="5" t="n"/>
      <c r="I6" s="5" t="n"/>
      <c r="J6" s="5" t="n"/>
      <c r="K6" s="6" t="inlineStr">
        <is>
          <t>Lottery Machine #1 (0.12%), Wishing (0.1%), Grandmaster Scrolls (1%), Relic Forge (100 Relic RF)</t>
        </is>
      </c>
    </row>
    <row r="7">
      <c r="A7" s="7" t="inlineStr">
        <is>
          <t xml:space="preserve">   King Dangun Statue</t>
        </is>
      </c>
      <c r="B7" s="5" t="inlineStr">
        <is>
          <t>S</t>
        </is>
      </c>
      <c r="C7" s="5" t="inlineStr">
        <is>
          <t>FTH</t>
        </is>
      </c>
      <c r="D7" s="8" t="n">
        <v>20</v>
      </c>
      <c r="E7" s="5" t="n"/>
      <c r="F7" s="5" t="n"/>
      <c r="G7" s="5" t="n"/>
      <c r="H7" s="5" t="n"/>
      <c r="I7" s="5" t="n"/>
      <c r="J7" s="5" t="n"/>
      <c r="K7" s="6" t="inlineStr">
        <is>
          <t>Fragment Crafting (15.1%), Lottery Machine #1 (0.81%), Wishing (0.81%), Koryeo Treasure Map (5%), Relic Forge (90 Relic RF), Museum Value Pack I ($14.99)</t>
        </is>
      </c>
    </row>
    <row r="8">
      <c r="A8" s="7" t="inlineStr">
        <is>
          <t xml:space="preserve">   The Decameron</t>
        </is>
      </c>
      <c r="B8" s="5" t="inlineStr">
        <is>
          <t>AA</t>
        </is>
      </c>
      <c r="C8" s="5" t="inlineStr">
        <is>
          <t>CIV</t>
        </is>
      </c>
      <c r="D8" s="8" t="n">
        <v>16</v>
      </c>
      <c r="E8" s="8" t="n">
        <v>14</v>
      </c>
      <c r="F8" s="8" t="n">
        <v>16</v>
      </c>
      <c r="G8" s="5" t="n"/>
      <c r="H8" s="5" t="n"/>
      <c r="I8" s="5" t="n"/>
      <c r="J8" s="5" t="n"/>
      <c r="K8" s="6" t="inlineStr">
        <is>
          <t>Fragment Crafting (3.7%), Lottery Machine #1 (0.8%), Wishing (0.34%), Britland Treasure Maps (10%), Expert Scrolls (0.95%)</t>
        </is>
      </c>
    </row>
    <row r="9">
      <c r="A9" s="7" t="inlineStr">
        <is>
          <t xml:space="preserve">   Cavendish's Scale</t>
        </is>
      </c>
      <c r="B9" s="5" t="inlineStr">
        <is>
          <t>AAA</t>
        </is>
      </c>
      <c r="C9" s="5" t="inlineStr">
        <is>
          <t>TECH</t>
        </is>
      </c>
      <c r="D9" s="5" t="n"/>
      <c r="E9" s="5" t="n"/>
      <c r="F9" s="5" t="n"/>
      <c r="G9" s="5" t="n"/>
      <c r="H9" s="8" t="n">
        <v>18</v>
      </c>
      <c r="I9" s="8" t="n">
        <v>14</v>
      </c>
      <c r="J9" s="5" t="n"/>
      <c r="K9" s="6" t="inlineStr">
        <is>
          <t>Fragment Crafting (1.6%), Lottery Machine #1 (0.03%), Wishing (0.14%), Relic Forge (80 Relic RF)</t>
        </is>
      </c>
    </row>
    <row r="10">
      <c r="A10" s="7" t="inlineStr">
        <is>
          <t xml:space="preserve">   Peacock Throne</t>
        </is>
      </c>
      <c r="B10" s="5" t="inlineStr">
        <is>
          <t>AAA</t>
        </is>
      </c>
      <c r="C10" s="5" t="inlineStr">
        <is>
          <t>ART</t>
        </is>
      </c>
      <c r="D10" s="8" t="n">
        <v>5</v>
      </c>
      <c r="E10" s="8" t="n">
        <v>5</v>
      </c>
      <c r="F10" s="5" t="n"/>
      <c r="G10" s="5" t="n"/>
      <c r="H10" s="8" t="n"/>
      <c r="I10" s="8" t="n"/>
      <c r="J10" s="5" t="n"/>
      <c r="K10" s="6" t="inlineStr">
        <is>
          <t>Supreme Relic</t>
        </is>
      </c>
    </row>
    <row r="11">
      <c r="A11" s="7" t="inlineStr">
        <is>
          <t xml:space="preserve">   Klein Bottle</t>
        </is>
      </c>
      <c r="B11" s="5" t="inlineStr">
        <is>
          <t>Blue</t>
        </is>
      </c>
      <c r="C11" s="5" t="inlineStr">
        <is>
          <t>TECH</t>
        </is>
      </c>
      <c r="D11" s="8" t="n">
        <v>10</v>
      </c>
      <c r="E11" s="8" t="n">
        <v>10</v>
      </c>
      <c r="F11" s="5" t="n"/>
      <c r="G11" s="5" t="n"/>
      <c r="H11" s="5" t="n"/>
      <c r="I11" s="5" t="n"/>
      <c r="J11" s="5" t="n"/>
      <c r="K11" s="6" t="inlineStr">
        <is>
          <t>Lottery Machine #1 (0.07%), Wishing (2.6%), Novice Scrolls (1%)</t>
        </is>
      </c>
    </row>
    <row r="12">
      <c r="A12" s="4" t="inlineStr">
        <is>
          <t xml:space="preserve">   Campbell's Sextant</t>
        </is>
      </c>
      <c r="B12" s="5" t="inlineStr">
        <is>
          <t>Blue</t>
        </is>
      </c>
      <c r="C12" s="5" t="inlineStr">
        <is>
          <t>TECH</t>
        </is>
      </c>
      <c r="D12" s="5" t="n"/>
      <c r="E12" s="5" t="n"/>
      <c r="F12" s="8" t="n">
        <v>10</v>
      </c>
      <c r="G12" s="8" t="n">
        <v>10</v>
      </c>
      <c r="H12" s="5" t="n"/>
      <c r="I12" s="5" t="n"/>
      <c r="J12" s="5" t="n"/>
      <c r="K12" s="6" t="inlineStr">
        <is>
          <t>Lottery Machine #1 (0.7%), Wishing (2.6%), Tool Chest (2%), Novice Scrolls (1%)</t>
        </is>
      </c>
    </row>
    <row r="13">
      <c r="A13" s="10" t="inlineStr">
        <is>
          <t>MAX INDIVIDUAL RELICS</t>
        </is>
      </c>
      <c r="B13" s="11" t="n"/>
      <c r="C13" s="11" t="n"/>
      <c r="D13" s="12">
        <f>SUM(D3:E12)</f>
        <v/>
      </c>
      <c r="E13" s="11" t="n"/>
      <c r="F13" s="12">
        <f>SUM(F3:G12)</f>
        <v/>
      </c>
      <c r="G13" s="11" t="n"/>
      <c r="H13" s="12">
        <f>SUM(H3:I12)</f>
        <v/>
      </c>
      <c r="I13" s="11" t="n"/>
      <c r="J13" s="11" t="n"/>
      <c r="K13" s="13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</row>
    <row r="15">
      <c r="A15" s="1" t="inlineStr">
        <is>
          <t>PARTNER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3" t="n"/>
    </row>
    <row r="16">
      <c r="A16" s="10" t="inlineStr">
        <is>
          <t xml:space="preserve">   Advisor Zhuge</t>
        </is>
      </c>
      <c r="B16" s="11" t="n"/>
      <c r="C16" s="11" t="n"/>
      <c r="D16" s="12" t="n">
        <v>30</v>
      </c>
      <c r="E16" s="11" t="n"/>
      <c r="F16" s="11" t="n"/>
      <c r="G16" s="11" t="n"/>
      <c r="H16" s="11" t="n"/>
      <c r="I16" s="11" t="n"/>
      <c r="J16" s="11" t="n"/>
      <c r="K16" s="13" t="inlineStr">
        <is>
          <t>lv30</t>
        </is>
      </c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 t="n"/>
    </row>
    <row r="18">
      <c r="A18" s="1" t="inlineStr">
        <is>
          <t>COLLECTORS TALENTS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14" t="n"/>
    </row>
    <row r="19">
      <c r="A19" s="10" t="inlineStr">
        <is>
          <t xml:space="preserve">   Civil Engineering</t>
        </is>
      </c>
      <c r="B19" s="11" t="n"/>
      <c r="C19" s="11" t="n"/>
      <c r="D19" s="11" t="n">
        <v>25</v>
      </c>
      <c r="E19" s="11" t="n"/>
      <c r="F19" s="11" t="n">
        <v>25</v>
      </c>
      <c r="G19" s="11" t="n"/>
      <c r="H19" s="11" t="n"/>
      <c r="I19" s="11" t="n"/>
      <c r="J19" s="11" t="n"/>
      <c r="K19" s="13" t="inlineStr">
        <is>
          <t>10 Blue Talent Points</t>
        </is>
      </c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</row>
    <row r="21">
      <c r="A21" s="15" t="inlineStr">
        <is>
          <t>ROBOTS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7" t="n"/>
    </row>
    <row r="22">
      <c r="A22" s="18" t="inlineStr">
        <is>
          <t xml:space="preserve">   Craftsman III</t>
        </is>
      </c>
      <c r="B22" s="19" t="n"/>
      <c r="C22" s="19" t="n"/>
      <c r="D22" s="19" t="n">
        <v>3</v>
      </c>
      <c r="E22" s="19" t="n"/>
      <c r="F22" s="19" t="n"/>
      <c r="G22" s="19" t="n"/>
      <c r="H22" s="19" t="n"/>
      <c r="I22" s="19" t="n"/>
      <c r="J22" s="19" t="n"/>
      <c r="K22" s="20" t="inlineStr">
        <is>
          <t>Wormhole Refiner (0.03%)</t>
        </is>
      </c>
    </row>
    <row r="23">
      <c r="A23" s="2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3" t="n"/>
    </row>
    <row r="24">
      <c r="A24" s="15" t="inlineStr">
        <is>
          <t>ORGAN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2" t="n"/>
      <c r="K24" s="14" t="n"/>
    </row>
    <row r="25">
      <c r="A25" s="21" t="inlineStr">
        <is>
          <t xml:space="preserve">   Warp Horn</t>
        </is>
      </c>
      <c r="B25" s="22" t="n"/>
      <c r="C25" s="22" t="n"/>
      <c r="D25" s="22" t="n">
        <v>10</v>
      </c>
      <c r="E25" s="22" t="n"/>
      <c r="F25" s="22" t="n">
        <v>10</v>
      </c>
      <c r="G25" s="22" t="n"/>
      <c r="H25" s="22" t="n"/>
      <c r="I25" s="22" t="n"/>
      <c r="J25" s="5" t="n"/>
      <c r="K25" s="6" t="inlineStr">
        <is>
          <t>lv20</t>
        </is>
      </c>
    </row>
    <row r="26">
      <c r="A26" s="18" t="inlineStr">
        <is>
          <t xml:space="preserve">   Alveolus of Gaia</t>
        </is>
      </c>
      <c r="B26" s="19" t="n"/>
      <c r="C26" s="19" t="n"/>
      <c r="D26" s="19" t="n">
        <v>20</v>
      </c>
      <c r="E26" s="19" t="n"/>
      <c r="F26" s="19" t="n">
        <v>20</v>
      </c>
      <c r="G26" s="19" t="n"/>
      <c r="H26" s="19" t="n"/>
      <c r="I26" s="19" t="n"/>
      <c r="J26" s="11" t="n"/>
      <c r="K26" s="13" t="inlineStr">
        <is>
          <t>lv40</t>
        </is>
      </c>
    </row>
    <row r="27">
      <c r="A27" s="4" t="inlineStr">
        <is>
          <t>MAX ORGAN</t>
        </is>
      </c>
      <c r="B27" s="5" t="n"/>
      <c r="C27" s="5" t="n"/>
      <c r="D27" s="5">
        <f>SUM(D25:D26)</f>
        <v/>
      </c>
      <c r="E27" s="5" t="n"/>
      <c r="F27" s="5">
        <f>SUM(F25:F26)</f>
        <v/>
      </c>
      <c r="G27" s="5" t="n"/>
      <c r="H27" s="5">
        <f>SUM(H25:H26)</f>
        <v/>
      </c>
      <c r="I27" s="5" t="n"/>
      <c r="J27" s="5" t="n"/>
      <c r="K27" s="6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 t="n"/>
    </row>
    <row r="29">
      <c r="A29" s="1" t="inlineStr">
        <is>
          <t>INTEL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3" t="n"/>
    </row>
    <row r="30">
      <c r="A30" s="10" t="inlineStr">
        <is>
          <t xml:space="preserve">   Cathay</t>
        </is>
      </c>
      <c r="B30" s="11" t="n"/>
      <c r="C30" s="11" t="n"/>
      <c r="D30" s="12" t="n">
        <v>10</v>
      </c>
      <c r="E30" s="11" t="n"/>
      <c r="F30" s="11" t="n"/>
      <c r="G30" s="11" t="n"/>
      <c r="H30" s="11" t="n"/>
      <c r="I30" s="11" t="n"/>
      <c r="J30" s="11" t="n"/>
      <c r="K30" s="13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>
      <c r="A32" s="15" t="inlineStr">
        <is>
          <t>ROCKET UPGRADES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7" t="n"/>
    </row>
    <row r="33">
      <c r="A33" s="18" t="inlineStr">
        <is>
          <t xml:space="preserve">   Eternal Hall</t>
        </is>
      </c>
      <c r="B33" s="19" t="n"/>
      <c r="C33" s="19" t="n"/>
      <c r="D33" s="19" t="n">
        <v>10</v>
      </c>
      <c r="E33" s="19" t="n"/>
      <c r="F33" s="19" t="n">
        <v>10</v>
      </c>
      <c r="G33" s="19" t="n"/>
      <c r="H33" s="19" t="n"/>
      <c r="I33" s="19" t="n"/>
      <c r="J33" s="19" t="n"/>
      <c r="K33" s="20" t="inlineStr">
        <is>
          <t>Lv5</t>
        </is>
      </c>
    </row>
    <row r="34">
      <c r="A34" s="21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3" t="n"/>
    </row>
    <row r="35">
      <c r="A35" s="15" t="inlineStr">
        <is>
          <t>AVATARS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7" t="n"/>
    </row>
    <row r="36">
      <c r="A36" s="18" t="inlineStr">
        <is>
          <t xml:space="preserve">   Mirage Avatar I Bonus</t>
        </is>
      </c>
      <c r="B36" s="19" t="n"/>
      <c r="C36" s="19" t="n"/>
      <c r="D36" s="19" t="n">
        <v>20</v>
      </c>
      <c r="E36" s="19" t="n"/>
      <c r="F36" s="19" t="n">
        <v>40</v>
      </c>
      <c r="G36" s="19" t="n"/>
      <c r="H36" s="19" t="n"/>
      <c r="I36" s="19" t="n"/>
      <c r="J36" s="19" t="n"/>
      <c r="K36" s="24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 t="n"/>
    </row>
    <row r="38">
      <c r="A38" s="1" t="inlineStr">
        <is>
          <t>STAMPS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3" t="n"/>
    </row>
    <row r="39">
      <c r="A39" s="7" t="inlineStr">
        <is>
          <t xml:space="preserve">   Turing Award</t>
        </is>
      </c>
      <c r="B39" s="5" t="inlineStr">
        <is>
          <t>SSS</t>
        </is>
      </c>
      <c r="C39" s="5" t="inlineStr">
        <is>
          <t>FAME</t>
        </is>
      </c>
      <c r="D39" s="8" t="n">
        <v>30</v>
      </c>
      <c r="E39" s="5" t="n"/>
      <c r="F39" s="8" t="n"/>
      <c r="G39" s="5" t="n"/>
      <c r="H39" s="8" t="n">
        <v>30</v>
      </c>
      <c r="I39" s="5" t="n"/>
      <c r="J39" s="5" t="n">
        <v>15</v>
      </c>
      <c r="K39" s="6" t="inlineStr">
        <is>
          <t>Daily Pack Relic #26</t>
        </is>
      </c>
    </row>
    <row r="40">
      <c r="A40" s="7" t="inlineStr">
        <is>
          <t xml:space="preserve">   Prometheus Torch</t>
        </is>
      </c>
      <c r="B40" s="5" t="inlineStr">
        <is>
          <t>SSS</t>
        </is>
      </c>
      <c r="C40" s="5" t="inlineStr">
        <is>
          <t>FAME</t>
        </is>
      </c>
      <c r="D40" s="8" t="n">
        <v>30</v>
      </c>
      <c r="E40" s="5" t="n"/>
      <c r="F40" s="8" t="n">
        <v>30</v>
      </c>
      <c r="G40" s="5" t="n"/>
      <c r="H40" s="8" t="n">
        <v>30</v>
      </c>
      <c r="I40" s="5" t="n"/>
      <c r="J40" s="5" t="n"/>
      <c r="K40" s="6" t="inlineStr">
        <is>
          <t>Lottery Machine #1 (0.09%), Wishing (0.09%), Hellas Treasure Map, Grandmaster Scrolls (0.81%), Relic Forge (120 Relic RF)</t>
        </is>
      </c>
    </row>
    <row r="41">
      <c r="A41" s="7" t="inlineStr">
        <is>
          <t xml:space="preserve">   Nobel's Will</t>
        </is>
      </c>
      <c r="B41" s="5" t="inlineStr">
        <is>
          <t>SSS</t>
        </is>
      </c>
      <c r="C41" s="9" t="inlineStr">
        <is>
          <t>FAME</t>
        </is>
      </c>
      <c r="D41" s="8" t="n">
        <v>30</v>
      </c>
      <c r="E41" s="5" t="n"/>
      <c r="F41" s="8" t="n">
        <v>30</v>
      </c>
      <c r="G41" s="5" t="n"/>
      <c r="H41" s="5" t="n"/>
      <c r="I41" s="5" t="n"/>
      <c r="J41" s="8" t="n">
        <v>15</v>
      </c>
      <c r="K41" s="6" t="inlineStr">
        <is>
          <t>Lottery Machine #1 (0.09%), Wishing (0.08%), Grandmaster Scrolls (0.79%), Lottery Event 9/22/2023-9/28/2023</t>
        </is>
      </c>
    </row>
    <row r="42">
      <c r="A42" s="4" t="inlineStr">
        <is>
          <t xml:space="preserve">   Hammurabi Code</t>
        </is>
      </c>
      <c r="B42" s="5" t="inlineStr">
        <is>
          <t>SS</t>
        </is>
      </c>
      <c r="C42" s="9" t="inlineStr">
        <is>
          <t>FAME</t>
        </is>
      </c>
      <c r="D42" s="5" t="n"/>
      <c r="E42" s="5" t="n"/>
      <c r="F42" s="5" t="n"/>
      <c r="G42" s="5" t="n"/>
      <c r="H42" s="8" t="n">
        <v>30</v>
      </c>
      <c r="I42" s="5" t="n"/>
      <c r="J42" s="8" t="n">
        <v>15</v>
      </c>
      <c r="K42" s="6" t="inlineStr">
        <is>
          <t>Fragment Crafting (4.6%), Lottery Machine #1 (0.18%), Wishing (0.17%), Demon God Chest (5%), Grandmaster Scrolls (1.6%)</t>
        </is>
      </c>
    </row>
    <row r="43">
      <c r="A43" s="4" t="inlineStr">
        <is>
          <t xml:space="preserve">   Zircon of Jack Hills</t>
        </is>
      </c>
      <c r="B43" s="5" t="inlineStr">
        <is>
          <t>SS</t>
        </is>
      </c>
      <c r="C43" s="9" t="inlineStr">
        <is>
          <t>FAME</t>
        </is>
      </c>
      <c r="D43" s="8" t="n"/>
      <c r="E43" s="5" t="n"/>
      <c r="F43" s="8" t="n"/>
      <c r="G43" s="5" t="n"/>
      <c r="H43" s="5" t="n">
        <v>30</v>
      </c>
      <c r="I43" s="5" t="n"/>
      <c r="J43" s="5" t="n"/>
      <c r="K43" s="25" t="inlineStr">
        <is>
          <t>Lottery Machine #2 (0.47%)</t>
        </is>
      </c>
    </row>
    <row r="44">
      <c r="A44" s="4" t="inlineStr">
        <is>
          <t xml:space="preserve">   Ape's Footprint Fossil</t>
        </is>
      </c>
      <c r="B44" s="5" t="inlineStr">
        <is>
          <t>SS</t>
        </is>
      </c>
      <c r="C44" s="9" t="inlineStr">
        <is>
          <t>FAME</t>
        </is>
      </c>
      <c r="D44" s="8" t="n">
        <v>30</v>
      </c>
      <c r="E44" s="5" t="n"/>
      <c r="F44" s="8" t="n">
        <v>30</v>
      </c>
      <c r="G44" s="5" t="n"/>
      <c r="H44" s="5" t="n"/>
      <c r="I44" s="5" t="n"/>
      <c r="J44" s="5" t="n"/>
      <c r="K44" s="6" t="inlineStr">
        <is>
          <t>Super Species Chest (2.4%)</t>
        </is>
      </c>
    </row>
    <row r="45">
      <c r="A45" s="4" t="inlineStr">
        <is>
          <t xml:space="preserve">   Stockholm Declaration</t>
        </is>
      </c>
      <c r="B45" s="5" t="inlineStr">
        <is>
          <t>SS</t>
        </is>
      </c>
      <c r="C45" s="9" t="inlineStr">
        <is>
          <t>FAME</t>
        </is>
      </c>
      <c r="D45" s="8" t="n">
        <v>30</v>
      </c>
      <c r="E45" s="5" t="n"/>
      <c r="F45" s="5" t="n">
        <v>30</v>
      </c>
      <c r="G45" s="5" t="n"/>
      <c r="H45" s="5" t="n"/>
      <c r="I45" s="5" t="n"/>
      <c r="J45" s="5" t="n"/>
      <c r="K45" s="25" t="inlineStr">
        <is>
          <t>Lottery Machine #2 (0.47%), Indigent Nobleman (570K B-tads)</t>
        </is>
      </c>
    </row>
    <row r="46">
      <c r="A46" s="4" t="inlineStr">
        <is>
          <t xml:space="preserve">   Tetromino</t>
        </is>
      </c>
      <c r="B46" s="5" t="inlineStr">
        <is>
          <t>S</t>
        </is>
      </c>
      <c r="C46" s="9" t="inlineStr">
        <is>
          <t>FAME</t>
        </is>
      </c>
      <c r="D46" s="8" t="n">
        <v>30</v>
      </c>
      <c r="E46" s="5" t="n"/>
      <c r="F46" s="5" t="n"/>
      <c r="G46" s="5" t="n"/>
      <c r="H46" s="5" t="n"/>
      <c r="I46" s="5" t="n"/>
      <c r="J46" s="5" t="n"/>
      <c r="K46" s="6" t="inlineStr">
        <is>
          <t>Fragment Crafting (20.7%), Lottery Machine #1 (0.81%), Wishing (0.75%), Master Scrolls (6.5%), FAME Master Scrolls (31.5%), Relic Forge (90 Relic RF)</t>
        </is>
      </c>
    </row>
    <row r="47">
      <c r="A47" s="4" t="inlineStr">
        <is>
          <t xml:space="preserve">   Proclamation 95</t>
        </is>
      </c>
      <c r="B47" s="5" t="inlineStr">
        <is>
          <t>S</t>
        </is>
      </c>
      <c r="C47" s="9" t="inlineStr">
        <is>
          <t>FAME</t>
        </is>
      </c>
      <c r="D47" s="5" t="n"/>
      <c r="E47" s="5" t="n"/>
      <c r="F47" s="5" t="n"/>
      <c r="G47" s="5" t="n"/>
      <c r="H47" s="5" t="n"/>
      <c r="I47" s="5" t="n"/>
      <c r="J47" s="8" t="n">
        <v>15</v>
      </c>
      <c r="K47" s="6" t="inlineStr">
        <is>
          <t>Fragment Crafting (0.61), Lottery Machine #1 (0.24%), Wishing (0.22%), Master Scrolls (0.19%), Grandmaster Scrolls (2.1%), FAME Master Scroll (9.2%)</t>
        </is>
      </c>
    </row>
    <row r="48">
      <c r="A48" s="4" t="inlineStr">
        <is>
          <t xml:space="preserve">   Golden Finger</t>
        </is>
      </c>
      <c r="B48" s="5" t="inlineStr">
        <is>
          <t>S</t>
        </is>
      </c>
      <c r="C48" s="5" t="inlineStr">
        <is>
          <t>FTH</t>
        </is>
      </c>
      <c r="D48" s="8" t="n">
        <v>30</v>
      </c>
      <c r="E48" s="5" t="n"/>
      <c r="F48" s="5" t="n"/>
      <c r="G48" s="5" t="n"/>
      <c r="H48" s="5" t="n"/>
      <c r="I48" s="5" t="n"/>
      <c r="J48" s="5" t="n"/>
      <c r="K48" s="6" t="inlineStr">
        <is>
          <t>Fragment Crafting (15.1%), Lottery Machine #1 (0.81%), Wishing (0.53%), Master Scrolls (6.5%), FTH Master Scrolls (31.5%), Relic Forge (90 Relic RF), Rock in front of garage 999 taps, give Peter Jr. 42 0-star reviews in the same conversation</t>
        </is>
      </c>
    </row>
    <row r="49">
      <c r="A49" s="4" t="inlineStr">
        <is>
          <t xml:space="preserve">   Shroud of Turin</t>
        </is>
      </c>
      <c r="B49" s="5" t="inlineStr">
        <is>
          <t>S</t>
        </is>
      </c>
      <c r="C49" s="5" t="inlineStr">
        <is>
          <t>FTH</t>
        </is>
      </c>
      <c r="D49" s="5" t="n"/>
      <c r="E49" s="5" t="n"/>
      <c r="F49" s="5" t="n"/>
      <c r="G49" s="5" t="n"/>
      <c r="H49" s="8" t="n">
        <v>30</v>
      </c>
      <c r="I49" s="5" t="n"/>
      <c r="J49" s="5" t="n"/>
      <c r="K49" s="6" t="inlineStr">
        <is>
          <t>Fragment Crafting (15.1%), Lottery Machine #1 (0.81%), Wishing (0.53%), Relic Forge (90 Relic RF)</t>
        </is>
      </c>
    </row>
    <row r="50">
      <c r="A50" s="4" t="inlineStr">
        <is>
          <t xml:space="preserve">   Paradise Lost</t>
        </is>
      </c>
      <c r="B50" s="5" t="inlineStr">
        <is>
          <t>S</t>
        </is>
      </c>
      <c r="C50" s="5" t="inlineStr">
        <is>
          <t>CIV</t>
        </is>
      </c>
      <c r="D50" s="5" t="n"/>
      <c r="E50" s="5" t="n"/>
      <c r="F50" s="5" t="n"/>
      <c r="G50" s="5" t="n"/>
      <c r="H50" s="5" t="n"/>
      <c r="I50" s="5" t="n"/>
      <c r="J50" s="8" t="n">
        <v>15</v>
      </c>
      <c r="K50" s="6" t="inlineStr">
        <is>
          <t>Fragment Crafting (18.8%), Lottery Machine #1 (0.81%), Wishing (0.69%), Super Treasure Maps (15%), Master Scrolls (6.5%), CIV Master Scrolls (34.7%), Relic Forge (90 Relic RF)</t>
        </is>
      </c>
    </row>
    <row r="51">
      <c r="A51" s="4" t="inlineStr">
        <is>
          <t xml:space="preserve">   The Pieta</t>
        </is>
      </c>
      <c r="B51" s="5" t="inlineStr">
        <is>
          <t>S</t>
        </is>
      </c>
      <c r="C51" s="5" t="inlineStr">
        <is>
          <t>CIV</t>
        </is>
      </c>
      <c r="D51" s="5" t="n"/>
      <c r="E51" s="5" t="n"/>
      <c r="F51" s="5" t="n"/>
      <c r="G51" s="5" t="n"/>
      <c r="H51" s="5" t="n"/>
      <c r="I51" s="5" t="n"/>
      <c r="J51" s="8" t="n">
        <v>15</v>
      </c>
      <c r="K51" s="6" t="inlineStr">
        <is>
          <t>Fragment Crafting (18.8%), Lottery Machine #1 (0.81%), Wishing (0.69%), Relic Forge (90 Relic RF)</t>
        </is>
      </c>
    </row>
    <row r="52">
      <c r="A52" s="4" t="inlineStr">
        <is>
          <t xml:space="preserve">   The Last Supper</t>
        </is>
      </c>
      <c r="B52" s="5" t="inlineStr">
        <is>
          <t>S</t>
        </is>
      </c>
      <c r="C52" s="5" t="inlineStr">
        <is>
          <t>ART</t>
        </is>
      </c>
      <c r="D52" s="5" t="n"/>
      <c r="E52" s="5" t="n"/>
      <c r="F52" s="5" t="n"/>
      <c r="G52" s="5" t="n"/>
      <c r="H52" s="5" t="n"/>
      <c r="I52" s="5" t="n"/>
      <c r="J52" s="8" t="n">
        <v>15</v>
      </c>
      <c r="K52" s="6" t="inlineStr">
        <is>
          <t>Fragment Crafting (18.1%), Lottery Machine #1 (0.81%), Wishing (0.68%), Relic Forge (90 Relic RF)</t>
        </is>
      </c>
    </row>
    <row r="53">
      <c r="A53" s="4" t="inlineStr">
        <is>
          <t xml:space="preserve">   Ark of the Covenant</t>
        </is>
      </c>
      <c r="B53" s="5" t="inlineStr">
        <is>
          <t>S</t>
        </is>
      </c>
      <c r="C53" s="5" t="inlineStr">
        <is>
          <t>FTH</t>
        </is>
      </c>
      <c r="D53" s="5" t="n"/>
      <c r="E53" s="5" t="n"/>
      <c r="F53" s="5" t="n"/>
      <c r="G53" s="5" t="n"/>
      <c r="H53" s="5" t="n"/>
      <c r="I53" s="5" t="n"/>
      <c r="J53" s="8" t="n">
        <v>15</v>
      </c>
      <c r="K53" s="6" t="inlineStr">
        <is>
          <t>Fragment Crafting (15.1%), Lottery Machine #1 (0.81%), Wishing (0.53%), Relic Forge (90 Relic RF)</t>
        </is>
      </c>
    </row>
    <row r="54">
      <c r="A54" s="4" t="inlineStr">
        <is>
          <t xml:space="preserve">   Edison's Kinetoscope</t>
        </is>
      </c>
      <c r="B54" s="5" t="inlineStr">
        <is>
          <t>S</t>
        </is>
      </c>
      <c r="C54" s="5" t="inlineStr">
        <is>
          <t>TECH</t>
        </is>
      </c>
      <c r="D54" s="5" t="n"/>
      <c r="E54" s="5" t="n"/>
      <c r="F54" s="8" t="n">
        <v>30</v>
      </c>
      <c r="G54" s="5" t="n"/>
      <c r="H54" s="5" t="n"/>
      <c r="I54" s="5" t="n"/>
      <c r="J54" s="5" t="n"/>
      <c r="K54" s="6" t="inlineStr">
        <is>
          <t>Ad Shop</t>
        </is>
      </c>
    </row>
    <row r="55">
      <c r="A55" s="10" t="inlineStr">
        <is>
          <t>MAX LUMBER STAMPS</t>
        </is>
      </c>
      <c r="B55" s="11" t="n"/>
      <c r="C55" s="11" t="n"/>
      <c r="D55" s="12">
        <f>D39+D40+D41</f>
        <v/>
      </c>
      <c r="E55" s="11" t="n"/>
      <c r="F55" s="12">
        <f>F39+F40+F41</f>
        <v/>
      </c>
      <c r="G55" s="11" t="n"/>
      <c r="H55" s="12">
        <f>H39+H40+H41</f>
        <v/>
      </c>
      <c r="I55" s="11" t="n"/>
      <c r="J55" s="12">
        <f>J39+J40+J41</f>
        <v/>
      </c>
      <c r="K55" s="13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6" t="n"/>
    </row>
    <row r="57">
      <c r="A57" s="26" t="inlineStr">
        <is>
          <t>RESONANCE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3" t="n"/>
    </row>
    <row r="58">
      <c r="A58" s="4" t="inlineStr">
        <is>
          <t xml:space="preserve">  BLUE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6" t="n"/>
    </row>
    <row r="59">
      <c r="A59" s="4" t="inlineStr">
        <is>
          <t xml:space="preserve">    Output</t>
        </is>
      </c>
      <c r="B59" s="5" t="n"/>
      <c r="C59" s="5" t="n"/>
      <c r="D59" s="8" t="n">
        <v>10</v>
      </c>
      <c r="E59" s="5" t="n"/>
      <c r="F59" s="5" t="n"/>
      <c r="G59" s="5" t="n"/>
      <c r="H59" s="5" t="n"/>
      <c r="I59" s="5" t="n"/>
      <c r="J59" s="5" t="n"/>
      <c r="K59" s="6" t="n"/>
    </row>
    <row r="60">
      <c r="A60" s="4" t="inlineStr">
        <is>
          <t xml:space="preserve">      Holmes' Pipe</t>
        </is>
      </c>
      <c r="B60" s="5" t="inlineStr">
        <is>
          <t>Blue</t>
        </is>
      </c>
      <c r="C60" s="5" t="inlineStr">
        <is>
          <t>CIV</t>
        </is>
      </c>
      <c r="D60" s="5" t="n"/>
      <c r="E60" s="5" t="n"/>
      <c r="F60" s="5" t="n"/>
      <c r="G60" s="5" t="n"/>
      <c r="H60" s="5" t="n"/>
      <c r="I60" s="5" t="n"/>
      <c r="J60" s="5" t="n"/>
      <c r="K60" s="6" t="inlineStr">
        <is>
          <t>Lottery Machine #1 (0.36%), Wishing (10.3%), Novice Scrolls (5%)</t>
        </is>
      </c>
    </row>
    <row r="61">
      <c r="A61" s="4" t="inlineStr">
        <is>
          <t xml:space="preserve">      Sholes' Typewriter</t>
        </is>
      </c>
      <c r="B61" s="5" t="inlineStr">
        <is>
          <t>Blue</t>
        </is>
      </c>
      <c r="C61" s="5" t="inlineStr">
        <is>
          <t>CIV</t>
        </is>
      </c>
      <c r="D61" s="5" t="n"/>
      <c r="E61" s="5" t="n"/>
      <c r="F61" s="5" t="n"/>
      <c r="G61" s="5" t="n"/>
      <c r="H61" s="5" t="n"/>
      <c r="I61" s="5" t="n"/>
      <c r="J61" s="5" t="n"/>
      <c r="K61" s="6" t="inlineStr">
        <is>
          <t>Lottery Machine #1 (0.03%), Wishing (0.82%)</t>
        </is>
      </c>
    </row>
    <row r="62">
      <c r="A62" s="4" t="inlineStr">
        <is>
          <t xml:space="preserve">    Ancient Lumber</t>
        </is>
      </c>
      <c r="B62" s="5" t="n"/>
      <c r="C62" s="5" t="n"/>
      <c r="D62" s="5" t="n"/>
      <c r="E62" s="5" t="n"/>
      <c r="F62" s="5" t="n"/>
      <c r="G62" s="5" t="n"/>
      <c r="H62" s="8" t="n">
        <v>10</v>
      </c>
      <c r="I62" s="5" t="n"/>
      <c r="J62" s="5" t="n"/>
      <c r="K62" s="6" t="n"/>
    </row>
    <row r="63">
      <c r="A63" s="4" t="inlineStr">
        <is>
          <t xml:space="preserve">      Imperial Lamp</t>
        </is>
      </c>
      <c r="B63" s="5" t="inlineStr">
        <is>
          <t>Blue</t>
        </is>
      </c>
      <c r="C63" s="5" t="inlineStr">
        <is>
          <t>ART</t>
        </is>
      </c>
      <c r="D63" s="5" t="n"/>
      <c r="E63" s="5" t="n"/>
      <c r="F63" s="5" t="n"/>
      <c r="G63" s="5" t="n"/>
      <c r="H63" s="5" t="n"/>
      <c r="I63" s="5" t="n"/>
      <c r="J63" s="5" t="n"/>
      <c r="K63" s="6" t="inlineStr">
        <is>
          <t>Lottery Machine #1 (0.07%), Wishing (3%), Novice Scrolls (1%)</t>
        </is>
      </c>
    </row>
    <row r="64">
      <c r="A64" s="4" t="inlineStr">
        <is>
          <t xml:space="preserve">      Storyteller</t>
        </is>
      </c>
      <c r="B64" s="5" t="inlineStr">
        <is>
          <t>Blue</t>
        </is>
      </c>
      <c r="C64" s="5" t="inlineStr">
        <is>
          <t>ART</t>
        </is>
      </c>
      <c r="D64" s="5" t="n"/>
      <c r="E64" s="5" t="n"/>
      <c r="F64" s="5" t="n"/>
      <c r="G64" s="5" t="n"/>
      <c r="H64" s="5" t="n"/>
      <c r="I64" s="5" t="n"/>
      <c r="J64" s="5" t="n"/>
      <c r="K64" s="6" t="inlineStr">
        <is>
          <t>Lottery Machine #1 (0.36%), Wishing (15%), Novice Scrolls (5%)</t>
        </is>
      </c>
    </row>
    <row r="65">
      <c r="A65" s="4" t="inlineStr">
        <is>
          <t xml:space="preserve">  PURPLE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6" t="n"/>
    </row>
    <row r="66">
      <c r="A66" s="4" t="inlineStr">
        <is>
          <t xml:space="preserve">    Output</t>
        </is>
      </c>
      <c r="B66" s="5" t="n"/>
      <c r="C66" s="5" t="n"/>
      <c r="D66" s="8" t="n">
        <v>12</v>
      </c>
      <c r="E66" s="5" t="n"/>
      <c r="F66" s="5" t="n"/>
      <c r="G66" s="5" t="n"/>
      <c r="H66" s="5" t="n"/>
      <c r="I66" s="5" t="n"/>
      <c r="J66" s="5" t="n"/>
      <c r="K66" s="6" t="n"/>
    </row>
    <row r="67">
      <c r="A67" s="4" t="inlineStr">
        <is>
          <t xml:space="preserve">      Meditations</t>
        </is>
      </c>
      <c r="B67" s="5" t="inlineStr">
        <is>
          <t>A</t>
        </is>
      </c>
      <c r="C67" s="5" t="inlineStr">
        <is>
          <t>CIV</t>
        </is>
      </c>
      <c r="D67" s="5" t="n"/>
      <c r="E67" s="5" t="n"/>
      <c r="F67" s="5" t="n"/>
      <c r="G67" s="5" t="n"/>
      <c r="H67" s="5" t="n"/>
      <c r="I67" s="5" t="n"/>
      <c r="J67" s="5" t="n"/>
      <c r="K67" s="6" t="inlineStr">
        <is>
          <t>Fragment Crafting (29.9%), Lottery Machine #1 (0.66%), Wishing (2.7%), Expert Scrolls (7.6%)</t>
        </is>
      </c>
    </row>
    <row r="68">
      <c r="A68" s="4" t="inlineStr">
        <is>
          <t xml:space="preserve">      The Decameron</t>
        </is>
      </c>
      <c r="B68" s="5" t="inlineStr">
        <is>
          <t>AA</t>
        </is>
      </c>
      <c r="C68" s="5" t="inlineStr">
        <is>
          <t>CIV</t>
        </is>
      </c>
      <c r="D68" s="5" t="n"/>
      <c r="E68" s="5" t="n"/>
      <c r="F68" s="5" t="n"/>
      <c r="G68" s="5" t="n"/>
      <c r="H68" s="5" t="n"/>
      <c r="I68" s="5" t="n"/>
      <c r="J68" s="5" t="n"/>
      <c r="K68" s="6" t="inlineStr">
        <is>
          <t>Fragment Crafting (3.7%), Lottery Machine #1 (0.8%), Wishing (0.34%), Britland Treasure Maps (10%), Expert Scrolls (0.95%)</t>
        </is>
      </c>
    </row>
    <row r="69">
      <c r="A69" s="4" t="inlineStr">
        <is>
          <t xml:space="preserve">    Ancient Lumber</t>
        </is>
      </c>
      <c r="B69" s="5" t="n"/>
      <c r="C69" s="5" t="n"/>
      <c r="D69" s="5" t="n"/>
      <c r="E69" s="5" t="n"/>
      <c r="F69" s="5" t="n"/>
      <c r="G69" s="5" t="n"/>
      <c r="H69" s="8" t="n">
        <v>12</v>
      </c>
      <c r="I69" s="5" t="n"/>
      <c r="J69" s="5" t="n"/>
      <c r="K69" s="6" t="n"/>
    </row>
    <row r="70">
      <c r="A70" s="4" t="inlineStr">
        <is>
          <t xml:space="preserve">      Nuclear Football</t>
        </is>
      </c>
      <c r="B70" s="5" t="inlineStr">
        <is>
          <t>AAA</t>
        </is>
      </c>
      <c r="C70" s="5" t="inlineStr">
        <is>
          <t>TECH</t>
        </is>
      </c>
      <c r="D70" s="5" t="n"/>
      <c r="E70" s="5" t="n"/>
      <c r="F70" s="5" t="n"/>
      <c r="G70" s="5" t="n"/>
      <c r="H70" s="5" t="n"/>
      <c r="I70" s="5" t="n"/>
      <c r="J70" s="5" t="n"/>
      <c r="K70" s="6" t="inlineStr">
        <is>
          <t>Fragment Crafting (1.6%), Lottery Machine #1 (0.03%), Wishing (0.14%), Relic Forge (80 Relic RF)</t>
        </is>
      </c>
    </row>
    <row r="71">
      <c r="A71" s="4" t="inlineStr">
        <is>
          <t xml:space="preserve">      ARPAnet</t>
        </is>
      </c>
      <c r="B71" s="5" t="inlineStr">
        <is>
          <t>AAA</t>
        </is>
      </c>
      <c r="C71" s="5" t="inlineStr">
        <is>
          <t>FAME</t>
        </is>
      </c>
      <c r="D71" s="5" t="n"/>
      <c r="E71" s="5" t="n"/>
      <c r="F71" s="5" t="n"/>
      <c r="G71" s="5" t="n"/>
      <c r="H71" s="5" t="n"/>
      <c r="I71" s="5" t="n"/>
      <c r="J71" s="5" t="n"/>
      <c r="K71" s="6" t="inlineStr">
        <is>
          <t>Fragment Crafting (1.6%), Lottery Machine #1 (0.03%), Wishing (0.14%), Tool Chest(1.5%), Relic Forge (80 Relic RF)</t>
        </is>
      </c>
    </row>
    <row r="72">
      <c r="A72" s="4" t="inlineStr">
        <is>
          <t xml:space="preserve">  ORANGE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6" t="n"/>
    </row>
    <row r="73">
      <c r="A73" s="4" t="inlineStr">
        <is>
          <t xml:space="preserve">    Output</t>
        </is>
      </c>
      <c r="B73" s="5" t="n"/>
      <c r="C73" s="5" t="n"/>
      <c r="D73" s="8" t="n">
        <v>14</v>
      </c>
      <c r="E73" s="5" t="n"/>
      <c r="F73" s="5" t="n"/>
      <c r="G73" s="5" t="n"/>
      <c r="H73" s="5" t="n"/>
      <c r="I73" s="5" t="n"/>
      <c r="J73" s="5" t="n"/>
      <c r="K73" s="6" t="n"/>
    </row>
    <row r="74">
      <c r="A74" s="4" t="inlineStr">
        <is>
          <t xml:space="preserve">      Notre Dame Bell</t>
        </is>
      </c>
      <c r="B74" s="5" t="inlineStr">
        <is>
          <t>S</t>
        </is>
      </c>
      <c r="C74" s="5" t="inlineStr">
        <is>
          <t>CIV</t>
        </is>
      </c>
      <c r="D74" s="5" t="n"/>
      <c r="E74" s="5" t="n"/>
      <c r="F74" s="5" t="n"/>
      <c r="G74" s="5" t="n"/>
      <c r="H74" s="5" t="n"/>
      <c r="I74" s="5" t="n"/>
      <c r="J74" s="5" t="n"/>
      <c r="K74" s="6" t="inlineStr">
        <is>
          <t>Fragment Crafting (18.8%), Lottery Machine #1 (0.81%), Wishing (0.69%), Relic Forge (90 Relic RF)</t>
        </is>
      </c>
    </row>
    <row r="75">
      <c r="A75" s="4" t="inlineStr">
        <is>
          <t xml:space="preserve">      The Pieta</t>
        </is>
      </c>
      <c r="B75" s="5" t="inlineStr">
        <is>
          <t>S</t>
        </is>
      </c>
      <c r="C75" s="5" t="inlineStr">
        <is>
          <t>CIV</t>
        </is>
      </c>
      <c r="D75" s="5" t="n"/>
      <c r="E75" s="5" t="n"/>
      <c r="F75" s="5" t="n"/>
      <c r="G75" s="5" t="n"/>
      <c r="H75" s="5" t="n"/>
      <c r="I75" s="5" t="n"/>
      <c r="J75" s="5" t="n"/>
      <c r="K75" s="6" t="inlineStr">
        <is>
          <t>Fragment Crafting (18.8%), Lottery Machine #1 (0.81%), Wishing (0.69%), Relic Forge (90 Relic RF)</t>
        </is>
      </c>
    </row>
    <row r="76">
      <c r="A76" s="4" t="inlineStr">
        <is>
          <t xml:space="preserve">    Ancient Lumber</t>
        </is>
      </c>
      <c r="B76" s="5" t="n"/>
      <c r="C76" s="5" t="n"/>
      <c r="D76" s="5" t="n"/>
      <c r="E76" s="5" t="n"/>
      <c r="F76" s="5" t="n"/>
      <c r="G76" s="5" t="n"/>
      <c r="H76" s="8" t="n">
        <v>14</v>
      </c>
      <c r="I76" s="5" t="n"/>
      <c r="J76" s="5" t="n"/>
      <c r="K76" s="6" t="n"/>
    </row>
    <row r="77">
      <c r="A77" s="4" t="inlineStr">
        <is>
          <t xml:space="preserve">      Das Kapital</t>
        </is>
      </c>
      <c r="B77" s="5" t="inlineStr">
        <is>
          <t>SS</t>
        </is>
      </c>
      <c r="C77" s="5" t="inlineStr">
        <is>
          <t>CIV</t>
        </is>
      </c>
      <c r="D77" s="5" t="n"/>
      <c r="E77" s="5" t="n"/>
      <c r="F77" s="5" t="n"/>
      <c r="G77" s="5" t="n"/>
      <c r="H77" s="5" t="n"/>
      <c r="I77" s="5" t="n"/>
      <c r="J77" s="5" t="n"/>
      <c r="K77" s="6" t="inlineStr">
        <is>
          <t>Lottery Machine #1 (0.12%), Wishing (0.1%), Britland Treasure Maps (5%), Grandmaster Scrolls (1%), Relic Forge (100 Relic RF), beat Mr. Raccoon in combat</t>
        </is>
      </c>
    </row>
    <row r="78">
      <c r="A78" s="4" t="inlineStr">
        <is>
          <t xml:space="preserve">      The School of Athens</t>
        </is>
      </c>
      <c r="B78" s="5" t="inlineStr">
        <is>
          <t>SS</t>
        </is>
      </c>
      <c r="C78" s="5" t="inlineStr">
        <is>
          <t>ART</t>
        </is>
      </c>
      <c r="D78" s="5" t="n"/>
      <c r="E78" s="5" t="n"/>
      <c r="F78" s="5" t="n"/>
      <c r="G78" s="5" t="n"/>
      <c r="H78" s="5" t="n"/>
      <c r="I78" s="5" t="n"/>
      <c r="J78" s="5" t="n"/>
      <c r="K78" s="6" t="inlineStr">
        <is>
          <t>Fragment Crafting (5.3%), Lottery Machine #1 (0.24%), Wishing (0.2%), Super Treasure Maps (5%), Master Scrolls (1.9%), Grandmaster Scrolls (2.1%), ART Master Scrolls (10.2%)</t>
        </is>
      </c>
    </row>
    <row r="79">
      <c r="A79" s="10" t="inlineStr">
        <is>
          <t>MAX RESONANCE</t>
        </is>
      </c>
      <c r="B79" s="11" t="n"/>
      <c r="C79" s="11" t="n"/>
      <c r="D79" s="12" t="n">
        <v>36</v>
      </c>
      <c r="E79" s="11" t="n"/>
      <c r="F79" s="12" t="n">
        <v>0</v>
      </c>
      <c r="G79" s="11" t="n"/>
      <c r="H79" s="12" t="n">
        <v>36</v>
      </c>
      <c r="I79" s="11" t="n"/>
      <c r="J79" s="11" t="n"/>
      <c r="K79" s="13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27" t="inlineStr">
        <is>
          <t>Total Lumber Output</t>
        </is>
      </c>
      <c r="B82" s="28">
        <f>D13+D16+D27+D30+D55+D79+D36+D19+D33+D22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29" t="inlineStr">
        <is>
          <t>Total Lumber Cap</t>
        </is>
      </c>
      <c r="B83" s="30">
        <f>F13+F16+F27+F30+F55+F79+F36+F19+F33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29" t="inlineStr">
        <is>
          <t>Total Ancient Lumber Gen</t>
        </is>
      </c>
      <c r="B84" s="30">
        <f>H13+H16+H27+H55+H79+H30+H36+H19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2026-04-25T21:15:16Z</dcterms:created>
  <dcterms:modified xmlns:dcterms="http://purl.org/dc/terms/" xmlns:xsi="http://www.w3.org/2001/XMLSchema-instance" xsi:type="dcterms:W3CDTF">2026-04-25T21:15:16Z</dcterms:modified>
</cp:coreProperties>
</file>