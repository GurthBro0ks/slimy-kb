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NA C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Verdana"/>
      <color theme="1"/>
      <scheme val="minor"/>
    </font>
    <font>
      <name val="Calibri"/>
      <color theme="1"/>
      <sz val="14"/>
    </font>
    <font>
      <name val="Calibri"/>
      <color theme="1"/>
      <sz val="12"/>
    </font>
    <font>
      <name val="Verdana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</fills>
  <borders count="11">
    <border>
      <left/>
      <right/>
      <top/>
      <bottom/>
      <diagonal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2" fillId="0" borderId="1" applyAlignment="1" pivotButton="0" quotePrefix="0" xfId="0">
      <alignment vertical="bottom"/>
    </xf>
    <xf numFmtId="0" fontId="2" fillId="0" borderId="2" applyAlignment="1" pivotButton="0" quotePrefix="0" xfId="0">
      <alignment vertical="bottom"/>
    </xf>
    <xf numFmtId="0" fontId="2" fillId="0" borderId="3" applyAlignment="1" pivotButton="0" quotePrefix="0" xfId="0">
      <alignment vertical="bottom"/>
    </xf>
    <xf numFmtId="0" fontId="2" fillId="0" borderId="4" applyAlignment="1" pivotButton="0" quotePrefix="0" xfId="0">
      <alignment horizontal="right" vertical="bottom"/>
    </xf>
    <xf numFmtId="0" fontId="2" fillId="0" borderId="5" applyAlignment="1" pivotButton="0" quotePrefix="0" xfId="0">
      <alignment horizontal="right" vertical="bottom"/>
    </xf>
    <xf numFmtId="3" fontId="2" fillId="0" borderId="5" applyAlignment="1" pivotButton="0" quotePrefix="0" xfId="0">
      <alignment horizontal="right" vertical="bottom"/>
    </xf>
    <xf numFmtId="0" fontId="2" fillId="0" borderId="5" applyAlignment="1" pivotButton="0" quotePrefix="0" xfId="0">
      <alignment vertical="bottom"/>
    </xf>
    <xf numFmtId="0" fontId="2" fillId="0" borderId="6" applyAlignment="1" pivotButton="0" quotePrefix="0" xfId="0">
      <alignment horizontal="right" vertical="bottom"/>
    </xf>
    <xf numFmtId="0" fontId="2" fillId="0" borderId="7" applyAlignment="1" pivotButton="0" quotePrefix="0" xfId="0">
      <alignment vertical="bottom"/>
    </xf>
    <xf numFmtId="1" fontId="2" fillId="0" borderId="8" applyAlignment="1" pivotButton="0" quotePrefix="0" xfId="0">
      <alignment horizontal="right" vertical="bottom"/>
    </xf>
    <xf numFmtId="3" fontId="2" fillId="0" borderId="8" applyAlignment="1" pivotButton="0" quotePrefix="0" xfId="0">
      <alignment horizontal="right" vertical="bottom"/>
    </xf>
    <xf numFmtId="0" fontId="2" fillId="0" borderId="8" applyAlignment="1" pivotButton="0" quotePrefix="0" xfId="0">
      <alignment vertical="bottom"/>
    </xf>
    <xf numFmtId="3" fontId="2" fillId="0" borderId="9" applyAlignment="1" pivotButton="0" quotePrefix="0" xfId="0">
      <alignment horizontal="right" vertical="bottom"/>
    </xf>
    <xf numFmtId="0" fontId="3" fillId="0" borderId="4" applyAlignment="1" pivotButton="0" quotePrefix="0" xfId="0">
      <alignment vertical="bottom"/>
    </xf>
    <xf numFmtId="0" fontId="3" fillId="0" borderId="5" applyAlignment="1" pivotButton="0" quotePrefix="0" xfId="0">
      <alignment vertical="bottom"/>
    </xf>
    <xf numFmtId="0" fontId="3" fillId="0" borderId="6" applyAlignment="1" pivotButton="0" quotePrefix="0" xfId="0">
      <alignment vertical="bottom"/>
    </xf>
    <xf numFmtId="0" fontId="2" fillId="0" borderId="4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0" fontId="2" fillId="0" borderId="8" applyAlignment="1" pivotButton="0" quotePrefix="0" xfId="0">
      <alignment horizontal="right" vertical="bottom"/>
    </xf>
    <xf numFmtId="0" fontId="2" fillId="2" borderId="1" applyAlignment="1" pivotButton="0" quotePrefix="0" xfId="0">
      <alignment vertical="bottom"/>
    </xf>
    <xf numFmtId="0" fontId="0" fillId="0" borderId="10" pivotButton="0" quotePrefix="0" xfId="0"/>
    <xf numFmtId="0" fontId="2" fillId="2" borderId="2" applyAlignment="1" pivotButton="0" quotePrefix="0" xfId="0">
      <alignment vertical="bottom"/>
    </xf>
    <xf numFmtId="0" fontId="2" fillId="2" borderId="3" applyAlignment="1" pivotButton="0" quotePrefix="0" xfId="0">
      <alignment vertical="bottom"/>
    </xf>
    <xf numFmtId="0" fontId="2" fillId="3" borderId="4" applyAlignment="1" pivotButton="0" quotePrefix="0" xfId="0">
      <alignment horizontal="right" vertical="bottom"/>
    </xf>
    <xf numFmtId="0" fontId="2" fillId="3" borderId="5" applyAlignment="1" pivotButton="0" quotePrefix="0" xfId="0">
      <alignment horizontal="right" vertical="bottom"/>
    </xf>
    <xf numFmtId="3" fontId="2" fillId="3" borderId="5" applyAlignment="1" pivotButton="0" quotePrefix="0" xfId="0">
      <alignment horizontal="right" vertical="bottom"/>
    </xf>
    <xf numFmtId="0" fontId="2" fillId="3" borderId="5" applyAlignment="1" pivotButton="0" quotePrefix="0" xfId="0">
      <alignment vertical="bottom"/>
    </xf>
    <xf numFmtId="0" fontId="2" fillId="3" borderId="6" applyAlignment="1" pivotButton="0" quotePrefix="0" xfId="0">
      <alignment horizontal="right" vertical="bottom"/>
    </xf>
    <xf numFmtId="0" fontId="2" fillId="4" borderId="4" applyAlignment="1" pivotButton="0" quotePrefix="0" xfId="0">
      <alignment horizontal="right" vertical="bottom"/>
    </xf>
    <xf numFmtId="0" fontId="2" fillId="4" borderId="5" applyAlignment="1" pivotButton="0" quotePrefix="0" xfId="0">
      <alignment horizontal="right" vertical="bottom"/>
    </xf>
    <xf numFmtId="3" fontId="2" fillId="4" borderId="5" applyAlignment="1" pivotButton="0" quotePrefix="0" xfId="0">
      <alignment horizontal="right" vertical="bottom"/>
    </xf>
    <xf numFmtId="0" fontId="2" fillId="4" borderId="5" applyAlignment="1" pivotButton="0" quotePrefix="0" xfId="0">
      <alignment vertical="bottom"/>
    </xf>
    <xf numFmtId="0" fontId="2" fillId="4" borderId="6" applyAlignment="1" pivotButton="0" quotePrefix="0" xfId="0">
      <alignment horizontal="right" vertical="bottom"/>
    </xf>
    <xf numFmtId="0" fontId="2" fillId="3" borderId="7" applyAlignment="1" pivotButton="0" quotePrefix="0" xfId="0">
      <alignment vertical="bottom"/>
    </xf>
    <xf numFmtId="1" fontId="2" fillId="3" borderId="8" applyAlignment="1" pivotButton="0" quotePrefix="0" xfId="0">
      <alignment horizontal="right" vertical="bottom"/>
    </xf>
    <xf numFmtId="3" fontId="2" fillId="3" borderId="8" applyAlignment="1" pivotButton="0" quotePrefix="0" xfId="0">
      <alignment horizontal="right" vertical="bottom"/>
    </xf>
    <xf numFmtId="0" fontId="2" fillId="3" borderId="8" applyAlignment="1" pivotButton="0" quotePrefix="0" xfId="0">
      <alignment vertical="bottom"/>
    </xf>
    <xf numFmtId="3" fontId="2" fillId="3" borderId="9" applyAlignment="1" pivotButton="0" quotePrefix="0" xfId="0">
      <alignment horizontal="right" vertical="bottom"/>
    </xf>
    <xf numFmtId="0" fontId="2" fillId="3" borderId="8" applyAlignment="1" pivotButton="0" quotePrefix="0" xfId="0">
      <alignment horizontal="right" vertical="bottom"/>
    </xf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2" fillId="0" borderId="7" applyAlignment="1" pivotButton="0" quotePrefix="0" xfId="0">
      <alignment horizontal="right" vertical="bottom"/>
    </xf>
    <xf numFmtId="0" fontId="2" fillId="0" borderId="9" applyAlignment="1" pivotButton="0" quotePrefix="0" xfId="0">
      <alignment horizontal="right" vertical="bottom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1" fontId="2" fillId="0" borderId="5" applyAlignment="1" pivotButton="0" quotePrefix="0" xfId="0">
      <alignment horizontal="right" vertical="bottom"/>
    </xf>
    <xf numFmtId="3" fontId="2" fillId="0" borderId="6" applyAlignment="1" pivotButton="0" quotePrefix="0" xfId="0">
      <alignment vertical="bottom"/>
    </xf>
    <xf numFmtId="164" fontId="2" fillId="0" borderId="5" applyAlignment="1" pivotButton="0" quotePrefix="0" xfId="0">
      <alignment horizontal="right" vertical="bottom"/>
    </xf>
    <xf numFmtId="164" fontId="2" fillId="0" borderId="8" applyAlignment="1" pivotButton="0" quotePrefix="0" xfId="0">
      <alignment horizontal="right" vertical="bottom"/>
    </xf>
    <xf numFmtId="3" fontId="2" fillId="0" borderId="9" applyAlignment="1" pivotButton="0" quotePrefix="0" xfId="0">
      <alignment vertical="bottom"/>
    </xf>
    <xf numFmtId="4" fontId="1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6"/>
  <sheetViews>
    <sheetView workbookViewId="0">
      <selection activeCell="A1" sqref="A1"/>
    </sheetView>
  </sheetViews>
  <sheetFormatPr baseColWidth="8" defaultRowHeight="15"/>
  <cols>
    <col width="10.64" customWidth="1" min="1" max="1"/>
    <col width="8.550000000000001" customWidth="1" min="2" max="2"/>
    <col width="9.640000000000001" customWidth="1" min="3" max="3"/>
    <col width="7.64" customWidth="1" min="4" max="4"/>
    <col width="23.27" customWidth="1" min="5" max="5"/>
    <col width="8.449999999999999" customWidth="1" min="6" max="6"/>
    <col width="16.18" customWidth="1" min="7" max="7"/>
    <col width="10.73" customWidth="1" min="8" max="8"/>
    <col width="23.55" customWidth="1" min="12" max="12"/>
    <col width="10.45" customWidth="1" min="15" max="15"/>
    <col width="24" customWidth="1" min="19" max="19"/>
  </cols>
  <sheetData>
    <row r="1">
      <c r="A1" s="1" t="inlineStr">
        <is>
          <t>T5 -&gt; T6 Research</t>
        </is>
      </c>
      <c r="B1" s="2" t="n"/>
      <c r="C1" s="2" t="n"/>
      <c r="D1" s="2" t="n"/>
      <c r="E1" s="2" t="n"/>
      <c r="F1" s="3" t="n"/>
      <c r="H1" s="1" t="inlineStr">
        <is>
          <t>T6 -&gt; T7 Research</t>
        </is>
      </c>
      <c r="I1" s="2" t="n"/>
      <c r="J1" s="2" t="n"/>
      <c r="K1" s="2" t="n"/>
      <c r="L1" s="2" t="n"/>
      <c r="M1" s="3" t="n"/>
      <c r="O1" s="1" t="inlineStr">
        <is>
          <t>T7 -&gt; T8 Research</t>
        </is>
      </c>
      <c r="P1" s="2" t="n"/>
      <c r="Q1" s="2" t="n"/>
      <c r="R1" s="2" t="n"/>
      <c r="S1" s="2" t="n"/>
      <c r="T1" s="3" t="n"/>
    </row>
    <row r="2">
      <c r="A2" s="4" t="inlineStr">
        <is>
          <t>1A - HP Up III</t>
        </is>
      </c>
      <c r="B2" s="5" t="inlineStr">
        <is>
          <t>Time</t>
        </is>
      </c>
      <c r="C2" s="5" t="inlineStr">
        <is>
          <t>Cells</t>
        </is>
      </c>
      <c r="D2" s="5" t="inlineStr">
        <is>
          <t>Btads</t>
        </is>
      </c>
      <c r="E2" s="5" t="n"/>
      <c r="F2" s="6" t="inlineStr">
        <is>
          <t>DNA Points</t>
        </is>
      </c>
      <c r="H2" s="4" t="inlineStr">
        <is>
          <t>1A - Troop DEF Up III</t>
        </is>
      </c>
      <c r="I2" s="5" t="inlineStr">
        <is>
          <t>Time (hours)</t>
        </is>
      </c>
      <c r="J2" s="5" t="inlineStr">
        <is>
          <t>Cells</t>
        </is>
      </c>
      <c r="K2" s="5" t="inlineStr">
        <is>
          <t>Btads</t>
        </is>
      </c>
      <c r="L2" s="5" t="n"/>
      <c r="M2" s="6" t="inlineStr">
        <is>
          <t>DNA Points</t>
        </is>
      </c>
      <c r="O2" s="4" t="inlineStr">
        <is>
          <t>1A - HP Up IV</t>
        </is>
      </c>
      <c r="P2" s="5" t="inlineStr">
        <is>
          <t>Time (days)</t>
        </is>
      </c>
      <c r="Q2" s="5" t="inlineStr">
        <is>
          <t>Cells</t>
        </is>
      </c>
      <c r="R2" s="5" t="inlineStr">
        <is>
          <t>Btads</t>
        </is>
      </c>
      <c r="S2" s="5" t="n"/>
      <c r="T2" s="6" t="inlineStr">
        <is>
          <t>DNA Points</t>
        </is>
      </c>
    </row>
    <row r="3">
      <c r="A3" s="7" t="n">
        <v>1</v>
      </c>
      <c r="B3" s="8" t="n">
        <v>6</v>
      </c>
      <c r="C3" s="9" t="n">
        <v>4000</v>
      </c>
      <c r="D3" s="9" t="n">
        <v>10000</v>
      </c>
      <c r="E3" s="10" t="inlineStr">
        <is>
          <t>Snail HP +60</t>
        </is>
      </c>
      <c r="F3" s="11" t="n">
        <v>80</v>
      </c>
      <c r="H3" s="7" t="n">
        <v>1</v>
      </c>
      <c r="I3" s="8" t="n">
        <v>12</v>
      </c>
      <c r="J3" s="9" t="n">
        <v>10000</v>
      </c>
      <c r="K3" s="9" t="n">
        <v>50000</v>
      </c>
      <c r="L3" s="10" t="inlineStr">
        <is>
          <t>Per 30 Minions, Troop DEF +9</t>
        </is>
      </c>
      <c r="M3" s="11" t="n">
        <v>120</v>
      </c>
      <c r="O3" s="7" t="n">
        <v>1</v>
      </c>
      <c r="P3" s="8" t="n">
        <v>2</v>
      </c>
      <c r="Q3" s="9" t="n">
        <v>20000</v>
      </c>
      <c r="R3" s="9" t="n">
        <v>200000</v>
      </c>
      <c r="S3" s="10" t="inlineStr">
        <is>
          <t>Snail HP +180</t>
        </is>
      </c>
      <c r="T3" s="11" t="n">
        <v>200</v>
      </c>
    </row>
    <row r="4">
      <c r="A4" s="7" t="n">
        <v>2</v>
      </c>
      <c r="B4" s="8" t="n">
        <v>9</v>
      </c>
      <c r="C4" s="9" t="n">
        <v>5000</v>
      </c>
      <c r="D4" s="9" t="n">
        <v>12500</v>
      </c>
      <c r="E4" s="10" t="inlineStr">
        <is>
          <t>Snail HP +140</t>
        </is>
      </c>
      <c r="F4" s="11" t="n">
        <v>120</v>
      </c>
      <c r="H4" s="7" t="n">
        <v>2</v>
      </c>
      <c r="I4" s="8" t="n">
        <v>20</v>
      </c>
      <c r="J4" s="9" t="n">
        <v>12500</v>
      </c>
      <c r="K4" s="9" t="n">
        <v>62500</v>
      </c>
      <c r="L4" s="10" t="inlineStr">
        <is>
          <t>Per 30 Minions, Troop DEF +18</t>
        </is>
      </c>
      <c r="M4" s="11" t="n">
        <v>180</v>
      </c>
      <c r="O4" s="7" t="n">
        <v>2</v>
      </c>
      <c r="P4" s="8" t="n">
        <v>3</v>
      </c>
      <c r="Q4" s="9" t="n">
        <v>25000</v>
      </c>
      <c r="R4" s="9" t="n">
        <v>250000</v>
      </c>
      <c r="S4" s="10" t="inlineStr">
        <is>
          <t>Snail HP +390</t>
        </is>
      </c>
      <c r="T4" s="11" t="n">
        <v>300</v>
      </c>
    </row>
    <row r="5">
      <c r="A5" s="7" t="n">
        <v>3</v>
      </c>
      <c r="B5" s="8" t="n">
        <v>12</v>
      </c>
      <c r="C5" s="9" t="n">
        <v>6000</v>
      </c>
      <c r="D5" s="9" t="n">
        <v>15000</v>
      </c>
      <c r="E5" s="10" t="inlineStr">
        <is>
          <t>Snail HP +240</t>
        </is>
      </c>
      <c r="F5" s="11" t="n">
        <v>160</v>
      </c>
      <c r="H5" s="7" t="n">
        <v>3</v>
      </c>
      <c r="I5" s="8" t="n">
        <v>28</v>
      </c>
      <c r="J5" s="9" t="n">
        <v>15000</v>
      </c>
      <c r="K5" s="9" t="n">
        <v>75000</v>
      </c>
      <c r="L5" s="10" t="inlineStr">
        <is>
          <t>Per 30 Minions, Troop DEF +27</t>
        </is>
      </c>
      <c r="M5" s="11" t="n">
        <v>240</v>
      </c>
      <c r="O5" s="7" t="n">
        <v>3</v>
      </c>
      <c r="P5" s="8" t="n">
        <v>4</v>
      </c>
      <c r="Q5" s="9" t="n">
        <v>30000</v>
      </c>
      <c r="R5" s="9" t="n">
        <v>300000</v>
      </c>
      <c r="S5" s="10" t="inlineStr">
        <is>
          <t>Snail HP +630</t>
        </is>
      </c>
      <c r="T5" s="11" t="n">
        <v>400</v>
      </c>
    </row>
    <row r="6">
      <c r="A6" s="7" t="n">
        <v>4</v>
      </c>
      <c r="B6" s="8" t="n">
        <v>15</v>
      </c>
      <c r="C6" s="9" t="n">
        <v>7000</v>
      </c>
      <c r="D6" s="9" t="n">
        <v>17500</v>
      </c>
      <c r="E6" s="10" t="inlineStr">
        <is>
          <t>Snail HP +360</t>
        </is>
      </c>
      <c r="F6" s="11" t="n">
        <v>200</v>
      </c>
      <c r="H6" s="7" t="n">
        <v>4</v>
      </c>
      <c r="I6" s="8" t="n">
        <v>36</v>
      </c>
      <c r="J6" s="9" t="n">
        <v>17500</v>
      </c>
      <c r="K6" s="9" t="n">
        <v>87500</v>
      </c>
      <c r="L6" s="10" t="inlineStr">
        <is>
          <t>Per 30 Minions, Troop DEF +36</t>
        </is>
      </c>
      <c r="M6" s="11" t="n">
        <v>300</v>
      </c>
      <c r="O6" s="7" t="n">
        <v>4</v>
      </c>
      <c r="P6" s="8" t="n">
        <v>5</v>
      </c>
      <c r="Q6" s="9" t="n">
        <v>35000</v>
      </c>
      <c r="R6" s="9" t="n">
        <v>350000</v>
      </c>
      <c r="S6" s="10" t="inlineStr">
        <is>
          <t>Snail HP +900</t>
        </is>
      </c>
      <c r="T6" s="11" t="n">
        <v>500</v>
      </c>
    </row>
    <row r="7">
      <c r="A7" s="7" t="n">
        <v>5</v>
      </c>
      <c r="B7" s="8" t="n">
        <v>18</v>
      </c>
      <c r="C7" s="9" t="n">
        <v>8000</v>
      </c>
      <c r="D7" s="9" t="n">
        <v>20000</v>
      </c>
      <c r="E7" s="10" t="inlineStr">
        <is>
          <t>Snail HP +500</t>
        </is>
      </c>
      <c r="F7" s="11" t="n">
        <v>240</v>
      </c>
      <c r="H7" s="7" t="n">
        <v>5</v>
      </c>
      <c r="I7" s="8" t="n">
        <v>44</v>
      </c>
      <c r="J7" s="9" t="n">
        <v>20000</v>
      </c>
      <c r="K7" s="9" t="n">
        <v>100000</v>
      </c>
      <c r="L7" s="10" t="inlineStr">
        <is>
          <t>Per 30 Minions, Troop DEF +45</t>
        </is>
      </c>
      <c r="M7" s="11" t="n">
        <v>360</v>
      </c>
      <c r="O7" s="7" t="n">
        <v>5</v>
      </c>
      <c r="P7" s="8" t="n">
        <v>6</v>
      </c>
      <c r="Q7" s="9" t="n">
        <v>40000</v>
      </c>
      <c r="R7" s="9" t="n">
        <v>400000</v>
      </c>
      <c r="S7" s="10" t="inlineStr">
        <is>
          <t>Snail HP +1200</t>
        </is>
      </c>
      <c r="T7" s="11" t="n">
        <v>600</v>
      </c>
    </row>
    <row r="8">
      <c r="A8" s="7" t="n">
        <v>6</v>
      </c>
      <c r="B8" s="8" t="n">
        <v>21</v>
      </c>
      <c r="C8" s="9" t="n">
        <v>9000</v>
      </c>
      <c r="D8" s="9" t="n">
        <v>22500</v>
      </c>
      <c r="E8" s="10" t="inlineStr">
        <is>
          <t>Snail HP +660</t>
        </is>
      </c>
      <c r="F8" s="11" t="n">
        <v>280</v>
      </c>
      <c r="H8" s="7" t="n">
        <v>6</v>
      </c>
      <c r="I8" s="8" t="n">
        <v>52</v>
      </c>
      <c r="J8" s="9" t="n">
        <v>22500</v>
      </c>
      <c r="K8" s="9" t="n">
        <v>112500</v>
      </c>
      <c r="L8" s="10" t="inlineStr">
        <is>
          <t>Per 30 Minions, Troop DEF +54</t>
        </is>
      </c>
      <c r="M8" s="11" t="n">
        <v>420</v>
      </c>
      <c r="O8" s="7" t="n">
        <v>6</v>
      </c>
      <c r="P8" s="8" t="n">
        <v>7</v>
      </c>
      <c r="Q8" s="9" t="n">
        <v>45000</v>
      </c>
      <c r="R8" s="9" t="n">
        <v>450000</v>
      </c>
      <c r="S8" s="10" t="inlineStr">
        <is>
          <t>Snail HP +1530</t>
        </is>
      </c>
      <c r="T8" s="11" t="n">
        <v>700</v>
      </c>
    </row>
    <row r="9">
      <c r="A9" s="7" t="n">
        <v>7</v>
      </c>
      <c r="B9" s="8" t="n">
        <v>24</v>
      </c>
      <c r="C9" s="9" t="n">
        <v>10000</v>
      </c>
      <c r="D9" s="9" t="n">
        <v>25000</v>
      </c>
      <c r="E9" s="10" t="inlineStr">
        <is>
          <t>Snail HP +840</t>
        </is>
      </c>
      <c r="F9" s="11" t="n">
        <v>320</v>
      </c>
      <c r="H9" s="7" t="n">
        <v>7</v>
      </c>
      <c r="I9" s="8" t="n">
        <v>60</v>
      </c>
      <c r="J9" s="9" t="n">
        <v>25000</v>
      </c>
      <c r="K9" s="9" t="n">
        <v>125000</v>
      </c>
      <c r="L9" s="10" t="inlineStr">
        <is>
          <t>Per 30 Minions, Troop DEF +63</t>
        </is>
      </c>
      <c r="M9" s="11" t="n">
        <v>480</v>
      </c>
      <c r="O9" s="7" t="n">
        <v>7</v>
      </c>
      <c r="P9" s="8" t="n">
        <v>8</v>
      </c>
      <c r="Q9" s="9" t="n">
        <v>50000</v>
      </c>
      <c r="R9" s="9" t="n">
        <v>500000</v>
      </c>
      <c r="S9" s="10" t="inlineStr">
        <is>
          <t>Snail HP +1890</t>
        </is>
      </c>
      <c r="T9" s="11" t="n">
        <v>800</v>
      </c>
    </row>
    <row r="10">
      <c r="A10" s="7" t="n">
        <v>8</v>
      </c>
      <c r="B10" s="8" t="n">
        <v>27</v>
      </c>
      <c r="C10" s="9" t="n">
        <v>11000</v>
      </c>
      <c r="D10" s="9" t="n">
        <v>25000</v>
      </c>
      <c r="E10" s="10" t="inlineStr">
        <is>
          <t>Snail HP +1,040</t>
        </is>
      </c>
      <c r="F10" s="11" t="n">
        <v>360</v>
      </c>
      <c r="H10" s="7" t="n">
        <v>8</v>
      </c>
      <c r="I10" s="8" t="n">
        <v>68</v>
      </c>
      <c r="J10" s="9" t="n">
        <v>27500</v>
      </c>
      <c r="K10" s="9" t="n">
        <v>137500</v>
      </c>
      <c r="L10" s="10" t="inlineStr">
        <is>
          <t>Per 30 Minions, Troop DEF +72</t>
        </is>
      </c>
      <c r="M10" s="11" t="n">
        <v>540</v>
      </c>
      <c r="O10" s="7" t="n">
        <v>8</v>
      </c>
      <c r="P10" s="8" t="n">
        <v>9</v>
      </c>
      <c r="Q10" s="9" t="n">
        <v>55000</v>
      </c>
      <c r="R10" s="9" t="n">
        <v>550000</v>
      </c>
      <c r="S10" s="10" t="inlineStr">
        <is>
          <t>Snail HP +2280</t>
        </is>
      </c>
      <c r="T10" s="11" t="n">
        <v>900</v>
      </c>
    </row>
    <row r="11">
      <c r="A11" s="7" t="n">
        <v>9</v>
      </c>
      <c r="B11" s="8" t="n">
        <v>30</v>
      </c>
      <c r="C11" s="9" t="n">
        <v>12000</v>
      </c>
      <c r="D11" s="9" t="n">
        <v>30000</v>
      </c>
      <c r="E11" s="10" t="inlineStr">
        <is>
          <t>Snail HP +1,260</t>
        </is>
      </c>
      <c r="F11" s="11" t="n">
        <v>400</v>
      </c>
      <c r="H11" s="7" t="n">
        <v>9</v>
      </c>
      <c r="I11" s="8" t="n">
        <v>76</v>
      </c>
      <c r="J11" s="9" t="n">
        <v>30000</v>
      </c>
      <c r="K11" s="9" t="n">
        <v>150000</v>
      </c>
      <c r="L11" s="10" t="inlineStr">
        <is>
          <t>Per 30 Minions, Troop DEF +81</t>
        </is>
      </c>
      <c r="M11" s="11" t="n">
        <v>600</v>
      </c>
      <c r="O11" s="7" t="n">
        <v>9</v>
      </c>
      <c r="P11" s="8" t="n">
        <v>10</v>
      </c>
      <c r="Q11" s="9" t="n">
        <v>60000</v>
      </c>
      <c r="R11" s="9" t="n">
        <v>600000</v>
      </c>
      <c r="S11" s="10" t="inlineStr">
        <is>
          <t>Snail HP +2700</t>
        </is>
      </c>
      <c r="T11" s="11" t="n">
        <v>1000</v>
      </c>
    </row>
    <row r="12">
      <c r="A12" s="7" t="n">
        <v>10</v>
      </c>
      <c r="B12" s="8" t="n">
        <v>33</v>
      </c>
      <c r="C12" s="9" t="n">
        <v>13000</v>
      </c>
      <c r="D12" s="9" t="n">
        <v>32500</v>
      </c>
      <c r="E12" s="10" t="inlineStr">
        <is>
          <t>Snail HP +1,500</t>
        </is>
      </c>
      <c r="F12" s="11" t="n">
        <v>440</v>
      </c>
      <c r="H12" s="7" t="n">
        <v>10</v>
      </c>
      <c r="I12" s="8" t="n">
        <v>84</v>
      </c>
      <c r="J12" s="9" t="n">
        <v>32500</v>
      </c>
      <c r="K12" s="9" t="n">
        <v>162500</v>
      </c>
      <c r="L12" s="10" t="inlineStr">
        <is>
          <t>Per 30 Minions, Troop DEF +90</t>
        </is>
      </c>
      <c r="M12" s="11" t="n">
        <v>660</v>
      </c>
      <c r="O12" s="7" t="n">
        <v>10</v>
      </c>
      <c r="P12" s="8" t="n">
        <v>11</v>
      </c>
      <c r="Q12" s="9" t="n">
        <v>65000</v>
      </c>
      <c r="R12" s="9" t="n">
        <v>650000</v>
      </c>
      <c r="S12" s="10" t="inlineStr">
        <is>
          <t>Snail HP +3150</t>
        </is>
      </c>
      <c r="T12" s="11" t="n">
        <v>1100</v>
      </c>
    </row>
    <row r="13">
      <c r="A13" s="12" t="inlineStr">
        <is>
          <t>Total</t>
        </is>
      </c>
      <c r="B13" s="13">
        <f>SUM(B3:B12)</f>
        <v/>
      </c>
      <c r="C13" s="14">
        <f>SUM(C3:C12)</f>
        <v/>
      </c>
      <c r="D13" s="14">
        <f>SUM(D3:D12)</f>
        <v/>
      </c>
      <c r="E13" s="15" t="n"/>
      <c r="F13" s="16">
        <f>SUM(F3:F12)</f>
        <v/>
      </c>
      <c r="H13" s="12" t="inlineStr">
        <is>
          <t>Total</t>
        </is>
      </c>
      <c r="I13" s="13">
        <f>SUM(I3:I12)</f>
        <v/>
      </c>
      <c r="J13" s="14">
        <f>SUM(J3:J12)</f>
        <v/>
      </c>
      <c r="K13" s="14">
        <f>SUM(K3:K12)</f>
        <v/>
      </c>
      <c r="L13" s="15" t="n"/>
      <c r="M13" s="16">
        <f>SUM(M3:M12)</f>
        <v/>
      </c>
      <c r="O13" s="12" t="inlineStr">
        <is>
          <t>Total</t>
        </is>
      </c>
      <c r="P13" s="13">
        <f>SUM(P3:P12)</f>
        <v/>
      </c>
      <c r="Q13" s="14">
        <f>SUM(Q3:Q12)</f>
        <v/>
      </c>
      <c r="R13" s="14">
        <f>SUM(R3:R12)</f>
        <v/>
      </c>
      <c r="S13" s="15" t="n"/>
      <c r="T13" s="16">
        <f>SUM(T3:T12)</f>
        <v/>
      </c>
    </row>
    <row r="14">
      <c r="A14" s="17" t="n"/>
      <c r="B14" s="18" t="n"/>
      <c r="C14" s="18" t="n"/>
      <c r="D14" s="18" t="n"/>
      <c r="E14" s="18" t="n"/>
      <c r="F14" s="19" t="n"/>
      <c r="H14" s="17" t="n"/>
      <c r="I14" s="18" t="n"/>
      <c r="J14" s="18" t="n"/>
      <c r="K14" s="18" t="n"/>
      <c r="L14" s="18" t="n"/>
      <c r="M14" s="19" t="n"/>
      <c r="O14" s="17" t="n"/>
      <c r="P14" s="18" t="n"/>
      <c r="Q14" s="18" t="n"/>
      <c r="R14" s="18" t="n"/>
      <c r="S14" s="18" t="n"/>
      <c r="T14" s="19" t="n"/>
    </row>
    <row r="15">
      <c r="A15" s="20" t="n"/>
      <c r="B15" s="10" t="n"/>
      <c r="C15" s="10" t="n"/>
      <c r="D15" s="10" t="n"/>
      <c r="E15" s="10" t="n"/>
      <c r="F15" s="21" t="n"/>
      <c r="H15" s="20" t="n"/>
      <c r="I15" s="10" t="n"/>
      <c r="J15" s="10" t="n"/>
      <c r="K15" s="10" t="n"/>
      <c r="L15" s="10" t="n"/>
      <c r="M15" s="21" t="n"/>
      <c r="O15" s="20" t="n"/>
      <c r="P15" s="10" t="n"/>
      <c r="Q15" s="10" t="n"/>
      <c r="R15" s="10" t="n"/>
      <c r="S15" s="10" t="n"/>
      <c r="T15" s="21" t="n"/>
    </row>
    <row r="16">
      <c r="A16" s="4" t="inlineStr">
        <is>
          <t>1B - ATK Up III</t>
        </is>
      </c>
      <c r="B16" s="5" t="n"/>
      <c r="C16" s="5" t="inlineStr">
        <is>
          <t>Cells</t>
        </is>
      </c>
      <c r="D16" s="5" t="inlineStr">
        <is>
          <t>Btads</t>
        </is>
      </c>
      <c r="E16" s="5" t="n"/>
      <c r="F16" s="6" t="inlineStr">
        <is>
          <t>DNA Points</t>
        </is>
      </c>
      <c r="H16" s="4" t="inlineStr">
        <is>
          <t>1B - Troop RUSH Up III</t>
        </is>
      </c>
      <c r="I16" s="5" t="n"/>
      <c r="J16" s="5" t="inlineStr">
        <is>
          <t>Cells</t>
        </is>
      </c>
      <c r="K16" s="5" t="inlineStr">
        <is>
          <t>Btads</t>
        </is>
      </c>
      <c r="L16" s="5" t="n"/>
      <c r="M16" s="6" t="inlineStr">
        <is>
          <t>DNA Points</t>
        </is>
      </c>
      <c r="O16" s="4" t="inlineStr">
        <is>
          <t>1B - ATK Up IV</t>
        </is>
      </c>
      <c r="P16" s="5" t="n"/>
      <c r="Q16" s="5" t="inlineStr">
        <is>
          <t>Cells</t>
        </is>
      </c>
      <c r="R16" s="5" t="inlineStr">
        <is>
          <t>Btads</t>
        </is>
      </c>
      <c r="S16" s="5" t="n"/>
      <c r="T16" s="6" t="inlineStr">
        <is>
          <t>DNA Points</t>
        </is>
      </c>
    </row>
    <row r="17">
      <c r="A17" s="7" t="n">
        <v>1</v>
      </c>
      <c r="B17" s="8" t="n">
        <v>8</v>
      </c>
      <c r="C17" s="9" t="n">
        <v>6000</v>
      </c>
      <c r="D17" s="9" t="n">
        <v>15000</v>
      </c>
      <c r="E17" s="10" t="inlineStr">
        <is>
          <t>Snail ATK +12</t>
        </is>
      </c>
      <c r="F17" s="11" t="n">
        <v>90</v>
      </c>
      <c r="H17" s="7" t="n">
        <v>1</v>
      </c>
      <c r="I17" s="8" t="n">
        <v>15</v>
      </c>
      <c r="J17" s="9" t="n">
        <v>12000</v>
      </c>
      <c r="K17" s="9" t="n">
        <v>60000</v>
      </c>
      <c r="L17" s="10" t="inlineStr">
        <is>
          <t>Per 30 Minions, Troop RUSH +9</t>
        </is>
      </c>
      <c r="M17" s="11" t="n">
        <v>140</v>
      </c>
      <c r="O17" s="7" t="n">
        <v>1</v>
      </c>
      <c r="P17" s="8" t="n">
        <v>4</v>
      </c>
      <c r="Q17" s="9" t="n">
        <v>32000</v>
      </c>
      <c r="R17" s="9" t="n">
        <v>320000</v>
      </c>
      <c r="S17" s="10" t="inlineStr">
        <is>
          <t>Snail ATK +36</t>
        </is>
      </c>
      <c r="T17" s="11" t="n">
        <v>240</v>
      </c>
    </row>
    <row r="18">
      <c r="A18" s="7" t="n">
        <v>2</v>
      </c>
      <c r="B18" s="8" t="n">
        <v>12</v>
      </c>
      <c r="C18" s="9" t="n">
        <v>7500</v>
      </c>
      <c r="D18" s="9" t="n">
        <v>18750</v>
      </c>
      <c r="E18" s="10" t="inlineStr">
        <is>
          <t>Snail ATK +28</t>
        </is>
      </c>
      <c r="F18" s="11" t="n">
        <v>135</v>
      </c>
      <c r="H18" s="7" t="n">
        <v>2</v>
      </c>
      <c r="I18" s="8" t="n">
        <v>25</v>
      </c>
      <c r="J18" s="9" t="n">
        <v>15000</v>
      </c>
      <c r="K18" s="9" t="n">
        <v>75000</v>
      </c>
      <c r="L18" s="10" t="inlineStr">
        <is>
          <t>Per 30 Minions, Troop RUSH +18</t>
        </is>
      </c>
      <c r="M18" s="11" t="n">
        <v>210</v>
      </c>
      <c r="O18" s="7" t="n">
        <v>2</v>
      </c>
      <c r="P18" s="8" t="n">
        <v>6</v>
      </c>
      <c r="Q18" s="9" t="n">
        <v>40000</v>
      </c>
      <c r="R18" s="9" t="n">
        <v>400000</v>
      </c>
      <c r="S18" s="10" t="inlineStr">
        <is>
          <t>Snail ATK +78</t>
        </is>
      </c>
      <c r="T18" s="11" t="n">
        <v>360</v>
      </c>
    </row>
    <row r="19">
      <c r="A19" s="7" t="n">
        <v>3</v>
      </c>
      <c r="B19" s="8" t="n">
        <v>16</v>
      </c>
      <c r="C19" s="9" t="n">
        <v>9000</v>
      </c>
      <c r="D19" s="9" t="n">
        <v>22500</v>
      </c>
      <c r="E19" s="10" t="inlineStr">
        <is>
          <t>Snail ATK +48</t>
        </is>
      </c>
      <c r="F19" s="11" t="n">
        <v>180</v>
      </c>
      <c r="H19" s="7" t="n">
        <v>3</v>
      </c>
      <c r="I19" s="8" t="n">
        <v>35</v>
      </c>
      <c r="J19" s="9" t="n">
        <v>18000</v>
      </c>
      <c r="K19" s="9" t="n">
        <v>90000</v>
      </c>
      <c r="L19" s="10" t="inlineStr">
        <is>
          <t>Per 30 Minions, Troop RUSH +27</t>
        </is>
      </c>
      <c r="M19" s="11" t="n">
        <v>280</v>
      </c>
      <c r="O19" s="7" t="n">
        <v>3</v>
      </c>
      <c r="P19" s="8" t="n">
        <v>8</v>
      </c>
      <c r="Q19" s="9" t="n">
        <v>48000</v>
      </c>
      <c r="R19" s="9" t="n">
        <v>480000</v>
      </c>
      <c r="S19" s="10" t="inlineStr">
        <is>
          <t>Snail ATK +126</t>
        </is>
      </c>
      <c r="T19" s="11" t="n">
        <v>480</v>
      </c>
    </row>
    <row r="20">
      <c r="A20" s="7" t="n">
        <v>4</v>
      </c>
      <c r="B20" s="8" t="n">
        <v>20</v>
      </c>
      <c r="C20" s="9" t="n">
        <v>10500</v>
      </c>
      <c r="D20" s="9" t="n">
        <v>26250</v>
      </c>
      <c r="E20" s="10" t="inlineStr">
        <is>
          <t>Snail ATK +72</t>
        </is>
      </c>
      <c r="F20" s="11" t="n">
        <v>225</v>
      </c>
      <c r="H20" s="7" t="n">
        <v>4</v>
      </c>
      <c r="I20" s="8" t="n">
        <v>45</v>
      </c>
      <c r="J20" s="9" t="n">
        <v>21000</v>
      </c>
      <c r="K20" s="9" t="n">
        <v>105000</v>
      </c>
      <c r="L20" s="10" t="inlineStr">
        <is>
          <t>Per 30 Minions, Troop RUSH +36</t>
        </is>
      </c>
      <c r="M20" s="11" t="n">
        <v>350</v>
      </c>
      <c r="O20" s="7" t="n">
        <v>4</v>
      </c>
      <c r="P20" s="8" t="n">
        <v>10</v>
      </c>
      <c r="Q20" s="9" t="n">
        <v>56000</v>
      </c>
      <c r="R20" s="9" t="n">
        <v>560000</v>
      </c>
      <c r="S20" s="10" t="inlineStr">
        <is>
          <t>Snail ATK +180</t>
        </is>
      </c>
      <c r="T20" s="11" t="n">
        <v>600</v>
      </c>
    </row>
    <row r="21">
      <c r="A21" s="7" t="n">
        <v>5</v>
      </c>
      <c r="B21" s="8" t="n">
        <v>24</v>
      </c>
      <c r="C21" s="9" t="n">
        <v>12000</v>
      </c>
      <c r="D21" s="9" t="n">
        <v>30000</v>
      </c>
      <c r="E21" s="10" t="inlineStr">
        <is>
          <t>Snail ATK +100</t>
        </is>
      </c>
      <c r="F21" s="11" t="n">
        <v>270</v>
      </c>
      <c r="H21" s="7" t="n">
        <v>5</v>
      </c>
      <c r="I21" s="8" t="n">
        <v>55</v>
      </c>
      <c r="J21" s="9" t="n">
        <v>24000</v>
      </c>
      <c r="K21" s="9" t="n">
        <v>120000</v>
      </c>
      <c r="L21" s="10" t="inlineStr">
        <is>
          <t>Per 30 Minions, Troop RUSH +45</t>
        </is>
      </c>
      <c r="M21" s="11" t="n">
        <v>420</v>
      </c>
      <c r="O21" s="7" t="n">
        <v>5</v>
      </c>
      <c r="P21" s="8" t="n">
        <v>12</v>
      </c>
      <c r="Q21" s="9" t="n">
        <v>64000</v>
      </c>
      <c r="R21" s="9" t="n">
        <v>640000</v>
      </c>
      <c r="S21" s="10" t="inlineStr">
        <is>
          <t>Snail ATK +240</t>
        </is>
      </c>
      <c r="T21" s="11" t="n">
        <v>720</v>
      </c>
    </row>
    <row r="22">
      <c r="A22" s="7" t="n">
        <v>6</v>
      </c>
      <c r="B22" s="8" t="n">
        <v>28</v>
      </c>
      <c r="C22" s="9" t="n">
        <v>13500</v>
      </c>
      <c r="D22" s="9" t="n">
        <v>37500</v>
      </c>
      <c r="E22" s="10" t="inlineStr">
        <is>
          <t>Snail ATK +132</t>
        </is>
      </c>
      <c r="F22" s="11" t="n">
        <v>315</v>
      </c>
      <c r="H22" s="7" t="n">
        <v>6</v>
      </c>
      <c r="I22" s="8" t="n">
        <v>65</v>
      </c>
      <c r="J22" s="9" t="n">
        <v>27000</v>
      </c>
      <c r="K22" s="9" t="n">
        <v>135000</v>
      </c>
      <c r="L22" s="10" t="inlineStr">
        <is>
          <t>Per 30 Minions, Troop RUSH +54</t>
        </is>
      </c>
      <c r="M22" s="11" t="n">
        <v>490</v>
      </c>
      <c r="O22" s="7" t="n">
        <v>6</v>
      </c>
      <c r="P22" s="8" t="n">
        <v>14</v>
      </c>
      <c r="Q22" s="9" t="n">
        <v>72000</v>
      </c>
      <c r="R22" s="9" t="n">
        <v>720000</v>
      </c>
      <c r="S22" s="10" t="inlineStr">
        <is>
          <t>Snail ATK +306</t>
        </is>
      </c>
      <c r="T22" s="11" t="n">
        <v>840</v>
      </c>
    </row>
    <row r="23">
      <c r="A23" s="7" t="n">
        <v>7</v>
      </c>
      <c r="B23" s="8" t="n">
        <v>32</v>
      </c>
      <c r="C23" s="9" t="n">
        <v>15000</v>
      </c>
      <c r="D23" s="9" t="n">
        <v>37500</v>
      </c>
      <c r="E23" s="10" t="inlineStr">
        <is>
          <t>Snail ATK +168</t>
        </is>
      </c>
      <c r="F23" s="11" t="n">
        <v>360</v>
      </c>
      <c r="H23" s="7" t="n">
        <v>7</v>
      </c>
      <c r="I23" s="8" t="n">
        <v>75</v>
      </c>
      <c r="J23" s="9" t="n">
        <v>30000</v>
      </c>
      <c r="K23" s="9" t="n">
        <v>150000</v>
      </c>
      <c r="L23" s="10" t="inlineStr">
        <is>
          <t>Per 30 Minions, Troop RUSH +63</t>
        </is>
      </c>
      <c r="M23" s="11" t="n">
        <v>560</v>
      </c>
      <c r="O23" s="7" t="n">
        <v>7</v>
      </c>
      <c r="P23" s="8" t="n">
        <v>16</v>
      </c>
      <c r="Q23" s="9" t="n">
        <v>80000</v>
      </c>
      <c r="R23" s="9" t="n">
        <v>800000</v>
      </c>
      <c r="S23" s="10" t="inlineStr">
        <is>
          <t>Snail ATK +378</t>
        </is>
      </c>
      <c r="T23" s="11" t="n">
        <v>960</v>
      </c>
    </row>
    <row r="24">
      <c r="A24" s="7" t="n">
        <v>8</v>
      </c>
      <c r="B24" s="8" t="n">
        <v>36</v>
      </c>
      <c r="C24" s="9" t="n">
        <v>16500</v>
      </c>
      <c r="D24" s="9" t="n">
        <v>41250</v>
      </c>
      <c r="E24" s="10" t="inlineStr">
        <is>
          <t>Snail ATK +208</t>
        </is>
      </c>
      <c r="F24" s="11" t="n">
        <v>405</v>
      </c>
      <c r="H24" s="7" t="n">
        <v>8</v>
      </c>
      <c r="I24" s="8" t="n">
        <v>85</v>
      </c>
      <c r="J24" s="9" t="n">
        <v>33000</v>
      </c>
      <c r="K24" s="9" t="n">
        <v>165000</v>
      </c>
      <c r="L24" s="10" t="inlineStr">
        <is>
          <t>Per 30 Minions, Troop RUSH +72</t>
        </is>
      </c>
      <c r="M24" s="11" t="n">
        <v>630</v>
      </c>
      <c r="O24" s="7" t="n">
        <v>8</v>
      </c>
      <c r="P24" s="8" t="n">
        <v>18</v>
      </c>
      <c r="Q24" s="9" t="n">
        <v>88000</v>
      </c>
      <c r="R24" s="9" t="n">
        <v>880000</v>
      </c>
      <c r="S24" s="10" t="inlineStr">
        <is>
          <t>Snail ATK +456</t>
        </is>
      </c>
      <c r="T24" s="11" t="n">
        <v>1080</v>
      </c>
    </row>
    <row r="25">
      <c r="A25" s="7" t="n">
        <v>9</v>
      </c>
      <c r="B25" s="8" t="n">
        <v>40</v>
      </c>
      <c r="C25" s="9" t="n">
        <v>18000</v>
      </c>
      <c r="D25" s="9" t="n">
        <v>45000</v>
      </c>
      <c r="E25" s="10" t="inlineStr">
        <is>
          <t>Snail ATK +252</t>
        </is>
      </c>
      <c r="F25" s="11" t="n">
        <v>450</v>
      </c>
      <c r="H25" s="7" t="n">
        <v>9</v>
      </c>
      <c r="I25" s="8" t="n">
        <v>95</v>
      </c>
      <c r="J25" s="9" t="n">
        <v>36000</v>
      </c>
      <c r="K25" s="9" t="n">
        <v>180000</v>
      </c>
      <c r="L25" s="10" t="inlineStr">
        <is>
          <t>Per 30 Minions, Troop RUSH +81</t>
        </is>
      </c>
      <c r="M25" s="11" t="n">
        <v>700</v>
      </c>
      <c r="O25" s="7" t="n">
        <v>9</v>
      </c>
      <c r="P25" s="8" t="n">
        <v>20</v>
      </c>
      <c r="Q25" s="9" t="n">
        <v>96000</v>
      </c>
      <c r="R25" s="9" t="n">
        <v>960000</v>
      </c>
      <c r="S25" s="10" t="inlineStr">
        <is>
          <t>Snail ATK +540</t>
        </is>
      </c>
      <c r="T25" s="11" t="n">
        <v>1200</v>
      </c>
    </row>
    <row r="26">
      <c r="A26" s="7" t="n">
        <v>10</v>
      </c>
      <c r="B26" s="8" t="n">
        <v>44</v>
      </c>
      <c r="C26" s="9" t="n">
        <v>19500</v>
      </c>
      <c r="D26" s="9" t="n">
        <v>48750</v>
      </c>
      <c r="E26" s="10" t="inlineStr">
        <is>
          <t>Snail ATK +300</t>
        </is>
      </c>
      <c r="F26" s="11" t="n">
        <v>495</v>
      </c>
      <c r="H26" s="7" t="n">
        <v>10</v>
      </c>
      <c r="I26" s="8" t="n">
        <v>105</v>
      </c>
      <c r="J26" s="9" t="n">
        <v>39000</v>
      </c>
      <c r="K26" s="9" t="n">
        <v>195000</v>
      </c>
      <c r="L26" s="10" t="inlineStr">
        <is>
          <t>Per 30 Minions, Troop RUSH +90</t>
        </is>
      </c>
      <c r="M26" s="11" t="n">
        <v>770</v>
      </c>
      <c r="O26" s="7" t="n">
        <v>10</v>
      </c>
      <c r="P26" s="8" t="n">
        <v>22</v>
      </c>
      <c r="Q26" s="9" t="n">
        <v>104000</v>
      </c>
      <c r="R26" s="9" t="n">
        <v>1040000</v>
      </c>
      <c r="S26" s="10" t="inlineStr">
        <is>
          <t>Snail ATK +630</t>
        </is>
      </c>
      <c r="T26" s="11" t="n">
        <v>1320</v>
      </c>
    </row>
    <row r="27">
      <c r="A27" s="12" t="inlineStr">
        <is>
          <t>Total</t>
        </is>
      </c>
      <c r="B27" s="13">
        <f>SUM(B17:B26)</f>
        <v/>
      </c>
      <c r="C27" s="14">
        <f>SUM(C17:C26)</f>
        <v/>
      </c>
      <c r="D27" s="14">
        <f>SUM(D17:D26)</f>
        <v/>
      </c>
      <c r="E27" s="15" t="n"/>
      <c r="F27" s="16">
        <f>SUM(F17:F26)</f>
        <v/>
      </c>
      <c r="H27" s="12" t="inlineStr">
        <is>
          <t>Total</t>
        </is>
      </c>
      <c r="I27" s="13">
        <f>SUM(I17:I26)</f>
        <v/>
      </c>
      <c r="J27" s="14">
        <f>SUM(J17:J26)</f>
        <v/>
      </c>
      <c r="K27" s="14">
        <f>SUM(K17:K26)</f>
        <v/>
      </c>
      <c r="L27" s="15" t="n"/>
      <c r="M27" s="16">
        <f>SUM(M17:M26)</f>
        <v/>
      </c>
      <c r="O27" s="12" t="inlineStr">
        <is>
          <t>Total</t>
        </is>
      </c>
      <c r="P27" s="13">
        <f>SUM(P17:P26)</f>
        <v/>
      </c>
      <c r="Q27" s="14">
        <f>SUM(Q17:Q26)</f>
        <v/>
      </c>
      <c r="R27" s="14">
        <f>SUM(R17:R26)</f>
        <v/>
      </c>
      <c r="S27" s="15" t="n"/>
      <c r="T27" s="16">
        <f>SUM(T17:T26)</f>
        <v/>
      </c>
    </row>
    <row r="28">
      <c r="A28" s="20" t="n"/>
      <c r="B28" s="10" t="n"/>
      <c r="C28" s="10" t="n"/>
      <c r="D28" s="10" t="n"/>
      <c r="E28" s="10" t="n"/>
      <c r="F28" s="21" t="n"/>
      <c r="H28" s="20" t="n"/>
      <c r="I28" s="10" t="n"/>
      <c r="J28" s="10" t="n"/>
      <c r="K28" s="10" t="n"/>
      <c r="L28" s="10" t="n"/>
      <c r="M28" s="21" t="n"/>
      <c r="O28" s="20" t="n"/>
      <c r="P28" s="10" t="n"/>
      <c r="Q28" s="10" t="n"/>
      <c r="R28" s="10" t="n"/>
      <c r="S28" s="10" t="n"/>
      <c r="T28" s="21" t="n"/>
    </row>
    <row r="29">
      <c r="A29" s="20" t="n"/>
      <c r="B29" s="10" t="n"/>
      <c r="C29" s="10" t="n"/>
      <c r="D29" s="10" t="n"/>
      <c r="E29" s="10" t="n"/>
      <c r="F29" s="21" t="n"/>
      <c r="H29" s="20" t="n"/>
      <c r="I29" s="10" t="n"/>
      <c r="J29" s="10" t="n"/>
      <c r="K29" s="10" t="n"/>
      <c r="L29" s="10" t="n"/>
      <c r="M29" s="21" t="n"/>
      <c r="O29" s="20" t="n"/>
      <c r="P29" s="10" t="n"/>
      <c r="Q29" s="10" t="n"/>
      <c r="R29" s="10" t="n"/>
      <c r="S29" s="10" t="n"/>
      <c r="T29" s="21" t="n"/>
    </row>
    <row r="30">
      <c r="A30" s="4" t="inlineStr">
        <is>
          <t>1C - AFFCT Up III</t>
        </is>
      </c>
      <c r="B30" s="5" t="n"/>
      <c r="C30" s="5" t="inlineStr">
        <is>
          <t>Cells</t>
        </is>
      </c>
      <c r="D30" s="5" t="inlineStr">
        <is>
          <t>Btads</t>
        </is>
      </c>
      <c r="E30" s="5" t="n"/>
      <c r="F30" s="6" t="inlineStr">
        <is>
          <t>DNA Points</t>
        </is>
      </c>
      <c r="H30" s="4" t="inlineStr">
        <is>
          <t>1C - Troop HARD Up III</t>
        </is>
      </c>
      <c r="I30" s="5" t="n"/>
      <c r="J30" s="5" t="inlineStr">
        <is>
          <t>Cells</t>
        </is>
      </c>
      <c r="K30" s="5" t="inlineStr">
        <is>
          <t>Btads</t>
        </is>
      </c>
      <c r="L30" s="5" t="n"/>
      <c r="M30" s="6" t="inlineStr">
        <is>
          <t>DNA Points</t>
        </is>
      </c>
      <c r="O30" s="4" t="inlineStr">
        <is>
          <t>1C - AFFCT Up IV</t>
        </is>
      </c>
      <c r="P30" s="5" t="n"/>
      <c r="Q30" s="5" t="inlineStr">
        <is>
          <t>Cells</t>
        </is>
      </c>
      <c r="R30" s="5" t="inlineStr">
        <is>
          <t>Btads</t>
        </is>
      </c>
      <c r="S30" s="5" t="n"/>
      <c r="T30" s="6" t="inlineStr">
        <is>
          <t>DNA Points</t>
        </is>
      </c>
    </row>
    <row r="31">
      <c r="A31" s="7" t="n">
        <v>1</v>
      </c>
      <c r="B31" s="8" t="n">
        <v>10</v>
      </c>
      <c r="C31" s="9" t="n">
        <v>8000</v>
      </c>
      <c r="D31" s="9" t="n">
        <v>20000</v>
      </c>
      <c r="E31" s="10" t="inlineStr">
        <is>
          <t>AFFCT +30</t>
        </is>
      </c>
      <c r="F31" s="11" t="n">
        <v>100</v>
      </c>
      <c r="H31" s="7" t="n">
        <v>1</v>
      </c>
      <c r="I31" s="8" t="n">
        <v>18</v>
      </c>
      <c r="J31" s="9" t="n">
        <v>16000</v>
      </c>
      <c r="K31" s="9" t="n">
        <v>80000</v>
      </c>
      <c r="L31" s="10" t="inlineStr">
        <is>
          <t>Per 30 Minions, Troop HARD +3</t>
        </is>
      </c>
      <c r="M31" s="11" t="n">
        <v>160</v>
      </c>
      <c r="O31" s="7" t="n">
        <v>1</v>
      </c>
      <c r="P31" s="8" t="n">
        <v>6</v>
      </c>
      <c r="Q31" s="9" t="n">
        <v>48000</v>
      </c>
      <c r="R31" s="9" t="n">
        <v>480000</v>
      </c>
      <c r="S31" s="10" t="inlineStr">
        <is>
          <t>AFFCT +60</t>
        </is>
      </c>
      <c r="T31" s="11" t="n">
        <v>280</v>
      </c>
    </row>
    <row r="32">
      <c r="A32" s="7" t="n">
        <v>2</v>
      </c>
      <c r="B32" s="8" t="n">
        <v>15</v>
      </c>
      <c r="C32" s="9" t="n">
        <v>10000</v>
      </c>
      <c r="D32" s="9" t="n">
        <v>25000</v>
      </c>
      <c r="E32" s="10" t="inlineStr">
        <is>
          <t>AFFCT +70</t>
        </is>
      </c>
      <c r="F32" s="11" t="n">
        <v>150</v>
      </c>
      <c r="H32" s="7" t="n">
        <v>2</v>
      </c>
      <c r="I32" s="8" t="n">
        <v>30</v>
      </c>
      <c r="J32" s="9" t="n">
        <v>20000</v>
      </c>
      <c r="K32" s="9" t="n">
        <v>100000</v>
      </c>
      <c r="L32" s="10" t="inlineStr">
        <is>
          <t>Per 30 Minions, Troop HARD +6</t>
        </is>
      </c>
      <c r="M32" s="11" t="n">
        <v>240</v>
      </c>
      <c r="O32" s="7" t="n">
        <v>2</v>
      </c>
      <c r="P32" s="8" t="n">
        <v>9</v>
      </c>
      <c r="Q32" s="9" t="n">
        <v>60000</v>
      </c>
      <c r="R32" s="9" t="n">
        <v>600000</v>
      </c>
      <c r="S32" s="10" t="inlineStr">
        <is>
          <t>AFFCT +130</t>
        </is>
      </c>
      <c r="T32" s="11" t="n">
        <v>420</v>
      </c>
    </row>
    <row r="33">
      <c r="A33" s="7" t="n">
        <v>3</v>
      </c>
      <c r="B33" s="8" t="n">
        <v>20</v>
      </c>
      <c r="C33" s="9" t="n">
        <v>12000</v>
      </c>
      <c r="D33" s="9" t="n">
        <v>30000</v>
      </c>
      <c r="E33" s="10" t="inlineStr">
        <is>
          <t>AFFCT +120</t>
        </is>
      </c>
      <c r="F33" s="11" t="n">
        <v>200</v>
      </c>
      <c r="H33" s="7" t="n">
        <v>3</v>
      </c>
      <c r="I33" s="8" t="n">
        <v>42</v>
      </c>
      <c r="J33" s="9" t="n">
        <v>24000</v>
      </c>
      <c r="K33" s="9" t="n">
        <v>120000</v>
      </c>
      <c r="L33" s="10" t="inlineStr">
        <is>
          <t>Per 30 Minions, Troop HARD +9</t>
        </is>
      </c>
      <c r="M33" s="11" t="n">
        <v>320</v>
      </c>
      <c r="O33" s="7" t="n">
        <v>3</v>
      </c>
      <c r="P33" s="8" t="n">
        <v>12</v>
      </c>
      <c r="Q33" s="9" t="n">
        <v>72000</v>
      </c>
      <c r="R33" s="9" t="n">
        <v>720000</v>
      </c>
      <c r="S33" s="10" t="inlineStr">
        <is>
          <t>AFFCT +210</t>
        </is>
      </c>
      <c r="T33" s="11" t="n">
        <v>560</v>
      </c>
    </row>
    <row r="34">
      <c r="A34" s="7" t="n">
        <v>4</v>
      </c>
      <c r="B34" s="8" t="n">
        <v>25</v>
      </c>
      <c r="C34" s="9" t="n">
        <v>14000</v>
      </c>
      <c r="D34" s="9" t="n">
        <v>35000</v>
      </c>
      <c r="E34" s="10" t="inlineStr">
        <is>
          <t>AFFCT +180</t>
        </is>
      </c>
      <c r="F34" s="11" t="n">
        <v>250</v>
      </c>
      <c r="H34" s="7" t="n">
        <v>4</v>
      </c>
      <c r="I34" s="8" t="n">
        <v>54</v>
      </c>
      <c r="J34" s="9" t="n">
        <v>28000</v>
      </c>
      <c r="K34" s="9" t="n">
        <v>140000</v>
      </c>
      <c r="L34" s="10" t="inlineStr">
        <is>
          <t>Per 30 Minions, Troop HARD +12</t>
        </is>
      </c>
      <c r="M34" s="11" t="n">
        <v>400</v>
      </c>
      <c r="O34" s="7" t="n">
        <v>4</v>
      </c>
      <c r="P34" s="8" t="n">
        <v>15</v>
      </c>
      <c r="Q34" s="9" t="n">
        <v>84000</v>
      </c>
      <c r="R34" s="9" t="n">
        <v>840000</v>
      </c>
      <c r="S34" s="10" t="inlineStr">
        <is>
          <t>AFFCT +300</t>
        </is>
      </c>
      <c r="T34" s="11" t="n">
        <v>700</v>
      </c>
    </row>
    <row r="35">
      <c r="A35" s="7" t="n">
        <v>5</v>
      </c>
      <c r="B35" s="8" t="n">
        <v>30</v>
      </c>
      <c r="C35" s="9" t="n">
        <v>16000</v>
      </c>
      <c r="D35" s="9" t="n">
        <v>40000</v>
      </c>
      <c r="E35" s="10" t="inlineStr">
        <is>
          <t>AFFCT +250</t>
        </is>
      </c>
      <c r="F35" s="11" t="n">
        <v>300</v>
      </c>
      <c r="H35" s="7" t="n">
        <v>5</v>
      </c>
      <c r="I35" s="8" t="n">
        <v>66</v>
      </c>
      <c r="J35" s="9" t="n">
        <v>32000</v>
      </c>
      <c r="K35" s="9" t="n">
        <v>160000</v>
      </c>
      <c r="L35" s="10" t="inlineStr">
        <is>
          <t>Per 30 Minions, Troop HARD +15</t>
        </is>
      </c>
      <c r="M35" s="11" t="n">
        <v>480</v>
      </c>
      <c r="O35" s="7" t="n">
        <v>5</v>
      </c>
      <c r="P35" s="8" t="n">
        <v>18</v>
      </c>
      <c r="Q35" s="9" t="n">
        <v>96000</v>
      </c>
      <c r="R35" s="9" t="n">
        <v>960000</v>
      </c>
      <c r="S35" s="10" t="inlineStr">
        <is>
          <t>AFFCT +400</t>
        </is>
      </c>
      <c r="T35" s="11" t="n">
        <v>840</v>
      </c>
    </row>
    <row r="36">
      <c r="A36" s="7" t="n">
        <v>6</v>
      </c>
      <c r="B36" s="8" t="n">
        <v>35</v>
      </c>
      <c r="C36" s="9" t="n">
        <v>18000</v>
      </c>
      <c r="D36" s="9" t="n">
        <v>45000</v>
      </c>
      <c r="E36" s="10" t="inlineStr">
        <is>
          <t>AFFCT +330</t>
        </is>
      </c>
      <c r="F36" s="11" t="n">
        <v>350</v>
      </c>
      <c r="H36" s="7" t="n">
        <v>6</v>
      </c>
      <c r="I36" s="8" t="n">
        <v>78</v>
      </c>
      <c r="J36" s="9" t="n">
        <v>36000</v>
      </c>
      <c r="K36" s="9" t="n">
        <v>180000</v>
      </c>
      <c r="L36" s="10" t="inlineStr">
        <is>
          <t>Per 30 Minions, Troop HARD +18</t>
        </is>
      </c>
      <c r="M36" s="11" t="n">
        <v>560</v>
      </c>
      <c r="O36" s="7" t="n">
        <v>6</v>
      </c>
      <c r="P36" s="8" t="n">
        <v>21</v>
      </c>
      <c r="Q36" s="9" t="n">
        <v>108000</v>
      </c>
      <c r="R36" s="9" t="n">
        <v>1080000</v>
      </c>
      <c r="S36" s="10" t="inlineStr">
        <is>
          <t>AFFCT +510</t>
        </is>
      </c>
      <c r="T36" s="11" t="n">
        <v>980</v>
      </c>
    </row>
    <row r="37">
      <c r="A37" s="7" t="n">
        <v>7</v>
      </c>
      <c r="B37" s="8" t="n">
        <v>40</v>
      </c>
      <c r="C37" s="9" t="n">
        <v>20000</v>
      </c>
      <c r="D37" s="9" t="n">
        <v>50000</v>
      </c>
      <c r="E37" s="10" t="inlineStr">
        <is>
          <t>AFFCT +420</t>
        </is>
      </c>
      <c r="F37" s="11" t="n">
        <v>400</v>
      </c>
      <c r="H37" s="7" t="n">
        <v>7</v>
      </c>
      <c r="I37" s="8" t="n">
        <v>90</v>
      </c>
      <c r="J37" s="9" t="n">
        <v>40000</v>
      </c>
      <c r="K37" s="9" t="n">
        <v>200000</v>
      </c>
      <c r="L37" s="10" t="inlineStr">
        <is>
          <t>Per 30 Minions, Troop HARD +21</t>
        </is>
      </c>
      <c r="M37" s="11" t="n">
        <v>640</v>
      </c>
      <c r="O37" s="7" t="n">
        <v>7</v>
      </c>
      <c r="P37" s="8" t="n">
        <v>24</v>
      </c>
      <c r="Q37" s="9" t="n">
        <v>120000</v>
      </c>
      <c r="R37" s="9" t="n">
        <v>1200000</v>
      </c>
      <c r="S37" s="10" t="inlineStr">
        <is>
          <t>AFFCT +630</t>
        </is>
      </c>
      <c r="T37" s="11" t="n">
        <v>1120</v>
      </c>
    </row>
    <row r="38">
      <c r="A38" s="7" t="n">
        <v>8</v>
      </c>
      <c r="B38" s="8" t="n">
        <v>45</v>
      </c>
      <c r="C38" s="9" t="n">
        <v>22000</v>
      </c>
      <c r="D38" s="9" t="n">
        <v>55000</v>
      </c>
      <c r="E38" s="10" t="inlineStr">
        <is>
          <t>AFFCT +520</t>
        </is>
      </c>
      <c r="F38" s="11" t="n">
        <v>450</v>
      </c>
      <c r="H38" s="7" t="n">
        <v>8</v>
      </c>
      <c r="I38" s="8" t="n">
        <v>102</v>
      </c>
      <c r="J38" s="9" t="n">
        <v>44000</v>
      </c>
      <c r="K38" s="9" t="n">
        <v>220000</v>
      </c>
      <c r="L38" s="10" t="inlineStr">
        <is>
          <t>Per 30 Minions, Troop HARD +24</t>
        </is>
      </c>
      <c r="M38" s="11" t="n">
        <v>720</v>
      </c>
      <c r="O38" s="7" t="n">
        <v>8</v>
      </c>
      <c r="P38" s="8" t="n">
        <v>27</v>
      </c>
      <c r="Q38" s="9" t="n">
        <v>132000</v>
      </c>
      <c r="R38" s="9" t="n">
        <v>1320000</v>
      </c>
      <c r="S38" s="10" t="inlineStr">
        <is>
          <t>AFFCT +760</t>
        </is>
      </c>
      <c r="T38" s="11" t="n">
        <v>1260</v>
      </c>
    </row>
    <row r="39">
      <c r="A39" s="7" t="n">
        <v>9</v>
      </c>
      <c r="B39" s="8" t="n">
        <v>50</v>
      </c>
      <c r="C39" s="9" t="n">
        <v>24000</v>
      </c>
      <c r="D39" s="9" t="n">
        <v>60000</v>
      </c>
      <c r="E39" s="10" t="inlineStr">
        <is>
          <t>AFFCT +630</t>
        </is>
      </c>
      <c r="F39" s="11" t="n">
        <v>500</v>
      </c>
      <c r="H39" s="7" t="n">
        <v>9</v>
      </c>
      <c r="I39" s="8" t="n">
        <v>114</v>
      </c>
      <c r="J39" s="9" t="n">
        <v>48000</v>
      </c>
      <c r="K39" s="9" t="n">
        <v>240000</v>
      </c>
      <c r="L39" s="10" t="inlineStr">
        <is>
          <t>Per 30 Minions, Troop HARD +27</t>
        </is>
      </c>
      <c r="M39" s="11" t="n">
        <v>800</v>
      </c>
      <c r="O39" s="7" t="n">
        <v>9</v>
      </c>
      <c r="P39" s="8" t="n">
        <v>30</v>
      </c>
      <c r="Q39" s="9" t="n">
        <v>144000</v>
      </c>
      <c r="R39" s="9" t="n">
        <v>1440000</v>
      </c>
      <c r="S39" s="10" t="inlineStr">
        <is>
          <t>AFFCT +900</t>
        </is>
      </c>
      <c r="T39" s="11" t="n">
        <v>1400</v>
      </c>
    </row>
    <row r="40">
      <c r="A40" s="7" t="n">
        <v>10</v>
      </c>
      <c r="B40" s="8" t="n">
        <v>55</v>
      </c>
      <c r="C40" s="9" t="n">
        <v>26000</v>
      </c>
      <c r="D40" s="9" t="n">
        <v>65000</v>
      </c>
      <c r="E40" s="10" t="inlineStr">
        <is>
          <t>AFFCT +750</t>
        </is>
      </c>
      <c r="F40" s="11" t="n">
        <v>550</v>
      </c>
      <c r="H40" s="7" t="n">
        <v>10</v>
      </c>
      <c r="I40" s="8" t="n">
        <v>126</v>
      </c>
      <c r="J40" s="9" t="n">
        <v>52000</v>
      </c>
      <c r="K40" s="9" t="n">
        <v>260000</v>
      </c>
      <c r="L40" s="10" t="inlineStr">
        <is>
          <t>Per 30 Minions, Troop HARD +30</t>
        </is>
      </c>
      <c r="M40" s="11" t="n">
        <v>880</v>
      </c>
      <c r="O40" s="7" t="n">
        <v>10</v>
      </c>
      <c r="P40" s="8" t="n">
        <v>33</v>
      </c>
      <c r="Q40" s="9" t="n">
        <v>156000</v>
      </c>
      <c r="R40" s="9" t="n">
        <v>1560000</v>
      </c>
      <c r="S40" s="10" t="inlineStr">
        <is>
          <t>AFFCT +1050</t>
        </is>
      </c>
      <c r="T40" s="11" t="n">
        <v>1540</v>
      </c>
    </row>
    <row r="41">
      <c r="A41" s="12" t="inlineStr">
        <is>
          <t>Total</t>
        </is>
      </c>
      <c r="B41" s="13">
        <f>SUM(B31:B40)</f>
        <v/>
      </c>
      <c r="C41" s="14">
        <f>SUM(C31:C40)</f>
        <v/>
      </c>
      <c r="D41" s="14">
        <f>SUM(D31:D40)</f>
        <v/>
      </c>
      <c r="E41" s="15" t="n"/>
      <c r="F41" s="16">
        <f>SUM(F31:F40)</f>
        <v/>
      </c>
      <c r="G41" s="8" t="n"/>
      <c r="H41" s="12" t="inlineStr">
        <is>
          <t>Total</t>
        </is>
      </c>
      <c r="I41" s="13">
        <f>SUM(I31:I40)</f>
        <v/>
      </c>
      <c r="J41" s="14">
        <f>SUM(J31:J40)</f>
        <v/>
      </c>
      <c r="K41" s="14">
        <f>SUM(K31:K40)</f>
        <v/>
      </c>
      <c r="L41" s="15" t="n"/>
      <c r="M41" s="16">
        <f>SUM(M31:M40)</f>
        <v/>
      </c>
      <c r="O41" s="12" t="inlineStr">
        <is>
          <t>Total</t>
        </is>
      </c>
      <c r="P41" s="13">
        <f>SUM(P31:P40)</f>
        <v/>
      </c>
      <c r="Q41" s="14">
        <f>SUM(Q31:Q40)</f>
        <v/>
      </c>
      <c r="R41" s="14">
        <f>SUM(R31:R40)</f>
        <v/>
      </c>
      <c r="S41" s="15" t="n"/>
      <c r="T41" s="16">
        <f>SUM(T31:T40)</f>
        <v/>
      </c>
    </row>
    <row r="42">
      <c r="A42" s="20" t="n"/>
      <c r="B42" s="10" t="n"/>
      <c r="C42" s="10" t="n"/>
      <c r="D42" s="10" t="n"/>
      <c r="E42" s="10" t="n"/>
      <c r="F42" s="21" t="n"/>
      <c r="H42" s="20" t="n"/>
      <c r="I42" s="10" t="n"/>
      <c r="J42" s="10" t="n"/>
      <c r="K42" s="10" t="n"/>
      <c r="L42" s="10" t="n"/>
      <c r="M42" s="21" t="n"/>
      <c r="O42" s="20" t="n"/>
      <c r="P42" s="10" t="n"/>
      <c r="Q42" s="10" t="n"/>
      <c r="R42" s="10" t="n"/>
      <c r="S42" s="10" t="n"/>
      <c r="T42" s="21" t="n"/>
    </row>
    <row r="43">
      <c r="A43" s="20" t="n"/>
      <c r="B43" s="10" t="n"/>
      <c r="C43" s="10" t="n"/>
      <c r="D43" s="10" t="n"/>
      <c r="E43" s="10" t="n"/>
      <c r="F43" s="21" t="n"/>
      <c r="H43" s="20" t="n"/>
      <c r="I43" s="10" t="n"/>
      <c r="J43" s="10" t="n"/>
      <c r="K43" s="10" t="n"/>
      <c r="L43" s="10" t="n"/>
      <c r="M43" s="21" t="n"/>
      <c r="O43" s="20" t="n"/>
      <c r="P43" s="10" t="n"/>
      <c r="Q43" s="10" t="n"/>
      <c r="R43" s="10" t="n"/>
      <c r="S43" s="10" t="n"/>
      <c r="T43" s="21" t="n"/>
    </row>
    <row r="44">
      <c r="A44" s="4" t="inlineStr">
        <is>
          <t>2A - HP Up Gene III</t>
        </is>
      </c>
      <c r="B44" s="5" t="n"/>
      <c r="C44" s="5" t="inlineStr">
        <is>
          <t>Cells</t>
        </is>
      </c>
      <c r="D44" s="5" t="inlineStr">
        <is>
          <t>Btads</t>
        </is>
      </c>
      <c r="E44" s="5" t="n"/>
      <c r="F44" s="6" t="inlineStr">
        <is>
          <t>DNA Points</t>
        </is>
      </c>
      <c r="H44" s="4" t="inlineStr">
        <is>
          <t>2A - DEF Up III</t>
        </is>
      </c>
      <c r="I44" s="5" t="n"/>
      <c r="J44" s="5" t="inlineStr">
        <is>
          <t>Cells</t>
        </is>
      </c>
      <c r="K44" s="5" t="inlineStr">
        <is>
          <t>Btads</t>
        </is>
      </c>
      <c r="L44" s="5" t="n"/>
      <c r="M44" s="6" t="inlineStr">
        <is>
          <t>DNA Points</t>
        </is>
      </c>
      <c r="O44" s="4" t="inlineStr">
        <is>
          <t>2A - HP Up Gene IV</t>
        </is>
      </c>
      <c r="P44" s="5" t="n"/>
      <c r="Q44" s="5" t="inlineStr">
        <is>
          <t>Cells</t>
        </is>
      </c>
      <c r="R44" s="5" t="inlineStr">
        <is>
          <t>Btads</t>
        </is>
      </c>
      <c r="S44" s="5" t="n"/>
      <c r="T44" s="6" t="inlineStr">
        <is>
          <t>DNA Points</t>
        </is>
      </c>
    </row>
    <row r="45">
      <c r="A45" s="7" t="n">
        <v>1</v>
      </c>
      <c r="B45" s="8" t="n">
        <v>6</v>
      </c>
      <c r="C45" s="9" t="n">
        <v>4000</v>
      </c>
      <c r="D45" s="9" t="n">
        <v>10000</v>
      </c>
      <c r="E45" s="10" t="inlineStr">
        <is>
          <t>Per 30 Minions, Troop HP +90</t>
        </is>
      </c>
      <c r="F45" s="11" t="n">
        <v>80</v>
      </c>
      <c r="H45" s="7" t="n">
        <v>1</v>
      </c>
      <c r="I45" s="8" t="n">
        <v>12</v>
      </c>
      <c r="J45" s="9" t="n">
        <v>10000</v>
      </c>
      <c r="K45" s="9" t="n">
        <v>50000</v>
      </c>
      <c r="L45" s="10" t="inlineStr">
        <is>
          <t>Snail DEF +12</t>
        </is>
      </c>
      <c r="M45" s="11" t="n">
        <v>120</v>
      </c>
      <c r="O45" s="7" t="n">
        <v>1</v>
      </c>
      <c r="P45" s="8" t="n">
        <v>2</v>
      </c>
      <c r="Q45" s="9" t="n">
        <v>20000</v>
      </c>
      <c r="R45" s="9" t="n">
        <v>200000</v>
      </c>
      <c r="S45" s="10" t="inlineStr">
        <is>
          <t>Per 60 Minions, Troop HP +300</t>
        </is>
      </c>
      <c r="T45" s="11" t="n">
        <v>200</v>
      </c>
    </row>
    <row r="46">
      <c r="A46" s="7" t="n">
        <v>2</v>
      </c>
      <c r="B46" s="8" t="n">
        <v>9</v>
      </c>
      <c r="C46" s="9" t="n">
        <v>5000</v>
      </c>
      <c r="D46" s="9" t="n">
        <v>12500</v>
      </c>
      <c r="E46" s="10" t="inlineStr">
        <is>
          <t>Per 30 Minions, Troop HP +180</t>
        </is>
      </c>
      <c r="F46" s="11" t="n">
        <v>120</v>
      </c>
      <c r="H46" s="7" t="n">
        <v>2</v>
      </c>
      <c r="I46" s="8" t="n">
        <v>20</v>
      </c>
      <c r="J46" s="9" t="n">
        <v>12500</v>
      </c>
      <c r="K46" s="9" t="n">
        <v>62500</v>
      </c>
      <c r="L46" s="10" t="inlineStr">
        <is>
          <t>Snail DEF +28</t>
        </is>
      </c>
      <c r="M46" s="11" t="n">
        <v>180</v>
      </c>
      <c r="O46" s="7" t="n">
        <v>2</v>
      </c>
      <c r="P46" s="8" t="n">
        <v>3</v>
      </c>
      <c r="Q46" s="9" t="n">
        <v>25000</v>
      </c>
      <c r="R46" s="9" t="n">
        <v>250000</v>
      </c>
      <c r="S46" s="10" t="inlineStr">
        <is>
          <t>Per 60 Minions, Troop HP +600</t>
        </is>
      </c>
      <c r="T46" s="11" t="n">
        <v>300</v>
      </c>
    </row>
    <row r="47">
      <c r="A47" s="7" t="n">
        <v>3</v>
      </c>
      <c r="B47" s="8" t="n">
        <v>12</v>
      </c>
      <c r="C47" s="9" t="n">
        <v>6000</v>
      </c>
      <c r="D47" s="9" t="n">
        <v>15000</v>
      </c>
      <c r="E47" s="10" t="inlineStr">
        <is>
          <t>Per 30 Minions, Troop HP +270</t>
        </is>
      </c>
      <c r="F47" s="11" t="n">
        <v>160</v>
      </c>
      <c r="H47" s="7" t="n">
        <v>3</v>
      </c>
      <c r="I47" s="8" t="n">
        <v>28</v>
      </c>
      <c r="J47" s="9" t="n">
        <v>15000</v>
      </c>
      <c r="K47" s="9" t="n">
        <v>75000</v>
      </c>
      <c r="L47" s="10" t="inlineStr">
        <is>
          <t>Snail DEF +48</t>
        </is>
      </c>
      <c r="M47" s="11" t="n">
        <v>240</v>
      </c>
      <c r="O47" s="7" t="n">
        <v>3</v>
      </c>
      <c r="P47" s="8" t="n">
        <v>4</v>
      </c>
      <c r="Q47" s="9" t="n">
        <v>30000</v>
      </c>
      <c r="R47" s="9" t="n">
        <v>300000</v>
      </c>
      <c r="S47" s="10" t="inlineStr">
        <is>
          <t>Per 60 Minions, Troop HP +900</t>
        </is>
      </c>
      <c r="T47" s="11" t="n">
        <v>400</v>
      </c>
    </row>
    <row r="48">
      <c r="A48" s="7" t="n">
        <v>4</v>
      </c>
      <c r="B48" s="8" t="n">
        <v>15</v>
      </c>
      <c r="C48" s="9" t="n">
        <v>7000</v>
      </c>
      <c r="D48" s="9" t="n">
        <v>17500</v>
      </c>
      <c r="E48" s="10" t="inlineStr">
        <is>
          <t>Per 30 Minions, Troop HP +360</t>
        </is>
      </c>
      <c r="F48" s="11" t="n">
        <v>200</v>
      </c>
      <c r="H48" s="7" t="n">
        <v>4</v>
      </c>
      <c r="I48" s="8" t="n">
        <v>36</v>
      </c>
      <c r="J48" s="9" t="n">
        <v>17500</v>
      </c>
      <c r="K48" s="9" t="n">
        <v>87500</v>
      </c>
      <c r="L48" s="10" t="inlineStr">
        <is>
          <t>Snail DEF +72</t>
        </is>
      </c>
      <c r="M48" s="11" t="n">
        <v>300</v>
      </c>
      <c r="O48" s="7" t="n">
        <v>4</v>
      </c>
      <c r="P48" s="8" t="n">
        <v>5</v>
      </c>
      <c r="Q48" s="9" t="n">
        <v>35000</v>
      </c>
      <c r="R48" s="9" t="n">
        <v>350000</v>
      </c>
      <c r="S48" s="10" t="inlineStr">
        <is>
          <t>Per 60 Minions, Troop HP +1200</t>
        </is>
      </c>
      <c r="T48" s="11" t="n">
        <v>500</v>
      </c>
    </row>
    <row r="49">
      <c r="A49" s="7" t="n">
        <v>5</v>
      </c>
      <c r="B49" s="8" t="n">
        <v>18</v>
      </c>
      <c r="C49" s="9" t="n">
        <v>8000</v>
      </c>
      <c r="D49" s="9" t="n">
        <v>20000</v>
      </c>
      <c r="E49" s="10" t="inlineStr">
        <is>
          <t>Per 30 Minions, Troop HP +450</t>
        </is>
      </c>
      <c r="F49" s="11" t="n">
        <v>240</v>
      </c>
      <c r="H49" s="7" t="n">
        <v>5</v>
      </c>
      <c r="I49" s="8" t="n">
        <v>44</v>
      </c>
      <c r="J49" s="9" t="n">
        <v>20000</v>
      </c>
      <c r="K49" s="9" t="n">
        <v>100000</v>
      </c>
      <c r="L49" s="10" t="inlineStr">
        <is>
          <t>Snail DEF +100</t>
        </is>
      </c>
      <c r="M49" s="11" t="n">
        <v>360</v>
      </c>
      <c r="O49" s="7" t="n">
        <v>5</v>
      </c>
      <c r="P49" s="8" t="n">
        <v>6</v>
      </c>
      <c r="Q49" s="9" t="n">
        <v>40000</v>
      </c>
      <c r="R49" s="9" t="n">
        <v>400000</v>
      </c>
      <c r="S49" s="10" t="inlineStr">
        <is>
          <t>Per 60 Minions, Troop HP +1500</t>
        </is>
      </c>
      <c r="T49" s="11" t="n">
        <v>600</v>
      </c>
    </row>
    <row r="50">
      <c r="A50" s="7" t="n">
        <v>6</v>
      </c>
      <c r="B50" s="8" t="n">
        <v>21</v>
      </c>
      <c r="C50" s="9" t="n">
        <v>9000</v>
      </c>
      <c r="D50" s="9" t="n">
        <v>22500</v>
      </c>
      <c r="E50" s="10" t="inlineStr">
        <is>
          <t>Per 30 Minions, Troop HP +540</t>
        </is>
      </c>
      <c r="F50" s="11" t="n">
        <v>280</v>
      </c>
      <c r="H50" s="7" t="n">
        <v>6</v>
      </c>
      <c r="I50" s="8" t="n">
        <v>52</v>
      </c>
      <c r="J50" s="9" t="n">
        <v>22500</v>
      </c>
      <c r="K50" s="9" t="n">
        <v>112500</v>
      </c>
      <c r="L50" s="10" t="inlineStr">
        <is>
          <t>Snail DEF +132</t>
        </is>
      </c>
      <c r="M50" s="11" t="n">
        <v>420</v>
      </c>
      <c r="O50" s="7" t="n">
        <v>6</v>
      </c>
      <c r="P50" s="8" t="n">
        <v>7</v>
      </c>
      <c r="Q50" s="9" t="n">
        <v>45000</v>
      </c>
      <c r="R50" s="9" t="n">
        <v>450000</v>
      </c>
      <c r="S50" s="10" t="inlineStr">
        <is>
          <t>Per 60 Minions, Troop HP +1800</t>
        </is>
      </c>
      <c r="T50" s="11" t="n">
        <v>700</v>
      </c>
    </row>
    <row r="51">
      <c r="A51" s="7" t="n">
        <v>7</v>
      </c>
      <c r="B51" s="8" t="n">
        <v>24</v>
      </c>
      <c r="C51" s="9" t="n">
        <v>10000</v>
      </c>
      <c r="D51" s="9" t="n">
        <v>25000</v>
      </c>
      <c r="E51" s="10" t="inlineStr">
        <is>
          <t>Per 30 Minions, Troop HP +630</t>
        </is>
      </c>
      <c r="F51" s="11" t="n">
        <v>320</v>
      </c>
      <c r="H51" s="7" t="n">
        <v>7</v>
      </c>
      <c r="I51" s="8" t="n">
        <v>60</v>
      </c>
      <c r="J51" s="9" t="n">
        <v>25000</v>
      </c>
      <c r="K51" s="9" t="n">
        <v>125000</v>
      </c>
      <c r="L51" s="10" t="inlineStr">
        <is>
          <t>Snail DEF +168</t>
        </is>
      </c>
      <c r="M51" s="11" t="n">
        <v>480</v>
      </c>
      <c r="O51" s="7" t="n">
        <v>7</v>
      </c>
      <c r="P51" s="8" t="n">
        <v>8</v>
      </c>
      <c r="Q51" s="9" t="n">
        <v>50000</v>
      </c>
      <c r="R51" s="9" t="n">
        <v>500000</v>
      </c>
      <c r="S51" s="10" t="inlineStr">
        <is>
          <t>Per 60 Minions, Troop HP +2100</t>
        </is>
      </c>
      <c r="T51" s="11" t="n">
        <v>800</v>
      </c>
    </row>
    <row r="52">
      <c r="A52" s="7" t="n">
        <v>8</v>
      </c>
      <c r="B52" s="8" t="n">
        <v>27</v>
      </c>
      <c r="C52" s="9" t="n">
        <v>11000</v>
      </c>
      <c r="D52" s="9" t="n">
        <v>27500</v>
      </c>
      <c r="E52" s="10" t="inlineStr">
        <is>
          <t>Per 30 Minions, Troop HP +720</t>
        </is>
      </c>
      <c r="F52" s="11" t="n">
        <v>360</v>
      </c>
      <c r="H52" s="7" t="n">
        <v>8</v>
      </c>
      <c r="I52" s="8" t="n">
        <v>68</v>
      </c>
      <c r="J52" s="9" t="n">
        <v>27500</v>
      </c>
      <c r="K52" s="9" t="n">
        <v>137500</v>
      </c>
      <c r="L52" s="10" t="inlineStr">
        <is>
          <t>Snail DEF +208</t>
        </is>
      </c>
      <c r="M52" s="11" t="n">
        <v>540</v>
      </c>
      <c r="O52" s="7" t="n">
        <v>8</v>
      </c>
      <c r="P52" s="8" t="n">
        <v>9</v>
      </c>
      <c r="Q52" s="9" t="n">
        <v>55000</v>
      </c>
      <c r="R52" s="9" t="n">
        <v>550000</v>
      </c>
      <c r="S52" s="10" t="inlineStr">
        <is>
          <t>Per 60 Minions, Troop HP +2400</t>
        </is>
      </c>
      <c r="T52" s="11" t="n">
        <v>900</v>
      </c>
    </row>
    <row r="53">
      <c r="A53" s="7" t="n">
        <v>9</v>
      </c>
      <c r="B53" s="8" t="n">
        <v>30</v>
      </c>
      <c r="C53" s="9" t="n">
        <v>12000</v>
      </c>
      <c r="D53" s="9" t="n">
        <v>30000</v>
      </c>
      <c r="E53" s="10" t="inlineStr">
        <is>
          <t>Per 30 Minions, Troop HP +810</t>
        </is>
      </c>
      <c r="F53" s="11" t="n">
        <v>400</v>
      </c>
      <c r="H53" s="7" t="n">
        <v>9</v>
      </c>
      <c r="I53" s="8" t="n">
        <v>76</v>
      </c>
      <c r="J53" s="9" t="n">
        <v>30000</v>
      </c>
      <c r="K53" s="9" t="n">
        <v>150000</v>
      </c>
      <c r="L53" s="10" t="inlineStr">
        <is>
          <t>Snail DEF +252</t>
        </is>
      </c>
      <c r="M53" s="11" t="n">
        <v>600</v>
      </c>
      <c r="O53" s="7" t="n">
        <v>9</v>
      </c>
      <c r="P53" s="8" t="n">
        <v>10</v>
      </c>
      <c r="Q53" s="9" t="n">
        <v>60000</v>
      </c>
      <c r="R53" s="9" t="n">
        <v>600000</v>
      </c>
      <c r="S53" s="10" t="inlineStr">
        <is>
          <t>Per 60 Minions, Troop HP +2700</t>
        </is>
      </c>
      <c r="T53" s="11" t="n">
        <v>1000</v>
      </c>
    </row>
    <row r="54">
      <c r="A54" s="7" t="n">
        <v>10</v>
      </c>
      <c r="B54" s="8" t="n">
        <v>33</v>
      </c>
      <c r="C54" s="9" t="n">
        <v>13000</v>
      </c>
      <c r="D54" s="9" t="n">
        <v>32500</v>
      </c>
      <c r="E54" s="10" t="inlineStr">
        <is>
          <t>Per 30 Minions, Troop HP +900</t>
        </is>
      </c>
      <c r="F54" s="11" t="n">
        <v>440</v>
      </c>
      <c r="H54" s="7" t="n">
        <v>10</v>
      </c>
      <c r="I54" s="8" t="n">
        <v>84</v>
      </c>
      <c r="J54" s="9" t="n">
        <v>32500</v>
      </c>
      <c r="K54" s="9" t="n">
        <v>162500</v>
      </c>
      <c r="L54" s="10" t="inlineStr">
        <is>
          <t>Snail DEF +300</t>
        </is>
      </c>
      <c r="M54" s="11" t="n">
        <v>660</v>
      </c>
      <c r="O54" s="7" t="n">
        <v>10</v>
      </c>
      <c r="P54" s="8" t="n">
        <v>11</v>
      </c>
      <c r="Q54" s="9" t="n">
        <v>65000</v>
      </c>
      <c r="R54" s="9" t="n">
        <v>650000</v>
      </c>
      <c r="S54" s="10" t="inlineStr">
        <is>
          <t>Per 60 Minions, Troop HP +3000</t>
        </is>
      </c>
      <c r="T54" s="11" t="n">
        <v>1100</v>
      </c>
    </row>
    <row r="55">
      <c r="A55" s="12" t="inlineStr">
        <is>
          <t>Total</t>
        </is>
      </c>
      <c r="B55" s="13">
        <f>SUM(B45:B54)</f>
        <v/>
      </c>
      <c r="C55" s="14">
        <f>SUM(C45:C54)</f>
        <v/>
      </c>
      <c r="D55" s="14">
        <f>SUM(D45:D54)</f>
        <v/>
      </c>
      <c r="E55" s="15" t="n"/>
      <c r="F55" s="16">
        <f>SUM(F45:F54)</f>
        <v/>
      </c>
      <c r="H55" s="12" t="inlineStr">
        <is>
          <t>Total</t>
        </is>
      </c>
      <c r="I55" s="22">
        <f>SUM(I45:I54)</f>
        <v/>
      </c>
      <c r="J55" s="14">
        <f>SUM(J45:J54)</f>
        <v/>
      </c>
      <c r="K55" s="14">
        <f>SUM(K45:K54)</f>
        <v/>
      </c>
      <c r="L55" s="15" t="n"/>
      <c r="M55" s="16">
        <f>SUM(M45:M54)</f>
        <v/>
      </c>
      <c r="O55" s="12" t="inlineStr">
        <is>
          <t>Total</t>
        </is>
      </c>
      <c r="P55" s="22">
        <f>SUM(P45:P54)</f>
        <v/>
      </c>
      <c r="Q55" s="14">
        <f>SUM(Q45:Q54)</f>
        <v/>
      </c>
      <c r="R55" s="14">
        <f>SUM(R45:R54)</f>
        <v/>
      </c>
      <c r="S55" s="15" t="n"/>
      <c r="T55" s="16">
        <f>SUM(T45:T54)</f>
        <v/>
      </c>
    </row>
    <row r="56">
      <c r="A56" s="20" t="n"/>
      <c r="B56" s="10" t="n"/>
      <c r="C56" s="10" t="n"/>
      <c r="D56" s="10" t="n"/>
      <c r="E56" s="10" t="n"/>
      <c r="F56" s="21" t="n"/>
      <c r="H56" s="20" t="n"/>
      <c r="I56" s="10" t="n"/>
      <c r="J56" s="10" t="n"/>
      <c r="K56" s="10" t="n"/>
      <c r="L56" s="10" t="n"/>
      <c r="M56" s="21" t="n"/>
      <c r="O56" s="20" t="n"/>
      <c r="P56" s="10" t="n"/>
      <c r="Q56" s="10" t="n"/>
      <c r="R56" s="10" t="n"/>
      <c r="S56" s="10" t="n"/>
      <c r="T56" s="21" t="n"/>
    </row>
    <row r="57">
      <c r="A57" s="20" t="n"/>
      <c r="B57" s="10" t="n"/>
      <c r="C57" s="10" t="n"/>
      <c r="D57" s="10" t="n"/>
      <c r="E57" s="10" t="n"/>
      <c r="F57" s="21" t="n"/>
      <c r="H57" s="20" t="n"/>
      <c r="I57" s="10" t="n"/>
      <c r="J57" s="10" t="n"/>
      <c r="K57" s="10" t="n"/>
      <c r="L57" s="10" t="n"/>
      <c r="M57" s="21" t="n"/>
      <c r="O57" s="20" t="n"/>
      <c r="P57" s="10" t="n"/>
      <c r="Q57" s="10" t="n"/>
      <c r="R57" s="10" t="n"/>
      <c r="S57" s="10" t="n"/>
      <c r="T57" s="21" t="n"/>
    </row>
    <row r="58">
      <c r="A58" s="23" t="inlineStr">
        <is>
          <t>2B - ATK Up Gene III</t>
        </is>
      </c>
      <c r="B58" s="24" t="n"/>
      <c r="C58" s="25" t="inlineStr">
        <is>
          <t>Cells</t>
        </is>
      </c>
      <c r="D58" s="25" t="inlineStr">
        <is>
          <t>Btads</t>
        </is>
      </c>
      <c r="E58" s="25" t="n"/>
      <c r="F58" s="26" t="inlineStr">
        <is>
          <t>DNA Points</t>
        </is>
      </c>
      <c r="H58" s="23" t="inlineStr">
        <is>
          <t>2B - RUSH Up III</t>
        </is>
      </c>
      <c r="I58" s="24" t="n"/>
      <c r="J58" s="25" t="inlineStr">
        <is>
          <t>Cells</t>
        </is>
      </c>
      <c r="K58" s="25" t="inlineStr">
        <is>
          <t>Btads</t>
        </is>
      </c>
      <c r="L58" s="25" t="n"/>
      <c r="M58" s="26" t="inlineStr">
        <is>
          <t>DNA Points</t>
        </is>
      </c>
      <c r="O58" s="23" t="inlineStr">
        <is>
          <t>2B - ATK Up Gene IV</t>
        </is>
      </c>
      <c r="P58" s="24" t="n"/>
      <c r="Q58" s="25" t="inlineStr">
        <is>
          <t>Cells</t>
        </is>
      </c>
      <c r="R58" s="25" t="inlineStr">
        <is>
          <t>Btads</t>
        </is>
      </c>
      <c r="S58" s="25" t="n"/>
      <c r="T58" s="26" t="inlineStr">
        <is>
          <t>DNA Points</t>
        </is>
      </c>
    </row>
    <row r="59">
      <c r="A59" s="27" t="n">
        <v>1</v>
      </c>
      <c r="B59" s="28" t="n">
        <v>8</v>
      </c>
      <c r="C59" s="29" t="n">
        <v>6000</v>
      </c>
      <c r="D59" s="29" t="n">
        <v>15000</v>
      </c>
      <c r="E59" s="30" t="inlineStr">
        <is>
          <t>Per 30 Minions, Troop ATK +9</t>
        </is>
      </c>
      <c r="F59" s="31" t="n">
        <v>90</v>
      </c>
      <c r="H59" s="27" t="n">
        <v>1</v>
      </c>
      <c r="I59" s="28" t="n">
        <v>15</v>
      </c>
      <c r="J59" s="29" t="n">
        <v>12000</v>
      </c>
      <c r="K59" s="29" t="n">
        <v>60000</v>
      </c>
      <c r="L59" s="30" t="inlineStr">
        <is>
          <t>Snail RUSH +12</t>
        </is>
      </c>
      <c r="M59" s="31" t="n">
        <v>140</v>
      </c>
      <c r="O59" s="27" t="n">
        <v>1</v>
      </c>
      <c r="P59" s="28" t="n">
        <v>4</v>
      </c>
      <c r="Q59" s="29" t="n">
        <v>32000</v>
      </c>
      <c r="R59" s="29" t="n">
        <v>320000</v>
      </c>
      <c r="S59" s="30" t="inlineStr">
        <is>
          <t>Per 60 Minions, Troop ATK +30</t>
        </is>
      </c>
      <c r="T59" s="31" t="n">
        <v>240</v>
      </c>
    </row>
    <row r="60">
      <c r="A60" s="32" t="n">
        <v>2</v>
      </c>
      <c r="B60" s="33" t="n">
        <v>12</v>
      </c>
      <c r="C60" s="34" t="n">
        <v>7500</v>
      </c>
      <c r="D60" s="34" t="n">
        <v>18750</v>
      </c>
      <c r="E60" s="35" t="inlineStr">
        <is>
          <t>Per 30 Minions, Troop ATK +18</t>
        </is>
      </c>
      <c r="F60" s="36" t="n">
        <v>135</v>
      </c>
      <c r="H60" s="32" t="n">
        <v>2</v>
      </c>
      <c r="I60" s="33" t="n">
        <v>25</v>
      </c>
      <c r="J60" s="34" t="n">
        <v>15000</v>
      </c>
      <c r="K60" s="34" t="n">
        <v>75000</v>
      </c>
      <c r="L60" s="35" t="inlineStr">
        <is>
          <t>Snail RUSH +28</t>
        </is>
      </c>
      <c r="M60" s="36" t="n">
        <v>210</v>
      </c>
      <c r="O60" s="32" t="n">
        <v>2</v>
      </c>
      <c r="P60" s="33" t="n">
        <v>6</v>
      </c>
      <c r="Q60" s="34" t="n">
        <v>40000</v>
      </c>
      <c r="R60" s="34" t="n">
        <v>400000</v>
      </c>
      <c r="S60" s="35" t="inlineStr">
        <is>
          <t>Per 60 Minions, Troop ATK +60</t>
        </is>
      </c>
      <c r="T60" s="36" t="n">
        <v>360</v>
      </c>
    </row>
    <row r="61">
      <c r="A61" s="27" t="n">
        <v>3</v>
      </c>
      <c r="B61" s="28" t="n">
        <v>16</v>
      </c>
      <c r="C61" s="29" t="n">
        <v>9000</v>
      </c>
      <c r="D61" s="29" t="n">
        <v>22500</v>
      </c>
      <c r="E61" s="30" t="inlineStr">
        <is>
          <t>Per 30 Minions, Troop ATK +27</t>
        </is>
      </c>
      <c r="F61" s="31" t="n">
        <v>180</v>
      </c>
      <c r="H61" s="27" t="n">
        <v>3</v>
      </c>
      <c r="I61" s="28" t="n">
        <v>35</v>
      </c>
      <c r="J61" s="29" t="n">
        <v>18000</v>
      </c>
      <c r="K61" s="29" t="n">
        <v>90000</v>
      </c>
      <c r="L61" s="30" t="inlineStr">
        <is>
          <t>Snail RUSH +48</t>
        </is>
      </c>
      <c r="M61" s="31" t="n">
        <v>280</v>
      </c>
      <c r="O61" s="27" t="n">
        <v>3</v>
      </c>
      <c r="P61" s="28" t="n">
        <v>8</v>
      </c>
      <c r="Q61" s="29" t="n">
        <v>48000</v>
      </c>
      <c r="R61" s="29" t="n">
        <v>480000</v>
      </c>
      <c r="S61" s="30" t="inlineStr">
        <is>
          <t>Per 60 Minions, Troop ATK +90</t>
        </is>
      </c>
      <c r="T61" s="31" t="n">
        <v>480</v>
      </c>
    </row>
    <row r="62">
      <c r="A62" s="32" t="n">
        <v>4</v>
      </c>
      <c r="B62" s="33" t="n">
        <v>20</v>
      </c>
      <c r="C62" s="34" t="n">
        <v>10500</v>
      </c>
      <c r="D62" s="34" t="n">
        <v>26250</v>
      </c>
      <c r="E62" s="35" t="inlineStr">
        <is>
          <t>Per 30 Minions, Troop ATK +36</t>
        </is>
      </c>
      <c r="F62" s="36" t="n">
        <v>25</v>
      </c>
      <c r="H62" s="32" t="n">
        <v>4</v>
      </c>
      <c r="I62" s="33" t="n">
        <v>45</v>
      </c>
      <c r="J62" s="34" t="n">
        <v>21000</v>
      </c>
      <c r="K62" s="34" t="n">
        <v>105000</v>
      </c>
      <c r="L62" s="35" t="inlineStr">
        <is>
          <t>Snail RUSH +72</t>
        </is>
      </c>
      <c r="M62" s="36" t="n">
        <v>350</v>
      </c>
      <c r="O62" s="32" t="n">
        <v>4</v>
      </c>
      <c r="P62" s="33" t="n">
        <v>10</v>
      </c>
      <c r="Q62" s="34" t="n">
        <v>56000</v>
      </c>
      <c r="R62" s="34" t="n">
        <v>560000</v>
      </c>
      <c r="S62" s="35" t="inlineStr">
        <is>
          <t>Per 60 Minions, Troop ATK +120</t>
        </is>
      </c>
      <c r="T62" s="36" t="n">
        <v>600</v>
      </c>
    </row>
    <row r="63">
      <c r="A63" s="27" t="n">
        <v>5</v>
      </c>
      <c r="B63" s="28" t="n">
        <v>24</v>
      </c>
      <c r="C63" s="29" t="n">
        <v>12000</v>
      </c>
      <c r="D63" s="29" t="n">
        <v>30000</v>
      </c>
      <c r="E63" s="30" t="inlineStr">
        <is>
          <t>Per 30 Minions, Troop ATK +45</t>
        </is>
      </c>
      <c r="F63" s="31" t="n">
        <v>270</v>
      </c>
      <c r="H63" s="27" t="n">
        <v>5</v>
      </c>
      <c r="I63" s="28" t="n">
        <v>55</v>
      </c>
      <c r="J63" s="29" t="n">
        <v>24000</v>
      </c>
      <c r="K63" s="29" t="n">
        <v>120000</v>
      </c>
      <c r="L63" s="30" t="inlineStr">
        <is>
          <t>Snail RUSH +100</t>
        </is>
      </c>
      <c r="M63" s="31" t="n">
        <v>420</v>
      </c>
      <c r="O63" s="27" t="n">
        <v>5</v>
      </c>
      <c r="P63" s="28" t="n">
        <v>12</v>
      </c>
      <c r="Q63" s="29" t="n">
        <v>64000</v>
      </c>
      <c r="R63" s="29" t="n">
        <v>640000</v>
      </c>
      <c r="S63" s="30" t="inlineStr">
        <is>
          <t>Per 60 Minions, Troop ATK +150</t>
        </is>
      </c>
      <c r="T63" s="31" t="n">
        <v>720</v>
      </c>
    </row>
    <row r="64">
      <c r="A64" s="32" t="n">
        <v>6</v>
      </c>
      <c r="B64" s="33" t="n">
        <v>28</v>
      </c>
      <c r="C64" s="34" t="n">
        <v>13500</v>
      </c>
      <c r="D64" s="34" t="n">
        <v>33750</v>
      </c>
      <c r="E64" s="35" t="inlineStr">
        <is>
          <t>Per 30 Minions, Troop ATK +54</t>
        </is>
      </c>
      <c r="F64" s="36" t="n">
        <v>315</v>
      </c>
      <c r="H64" s="32" t="n">
        <v>6</v>
      </c>
      <c r="I64" s="33" t="n">
        <v>65</v>
      </c>
      <c r="J64" s="34" t="n">
        <v>27000</v>
      </c>
      <c r="K64" s="34" t="n">
        <v>135000</v>
      </c>
      <c r="L64" s="35" t="inlineStr">
        <is>
          <t>Snail RUSH +132</t>
        </is>
      </c>
      <c r="M64" s="36" t="n">
        <v>490</v>
      </c>
      <c r="O64" s="32" t="n">
        <v>6</v>
      </c>
      <c r="P64" s="33" t="n">
        <v>14</v>
      </c>
      <c r="Q64" s="34" t="n">
        <v>72000</v>
      </c>
      <c r="R64" s="34" t="n">
        <v>720000</v>
      </c>
      <c r="S64" s="35" t="inlineStr">
        <is>
          <t>Per 60 Minions, Troop ATK +180</t>
        </is>
      </c>
      <c r="T64" s="36" t="n">
        <v>840</v>
      </c>
    </row>
    <row r="65">
      <c r="A65" s="27" t="n">
        <v>7</v>
      </c>
      <c r="B65" s="28" t="n">
        <v>32</v>
      </c>
      <c r="C65" s="29" t="n">
        <v>15000</v>
      </c>
      <c r="D65" s="29" t="n">
        <v>37500</v>
      </c>
      <c r="E65" s="30" t="inlineStr">
        <is>
          <t>Per 30 Minions, Troop ATK +63</t>
        </is>
      </c>
      <c r="F65" s="31" t="n">
        <v>360</v>
      </c>
      <c r="H65" s="27" t="n">
        <v>7</v>
      </c>
      <c r="I65" s="28" t="n">
        <v>75</v>
      </c>
      <c r="J65" s="29" t="n">
        <v>30000</v>
      </c>
      <c r="K65" s="29" t="n">
        <v>150000</v>
      </c>
      <c r="L65" s="30" t="inlineStr">
        <is>
          <t>Snail RUSH +168</t>
        </is>
      </c>
      <c r="M65" s="31" t="n">
        <v>560</v>
      </c>
      <c r="O65" s="27" t="n">
        <v>7</v>
      </c>
      <c r="P65" s="28" t="n">
        <v>16</v>
      </c>
      <c r="Q65" s="29" t="n">
        <v>80000</v>
      </c>
      <c r="R65" s="29" t="n">
        <v>800000</v>
      </c>
      <c r="S65" s="30" t="inlineStr">
        <is>
          <t>Per 60 Minions, Troop ATK +210</t>
        </is>
      </c>
      <c r="T65" s="31" t="n">
        <v>960</v>
      </c>
    </row>
    <row r="66">
      <c r="A66" s="32" t="n">
        <v>8</v>
      </c>
      <c r="B66" s="33" t="n">
        <v>36</v>
      </c>
      <c r="C66" s="34" t="n">
        <v>16500</v>
      </c>
      <c r="D66" s="34" t="n">
        <v>41250</v>
      </c>
      <c r="E66" s="35" t="inlineStr">
        <is>
          <t>Per 30 Minions, Troop ATK +72</t>
        </is>
      </c>
      <c r="F66" s="36" t="n">
        <v>405</v>
      </c>
      <c r="H66" s="32" t="n">
        <v>8</v>
      </c>
      <c r="I66" s="33" t="n">
        <v>85</v>
      </c>
      <c r="J66" s="34" t="n">
        <v>33000</v>
      </c>
      <c r="K66" s="34" t="n">
        <v>165000</v>
      </c>
      <c r="L66" s="35" t="inlineStr">
        <is>
          <t>Snail RUSH +208</t>
        </is>
      </c>
      <c r="M66" s="36" t="n">
        <v>630</v>
      </c>
      <c r="O66" s="32" t="n">
        <v>8</v>
      </c>
      <c r="P66" s="33" t="n">
        <v>18</v>
      </c>
      <c r="Q66" s="34" t="n">
        <v>88000</v>
      </c>
      <c r="R66" s="34" t="n">
        <v>880000</v>
      </c>
      <c r="S66" s="35" t="inlineStr">
        <is>
          <t>Per 60 Minions, Troop ATK +240</t>
        </is>
      </c>
      <c r="T66" s="36" t="n">
        <v>1080</v>
      </c>
    </row>
    <row r="67">
      <c r="A67" s="27" t="n">
        <v>9</v>
      </c>
      <c r="B67" s="28" t="n">
        <v>40</v>
      </c>
      <c r="C67" s="29" t="n">
        <v>18000</v>
      </c>
      <c r="D67" s="29" t="n">
        <v>45000</v>
      </c>
      <c r="E67" s="30" t="inlineStr">
        <is>
          <t>Per 30 Minions, Troop ATK +81</t>
        </is>
      </c>
      <c r="F67" s="31" t="n">
        <v>450</v>
      </c>
      <c r="H67" s="27" t="n">
        <v>9</v>
      </c>
      <c r="I67" s="28" t="n">
        <v>95</v>
      </c>
      <c r="J67" s="29" t="n">
        <v>36000</v>
      </c>
      <c r="K67" s="29" t="n">
        <v>180000</v>
      </c>
      <c r="L67" s="30" t="inlineStr">
        <is>
          <t>Snail RUSH +252</t>
        </is>
      </c>
      <c r="M67" s="31" t="n">
        <v>700</v>
      </c>
      <c r="O67" s="27" t="n">
        <v>9</v>
      </c>
      <c r="P67" s="28" t="n">
        <v>20</v>
      </c>
      <c r="Q67" s="29" t="n">
        <v>96000</v>
      </c>
      <c r="R67" s="29" t="n">
        <v>960000</v>
      </c>
      <c r="S67" s="30" t="inlineStr">
        <is>
          <t>Per 60 Minions, Troop ATK +270</t>
        </is>
      </c>
      <c r="T67" s="31" t="n">
        <v>1200</v>
      </c>
    </row>
    <row r="68">
      <c r="A68" s="32" t="n">
        <v>10</v>
      </c>
      <c r="B68" s="33" t="n">
        <v>44</v>
      </c>
      <c r="C68" s="34" t="n">
        <v>19500</v>
      </c>
      <c r="D68" s="34" t="n">
        <v>48750</v>
      </c>
      <c r="E68" s="35" t="inlineStr">
        <is>
          <t>Per 30 Minions, Troop ATK +90</t>
        </is>
      </c>
      <c r="F68" s="36" t="n">
        <v>495</v>
      </c>
      <c r="H68" s="32" t="n">
        <v>10</v>
      </c>
      <c r="I68" s="33" t="n">
        <v>105</v>
      </c>
      <c r="J68" s="34" t="n">
        <v>39000</v>
      </c>
      <c r="K68" s="34" t="n">
        <v>195000</v>
      </c>
      <c r="L68" s="35" t="inlineStr">
        <is>
          <t>Snail RUSH +300</t>
        </is>
      </c>
      <c r="M68" s="36" t="n">
        <v>770</v>
      </c>
      <c r="O68" s="32" t="n">
        <v>10</v>
      </c>
      <c r="P68" s="33" t="n">
        <v>22</v>
      </c>
      <c r="Q68" s="34" t="n">
        <v>104000</v>
      </c>
      <c r="R68" s="34" t="n">
        <v>1040000</v>
      </c>
      <c r="S68" s="35" t="inlineStr">
        <is>
          <t>Per 60 Minions, Troop ATK +300</t>
        </is>
      </c>
      <c r="T68" s="36" t="n">
        <v>1320</v>
      </c>
    </row>
    <row r="69">
      <c r="A69" s="37" t="inlineStr">
        <is>
          <t>Total</t>
        </is>
      </c>
      <c r="B69" s="38">
        <f>SUM(B59:B68)</f>
        <v/>
      </c>
      <c r="C69" s="39">
        <f>SUM(C59:C68)</f>
        <v/>
      </c>
      <c r="D69" s="39">
        <f>SUM(D59:D68)</f>
        <v/>
      </c>
      <c r="E69" s="40" t="n"/>
      <c r="F69" s="41">
        <f>SUM(F59:F68)</f>
        <v/>
      </c>
      <c r="H69" s="37" t="inlineStr">
        <is>
          <t>Total</t>
        </is>
      </c>
      <c r="I69" s="42">
        <f>SUM(I59:I68)</f>
        <v/>
      </c>
      <c r="J69" s="39">
        <f>SUM(J59:J68)</f>
        <v/>
      </c>
      <c r="K69" s="39">
        <f>SUM(K59:K68)</f>
        <v/>
      </c>
      <c r="L69" s="40" t="n"/>
      <c r="M69" s="41">
        <f>SUM(M59:M68)</f>
        <v/>
      </c>
      <c r="O69" s="37" t="inlineStr">
        <is>
          <t>Total</t>
        </is>
      </c>
      <c r="P69" s="42">
        <f>SUM(P59:P68)</f>
        <v/>
      </c>
      <c r="Q69" s="39">
        <f>SUM(Q59:Q68)</f>
        <v/>
      </c>
      <c r="R69" s="39">
        <f>SUM(R59:R68)</f>
        <v/>
      </c>
      <c r="S69" s="40" t="n"/>
      <c r="T69" s="41">
        <f>SUM(T59:T68)</f>
        <v/>
      </c>
    </row>
    <row r="70">
      <c r="A70" s="20" t="n"/>
      <c r="B70" s="10" t="n"/>
      <c r="C70" s="10" t="n"/>
      <c r="D70" s="10" t="n"/>
      <c r="E70" s="10" t="n"/>
      <c r="F70" s="21" t="n"/>
      <c r="H70" s="20" t="n"/>
      <c r="I70" s="10" t="n"/>
      <c r="J70" s="10" t="n"/>
      <c r="K70" s="10" t="n"/>
      <c r="L70" s="10" t="n"/>
      <c r="M70" s="21" t="n"/>
      <c r="O70" s="20" t="n"/>
      <c r="P70" s="10" t="n"/>
      <c r="Q70" s="10" t="n"/>
      <c r="R70" s="10" t="n"/>
      <c r="S70" s="10" t="n"/>
      <c r="T70" s="21" t="n"/>
    </row>
    <row r="71">
      <c r="A71" s="20" t="n"/>
      <c r="B71" s="10" t="n"/>
      <c r="C71" s="10" t="n"/>
      <c r="D71" s="10" t="n"/>
      <c r="E71" s="10" t="n"/>
      <c r="F71" s="21" t="n"/>
      <c r="H71" s="20" t="n"/>
      <c r="I71" s="10" t="n"/>
      <c r="J71" s="10" t="n"/>
      <c r="K71" s="10" t="n"/>
      <c r="L71" s="10" t="n"/>
      <c r="M71" s="21" t="n"/>
      <c r="O71" s="20" t="n"/>
      <c r="P71" s="10" t="n"/>
      <c r="Q71" s="10" t="n"/>
      <c r="R71" s="10" t="n"/>
      <c r="S71" s="10" t="n"/>
      <c r="T71" s="21" t="n"/>
    </row>
    <row r="72">
      <c r="A72" s="4" t="inlineStr">
        <is>
          <t>2C - All Genes Up III</t>
        </is>
      </c>
      <c r="B72" s="5" t="n"/>
      <c r="C72" s="5" t="inlineStr">
        <is>
          <t>Cells</t>
        </is>
      </c>
      <c r="D72" s="5" t="inlineStr">
        <is>
          <t>Btads</t>
        </is>
      </c>
      <c r="E72" s="5" t="n"/>
      <c r="F72" s="6" t="inlineStr">
        <is>
          <t>DNA Points</t>
        </is>
      </c>
      <c r="H72" s="4" t="inlineStr">
        <is>
          <t>2C - AFFCT Up III</t>
        </is>
      </c>
      <c r="I72" s="5" t="n"/>
      <c r="J72" s="5" t="inlineStr">
        <is>
          <t>Cells</t>
        </is>
      </c>
      <c r="K72" s="5" t="inlineStr">
        <is>
          <t>Btads</t>
        </is>
      </c>
      <c r="L72" s="5" t="n"/>
      <c r="M72" s="6" t="inlineStr">
        <is>
          <t>DNA Points</t>
        </is>
      </c>
      <c r="O72" s="4" t="inlineStr">
        <is>
          <t>2C - All Genes Up IV</t>
        </is>
      </c>
      <c r="P72" s="5" t="n"/>
      <c r="Q72" s="5" t="inlineStr">
        <is>
          <t>Cells</t>
        </is>
      </c>
      <c r="R72" s="5" t="inlineStr">
        <is>
          <t>Btads</t>
        </is>
      </c>
      <c r="S72" s="5" t="n"/>
      <c r="T72" s="6" t="inlineStr">
        <is>
          <t>DNA Points</t>
        </is>
      </c>
    </row>
    <row r="73">
      <c r="A73" s="7" t="n">
        <v>1</v>
      </c>
      <c r="B73" s="8" t="n">
        <v>10</v>
      </c>
      <c r="C73" s="9" t="n">
        <v>8000</v>
      </c>
      <c r="D73" s="9" t="n">
        <v>20000</v>
      </c>
      <c r="E73" s="10" t="inlineStr">
        <is>
          <t>Per 30 Minions, Troop HARD +3</t>
        </is>
      </c>
      <c r="F73" s="11" t="n">
        <v>100</v>
      </c>
      <c r="H73" s="7" t="n">
        <v>1</v>
      </c>
      <c r="I73" s="8" t="n">
        <v>18</v>
      </c>
      <c r="J73" s="9" t="n">
        <v>16000</v>
      </c>
      <c r="K73" s="9" t="n">
        <v>80000</v>
      </c>
      <c r="L73" s="10" t="inlineStr">
        <is>
          <t>AFFCT +30</t>
        </is>
      </c>
      <c r="M73" s="11" t="n">
        <v>160</v>
      </c>
      <c r="O73" s="7" t="n">
        <v>1</v>
      </c>
      <c r="P73" s="8" t="n">
        <v>6</v>
      </c>
      <c r="Q73" s="9" t="n">
        <v>48000</v>
      </c>
      <c r="R73" s="9" t="n">
        <v>480000</v>
      </c>
      <c r="S73" s="10" t="inlineStr">
        <is>
          <t>Per 60 Minions, Troop HARD +10</t>
        </is>
      </c>
      <c r="T73" s="11" t="n">
        <v>280</v>
      </c>
    </row>
    <row r="74">
      <c r="A74" s="7" t="n">
        <v>2</v>
      </c>
      <c r="B74" s="8" t="n">
        <v>15</v>
      </c>
      <c r="C74" s="9" t="n">
        <v>10000</v>
      </c>
      <c r="D74" s="9" t="n">
        <v>25000</v>
      </c>
      <c r="E74" s="10" t="inlineStr">
        <is>
          <t>Per 30 Minions, Troop HARD +6</t>
        </is>
      </c>
      <c r="F74" s="11" t="n">
        <v>150</v>
      </c>
      <c r="H74" s="7" t="n">
        <v>2</v>
      </c>
      <c r="I74" s="8" t="n">
        <v>30</v>
      </c>
      <c r="J74" s="9" t="n">
        <v>20000</v>
      </c>
      <c r="K74" s="9" t="n">
        <v>100000</v>
      </c>
      <c r="L74" s="10" t="inlineStr">
        <is>
          <t>AFFCT +70</t>
        </is>
      </c>
      <c r="M74" s="11" t="n">
        <v>240</v>
      </c>
      <c r="O74" s="7" t="n">
        <v>2</v>
      </c>
      <c r="P74" s="8" t="n">
        <v>9</v>
      </c>
      <c r="Q74" s="9" t="n">
        <v>60000</v>
      </c>
      <c r="R74" s="9" t="n">
        <v>600000</v>
      </c>
      <c r="S74" s="10" t="inlineStr">
        <is>
          <t>Per 60 Minions, Troop HARD +20</t>
        </is>
      </c>
      <c r="T74" s="11" t="n">
        <v>420</v>
      </c>
    </row>
    <row r="75">
      <c r="A75" s="7" t="n">
        <v>3</v>
      </c>
      <c r="B75" s="8" t="n">
        <v>20</v>
      </c>
      <c r="C75" s="9" t="n">
        <v>12000</v>
      </c>
      <c r="D75" s="9" t="n">
        <v>30000</v>
      </c>
      <c r="E75" s="10" t="inlineStr">
        <is>
          <t>Per 30 Minions, Troop HARD +9</t>
        </is>
      </c>
      <c r="F75" s="11" t="n">
        <v>200</v>
      </c>
      <c r="H75" s="7" t="n">
        <v>3</v>
      </c>
      <c r="I75" s="8" t="n">
        <v>42</v>
      </c>
      <c r="J75" s="9" t="n">
        <v>24000</v>
      </c>
      <c r="K75" s="9" t="n">
        <v>120000</v>
      </c>
      <c r="L75" s="10" t="inlineStr">
        <is>
          <t>AFFCT +120</t>
        </is>
      </c>
      <c r="M75" s="11" t="n">
        <v>320</v>
      </c>
      <c r="O75" s="7" t="n">
        <v>3</v>
      </c>
      <c r="P75" s="8" t="n">
        <v>12</v>
      </c>
      <c r="Q75" s="9" t="n">
        <v>72000</v>
      </c>
      <c r="R75" s="9" t="n">
        <v>720000</v>
      </c>
      <c r="S75" s="10" t="inlineStr">
        <is>
          <t>Per 60 Minions, Troop HARD +30</t>
        </is>
      </c>
      <c r="T75" s="11" t="n">
        <v>560</v>
      </c>
    </row>
    <row r="76">
      <c r="A76" s="7" t="n">
        <v>4</v>
      </c>
      <c r="B76" s="8" t="n">
        <v>25</v>
      </c>
      <c r="C76" s="9" t="n">
        <v>14000</v>
      </c>
      <c r="D76" s="9" t="n">
        <v>35000</v>
      </c>
      <c r="E76" s="10" t="inlineStr">
        <is>
          <t>Per 30 Minions, Troop HARD +12</t>
        </is>
      </c>
      <c r="F76" s="11" t="n">
        <v>250</v>
      </c>
      <c r="H76" s="7" t="n">
        <v>4</v>
      </c>
      <c r="I76" s="8" t="n">
        <v>54</v>
      </c>
      <c r="J76" s="9" t="n">
        <v>28000</v>
      </c>
      <c r="K76" s="9" t="n">
        <v>140000</v>
      </c>
      <c r="L76" s="10" t="inlineStr">
        <is>
          <t>AFFCT +180</t>
        </is>
      </c>
      <c r="M76" s="11" t="n">
        <v>400</v>
      </c>
      <c r="O76" s="7" t="n">
        <v>4</v>
      </c>
      <c r="P76" s="8" t="n">
        <v>15</v>
      </c>
      <c r="Q76" s="9" t="n">
        <v>84000</v>
      </c>
      <c r="R76" s="9" t="n">
        <v>840000</v>
      </c>
      <c r="S76" s="10" t="inlineStr">
        <is>
          <t>Per 60 Minions, Troop HARD +40</t>
        </is>
      </c>
      <c r="T76" s="11" t="n">
        <v>700</v>
      </c>
    </row>
    <row r="77">
      <c r="A77" s="7" t="n">
        <v>5</v>
      </c>
      <c r="B77" s="8" t="n">
        <v>30</v>
      </c>
      <c r="C77" s="9" t="n">
        <v>16000</v>
      </c>
      <c r="D77" s="9" t="n">
        <v>40000</v>
      </c>
      <c r="E77" s="10" t="inlineStr">
        <is>
          <t>Per 30 Minions, Troop HARD +15</t>
        </is>
      </c>
      <c r="F77" s="11" t="n">
        <v>300</v>
      </c>
      <c r="H77" s="7" t="n">
        <v>5</v>
      </c>
      <c r="I77" s="8" t="n">
        <v>66</v>
      </c>
      <c r="J77" s="9" t="n">
        <v>32000</v>
      </c>
      <c r="K77" s="9" t="n">
        <v>160000</v>
      </c>
      <c r="L77" s="10" t="inlineStr">
        <is>
          <t>AFFCT +250</t>
        </is>
      </c>
      <c r="M77" s="11" t="n">
        <v>480</v>
      </c>
      <c r="O77" s="7" t="n">
        <v>5</v>
      </c>
      <c r="P77" s="8" t="n">
        <v>18</v>
      </c>
      <c r="Q77" s="9" t="n">
        <v>96000</v>
      </c>
      <c r="R77" s="9" t="n">
        <v>960000</v>
      </c>
      <c r="S77" s="10" t="inlineStr">
        <is>
          <t>Per 60 Minions, Troop HARD +50</t>
        </is>
      </c>
      <c r="T77" s="11" t="n">
        <v>840</v>
      </c>
    </row>
    <row r="78">
      <c r="A78" s="7" t="n">
        <v>6</v>
      </c>
      <c r="B78" s="8" t="n">
        <v>35</v>
      </c>
      <c r="C78" s="9" t="n">
        <v>18000</v>
      </c>
      <c r="D78" s="9" t="n">
        <v>45000</v>
      </c>
      <c r="E78" s="10" t="inlineStr">
        <is>
          <t>Per 30 Minions, Troop HARD +18</t>
        </is>
      </c>
      <c r="F78" s="11" t="n">
        <v>350</v>
      </c>
      <c r="H78" s="7" t="n">
        <v>6</v>
      </c>
      <c r="I78" s="8" t="n">
        <v>78</v>
      </c>
      <c r="J78" s="9" t="n">
        <v>36000</v>
      </c>
      <c r="K78" s="9" t="n">
        <v>180000</v>
      </c>
      <c r="L78" s="10" t="inlineStr">
        <is>
          <t>AFFCT +330</t>
        </is>
      </c>
      <c r="M78" s="11" t="n">
        <v>560</v>
      </c>
      <c r="O78" s="7" t="n">
        <v>6</v>
      </c>
      <c r="P78" s="8" t="n">
        <v>21</v>
      </c>
      <c r="Q78" s="9" t="n">
        <v>108000</v>
      </c>
      <c r="R78" s="9" t="n">
        <v>1080000</v>
      </c>
      <c r="S78" s="10" t="inlineStr">
        <is>
          <t>Per 60 Minions, Troop HARD +60</t>
        </is>
      </c>
      <c r="T78" s="11" t="n">
        <v>980</v>
      </c>
    </row>
    <row r="79">
      <c r="A79" s="7" t="n">
        <v>7</v>
      </c>
      <c r="B79" s="8" t="n">
        <v>40</v>
      </c>
      <c r="C79" s="9" t="n">
        <v>20000</v>
      </c>
      <c r="D79" s="9" t="n">
        <v>50000</v>
      </c>
      <c r="E79" s="10" t="inlineStr">
        <is>
          <t>Per 30 Minions, Troop HARD +21</t>
        </is>
      </c>
      <c r="F79" s="11" t="n">
        <v>400</v>
      </c>
      <c r="H79" s="7" t="n">
        <v>7</v>
      </c>
      <c r="I79" s="8" t="n">
        <v>90</v>
      </c>
      <c r="J79" s="9" t="n">
        <v>40000</v>
      </c>
      <c r="K79" s="9" t="n">
        <v>200000</v>
      </c>
      <c r="L79" s="10" t="inlineStr">
        <is>
          <t>AFFCT +420</t>
        </is>
      </c>
      <c r="M79" s="11" t="n">
        <v>640</v>
      </c>
      <c r="O79" s="7" t="n">
        <v>7</v>
      </c>
      <c r="P79" s="8" t="n">
        <v>24</v>
      </c>
      <c r="Q79" s="9" t="n">
        <v>120000</v>
      </c>
      <c r="R79" s="9" t="n">
        <v>1200000</v>
      </c>
      <c r="S79" s="10" t="inlineStr">
        <is>
          <t>Per 60 Minions, Troop HARD +70</t>
        </is>
      </c>
      <c r="T79" s="11" t="n">
        <v>1120</v>
      </c>
    </row>
    <row r="80">
      <c r="A80" s="7" t="n">
        <v>8</v>
      </c>
      <c r="B80" s="8" t="n">
        <v>45</v>
      </c>
      <c r="C80" s="9" t="n">
        <v>22000</v>
      </c>
      <c r="D80" s="9" t="n">
        <v>55000</v>
      </c>
      <c r="E80" s="10" t="inlineStr">
        <is>
          <t>Per 30 Minions, Troop HARD +24</t>
        </is>
      </c>
      <c r="F80" s="11" t="n">
        <v>450</v>
      </c>
      <c r="H80" s="7" t="n">
        <v>8</v>
      </c>
      <c r="I80" s="8" t="n">
        <v>102</v>
      </c>
      <c r="J80" s="9" t="n">
        <v>44000</v>
      </c>
      <c r="K80" s="9" t="n">
        <v>220000</v>
      </c>
      <c r="L80" s="10" t="inlineStr">
        <is>
          <t>AFFCT +520</t>
        </is>
      </c>
      <c r="M80" s="11" t="n">
        <v>720</v>
      </c>
      <c r="O80" s="7" t="n">
        <v>8</v>
      </c>
      <c r="P80" s="8" t="n">
        <v>27</v>
      </c>
      <c r="Q80" s="9" t="n">
        <v>132000</v>
      </c>
      <c r="R80" s="9" t="n">
        <v>1320000</v>
      </c>
      <c r="S80" s="10" t="inlineStr">
        <is>
          <t>Per 60 Minions, Troop HARD +80</t>
        </is>
      </c>
      <c r="T80" s="11" t="n">
        <v>1260</v>
      </c>
    </row>
    <row r="81">
      <c r="A81" s="7" t="n">
        <v>9</v>
      </c>
      <c r="B81" s="8" t="n">
        <v>50</v>
      </c>
      <c r="C81" s="9" t="n">
        <v>24000</v>
      </c>
      <c r="D81" s="9" t="n">
        <v>60000</v>
      </c>
      <c r="E81" s="10" t="inlineStr">
        <is>
          <t>Per 30 Minions, Troop HARD +27</t>
        </is>
      </c>
      <c r="F81" s="11" t="n">
        <v>500</v>
      </c>
      <c r="H81" s="7" t="n">
        <v>9</v>
      </c>
      <c r="I81" s="8" t="n">
        <v>114</v>
      </c>
      <c r="J81" s="9" t="n">
        <v>48000</v>
      </c>
      <c r="K81" s="9" t="n">
        <v>240000</v>
      </c>
      <c r="L81" s="10" t="inlineStr">
        <is>
          <t>AFFCT +630</t>
        </is>
      </c>
      <c r="M81" s="11" t="n">
        <v>800</v>
      </c>
      <c r="O81" s="7" t="n">
        <v>9</v>
      </c>
      <c r="P81" s="8" t="n">
        <v>30</v>
      </c>
      <c r="Q81" s="9" t="n">
        <v>144000</v>
      </c>
      <c r="R81" s="9" t="n">
        <v>1440000</v>
      </c>
      <c r="S81" s="10" t="inlineStr">
        <is>
          <t>Per 60 Minions, Troop HARD +90</t>
        </is>
      </c>
      <c r="T81" s="11" t="n">
        <v>1400</v>
      </c>
    </row>
    <row r="82">
      <c r="A82" s="7" t="n">
        <v>10</v>
      </c>
      <c r="B82" s="8" t="n">
        <v>55</v>
      </c>
      <c r="C82" s="9" t="n">
        <v>26000</v>
      </c>
      <c r="D82" s="9" t="n">
        <v>65000</v>
      </c>
      <c r="E82" s="10" t="inlineStr">
        <is>
          <t>Per 30 Minions, Troop HARD +30</t>
        </is>
      </c>
      <c r="F82" s="11" t="n">
        <v>550</v>
      </c>
      <c r="H82" s="7" t="n">
        <v>10</v>
      </c>
      <c r="I82" s="8" t="n">
        <v>126</v>
      </c>
      <c r="J82" s="9" t="n">
        <v>52000</v>
      </c>
      <c r="K82" s="9" t="n">
        <v>260000</v>
      </c>
      <c r="L82" s="10" t="inlineStr">
        <is>
          <t>AFFCT +750</t>
        </is>
      </c>
      <c r="M82" s="11" t="n">
        <v>880</v>
      </c>
      <c r="O82" s="7" t="n">
        <v>10</v>
      </c>
      <c r="P82" s="8" t="n">
        <v>33</v>
      </c>
      <c r="Q82" s="9" t="n">
        <v>156000</v>
      </c>
      <c r="R82" s="9" t="n">
        <v>1560000</v>
      </c>
      <c r="S82" s="10" t="inlineStr">
        <is>
          <t>Per 60 Minions, Troop HARD +100</t>
        </is>
      </c>
      <c r="T82" s="11" t="n">
        <v>1540</v>
      </c>
    </row>
    <row r="83">
      <c r="A83" s="12" t="inlineStr">
        <is>
          <t>Total</t>
        </is>
      </c>
      <c r="B83" s="13">
        <f>SUM(B73:B82)</f>
        <v/>
      </c>
      <c r="C83" s="14">
        <f>SUM(C73:C82)</f>
        <v/>
      </c>
      <c r="D83" s="14">
        <f>SUM(D73:D82)</f>
        <v/>
      </c>
      <c r="E83" s="15" t="n"/>
      <c r="F83" s="16">
        <f>SUM(F73:F82)</f>
        <v/>
      </c>
      <c r="H83" s="12" t="inlineStr">
        <is>
          <t>Total</t>
        </is>
      </c>
      <c r="I83" s="13">
        <f>SUM(I73:I82)</f>
        <v/>
      </c>
      <c r="J83" s="14">
        <f>SUM(J73:J82)</f>
        <v/>
      </c>
      <c r="K83" s="14">
        <f>SUM(K73:K82)</f>
        <v/>
      </c>
      <c r="L83" s="15" t="n"/>
      <c r="M83" s="16">
        <f>SUM(M73:M82)</f>
        <v/>
      </c>
      <c r="O83" s="12" t="inlineStr">
        <is>
          <t>Total</t>
        </is>
      </c>
      <c r="P83" s="13">
        <f>SUM(P73:P82)</f>
        <v/>
      </c>
      <c r="Q83" s="14">
        <f>SUM(Q73:Q82)</f>
        <v/>
      </c>
      <c r="R83" s="14">
        <f>SUM(R73:R82)</f>
        <v/>
      </c>
      <c r="S83" s="15" t="n"/>
      <c r="T83" s="16">
        <f>SUM(T73:T82)</f>
        <v/>
      </c>
    </row>
    <row r="84">
      <c r="A84" s="20" t="n"/>
      <c r="B84" s="10" t="n"/>
      <c r="C84" s="10" t="n"/>
      <c r="D84" s="10" t="n"/>
      <c r="E84" s="10" t="n"/>
      <c r="F84" s="21" t="n"/>
      <c r="H84" s="20" t="n"/>
      <c r="I84" s="10" t="n"/>
      <c r="J84" s="10" t="n"/>
      <c r="K84" s="10" t="n"/>
      <c r="L84" s="10" t="n"/>
      <c r="M84" s="21" t="n"/>
      <c r="O84" s="20" t="n"/>
      <c r="P84" s="10" t="n"/>
      <c r="Q84" s="10" t="n"/>
      <c r="R84" s="10" t="n"/>
      <c r="S84" s="10" t="n"/>
      <c r="T84" s="21" t="n"/>
    </row>
    <row r="85">
      <c r="A85" s="20" t="n"/>
      <c r="B85" s="10" t="n"/>
      <c r="C85" s="10" t="n"/>
      <c r="D85" s="10" t="n"/>
      <c r="E85" s="10" t="n"/>
      <c r="F85" s="21" t="n"/>
      <c r="H85" s="20" t="n"/>
      <c r="I85" s="10" t="n"/>
      <c r="J85" s="10" t="n"/>
      <c r="K85" s="10" t="n"/>
      <c r="L85" s="10" t="n"/>
      <c r="M85" s="21" t="n"/>
      <c r="O85" s="20" t="n"/>
      <c r="P85" s="10" t="n"/>
      <c r="Q85" s="10" t="n"/>
      <c r="R85" s="10" t="n"/>
      <c r="S85" s="10" t="n"/>
      <c r="T85" s="21" t="n"/>
    </row>
    <row r="86">
      <c r="A86" s="4" t="inlineStr">
        <is>
          <t>3 - Compass Upgrade</t>
        </is>
      </c>
      <c r="B86" s="5" t="n"/>
      <c r="C86" s="5" t="inlineStr">
        <is>
          <t>Cells</t>
        </is>
      </c>
      <c r="D86" s="5" t="inlineStr">
        <is>
          <t>Btads</t>
        </is>
      </c>
      <c r="E86" s="5" t="n"/>
      <c r="F86" s="6" t="inlineStr">
        <is>
          <t>DNA Points</t>
        </is>
      </c>
      <c r="H86" s="4" t="inlineStr">
        <is>
          <t>3 - AA Relic + Leadership</t>
        </is>
      </c>
      <c r="I86" s="5" t="n"/>
      <c r="J86" s="5" t="inlineStr">
        <is>
          <t>Cells</t>
        </is>
      </c>
      <c r="K86" s="5" t="inlineStr">
        <is>
          <t>Btads</t>
        </is>
      </c>
      <c r="L86" s="5" t="n"/>
      <c r="M86" s="6" t="inlineStr">
        <is>
          <t>DNA Points</t>
        </is>
      </c>
      <c r="O86" s="4" t="inlineStr">
        <is>
          <t>3 - SS Relic</t>
        </is>
      </c>
      <c r="P86" s="5" t="n"/>
      <c r="Q86" s="5" t="inlineStr">
        <is>
          <t>Cells</t>
        </is>
      </c>
      <c r="R86" s="5" t="inlineStr">
        <is>
          <t>Btads</t>
        </is>
      </c>
      <c r="S86" s="5" t="n"/>
      <c r="T86" s="6" t="inlineStr">
        <is>
          <t>DNA Points</t>
        </is>
      </c>
    </row>
    <row r="87">
      <c r="A87" s="7" t="n">
        <v>1</v>
      </c>
      <c r="B87" s="8" t="n">
        <v>20</v>
      </c>
      <c r="C87" s="9" t="n">
        <v>20000</v>
      </c>
      <c r="D87" s="9" t="n">
        <v>50000</v>
      </c>
      <c r="E87" s="10" t="inlineStr">
        <is>
          <t>All Compasses effect +40%</t>
        </is>
      </c>
      <c r="F87" s="11" t="n">
        <v>400</v>
      </c>
      <c r="H87" s="7" t="n">
        <v>1</v>
      </c>
      <c r="I87" s="8" t="n">
        <v>72</v>
      </c>
      <c r="J87" s="9" t="n">
        <v>50000</v>
      </c>
      <c r="K87" s="9" t="n">
        <v>120000</v>
      </c>
      <c r="L87" s="10" t="inlineStr">
        <is>
          <t>Leadership +10, AA Frags +20</t>
        </is>
      </c>
      <c r="M87" s="11" t="n">
        <v>1800</v>
      </c>
      <c r="O87" s="7" t="n">
        <v>1</v>
      </c>
      <c r="P87" s="8" t="n">
        <v>10</v>
      </c>
      <c r="Q87" s="9" t="n">
        <v>72000</v>
      </c>
      <c r="R87" s="9" t="n">
        <v>720000</v>
      </c>
      <c r="S87" s="10" t="inlineStr">
        <is>
          <t>SS RelicFrags +40</t>
        </is>
      </c>
      <c r="T87" s="11" t="n">
        <v>6000</v>
      </c>
    </row>
    <row r="88">
      <c r="A88" s="7" t="n">
        <v>2</v>
      </c>
      <c r="B88" s="8" t="n">
        <v>40</v>
      </c>
      <c r="C88" s="9" t="n">
        <v>40000</v>
      </c>
      <c r="D88" s="9" t="n">
        <v>100000</v>
      </c>
      <c r="E88" s="10" t="inlineStr">
        <is>
          <t>All Compasses effect +60%</t>
        </is>
      </c>
      <c r="F88" s="11" t="n">
        <v>450</v>
      </c>
      <c r="H88" s="7" t="n">
        <v>2</v>
      </c>
      <c r="I88" s="8" t="n">
        <v>216</v>
      </c>
      <c r="J88" s="9" t="n">
        <v>150000</v>
      </c>
      <c r="K88" s="9" t="n">
        <v>360000</v>
      </c>
      <c r="L88" s="10" t="inlineStr">
        <is>
          <t>Leadership +20, AA Frags +20</t>
        </is>
      </c>
      <c r="M88" s="11" t="n">
        <v>2100</v>
      </c>
      <c r="O88" s="7" t="n">
        <v>2</v>
      </c>
      <c r="P88" s="8" t="n">
        <v>18</v>
      </c>
      <c r="Q88" s="9" t="n">
        <v>94000</v>
      </c>
      <c r="R88" s="9" t="n">
        <v>1040000</v>
      </c>
      <c r="S88" s="10" t="inlineStr">
        <is>
          <t>SS Relic Frags +40</t>
        </is>
      </c>
      <c r="T88" s="11" t="n">
        <v>7000</v>
      </c>
    </row>
    <row r="89">
      <c r="A89" s="7" t="n">
        <v>3</v>
      </c>
      <c r="B89" s="8" t="n">
        <v>60</v>
      </c>
      <c r="C89" s="9" t="n">
        <v>60000</v>
      </c>
      <c r="D89" s="9" t="n">
        <v>150000</v>
      </c>
      <c r="E89" s="10" t="inlineStr">
        <is>
          <t>All Compasses effect +80%</t>
        </is>
      </c>
      <c r="F89" s="11" t="n">
        <v>500</v>
      </c>
      <c r="H89" s="7" t="n">
        <v>3</v>
      </c>
      <c r="I89" s="8" t="n">
        <v>360</v>
      </c>
      <c r="J89" s="9" t="n">
        <v>250000</v>
      </c>
      <c r="K89" s="9" t="n">
        <v>600000</v>
      </c>
      <c r="L89" s="10" t="inlineStr">
        <is>
          <t>Leadership +30, AA Frags +40</t>
        </is>
      </c>
      <c r="M89" s="11" t="n">
        <v>2400</v>
      </c>
      <c r="O89" s="7" t="n">
        <v>3</v>
      </c>
      <c r="P89" s="8" t="n">
        <v>26</v>
      </c>
      <c r="Q89" s="9" t="n">
        <v>136000</v>
      </c>
      <c r="R89" s="9" t="n">
        <v>1360000</v>
      </c>
      <c r="S89" s="10" t="inlineStr">
        <is>
          <t>SS Relic Frags +40</t>
        </is>
      </c>
      <c r="T89" s="11" t="n">
        <v>8000</v>
      </c>
    </row>
    <row r="90">
      <c r="A90" s="12" t="inlineStr">
        <is>
          <t>Total</t>
        </is>
      </c>
      <c r="B90" s="13">
        <f>SUM(B87:B89)</f>
        <v/>
      </c>
      <c r="C90" s="14">
        <f>sum(C87:C89)</f>
        <v/>
      </c>
      <c r="D90" s="14">
        <f>sum(D87:D89)</f>
        <v/>
      </c>
      <c r="E90" s="15" t="n"/>
      <c r="F90" s="16">
        <f>sum(F87:F89)</f>
        <v/>
      </c>
      <c r="H90" s="12" t="inlineStr">
        <is>
          <t>Total</t>
        </is>
      </c>
      <c r="I90" s="22">
        <f>SUM(I87:I89)</f>
        <v/>
      </c>
      <c r="J90" s="14">
        <f>sum(J87:J89)</f>
        <v/>
      </c>
      <c r="K90" s="14">
        <f>sum(K87:K89)</f>
        <v/>
      </c>
      <c r="L90" s="15" t="n"/>
      <c r="M90" s="16">
        <f>sum(M87:M89)</f>
        <v/>
      </c>
      <c r="O90" s="7" t="n">
        <v>4</v>
      </c>
      <c r="P90" s="8" t="n">
        <v>34</v>
      </c>
      <c r="Q90" s="9" t="n">
        <v>168000</v>
      </c>
      <c r="R90" s="9" t="n">
        <v>1680000</v>
      </c>
      <c r="S90" s="10" t="inlineStr">
        <is>
          <t>SS Relic Frags +80</t>
        </is>
      </c>
      <c r="T90" s="11" t="n">
        <v>9000</v>
      </c>
    </row>
    <row r="91">
      <c r="A91" s="20" t="n"/>
      <c r="B91" s="10" t="n"/>
      <c r="C91" s="10" t="n"/>
      <c r="D91" s="10" t="n"/>
      <c r="E91" s="10" t="n"/>
      <c r="F91" s="21" t="n"/>
      <c r="H91" s="1" t="n"/>
      <c r="I91" s="2" t="n"/>
      <c r="J91" s="2" t="n"/>
      <c r="K91" s="2" t="n"/>
      <c r="L91" s="2" t="n"/>
      <c r="M91" s="3" t="n"/>
      <c r="O91" s="7" t="n">
        <v>5</v>
      </c>
      <c r="P91" s="8" t="n">
        <v>42</v>
      </c>
      <c r="Q91" s="9" t="n">
        <v>200000</v>
      </c>
      <c r="R91" s="9" t="n">
        <v>2000000</v>
      </c>
      <c r="S91" s="10" t="inlineStr">
        <is>
          <t>SS Relic Frags +80</t>
        </is>
      </c>
      <c r="T91" s="11" t="n">
        <v>10000</v>
      </c>
    </row>
    <row r="92">
      <c r="A92" s="20" t="n"/>
      <c r="B92" s="10" t="n"/>
      <c r="C92" s="10" t="n"/>
      <c r="D92" s="10" t="n"/>
      <c r="E92" s="10" t="n"/>
      <c r="F92" s="21" t="n"/>
      <c r="H92" s="43" t="n"/>
      <c r="I92" s="44" t="n"/>
      <c r="J92" s="44" t="n"/>
      <c r="K92" s="44" t="n"/>
      <c r="L92" s="44" t="n"/>
      <c r="M92" s="45" t="n"/>
      <c r="O92" s="12" t="inlineStr">
        <is>
          <t>Total</t>
        </is>
      </c>
      <c r="P92" s="22">
        <f>SUM(P87:P91)</f>
        <v/>
      </c>
      <c r="Q92" s="14">
        <f>sum(Q87:Q91)</f>
        <v/>
      </c>
      <c r="R92" s="14">
        <f>sum(R87:R91)</f>
        <v/>
      </c>
      <c r="S92" s="15" t="n"/>
      <c r="T92" s="16">
        <f>sum(T87:T91)</f>
        <v/>
      </c>
    </row>
    <row r="93">
      <c r="A93" s="4" t="inlineStr">
        <is>
          <t>4 - Form Ritual VI</t>
        </is>
      </c>
      <c r="B93" s="5" t="n"/>
      <c r="C93" s="5" t="inlineStr">
        <is>
          <t>Cells</t>
        </is>
      </c>
      <c r="D93" s="5" t="inlineStr">
        <is>
          <t>Btads</t>
        </is>
      </c>
      <c r="E93" s="5" t="n"/>
      <c r="F93" s="6" t="inlineStr">
        <is>
          <t>DNA Points</t>
        </is>
      </c>
      <c r="H93" s="4" t="inlineStr">
        <is>
          <t>4 - Form Ritual VII</t>
        </is>
      </c>
      <c r="I93" s="5" t="n"/>
      <c r="J93" s="5" t="inlineStr">
        <is>
          <t>Cells</t>
        </is>
      </c>
      <c r="K93" s="5" t="inlineStr">
        <is>
          <t>Btads</t>
        </is>
      </c>
      <c r="L93" s="5" t="n"/>
      <c r="M93" s="6" t="inlineStr">
        <is>
          <t>DNA Points</t>
        </is>
      </c>
      <c r="O93" s="20" t="n"/>
      <c r="P93" s="10" t="n"/>
      <c r="Q93" s="10" t="n"/>
      <c r="R93" s="10" t="n"/>
      <c r="S93" s="10" t="n"/>
      <c r="T93" s="21" t="n"/>
    </row>
    <row r="94">
      <c r="A94" s="46" t="n">
        <v>1</v>
      </c>
      <c r="B94" s="22" t="n">
        <v>120</v>
      </c>
      <c r="C94" s="14" t="n">
        <v>30000</v>
      </c>
      <c r="D94" s="14" t="n">
        <v>75000</v>
      </c>
      <c r="E94" s="15" t="n"/>
      <c r="F94" s="47" t="n">
        <v>500</v>
      </c>
      <c r="H94" s="46" t="n">
        <v>1</v>
      </c>
      <c r="I94" s="22" t="n">
        <v>720</v>
      </c>
      <c r="J94" s="14" t="n">
        <v>60000</v>
      </c>
      <c r="K94" s="14" t="n">
        <v>300000</v>
      </c>
      <c r="L94" s="15" t="n"/>
      <c r="M94" s="47" t="n">
        <v>800</v>
      </c>
      <c r="O94" s="20" t="n"/>
      <c r="P94" s="10" t="n"/>
      <c r="Q94" s="10" t="n"/>
      <c r="R94" s="10" t="n"/>
      <c r="S94" s="10" t="n"/>
      <c r="T94" s="21" t="n"/>
    </row>
    <row r="95">
      <c r="A95" s="18" t="n"/>
      <c r="B95" s="18" t="n"/>
      <c r="C95" s="18" t="n"/>
      <c r="D95" s="18" t="n"/>
      <c r="E95" s="18" t="n"/>
      <c r="F95" s="18" t="n"/>
      <c r="H95" s="18" t="n"/>
      <c r="I95" s="18" t="n"/>
      <c r="J95" s="18" t="n"/>
      <c r="K95" s="18" t="n"/>
      <c r="L95" s="18" t="n"/>
      <c r="M95" s="18" t="n"/>
      <c r="O95" s="4" t="inlineStr">
        <is>
          <t>4 - Form Ritual VIII</t>
        </is>
      </c>
      <c r="P95" s="5" t="n"/>
      <c r="Q95" s="5" t="inlineStr">
        <is>
          <t>Cells</t>
        </is>
      </c>
      <c r="R95" s="5" t="inlineStr">
        <is>
          <t>Btads</t>
        </is>
      </c>
      <c r="S95" s="5" t="n"/>
      <c r="T95" s="6" t="inlineStr">
        <is>
          <t>DNA Points</t>
        </is>
      </c>
    </row>
    <row r="96">
      <c r="A96" s="10" t="n"/>
      <c r="B96" s="10" t="n"/>
      <c r="C96" s="10" t="n"/>
      <c r="D96" s="10" t="n"/>
      <c r="E96" s="10" t="n"/>
      <c r="F96" s="10" t="n"/>
      <c r="H96" s="10" t="n"/>
      <c r="I96" s="10" t="n"/>
      <c r="J96" s="10" t="n"/>
      <c r="K96" s="10" t="n"/>
      <c r="L96" s="10" t="n"/>
      <c r="M96" s="10" t="n"/>
      <c r="O96" s="46" t="n">
        <v>1</v>
      </c>
      <c r="P96" s="22" t="n">
        <v>180</v>
      </c>
      <c r="Q96" s="14" t="n">
        <v>160000</v>
      </c>
      <c r="R96" s="14" t="n">
        <v>1600000</v>
      </c>
      <c r="S96" s="15" t="n"/>
      <c r="T96" s="47" t="n">
        <v>1500</v>
      </c>
    </row>
    <row r="97">
      <c r="A97" s="48" t="inlineStr">
        <is>
          <t>T5-&gt;T6</t>
        </is>
      </c>
      <c r="B97" s="49" t="inlineStr">
        <is>
          <t>Time (hr)</t>
        </is>
      </c>
      <c r="C97" s="50" t="inlineStr">
        <is>
          <t>Time (days)</t>
        </is>
      </c>
      <c r="D97" s="49" t="inlineStr">
        <is>
          <t>Cells</t>
        </is>
      </c>
      <c r="E97" s="49" t="inlineStr">
        <is>
          <t>B-tads</t>
        </is>
      </c>
      <c r="F97" s="51" t="inlineStr">
        <is>
          <t>DNA Points</t>
        </is>
      </c>
      <c r="H97" s="48" t="inlineStr">
        <is>
          <t>T6-&gt;T7</t>
        </is>
      </c>
      <c r="I97" s="49" t="inlineStr">
        <is>
          <t>Time (hr)</t>
        </is>
      </c>
      <c r="J97" s="49" t="inlineStr">
        <is>
          <t>Time (days)</t>
        </is>
      </c>
      <c r="K97" s="49" t="inlineStr">
        <is>
          <t>Cells</t>
        </is>
      </c>
      <c r="L97" s="49" t="inlineStr">
        <is>
          <t>B-tads</t>
        </is>
      </c>
      <c r="M97" s="51" t="inlineStr">
        <is>
          <t>DNA Points</t>
        </is>
      </c>
      <c r="N97" s="9" t="n"/>
      <c r="P97" s="18" t="n"/>
      <c r="Q97" s="18" t="n"/>
      <c r="R97" s="18" t="n"/>
      <c r="S97" s="18" t="n"/>
      <c r="T97" s="18" t="n"/>
      <c r="U97" s="18" t="n"/>
    </row>
    <row r="98">
      <c r="A98" s="20" t="inlineStr">
        <is>
          <t>Total</t>
        </is>
      </c>
      <c r="B98" s="52">
        <f>B13+B27+B41+B55+B69+B83+B90+B94</f>
        <v/>
      </c>
      <c r="C98" s="8">
        <f>B98/24</f>
        <v/>
      </c>
      <c r="D98" s="9">
        <f>C13+C27+C41+C55+C69+C83+C90+C94</f>
        <v/>
      </c>
      <c r="E98" s="9">
        <f>D13+D27+D41+D55+D69+D83+D90+D94</f>
        <v/>
      </c>
      <c r="F98" s="53">
        <f>F13+F27+F41+F55+F69+F83+F90+F94</f>
        <v/>
      </c>
      <c r="H98" s="20" t="inlineStr">
        <is>
          <t>Total</t>
        </is>
      </c>
      <c r="I98" s="52">
        <f>I13+I27+I41+I55+I69+I83+I90+I94</f>
        <v/>
      </c>
      <c r="J98" s="8">
        <f>I98/24</f>
        <v/>
      </c>
      <c r="K98" s="9">
        <f>J13+J27+J41+J55+J69+J83+J90+J94</f>
        <v/>
      </c>
      <c r="L98" s="9">
        <f>K13+K27+K41+K55+K69+K83+K90+K94</f>
        <v/>
      </c>
      <c r="M98" s="53">
        <f>M13+M27+M41+M55+M69+M83+M90+M94</f>
        <v/>
      </c>
      <c r="N98" s="9" t="n"/>
      <c r="P98" s="10" t="n"/>
      <c r="Q98" s="10" t="n"/>
      <c r="R98" s="10" t="n"/>
      <c r="S98" s="10" t="n"/>
      <c r="T98" s="10" t="n"/>
      <c r="U98" s="10" t="n"/>
    </row>
    <row r="99">
      <c r="A99" s="20" t="inlineStr">
        <is>
          <t>To Center</t>
        </is>
      </c>
      <c r="B99" s="52">
        <f>B55+B69+B90</f>
        <v/>
      </c>
      <c r="C99" s="54">
        <f>B99/24</f>
        <v/>
      </c>
      <c r="D99" s="9">
        <f>C55+C69+C90</f>
        <v/>
      </c>
      <c r="E99" s="9">
        <f>D55+D69+D90</f>
        <v/>
      </c>
      <c r="F99" s="53">
        <f>F55+F69+F90</f>
        <v/>
      </c>
      <c r="H99" s="20" t="inlineStr">
        <is>
          <t>To Center</t>
        </is>
      </c>
      <c r="I99" s="8">
        <f>I55+I69+I90</f>
        <v/>
      </c>
      <c r="J99" s="8">
        <f>I99/24</f>
        <v/>
      </c>
      <c r="K99" s="9">
        <f>J55+J69+J90</f>
        <v/>
      </c>
      <c r="L99" s="9">
        <f>K55+K69+K90</f>
        <v/>
      </c>
      <c r="M99" s="53">
        <f>M55+M69+M90</f>
        <v/>
      </c>
      <c r="N99" s="9" t="n"/>
      <c r="O99" s="48" t="inlineStr">
        <is>
          <t>T7-&gt;T8</t>
        </is>
      </c>
      <c r="P99" s="49" t="inlineStr">
        <is>
          <t>Time (days)</t>
        </is>
      </c>
      <c r="Q99" s="49" t="inlineStr">
        <is>
          <t>Cells</t>
        </is>
      </c>
      <c r="R99" s="49" t="inlineStr">
        <is>
          <t>B-tads</t>
        </is>
      </c>
      <c r="S99" s="51" t="inlineStr">
        <is>
          <t>DNA Points</t>
        </is>
      </c>
      <c r="T99" s="9" t="n"/>
    </row>
    <row r="100">
      <c r="A100" s="12" t="inlineStr">
        <is>
          <t>Remaining</t>
        </is>
      </c>
      <c r="B100" s="13">
        <f>B98-B99</f>
        <v/>
      </c>
      <c r="C100" s="55">
        <f>B100/24</f>
        <v/>
      </c>
      <c r="D100" s="14">
        <f>D98-D99</f>
        <v/>
      </c>
      <c r="E100" s="14">
        <f>E98-E99</f>
        <v/>
      </c>
      <c r="F100" s="56">
        <f>F98-F99</f>
        <v/>
      </c>
      <c r="H100" s="12" t="inlineStr">
        <is>
          <t>Remaining</t>
        </is>
      </c>
      <c r="I100" s="13">
        <f>I98-I99</f>
        <v/>
      </c>
      <c r="J100" s="22">
        <f>I100/24</f>
        <v/>
      </c>
      <c r="K100" s="14">
        <f>K98-K99</f>
        <v/>
      </c>
      <c r="L100" s="14">
        <f>L98-L99</f>
        <v/>
      </c>
      <c r="M100" s="56">
        <f>M98-M99</f>
        <v/>
      </c>
      <c r="O100" s="20" t="inlineStr">
        <is>
          <t>Total</t>
        </is>
      </c>
      <c r="P100" s="52">
        <f>P13+P27+P41+P55+P69+P83+P92+P96</f>
        <v/>
      </c>
      <c r="Q100" s="9">
        <f>Q13+Q27+Q41+Q55+Q69+Q83+Q92+Q96</f>
        <v/>
      </c>
      <c r="R100" s="9">
        <f>R13+R27+R41+R55+R69+R83+R92+R96</f>
        <v/>
      </c>
      <c r="S100" s="53">
        <f>T13+T27+T41+T55+T69+T83+T92+T96</f>
        <v/>
      </c>
      <c r="T100" s="9" t="n"/>
    </row>
    <row r="101">
      <c r="O101" s="20" t="inlineStr">
        <is>
          <t>To Center</t>
        </is>
      </c>
      <c r="P101" s="8">
        <f>P55+P69+P92</f>
        <v/>
      </c>
      <c r="Q101" s="9">
        <f>Q55+Q69+Q92</f>
        <v/>
      </c>
      <c r="R101" s="9">
        <f>R55+R69+R92</f>
        <v/>
      </c>
      <c r="S101" s="53">
        <f>T55+T69+T92</f>
        <v/>
      </c>
      <c r="T101" s="9" t="n"/>
    </row>
    <row r="102">
      <c r="O102" s="12" t="inlineStr">
        <is>
          <t>Remaining</t>
        </is>
      </c>
      <c r="P102" s="13">
        <f>P100-P101</f>
        <v/>
      </c>
      <c r="Q102" s="14">
        <f>Q100-Q101</f>
        <v/>
      </c>
      <c r="R102" s="14">
        <f>R100-R101</f>
        <v/>
      </c>
      <c r="S102" s="56">
        <f>S100-S101</f>
        <v/>
      </c>
    </row>
    <row r="103"/>
    <row r="104">
      <c r="C104" s="57" t="n"/>
      <c r="J104" s="57" t="n"/>
    </row>
    <row r="105"/>
    <row r="106">
      <c r="P106" s="57" t="n"/>
    </row>
  </sheetData>
  <mergeCells count="3">
    <mergeCell ref="H58:I58"/>
    <mergeCell ref="A58:B58"/>
    <mergeCell ref="O58:P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2026-04-25T21:15:32Z</dcterms:created>
  <dcterms:modified xmlns:dcterms="http://purl.org/dc/terms/" xmlns:xsi="http://www.w3.org/2001/XMLSchema-instance" xsi:type="dcterms:W3CDTF">2026-04-25T21:15:32Z</dcterms:modified>
</cp:coreProperties>
</file>