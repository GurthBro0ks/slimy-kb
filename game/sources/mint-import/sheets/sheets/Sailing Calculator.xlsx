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ling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theme="1"/>
      <sz val="12"/>
    </font>
    <font>
      <name val="Calibri"/>
      <color rgb="FF0000FF"/>
      <sz val="12"/>
    </font>
    <font>
      <name val="Verdana"/>
      <color theme="1"/>
      <scheme val="minor"/>
    </font>
  </fonts>
  <fills count="5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bottom"/>
    </xf>
    <xf numFmtId="0" fontId="1" fillId="0" borderId="2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/>
    </xf>
    <xf numFmtId="0" fontId="2" fillId="3" borderId="1" applyAlignment="1" pivotButton="0" quotePrefix="0" xfId="0">
      <alignment horizontal="right" vertical="bottom"/>
    </xf>
    <xf numFmtId="0" fontId="1" fillId="0" borderId="1" applyAlignment="1" pivotButton="0" quotePrefix="0" xfId="0">
      <alignment horizontal="right" vertical="bottom"/>
    </xf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horizontal="right" vertical="bottom"/>
    </xf>
    <xf numFmtId="0" fontId="1" fillId="2" borderId="3" applyAlignment="1" pivotButton="0" quotePrefix="0" xfId="0">
      <alignment horizontal="center" vertical="bottom"/>
    </xf>
    <xf numFmtId="0" fontId="1" fillId="2" borderId="4" applyAlignment="1" pivotButton="0" quotePrefix="0" xfId="0">
      <alignment horizontal="center" vertical="bottom"/>
    </xf>
    <xf numFmtId="0" fontId="1" fillId="0" borderId="3" applyAlignment="1" pivotButton="0" quotePrefix="0" xfId="0">
      <alignment vertical="bottom"/>
    </xf>
    <xf numFmtId="0" fontId="1" fillId="0" borderId="5" applyAlignment="1" pivotButton="0" quotePrefix="0" xfId="0">
      <alignment horizontal="center" vertical="bottom"/>
    </xf>
    <xf numFmtId="0" fontId="1" fillId="0" borderId="6" applyAlignment="1" pivotButton="0" quotePrefix="0" xfId="0">
      <alignment horizontal="center" vertical="bottom"/>
    </xf>
    <xf numFmtId="0" fontId="3" fillId="0" borderId="1" pivotButton="0" quotePrefix="0" xfId="0"/>
    <xf numFmtId="0" fontId="1" fillId="0" borderId="6" applyAlignment="1" pivotButton="0" quotePrefix="0" xfId="0">
      <alignment horizontal="right" vertical="bottom"/>
    </xf>
    <xf numFmtId="10" fontId="1" fillId="0" borderId="1" applyAlignment="1" pivotButton="0" quotePrefix="0" xfId="0">
      <alignment horizontal="right" vertical="bottom"/>
    </xf>
    <xf numFmtId="10" fontId="1" fillId="0" borderId="2" applyAlignment="1" pivotButton="0" quotePrefix="0" xfId="0">
      <alignment vertical="bottom"/>
    </xf>
    <xf numFmtId="0" fontId="2" fillId="3" borderId="1" applyAlignment="1" pivotButton="0" quotePrefix="0" xfId="0">
      <alignment horizontal="center" vertical="bottom"/>
    </xf>
    <xf numFmtId="0" fontId="1" fillId="2" borderId="7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bottom"/>
    </xf>
    <xf numFmtId="41" fontId="1" fillId="0" borderId="2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0" fontId="1" fillId="4" borderId="1" applyAlignment="1" pivotButton="0" quotePrefix="0" xfId="0">
      <alignment horizontal="center" vertical="bottom"/>
    </xf>
    <xf numFmtId="41" fontId="1" fillId="4" borderId="1" applyAlignment="1" pivotButton="0" quotePrefix="0" xfId="0">
      <alignment horizontal="right" vertical="bottom"/>
    </xf>
    <xf numFmtId="41" fontId="2" fillId="3" borderId="1" applyAlignment="1" pivotButton="0" quotePrefix="0" xfId="0">
      <alignment horizontal="right" vertical="bottom"/>
    </xf>
    <xf numFmtId="0" fontId="1" fillId="0" borderId="9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41" fontId="1" fillId="4" borderId="1" applyAlignment="1" pivotButton="0" quotePrefix="0" xfId="0">
      <alignment horizontal="center" vertical="bottom"/>
    </xf>
    <xf numFmtId="10" fontId="1" fillId="0" borderId="10" applyAlignment="1" pivotButton="0" quotePrefix="0" xfId="0">
      <alignment vertical="bottom"/>
    </xf>
    <xf numFmtId="10" fontId="1" fillId="4" borderId="1" applyAlignment="1" pivotButton="0" quotePrefix="0" xfId="0">
      <alignment horizontal="center" vertical="bottom"/>
    </xf>
    <xf numFmtId="0" fontId="1" fillId="0" borderId="5" applyAlignment="1" pivotButton="0" quotePrefix="0" xfId="0">
      <alignment vertical="bottom"/>
    </xf>
    <xf numFmtId="0" fontId="1" fillId="2" borderId="3" applyAlignment="1" pivotButton="0" quotePrefix="0" xfId="0">
      <alignment vertical="bottom"/>
    </xf>
    <xf numFmtId="0" fontId="1" fillId="2" borderId="11" applyAlignment="1" pivotButton="0" quotePrefix="0" xfId="0">
      <alignment vertical="bottom"/>
    </xf>
    <xf numFmtId="0" fontId="1" fillId="2" borderId="4" applyAlignment="1" pivotButton="0" quotePrefix="0" xfId="0">
      <alignment vertical="bottom"/>
    </xf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"/>
  <sheetViews>
    <sheetView workbookViewId="0">
      <selection activeCell="A1" sqref="A1"/>
    </sheetView>
  </sheetViews>
  <sheetFormatPr baseColWidth="8" defaultRowHeight="15"/>
  <cols>
    <col width="14.45" customWidth="1" min="1" max="1"/>
    <col width="14.09" customWidth="1" min="2" max="2"/>
    <col width="10" customWidth="1" min="3" max="3"/>
    <col width="11.27" customWidth="1" min="4" max="4"/>
    <col width="14" customWidth="1" min="5" max="5"/>
    <col width="10.73" customWidth="1" min="6" max="6"/>
    <col width="7" customWidth="1" min="7" max="7"/>
    <col width="14.18" customWidth="1" min="8" max="8"/>
    <col width="11.91" customWidth="1" min="9" max="9"/>
  </cols>
  <sheetData>
    <row r="1">
      <c r="A1" s="1" t="inlineStr">
        <is>
          <t>Drifter</t>
        </is>
      </c>
      <c r="B1" s="1" t="inlineStr">
        <is>
          <t>Current Level</t>
        </is>
      </c>
      <c r="C1" s="1" t="inlineStr">
        <is>
          <t>Talent per Lvl</t>
        </is>
      </c>
      <c r="D1" s="1">
        <f>E22</f>
        <v/>
      </c>
      <c r="E1" s="1">
        <f>E14</f>
        <v/>
      </c>
      <c r="F1" s="1">
        <f>E17</f>
        <v/>
      </c>
      <c r="G1" s="1">
        <f>E13</f>
        <v/>
      </c>
      <c r="H1" s="1" t="inlineStr">
        <is>
          <t>Firepower Contributed</t>
        </is>
      </c>
      <c r="I1" s="1" t="inlineStr">
        <is>
          <t>Armor Contributed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Peacekeeper</t>
        </is>
      </c>
      <c r="B2" s="4" t="n">
        <v>35</v>
      </c>
      <c r="C2" s="5">
        <f>VLOOKUP(A2,'Drifter Stats'!$A$4:$Q$24,4,FALSE)</f>
        <v/>
      </c>
      <c r="D2" s="5">
        <f>$I$22*IF(COUNTIF($A$11:$A$14, $F$22)&gt;0, 1, 0)</f>
        <v/>
      </c>
      <c r="E2" s="5">
        <f>$I$14*IF(COUNTIF($A$11:$A$14, $F$14)&gt;0, 1, 0)</f>
        <v/>
      </c>
      <c r="F2" s="6" t="n"/>
      <c r="G2" s="5">
        <f>$I$13*IF(COUNTIF($A$11:$A$14, $F$13)&gt;0, 1, 0)</f>
        <v/>
      </c>
      <c r="H2" s="5">
        <f>B2*C2*(1+D2)+E2+F2</f>
        <v/>
      </c>
      <c r="I2" s="5">
        <f>B2*C2*(1+D2)*10+G2</f>
        <v/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inlineStr">
        <is>
          <t>Treasure Island</t>
        </is>
      </c>
      <c r="T2" s="2" t="inlineStr">
        <is>
          <t>Battle of Sinop</t>
        </is>
      </c>
      <c r="U2" s="2" t="n"/>
      <c r="V2" s="2" t="inlineStr">
        <is>
          <t>Anecdote</t>
        </is>
      </c>
      <c r="W2" s="2" t="inlineStr">
        <is>
          <t>Enemy Seafaring</t>
        </is>
      </c>
      <c r="X2" s="2" t="inlineStr">
        <is>
          <t>Enemy Firepower</t>
        </is>
      </c>
      <c r="Y2" s="2" t="inlineStr">
        <is>
          <t>Firepower / Seafaring</t>
        </is>
      </c>
      <c r="Z2" s="2" t="n"/>
    </row>
    <row r="3">
      <c r="A3" s="3" t="inlineStr">
        <is>
          <t>St. Trinidad</t>
        </is>
      </c>
      <c r="B3" s="4" t="n">
        <v>53</v>
      </c>
      <c r="C3" s="5">
        <f>VLOOKUP(A3,'Drifter Stats'!$A$4:$Q$24,4,FALSE)</f>
        <v/>
      </c>
      <c r="D3" s="5">
        <f>$I$22*IF(COUNTIF($A$11:$A$14, $F$22)&gt;0, 1, 0)</f>
        <v/>
      </c>
      <c r="E3" s="5">
        <f>$I$14*IF(COUNTIF($A$11:$A$14, $F$14)&gt;0, 1, 0)</f>
        <v/>
      </c>
      <c r="F3" s="6" t="n"/>
      <c r="G3" s="5">
        <f>$I$13*IF(COUNTIF($A$11:$A$14, $F$13)&gt;0, 1, 0)</f>
        <v/>
      </c>
      <c r="H3" s="5">
        <f>B3*C3*(1+D3)+E3+F3</f>
        <v/>
      </c>
      <c r="I3" s="5">
        <f>B3*C3*(1+D3)*10+G3</f>
        <v/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7" t="n">
        <v>32235</v>
      </c>
      <c r="T3" s="7" t="n">
        <v>34643</v>
      </c>
      <c r="U3" s="2" t="n"/>
      <c r="V3" s="2" t="inlineStr">
        <is>
          <t>Treasure Island</t>
        </is>
      </c>
      <c r="W3" s="7" t="n">
        <v>58595</v>
      </c>
      <c r="X3" s="7">
        <f>S46</f>
        <v/>
      </c>
      <c r="Y3" s="7">
        <f>X3/W3</f>
        <v/>
      </c>
      <c r="Z3" s="2" t="n"/>
    </row>
    <row r="4">
      <c r="A4" s="3" t="inlineStr">
        <is>
          <t>Soleil Royal</t>
        </is>
      </c>
      <c r="B4" s="4" t="n">
        <v>52</v>
      </c>
      <c r="C4" s="5">
        <f>VLOOKUP(A4,'Drifter Stats'!$A$4:$Q$24,4,FALSE)</f>
        <v/>
      </c>
      <c r="D4" s="5">
        <f>$I$22*IF(COUNTIF($A$11:$A$14, $F$22)&gt;0, 1, 0)</f>
        <v/>
      </c>
      <c r="E4" s="5">
        <f>$I$14*IF(COUNTIF($A$11:$A$14, $F$14)&gt;0, 1, 0)</f>
        <v/>
      </c>
      <c r="F4" s="5">
        <f>I17*IF(COUNTIF($A$11:$A$14, $F$17)&gt;0, 1, 0)*IF(COUNTIF($A$11:$A$14, $F$14)&gt;0, 1, 0)</f>
        <v/>
      </c>
      <c r="G4" s="5">
        <f>$I$13*IF(COUNTIF($A$11:$A$14, $F$13)&gt;0, 1, 0)</f>
        <v/>
      </c>
      <c r="H4" s="5">
        <f>B4*C4*(1+D4)+E4+F4</f>
        <v/>
      </c>
      <c r="I4" s="5">
        <f>B4*C4*(1+D4)*10+G4</f>
        <v/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7" t="n">
        <v>30031</v>
      </c>
      <c r="T4" s="7" t="n">
        <v>35599</v>
      </c>
      <c r="U4" s="2" t="n"/>
      <c r="V4" s="2" t="inlineStr">
        <is>
          <t>Battle of Sinop</t>
        </is>
      </c>
      <c r="W4" s="7" t="n">
        <v>69249</v>
      </c>
      <c r="X4" s="7">
        <f>T46</f>
        <v/>
      </c>
      <c r="Y4" s="7">
        <f>X4/W4</f>
        <v/>
      </c>
      <c r="Z4" s="2" t="n"/>
    </row>
    <row r="5">
      <c r="A5" s="3" t="inlineStr">
        <is>
          <t>Dragon Horse</t>
        </is>
      </c>
      <c r="B5" s="4" t="n">
        <v>49</v>
      </c>
      <c r="C5" s="5">
        <f>VLOOKUP(A5,'Drifter Stats'!$A$4:$Q$24,4,FALSE)</f>
        <v/>
      </c>
      <c r="D5" s="5">
        <f>$I$22*IF(COUNTIF($A$11:$A$14, $F$22)&gt;0, 1, 0)</f>
        <v/>
      </c>
      <c r="E5" s="5">
        <f>$I$14*IF(COUNTIF($A$11:$A$14, $F$14)&gt;0, 1, 0)</f>
        <v/>
      </c>
      <c r="F5" s="6" t="n"/>
      <c r="G5" s="5">
        <f>$I$13*IF(COUNTIF($A$11:$A$14, $F$13)&gt;0, 1, 0)</f>
        <v/>
      </c>
      <c r="H5" s="5">
        <f>B5*C5*(1+D5)+E5+F5</f>
        <v/>
      </c>
      <c r="I5" s="5">
        <f>B5*C5*(1+D5)*10+G5</f>
        <v/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7" t="n">
        <v>30137</v>
      </c>
      <c r="T5" s="7" t="n">
        <v>34103</v>
      </c>
      <c r="U5" s="2" t="n"/>
      <c r="V5" s="2" t="n"/>
      <c r="W5" s="2" t="n"/>
      <c r="X5" s="2" t="n"/>
      <c r="Y5" s="2" t="n"/>
      <c r="Z5" s="2" t="n"/>
    </row>
    <row r="6">
      <c r="A6" s="3" t="inlineStr">
        <is>
          <t>Tridentman</t>
        </is>
      </c>
      <c r="B6" s="4" t="n">
        <v>42</v>
      </c>
      <c r="C6" s="5">
        <f>VLOOKUP(A6,'Drifter Stats'!$A$4:$Q$24,4,FALSE)</f>
        <v/>
      </c>
      <c r="D6" s="5">
        <f>$I$22*IF(COUNTIF($A$11:$A$14, $F$22)&gt;0, 1, 0)</f>
        <v/>
      </c>
      <c r="E6" s="5">
        <f>$I$14*IF(COUNTIF($A$11:$A$14, $F$14)&gt;0, 1, 0)</f>
        <v/>
      </c>
      <c r="F6" s="6" t="n"/>
      <c r="G6" s="5">
        <f>$I$13*IF(COUNTIF($A$11:$A$14, $F$13)&gt;0, 1, 0)</f>
        <v/>
      </c>
      <c r="H6" s="5">
        <f>B6*C6*(1+D6)+E6+F6</f>
        <v/>
      </c>
      <c r="I6" s="5">
        <f>B6*C6*(1+D6)*10+G6</f>
        <v/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7" t="n">
        <v>29961</v>
      </c>
      <c r="T6" s="7" t="n">
        <v>35570</v>
      </c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7" t="n">
        <v>31164</v>
      </c>
      <c r="T7" s="7" t="n">
        <v>35620</v>
      </c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7" t="n">
        <v>29630</v>
      </c>
      <c r="T8" s="7" t="n">
        <v>34072</v>
      </c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7" t="n">
        <v>30670</v>
      </c>
      <c r="T9" s="7" t="n">
        <v>35750</v>
      </c>
      <c r="U9" s="2" t="n"/>
      <c r="V9" s="2" t="n"/>
      <c r="W9" s="2" t="n"/>
      <c r="X9" s="2" t="n"/>
      <c r="Y9" s="2" t="n"/>
      <c r="Z9" s="2" t="n"/>
    </row>
    <row r="10">
      <c r="A10" s="8" t="inlineStr">
        <is>
          <t>Drifter</t>
        </is>
      </c>
      <c r="B10" s="1" t="inlineStr">
        <is>
          <t>Firepower</t>
        </is>
      </c>
      <c r="C10" s="1" t="inlineStr">
        <is>
          <t>Armor</t>
        </is>
      </c>
      <c r="D10" s="2" t="n"/>
      <c r="E10" s="1" t="inlineStr">
        <is>
          <t>Skill Type</t>
        </is>
      </c>
      <c r="F10" s="9" t="inlineStr">
        <is>
          <t>Owner</t>
        </is>
      </c>
      <c r="G10" s="9" t="inlineStr">
        <is>
          <t>Rating</t>
        </is>
      </c>
      <c r="H10" s="9" t="inlineStr">
        <is>
          <t>Level</t>
        </is>
      </c>
      <c r="I10" s="9" t="inlineStr">
        <is>
          <t>Effect</t>
        </is>
      </c>
      <c r="J10" s="1" t="inlineStr">
        <is>
          <t>% DMG Buff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7" t="n">
        <v>29684</v>
      </c>
      <c r="T10" s="7" t="n">
        <v>35299</v>
      </c>
      <c r="U10" s="2" t="n"/>
      <c r="V10" s="2" t="n"/>
      <c r="W10" s="2" t="n"/>
      <c r="X10" s="2" t="n"/>
      <c r="Y10" s="2" t="n"/>
      <c r="Z10" s="2" t="n"/>
    </row>
    <row r="11">
      <c r="A11" s="10" t="inlineStr">
        <is>
          <t>St. Trinidad</t>
        </is>
      </c>
      <c r="B11" s="5">
        <f>VLOOKUP(A11,$A$1:$I$6,8,FALSE)</f>
        <v/>
      </c>
      <c r="C11" s="5">
        <f>VLOOKUP(A11,$A$1:$I$6,9,FALSE)</f>
        <v/>
      </c>
      <c r="D11" s="2" t="n"/>
      <c r="E11" s="11" t="inlineStr">
        <is>
          <t>Reduce Damage Taken</t>
        </is>
      </c>
      <c r="F11" s="12" t="inlineStr">
        <is>
          <t>Peacekeeper</t>
        </is>
      </c>
      <c r="G11" s="13">
        <f>IF(H9 &gt;= 10, 'Drifter Priority'!D299, 'Drifter Priority'!C299)</f>
        <v/>
      </c>
      <c r="H11" s="4" t="n">
        <v>20</v>
      </c>
      <c r="I11" s="14">
        <f>0.01*H11</f>
        <v/>
      </c>
      <c r="J11" s="15" t="n">
        <v>0.1523301748314632</v>
      </c>
      <c r="K11" s="16" t="n"/>
      <c r="L11" s="16" t="n"/>
      <c r="M11" s="16" t="n"/>
      <c r="N11" s="2" t="n"/>
      <c r="O11" s="2" t="n"/>
      <c r="P11" s="2" t="n"/>
      <c r="Q11" s="2" t="n"/>
      <c r="R11" s="2" t="n"/>
      <c r="S11" s="7" t="n">
        <v>30022</v>
      </c>
      <c r="T11" s="7" t="n">
        <v>35590</v>
      </c>
      <c r="U11" s="2" t="n"/>
      <c r="V11" s="2" t="n"/>
      <c r="W11" s="2" t="n"/>
      <c r="X11" s="2" t="n"/>
      <c r="Y11" s="2" t="n"/>
      <c r="Z11" s="2" t="n"/>
    </row>
    <row r="12">
      <c r="A12" s="10" t="inlineStr">
        <is>
          <t>Soleil Royal</t>
        </is>
      </c>
      <c r="B12" s="5">
        <f>VLOOKUP(A12,$A$1:$I$6,8,FALSE)</f>
        <v/>
      </c>
      <c r="C12" s="5">
        <f>VLOOKUP(A12,$A$1:$I$6,9,FALSE)</f>
        <v/>
      </c>
      <c r="D12" s="2" t="n"/>
      <c r="E12" s="11" t="inlineStr">
        <is>
          <t>Armor Repair/Round</t>
        </is>
      </c>
      <c r="F12" s="12" t="inlineStr">
        <is>
          <t>Peacekeeper</t>
        </is>
      </c>
      <c r="G12" s="13">
        <f>IF(H10 &gt;= 10, 'Drifter Priority'!D298, 'Drifter Priority'!C298)</f>
        <v/>
      </c>
      <c r="H12" s="4" t="n">
        <v>20</v>
      </c>
      <c r="I12" s="14">
        <f>150*H12</f>
        <v/>
      </c>
      <c r="J12" s="15" t="n">
        <v>0.05964885964834887</v>
      </c>
      <c r="K12" s="16" t="n"/>
      <c r="L12" s="16" t="n"/>
      <c r="M12" s="16" t="n"/>
      <c r="N12" s="2" t="n"/>
      <c r="O12" s="2" t="n"/>
      <c r="P12" s="2" t="n"/>
      <c r="Q12" s="2" t="n"/>
      <c r="R12" s="2" t="n"/>
      <c r="S12" s="7" t="n">
        <v>29671</v>
      </c>
      <c r="T12" s="7" t="n">
        <v>35660</v>
      </c>
      <c r="U12" s="2" t="n"/>
      <c r="V12" s="2" t="n"/>
      <c r="W12" s="2" t="n"/>
      <c r="X12" s="2" t="n"/>
      <c r="Y12" s="2" t="n"/>
      <c r="Z12" s="2" t="n"/>
    </row>
    <row r="13">
      <c r="A13" s="10" t="inlineStr">
        <is>
          <t>Dragon Horse</t>
        </is>
      </c>
      <c r="B13" s="5">
        <f>VLOOKUP(A13,$A$1:$I$6,8,FALSE)</f>
        <v/>
      </c>
      <c r="C13" s="5">
        <f>VLOOKUP(A13,$A$1:$I$6,9,FALSE)</f>
        <v/>
      </c>
      <c r="D13" s="2" t="n"/>
      <c r="E13" s="11" t="inlineStr">
        <is>
          <t>Ally Armor</t>
        </is>
      </c>
      <c r="F13" s="12" t="inlineStr">
        <is>
          <t>Peacekeeper</t>
        </is>
      </c>
      <c r="G13" s="13">
        <f>IF(H11 &gt;= 10, 'Drifter Priority'!D300, 'Drifter Priority'!C300)</f>
        <v/>
      </c>
      <c r="H13" s="4" t="n">
        <v>20</v>
      </c>
      <c r="I13" s="14">
        <f>1500*H13</f>
        <v/>
      </c>
      <c r="J13" s="15" t="n">
        <v>0.151039109851707</v>
      </c>
      <c r="K13" s="16" t="n"/>
      <c r="L13" s="16" t="n"/>
      <c r="M13" s="16" t="n"/>
      <c r="N13" s="2" t="n"/>
      <c r="O13" s="2" t="n"/>
      <c r="P13" s="2" t="n"/>
      <c r="Q13" s="2" t="n"/>
      <c r="R13" s="2" t="n"/>
      <c r="S13" s="7" t="n">
        <v>31854</v>
      </c>
      <c r="T13" s="7" t="n">
        <v>35192</v>
      </c>
      <c r="U13" s="2" t="n"/>
      <c r="V13" s="2" t="n"/>
      <c r="W13" s="2" t="n"/>
      <c r="X13" s="2" t="n"/>
      <c r="Y13" s="2" t="n"/>
      <c r="Z13" s="2" t="n"/>
    </row>
    <row r="14">
      <c r="A14" s="10" t="inlineStr">
        <is>
          <t>Peacekeeper</t>
        </is>
      </c>
      <c r="B14" s="5">
        <f>VLOOKUP(A14,$A$1:$I$6,8,FALSE)</f>
        <v/>
      </c>
      <c r="C14" s="5">
        <f>VLOOKUP(A14,$A$1:$I$6,9,FALSE)</f>
        <v/>
      </c>
      <c r="D14" s="2" t="n"/>
      <c r="E14" s="11" t="inlineStr">
        <is>
          <t>Ally Firepower</t>
        </is>
      </c>
      <c r="F14" s="12" t="inlineStr">
        <is>
          <t>St. Trinidad</t>
        </is>
      </c>
      <c r="G14" s="13">
        <f>IF(H12 &gt;= 10, 'Drifter Priority'!D314, 'Drifter Priority'!C314)</f>
        <v/>
      </c>
      <c r="H14" s="4" t="n">
        <v>20</v>
      </c>
      <c r="I14" s="14">
        <f>150*H14</f>
        <v/>
      </c>
      <c r="J14" s="15" t="n">
        <v>0.1149427556976979</v>
      </c>
      <c r="K14" s="16" t="n"/>
      <c r="L14" s="16" t="n"/>
      <c r="M14" s="16" t="n"/>
      <c r="N14" s="2" t="n"/>
      <c r="O14" s="2" t="n"/>
      <c r="P14" s="2" t="n"/>
      <c r="Q14" s="2" t="n"/>
      <c r="R14" s="2" t="n"/>
      <c r="S14" s="7" t="n">
        <v>30475</v>
      </c>
      <c r="T14" s="7" t="n">
        <v>36908</v>
      </c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11" t="inlineStr">
        <is>
          <t>Armor Lost Bonus</t>
        </is>
      </c>
      <c r="F15" s="12" t="inlineStr">
        <is>
          <t>St. Trinidad</t>
        </is>
      </c>
      <c r="G15" s="13">
        <f>IF(H13 &gt;= 10, 'Drifter Priority'!D315, 'Drifter Priority'!C315)</f>
        <v/>
      </c>
      <c r="H15" s="4" t="n">
        <v>20</v>
      </c>
      <c r="I15" s="14">
        <f>100*H15</f>
        <v/>
      </c>
      <c r="J15" s="15" t="n">
        <v>0.07617283380561002</v>
      </c>
      <c r="K15" s="16" t="n"/>
      <c r="L15" s="16" t="n"/>
      <c r="M15" s="16" t="n"/>
      <c r="N15" s="2" t="n"/>
      <c r="O15" s="2" t="n"/>
      <c r="P15" s="2" t="n"/>
      <c r="Q15" s="2" t="n"/>
      <c r="R15" s="2" t="n"/>
      <c r="S15" s="7" t="n">
        <v>30284</v>
      </c>
      <c r="T15" s="7" t="n">
        <v>35621</v>
      </c>
      <c r="U15" s="2" t="n"/>
      <c r="V15" s="2" t="n"/>
      <c r="W15" s="2" t="n"/>
      <c r="X15" s="2" t="n"/>
      <c r="Y15" s="2" t="n"/>
      <c r="Z15" s="2" t="n"/>
    </row>
    <row r="16">
      <c r="A16" s="1" t="inlineStr">
        <is>
          <t>Anecdote</t>
        </is>
      </c>
      <c r="B16" s="17" t="inlineStr">
        <is>
          <t>Battle of Midway</t>
        </is>
      </c>
      <c r="C16" s="2" t="n"/>
      <c r="D16" s="2" t="n"/>
      <c r="E16" s="11" t="inlineStr">
        <is>
          <t>Firepower Per Round</t>
        </is>
      </c>
      <c r="F16" s="12" t="inlineStr">
        <is>
          <t>St. Trinidad</t>
        </is>
      </c>
      <c r="G16" s="13">
        <f>IF(H14 &gt;= 10, 'Drifter Priority'!D316, 'Drifter Priority'!C316)</f>
        <v/>
      </c>
      <c r="H16" s="4" t="n">
        <v>20</v>
      </c>
      <c r="I16" s="14">
        <f>70*H16</f>
        <v/>
      </c>
      <c r="J16" s="15" t="n">
        <v>0.07049214789468317</v>
      </c>
      <c r="K16" s="16" t="n"/>
      <c r="L16" s="16" t="n"/>
      <c r="M16" s="16" t="n"/>
      <c r="N16" s="2" t="n"/>
      <c r="O16" s="2" t="n"/>
      <c r="P16" s="2" t="n"/>
      <c r="Q16" s="2" t="n"/>
      <c r="R16" s="2" t="n"/>
      <c r="S16" s="7" t="n">
        <v>31885</v>
      </c>
      <c r="T16" s="7" t="n">
        <v>35873</v>
      </c>
      <c r="U16" s="2" t="n"/>
      <c r="V16" s="2" t="n"/>
      <c r="W16" s="2" t="n"/>
      <c r="X16" s="2" t="n"/>
      <c r="Y16" s="2" t="n"/>
      <c r="Z16" s="2" t="n"/>
    </row>
    <row r="17">
      <c r="A17" s="18" t="inlineStr">
        <is>
          <t>Stele Choice</t>
        </is>
      </c>
      <c r="B17" s="19" t="inlineStr">
        <is>
          <t>DMG REDUC</t>
        </is>
      </c>
      <c r="C17" s="2" t="n"/>
      <c r="D17" s="2" t="n"/>
      <c r="E17" s="11" t="inlineStr">
        <is>
          <t>Firepower Bonus</t>
        </is>
      </c>
      <c r="F17" s="12" t="inlineStr">
        <is>
          <t>Soleil Royal</t>
        </is>
      </c>
      <c r="G17" s="13">
        <f>IF(H15 &gt;= 10, 'Drifter Priority'!D330, 'Drifter Priority'!C330)</f>
        <v/>
      </c>
      <c r="H17" s="4" t="n">
        <v>20</v>
      </c>
      <c r="I17" s="14">
        <f>300*H17</f>
        <v/>
      </c>
      <c r="J17" s="15" t="n">
        <v>0.0574713778488487</v>
      </c>
      <c r="K17" s="16" t="n"/>
      <c r="L17" s="16" t="n"/>
      <c r="M17" s="16" t="n"/>
      <c r="N17" s="2" t="n"/>
      <c r="O17" s="2" t="n"/>
      <c r="P17" s="2" t="n"/>
      <c r="Q17" s="2" t="n"/>
      <c r="R17" s="2" t="n"/>
      <c r="S17" s="7" t="n">
        <v>32203</v>
      </c>
      <c r="T17" s="7" t="n">
        <v>34317</v>
      </c>
      <c r="U17" s="2" t="n"/>
      <c r="V17" s="2" t="n"/>
      <c r="W17" s="2" t="n"/>
      <c r="X17" s="2" t="n"/>
      <c r="Y17" s="2" t="n"/>
      <c r="Z17" s="2" t="n"/>
    </row>
    <row r="18">
      <c r="A18" s="1" t="inlineStr">
        <is>
          <t>Fleet Firepower</t>
        </is>
      </c>
      <c r="B18" s="3">
        <f>sum(B11:B14)</f>
        <v/>
      </c>
      <c r="C18" s="2" t="n"/>
      <c r="D18" s="2" t="n"/>
      <c r="E18" s="11" t="inlineStr">
        <is>
          <t>CRIT Rate</t>
        </is>
      </c>
      <c r="F18" s="12" t="inlineStr">
        <is>
          <t>Soleil Royal</t>
        </is>
      </c>
      <c r="G18" s="13">
        <f>IF(H16 &gt;= 10, 'Drifter Priority'!D331, 'Drifter Priority'!C331)</f>
        <v/>
      </c>
      <c r="H18" s="4" t="n">
        <v>20</v>
      </c>
      <c r="I18" s="14">
        <f>0.04*H18</f>
        <v/>
      </c>
      <c r="J18" s="15" t="n">
        <v>0.2367223839681936</v>
      </c>
      <c r="K18" s="16" t="n"/>
      <c r="L18" s="2" t="n"/>
      <c r="M18" s="2" t="n"/>
      <c r="N18" s="2" t="n"/>
      <c r="O18" s="2" t="n"/>
      <c r="P18" s="2" t="n"/>
      <c r="Q18" s="2" t="n"/>
      <c r="R18" s="2" t="n"/>
      <c r="S18" s="7" t="n">
        <v>30291</v>
      </c>
      <c r="T18" s="7" t="n">
        <v>34548</v>
      </c>
      <c r="U18" s="2" t="n"/>
      <c r="V18" s="2" t="n"/>
      <c r="W18" s="2" t="n"/>
      <c r="X18" s="2" t="n"/>
      <c r="Y18" s="2" t="n"/>
      <c r="Z18" s="2" t="n"/>
    </row>
    <row r="19">
      <c r="A19" s="1" t="inlineStr">
        <is>
          <t>Fleet Armor</t>
        </is>
      </c>
      <c r="B19" s="3">
        <f>sum(C11:C14)</f>
        <v/>
      </c>
      <c r="C19" s="2" t="n"/>
      <c r="D19" s="2" t="n"/>
      <c r="E19" s="3" t="inlineStr">
        <is>
          <t>Round 1 DMG</t>
        </is>
      </c>
      <c r="F19" s="3" t="inlineStr">
        <is>
          <t>Soleil Royal</t>
        </is>
      </c>
      <c r="G19" s="13">
        <f>IF(H17 &gt;= 10, 'Drifter Priority'!D332, 'Drifter Priority'!C332)</f>
        <v/>
      </c>
      <c r="H19" s="4" t="n">
        <v>20</v>
      </c>
      <c r="I19" s="5">
        <f>0.25*H19</f>
        <v/>
      </c>
      <c r="J19" s="15" t="n">
        <v>0.105715438342382</v>
      </c>
      <c r="K19" s="16" t="n"/>
      <c r="L19" s="16" t="n"/>
      <c r="M19" s="16" t="n"/>
      <c r="N19" s="2" t="n"/>
      <c r="O19" s="2" t="n"/>
      <c r="P19" s="2" t="n"/>
      <c r="Q19" s="2" t="n"/>
      <c r="R19" s="2" t="n"/>
      <c r="S19" s="7" t="n">
        <v>30050</v>
      </c>
      <c r="T19" s="7" t="n">
        <v>36612</v>
      </c>
      <c r="U19" s="2" t="n"/>
      <c r="V19" s="2" t="n"/>
      <c r="W19" s="2" t="n"/>
      <c r="X19" s="2" t="n"/>
      <c r="Y19" s="2" t="n"/>
      <c r="Z19" s="2" t="n"/>
    </row>
    <row r="20">
      <c r="A20" s="1" t="inlineStr">
        <is>
          <t>Enemy Seafaring</t>
        </is>
      </c>
      <c r="B20" s="3">
        <f>VLOOKUP($B$16,'Rift Anecdotes'!$B$63:$G$85,5,FALSE)</f>
        <v/>
      </c>
      <c r="C20" s="2" t="n"/>
      <c r="D20" s="2" t="n"/>
      <c r="E20" s="11" t="inlineStr">
        <is>
          <t>Firepower Reduction</t>
        </is>
      </c>
      <c r="F20" s="12" t="inlineStr">
        <is>
          <t>Dragon Horse</t>
        </is>
      </c>
      <c r="G20" s="13">
        <f>IF(H18 &gt;= 10, 'Drifter Priority'!D188, 'Drifter Priority'!C188)</f>
        <v/>
      </c>
      <c r="H20" s="4" t="n">
        <v>20</v>
      </c>
      <c r="I20" s="14">
        <f>-50*H20</f>
        <v/>
      </c>
      <c r="J20" s="15" t="n">
        <v>0.07700427965257295</v>
      </c>
      <c r="K20" s="16" t="n"/>
      <c r="L20" s="2" t="n"/>
      <c r="M20" s="2" t="n"/>
      <c r="N20" s="2" t="n"/>
      <c r="O20" s="2" t="n"/>
      <c r="P20" s="2" t="n"/>
      <c r="Q20" s="2" t="n"/>
      <c r="R20" s="2" t="n"/>
      <c r="S20" s="7" t="n">
        <v>32274</v>
      </c>
      <c r="T20" s="7" t="n">
        <v>36194</v>
      </c>
      <c r="U20" s="2" t="n"/>
      <c r="V20" s="2" t="n"/>
      <c r="W20" s="2" t="n"/>
      <c r="X20" s="2" t="n"/>
      <c r="Y20" s="2" t="n"/>
      <c r="Z20" s="2" t="n"/>
    </row>
    <row r="21">
      <c r="A21" s="1" t="inlineStr">
        <is>
          <t>Enemy Firepower</t>
        </is>
      </c>
      <c r="B21" s="3">
        <f>IF(VLOOKUP($B$16,'Rift Anecdotes'!$B$63:$G$85,6,FALSE) &gt; 0,VLOOKUP($B$16,'Rift Anecdotes'!$B$63:$G$85,6,FALSE), FLOOR(B20*0.52,1))</f>
        <v/>
      </c>
      <c r="C21" s="2" t="n"/>
      <c r="D21" s="2" t="n"/>
      <c r="E21" s="11" t="inlineStr">
        <is>
          <t>CRIT DMG</t>
        </is>
      </c>
      <c r="F21" s="12" t="inlineStr">
        <is>
          <t>Dragon Horse</t>
        </is>
      </c>
      <c r="G21" s="13">
        <f>IF(H19 &gt;= 10, 'Drifter Priority'!D189, 'Drifter Priority'!C189)</f>
        <v/>
      </c>
      <c r="H21" s="4" t="n">
        <v>20</v>
      </c>
      <c r="I21" s="14">
        <f>0.04*H21</f>
        <v/>
      </c>
      <c r="J21" s="15" t="n">
        <v>0.1045</v>
      </c>
      <c r="K21" s="16" t="n"/>
      <c r="L21" s="16" t="n"/>
      <c r="M21" s="2" t="n"/>
      <c r="N21" s="2" t="n"/>
      <c r="O21" s="2" t="n"/>
      <c r="P21" s="2" t="n"/>
      <c r="Q21" s="2" t="n"/>
      <c r="R21" s="2" t="n"/>
      <c r="S21" s="7" t="n">
        <v>31357</v>
      </c>
      <c r="T21" s="7" t="n">
        <v>35521</v>
      </c>
      <c r="U21" s="2" t="n"/>
      <c r="V21" s="2" t="n"/>
      <c r="W21" s="2" t="n"/>
      <c r="X21" s="2" t="n"/>
      <c r="Y21" s="2" t="n"/>
      <c r="Z21" s="2" t="n"/>
    </row>
    <row r="22">
      <c r="A22" s="1" t="inlineStr">
        <is>
          <t>DMG REDUC</t>
        </is>
      </c>
      <c r="B22" s="3">
        <f>I11*IF(COUNTIF($A$11:$A$14, $F$11)&gt;0, 1, 0)+IF($B$17=A22, 0.05, 0)</f>
        <v/>
      </c>
      <c r="C22" s="2" t="n"/>
      <c r="D22" s="2" t="n"/>
      <c r="E22" s="11" t="inlineStr">
        <is>
          <t>All Drifter Talent</t>
        </is>
      </c>
      <c r="F22" s="12" t="inlineStr">
        <is>
          <t>Tridentman</t>
        </is>
      </c>
      <c r="G22" s="13">
        <f>IF(H20 &gt;= 10, 'Drifter Priority'!D77, 'Drifter Priority'!C77)</f>
        <v/>
      </c>
      <c r="H22" s="4" t="n">
        <v>10</v>
      </c>
      <c r="I22" s="14">
        <f>0.01*H22</f>
        <v/>
      </c>
      <c r="J22" s="15" t="n">
        <v>0.1484976470579633</v>
      </c>
      <c r="K22" s="16" t="n"/>
      <c r="L22" s="2" t="n"/>
      <c r="M22" s="2" t="n"/>
      <c r="N22" s="2" t="n"/>
      <c r="O22" s="2" t="n"/>
      <c r="P22" s="2" t="n"/>
      <c r="Q22" s="2" t="n"/>
      <c r="R22" s="2" t="n"/>
      <c r="S22" s="7" t="n">
        <v>29519</v>
      </c>
      <c r="T22" s="7" t="n">
        <v>34726</v>
      </c>
      <c r="U22" s="2" t="n"/>
      <c r="V22" s="2" t="n"/>
      <c r="W22" s="2" t="n"/>
      <c r="X22" s="2" t="n"/>
      <c r="Y22" s="2" t="n"/>
      <c r="Z22" s="2" t="n"/>
    </row>
    <row r="23">
      <c r="A23" s="1" t="inlineStr">
        <is>
          <t>Repair/Round</t>
        </is>
      </c>
      <c r="B23" s="3">
        <f>I12*IF(COUNTIF($A$11:$A$14, $F$11)&gt;0, 1, 0)</f>
        <v/>
      </c>
      <c r="C23" s="2" t="n"/>
      <c r="D23" s="2" t="n"/>
      <c r="E23" s="3" t="inlineStr">
        <is>
          <t>Round 1 DMG</t>
        </is>
      </c>
      <c r="F23" s="3" t="inlineStr">
        <is>
          <t>Tridentman</t>
        </is>
      </c>
      <c r="G23" s="13">
        <f>IF(H21 &gt;= 10, 'Drifter Priority'!D76, 'Drifter Priority'!C76)</f>
        <v/>
      </c>
      <c r="H23" s="4" t="n">
        <v>10</v>
      </c>
      <c r="I23" s="5">
        <f>0.25*H23</f>
        <v/>
      </c>
      <c r="J23" s="15" t="n">
        <v>0.1202141802121923</v>
      </c>
      <c r="K23" s="16" t="n"/>
      <c r="L23" s="2" t="n"/>
      <c r="M23" s="2" t="n"/>
      <c r="N23" s="2" t="n"/>
      <c r="O23" s="2" t="n"/>
      <c r="P23" s="2" t="n"/>
      <c r="Q23" s="2" t="n"/>
      <c r="R23" s="2" t="n"/>
      <c r="S23" s="7" t="n">
        <v>30937</v>
      </c>
      <c r="T23" s="7" t="n">
        <v>36540</v>
      </c>
      <c r="U23" s="2" t="n"/>
      <c r="V23" s="2" t="n"/>
      <c r="W23" s="2" t="n"/>
      <c r="X23" s="2" t="n"/>
      <c r="Y23" s="2" t="n"/>
      <c r="Z23" s="2" t="n"/>
    </row>
    <row r="24">
      <c r="A24" s="1" t="inlineStr">
        <is>
          <t>Firepower/Round</t>
        </is>
      </c>
      <c r="B24" s="3">
        <f>I16*IF(COUNTIF($A$11:$A$14, $F$16)&gt;0, 1, 0)</f>
        <v/>
      </c>
      <c r="C24" s="2" t="n"/>
      <c r="D24" s="2" t="n"/>
      <c r="E24" s="2" t="n"/>
      <c r="F24" s="2" t="n"/>
      <c r="H24" s="2" t="n"/>
      <c r="I24" s="2" t="n"/>
      <c r="J24" s="2" t="inlineStr">
        <is>
          <t>Note: Manually Calculated 10-&gt;20</t>
        </is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7" t="n">
        <v>29904</v>
      </c>
      <c r="T24" s="7" t="n">
        <v>35757</v>
      </c>
      <c r="U24" s="2" t="n"/>
      <c r="V24" s="2" t="n"/>
      <c r="W24" s="2" t="n"/>
      <c r="X24" s="2" t="n"/>
      <c r="Y24" s="2" t="n"/>
      <c r="Z24" s="2" t="n"/>
    </row>
    <row r="25">
      <c r="A25" s="1">
        <f>E18</f>
        <v/>
      </c>
      <c r="B25" s="3">
        <f>I18*IF(COUNTIF($A$11:$A$14, $F$18)&gt;0, 1, 0)+IF($B$17=A25, 0.05, 0)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7" t="n">
        <v>31749</v>
      </c>
      <c r="T25" s="7" t="n">
        <v>36072</v>
      </c>
      <c r="U25" s="2" t="n"/>
      <c r="V25" s="2" t="n"/>
      <c r="W25" s="2" t="n"/>
      <c r="X25" s="2" t="n"/>
      <c r="Y25" s="2" t="n"/>
      <c r="Z25" s="2" t="n"/>
    </row>
    <row r="26">
      <c r="A26" s="1" t="inlineStr">
        <is>
          <t>CRIT DMG Bonus</t>
        </is>
      </c>
      <c r="B26" s="3">
        <f>I21*IF(COUNTIF($A$11:$A$14, $F$21)&gt;0, 1, 0)</f>
        <v/>
      </c>
      <c r="C26" s="2" t="n"/>
      <c r="D26" s="2" t="n"/>
      <c r="E26" s="2" t="n"/>
      <c r="F26" s="2" t="n"/>
      <c r="G26" s="20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7" t="n">
        <v>30941</v>
      </c>
      <c r="T26" s="7" t="n">
        <v>36243</v>
      </c>
      <c r="U26" s="2" t="n"/>
      <c r="V26" s="2" t="n"/>
      <c r="W26" s="2" t="n"/>
      <c r="X26" s="2" t="n"/>
      <c r="Y26" s="2" t="n"/>
      <c r="Z26" s="2" t="n"/>
    </row>
    <row r="27">
      <c r="A27" s="1">
        <f>E15</f>
        <v/>
      </c>
      <c r="B27" s="3">
        <f>I15*IF(COUNTIF($A$11:$A$14, $F$15)&gt;0, 1, 0)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7" t="n">
        <v>30258</v>
      </c>
      <c r="T27" s="7" t="n">
        <v>36452</v>
      </c>
      <c r="U27" s="2" t="n"/>
      <c r="V27" s="2" t="n"/>
      <c r="W27" s="2" t="n"/>
      <c r="X27" s="2" t="n"/>
      <c r="Y27" s="2" t="n"/>
      <c r="Z27" s="2" t="n"/>
    </row>
    <row r="28">
      <c r="A28" s="1">
        <f>E20</f>
        <v/>
      </c>
      <c r="B28" s="3">
        <f>I20*IF(COUNTIF($A$11:$A$14, $F$21)&gt;0, 1, 0)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7" t="n">
        <v>30974</v>
      </c>
      <c r="T28" s="7" t="n">
        <v>34093</v>
      </c>
      <c r="U28" s="2" t="n"/>
      <c r="V28" s="2" t="n"/>
      <c r="W28" s="2" t="n"/>
      <c r="X28" s="2" t="n"/>
      <c r="Y28" s="2" t="n"/>
      <c r="Z28" s="2" t="n"/>
    </row>
    <row r="29">
      <c r="A29" s="1">
        <f>E21</f>
        <v/>
      </c>
      <c r="B29" s="3">
        <f>B18*(1.5+B26)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7" t="n">
        <v>31870</v>
      </c>
      <c r="T29" s="7" t="n">
        <v>36168</v>
      </c>
      <c r="U29" s="2" t="n"/>
      <c r="V29" s="2" t="n"/>
      <c r="W29" s="2" t="n"/>
      <c r="X29" s="2" t="n"/>
      <c r="Y29" s="2" t="n"/>
      <c r="Z29" s="2" t="n"/>
    </row>
    <row r="30">
      <c r="A30" s="1" t="inlineStr">
        <is>
          <t>Expected Base Damage</t>
        </is>
      </c>
      <c r="B30" s="3">
        <f>B18*B25*(1.5+B26)+B18*(1-B25)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7" t="n">
        <v>31233</v>
      </c>
      <c r="T30" s="7" t="n">
        <v>34295</v>
      </c>
      <c r="U30" s="2" t="n"/>
      <c r="V30" s="2" t="n"/>
      <c r="W30" s="2" t="n"/>
      <c r="X30" s="2" t="n"/>
      <c r="Y30" s="2" t="n"/>
      <c r="Z30" s="2" t="n"/>
    </row>
    <row r="31">
      <c r="A31" s="1" t="inlineStr">
        <is>
          <t>First Round DMG</t>
        </is>
      </c>
      <c r="B31" s="3">
        <f>B18*I19*IF(COUNTIF($A$11:$A$14, $F$19)&gt;0, 1, 0) + B18*I23*IF(COUNTIF($A$11:$A$14, $F$23)&gt;0, 1, 0)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7" t="n">
        <v>29242</v>
      </c>
      <c r="T31" s="7" t="n">
        <v>33945</v>
      </c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7" t="n">
        <v>31764</v>
      </c>
      <c r="T32" s="7" t="n">
        <v>36868</v>
      </c>
      <c r="U32" s="2" t="n"/>
      <c r="V32" s="2" t="n"/>
      <c r="W32" s="2" t="n"/>
      <c r="X32" s="2" t="n"/>
      <c r="Y32" s="2" t="n"/>
      <c r="Z32" s="2" t="n"/>
    </row>
    <row r="33">
      <c r="A33" s="21" t="n"/>
      <c r="B33" s="1" t="inlineStr">
        <is>
          <t>Current</t>
        </is>
      </c>
      <c r="C33" s="1" t="inlineStr">
        <is>
          <t>Baseline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7" t="n">
        <v>29904</v>
      </c>
      <c r="T33" s="7" t="n">
        <v>35568</v>
      </c>
      <c r="U33" s="2" t="n"/>
      <c r="V33" s="2" t="n"/>
      <c r="W33" s="2" t="n"/>
      <c r="X33" s="2" t="n"/>
      <c r="Y33" s="2" t="n"/>
      <c r="Z33" s="2" t="n"/>
    </row>
    <row r="34">
      <c r="A34" s="1" t="inlineStr">
        <is>
          <t>Rounds Lasted</t>
        </is>
      </c>
      <c r="B34" s="22">
        <f t="array" ref="B34">IFERROR(INDEX(A47:A67, MATCH(0, F47:F67,FALSE)),"All")</f>
        <v/>
      </c>
      <c r="C34" s="17" t="n">
        <v>17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7" t="n">
        <v>30526</v>
      </c>
      <c r="T34" s="7" t="n">
        <v>36672</v>
      </c>
      <c r="U34" s="2" t="n"/>
      <c r="V34" s="2" t="n"/>
      <c r="W34" s="2" t="n"/>
      <c r="X34" s="2" t="n"/>
      <c r="Y34" s="2" t="n"/>
      <c r="Z34" s="2" t="n"/>
    </row>
    <row r="35">
      <c r="A35" s="1" t="inlineStr">
        <is>
          <t>Damage Dealt</t>
        </is>
      </c>
      <c r="B35" s="23">
        <f>sum(D47:D67)</f>
        <v/>
      </c>
      <c r="C35" s="24" t="n">
        <v>2765816</v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7" t="n">
        <v>29418</v>
      </c>
      <c r="T35" s="7" t="n">
        <v>33522</v>
      </c>
      <c r="U35" s="2" t="n"/>
      <c r="V35" s="2" t="n"/>
      <c r="W35" s="2" t="n"/>
      <c r="X35" s="2" t="n"/>
      <c r="Y35" s="2" t="n"/>
      <c r="Z35" s="2" t="n"/>
    </row>
    <row r="36">
      <c r="A36" s="21" t="n"/>
      <c r="B36" s="2" t="n"/>
      <c r="C36" s="25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7" t="n">
        <v>30964</v>
      </c>
      <c r="T36" s="7" t="n">
        <v>35308</v>
      </c>
      <c r="U36" s="2" t="n"/>
      <c r="V36" s="2" t="n"/>
      <c r="W36" s="2" t="n"/>
      <c r="X36" s="2" t="n"/>
      <c r="Y36" s="2" t="n"/>
      <c r="Z36" s="2" t="n"/>
    </row>
    <row r="37">
      <c r="A37" s="26" t="inlineStr">
        <is>
          <t>Difference</t>
        </is>
      </c>
      <c r="B37" s="27">
        <f>B35-C35</f>
        <v/>
      </c>
      <c r="C37" s="28" t="n"/>
      <c r="D37" s="20" t="n"/>
      <c r="E37" s="20" t="n"/>
      <c r="F37" s="20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7" t="n">
        <v>30922</v>
      </c>
      <c r="T37" s="7" t="n">
        <v>36400</v>
      </c>
      <c r="U37" s="2" t="n"/>
      <c r="V37" s="2" t="n"/>
      <c r="W37" s="2" t="n"/>
      <c r="X37" s="2" t="n"/>
      <c r="Y37" s="2" t="n"/>
      <c r="Z37" s="2" t="n"/>
    </row>
    <row r="38">
      <c r="A38" s="26" t="inlineStr">
        <is>
          <t>Percent</t>
        </is>
      </c>
      <c r="B38" s="29">
        <f>(B35/C35)-1</f>
        <v/>
      </c>
      <c r="C38" s="30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7" t="n">
        <v>32043</v>
      </c>
      <c r="T38" s="7" t="n">
        <v>36591</v>
      </c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16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7" t="n">
        <v>30196</v>
      </c>
      <c r="T39" s="7" t="n">
        <v>35005</v>
      </c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7" t="n">
        <v>31515</v>
      </c>
      <c r="T40" s="7" t="n">
        <v>34131</v>
      </c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7" t="n">
        <v>31421</v>
      </c>
      <c r="T41" s="7" t="n">
        <v>33606</v>
      </c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7" t="n">
        <v>29680</v>
      </c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31" t="inlineStr">
        <is>
          <t>Simulation</t>
        </is>
      </c>
      <c r="B45" s="32" t="n"/>
      <c r="C45" s="32" t="n"/>
      <c r="D45" s="32" t="n"/>
      <c r="E45" s="32" t="n"/>
      <c r="F45" s="33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6" t="inlineStr">
        <is>
          <t>Round</t>
        </is>
      </c>
      <c r="B46" s="26" t="inlineStr">
        <is>
          <t>Armor</t>
        </is>
      </c>
      <c r="C46" s="26" t="inlineStr">
        <is>
          <t>Fleet Firepower</t>
        </is>
      </c>
      <c r="D46" s="26" t="inlineStr">
        <is>
          <t>Expected Damage</t>
        </is>
      </c>
      <c r="E46" s="26" t="inlineStr">
        <is>
          <t>Enemy Firepower</t>
        </is>
      </c>
      <c r="F46" s="26" t="inlineStr">
        <is>
          <t>Final Armor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inlineStr">
        <is>
          <t>Average</t>
        </is>
      </c>
      <c r="S46" s="7">
        <f>AVERAGE(S7:S45)</f>
        <v/>
      </c>
      <c r="T46" s="7">
        <f>AVERAGE(T7:T45)</f>
        <v/>
      </c>
      <c r="U46" s="2" t="n"/>
      <c r="V46" s="2" t="n"/>
      <c r="W46" s="2" t="n"/>
      <c r="X46" s="2" t="n"/>
      <c r="Y46" s="2" t="n"/>
      <c r="Z46" s="2" t="n"/>
    </row>
    <row r="47">
      <c r="A47" s="5" t="n">
        <v>0</v>
      </c>
      <c r="B47" s="5">
        <f>B19</f>
        <v/>
      </c>
      <c r="C47" s="5">
        <f>B18</f>
        <v/>
      </c>
      <c r="D47" s="5">
        <f>B31</f>
        <v/>
      </c>
      <c r="E47" s="5">
        <f>B21</f>
        <v/>
      </c>
      <c r="F47" s="5">
        <f>B47</f>
        <v/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5" t="n">
        <v>1</v>
      </c>
      <c r="B48" s="5">
        <f>B47</f>
        <v/>
      </c>
      <c r="C48" s="5">
        <f>C47</f>
        <v/>
      </c>
      <c r="D48" s="5">
        <f>(C48*$B$25*(1.5+$B$26)+C48*(1-$B$25))*IF(B48&gt;0, 1, 0)</f>
        <v/>
      </c>
      <c r="E48" s="5">
        <f>E47</f>
        <v/>
      </c>
      <c r="F48" s="5">
        <f>MAX((B48-E48*(1-$B$22)), 0)</f>
        <v/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5" t="n">
        <v>2</v>
      </c>
      <c r="B49" s="5">
        <f>(F48+$B$23)*IF(F48&gt;0, 1, 0)</f>
        <v/>
      </c>
      <c r="C49" s="5">
        <f>($B$18+(A49-1)*$B$24+FLOOR((1-B49/$B$19)*10,1)*$B$27)*IF(B49&gt;0, 1, 0)</f>
        <v/>
      </c>
      <c r="D49" s="5">
        <f>(C49*$B$25*(1.5+$B$26)+C49*(1-$B$25))*IF(B49&gt;0, 1, 0)</f>
        <v/>
      </c>
      <c r="E49" s="5">
        <f>(E48+$B$28)*IF(B49&gt;0, 1, 0)</f>
        <v/>
      </c>
      <c r="F49" s="5">
        <f>MAX((B49-E49*(1-$B$22)), 0)</f>
        <v/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5" t="n">
        <v>3</v>
      </c>
      <c r="B50" s="5">
        <f>(F49+$B$23)*IF(F49&gt;0, 1, 0)</f>
        <v/>
      </c>
      <c r="C50" s="5">
        <f>($B$18+(A50-1)*$B$24+FLOOR((1-B50/$B$19)*10,1)*$B$27)*IF(B50&gt;0, 1, 0)</f>
        <v/>
      </c>
      <c r="D50" s="5">
        <f>(C50*$B$25*(1.5+$B$26)+C50*(1-$B$25))*IF(B50&gt;0, 1, 0)</f>
        <v/>
      </c>
      <c r="E50" s="5">
        <f>(E49+$B$28)*IF(B50&gt;0, 1, 0)</f>
        <v/>
      </c>
      <c r="F50" s="5">
        <f>MAX((B50-E50*(1-$B$22)), 0)</f>
        <v/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5" t="n">
        <v>4</v>
      </c>
      <c r="B51" s="5">
        <f>(F50+$B$23)*IF(F50&gt;0, 1, 0)</f>
        <v/>
      </c>
      <c r="C51" s="5">
        <f>($B$18+(A51-1)*$B$24+FLOOR((1-B51/$B$19)*10,1)*$B$27)*IF(B51&gt;0, 1, 0)</f>
        <v/>
      </c>
      <c r="D51" s="5">
        <f>(C51*$B$25*(1.5+$B$26)+C51*(1-$B$25))*IF(B51&gt;0, 1, 0)</f>
        <v/>
      </c>
      <c r="E51" s="5">
        <f>(E50+$B$28)*IF(B51&gt;0, 1, 0)</f>
        <v/>
      </c>
      <c r="F51" s="5">
        <f>MAX((B51-E51*(1-$B$22)), 0)</f>
        <v/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5" t="n">
        <v>5</v>
      </c>
      <c r="B52" s="5">
        <f>(F51+$B$23)*IF(F51&gt;0, 1, 0)</f>
        <v/>
      </c>
      <c r="C52" s="5">
        <f>($B$18+(A52-1)*$B$24+FLOOR((1-B52/$B$19)*10,1)*$B$27)*IF(B52&gt;0, 1, 0)</f>
        <v/>
      </c>
      <c r="D52" s="5">
        <f>(C52*$B$25*(1.5+$B$26)+C52*(1-$B$25))*IF(B52&gt;0, 1, 0)</f>
        <v/>
      </c>
      <c r="E52" s="5">
        <f>(E51+$B$28)*IF(B52&gt;0, 1, 0)</f>
        <v/>
      </c>
      <c r="F52" s="5">
        <f>MAX((B52-E52*(1-$B$22)), 0)</f>
        <v/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5" t="n">
        <v>6</v>
      </c>
      <c r="B53" s="5">
        <f>(F52+$B$23)*IF(F52&gt;0, 1, 0)</f>
        <v/>
      </c>
      <c r="C53" s="5">
        <f>($B$18+(A53-1)*$B$24+FLOOR((1-B53/$B$19)*10,1)*$B$27)*IF(B53&gt;0, 1, 0)</f>
        <v/>
      </c>
      <c r="D53" s="5">
        <f>(C53*$B$25*(1.5+$B$26)+C53*(1-$B$25))*IF(B53&gt;0, 1, 0)</f>
        <v/>
      </c>
      <c r="E53" s="5">
        <f>(E52+$B$28)*IF(B53&gt;0, 1, 0)</f>
        <v/>
      </c>
      <c r="F53" s="5">
        <f>MAX((B53-E53*(1-$B$22)), 0)</f>
        <v/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5" t="n">
        <v>7</v>
      </c>
      <c r="B54" s="5">
        <f>(F53+$B$23)*IF(F53&gt;0, 1, 0)</f>
        <v/>
      </c>
      <c r="C54" s="5">
        <f>($B$18+(A54-1)*$B$24+FLOOR((1-B54/$B$19)*10,1)*$B$27)*IF(B54&gt;0, 1, 0)</f>
        <v/>
      </c>
      <c r="D54" s="5">
        <f>(C54*$B$25*(1.5+$B$26)+C54*(1-$B$25))*IF(B54&gt;0, 1, 0)</f>
        <v/>
      </c>
      <c r="E54" s="5">
        <f>(E53+$B$28)*IF(B54&gt;0, 1, 0)</f>
        <v/>
      </c>
      <c r="F54" s="5">
        <f>MAX((B54-E54*(1-$B$22)), 0)</f>
        <v/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5" t="n">
        <v>8</v>
      </c>
      <c r="B55" s="5">
        <f>(F54+$B$23)*IF(F54&gt;0, 1, 0)</f>
        <v/>
      </c>
      <c r="C55" s="5">
        <f>($B$18+(A55-1)*$B$24+FLOOR((1-B55/$B$19)*10,1)*$B$27)*IF(B55&gt;0, 1, 0)</f>
        <v/>
      </c>
      <c r="D55" s="5">
        <f>(C55*$B$25*(1.5+$B$26)+C55*(1-$B$25))*IF(B55&gt;0, 1, 0)</f>
        <v/>
      </c>
      <c r="E55" s="5">
        <f>(E54+$B$28)*IF(B55&gt;0, 1, 0)</f>
        <v/>
      </c>
      <c r="F55" s="5">
        <f>MAX((B55-E55*(1-$B$22)), 0)</f>
        <v/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5" t="n">
        <v>9</v>
      </c>
      <c r="B56" s="5">
        <f>(F55+$B$23)*IF(F55&gt;0, 1, 0)</f>
        <v/>
      </c>
      <c r="C56" s="5">
        <f>($B$18+(A56-1)*$B$24+FLOOR((1-B56/$B$19)*10,1)*$B$27)*IF(B56&gt;0, 1, 0)</f>
        <v/>
      </c>
      <c r="D56" s="5">
        <f>(C56*$B$25*(1.5+$B$26)+C56*(1-$B$25))*IF(B56&gt;0, 1, 0)</f>
        <v/>
      </c>
      <c r="E56" s="5">
        <f>(E55+$B$28)*IF(B56&gt;0, 1, 0)</f>
        <v/>
      </c>
      <c r="F56" s="5">
        <f>MAX((B56-E56*(1-$B$22)), 0)</f>
        <v/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5" t="n">
        <v>10</v>
      </c>
      <c r="B57" s="5">
        <f>(F56+$B$23)*IF(F56&gt;0, 1, 0)</f>
        <v/>
      </c>
      <c r="C57" s="5">
        <f>($B$18+(A57-1)*$B$24+FLOOR((1-B57/$B$19)*10,1)*$B$27)*IF(B57&gt;0, 1, 0)</f>
        <v/>
      </c>
      <c r="D57" s="5">
        <f>(C57*$B$25*(1.5+$B$26)+C57*(1-$B$25))*IF(B57&gt;0, 1, 0)</f>
        <v/>
      </c>
      <c r="E57" s="5">
        <f>(E56+$B$28)*IF(B57&gt;0, 1, 0)</f>
        <v/>
      </c>
      <c r="F57" s="5">
        <f>MAX((B57-E57*(1-$B$22)), 0)</f>
        <v/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5" t="n">
        <v>11</v>
      </c>
      <c r="B58" s="5">
        <f>(F57+$B$23)*IF(F57&gt;0, 1, 0)</f>
        <v/>
      </c>
      <c r="C58" s="5">
        <f>($B$18+(A58-1)*$B$24+FLOOR((1-B58/$B$19)*10,1)*$B$27)*IF(B58&gt;0, 1, 0)</f>
        <v/>
      </c>
      <c r="D58" s="5">
        <f>(C58*$B$25*(1.5+$B$26)+C58*(1-$B$25))*IF(B58&gt;0, 1, 0)</f>
        <v/>
      </c>
      <c r="E58" s="5">
        <f>(E57+$B$28)*IF(B58&gt;0, 1, 0)</f>
        <v/>
      </c>
      <c r="F58" s="5">
        <f>MAX((B58-E58*(1-$B$22)), 0)</f>
        <v/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5" t="n">
        <v>12</v>
      </c>
      <c r="B59" s="5">
        <f>(F58+$B$23)*IF(F58&gt;0, 1, 0)</f>
        <v/>
      </c>
      <c r="C59" s="5">
        <f>($B$18+(A59-1)*$B$24+FLOOR((1-B59/$B$19)*10,1)*$B$27)*IF(B59&gt;0, 1, 0)</f>
        <v/>
      </c>
      <c r="D59" s="5">
        <f>(C59*$B$25*(1.5+$B$26)+C59*(1-$B$25))*IF(B59&gt;0, 1, 0)</f>
        <v/>
      </c>
      <c r="E59" s="5">
        <f>(E58+$B$28)*IF(B59&gt;0, 1, 0)</f>
        <v/>
      </c>
      <c r="F59" s="5">
        <f>MAX((B59-E59*(1-$B$22)), 0)</f>
        <v/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5" t="n">
        <v>13</v>
      </c>
      <c r="B60" s="5">
        <f>(F59+$B$23)*IF(F59&gt;0, 1, 0)</f>
        <v/>
      </c>
      <c r="C60" s="5">
        <f>($B$18+(A60-1)*$B$24+FLOOR((1-B60/$B$19)*10,1)*$B$27)*IF(B60&gt;0, 1, 0)</f>
        <v/>
      </c>
      <c r="D60" s="5">
        <f>(C60*$B$25*(1.5+$B$26)+C60*(1-$B$25))*IF(B60&gt;0, 1, 0)</f>
        <v/>
      </c>
      <c r="E60" s="5">
        <f>(E59+$B$28)*IF(B60&gt;0, 1, 0)</f>
        <v/>
      </c>
      <c r="F60" s="5">
        <f>MAX((B60-E60*(1-$B$22)), 0)</f>
        <v/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5" t="n">
        <v>14</v>
      </c>
      <c r="B61" s="5">
        <f>(F60+$B$23)*IF(F60&gt;0, 1, 0)</f>
        <v/>
      </c>
      <c r="C61" s="5">
        <f>($B$18+(A61-1)*$B$24+FLOOR((1-B61/$B$19)*10,1)*$B$27)*IF(B61&gt;0, 1, 0)</f>
        <v/>
      </c>
      <c r="D61" s="5">
        <f>(C61*$B$25*(1.5+$B$26)+C61*(1-$B$25))*IF(B61&gt;0, 1, 0)</f>
        <v/>
      </c>
      <c r="E61" s="5">
        <f>(E60+$B$28)*IF(B61&gt;0, 1, 0)</f>
        <v/>
      </c>
      <c r="F61" s="5">
        <f>MAX((B61-E61*(1-$B$22)), 0)</f>
        <v/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5" t="n">
        <v>15</v>
      </c>
      <c r="B62" s="5">
        <f>(F61+$B$23)*IF(F61&gt;0, 1, 0)</f>
        <v/>
      </c>
      <c r="C62" s="5">
        <f>($B$18+(A62-1)*$B$24+FLOOR((1-B62/$B$19)*10,1)*$B$27)*IF(B62&gt;0, 1, 0)</f>
        <v/>
      </c>
      <c r="D62" s="5">
        <f>(C62*$B$25*(1.5+$B$26)+C62*(1-$B$25))*IF(B62&gt;0, 1, 0)</f>
        <v/>
      </c>
      <c r="E62" s="5">
        <f>(E61+$B$28)*IF(B62&gt;0, 1, 0)</f>
        <v/>
      </c>
      <c r="F62" s="5">
        <f>MAX((B62-E62*(1-$B$22)), 0)</f>
        <v/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5" t="n">
        <v>16</v>
      </c>
      <c r="B63" s="5">
        <f>(F62+$B$23)*IF(F62&gt;0, 1, 0)</f>
        <v/>
      </c>
      <c r="C63" s="5">
        <f>($B$18+(A63-1)*$B$24+FLOOR((1-B63/$B$19)*10,1)*$B$27)*IF(B63&gt;0, 1, 0)</f>
        <v/>
      </c>
      <c r="D63" s="5">
        <f>(C63*$B$25*(1.5+$B$26)+C63*(1-$B$25))*IF(B63&gt;0, 1, 0)</f>
        <v/>
      </c>
      <c r="E63" s="5">
        <f>(E62+$B$28)*IF(B63&gt;0, 1, 0)</f>
        <v/>
      </c>
      <c r="F63" s="5">
        <f>MAX((B63-E63*(1-$B$22)), 0)</f>
        <v/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5" t="n">
        <v>17</v>
      </c>
      <c r="B64" s="5">
        <f>(F63+$B$23)*IF(F63&gt;0, 1, 0)</f>
        <v/>
      </c>
      <c r="C64" s="5">
        <f>($B$18+(A64-1)*$B$24+FLOOR((1-B64/$B$19)*10,1)*$B$27)*IF(B64&gt;0, 1, 0)</f>
        <v/>
      </c>
      <c r="D64" s="5">
        <f>(C64*$B$25*(1.5+$B$26)+C64*(1-$B$25))*IF(B64&gt;0, 1, 0)</f>
        <v/>
      </c>
      <c r="E64" s="5">
        <f>(E63+$B$28)*IF(B64&gt;0, 1, 0)</f>
        <v/>
      </c>
      <c r="F64" s="5">
        <f>MAX((B64-E64*(1-$B$22)), 0)</f>
        <v/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5" t="n">
        <v>18</v>
      </c>
      <c r="B65" s="5">
        <f>(F64+$B$23)*IF(F64&gt;0, 1, 0)</f>
        <v/>
      </c>
      <c r="C65" s="5">
        <f>($B$18+(A65-1)*$B$24+FLOOR((1-B65/$B$19)*10,1)*$B$27)*IF(B65&gt;0, 1, 0)</f>
        <v/>
      </c>
      <c r="D65" s="5">
        <f>(C65*$B$25*(1.5+$B$26)+C65*(1-$B$25))*IF(B65&gt;0, 1, 0)</f>
        <v/>
      </c>
      <c r="E65" s="5">
        <f>(E64+$B$28)*IF(B65&gt;0, 1, 0)</f>
        <v/>
      </c>
      <c r="F65" s="5">
        <f>MAX((B65-E65*(1-$B$22)), 0)</f>
        <v/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5" t="n">
        <v>19</v>
      </c>
      <c r="B66" s="5">
        <f>(F65+$B$23)*IF(F65&gt;0, 1, 0)</f>
        <v/>
      </c>
      <c r="C66" s="5">
        <f>($B$18+(A66-1)*$B$24+FLOOR((1-B66/$B$19)*10,1)*$B$27)*IF(B66&gt;0, 1, 0)</f>
        <v/>
      </c>
      <c r="D66" s="5">
        <f>(C66*$B$25*(1.5+$B$26)+C66*(1-$B$25))*IF(B66&gt;0, 1, 0)</f>
        <v/>
      </c>
      <c r="E66" s="5">
        <f>(E65+$B$28)*IF(B66&gt;0, 1, 0)</f>
        <v/>
      </c>
      <c r="F66" s="5">
        <f>MAX((B66-E66*(1-$B$22)), 0)</f>
        <v/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5" t="n">
        <v>20</v>
      </c>
      <c r="B67" s="5">
        <f>(F66+$B$23)*IF(F66&gt;0, 1, 0)</f>
        <v/>
      </c>
      <c r="C67" s="5">
        <f>($B$18+(A67-1)*$B$24+FLOOR((1-B67/$B$19)*10,1)*$B$27)*IF(B67&gt;0, 1, 0)</f>
        <v/>
      </c>
      <c r="D67" s="5">
        <f>(C67*$B$25*(1.5+$B$26)+C67*(1-$B$25))*IF(B67&gt;0, 1, 0)</f>
        <v/>
      </c>
      <c r="E67" s="5">
        <f>(E66+$B$28)*IF(B67&gt;0, 1, 0)</f>
        <v/>
      </c>
      <c r="F67" s="5">
        <f>MAX((B67-E67*(1-$B$22)), 0)</f>
        <v/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34" t="n"/>
      <c r="B68" s="34" t="n"/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</row>
    <row r="69">
      <c r="A69" s="34" t="n"/>
      <c r="B69" s="34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</row>
    <row r="70">
      <c r="A70" s="34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</row>
    <row r="71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</row>
    <row r="72">
      <c r="A72" s="34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34" t="n"/>
      <c r="Z72" s="3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2026-04-25T21:15:36Z</dcterms:created>
  <dcterms:modified xmlns:dcterms="http://purl.org/dc/terms/" xmlns:xsi="http://www.w3.org/2001/XMLSchema-instance" xsi:type="dcterms:W3CDTF">2026-04-25T21:15:37Z</dcterms:modified>
</cp:coreProperties>
</file>