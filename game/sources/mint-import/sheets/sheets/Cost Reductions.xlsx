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R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Calibri"/>
      <color rgb="FFFF0000"/>
      <sz val="12"/>
    </font>
    <font>
      <name val="Calibri"/>
      <color theme="1"/>
      <sz val="12"/>
    </font>
    <font>
      <name val="Verdana"/>
      <color theme="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3" fillId="0" borderId="5" pivotButton="0" quotePrefix="0" xfId="0"/>
    <xf numFmtId="0" fontId="4" fillId="0" borderId="5" applyAlignment="1" pivotButton="0" quotePrefix="0" xfId="0">
      <alignment vertical="bottom"/>
    </xf>
    <xf numFmtId="0" fontId="5" fillId="0" borderId="5" pivotButton="0" quotePrefix="0" xfId="0"/>
    <xf numFmtId="0" fontId="4" fillId="0" borderId="5" pivotButton="0" quotePrefix="0" xfId="0"/>
    <xf numFmtId="0" fontId="5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3" fillId="0" borderId="4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6" fillId="0" borderId="5" pivotButton="0" quotePrefix="0" xfId="0"/>
    <xf numFmtId="0" fontId="5" fillId="0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5.18" customWidth="1" min="1" max="1"/>
    <col width="100.91" customWidth="1" min="10" max="10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Btad Cost</t>
        </is>
      </c>
      <c r="E1" s="2" t="inlineStr">
        <is>
          <t>Awakening Btad Cost</t>
        </is>
      </c>
      <c r="F1" s="2" t="inlineStr">
        <is>
          <t>Wood Cost</t>
        </is>
      </c>
      <c r="G1" s="2" t="inlineStr">
        <is>
          <t>Awakening Wood Cost</t>
        </is>
      </c>
      <c r="H1" s="2" t="inlineStr">
        <is>
          <t>Stone Cost</t>
        </is>
      </c>
      <c r="I1" s="2" t="inlineStr">
        <is>
          <t>Awakening Stone Cost</t>
        </is>
      </c>
      <c r="J1" s="3" t="inlineStr">
        <is>
          <t>Source</t>
        </is>
      </c>
    </row>
    <row r="2">
      <c r="A2" s="4" t="inlineStr">
        <is>
          <t>TADPOLE POND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>
      <c r="A3" s="7" t="inlineStr">
        <is>
          <t>Golden Finger</t>
        </is>
      </c>
      <c r="B3" s="5" t="inlineStr">
        <is>
          <t>S</t>
        </is>
      </c>
      <c r="C3" s="5" t="inlineStr">
        <is>
          <t>FTH</t>
        </is>
      </c>
      <c r="D3" s="8" t="n">
        <v>10</v>
      </c>
      <c r="E3" s="5" t="n"/>
      <c r="F3" s="8" t="n"/>
      <c r="G3" s="5" t="n"/>
      <c r="H3" s="8" t="n"/>
      <c r="I3" s="8" t="n"/>
      <c r="J3" s="6" t="inlineStr">
        <is>
          <t>Fragment Crafting (15.1%), Lottery Machine #1 (0.81%), Wishing (0.53%), Master Scrolls (6.5%), FTH Master Scrolls (31.5%), Relic Forge (90 Relic RF)</t>
        </is>
      </c>
    </row>
    <row r="4">
      <c r="A4" s="7" t="inlineStr">
        <is>
          <t>Epic of Gilgamesh</t>
        </is>
      </c>
      <c r="B4" s="5" t="inlineStr">
        <is>
          <t>SS</t>
        </is>
      </c>
      <c r="C4" s="5" t="inlineStr">
        <is>
          <t>CIV</t>
        </is>
      </c>
      <c r="D4" s="8" t="n"/>
      <c r="E4" s="8" t="n"/>
      <c r="F4" s="8" t="n"/>
      <c r="G4" s="5" t="n"/>
      <c r="H4" s="5" t="n"/>
      <c r="I4" s="5" t="n">
        <v>10</v>
      </c>
      <c r="J4" s="6" t="inlineStr">
        <is>
          <t>Fragment Crafting (4.1%), Lottery Machine #1 (0.18%), Wishing (0.15%), Dragon Chest (5%), Grandmaster Scrolls (1.5%)</t>
        </is>
      </c>
    </row>
    <row r="5">
      <c r="A5" s="7" t="inlineStr">
        <is>
          <t>Haulers on Volga</t>
        </is>
      </c>
      <c r="B5" s="5" t="inlineStr">
        <is>
          <t>AAA</t>
        </is>
      </c>
      <c r="C5" s="5" t="inlineStr">
        <is>
          <t>ART</t>
        </is>
      </c>
      <c r="D5" s="8" t="n"/>
      <c r="E5" s="5" t="n"/>
      <c r="F5" s="5" t="n">
        <v>9</v>
      </c>
      <c r="G5" s="5" t="n"/>
      <c r="H5" s="5" t="n"/>
      <c r="I5" s="5" t="n"/>
      <c r="J5" s="6" t="inlineStr">
        <is>
          <t>Fragment Crafting (1.6%), Lottery Machine #1 (0.03%), Wishing (0.14%), Relic Forge (Relic RF 80)</t>
        </is>
      </c>
    </row>
    <row r="6">
      <c r="A6" s="9" t="inlineStr">
        <is>
          <t>San Plate</t>
        </is>
      </c>
      <c r="B6" s="5" t="inlineStr">
        <is>
          <t>AAA</t>
        </is>
      </c>
      <c r="C6" s="10" t="inlineStr">
        <is>
          <t>FAME</t>
        </is>
      </c>
      <c r="D6" s="11" t="n"/>
      <c r="E6" s="11" t="n"/>
      <c r="F6" s="11" t="n">
        <v>9</v>
      </c>
      <c r="G6" s="11" t="n">
        <v>7</v>
      </c>
      <c r="H6" s="11" t="n"/>
      <c r="I6" s="11" t="n"/>
      <c r="J6" s="12" t="inlineStr">
        <is>
          <t>Museum Operation Reward</t>
        </is>
      </c>
    </row>
    <row r="7">
      <c r="A7" s="7" t="inlineStr">
        <is>
          <t>Observatory</t>
        </is>
      </c>
      <c r="B7" s="5" t="inlineStr">
        <is>
          <t>A</t>
        </is>
      </c>
      <c r="C7" s="5" t="inlineStr">
        <is>
          <t>TECH</t>
        </is>
      </c>
      <c r="D7" s="5" t="n"/>
      <c r="E7" s="5" t="n"/>
      <c r="F7" s="5" t="n"/>
      <c r="G7" s="5" t="n"/>
      <c r="H7" s="8" t="n">
        <v>7</v>
      </c>
      <c r="I7" s="8" t="n">
        <v>7</v>
      </c>
      <c r="J7" s="13" t="inlineStr">
        <is>
          <t>Fragment Crafting (31.5%), Lottery Machine #1 (0.66%), Wishing (2.9%), Fungus Chest (1.5%), Expert Scrolls (7.6%)</t>
        </is>
      </c>
    </row>
    <row r="8">
      <c r="A8" s="7" t="inlineStr">
        <is>
          <t>Boy with Goose</t>
        </is>
      </c>
      <c r="B8" s="5" t="inlineStr">
        <is>
          <t>A</t>
        </is>
      </c>
      <c r="C8" s="5" t="inlineStr">
        <is>
          <t>ART</t>
        </is>
      </c>
      <c r="D8" s="8" t="n">
        <v>7</v>
      </c>
      <c r="E8" s="8" t="n">
        <v>7</v>
      </c>
      <c r="F8" s="8" t="n"/>
      <c r="G8" s="5" t="n"/>
      <c r="H8" s="5" t="n"/>
      <c r="I8" s="5" t="n"/>
      <c r="J8" s="13" t="inlineStr">
        <is>
          <t>Fragment Crafting (31.2%), Lottery Machine #1 (0.66%), Wishing (2.8%), Expert Scrolls (7.6%)</t>
        </is>
      </c>
    </row>
    <row r="9">
      <c r="A9" s="14" t="inlineStr">
        <is>
          <t>MAX TADPOLE POND</t>
        </is>
      </c>
      <c r="B9" s="15" t="n"/>
      <c r="C9" s="15" t="n"/>
      <c r="D9" s="16">
        <f>sum(D3:E8)</f>
        <v/>
      </c>
      <c r="E9" s="15" t="n"/>
      <c r="F9" s="16">
        <f>sum(F3:G8)</f>
        <v/>
      </c>
      <c r="G9" s="15" t="n"/>
      <c r="H9" s="16">
        <f>sum(H3:I8)</f>
        <v/>
      </c>
      <c r="I9" s="15" t="n"/>
      <c r="J9" s="17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1" t="inlineStr">
        <is>
          <t>Name</t>
        </is>
      </c>
      <c r="B11" s="2" t="inlineStr">
        <is>
          <t>Rarity</t>
        </is>
      </c>
      <c r="C11" s="2" t="inlineStr">
        <is>
          <t>Type</t>
        </is>
      </c>
      <c r="D11" s="2" t="inlineStr">
        <is>
          <t>Btad Cost</t>
        </is>
      </c>
      <c r="E11" s="2" t="inlineStr">
        <is>
          <t>Awakening Btad Cost</t>
        </is>
      </c>
      <c r="F11" s="2" t="inlineStr">
        <is>
          <t>Wood Cost</t>
        </is>
      </c>
      <c r="G11" s="2" t="inlineStr">
        <is>
          <t>Awakening Wood Cost</t>
        </is>
      </c>
      <c r="H11" s="2" t="inlineStr">
        <is>
          <t>Stone Cost</t>
        </is>
      </c>
      <c r="I11" s="2" t="inlineStr">
        <is>
          <t>Awakening Stone Cost</t>
        </is>
      </c>
      <c r="J11" s="3" t="inlineStr">
        <is>
          <t>Source</t>
        </is>
      </c>
    </row>
    <row r="12">
      <c r="A12" s="4" t="inlineStr">
        <is>
          <t>FUNGUS FARM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</row>
    <row r="13">
      <c r="A13" s="7" t="inlineStr">
        <is>
          <t>Golden Finger</t>
        </is>
      </c>
      <c r="B13" s="5" t="inlineStr">
        <is>
          <t>S</t>
        </is>
      </c>
      <c r="C13" s="5" t="inlineStr">
        <is>
          <t>FTH</t>
        </is>
      </c>
      <c r="D13" s="8" t="n">
        <v>10</v>
      </c>
      <c r="E13" s="5" t="n"/>
      <c r="F13" s="8" t="n"/>
      <c r="G13" s="5" t="n"/>
      <c r="H13" s="8" t="n"/>
      <c r="I13" s="8" t="n"/>
      <c r="J13" s="6" t="inlineStr">
        <is>
          <t>Fragment Crafting (15.1%), Lottery Machine #1 (0.81%), Wishing (0.53%), Master Scrolls (6.5%), FTH Master Scrolls (31.5%), Relic Forge (90 Relic RF)</t>
        </is>
      </c>
    </row>
    <row r="14">
      <c r="A14" s="18" t="inlineStr">
        <is>
          <t>Fuchun Mountains</t>
        </is>
      </c>
      <c r="B14" s="5" t="inlineStr">
        <is>
          <t>AA</t>
        </is>
      </c>
      <c r="C14" s="5" t="inlineStr">
        <is>
          <t>ART</t>
        </is>
      </c>
      <c r="D14" s="11" t="n"/>
      <c r="E14" s="11" t="n"/>
      <c r="F14" s="11" t="n">
        <v>8</v>
      </c>
      <c r="G14" s="11" t="n">
        <v>7</v>
      </c>
      <c r="H14" s="11" t="n"/>
      <c r="I14" s="11" t="n"/>
      <c r="J14" s="19" t="inlineStr">
        <is>
          <t>Fragment Crafting (3.9%), Lottery Machine #1 (0.08%), Wishing (0.36%), Expert Scrolls (0.95%)</t>
        </is>
      </c>
    </row>
    <row r="15">
      <c r="A15" s="7" t="inlineStr">
        <is>
          <t>Boy with Goose</t>
        </is>
      </c>
      <c r="B15" s="5" t="inlineStr">
        <is>
          <t>A</t>
        </is>
      </c>
      <c r="C15" s="5" t="inlineStr">
        <is>
          <t>ART</t>
        </is>
      </c>
      <c r="D15" s="8" t="n">
        <v>7</v>
      </c>
      <c r="E15" s="8" t="n"/>
      <c r="F15" s="8" t="n"/>
      <c r="G15" s="5" t="n"/>
      <c r="H15" s="5" t="n"/>
      <c r="I15" s="5" t="n"/>
      <c r="J15" s="13" t="inlineStr">
        <is>
          <t>Fragment Crafting (31.2%), Lottery Machine #1 (0.66%), Wishing (2.8%), Expert Scrolls (7.6%)</t>
        </is>
      </c>
    </row>
    <row r="16">
      <c r="A16" s="18" t="inlineStr">
        <is>
          <t>Rosetta Stone</t>
        </is>
      </c>
      <c r="B16" s="5" t="inlineStr">
        <is>
          <t>A</t>
        </is>
      </c>
      <c r="C16" s="5" t="inlineStr">
        <is>
          <t>FAME</t>
        </is>
      </c>
      <c r="D16" s="11" t="n"/>
      <c r="E16" s="11" t="n"/>
      <c r="F16" s="11" t="n"/>
      <c r="G16" s="11" t="n"/>
      <c r="H16" s="11" t="n">
        <v>7</v>
      </c>
      <c r="I16" s="11" t="n"/>
      <c r="J16" s="19" t="inlineStr">
        <is>
          <t>Fragment Crafting (31%), Lottery Machine #1 (0.66%), Wishing (2.8%), Kemetic Treasure Maps (10%), Expert Scrolls (7.6%)</t>
        </is>
      </c>
    </row>
    <row r="17">
      <c r="A17" s="20" t="inlineStr">
        <is>
          <t>MAX FUNGUS FARM</t>
        </is>
      </c>
      <c r="B17" s="21" t="n"/>
      <c r="C17" s="21" t="n"/>
      <c r="D17" s="21">
        <f>sum(D13:E16)</f>
        <v/>
      </c>
      <c r="E17" s="21" t="n"/>
      <c r="F17" s="21">
        <f>sum(F13:G16)</f>
        <v/>
      </c>
      <c r="G17" s="21" t="n"/>
      <c r="H17" s="21">
        <f>sum(H13:I16)</f>
        <v/>
      </c>
      <c r="I17" s="21" t="n"/>
      <c r="J17" s="22" t="n"/>
    </row>
    <row r="18">
      <c r="A18" s="23" t="n"/>
      <c r="B18" s="23" t="n"/>
      <c r="C18" s="23" t="n"/>
      <c r="D18" s="23" t="n"/>
      <c r="F18" s="23" t="n"/>
      <c r="H18" s="23" t="n"/>
      <c r="J18" s="23" t="n"/>
    </row>
    <row r="19">
      <c r="A19" s="23" t="n"/>
      <c r="B19" s="23" t="n"/>
      <c r="C19" s="23" t="n"/>
      <c r="D19" s="23" t="n"/>
      <c r="F19" s="23" t="n"/>
      <c r="H19" s="23" t="n"/>
      <c r="J19" s="23" t="n"/>
    </row>
    <row r="20">
      <c r="A20" s="24" t="inlineStr">
        <is>
          <t>Name</t>
        </is>
      </c>
      <c r="B20" s="25" t="inlineStr">
        <is>
          <t>Rarity</t>
        </is>
      </c>
      <c r="C20" s="25" t="inlineStr">
        <is>
          <t>Type</t>
        </is>
      </c>
      <c r="D20" s="25" t="inlineStr">
        <is>
          <t>Btad Cost</t>
        </is>
      </c>
      <c r="E20" s="25" t="inlineStr">
        <is>
          <t>Awakening Btad Cost</t>
        </is>
      </c>
      <c r="F20" s="25" t="inlineStr">
        <is>
          <t>Wood Cost</t>
        </is>
      </c>
      <c r="G20" s="25" t="inlineStr">
        <is>
          <t>Awakening Wood Cost</t>
        </is>
      </c>
      <c r="H20" s="25" t="inlineStr">
        <is>
          <t>Stone Cost</t>
        </is>
      </c>
      <c r="I20" s="25" t="inlineStr">
        <is>
          <t>Awakening Stone Cost</t>
        </is>
      </c>
      <c r="J20" s="26" t="inlineStr">
        <is>
          <t>Source</t>
        </is>
      </c>
    </row>
    <row r="21">
      <c r="A21" s="27" t="inlineStr">
        <is>
          <t>TIME MACHINE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9" t="n"/>
    </row>
    <row r="22">
      <c r="A22" s="7" t="inlineStr">
        <is>
          <t>Golden Finger</t>
        </is>
      </c>
      <c r="B22" s="5" t="inlineStr">
        <is>
          <t>S</t>
        </is>
      </c>
      <c r="C22" s="5" t="inlineStr">
        <is>
          <t>FTH</t>
        </is>
      </c>
      <c r="D22" s="8" t="n">
        <v>10</v>
      </c>
      <c r="E22" s="5" t="n">
        <v>10</v>
      </c>
      <c r="F22" s="8" t="n"/>
      <c r="G22" s="5" t="n"/>
      <c r="H22" s="8" t="n"/>
      <c r="I22" s="8" t="n"/>
      <c r="J22" s="6" t="inlineStr">
        <is>
          <t>Fragment Crafting (15.1%), Lottery Machine #1 (0.81%), Wishing (0.53%), Master Scrolls (6.5%), FTH Master Scrolls (31.5%), Relic Forge (90 Relic RF)</t>
        </is>
      </c>
    </row>
    <row r="23">
      <c r="A23" s="18" t="inlineStr">
        <is>
          <t>Bell's Telephone</t>
        </is>
      </c>
      <c r="B23" s="5" t="inlineStr">
        <is>
          <t>AAA</t>
        </is>
      </c>
      <c r="C23" s="5" t="inlineStr">
        <is>
          <t>TECH</t>
        </is>
      </c>
      <c r="D23" s="11" t="n">
        <v>9</v>
      </c>
      <c r="E23" s="11" t="n"/>
      <c r="F23" s="11" t="n"/>
      <c r="G23" s="11" t="n"/>
      <c r="H23" s="11" t="n"/>
      <c r="I23" s="11" t="n"/>
      <c r="J23" s="19" t="inlineStr">
        <is>
          <t>Fragment Crafting (1.6%), Lottery Machine #1 (0.03%), Wishes (0.14%), Relic Forge (80 Relic RF)</t>
        </is>
      </c>
    </row>
    <row r="24">
      <c r="A24" s="18" t="inlineStr">
        <is>
          <t>ENIAC Prototype</t>
        </is>
      </c>
      <c r="B24" s="5" t="inlineStr">
        <is>
          <t>AA</t>
        </is>
      </c>
      <c r="C24" s="5" t="inlineStr">
        <is>
          <t>TECH</t>
        </is>
      </c>
      <c r="D24" s="11" t="n"/>
      <c r="E24" s="11" t="n"/>
      <c r="F24" s="11" t="n">
        <v>8</v>
      </c>
      <c r="G24" s="11" t="n"/>
      <c r="H24" s="11" t="n">
        <v>8</v>
      </c>
      <c r="I24" s="11" t="n">
        <v>7</v>
      </c>
      <c r="J24" s="19" t="inlineStr">
        <is>
          <t>Fragment Crafting (3.9%), Lottery Machine #1 (0.08%), Wishing (0.36%), Murikan Treasure Map (10%), Expert Scrolls (0.95%)</t>
        </is>
      </c>
    </row>
    <row r="25">
      <c r="A25" s="18" t="inlineStr">
        <is>
          <t>Franklin's Kite</t>
        </is>
      </c>
      <c r="B25" s="5" t="inlineStr">
        <is>
          <t>Blue</t>
        </is>
      </c>
      <c r="C25" s="10" t="inlineStr">
        <is>
          <t>FAME</t>
        </is>
      </c>
      <c r="D25" s="11" t="n">
        <v>5</v>
      </c>
      <c r="E25" s="11" t="n">
        <v>5</v>
      </c>
      <c r="F25" s="11" t="n"/>
      <c r="G25" s="11" t="n"/>
      <c r="H25" s="11" t="n"/>
      <c r="I25" s="11" t="n"/>
      <c r="J25" s="19" t="inlineStr">
        <is>
          <t>Lottery Machine #1 (0.07%), Wishing (3.1%), Murikan Treasure Map (20%), Novice Scrolls (1%)</t>
        </is>
      </c>
    </row>
    <row r="26">
      <c r="A26" s="20" t="inlineStr">
        <is>
          <t>MAX TIME MACHINE</t>
        </is>
      </c>
      <c r="B26" s="21" t="n"/>
      <c r="C26" s="21" t="n"/>
      <c r="D26" s="21">
        <f>sum(D22:E25)</f>
        <v/>
      </c>
      <c r="E26" s="21" t="n"/>
      <c r="F26" s="21">
        <f>sum(F22:G25)</f>
        <v/>
      </c>
      <c r="G26" s="21" t="n"/>
      <c r="H26" s="21">
        <f>sum(H22:I25)</f>
        <v/>
      </c>
      <c r="I26" s="21" t="n"/>
      <c r="J26" s="22" t="n"/>
    </row>
    <row r="27">
      <c r="A27" s="23" t="n"/>
      <c r="B27" s="23" t="n"/>
      <c r="C27" s="23" t="n"/>
      <c r="J27" s="23" t="n"/>
    </row>
    <row r="28">
      <c r="A28" s="23" t="n"/>
      <c r="B28" s="23" t="n"/>
      <c r="C28" s="23" t="n"/>
      <c r="J28" s="23" t="n"/>
    </row>
    <row r="29">
      <c r="A29" s="24" t="inlineStr">
        <is>
          <t>Name</t>
        </is>
      </c>
      <c r="B29" s="25" t="inlineStr">
        <is>
          <t>Rarity</t>
        </is>
      </c>
      <c r="C29" s="25" t="inlineStr">
        <is>
          <t>Type</t>
        </is>
      </c>
      <c r="D29" s="25" t="inlineStr">
        <is>
          <t>Btad Cost</t>
        </is>
      </c>
      <c r="E29" s="25" t="inlineStr">
        <is>
          <t>Awakening Btad Cost</t>
        </is>
      </c>
      <c r="F29" s="25" t="inlineStr">
        <is>
          <t>Wood Cost</t>
        </is>
      </c>
      <c r="G29" s="25" t="inlineStr">
        <is>
          <t>Awakening Wood Cost</t>
        </is>
      </c>
      <c r="H29" s="25" t="inlineStr">
        <is>
          <t>Stone Cost</t>
        </is>
      </c>
      <c r="I29" s="25" t="inlineStr">
        <is>
          <t>Awakening Stone Cost</t>
        </is>
      </c>
      <c r="J29" s="26" t="inlineStr">
        <is>
          <t>Source</t>
        </is>
      </c>
    </row>
    <row r="30">
      <c r="A30" s="27" t="inlineStr">
        <is>
          <t>LUMBER CAMP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9" t="n"/>
    </row>
    <row r="31">
      <c r="A31" s="18" t="inlineStr">
        <is>
          <t>The Tales of Genji</t>
        </is>
      </c>
      <c r="B31" s="5" t="inlineStr">
        <is>
          <t>S</t>
        </is>
      </c>
      <c r="C31" s="5" t="inlineStr">
        <is>
          <t>CIV</t>
        </is>
      </c>
      <c r="D31" s="11" t="n">
        <v>10</v>
      </c>
      <c r="E31" s="11" t="n">
        <v>10</v>
      </c>
      <c r="F31" s="11" t="n">
        <v>10</v>
      </c>
      <c r="G31" s="11" t="n"/>
      <c r="H31" s="11" t="n">
        <v>10</v>
      </c>
      <c r="I31" s="11" t="n"/>
      <c r="J31" s="19" t="inlineStr">
        <is>
          <t>Fragment Crafting (18.8%), Lottery Machine #1 (0.81%), Wishing (0.69%), Yamato Treasure Map (5%), Master Scroll (6.5%), CIV Master Scroll (37.5%), Relic Forge (90 Relic RF)</t>
        </is>
      </c>
    </row>
    <row r="32">
      <c r="A32" s="18" t="inlineStr">
        <is>
          <t>Plantagenet Badge</t>
        </is>
      </c>
      <c r="B32" s="5" t="inlineStr">
        <is>
          <t>AAA</t>
        </is>
      </c>
      <c r="C32" s="10" t="inlineStr">
        <is>
          <t>FAME</t>
        </is>
      </c>
      <c r="D32" s="11" t="n">
        <v>9</v>
      </c>
      <c r="E32" s="11" t="n"/>
      <c r="F32" s="11" t="n"/>
      <c r="G32" s="11" t="n"/>
      <c r="H32" s="11" t="n">
        <v>9</v>
      </c>
      <c r="I32" s="11" t="n">
        <v>7</v>
      </c>
      <c r="J32" s="19" t="inlineStr">
        <is>
          <t>Fragment Crafting (1.6%), Lottery Machine #1 (0.03%), Wishing (0.14%), Relic Forge (80 Relic RF)</t>
        </is>
      </c>
    </row>
    <row r="33">
      <c r="A33" s="18" t="inlineStr">
        <is>
          <t>Pine Trees Screen</t>
        </is>
      </c>
      <c r="B33" s="5" t="inlineStr">
        <is>
          <t>AA</t>
        </is>
      </c>
      <c r="C33" s="5" t="inlineStr">
        <is>
          <t>ART</t>
        </is>
      </c>
      <c r="D33" s="11" t="n"/>
      <c r="E33" s="11" t="n"/>
      <c r="F33" s="11" t="n">
        <v>8</v>
      </c>
      <c r="G33" s="11" t="n">
        <v>7</v>
      </c>
      <c r="H33" s="11" t="n"/>
      <c r="I33" s="11" t="n"/>
      <c r="J33" s="19" t="inlineStr">
        <is>
          <t>Fragment Crafting (3.9%), Lottery Machine #1 (0.08%), Wishing (0.36%), Yamato Treasure Maps (10%), Expert Scrolls (0.95%)</t>
        </is>
      </c>
    </row>
    <row r="34">
      <c r="A34" s="20" t="inlineStr">
        <is>
          <t>MAX LUMBER CAMP</t>
        </is>
      </c>
      <c r="B34" s="21" t="n"/>
      <c r="C34" s="21" t="n"/>
      <c r="D34" s="21">
        <f>sum(D31:E33)</f>
        <v/>
      </c>
      <c r="E34" s="21" t="n"/>
      <c r="F34" s="21">
        <f>sum(F31:G33)</f>
        <v/>
      </c>
      <c r="G34" s="21" t="n"/>
      <c r="H34" s="21">
        <f>sum(H31:I33)</f>
        <v/>
      </c>
      <c r="I34" s="21" t="n"/>
      <c r="J34" s="22" t="n"/>
    </row>
    <row r="35"/>
    <row r="36"/>
    <row r="37">
      <c r="A37" s="1" t="inlineStr">
        <is>
          <t>Name</t>
        </is>
      </c>
      <c r="B37" s="2" t="inlineStr">
        <is>
          <t>Rarity</t>
        </is>
      </c>
      <c r="C37" s="2" t="inlineStr">
        <is>
          <t>Type</t>
        </is>
      </c>
      <c r="D37" s="2" t="inlineStr">
        <is>
          <t>Btad Cost</t>
        </is>
      </c>
      <c r="E37" s="2" t="inlineStr">
        <is>
          <t>Awakening Btad Cost</t>
        </is>
      </c>
      <c r="F37" s="2" t="inlineStr">
        <is>
          <t>Wood Cost</t>
        </is>
      </c>
      <c r="G37" s="2" t="inlineStr">
        <is>
          <t>Awakening Wood Cost</t>
        </is>
      </c>
      <c r="H37" s="2" t="inlineStr">
        <is>
          <t>Stone Cost</t>
        </is>
      </c>
      <c r="I37" s="2" t="inlineStr">
        <is>
          <t>Awakening Stone Cost</t>
        </is>
      </c>
      <c r="J37" s="3" t="inlineStr">
        <is>
          <t>Source</t>
        </is>
      </c>
    </row>
    <row r="38">
      <c r="A38" s="4" t="inlineStr">
        <is>
          <t>QUARRY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</row>
    <row r="39">
      <c r="A39" s="7" t="inlineStr">
        <is>
          <t>Epic of Gilgamesh</t>
        </is>
      </c>
      <c r="B39" s="5" t="inlineStr">
        <is>
          <t>SS</t>
        </is>
      </c>
      <c r="C39" s="5" t="inlineStr">
        <is>
          <t>CIV</t>
        </is>
      </c>
      <c r="D39" s="8" t="n">
        <v>11</v>
      </c>
      <c r="E39" s="8" t="n"/>
      <c r="F39" s="8" t="n">
        <v>11</v>
      </c>
      <c r="G39" s="5" t="n"/>
      <c r="H39" s="5" t="n">
        <v>11</v>
      </c>
      <c r="I39" s="5" t="n"/>
      <c r="J39" s="6" t="inlineStr">
        <is>
          <t>Fragment Crafting (4.1%), Lottery Machine #1 (0.18%), Wishing (0.15%), Dragon Chest (5%), Grandmaster Scrolls (1.5%)</t>
        </is>
      </c>
    </row>
    <row r="40">
      <c r="A40" s="7" t="inlineStr">
        <is>
          <t>Killing Stone</t>
        </is>
      </c>
      <c r="B40" s="5" t="inlineStr">
        <is>
          <t>AAA</t>
        </is>
      </c>
      <c r="C40" s="5" t="inlineStr">
        <is>
          <t>FTH</t>
        </is>
      </c>
      <c r="D40" s="8" t="n"/>
      <c r="E40" s="5" t="n"/>
      <c r="F40" s="5" t="n"/>
      <c r="G40" s="5" t="n"/>
      <c r="H40" s="5" t="n">
        <v>9</v>
      </c>
      <c r="I40" s="5" t="n"/>
      <c r="J40" s="6" t="inlineStr">
        <is>
          <t>Fragment Crafting (1.5%), Lottery Machine #1 (0.03%), Wishing (0.14%), Relic Forge (80 Relic RF)</t>
        </is>
      </c>
    </row>
    <row r="41">
      <c r="A41" s="7" t="inlineStr">
        <is>
          <t>Spirit of Laws</t>
        </is>
      </c>
      <c r="B41" s="5" t="inlineStr">
        <is>
          <t>AA</t>
        </is>
      </c>
      <c r="C41" s="10" t="inlineStr">
        <is>
          <t>FAME</t>
        </is>
      </c>
      <c r="D41" s="5" t="n">
        <v>8</v>
      </c>
      <c r="E41" s="5" t="n">
        <v>7</v>
      </c>
      <c r="F41" s="5" t="n">
        <v>8</v>
      </c>
      <c r="G41" s="5" t="n"/>
      <c r="H41" s="8" t="n"/>
      <c r="I41" s="8" t="n"/>
      <c r="J41" s="13" t="inlineStr">
        <is>
          <t>Fragment Crafting (3.9%), Lottery Machine #1 (0.08%), Wishing (0.35%), Expert Scrolls (0.95%)</t>
        </is>
      </c>
    </row>
    <row r="42">
      <c r="A42" s="7" t="inlineStr">
        <is>
          <t>Musician Figure</t>
        </is>
      </c>
      <c r="B42" s="5" t="inlineStr">
        <is>
          <t>Blue</t>
        </is>
      </c>
      <c r="C42" s="5" t="inlineStr">
        <is>
          <t>CIV</t>
        </is>
      </c>
      <c r="D42" s="8" t="n">
        <v>5</v>
      </c>
      <c r="E42" s="8" t="n">
        <v>5</v>
      </c>
      <c r="F42" s="5" t="n"/>
      <c r="G42" s="5" t="n"/>
      <c r="H42" s="5" t="n"/>
      <c r="I42" s="5" t="n"/>
      <c r="J42" s="13" t="inlineStr">
        <is>
          <t>Lottery Machine #1 (0.03%), Wish (0.82%), Cathay Treasure Maps (20%)</t>
        </is>
      </c>
    </row>
    <row r="43">
      <c r="A43" s="14" t="inlineStr">
        <is>
          <t>MAX QUARRY</t>
        </is>
      </c>
      <c r="B43" s="15" t="n"/>
      <c r="C43" s="15" t="n"/>
      <c r="D43" s="16">
        <f>sum(D39:E42)</f>
        <v/>
      </c>
      <c r="E43" s="15" t="n"/>
      <c r="F43" s="16">
        <f>sum(F39:G42)</f>
        <v/>
      </c>
      <c r="G43" s="15" t="n"/>
      <c r="H43" s="16">
        <f>sum(H39:I42)</f>
        <v/>
      </c>
      <c r="I43" s="15" t="n"/>
      <c r="J43" s="17" t="n"/>
    </row>
    <row r="44"/>
    <row r="45"/>
    <row r="46">
      <c r="A46" s="1" t="inlineStr">
        <is>
          <t>Name</t>
        </is>
      </c>
      <c r="B46" s="2" t="inlineStr">
        <is>
          <t>Rarity</t>
        </is>
      </c>
      <c r="C46" s="2" t="inlineStr">
        <is>
          <t>Type</t>
        </is>
      </c>
      <c r="D46" s="2" t="inlineStr">
        <is>
          <t>Btad Cost</t>
        </is>
      </c>
      <c r="E46" s="2" t="inlineStr">
        <is>
          <t>Awakening Btad Cost</t>
        </is>
      </c>
      <c r="F46" s="2" t="inlineStr">
        <is>
          <t>Wood Cost</t>
        </is>
      </c>
      <c r="G46" s="2" t="inlineStr">
        <is>
          <t>Awakening Wood Cost</t>
        </is>
      </c>
      <c r="H46" s="2" t="inlineStr">
        <is>
          <t>Stone Cost</t>
        </is>
      </c>
      <c r="I46" s="2" t="inlineStr">
        <is>
          <t>Awakening Stone Cost</t>
        </is>
      </c>
      <c r="J46" s="3" t="inlineStr">
        <is>
          <t>Source</t>
        </is>
      </c>
    </row>
    <row r="47">
      <c r="A47" s="4" t="inlineStr">
        <is>
          <t>QUANTUM AMP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</row>
    <row r="48">
      <c r="A48" s="7" t="inlineStr">
        <is>
          <t>Almagest</t>
        </is>
      </c>
      <c r="B48" s="5" t="inlineStr">
        <is>
          <t>Green</t>
        </is>
      </c>
      <c r="C48" s="5" t="inlineStr">
        <is>
          <t>TECH</t>
        </is>
      </c>
      <c r="D48" s="8" t="n">
        <v>1.8</v>
      </c>
      <c r="E48" s="8" t="n"/>
      <c r="F48" s="5" t="n"/>
      <c r="G48" s="5" t="n"/>
      <c r="H48" s="5" t="n"/>
      <c r="I48" s="5" t="n"/>
      <c r="J48" s="13" t="inlineStr">
        <is>
          <t>Star Chart Shop</t>
        </is>
      </c>
    </row>
    <row r="49">
      <c r="A49" s="14" t="inlineStr">
        <is>
          <t>MAX QUANTUM AMP</t>
        </is>
      </c>
      <c r="B49" s="15" t="n"/>
      <c r="C49" s="15" t="n"/>
      <c r="D49" s="16">
        <f>sum(D48:E48)</f>
        <v/>
      </c>
      <c r="E49" s="15" t="n"/>
      <c r="F49" s="16">
        <f>sum(F48:G48)</f>
        <v/>
      </c>
      <c r="G49" s="15" t="n"/>
      <c r="H49" s="16">
        <f>sum(H48:I48)</f>
        <v/>
      </c>
      <c r="I49" s="15" t="n"/>
      <c r="J49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2026-04-25T21:15:20Z</dcterms:created>
  <dcterms:modified xmlns:dcterms="http://purl.org/dc/terms/" xmlns:xsi="http://www.w3.org/2001/XMLSchema-instance" xsi:type="dcterms:W3CDTF">2026-04-25T21:15:20Z</dcterms:modified>
</cp:coreProperties>
</file>