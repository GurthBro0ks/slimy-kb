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color rgb="FFFF0000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0" borderId="3" applyAlignment="1" pivotButton="0" quotePrefix="0" xfId="0">
      <alignment vertical="bottom"/>
    </xf>
    <xf numFmtId="0" fontId="1" fillId="0" borderId="4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1" fillId="0" borderId="5" applyAlignment="1" pivotButton="0" quotePrefix="0" xfId="0">
      <alignment horizontal="right" vertical="bottom"/>
    </xf>
    <xf numFmtId="0" fontId="1" fillId="0" borderId="7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1" fillId="0" borderId="8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10" fontId="1" fillId="0" borderId="3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4" pivotButton="0" quotePrefix="0" xfId="0"/>
    <xf numFmtId="0" fontId="1" fillId="0" borderId="5" pivotButton="0" quotePrefix="0" xfId="0"/>
    <xf numFmtId="10" fontId="1" fillId="0" borderId="6" pivotButton="0" quotePrefix="0" xfId="0"/>
    <xf numFmtId="0" fontId="2" fillId="0" borderId="1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" fillId="0" borderId="11" applyAlignment="1" pivotButton="0" quotePrefix="0" xfId="0">
      <alignment horizontal="right" vertical="bottom"/>
    </xf>
    <xf numFmtId="0" fontId="1" fillId="0" borderId="12" applyAlignment="1" pivotButton="0" quotePrefix="0" xfId="0">
      <alignment vertical="bottom"/>
    </xf>
    <xf numFmtId="0" fontId="1" fillId="0" borderId="9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cols>
    <col width="15.18" customWidth="1" min="1" max="1"/>
    <col width="8.09" customWidth="1" min="2" max="2"/>
    <col width="7.82" customWidth="1" min="3" max="3"/>
    <col width="8.09" customWidth="1" min="4" max="4"/>
    <col width="11.73" customWidth="1" min="5" max="5"/>
    <col width="6.09" customWidth="1" min="6" max="6"/>
    <col width="9.73" customWidth="1" min="7" max="7"/>
    <col width="10.09" customWidth="1" min="8" max="8"/>
    <col width="16.91" customWidth="1" min="9" max="9"/>
    <col width="8.82" customWidth="1" min="10" max="10"/>
    <col width="121" customWidth="1" min="11" max="11"/>
  </cols>
  <sheetData>
    <row r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Base Output</t>
        </is>
      </c>
      <c r="E1" s="2" t="inlineStr">
        <is>
          <t>Awakening Output</t>
        </is>
      </c>
      <c r="F1" s="2" t="inlineStr">
        <is>
          <t>Base Cap</t>
        </is>
      </c>
      <c r="G1" s="2" t="inlineStr">
        <is>
          <t>Awakening Cap</t>
        </is>
      </c>
      <c r="H1" s="2" t="inlineStr">
        <is>
          <t>Ancient Fossil</t>
        </is>
      </c>
      <c r="I1" s="2" t="inlineStr">
        <is>
          <t>Awakening Ancient Fossil</t>
        </is>
      </c>
      <c r="J1" s="2" t="inlineStr">
        <is>
          <t>AFFECT Boost</t>
        </is>
      </c>
      <c r="K1" s="3" t="inlineStr">
        <is>
          <t>Source</t>
        </is>
      </c>
      <c r="L1" s="4" t="n"/>
      <c r="M1" s="5" t="n"/>
    </row>
    <row r="2">
      <c r="A2" s="4" t="inlineStr">
        <is>
          <t>INDIVIDUAL RELICS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6" t="n"/>
      <c r="L2" s="4" t="n"/>
      <c r="M2" s="5" t="n"/>
    </row>
    <row r="3">
      <c r="A3" s="7" t="inlineStr">
        <is>
          <t xml:space="preserve">   Cairo Declaration</t>
        </is>
      </c>
      <c r="B3" s="5" t="inlineStr">
        <is>
          <t>SS</t>
        </is>
      </c>
      <c r="C3" s="8" t="inlineStr">
        <is>
          <t>FAME</t>
        </is>
      </c>
      <c r="D3" s="9" t="n">
        <v>22</v>
      </c>
      <c r="E3" s="5" t="n"/>
      <c r="F3" s="9" t="n">
        <v>22</v>
      </c>
      <c r="G3" s="5" t="n"/>
      <c r="H3" s="9" t="n">
        <v>22</v>
      </c>
      <c r="I3" s="9" t="n">
        <v>20</v>
      </c>
      <c r="J3" s="5" t="n"/>
      <c r="K3" s="6" t="inlineStr">
        <is>
          <t>Fragment Crafting (4.6%), Lottery Machine (0.18%), Wishing (0.17%), Grandmaster Scrolls (1.6%)</t>
        </is>
      </c>
      <c r="L3" s="4" t="n"/>
      <c r="M3" s="5" t="n"/>
    </row>
    <row r="4">
      <c r="A4" s="7" t="inlineStr">
        <is>
          <t xml:space="preserve">   David</t>
        </is>
      </c>
      <c r="B4" s="5" t="inlineStr">
        <is>
          <t>SS</t>
        </is>
      </c>
      <c r="C4" s="5" t="inlineStr">
        <is>
          <t>ART</t>
        </is>
      </c>
      <c r="D4" s="9" t="n">
        <v>22</v>
      </c>
      <c r="E4" s="9" t="n">
        <v>20</v>
      </c>
      <c r="F4" s="9" t="n">
        <v>22</v>
      </c>
      <c r="G4" s="5" t="n"/>
      <c r="H4" s="5" t="n"/>
      <c r="I4" s="5" t="n"/>
      <c r="J4" s="5" t="n"/>
      <c r="K4" s="6" t="inlineStr">
        <is>
          <t>Fragment Crafting (4%), Lottery Machine (0.18%), Wishing (0.15%), Demon God Chest (5%), Grandmaster Scrolls (1.6%)</t>
        </is>
      </c>
      <c r="L4" s="4" t="n"/>
      <c r="M4" s="5" t="n"/>
    </row>
    <row r="5">
      <c r="A5" s="7" t="inlineStr">
        <is>
          <t xml:space="preserve">   Plato's Republic</t>
        </is>
      </c>
      <c r="B5" s="5" t="inlineStr">
        <is>
          <t>SS</t>
        </is>
      </c>
      <c r="C5" s="5" t="inlineStr">
        <is>
          <t>CIV</t>
        </is>
      </c>
      <c r="D5" s="9" t="n">
        <v>22</v>
      </c>
      <c r="E5" s="9" t="n">
        <v>20</v>
      </c>
      <c r="F5" s="5" t="n"/>
      <c r="G5" s="5" t="n"/>
      <c r="H5" s="5" t="n"/>
      <c r="I5" s="5" t="n"/>
      <c r="J5" s="5" t="n"/>
      <c r="K5" s="6" t="inlineStr">
        <is>
          <t>Lottery Machine (0.12%), Wishing (0.1%), Grandmaster Scrolls (1%), Relic Forge (100 Relic RF)</t>
        </is>
      </c>
      <c r="L5" s="4" t="n"/>
      <c r="M5" s="5" t="n"/>
    </row>
    <row r="6">
      <c r="A6" s="7" t="inlineStr">
        <is>
          <t xml:space="preserve">   King Dangun Statue</t>
        </is>
      </c>
      <c r="B6" s="5" t="inlineStr">
        <is>
          <t>S</t>
        </is>
      </c>
      <c r="C6" s="5" t="inlineStr">
        <is>
          <t>FTH</t>
        </is>
      </c>
      <c r="D6" s="9" t="n">
        <v>20</v>
      </c>
      <c r="E6" s="5" t="n"/>
      <c r="F6" s="5" t="n"/>
      <c r="G6" s="5" t="n"/>
      <c r="H6" s="5" t="n"/>
      <c r="I6" s="5" t="n"/>
      <c r="J6" s="5" t="n"/>
      <c r="K6" s="6" t="inlineStr">
        <is>
          <t>Fragment Crafting (15.1%), Lottery Machine (0.81%), Wishing (0.81%), Koryeo Treasure Map (5%), Relic Forge (90 Relic RF), Museum Value Pack I ($14.99)</t>
        </is>
      </c>
      <c r="L6" s="4" t="n"/>
      <c r="M6" s="5" t="n"/>
    </row>
    <row r="7">
      <c r="A7" s="7" t="inlineStr">
        <is>
          <t xml:space="preserve">   Galileo's Ball</t>
        </is>
      </c>
      <c r="B7" s="5" t="inlineStr">
        <is>
          <t>AAA</t>
        </is>
      </c>
      <c r="C7" s="8" t="inlineStr">
        <is>
          <t>FAME</t>
        </is>
      </c>
      <c r="D7" s="5" t="n"/>
      <c r="E7" s="5" t="n"/>
      <c r="F7" s="5" t="n"/>
      <c r="G7" s="5" t="n"/>
      <c r="H7" s="9" t="n">
        <v>18</v>
      </c>
      <c r="I7" s="9" t="n">
        <v>14</v>
      </c>
      <c r="J7" s="5" t="n"/>
      <c r="K7" s="6" t="inlineStr">
        <is>
          <t>Fragment Crafting (1.6%), Lottery Machine (0.03%), Wishing (0.14%), Relic Forge (80 Relic RF)</t>
        </is>
      </c>
      <c r="L7" s="4" t="n"/>
      <c r="M7" s="5" t="n"/>
    </row>
    <row r="8">
      <c r="A8" s="7" t="inlineStr">
        <is>
          <t xml:space="preserve">   Phoenician Tablet</t>
        </is>
      </c>
      <c r="B8" s="5" t="inlineStr">
        <is>
          <t>AA</t>
        </is>
      </c>
      <c r="C8" s="5" t="inlineStr">
        <is>
          <t>CIV</t>
        </is>
      </c>
      <c r="D8" s="9" t="n">
        <v>16</v>
      </c>
      <c r="E8" s="9" t="n">
        <v>14</v>
      </c>
      <c r="F8" s="9" t="n">
        <v>16</v>
      </c>
      <c r="G8" s="5" t="n"/>
      <c r="H8" s="5" t="n"/>
      <c r="I8" s="5" t="n"/>
      <c r="J8" s="5" t="n"/>
      <c r="K8" s="6" t="inlineStr">
        <is>
          <t>Fragment Crafting (3.7%), Lottery Machine (0.8%), Wishing (0.34%), Kemetic Treasure Maps (10%), Expert Scrolls (0.95%)</t>
        </is>
      </c>
      <c r="L8" s="4" t="n"/>
      <c r="M8" s="5" t="n"/>
    </row>
    <row r="9">
      <c r="A9" s="7" t="inlineStr">
        <is>
          <t xml:space="preserve">   Peacock Throne</t>
        </is>
      </c>
      <c r="B9" s="5" t="inlineStr">
        <is>
          <t>AAA</t>
        </is>
      </c>
      <c r="C9" s="5" t="inlineStr">
        <is>
          <t>ART</t>
        </is>
      </c>
      <c r="D9" s="9" t="n">
        <v>5</v>
      </c>
      <c r="E9" s="9" t="n">
        <v>5</v>
      </c>
      <c r="F9" s="5" t="n"/>
      <c r="G9" s="5" t="n"/>
      <c r="H9" s="9" t="n"/>
      <c r="I9" s="9" t="n"/>
      <c r="J9" s="5" t="n"/>
      <c r="K9" s="6" t="inlineStr">
        <is>
          <t>Supreme Relic</t>
        </is>
      </c>
      <c r="L9" s="4" t="n"/>
      <c r="M9" s="5" t="n"/>
    </row>
    <row r="10">
      <c r="A10" s="7" t="inlineStr">
        <is>
          <t xml:space="preserve">   Chronometer</t>
        </is>
      </c>
      <c r="B10" s="5" t="inlineStr">
        <is>
          <t>Blue</t>
        </is>
      </c>
      <c r="C10" s="5" t="inlineStr">
        <is>
          <t>TECH</t>
        </is>
      </c>
      <c r="D10" s="9" t="n">
        <v>10</v>
      </c>
      <c r="E10" s="9" t="n">
        <v>10</v>
      </c>
      <c r="F10" s="5" t="n"/>
      <c r="G10" s="5" t="n"/>
      <c r="H10" s="5" t="n"/>
      <c r="I10" s="5" t="n"/>
      <c r="J10" s="5" t="n"/>
      <c r="K10" s="6" t="inlineStr">
        <is>
          <t>Lottery Machine (0.03%), Wishing (1.1%), Tool Chest (2%)</t>
        </is>
      </c>
      <c r="L10" s="4" t="n"/>
      <c r="M10" s="5" t="n"/>
    </row>
    <row r="11">
      <c r="A11" s="4" t="inlineStr">
        <is>
          <t xml:space="preserve">   Costa Rica Stone</t>
        </is>
      </c>
      <c r="B11" s="5" t="inlineStr">
        <is>
          <t>Blue</t>
        </is>
      </c>
      <c r="C11" s="8" t="inlineStr">
        <is>
          <t>FAME</t>
        </is>
      </c>
      <c r="D11" s="5" t="n"/>
      <c r="E11" s="5" t="n"/>
      <c r="F11" s="9" t="n">
        <v>10</v>
      </c>
      <c r="G11" s="9" t="n">
        <v>10</v>
      </c>
      <c r="H11" s="5" t="n"/>
      <c r="I11" s="5" t="n"/>
      <c r="J11" s="5" t="n"/>
      <c r="K11" s="6" t="inlineStr">
        <is>
          <t>Lottery Machine (0.36%), Wishing (15.5%), Novice Scrolls (5%)</t>
        </is>
      </c>
      <c r="L11" s="4" t="n"/>
      <c r="M11" s="5" t="n"/>
    </row>
    <row r="12">
      <c r="A12" s="7" t="inlineStr">
        <is>
          <t xml:space="preserve">   Birdie</t>
        </is>
      </c>
      <c r="B12" s="5" t="inlineStr">
        <is>
          <t>Green</t>
        </is>
      </c>
      <c r="C12" s="5" t="inlineStr">
        <is>
          <t>FTH</t>
        </is>
      </c>
      <c r="D12" s="9" t="n">
        <v>6</v>
      </c>
      <c r="E12" s="5" t="n"/>
      <c r="F12" s="5" t="n"/>
      <c r="G12" s="5" t="n"/>
      <c r="H12" s="5" t="n"/>
      <c r="I12" s="5" t="n"/>
      <c r="J12" s="5" t="n"/>
      <c r="K12" s="6" t="inlineStr">
        <is>
          <t>Defeat Ronin Katsura</t>
        </is>
      </c>
      <c r="L12" s="4" t="n"/>
      <c r="M12" s="5" t="n"/>
    </row>
    <row r="13">
      <c r="A13" s="7" t="inlineStr">
        <is>
          <t xml:space="preserve">   Ancient Snail Fossil</t>
        </is>
      </c>
      <c r="B13" s="5" t="inlineStr">
        <is>
          <t>Green</t>
        </is>
      </c>
      <c r="C13" s="5" t="inlineStr">
        <is>
          <t>CIV</t>
        </is>
      </c>
      <c r="D13" s="9" t="n"/>
      <c r="E13" s="5" t="n"/>
      <c r="F13" s="9" t="n"/>
      <c r="G13" s="5" t="n"/>
      <c r="H13" s="9" t="n">
        <v>6</v>
      </c>
      <c r="I13" s="5" t="n"/>
      <c r="J13" s="5" t="n"/>
      <c r="K13" s="6" t="inlineStr">
        <is>
          <t>Zuckie's Ad Events</t>
        </is>
      </c>
      <c r="L13" s="4" t="n"/>
      <c r="M13" s="5" t="n"/>
    </row>
    <row r="14">
      <c r="A14" s="10" t="inlineStr">
        <is>
          <t>MAX INDIVIDUAL RELICS</t>
        </is>
      </c>
      <c r="B14" s="11" t="n"/>
      <c r="C14" s="11" t="n"/>
      <c r="D14" s="12">
        <f>sum(D3:E13)</f>
        <v/>
      </c>
      <c r="E14" s="11" t="n"/>
      <c r="F14" s="12">
        <f>sum(F3:G13)</f>
        <v/>
      </c>
      <c r="G14" s="11" t="n"/>
      <c r="H14" s="12">
        <f>sum(H3:I13)</f>
        <v/>
      </c>
      <c r="I14" s="11" t="n"/>
      <c r="J14" s="11" t="n"/>
      <c r="K14" s="13" t="n"/>
      <c r="L14" s="4" t="n"/>
      <c r="M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4" t="n"/>
      <c r="M15" s="5" t="n"/>
    </row>
    <row r="16">
      <c r="A16" s="1" t="inlineStr">
        <is>
          <t>PARTNER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3" t="n"/>
      <c r="L16" s="4" t="n"/>
      <c r="M16" s="5" t="n"/>
    </row>
    <row r="17">
      <c r="A17" s="10" t="inlineStr">
        <is>
          <t xml:space="preserve">   Taoist Yu Ji</t>
        </is>
      </c>
      <c r="B17" s="11" t="n"/>
      <c r="C17" s="11" t="n"/>
      <c r="D17" s="12" t="n">
        <v>30</v>
      </c>
      <c r="E17" s="11" t="n"/>
      <c r="F17" s="11" t="n"/>
      <c r="G17" s="11" t="n"/>
      <c r="H17" s="11" t="n"/>
      <c r="I17" s="11" t="n"/>
      <c r="J17" s="11" t="n"/>
      <c r="K17" s="13" t="inlineStr">
        <is>
          <t>lv30</t>
        </is>
      </c>
      <c r="L17" s="4" t="n"/>
      <c r="M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4" t="n"/>
      <c r="M18" s="5" t="n"/>
    </row>
    <row r="19">
      <c r="A19" s="1" t="inlineStr">
        <is>
          <t>COLLECTORS TALENTS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3" t="n"/>
      <c r="L19" s="4" t="n"/>
      <c r="M19" s="5" t="n"/>
    </row>
    <row r="20">
      <c r="A20" s="10" t="inlineStr">
        <is>
          <t xml:space="preserve">   Civil Engineering</t>
        </is>
      </c>
      <c r="B20" s="11" t="n"/>
      <c r="C20" s="11" t="n"/>
      <c r="D20" s="12" t="n">
        <v>25</v>
      </c>
      <c r="E20" s="11" t="n"/>
      <c r="F20" s="12" t="n">
        <v>25</v>
      </c>
      <c r="G20" s="11" t="n"/>
      <c r="H20" s="11" t="n"/>
      <c r="I20" s="11" t="n"/>
      <c r="J20" s="11" t="n"/>
      <c r="K20" s="13" t="inlineStr">
        <is>
          <t>10 Blue Talent Points</t>
        </is>
      </c>
      <c r="L20" s="4" t="n"/>
      <c r="M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4" t="n"/>
      <c r="M21" s="5" t="n"/>
    </row>
    <row r="22">
      <c r="A22" s="14" t="inlineStr">
        <is>
          <t>ROBOTS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6" t="n"/>
      <c r="L22" s="4" t="n"/>
      <c r="M22" s="5" t="n"/>
    </row>
    <row r="23">
      <c r="A23" s="17" t="inlineStr">
        <is>
          <t xml:space="preserve">   Surprise</t>
        </is>
      </c>
      <c r="B23" s="18" t="n"/>
      <c r="C23" s="18" t="n"/>
      <c r="D23" s="18" t="n">
        <v>3</v>
      </c>
      <c r="E23" s="18" t="n"/>
      <c r="F23" s="18" t="n"/>
      <c r="G23" s="18" t="n"/>
      <c r="H23" s="18" t="n"/>
      <c r="I23" s="18" t="n"/>
      <c r="J23" s="18" t="n"/>
      <c r="K23" s="19" t="inlineStr">
        <is>
          <t>Wormhole Refiner (0.03%)</t>
        </is>
      </c>
      <c r="L23" s="4" t="n"/>
      <c r="M23" s="5" t="n"/>
    </row>
    <row r="24">
      <c r="A24" s="20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2" t="n"/>
      <c r="L24" s="4" t="n"/>
      <c r="M24" s="5" t="n"/>
    </row>
    <row r="25">
      <c r="A25" s="1" t="inlineStr">
        <is>
          <t>ORGAN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3" t="n"/>
      <c r="L25" s="4" t="n"/>
      <c r="M25" s="5" t="n"/>
    </row>
    <row r="26">
      <c r="A26" s="4" t="inlineStr">
        <is>
          <t xml:space="preserve">   Warp Horn</t>
        </is>
      </c>
      <c r="B26" s="5" t="n"/>
      <c r="C26" s="5" t="n"/>
      <c r="D26" s="9" t="n">
        <v>10</v>
      </c>
      <c r="E26" s="5" t="n"/>
      <c r="F26" s="9" t="n">
        <v>10</v>
      </c>
      <c r="G26" s="5" t="n"/>
      <c r="H26" s="5" t="n"/>
      <c r="I26" s="5" t="n"/>
      <c r="J26" s="5" t="n"/>
      <c r="K26" s="6" t="inlineStr">
        <is>
          <t>lv20</t>
        </is>
      </c>
      <c r="L26" s="4" t="n"/>
      <c r="M26" s="5" t="n"/>
    </row>
    <row r="27">
      <c r="A27" s="10" t="inlineStr">
        <is>
          <t xml:space="preserve">   Alveolus of Gaia</t>
        </is>
      </c>
      <c r="B27" s="11" t="n"/>
      <c r="C27" s="11" t="n"/>
      <c r="D27" s="12" t="n">
        <v>20</v>
      </c>
      <c r="E27" s="11" t="n"/>
      <c r="F27" s="12" t="n">
        <v>20</v>
      </c>
      <c r="G27" s="11" t="n"/>
      <c r="H27" s="11" t="n"/>
      <c r="I27" s="11" t="n"/>
      <c r="J27" s="11" t="n"/>
      <c r="K27" s="13" t="inlineStr">
        <is>
          <t>lv40</t>
        </is>
      </c>
      <c r="L27" s="4" t="n"/>
      <c r="M27" s="5" t="n"/>
    </row>
    <row r="28">
      <c r="A28" s="4" t="inlineStr">
        <is>
          <t>MAX ORGAN</t>
        </is>
      </c>
      <c r="B28" s="5" t="n"/>
      <c r="C28" s="5" t="n"/>
      <c r="D28" s="5">
        <f>sum(D26:D27)</f>
        <v/>
      </c>
      <c r="E28" s="5" t="n"/>
      <c r="F28" s="5">
        <f>sum(F26:F27)</f>
        <v/>
      </c>
      <c r="G28" s="5" t="n"/>
      <c r="H28" s="5">
        <f>sum(H26:H27)</f>
        <v/>
      </c>
      <c r="I28" s="5" t="n"/>
      <c r="J28" s="5" t="n"/>
      <c r="K28" s="5" t="n"/>
      <c r="L28" s="4" t="n"/>
      <c r="M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4" t="n"/>
      <c r="M29" s="5" t="n"/>
    </row>
    <row r="30">
      <c r="A30" s="1" t="inlineStr">
        <is>
          <t>INTEL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3" t="n"/>
      <c r="L30" s="4" t="n"/>
      <c r="M30" s="5" t="n"/>
    </row>
    <row r="31">
      <c r="A31" s="10" t="inlineStr">
        <is>
          <t xml:space="preserve">   Cathay</t>
        </is>
      </c>
      <c r="B31" s="11" t="n"/>
      <c r="C31" s="11" t="n"/>
      <c r="D31" s="12" t="n">
        <v>10</v>
      </c>
      <c r="E31" s="11" t="n"/>
      <c r="F31" s="11" t="n"/>
      <c r="G31" s="11" t="n"/>
      <c r="H31" s="11" t="n"/>
      <c r="I31" s="11" t="n"/>
      <c r="J31" s="11" t="n"/>
      <c r="K31" s="13" t="n"/>
      <c r="L31" s="4" t="n"/>
      <c r="M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4" t="n"/>
      <c r="M32" s="5" t="n"/>
    </row>
    <row r="33">
      <c r="A33" s="14" t="inlineStr">
        <is>
          <t>ROCKET UPGRADES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6" t="n"/>
      <c r="L33" s="4" t="n"/>
      <c r="M33" s="5" t="n"/>
    </row>
    <row r="34">
      <c r="A34" s="17" t="inlineStr">
        <is>
          <t xml:space="preserve">   Eternal Hall</t>
        </is>
      </c>
      <c r="B34" s="18" t="n"/>
      <c r="C34" s="18" t="n"/>
      <c r="D34" s="18" t="n">
        <v>10</v>
      </c>
      <c r="E34" s="18" t="n"/>
      <c r="F34" s="18" t="n">
        <v>10</v>
      </c>
      <c r="G34" s="18" t="n"/>
      <c r="H34" s="18" t="n"/>
      <c r="I34" s="18" t="n"/>
      <c r="J34" s="18" t="n"/>
      <c r="K34" s="19" t="inlineStr">
        <is>
          <t>Lv5</t>
        </is>
      </c>
      <c r="L34" s="4" t="n"/>
      <c r="M34" s="5" t="n"/>
    </row>
    <row r="35">
      <c r="A35" s="20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2" t="n"/>
      <c r="L35" s="4" t="n"/>
      <c r="M35" s="5" t="n"/>
    </row>
    <row r="36">
      <c r="A36" s="1" t="inlineStr">
        <is>
          <t>AVATARS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3" t="n"/>
      <c r="L36" s="4" t="n"/>
      <c r="M36" s="5" t="n"/>
    </row>
    <row r="37">
      <c r="A37" s="10" t="inlineStr">
        <is>
          <t xml:space="preserve">   Mirage Avatar I Bonus</t>
        </is>
      </c>
      <c r="B37" s="11" t="n"/>
      <c r="C37" s="11" t="n"/>
      <c r="D37" s="12" t="n">
        <v>20</v>
      </c>
      <c r="E37" s="11" t="n"/>
      <c r="F37" s="12" t="n">
        <v>40</v>
      </c>
      <c r="G37" s="11" t="n"/>
      <c r="H37" s="11" t="n"/>
      <c r="I37" s="11" t="n"/>
      <c r="J37" s="11" t="n"/>
      <c r="K37" s="13" t="n"/>
      <c r="L37" s="4" t="n"/>
      <c r="M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4" t="n"/>
      <c r="M38" s="5" t="n"/>
    </row>
    <row r="39">
      <c r="A39" s="1" t="inlineStr">
        <is>
          <t>STAMPS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3" t="n"/>
      <c r="L39" s="4" t="n"/>
      <c r="M39" s="5" t="n"/>
    </row>
    <row r="40">
      <c r="A40" s="7" t="inlineStr">
        <is>
          <t xml:space="preserve">   Gaea's Hand</t>
        </is>
      </c>
      <c r="B40" s="5" t="inlineStr">
        <is>
          <t>SSS</t>
        </is>
      </c>
      <c r="C40" s="5" t="inlineStr">
        <is>
          <t>FTH</t>
        </is>
      </c>
      <c r="D40" s="9" t="n">
        <v>30</v>
      </c>
      <c r="E40" s="5" t="n"/>
      <c r="F40" s="9" t="n">
        <v>30</v>
      </c>
      <c r="G40" s="5" t="n"/>
      <c r="H40" s="9" t="n">
        <v>30</v>
      </c>
      <c r="I40" s="5" t="n"/>
      <c r="J40" s="5" t="n"/>
      <c r="K40" s="6" t="inlineStr">
        <is>
          <t>Wish Pack, Lottery Machine (0.09%), Wishing (0.06%), Grandmaster Scrolls (0.81%), Relic Forge (120 Relic RF)</t>
        </is>
      </c>
      <c r="L40" s="4" t="n"/>
      <c r="M40" s="5" t="n"/>
    </row>
    <row r="41">
      <c r="A41" s="7" t="inlineStr">
        <is>
          <t xml:space="preserve">   Aladdin Lamp</t>
        </is>
      </c>
      <c r="B41" s="5" t="inlineStr">
        <is>
          <t>SS</t>
        </is>
      </c>
      <c r="C41" s="5" t="inlineStr">
        <is>
          <t>FTH</t>
        </is>
      </c>
      <c r="D41" s="9" t="n">
        <v>30</v>
      </c>
      <c r="E41" s="5" t="n"/>
      <c r="F41" s="5" t="n"/>
      <c r="G41" s="5" t="n"/>
      <c r="H41" s="5" t="n"/>
      <c r="I41" s="5" t="n"/>
      <c r="J41" s="9" t="n">
        <v>15</v>
      </c>
      <c r="K41" s="6" t="inlineStr">
        <is>
          <t>Lottery Machine (0.12%), Wishing (0.08%), Grandmaster Scrolls (1%), Relic Forge (100 Relic RF), Altar Value Pack II ($49.99)</t>
        </is>
      </c>
      <c r="L41" s="4" t="n"/>
      <c r="M41" s="5" t="n"/>
    </row>
    <row r="42">
      <c r="A42" s="7" t="inlineStr">
        <is>
          <t xml:space="preserve">   Mahakala Scroll</t>
        </is>
      </c>
      <c r="B42" s="5" t="inlineStr">
        <is>
          <t>SSS</t>
        </is>
      </c>
      <c r="C42" s="5" t="inlineStr">
        <is>
          <t>FTH</t>
        </is>
      </c>
      <c r="D42" s="5" t="n"/>
      <c r="E42" s="5" t="n"/>
      <c r="F42" s="9" t="n">
        <v>30</v>
      </c>
      <c r="G42" s="5" t="n"/>
      <c r="H42" s="9" t="n">
        <v>30</v>
      </c>
      <c r="I42" s="5" t="n"/>
      <c r="J42" s="9" t="n">
        <v>15</v>
      </c>
      <c r="K42" s="6" t="inlineStr">
        <is>
          <t>Jinx Points Bonus Reward</t>
        </is>
      </c>
      <c r="L42" s="4" t="n"/>
      <c r="M42" s="5" t="n"/>
    </row>
    <row r="43">
      <c r="A43" s="7" t="inlineStr">
        <is>
          <t xml:space="preserve">   The Argo</t>
        </is>
      </c>
      <c r="B43" s="5" t="inlineStr">
        <is>
          <t>SSS</t>
        </is>
      </c>
      <c r="C43" s="5" t="inlineStr">
        <is>
          <t>FTH</t>
        </is>
      </c>
      <c r="D43" s="5" t="n"/>
      <c r="E43" s="5" t="n"/>
      <c r="F43" s="9" t="n">
        <v>30</v>
      </c>
      <c r="G43" s="5" t="n"/>
      <c r="H43" s="9" t="n">
        <v>30</v>
      </c>
      <c r="I43" s="5" t="n"/>
      <c r="J43" s="9" t="n">
        <v>15</v>
      </c>
      <c r="K43" s="6" t="inlineStr">
        <is>
          <t>Lottery Machine (0.09%), Summer Festival Sept. 1-15, 2023</t>
        </is>
      </c>
      <c r="L43" s="4" t="n"/>
      <c r="M43" s="5" t="n"/>
    </row>
    <row r="44">
      <c r="A44" s="4" t="inlineStr">
        <is>
          <t xml:space="preserve">   Golden Finger</t>
        </is>
      </c>
      <c r="B44" s="5" t="inlineStr">
        <is>
          <t>S</t>
        </is>
      </c>
      <c r="C44" s="5" t="inlineStr">
        <is>
          <t>FTH</t>
        </is>
      </c>
      <c r="D44" s="9" t="n">
        <v>30</v>
      </c>
      <c r="E44" s="5" t="n"/>
      <c r="F44" s="5" t="n"/>
      <c r="G44" s="5" t="n"/>
      <c r="H44" s="5" t="n"/>
      <c r="I44" s="5" t="n"/>
      <c r="J44" s="5" t="n"/>
      <c r="K44" s="6" t="inlineStr">
        <is>
          <t>Fragment Crafting (15.1%), Lottery Machine (0.81%), Wishing (0.53%), Master Scrolls (6.5%), FTH Master Scrolls (31.5%), Relic Forge (90 Relic RF)</t>
        </is>
      </c>
      <c r="L44" s="4" t="n"/>
      <c r="M44" s="5" t="n"/>
    </row>
    <row r="45">
      <c r="A45" s="4" t="inlineStr">
        <is>
          <t xml:space="preserve">   Shroud of Turin</t>
        </is>
      </c>
      <c r="B45" s="5" t="inlineStr">
        <is>
          <t>S</t>
        </is>
      </c>
      <c r="C45" s="5" t="inlineStr">
        <is>
          <t>FTH</t>
        </is>
      </c>
      <c r="D45" s="5" t="n"/>
      <c r="E45" s="5" t="n"/>
      <c r="F45" s="5" t="n"/>
      <c r="G45" s="5" t="n"/>
      <c r="H45" s="9" t="n">
        <v>30</v>
      </c>
      <c r="I45" s="5" t="n"/>
      <c r="J45" s="5" t="n"/>
      <c r="K45" s="6" t="inlineStr">
        <is>
          <t>Fragment Crafting (15.1%), Lottery Machine (0.81%), Wishing (0.53%), Relic Forge (90 Relic RF)</t>
        </is>
      </c>
      <c r="L45" s="4" t="n"/>
      <c r="M45" s="5" t="n"/>
    </row>
    <row r="46">
      <c r="A46" s="4" t="inlineStr">
        <is>
          <t xml:space="preserve">   Ark of the Covenant</t>
        </is>
      </c>
      <c r="B46" s="5" t="inlineStr">
        <is>
          <t>S</t>
        </is>
      </c>
      <c r="C46" s="5" t="inlineStr">
        <is>
          <t>FTH</t>
        </is>
      </c>
      <c r="D46" s="5" t="n"/>
      <c r="E46" s="5" t="n"/>
      <c r="F46" s="5" t="n"/>
      <c r="G46" s="5" t="n"/>
      <c r="H46" s="9" t="n">
        <v>30</v>
      </c>
      <c r="I46" s="5" t="n"/>
      <c r="J46" s="5" t="n"/>
      <c r="K46" s="6" t="inlineStr">
        <is>
          <t>Fragment Crafting (15.1%), Lottery Machine (0.81%), Wishing (0.53%), Relic Forge (90 Relic RF)</t>
        </is>
      </c>
      <c r="L46" s="4" t="n"/>
      <c r="M46" s="5" t="n"/>
    </row>
    <row r="47">
      <c r="A47" s="4" t="inlineStr">
        <is>
          <t xml:space="preserve">   3-Faced Statue</t>
        </is>
      </c>
      <c r="B47" s="5" t="inlineStr">
        <is>
          <t>S</t>
        </is>
      </c>
      <c r="C47" s="5" t="inlineStr">
        <is>
          <t>FTH</t>
        </is>
      </c>
      <c r="D47" s="5" t="n"/>
      <c r="E47" s="5" t="n"/>
      <c r="F47" s="5" t="n"/>
      <c r="G47" s="5" t="n"/>
      <c r="H47" s="5" t="n"/>
      <c r="I47" s="5" t="n"/>
      <c r="J47" s="9" t="n">
        <v>15</v>
      </c>
      <c r="K47" s="6" t="inlineStr">
        <is>
          <t>Fragment Crafting (4.4%), Lottery Machine (0.24%), Wishing (0.16%), Demon God Chest (5%), Master Scrolls (1.9%), Grandmaster Scrolls (2.1%), FTH Master Scrolls (9.2%), Indigent Nobleman (570K B-tads)</t>
        </is>
      </c>
      <c r="L47" s="4" t="n"/>
      <c r="M47" s="5" t="n"/>
    </row>
    <row r="48">
      <c r="A48" s="4" t="inlineStr">
        <is>
          <t xml:space="preserve">   The Key of Solomon</t>
        </is>
      </c>
      <c r="B48" s="5" t="inlineStr">
        <is>
          <t>SS</t>
        </is>
      </c>
      <c r="C48" s="5" t="inlineStr">
        <is>
          <t>FTH</t>
        </is>
      </c>
      <c r="D48" s="5" t="n"/>
      <c r="E48" s="5" t="n"/>
      <c r="F48" s="9" t="n">
        <v>30</v>
      </c>
      <c r="G48" s="5" t="n"/>
      <c r="H48" s="5" t="n"/>
      <c r="I48" s="5" t="n"/>
      <c r="J48" s="9" t="n">
        <v>15</v>
      </c>
      <c r="K48" s="6" t="inlineStr">
        <is>
          <t>T7f Demon Gene Research</t>
        </is>
      </c>
      <c r="L48" s="4" t="n"/>
      <c r="M48" s="5" t="n"/>
    </row>
    <row r="49">
      <c r="A49" s="4" t="inlineStr">
        <is>
          <t xml:space="preserve">   Edison's Kinetoscope</t>
        </is>
      </c>
      <c r="B49" s="5" t="inlineStr">
        <is>
          <t>S</t>
        </is>
      </c>
      <c r="C49" s="5" t="inlineStr">
        <is>
          <t>TECH</t>
        </is>
      </c>
      <c r="D49" s="9" t="n">
        <v>30</v>
      </c>
      <c r="E49" s="5" t="n"/>
      <c r="F49" s="5" t="n"/>
      <c r="G49" s="5" t="n"/>
      <c r="H49" s="5" t="n"/>
      <c r="I49" s="5" t="n"/>
      <c r="J49" s="5" t="n"/>
      <c r="K49" s="6" t="inlineStr">
        <is>
          <t>Ad Shop</t>
        </is>
      </c>
      <c r="L49" s="4" t="n"/>
      <c r="M49" s="5" t="n"/>
    </row>
    <row r="50">
      <c r="A50" s="4" t="inlineStr">
        <is>
          <t xml:space="preserve">   Venus de Milo</t>
        </is>
      </c>
      <c r="B50" s="5" t="inlineStr">
        <is>
          <t>SS</t>
        </is>
      </c>
      <c r="C50" s="5" t="inlineStr">
        <is>
          <t>ART</t>
        </is>
      </c>
      <c r="D50" s="9" t="n">
        <v>30</v>
      </c>
      <c r="E50" s="5" t="n"/>
      <c r="F50" s="5" t="n"/>
      <c r="G50" s="5" t="n"/>
      <c r="H50" s="5" t="n"/>
      <c r="I50" s="5" t="n"/>
      <c r="J50" s="5" t="n"/>
      <c r="K50" s="6" t="inlineStr">
        <is>
          <t>T7 Angel Gene Research</t>
        </is>
      </c>
      <c r="L50" s="4" t="n"/>
      <c r="M50" s="5" t="n"/>
    </row>
    <row r="51">
      <c r="A51" s="4" t="inlineStr">
        <is>
          <t xml:space="preserve">   The Pieta</t>
        </is>
      </c>
      <c r="B51" s="5" t="inlineStr">
        <is>
          <t>S</t>
        </is>
      </c>
      <c r="C51" s="5" t="inlineStr">
        <is>
          <t>CIV</t>
        </is>
      </c>
      <c r="D51" s="5" t="n"/>
      <c r="E51" s="5" t="n"/>
      <c r="F51" s="5" t="n"/>
      <c r="G51" s="5" t="n"/>
      <c r="H51" s="9" t="n">
        <v>30</v>
      </c>
      <c r="I51" s="5" t="n"/>
      <c r="J51" s="5" t="n"/>
      <c r="K51" s="6" t="inlineStr">
        <is>
          <t>Fragment Crafting (18.8%), Lottery Machine (0.81%), Wishing (0.69%), Relic Forge (90 Relic RF)</t>
        </is>
      </c>
      <c r="L51" s="4" t="n"/>
      <c r="M51" s="5" t="n"/>
    </row>
    <row r="52">
      <c r="A52" s="4" t="inlineStr">
        <is>
          <t xml:space="preserve">   Das Capital</t>
        </is>
      </c>
      <c r="B52" s="5" t="inlineStr">
        <is>
          <t>SS</t>
        </is>
      </c>
      <c r="C52" s="5" t="inlineStr">
        <is>
          <t>CIV</t>
        </is>
      </c>
      <c r="D52" s="5" t="n"/>
      <c r="E52" s="5" t="n"/>
      <c r="F52" s="5" t="n"/>
      <c r="G52" s="5" t="n"/>
      <c r="H52" s="5" t="n"/>
      <c r="I52" s="5" t="n"/>
      <c r="J52" s="9" t="n">
        <v>15</v>
      </c>
      <c r="K52" s="6" t="inlineStr">
        <is>
          <t>Lottery Machine (0.12%), Wishing (0.1%), Britland Treasure Maps (5%), Grandmaster Scrolls (1%), Relic Forge (100 Relic RF), beat Mr. Raccoon in combat</t>
        </is>
      </c>
      <c r="L52" s="4" t="n"/>
      <c r="M52" s="5" t="n"/>
    </row>
    <row r="53">
      <c r="A53" s="4" t="inlineStr">
        <is>
          <t xml:space="preserve">   Devol's Robot</t>
        </is>
      </c>
      <c r="B53" s="5" t="inlineStr">
        <is>
          <t>S</t>
        </is>
      </c>
      <c r="C53" s="5" t="inlineStr">
        <is>
          <t>TECH</t>
        </is>
      </c>
      <c r="D53" s="5" t="n"/>
      <c r="E53" s="5" t="n"/>
      <c r="F53" s="5" t="n"/>
      <c r="G53" s="5" t="n"/>
      <c r="H53" s="5" t="n"/>
      <c r="I53" s="5" t="n"/>
      <c r="J53" s="9" t="n">
        <v>15</v>
      </c>
      <c r="K53" s="6" t="inlineStr">
        <is>
          <t>Fragment Crafting (17.8%), Wishing (0.65%), Ad Chest (3%), Master Scrolls (6.5%), TECH Master Scrolls (31.5%), Relic Forge (90 Relic RF)</t>
        </is>
      </c>
      <c r="L53" s="4" t="n"/>
      <c r="M53" s="5" t="n"/>
    </row>
    <row r="54">
      <c r="A54" s="4" t="inlineStr">
        <is>
          <t xml:space="preserve">   Tetromino</t>
        </is>
      </c>
      <c r="B54" s="5" t="inlineStr">
        <is>
          <t>S</t>
        </is>
      </c>
      <c r="C54" s="8" t="inlineStr">
        <is>
          <t>FAME</t>
        </is>
      </c>
      <c r="D54" s="5" t="n"/>
      <c r="E54" s="5" t="n"/>
      <c r="F54" s="5" t="n"/>
      <c r="G54" s="5" t="n"/>
      <c r="H54" s="5" t="n"/>
      <c r="I54" s="5" t="n"/>
      <c r="J54" s="9" t="n">
        <v>15</v>
      </c>
      <c r="K54" s="6" t="inlineStr">
        <is>
          <t>Fragment Crafting (20.7%), Lottery Machine (0.81%), Wishing (0.75%), Master Scrolls (6.5%), FAME Master Scrolls (31.5%), Relic Forge (90 Relic RF)</t>
        </is>
      </c>
      <c r="L54" s="4" t="n"/>
      <c r="M54" s="5" t="n"/>
    </row>
    <row r="55">
      <c r="A55" s="4" t="inlineStr">
        <is>
          <t xml:space="preserve">   Element R.</t>
        </is>
      </c>
      <c r="B55" s="5" t="inlineStr">
        <is>
          <t>S</t>
        </is>
      </c>
      <c r="C55" s="5" t="inlineStr">
        <is>
          <t>TECH</t>
        </is>
      </c>
      <c r="D55" s="5" t="n"/>
      <c r="E55" s="5" t="n"/>
      <c r="F55" s="5" t="n"/>
      <c r="G55" s="5" t="n"/>
      <c r="H55" s="5" t="n"/>
      <c r="I55" s="5" t="n"/>
      <c r="J55" s="9" t="n">
        <v>15</v>
      </c>
      <c r="K55" s="6" t="inlineStr">
        <is>
          <t>Fragment Crafting (17.8%), Lottery Machine (0.81%), Wishing (0.65%), Relic Forge (90 Relic RF)</t>
        </is>
      </c>
      <c r="L55" s="4" t="n"/>
      <c r="M55" s="5" t="n"/>
    </row>
    <row r="56">
      <c r="A56" s="4" t="inlineStr">
        <is>
          <t xml:space="preserve">   The Thinker</t>
        </is>
      </c>
      <c r="B56" s="5" t="inlineStr">
        <is>
          <t>SS</t>
        </is>
      </c>
      <c r="C56" s="5" t="inlineStr">
        <is>
          <t>ART</t>
        </is>
      </c>
      <c r="D56" s="5" t="n"/>
      <c r="E56" s="5" t="n"/>
      <c r="F56" s="5" t="n"/>
      <c r="G56" s="5" t="n"/>
      <c r="H56" s="5" t="n"/>
      <c r="I56" s="5" t="n"/>
      <c r="J56" s="9" t="n">
        <v>15</v>
      </c>
      <c r="K56" s="6" t="inlineStr">
        <is>
          <t>Fragment Crafting (5.3%), Lottery Machine (0.24%), Wishing (0.2%), Demon God Chest (5%), Master Scrolls (1.9%), Grandmaster Scrolls (2.1%), ART Master Scrolls (10.2%)</t>
        </is>
      </c>
      <c r="L56" s="4" t="n"/>
      <c r="M56" s="5" t="n"/>
    </row>
    <row r="57">
      <c r="A57" s="4" t="inlineStr">
        <is>
          <t xml:space="preserve">   Watt Steam Engine</t>
        </is>
      </c>
      <c r="B57" s="5" t="inlineStr">
        <is>
          <t>SS</t>
        </is>
      </c>
      <c r="C57" s="5" t="inlineStr">
        <is>
          <t>TECH</t>
        </is>
      </c>
      <c r="D57" s="5" t="n"/>
      <c r="E57" s="5" t="n"/>
      <c r="F57" s="9" t="n">
        <v>30</v>
      </c>
      <c r="G57" s="5" t="n"/>
      <c r="H57" s="5" t="n"/>
      <c r="I57" s="5" t="n"/>
      <c r="J57" s="5" t="n"/>
      <c r="K57" s="6" t="inlineStr">
        <is>
          <t>Lottery Machine (0.12%), Wishing (0.1%), Grandmaster Scrolls (1%), Relic Forge (100 Relic RF), Fissure Value Pack II ($49.99), Fissure Value Pack III ($99.99)</t>
        </is>
      </c>
      <c r="L57" s="4" t="n"/>
      <c r="M57" s="5" t="n"/>
    </row>
    <row r="58">
      <c r="A58" s="4" t="inlineStr">
        <is>
          <t xml:space="preserve">   Plato's Republic</t>
        </is>
      </c>
      <c r="B58" s="5" t="inlineStr">
        <is>
          <t>SS</t>
        </is>
      </c>
      <c r="C58" s="5" t="inlineStr">
        <is>
          <t>CIV</t>
        </is>
      </c>
      <c r="D58" s="5" t="n"/>
      <c r="E58" s="5" t="n"/>
      <c r="F58" s="9" t="n">
        <v>30</v>
      </c>
      <c r="G58" s="5" t="n"/>
      <c r="H58" s="5" t="n"/>
      <c r="I58" s="5" t="n"/>
      <c r="J58" s="5" t="n"/>
      <c r="K58" s="6" t="inlineStr">
        <is>
          <t>Lottery Machine (0.12%), Wishing (0.1%), Grandmaster Scrolls (1%), Relic Forge (100 Relic RF)</t>
        </is>
      </c>
      <c r="L58" s="4" t="n"/>
      <c r="M58" s="5" t="n"/>
    </row>
    <row r="59">
      <c r="A59" s="4" t="inlineStr">
        <is>
          <t xml:space="preserve">   Paradise Lost</t>
        </is>
      </c>
      <c r="B59" s="5" t="inlineStr">
        <is>
          <t>S</t>
        </is>
      </c>
      <c r="C59" s="5" t="inlineStr">
        <is>
          <t>CIV</t>
        </is>
      </c>
      <c r="D59" s="5" t="n"/>
      <c r="E59" s="5" t="n"/>
      <c r="F59" s="9" t="n">
        <v>30</v>
      </c>
      <c r="G59" s="5" t="n"/>
      <c r="H59" s="5" t="n"/>
      <c r="I59" s="5" t="n"/>
      <c r="J59" s="5" t="n"/>
      <c r="K59" s="6" t="inlineStr">
        <is>
          <t>Fragment Crafting (18.8%), Lottery Machine (0.81%), Wishing (0.69%), Super Treasure Maps (15%), Master Scrolls (6.5%), CIV Master Scrolls (34.7%), Relic Forge (90 Relic RF)</t>
        </is>
      </c>
      <c r="L59" s="4" t="n"/>
      <c r="M59" s="5" t="n"/>
    </row>
    <row r="60">
      <c r="A60" s="10" t="inlineStr">
        <is>
          <t>MAX QUARRY STAMPS</t>
        </is>
      </c>
      <c r="B60" s="11" t="n"/>
      <c r="C60" s="11" t="n"/>
      <c r="D60" s="12">
        <f>D40+D42+D41</f>
        <v/>
      </c>
      <c r="E60" s="11" t="n"/>
      <c r="F60" s="12">
        <f>F40+F42+F41</f>
        <v/>
      </c>
      <c r="G60" s="11" t="n"/>
      <c r="H60" s="12">
        <f>H40+H42+H41</f>
        <v/>
      </c>
      <c r="I60" s="11" t="n"/>
      <c r="J60" s="12" t="n">
        <v>30</v>
      </c>
      <c r="K60" s="13" t="n"/>
      <c r="L60" s="4" t="n"/>
      <c r="M60" s="5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4" t="n"/>
      <c r="M61" s="5" t="n"/>
    </row>
    <row r="62">
      <c r="A62" s="23" t="inlineStr">
        <is>
          <t>RESONANCE</t>
        </is>
      </c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3" t="n"/>
      <c r="L62" s="4" t="n"/>
      <c r="M62" s="5" t="n"/>
    </row>
    <row r="63">
      <c r="A63" s="4" t="inlineStr">
        <is>
          <t xml:space="preserve">  BLUE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6" t="n"/>
      <c r="L63" s="4" t="n"/>
      <c r="M63" s="5" t="n"/>
    </row>
    <row r="64">
      <c r="A64" s="4" t="inlineStr">
        <is>
          <t xml:space="preserve">    Output</t>
        </is>
      </c>
      <c r="B64" s="5" t="n"/>
      <c r="C64" s="5" t="n"/>
      <c r="D64" s="9" t="n">
        <v>12</v>
      </c>
      <c r="E64" s="5" t="n"/>
      <c r="F64" s="5" t="n"/>
      <c r="G64" s="5" t="n"/>
      <c r="H64" s="5" t="n"/>
      <c r="I64" s="5" t="n"/>
      <c r="J64" s="5" t="n"/>
      <c r="K64" s="6" t="n"/>
      <c r="L64" s="4" t="n"/>
      <c r="M64" s="5" t="n"/>
    </row>
    <row r="65">
      <c r="A65" s="4" t="inlineStr">
        <is>
          <t xml:space="preserve">      Haradic Cube</t>
        </is>
      </c>
      <c r="B65" s="5" t="inlineStr">
        <is>
          <t>Blue</t>
        </is>
      </c>
      <c r="C65" s="5" t="inlineStr">
        <is>
          <t>FTH</t>
        </is>
      </c>
      <c r="D65" s="5" t="n"/>
      <c r="E65" s="5" t="n"/>
      <c r="F65" s="5" t="n"/>
      <c r="G65" s="5" t="n"/>
      <c r="H65" s="5" t="n"/>
      <c r="I65" s="5" t="n"/>
      <c r="J65" s="5" t="n"/>
      <c r="K65" s="6" t="inlineStr">
        <is>
          <t>Lottery Machine (0.03%), Wishing (0.85%)</t>
        </is>
      </c>
      <c r="L65" s="4" t="n"/>
      <c r="M65" s="5" t="n"/>
    </row>
    <row r="66">
      <c r="A66" s="4" t="inlineStr">
        <is>
          <t xml:space="preserve">      Our Lady of Kazan</t>
        </is>
      </c>
      <c r="B66" s="5" t="inlineStr">
        <is>
          <t>Blue</t>
        </is>
      </c>
      <c r="C66" s="5" t="inlineStr">
        <is>
          <t>FTH</t>
        </is>
      </c>
      <c r="D66" s="5" t="n"/>
      <c r="E66" s="5" t="n"/>
      <c r="F66" s="5" t="n"/>
      <c r="G66" s="5" t="n"/>
      <c r="H66" s="5" t="n"/>
      <c r="I66" s="5" t="n"/>
      <c r="J66" s="5" t="n"/>
      <c r="K66" s="6" t="inlineStr">
        <is>
          <t>Lottery Machine (0.36%), Wishing (10.6%), Novice Scrolls (5%)</t>
        </is>
      </c>
      <c r="L66" s="4" t="n"/>
      <c r="M66" s="5" t="n"/>
    </row>
    <row r="67">
      <c r="A67" s="4" t="inlineStr">
        <is>
          <t xml:space="preserve">      Chair of Busby</t>
        </is>
      </c>
      <c r="B67" s="5" t="inlineStr">
        <is>
          <t>Blue</t>
        </is>
      </c>
      <c r="C67" s="5" t="inlineStr">
        <is>
          <t>FTH</t>
        </is>
      </c>
      <c r="D67" s="5" t="n"/>
      <c r="E67" s="5" t="n"/>
      <c r="F67" s="5" t="n"/>
      <c r="G67" s="5" t="n"/>
      <c r="H67" s="5" t="n"/>
      <c r="I67" s="5" t="n"/>
      <c r="J67" s="5" t="n"/>
      <c r="K67" s="6" t="inlineStr">
        <is>
          <t>Lottery Machine (0.03%), Wishing (0.85%)</t>
        </is>
      </c>
      <c r="L67" s="4" t="n"/>
      <c r="M67" s="5" t="n"/>
    </row>
    <row r="68">
      <c r="A68" s="4" t="inlineStr">
        <is>
          <t xml:space="preserve">    Ancient Fossil</t>
        </is>
      </c>
      <c r="B68" s="5" t="n"/>
      <c r="C68" s="5" t="n"/>
      <c r="D68" s="5" t="n"/>
      <c r="E68" s="5" t="n"/>
      <c r="F68" s="5" t="n"/>
      <c r="G68" s="5" t="n"/>
      <c r="H68" s="9" t="n">
        <v>12</v>
      </c>
      <c r="I68" s="5" t="n"/>
      <c r="J68" s="5" t="n"/>
      <c r="K68" s="6" t="n"/>
      <c r="L68" s="4" t="n"/>
      <c r="M68" s="5" t="n"/>
    </row>
    <row r="69">
      <c r="A69" s="4" t="inlineStr">
        <is>
          <t xml:space="preserve">      Peter Pan's Flute</t>
        </is>
      </c>
      <c r="B69" s="5" t="inlineStr">
        <is>
          <t>Blue</t>
        </is>
      </c>
      <c r="C69" s="8" t="inlineStr">
        <is>
          <t>FAME</t>
        </is>
      </c>
      <c r="D69" s="5" t="n"/>
      <c r="E69" s="5" t="n"/>
      <c r="F69" s="5" t="n"/>
      <c r="G69" s="5" t="n"/>
      <c r="H69" s="5" t="n"/>
      <c r="I69" s="5" t="n"/>
      <c r="J69" s="5" t="n"/>
      <c r="K69" s="6" t="inlineStr">
        <is>
          <t>Lottery Machine (0.03%), Wishing (1.2%), Britland Treasure Map (20%), Indigent Nobleman (72K B-tads)</t>
        </is>
      </c>
      <c r="L69" s="4" t="n"/>
      <c r="M69" s="5" t="n"/>
    </row>
    <row r="70">
      <c r="A70" s="4" t="inlineStr">
        <is>
          <t xml:space="preserve">      Spinning Jenny</t>
        </is>
      </c>
      <c r="B70" s="5" t="inlineStr">
        <is>
          <t>Blue</t>
        </is>
      </c>
      <c r="C70" s="5" t="inlineStr">
        <is>
          <t>TECH</t>
        </is>
      </c>
      <c r="D70" s="5" t="n"/>
      <c r="E70" s="5" t="n"/>
      <c r="F70" s="5" t="n"/>
      <c r="G70" s="5" t="n"/>
      <c r="H70" s="5" t="n"/>
      <c r="I70" s="5" t="n"/>
      <c r="J70" s="5" t="n"/>
      <c r="K70" s="6" t="inlineStr">
        <is>
          <t>Lottery Machine (0.36%), Wishing (13.2%), Tool Chest (2%), Novice Scroll (5%)</t>
        </is>
      </c>
      <c r="L70" s="4" t="n"/>
      <c r="M70" s="5" t="n"/>
    </row>
    <row r="71">
      <c r="A71" s="4" t="inlineStr">
        <is>
          <t xml:space="preserve">      Gregor Specimin</t>
        </is>
      </c>
      <c r="B71" s="5" t="inlineStr">
        <is>
          <t>Blue</t>
        </is>
      </c>
      <c r="C71" s="5" t="inlineStr">
        <is>
          <t>ART</t>
        </is>
      </c>
      <c r="D71" s="5" t="n"/>
      <c r="E71" s="5" t="n"/>
      <c r="F71" s="5" t="n"/>
      <c r="G71" s="5" t="n"/>
      <c r="H71" s="5" t="n"/>
      <c r="I71" s="5" t="n"/>
      <c r="J71" s="5" t="n"/>
      <c r="K71" s="6" t="inlineStr">
        <is>
          <t>Lottery Machine (0.03%), Wishing (1.2%), Evolution Chest (2%)</t>
        </is>
      </c>
      <c r="L71" s="4" t="n"/>
      <c r="M71" s="5" t="n"/>
    </row>
    <row r="72">
      <c r="A72" s="4" t="inlineStr">
        <is>
          <t xml:space="preserve">  PURPLE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6" t="n"/>
      <c r="L72" s="4" t="n"/>
      <c r="M72" s="5" t="n"/>
    </row>
    <row r="73">
      <c r="A73" s="4" t="inlineStr">
        <is>
          <t xml:space="preserve">    Output</t>
        </is>
      </c>
      <c r="B73" s="5" t="n"/>
      <c r="C73" s="5" t="n"/>
      <c r="D73" s="9" t="n">
        <v>12</v>
      </c>
      <c r="E73" s="5" t="n"/>
      <c r="F73" s="5" t="n"/>
      <c r="G73" s="5" t="n"/>
      <c r="H73" s="5" t="n"/>
      <c r="I73" s="5" t="n"/>
      <c r="J73" s="5" t="n"/>
      <c r="K73" s="6" t="n"/>
      <c r="L73" s="4" t="n"/>
      <c r="M73" s="5" t="n"/>
    </row>
    <row r="74">
      <c r="A74" s="4" t="inlineStr">
        <is>
          <t xml:space="preserve">      Death of Marat</t>
        </is>
      </c>
      <c r="B74" s="5" t="inlineStr">
        <is>
          <t>AA</t>
        </is>
      </c>
      <c r="C74" s="5" t="inlineStr">
        <is>
          <t>ART</t>
        </is>
      </c>
      <c r="D74" s="5" t="n"/>
      <c r="E74" s="5" t="n"/>
      <c r="F74" s="5" t="n"/>
      <c r="G74" s="5" t="n"/>
      <c r="H74" s="5" t="n"/>
      <c r="I74" s="5" t="n"/>
      <c r="J74" s="5" t="n"/>
      <c r="K74" s="6" t="inlineStr">
        <is>
          <t>Fragment Crafting (3.9%), Lottery Machine (0.08%), Wishing (0.36%), Expert Scrolls (0.95%), Indigent Nobleman (120K B-tads)</t>
        </is>
      </c>
      <c r="L74" s="4" t="n"/>
      <c r="M74" s="5" t="n"/>
    </row>
    <row r="75">
      <c r="A75" s="4" t="inlineStr">
        <is>
          <t xml:space="preserve">      Zoroaster's Torch</t>
        </is>
      </c>
      <c r="B75" s="5" t="inlineStr">
        <is>
          <t>AA</t>
        </is>
      </c>
      <c r="C75" s="5" t="inlineStr">
        <is>
          <t>FTH</t>
        </is>
      </c>
      <c r="D75" s="5" t="n"/>
      <c r="E75" s="5" t="n"/>
      <c r="F75" s="5" t="n"/>
      <c r="G75" s="5" t="n"/>
      <c r="H75" s="5" t="n"/>
      <c r="I75" s="5" t="n"/>
      <c r="J75" s="5" t="n"/>
      <c r="K75" s="6" t="inlineStr">
        <is>
          <t>Fragment Crafting (3.8%), Lottery Machine (0.08%), Wishing (0.35%), Hellas Treasure Maps (%), Expert Scrolls (0.95%)</t>
        </is>
      </c>
      <c r="L75" s="4" t="n"/>
      <c r="M75" s="5" t="n"/>
    </row>
    <row r="76">
      <c r="A76" s="4" t="inlineStr">
        <is>
          <t xml:space="preserve">      Meditations</t>
        </is>
      </c>
      <c r="B76" s="5" t="inlineStr">
        <is>
          <t>A</t>
        </is>
      </c>
      <c r="C76" s="5" t="inlineStr">
        <is>
          <t>CIV</t>
        </is>
      </c>
      <c r="D76" s="5" t="n"/>
      <c r="E76" s="5" t="n"/>
      <c r="F76" s="5" t="n"/>
      <c r="G76" s="5" t="n"/>
      <c r="H76" s="5" t="n"/>
      <c r="I76" s="5" t="n"/>
      <c r="J76" s="5" t="n"/>
      <c r="K76" s="6" t="inlineStr">
        <is>
          <t>Fragment Crafting (29.9%), Lottery Machine (0.66%), Wishing (2.7%), Expert Scrolls (7.6%)</t>
        </is>
      </c>
      <c r="L76" s="4" t="n"/>
      <c r="M76" s="5" t="n"/>
    </row>
    <row r="77">
      <c r="A77" s="4" t="inlineStr">
        <is>
          <t xml:space="preserve">    Ancient Fossil</t>
        </is>
      </c>
      <c r="B77" s="5" t="n"/>
      <c r="C77" s="5" t="n"/>
      <c r="D77" s="5" t="n"/>
      <c r="E77" s="5" t="n"/>
      <c r="F77" s="5" t="n"/>
      <c r="G77" s="5" t="n"/>
      <c r="H77" s="9" t="n">
        <v>12</v>
      </c>
      <c r="I77" s="5" t="n"/>
      <c r="J77" s="5" t="n"/>
      <c r="K77" s="6" t="n"/>
      <c r="L77" s="4" t="n"/>
      <c r="M77" s="5" t="n"/>
    </row>
    <row r="78">
      <c r="A78" s="4" t="inlineStr">
        <is>
          <t xml:space="preserve">      The Scream</t>
        </is>
      </c>
      <c r="B78" s="5" t="inlineStr">
        <is>
          <t>AAA</t>
        </is>
      </c>
      <c r="C78" s="5" t="inlineStr">
        <is>
          <t>ART</t>
        </is>
      </c>
      <c r="D78" s="5" t="n"/>
      <c r="E78" s="5" t="n"/>
      <c r="F78" s="5" t="n"/>
      <c r="G78" s="5" t="n"/>
      <c r="H78" s="5" t="n"/>
      <c r="I78" s="5" t="n"/>
      <c r="J78" s="5" t="n"/>
      <c r="K78" s="6" t="inlineStr">
        <is>
          <t>Fragment Crafting (1.6%), Lottery Machine (0.03%), Wishing (0.14%), Relic Forge (80 Relic RF)</t>
        </is>
      </c>
      <c r="L78" s="4" t="n"/>
      <c r="M78" s="5" t="n"/>
    </row>
    <row r="79">
      <c r="A79" s="4" t="inlineStr">
        <is>
          <t xml:space="preserve">      Guernica</t>
        </is>
      </c>
      <c r="B79" s="5" t="inlineStr">
        <is>
          <t>AAA</t>
        </is>
      </c>
      <c r="C79" s="5" t="inlineStr">
        <is>
          <t>ART</t>
        </is>
      </c>
      <c r="D79" s="5" t="n"/>
      <c r="E79" s="5" t="n"/>
      <c r="F79" s="5" t="n"/>
      <c r="G79" s="5" t="n"/>
      <c r="H79" s="5" t="n"/>
      <c r="I79" s="5" t="n"/>
      <c r="J79" s="5" t="n"/>
      <c r="K79" s="6" t="inlineStr">
        <is>
          <t>Fragment Crafting (1.6%), Lottery Machine (0.03%), Wishing (0.14%), Bharata Treasure Maps (%), Relic Forge (Relic RF 80)</t>
        </is>
      </c>
      <c r="L79" s="4" t="n"/>
      <c r="M79" s="5" t="n"/>
    </row>
    <row r="80">
      <c r="A80" s="4" t="inlineStr">
        <is>
          <t xml:space="preserve">  ORANGE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6" t="n"/>
      <c r="L80" s="4" t="n"/>
      <c r="M80" s="5" t="n"/>
    </row>
    <row r="81">
      <c r="A81" s="4" t="inlineStr">
        <is>
          <t xml:space="preserve">    Output</t>
        </is>
      </c>
      <c r="B81" s="5" t="n"/>
      <c r="C81" s="5" t="n"/>
      <c r="D81" s="9" t="n">
        <v>14</v>
      </c>
      <c r="E81" s="5" t="n"/>
      <c r="F81" s="5" t="n"/>
      <c r="G81" s="5" t="n"/>
      <c r="H81" s="5" t="n"/>
      <c r="I81" s="5" t="n"/>
      <c r="J81" s="5" t="n"/>
      <c r="K81" s="6" t="n"/>
      <c r="L81" s="4" t="n"/>
      <c r="M81" s="5" t="n"/>
    </row>
    <row r="82">
      <c r="A82" s="4" t="inlineStr">
        <is>
          <t xml:space="preserve">      Gaea's Hand</t>
        </is>
      </c>
      <c r="B82" s="5" t="inlineStr">
        <is>
          <t>SSS</t>
        </is>
      </c>
      <c r="C82" s="5" t="inlineStr">
        <is>
          <t>FTH</t>
        </is>
      </c>
      <c r="D82" s="5" t="n"/>
      <c r="E82" s="5" t="n"/>
      <c r="F82" s="5" t="n"/>
      <c r="G82" s="5" t="n"/>
      <c r="H82" s="5" t="n"/>
      <c r="I82" s="5" t="n"/>
      <c r="J82" s="5" t="n"/>
      <c r="K82" s="6" t="inlineStr">
        <is>
          <t>Wish Pack, Lottery Machine (0.09%), Wishing (0.06%), Grandmaster Scrolls (0.81%), Relic Forge (120 Relic RF)</t>
        </is>
      </c>
      <c r="L82" s="4" t="n"/>
      <c r="M82" s="5" t="n"/>
    </row>
    <row r="83">
      <c r="A83" s="4" t="inlineStr">
        <is>
          <t xml:space="preserve">      Unispark</t>
        </is>
      </c>
      <c r="B83" s="5" t="inlineStr">
        <is>
          <t>SSS</t>
        </is>
      </c>
      <c r="C83" s="5" t="inlineStr">
        <is>
          <t>TECH</t>
        </is>
      </c>
      <c r="D83" s="5" t="n"/>
      <c r="E83" s="5" t="n"/>
      <c r="F83" s="5" t="n"/>
      <c r="G83" s="5" t="n"/>
      <c r="H83" s="5" t="n"/>
      <c r="I83" s="5" t="n"/>
      <c r="J83" s="5" t="n"/>
      <c r="K83" s="6" t="inlineStr">
        <is>
          <t>Wishing (0.07%), Koryeo Treasure Map (0.01%), Relic Forge (120 Relic RF), Parama Ex Fight, Unispark Activation Lottery</t>
        </is>
      </c>
      <c r="L83" s="4" t="n"/>
      <c r="M83" s="5" t="n"/>
    </row>
    <row r="84">
      <c r="A84" s="4" t="inlineStr">
        <is>
          <t xml:space="preserve">    Ancient Fossil</t>
        </is>
      </c>
      <c r="B84" s="5" t="n"/>
      <c r="C84" s="5" t="n"/>
      <c r="D84" s="5" t="n"/>
      <c r="E84" s="5" t="n"/>
      <c r="F84" s="5" t="n"/>
      <c r="G84" s="5" t="n"/>
      <c r="H84" s="9" t="n">
        <v>14</v>
      </c>
      <c r="I84" s="5" t="n"/>
      <c r="J84" s="5" t="n"/>
      <c r="K84" s="6" t="n"/>
      <c r="L84" s="4" t="n"/>
      <c r="M84" s="5" t="n"/>
    </row>
    <row r="85">
      <c r="A85" s="4" t="inlineStr">
        <is>
          <t xml:space="preserve">      Iliad &amp; Odyssey</t>
        </is>
      </c>
      <c r="B85" s="5" t="inlineStr">
        <is>
          <t>SSS</t>
        </is>
      </c>
      <c r="C85" s="5" t="inlineStr">
        <is>
          <t>CIV</t>
        </is>
      </c>
      <c r="D85" s="5" t="n"/>
      <c r="E85" s="5" t="n"/>
      <c r="F85" s="5" t="n"/>
      <c r="G85" s="5" t="n"/>
      <c r="H85" s="5" t="n"/>
      <c r="I85" s="5" t="n"/>
      <c r="J85" s="5" t="n"/>
      <c r="K85" s="6" t="inlineStr">
        <is>
          <t>Daily Packs</t>
        </is>
      </c>
      <c r="L85" s="4" t="n"/>
      <c r="M85" s="5" t="n"/>
    </row>
    <row r="86">
      <c r="A86" s="4" t="inlineStr">
        <is>
          <t xml:space="preserve">      Arthur's Roundtable</t>
        </is>
      </c>
      <c r="B86" s="5" t="inlineStr">
        <is>
          <t>SSS</t>
        </is>
      </c>
      <c r="C86" s="5" t="inlineStr">
        <is>
          <t>CIV</t>
        </is>
      </c>
      <c r="D86" s="5" t="n"/>
      <c r="E86" s="5" t="n"/>
      <c r="F86" s="5" t="n"/>
      <c r="G86" s="5" t="n"/>
      <c r="H86" s="5" t="n"/>
      <c r="I86" s="5" t="n"/>
      <c r="J86" s="5" t="n"/>
      <c r="K86" s="6" t="inlineStr">
        <is>
          <t>Unknown</t>
        </is>
      </c>
      <c r="L86" s="4" t="n"/>
      <c r="M86" s="5" t="n"/>
    </row>
    <row r="87">
      <c r="A87" s="10" t="inlineStr">
        <is>
          <t>MAX RESONANCE</t>
        </is>
      </c>
      <c r="B87" s="11" t="n"/>
      <c r="C87" s="11" t="n"/>
      <c r="D87" s="12">
        <f>sum(D64:D86)</f>
        <v/>
      </c>
      <c r="E87" s="11" t="n"/>
      <c r="F87" s="12">
        <f>sum(F64:F86)</f>
        <v/>
      </c>
      <c r="G87" s="11" t="n"/>
      <c r="H87" s="12">
        <f>sum(H64:H86)</f>
        <v/>
      </c>
      <c r="I87" s="11" t="n"/>
      <c r="J87" s="11" t="n"/>
      <c r="K87" s="13" t="n"/>
      <c r="L87" s="4" t="n"/>
      <c r="M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24" t="inlineStr">
        <is>
          <t>Total Stone Output</t>
        </is>
      </c>
      <c r="B90" s="25">
        <f>D14+D17+D20+D28+D31+D37+D60+D87+D34+D23</f>
        <v/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26" t="inlineStr">
        <is>
          <t>Total Stone Cap</t>
        </is>
      </c>
      <c r="B91" s="27">
        <f>F14+F17+F20+F28+F31+F37+F60+F87+F34</f>
        <v/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26" t="inlineStr">
        <is>
          <t>Total Ancient Fossil Gen</t>
        </is>
      </c>
      <c r="B92" s="27">
        <f>H14+H17+H20+H28+H31+H37+H60+H87</f>
        <v/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2026-04-25T21:15:16Z</dcterms:created>
  <dcterms:modified xmlns:dcterms="http://purl.org/dc/terms/" xmlns:xsi="http://www.w3.org/2001/XMLSchema-instance" xsi:type="dcterms:W3CDTF">2026-04-25T21:15:17Z</dcterms:modified>
</cp:coreProperties>
</file>