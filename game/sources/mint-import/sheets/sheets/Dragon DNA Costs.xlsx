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gon DNA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Verdana"/>
      <color theme="1"/>
      <scheme val="minor"/>
    </font>
    <font>
      <name val="Calibri"/>
      <color theme="1"/>
      <sz val="14"/>
    </font>
    <font>
      <name val="Calibri"/>
      <color theme="1"/>
      <sz val="12"/>
    </font>
    <font>
      <name val="Verdana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</fills>
  <borders count="11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2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2" fillId="0" borderId="3" applyAlignment="1" pivotButton="0" quotePrefix="0" xfId="0">
      <alignment vertical="bottom"/>
    </xf>
    <xf numFmtId="0" fontId="2" fillId="0" borderId="4" applyAlignment="1" pivotButton="0" quotePrefix="0" xfId="0">
      <alignment horizontal="right" vertical="bottom"/>
    </xf>
    <xf numFmtId="0" fontId="2" fillId="0" borderId="5" applyAlignment="1" pivotButton="0" quotePrefix="0" xfId="0">
      <alignment horizontal="right" vertical="bottom"/>
    </xf>
    <xf numFmtId="3" fontId="2" fillId="0" borderId="5" applyAlignment="1" pivotButton="0" quotePrefix="0" xfId="0">
      <alignment horizontal="right" vertical="bottom"/>
    </xf>
    <xf numFmtId="0" fontId="2" fillId="0" borderId="5" applyAlignment="1" pivotButton="0" quotePrefix="0" xfId="0">
      <alignment vertical="bottom"/>
    </xf>
    <xf numFmtId="0" fontId="2" fillId="0" borderId="6" applyAlignment="1" pivotButton="0" quotePrefix="0" xfId="0">
      <alignment horizontal="right" vertical="bottom"/>
    </xf>
    <xf numFmtId="0" fontId="2" fillId="0" borderId="7" applyAlignment="1" pivotButton="0" quotePrefix="0" xfId="0">
      <alignment vertical="bottom"/>
    </xf>
    <xf numFmtId="1" fontId="2" fillId="0" borderId="8" applyAlignment="1" pivotButton="0" quotePrefix="0" xfId="0">
      <alignment horizontal="right" vertical="bottom"/>
    </xf>
    <xf numFmtId="3" fontId="2" fillId="0" borderId="8" applyAlignment="1" pivotButton="0" quotePrefix="0" xfId="0">
      <alignment horizontal="right" vertical="bottom"/>
    </xf>
    <xf numFmtId="0" fontId="2" fillId="0" borderId="8" applyAlignment="1" pivotButton="0" quotePrefix="0" xfId="0">
      <alignment vertical="bottom"/>
    </xf>
    <xf numFmtId="3" fontId="2" fillId="0" borderId="9" applyAlignment="1" pivotButton="0" quotePrefix="0" xfId="0">
      <alignment horizontal="right" vertical="bottom"/>
    </xf>
    <xf numFmtId="0" fontId="3" fillId="0" borderId="4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0" fontId="2" fillId="0" borderId="8" applyAlignment="1" pivotButton="0" quotePrefix="0" xfId="0">
      <alignment horizontal="right" vertical="bottom"/>
    </xf>
    <xf numFmtId="0" fontId="2" fillId="2" borderId="1" applyAlignment="1" pivotButton="0" quotePrefix="0" xfId="0">
      <alignment vertical="bottom"/>
    </xf>
    <xf numFmtId="0" fontId="0" fillId="0" borderId="10" pivotButton="0" quotePrefix="0" xfId="0"/>
    <xf numFmtId="0" fontId="2" fillId="2" borderId="2" applyAlignment="1" pivotButton="0" quotePrefix="0" xfId="0">
      <alignment vertical="bottom"/>
    </xf>
    <xf numFmtId="0" fontId="2" fillId="2" borderId="3" applyAlignment="1" pivotButton="0" quotePrefix="0" xfId="0">
      <alignment vertical="bottom"/>
    </xf>
    <xf numFmtId="0" fontId="2" fillId="3" borderId="4" applyAlignment="1" pivotButton="0" quotePrefix="0" xfId="0">
      <alignment horizontal="right" vertical="bottom"/>
    </xf>
    <xf numFmtId="0" fontId="2" fillId="3" borderId="5" applyAlignment="1" pivotButton="0" quotePrefix="0" xfId="0">
      <alignment horizontal="right" vertical="bottom"/>
    </xf>
    <xf numFmtId="3" fontId="2" fillId="3" borderId="5" applyAlignment="1" pivotButton="0" quotePrefix="0" xfId="0">
      <alignment horizontal="right" vertical="bottom"/>
    </xf>
    <xf numFmtId="0" fontId="2" fillId="3" borderId="5" applyAlignment="1" pivotButton="0" quotePrefix="0" xfId="0">
      <alignment vertical="bottom"/>
    </xf>
    <xf numFmtId="0" fontId="2" fillId="3" borderId="6" applyAlignment="1" pivotButton="0" quotePrefix="0" xfId="0">
      <alignment horizontal="right" vertical="bottom"/>
    </xf>
    <xf numFmtId="0" fontId="2" fillId="4" borderId="4" applyAlignment="1" pivotButton="0" quotePrefix="0" xfId="0">
      <alignment horizontal="right" vertical="bottom"/>
    </xf>
    <xf numFmtId="0" fontId="2" fillId="4" borderId="5" applyAlignment="1" pivotButton="0" quotePrefix="0" xfId="0">
      <alignment horizontal="right" vertical="bottom"/>
    </xf>
    <xf numFmtId="3" fontId="2" fillId="4" borderId="5" applyAlignment="1" pivotButton="0" quotePrefix="0" xfId="0">
      <alignment horizontal="right" vertical="bottom"/>
    </xf>
    <xf numFmtId="0" fontId="2" fillId="4" borderId="5" applyAlignment="1" pivotButton="0" quotePrefix="0" xfId="0">
      <alignment vertical="bottom"/>
    </xf>
    <xf numFmtId="0" fontId="2" fillId="4" borderId="6" applyAlignment="1" pivotButton="0" quotePrefix="0" xfId="0">
      <alignment horizontal="right" vertical="bottom"/>
    </xf>
    <xf numFmtId="0" fontId="2" fillId="3" borderId="7" applyAlignment="1" pivotButton="0" quotePrefix="0" xfId="0">
      <alignment vertical="bottom"/>
    </xf>
    <xf numFmtId="1" fontId="2" fillId="3" borderId="8" applyAlignment="1" pivotButton="0" quotePrefix="0" xfId="0">
      <alignment horizontal="right" vertical="bottom"/>
    </xf>
    <xf numFmtId="3" fontId="2" fillId="3" borderId="8" applyAlignment="1" pivotButton="0" quotePrefix="0" xfId="0">
      <alignment horizontal="right" vertical="bottom"/>
    </xf>
    <xf numFmtId="0" fontId="2" fillId="3" borderId="8" applyAlignment="1" pivotButton="0" quotePrefix="0" xfId="0">
      <alignment vertical="bottom"/>
    </xf>
    <xf numFmtId="3" fontId="2" fillId="3" borderId="9" applyAlignment="1" pivotButton="0" quotePrefix="0" xfId="0">
      <alignment horizontal="right" vertical="bottom"/>
    </xf>
    <xf numFmtId="0" fontId="2" fillId="3" borderId="8" applyAlignment="1" pivotButton="0" quotePrefix="0" xfId="0">
      <alignment horizontal="right" vertical="bottom"/>
    </xf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2" fillId="0" borderId="7" applyAlignment="1" pivotButton="0" quotePrefix="0" xfId="0">
      <alignment horizontal="right" vertical="bottom"/>
    </xf>
    <xf numFmtId="0" fontId="2" fillId="0" borderId="9" applyAlignment="1" pivotButton="0" quotePrefix="0" xfId="0">
      <alignment horizontal="right" vertical="bottom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pivotButton="0" quotePrefix="0" xfId="0"/>
    <xf numFmtId="1" fontId="1" fillId="0" borderId="5" pivotButton="0" quotePrefix="0" xfId="0"/>
    <xf numFmtId="1" fontId="1" fillId="0" borderId="6" pivotButton="0" quotePrefix="0" xfId="0"/>
    <xf numFmtId="0" fontId="1" fillId="0" borderId="5" pivotButton="0" quotePrefix="0" xfId="0"/>
    <xf numFmtId="164" fontId="1" fillId="0" borderId="5" pivotButton="0" quotePrefix="0" xfId="0"/>
    <xf numFmtId="164" fontId="1" fillId="0" borderId="6" pivotButton="0" quotePrefix="0" xfId="0"/>
    <xf numFmtId="3" fontId="1" fillId="0" borderId="5" pivotButton="0" quotePrefix="0" xfId="0"/>
    <xf numFmtId="3" fontId="1" fillId="0" borderId="6" pivotButton="0" quotePrefix="0" xfId="0"/>
    <xf numFmtId="3" fontId="1" fillId="0" borderId="8" pivotButton="0" quotePrefix="0" xfId="0"/>
    <xf numFmtId="3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7"/>
  <sheetViews>
    <sheetView workbookViewId="0">
      <selection activeCell="A1" sqref="A1"/>
    </sheetView>
  </sheetViews>
  <sheetFormatPr baseColWidth="8" defaultRowHeight="15"/>
  <cols>
    <col width="11.73" customWidth="1" min="1" max="1"/>
    <col width="8.27" customWidth="1" min="2" max="2"/>
    <col width="7.73" customWidth="1" min="3" max="3"/>
    <col width="8.359999999999999" customWidth="1" min="4" max="4"/>
    <col width="7.64" customWidth="1" min="5" max="5"/>
    <col width="23.27" customWidth="1" min="6" max="6"/>
    <col width="8.449999999999999" customWidth="1" min="7" max="7"/>
    <col width="16.18" customWidth="1" min="8" max="8"/>
    <col width="11.55" customWidth="1" min="9" max="9"/>
    <col width="23.55" customWidth="1" min="14" max="14"/>
    <col width="11.45" customWidth="1" min="17" max="17"/>
    <col width="24" customWidth="1" min="22" max="22"/>
  </cols>
  <sheetData>
    <row r="1">
      <c r="A1" s="1" t="inlineStr">
        <is>
          <t>T5 -&gt; T6 Research</t>
        </is>
      </c>
      <c r="B1" s="2" t="n"/>
      <c r="C1" s="2" t="n"/>
      <c r="D1" s="2" t="n"/>
      <c r="E1" s="2" t="n"/>
      <c r="F1" s="2" t="n"/>
      <c r="G1" s="3" t="n"/>
      <c r="I1" s="1" t="inlineStr">
        <is>
          <t>T6 -&gt; T7 Research</t>
        </is>
      </c>
      <c r="J1" s="2" t="n"/>
      <c r="K1" s="2" t="n"/>
      <c r="L1" s="2" t="n"/>
      <c r="M1" s="2" t="n"/>
      <c r="N1" s="2" t="n"/>
      <c r="O1" s="3" t="n"/>
      <c r="Q1" s="1" t="inlineStr">
        <is>
          <t>T7 -&gt; T8 Research</t>
        </is>
      </c>
      <c r="R1" s="2" t="n"/>
      <c r="S1" s="2" t="n"/>
      <c r="T1" s="2" t="n"/>
      <c r="U1" s="2" t="n"/>
      <c r="V1" s="2" t="n"/>
      <c r="W1" s="3" t="n"/>
    </row>
    <row r="2">
      <c r="A2" s="4" t="inlineStr">
        <is>
          <t>1A - HP Up III</t>
        </is>
      </c>
      <c r="B2" s="5" t="inlineStr">
        <is>
          <t>Time</t>
        </is>
      </c>
      <c r="C2" s="5" t="inlineStr">
        <is>
          <t>Zombie</t>
        </is>
      </c>
      <c r="D2" s="5" t="inlineStr">
        <is>
          <t>Demon</t>
        </is>
      </c>
      <c r="E2" s="5" t="inlineStr">
        <is>
          <t>Btads</t>
        </is>
      </c>
      <c r="F2" s="5" t="n"/>
      <c r="G2" s="6" t="inlineStr">
        <is>
          <t>DNA Points</t>
        </is>
      </c>
      <c r="I2" s="4" t="inlineStr">
        <is>
          <t>1A - Troop DEF Up III</t>
        </is>
      </c>
      <c r="J2" s="5" t="inlineStr">
        <is>
          <t>Time (hours)</t>
        </is>
      </c>
      <c r="K2" s="5" t="inlineStr">
        <is>
          <t>Zombie</t>
        </is>
      </c>
      <c r="L2" s="5" t="inlineStr">
        <is>
          <t>Demon</t>
        </is>
      </c>
      <c r="M2" s="5" t="inlineStr">
        <is>
          <t>Btads</t>
        </is>
      </c>
      <c r="N2" s="5" t="n"/>
      <c r="O2" s="6" t="inlineStr">
        <is>
          <t>DNA Points</t>
        </is>
      </c>
      <c r="Q2" s="4" t="inlineStr">
        <is>
          <t>1A - HP Up IV</t>
        </is>
      </c>
      <c r="R2" s="5" t="inlineStr">
        <is>
          <t>Time (days)</t>
        </is>
      </c>
      <c r="S2" s="5" t="inlineStr">
        <is>
          <t>Zombie</t>
        </is>
      </c>
      <c r="T2" s="5" t="inlineStr">
        <is>
          <t>Demon</t>
        </is>
      </c>
      <c r="U2" s="5" t="inlineStr">
        <is>
          <t>Btads</t>
        </is>
      </c>
      <c r="V2" s="5" t="n"/>
      <c r="W2" s="6" t="inlineStr">
        <is>
          <t>DNA Points</t>
        </is>
      </c>
    </row>
    <row r="3">
      <c r="A3" s="7" t="n">
        <v>1</v>
      </c>
      <c r="B3" s="8" t="n">
        <v>6</v>
      </c>
      <c r="C3" s="9" t="n">
        <v>8100</v>
      </c>
      <c r="D3" s="9" t="n">
        <v>5400</v>
      </c>
      <c r="E3" s="9" t="n">
        <v>10000</v>
      </c>
      <c r="F3" s="10" t="inlineStr">
        <is>
          <t>Snail HP +60</t>
        </is>
      </c>
      <c r="G3" s="11" t="n">
        <v>80</v>
      </c>
      <c r="I3" s="7" t="n">
        <v>1</v>
      </c>
      <c r="J3" s="8" t="n">
        <v>12</v>
      </c>
      <c r="K3" s="9" t="n">
        <v>17000</v>
      </c>
      <c r="L3" s="9" t="n">
        <v>11000</v>
      </c>
      <c r="M3" s="9" t="n">
        <v>50000</v>
      </c>
      <c r="N3" s="10" t="inlineStr">
        <is>
          <t>Per 30 Minions, Troop DEF +9</t>
        </is>
      </c>
      <c r="O3" s="11" t="n">
        <v>120</v>
      </c>
      <c r="Q3" s="7" t="n">
        <v>1</v>
      </c>
      <c r="R3" s="8" t="n">
        <v>2</v>
      </c>
      <c r="S3" s="9" t="n">
        <v>45000</v>
      </c>
      <c r="T3" s="9" t="n">
        <v>30000</v>
      </c>
      <c r="U3" s="9" t="n">
        <v>200000</v>
      </c>
      <c r="V3" s="10" t="inlineStr">
        <is>
          <t>Snail HP +180</t>
        </is>
      </c>
      <c r="W3" s="11" t="n">
        <v>200</v>
      </c>
    </row>
    <row r="4">
      <c r="A4" s="7" t="n">
        <v>2</v>
      </c>
      <c r="B4" s="8" t="n">
        <v>9</v>
      </c>
      <c r="C4" s="9" t="n">
        <v>10000</v>
      </c>
      <c r="D4" s="9" t="n">
        <v>6700</v>
      </c>
      <c r="E4" s="9" t="n">
        <v>12500</v>
      </c>
      <c r="F4" s="10" t="inlineStr">
        <is>
          <t>Snail HP +140</t>
        </is>
      </c>
      <c r="G4" s="11" t="n">
        <v>120</v>
      </c>
      <c r="I4" s="7" t="n">
        <v>2</v>
      </c>
      <c r="J4" s="8" t="n">
        <v>20</v>
      </c>
      <c r="K4" s="9" t="n">
        <v>21000</v>
      </c>
      <c r="L4" s="9" t="n">
        <v>14000</v>
      </c>
      <c r="M4" s="9" t="n">
        <v>62500</v>
      </c>
      <c r="N4" s="10" t="inlineStr">
        <is>
          <t>Per 30 Minions, Troop DEF +18</t>
        </is>
      </c>
      <c r="O4" s="11" t="n">
        <v>180</v>
      </c>
      <c r="Q4" s="7" t="n">
        <v>2</v>
      </c>
      <c r="R4" s="8" t="n">
        <v>3</v>
      </c>
      <c r="S4" s="9" t="n">
        <v>56000</v>
      </c>
      <c r="T4" s="9" t="n">
        <v>37000</v>
      </c>
      <c r="U4" s="9" t="n">
        <v>250000</v>
      </c>
      <c r="V4" s="10" t="inlineStr">
        <is>
          <t>Snail HP +390</t>
        </is>
      </c>
      <c r="W4" s="11" t="n">
        <v>300</v>
      </c>
    </row>
    <row r="5">
      <c r="A5" s="7" t="n">
        <v>3</v>
      </c>
      <c r="B5" s="8" t="n">
        <v>12</v>
      </c>
      <c r="C5" s="9" t="n">
        <v>12000</v>
      </c>
      <c r="D5" s="9" t="n">
        <v>8100</v>
      </c>
      <c r="E5" s="9" t="n">
        <v>15000</v>
      </c>
      <c r="F5" s="10" t="inlineStr">
        <is>
          <t>Snail HP +240</t>
        </is>
      </c>
      <c r="G5" s="11" t="n">
        <v>160</v>
      </c>
      <c r="I5" s="7" t="n">
        <v>3</v>
      </c>
      <c r="J5" s="8" t="n">
        <v>28</v>
      </c>
      <c r="K5" s="9" t="n">
        <v>25000</v>
      </c>
      <c r="L5" s="9" t="n">
        <v>17000</v>
      </c>
      <c r="M5" s="9" t="n">
        <v>75000</v>
      </c>
      <c r="N5" s="10" t="inlineStr">
        <is>
          <t>Per 30 Minions, Troop DEF +27</t>
        </is>
      </c>
      <c r="O5" s="11" t="n">
        <v>240</v>
      </c>
      <c r="Q5" s="7" t="n">
        <v>3</v>
      </c>
      <c r="R5" s="8" t="n">
        <v>4</v>
      </c>
      <c r="S5" s="9" t="n">
        <v>67000</v>
      </c>
      <c r="T5" s="9" t="n">
        <v>45000</v>
      </c>
      <c r="U5" s="9" t="n">
        <v>300000</v>
      </c>
      <c r="V5" s="10" t="inlineStr">
        <is>
          <t>Snail HP +630</t>
        </is>
      </c>
      <c r="W5" s="11" t="n">
        <v>400</v>
      </c>
    </row>
    <row r="6">
      <c r="A6" s="7" t="n">
        <v>4</v>
      </c>
      <c r="B6" s="8" t="n">
        <v>15</v>
      </c>
      <c r="C6" s="9" t="n">
        <v>14000</v>
      </c>
      <c r="D6" s="9" t="n">
        <v>9400</v>
      </c>
      <c r="E6" s="9" t="n">
        <v>17500</v>
      </c>
      <c r="F6" s="10" t="inlineStr">
        <is>
          <t>Snail HP +360</t>
        </is>
      </c>
      <c r="G6" s="11" t="n">
        <v>200</v>
      </c>
      <c r="I6" s="7" t="n">
        <v>4</v>
      </c>
      <c r="J6" s="8" t="n">
        <v>36</v>
      </c>
      <c r="K6" s="9" t="n">
        <v>29000</v>
      </c>
      <c r="L6" s="9" t="n">
        <v>19000</v>
      </c>
      <c r="M6" s="9" t="n">
        <v>87500</v>
      </c>
      <c r="N6" s="10" t="inlineStr">
        <is>
          <t>Per 30 Minions, Troop DEF +36</t>
        </is>
      </c>
      <c r="O6" s="11" t="n">
        <v>300</v>
      </c>
      <c r="Q6" s="7" t="n">
        <v>4</v>
      </c>
      <c r="R6" s="8" t="n">
        <v>5</v>
      </c>
      <c r="S6" s="9" t="n">
        <v>78000</v>
      </c>
      <c r="T6" s="9" t="n">
        <v>52000</v>
      </c>
      <c r="U6" s="9" t="n">
        <v>350000</v>
      </c>
      <c r="V6" s="10" t="inlineStr">
        <is>
          <t>Snail HP +900</t>
        </is>
      </c>
      <c r="W6" s="11" t="n">
        <v>500</v>
      </c>
    </row>
    <row r="7">
      <c r="A7" s="7" t="n">
        <v>5</v>
      </c>
      <c r="B7" s="8" t="n">
        <v>18</v>
      </c>
      <c r="C7" s="9" t="n">
        <v>16000</v>
      </c>
      <c r="D7" s="9" t="n">
        <v>10000</v>
      </c>
      <c r="E7" s="9" t="n">
        <v>20000</v>
      </c>
      <c r="F7" s="10" t="inlineStr">
        <is>
          <t>Snail HP +500</t>
        </is>
      </c>
      <c r="G7" s="11" t="n">
        <v>240</v>
      </c>
      <c r="I7" s="7" t="n">
        <v>5</v>
      </c>
      <c r="J7" s="8" t="n">
        <v>44</v>
      </c>
      <c r="K7" s="9" t="n">
        <v>34000</v>
      </c>
      <c r="L7" s="9" t="n">
        <v>22000</v>
      </c>
      <c r="M7" s="9" t="n">
        <v>100000</v>
      </c>
      <c r="N7" s="10" t="inlineStr">
        <is>
          <t>Per 30 Minions, Troop DEF +45</t>
        </is>
      </c>
      <c r="O7" s="11" t="n">
        <v>360</v>
      </c>
      <c r="Q7" s="7" t="n">
        <v>5</v>
      </c>
      <c r="R7" s="8" t="n">
        <v>6</v>
      </c>
      <c r="S7" s="9" t="n">
        <v>90000</v>
      </c>
      <c r="T7" s="9" t="n">
        <v>60000</v>
      </c>
      <c r="U7" s="9" t="n">
        <v>400000</v>
      </c>
      <c r="V7" s="10" t="inlineStr">
        <is>
          <t>Snail HP +1200</t>
        </is>
      </c>
      <c r="W7" s="11" t="n">
        <v>600</v>
      </c>
    </row>
    <row r="8">
      <c r="A8" s="7" t="n">
        <v>6</v>
      </c>
      <c r="B8" s="8" t="n">
        <v>21</v>
      </c>
      <c r="C8" s="9" t="n">
        <v>18000</v>
      </c>
      <c r="D8" s="9" t="n">
        <v>12000</v>
      </c>
      <c r="E8" s="9" t="n">
        <v>22500</v>
      </c>
      <c r="F8" s="10" t="inlineStr">
        <is>
          <t>Snail HP +660</t>
        </is>
      </c>
      <c r="G8" s="11" t="n">
        <v>280</v>
      </c>
      <c r="I8" s="7" t="n">
        <v>6</v>
      </c>
      <c r="J8" s="8" t="n">
        <v>52</v>
      </c>
      <c r="K8" s="9" t="n">
        <v>38000</v>
      </c>
      <c r="L8" s="9" t="n">
        <v>25000</v>
      </c>
      <c r="M8" s="9" t="n">
        <v>112500</v>
      </c>
      <c r="N8" s="10" t="inlineStr">
        <is>
          <t>Per 30 Minions, Troop DEF +54</t>
        </is>
      </c>
      <c r="O8" s="11" t="n">
        <v>420</v>
      </c>
      <c r="Q8" s="7" t="n">
        <v>6</v>
      </c>
      <c r="R8" s="8" t="n">
        <v>7</v>
      </c>
      <c r="S8" s="9" t="n">
        <v>100000</v>
      </c>
      <c r="T8" s="9" t="n">
        <v>67000</v>
      </c>
      <c r="U8" s="9" t="n">
        <v>450000</v>
      </c>
      <c r="V8" s="10" t="inlineStr">
        <is>
          <t>Snail HP +1530</t>
        </is>
      </c>
      <c r="W8" s="11" t="n">
        <v>700</v>
      </c>
    </row>
    <row r="9">
      <c r="A9" s="7" t="n">
        <v>7</v>
      </c>
      <c r="B9" s="8" t="n">
        <v>24</v>
      </c>
      <c r="C9" s="9" t="n">
        <v>20000</v>
      </c>
      <c r="D9" s="9" t="n">
        <v>13000</v>
      </c>
      <c r="E9" s="9" t="n">
        <v>25000</v>
      </c>
      <c r="F9" s="10" t="inlineStr">
        <is>
          <t>Snail HP +840</t>
        </is>
      </c>
      <c r="G9" s="11" t="n">
        <v>320</v>
      </c>
      <c r="I9" s="7" t="n">
        <v>7</v>
      </c>
      <c r="J9" s="8" t="n">
        <v>60</v>
      </c>
      <c r="K9" s="9" t="n">
        <v>42000</v>
      </c>
      <c r="L9" s="9" t="n">
        <v>28000</v>
      </c>
      <c r="M9" s="9" t="n">
        <v>125000</v>
      </c>
      <c r="N9" s="10" t="inlineStr">
        <is>
          <t>Per 30 Minions, Troop DEF +63</t>
        </is>
      </c>
      <c r="O9" s="11" t="n">
        <v>480</v>
      </c>
      <c r="Q9" s="7" t="n">
        <v>7</v>
      </c>
      <c r="R9" s="8" t="n">
        <v>8</v>
      </c>
      <c r="S9" s="9" t="n">
        <v>110000</v>
      </c>
      <c r="T9" s="9" t="n">
        <v>75000</v>
      </c>
      <c r="U9" s="9" t="n">
        <v>500000</v>
      </c>
      <c r="V9" s="10" t="inlineStr">
        <is>
          <t>Snail HP +1890</t>
        </is>
      </c>
      <c r="W9" s="11" t="n">
        <v>800</v>
      </c>
    </row>
    <row r="10">
      <c r="A10" s="7" t="n">
        <v>8</v>
      </c>
      <c r="B10" s="8" t="n">
        <v>27</v>
      </c>
      <c r="C10" s="9" t="n">
        <v>22000</v>
      </c>
      <c r="D10" s="9" t="n">
        <v>14000</v>
      </c>
      <c r="E10" s="9" t="n">
        <v>25000</v>
      </c>
      <c r="F10" s="10" t="inlineStr">
        <is>
          <t>Snail HP +1,040</t>
        </is>
      </c>
      <c r="G10" s="11" t="n">
        <v>360</v>
      </c>
      <c r="I10" s="7" t="n">
        <v>8</v>
      </c>
      <c r="J10" s="8" t="n">
        <v>68</v>
      </c>
      <c r="K10" s="9" t="n">
        <v>47000</v>
      </c>
      <c r="L10" s="9" t="n">
        <v>31000</v>
      </c>
      <c r="M10" s="9" t="n">
        <v>137500</v>
      </c>
      <c r="N10" s="10" t="inlineStr">
        <is>
          <t>Per 30 Minions, Troop DEF +72</t>
        </is>
      </c>
      <c r="O10" s="11" t="n">
        <v>540</v>
      </c>
      <c r="Q10" s="7" t="n">
        <v>8</v>
      </c>
      <c r="R10" s="8" t="n">
        <v>9</v>
      </c>
      <c r="S10" s="9" t="n">
        <v>120000</v>
      </c>
      <c r="T10" s="9" t="n">
        <v>82000</v>
      </c>
      <c r="U10" s="9" t="n">
        <v>550000</v>
      </c>
      <c r="V10" s="10" t="inlineStr">
        <is>
          <t>Snail HP +2280</t>
        </is>
      </c>
      <c r="W10" s="11" t="n">
        <v>900</v>
      </c>
    </row>
    <row r="11">
      <c r="A11" s="7" t="n">
        <v>9</v>
      </c>
      <c r="B11" s="8" t="n">
        <v>30</v>
      </c>
      <c r="C11" s="9" t="n">
        <v>24000</v>
      </c>
      <c r="D11" s="9" t="n">
        <v>16000</v>
      </c>
      <c r="E11" s="9" t="n">
        <v>30000</v>
      </c>
      <c r="F11" s="10" t="inlineStr">
        <is>
          <t>Snail HP +1,260</t>
        </is>
      </c>
      <c r="G11" s="11" t="n">
        <v>400</v>
      </c>
      <c r="I11" s="7" t="n">
        <v>9</v>
      </c>
      <c r="J11" s="8" t="n">
        <v>76</v>
      </c>
      <c r="K11" s="9" t="n">
        <v>51000</v>
      </c>
      <c r="L11" s="9" t="n">
        <v>34000</v>
      </c>
      <c r="M11" s="9" t="n">
        <v>150000</v>
      </c>
      <c r="N11" s="10" t="inlineStr">
        <is>
          <t>Per 30 Minions, Troop DEF +81</t>
        </is>
      </c>
      <c r="O11" s="11" t="n">
        <v>600</v>
      </c>
      <c r="Q11" s="7" t="n">
        <v>9</v>
      </c>
      <c r="R11" s="8" t="n">
        <v>10</v>
      </c>
      <c r="S11" s="9" t="n">
        <v>130000</v>
      </c>
      <c r="T11" s="9" t="n">
        <v>90000</v>
      </c>
      <c r="U11" s="9" t="n">
        <v>600000</v>
      </c>
      <c r="V11" s="10" t="inlineStr">
        <is>
          <t>Snail HP +2700</t>
        </is>
      </c>
      <c r="W11" s="11" t="n">
        <v>1000</v>
      </c>
    </row>
    <row r="12">
      <c r="A12" s="7" t="n">
        <v>10</v>
      </c>
      <c r="B12" s="8" t="n">
        <v>33</v>
      </c>
      <c r="C12" s="9" t="n">
        <v>26000</v>
      </c>
      <c r="D12" s="9" t="n">
        <v>17000</v>
      </c>
      <c r="E12" s="9" t="n">
        <v>32500</v>
      </c>
      <c r="F12" s="10" t="inlineStr">
        <is>
          <t>Snail HP +1,500</t>
        </is>
      </c>
      <c r="G12" s="11" t="n">
        <v>440</v>
      </c>
      <c r="I12" s="7" t="n">
        <v>10</v>
      </c>
      <c r="J12" s="8" t="n">
        <v>84</v>
      </c>
      <c r="K12" s="9" t="n">
        <v>55000</v>
      </c>
      <c r="L12" s="9" t="n">
        <v>37000</v>
      </c>
      <c r="M12" s="9" t="n">
        <v>162500</v>
      </c>
      <c r="N12" s="10" t="inlineStr">
        <is>
          <t>Per 30 Minions, Troop DEF +90</t>
        </is>
      </c>
      <c r="O12" s="11" t="n">
        <v>660</v>
      </c>
      <c r="Q12" s="7" t="n">
        <v>10</v>
      </c>
      <c r="R12" s="8" t="n">
        <v>11</v>
      </c>
      <c r="S12" s="9" t="n">
        <v>140000</v>
      </c>
      <c r="T12" s="9" t="n">
        <v>97000</v>
      </c>
      <c r="U12" s="9" t="n">
        <v>650000</v>
      </c>
      <c r="V12" s="10" t="inlineStr">
        <is>
          <t>Snail HP +3150</t>
        </is>
      </c>
      <c r="W12" s="11" t="n">
        <v>1100</v>
      </c>
    </row>
    <row r="13">
      <c r="A13" s="12" t="inlineStr">
        <is>
          <t>Total</t>
        </is>
      </c>
      <c r="B13" s="13">
        <f>SUM(B3:B12)</f>
        <v/>
      </c>
      <c r="C13" s="14">
        <f>SUM(C3:C12)</f>
        <v/>
      </c>
      <c r="D13" s="14">
        <f>SUM(D3:D12)</f>
        <v/>
      </c>
      <c r="E13" s="14">
        <f>SUM(E3:E12)</f>
        <v/>
      </c>
      <c r="F13" s="15" t="n"/>
      <c r="G13" s="16">
        <f>SUM(G3:G12)</f>
        <v/>
      </c>
      <c r="I13" s="12" t="inlineStr">
        <is>
          <t>Total</t>
        </is>
      </c>
      <c r="J13" s="13">
        <f>SUM(J3:J12)</f>
        <v/>
      </c>
      <c r="K13" s="14">
        <f>SUM(K3:K12)</f>
        <v/>
      </c>
      <c r="L13" s="14">
        <f>SUM(L3:L12)</f>
        <v/>
      </c>
      <c r="M13" s="14">
        <f>SUM(M3:M12)</f>
        <v/>
      </c>
      <c r="N13" s="15" t="n"/>
      <c r="O13" s="16">
        <f>SUM(O3:O12)</f>
        <v/>
      </c>
      <c r="Q13" s="12" t="inlineStr">
        <is>
          <t>Total</t>
        </is>
      </c>
      <c r="R13" s="13">
        <f>SUM(R3:R12)</f>
        <v/>
      </c>
      <c r="S13" s="14">
        <f>SUM(S3:S12)</f>
        <v/>
      </c>
      <c r="T13" s="14">
        <f>SUM(T3:T12)</f>
        <v/>
      </c>
      <c r="U13" s="14">
        <f>SUM(U3:U12)</f>
        <v/>
      </c>
      <c r="V13" s="15" t="n"/>
      <c r="W13" s="16">
        <f>SUM(W3:W12)</f>
        <v/>
      </c>
    </row>
    <row r="14">
      <c r="A14" s="17" t="n"/>
      <c r="B14" s="18" t="n"/>
      <c r="C14" s="18" t="n"/>
      <c r="D14" s="18" t="n"/>
      <c r="E14" s="18" t="n"/>
      <c r="F14" s="18" t="n"/>
      <c r="G14" s="19" t="n"/>
      <c r="I14" s="17" t="n"/>
      <c r="J14" s="18" t="n"/>
      <c r="K14" s="18" t="n"/>
      <c r="L14" s="18" t="n"/>
      <c r="M14" s="18" t="n"/>
      <c r="N14" s="18" t="n"/>
      <c r="O14" s="19" t="n"/>
      <c r="Q14" s="17" t="n"/>
      <c r="R14" s="18" t="n"/>
      <c r="S14" s="18" t="n"/>
      <c r="T14" s="18" t="n"/>
      <c r="U14" s="18" t="n"/>
      <c r="V14" s="18" t="n"/>
      <c r="W14" s="19" t="n"/>
    </row>
    <row r="15">
      <c r="A15" s="20" t="n"/>
      <c r="B15" s="10" t="n"/>
      <c r="C15" s="10" t="n"/>
      <c r="D15" s="10" t="n"/>
      <c r="E15" s="10" t="n"/>
      <c r="F15" s="10" t="n"/>
      <c r="G15" s="21" t="n"/>
      <c r="I15" s="20" t="n"/>
      <c r="J15" s="10" t="n"/>
      <c r="K15" s="10" t="n"/>
      <c r="L15" s="10" t="n"/>
      <c r="M15" s="10" t="n"/>
      <c r="N15" s="10" t="n"/>
      <c r="O15" s="21" t="n"/>
      <c r="Q15" s="20" t="n"/>
      <c r="R15" s="10" t="n"/>
      <c r="S15" s="10" t="n"/>
      <c r="T15" s="10" t="n"/>
      <c r="U15" s="10" t="n"/>
      <c r="V15" s="10" t="n"/>
      <c r="W15" s="21" t="n"/>
    </row>
    <row r="16">
      <c r="A16" s="4" t="inlineStr">
        <is>
          <t>1B - ATK Up III</t>
        </is>
      </c>
      <c r="B16" s="5" t="n"/>
      <c r="C16" s="5" t="inlineStr">
        <is>
          <t>Angel</t>
        </is>
      </c>
      <c r="D16" s="5" t="inlineStr">
        <is>
          <t>Mutant</t>
        </is>
      </c>
      <c r="E16" s="5" t="inlineStr">
        <is>
          <t>Btads</t>
        </is>
      </c>
      <c r="F16" s="5" t="n"/>
      <c r="G16" s="6" t="inlineStr">
        <is>
          <t>DNA Points</t>
        </is>
      </c>
      <c r="I16" s="4" t="inlineStr">
        <is>
          <t>1B - Troop RUSH Up III</t>
        </is>
      </c>
      <c r="J16" s="5" t="n"/>
      <c r="K16" s="5" t="inlineStr">
        <is>
          <t>Angel</t>
        </is>
      </c>
      <c r="L16" s="5" t="inlineStr">
        <is>
          <t>Mutant</t>
        </is>
      </c>
      <c r="M16" s="5" t="inlineStr">
        <is>
          <t>Btads</t>
        </is>
      </c>
      <c r="N16" s="5" t="n"/>
      <c r="O16" s="6" t="n"/>
      <c r="Q16" s="4" t="inlineStr">
        <is>
          <t>1B - ATK Up IV</t>
        </is>
      </c>
      <c r="R16" s="5" t="n"/>
      <c r="S16" s="5" t="inlineStr">
        <is>
          <t>Angel</t>
        </is>
      </c>
      <c r="T16" s="5" t="inlineStr">
        <is>
          <t>Mutant</t>
        </is>
      </c>
      <c r="U16" s="5" t="n"/>
      <c r="V16" s="5" t="n"/>
      <c r="W16" s="6" t="n"/>
    </row>
    <row r="17">
      <c r="A17" s="7" t="n">
        <v>1</v>
      </c>
      <c r="B17" s="8" t="n">
        <v>8</v>
      </c>
      <c r="C17" s="9" t="n">
        <v>10000</v>
      </c>
      <c r="D17" s="9" t="n">
        <v>5400</v>
      </c>
      <c r="E17" s="9" t="n">
        <v>15000</v>
      </c>
      <c r="F17" s="10" t="inlineStr">
        <is>
          <t>Snail ATK +12</t>
        </is>
      </c>
      <c r="G17" s="11" t="n">
        <v>90</v>
      </c>
      <c r="I17" s="7" t="n">
        <v>1</v>
      </c>
      <c r="J17" s="8" t="n">
        <v>15</v>
      </c>
      <c r="K17" s="9" t="n">
        <v>22000</v>
      </c>
      <c r="L17" s="9" t="n">
        <v>11000</v>
      </c>
      <c r="M17" s="9" t="n">
        <v>60000</v>
      </c>
      <c r="N17" s="10" t="inlineStr">
        <is>
          <t>Per 30 Minions, Troop RUSH +9</t>
        </is>
      </c>
      <c r="O17" s="11" t="n">
        <v>140</v>
      </c>
      <c r="Q17" s="7" t="n">
        <v>1</v>
      </c>
      <c r="R17" s="8" t="n">
        <v>4</v>
      </c>
      <c r="S17" s="9" t="n">
        <v>63000</v>
      </c>
      <c r="T17" s="9" t="n">
        <v>30000</v>
      </c>
      <c r="U17" s="9" t="n">
        <v>320000</v>
      </c>
      <c r="V17" s="10" t="inlineStr">
        <is>
          <t>Snail ATK +36</t>
        </is>
      </c>
      <c r="W17" s="11" t="n">
        <v>240</v>
      </c>
    </row>
    <row r="18">
      <c r="A18" s="7" t="n">
        <v>2</v>
      </c>
      <c r="B18" s="8" t="n">
        <v>12</v>
      </c>
      <c r="C18" s="9" t="n">
        <v>13000</v>
      </c>
      <c r="D18" s="9" t="n">
        <v>6700</v>
      </c>
      <c r="E18" s="9" t="n">
        <v>18750</v>
      </c>
      <c r="F18" s="10" t="inlineStr">
        <is>
          <t>Snail ATK +28</t>
        </is>
      </c>
      <c r="G18" s="11" t="n">
        <v>135</v>
      </c>
      <c r="I18" s="7" t="n">
        <v>2</v>
      </c>
      <c r="J18" s="8" t="n">
        <v>25</v>
      </c>
      <c r="K18" s="9" t="n">
        <v>28000</v>
      </c>
      <c r="L18" s="9" t="n">
        <v>14000</v>
      </c>
      <c r="M18" s="9" t="n">
        <v>75000</v>
      </c>
      <c r="N18" s="10" t="inlineStr">
        <is>
          <t>Per 30 Minions, Troop RUSH +18</t>
        </is>
      </c>
      <c r="O18" s="11" t="n">
        <v>210</v>
      </c>
      <c r="Q18" s="7" t="n">
        <v>2</v>
      </c>
      <c r="R18" s="8" t="n">
        <v>6</v>
      </c>
      <c r="S18" s="9" t="n">
        <v>78000</v>
      </c>
      <c r="T18" s="9" t="n">
        <v>37000</v>
      </c>
      <c r="U18" s="9" t="n">
        <v>400000</v>
      </c>
      <c r="V18" s="10" t="inlineStr">
        <is>
          <t>Snail ATK +78</t>
        </is>
      </c>
      <c r="W18" s="11" t="n">
        <v>360</v>
      </c>
    </row>
    <row r="19">
      <c r="A19" s="7" t="n">
        <v>3</v>
      </c>
      <c r="B19" s="8" t="n">
        <v>16</v>
      </c>
      <c r="C19" s="9" t="n">
        <v>16000</v>
      </c>
      <c r="D19" s="9" t="n">
        <v>8100</v>
      </c>
      <c r="E19" s="9" t="n">
        <v>22500</v>
      </c>
      <c r="F19" s="10" t="inlineStr">
        <is>
          <t>Snail ATK +48</t>
        </is>
      </c>
      <c r="G19" s="11" t="n">
        <v>180</v>
      </c>
      <c r="I19" s="7" t="n">
        <v>3</v>
      </c>
      <c r="J19" s="8" t="n">
        <v>35</v>
      </c>
      <c r="K19" s="9" t="n">
        <v>34000</v>
      </c>
      <c r="L19" s="9" t="n">
        <v>17000</v>
      </c>
      <c r="M19" s="9" t="n">
        <v>90000</v>
      </c>
      <c r="N19" s="10" t="inlineStr">
        <is>
          <t>Per 30 Minions, Troop RUSH +27</t>
        </is>
      </c>
      <c r="O19" s="11" t="n">
        <v>280</v>
      </c>
      <c r="Q19" s="7" t="n">
        <v>3</v>
      </c>
      <c r="R19" s="8" t="n">
        <v>8</v>
      </c>
      <c r="S19" s="9" t="n"/>
      <c r="T19" s="9" t="n"/>
      <c r="U19" s="9" t="n">
        <v>480000</v>
      </c>
      <c r="V19" s="10" t="inlineStr">
        <is>
          <t>Snail ATK +126</t>
        </is>
      </c>
      <c r="W19" s="11" t="n">
        <v>480</v>
      </c>
    </row>
    <row r="20">
      <c r="A20" s="7" t="n">
        <v>4</v>
      </c>
      <c r="B20" s="8" t="n">
        <v>20</v>
      </c>
      <c r="C20" s="9" t="n">
        <v>18000</v>
      </c>
      <c r="D20" s="9" t="n">
        <v>9400</v>
      </c>
      <c r="E20" s="9" t="n">
        <v>26250</v>
      </c>
      <c r="F20" s="10" t="inlineStr">
        <is>
          <t>Snail ATK +72</t>
        </is>
      </c>
      <c r="G20" s="11" t="n">
        <v>225</v>
      </c>
      <c r="I20" s="7" t="n">
        <v>4</v>
      </c>
      <c r="J20" s="8" t="n">
        <v>45</v>
      </c>
      <c r="K20" s="9" t="n">
        <v>39000</v>
      </c>
      <c r="L20" s="9" t="n">
        <v>19000</v>
      </c>
      <c r="M20" s="9" t="n">
        <v>105000</v>
      </c>
      <c r="N20" s="10" t="inlineStr">
        <is>
          <t>Per 30 Minions, Troop RUSH +36</t>
        </is>
      </c>
      <c r="O20" s="11" t="n">
        <v>350</v>
      </c>
      <c r="Q20" s="7" t="n">
        <v>4</v>
      </c>
      <c r="R20" s="8" t="n">
        <v>10</v>
      </c>
      <c r="S20" s="9" t="n"/>
      <c r="T20" s="9" t="n"/>
      <c r="U20" s="9" t="n">
        <v>560000</v>
      </c>
      <c r="V20" s="10" t="inlineStr">
        <is>
          <t>Snail ATK +180</t>
        </is>
      </c>
      <c r="W20" s="11" t="n">
        <v>600</v>
      </c>
    </row>
    <row r="21">
      <c r="A21" s="7" t="n">
        <v>5</v>
      </c>
      <c r="B21" s="8" t="n">
        <v>24</v>
      </c>
      <c r="C21" s="9" t="n">
        <v>21000</v>
      </c>
      <c r="D21" s="9" t="n">
        <v>10000</v>
      </c>
      <c r="E21" s="9" t="n">
        <v>30000</v>
      </c>
      <c r="F21" s="10" t="inlineStr">
        <is>
          <t>Snail ATK +100</t>
        </is>
      </c>
      <c r="G21" s="11" t="n">
        <v>270</v>
      </c>
      <c r="I21" s="7" t="n">
        <v>5</v>
      </c>
      <c r="J21" s="8" t="n">
        <v>55</v>
      </c>
      <c r="K21" s="9" t="n">
        <v>45000</v>
      </c>
      <c r="L21" s="9" t="n">
        <v>22000</v>
      </c>
      <c r="M21" s="9" t="n">
        <v>120000</v>
      </c>
      <c r="N21" s="10" t="inlineStr">
        <is>
          <t>Per 30 Minions, Troop RUSH +45</t>
        </is>
      </c>
      <c r="O21" s="11" t="n">
        <v>420</v>
      </c>
      <c r="Q21" s="7" t="n">
        <v>5</v>
      </c>
      <c r="R21" s="8" t="n">
        <v>12</v>
      </c>
      <c r="S21" s="9" t="n"/>
      <c r="T21" s="9" t="n"/>
      <c r="U21" s="9" t="n">
        <v>640000</v>
      </c>
      <c r="V21" s="10" t="inlineStr">
        <is>
          <t>Snail ATK +240</t>
        </is>
      </c>
      <c r="W21" s="11" t="n">
        <v>720</v>
      </c>
    </row>
    <row r="22">
      <c r="A22" s="7" t="n">
        <v>6</v>
      </c>
      <c r="B22" s="8" t="n">
        <v>28</v>
      </c>
      <c r="C22" s="9" t="n">
        <v>24000</v>
      </c>
      <c r="D22" s="9" t="n">
        <v>12000</v>
      </c>
      <c r="E22" s="9" t="n">
        <v>37500</v>
      </c>
      <c r="F22" s="10" t="inlineStr">
        <is>
          <t>Snail ATK +132</t>
        </is>
      </c>
      <c r="G22" s="11" t="n">
        <v>315</v>
      </c>
      <c r="I22" s="7" t="n">
        <v>6</v>
      </c>
      <c r="J22" s="8" t="n">
        <v>65</v>
      </c>
      <c r="K22" s="9" t="n">
        <v>51000</v>
      </c>
      <c r="L22" s="9" t="n">
        <v>25000</v>
      </c>
      <c r="M22" s="9" t="n">
        <v>135000</v>
      </c>
      <c r="N22" s="10" t="inlineStr">
        <is>
          <t>Per 30 Minions, Troop RUSH +54</t>
        </is>
      </c>
      <c r="O22" s="11" t="n">
        <v>490</v>
      </c>
      <c r="Q22" s="7" t="n">
        <v>6</v>
      </c>
      <c r="R22" s="8" t="n">
        <v>14</v>
      </c>
      <c r="S22" s="9" t="n"/>
      <c r="T22" s="9" t="n"/>
      <c r="U22" s="9" t="n">
        <v>720000</v>
      </c>
      <c r="V22" s="10" t="inlineStr">
        <is>
          <t>Snail ATK +306</t>
        </is>
      </c>
      <c r="W22" s="11" t="n">
        <v>840</v>
      </c>
    </row>
    <row r="23">
      <c r="A23" s="7" t="n">
        <v>7</v>
      </c>
      <c r="B23" s="8" t="n">
        <v>32</v>
      </c>
      <c r="C23" s="9" t="n">
        <v>27000</v>
      </c>
      <c r="D23" s="9" t="n">
        <v>13000</v>
      </c>
      <c r="E23" s="9" t="n">
        <v>37500</v>
      </c>
      <c r="F23" s="10" t="inlineStr">
        <is>
          <t>Snail ATK +168</t>
        </is>
      </c>
      <c r="G23" s="11" t="n">
        <v>360</v>
      </c>
      <c r="I23" s="7" t="n">
        <v>7</v>
      </c>
      <c r="J23" s="8" t="n">
        <v>75</v>
      </c>
      <c r="K23" s="9" t="n">
        <v>57000</v>
      </c>
      <c r="L23" s="9" t="n">
        <v>28000</v>
      </c>
      <c r="M23" s="9" t="n">
        <v>150000</v>
      </c>
      <c r="N23" s="10" t="inlineStr">
        <is>
          <t>Per 30 Minions, Troop RUSH +63</t>
        </is>
      </c>
      <c r="O23" s="11" t="n">
        <v>560</v>
      </c>
      <c r="Q23" s="7" t="n">
        <v>7</v>
      </c>
      <c r="R23" s="8" t="n">
        <v>16</v>
      </c>
      <c r="S23" s="9" t="n">
        <v>170000</v>
      </c>
      <c r="T23" s="9" t="n">
        <v>86000</v>
      </c>
      <c r="U23" s="9" t="n">
        <v>800000</v>
      </c>
      <c r="V23" s="10" t="inlineStr">
        <is>
          <t>Snail ATK +378</t>
        </is>
      </c>
      <c r="W23" s="11" t="n">
        <v>960</v>
      </c>
    </row>
    <row r="24">
      <c r="A24" s="7" t="n">
        <v>8</v>
      </c>
      <c r="B24" s="8" t="n">
        <v>36</v>
      </c>
      <c r="C24" s="9" t="n">
        <v>29000</v>
      </c>
      <c r="D24" s="9" t="n">
        <v>14000</v>
      </c>
      <c r="E24" s="9" t="n">
        <v>41250</v>
      </c>
      <c r="F24" s="10" t="inlineStr">
        <is>
          <t>Snail ATK +208</t>
        </is>
      </c>
      <c r="G24" s="11" t="n">
        <v>405</v>
      </c>
      <c r="I24" s="7" t="n">
        <v>8</v>
      </c>
      <c r="J24" s="8" t="n">
        <v>85</v>
      </c>
      <c r="K24" s="9" t="n">
        <v>62000</v>
      </c>
      <c r="L24" s="9" t="n">
        <v>31000</v>
      </c>
      <c r="M24" s="9" t="n">
        <v>165000</v>
      </c>
      <c r="N24" s="10" t="inlineStr">
        <is>
          <t>Per 30 Minions, Troop RUSH +72</t>
        </is>
      </c>
      <c r="O24" s="11" t="n">
        <v>630</v>
      </c>
      <c r="Q24" s="7" t="n">
        <v>8</v>
      </c>
      <c r="R24" s="8" t="n">
        <v>18</v>
      </c>
      <c r="S24" s="9" t="n"/>
      <c r="T24" s="9" t="n"/>
      <c r="U24" s="9" t="n">
        <v>880000</v>
      </c>
      <c r="V24" s="10" t="inlineStr">
        <is>
          <t>Snail ATK +456</t>
        </is>
      </c>
      <c r="W24" s="11" t="n">
        <v>1080</v>
      </c>
    </row>
    <row r="25">
      <c r="A25" s="7" t="n">
        <v>9</v>
      </c>
      <c r="B25" s="8" t="n">
        <v>40</v>
      </c>
      <c r="C25" s="9" t="n">
        <v>32000</v>
      </c>
      <c r="D25" s="9" t="n">
        <v>16000</v>
      </c>
      <c r="E25" s="9" t="n">
        <v>45000</v>
      </c>
      <c r="F25" s="10" t="inlineStr">
        <is>
          <t>Snail ATK +252</t>
        </is>
      </c>
      <c r="G25" s="11" t="n">
        <v>450</v>
      </c>
      <c r="I25" s="7" t="n">
        <v>9</v>
      </c>
      <c r="J25" s="8" t="n">
        <v>95</v>
      </c>
      <c r="K25" s="9" t="n">
        <v>68000</v>
      </c>
      <c r="L25" s="9" t="n">
        <v>34000</v>
      </c>
      <c r="M25" s="9" t="n">
        <v>180000</v>
      </c>
      <c r="N25" s="10" t="inlineStr">
        <is>
          <t>Per 30 Minions, Troop RUSH +81</t>
        </is>
      </c>
      <c r="O25" s="11" t="n">
        <v>700</v>
      </c>
      <c r="Q25" s="7" t="n">
        <v>9</v>
      </c>
      <c r="R25" s="8" t="n">
        <v>20</v>
      </c>
      <c r="S25" s="9" t="n"/>
      <c r="T25" s="9" t="n"/>
      <c r="U25" s="9" t="n">
        <v>960000</v>
      </c>
      <c r="V25" s="10" t="inlineStr">
        <is>
          <t>Snail ATK +540</t>
        </is>
      </c>
      <c r="W25" s="11" t="n">
        <v>1200</v>
      </c>
    </row>
    <row r="26">
      <c r="A26" s="7" t="n">
        <v>10</v>
      </c>
      <c r="B26" s="8" t="n">
        <v>44</v>
      </c>
      <c r="C26" s="9" t="n">
        <v>35000</v>
      </c>
      <c r="D26" s="9" t="n">
        <v>17000</v>
      </c>
      <c r="E26" s="9" t="n">
        <v>48750</v>
      </c>
      <c r="F26" s="10" t="inlineStr">
        <is>
          <t>Snail ATK +300</t>
        </is>
      </c>
      <c r="G26" s="11" t="n">
        <v>495</v>
      </c>
      <c r="I26" s="7" t="n">
        <v>10</v>
      </c>
      <c r="J26" s="8" t="n">
        <v>105</v>
      </c>
      <c r="K26" s="9" t="n">
        <v>74000</v>
      </c>
      <c r="L26" s="9" t="n">
        <v>37000</v>
      </c>
      <c r="M26" s="9" t="n">
        <v>195000</v>
      </c>
      <c r="N26" s="10" t="inlineStr">
        <is>
          <t>Per 30 Minions, Troop RUSH +90</t>
        </is>
      </c>
      <c r="O26" s="11" t="n">
        <v>770</v>
      </c>
      <c r="Q26" s="7" t="n">
        <v>10</v>
      </c>
      <c r="R26" s="8" t="n">
        <v>22</v>
      </c>
      <c r="S26" s="9" t="n"/>
      <c r="T26" s="9" t="n"/>
      <c r="U26" s="9" t="n">
        <v>1040000</v>
      </c>
      <c r="V26" s="10" t="inlineStr">
        <is>
          <t>Snail ATK +630</t>
        </is>
      </c>
      <c r="W26" s="11" t="n">
        <v>1320</v>
      </c>
    </row>
    <row r="27">
      <c r="A27" s="12" t="inlineStr">
        <is>
          <t>Total</t>
        </is>
      </c>
      <c r="B27" s="13">
        <f>SUM(B17:B26)</f>
        <v/>
      </c>
      <c r="C27" s="14">
        <f>SUM(C17:C26)</f>
        <v/>
      </c>
      <c r="D27" s="14">
        <f>SUM(D17:D26)</f>
        <v/>
      </c>
      <c r="E27" s="14">
        <f>SUM(E17:E26)</f>
        <v/>
      </c>
      <c r="F27" s="15" t="n"/>
      <c r="G27" s="16">
        <f>SUM(G17:G26)</f>
        <v/>
      </c>
      <c r="I27" s="12" t="inlineStr">
        <is>
          <t>Total</t>
        </is>
      </c>
      <c r="J27" s="13">
        <f>SUM(J17:J26)</f>
        <v/>
      </c>
      <c r="K27" s="14">
        <f>SUM(K17:K26)</f>
        <v/>
      </c>
      <c r="L27" s="14">
        <f>SUM(L17:L26)</f>
        <v/>
      </c>
      <c r="M27" s="14">
        <f>SUM(M17:M26)</f>
        <v/>
      </c>
      <c r="N27" s="15" t="n"/>
      <c r="O27" s="16">
        <f>SUM(O17:O26)</f>
        <v/>
      </c>
      <c r="Q27" s="12" t="inlineStr">
        <is>
          <t>Total</t>
        </is>
      </c>
      <c r="R27" s="13">
        <f>SUM(R17:R26)</f>
        <v/>
      </c>
      <c r="S27" s="14">
        <f>SUM(S17:S26)</f>
        <v/>
      </c>
      <c r="T27" s="14">
        <f>SUM(T17:T26)</f>
        <v/>
      </c>
      <c r="U27" s="14">
        <f>SUM(U17:U26)</f>
        <v/>
      </c>
      <c r="V27" s="15" t="n"/>
      <c r="W27" s="16">
        <f>SUM(W17:W26)</f>
        <v/>
      </c>
    </row>
    <row r="28">
      <c r="A28" s="20" t="n"/>
      <c r="B28" s="10" t="n"/>
      <c r="C28" s="10" t="n"/>
      <c r="D28" s="10" t="n"/>
      <c r="E28" s="10" t="n"/>
      <c r="F28" s="10" t="n"/>
      <c r="G28" s="21" t="n"/>
      <c r="I28" s="20" t="n"/>
      <c r="J28" s="10" t="n"/>
      <c r="K28" s="10" t="n"/>
      <c r="L28" s="10" t="n"/>
      <c r="M28" s="10" t="n"/>
      <c r="N28" s="10" t="n"/>
      <c r="O28" s="21" t="n"/>
      <c r="Q28" s="20" t="n"/>
      <c r="R28" s="10" t="n"/>
      <c r="S28" s="10" t="n"/>
      <c r="T28" s="10" t="n"/>
      <c r="U28" s="10" t="n"/>
      <c r="V28" s="10" t="n"/>
      <c r="W28" s="21" t="n"/>
    </row>
    <row r="29">
      <c r="A29" s="20" t="n"/>
      <c r="B29" s="10" t="n"/>
      <c r="C29" s="10" t="n"/>
      <c r="D29" s="10" t="n"/>
      <c r="E29" s="10" t="n"/>
      <c r="F29" s="10" t="n"/>
      <c r="G29" s="21" t="n"/>
      <c r="I29" s="20" t="n"/>
      <c r="J29" s="10" t="n"/>
      <c r="K29" s="10" t="n"/>
      <c r="L29" s="10" t="n"/>
      <c r="M29" s="10" t="n"/>
      <c r="N29" s="10" t="n"/>
      <c r="O29" s="21" t="n"/>
      <c r="Q29" s="20" t="n"/>
      <c r="R29" s="10" t="n"/>
      <c r="S29" s="10" t="n"/>
      <c r="T29" s="10" t="n"/>
      <c r="U29" s="10" t="n"/>
      <c r="V29" s="10" t="n"/>
      <c r="W29" s="21" t="n"/>
    </row>
    <row r="30">
      <c r="A30" s="4" t="inlineStr">
        <is>
          <t>1C - AFFCT Up III</t>
        </is>
      </c>
      <c r="B30" s="5" t="n"/>
      <c r="C30" s="5" t="inlineStr">
        <is>
          <t>Zombie</t>
        </is>
      </c>
      <c r="D30" s="5" t="inlineStr">
        <is>
          <t>Mecha</t>
        </is>
      </c>
      <c r="E30" s="5" t="inlineStr">
        <is>
          <t>Btads</t>
        </is>
      </c>
      <c r="F30" s="5" t="n"/>
      <c r="G30" s="6" t="inlineStr">
        <is>
          <t>DNA Points</t>
        </is>
      </c>
      <c r="I30" s="4" t="inlineStr">
        <is>
          <t>1C - Troop HARD Up III</t>
        </is>
      </c>
      <c r="J30" s="5" t="n"/>
      <c r="K30" s="5" t="inlineStr">
        <is>
          <t>Zombie</t>
        </is>
      </c>
      <c r="L30" s="5" t="inlineStr">
        <is>
          <t>Mecha</t>
        </is>
      </c>
      <c r="M30" s="5" t="inlineStr">
        <is>
          <t>Btads</t>
        </is>
      </c>
      <c r="N30" s="5" t="n"/>
      <c r="O30" s="6" t="n"/>
      <c r="Q30" s="4" t="inlineStr">
        <is>
          <t>1C - AFFCT Up IV</t>
        </is>
      </c>
      <c r="R30" s="5" t="n"/>
      <c r="S30" s="5" t="inlineStr">
        <is>
          <t>Zombie</t>
        </is>
      </c>
      <c r="T30" s="5" t="inlineStr">
        <is>
          <t>Mecha</t>
        </is>
      </c>
      <c r="U30" s="5" t="n"/>
      <c r="V30" s="5" t="n"/>
      <c r="W30" s="6" t="n"/>
    </row>
    <row r="31">
      <c r="A31" s="7" t="n">
        <v>1</v>
      </c>
      <c r="B31" s="8" t="n">
        <v>10</v>
      </c>
      <c r="C31" s="9" t="n">
        <v>8100</v>
      </c>
      <c r="D31" s="9" t="n">
        <v>16000</v>
      </c>
      <c r="E31" s="9" t="n">
        <v>20000</v>
      </c>
      <c r="F31" s="10" t="inlineStr">
        <is>
          <t>AFFCT +30</t>
        </is>
      </c>
      <c r="G31" s="11" t="n">
        <v>100</v>
      </c>
      <c r="I31" s="7" t="n">
        <v>1</v>
      </c>
      <c r="J31" s="8" t="n">
        <v>18</v>
      </c>
      <c r="K31" s="9" t="n">
        <v>17000</v>
      </c>
      <c r="L31" s="9" t="n">
        <v>34000</v>
      </c>
      <c r="M31" s="9" t="n">
        <v>80000</v>
      </c>
      <c r="N31" s="10" t="inlineStr">
        <is>
          <t>Per 30 Minions, Troop HARD +3</t>
        </is>
      </c>
      <c r="O31" s="11" t="n">
        <v>160</v>
      </c>
      <c r="Q31" s="7" t="n">
        <v>1</v>
      </c>
      <c r="R31" s="8" t="n">
        <v>6</v>
      </c>
      <c r="S31" s="9" t="n">
        <v>45000</v>
      </c>
      <c r="T31" s="9" t="n">
        <v>90000</v>
      </c>
      <c r="U31" s="9" t="n">
        <v>480000</v>
      </c>
      <c r="V31" s="10" t="inlineStr">
        <is>
          <t>AFFCT +60</t>
        </is>
      </c>
      <c r="W31" s="11" t="n">
        <v>280</v>
      </c>
    </row>
    <row r="32">
      <c r="A32" s="7" t="n">
        <v>2</v>
      </c>
      <c r="B32" s="8" t="n">
        <v>15</v>
      </c>
      <c r="C32" s="9" t="n">
        <v>10000</v>
      </c>
      <c r="D32" s="9" t="n">
        <v>20000</v>
      </c>
      <c r="E32" s="9" t="n">
        <v>25000</v>
      </c>
      <c r="F32" s="10" t="inlineStr">
        <is>
          <t>AFFCT +70</t>
        </is>
      </c>
      <c r="G32" s="11" t="n">
        <v>150</v>
      </c>
      <c r="I32" s="7" t="n">
        <v>2</v>
      </c>
      <c r="J32" s="8" t="n">
        <v>30</v>
      </c>
      <c r="K32" s="9" t="n">
        <v>21000</v>
      </c>
      <c r="L32" s="9" t="n">
        <v>42000</v>
      </c>
      <c r="M32" s="9" t="n">
        <v>100000</v>
      </c>
      <c r="N32" s="10" t="inlineStr">
        <is>
          <t>Per 30 Minions, Troop HARD +6</t>
        </is>
      </c>
      <c r="O32" s="11" t="n">
        <v>240</v>
      </c>
      <c r="Q32" s="7" t="n">
        <v>2</v>
      </c>
      <c r="R32" s="8" t="n">
        <v>9</v>
      </c>
      <c r="S32" s="9" t="n"/>
      <c r="T32" s="9" t="n"/>
      <c r="U32" s="9" t="n">
        <v>600000</v>
      </c>
      <c r="V32" s="10" t="inlineStr">
        <is>
          <t>AFFCT +130</t>
        </is>
      </c>
      <c r="W32" s="11" t="n">
        <v>420</v>
      </c>
    </row>
    <row r="33">
      <c r="A33" s="7" t="n">
        <v>3</v>
      </c>
      <c r="B33" s="8" t="n">
        <v>20</v>
      </c>
      <c r="C33" s="9" t="n">
        <v>12000</v>
      </c>
      <c r="D33" s="9" t="n">
        <v>24000</v>
      </c>
      <c r="E33" s="9" t="n">
        <v>30000</v>
      </c>
      <c r="F33" s="10" t="inlineStr">
        <is>
          <t>AFFCT +120</t>
        </is>
      </c>
      <c r="G33" s="11" t="n">
        <v>200</v>
      </c>
      <c r="I33" s="7" t="n">
        <v>3</v>
      </c>
      <c r="J33" s="8" t="n">
        <v>42</v>
      </c>
      <c r="K33" s="9" t="n">
        <v>25000</v>
      </c>
      <c r="L33" s="9" t="n">
        <v>51000</v>
      </c>
      <c r="M33" s="9" t="n">
        <v>120000</v>
      </c>
      <c r="N33" s="10" t="inlineStr">
        <is>
          <t>Per 30 Minions, Troop HARD +9</t>
        </is>
      </c>
      <c r="O33" s="11" t="n">
        <v>320</v>
      </c>
      <c r="Q33" s="7" t="n">
        <v>3</v>
      </c>
      <c r="R33" s="8" t="n">
        <v>12</v>
      </c>
      <c r="S33" s="9" t="n"/>
      <c r="T33" s="9" t="n"/>
      <c r="U33" s="9" t="n">
        <v>720000</v>
      </c>
      <c r="V33" s="10" t="inlineStr">
        <is>
          <t>AFFCT +210</t>
        </is>
      </c>
      <c r="W33" s="11" t="n">
        <v>560</v>
      </c>
    </row>
    <row r="34">
      <c r="A34" s="7" t="n">
        <v>4</v>
      </c>
      <c r="B34" s="8" t="n">
        <v>25</v>
      </c>
      <c r="C34" s="9" t="n">
        <v>14000</v>
      </c>
      <c r="D34" s="9" t="n">
        <v>28000</v>
      </c>
      <c r="E34" s="9" t="n">
        <v>35000</v>
      </c>
      <c r="F34" s="10" t="inlineStr">
        <is>
          <t>AFFCT +180</t>
        </is>
      </c>
      <c r="G34" s="11" t="n">
        <v>250</v>
      </c>
      <c r="I34" s="7" t="n">
        <v>4</v>
      </c>
      <c r="J34" s="8" t="n">
        <v>54</v>
      </c>
      <c r="K34" s="9" t="n">
        <v>29000</v>
      </c>
      <c r="L34" s="9" t="n">
        <v>59000</v>
      </c>
      <c r="M34" s="9" t="n">
        <v>140000</v>
      </c>
      <c r="N34" s="10" t="inlineStr">
        <is>
          <t>Per 30 Minions, Troop HARD +12</t>
        </is>
      </c>
      <c r="O34" s="11" t="n">
        <v>400</v>
      </c>
      <c r="Q34" s="7" t="n">
        <v>4</v>
      </c>
      <c r="R34" s="8" t="n">
        <v>15</v>
      </c>
      <c r="S34" s="9" t="n"/>
      <c r="T34" s="9" t="n"/>
      <c r="U34" s="9" t="n">
        <v>840000</v>
      </c>
      <c r="V34" s="10" t="inlineStr">
        <is>
          <t>AFFCT +300</t>
        </is>
      </c>
      <c r="W34" s="11" t="n">
        <v>700</v>
      </c>
    </row>
    <row r="35">
      <c r="A35" s="7" t="n">
        <v>5</v>
      </c>
      <c r="B35" s="8" t="n">
        <v>30</v>
      </c>
      <c r="C35" s="9" t="n">
        <v>16000</v>
      </c>
      <c r="D35" s="9" t="n">
        <v>32000</v>
      </c>
      <c r="E35" s="9" t="n">
        <v>40000</v>
      </c>
      <c r="F35" s="10" t="inlineStr">
        <is>
          <t>AFFCT +250</t>
        </is>
      </c>
      <c r="G35" s="11" t="n">
        <v>300</v>
      </c>
      <c r="I35" s="7" t="n">
        <v>5</v>
      </c>
      <c r="J35" s="8" t="n">
        <v>66</v>
      </c>
      <c r="K35" s="9" t="n">
        <v>34000</v>
      </c>
      <c r="L35" s="9" t="n">
        <v>68000</v>
      </c>
      <c r="M35" s="9" t="n">
        <v>160000</v>
      </c>
      <c r="N35" s="10" t="inlineStr">
        <is>
          <t>Per 30 Minions, Troop HARD +15</t>
        </is>
      </c>
      <c r="O35" s="11" t="n">
        <v>480</v>
      </c>
      <c r="Q35" s="7" t="n">
        <v>5</v>
      </c>
      <c r="R35" s="8" t="n">
        <v>18</v>
      </c>
      <c r="S35" s="9" t="n"/>
      <c r="T35" s="9" t="n"/>
      <c r="U35" s="9" t="n">
        <v>960000</v>
      </c>
      <c r="V35" s="10" t="inlineStr">
        <is>
          <t>AFFCT +400</t>
        </is>
      </c>
      <c r="W35" s="11" t="n">
        <v>840</v>
      </c>
    </row>
    <row r="36">
      <c r="A36" s="7" t="n">
        <v>6</v>
      </c>
      <c r="B36" s="8" t="n">
        <v>35</v>
      </c>
      <c r="C36" s="9" t="n">
        <v>18000</v>
      </c>
      <c r="D36" s="9" t="n">
        <v>36000</v>
      </c>
      <c r="E36" s="9" t="n">
        <v>45000</v>
      </c>
      <c r="F36" s="10" t="inlineStr">
        <is>
          <t>AFFCT +330</t>
        </is>
      </c>
      <c r="G36" s="11" t="n">
        <v>350</v>
      </c>
      <c r="I36" s="7" t="n">
        <v>6</v>
      </c>
      <c r="J36" s="8" t="n">
        <v>78</v>
      </c>
      <c r="K36" s="9" t="n">
        <v>38000</v>
      </c>
      <c r="L36" s="9" t="n">
        <v>76000</v>
      </c>
      <c r="M36" s="9" t="n">
        <v>180000</v>
      </c>
      <c r="N36" s="10" t="inlineStr">
        <is>
          <t>Per 30 Minions, Troop HARD +18</t>
        </is>
      </c>
      <c r="O36" s="11" t="n">
        <v>560</v>
      </c>
      <c r="Q36" s="7" t="n">
        <v>6</v>
      </c>
      <c r="R36" s="8" t="n">
        <v>21</v>
      </c>
      <c r="S36" s="9" t="n"/>
      <c r="T36" s="9" t="n"/>
      <c r="U36" s="9" t="n">
        <v>1080000</v>
      </c>
      <c r="V36" s="10" t="inlineStr">
        <is>
          <t>AFFCT +510</t>
        </is>
      </c>
      <c r="W36" s="11" t="n">
        <v>980</v>
      </c>
    </row>
    <row r="37">
      <c r="A37" s="7" t="n">
        <v>7</v>
      </c>
      <c r="B37" s="8" t="n">
        <v>40</v>
      </c>
      <c r="C37" s="9" t="n">
        <v>20000</v>
      </c>
      <c r="D37" s="9" t="n">
        <v>40000</v>
      </c>
      <c r="E37" s="9" t="n">
        <v>50000</v>
      </c>
      <c r="F37" s="10" t="inlineStr">
        <is>
          <t>AFFCT +420</t>
        </is>
      </c>
      <c r="G37" s="11" t="n">
        <v>400</v>
      </c>
      <c r="I37" s="7" t="n">
        <v>7</v>
      </c>
      <c r="J37" s="8" t="n">
        <v>90</v>
      </c>
      <c r="K37" s="9" t="n">
        <v>42000</v>
      </c>
      <c r="L37" s="9" t="n">
        <v>85000</v>
      </c>
      <c r="M37" s="9" t="n">
        <v>200000</v>
      </c>
      <c r="N37" s="10" t="inlineStr">
        <is>
          <t>Per 30 Minions, Troop HARD +21</t>
        </is>
      </c>
      <c r="O37" s="11" t="n">
        <v>640</v>
      </c>
      <c r="Q37" s="7" t="n">
        <v>7</v>
      </c>
      <c r="R37" s="8" t="n">
        <v>24</v>
      </c>
      <c r="S37" s="9" t="n"/>
      <c r="T37" s="9" t="n"/>
      <c r="U37" s="9" t="n">
        <v>1200000</v>
      </c>
      <c r="V37" s="10" t="inlineStr">
        <is>
          <t>AFFCT +630</t>
        </is>
      </c>
      <c r="W37" s="11" t="n">
        <v>1120</v>
      </c>
    </row>
    <row r="38">
      <c r="A38" s="7" t="n">
        <v>8</v>
      </c>
      <c r="B38" s="8" t="n">
        <v>45</v>
      </c>
      <c r="C38" s="9" t="n">
        <v>22000</v>
      </c>
      <c r="D38" s="9" t="n">
        <v>44000</v>
      </c>
      <c r="E38" s="9" t="n">
        <v>55000</v>
      </c>
      <c r="F38" s="10" t="inlineStr">
        <is>
          <t>AFFCT +520</t>
        </is>
      </c>
      <c r="G38" s="11" t="n">
        <v>450</v>
      </c>
      <c r="I38" s="7" t="n">
        <v>8</v>
      </c>
      <c r="J38" s="8" t="n">
        <v>102</v>
      </c>
      <c r="K38" s="9" t="n">
        <v>47000</v>
      </c>
      <c r="L38" s="9" t="n">
        <v>94000</v>
      </c>
      <c r="M38" s="9" t="n">
        <v>220000</v>
      </c>
      <c r="N38" s="10" t="inlineStr">
        <is>
          <t>Per 30 Minions, Troop HARD +24</t>
        </is>
      </c>
      <c r="O38" s="11" t="n">
        <v>720</v>
      </c>
      <c r="Q38" s="7" t="n">
        <v>8</v>
      </c>
      <c r="R38" s="8" t="n">
        <v>27</v>
      </c>
      <c r="S38" s="9" t="n"/>
      <c r="T38" s="9" t="n"/>
      <c r="U38" s="9" t="n">
        <v>1320000</v>
      </c>
      <c r="V38" s="10" t="inlineStr">
        <is>
          <t>AFFCT +760</t>
        </is>
      </c>
      <c r="W38" s="11" t="n">
        <v>1260</v>
      </c>
    </row>
    <row r="39">
      <c r="A39" s="7" t="n">
        <v>9</v>
      </c>
      <c r="B39" s="8" t="n">
        <v>50</v>
      </c>
      <c r="C39" s="9" t="n">
        <v>24000</v>
      </c>
      <c r="D39" s="9" t="n">
        <v>48000</v>
      </c>
      <c r="E39" s="9" t="n">
        <v>60000</v>
      </c>
      <c r="F39" s="10" t="inlineStr">
        <is>
          <t>AFFCT +630</t>
        </is>
      </c>
      <c r="G39" s="11" t="n">
        <v>500</v>
      </c>
      <c r="I39" s="7" t="n">
        <v>9</v>
      </c>
      <c r="J39" s="8" t="n">
        <v>114</v>
      </c>
      <c r="K39" s="9" t="n">
        <v>51000</v>
      </c>
      <c r="L39" s="9" t="n">
        <v>100000</v>
      </c>
      <c r="M39" s="9" t="n">
        <v>240000</v>
      </c>
      <c r="N39" s="10" t="inlineStr">
        <is>
          <t>Per 30 Minions, Troop HARD +27</t>
        </is>
      </c>
      <c r="O39" s="11" t="n">
        <v>800</v>
      </c>
      <c r="Q39" s="7" t="n">
        <v>9</v>
      </c>
      <c r="R39" s="8" t="n">
        <v>30</v>
      </c>
      <c r="S39" s="9" t="n"/>
      <c r="T39" s="9" t="n"/>
      <c r="U39" s="9" t="n">
        <v>1440000</v>
      </c>
      <c r="V39" s="10" t="inlineStr">
        <is>
          <t>AFFCT +900</t>
        </is>
      </c>
      <c r="W39" s="11" t="n">
        <v>1400</v>
      </c>
    </row>
    <row r="40">
      <c r="A40" s="7" t="n">
        <v>10</v>
      </c>
      <c r="B40" s="8" t="n">
        <v>55</v>
      </c>
      <c r="C40" s="9" t="n">
        <v>26000</v>
      </c>
      <c r="D40" s="9" t="n">
        <v>52000</v>
      </c>
      <c r="E40" s="9" t="n">
        <v>65000</v>
      </c>
      <c r="F40" s="10" t="inlineStr">
        <is>
          <t>AFFCT +750</t>
        </is>
      </c>
      <c r="G40" s="11" t="n">
        <v>550</v>
      </c>
      <c r="I40" s="7" t="n">
        <v>10</v>
      </c>
      <c r="J40" s="8" t="n">
        <v>126</v>
      </c>
      <c r="K40" s="9" t="n">
        <v>55000</v>
      </c>
      <c r="L40" s="9" t="n">
        <v>110000</v>
      </c>
      <c r="M40" s="9" t="n">
        <v>260000</v>
      </c>
      <c r="N40" s="10" t="inlineStr">
        <is>
          <t>Per 30 Minions, Troop HARD +30</t>
        </is>
      </c>
      <c r="O40" s="11" t="n">
        <v>880</v>
      </c>
      <c r="Q40" s="7" t="n">
        <v>10</v>
      </c>
      <c r="R40" s="8" t="n">
        <v>33</v>
      </c>
      <c r="S40" s="9" t="n"/>
      <c r="T40" s="9" t="n"/>
      <c r="U40" s="9" t="n">
        <v>1560000</v>
      </c>
      <c r="V40" s="10" t="inlineStr">
        <is>
          <t>AFFCT +1050</t>
        </is>
      </c>
      <c r="W40" s="11" t="n">
        <v>1540</v>
      </c>
    </row>
    <row r="41">
      <c r="A41" s="12" t="inlineStr">
        <is>
          <t>Total</t>
        </is>
      </c>
      <c r="B41" s="13">
        <f>SUM(B31:B40)</f>
        <v/>
      </c>
      <c r="C41" s="14">
        <f>SUM(C31:C40)</f>
        <v/>
      </c>
      <c r="D41" s="14">
        <f>SUM(D31:D40)</f>
        <v/>
      </c>
      <c r="E41" s="14">
        <f>SUM(E31:E40)</f>
        <v/>
      </c>
      <c r="F41" s="15" t="n"/>
      <c r="G41" s="16">
        <f>SUM(G31:G40)</f>
        <v/>
      </c>
      <c r="H41" s="8" t="n"/>
      <c r="I41" s="12" t="inlineStr">
        <is>
          <t>Total</t>
        </is>
      </c>
      <c r="J41" s="13">
        <f>SUM(J31:J40)</f>
        <v/>
      </c>
      <c r="K41" s="14">
        <f>SUM(K31:K40)</f>
        <v/>
      </c>
      <c r="L41" s="14">
        <f>SUM(L31:L40)</f>
        <v/>
      </c>
      <c r="M41" s="14">
        <f>SUM(M31:M40)</f>
        <v/>
      </c>
      <c r="N41" s="15" t="n"/>
      <c r="O41" s="16">
        <f>SUM(O31:O40)</f>
        <v/>
      </c>
      <c r="Q41" s="12" t="inlineStr">
        <is>
          <t>Total</t>
        </is>
      </c>
      <c r="R41" s="13">
        <f>SUM(R31:R40)</f>
        <v/>
      </c>
      <c r="S41" s="14">
        <f>SUM(S31:S40)</f>
        <v/>
      </c>
      <c r="T41" s="14">
        <f>SUM(T31:T40)</f>
        <v/>
      </c>
      <c r="U41" s="14">
        <f>SUM(U31:U40)</f>
        <v/>
      </c>
      <c r="V41" s="15" t="n"/>
      <c r="W41" s="16">
        <f>SUM(W31:W40)</f>
        <v/>
      </c>
    </row>
    <row r="42">
      <c r="A42" s="20" t="n"/>
      <c r="B42" s="10" t="n"/>
      <c r="C42" s="10" t="n"/>
      <c r="D42" s="10" t="n"/>
      <c r="E42" s="10" t="n"/>
      <c r="F42" s="10" t="n"/>
      <c r="G42" s="21" t="n"/>
      <c r="I42" s="20" t="n"/>
      <c r="J42" s="10" t="n"/>
      <c r="K42" s="10" t="n"/>
      <c r="L42" s="10" t="n"/>
      <c r="M42" s="10" t="n"/>
      <c r="N42" s="10" t="n"/>
      <c r="O42" s="21" t="n"/>
      <c r="Q42" s="20" t="n"/>
      <c r="R42" s="10" t="n"/>
      <c r="S42" s="10" t="n"/>
      <c r="T42" s="10" t="n"/>
      <c r="U42" s="10" t="n"/>
      <c r="V42" s="10" t="n"/>
      <c r="W42" s="21" t="n"/>
    </row>
    <row r="43">
      <c r="A43" s="20" t="n"/>
      <c r="B43" s="10" t="n"/>
      <c r="C43" s="10" t="n"/>
      <c r="D43" s="10" t="n"/>
      <c r="E43" s="10" t="n"/>
      <c r="F43" s="10" t="n"/>
      <c r="G43" s="21" t="n"/>
      <c r="I43" s="20" t="n"/>
      <c r="J43" s="10" t="n"/>
      <c r="K43" s="10" t="n"/>
      <c r="L43" s="10" t="n"/>
      <c r="M43" s="10" t="n"/>
      <c r="N43" s="10" t="n"/>
      <c r="O43" s="21" t="n"/>
      <c r="Q43" s="20" t="n"/>
      <c r="R43" s="10" t="n"/>
      <c r="S43" s="10" t="n"/>
      <c r="T43" s="10" t="n"/>
      <c r="U43" s="10" t="n"/>
      <c r="V43" s="10" t="n"/>
      <c r="W43" s="21" t="n"/>
    </row>
    <row r="44">
      <c r="A44" s="4" t="inlineStr">
        <is>
          <t>2A - HP Up Gene III</t>
        </is>
      </c>
      <c r="B44" s="5" t="n"/>
      <c r="C44" s="5" t="inlineStr">
        <is>
          <t>Zombie</t>
        </is>
      </c>
      <c r="D44" s="5" t="inlineStr">
        <is>
          <t>Demon</t>
        </is>
      </c>
      <c r="E44" s="5" t="inlineStr">
        <is>
          <t>Btads</t>
        </is>
      </c>
      <c r="F44" s="5" t="n"/>
      <c r="G44" s="6" t="inlineStr">
        <is>
          <t>DNA Points</t>
        </is>
      </c>
      <c r="I44" s="4" t="inlineStr">
        <is>
          <t>2A - DEF Up III</t>
        </is>
      </c>
      <c r="J44" s="5" t="n"/>
      <c r="K44" s="5" t="inlineStr">
        <is>
          <t>Zombie</t>
        </is>
      </c>
      <c r="L44" s="5" t="inlineStr">
        <is>
          <t>Demon</t>
        </is>
      </c>
      <c r="M44" s="5" t="inlineStr">
        <is>
          <t>Btads</t>
        </is>
      </c>
      <c r="N44" s="5" t="n"/>
      <c r="O44" s="6" t="n"/>
      <c r="Q44" s="4" t="inlineStr">
        <is>
          <t>2A - HP Up Gene IV</t>
        </is>
      </c>
      <c r="R44" s="5" t="n"/>
      <c r="S44" s="5" t="inlineStr">
        <is>
          <t>Zombie</t>
        </is>
      </c>
      <c r="T44" s="5" t="inlineStr">
        <is>
          <t>Demon</t>
        </is>
      </c>
      <c r="U44" s="5" t="n"/>
      <c r="V44" s="5" t="n"/>
      <c r="W44" s="6" t="n"/>
    </row>
    <row r="45">
      <c r="A45" s="7" t="n">
        <v>1</v>
      </c>
      <c r="B45" s="8" t="n">
        <v>6</v>
      </c>
      <c r="C45" s="9" t="n">
        <v>5400</v>
      </c>
      <c r="D45" s="9" t="n">
        <v>8100</v>
      </c>
      <c r="E45" s="9" t="n">
        <v>10000</v>
      </c>
      <c r="F45" s="10" t="inlineStr">
        <is>
          <t>Per 30 Minions, Troop HP +90</t>
        </is>
      </c>
      <c r="G45" s="11" t="n">
        <v>80</v>
      </c>
      <c r="I45" s="7" t="n">
        <v>1</v>
      </c>
      <c r="J45" s="8" t="n">
        <v>12</v>
      </c>
      <c r="K45" s="9" t="n">
        <v>11000</v>
      </c>
      <c r="L45" s="9" t="n">
        <v>17000</v>
      </c>
      <c r="M45" s="9" t="n">
        <v>50000</v>
      </c>
      <c r="N45" s="10" t="inlineStr">
        <is>
          <t>Snail DEF +12</t>
        </is>
      </c>
      <c r="O45" s="11" t="n">
        <v>120</v>
      </c>
      <c r="Q45" s="7" t="n">
        <v>1</v>
      </c>
      <c r="R45" s="8" t="n">
        <v>2</v>
      </c>
      <c r="S45" s="9" t="n">
        <v>30000</v>
      </c>
      <c r="T45" s="9" t="n">
        <v>45000</v>
      </c>
      <c r="U45" s="9" t="n">
        <v>200000</v>
      </c>
      <c r="V45" s="10" t="inlineStr">
        <is>
          <t>Per 60 Minions, Troop HP +300</t>
        </is>
      </c>
      <c r="W45" s="11" t="n">
        <v>200</v>
      </c>
    </row>
    <row r="46">
      <c r="A46" s="7" t="n">
        <v>2</v>
      </c>
      <c r="B46" s="8" t="n">
        <v>9</v>
      </c>
      <c r="C46" s="9" t="n">
        <v>6700</v>
      </c>
      <c r="D46" s="9" t="n">
        <v>10000</v>
      </c>
      <c r="E46" s="9" t="n">
        <v>12500</v>
      </c>
      <c r="F46" s="10" t="inlineStr">
        <is>
          <t>Per 30 Minions, Troop HP +180</t>
        </is>
      </c>
      <c r="G46" s="11" t="n">
        <v>120</v>
      </c>
      <c r="I46" s="7" t="n">
        <v>2</v>
      </c>
      <c r="J46" s="8" t="n">
        <v>20</v>
      </c>
      <c r="K46" s="9" t="n">
        <v>14000</v>
      </c>
      <c r="L46" s="9" t="n">
        <v>21000</v>
      </c>
      <c r="M46" s="9" t="n">
        <v>62500</v>
      </c>
      <c r="N46" s="10" t="inlineStr">
        <is>
          <t>Snail DEF +28</t>
        </is>
      </c>
      <c r="O46" s="11" t="n">
        <v>180</v>
      </c>
      <c r="Q46" s="7" t="n">
        <v>2</v>
      </c>
      <c r="R46" s="8" t="n">
        <v>3</v>
      </c>
      <c r="S46" s="9" t="n">
        <v>37000</v>
      </c>
      <c r="T46" s="9" t="n">
        <v>54000</v>
      </c>
      <c r="U46" s="9" t="n">
        <v>250000</v>
      </c>
      <c r="V46" s="10" t="inlineStr">
        <is>
          <t>Per 60 Minions, Troop HP +600</t>
        </is>
      </c>
      <c r="W46" s="11" t="n">
        <v>300</v>
      </c>
    </row>
    <row r="47">
      <c r="A47" s="7" t="n">
        <v>3</v>
      </c>
      <c r="B47" s="8" t="n">
        <v>12</v>
      </c>
      <c r="C47" s="9" t="n">
        <v>8100</v>
      </c>
      <c r="D47" s="9" t="n">
        <v>12000</v>
      </c>
      <c r="E47" s="9" t="n">
        <v>15000</v>
      </c>
      <c r="F47" s="10" t="inlineStr">
        <is>
          <t>Per 30 Minions, Troop HP +270</t>
        </is>
      </c>
      <c r="G47" s="11" t="n">
        <v>160</v>
      </c>
      <c r="I47" s="7" t="n">
        <v>3</v>
      </c>
      <c r="J47" s="8" t="n">
        <v>28</v>
      </c>
      <c r="K47" s="9" t="n">
        <v>17000</v>
      </c>
      <c r="L47" s="9" t="n">
        <v>25000</v>
      </c>
      <c r="M47" s="9" t="n">
        <v>75000</v>
      </c>
      <c r="N47" s="10" t="inlineStr">
        <is>
          <t>Snail DEF +48</t>
        </is>
      </c>
      <c r="O47" s="11" t="n">
        <v>240</v>
      </c>
      <c r="Q47" s="7" t="n">
        <v>3</v>
      </c>
      <c r="R47" s="8" t="n">
        <v>4</v>
      </c>
      <c r="S47" s="9" t="n">
        <v>45000</v>
      </c>
      <c r="T47" s="9" t="n">
        <v>65000</v>
      </c>
      <c r="U47" s="9" t="n">
        <v>300000</v>
      </c>
      <c r="V47" s="10" t="inlineStr">
        <is>
          <t>Per 60 Minions, Troop HP +900</t>
        </is>
      </c>
      <c r="W47" s="11" t="n">
        <v>400</v>
      </c>
    </row>
    <row r="48">
      <c r="A48" s="7" t="n">
        <v>4</v>
      </c>
      <c r="B48" s="8" t="n">
        <v>15</v>
      </c>
      <c r="C48" s="9" t="n">
        <v>9400</v>
      </c>
      <c r="D48" s="9" t="n">
        <v>14000</v>
      </c>
      <c r="E48" s="9" t="n">
        <v>17500</v>
      </c>
      <c r="F48" s="10" t="inlineStr">
        <is>
          <t>Per 30 Minions, Troop HP +360</t>
        </is>
      </c>
      <c r="G48" s="11" t="n">
        <v>200</v>
      </c>
      <c r="I48" s="7" t="n">
        <v>4</v>
      </c>
      <c r="J48" s="8" t="n">
        <v>36</v>
      </c>
      <c r="K48" s="9" t="n">
        <v>19000</v>
      </c>
      <c r="L48" s="9" t="n">
        <v>29000</v>
      </c>
      <c r="M48" s="9" t="n">
        <v>87500</v>
      </c>
      <c r="N48" s="10" t="inlineStr">
        <is>
          <t>Snail DEF +72</t>
        </is>
      </c>
      <c r="O48" s="11" t="n">
        <v>300</v>
      </c>
      <c r="Q48" s="7" t="n">
        <v>4</v>
      </c>
      <c r="R48" s="8" t="n">
        <v>5</v>
      </c>
      <c r="S48" s="9" t="n">
        <v>52000</v>
      </c>
      <c r="T48" s="9" t="n">
        <v>75000</v>
      </c>
      <c r="U48" s="9" t="n">
        <v>350000</v>
      </c>
      <c r="V48" s="10" t="inlineStr">
        <is>
          <t>Per 60 Minions, Troop HP +1200</t>
        </is>
      </c>
      <c r="W48" s="11" t="n">
        <v>500</v>
      </c>
    </row>
    <row r="49">
      <c r="A49" s="7" t="n">
        <v>5</v>
      </c>
      <c r="B49" s="8" t="n">
        <v>18</v>
      </c>
      <c r="C49" s="9" t="n">
        <v>10000</v>
      </c>
      <c r="D49" s="9" t="n">
        <v>16000</v>
      </c>
      <c r="E49" s="9" t="n">
        <v>20000</v>
      </c>
      <c r="F49" s="10" t="inlineStr">
        <is>
          <t>Per 30 Minions, Troop HP +450</t>
        </is>
      </c>
      <c r="G49" s="11" t="n">
        <v>240</v>
      </c>
      <c r="I49" s="7" t="n">
        <v>5</v>
      </c>
      <c r="J49" s="8" t="n">
        <v>44</v>
      </c>
      <c r="K49" s="9" t="n">
        <v>22000</v>
      </c>
      <c r="L49" s="9" t="n">
        <v>34000</v>
      </c>
      <c r="M49" s="9" t="n">
        <v>100000</v>
      </c>
      <c r="N49" s="10" t="inlineStr">
        <is>
          <t>Snail DEF +100</t>
        </is>
      </c>
      <c r="O49" s="11" t="n">
        <v>360</v>
      </c>
      <c r="Q49" s="7" t="n">
        <v>5</v>
      </c>
      <c r="R49" s="8" t="n">
        <v>6</v>
      </c>
      <c r="S49" s="9" t="n">
        <v>60000</v>
      </c>
      <c r="T49" s="9" t="n">
        <v>86000</v>
      </c>
      <c r="U49" s="9" t="n">
        <v>400000</v>
      </c>
      <c r="V49" s="10" t="inlineStr">
        <is>
          <t>Per 60 Minions, Troop HP +1500</t>
        </is>
      </c>
      <c r="W49" s="11" t="n">
        <v>600</v>
      </c>
    </row>
    <row r="50">
      <c r="A50" s="7" t="n">
        <v>6</v>
      </c>
      <c r="B50" s="8" t="n">
        <v>21</v>
      </c>
      <c r="C50" s="9" t="n">
        <v>12000</v>
      </c>
      <c r="D50" s="9" t="n">
        <v>18000</v>
      </c>
      <c r="E50" s="9" t="n">
        <v>22500</v>
      </c>
      <c r="F50" s="10" t="inlineStr">
        <is>
          <t>Per 30 Minions, Troop HP +540</t>
        </is>
      </c>
      <c r="G50" s="11" t="n">
        <v>280</v>
      </c>
      <c r="I50" s="7" t="n">
        <v>6</v>
      </c>
      <c r="J50" s="8" t="n">
        <v>52</v>
      </c>
      <c r="K50" s="9" t="n">
        <v>25000</v>
      </c>
      <c r="L50" s="9" t="n">
        <v>38000</v>
      </c>
      <c r="M50" s="9" t="n">
        <v>112500</v>
      </c>
      <c r="N50" s="10" t="inlineStr">
        <is>
          <t>Snail DEF +132</t>
        </is>
      </c>
      <c r="O50" s="11" t="n">
        <v>420</v>
      </c>
      <c r="Q50" s="7" t="n">
        <v>6</v>
      </c>
      <c r="R50" s="8" t="n">
        <v>7</v>
      </c>
      <c r="S50" s="9" t="n">
        <v>67000</v>
      </c>
      <c r="T50" s="9" t="n">
        <v>97000</v>
      </c>
      <c r="U50" s="9" t="n">
        <v>450000</v>
      </c>
      <c r="V50" s="10" t="inlineStr">
        <is>
          <t>Per 60 Minions, Troop HP +1800</t>
        </is>
      </c>
      <c r="W50" s="11" t="n">
        <v>700</v>
      </c>
    </row>
    <row r="51">
      <c r="A51" s="7" t="n">
        <v>7</v>
      </c>
      <c r="B51" s="8" t="n">
        <v>24</v>
      </c>
      <c r="C51" s="9" t="n">
        <v>13000</v>
      </c>
      <c r="D51" s="9" t="n">
        <v>20000</v>
      </c>
      <c r="E51" s="9" t="n">
        <v>25000</v>
      </c>
      <c r="F51" s="10" t="inlineStr">
        <is>
          <t>Per 30 Minions, Troop HP +630</t>
        </is>
      </c>
      <c r="G51" s="11" t="n">
        <v>320</v>
      </c>
      <c r="I51" s="7" t="n">
        <v>7</v>
      </c>
      <c r="J51" s="8" t="n">
        <v>60</v>
      </c>
      <c r="K51" s="9" t="n">
        <v>28000</v>
      </c>
      <c r="L51" s="9" t="n">
        <v>42000</v>
      </c>
      <c r="M51" s="9" t="n">
        <v>125000</v>
      </c>
      <c r="N51" s="10" t="inlineStr">
        <is>
          <t>Snail DEF +168</t>
        </is>
      </c>
      <c r="O51" s="11" t="n">
        <v>480</v>
      </c>
      <c r="Q51" s="7" t="n">
        <v>7</v>
      </c>
      <c r="R51" s="8" t="n">
        <v>8</v>
      </c>
      <c r="S51" s="9" t="n">
        <v>75000</v>
      </c>
      <c r="T51" s="9" t="n">
        <v>100000</v>
      </c>
      <c r="U51" s="9" t="n">
        <v>500000</v>
      </c>
      <c r="V51" s="10" t="inlineStr">
        <is>
          <t>Per 60 Minions, Troop HP +2100</t>
        </is>
      </c>
      <c r="W51" s="11" t="n">
        <v>800</v>
      </c>
    </row>
    <row r="52">
      <c r="A52" s="7" t="n">
        <v>8</v>
      </c>
      <c r="B52" s="8" t="n">
        <v>27</v>
      </c>
      <c r="C52" s="9" t="n">
        <v>14000</v>
      </c>
      <c r="D52" s="9" t="n">
        <v>22000</v>
      </c>
      <c r="E52" s="9" t="n">
        <v>27500</v>
      </c>
      <c r="F52" s="10" t="inlineStr">
        <is>
          <t>Per 30 Minions, Troop HP +720</t>
        </is>
      </c>
      <c r="G52" s="11" t="n">
        <v>360</v>
      </c>
      <c r="I52" s="7" t="n">
        <v>8</v>
      </c>
      <c r="J52" s="8" t="n">
        <v>68</v>
      </c>
      <c r="K52" s="9" t="n">
        <v>31000</v>
      </c>
      <c r="L52" s="9" t="n">
        <v>47000</v>
      </c>
      <c r="M52" s="9" t="n">
        <v>137500</v>
      </c>
      <c r="N52" s="10" t="inlineStr">
        <is>
          <t>Snail DEF +208</t>
        </is>
      </c>
      <c r="O52" s="11" t="n">
        <v>540</v>
      </c>
      <c r="Q52" s="7" t="n">
        <v>8</v>
      </c>
      <c r="R52" s="8" t="n">
        <v>9</v>
      </c>
      <c r="S52" s="9" t="n">
        <v>82000</v>
      </c>
      <c r="T52" s="9" t="n">
        <v>110000</v>
      </c>
      <c r="U52" s="9" t="n">
        <v>550000</v>
      </c>
      <c r="V52" s="10" t="inlineStr">
        <is>
          <t>Per 60 Minions, Troop HP +2400</t>
        </is>
      </c>
      <c r="W52" s="11" t="n">
        <v>900</v>
      </c>
    </row>
    <row r="53">
      <c r="A53" s="7" t="n">
        <v>9</v>
      </c>
      <c r="B53" s="8" t="n">
        <v>30</v>
      </c>
      <c r="C53" s="9" t="n">
        <v>16000</v>
      </c>
      <c r="D53" s="9" t="n">
        <v>24000</v>
      </c>
      <c r="E53" s="9" t="n">
        <v>30000</v>
      </c>
      <c r="F53" s="10" t="inlineStr">
        <is>
          <t>Per 30 Minions, Troop HP +810</t>
        </is>
      </c>
      <c r="G53" s="11" t="n">
        <v>400</v>
      </c>
      <c r="I53" s="7" t="n">
        <v>9</v>
      </c>
      <c r="J53" s="8" t="n">
        <v>76</v>
      </c>
      <c r="K53" s="9" t="n">
        <v>34000</v>
      </c>
      <c r="L53" s="9" t="n">
        <v>51000</v>
      </c>
      <c r="M53" s="9" t="n">
        <v>150000</v>
      </c>
      <c r="N53" s="10" t="inlineStr">
        <is>
          <t>Snail DEF +252</t>
        </is>
      </c>
      <c r="O53" s="11" t="n">
        <v>600</v>
      </c>
      <c r="Q53" s="7" t="n">
        <v>9</v>
      </c>
      <c r="R53" s="8" t="n">
        <v>10</v>
      </c>
      <c r="S53" s="9" t="n">
        <v>90000</v>
      </c>
      <c r="T53" s="9" t="n">
        <v>130000</v>
      </c>
      <c r="U53" s="9" t="n">
        <v>600000</v>
      </c>
      <c r="V53" s="10" t="inlineStr">
        <is>
          <t>Per 60 Minions, Troop HP +2700</t>
        </is>
      </c>
      <c r="W53" s="11" t="n">
        <v>1000</v>
      </c>
    </row>
    <row r="54">
      <c r="A54" s="7" t="n">
        <v>10</v>
      </c>
      <c r="B54" s="8" t="n">
        <v>33</v>
      </c>
      <c r="C54" s="9" t="n">
        <v>17000</v>
      </c>
      <c r="D54" s="9" t="n">
        <v>26000</v>
      </c>
      <c r="E54" s="9" t="n">
        <v>32500</v>
      </c>
      <c r="F54" s="10" t="inlineStr">
        <is>
          <t>Per 30 Minions, Troop HP +900</t>
        </is>
      </c>
      <c r="G54" s="11" t="n">
        <v>440</v>
      </c>
      <c r="I54" s="7" t="n">
        <v>10</v>
      </c>
      <c r="J54" s="8" t="n">
        <v>84</v>
      </c>
      <c r="K54" s="9" t="n">
        <v>37000</v>
      </c>
      <c r="L54" s="9" t="n">
        <v>55000</v>
      </c>
      <c r="M54" s="9" t="n">
        <v>162500</v>
      </c>
      <c r="N54" s="10" t="inlineStr">
        <is>
          <t>Snail DEF +300</t>
        </is>
      </c>
      <c r="O54" s="11" t="n">
        <v>660</v>
      </c>
      <c r="Q54" s="7" t="n">
        <v>10</v>
      </c>
      <c r="R54" s="8" t="n">
        <v>11</v>
      </c>
      <c r="S54" s="9" t="n">
        <v>97000</v>
      </c>
      <c r="T54" s="9" t="n">
        <v>140000</v>
      </c>
      <c r="U54" s="9" t="n">
        <v>650000</v>
      </c>
      <c r="V54" s="10" t="inlineStr">
        <is>
          <t>Per 60 Minions, Troop HP +3000</t>
        </is>
      </c>
      <c r="W54" s="11" t="n">
        <v>1100</v>
      </c>
    </row>
    <row r="55">
      <c r="A55" s="12" t="inlineStr">
        <is>
          <t>Total</t>
        </is>
      </c>
      <c r="B55" s="13">
        <f>SUM(B45:B54)</f>
        <v/>
      </c>
      <c r="C55" s="14">
        <f>SUM(C45:C54)</f>
        <v/>
      </c>
      <c r="D55" s="14">
        <f>SUM(D45:D54)</f>
        <v/>
      </c>
      <c r="E55" s="14">
        <f>SUM(E45:E54)</f>
        <v/>
      </c>
      <c r="F55" s="15" t="n"/>
      <c r="G55" s="16">
        <f>SUM(G45:G54)</f>
        <v/>
      </c>
      <c r="I55" s="12" t="inlineStr">
        <is>
          <t>Total</t>
        </is>
      </c>
      <c r="J55" s="22">
        <f>SUM(J45:J54)</f>
        <v/>
      </c>
      <c r="K55" s="14">
        <f>SUM(K45:K54)</f>
        <v/>
      </c>
      <c r="L55" s="14">
        <f>SUM(L45:L54)</f>
        <v/>
      </c>
      <c r="M55" s="14">
        <f>SUM(M45:M54)</f>
        <v/>
      </c>
      <c r="N55" s="15" t="n"/>
      <c r="O55" s="16">
        <f>SUM(O45:O54)</f>
        <v/>
      </c>
      <c r="Q55" s="12" t="inlineStr">
        <is>
          <t>Total</t>
        </is>
      </c>
      <c r="R55" s="22">
        <f>SUM(R45:R54)</f>
        <v/>
      </c>
      <c r="S55" s="14">
        <f>SUM(S45:S54)</f>
        <v/>
      </c>
      <c r="T55" s="14">
        <f>SUM(T45:T54)</f>
        <v/>
      </c>
      <c r="U55" s="14">
        <f>SUM(U45:U54)</f>
        <v/>
      </c>
      <c r="V55" s="15" t="n"/>
      <c r="W55" s="16">
        <f>SUM(W45:W54)</f>
        <v/>
      </c>
    </row>
    <row r="56">
      <c r="A56" s="20" t="n"/>
      <c r="B56" s="10" t="n"/>
      <c r="C56" s="10" t="n"/>
      <c r="D56" s="10" t="n"/>
      <c r="E56" s="10" t="n"/>
      <c r="F56" s="10" t="n"/>
      <c r="G56" s="21" t="n"/>
      <c r="I56" s="20" t="n"/>
      <c r="J56" s="10" t="n"/>
      <c r="K56" s="10" t="n"/>
      <c r="L56" s="10" t="n"/>
      <c r="M56" s="10" t="n"/>
      <c r="N56" s="10" t="n"/>
      <c r="O56" s="21" t="n"/>
      <c r="Q56" s="20" t="n"/>
      <c r="R56" s="10" t="n"/>
      <c r="S56" s="10" t="n"/>
      <c r="T56" s="10" t="n"/>
      <c r="U56" s="10" t="n"/>
      <c r="V56" s="10" t="n"/>
      <c r="W56" s="21" t="n"/>
    </row>
    <row r="57">
      <c r="A57" s="20" t="n"/>
      <c r="B57" s="10" t="n"/>
      <c r="C57" s="10" t="n"/>
      <c r="D57" s="10" t="n"/>
      <c r="E57" s="10" t="n"/>
      <c r="F57" s="10" t="n"/>
      <c r="G57" s="21" t="n"/>
      <c r="I57" s="20" t="n"/>
      <c r="J57" s="10" t="n"/>
      <c r="K57" s="10" t="n"/>
      <c r="L57" s="10" t="n"/>
      <c r="M57" s="10" t="n"/>
      <c r="N57" s="10" t="n"/>
      <c r="O57" s="21" t="n"/>
      <c r="Q57" s="20" t="n"/>
      <c r="R57" s="10" t="n"/>
      <c r="S57" s="10" t="n"/>
      <c r="T57" s="10" t="n"/>
      <c r="U57" s="10" t="n"/>
      <c r="V57" s="10" t="n"/>
      <c r="W57" s="21" t="n"/>
    </row>
    <row r="58">
      <c r="A58" s="23" t="inlineStr">
        <is>
          <t>2B - ATK Up Gene III</t>
        </is>
      </c>
      <c r="B58" s="24" t="n"/>
      <c r="C58" s="25" t="inlineStr">
        <is>
          <t>Angel</t>
        </is>
      </c>
      <c r="D58" s="25" t="inlineStr">
        <is>
          <t>Mecha</t>
        </is>
      </c>
      <c r="E58" s="25" t="inlineStr">
        <is>
          <t>Btads</t>
        </is>
      </c>
      <c r="F58" s="25" t="n"/>
      <c r="G58" s="26" t="inlineStr">
        <is>
          <t>DNA Points</t>
        </is>
      </c>
      <c r="I58" s="23" t="inlineStr">
        <is>
          <t>2B - RUSH Up III</t>
        </is>
      </c>
      <c r="J58" s="24" t="n"/>
      <c r="K58" s="25" t="inlineStr">
        <is>
          <t>Angel</t>
        </is>
      </c>
      <c r="L58" s="25" t="inlineStr">
        <is>
          <t>Mecha</t>
        </is>
      </c>
      <c r="M58" s="25" t="inlineStr">
        <is>
          <t>Btads</t>
        </is>
      </c>
      <c r="N58" s="25" t="n"/>
      <c r="O58" s="26" t="n"/>
      <c r="Q58" s="23" t="inlineStr">
        <is>
          <t>2B - ATK Up Gene IV</t>
        </is>
      </c>
      <c r="R58" s="24" t="n"/>
      <c r="S58" s="25" t="inlineStr">
        <is>
          <t>Angel</t>
        </is>
      </c>
      <c r="T58" s="25" t="inlineStr">
        <is>
          <t>Mecha</t>
        </is>
      </c>
      <c r="U58" s="25" t="n"/>
      <c r="V58" s="25" t="n"/>
      <c r="W58" s="26" t="n"/>
    </row>
    <row r="59">
      <c r="A59" s="27" t="n">
        <v>1</v>
      </c>
      <c r="B59" s="28" t="n">
        <v>8</v>
      </c>
      <c r="C59" s="29" t="n">
        <v>10000</v>
      </c>
      <c r="D59" s="29" t="n">
        <v>5400</v>
      </c>
      <c r="E59" s="29" t="n">
        <v>15000</v>
      </c>
      <c r="F59" s="30" t="inlineStr">
        <is>
          <t>Per 30 Minions, Troop ATK +9</t>
        </is>
      </c>
      <c r="G59" s="31" t="n">
        <v>90</v>
      </c>
      <c r="I59" s="27" t="n">
        <v>1</v>
      </c>
      <c r="J59" s="28" t="n">
        <v>15</v>
      </c>
      <c r="K59" s="29" t="n">
        <v>22000</v>
      </c>
      <c r="L59" s="29" t="n">
        <v>11000</v>
      </c>
      <c r="M59" s="29" t="n">
        <v>60000</v>
      </c>
      <c r="N59" s="30" t="inlineStr">
        <is>
          <t>Snail RUSH +12</t>
        </is>
      </c>
      <c r="O59" s="31" t="n">
        <v>140</v>
      </c>
      <c r="Q59" s="27" t="n">
        <v>1</v>
      </c>
      <c r="R59" s="28" t="n">
        <v>4</v>
      </c>
      <c r="S59" s="29" t="n">
        <v>63000</v>
      </c>
      <c r="T59" s="29" t="n">
        <v>31000</v>
      </c>
      <c r="U59" s="29" t="n">
        <v>320000</v>
      </c>
      <c r="V59" s="30" t="inlineStr">
        <is>
          <t>Per 60 Minions, Troop ATK +30</t>
        </is>
      </c>
      <c r="W59" s="31" t="n">
        <v>240</v>
      </c>
    </row>
    <row r="60">
      <c r="A60" s="32" t="n">
        <v>2</v>
      </c>
      <c r="B60" s="33" t="n">
        <v>12</v>
      </c>
      <c r="C60" s="34" t="n">
        <v>13000</v>
      </c>
      <c r="D60" s="34" t="n">
        <v>6700</v>
      </c>
      <c r="E60" s="34" t="n">
        <v>18750</v>
      </c>
      <c r="F60" s="35" t="inlineStr">
        <is>
          <t>Per 30 Minions, Troop ATK +18</t>
        </is>
      </c>
      <c r="G60" s="36" t="n">
        <v>135</v>
      </c>
      <c r="I60" s="32" t="n">
        <v>2</v>
      </c>
      <c r="J60" s="33" t="n">
        <v>25</v>
      </c>
      <c r="K60" s="34" t="n">
        <v>28000</v>
      </c>
      <c r="L60" s="34" t="n">
        <v>14000</v>
      </c>
      <c r="M60" s="34" t="n">
        <v>75000</v>
      </c>
      <c r="N60" s="35" t="inlineStr">
        <is>
          <t>Snail RUSH +28</t>
        </is>
      </c>
      <c r="O60" s="36" t="n">
        <v>210</v>
      </c>
      <c r="Q60" s="32" t="n">
        <v>2</v>
      </c>
      <c r="R60" s="33" t="n">
        <v>6</v>
      </c>
      <c r="S60" s="34" t="n">
        <v>78000</v>
      </c>
      <c r="T60" s="34" t="n">
        <v>39000</v>
      </c>
      <c r="U60" s="34" t="n">
        <v>400000</v>
      </c>
      <c r="V60" s="35" t="inlineStr">
        <is>
          <t>Per 60 Minions, Troop ATK +60</t>
        </is>
      </c>
      <c r="W60" s="36" t="n">
        <v>360</v>
      </c>
    </row>
    <row r="61">
      <c r="A61" s="27" t="n">
        <v>3</v>
      </c>
      <c r="B61" s="28" t="n">
        <v>16</v>
      </c>
      <c r="C61" s="29" t="n">
        <v>16000</v>
      </c>
      <c r="D61" s="29" t="n">
        <v>8100</v>
      </c>
      <c r="E61" s="29" t="n">
        <v>22500</v>
      </c>
      <c r="F61" s="30" t="inlineStr">
        <is>
          <t>Per 30 Minions, Troop ATK +27</t>
        </is>
      </c>
      <c r="G61" s="31" t="n">
        <v>180</v>
      </c>
      <c r="I61" s="27" t="n">
        <v>3</v>
      </c>
      <c r="J61" s="28" t="n">
        <v>35</v>
      </c>
      <c r="K61" s="29" t="n">
        <v>34000</v>
      </c>
      <c r="L61" s="29" t="n">
        <v>17000</v>
      </c>
      <c r="M61" s="29" t="n">
        <v>90000</v>
      </c>
      <c r="N61" s="30" t="inlineStr">
        <is>
          <t>Snail RUSH +48</t>
        </is>
      </c>
      <c r="O61" s="31" t="n">
        <v>280</v>
      </c>
      <c r="Q61" s="27" t="n">
        <v>3</v>
      </c>
      <c r="R61" s="28" t="n">
        <v>8</v>
      </c>
      <c r="S61" s="29" t="n"/>
      <c r="T61" s="29" t="n"/>
      <c r="U61" s="29" t="n">
        <v>480000</v>
      </c>
      <c r="V61" s="30" t="inlineStr">
        <is>
          <t>Per 60 Minions, Troop ATK +90</t>
        </is>
      </c>
      <c r="W61" s="31" t="n">
        <v>480</v>
      </c>
    </row>
    <row r="62">
      <c r="A62" s="32" t="n">
        <v>4</v>
      </c>
      <c r="B62" s="33" t="n">
        <v>20</v>
      </c>
      <c r="C62" s="34" t="n">
        <v>18000</v>
      </c>
      <c r="D62" s="34" t="n">
        <v>9400</v>
      </c>
      <c r="E62" s="34" t="n">
        <v>26250</v>
      </c>
      <c r="F62" s="35" t="inlineStr">
        <is>
          <t>Per 30 Minions, Troop ATK +36</t>
        </is>
      </c>
      <c r="G62" s="36" t="n">
        <v>25</v>
      </c>
      <c r="I62" s="32" t="n">
        <v>4</v>
      </c>
      <c r="J62" s="33" t="n">
        <v>45</v>
      </c>
      <c r="K62" s="34" t="n">
        <v>39000</v>
      </c>
      <c r="L62" s="34" t="n">
        <v>19000</v>
      </c>
      <c r="M62" s="34" t="n">
        <v>105000</v>
      </c>
      <c r="N62" s="35" t="inlineStr">
        <is>
          <t>Snail RUSH +72</t>
        </is>
      </c>
      <c r="O62" s="36" t="n">
        <v>350</v>
      </c>
      <c r="Q62" s="32" t="n">
        <v>4</v>
      </c>
      <c r="R62" s="33" t="n">
        <v>10</v>
      </c>
      <c r="S62" s="34" t="n"/>
      <c r="T62" s="34" t="n"/>
      <c r="U62" s="34" t="n">
        <v>560000</v>
      </c>
      <c r="V62" s="35" t="inlineStr">
        <is>
          <t>Per 60 Minions, Troop ATK +120</t>
        </is>
      </c>
      <c r="W62" s="36" t="n">
        <v>600</v>
      </c>
    </row>
    <row r="63">
      <c r="A63" s="27" t="n">
        <v>5</v>
      </c>
      <c r="B63" s="28" t="n">
        <v>24</v>
      </c>
      <c r="C63" s="29" t="n">
        <v>21000</v>
      </c>
      <c r="D63" s="29" t="n">
        <v>10000</v>
      </c>
      <c r="E63" s="29" t="n">
        <v>30000</v>
      </c>
      <c r="F63" s="30" t="inlineStr">
        <is>
          <t>Per 30 Minions, Troop ATK +45</t>
        </is>
      </c>
      <c r="G63" s="31" t="n">
        <v>270</v>
      </c>
      <c r="I63" s="27" t="n">
        <v>5</v>
      </c>
      <c r="J63" s="28" t="n">
        <v>55</v>
      </c>
      <c r="K63" s="29" t="n">
        <v>45000</v>
      </c>
      <c r="L63" s="29" t="n">
        <v>22000</v>
      </c>
      <c r="M63" s="29" t="n">
        <v>120000</v>
      </c>
      <c r="N63" s="30" t="inlineStr">
        <is>
          <t>Snail RUSH +100</t>
        </is>
      </c>
      <c r="O63" s="31" t="n">
        <v>420</v>
      </c>
      <c r="Q63" s="27" t="n">
        <v>5</v>
      </c>
      <c r="R63" s="28" t="n">
        <v>12</v>
      </c>
      <c r="S63" s="29" t="n"/>
      <c r="T63" s="29" t="n"/>
      <c r="U63" s="29" t="n">
        <v>640000</v>
      </c>
      <c r="V63" s="30" t="inlineStr">
        <is>
          <t>Per 60 Minions, Troop ATK +150</t>
        </is>
      </c>
      <c r="W63" s="31" t="n">
        <v>720</v>
      </c>
    </row>
    <row r="64">
      <c r="A64" s="32" t="n">
        <v>6</v>
      </c>
      <c r="B64" s="33" t="n">
        <v>28</v>
      </c>
      <c r="C64" s="34" t="n">
        <v>24000</v>
      </c>
      <c r="D64" s="34" t="n">
        <v>12000</v>
      </c>
      <c r="E64" s="34" t="n">
        <v>33750</v>
      </c>
      <c r="F64" s="35" t="inlineStr">
        <is>
          <t>Per 30 Minions, Troop ATK +54</t>
        </is>
      </c>
      <c r="G64" s="36" t="n">
        <v>315</v>
      </c>
      <c r="I64" s="32" t="n">
        <v>6</v>
      </c>
      <c r="J64" s="33" t="n">
        <v>65</v>
      </c>
      <c r="K64" s="34" t="n">
        <v>51000</v>
      </c>
      <c r="L64" s="34" t="n">
        <v>25000</v>
      </c>
      <c r="M64" s="34" t="n">
        <v>135000</v>
      </c>
      <c r="N64" s="35" t="inlineStr">
        <is>
          <t>Snail RUSH +132</t>
        </is>
      </c>
      <c r="O64" s="36" t="n">
        <v>490</v>
      </c>
      <c r="Q64" s="32" t="n">
        <v>6</v>
      </c>
      <c r="R64" s="33" t="n">
        <v>14</v>
      </c>
      <c r="S64" s="34" t="n"/>
      <c r="T64" s="34" t="n"/>
      <c r="U64" s="34" t="n">
        <v>720000</v>
      </c>
      <c r="V64" s="35" t="inlineStr">
        <is>
          <t>Per 60 Minions, Troop ATK +180</t>
        </is>
      </c>
      <c r="W64" s="36" t="n">
        <v>840</v>
      </c>
    </row>
    <row r="65">
      <c r="A65" s="27" t="n">
        <v>7</v>
      </c>
      <c r="B65" s="28" t="n">
        <v>32</v>
      </c>
      <c r="C65" s="29" t="n">
        <v>27000</v>
      </c>
      <c r="D65" s="29" t="n">
        <v>13000</v>
      </c>
      <c r="E65" s="29" t="n">
        <v>37500</v>
      </c>
      <c r="F65" s="30" t="inlineStr">
        <is>
          <t>Per 30 Minions, Troop ATK +63</t>
        </is>
      </c>
      <c r="G65" s="31" t="n">
        <v>360</v>
      </c>
      <c r="I65" s="27" t="n">
        <v>7</v>
      </c>
      <c r="J65" s="28" t="n">
        <v>75</v>
      </c>
      <c r="K65" s="29" t="n">
        <v>57000</v>
      </c>
      <c r="L65" s="29" t="n">
        <v>28000</v>
      </c>
      <c r="M65" s="29" t="n">
        <v>150000</v>
      </c>
      <c r="N65" s="30" t="inlineStr">
        <is>
          <t>Snail RUSH +168</t>
        </is>
      </c>
      <c r="O65" s="31" t="n">
        <v>560</v>
      </c>
      <c r="Q65" s="27" t="n">
        <v>7</v>
      </c>
      <c r="R65" s="28" t="n">
        <v>16</v>
      </c>
      <c r="S65" s="29" t="n">
        <v>170000</v>
      </c>
      <c r="T65" s="29" t="n">
        <v>86000</v>
      </c>
      <c r="U65" s="29" t="n">
        <v>800000</v>
      </c>
      <c r="V65" s="30" t="inlineStr">
        <is>
          <t>Per 60 Minions, Troop ATK +210</t>
        </is>
      </c>
      <c r="W65" s="31" t="n">
        <v>960</v>
      </c>
    </row>
    <row r="66">
      <c r="A66" s="32" t="n">
        <v>8</v>
      </c>
      <c r="B66" s="33" t="n">
        <v>36</v>
      </c>
      <c r="C66" s="34" t="n">
        <v>29000</v>
      </c>
      <c r="D66" s="34" t="n">
        <v>14000</v>
      </c>
      <c r="E66" s="34" t="n">
        <v>41250</v>
      </c>
      <c r="F66" s="35" t="inlineStr">
        <is>
          <t>Per 30 Minions, Troop ATK +72</t>
        </is>
      </c>
      <c r="G66" s="36" t="n">
        <v>405</v>
      </c>
      <c r="I66" s="32" t="n">
        <v>8</v>
      </c>
      <c r="J66" s="33" t="n">
        <v>85</v>
      </c>
      <c r="K66" s="34" t="n">
        <v>62000</v>
      </c>
      <c r="L66" s="34" t="n">
        <v>31000</v>
      </c>
      <c r="M66" s="34" t="n">
        <v>165000</v>
      </c>
      <c r="N66" s="35" t="inlineStr">
        <is>
          <t>Snail RUSH +208</t>
        </is>
      </c>
      <c r="O66" s="36" t="n">
        <v>630</v>
      </c>
      <c r="Q66" s="32" t="n">
        <v>8</v>
      </c>
      <c r="R66" s="33" t="n">
        <v>18</v>
      </c>
      <c r="S66" s="34" t="n"/>
      <c r="T66" s="34" t="n"/>
      <c r="U66" s="34" t="n">
        <v>880000</v>
      </c>
      <c r="V66" s="35" t="inlineStr">
        <is>
          <t>Per 60 Minions, Troop ATK +240</t>
        </is>
      </c>
      <c r="W66" s="36" t="n">
        <v>1080</v>
      </c>
    </row>
    <row r="67">
      <c r="A67" s="27" t="n">
        <v>9</v>
      </c>
      <c r="B67" s="28" t="n">
        <v>40</v>
      </c>
      <c r="C67" s="29" t="n">
        <v>32000</v>
      </c>
      <c r="D67" s="29" t="n">
        <v>16000</v>
      </c>
      <c r="E67" s="29" t="n">
        <v>45000</v>
      </c>
      <c r="F67" s="30" t="inlineStr">
        <is>
          <t>Per 30 Minions, Troop ATK +81</t>
        </is>
      </c>
      <c r="G67" s="31" t="n">
        <v>450</v>
      </c>
      <c r="I67" s="27" t="n">
        <v>9</v>
      </c>
      <c r="J67" s="28" t="n">
        <v>95</v>
      </c>
      <c r="K67" s="29" t="n">
        <v>68000</v>
      </c>
      <c r="L67" s="29" t="n">
        <v>34000</v>
      </c>
      <c r="M67" s="29" t="n">
        <v>180000</v>
      </c>
      <c r="N67" s="30" t="inlineStr">
        <is>
          <t>Snail RUSH +252</t>
        </is>
      </c>
      <c r="O67" s="31" t="n">
        <v>700</v>
      </c>
      <c r="Q67" s="27" t="n">
        <v>9</v>
      </c>
      <c r="R67" s="28" t="n">
        <v>20</v>
      </c>
      <c r="S67" s="29" t="n"/>
      <c r="T67" s="29" t="n"/>
      <c r="U67" s="29" t="n">
        <v>960000</v>
      </c>
      <c r="V67" s="30" t="inlineStr">
        <is>
          <t>Per 60 Minions, Troop ATK +270</t>
        </is>
      </c>
      <c r="W67" s="31" t="n">
        <v>1200</v>
      </c>
    </row>
    <row r="68">
      <c r="A68" s="32" t="n">
        <v>10</v>
      </c>
      <c r="B68" s="33" t="n">
        <v>44</v>
      </c>
      <c r="C68" s="34" t="n">
        <v>35000</v>
      </c>
      <c r="D68" s="34" t="n">
        <v>17000</v>
      </c>
      <c r="E68" s="34" t="n">
        <v>48750</v>
      </c>
      <c r="F68" s="35" t="inlineStr">
        <is>
          <t>Per 30 Minions, Troop ATK +90</t>
        </is>
      </c>
      <c r="G68" s="36" t="n">
        <v>495</v>
      </c>
      <c r="I68" s="32" t="n">
        <v>10</v>
      </c>
      <c r="J68" s="33" t="n">
        <v>105</v>
      </c>
      <c r="K68" s="34" t="n">
        <v>74000</v>
      </c>
      <c r="L68" s="34" t="n">
        <v>37000</v>
      </c>
      <c r="M68" s="34" t="n">
        <v>195000</v>
      </c>
      <c r="N68" s="35" t="inlineStr">
        <is>
          <t>Snail RUSH +300</t>
        </is>
      </c>
      <c r="O68" s="36" t="n">
        <v>770</v>
      </c>
      <c r="Q68" s="32" t="n">
        <v>10</v>
      </c>
      <c r="R68" s="33" t="n">
        <v>22</v>
      </c>
      <c r="S68" s="34" t="n"/>
      <c r="T68" s="34" t="n"/>
      <c r="U68" s="34" t="n">
        <v>1040000</v>
      </c>
      <c r="V68" s="35" t="inlineStr">
        <is>
          <t>Per 60 Minions, Troop ATK +300</t>
        </is>
      </c>
      <c r="W68" s="36" t="n">
        <v>1320</v>
      </c>
    </row>
    <row r="69">
      <c r="A69" s="37" t="inlineStr">
        <is>
          <t>Total</t>
        </is>
      </c>
      <c r="B69" s="38">
        <f>SUM(B59:B68)</f>
        <v/>
      </c>
      <c r="C69" s="39">
        <f>SUM(C59:C68)</f>
        <v/>
      </c>
      <c r="D69" s="39">
        <f>SUM(D59:D68)</f>
        <v/>
      </c>
      <c r="E69" s="39">
        <f>SUM(E59:E68)</f>
        <v/>
      </c>
      <c r="F69" s="40" t="n"/>
      <c r="G69" s="41">
        <f>SUM(G59:G68)</f>
        <v/>
      </c>
      <c r="I69" s="37" t="inlineStr">
        <is>
          <t>Total</t>
        </is>
      </c>
      <c r="J69" s="42">
        <f>SUM(J59:J68)</f>
        <v/>
      </c>
      <c r="K69" s="39">
        <f>SUM(K59:K68)</f>
        <v/>
      </c>
      <c r="L69" s="39">
        <f>SUM(L59:L68)</f>
        <v/>
      </c>
      <c r="M69" s="39">
        <f>SUM(M59:M68)</f>
        <v/>
      </c>
      <c r="N69" s="40" t="n"/>
      <c r="O69" s="41">
        <f>SUM(O59:O68)</f>
        <v/>
      </c>
      <c r="Q69" s="37" t="inlineStr">
        <is>
          <t>Total</t>
        </is>
      </c>
      <c r="R69" s="42">
        <f>SUM(R59:R68)</f>
        <v/>
      </c>
      <c r="S69" s="39">
        <f>SUM(S59:S68)</f>
        <v/>
      </c>
      <c r="T69" s="39">
        <f>SUM(T59:T68)</f>
        <v/>
      </c>
      <c r="U69" s="39">
        <f>SUM(U59:U68)</f>
        <v/>
      </c>
      <c r="V69" s="40" t="n"/>
      <c r="W69" s="41">
        <f>SUM(W59:W68)</f>
        <v/>
      </c>
    </row>
    <row r="70">
      <c r="A70" s="20" t="n"/>
      <c r="B70" s="10" t="n"/>
      <c r="C70" s="10" t="n"/>
      <c r="D70" s="10" t="n"/>
      <c r="E70" s="10" t="n"/>
      <c r="F70" s="10" t="n"/>
      <c r="G70" s="21" t="n"/>
      <c r="I70" s="20" t="n"/>
      <c r="J70" s="10" t="n"/>
      <c r="K70" s="10" t="n"/>
      <c r="L70" s="10" t="n"/>
      <c r="M70" s="10" t="n"/>
      <c r="N70" s="10" t="n"/>
      <c r="O70" s="21" t="n"/>
      <c r="Q70" s="20" t="n"/>
      <c r="R70" s="10" t="n"/>
      <c r="S70" s="10" t="n"/>
      <c r="T70" s="10" t="n"/>
      <c r="U70" s="10" t="n"/>
      <c r="V70" s="10" t="n"/>
      <c r="W70" s="21" t="n"/>
    </row>
    <row r="71">
      <c r="A71" s="20" t="n"/>
      <c r="B71" s="10" t="n"/>
      <c r="C71" s="10" t="n"/>
      <c r="D71" s="10" t="n"/>
      <c r="E71" s="10" t="n"/>
      <c r="F71" s="10" t="n"/>
      <c r="G71" s="21" t="n"/>
      <c r="I71" s="20" t="n"/>
      <c r="J71" s="10" t="n"/>
      <c r="K71" s="10" t="n"/>
      <c r="L71" s="10" t="n"/>
      <c r="M71" s="10" t="n"/>
      <c r="N71" s="10" t="n"/>
      <c r="O71" s="21" t="n"/>
      <c r="Q71" s="20" t="n"/>
      <c r="R71" s="10" t="n"/>
      <c r="S71" s="10" t="n"/>
      <c r="T71" s="10" t="n"/>
      <c r="U71" s="10" t="n"/>
      <c r="V71" s="10" t="n"/>
      <c r="W71" s="21" t="n"/>
    </row>
    <row r="72">
      <c r="A72" s="4" t="inlineStr">
        <is>
          <t>2C - All Genes Up III</t>
        </is>
      </c>
      <c r="B72" s="5" t="n"/>
      <c r="C72" s="5" t="inlineStr">
        <is>
          <t>Demon</t>
        </is>
      </c>
      <c r="D72" s="5" t="inlineStr">
        <is>
          <t>Mutant</t>
        </is>
      </c>
      <c r="E72" s="5" t="inlineStr">
        <is>
          <t>Btads</t>
        </is>
      </c>
      <c r="F72" s="5" t="n"/>
      <c r="G72" s="6" t="inlineStr">
        <is>
          <t>DNA Points</t>
        </is>
      </c>
      <c r="I72" s="4" t="inlineStr">
        <is>
          <t>2C - AFFCT Up III</t>
        </is>
      </c>
      <c r="J72" s="5" t="n"/>
      <c r="K72" s="5" t="inlineStr">
        <is>
          <t>Demon</t>
        </is>
      </c>
      <c r="L72" s="5" t="inlineStr">
        <is>
          <t>Mutant</t>
        </is>
      </c>
      <c r="M72" s="5" t="inlineStr">
        <is>
          <t>Btads</t>
        </is>
      </c>
      <c r="N72" s="5" t="n"/>
      <c r="O72" s="6" t="n"/>
      <c r="Q72" s="4" t="inlineStr">
        <is>
          <t>2C - All Genes Up IV</t>
        </is>
      </c>
      <c r="R72" s="5" t="n"/>
      <c r="S72" s="5" t="inlineStr">
        <is>
          <t>Demon</t>
        </is>
      </c>
      <c r="T72" s="5" t="inlineStr">
        <is>
          <t>Mutant</t>
        </is>
      </c>
      <c r="U72" s="5" t="n"/>
      <c r="V72" s="5" t="n"/>
      <c r="W72" s="6" t="n"/>
    </row>
    <row r="73">
      <c r="A73" s="7" t="n">
        <v>1</v>
      </c>
      <c r="B73" s="8" t="n">
        <v>10</v>
      </c>
      <c r="C73" s="9" t="n">
        <v>8100</v>
      </c>
      <c r="D73" s="9" t="n">
        <v>16000</v>
      </c>
      <c r="E73" s="9" t="n">
        <v>20000</v>
      </c>
      <c r="F73" s="10" t="inlineStr">
        <is>
          <t>Per 30 Minions, Troop HARD +3</t>
        </is>
      </c>
      <c r="G73" s="11" t="n">
        <v>100</v>
      </c>
      <c r="I73" s="7" t="n">
        <v>1</v>
      </c>
      <c r="J73" s="8" t="n">
        <v>18</v>
      </c>
      <c r="K73" s="9" t="n">
        <v>17000</v>
      </c>
      <c r="L73" s="9" t="n">
        <v>34000</v>
      </c>
      <c r="M73" s="9" t="n">
        <v>80000</v>
      </c>
      <c r="N73" s="10" t="inlineStr">
        <is>
          <t>AFFCT +30</t>
        </is>
      </c>
      <c r="O73" s="11" t="n">
        <v>160</v>
      </c>
      <c r="Q73" s="7" t="n">
        <v>1</v>
      </c>
      <c r="R73" s="8" t="n">
        <v>6</v>
      </c>
      <c r="S73" s="9" t="n"/>
      <c r="T73" s="9" t="n"/>
      <c r="U73" s="9" t="n">
        <v>480000</v>
      </c>
      <c r="V73" s="10" t="inlineStr">
        <is>
          <t>Per 60 Minions, Troop HARD +10</t>
        </is>
      </c>
      <c r="W73" s="11" t="n">
        <v>280</v>
      </c>
    </row>
    <row r="74">
      <c r="A74" s="7" t="n">
        <v>2</v>
      </c>
      <c r="B74" s="8" t="n">
        <v>15</v>
      </c>
      <c r="C74" s="9" t="n">
        <v>10000</v>
      </c>
      <c r="D74" s="9" t="n">
        <v>20000</v>
      </c>
      <c r="E74" s="9" t="n">
        <v>25000</v>
      </c>
      <c r="F74" s="10" t="inlineStr">
        <is>
          <t>Per 30 Minions, Troop HARD +6</t>
        </is>
      </c>
      <c r="G74" s="11" t="n">
        <v>150</v>
      </c>
      <c r="I74" s="7" t="n">
        <v>2</v>
      </c>
      <c r="J74" s="8" t="n">
        <v>30</v>
      </c>
      <c r="K74" s="9" t="n">
        <v>21000</v>
      </c>
      <c r="L74" s="9" t="n">
        <v>42000</v>
      </c>
      <c r="M74" s="9" t="n">
        <v>100000</v>
      </c>
      <c r="N74" s="10" t="inlineStr">
        <is>
          <t>AFFCT +70</t>
        </is>
      </c>
      <c r="O74" s="11" t="n">
        <v>240</v>
      </c>
      <c r="Q74" s="7" t="n">
        <v>2</v>
      </c>
      <c r="R74" s="8" t="n">
        <v>9</v>
      </c>
      <c r="S74" s="9" t="n"/>
      <c r="T74" s="9" t="n"/>
      <c r="U74" s="9" t="n">
        <v>600000</v>
      </c>
      <c r="V74" s="10" t="inlineStr">
        <is>
          <t>Per 60 Minions, Troop HARD +20</t>
        </is>
      </c>
      <c r="W74" s="11" t="n">
        <v>420</v>
      </c>
    </row>
    <row r="75">
      <c r="A75" s="7" t="n">
        <v>3</v>
      </c>
      <c r="B75" s="8" t="n">
        <v>20</v>
      </c>
      <c r="C75" s="9" t="n">
        <v>12000</v>
      </c>
      <c r="D75" s="9" t="n">
        <v>24000</v>
      </c>
      <c r="E75" s="9" t="n">
        <v>30000</v>
      </c>
      <c r="F75" s="10" t="inlineStr">
        <is>
          <t>Per 30 Minions, Troop HARD +9</t>
        </is>
      </c>
      <c r="G75" s="11" t="n">
        <v>200</v>
      </c>
      <c r="I75" s="7" t="n">
        <v>3</v>
      </c>
      <c r="J75" s="8" t="n">
        <v>42</v>
      </c>
      <c r="K75" s="9" t="n">
        <v>25000</v>
      </c>
      <c r="L75" s="9" t="n">
        <v>51000</v>
      </c>
      <c r="M75" s="9" t="n">
        <v>120000</v>
      </c>
      <c r="N75" s="10" t="inlineStr">
        <is>
          <t>AFFCT +120</t>
        </is>
      </c>
      <c r="O75" s="11" t="n">
        <v>320</v>
      </c>
      <c r="Q75" s="7" t="n">
        <v>3</v>
      </c>
      <c r="R75" s="8" t="n">
        <v>12</v>
      </c>
      <c r="S75" s="9" t="n"/>
      <c r="T75" s="9" t="n"/>
      <c r="U75" s="9" t="n">
        <v>720000</v>
      </c>
      <c r="V75" s="10" t="inlineStr">
        <is>
          <t>Per 60 Minions, Troop HARD +30</t>
        </is>
      </c>
      <c r="W75" s="11" t="n">
        <v>560</v>
      </c>
    </row>
    <row r="76">
      <c r="A76" s="7" t="n">
        <v>4</v>
      </c>
      <c r="B76" s="8" t="n">
        <v>25</v>
      </c>
      <c r="C76" s="9" t="n">
        <v>14000</v>
      </c>
      <c r="D76" s="9" t="n">
        <v>28000</v>
      </c>
      <c r="E76" s="9" t="n">
        <v>35000</v>
      </c>
      <c r="F76" s="10" t="inlineStr">
        <is>
          <t>Per 30 Minions, Troop HARD +12</t>
        </is>
      </c>
      <c r="G76" s="11" t="n">
        <v>250</v>
      </c>
      <c r="I76" s="7" t="n">
        <v>4</v>
      </c>
      <c r="J76" s="8" t="n">
        <v>54</v>
      </c>
      <c r="K76" s="9" t="n">
        <v>29000</v>
      </c>
      <c r="L76" s="9" t="n">
        <v>59000</v>
      </c>
      <c r="M76" s="9" t="n">
        <v>140000</v>
      </c>
      <c r="N76" s="10" t="inlineStr">
        <is>
          <t>AFFCT +180</t>
        </is>
      </c>
      <c r="O76" s="11" t="n">
        <v>400</v>
      </c>
      <c r="Q76" s="7" t="n">
        <v>4</v>
      </c>
      <c r="R76" s="8" t="n">
        <v>15</v>
      </c>
      <c r="S76" s="9" t="n"/>
      <c r="T76" s="9" t="n"/>
      <c r="U76" s="9" t="n">
        <v>840000</v>
      </c>
      <c r="V76" s="10" t="inlineStr">
        <is>
          <t>Per 60 Minions, Troop HARD +40</t>
        </is>
      </c>
      <c r="W76" s="11" t="n">
        <v>700</v>
      </c>
    </row>
    <row r="77">
      <c r="A77" s="7" t="n">
        <v>5</v>
      </c>
      <c r="B77" s="8" t="n">
        <v>30</v>
      </c>
      <c r="C77" s="9" t="n">
        <v>16000</v>
      </c>
      <c r="D77" s="9" t="n">
        <v>32000</v>
      </c>
      <c r="E77" s="9" t="n">
        <v>40000</v>
      </c>
      <c r="F77" s="10" t="inlineStr">
        <is>
          <t>Per 30 Minions, Troop HARD +15</t>
        </is>
      </c>
      <c r="G77" s="11" t="n">
        <v>300</v>
      </c>
      <c r="I77" s="7" t="n">
        <v>5</v>
      </c>
      <c r="J77" s="8" t="n">
        <v>66</v>
      </c>
      <c r="K77" s="9" t="n">
        <v>34000</v>
      </c>
      <c r="L77" s="9" t="n">
        <v>68000</v>
      </c>
      <c r="M77" s="9" t="n">
        <v>160000</v>
      </c>
      <c r="N77" s="10" t="inlineStr">
        <is>
          <t>AFFCT +250</t>
        </is>
      </c>
      <c r="O77" s="11" t="n">
        <v>480</v>
      </c>
      <c r="Q77" s="7" t="n">
        <v>5</v>
      </c>
      <c r="R77" s="8" t="n">
        <v>18</v>
      </c>
      <c r="S77" s="9" t="n"/>
      <c r="T77" s="9" t="n"/>
      <c r="U77" s="9" t="n">
        <v>960000</v>
      </c>
      <c r="V77" s="10" t="inlineStr">
        <is>
          <t>Per 60 Minions, Troop HARD +50</t>
        </is>
      </c>
      <c r="W77" s="11" t="n">
        <v>840</v>
      </c>
    </row>
    <row r="78">
      <c r="A78" s="7" t="n">
        <v>6</v>
      </c>
      <c r="B78" s="8" t="n">
        <v>35</v>
      </c>
      <c r="C78" s="9" t="n">
        <v>18000</v>
      </c>
      <c r="D78" s="9" t="n">
        <v>36000</v>
      </c>
      <c r="E78" s="9" t="n">
        <v>45000</v>
      </c>
      <c r="F78" s="10" t="inlineStr">
        <is>
          <t>Per 30 Minions, Troop HARD +18</t>
        </is>
      </c>
      <c r="G78" s="11" t="n">
        <v>350</v>
      </c>
      <c r="I78" s="7" t="n">
        <v>6</v>
      </c>
      <c r="J78" s="8" t="n">
        <v>78</v>
      </c>
      <c r="K78" s="9" t="n">
        <v>38000</v>
      </c>
      <c r="L78" s="9" t="n">
        <v>76000</v>
      </c>
      <c r="M78" s="9" t="n">
        <v>180000</v>
      </c>
      <c r="N78" s="10" t="inlineStr">
        <is>
          <t>AFFCT +330</t>
        </is>
      </c>
      <c r="O78" s="11" t="n">
        <v>560</v>
      </c>
      <c r="Q78" s="7" t="n">
        <v>6</v>
      </c>
      <c r="R78" s="8" t="n">
        <v>21</v>
      </c>
      <c r="S78" s="9" t="n"/>
      <c r="T78" s="9" t="n"/>
      <c r="U78" s="9" t="n">
        <v>1080000</v>
      </c>
      <c r="V78" s="10" t="inlineStr">
        <is>
          <t>Per 60 Minions, Troop HARD +60</t>
        </is>
      </c>
      <c r="W78" s="11" t="n">
        <v>980</v>
      </c>
    </row>
    <row r="79">
      <c r="A79" s="7" t="n">
        <v>7</v>
      </c>
      <c r="B79" s="8" t="n">
        <v>40</v>
      </c>
      <c r="C79" s="9" t="n">
        <v>20000</v>
      </c>
      <c r="D79" s="9" t="n">
        <v>40000</v>
      </c>
      <c r="E79" s="9" t="n">
        <v>50000</v>
      </c>
      <c r="F79" s="10" t="inlineStr">
        <is>
          <t>Per 30 Minions, Troop HARD +21</t>
        </is>
      </c>
      <c r="G79" s="11" t="n">
        <v>400</v>
      </c>
      <c r="I79" s="7" t="n">
        <v>7</v>
      </c>
      <c r="J79" s="8" t="n">
        <v>90</v>
      </c>
      <c r="K79" s="9" t="n">
        <v>42000</v>
      </c>
      <c r="L79" s="9" t="n">
        <v>85000</v>
      </c>
      <c r="M79" s="9" t="n">
        <v>200000</v>
      </c>
      <c r="N79" s="10" t="inlineStr">
        <is>
          <t>AFFCT +420</t>
        </is>
      </c>
      <c r="O79" s="11" t="n">
        <v>640</v>
      </c>
      <c r="Q79" s="7" t="n">
        <v>7</v>
      </c>
      <c r="R79" s="8" t="n">
        <v>24</v>
      </c>
      <c r="S79" s="9" t="n"/>
      <c r="T79" s="9" t="n"/>
      <c r="U79" s="9" t="n">
        <v>1200000</v>
      </c>
      <c r="V79" s="10" t="inlineStr">
        <is>
          <t>Per 60 Minions, Troop HARD +70</t>
        </is>
      </c>
      <c r="W79" s="11" t="n">
        <v>1120</v>
      </c>
    </row>
    <row r="80">
      <c r="A80" s="7" t="n">
        <v>8</v>
      </c>
      <c r="B80" s="8" t="n">
        <v>45</v>
      </c>
      <c r="C80" s="9" t="n">
        <v>22000</v>
      </c>
      <c r="D80" s="9" t="n">
        <v>44000</v>
      </c>
      <c r="E80" s="9" t="n">
        <v>55000</v>
      </c>
      <c r="F80" s="10" t="inlineStr">
        <is>
          <t>Per 30 Minions, Troop HARD +24</t>
        </is>
      </c>
      <c r="G80" s="11" t="n">
        <v>450</v>
      </c>
      <c r="I80" s="7" t="n">
        <v>8</v>
      </c>
      <c r="J80" s="8" t="n">
        <v>102</v>
      </c>
      <c r="K80" s="9" t="n">
        <v>47000</v>
      </c>
      <c r="L80" s="9" t="n">
        <v>94000</v>
      </c>
      <c r="M80" s="9" t="n">
        <v>220000</v>
      </c>
      <c r="N80" s="10" t="inlineStr">
        <is>
          <t>AFFCT +520</t>
        </is>
      </c>
      <c r="O80" s="11" t="n">
        <v>720</v>
      </c>
      <c r="Q80" s="7" t="n">
        <v>8</v>
      </c>
      <c r="R80" s="8" t="n">
        <v>27</v>
      </c>
      <c r="S80" s="9" t="n"/>
      <c r="T80" s="9" t="n"/>
      <c r="U80" s="9" t="n">
        <v>1320000</v>
      </c>
      <c r="V80" s="10" t="inlineStr">
        <is>
          <t>Per 60 Minions, Troop HARD +80</t>
        </is>
      </c>
      <c r="W80" s="11" t="n">
        <v>1260</v>
      </c>
    </row>
    <row r="81">
      <c r="A81" s="7" t="n">
        <v>9</v>
      </c>
      <c r="B81" s="8" t="n">
        <v>50</v>
      </c>
      <c r="C81" s="9" t="n">
        <v>24000</v>
      </c>
      <c r="D81" s="9" t="n">
        <v>48000</v>
      </c>
      <c r="E81" s="9" t="n">
        <v>60000</v>
      </c>
      <c r="F81" s="10" t="inlineStr">
        <is>
          <t>Per 30 Minions, Troop HARD +27</t>
        </is>
      </c>
      <c r="G81" s="11" t="n">
        <v>500</v>
      </c>
      <c r="I81" s="7" t="n">
        <v>9</v>
      </c>
      <c r="J81" s="8" t="n">
        <v>114</v>
      </c>
      <c r="K81" s="9" t="n">
        <v>51000</v>
      </c>
      <c r="L81" s="9" t="n">
        <v>100000</v>
      </c>
      <c r="M81" s="9" t="n">
        <v>240000</v>
      </c>
      <c r="N81" s="10" t="inlineStr">
        <is>
          <t>AFFCT +630</t>
        </is>
      </c>
      <c r="O81" s="11" t="n">
        <v>800</v>
      </c>
      <c r="Q81" s="7" t="n">
        <v>9</v>
      </c>
      <c r="R81" s="8" t="n">
        <v>30</v>
      </c>
      <c r="S81" s="9" t="n"/>
      <c r="T81" s="9" t="n"/>
      <c r="U81" s="9" t="n">
        <v>1440000</v>
      </c>
      <c r="V81" s="10" t="inlineStr">
        <is>
          <t>Per 60 Minions, Troop HARD +90</t>
        </is>
      </c>
      <c r="W81" s="11" t="n">
        <v>1400</v>
      </c>
    </row>
    <row r="82">
      <c r="A82" s="7" t="n">
        <v>10</v>
      </c>
      <c r="B82" s="8" t="n">
        <v>55</v>
      </c>
      <c r="C82" s="9" t="n">
        <v>26000</v>
      </c>
      <c r="D82" s="9" t="n">
        <v>52000</v>
      </c>
      <c r="E82" s="9" t="n">
        <v>65000</v>
      </c>
      <c r="F82" s="10" t="inlineStr">
        <is>
          <t>Per 30 Minions, Troop HARD +30</t>
        </is>
      </c>
      <c r="G82" s="11" t="n">
        <v>550</v>
      </c>
      <c r="I82" s="7" t="n">
        <v>10</v>
      </c>
      <c r="J82" s="8" t="n">
        <v>126</v>
      </c>
      <c r="K82" s="9" t="n">
        <v>55000</v>
      </c>
      <c r="L82" s="9" t="n">
        <v>110000</v>
      </c>
      <c r="M82" s="9" t="n">
        <v>260000</v>
      </c>
      <c r="N82" s="10" t="inlineStr">
        <is>
          <t>AFFCT +750</t>
        </is>
      </c>
      <c r="O82" s="11" t="n">
        <v>880</v>
      </c>
      <c r="Q82" s="7" t="n">
        <v>10</v>
      </c>
      <c r="R82" s="8" t="n">
        <v>33</v>
      </c>
      <c r="S82" s="9" t="n"/>
      <c r="T82" s="9" t="n"/>
      <c r="U82" s="9" t="n">
        <v>1560000</v>
      </c>
      <c r="V82" s="10" t="inlineStr">
        <is>
          <t>Per 60 Minions, Troop HARD +100</t>
        </is>
      </c>
      <c r="W82" s="11" t="n">
        <v>1540</v>
      </c>
    </row>
    <row r="83">
      <c r="A83" s="12" t="inlineStr">
        <is>
          <t>Total</t>
        </is>
      </c>
      <c r="B83" s="13">
        <f>SUM(B73:B82)</f>
        <v/>
      </c>
      <c r="C83" s="14">
        <f>SUM(C73:C82)</f>
        <v/>
      </c>
      <c r="D83" s="14">
        <f>SUM(D73:D82)</f>
        <v/>
      </c>
      <c r="E83" s="14">
        <f>SUM(E73:E82)</f>
        <v/>
      </c>
      <c r="F83" s="15" t="n"/>
      <c r="G83" s="16">
        <f>SUM(G73:G82)</f>
        <v/>
      </c>
      <c r="I83" s="12" t="inlineStr">
        <is>
          <t>Total</t>
        </is>
      </c>
      <c r="J83" s="13">
        <f>SUM(J73:J82)</f>
        <v/>
      </c>
      <c r="K83" s="14">
        <f>SUM(K73:K82)</f>
        <v/>
      </c>
      <c r="L83" s="14">
        <f>SUM(L73:L82)</f>
        <v/>
      </c>
      <c r="M83" s="14">
        <f>SUM(M73:M82)</f>
        <v/>
      </c>
      <c r="N83" s="15" t="n"/>
      <c r="O83" s="16">
        <f>SUM(O73:O82)</f>
        <v/>
      </c>
      <c r="Q83" s="12" t="inlineStr">
        <is>
          <t>Total</t>
        </is>
      </c>
      <c r="R83" s="13">
        <f>SUM(R73:R82)</f>
        <v/>
      </c>
      <c r="S83" s="14">
        <f>SUM(S73:S82)</f>
        <v/>
      </c>
      <c r="T83" s="14">
        <f>SUM(T73:T82)</f>
        <v/>
      </c>
      <c r="U83" s="14">
        <f>SUM(U73:U82)</f>
        <v/>
      </c>
      <c r="V83" s="15" t="n"/>
      <c r="W83" s="16">
        <f>SUM(W73:W82)</f>
        <v/>
      </c>
    </row>
    <row r="84">
      <c r="A84" s="20" t="n"/>
      <c r="B84" s="10" t="n"/>
      <c r="C84" s="10" t="n"/>
      <c r="D84" s="10" t="n"/>
      <c r="E84" s="10" t="n"/>
      <c r="F84" s="10" t="n"/>
      <c r="G84" s="21" t="n"/>
      <c r="I84" s="20" t="n"/>
      <c r="J84" s="10" t="n"/>
      <c r="K84" s="10" t="n"/>
      <c r="L84" s="10" t="n"/>
      <c r="M84" s="10" t="n"/>
      <c r="N84" s="10" t="n"/>
      <c r="O84" s="21" t="n"/>
      <c r="Q84" s="20" t="n"/>
      <c r="R84" s="10" t="n"/>
      <c r="S84" s="10" t="n"/>
      <c r="T84" s="10" t="n"/>
      <c r="U84" s="10" t="n"/>
      <c r="V84" s="10" t="n"/>
      <c r="W84" s="21" t="n"/>
    </row>
    <row r="85">
      <c r="A85" s="20" t="n"/>
      <c r="B85" s="10" t="n"/>
      <c r="C85" s="10" t="n"/>
      <c r="D85" s="10" t="n"/>
      <c r="E85" s="10" t="n"/>
      <c r="F85" s="10" t="n"/>
      <c r="G85" s="21" t="n"/>
      <c r="I85" s="20" t="n"/>
      <c r="J85" s="10" t="n"/>
      <c r="K85" s="10" t="n"/>
      <c r="L85" s="10" t="n"/>
      <c r="M85" s="10" t="n"/>
      <c r="N85" s="10" t="n"/>
      <c r="O85" s="21" t="n"/>
      <c r="Q85" s="20" t="n"/>
      <c r="R85" s="10" t="n"/>
      <c r="S85" s="10" t="n"/>
      <c r="T85" s="10" t="n"/>
      <c r="U85" s="10" t="n"/>
      <c r="V85" s="10" t="n"/>
      <c r="W85" s="21" t="n"/>
    </row>
    <row r="86">
      <c r="A86" s="4" t="inlineStr">
        <is>
          <t>3 - Compass Upgrade</t>
        </is>
      </c>
      <c r="B86" s="5" t="n"/>
      <c r="C86" s="5" t="inlineStr">
        <is>
          <t>Angel</t>
        </is>
      </c>
      <c r="D86" s="5" t="inlineStr">
        <is>
          <t>Mecha</t>
        </is>
      </c>
      <c r="E86" s="5" t="inlineStr">
        <is>
          <t>Btads</t>
        </is>
      </c>
      <c r="F86" s="5" t="n"/>
      <c r="G86" s="6" t="inlineStr">
        <is>
          <t>DNA Points</t>
        </is>
      </c>
      <c r="I86" s="4" t="inlineStr">
        <is>
          <t>3 - AA Relic + Leadership</t>
        </is>
      </c>
      <c r="J86" s="5" t="n"/>
      <c r="K86" s="5" t="inlineStr">
        <is>
          <t>Angel</t>
        </is>
      </c>
      <c r="L86" s="5" t="inlineStr">
        <is>
          <t>Mutant</t>
        </is>
      </c>
      <c r="M86" s="5" t="inlineStr">
        <is>
          <t>Btads</t>
        </is>
      </c>
      <c r="N86" s="5" t="n"/>
      <c r="O86" s="6" t="n"/>
      <c r="Q86" s="4" t="inlineStr">
        <is>
          <t>3 - SS Relic</t>
        </is>
      </c>
      <c r="R86" s="5" t="n"/>
      <c r="S86" s="5" t="inlineStr">
        <is>
          <t>Angel</t>
        </is>
      </c>
      <c r="T86" s="5" t="inlineStr">
        <is>
          <t>Mutant</t>
        </is>
      </c>
      <c r="U86" s="5" t="n"/>
      <c r="V86" s="5" t="n"/>
      <c r="W86" s="6" t="n"/>
    </row>
    <row r="87">
      <c r="A87" s="7" t="n">
        <v>1</v>
      </c>
      <c r="B87" s="8" t="n">
        <v>20</v>
      </c>
      <c r="C87" s="9" t="n">
        <v>30000</v>
      </c>
      <c r="D87" s="9" t="n">
        <v>30000</v>
      </c>
      <c r="E87" s="9" t="n">
        <v>50000</v>
      </c>
      <c r="F87" s="10" t="inlineStr">
        <is>
          <t>All Compasses effect +40%</t>
        </is>
      </c>
      <c r="G87" s="11" t="n">
        <v>400</v>
      </c>
      <c r="I87" s="7" t="n">
        <v>1</v>
      </c>
      <c r="J87" s="8" t="n">
        <v>72</v>
      </c>
      <c r="K87" s="9" t="n">
        <v>100000</v>
      </c>
      <c r="L87" s="9" t="n">
        <v>100000</v>
      </c>
      <c r="M87" s="9" t="n">
        <v>120000</v>
      </c>
      <c r="N87" s="10" t="inlineStr">
        <is>
          <t>Leadership +10, AA Frags +20</t>
        </is>
      </c>
      <c r="O87" s="11" t="n">
        <v>1800</v>
      </c>
      <c r="Q87" s="7" t="n">
        <v>1</v>
      </c>
      <c r="R87" s="8" t="n">
        <v>10</v>
      </c>
      <c r="S87" s="9" t="n"/>
      <c r="T87" s="9" t="n"/>
      <c r="U87" s="9" t="n">
        <v>720000</v>
      </c>
      <c r="V87" s="10" t="inlineStr">
        <is>
          <t>SS RelicFrags +40</t>
        </is>
      </c>
      <c r="W87" s="11" t="n">
        <v>6000</v>
      </c>
    </row>
    <row r="88">
      <c r="A88" s="7" t="n">
        <v>2</v>
      </c>
      <c r="B88" s="8" t="n">
        <v>40</v>
      </c>
      <c r="C88" s="9" t="n">
        <v>60000</v>
      </c>
      <c r="D88" s="9" t="n">
        <v>60000</v>
      </c>
      <c r="E88" s="9" t="n">
        <v>100000</v>
      </c>
      <c r="F88" s="10" t="inlineStr">
        <is>
          <t>All Compasses effect +60%</t>
        </is>
      </c>
      <c r="G88" s="11" t="n">
        <v>450</v>
      </c>
      <c r="I88" s="7" t="n">
        <v>2</v>
      </c>
      <c r="J88" s="8" t="n">
        <v>216</v>
      </c>
      <c r="K88" s="9" t="n">
        <v>200000</v>
      </c>
      <c r="L88" s="9" t="n">
        <v>200000</v>
      </c>
      <c r="M88" s="9" t="n">
        <v>360000</v>
      </c>
      <c r="N88" s="10" t="inlineStr">
        <is>
          <t>Leadership +20, AA Frags +20</t>
        </is>
      </c>
      <c r="O88" s="11" t="n">
        <v>2100</v>
      </c>
      <c r="Q88" s="7" t="n">
        <v>2</v>
      </c>
      <c r="R88" s="8" t="n">
        <v>18</v>
      </c>
      <c r="S88" s="9" t="n"/>
      <c r="T88" s="9" t="n"/>
      <c r="U88" s="9" t="n">
        <v>1040000</v>
      </c>
      <c r="V88" s="10" t="inlineStr">
        <is>
          <t>SS Relic Frags +40</t>
        </is>
      </c>
      <c r="W88" s="11" t="n">
        <v>7000</v>
      </c>
    </row>
    <row r="89">
      <c r="A89" s="7" t="n">
        <v>3</v>
      </c>
      <c r="B89" s="8" t="n">
        <v>60</v>
      </c>
      <c r="C89" s="9" t="n">
        <v>90000</v>
      </c>
      <c r="D89" s="9" t="n">
        <v>90000</v>
      </c>
      <c r="E89" s="9" t="n">
        <v>150000</v>
      </c>
      <c r="F89" s="10" t="inlineStr">
        <is>
          <t>All Compasses effect +80%</t>
        </is>
      </c>
      <c r="G89" s="11" t="n">
        <v>500</v>
      </c>
      <c r="I89" s="7" t="n">
        <v>3</v>
      </c>
      <c r="J89" s="8" t="n">
        <v>360</v>
      </c>
      <c r="K89" s="9" t="n">
        <v>300000</v>
      </c>
      <c r="L89" s="9" t="n">
        <v>300000</v>
      </c>
      <c r="M89" s="9" t="n">
        <v>600000</v>
      </c>
      <c r="N89" s="10" t="inlineStr">
        <is>
          <t>Leadership +30, AA Frags +40</t>
        </is>
      </c>
      <c r="O89" s="11" t="n">
        <v>2400</v>
      </c>
      <c r="Q89" s="7" t="n">
        <v>3</v>
      </c>
      <c r="R89" s="8" t="n">
        <v>26</v>
      </c>
      <c r="S89" s="9" t="n"/>
      <c r="T89" s="9" t="n"/>
      <c r="U89" s="9" t="n">
        <v>1360000</v>
      </c>
      <c r="V89" s="10" t="inlineStr">
        <is>
          <t>SS Relic Frags +40</t>
        </is>
      </c>
      <c r="W89" s="11" t="n">
        <v>8000</v>
      </c>
    </row>
    <row r="90">
      <c r="A90" s="12" t="inlineStr">
        <is>
          <t>Total</t>
        </is>
      </c>
      <c r="B90" s="13">
        <f>SUM(B87:B89)</f>
        <v/>
      </c>
      <c r="C90" s="14">
        <f>sum(C87:C89)</f>
        <v/>
      </c>
      <c r="D90" s="14">
        <f>sum(D87:D89)</f>
        <v/>
      </c>
      <c r="E90" s="14">
        <f>sum(E87:E89)</f>
        <v/>
      </c>
      <c r="F90" s="15" t="n"/>
      <c r="G90" s="16">
        <f>sum(G87:G89)</f>
        <v/>
      </c>
      <c r="I90" s="12" t="inlineStr">
        <is>
          <t>Total</t>
        </is>
      </c>
      <c r="J90" s="22">
        <f>SUM(J87:J89)</f>
        <v/>
      </c>
      <c r="K90" s="14">
        <f>sum(K87:K89)</f>
        <v/>
      </c>
      <c r="L90" s="14">
        <f>sum(L87:L89)</f>
        <v/>
      </c>
      <c r="M90" s="14">
        <f>sum(M87:M89)</f>
        <v/>
      </c>
      <c r="N90" s="15" t="n"/>
      <c r="O90" s="16">
        <f>sum(O87:O89)</f>
        <v/>
      </c>
      <c r="Q90" s="7" t="n">
        <v>4</v>
      </c>
      <c r="R90" s="8" t="n">
        <v>34</v>
      </c>
      <c r="S90" s="9" t="n"/>
      <c r="T90" s="9" t="n"/>
      <c r="U90" s="9" t="n">
        <v>1680000</v>
      </c>
      <c r="V90" s="10" t="inlineStr">
        <is>
          <t>SS Relic Frags +80</t>
        </is>
      </c>
      <c r="W90" s="11" t="n">
        <v>9000</v>
      </c>
    </row>
    <row r="91">
      <c r="A91" s="20" t="n"/>
      <c r="B91" s="10" t="n"/>
      <c r="C91" s="10" t="n"/>
      <c r="D91" s="10" t="n"/>
      <c r="E91" s="10" t="n"/>
      <c r="F91" s="10" t="n"/>
      <c r="G91" s="21" t="n"/>
      <c r="I91" s="1" t="n"/>
      <c r="J91" s="2" t="n"/>
      <c r="K91" s="2" t="n"/>
      <c r="L91" s="2" t="n"/>
      <c r="M91" s="2" t="n"/>
      <c r="N91" s="2" t="n"/>
      <c r="O91" s="3" t="n"/>
      <c r="Q91" s="7" t="n">
        <v>5</v>
      </c>
      <c r="R91" s="8" t="n">
        <v>42</v>
      </c>
      <c r="S91" s="9" t="n"/>
      <c r="T91" s="9" t="n"/>
      <c r="U91" s="9" t="n">
        <v>2000000</v>
      </c>
      <c r="V91" s="10" t="inlineStr">
        <is>
          <t>SS Relic Frags +80</t>
        </is>
      </c>
      <c r="W91" s="11" t="n">
        <v>10000</v>
      </c>
    </row>
    <row r="92">
      <c r="A92" s="20" t="n"/>
      <c r="B92" s="10" t="n"/>
      <c r="C92" s="10" t="n"/>
      <c r="D92" s="10" t="n"/>
      <c r="E92" s="10" t="n"/>
      <c r="F92" s="10" t="n"/>
      <c r="G92" s="21" t="n"/>
      <c r="I92" s="43" t="n"/>
      <c r="J92" s="44" t="n"/>
      <c r="K92" s="44" t="n"/>
      <c r="L92" s="44" t="n"/>
      <c r="M92" s="44" t="n"/>
      <c r="N92" s="44" t="n"/>
      <c r="O92" s="45" t="n"/>
      <c r="Q92" s="12" t="inlineStr">
        <is>
          <t>Total</t>
        </is>
      </c>
      <c r="R92" s="22">
        <f>SUM(R87:R91)</f>
        <v/>
      </c>
      <c r="S92" s="14">
        <f>sum(S87:S91)</f>
        <v/>
      </c>
      <c r="T92" s="14">
        <f>sum(T87:T91)</f>
        <v/>
      </c>
      <c r="U92" s="14">
        <f>sum(U87:U91)</f>
        <v/>
      </c>
      <c r="V92" s="15" t="n"/>
      <c r="W92" s="16">
        <f>sum(W87:W91)</f>
        <v/>
      </c>
    </row>
    <row r="93">
      <c r="A93" s="4" t="inlineStr">
        <is>
          <t>4 - Form Ritual VI</t>
        </is>
      </c>
      <c r="B93" s="5" t="n"/>
      <c r="C93" s="5" t="inlineStr">
        <is>
          <t>Mecha</t>
        </is>
      </c>
      <c r="D93" s="5" t="inlineStr">
        <is>
          <t>Mutant</t>
        </is>
      </c>
      <c r="E93" s="5" t="inlineStr">
        <is>
          <t>Btads</t>
        </is>
      </c>
      <c r="F93" s="5" t="n"/>
      <c r="G93" s="6" t="inlineStr">
        <is>
          <t>DNA Points</t>
        </is>
      </c>
      <c r="I93" s="4" t="inlineStr">
        <is>
          <t>4 - Form Ritual VII</t>
        </is>
      </c>
      <c r="J93" s="5" t="n"/>
      <c r="K93" s="5" t="inlineStr">
        <is>
          <t>Mecha</t>
        </is>
      </c>
      <c r="L93" s="5" t="inlineStr">
        <is>
          <t>Mutant</t>
        </is>
      </c>
      <c r="M93" s="5" t="inlineStr">
        <is>
          <t>Btads</t>
        </is>
      </c>
      <c r="N93" s="5" t="n"/>
      <c r="O93" s="6" t="n"/>
      <c r="Q93" s="20" t="n"/>
      <c r="R93" s="10" t="n"/>
      <c r="S93" s="10" t="n"/>
      <c r="T93" s="10" t="n"/>
      <c r="U93" s="10" t="n"/>
      <c r="V93" s="10" t="n"/>
      <c r="W93" s="21" t="n"/>
    </row>
    <row r="94">
      <c r="A94" s="46" t="n">
        <v>1</v>
      </c>
      <c r="B94" s="22" t="n">
        <v>120</v>
      </c>
      <c r="C94" s="14" t="n">
        <v>30000</v>
      </c>
      <c r="D94" s="14" t="n">
        <v>30000</v>
      </c>
      <c r="E94" s="14" t="n">
        <v>75000</v>
      </c>
      <c r="F94" s="15" t="n"/>
      <c r="G94" s="47" t="n">
        <v>500</v>
      </c>
      <c r="I94" s="46" t="n">
        <v>1</v>
      </c>
      <c r="J94" s="22" t="n">
        <v>720</v>
      </c>
      <c r="K94" s="14" t="n">
        <v>90000</v>
      </c>
      <c r="L94" s="14" t="n">
        <v>90000</v>
      </c>
      <c r="M94" s="14" t="n">
        <v>300000</v>
      </c>
      <c r="N94" s="15" t="n"/>
      <c r="O94" s="47" t="n">
        <v>800</v>
      </c>
      <c r="Q94" s="20" t="n"/>
      <c r="R94" s="10" t="n"/>
      <c r="S94" s="10" t="n"/>
      <c r="T94" s="10" t="n"/>
      <c r="U94" s="10" t="n"/>
      <c r="V94" s="10" t="n"/>
      <c r="W94" s="21" t="n"/>
    </row>
    <row r="95">
      <c r="A95" s="18" t="n"/>
      <c r="B95" s="18" t="n"/>
      <c r="C95" s="18" t="n"/>
      <c r="D95" s="18" t="n"/>
      <c r="E95" s="18" t="n"/>
      <c r="F95" s="18" t="n"/>
      <c r="G95" s="18" t="n"/>
      <c r="I95" s="18" t="n"/>
      <c r="J95" s="18" t="n"/>
      <c r="K95" s="18" t="n"/>
      <c r="L95" s="18" t="n"/>
      <c r="M95" s="18" t="n"/>
      <c r="N95" s="18" t="n"/>
      <c r="O95" s="18" t="n"/>
      <c r="Q95" s="4" t="inlineStr">
        <is>
          <t>4 - Form Ritual VIII</t>
        </is>
      </c>
      <c r="R95" s="5" t="n"/>
      <c r="S95" s="5" t="inlineStr">
        <is>
          <t>Mecha</t>
        </is>
      </c>
      <c r="T95" s="5" t="inlineStr">
        <is>
          <t>Mutant</t>
        </is>
      </c>
      <c r="U95" s="5" t="n"/>
      <c r="V95" s="5" t="n"/>
      <c r="W95" s="6" t="n"/>
    </row>
    <row r="96">
      <c r="I96" s="10" t="n"/>
      <c r="J96" s="10" t="n"/>
      <c r="K96" s="10" t="n"/>
      <c r="L96" s="10" t="n"/>
      <c r="M96" s="10" t="n"/>
      <c r="N96" s="10" t="n"/>
      <c r="O96" s="10" t="n"/>
      <c r="Q96" s="46" t="n">
        <v>1</v>
      </c>
      <c r="R96" s="22" t="n">
        <v>180</v>
      </c>
      <c r="S96" s="14" t="n"/>
      <c r="T96" s="14" t="n"/>
      <c r="U96" s="14" t="n">
        <v>1600000</v>
      </c>
      <c r="V96" s="15" t="n"/>
      <c r="W96" s="47" t="n">
        <v>1500</v>
      </c>
    </row>
    <row r="97">
      <c r="A97" s="1" t="inlineStr">
        <is>
          <t>T5-&gt;T6</t>
        </is>
      </c>
      <c r="B97" s="48" t="inlineStr">
        <is>
          <t>Total</t>
        </is>
      </c>
      <c r="C97" s="48" t="inlineStr">
        <is>
          <t>To Center</t>
        </is>
      </c>
      <c r="D97" s="49" t="inlineStr">
        <is>
          <t>Remaining</t>
        </is>
      </c>
      <c r="I97" s="1" t="inlineStr">
        <is>
          <t>T6-&gt;T7</t>
        </is>
      </c>
      <c r="J97" s="48" t="inlineStr">
        <is>
          <t>Total</t>
        </is>
      </c>
      <c r="K97" s="48" t="inlineStr">
        <is>
          <t>To Center</t>
        </is>
      </c>
      <c r="L97" s="49" t="inlineStr">
        <is>
          <t>Remaining</t>
        </is>
      </c>
      <c r="P97" s="9" t="n"/>
      <c r="R97" s="18" t="n"/>
      <c r="S97" s="18" t="n"/>
      <c r="T97" s="18" t="n"/>
      <c r="U97" s="18" t="n"/>
      <c r="V97" s="18" t="n"/>
      <c r="W97" s="18" t="n"/>
      <c r="X97" s="18" t="n"/>
    </row>
    <row r="98">
      <c r="A98" s="50" t="inlineStr">
        <is>
          <t>Time (hr)</t>
        </is>
      </c>
      <c r="B98" s="51">
        <f>B13+B27+B41+B55+B69+B83+B90+B94</f>
        <v/>
      </c>
      <c r="C98" s="51">
        <f>B55+B69+B90</f>
        <v/>
      </c>
      <c r="D98" s="52">
        <f>B98-C98</f>
        <v/>
      </c>
      <c r="I98" s="50" t="inlineStr">
        <is>
          <t>Time (hr)</t>
        </is>
      </c>
      <c r="J98" s="51">
        <f>J13+J27+J41+J55+J69+J83+J90+J94</f>
        <v/>
      </c>
      <c r="K98" s="53">
        <f>J55+J69+J90</f>
        <v/>
      </c>
      <c r="L98" s="52">
        <f>J98-K98</f>
        <v/>
      </c>
      <c r="P98" s="9" t="n"/>
      <c r="R98" s="10" t="n"/>
      <c r="S98" s="10" t="n"/>
      <c r="T98" s="10" t="n"/>
      <c r="U98" s="10" t="n"/>
      <c r="V98" s="10" t="n"/>
      <c r="W98" s="10" t="n"/>
      <c r="X98" s="10" t="n"/>
    </row>
    <row r="99">
      <c r="A99" s="50" t="inlineStr">
        <is>
          <t>Time (days)</t>
        </is>
      </c>
      <c r="B99" s="53">
        <f>B98/24</f>
        <v/>
      </c>
      <c r="C99" s="54">
        <f>C98/24</f>
        <v/>
      </c>
      <c r="D99" s="55">
        <f>D98/24</f>
        <v/>
      </c>
      <c r="I99" s="50" t="inlineStr">
        <is>
          <t>Time (days)</t>
        </is>
      </c>
      <c r="J99" s="53">
        <f>J98/24</f>
        <v/>
      </c>
      <c r="K99" s="54">
        <f>K98/24</f>
        <v/>
      </c>
      <c r="L99" s="55">
        <f>L98/24</f>
        <v/>
      </c>
      <c r="P99" s="9" t="n"/>
      <c r="Q99" s="1" t="inlineStr">
        <is>
          <t>T7-&gt;T8</t>
        </is>
      </c>
      <c r="R99" s="48" t="inlineStr">
        <is>
          <t>Total</t>
        </is>
      </c>
      <c r="S99" s="48" t="inlineStr">
        <is>
          <t>To Center</t>
        </is>
      </c>
      <c r="T99" s="49" t="inlineStr">
        <is>
          <t>Remaining</t>
        </is>
      </c>
    </row>
    <row r="100">
      <c r="A100" s="50" t="inlineStr">
        <is>
          <t>Cells (Zombie)</t>
        </is>
      </c>
      <c r="B100" s="56">
        <f>C13+C41+C55</f>
        <v/>
      </c>
      <c r="C100" s="56">
        <f>C55</f>
        <v/>
      </c>
      <c r="D100" s="57">
        <f>B100-C100</f>
        <v/>
      </c>
      <c r="I100" s="50" t="inlineStr">
        <is>
          <t>Cells (Zombie)</t>
        </is>
      </c>
      <c r="J100" s="56">
        <f>K13+K41+K55</f>
        <v/>
      </c>
      <c r="K100" s="56">
        <f>K13</f>
        <v/>
      </c>
      <c r="L100" s="57">
        <f>J100-K100</f>
        <v/>
      </c>
      <c r="Q100" s="50" t="inlineStr">
        <is>
          <t>Time (days)</t>
        </is>
      </c>
      <c r="R100" s="51">
        <f>R13+R27+R41+R55+R69+R83+R92+R96</f>
        <v/>
      </c>
      <c r="S100" s="54">
        <f>R55+R69+R92</f>
        <v/>
      </c>
      <c r="T100" s="55">
        <f>R100-S100</f>
        <v/>
      </c>
    </row>
    <row r="101">
      <c r="A101" s="50" t="inlineStr">
        <is>
          <t>Cells (Demon)</t>
        </is>
      </c>
      <c r="B101" s="56">
        <f>D13+D55+C83</f>
        <v/>
      </c>
      <c r="C101" s="56">
        <f>D55</f>
        <v/>
      </c>
      <c r="D101" s="57">
        <f>B101-C101</f>
        <v/>
      </c>
      <c r="I101" s="50" t="inlineStr">
        <is>
          <t>Cells (Demon)</t>
        </is>
      </c>
      <c r="J101" s="56">
        <f>L13+L55+K83</f>
        <v/>
      </c>
      <c r="K101" s="56">
        <f>L13</f>
        <v/>
      </c>
      <c r="L101" s="57">
        <f>J101-K101</f>
        <v/>
      </c>
      <c r="Q101" s="50" t="inlineStr">
        <is>
          <t>Cells (Zombie)</t>
        </is>
      </c>
      <c r="R101" s="56">
        <f>S13+S41+S55</f>
        <v/>
      </c>
      <c r="S101" s="56">
        <f>S55</f>
        <v/>
      </c>
      <c r="T101" s="57">
        <f>R101-S101</f>
        <v/>
      </c>
    </row>
    <row r="102">
      <c r="A102" s="50" t="inlineStr">
        <is>
          <t>Cells (Angel)</t>
        </is>
      </c>
      <c r="B102" s="56">
        <f>C27+C69+C90</f>
        <v/>
      </c>
      <c r="C102" s="56">
        <f>C69+C90</f>
        <v/>
      </c>
      <c r="D102" s="57">
        <f>B102-C102</f>
        <v/>
      </c>
      <c r="I102" s="50" t="inlineStr">
        <is>
          <t>Cells (Angel)</t>
        </is>
      </c>
      <c r="J102" s="56">
        <f>K27+K69+K90</f>
        <v/>
      </c>
      <c r="K102" s="56">
        <f>K27+K90</f>
        <v/>
      </c>
      <c r="L102" s="57">
        <f>J102-K102</f>
        <v/>
      </c>
      <c r="Q102" s="50" t="inlineStr">
        <is>
          <t>Cells (Demon)</t>
        </is>
      </c>
      <c r="R102" s="56">
        <f>T13+T55+S83</f>
        <v/>
      </c>
      <c r="S102" s="56">
        <f>T55</f>
        <v/>
      </c>
      <c r="T102" s="57">
        <f>R102-S102</f>
        <v/>
      </c>
    </row>
    <row r="103">
      <c r="A103" s="50" t="inlineStr">
        <is>
          <t>Cells (Mutant)</t>
        </is>
      </c>
      <c r="B103" s="56">
        <f>D27+D83+D94</f>
        <v/>
      </c>
      <c r="C103" s="53">
        <f>0</f>
        <v/>
      </c>
      <c r="D103" s="57">
        <f>B103-C103</f>
        <v/>
      </c>
      <c r="I103" s="50" t="inlineStr">
        <is>
          <t>Cells (Mutant)</t>
        </is>
      </c>
      <c r="J103" s="56">
        <f>L27+L83+L94</f>
        <v/>
      </c>
      <c r="K103" s="56">
        <f>L27+L90</f>
        <v/>
      </c>
      <c r="L103" s="57">
        <f>J103-K103</f>
        <v/>
      </c>
      <c r="Q103" s="50" t="inlineStr">
        <is>
          <t>Cells (Angel)</t>
        </is>
      </c>
      <c r="R103" s="56">
        <f>S27+S69+S92</f>
        <v/>
      </c>
      <c r="S103" s="56">
        <f>S69+S92</f>
        <v/>
      </c>
      <c r="T103" s="57">
        <f>R103-S103</f>
        <v/>
      </c>
    </row>
    <row r="104">
      <c r="A104" s="50" t="inlineStr">
        <is>
          <t>Cells (Mecha)</t>
        </is>
      </c>
      <c r="B104" s="56">
        <f>D41+D69+D90+C94</f>
        <v/>
      </c>
      <c r="C104" s="56">
        <f>D69+D90</f>
        <v/>
      </c>
      <c r="D104" s="57">
        <f>B104-C104</f>
        <v/>
      </c>
      <c r="I104" s="50" t="inlineStr">
        <is>
          <t>Cells (Mecha)</t>
        </is>
      </c>
      <c r="J104" s="56">
        <f>L41+L69+L90+K94</f>
        <v/>
      </c>
      <c r="K104" s="53">
        <f>0</f>
        <v/>
      </c>
      <c r="L104" s="57">
        <f>J104-K104</f>
        <v/>
      </c>
      <c r="Q104" s="50" t="inlineStr">
        <is>
          <t>Cells (Mutant)</t>
        </is>
      </c>
      <c r="R104" s="56">
        <f>T27+T83+T92+T96</f>
        <v/>
      </c>
      <c r="S104" s="56">
        <f>T92</f>
        <v/>
      </c>
      <c r="T104" s="57">
        <f>R104-S104</f>
        <v/>
      </c>
    </row>
    <row r="105">
      <c r="A105" s="50" t="inlineStr">
        <is>
          <t>B-tads</t>
        </is>
      </c>
      <c r="B105" s="56">
        <f>E13+E27+E41+E55+E69+E83+E90+E94</f>
        <v/>
      </c>
      <c r="C105" s="56">
        <f>E55+E69+E90</f>
        <v/>
      </c>
      <c r="D105" s="57">
        <f>B105-C105</f>
        <v/>
      </c>
      <c r="I105" s="50" t="inlineStr">
        <is>
          <t>B-tads</t>
        </is>
      </c>
      <c r="J105" s="56">
        <f>M13+M27+M41+M55+M69+M83+M90+M94</f>
        <v/>
      </c>
      <c r="K105" s="56">
        <f>M55+M69+M90</f>
        <v/>
      </c>
      <c r="L105" s="57">
        <f>J105-K105</f>
        <v/>
      </c>
      <c r="Q105" s="50" t="inlineStr">
        <is>
          <t>Cells (Mecha)</t>
        </is>
      </c>
      <c r="R105" s="56">
        <f>T41+T69+S96</f>
        <v/>
      </c>
      <c r="S105" s="56">
        <f>T69</f>
        <v/>
      </c>
      <c r="T105" s="57">
        <f>R105-S105</f>
        <v/>
      </c>
    </row>
    <row r="106">
      <c r="A106" s="43" t="inlineStr">
        <is>
          <t>DNA Points</t>
        </is>
      </c>
      <c r="B106" s="58">
        <f>G13+G27+G41+G55+G69+G83+G90+G94</f>
        <v/>
      </c>
      <c r="C106" s="58">
        <f>G55+G69+G90</f>
        <v/>
      </c>
      <c r="D106" s="59">
        <f>B106-C106</f>
        <v/>
      </c>
      <c r="I106" s="43" t="inlineStr">
        <is>
          <t>DNA Points</t>
        </is>
      </c>
      <c r="J106" s="58">
        <f>O13+O27+O41+O55+O69+O83+O90+O94</f>
        <v/>
      </c>
      <c r="K106" s="58">
        <f>O55+O69+O90</f>
        <v/>
      </c>
      <c r="L106" s="59">
        <f>J106-K106</f>
        <v/>
      </c>
      <c r="Q106" s="50" t="inlineStr">
        <is>
          <t>B-tads</t>
        </is>
      </c>
      <c r="R106" s="56">
        <f>U13+U27+U41+U55+U69+U83+U92+U96</f>
        <v/>
      </c>
      <c r="S106" s="56">
        <f>U55+U69+U92</f>
        <v/>
      </c>
      <c r="T106" s="57">
        <f>R106-S106</f>
        <v/>
      </c>
    </row>
    <row r="107">
      <c r="Q107" s="43" t="inlineStr">
        <is>
          <t>DNA Points</t>
        </is>
      </c>
      <c r="R107" s="58">
        <f>W13+W27+W41+W55+W69+W83+W92+W96</f>
        <v/>
      </c>
      <c r="S107" s="58">
        <f>W55+W69+W92</f>
        <v/>
      </c>
      <c r="T107" s="59">
        <f>R107-S107</f>
        <v/>
      </c>
    </row>
  </sheetData>
  <mergeCells count="3">
    <mergeCell ref="A58:B58"/>
    <mergeCell ref="Q58:R58"/>
    <mergeCell ref="I58:J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2026-04-25T21:15:32Z</dcterms:created>
  <dcterms:modified xmlns:dcterms="http://purl.org/dc/terms/" xmlns:xsi="http://www.w3.org/2001/XMLSchema-instance" xsi:type="dcterms:W3CDTF">2026-04-25T21:15:33Z</dcterms:modified>
</cp:coreProperties>
</file>