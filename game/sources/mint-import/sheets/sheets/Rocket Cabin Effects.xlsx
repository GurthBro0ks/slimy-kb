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ket Cabin 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color rgb="FFFF0000"/>
      <sz val="12"/>
    </font>
    <font>
      <name val="Calibri"/>
      <color theme="1"/>
      <sz val="12"/>
    </font>
    <font>
      <name val="Verdana"/>
      <color theme="1"/>
      <scheme val="minor"/>
    </font>
    <font>
      <name val="Calibri"/>
      <color rgb="FFFFFFFF"/>
      <sz val="12"/>
    </font>
    <font>
      <name val="Calibri"/>
      <color theme="1"/>
    </font>
    <font>
      <name val="Calibri"/>
      <strike val="1"/>
      <color rgb="FFFF0000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4" applyAlignment="1" pivotButton="0" quotePrefix="0" xfId="0">
      <alignment horizontal="right" vertical="bottom"/>
    </xf>
    <xf numFmtId="0" fontId="2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4" fillId="0" borderId="6" pivotButton="0" quotePrefix="0" xfId="0"/>
    <xf numFmtId="0" fontId="4" fillId="0" borderId="7" pivotButton="0" quotePrefix="0" xfId="0"/>
    <xf numFmtId="0" fontId="5" fillId="0" borderId="1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1" fillId="0" borderId="9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4" fillId="0" borderId="1" pivotButton="0" quotePrefix="0" xfId="0"/>
    <xf numFmtId="0" fontId="4" fillId="0" borderId="3" pivotButton="0" quotePrefix="0" xfId="0"/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4" fillId="0" borderId="5" pivotButton="0" quotePrefix="0" xfId="0"/>
    <xf numFmtId="0" fontId="4" fillId="0" borderId="9" pivotButton="0" quotePrefix="0" xfId="0"/>
    <xf numFmtId="0" fontId="1" fillId="0" borderId="2" applyAlignment="1" pivotButton="0" quotePrefix="0" xfId="0">
      <alignment horizontal="right" vertical="bottom"/>
    </xf>
    <xf numFmtId="0" fontId="3" fillId="0" borderId="1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7" fillId="0" borderId="7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cols>
    <col width="26.36" customWidth="1" min="1" max="1"/>
    <col width="8.91" customWidth="1" min="2" max="2"/>
    <col width="14.55" customWidth="1" min="5" max="5"/>
    <col width="42.09" customWidth="1" min="6" max="6"/>
  </cols>
  <sheetData>
    <row r="1">
      <c r="A1" s="1" t="n"/>
      <c r="B1" s="2" t="inlineStr">
        <is>
          <t>Rarity</t>
        </is>
      </c>
      <c r="C1" s="2" t="inlineStr">
        <is>
          <t>Type</t>
        </is>
      </c>
      <c r="D1" s="2" t="inlineStr">
        <is>
          <t>Base Effect</t>
        </is>
      </c>
      <c r="E1" s="2" t="inlineStr">
        <is>
          <t>Base Effect (Awakened)</t>
        </is>
      </c>
      <c r="F1" s="3" t="inlineStr">
        <is>
          <t>Source</t>
        </is>
      </c>
    </row>
    <row r="2">
      <c r="A2" s="4" t="n"/>
      <c r="B2" s="4" t="n"/>
      <c r="C2" s="4" t="n"/>
      <c r="D2" s="5" t="n"/>
      <c r="E2" s="5" t="n"/>
      <c r="F2" s="6" t="n"/>
    </row>
    <row r="3">
      <c r="A3" s="7" t="n"/>
      <c r="B3" s="7" t="n"/>
      <c r="C3" s="7" t="n"/>
      <c r="D3" s="8" t="n"/>
      <c r="E3" s="8" t="n"/>
      <c r="F3" s="9" t="n"/>
    </row>
    <row r="4">
      <c r="A4" s="10" t="inlineStr">
        <is>
          <t>REBEL CABIN</t>
        </is>
      </c>
      <c r="B4" s="4" t="n"/>
      <c r="C4" s="4" t="n"/>
      <c r="D4" s="5" t="n"/>
      <c r="E4" s="5" t="n"/>
      <c r="F4" s="11" t="n"/>
    </row>
    <row r="5">
      <c r="A5" s="10" t="inlineStr">
        <is>
          <t>Jiuzhang</t>
        </is>
      </c>
      <c r="B5" s="4" t="inlineStr">
        <is>
          <t>SSS</t>
        </is>
      </c>
      <c r="C5" s="4" t="inlineStr">
        <is>
          <t>TECH</t>
        </is>
      </c>
      <c r="D5" s="5" t="n">
        <v>12</v>
      </c>
      <c r="E5" s="5" t="n"/>
      <c r="F5" s="12" t="inlineStr">
        <is>
          <t>Lottery Machine #2 (0.12%)</t>
        </is>
      </c>
    </row>
    <row r="6">
      <c r="A6" s="10" t="n"/>
      <c r="B6" s="4" t="n"/>
      <c r="C6" s="4" t="n"/>
      <c r="D6" s="5" t="n"/>
      <c r="E6" s="4" t="n"/>
      <c r="F6" s="12" t="n"/>
    </row>
    <row r="7">
      <c r="A7" s="10" t="inlineStr">
        <is>
          <t>Resonance: Orange</t>
        </is>
      </c>
      <c r="B7" s="4" t="n"/>
      <c r="C7" s="4" t="n"/>
      <c r="D7" s="4" t="n">
        <v>10</v>
      </c>
      <c r="E7" s="4" t="n"/>
      <c r="F7" s="12" t="n"/>
    </row>
    <row r="8">
      <c r="A8" s="10" t="inlineStr">
        <is>
          <t xml:space="preserve">  Mysterious Relic</t>
        </is>
      </c>
      <c r="B8" s="4" t="inlineStr">
        <is>
          <t>SSS</t>
        </is>
      </c>
      <c r="C8" s="4" t="n"/>
      <c r="D8" s="4" t="n"/>
      <c r="E8" s="4" t="n"/>
      <c r="F8" s="12" t="inlineStr">
        <is>
          <t>Unknown</t>
        </is>
      </c>
    </row>
    <row r="9">
      <c r="A9" s="10" t="inlineStr">
        <is>
          <t xml:space="preserve">  Atlantis Crystal</t>
        </is>
      </c>
      <c r="B9" s="4" t="inlineStr">
        <is>
          <t>SSS</t>
        </is>
      </c>
      <c r="C9" s="4" t="inlineStr">
        <is>
          <t>FTH</t>
        </is>
      </c>
      <c r="D9" s="4" t="n"/>
      <c r="E9" s="4" t="n"/>
      <c r="F9" s="12" t="inlineStr">
        <is>
          <t>Lottery Machine #2 (0.12%), Relic Forge (120 RF)</t>
        </is>
      </c>
    </row>
    <row r="10">
      <c r="A10" s="10" t="inlineStr">
        <is>
          <t xml:space="preserve">  Lawrence's Cyclotron</t>
        </is>
      </c>
      <c r="B10" s="4" t="inlineStr">
        <is>
          <t>SSS</t>
        </is>
      </c>
      <c r="C10" s="4" t="inlineStr">
        <is>
          <t>TECH</t>
        </is>
      </c>
      <c r="D10" s="4" t="n"/>
      <c r="E10" s="4" t="n"/>
      <c r="F10" s="12" t="inlineStr">
        <is>
          <t>Lottery Machine #2 (0.12%)</t>
        </is>
      </c>
    </row>
    <row r="11">
      <c r="A11" s="10" t="inlineStr">
        <is>
          <t xml:space="preserve">  Science Magazine Vol.1</t>
        </is>
      </c>
      <c r="B11" s="4" t="inlineStr">
        <is>
          <t>SSS</t>
        </is>
      </c>
      <c r="C11" s="4" t="inlineStr">
        <is>
          <t>FAME</t>
        </is>
      </c>
      <c r="D11" s="4" t="n"/>
      <c r="E11" s="4" t="n"/>
      <c r="F11" s="12" t="inlineStr">
        <is>
          <t>Lottery Machine #2 (0.12%)</t>
        </is>
      </c>
    </row>
    <row r="12">
      <c r="A12" s="10" t="inlineStr">
        <is>
          <t xml:space="preserve">  Phaistos Disc</t>
        </is>
      </c>
      <c r="B12" s="4" t="inlineStr">
        <is>
          <t>SSS</t>
        </is>
      </c>
      <c r="C12" s="4" t="inlineStr">
        <is>
          <t>CIV</t>
        </is>
      </c>
      <c r="D12" s="4" t="n"/>
      <c r="E12" s="4" t="n"/>
      <c r="F12" s="12" t="inlineStr">
        <is>
          <t>Lottery Machine #2 (0.12%), Relic Forge (120 RF)</t>
        </is>
      </c>
    </row>
    <row r="13">
      <c r="A13" s="13" t="inlineStr">
        <is>
          <t>MAX REBEL CABIN</t>
        </is>
      </c>
      <c r="B13" s="7" t="n"/>
      <c r="C13" s="7" t="n"/>
      <c r="D13" s="8">
        <f>sum(D5:E12)</f>
        <v/>
      </c>
      <c r="E13" s="7" t="n"/>
      <c r="F13" s="14" t="n"/>
    </row>
    <row r="14">
      <c r="A14" s="10" t="n"/>
      <c r="B14" s="4" t="n"/>
      <c r="C14" s="4" t="n"/>
      <c r="D14" s="4" t="n"/>
      <c r="E14" s="4" t="n"/>
      <c r="F14" s="12" t="n"/>
    </row>
    <row r="15">
      <c r="A15" s="10" t="n"/>
      <c r="B15" s="4" t="n"/>
      <c r="C15" s="4" t="n"/>
      <c r="D15" s="4" t="n"/>
      <c r="E15" s="4" t="n"/>
      <c r="F15" s="12" t="n"/>
    </row>
    <row r="16">
      <c r="A16" s="1" t="inlineStr">
        <is>
          <t>Photonic Communicator (Angel)</t>
        </is>
      </c>
      <c r="B16" s="2" t="n"/>
      <c r="C16" s="2" t="n"/>
      <c r="D16" s="2" t="n"/>
      <c r="E16" s="2" t="n"/>
      <c r="F16" s="15" t="n"/>
    </row>
    <row r="17">
      <c r="A17" s="10" t="inlineStr">
        <is>
          <t>Cross of Lorraine</t>
        </is>
      </c>
      <c r="B17" s="4" t="inlineStr">
        <is>
          <t>SS</t>
        </is>
      </c>
      <c r="C17" s="4" t="inlineStr">
        <is>
          <t>FAME</t>
        </is>
      </c>
      <c r="D17" s="5" t="n">
        <v>88</v>
      </c>
      <c r="E17" s="5" t="n"/>
      <c r="F17" s="12" t="inlineStr">
        <is>
          <t>Lottery Machine #2 (?%)</t>
        </is>
      </c>
    </row>
    <row r="18">
      <c r="A18" s="10" t="inlineStr">
        <is>
          <t>Akebono</t>
        </is>
      </c>
      <c r="B18" s="4" t="inlineStr">
        <is>
          <t>Blue</t>
        </is>
      </c>
      <c r="C18" s="4" t="inlineStr">
        <is>
          <t>TECH</t>
        </is>
      </c>
      <c r="D18" s="5" t="n">
        <v>40</v>
      </c>
      <c r="E18" s="5" t="n">
        <v>40</v>
      </c>
      <c r="F18" s="12" t="inlineStr">
        <is>
          <t>Lottery Machine #2 (?%)</t>
        </is>
      </c>
    </row>
    <row r="19">
      <c r="A19" s="10" t="n"/>
      <c r="B19" s="4" t="n"/>
      <c r="C19" s="4" t="n"/>
      <c r="D19" s="5" t="n"/>
      <c r="E19" s="4" t="n"/>
      <c r="F19" s="12" t="n"/>
    </row>
    <row r="20">
      <c r="A20" s="10" t="inlineStr">
        <is>
          <t>Resonance: Orange</t>
        </is>
      </c>
      <c r="B20" s="4" t="n"/>
      <c r="C20" s="4" t="n"/>
      <c r="D20" s="4" t="n">
        <v>56</v>
      </c>
      <c r="E20" s="4" t="n"/>
      <c r="F20" s="12" t="n"/>
    </row>
    <row r="21">
      <c r="A21" s="10" t="inlineStr">
        <is>
          <t xml:space="preserve">  Rutherford Model</t>
        </is>
      </c>
      <c r="B21" s="4" t="inlineStr">
        <is>
          <t>SS</t>
        </is>
      </c>
      <c r="C21" s="4" t="inlineStr">
        <is>
          <t>TECH</t>
        </is>
      </c>
      <c r="D21" s="4" t="n"/>
      <c r="E21" s="4" t="n"/>
      <c r="F21" s="12" t="inlineStr">
        <is>
          <t>Lottery Machine #2 (0.23%)</t>
        </is>
      </c>
    </row>
    <row r="22">
      <c r="A22" s="10" t="inlineStr">
        <is>
          <t xml:space="preserve">  SC Energy Storage Unit</t>
        </is>
      </c>
      <c r="B22" s="4" t="inlineStr">
        <is>
          <t>SS</t>
        </is>
      </c>
      <c r="C22" s="4" t="inlineStr">
        <is>
          <t>TECH</t>
        </is>
      </c>
      <c r="D22" s="4" t="n"/>
      <c r="E22" s="4" t="n"/>
      <c r="F22" s="12" t="inlineStr">
        <is>
          <t>Lottery Machine #2 (0.47%)</t>
        </is>
      </c>
    </row>
    <row r="23">
      <c r="A23" s="13" t="inlineStr">
        <is>
          <t>MAX PHOTONIC COMMUNICATOR</t>
        </is>
      </c>
      <c r="B23" s="7" t="n"/>
      <c r="C23" s="7" t="n"/>
      <c r="D23" s="8">
        <f>sum(D17:E22)</f>
        <v/>
      </c>
      <c r="E23" s="7" t="n"/>
      <c r="F23" s="14" t="n"/>
    </row>
    <row r="24">
      <c r="A24" s="10" t="n"/>
      <c r="B24" s="4" t="n"/>
      <c r="C24" s="4" t="n"/>
      <c r="D24" s="4" t="n"/>
      <c r="E24" s="4" t="n"/>
      <c r="F24" s="12" t="n"/>
    </row>
    <row r="25">
      <c r="A25" s="16" t="n"/>
      <c r="F25" s="17" t="n"/>
    </row>
    <row r="26">
      <c r="A26" s="18" t="inlineStr">
        <is>
          <t>Prismatic Armor (Mecha)</t>
        </is>
      </c>
      <c r="B26" s="19" t="n"/>
      <c r="C26" s="19" t="n"/>
      <c r="D26" s="19" t="n"/>
      <c r="E26" s="19" t="n"/>
      <c r="F26" s="15" t="n"/>
    </row>
    <row r="27">
      <c r="A27" s="10" t="inlineStr">
        <is>
          <t>Eight Proposals</t>
        </is>
      </c>
      <c r="B27" s="4" t="inlineStr">
        <is>
          <t>SS</t>
        </is>
      </c>
      <c r="C27" s="4" t="inlineStr">
        <is>
          <t>CIV</t>
        </is>
      </c>
      <c r="D27" s="5" t="n">
        <v>88</v>
      </c>
      <c r="E27" s="5" t="n"/>
      <c r="F27" s="12" t="inlineStr">
        <is>
          <t>Lottery Machine #2 (0.23%)</t>
        </is>
      </c>
    </row>
    <row r="28">
      <c r="A28" s="10" t="inlineStr">
        <is>
          <t>Model G Loom</t>
        </is>
      </c>
      <c r="B28" s="4" t="inlineStr">
        <is>
          <t>Blue</t>
        </is>
      </c>
      <c r="C28" s="4" t="inlineStr">
        <is>
          <t>FAME</t>
        </is>
      </c>
      <c r="D28" s="5" t="n">
        <v>40</v>
      </c>
      <c r="E28" s="5" t="n">
        <v>40</v>
      </c>
      <c r="F28" s="12" t="inlineStr">
        <is>
          <t>Lottery Machine #2 (0.03%)</t>
        </is>
      </c>
    </row>
    <row r="29">
      <c r="A29" s="10" t="n"/>
      <c r="B29" s="4" t="n"/>
      <c r="C29" s="4" t="n"/>
      <c r="D29" s="5" t="n"/>
      <c r="E29" s="4" t="n"/>
      <c r="F29" s="12" t="n"/>
    </row>
    <row r="30">
      <c r="A30" s="10" t="inlineStr">
        <is>
          <t>Resonance: Orange</t>
        </is>
      </c>
      <c r="B30" s="4" t="n"/>
      <c r="C30" s="4" t="n"/>
      <c r="D30" s="4" t="n">
        <v>56</v>
      </c>
      <c r="E30" s="4" t="n"/>
      <c r="F30" s="12" t="n"/>
    </row>
    <row r="31">
      <c r="A31" s="10" t="inlineStr">
        <is>
          <t xml:space="preserve">  Crime and Punishment</t>
        </is>
      </c>
      <c r="B31" s="4" t="inlineStr">
        <is>
          <t>SSS</t>
        </is>
      </c>
      <c r="C31" s="4" t="inlineStr">
        <is>
          <t>CIV</t>
        </is>
      </c>
      <c r="D31" s="4" t="n"/>
      <c r="E31" s="4" t="n"/>
      <c r="F31" s="12" t="inlineStr">
        <is>
          <t>Lottery Machine #2 (0.12%)</t>
        </is>
      </c>
    </row>
    <row r="32">
      <c r="A32" s="10" t="inlineStr">
        <is>
          <t xml:space="preserve">  Palermo Stone</t>
        </is>
      </c>
      <c r="B32" s="4" t="inlineStr">
        <is>
          <t>SSS</t>
        </is>
      </c>
      <c r="C32" s="4" t="inlineStr">
        <is>
          <t>TECH</t>
        </is>
      </c>
      <c r="D32" s="4" t="n"/>
      <c r="E32" s="4" t="n"/>
      <c r="F32" s="12" t="inlineStr">
        <is>
          <t>Lottery Machine #2 (1.59%), Rift Treasure Maps (5%)</t>
        </is>
      </c>
    </row>
    <row r="33">
      <c r="A33" s="13" t="inlineStr">
        <is>
          <t>MAX PRISMATIC ARMOR</t>
        </is>
      </c>
      <c r="B33" s="7" t="n"/>
      <c r="C33" s="7" t="n"/>
      <c r="D33" s="8">
        <f>sum(D27:E32)</f>
        <v/>
      </c>
      <c r="E33" s="7" t="n"/>
      <c r="F33" s="14" t="n"/>
    </row>
    <row r="34">
      <c r="A34" s="10" t="n"/>
      <c r="B34" s="4" t="n"/>
      <c r="C34" s="4" t="n"/>
      <c r="D34" s="4" t="n"/>
      <c r="E34" s="4" t="n"/>
      <c r="F34" s="12" t="n"/>
    </row>
    <row r="35">
      <c r="A35" s="16" t="n"/>
      <c r="F35" s="17" t="n"/>
    </row>
    <row r="36">
      <c r="A36" s="18" t="inlineStr">
        <is>
          <t>Auto-reload Device (Demon)</t>
        </is>
      </c>
      <c r="B36" s="19" t="n"/>
      <c r="C36" s="19" t="n"/>
      <c r="D36" s="19" t="n"/>
      <c r="E36" s="19" t="n"/>
      <c r="F36" s="15" t="n"/>
    </row>
    <row r="37">
      <c r="A37" s="10" t="inlineStr">
        <is>
          <t>Eight Proposals</t>
        </is>
      </c>
      <c r="B37" s="4" t="inlineStr">
        <is>
          <t>SS</t>
        </is>
      </c>
      <c r="C37" s="4" t="inlineStr">
        <is>
          <t>CIV</t>
        </is>
      </c>
      <c r="D37" s="5" t="n">
        <v>88</v>
      </c>
      <c r="E37" s="5" t="n"/>
      <c r="F37" s="12" t="inlineStr">
        <is>
          <t>Lottery Machine #2 (0.23%)</t>
        </is>
      </c>
    </row>
    <row r="38">
      <c r="A38" s="10" t="inlineStr">
        <is>
          <t>The Knotted Pistol</t>
        </is>
      </c>
      <c r="B38" s="4" t="inlineStr">
        <is>
          <t>Blue</t>
        </is>
      </c>
      <c r="C38" s="4" t="inlineStr">
        <is>
          <t>FAME</t>
        </is>
      </c>
      <c r="D38" s="5" t="n">
        <v>40</v>
      </c>
      <c r="E38" s="5" t="n">
        <v>40</v>
      </c>
      <c r="F38" s="12" t="inlineStr">
        <is>
          <t>Lottery Machine #2 (0.03%)</t>
        </is>
      </c>
    </row>
    <row r="39">
      <c r="A39" s="13" t="inlineStr">
        <is>
          <t>MAX AUTO-RELOAD DEVICE</t>
        </is>
      </c>
      <c r="B39" s="7" t="n"/>
      <c r="C39" s="7" t="n"/>
      <c r="D39" s="8">
        <f>sum(D37:E38)</f>
        <v/>
      </c>
      <c r="E39" s="7" t="n"/>
      <c r="F39" s="14" t="n"/>
    </row>
    <row r="40">
      <c r="A40" s="10" t="n"/>
      <c r="B40" s="4" t="n"/>
      <c r="C40" s="4" t="n"/>
      <c r="D40" s="4" t="n"/>
      <c r="E40" s="4" t="n"/>
      <c r="F40" s="12" t="n"/>
    </row>
    <row r="41">
      <c r="A41" s="16" t="n"/>
      <c r="F41" s="17" t="n"/>
    </row>
    <row r="42">
      <c r="A42" s="1" t="inlineStr">
        <is>
          <t>Biochemical MOD Module (Zombie)</t>
        </is>
      </c>
      <c r="B42" s="2" t="n"/>
      <c r="C42" s="2" t="n"/>
      <c r="D42" s="2" t="n"/>
      <c r="E42" s="2" t="n"/>
      <c r="F42" s="15" t="n"/>
    </row>
    <row r="43">
      <c r="A43" s="10" t="inlineStr">
        <is>
          <t>Swimming Reindeer</t>
        </is>
      </c>
      <c r="B43" s="4" t="inlineStr">
        <is>
          <t>SS</t>
        </is>
      </c>
      <c r="C43" s="4" t="inlineStr">
        <is>
          <t>ART</t>
        </is>
      </c>
      <c r="D43" s="5" t="n">
        <v>88</v>
      </c>
      <c r="E43" s="5" t="n"/>
      <c r="F43" s="12" t="inlineStr">
        <is>
          <t>Lottery Machine #2 (0.35%)</t>
        </is>
      </c>
    </row>
    <row r="44">
      <c r="A44" s="10" t="inlineStr">
        <is>
          <t>Bastet Bronze Statue</t>
        </is>
      </c>
      <c r="B44" s="4" t="inlineStr">
        <is>
          <t>Blue</t>
        </is>
      </c>
      <c r="C44" s="4" t="inlineStr">
        <is>
          <t>FTH</t>
        </is>
      </c>
      <c r="D44" s="5" t="n">
        <v>40</v>
      </c>
      <c r="E44" s="5" t="n">
        <v>40</v>
      </c>
      <c r="F44" s="12" t="inlineStr">
        <is>
          <t>Lottery Machine #2 (0.03%), Indigent Nobleman (72K B-tads)</t>
        </is>
      </c>
    </row>
    <row r="45">
      <c r="A45" s="13" t="inlineStr">
        <is>
          <t>MAX BIOCHEMICAL MOD MODULE</t>
        </is>
      </c>
      <c r="B45" s="7" t="n"/>
      <c r="C45" s="7" t="n"/>
      <c r="D45" s="8">
        <f>sum(D43:E44)</f>
        <v/>
      </c>
      <c r="E45" s="7" t="n"/>
      <c r="F45" s="14" t="n"/>
    </row>
    <row r="46">
      <c r="A46" s="10" t="n"/>
      <c r="B46" s="4" t="n"/>
      <c r="C46" s="4" t="n"/>
      <c r="D46" s="4" t="n"/>
      <c r="E46" s="4" t="n"/>
      <c r="F46" s="12" t="n"/>
    </row>
    <row r="47">
      <c r="A47" s="16" t="n"/>
      <c r="F47" s="17" t="n"/>
    </row>
    <row r="48">
      <c r="A48" s="18" t="inlineStr">
        <is>
          <t>Anti-gravity Device (Mecha)</t>
        </is>
      </c>
      <c r="B48" s="2" t="n"/>
      <c r="C48" s="2" t="n"/>
      <c r="D48" s="2" t="n"/>
      <c r="E48" s="2" t="n"/>
      <c r="F48" s="15" t="n"/>
    </row>
    <row r="49">
      <c r="A49" s="10" t="inlineStr">
        <is>
          <t>Oxus Treasure</t>
        </is>
      </c>
      <c r="B49" s="4" t="inlineStr">
        <is>
          <t>SSS</t>
        </is>
      </c>
      <c r="C49" s="4" t="inlineStr">
        <is>
          <t>ART</t>
        </is>
      </c>
      <c r="D49" s="5" t="n">
        <v>96</v>
      </c>
      <c r="E49" s="5" t="n"/>
      <c r="F49" s="12" t="inlineStr">
        <is>
          <t>Lottery Machine #2 (0.12%), Relic Forge (120 RF)</t>
        </is>
      </c>
    </row>
    <row r="50">
      <c r="A50" s="10" t="inlineStr">
        <is>
          <t>DNA Microarray</t>
        </is>
      </c>
      <c r="B50" s="4" t="inlineStr">
        <is>
          <t>AA</t>
        </is>
      </c>
      <c r="C50" s="4" t="inlineStr">
        <is>
          <t>TECH</t>
        </is>
      </c>
      <c r="D50" s="5" t="n">
        <v>64</v>
      </c>
      <c r="E50" s="5" t="n">
        <v>56</v>
      </c>
      <c r="F50" s="12" t="inlineStr">
        <is>
          <t>Lottery Machine #2 (0.12%)</t>
        </is>
      </c>
    </row>
    <row r="51">
      <c r="A51" s="10" t="n"/>
      <c r="B51" s="4" t="n"/>
      <c r="C51" s="4" t="n"/>
      <c r="D51" s="5" t="n"/>
      <c r="E51" s="4" t="n"/>
      <c r="F51" s="12" t="n"/>
    </row>
    <row r="52">
      <c r="A52" s="10" t="inlineStr">
        <is>
          <t>Resonance: Orange</t>
        </is>
      </c>
      <c r="B52" s="4" t="n"/>
      <c r="C52" s="4" t="n"/>
      <c r="D52" s="4" t="n">
        <v>64</v>
      </c>
      <c r="E52" s="4" t="n"/>
      <c r="F52" s="12" t="n"/>
    </row>
    <row r="53">
      <c r="A53" s="10" t="inlineStr">
        <is>
          <t xml:space="preserve">  Hevelius Chart</t>
        </is>
      </c>
      <c r="B53" s="4" t="inlineStr">
        <is>
          <t>SSS</t>
        </is>
      </c>
      <c r="C53" s="4" t="inlineStr">
        <is>
          <t>CIV</t>
        </is>
      </c>
      <c r="D53" s="4" t="n"/>
      <c r="E53" s="4" t="n"/>
      <c r="F53" s="12" t="inlineStr">
        <is>
          <t>Star Chart Shop</t>
        </is>
      </c>
    </row>
    <row r="54">
      <c r="A54" s="10" t="inlineStr">
        <is>
          <t xml:space="preserve">  Veiled Lady</t>
        </is>
      </c>
      <c r="B54" s="4" t="inlineStr">
        <is>
          <t>SS</t>
        </is>
      </c>
      <c r="C54" s="4" t="inlineStr">
        <is>
          <t>ART</t>
        </is>
      </c>
      <c r="D54" s="4" t="n"/>
      <c r="E54" s="4" t="n"/>
      <c r="F54" s="12" t="inlineStr">
        <is>
          <t>Lottery Machine #2 (0.47%), Indigent Nobleman (570K B-tads)</t>
        </is>
      </c>
    </row>
    <row r="55">
      <c r="A55" s="10" t="inlineStr">
        <is>
          <t xml:space="preserve">  The Kiss</t>
        </is>
      </c>
      <c r="B55" s="4" t="inlineStr">
        <is>
          <t>S</t>
        </is>
      </c>
      <c r="C55" s="4" t="inlineStr">
        <is>
          <t>FAME</t>
        </is>
      </c>
      <c r="D55" s="4" t="n"/>
      <c r="E55" s="4" t="n"/>
      <c r="F55" s="12" t="inlineStr">
        <is>
          <t>Lottery Machine #2 (1.59%)</t>
        </is>
      </c>
    </row>
    <row r="56">
      <c r="A56" s="13" t="inlineStr">
        <is>
          <t>MAX ANTI-GRAVITY DEVICE</t>
        </is>
      </c>
      <c r="B56" s="7" t="n"/>
      <c r="C56" s="7" t="n"/>
      <c r="D56" s="8">
        <f>sum(D49:E55)</f>
        <v/>
      </c>
      <c r="E56" s="7" t="n"/>
      <c r="F56" s="14" t="n"/>
    </row>
    <row r="57">
      <c r="A57" s="10" t="n"/>
      <c r="B57" s="4" t="n"/>
      <c r="C57" s="4" t="n"/>
      <c r="D57" s="4" t="n"/>
      <c r="E57" s="4" t="n"/>
      <c r="F57" s="12" t="n"/>
    </row>
    <row r="58">
      <c r="A58" s="16" t="n"/>
      <c r="F58" s="17" t="n"/>
    </row>
    <row r="59">
      <c r="A59" s="1" t="inlineStr">
        <is>
          <t>Dark Matter Reactor (Zombie)</t>
        </is>
      </c>
      <c r="B59" s="2" t="n"/>
      <c r="C59" s="2" t="n"/>
      <c r="D59" s="2" t="n"/>
      <c r="E59" s="2" t="n"/>
      <c r="F59" s="15" t="n"/>
    </row>
    <row r="60">
      <c r="A60" s="10" t="inlineStr">
        <is>
          <t>Black Body</t>
        </is>
      </c>
      <c r="B60" s="4" t="inlineStr">
        <is>
          <t>SSS</t>
        </is>
      </c>
      <c r="C60" s="4" t="inlineStr">
        <is>
          <t>TECH</t>
        </is>
      </c>
      <c r="D60" s="5" t="n">
        <v>96</v>
      </c>
      <c r="E60" s="5" t="n"/>
      <c r="F60" s="12" t="inlineStr">
        <is>
          <t>Lottery Machine #2 (0.12%)</t>
        </is>
      </c>
    </row>
    <row r="61">
      <c r="A61" s="10" t="inlineStr">
        <is>
          <t>Mother and Daughter</t>
        </is>
      </c>
      <c r="B61" s="4" t="inlineStr">
        <is>
          <t>AA</t>
        </is>
      </c>
      <c r="C61" s="4" t="inlineStr">
        <is>
          <t>ART</t>
        </is>
      </c>
      <c r="D61" s="5" t="n">
        <v>64</v>
      </c>
      <c r="E61" s="5" t="n">
        <v>56</v>
      </c>
      <c r="F61" s="12" t="inlineStr">
        <is>
          <t>Lottery Machine #2 (0.12%)</t>
        </is>
      </c>
    </row>
    <row r="62">
      <c r="A62" s="10" t="n"/>
      <c r="B62" s="4" t="n"/>
      <c r="C62" s="4" t="n"/>
      <c r="D62" s="5" t="n"/>
      <c r="E62" s="4" t="n"/>
      <c r="F62" s="12" t="n"/>
    </row>
    <row r="63">
      <c r="A63" s="10" t="inlineStr">
        <is>
          <t>Resonance: Orange</t>
        </is>
      </c>
      <c r="B63" s="4" t="n"/>
      <c r="C63" s="4" t="n"/>
      <c r="D63" s="4" t="n">
        <v>64</v>
      </c>
      <c r="E63" s="4" t="n"/>
      <c r="F63" s="12" t="n"/>
    </row>
    <row r="64">
      <c r="A64" s="10" t="inlineStr">
        <is>
          <t xml:space="preserve">  Stockholm Declaration</t>
        </is>
      </c>
      <c r="B64" s="4" t="inlineStr">
        <is>
          <t>SS</t>
        </is>
      </c>
      <c r="C64" s="4" t="inlineStr">
        <is>
          <t>FAME</t>
        </is>
      </c>
      <c r="D64" s="4" t="n"/>
      <c r="E64" s="4" t="n"/>
      <c r="F64" s="12" t="inlineStr">
        <is>
          <t>Lottery Machine #2 (0.47%), Indigent Nobleman (570K B-tads)</t>
        </is>
      </c>
    </row>
    <row r="65">
      <c r="A65" s="10" t="inlineStr">
        <is>
          <t xml:space="preserve">  Last Self Portrait</t>
        </is>
      </c>
      <c r="B65" s="4" t="inlineStr">
        <is>
          <t>SSS</t>
        </is>
      </c>
      <c r="C65" s="4" t="inlineStr">
        <is>
          <t>ART</t>
        </is>
      </c>
      <c r="D65" s="4" t="n"/>
      <c r="E65" s="4" t="n"/>
      <c r="F65" s="12" t="inlineStr">
        <is>
          <t>Daily Pack Relic #15</t>
        </is>
      </c>
    </row>
    <row r="66">
      <c r="A66" s="10" t="inlineStr">
        <is>
          <t xml:space="preserve">  Tao Te Ching</t>
        </is>
      </c>
      <c r="B66" s="4" t="inlineStr">
        <is>
          <t>SSS</t>
        </is>
      </c>
      <c r="C66" s="4" t="inlineStr">
        <is>
          <t>CIV</t>
        </is>
      </c>
      <c r="D66" s="4" t="n"/>
      <c r="E66" s="4" t="n"/>
      <c r="F66" s="12" t="inlineStr">
        <is>
          <t>Lottery Machine #2 (0.12%)</t>
        </is>
      </c>
    </row>
    <row r="67">
      <c r="A67" s="13" t="inlineStr">
        <is>
          <t>MAX DARK MATTER REACTOR</t>
        </is>
      </c>
      <c r="B67" s="7" t="n"/>
      <c r="C67" s="7" t="n"/>
      <c r="D67" s="8">
        <f>sum(D60:E66)</f>
        <v/>
      </c>
      <c r="E67" s="7" t="n"/>
      <c r="F67" s="14" t="n"/>
    </row>
    <row r="68">
      <c r="A68" s="10" t="n"/>
      <c r="B68" s="4" t="n"/>
      <c r="C68" s="4" t="n"/>
      <c r="D68" s="4" t="n"/>
      <c r="E68" s="4" t="n"/>
      <c r="F68" s="12" t="n"/>
    </row>
    <row r="69">
      <c r="A69" s="16" t="n"/>
      <c r="F69" s="17" t="n"/>
    </row>
    <row r="70">
      <c r="A70" s="1" t="inlineStr">
        <is>
          <t>Steel Hall (All)</t>
        </is>
      </c>
      <c r="B70" s="2" t="n"/>
      <c r="C70" s="2" t="n"/>
      <c r="D70" s="2" t="n"/>
      <c r="E70" s="2" t="n"/>
      <c r="F70" s="15" t="n"/>
    </row>
    <row r="71">
      <c r="A71" s="10" t="inlineStr">
        <is>
          <t>Atlantis Crystal</t>
        </is>
      </c>
      <c r="B71" s="4" t="inlineStr">
        <is>
          <t>SSS</t>
        </is>
      </c>
      <c r="C71" s="4" t="inlineStr">
        <is>
          <t>FTH</t>
        </is>
      </c>
      <c r="D71" s="5" t="n">
        <v>96</v>
      </c>
      <c r="E71" s="5" t="n"/>
      <c r="F71" s="12" t="inlineStr">
        <is>
          <t>Lottery Machine #2 (0.12%), Relic Forge (120 RF)</t>
        </is>
      </c>
    </row>
    <row r="72">
      <c r="A72" s="10" t="inlineStr">
        <is>
          <t>Le Verrier's Scripts</t>
        </is>
      </c>
      <c r="B72" s="4" t="inlineStr">
        <is>
          <t>AAA</t>
        </is>
      </c>
      <c r="C72" s="4" t="inlineStr">
        <is>
          <t>TECH</t>
        </is>
      </c>
      <c r="D72" s="5" t="n">
        <v>72</v>
      </c>
      <c r="E72" s="5" t="n">
        <v>56</v>
      </c>
      <c r="F72" s="12" t="inlineStr">
        <is>
          <t>Lottery Machine #2 (0.06%)</t>
        </is>
      </c>
    </row>
    <row r="73">
      <c r="A73" s="13" t="inlineStr">
        <is>
          <t>MAX STEEL HALL</t>
        </is>
      </c>
      <c r="B73" s="7" t="n"/>
      <c r="C73" s="7" t="n"/>
      <c r="D73" s="8">
        <f>sum(D71:E72)</f>
        <v/>
      </c>
      <c r="E73" s="7" t="n"/>
      <c r="F73" s="20" t="n"/>
    </row>
    <row r="74">
      <c r="A74" s="10" t="n"/>
      <c r="B74" s="4" t="n"/>
      <c r="C74" s="4" t="n"/>
      <c r="D74" s="4" t="n"/>
      <c r="E74" s="4" t="n"/>
      <c r="F74" s="21" t="n"/>
    </row>
    <row r="75">
      <c r="A75" s="16" t="n"/>
      <c r="F75" s="17" t="n"/>
    </row>
    <row r="76">
      <c r="A76" s="1" t="inlineStr">
        <is>
          <t>Silence Hall (All)</t>
        </is>
      </c>
      <c r="B76" s="2" t="n"/>
      <c r="C76" s="2" t="n"/>
      <c r="D76" s="2" t="n"/>
      <c r="E76" s="2" t="n"/>
      <c r="F76" s="15" t="n"/>
    </row>
    <row r="77">
      <c r="A77" s="10" t="inlineStr">
        <is>
          <t>Atlantis Crystal</t>
        </is>
      </c>
      <c r="B77" s="4" t="inlineStr">
        <is>
          <t>SSS</t>
        </is>
      </c>
      <c r="C77" s="4" t="inlineStr">
        <is>
          <t>FTH</t>
        </is>
      </c>
      <c r="D77" s="5" t="n">
        <v>96</v>
      </c>
      <c r="E77" s="5" t="n"/>
      <c r="F77" s="12" t="inlineStr">
        <is>
          <t>Lottery Machine #2 (0.12%), Relic Forge (120 RF)</t>
        </is>
      </c>
    </row>
    <row r="78">
      <c r="A78" s="10" t="inlineStr">
        <is>
          <t>Solar Sail</t>
        </is>
      </c>
      <c r="B78" s="4" t="inlineStr">
        <is>
          <t>AAA</t>
        </is>
      </c>
      <c r="C78" s="4" t="inlineStr">
        <is>
          <t>TECH</t>
        </is>
      </c>
      <c r="D78" s="5" t="n">
        <v>72</v>
      </c>
      <c r="E78" s="5" t="n">
        <v>56</v>
      </c>
      <c r="F78" s="12" t="inlineStr">
        <is>
          <t>Lottery Machine #2 (0.06%), Rift Treasure Maps (10%)</t>
        </is>
      </c>
    </row>
    <row r="79">
      <c r="A79" s="13" t="inlineStr">
        <is>
          <t>MAX SILENCE HALL</t>
        </is>
      </c>
      <c r="B79" s="7" t="n"/>
      <c r="C79" s="7" t="n"/>
      <c r="D79" s="8">
        <f>sum(D77:E78)</f>
        <v/>
      </c>
      <c r="E79" s="7" t="n"/>
      <c r="F79" s="14" t="n"/>
    </row>
    <row r="80">
      <c r="A80" s="10" t="n"/>
      <c r="B80" s="4" t="n"/>
      <c r="C80" s="4" t="n"/>
      <c r="D80" s="4" t="n"/>
      <c r="E80" s="4" t="n"/>
      <c r="F80" s="12" t="n"/>
    </row>
    <row r="81">
      <c r="A81" s="16" t="n"/>
      <c r="F81" s="17" t="n"/>
    </row>
    <row r="82">
      <c r="A82" s="22" t="n"/>
      <c r="B82" s="23" t="inlineStr">
        <is>
          <t>Base Effect</t>
        </is>
      </c>
      <c r="F82" s="17" t="n"/>
    </row>
    <row r="83">
      <c r="A83" s="24">
        <f>A16</f>
        <v/>
      </c>
      <c r="B83" s="25">
        <f>D23+D13</f>
        <v/>
      </c>
      <c r="F83" s="17" t="n"/>
    </row>
    <row r="84">
      <c r="A84" s="24">
        <f>A26</f>
        <v/>
      </c>
      <c r="B84" s="25">
        <f>D33+D13</f>
        <v/>
      </c>
      <c r="F84" s="17" t="n"/>
    </row>
    <row r="85">
      <c r="A85" s="24">
        <f>A36</f>
        <v/>
      </c>
      <c r="B85" s="25">
        <f>D39+D13</f>
        <v/>
      </c>
      <c r="F85" s="17" t="n"/>
    </row>
    <row r="86">
      <c r="A86" s="24">
        <f>A42</f>
        <v/>
      </c>
      <c r="B86" s="25">
        <f>D45+D13</f>
        <v/>
      </c>
      <c r="F86" s="17" t="n"/>
    </row>
    <row r="87">
      <c r="A87" s="24">
        <f>A48</f>
        <v/>
      </c>
      <c r="B87" s="25">
        <f>D56+D13</f>
        <v/>
      </c>
      <c r="F87" s="17" t="n"/>
    </row>
    <row r="88">
      <c r="A88" s="24">
        <f>A59</f>
        <v/>
      </c>
      <c r="B88" s="25">
        <f>D67+D13</f>
        <v/>
      </c>
      <c r="F88" s="17" t="n"/>
    </row>
    <row r="89">
      <c r="A89" s="24">
        <f>A70</f>
        <v/>
      </c>
      <c r="B89" s="25">
        <f>D73+D13</f>
        <v/>
      </c>
      <c r="F89" s="17" t="n"/>
    </row>
    <row r="90">
      <c r="A90" s="26">
        <f>A76</f>
        <v/>
      </c>
      <c r="B90" s="27">
        <f>D79+D13</f>
        <v/>
      </c>
      <c r="C90" s="28" t="n"/>
      <c r="D90" s="28" t="n"/>
      <c r="E90" s="28" t="n"/>
      <c r="F90" s="29" t="n"/>
    </row>
    <row r="91"/>
    <row r="92"/>
    <row r="93"/>
    <row r="94"/>
    <row r="95"/>
    <row r="96">
      <c r="A96" s="1" t="inlineStr">
        <is>
          <t>DEMON GOD CABIN</t>
        </is>
      </c>
      <c r="B96" s="2" t="n"/>
      <c r="C96" s="2" t="n"/>
      <c r="D96" s="30" t="n"/>
      <c r="E96" s="30" t="n"/>
      <c r="F96" s="15" t="n"/>
    </row>
    <row r="97">
      <c r="A97" s="10" t="n"/>
      <c r="B97" s="4" t="n"/>
      <c r="C97" s="4" t="n"/>
      <c r="D97" s="5" t="n"/>
      <c r="E97" s="4" t="n"/>
      <c r="F97" s="12" t="n"/>
    </row>
    <row r="98">
      <c r="A98" s="10" t="inlineStr">
        <is>
          <t>Resonance: Orange</t>
        </is>
      </c>
      <c r="B98" s="4" t="n"/>
      <c r="C98" s="4" t="n"/>
      <c r="D98" s="4" t="n">
        <v>10</v>
      </c>
      <c r="E98" s="4" t="n"/>
      <c r="F98" s="12" t="n"/>
    </row>
    <row r="99">
      <c r="A99" s="10" t="inlineStr">
        <is>
          <t xml:space="preserve">  Mysterious Relic</t>
        </is>
      </c>
      <c r="B99" s="4" t="inlineStr">
        <is>
          <t>SSS</t>
        </is>
      </c>
      <c r="C99" s="4" t="n"/>
      <c r="D99" s="4" t="n"/>
      <c r="E99" s="4" t="n"/>
      <c r="F99" s="12" t="inlineStr">
        <is>
          <t>Unknown</t>
        </is>
      </c>
    </row>
    <row r="100">
      <c r="A100" s="10" t="inlineStr">
        <is>
          <t xml:space="preserve">  Orphic Egg</t>
        </is>
      </c>
      <c r="B100" s="4" t="inlineStr">
        <is>
          <t>SSS</t>
        </is>
      </c>
      <c r="C100" s="4" t="inlineStr">
        <is>
          <t>FTH</t>
        </is>
      </c>
      <c r="D100" s="4" t="n"/>
      <c r="E100" s="4" t="n"/>
      <c r="F100" s="12" t="inlineStr">
        <is>
          <t>Lottery Machine #2 (0.12%), Relic Forge (120 RF)</t>
        </is>
      </c>
    </row>
    <row r="101">
      <c r="A101" s="10" t="inlineStr">
        <is>
          <t xml:space="preserve">  Two-headed Serpent</t>
        </is>
      </c>
      <c r="B101" s="4" t="inlineStr">
        <is>
          <t>SSS</t>
        </is>
      </c>
      <c r="C101" s="4" t="inlineStr">
        <is>
          <t>ART</t>
        </is>
      </c>
      <c r="D101" s="4" t="n"/>
      <c r="E101" s="4" t="n"/>
      <c r="F101" s="12" t="inlineStr">
        <is>
          <t>Lottery Machine #2 (0.12%), Relic Forge (120 RF)</t>
        </is>
      </c>
    </row>
    <row r="102">
      <c r="A102" s="10" t="inlineStr">
        <is>
          <t xml:space="preserve">  Antarctic Treaty</t>
        </is>
      </c>
      <c r="B102" s="4" t="inlineStr">
        <is>
          <t>SSS</t>
        </is>
      </c>
      <c r="C102" s="4" t="inlineStr">
        <is>
          <t>FAME</t>
        </is>
      </c>
      <c r="D102" s="4" t="n"/>
      <c r="E102" s="4" t="n"/>
      <c r="F102" s="12" t="inlineStr">
        <is>
          <t>Lottery Machine #2 (0.12%)</t>
        </is>
      </c>
    </row>
    <row r="103">
      <c r="A103" s="10" t="inlineStr">
        <is>
          <t xml:space="preserve">  Black Body</t>
        </is>
      </c>
      <c r="B103" s="4" t="inlineStr">
        <is>
          <t>SSS</t>
        </is>
      </c>
      <c r="C103" s="4" t="inlineStr">
        <is>
          <t>TECH</t>
        </is>
      </c>
      <c r="D103" s="4" t="n"/>
      <c r="E103" s="4" t="n"/>
      <c r="F103" s="12" t="inlineStr">
        <is>
          <t>Lottery Machine #2 (0.12%)</t>
        </is>
      </c>
    </row>
    <row r="104">
      <c r="A104" s="13" t="inlineStr">
        <is>
          <t>MAX DEMON GOD CABIN</t>
        </is>
      </c>
      <c r="B104" s="7" t="n"/>
      <c r="C104" s="7" t="n"/>
      <c r="D104" s="8">
        <f>sum(D97:E103)</f>
        <v/>
      </c>
      <c r="E104" s="7" t="n"/>
      <c r="F104" s="14" t="n"/>
    </row>
    <row r="105">
      <c r="A105" s="10" t="n"/>
      <c r="B105" s="4" t="n"/>
      <c r="C105" s="4" t="n"/>
      <c r="D105" s="4" t="n"/>
      <c r="E105" s="4" t="n"/>
      <c r="F105" s="12" t="n"/>
    </row>
    <row r="106">
      <c r="A106" s="10" t="n"/>
      <c r="B106" s="4" t="n"/>
      <c r="C106" s="4" t="n"/>
      <c r="D106" s="4" t="n"/>
      <c r="E106" s="4" t="n"/>
      <c r="F106" s="12" t="n"/>
    </row>
    <row r="107">
      <c r="A107" s="18" t="inlineStr">
        <is>
          <t>Particle Accelerator (Demon)</t>
        </is>
      </c>
      <c r="B107" s="2" t="n"/>
      <c r="C107" s="2" t="n"/>
      <c r="D107" s="2" t="n"/>
      <c r="E107" s="2" t="n"/>
      <c r="F107" s="15" t="n"/>
    </row>
    <row r="108">
      <c r="A108" s="10" t="inlineStr">
        <is>
          <t>Rutherford Model</t>
        </is>
      </c>
      <c r="B108" s="4" t="inlineStr">
        <is>
          <t>SS</t>
        </is>
      </c>
      <c r="C108" s="4" t="inlineStr">
        <is>
          <t>TECH</t>
        </is>
      </c>
      <c r="D108" s="5" t="n">
        <v>88</v>
      </c>
      <c r="E108" s="5" t="n"/>
      <c r="F108" s="12" t="inlineStr">
        <is>
          <t>Lottery Machine #2 (0.23%)</t>
        </is>
      </c>
    </row>
    <row r="109">
      <c r="A109" s="10" t="inlineStr">
        <is>
          <t>Lissajous Figure</t>
        </is>
      </c>
      <c r="B109" s="4" t="inlineStr">
        <is>
          <t>Blue</t>
        </is>
      </c>
      <c r="C109" s="4" t="inlineStr">
        <is>
          <t>TECH</t>
        </is>
      </c>
      <c r="D109" s="5" t="n">
        <v>40</v>
      </c>
      <c r="E109" s="5" t="n">
        <v>40</v>
      </c>
      <c r="F109" s="12" t="inlineStr">
        <is>
          <t>Lottery Machine #2 (0.03%)</t>
        </is>
      </c>
    </row>
    <row r="110">
      <c r="A110" s="10" t="n"/>
      <c r="B110" s="4" t="n"/>
      <c r="C110" s="4" t="n"/>
      <c r="D110" s="5" t="n"/>
      <c r="E110" s="4" t="n"/>
      <c r="F110" s="12" t="n"/>
    </row>
    <row r="111">
      <c r="A111" s="10" t="inlineStr">
        <is>
          <t>Resonance: Orange</t>
        </is>
      </c>
      <c r="B111" s="4" t="n"/>
      <c r="C111" s="4" t="n"/>
      <c r="D111" s="4" t="n">
        <v>56</v>
      </c>
      <c r="E111" s="4" t="n"/>
      <c r="F111" s="12" t="n"/>
    </row>
    <row r="112">
      <c r="A112" s="10" t="inlineStr">
        <is>
          <t xml:space="preserve">  Lawrence's Cyclotron</t>
        </is>
      </c>
      <c r="B112" s="4" t="inlineStr">
        <is>
          <t>SSS</t>
        </is>
      </c>
      <c r="C112" s="4" t="inlineStr">
        <is>
          <t>TECH</t>
        </is>
      </c>
      <c r="D112" s="4" t="n"/>
      <c r="E112" s="4" t="n"/>
      <c r="F112" s="12" t="inlineStr">
        <is>
          <t>Lottery Machine #2 (0.12%)</t>
        </is>
      </c>
    </row>
    <row r="113">
      <c r="A113" s="10" t="inlineStr">
        <is>
          <t xml:space="preserve">  AMS</t>
        </is>
      </c>
      <c r="B113" s="4" t="inlineStr">
        <is>
          <t>SS</t>
        </is>
      </c>
      <c r="C113" s="4" t="inlineStr">
        <is>
          <t>TECH</t>
        </is>
      </c>
      <c r="D113" s="4" t="n"/>
      <c r="E113" s="4" t="n"/>
      <c r="F113" s="12" t="inlineStr">
        <is>
          <t>Lottery Machine #2 (0.47%), Indigent Nobleman (570K B-tads)</t>
        </is>
      </c>
    </row>
    <row r="114">
      <c r="A114" s="13" t="inlineStr">
        <is>
          <t>MAX PARTICLE ACCELERATOR</t>
        </is>
      </c>
      <c r="B114" s="7" t="n"/>
      <c r="C114" s="7" t="n"/>
      <c r="D114" s="8">
        <f>sum(D108:E113)</f>
        <v/>
      </c>
      <c r="E114" s="7" t="n"/>
      <c r="F114" s="14" t="n"/>
    </row>
    <row r="115">
      <c r="A115" s="10" t="n"/>
      <c r="B115" s="4" t="n"/>
      <c r="C115" s="4" t="n"/>
      <c r="D115" s="4" t="n"/>
      <c r="E115" s="4" t="n"/>
      <c r="F115" s="12" t="n"/>
    </row>
    <row r="116">
      <c r="A116" s="16" t="n"/>
      <c r="F116" s="17" t="n"/>
    </row>
    <row r="117">
      <c r="A117" s="31" t="inlineStr">
        <is>
          <t>Assist System (Dragon)</t>
        </is>
      </c>
      <c r="B117" s="19" t="n"/>
      <c r="C117" s="19" t="n"/>
      <c r="D117" s="19" t="n"/>
      <c r="E117" s="19" t="n"/>
      <c r="F117" s="15" t="n"/>
    </row>
    <row r="118">
      <c r="A118" s="10" t="inlineStr">
        <is>
          <t>Grimmy Award</t>
        </is>
      </c>
      <c r="B118" s="4" t="inlineStr">
        <is>
          <t>SS</t>
        </is>
      </c>
      <c r="C118" s="4" t="inlineStr">
        <is>
          <t>FAME</t>
        </is>
      </c>
      <c r="D118" s="5" t="n">
        <v>88</v>
      </c>
      <c r="E118" s="5" t="n"/>
      <c r="F118" s="12" t="inlineStr">
        <is>
          <t>Lottery Machine #2 (0.35%)</t>
        </is>
      </c>
    </row>
    <row r="119">
      <c r="A119" s="10" t="inlineStr">
        <is>
          <t>The Prayer</t>
        </is>
      </c>
      <c r="B119" s="4" t="inlineStr">
        <is>
          <t>Blue</t>
        </is>
      </c>
      <c r="C119" s="4" t="inlineStr">
        <is>
          <t>ART</t>
        </is>
      </c>
      <c r="D119" s="5" t="n">
        <v>40</v>
      </c>
      <c r="E119" s="5" t="n">
        <v>40</v>
      </c>
      <c r="F119" s="12" t="inlineStr">
        <is>
          <t>Lottery Machine #2 (0.03%)</t>
        </is>
      </c>
    </row>
    <row r="120">
      <c r="A120" s="10" t="n"/>
      <c r="B120" s="4" t="n"/>
      <c r="C120" s="4" t="n"/>
      <c r="D120" s="5" t="n"/>
      <c r="E120" s="4" t="n"/>
      <c r="F120" s="12" t="n"/>
    </row>
    <row r="121">
      <c r="A121" s="10" t="inlineStr">
        <is>
          <t>Resonance: Orange</t>
        </is>
      </c>
      <c r="B121" s="4" t="n"/>
      <c r="C121" s="4" t="n"/>
      <c r="D121" s="4" t="n">
        <v>56</v>
      </c>
      <c r="E121" s="4" t="n"/>
      <c r="F121" s="12" t="n"/>
    </row>
    <row r="122">
      <c r="A122" s="10" t="inlineStr">
        <is>
          <t xml:space="preserve">  Pride &amp; Prejudice</t>
        </is>
      </c>
      <c r="B122" s="4" t="inlineStr">
        <is>
          <t>S</t>
        </is>
      </c>
      <c r="C122" s="4" t="inlineStr">
        <is>
          <t>CIV</t>
        </is>
      </c>
      <c r="D122" s="4" t="n"/>
      <c r="E122" s="4" t="n"/>
      <c r="F122" s="12" t="inlineStr">
        <is>
          <t>Lottery Machine #2 (1.59%)</t>
        </is>
      </c>
    </row>
    <row r="123">
      <c r="A123" s="10" t="inlineStr">
        <is>
          <t xml:space="preserve">  Grimmy Award</t>
        </is>
      </c>
      <c r="B123" s="4" t="inlineStr">
        <is>
          <t>SS</t>
        </is>
      </c>
      <c r="C123" s="4" t="inlineStr">
        <is>
          <t>FAME</t>
        </is>
      </c>
      <c r="D123" s="4" t="n"/>
      <c r="E123" s="4" t="n"/>
      <c r="F123" s="12" t="inlineStr">
        <is>
          <t>Lottery Machine #2 (0.35%)</t>
        </is>
      </c>
    </row>
    <row r="124">
      <c r="A124" s="13" t="inlineStr">
        <is>
          <t>MAX ASSIST SYSTEM</t>
        </is>
      </c>
      <c r="B124" s="7" t="n"/>
      <c r="C124" s="7" t="n"/>
      <c r="D124" s="8">
        <f>sum(D118:E123)</f>
        <v/>
      </c>
      <c r="E124" s="7" t="n"/>
      <c r="F124" s="14" t="n"/>
    </row>
    <row r="125">
      <c r="A125" s="10" t="n"/>
      <c r="B125" s="4" t="n"/>
      <c r="C125" s="4" t="n"/>
      <c r="D125" s="4" t="n"/>
      <c r="E125" s="4" t="n"/>
      <c r="F125" s="12" t="n"/>
    </row>
    <row r="126">
      <c r="A126" s="16" t="n"/>
      <c r="F126" s="17" t="n"/>
    </row>
    <row r="127">
      <c r="A127" s="18" t="inlineStr">
        <is>
          <t>Orbit Assimilator (Mecha)</t>
        </is>
      </c>
      <c r="B127" s="19" t="n"/>
      <c r="C127" s="19" t="n"/>
      <c r="D127" s="19" t="n"/>
      <c r="E127" s="19" t="n"/>
      <c r="F127" s="15" t="n"/>
    </row>
    <row r="128">
      <c r="A128" s="10" t="inlineStr">
        <is>
          <t>Ruska's Microscope</t>
        </is>
      </c>
      <c r="B128" s="4" t="inlineStr">
        <is>
          <t>SS</t>
        </is>
      </c>
      <c r="C128" s="4" t="inlineStr">
        <is>
          <t>TECH</t>
        </is>
      </c>
      <c r="D128" s="5" t="n">
        <v>88</v>
      </c>
      <c r="E128" s="5" t="n"/>
      <c r="F128" s="12" t="inlineStr">
        <is>
          <t>Lottery Machine #2 (0.35%)</t>
        </is>
      </c>
    </row>
    <row r="129">
      <c r="A129" s="10" t="inlineStr">
        <is>
          <t>Montgolfier Balloon</t>
        </is>
      </c>
      <c r="B129" s="4" t="inlineStr">
        <is>
          <t>Blue</t>
        </is>
      </c>
      <c r="C129" s="4" t="inlineStr">
        <is>
          <t>FAME</t>
        </is>
      </c>
      <c r="D129" s="5" t="n">
        <v>40</v>
      </c>
      <c r="E129" s="5" t="n">
        <v>40</v>
      </c>
      <c r="F129" s="12" t="inlineStr">
        <is>
          <t>Lottery Machine #2 (0.03%)</t>
        </is>
      </c>
    </row>
    <row r="130">
      <c r="A130" s="13" t="inlineStr">
        <is>
          <t>MAX ORBIT ASSIMILATOR</t>
        </is>
      </c>
      <c r="B130" s="7" t="n"/>
      <c r="C130" s="7" t="n"/>
      <c r="D130" s="8">
        <f>sum(D128:E129)</f>
        <v/>
      </c>
      <c r="E130" s="7" t="n"/>
      <c r="F130" s="14" t="n"/>
    </row>
    <row r="131">
      <c r="A131" s="10" t="n"/>
      <c r="B131" s="4" t="n"/>
      <c r="C131" s="4" t="n"/>
      <c r="D131" s="4" t="n"/>
      <c r="E131" s="4" t="n"/>
      <c r="F131" s="12" t="n"/>
    </row>
    <row r="132">
      <c r="A132" s="16" t="n"/>
      <c r="F132" s="17" t="n"/>
    </row>
    <row r="133">
      <c r="A133" s="18" t="inlineStr">
        <is>
          <t>Gravity Propeller (Mutant)</t>
        </is>
      </c>
      <c r="B133" s="2" t="n"/>
      <c r="C133" s="2" t="n"/>
      <c r="D133" s="2" t="n"/>
      <c r="E133" s="2" t="n"/>
      <c r="F133" s="15" t="n"/>
    </row>
    <row r="134">
      <c r="A134" s="10" t="inlineStr">
        <is>
          <t>Zircon of Jack Hills</t>
        </is>
      </c>
      <c r="B134" s="4" t="inlineStr">
        <is>
          <t>SS</t>
        </is>
      </c>
      <c r="C134" s="4" t="inlineStr">
        <is>
          <t>FAME</t>
        </is>
      </c>
      <c r="D134" s="5" t="n">
        <v>88</v>
      </c>
      <c r="E134" s="5" t="n"/>
      <c r="F134" s="12" t="inlineStr">
        <is>
          <t>Lottery Machine #2 (0.47%)</t>
        </is>
      </c>
    </row>
    <row r="135">
      <c r="A135" s="10" t="inlineStr">
        <is>
          <t>The Fall of Phaethon</t>
        </is>
      </c>
      <c r="B135" s="4" t="inlineStr">
        <is>
          <t>Blue</t>
        </is>
      </c>
      <c r="C135" s="4" t="inlineStr">
        <is>
          <t>ART</t>
        </is>
      </c>
      <c r="D135" s="5" t="n">
        <v>40</v>
      </c>
      <c r="E135" s="5" t="n">
        <v>40</v>
      </c>
      <c r="F135" s="12" t="inlineStr">
        <is>
          <t>Lottery Machine #2 (0.03%), Indigent Nobleman (72K B-tads)</t>
        </is>
      </c>
    </row>
    <row r="136">
      <c r="A136" s="13" t="inlineStr">
        <is>
          <t>MAX GRAVITY PROPELLER</t>
        </is>
      </c>
      <c r="B136" s="7" t="n"/>
      <c r="C136" s="7" t="n"/>
      <c r="D136" s="8">
        <f>sum(D134:E135)</f>
        <v/>
      </c>
      <c r="E136" s="7" t="n"/>
      <c r="F136" s="20" t="n"/>
    </row>
    <row r="137">
      <c r="A137" s="10" t="n"/>
      <c r="B137" s="4" t="n"/>
      <c r="C137" s="4" t="n"/>
      <c r="D137" s="4" t="n"/>
      <c r="E137" s="4" t="n"/>
      <c r="F137" s="21" t="n"/>
    </row>
    <row r="138">
      <c r="A138" s="16" t="n"/>
      <c r="F138" s="17" t="n"/>
    </row>
    <row r="139">
      <c r="A139" s="18" t="inlineStr">
        <is>
          <t>Demon God Matrix (Demon)</t>
        </is>
      </c>
      <c r="B139" s="2" t="n"/>
      <c r="C139" s="2" t="n"/>
      <c r="D139" s="2" t="n"/>
      <c r="E139" s="2" t="n"/>
      <c r="F139" s="3" t="n"/>
    </row>
    <row r="140">
      <c r="A140" s="10" t="inlineStr">
        <is>
          <t>The Silver Key</t>
        </is>
      </c>
      <c r="B140" s="4" t="inlineStr">
        <is>
          <t>SSS</t>
        </is>
      </c>
      <c r="C140" s="4" t="inlineStr">
        <is>
          <t>FTH</t>
        </is>
      </c>
      <c r="D140" s="5" t="n">
        <v>96</v>
      </c>
      <c r="E140" s="5" t="n"/>
      <c r="F140" s="21" t="inlineStr">
        <is>
          <t>Rift Treasure Maps (0.01%), Lottery Machine #2 (0.12%)</t>
        </is>
      </c>
    </row>
    <row r="141">
      <c r="A141" s="10" t="inlineStr">
        <is>
          <t>Celaeno Fragments</t>
        </is>
      </c>
      <c r="B141" s="4" t="inlineStr">
        <is>
          <t>AA</t>
        </is>
      </c>
      <c r="C141" s="4" t="inlineStr">
        <is>
          <t>FTH</t>
        </is>
      </c>
      <c r="D141" s="5" t="n">
        <v>64</v>
      </c>
      <c r="E141" s="5" t="n">
        <v>56</v>
      </c>
      <c r="F141" s="12" t="inlineStr">
        <is>
          <t>Lottery Machine #2 (0.12%)</t>
        </is>
      </c>
    </row>
    <row r="142">
      <c r="A142" s="10" t="n"/>
      <c r="B142" s="4" t="n"/>
      <c r="C142" s="4" t="n"/>
      <c r="D142" s="5" t="n"/>
      <c r="E142" s="4" t="n"/>
      <c r="F142" s="21" t="n"/>
    </row>
    <row r="143">
      <c r="A143" s="10" t="inlineStr">
        <is>
          <t>Resonance: Orange</t>
        </is>
      </c>
      <c r="B143" s="4" t="n"/>
      <c r="C143" s="4" t="n"/>
      <c r="D143" s="4" t="n">
        <v>64</v>
      </c>
      <c r="E143" s="4" t="n"/>
      <c r="F143" s="21" t="n"/>
    </row>
    <row r="144">
      <c r="A144" s="10" t="inlineStr">
        <is>
          <t xml:space="preserve">  L'Art de la Guerre</t>
        </is>
      </c>
      <c r="B144" s="4" t="inlineStr">
        <is>
          <t>SSS</t>
        </is>
      </c>
      <c r="C144" s="4" t="inlineStr">
        <is>
          <t>FAME</t>
        </is>
      </c>
      <c r="D144" s="4" t="n"/>
      <c r="E144" s="4" t="n"/>
      <c r="F144" s="21" t="inlineStr">
        <is>
          <t>Star Chart Shop</t>
        </is>
      </c>
    </row>
    <row r="145">
      <c r="A145" s="10" t="inlineStr">
        <is>
          <t xml:space="preserve">  Bronze Longhu Cup</t>
        </is>
      </c>
      <c r="B145" s="4" t="inlineStr">
        <is>
          <t>SSS</t>
        </is>
      </c>
      <c r="C145" s="4" t="n"/>
      <c r="D145" s="4" t="n"/>
      <c r="E145" s="4" t="n"/>
      <c r="F145" s="11" t="inlineStr">
        <is>
          <t>Lottery Machine #2 (?%), Relic Forge (120 RF)</t>
        </is>
      </c>
    </row>
    <row r="146">
      <c r="A146" s="10" t="inlineStr">
        <is>
          <t xml:space="preserve">  Ludovisi Ares</t>
        </is>
      </c>
      <c r="B146" s="4" t="inlineStr">
        <is>
          <t>SSS</t>
        </is>
      </c>
      <c r="C146" s="4" t="inlineStr">
        <is>
          <t>FAME</t>
        </is>
      </c>
      <c r="D146" s="4" t="n"/>
      <c r="E146" s="4" t="n"/>
      <c r="F146" s="12" t="inlineStr">
        <is>
          <t>Star Chart Shop</t>
        </is>
      </c>
    </row>
    <row r="147">
      <c r="A147" s="13" t="inlineStr">
        <is>
          <t>MAX DEMON GOD MATRIX</t>
        </is>
      </c>
      <c r="B147" s="7" t="n"/>
      <c r="C147" s="7" t="n"/>
      <c r="D147" s="8">
        <f>sum(D140:E146)</f>
        <v/>
      </c>
      <c r="E147" s="7" t="n"/>
      <c r="F147" s="20" t="n"/>
    </row>
    <row r="148">
      <c r="A148" s="10" t="n"/>
      <c r="B148" s="4" t="n"/>
      <c r="C148" s="4" t="n"/>
      <c r="D148" s="4" t="n"/>
      <c r="E148" s="4" t="n"/>
      <c r="F148" s="21" t="n"/>
    </row>
    <row r="149">
      <c r="A149" s="16" t="n"/>
      <c r="F149" s="17" t="n"/>
    </row>
    <row r="150">
      <c r="A150" s="1" t="inlineStr">
        <is>
          <t>Curvature Engine (Dragon)</t>
        </is>
      </c>
      <c r="B150" s="2" t="n"/>
      <c r="C150" s="2" t="n"/>
      <c r="D150" s="2" t="n"/>
      <c r="E150" s="2" t="n"/>
      <c r="F150" s="3" t="n"/>
    </row>
    <row r="151">
      <c r="A151" s="10" t="inlineStr">
        <is>
          <t>Wilford's Engine</t>
        </is>
      </c>
      <c r="B151" s="4" t="inlineStr">
        <is>
          <t>SSS</t>
        </is>
      </c>
      <c r="C151" s="4" t="inlineStr">
        <is>
          <t>TECH</t>
        </is>
      </c>
      <c r="D151" s="5" t="n">
        <v>96</v>
      </c>
      <c r="E151" s="5" t="n"/>
      <c r="F151" s="12" t="inlineStr">
        <is>
          <t>Lottery Machine #2 (0.12%), Relic Forge (120 RF)</t>
        </is>
      </c>
    </row>
    <row r="152">
      <c r="A152" s="10" t="inlineStr">
        <is>
          <t>Newton's Prism</t>
        </is>
      </c>
      <c r="B152" s="4" t="inlineStr">
        <is>
          <t>AA</t>
        </is>
      </c>
      <c r="C152" s="4" t="inlineStr">
        <is>
          <t>TECH</t>
        </is>
      </c>
      <c r="D152" s="5" t="n">
        <v>64</v>
      </c>
      <c r="E152" s="5" t="n">
        <v>56</v>
      </c>
      <c r="F152" s="12" t="inlineStr">
        <is>
          <t>Lottery Machine #2 (?%)</t>
        </is>
      </c>
    </row>
    <row r="153">
      <c r="A153" s="10" t="n"/>
      <c r="B153" s="4" t="n"/>
      <c r="C153" s="4" t="n"/>
      <c r="D153" s="5" t="n"/>
      <c r="E153" s="4" t="n"/>
      <c r="F153" s="21" t="n"/>
    </row>
    <row r="154">
      <c r="A154" s="10" t="inlineStr">
        <is>
          <t>Resonance: Orange</t>
        </is>
      </c>
      <c r="B154" s="4" t="n"/>
      <c r="C154" s="4" t="n"/>
      <c r="D154" s="4" t="n">
        <v>64</v>
      </c>
      <c r="E154" s="4" t="n"/>
      <c r="F154" s="21" t="n"/>
    </row>
    <row r="155">
      <c r="A155" s="10" t="inlineStr">
        <is>
          <t xml:space="preserve">  Great Mogul Diamond</t>
        </is>
      </c>
      <c r="B155" s="4" t="inlineStr">
        <is>
          <t>SSS</t>
        </is>
      </c>
      <c r="C155" s="4" t="inlineStr">
        <is>
          <t>ART</t>
        </is>
      </c>
      <c r="D155" s="4" t="n"/>
      <c r="E155" s="4" t="n"/>
      <c r="F155" s="12" t="inlineStr">
        <is>
          <t>Badge Shop</t>
        </is>
      </c>
    </row>
    <row r="156">
      <c r="A156" s="10" t="inlineStr">
        <is>
          <t xml:space="preserve">  Columbus Chart</t>
        </is>
      </c>
      <c r="B156" s="4" t="inlineStr">
        <is>
          <t>SSS</t>
        </is>
      </c>
      <c r="C156" s="4" t="inlineStr">
        <is>
          <t>FAME</t>
        </is>
      </c>
      <c r="D156" s="4" t="n"/>
      <c r="E156" s="4" t="n"/>
      <c r="F156" s="12" t="inlineStr">
        <is>
          <t>Daily Relic Pack Relic #24</t>
        </is>
      </c>
    </row>
    <row r="157">
      <c r="A157" s="10" t="inlineStr">
        <is>
          <t xml:space="preserve">  Ancient Dragon Crystal</t>
        </is>
      </c>
      <c r="B157" s="4" t="inlineStr">
        <is>
          <t>SSS</t>
        </is>
      </c>
      <c r="C157" s="4" t="inlineStr">
        <is>
          <t>FTH</t>
        </is>
      </c>
      <c r="D157" s="4" t="n"/>
      <c r="E157" s="4" t="n"/>
      <c r="F157" s="12" t="inlineStr">
        <is>
          <t>Ultimate Divine Dragon Reward</t>
        </is>
      </c>
    </row>
    <row r="158">
      <c r="A158" s="13" t="inlineStr">
        <is>
          <t>MAX CURVATURE ENGINE</t>
        </is>
      </c>
      <c r="B158" s="7" t="n"/>
      <c r="C158" s="7" t="n"/>
      <c r="D158" s="8">
        <f>sum(D151:E157)</f>
        <v/>
      </c>
      <c r="E158" s="7" t="n"/>
      <c r="F158" s="20" t="n"/>
    </row>
    <row r="159">
      <c r="A159" s="10" t="n"/>
      <c r="B159" s="4" t="n"/>
      <c r="C159" s="4" t="n"/>
      <c r="D159" s="4" t="n"/>
      <c r="E159" s="4" t="n"/>
      <c r="F159" s="21" t="n"/>
    </row>
    <row r="160">
      <c r="A160" s="16" t="n"/>
      <c r="F160" s="17" t="n"/>
    </row>
    <row r="161">
      <c r="A161" s="1" t="inlineStr">
        <is>
          <t>Apocalypse Hall (All)</t>
        </is>
      </c>
      <c r="B161" s="2" t="n"/>
      <c r="C161" s="2" t="n"/>
      <c r="D161" s="2" t="n"/>
      <c r="E161" s="2" t="n"/>
      <c r="F161" s="3" t="n"/>
    </row>
    <row r="162">
      <c r="A162" s="10" t="inlineStr">
        <is>
          <t>Crime and Punishment</t>
        </is>
      </c>
      <c r="B162" s="4" t="inlineStr">
        <is>
          <t>SSS</t>
        </is>
      </c>
      <c r="C162" s="4" t="inlineStr">
        <is>
          <t>CIV</t>
        </is>
      </c>
      <c r="D162" s="5" t="n">
        <v>96</v>
      </c>
      <c r="E162" s="5" t="n"/>
      <c r="F162" s="12" t="inlineStr">
        <is>
          <t>Lottery Machine #2 (0.12%)</t>
        </is>
      </c>
    </row>
    <row r="163">
      <c r="A163" s="10" t="inlineStr">
        <is>
          <t>CAL 9000</t>
        </is>
      </c>
      <c r="B163" s="4" t="inlineStr">
        <is>
          <t>AAA</t>
        </is>
      </c>
      <c r="C163" s="4" t="inlineStr">
        <is>
          <t>TECH</t>
        </is>
      </c>
      <c r="D163" s="5" t="n">
        <v>72</v>
      </c>
      <c r="E163" s="5" t="n">
        <v>56</v>
      </c>
      <c r="F163" s="12" t="inlineStr">
        <is>
          <t>Lottery Machine #2 (0.06%), Indigent Nobleman (210K B-tads)</t>
        </is>
      </c>
    </row>
    <row r="164">
      <c r="A164" s="13" t="inlineStr">
        <is>
          <t>MAX APOCALYPSE HALL</t>
        </is>
      </c>
      <c r="B164" s="7" t="n"/>
      <c r="C164" s="7" t="n"/>
      <c r="D164" s="8">
        <f>sum(D162:E163)</f>
        <v/>
      </c>
      <c r="E164" s="7" t="n"/>
      <c r="F164" s="14" t="n"/>
    </row>
    <row r="165">
      <c r="A165" s="10" t="n"/>
      <c r="B165" s="4" t="n"/>
      <c r="C165" s="4" t="n"/>
      <c r="D165" s="4" t="n"/>
      <c r="E165" s="4" t="n"/>
      <c r="F165" s="12" t="n"/>
    </row>
    <row r="166">
      <c r="A166" s="16" t="n"/>
      <c r="F166" s="17" t="n"/>
    </row>
    <row r="167">
      <c r="A167" s="1" t="inlineStr">
        <is>
          <t>Eternal Hall (All)</t>
        </is>
      </c>
      <c r="B167" s="2" t="n"/>
      <c r="C167" s="2" t="n"/>
      <c r="D167" s="2" t="n"/>
      <c r="E167" s="2" t="n"/>
      <c r="F167" s="15" t="n"/>
    </row>
    <row r="168">
      <c r="A168" s="10" t="inlineStr">
        <is>
          <t>Enuma Elish</t>
        </is>
      </c>
      <c r="B168" s="4" t="inlineStr">
        <is>
          <t>SSS</t>
        </is>
      </c>
      <c r="C168" s="4" t="inlineStr">
        <is>
          <t>FTH</t>
        </is>
      </c>
      <c r="D168" s="5" t="n">
        <v>96</v>
      </c>
      <c r="E168" s="5" t="n"/>
      <c r="F168" s="12" t="inlineStr">
        <is>
          <t>Lottery Machine #2 (0.12%), Indigent Nobelman (810k B-tads)</t>
        </is>
      </c>
    </row>
    <row r="169">
      <c r="A169" s="10" t="inlineStr">
        <is>
          <t>Theory of Population</t>
        </is>
      </c>
      <c r="B169" s="4" t="inlineStr">
        <is>
          <t>AAA</t>
        </is>
      </c>
      <c r="C169" s="4" t="inlineStr">
        <is>
          <t>FAME</t>
        </is>
      </c>
      <c r="D169" s="5" t="n">
        <v>72</v>
      </c>
      <c r="E169" s="5" t="n">
        <v>56</v>
      </c>
      <c r="F169" s="12" t="inlineStr">
        <is>
          <t>Lottery Machine #2 (0.06%)</t>
        </is>
      </c>
    </row>
    <row r="170">
      <c r="A170" s="13" t="inlineStr">
        <is>
          <t>MAX ETERNAL HALL</t>
        </is>
      </c>
      <c r="B170" s="7" t="n"/>
      <c r="C170" s="7" t="n"/>
      <c r="D170" s="8">
        <f>sum(D168:E169)</f>
        <v/>
      </c>
      <c r="E170" s="7" t="n"/>
      <c r="F170" s="20" t="n"/>
    </row>
    <row r="171">
      <c r="A171" s="10" t="n"/>
      <c r="B171" s="4" t="n"/>
      <c r="C171" s="4" t="n"/>
      <c r="D171" s="4" t="n"/>
      <c r="E171" s="4" t="n"/>
      <c r="F171" s="21" t="n"/>
    </row>
    <row r="172">
      <c r="A172" s="16" t="n"/>
      <c r="F172" s="17" t="n"/>
    </row>
    <row r="173">
      <c r="A173" s="22" t="n"/>
      <c r="B173" s="23" t="inlineStr">
        <is>
          <t>Base Effect</t>
        </is>
      </c>
      <c r="F173" s="17" t="n"/>
    </row>
    <row r="174">
      <c r="A174" s="24">
        <f>A107</f>
        <v/>
      </c>
      <c r="B174" s="25">
        <f>D114+D104</f>
        <v/>
      </c>
      <c r="F174" s="17" t="n"/>
    </row>
    <row r="175">
      <c r="A175" s="24">
        <f>A117</f>
        <v/>
      </c>
      <c r="B175" s="25">
        <f>D124+D104</f>
        <v/>
      </c>
      <c r="F175" s="17" t="n"/>
    </row>
    <row r="176">
      <c r="A176" s="24">
        <f>A127</f>
        <v/>
      </c>
      <c r="B176" s="25">
        <f>D130+D104</f>
        <v/>
      </c>
      <c r="F176" s="17" t="n"/>
    </row>
    <row r="177">
      <c r="A177" s="24">
        <f>A133</f>
        <v/>
      </c>
      <c r="B177" s="25">
        <f>D136+D104</f>
        <v/>
      </c>
      <c r="F177" s="17" t="n"/>
    </row>
    <row r="178">
      <c r="A178" s="24">
        <f>A139</f>
        <v/>
      </c>
      <c r="B178" s="25">
        <f>D147+D104</f>
        <v/>
      </c>
      <c r="F178" s="17" t="n"/>
    </row>
    <row r="179">
      <c r="A179" s="24">
        <f>A150</f>
        <v/>
      </c>
      <c r="B179" s="25">
        <f>D158+D104</f>
        <v/>
      </c>
      <c r="F179" s="17" t="n"/>
    </row>
    <row r="180">
      <c r="A180" s="24">
        <f>A161</f>
        <v/>
      </c>
      <c r="B180" s="25">
        <f>D164+D104</f>
        <v/>
      </c>
      <c r="F180" s="17" t="n"/>
    </row>
    <row r="181">
      <c r="A181" s="26">
        <f>A167</f>
        <v/>
      </c>
      <c r="B181" s="27">
        <f>D170+D104</f>
        <v/>
      </c>
      <c r="C181" s="28" t="n"/>
      <c r="D181" s="28" t="n"/>
      <c r="E181" s="28" t="n"/>
      <c r="F181" s="29" t="n"/>
    </row>
    <row r="182"/>
    <row r="183"/>
    <row r="184"/>
    <row r="185"/>
    <row r="186"/>
    <row r="187">
      <c r="A187" s="1" t="inlineStr">
        <is>
          <t>GAIA CABIN</t>
        </is>
      </c>
      <c r="B187" s="2" t="n"/>
      <c r="C187" s="2" t="n"/>
      <c r="D187" s="30" t="n"/>
      <c r="E187" s="30" t="n"/>
      <c r="F187" s="32" t="n"/>
    </row>
    <row r="188">
      <c r="A188" s="10" t="inlineStr">
        <is>
          <t>Parker Solar Probe</t>
        </is>
      </c>
      <c r="B188" s="4" t="inlineStr">
        <is>
          <t>SSS</t>
        </is>
      </c>
      <c r="C188" s="4" t="inlineStr">
        <is>
          <t>TECH</t>
        </is>
      </c>
      <c r="D188" s="5" t="n">
        <v>12</v>
      </c>
      <c r="E188" s="5" t="n"/>
      <c r="F188" s="12" t="inlineStr">
        <is>
          <t>Indigent Nobleman (810K B-tads), Lottery Machine #2 (0.11%)</t>
        </is>
      </c>
    </row>
    <row r="189">
      <c r="A189" s="10" t="n"/>
      <c r="B189" s="4" t="n"/>
      <c r="C189" s="4" t="n"/>
      <c r="D189" s="5" t="n"/>
      <c r="E189" s="4" t="n"/>
      <c r="F189" s="12" t="n"/>
    </row>
    <row r="190">
      <c r="A190" s="10" t="inlineStr">
        <is>
          <t>Resonance: Orange</t>
        </is>
      </c>
      <c r="B190" s="4" t="n"/>
      <c r="C190" s="4" t="n"/>
      <c r="D190" s="4" t="n">
        <v>10</v>
      </c>
      <c r="E190" s="4" t="n"/>
      <c r="F190" s="12" t="n"/>
    </row>
    <row r="191">
      <c r="A191" s="10" t="inlineStr">
        <is>
          <t xml:space="preserve">  Mysterious Relic</t>
        </is>
      </c>
      <c r="B191" s="4" t="inlineStr">
        <is>
          <t>SSS</t>
        </is>
      </c>
      <c r="C191" s="4" t="n"/>
      <c r="D191" s="4" t="n"/>
      <c r="E191" s="4" t="n"/>
      <c r="F191" s="12" t="inlineStr">
        <is>
          <t>Unknown</t>
        </is>
      </c>
    </row>
    <row r="192">
      <c r="A192" s="10" t="inlineStr">
        <is>
          <t xml:space="preserve">  Holy Grail</t>
        </is>
      </c>
      <c r="B192" s="4" t="inlineStr">
        <is>
          <t>SSS</t>
        </is>
      </c>
      <c r="C192" s="4" t="inlineStr">
        <is>
          <t>FTH</t>
        </is>
      </c>
      <c r="D192" s="4" t="n"/>
      <c r="E192" s="4" t="n"/>
      <c r="F192" s="12" t="inlineStr">
        <is>
          <t>Lottery Machine #2 (0.12%)</t>
        </is>
      </c>
    </row>
    <row r="193">
      <c r="A193" s="10" t="inlineStr">
        <is>
          <t xml:space="preserve">  Ansidei Madonna</t>
        </is>
      </c>
      <c r="B193" s="4" t="inlineStr">
        <is>
          <t>SSS</t>
        </is>
      </c>
      <c r="C193" s="4" t="inlineStr">
        <is>
          <t>ART</t>
        </is>
      </c>
      <c r="D193" s="4" t="n"/>
      <c r="E193" s="4" t="n"/>
      <c r="F193" s="12" t="inlineStr">
        <is>
          <t>Lottery Machine #1 (0.09%), Wishing (0.08%), Grandmaster Scrolls (0.8%)</t>
        </is>
      </c>
    </row>
    <row r="194">
      <c r="A194" s="10" t="inlineStr">
        <is>
          <t xml:space="preserve">  Nightingale Medal</t>
        </is>
      </c>
      <c r="B194" s="4" t="inlineStr">
        <is>
          <t>SSS</t>
        </is>
      </c>
      <c r="C194" s="4" t="inlineStr">
        <is>
          <t>FAME</t>
        </is>
      </c>
      <c r="D194" s="4" t="n"/>
      <c r="E194" s="4" t="n"/>
      <c r="F194" s="12" t="inlineStr">
        <is>
          <t>Lottery Machine #2 (0.12%)</t>
        </is>
      </c>
    </row>
    <row r="195">
      <c r="A195" s="10" t="inlineStr">
        <is>
          <t xml:space="preserve">  Boat of Serenity</t>
        </is>
      </c>
      <c r="B195" s="4" t="inlineStr">
        <is>
          <t>SSS</t>
        </is>
      </c>
      <c r="C195" s="4" t="inlineStr">
        <is>
          <t>CIV</t>
        </is>
      </c>
      <c r="D195" s="4" t="n"/>
      <c r="E195" s="4" t="n"/>
      <c r="F195" s="12" t="inlineStr">
        <is>
          <t>Lucky Stars Reward</t>
        </is>
      </c>
    </row>
    <row r="196">
      <c r="A196" s="13" t="inlineStr">
        <is>
          <t>MAX GAIA CABIN</t>
        </is>
      </c>
      <c r="B196" s="7" t="n"/>
      <c r="C196" s="7" t="n"/>
      <c r="D196" s="8">
        <f>sum(D188:E195)</f>
        <v/>
      </c>
      <c r="E196" s="7" t="n"/>
      <c r="F196" s="14" t="n"/>
    </row>
    <row r="197">
      <c r="A197" s="10" t="n"/>
      <c r="B197" s="4" t="n"/>
      <c r="C197" s="4" t="n"/>
      <c r="D197" s="4" t="n"/>
      <c r="E197" s="4" t="n"/>
      <c r="F197" s="12" t="n"/>
    </row>
    <row r="198">
      <c r="A198" s="10" t="n"/>
      <c r="B198" s="4" t="n"/>
      <c r="C198" s="4" t="n"/>
      <c r="D198" s="4" t="n"/>
      <c r="E198" s="4" t="n"/>
      <c r="F198" s="12" t="n"/>
    </row>
    <row r="199">
      <c r="A199" s="31" t="inlineStr">
        <is>
          <t>Rainbow Generator (Angel)</t>
        </is>
      </c>
      <c r="B199" s="2" t="n"/>
      <c r="C199" s="2" t="n"/>
      <c r="D199" s="2" t="n"/>
      <c r="E199" s="2" t="n"/>
      <c r="F199" s="15" t="n"/>
    </row>
    <row r="200">
      <c r="A200" s="10" t="inlineStr">
        <is>
          <t>Panther Brooch</t>
        </is>
      </c>
      <c r="B200" s="4" t="inlineStr">
        <is>
          <t>SS</t>
        </is>
      </c>
      <c r="C200" s="4" t="inlineStr">
        <is>
          <t>ART</t>
        </is>
      </c>
      <c r="D200" s="5" t="n">
        <v>88</v>
      </c>
      <c r="E200" s="5" t="n"/>
      <c r="F200" s="12" t="inlineStr">
        <is>
          <t>Lottery Machine #2 (0.35%)</t>
        </is>
      </c>
    </row>
    <row r="201">
      <c r="A201" s="10" t="inlineStr">
        <is>
          <t>Susan's Horn</t>
        </is>
      </c>
      <c r="B201" s="4" t="inlineStr">
        <is>
          <t>Blue</t>
        </is>
      </c>
      <c r="C201" s="4" t="inlineStr">
        <is>
          <t>FTH</t>
        </is>
      </c>
      <c r="D201" s="5" t="n">
        <v>40</v>
      </c>
      <c r="E201" s="5" t="n">
        <v>40</v>
      </c>
      <c r="F201" s="12" t="inlineStr">
        <is>
          <t>Lottery Machine #2 (0.03%)</t>
        </is>
      </c>
    </row>
    <row r="202">
      <c r="A202" s="13" t="inlineStr">
        <is>
          <t>MAX RAINBOW GENERATOR</t>
        </is>
      </c>
      <c r="B202" s="7" t="n"/>
      <c r="C202" s="7" t="n"/>
      <c r="D202" s="8">
        <f>sum(D200:E201)</f>
        <v/>
      </c>
      <c r="E202" s="7" t="n"/>
      <c r="F202" s="14" t="n"/>
    </row>
    <row r="203">
      <c r="A203" s="10" t="n"/>
      <c r="B203" s="4" t="n"/>
      <c r="C203" s="4" t="n"/>
      <c r="D203" s="4" t="n"/>
      <c r="E203" s="4" t="n"/>
      <c r="F203" s="12" t="n"/>
    </row>
    <row r="204">
      <c r="A204" s="16" t="n"/>
      <c r="F204" s="17" t="n"/>
    </row>
    <row r="205">
      <c r="A205" s="18" t="inlineStr">
        <is>
          <t>Gamma Ray (Mutant)</t>
        </is>
      </c>
      <c r="B205" s="19" t="n"/>
      <c r="C205" s="19" t="n"/>
      <c r="D205" s="19" t="n"/>
      <c r="E205" s="19" t="n"/>
      <c r="F205" s="15" t="n"/>
    </row>
    <row r="206">
      <c r="A206" s="10" t="inlineStr">
        <is>
          <t>Rutherford Model</t>
        </is>
      </c>
      <c r="B206" s="4" t="inlineStr">
        <is>
          <t>SS</t>
        </is>
      </c>
      <c r="C206" s="4" t="inlineStr">
        <is>
          <t>TECH</t>
        </is>
      </c>
      <c r="D206" s="5" t="n">
        <v>88</v>
      </c>
      <c r="E206" s="5" t="n"/>
      <c r="F206" s="12" t="inlineStr">
        <is>
          <t>Lottery Machine #2 (0.23%)</t>
        </is>
      </c>
    </row>
    <row r="207">
      <c r="A207" s="10" t="inlineStr">
        <is>
          <t>Grignard Reagent</t>
        </is>
      </c>
      <c r="B207" s="4" t="inlineStr">
        <is>
          <t>Blue</t>
        </is>
      </c>
      <c r="C207" s="4" t="inlineStr">
        <is>
          <t>TECH</t>
        </is>
      </c>
      <c r="D207" s="5" t="n">
        <v>40</v>
      </c>
      <c r="E207" s="5" t="n">
        <v>40</v>
      </c>
      <c r="F207" s="12" t="inlineStr">
        <is>
          <t>Lottery Machine #2 (0.03%)</t>
        </is>
      </c>
    </row>
    <row r="208">
      <c r="A208" s="10" t="n"/>
      <c r="B208" s="4" t="n"/>
      <c r="C208" s="4" t="n"/>
      <c r="D208" s="5" t="n"/>
      <c r="E208" s="4" t="n"/>
      <c r="F208" s="21" t="n"/>
    </row>
    <row r="209">
      <c r="A209" s="10" t="inlineStr">
        <is>
          <t>Resonance: Orange</t>
        </is>
      </c>
      <c r="B209" s="4" t="n"/>
      <c r="C209" s="4" t="n"/>
      <c r="D209" s="4" t="n">
        <v>56</v>
      </c>
      <c r="E209" s="4" t="n"/>
      <c r="F209" s="21" t="n"/>
    </row>
    <row r="210">
      <c r="A210" s="10" t="inlineStr">
        <is>
          <t xml:space="preserve">  R'lyeh Text</t>
        </is>
      </c>
      <c r="B210" s="4" t="inlineStr">
        <is>
          <t>SS</t>
        </is>
      </c>
      <c r="C210" s="4" t="inlineStr">
        <is>
          <t>FTH</t>
        </is>
      </c>
      <c r="D210" s="4" t="n"/>
      <c r="E210" s="4" t="n"/>
      <c r="F210" s="12" t="inlineStr">
        <is>
          <t>Lottery Machine #2 (0.23%)</t>
        </is>
      </c>
    </row>
    <row r="211">
      <c r="A211" s="10" t="inlineStr">
        <is>
          <t xml:space="preserve">  The Silver Key</t>
        </is>
      </c>
      <c r="B211" s="4" t="inlineStr">
        <is>
          <t>SSS</t>
        </is>
      </c>
      <c r="C211" s="4" t="inlineStr">
        <is>
          <t>FTH</t>
        </is>
      </c>
      <c r="D211" s="4" t="n"/>
      <c r="E211" s="4" t="n"/>
      <c r="F211" s="12" t="inlineStr">
        <is>
          <t>Rift Treasure Maps (0.01%), Lottery Machine #2 (0.12%)</t>
        </is>
      </c>
    </row>
    <row r="212">
      <c r="A212" s="13" t="inlineStr">
        <is>
          <t>MAX GAMMA RAY</t>
        </is>
      </c>
      <c r="B212" s="7" t="n"/>
      <c r="C212" s="7" t="n"/>
      <c r="D212" s="8">
        <f>sum(D206:E211)</f>
        <v/>
      </c>
      <c r="E212" s="7" t="n"/>
      <c r="F212" s="14" t="n"/>
    </row>
    <row r="213">
      <c r="A213" s="10" t="n"/>
      <c r="B213" s="4" t="n"/>
      <c r="C213" s="4" t="n"/>
      <c r="D213" s="4" t="n"/>
      <c r="E213" s="4" t="n"/>
      <c r="F213" s="12" t="n"/>
    </row>
    <row r="214">
      <c r="A214" s="16" t="n"/>
      <c r="F214" s="17" t="n"/>
    </row>
    <row r="215">
      <c r="A215" s="31" t="inlineStr">
        <is>
          <t>EMP (Zombie)</t>
        </is>
      </c>
      <c r="B215" s="19" t="n"/>
      <c r="C215" s="19" t="n"/>
      <c r="D215" s="19" t="n"/>
      <c r="E215" s="19" t="n"/>
      <c r="F215" s="15" t="n"/>
    </row>
    <row r="216">
      <c r="A216" s="10" t="inlineStr">
        <is>
          <t>SC Energy Storage Unit</t>
        </is>
      </c>
      <c r="B216" s="4" t="inlineStr">
        <is>
          <t>SS</t>
        </is>
      </c>
      <c r="C216" s="4" t="inlineStr">
        <is>
          <t>TECH</t>
        </is>
      </c>
      <c r="D216" s="5" t="n">
        <v>88</v>
      </c>
      <c r="E216" s="5" t="n"/>
      <c r="F216" s="12" t="inlineStr">
        <is>
          <t>Lottery Machine #2 (0.47%)</t>
        </is>
      </c>
    </row>
    <row r="217">
      <c r="A217" s="10" t="inlineStr">
        <is>
          <t>Oersted's Compass</t>
        </is>
      </c>
      <c r="B217" s="4" t="inlineStr">
        <is>
          <t>Blue</t>
        </is>
      </c>
      <c r="C217" s="4" t="inlineStr">
        <is>
          <t>TECH</t>
        </is>
      </c>
      <c r="D217" s="5" t="n">
        <v>40</v>
      </c>
      <c r="E217" s="5" t="n">
        <v>40</v>
      </c>
      <c r="F217" s="12" t="inlineStr">
        <is>
          <t>Lottery Machine #2 (0.03%)</t>
        </is>
      </c>
    </row>
    <row r="218">
      <c r="A218" s="10" t="n"/>
      <c r="B218" s="4" t="n"/>
      <c r="C218" s="4" t="n"/>
      <c r="D218" s="5" t="n"/>
      <c r="E218" s="4" t="n"/>
      <c r="F218" s="12" t="n"/>
    </row>
    <row r="219">
      <c r="A219" s="10" t="inlineStr">
        <is>
          <t>Resonance: Orange</t>
        </is>
      </c>
      <c r="B219" s="4" t="n"/>
      <c r="C219" s="4" t="n"/>
      <c r="D219" s="4" t="n">
        <v>56</v>
      </c>
      <c r="E219" s="4" t="n"/>
      <c r="F219" s="12" t="n"/>
    </row>
    <row r="220">
      <c r="A220" s="10" t="inlineStr">
        <is>
          <t xml:space="preserve">  CRISPR</t>
        </is>
      </c>
      <c r="B220" s="4" t="inlineStr">
        <is>
          <t>S</t>
        </is>
      </c>
      <c r="C220" s="4" t="inlineStr">
        <is>
          <t>TECH</t>
        </is>
      </c>
      <c r="D220" s="4" t="n"/>
      <c r="E220" s="4" t="n"/>
      <c r="F220" s="12" t="inlineStr">
        <is>
          <t>Lottery Machine #2 (1.59%)</t>
        </is>
      </c>
    </row>
    <row r="221">
      <c r="A221" s="10" t="inlineStr">
        <is>
          <t xml:space="preserve">  Ruska's Microscope</t>
        </is>
      </c>
      <c r="B221" s="4" t="inlineStr">
        <is>
          <t>SS</t>
        </is>
      </c>
      <c r="C221" s="4" t="inlineStr">
        <is>
          <t>TECH</t>
        </is>
      </c>
      <c r="D221" s="4" t="n"/>
      <c r="E221" s="4" t="n"/>
      <c r="F221" s="12" t="inlineStr">
        <is>
          <t>Lottery Machine #2 (0.35%)</t>
        </is>
      </c>
    </row>
    <row r="222">
      <c r="A222" s="13" t="inlineStr">
        <is>
          <t>MAX EMP</t>
        </is>
      </c>
      <c r="B222" s="7" t="n"/>
      <c r="C222" s="7" t="n"/>
      <c r="D222" s="8">
        <f>sum(D216:E221)</f>
        <v/>
      </c>
      <c r="E222" s="7" t="n"/>
      <c r="F222" s="14" t="n"/>
    </row>
    <row r="223">
      <c r="A223" s="10" t="n"/>
      <c r="B223" s="4" t="n"/>
      <c r="C223" s="4" t="n"/>
      <c r="D223" s="4" t="n"/>
      <c r="E223" s="4" t="n"/>
      <c r="F223" s="12" t="n"/>
    </row>
    <row r="224">
      <c r="A224" s="16" t="n"/>
      <c r="F224" s="17" t="n"/>
    </row>
    <row r="225">
      <c r="A225" s="31" t="inlineStr">
        <is>
          <t>Space-sensing Radar (Dragon)</t>
        </is>
      </c>
      <c r="B225" s="2" t="n"/>
      <c r="C225" s="2" t="n"/>
      <c r="D225" s="2" t="n"/>
      <c r="E225" s="2" t="n"/>
      <c r="F225" s="15" t="n"/>
    </row>
    <row r="226">
      <c r="A226" s="10" t="inlineStr">
        <is>
          <t>Silmarils</t>
        </is>
      </c>
      <c r="B226" s="4" t="inlineStr">
        <is>
          <t>SS</t>
        </is>
      </c>
      <c r="C226" s="4" t="inlineStr">
        <is>
          <t>FTH</t>
        </is>
      </c>
      <c r="D226" s="5" t="n">
        <v>88</v>
      </c>
      <c r="E226" s="5" t="n"/>
      <c r="F226" s="12" t="inlineStr">
        <is>
          <t>Lottery Machine #2 (0.35%)</t>
        </is>
      </c>
    </row>
    <row r="227">
      <c r="A227" s="10" t="inlineStr">
        <is>
          <t>Nebra Sky Disc</t>
        </is>
      </c>
      <c r="B227" s="4" t="inlineStr">
        <is>
          <t>Blue</t>
        </is>
      </c>
      <c r="C227" s="4" t="inlineStr">
        <is>
          <t>FTH</t>
        </is>
      </c>
      <c r="D227" s="5" t="n">
        <v>40</v>
      </c>
      <c r="E227" s="5" t="n">
        <v>40</v>
      </c>
      <c r="F227" s="12" t="inlineStr">
        <is>
          <t>Rift Treasure Maps (20%), Lottery Machine #2 (0.03%)</t>
        </is>
      </c>
    </row>
    <row r="228">
      <c r="A228" s="13" t="inlineStr">
        <is>
          <t>MAX SPACE-SENSING RADAR</t>
        </is>
      </c>
      <c r="B228" s="7" t="n"/>
      <c r="C228" s="7" t="n"/>
      <c r="D228" s="8">
        <f>sum(D226:E227)</f>
        <v/>
      </c>
      <c r="E228" s="7" t="n"/>
      <c r="F228" s="20" t="n"/>
    </row>
    <row r="229">
      <c r="A229" s="10" t="n"/>
      <c r="B229" s="4" t="n"/>
      <c r="C229" s="4" t="n"/>
      <c r="D229" s="4" t="n"/>
      <c r="E229" s="4" t="n"/>
      <c r="F229" s="21" t="n"/>
    </row>
    <row r="230">
      <c r="A230" s="16" t="n"/>
      <c r="F230" s="17" t="n"/>
    </row>
    <row r="231">
      <c r="A231" s="31" t="inlineStr">
        <is>
          <t>Garden of Eden (Angel)</t>
        </is>
      </c>
      <c r="B231" s="2" t="n"/>
      <c r="C231" s="2" t="n"/>
      <c r="D231" s="2" t="n"/>
      <c r="E231" s="2" t="n"/>
      <c r="F231" s="3" t="n"/>
    </row>
    <row r="232">
      <c r="A232" s="10" t="inlineStr">
        <is>
          <t>Two-headed Serpent</t>
        </is>
      </c>
      <c r="B232" s="4" t="inlineStr">
        <is>
          <t>SSS</t>
        </is>
      </c>
      <c r="C232" s="4" t="inlineStr">
        <is>
          <t>ART</t>
        </is>
      </c>
      <c r="D232" s="5" t="n">
        <v>96</v>
      </c>
      <c r="E232" s="5" t="n"/>
      <c r="F232" s="12" t="inlineStr">
        <is>
          <t>Lottery Machine #2 (0.12%), Relic Forge (120 Relic RF)</t>
        </is>
      </c>
    </row>
    <row r="233">
      <c r="A233" s="10" t="inlineStr">
        <is>
          <t>Gold Croeseid</t>
        </is>
      </c>
      <c r="B233" s="4" t="inlineStr">
        <is>
          <t>AA</t>
        </is>
      </c>
      <c r="C233" s="4" t="inlineStr">
        <is>
          <t>FAME</t>
        </is>
      </c>
      <c r="D233" s="5" t="n">
        <v>64</v>
      </c>
      <c r="E233" s="5" t="n">
        <v>56</v>
      </c>
      <c r="F233" s="12" t="inlineStr">
        <is>
          <t>Lottery Machine #2 (0.12%)</t>
        </is>
      </c>
    </row>
    <row r="234">
      <c r="A234" s="10" t="n"/>
      <c r="B234" s="4" t="n"/>
      <c r="C234" s="4" t="n"/>
      <c r="D234" s="5" t="n"/>
      <c r="E234" s="4" t="n"/>
      <c r="F234" s="12" t="n"/>
    </row>
    <row r="235">
      <c r="A235" s="10" t="inlineStr">
        <is>
          <t>Resonance: Orange</t>
        </is>
      </c>
      <c r="B235" s="4" t="n"/>
      <c r="C235" s="4" t="n"/>
      <c r="D235" s="4" t="n">
        <v>64</v>
      </c>
      <c r="E235" s="4" t="n"/>
      <c r="F235" s="12" t="n"/>
    </row>
    <row r="236">
      <c r="A236" s="10" t="inlineStr">
        <is>
          <t xml:space="preserve">  Hermes &amp; Dionysus</t>
        </is>
      </c>
      <c r="B236" s="4" t="inlineStr">
        <is>
          <t>SS</t>
        </is>
      </c>
      <c r="C236" s="4" t="inlineStr">
        <is>
          <t>ART</t>
        </is>
      </c>
      <c r="D236" s="4" t="n"/>
      <c r="E236" s="4" t="n"/>
      <c r="F236" s="12" t="inlineStr">
        <is>
          <t>Lottery Machine #2 (0.23%)</t>
        </is>
      </c>
    </row>
    <row r="237">
      <c r="A237" s="10" t="inlineStr">
        <is>
          <t xml:space="preserve">  AMS</t>
        </is>
      </c>
      <c r="B237" s="4" t="inlineStr">
        <is>
          <t>SS</t>
        </is>
      </c>
      <c r="C237" s="4" t="inlineStr">
        <is>
          <t>TECH</t>
        </is>
      </c>
      <c r="D237" s="4" t="n"/>
      <c r="E237" s="4" t="n"/>
      <c r="F237" s="12" t="inlineStr">
        <is>
          <t>Lottery Machine #2 (0.47%), Indigent Nobleman (570K B-tads)</t>
        </is>
      </c>
    </row>
    <row r="238">
      <c r="A238" s="10" t="inlineStr">
        <is>
          <t xml:space="preserve">  The Champa Flower</t>
        </is>
      </c>
      <c r="B238" s="4" t="inlineStr">
        <is>
          <t>SSS</t>
        </is>
      </c>
      <c r="C238" s="4" t="inlineStr">
        <is>
          <t>CIV</t>
        </is>
      </c>
      <c r="D238" s="4" t="n"/>
      <c r="E238" s="4" t="n"/>
      <c r="F238" s="12" t="inlineStr">
        <is>
          <t>Star Chart Shop</t>
        </is>
      </c>
    </row>
    <row r="239">
      <c r="A239" s="13" t="inlineStr">
        <is>
          <t>MAX GARDEN OF EDEN</t>
        </is>
      </c>
      <c r="B239" s="7" t="n"/>
      <c r="C239" s="7" t="n"/>
      <c r="D239" s="8">
        <f>sum(D232:E238)</f>
        <v/>
      </c>
      <c r="E239" s="7" t="n"/>
      <c r="F239" s="20" t="n"/>
    </row>
    <row r="240">
      <c r="A240" s="10" t="n"/>
      <c r="B240" s="4" t="n"/>
      <c r="C240" s="4" t="n"/>
      <c r="D240" s="4" t="n"/>
      <c r="E240" s="4" t="n"/>
      <c r="F240" s="21" t="n"/>
    </row>
    <row r="241">
      <c r="A241" s="16" t="n"/>
      <c r="F241" s="17" t="n"/>
    </row>
    <row r="242">
      <c r="A242" s="18" t="inlineStr">
        <is>
          <t>Domain Holograph (Mutant)</t>
        </is>
      </c>
      <c r="B242" s="2" t="n"/>
      <c r="C242" s="2" t="n"/>
      <c r="D242" s="2" t="n"/>
      <c r="E242" s="2" t="n"/>
      <c r="F242" s="3" t="n"/>
    </row>
    <row r="243">
      <c r="A243" s="10" t="inlineStr">
        <is>
          <t>Aeneid</t>
        </is>
      </c>
      <c r="B243" s="4" t="inlineStr">
        <is>
          <t>SSS</t>
        </is>
      </c>
      <c r="C243" s="4" t="inlineStr">
        <is>
          <t>CIV</t>
        </is>
      </c>
      <c r="D243" s="5" t="n">
        <v>96</v>
      </c>
      <c r="E243" s="5" t="n"/>
      <c r="F243" s="33" t="inlineStr">
        <is>
          <t>Lottery Machine #2 (?%)</t>
        </is>
      </c>
    </row>
    <row r="244">
      <c r="A244" s="10" t="inlineStr">
        <is>
          <t>Boy with Apple</t>
        </is>
      </c>
      <c r="B244" s="4" t="inlineStr">
        <is>
          <t>AA</t>
        </is>
      </c>
      <c r="C244" s="4" t="inlineStr">
        <is>
          <t>CIV</t>
        </is>
      </c>
      <c r="D244" s="5" t="n">
        <v>64</v>
      </c>
      <c r="E244" s="5" t="n">
        <v>56</v>
      </c>
      <c r="F244" s="12" t="inlineStr">
        <is>
          <t>Lottery Machine #2 (0.12%)</t>
        </is>
      </c>
    </row>
    <row r="245">
      <c r="A245" s="10" t="n"/>
      <c r="B245" s="4" t="n"/>
      <c r="C245" s="4" t="n"/>
      <c r="D245" s="5" t="n"/>
      <c r="E245" s="4" t="n"/>
      <c r="F245" s="21" t="n"/>
    </row>
    <row r="246">
      <c r="A246" s="10" t="inlineStr">
        <is>
          <t>Resonance: Orange</t>
        </is>
      </c>
      <c r="B246" s="4" t="n"/>
      <c r="C246" s="4" t="n"/>
      <c r="D246" s="4" t="n">
        <v>64</v>
      </c>
      <c r="E246" s="4" t="n"/>
      <c r="F246" s="21" t="n"/>
    </row>
    <row r="247">
      <c r="A247" s="10" t="inlineStr">
        <is>
          <t xml:space="preserve">  Scales of Astraea</t>
        </is>
      </c>
      <c r="B247" s="4" t="inlineStr">
        <is>
          <t>SSS</t>
        </is>
      </c>
      <c r="C247" s="4" t="inlineStr">
        <is>
          <t>FTH</t>
        </is>
      </c>
      <c r="D247" s="4" t="n"/>
      <c r="E247" s="4" t="n"/>
      <c r="F247" s="12" t="inlineStr">
        <is>
          <t>Star Chart Shop</t>
        </is>
      </c>
    </row>
    <row r="248">
      <c r="A248" s="10" t="inlineStr">
        <is>
          <t xml:space="preserve">  Book of the Dead</t>
        </is>
      </c>
      <c r="B248" s="4" t="inlineStr">
        <is>
          <t>SSS</t>
        </is>
      </c>
      <c r="C248" s="4" t="inlineStr">
        <is>
          <t>FTH</t>
        </is>
      </c>
      <c r="D248" s="4" t="n"/>
      <c r="E248" s="4" t="n"/>
      <c r="F248" s="12" t="inlineStr">
        <is>
          <t>Traveler Pack Relic #1</t>
        </is>
      </c>
    </row>
    <row r="249">
      <c r="A249" s="10" t="inlineStr">
        <is>
          <t xml:space="preserve">  Manga Manuscript</t>
        </is>
      </c>
      <c r="B249" s="4" t="inlineStr">
        <is>
          <t>SSS</t>
        </is>
      </c>
      <c r="C249" s="4" t="inlineStr">
        <is>
          <t>FAME</t>
        </is>
      </c>
      <c r="D249" s="4" t="n"/>
      <c r="E249" s="4" t="n"/>
      <c r="F249" s="12" t="inlineStr">
        <is>
          <t>Daily Pack Relic #20</t>
        </is>
      </c>
    </row>
    <row r="250">
      <c r="A250" s="13" t="inlineStr">
        <is>
          <t>MAX DOMAIN HOLOGRAPH</t>
        </is>
      </c>
      <c r="B250" s="7" t="n"/>
      <c r="C250" s="7" t="n"/>
      <c r="D250" s="8">
        <f>sum(D243:E249)</f>
        <v/>
      </c>
      <c r="E250" s="7" t="n"/>
      <c r="F250" s="20" t="n"/>
    </row>
    <row r="251">
      <c r="A251" s="10" t="n"/>
      <c r="B251" s="4" t="n"/>
      <c r="C251" s="4" t="n"/>
      <c r="D251" s="4" t="n"/>
      <c r="E251" s="4" t="n"/>
      <c r="F251" s="21" t="n"/>
    </row>
    <row r="252">
      <c r="A252" s="16" t="n"/>
      <c r="F252" s="17" t="n"/>
    </row>
    <row r="253">
      <c r="A253" s="1" t="inlineStr">
        <is>
          <t>Oracle Hall (All)</t>
        </is>
      </c>
      <c r="B253" s="2" t="n"/>
      <c r="C253" s="2" t="n"/>
      <c r="D253" s="2" t="n"/>
      <c r="E253" s="2" t="n"/>
      <c r="F253" s="3" t="n"/>
    </row>
    <row r="254">
      <c r="A254" s="10" t="inlineStr">
        <is>
          <t>Holy Grail</t>
        </is>
      </c>
      <c r="B254" s="4" t="inlineStr">
        <is>
          <t>SSS</t>
        </is>
      </c>
      <c r="C254" s="4" t="inlineStr">
        <is>
          <t>FTH</t>
        </is>
      </c>
      <c r="D254" s="5" t="n">
        <v>96</v>
      </c>
      <c r="E254" s="5" t="n"/>
      <c r="F254" s="12" t="inlineStr">
        <is>
          <t>Lottery Machine #2 (0.12%)</t>
        </is>
      </c>
    </row>
    <row r="255">
      <c r="A255" s="10" t="inlineStr">
        <is>
          <t>Portrait of Innocent X</t>
        </is>
      </c>
      <c r="B255" s="4" t="inlineStr">
        <is>
          <t>AAA</t>
        </is>
      </c>
      <c r="C255" s="4" t="inlineStr">
        <is>
          <t>ART</t>
        </is>
      </c>
      <c r="D255" s="5" t="n">
        <v>72</v>
      </c>
      <c r="E255" s="5" t="n">
        <v>56</v>
      </c>
      <c r="F255" s="12" t="inlineStr">
        <is>
          <t>Lottery Machine #2 (0.06%)</t>
        </is>
      </c>
    </row>
    <row r="256">
      <c r="A256" s="13" t="inlineStr">
        <is>
          <t>MAX ORACLE HALL</t>
        </is>
      </c>
      <c r="B256" s="7" t="n"/>
      <c r="C256" s="7" t="n"/>
      <c r="D256" s="8">
        <f>sum(D254:E255)</f>
        <v/>
      </c>
      <c r="E256" s="7" t="n"/>
      <c r="F256" s="14" t="n"/>
    </row>
    <row r="257">
      <c r="A257" s="10" t="n"/>
      <c r="B257" s="4" t="n"/>
      <c r="C257" s="4" t="n"/>
      <c r="D257" s="4" t="n"/>
      <c r="E257" s="4" t="n"/>
      <c r="F257" s="12" t="n"/>
    </row>
    <row r="258">
      <c r="A258" s="16" t="n"/>
      <c r="F258" s="17" t="n"/>
    </row>
    <row r="259">
      <c r="A259" s="1" t="inlineStr">
        <is>
          <t>Revelation Hall (All)</t>
        </is>
      </c>
      <c r="B259" s="2" t="n"/>
      <c r="C259" s="2" t="n"/>
      <c r="D259" s="2" t="n"/>
      <c r="E259" s="2" t="n"/>
      <c r="F259" s="15" t="n"/>
    </row>
    <row r="260">
      <c r="A260" s="10" t="inlineStr">
        <is>
          <t>Holy Grail</t>
        </is>
      </c>
      <c r="B260" s="4" t="inlineStr">
        <is>
          <t>SSS</t>
        </is>
      </c>
      <c r="C260" s="4" t="inlineStr">
        <is>
          <t>FTH</t>
        </is>
      </c>
      <c r="D260" s="5" t="n">
        <v>96</v>
      </c>
      <c r="E260" s="5" t="n"/>
      <c r="F260" s="12" t="inlineStr">
        <is>
          <t>Lottery Machine #2 (0.12%)</t>
        </is>
      </c>
    </row>
    <row r="261">
      <c r="A261" s="10" t="inlineStr">
        <is>
          <t>Annunciation</t>
        </is>
      </c>
      <c r="B261" s="4" t="inlineStr">
        <is>
          <t>AAA</t>
        </is>
      </c>
      <c r="C261" s="4" t="inlineStr">
        <is>
          <t>ART</t>
        </is>
      </c>
      <c r="D261" s="5" t="n">
        <v>72</v>
      </c>
      <c r="E261" s="5" t="n">
        <v>56</v>
      </c>
      <c r="F261" s="12" t="inlineStr">
        <is>
          <t>Lottery Machine #2 (0.06%)</t>
        </is>
      </c>
    </row>
    <row r="262">
      <c r="A262" s="13" t="inlineStr">
        <is>
          <t>MAX REVELATION HALL</t>
        </is>
      </c>
      <c r="B262" s="7" t="n"/>
      <c r="C262" s="7" t="n"/>
      <c r="D262" s="8">
        <f>sum(D260:E261)</f>
        <v/>
      </c>
      <c r="E262" s="7" t="n"/>
      <c r="F262" s="20" t="n"/>
    </row>
    <row r="263">
      <c r="A263" s="10" t="n"/>
      <c r="B263" s="4" t="n"/>
      <c r="C263" s="4" t="n"/>
      <c r="D263" s="4" t="n"/>
      <c r="E263" s="4" t="n"/>
      <c r="F263" s="21" t="n"/>
    </row>
    <row r="264">
      <c r="A264" s="16" t="n"/>
      <c r="F264" s="17" t="n"/>
    </row>
    <row r="265">
      <c r="A265" s="22" t="n"/>
      <c r="B265" s="23" t="inlineStr">
        <is>
          <t>Base Effect</t>
        </is>
      </c>
      <c r="F265" s="17" t="n"/>
    </row>
    <row r="266">
      <c r="A266" s="24">
        <f>A199</f>
        <v/>
      </c>
      <c r="B266" s="25">
        <f>D202+D196</f>
        <v/>
      </c>
      <c r="F266" s="17" t="n"/>
    </row>
    <row r="267">
      <c r="A267" s="24">
        <f>A205</f>
        <v/>
      </c>
      <c r="B267" s="25">
        <f>D212+D196</f>
        <v/>
      </c>
      <c r="F267" s="17" t="n"/>
    </row>
    <row r="268">
      <c r="A268" s="24">
        <f>A215</f>
        <v/>
      </c>
      <c r="B268" s="25">
        <f>D222+D196</f>
        <v/>
      </c>
      <c r="F268" s="17" t="n"/>
    </row>
    <row r="269">
      <c r="A269" s="24">
        <f>A225</f>
        <v/>
      </c>
      <c r="B269" s="25">
        <f>D228+D196</f>
        <v/>
      </c>
      <c r="F269" s="17" t="n"/>
    </row>
    <row r="270">
      <c r="A270" s="24">
        <f>A231</f>
        <v/>
      </c>
      <c r="B270" s="25">
        <f>D239+D196</f>
        <v/>
      </c>
      <c r="F270" s="17" t="n"/>
    </row>
    <row r="271">
      <c r="A271" s="24">
        <f>A242</f>
        <v/>
      </c>
      <c r="B271" s="25">
        <f>D250+D196</f>
        <v/>
      </c>
      <c r="F271" s="17" t="n"/>
    </row>
    <row r="272">
      <c r="A272" s="24">
        <f>A253</f>
        <v/>
      </c>
      <c r="B272" s="25">
        <f>D256+D196</f>
        <v/>
      </c>
      <c r="F272" s="17" t="n"/>
    </row>
    <row r="273">
      <c r="A273" s="26">
        <f>A259</f>
        <v/>
      </c>
      <c r="B273" s="27">
        <f>D262+D196</f>
        <v/>
      </c>
      <c r="C273" s="28" t="n"/>
      <c r="D273" s="28" t="n"/>
      <c r="E273" s="28" t="n"/>
      <c r="F273" s="2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2026-04-25T21:14:55Z</dcterms:created>
  <dcterms:modified xmlns:dcterms="http://purl.org/dc/terms/" xmlns:xsi="http://www.w3.org/2001/XMLSchema-instance" xsi:type="dcterms:W3CDTF">2026-04-25T21:14:56Z</dcterms:modified>
</cp:coreProperties>
</file>