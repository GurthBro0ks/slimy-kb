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ion Base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Verdana"/>
      <color theme="1"/>
      <scheme val="minor"/>
    </font>
    <font>
      <name val="Verdana"/>
      <b val="1"/>
      <color theme="1"/>
      <scheme val="minor"/>
    </font>
    <font>
      <name val="Verdana"/>
      <color theme="1"/>
      <sz val="12"/>
      <scheme val="minor"/>
    </font>
    <font>
      <name val="Verdana"/>
      <color rgb="FFFFFFFF"/>
      <scheme val="minor"/>
    </font>
    <font>
      <name val="Verdana"/>
      <color theme="1"/>
      <sz val="12"/>
    </font>
  </fonts>
  <fills count="11">
    <fill>
      <patternFill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EF7E3"/>
        <bgColor rgb="FFEEF7E3"/>
      </patternFill>
    </fill>
    <fill>
      <patternFill patternType="solid">
        <fgColor rgb="FFFFE6DD"/>
        <bgColor rgb="FFFFE6DD"/>
      </patternFill>
    </fill>
    <fill>
      <patternFill patternType="solid">
        <fgColor rgb="FFFEF8E3"/>
        <bgColor rgb="FFFEF8E3"/>
      </patternFill>
    </fill>
    <fill>
      <patternFill patternType="solid">
        <fgColor rgb="FFE8E7FC"/>
        <bgColor rgb="FFE8E7FC"/>
      </patternFill>
    </fill>
    <fill>
      <patternFill patternType="solid">
        <fgColor rgb="FFEBEFF1"/>
        <bgColor rgb="FFEBEFF1"/>
      </patternFill>
    </fill>
    <fill>
      <patternFill patternType="solid">
        <fgColor rgb="FFE7F9EF"/>
        <bgColor rgb="FFE7F9EF"/>
      </patternFill>
    </fill>
  </fills>
  <borders count="21">
    <border>
      <left/>
      <right/>
      <top/>
      <bottom/>
      <diagonal/>
    </border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2" pivotButton="0" quotePrefix="0" xfId="0"/>
    <xf numFmtId="0" fontId="1" fillId="2" borderId="5" applyAlignment="1" pivotButton="0" quotePrefix="0" xfId="0">
      <alignment horizontal="center"/>
    </xf>
    <xf numFmtId="0" fontId="0" fillId="0" borderId="17" pivotButton="0" quotePrefix="0" xfId="0"/>
    <xf numFmtId="0" fontId="0" fillId="0" borderId="18" pivotButton="0" quotePrefix="0" xfId="0"/>
    <xf numFmtId="0" fontId="1" fillId="2" borderId="6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2" fillId="0" borderId="9" pivotButton="0" quotePrefix="0" xfId="0"/>
    <xf numFmtId="0" fontId="2" fillId="0" borderId="7" pivotButton="0" quotePrefix="0" xfId="0"/>
    <xf numFmtId="0" fontId="2" fillId="0" borderId="8" pivotButton="0" quotePrefix="0" xfId="0"/>
    <xf numFmtId="0" fontId="1" fillId="3" borderId="6" pivotButton="0" quotePrefix="0" xfId="0"/>
    <xf numFmtId="0" fontId="1" fillId="3" borderId="6" applyAlignment="1" pivotButton="0" quotePrefix="0" xfId="0">
      <alignment horizontal="center"/>
    </xf>
    <xf numFmtId="0" fontId="1" fillId="0" borderId="10" pivotButton="0" quotePrefix="0" xfId="0"/>
    <xf numFmtId="0" fontId="1" fillId="4" borderId="6" applyAlignment="1" pivotButton="0" quotePrefix="0" xfId="0">
      <alignment horizontal="center"/>
    </xf>
    <xf numFmtId="0" fontId="1" fillId="4" borderId="6" pivotButton="0" quotePrefix="0" xfId="0"/>
    <xf numFmtId="0" fontId="1" fillId="0" borderId="11" pivotButton="0" quotePrefix="0" xfId="0"/>
    <xf numFmtId="0" fontId="1" fillId="0" borderId="12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5" pivotButton="0" quotePrefix="0" xfId="0"/>
    <xf numFmtId="0" fontId="2" fillId="0" borderId="5" applyAlignment="1" pivotButton="0" quotePrefix="0" xfId="0">
      <alignment horizontal="center"/>
    </xf>
    <xf numFmtId="0" fontId="2" fillId="0" borderId="5" pivotButton="0" quotePrefix="0" xfId="0"/>
    <xf numFmtId="0" fontId="1" fillId="5" borderId="2" pivotButton="0" quotePrefix="0" xfId="0"/>
    <xf numFmtId="0" fontId="1" fillId="5" borderId="5" pivotButton="0" quotePrefix="0" xfId="0"/>
    <xf numFmtId="0" fontId="1" fillId="5" borderId="3" pivotButton="0" quotePrefix="0" xfId="0"/>
    <xf numFmtId="0" fontId="1" fillId="5" borderId="4" pivotButton="0" quotePrefix="0" xfId="0"/>
    <xf numFmtId="0" fontId="1" fillId="5" borderId="11" pivotButton="0" quotePrefix="0" xfId="0"/>
    <xf numFmtId="0" fontId="1" fillId="5" borderId="15" pivotButton="0" quotePrefix="0" xfId="0"/>
    <xf numFmtId="0" fontId="1" fillId="5" borderId="1" pivotButton="0" quotePrefix="0" xfId="0"/>
    <xf numFmtId="0" fontId="1" fillId="5" borderId="10" pivotButton="0" quotePrefix="0" xfId="0"/>
    <xf numFmtId="0" fontId="1" fillId="5" borderId="12" pivotButton="0" quotePrefix="0" xfId="0"/>
    <xf numFmtId="0" fontId="1" fillId="5" borderId="16" pivotButton="0" quotePrefix="0" xfId="0"/>
    <xf numFmtId="0" fontId="1" fillId="5" borderId="13" pivotButton="0" quotePrefix="0" xfId="0"/>
    <xf numFmtId="0" fontId="1" fillId="5" borderId="14" pivotButton="0" quotePrefix="0" xfId="0"/>
    <xf numFmtId="0" fontId="1" fillId="6" borderId="2" pivotButton="0" quotePrefix="0" xfId="0"/>
    <xf numFmtId="0" fontId="1" fillId="6" borderId="5" pivotButton="0" quotePrefix="0" xfId="0"/>
    <xf numFmtId="0" fontId="1" fillId="6" borderId="3" pivotButton="0" quotePrefix="0" xfId="0"/>
    <xf numFmtId="0" fontId="1" fillId="6" borderId="4" pivotButton="0" quotePrefix="0" xfId="0"/>
    <xf numFmtId="0" fontId="1" fillId="6" borderId="11" pivotButton="0" quotePrefix="0" xfId="0"/>
    <xf numFmtId="0" fontId="1" fillId="6" borderId="15" pivotButton="0" quotePrefix="0" xfId="0"/>
    <xf numFmtId="0" fontId="1" fillId="6" borderId="1" pivotButton="0" quotePrefix="0" xfId="0"/>
    <xf numFmtId="0" fontId="1" fillId="6" borderId="10" pivotButton="0" quotePrefix="0" xfId="0"/>
    <xf numFmtId="0" fontId="1" fillId="6" borderId="12" pivotButton="0" quotePrefix="0" xfId="0"/>
    <xf numFmtId="0" fontId="1" fillId="6" borderId="16" pivotButton="0" quotePrefix="0" xfId="0"/>
    <xf numFmtId="0" fontId="1" fillId="6" borderId="13" pivotButton="0" quotePrefix="0" xfId="0"/>
    <xf numFmtId="0" fontId="1" fillId="6" borderId="14" pivotButton="0" quotePrefix="0" xfId="0"/>
    <xf numFmtId="0" fontId="1" fillId="7" borderId="2" pivotButton="0" quotePrefix="0" xfId="0"/>
    <xf numFmtId="0" fontId="1" fillId="7" borderId="5" pivotButton="0" quotePrefix="0" xfId="0"/>
    <xf numFmtId="0" fontId="1" fillId="7" borderId="3" pivotButton="0" quotePrefix="0" xfId="0"/>
    <xf numFmtId="0" fontId="1" fillId="7" borderId="4" pivotButton="0" quotePrefix="0" xfId="0"/>
    <xf numFmtId="0" fontId="1" fillId="7" borderId="11" pivotButton="0" quotePrefix="0" xfId="0"/>
    <xf numFmtId="0" fontId="1" fillId="7" borderId="15" pivotButton="0" quotePrefix="0" xfId="0"/>
    <xf numFmtId="0" fontId="1" fillId="7" borderId="1" pivotButton="0" quotePrefix="0" xfId="0"/>
    <xf numFmtId="0" fontId="1" fillId="7" borderId="10" pivotButton="0" quotePrefix="0" xfId="0"/>
    <xf numFmtId="0" fontId="1" fillId="7" borderId="12" pivotButton="0" quotePrefix="0" xfId="0"/>
    <xf numFmtId="0" fontId="1" fillId="7" borderId="16" pivotButton="0" quotePrefix="0" xfId="0"/>
    <xf numFmtId="0" fontId="1" fillId="7" borderId="13" pivotButton="0" quotePrefix="0" xfId="0"/>
    <xf numFmtId="0" fontId="1" fillId="7" borderId="14" pivotButton="0" quotePrefix="0" xfId="0"/>
    <xf numFmtId="0" fontId="1" fillId="8" borderId="2" pivotButton="0" quotePrefix="0" xfId="0"/>
    <xf numFmtId="0" fontId="1" fillId="8" borderId="5" pivotButton="0" quotePrefix="0" xfId="0"/>
    <xf numFmtId="0" fontId="1" fillId="8" borderId="3" pivotButton="0" quotePrefix="0" xfId="0"/>
    <xf numFmtId="0" fontId="1" fillId="8" borderId="4" pivotButton="0" quotePrefix="0" xfId="0"/>
    <xf numFmtId="0" fontId="1" fillId="8" borderId="11" pivotButton="0" quotePrefix="0" xfId="0"/>
    <xf numFmtId="0" fontId="1" fillId="8" borderId="15" pivotButton="0" quotePrefix="0" xfId="0"/>
    <xf numFmtId="0" fontId="1" fillId="8" borderId="1" pivotButton="0" quotePrefix="0" xfId="0"/>
    <xf numFmtId="0" fontId="1" fillId="8" borderId="10" pivotButton="0" quotePrefix="0" xfId="0"/>
    <xf numFmtId="0" fontId="1" fillId="8" borderId="12" pivotButton="0" quotePrefix="0" xfId="0"/>
    <xf numFmtId="0" fontId="1" fillId="8" borderId="16" pivotButton="0" quotePrefix="0" xfId="0"/>
    <xf numFmtId="0" fontId="1" fillId="8" borderId="13" pivotButton="0" quotePrefix="0" xfId="0"/>
    <xf numFmtId="0" fontId="1" fillId="8" borderId="14" pivotButton="0" quotePrefix="0" xfId="0"/>
    <xf numFmtId="0" fontId="1" fillId="9" borderId="11" pivotButton="0" quotePrefix="0" xfId="0"/>
    <xf numFmtId="0" fontId="1" fillId="9" borderId="15" pivotButton="0" quotePrefix="0" xfId="0"/>
    <xf numFmtId="0" fontId="1" fillId="9" borderId="10" pivotButton="0" quotePrefix="0" xfId="0"/>
    <xf numFmtId="0" fontId="1" fillId="9" borderId="14" pivotButton="0" quotePrefix="0" xfId="0"/>
    <xf numFmtId="0" fontId="1" fillId="10" borderId="2" pivotButton="0" quotePrefix="0" xfId="0"/>
    <xf numFmtId="0" fontId="1" fillId="10" borderId="5" pivotButton="0" quotePrefix="0" xfId="0"/>
    <xf numFmtId="0" fontId="1" fillId="10" borderId="3" pivotButton="0" quotePrefix="0" xfId="0"/>
    <xf numFmtId="0" fontId="1" fillId="10" borderId="10" pivotButton="0" quotePrefix="0" xfId="0"/>
    <xf numFmtId="0" fontId="1" fillId="10" borderId="11" pivotButton="0" quotePrefix="0" xfId="0"/>
    <xf numFmtId="0" fontId="1" fillId="10" borderId="15" pivotButton="0" quotePrefix="0" xfId="0"/>
    <xf numFmtId="0" fontId="1" fillId="10" borderId="1" pivotButton="0" quotePrefix="0" xfId="0"/>
    <xf numFmtId="0" fontId="1" fillId="10" borderId="12" pivotButton="0" quotePrefix="0" xfId="0"/>
    <xf numFmtId="0" fontId="1" fillId="10" borderId="16" pivotButton="0" quotePrefix="0" xfId="0"/>
    <xf numFmtId="0" fontId="1" fillId="10" borderId="13" pivotButton="0" quotePrefix="0" xfId="0"/>
    <xf numFmtId="0" fontId="1" fillId="10" borderId="14" pivotButton="0" quotePrefix="0" xfId="0"/>
    <xf numFmtId="0" fontId="4" fillId="0" borderId="2" pivotButton="0" quotePrefix="0" xfId="0"/>
    <xf numFmtId="0" fontId="5" fillId="3" borderId="1" applyAlignment="1" pivotButton="0" quotePrefix="0" xfId="0">
      <alignment horizontal="right" vertical="bottom"/>
    </xf>
    <xf numFmtId="0" fontId="5" fillId="3" borderId="10" applyAlignment="1" pivotButton="0" quotePrefix="0" xfId="0">
      <alignment horizontal="right" vertical="bottom"/>
    </xf>
    <xf numFmtId="0" fontId="4" fillId="0" borderId="11" pivotButton="0" quotePrefix="0" xfId="0"/>
    <xf numFmtId="0" fontId="2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1"/>
  <sheetViews>
    <sheetView workbookViewId="0">
      <selection activeCell="A1" sqref="A1"/>
    </sheetView>
  </sheetViews>
  <sheetFormatPr baseColWidth="8" defaultRowHeight="15"/>
  <cols>
    <col width="12.36" customWidth="1" min="1" max="1"/>
    <col width="5.27" customWidth="1" min="7" max="7"/>
    <col width="17.27" customWidth="1" min="8" max="8"/>
    <col width="14" customWidth="1" min="9" max="9"/>
    <col width="10.91" customWidth="1" min="10" max="10"/>
    <col width="10.55" customWidth="1" min="12" max="12"/>
    <col width="10.73" customWidth="1" min="13" max="13"/>
  </cols>
  <sheetData>
    <row r="1">
      <c r="A1" s="1" t="n"/>
      <c r="B1" s="2" t="inlineStr">
        <is>
          <t>HP</t>
        </is>
      </c>
      <c r="C1" s="2" t="inlineStr">
        <is>
          <t>ATK</t>
        </is>
      </c>
      <c r="D1" s="2" t="inlineStr">
        <is>
          <t>DEF</t>
        </is>
      </c>
      <c r="E1" s="2" t="inlineStr">
        <is>
          <t>RUSH</t>
        </is>
      </c>
    </row>
    <row r="2">
      <c r="A2" s="3" t="inlineStr">
        <is>
          <t>ZOMBIE</t>
        </is>
      </c>
      <c r="B2" s="4" t="n"/>
      <c r="C2" s="4" t="n"/>
      <c r="D2" s="4" t="n"/>
      <c r="E2" s="5" t="n"/>
    </row>
    <row r="3">
      <c r="A3" s="6" t="inlineStr">
        <is>
          <t>Tomb Guardian</t>
        </is>
      </c>
      <c r="B3" s="4" t="n"/>
      <c r="C3" s="4" t="n"/>
      <c r="D3" s="4" t="n"/>
      <c r="E3" s="5" t="n"/>
      <c r="H3" s="7" t="inlineStr">
        <is>
          <t>Minion Base Stats Growth Factor Multiplier</t>
        </is>
      </c>
      <c r="I3" s="8" t="n"/>
      <c r="J3" s="9" t="n"/>
      <c r="L3" s="10" t="inlineStr">
        <is>
          <t>Minion Total Base Stats</t>
        </is>
      </c>
      <c r="M3" s="11" t="n"/>
      <c r="N3" s="12" t="n"/>
    </row>
    <row r="4">
      <c r="A4" s="13" t="inlineStr">
        <is>
          <t>Growth Factor</t>
        </is>
      </c>
      <c r="B4" s="14">
        <f>(B13-B11)/4</f>
        <v/>
      </c>
      <c r="C4" s="14">
        <f>(C13-C11)/4</f>
        <v/>
      </c>
      <c r="D4" s="14">
        <f>(D13-D11)/4</f>
        <v/>
      </c>
      <c r="E4" s="15">
        <f>(E13-E11)/4</f>
        <v/>
      </c>
      <c r="H4" s="16" t="n"/>
      <c r="I4" s="17" t="inlineStr">
        <is>
          <t>Non-Dragon</t>
        </is>
      </c>
      <c r="J4" s="17" t="inlineStr">
        <is>
          <t>Dragon</t>
        </is>
      </c>
      <c r="L4" s="16" t="n"/>
      <c r="M4" s="17" t="inlineStr">
        <is>
          <t>Non-Dragon</t>
        </is>
      </c>
      <c r="N4" s="17" t="inlineStr">
        <is>
          <t>Dragon</t>
        </is>
      </c>
    </row>
    <row r="5">
      <c r="A5" s="6" t="inlineStr">
        <is>
          <t>T1</t>
        </is>
      </c>
      <c r="B5" s="1">
        <f>B6-B$28</f>
        <v/>
      </c>
      <c r="C5" s="1">
        <f>C6-C$28</f>
        <v/>
      </c>
      <c r="D5" s="1">
        <f>D6-D$28</f>
        <v/>
      </c>
      <c r="E5" s="18">
        <f>E6-E$28</f>
        <v/>
      </c>
      <c r="H5" s="19" t="inlineStr">
        <is>
          <t>T1</t>
        </is>
      </c>
      <c r="I5" s="20" t="n">
        <v>2</v>
      </c>
      <c r="J5" s="20" t="n">
        <v>2.5</v>
      </c>
      <c r="L5" s="19" t="inlineStr">
        <is>
          <t>T1</t>
        </is>
      </c>
      <c r="M5" s="20">
        <f>50*I5</f>
        <v/>
      </c>
      <c r="N5" s="20">
        <f>52.5*J5</f>
        <v/>
      </c>
    </row>
    <row r="6">
      <c r="A6" s="21" t="inlineStr">
        <is>
          <t>T2</t>
        </is>
      </c>
      <c r="B6" s="1">
        <f>B7-B$28</f>
        <v/>
      </c>
      <c r="C6" s="1">
        <f>C7-C$28</f>
        <v/>
      </c>
      <c r="D6" s="1">
        <f>D7-D$28</f>
        <v/>
      </c>
      <c r="E6" s="18">
        <f>E7-E$28</f>
        <v/>
      </c>
      <c r="H6" s="17" t="inlineStr">
        <is>
          <t>T2</t>
        </is>
      </c>
      <c r="I6" s="16" t="n">
        <v>3</v>
      </c>
      <c r="J6" s="16" t="n">
        <v>3.5</v>
      </c>
      <c r="L6" s="17" t="inlineStr">
        <is>
          <t>T2</t>
        </is>
      </c>
      <c r="M6" s="16">
        <f>50*I6</f>
        <v/>
      </c>
      <c r="N6" s="16">
        <f>52.5*J6</f>
        <v/>
      </c>
    </row>
    <row r="7">
      <c r="A7" s="21" t="inlineStr">
        <is>
          <t>T3</t>
        </is>
      </c>
      <c r="B7" s="1">
        <f>B8-B$28</f>
        <v/>
      </c>
      <c r="C7" s="1">
        <f>C8-C$28</f>
        <v/>
      </c>
      <c r="D7" s="1">
        <f>D8-D$28</f>
        <v/>
      </c>
      <c r="E7" s="18">
        <f>E8-E$28</f>
        <v/>
      </c>
      <c r="H7" s="19" t="inlineStr">
        <is>
          <t>T3</t>
        </is>
      </c>
      <c r="I7" s="20" t="n">
        <v>4</v>
      </c>
      <c r="J7" s="20" t="n">
        <v>4.5</v>
      </c>
      <c r="L7" s="19" t="inlineStr">
        <is>
          <t>T3</t>
        </is>
      </c>
      <c r="M7" s="20">
        <f>50*I7</f>
        <v/>
      </c>
      <c r="N7" s="20">
        <f>52.5*J7</f>
        <v/>
      </c>
    </row>
    <row r="8">
      <c r="A8" s="21" t="inlineStr">
        <is>
          <t>T4</t>
        </is>
      </c>
      <c r="B8" s="1">
        <f>B9-B$28</f>
        <v/>
      </c>
      <c r="C8" s="1">
        <f>C9-C$28</f>
        <v/>
      </c>
      <c r="D8" s="1">
        <f>D9-D$28</f>
        <v/>
      </c>
      <c r="E8" s="18">
        <f>E9-E$28</f>
        <v/>
      </c>
      <c r="H8" s="17" t="inlineStr">
        <is>
          <t>T4</t>
        </is>
      </c>
      <c r="I8" s="16" t="n">
        <v>5</v>
      </c>
      <c r="J8" s="16" t="n">
        <v>5.5</v>
      </c>
      <c r="L8" s="17" t="inlineStr">
        <is>
          <t>T4</t>
        </is>
      </c>
      <c r="M8" s="16">
        <f>50*I8</f>
        <v/>
      </c>
      <c r="N8" s="16">
        <f>52.5*J8</f>
        <v/>
      </c>
    </row>
    <row r="9">
      <c r="A9" s="21" t="inlineStr">
        <is>
          <t>T5</t>
        </is>
      </c>
      <c r="B9" s="1">
        <f>B10-B$28</f>
        <v/>
      </c>
      <c r="C9" s="1">
        <f>C10-C$28</f>
        <v/>
      </c>
      <c r="D9" s="1">
        <f>D10-D$28</f>
        <v/>
      </c>
      <c r="E9" s="18">
        <f>E10-E$28</f>
        <v/>
      </c>
      <c r="H9" s="19" t="inlineStr">
        <is>
          <t>T5</t>
        </is>
      </c>
      <c r="I9" s="20" t="n">
        <v>6</v>
      </c>
      <c r="J9" s="20" t="n">
        <v>6.5</v>
      </c>
      <c r="L9" s="19" t="inlineStr">
        <is>
          <t>T5</t>
        </is>
      </c>
      <c r="M9" s="20">
        <f>50*I9</f>
        <v/>
      </c>
      <c r="N9" s="20">
        <f>52.5*J9</f>
        <v/>
      </c>
    </row>
    <row r="10">
      <c r="A10" s="21" t="inlineStr">
        <is>
          <t>T6</t>
        </is>
      </c>
      <c r="B10" s="1">
        <f>B11-B$28</f>
        <v/>
      </c>
      <c r="C10" s="1">
        <f>C11-C$28</f>
        <v/>
      </c>
      <c r="D10" s="1">
        <f>D11-D$28</f>
        <v/>
      </c>
      <c r="E10" s="18">
        <f>E11-E$28</f>
        <v/>
      </c>
      <c r="H10" s="17" t="inlineStr">
        <is>
          <t>T6</t>
        </is>
      </c>
      <c r="I10" s="16" t="n">
        <v>7</v>
      </c>
      <c r="J10" s="16" t="n">
        <v>7.5</v>
      </c>
      <c r="L10" s="17" t="inlineStr">
        <is>
          <t>T6</t>
        </is>
      </c>
      <c r="M10" s="16">
        <f>50*I10</f>
        <v/>
      </c>
      <c r="N10" s="16">
        <f>52.5*J10</f>
        <v/>
      </c>
    </row>
    <row r="11">
      <c r="A11" s="21" t="inlineStr">
        <is>
          <t>T7</t>
        </is>
      </c>
      <c r="B11" s="1" t="n">
        <v>1280</v>
      </c>
      <c r="C11" s="1" t="n">
        <v>112</v>
      </c>
      <c r="D11" s="1" t="n">
        <v>80</v>
      </c>
      <c r="E11" s="18" t="n">
        <v>80</v>
      </c>
      <c r="H11" s="19" t="inlineStr">
        <is>
          <t>T7</t>
        </is>
      </c>
      <c r="I11" s="20" t="n">
        <v>8</v>
      </c>
      <c r="J11" s="20" t="n">
        <v>8.5</v>
      </c>
      <c r="L11" s="19" t="inlineStr">
        <is>
          <t>T7</t>
        </is>
      </c>
      <c r="M11" s="20">
        <f>50*I11</f>
        <v/>
      </c>
      <c r="N11" s="20">
        <f>52.5*J11</f>
        <v/>
      </c>
    </row>
    <row r="12">
      <c r="A12" s="21" t="inlineStr">
        <is>
          <t>T8</t>
        </is>
      </c>
      <c r="B12" s="1" t="n">
        <v>1440</v>
      </c>
      <c r="C12" s="1" t="n">
        <v>126</v>
      </c>
      <c r="D12" s="1" t="n">
        <v>90</v>
      </c>
      <c r="E12" s="18" t="n">
        <v>90</v>
      </c>
      <c r="H12" s="17" t="inlineStr">
        <is>
          <t>T8</t>
        </is>
      </c>
      <c r="I12" s="16" t="n">
        <v>9</v>
      </c>
      <c r="J12" s="16" t="n">
        <v>10.5</v>
      </c>
      <c r="L12" s="17" t="inlineStr">
        <is>
          <t>T8</t>
        </is>
      </c>
      <c r="M12" s="16">
        <f>50*I12</f>
        <v/>
      </c>
      <c r="N12" s="16">
        <f>52.5*J12</f>
        <v/>
      </c>
    </row>
    <row r="13">
      <c r="A13" s="22" t="inlineStr">
        <is>
          <t>T9</t>
        </is>
      </c>
      <c r="B13" s="23" t="n">
        <v>1920</v>
      </c>
      <c r="C13" s="23" t="n">
        <v>168</v>
      </c>
      <c r="D13" s="23" t="n">
        <v>120</v>
      </c>
      <c r="E13" s="24" t="n">
        <v>120</v>
      </c>
      <c r="H13" s="19" t="inlineStr">
        <is>
          <t>T9</t>
        </is>
      </c>
      <c r="I13" s="20" t="n">
        <v>12</v>
      </c>
      <c r="J13" s="20" t="n">
        <v>14</v>
      </c>
      <c r="L13" s="19" t="inlineStr">
        <is>
          <t>T9</t>
        </is>
      </c>
      <c r="M13" s="20">
        <f>50*I13</f>
        <v/>
      </c>
      <c r="N13" s="20">
        <f>52.5*J13</f>
        <v/>
      </c>
    </row>
    <row r="14">
      <c r="A14" s="21" t="n"/>
      <c r="E14" s="18" t="n"/>
    </row>
    <row r="15">
      <c r="A15" s="6" t="inlineStr">
        <is>
          <t>Undead Turtle</t>
        </is>
      </c>
      <c r="B15" s="4" t="n"/>
      <c r="C15" s="4" t="n"/>
      <c r="D15" s="4" t="n"/>
      <c r="E15" s="5" t="n"/>
    </row>
    <row r="16">
      <c r="A16" s="13" t="inlineStr">
        <is>
          <t>Growth Factor</t>
        </is>
      </c>
      <c r="B16" s="14">
        <f>(B25-B23)/4</f>
        <v/>
      </c>
      <c r="C16" s="14">
        <f>(C25-C23)/4</f>
        <v/>
      </c>
      <c r="D16" s="14">
        <f>(D25-D23)/4</f>
        <v/>
      </c>
      <c r="E16" s="15">
        <f>(E25-E23)/4</f>
        <v/>
      </c>
    </row>
    <row r="17">
      <c r="A17" s="6" t="inlineStr">
        <is>
          <t>T1</t>
        </is>
      </c>
      <c r="B17" s="1">
        <f>B18-B$16</f>
        <v/>
      </c>
      <c r="C17" s="1">
        <f>C18-C$16</f>
        <v/>
      </c>
      <c r="D17" s="1">
        <f>D18-D$16</f>
        <v/>
      </c>
      <c r="E17" s="18">
        <f>E18-E$16</f>
        <v/>
      </c>
      <c r="H17" s="25" t="n"/>
      <c r="I17" s="26" t="inlineStr">
        <is>
          <t>HP</t>
        </is>
      </c>
      <c r="J17" s="26" t="inlineStr">
        <is>
          <t>ATK</t>
        </is>
      </c>
      <c r="K17" s="26" t="inlineStr">
        <is>
          <t>DEF</t>
        </is>
      </c>
      <c r="L17" s="26" t="inlineStr">
        <is>
          <t>RUSH</t>
        </is>
      </c>
      <c r="M17" s="27" t="inlineStr">
        <is>
          <t>HARD SUM</t>
        </is>
      </c>
    </row>
    <row r="18">
      <c r="A18" s="21" t="inlineStr">
        <is>
          <t>T2</t>
        </is>
      </c>
      <c r="B18" s="1">
        <f>B19-B$16</f>
        <v/>
      </c>
      <c r="C18" s="1">
        <f>C19-C$16</f>
        <v/>
      </c>
      <c r="D18" s="1">
        <f>D19-D$16</f>
        <v/>
      </c>
      <c r="E18" s="18">
        <f>E19-E$16</f>
        <v/>
      </c>
      <c r="H18" s="28">
        <f>A3</f>
        <v/>
      </c>
      <c r="I18" s="29">
        <f>B4</f>
        <v/>
      </c>
      <c r="J18" s="30">
        <f>C4</f>
        <v/>
      </c>
      <c r="K18" s="29">
        <f>D4</f>
        <v/>
      </c>
      <c r="L18" s="29">
        <f>E4</f>
        <v/>
      </c>
      <c r="M18" s="31">
        <f>I18/10+J18+K18+L18</f>
        <v/>
      </c>
    </row>
    <row r="19">
      <c r="A19" s="21" t="inlineStr">
        <is>
          <t>T3</t>
        </is>
      </c>
      <c r="B19" s="1">
        <f>B20-B$16</f>
        <v/>
      </c>
      <c r="C19" s="1">
        <f>C20-C$16</f>
        <v/>
      </c>
      <c r="D19" s="1">
        <f>D20-D$16</f>
        <v/>
      </c>
      <c r="E19" s="18">
        <f>E20-E$16</f>
        <v/>
      </c>
      <c r="H19" s="32">
        <f>A15</f>
        <v/>
      </c>
      <c r="I19" s="33">
        <f>B16</f>
        <v/>
      </c>
      <c r="J19" s="34">
        <f>C16</f>
        <v/>
      </c>
      <c r="K19" s="33">
        <f>D16</f>
        <v/>
      </c>
      <c r="L19" s="33">
        <f>E16</f>
        <v/>
      </c>
      <c r="M19" s="35">
        <f>I19/10+J19+K19+L19</f>
        <v/>
      </c>
    </row>
    <row r="20">
      <c r="A20" s="21" t="inlineStr">
        <is>
          <t>T4</t>
        </is>
      </c>
      <c r="B20" s="1">
        <f>B21-B$16</f>
        <v/>
      </c>
      <c r="C20" s="1">
        <f>C21-C$16</f>
        <v/>
      </c>
      <c r="D20" s="1">
        <f>D21-D$16</f>
        <v/>
      </c>
      <c r="E20" s="18">
        <f>E21-E$16</f>
        <v/>
      </c>
      <c r="H20" s="32">
        <f>A27</f>
        <v/>
      </c>
      <c r="I20" s="33">
        <f>B28</f>
        <v/>
      </c>
      <c r="J20" s="34">
        <f>C28</f>
        <v/>
      </c>
      <c r="K20" s="33">
        <f>D28</f>
        <v/>
      </c>
      <c r="L20" s="33">
        <f>E28</f>
        <v/>
      </c>
      <c r="M20" s="35">
        <f>I20/10+J20+K20+L20</f>
        <v/>
      </c>
    </row>
    <row r="21">
      <c r="A21" s="21" t="inlineStr">
        <is>
          <t>T5</t>
        </is>
      </c>
      <c r="B21" s="1">
        <f>B22-B$16</f>
        <v/>
      </c>
      <c r="C21" s="1">
        <f>C22-C$16</f>
        <v/>
      </c>
      <c r="D21" s="1">
        <f>D22-D$16</f>
        <v/>
      </c>
      <c r="E21" s="18">
        <f>E22-E$16</f>
        <v/>
      </c>
      <c r="H21" s="32">
        <f>A39</f>
        <v/>
      </c>
      <c r="I21" s="33">
        <f>B40</f>
        <v/>
      </c>
      <c r="J21" s="34">
        <f>C40</f>
        <v/>
      </c>
      <c r="K21" s="33">
        <f>D40</f>
        <v/>
      </c>
      <c r="L21" s="33">
        <f>E40</f>
        <v/>
      </c>
      <c r="M21" s="35">
        <f>I21/10+J21+K21+L21</f>
        <v/>
      </c>
    </row>
    <row r="22">
      <c r="A22" s="21" t="inlineStr">
        <is>
          <t>T6</t>
        </is>
      </c>
      <c r="B22" s="1">
        <f>B23-B$16</f>
        <v/>
      </c>
      <c r="C22" s="1">
        <f>C23-C$16</f>
        <v/>
      </c>
      <c r="D22" s="1">
        <f>D23-D$16</f>
        <v/>
      </c>
      <c r="E22" s="18">
        <f>E23-E$16</f>
        <v/>
      </c>
      <c r="H22" s="36">
        <f>A51</f>
        <v/>
      </c>
      <c r="I22" s="37">
        <f>B52</f>
        <v/>
      </c>
      <c r="J22" s="38">
        <f>C52</f>
        <v/>
      </c>
      <c r="K22" s="37">
        <f>D52</f>
        <v/>
      </c>
      <c r="L22" s="37">
        <f>E52</f>
        <v/>
      </c>
      <c r="M22" s="39">
        <f>I22/10+J22+K22+L22</f>
        <v/>
      </c>
    </row>
    <row r="23">
      <c r="A23" s="21" t="inlineStr">
        <is>
          <t>T7</t>
        </is>
      </c>
      <c r="B23" s="1" t="n">
        <v>1320</v>
      </c>
      <c r="C23" s="1" t="n">
        <v>108</v>
      </c>
      <c r="D23" s="1" t="n">
        <v>80</v>
      </c>
      <c r="E23" s="18" t="n">
        <v>80</v>
      </c>
      <c r="H23" s="40">
        <f>A67</f>
        <v/>
      </c>
      <c r="I23" s="41">
        <f>B68</f>
        <v/>
      </c>
      <c r="J23" s="42">
        <f>C68</f>
        <v/>
      </c>
      <c r="K23" s="41">
        <f>D68</f>
        <v/>
      </c>
      <c r="L23" s="41">
        <f>E68</f>
        <v/>
      </c>
      <c r="M23" s="43">
        <f>I23/10+J23+K23+L23</f>
        <v/>
      </c>
    </row>
    <row r="24">
      <c r="A24" s="21" t="inlineStr">
        <is>
          <t>T8</t>
        </is>
      </c>
      <c r="B24" s="1" t="n">
        <v>1485</v>
      </c>
      <c r="C24" s="1" t="n">
        <v>122</v>
      </c>
      <c r="D24" s="1" t="n">
        <v>90</v>
      </c>
      <c r="E24" s="18" t="n">
        <v>90</v>
      </c>
      <c r="H24" s="44">
        <f>A79</f>
        <v/>
      </c>
      <c r="I24" s="45">
        <f>B80</f>
        <v/>
      </c>
      <c r="J24" s="46">
        <f>C80</f>
        <v/>
      </c>
      <c r="K24" s="45">
        <f>D80</f>
        <v/>
      </c>
      <c r="L24" s="45">
        <f>E80</f>
        <v/>
      </c>
      <c r="M24" s="47">
        <f>I24/10+J24+K24+L24</f>
        <v/>
      </c>
    </row>
    <row r="25">
      <c r="A25" s="22" t="inlineStr">
        <is>
          <t>T9</t>
        </is>
      </c>
      <c r="B25" s="23" t="n">
        <v>1980</v>
      </c>
      <c r="C25" s="23" t="n">
        <v>162</v>
      </c>
      <c r="D25" s="23" t="n">
        <v>120</v>
      </c>
      <c r="E25" s="24" t="n">
        <v>120</v>
      </c>
      <c r="H25" s="44">
        <f>A91</f>
        <v/>
      </c>
      <c r="I25" s="45">
        <f>B92</f>
        <v/>
      </c>
      <c r="J25" s="46">
        <f>C92</f>
        <v/>
      </c>
      <c r="K25" s="45">
        <f>D92</f>
        <v/>
      </c>
      <c r="L25" s="45">
        <f>E92</f>
        <v/>
      </c>
      <c r="M25" s="47">
        <f>I25/10+J25+K25+L25</f>
        <v/>
      </c>
    </row>
    <row r="26">
      <c r="A26" s="21" t="n"/>
      <c r="E26" s="18" t="n"/>
      <c r="H26" s="44">
        <f>A103</f>
        <v/>
      </c>
      <c r="I26" s="45">
        <f>B104</f>
        <v/>
      </c>
      <c r="J26" s="46">
        <f>C104</f>
        <v/>
      </c>
      <c r="K26" s="45">
        <f>D104</f>
        <v/>
      </c>
      <c r="L26" s="45">
        <f>E104</f>
        <v/>
      </c>
      <c r="M26" s="47">
        <f>I26/10+J26+K26+L26</f>
        <v/>
      </c>
    </row>
    <row r="27">
      <c r="A27" s="6" t="inlineStr">
        <is>
          <t>Wraith</t>
        </is>
      </c>
      <c r="B27" s="4" t="n"/>
      <c r="C27" s="4" t="n"/>
      <c r="D27" s="4" t="n"/>
      <c r="E27" s="5" t="n"/>
      <c r="H27" s="48">
        <f>A115</f>
        <v/>
      </c>
      <c r="I27" s="49">
        <f>B116</f>
        <v/>
      </c>
      <c r="J27" s="50">
        <f>C116</f>
        <v/>
      </c>
      <c r="K27" s="49">
        <f>D116</f>
        <v/>
      </c>
      <c r="L27" s="49">
        <f>E116</f>
        <v/>
      </c>
      <c r="M27" s="51">
        <f>I27/10+J27+K27+L27</f>
        <v/>
      </c>
    </row>
    <row r="28">
      <c r="A28" s="13" t="inlineStr">
        <is>
          <t>Growth Factor</t>
        </is>
      </c>
      <c r="B28" s="14">
        <f>(B37-B35)/4</f>
        <v/>
      </c>
      <c r="C28" s="14">
        <f>(C37-C35)/4</f>
        <v/>
      </c>
      <c r="D28" s="14">
        <f>(D37-D35)/4</f>
        <v/>
      </c>
      <c r="E28" s="15">
        <f>(E37-E35)/4</f>
        <v/>
      </c>
      <c r="H28" s="52">
        <f>A131</f>
        <v/>
      </c>
      <c r="I28" s="53">
        <f>B132</f>
        <v/>
      </c>
      <c r="J28" s="54">
        <f>C132</f>
        <v/>
      </c>
      <c r="K28" s="53">
        <f>D132</f>
        <v/>
      </c>
      <c r="L28" s="53">
        <f>E132</f>
        <v/>
      </c>
      <c r="M28" s="55">
        <f>I28/10+J28+K28+L28</f>
        <v/>
      </c>
    </row>
    <row r="29">
      <c r="A29" s="6" t="inlineStr">
        <is>
          <t>T1</t>
        </is>
      </c>
      <c r="B29" s="4">
        <f>B30-B$4</f>
        <v/>
      </c>
      <c r="C29" s="4">
        <f>C30-C$4</f>
        <v/>
      </c>
      <c r="D29" s="4">
        <f>D30-D$4</f>
        <v/>
      </c>
      <c r="E29" s="5">
        <f>E30-E$4</f>
        <v/>
      </c>
      <c r="H29" s="56">
        <f>A143</f>
        <v/>
      </c>
      <c r="I29" s="57">
        <f>B144</f>
        <v/>
      </c>
      <c r="J29" s="58">
        <f>C144</f>
        <v/>
      </c>
      <c r="K29" s="57">
        <f>D144</f>
        <v/>
      </c>
      <c r="L29" s="57">
        <f>E144</f>
        <v/>
      </c>
      <c r="M29" s="59">
        <f>I29/10+J29+K29+L29</f>
        <v/>
      </c>
    </row>
    <row r="30">
      <c r="A30" s="21" t="inlineStr">
        <is>
          <t>T2</t>
        </is>
      </c>
      <c r="B30" s="1">
        <f>B31-B$4</f>
        <v/>
      </c>
      <c r="C30" s="1">
        <f>C31-C$4</f>
        <v/>
      </c>
      <c r="D30" s="1">
        <f>D31-D$4</f>
        <v/>
      </c>
      <c r="E30" s="18">
        <f>E31-E$4</f>
        <v/>
      </c>
      <c r="H30" s="56">
        <f>A155</f>
        <v/>
      </c>
      <c r="I30" s="57">
        <f>B156</f>
        <v/>
      </c>
      <c r="J30" s="58">
        <f>C156</f>
        <v/>
      </c>
      <c r="K30" s="57">
        <f>D156</f>
        <v/>
      </c>
      <c r="L30" s="57">
        <f>E156</f>
        <v/>
      </c>
      <c r="M30" s="59">
        <f>I30/10+J30+K30+L30</f>
        <v/>
      </c>
    </row>
    <row r="31">
      <c r="A31" s="21" t="inlineStr">
        <is>
          <t>T3</t>
        </is>
      </c>
      <c r="B31" s="1">
        <f>B32-B$4</f>
        <v/>
      </c>
      <c r="C31" s="1">
        <f>C32-C$4</f>
        <v/>
      </c>
      <c r="D31" s="1">
        <f>D32-D$4</f>
        <v/>
      </c>
      <c r="E31" s="18">
        <f>E32-E$4</f>
        <v/>
      </c>
      <c r="H31" s="56">
        <f>A167</f>
        <v/>
      </c>
      <c r="I31" s="57">
        <f>B168</f>
        <v/>
      </c>
      <c r="J31" s="58">
        <f>C168</f>
        <v/>
      </c>
      <c r="K31" s="57">
        <f>D168</f>
        <v/>
      </c>
      <c r="L31" s="57">
        <f>E168</f>
        <v/>
      </c>
      <c r="M31" s="59">
        <f>I31/10+J31+K31+L31</f>
        <v/>
      </c>
    </row>
    <row r="32">
      <c r="A32" s="21" t="inlineStr">
        <is>
          <t>T4</t>
        </is>
      </c>
      <c r="B32" s="1">
        <f>B33-B$4</f>
        <v/>
      </c>
      <c r="C32" s="1">
        <f>C33-C$4</f>
        <v/>
      </c>
      <c r="D32" s="1">
        <f>D33-D$4</f>
        <v/>
      </c>
      <c r="E32" s="18">
        <f>E33-E$4</f>
        <v/>
      </c>
      <c r="H32" s="60">
        <f>A179</f>
        <v/>
      </c>
      <c r="I32" s="61">
        <f>B180</f>
        <v/>
      </c>
      <c r="J32" s="62">
        <f>C180</f>
        <v/>
      </c>
      <c r="K32" s="61">
        <f>D180</f>
        <v/>
      </c>
      <c r="L32" s="61">
        <f>E180</f>
        <v/>
      </c>
      <c r="M32" s="63">
        <f>I32/10+J32+K32+L32</f>
        <v/>
      </c>
    </row>
    <row r="33">
      <c r="A33" s="21" t="inlineStr">
        <is>
          <t>T5</t>
        </is>
      </c>
      <c r="B33" s="1">
        <f>B34-B$4</f>
        <v/>
      </c>
      <c r="C33" s="1">
        <f>C34-C$4</f>
        <v/>
      </c>
      <c r="D33" s="1">
        <f>D34-D$4</f>
        <v/>
      </c>
      <c r="E33" s="18">
        <f>E34-E$4</f>
        <v/>
      </c>
      <c r="H33" s="64">
        <f>A195</f>
        <v/>
      </c>
      <c r="I33" s="65">
        <f>B196</f>
        <v/>
      </c>
      <c r="J33" s="66">
        <f>C196</f>
        <v/>
      </c>
      <c r="K33" s="65">
        <f>D196</f>
        <v/>
      </c>
      <c r="L33" s="65">
        <f>E196</f>
        <v/>
      </c>
      <c r="M33" s="67">
        <f>I33/10+J33+K33+L33</f>
        <v/>
      </c>
    </row>
    <row r="34">
      <c r="A34" s="21" t="inlineStr">
        <is>
          <t>T6</t>
        </is>
      </c>
      <c r="B34" s="1">
        <f>B35-B$4</f>
        <v/>
      </c>
      <c r="C34" s="1">
        <f>C35-C$4</f>
        <v/>
      </c>
      <c r="D34" s="1">
        <f>D35-D$4</f>
        <v/>
      </c>
      <c r="E34" s="18">
        <f>E35-E$4</f>
        <v/>
      </c>
      <c r="H34" s="68">
        <f>A207</f>
        <v/>
      </c>
      <c r="I34" s="69">
        <f>B208</f>
        <v/>
      </c>
      <c r="J34" s="70">
        <f>C208</f>
        <v/>
      </c>
      <c r="K34" s="69">
        <f>D208</f>
        <v/>
      </c>
      <c r="L34" s="69">
        <f>E208</f>
        <v/>
      </c>
      <c r="M34" s="71">
        <f>I34/10+J34+K34+L34</f>
        <v/>
      </c>
    </row>
    <row r="35">
      <c r="A35" s="21" t="inlineStr">
        <is>
          <t>T7</t>
        </is>
      </c>
      <c r="B35" s="1" t="n">
        <v>1240</v>
      </c>
      <c r="C35" s="1" t="n">
        <v>116</v>
      </c>
      <c r="D35" s="1" t="n">
        <v>80</v>
      </c>
      <c r="E35" s="18" t="n">
        <v>80</v>
      </c>
      <c r="H35" s="68">
        <f>A219</f>
        <v/>
      </c>
      <c r="I35" s="69">
        <f>B220</f>
        <v/>
      </c>
      <c r="J35" s="70">
        <f>C220</f>
        <v/>
      </c>
      <c r="K35" s="69">
        <f>D220</f>
        <v/>
      </c>
      <c r="L35" s="69">
        <f>E220</f>
        <v/>
      </c>
      <c r="M35" s="71">
        <f>I35/10+J35+K35+L35</f>
        <v/>
      </c>
    </row>
    <row r="36">
      <c r="A36" s="21" t="inlineStr">
        <is>
          <t>T8</t>
        </is>
      </c>
      <c r="B36" s="1" t="n">
        <v>1395</v>
      </c>
      <c r="C36" s="1" t="n">
        <v>131</v>
      </c>
      <c r="D36" s="1" t="n">
        <v>90</v>
      </c>
      <c r="E36" s="18" t="n">
        <v>90</v>
      </c>
      <c r="H36" s="68">
        <f>A231</f>
        <v/>
      </c>
      <c r="I36" s="69">
        <f>B232</f>
        <v/>
      </c>
      <c r="J36" s="70">
        <f>C232</f>
        <v/>
      </c>
      <c r="K36" s="69">
        <f>D232</f>
        <v/>
      </c>
      <c r="L36" s="69">
        <f>E232</f>
        <v/>
      </c>
      <c r="M36" s="71">
        <f>I36/10+J36+K36+L36</f>
        <v/>
      </c>
    </row>
    <row r="37">
      <c r="A37" s="22" t="inlineStr">
        <is>
          <t>T9</t>
        </is>
      </c>
      <c r="B37" s="23" t="n">
        <v>1860</v>
      </c>
      <c r="C37" s="23" t="n">
        <v>174</v>
      </c>
      <c r="D37" s="23" t="n">
        <v>120</v>
      </c>
      <c r="E37" s="24" t="n">
        <v>120</v>
      </c>
      <c r="H37" s="72">
        <f>A243</f>
        <v/>
      </c>
      <c r="I37" s="73">
        <f>B244</f>
        <v/>
      </c>
      <c r="J37" s="74">
        <f>C244</f>
        <v/>
      </c>
      <c r="K37" s="73">
        <f>D244</f>
        <v/>
      </c>
      <c r="L37" s="73">
        <f>E244</f>
        <v/>
      </c>
      <c r="M37" s="75">
        <f>I37/10+J37+K37+L37</f>
        <v/>
      </c>
    </row>
    <row r="38">
      <c r="A38" s="21" t="n"/>
      <c r="E38" s="18" t="n"/>
      <c r="H38" s="76">
        <f>A259</f>
        <v/>
      </c>
      <c r="I38" s="77">
        <f>B260</f>
        <v/>
      </c>
      <c r="J38" s="77">
        <f>C260</f>
        <v/>
      </c>
      <c r="K38" s="77">
        <f>D260</f>
        <v/>
      </c>
      <c r="L38" s="77">
        <f>E260</f>
        <v/>
      </c>
      <c r="M38" s="78">
        <f>I38/10+J38+K38+L38</f>
        <v/>
      </c>
    </row>
    <row r="39">
      <c r="A39" s="6" t="inlineStr">
        <is>
          <t>Mummy</t>
        </is>
      </c>
      <c r="B39" s="4" t="n"/>
      <c r="C39" s="4" t="n"/>
      <c r="D39" s="4" t="n"/>
      <c r="E39" s="5" t="n"/>
      <c r="H39" s="76">
        <f>A271</f>
        <v/>
      </c>
      <c r="I39" s="77">
        <f>B272</f>
        <v/>
      </c>
      <c r="J39" s="77">
        <f>C272</f>
        <v/>
      </c>
      <c r="K39" s="77">
        <f>D272</f>
        <v/>
      </c>
      <c r="L39" s="76">
        <f>E272</f>
        <v/>
      </c>
      <c r="M39" s="77">
        <f>I39/10+J39+K39+L39</f>
        <v/>
      </c>
    </row>
    <row r="40">
      <c r="A40" s="13" t="inlineStr">
        <is>
          <t>Growth Factor</t>
        </is>
      </c>
      <c r="B40" s="14">
        <f>(B49-B47)/4</f>
        <v/>
      </c>
      <c r="C40" s="14">
        <f>(C49-C47)/4</f>
        <v/>
      </c>
      <c r="D40" s="14">
        <f>(D49-D47)/4</f>
        <v/>
      </c>
      <c r="E40" s="15">
        <f>(E49-E47)/4</f>
        <v/>
      </c>
      <c r="H40" s="76">
        <f>A283</f>
        <v/>
      </c>
      <c r="I40" s="77">
        <f>B284</f>
        <v/>
      </c>
      <c r="J40" s="77">
        <f>C284</f>
        <v/>
      </c>
      <c r="K40" s="77">
        <f>D284</f>
        <v/>
      </c>
      <c r="L40" s="76">
        <f>E284</f>
        <v/>
      </c>
      <c r="M40" s="77">
        <f>I40/10+J40+K40+L40</f>
        <v/>
      </c>
    </row>
    <row r="41">
      <c r="A41" s="6" t="inlineStr">
        <is>
          <t>T1</t>
        </is>
      </c>
      <c r="B41" s="1">
        <f>B42-B$40</f>
        <v/>
      </c>
      <c r="C41" s="1">
        <f>C42-C$40</f>
        <v/>
      </c>
      <c r="D41" s="1">
        <f>D42-D$40</f>
        <v/>
      </c>
      <c r="E41" s="18">
        <f>E42-E$40</f>
        <v/>
      </c>
      <c r="H41" s="76">
        <f>A295</f>
        <v/>
      </c>
      <c r="I41" s="77">
        <f>B296</f>
        <v/>
      </c>
      <c r="J41" s="77">
        <f>C296</f>
        <v/>
      </c>
      <c r="K41" s="77">
        <f>D296</f>
        <v/>
      </c>
      <c r="L41" s="76">
        <f>E296</f>
        <v/>
      </c>
      <c r="M41" s="77">
        <f>I41/10+J41+K41+L41</f>
        <v/>
      </c>
    </row>
    <row r="42">
      <c r="A42" s="21" t="inlineStr">
        <is>
          <t>T2</t>
        </is>
      </c>
      <c r="B42" s="1">
        <f>B43-B$40</f>
        <v/>
      </c>
      <c r="C42" s="1">
        <f>C43-C$40</f>
        <v/>
      </c>
      <c r="D42" s="1">
        <f>D43-D$40</f>
        <v/>
      </c>
      <c r="E42" s="18">
        <f>E43-E$40</f>
        <v/>
      </c>
      <c r="H42" s="76">
        <f>A307</f>
        <v/>
      </c>
      <c r="I42" s="77">
        <f>B308</f>
        <v/>
      </c>
      <c r="J42" s="77">
        <f>C308</f>
        <v/>
      </c>
      <c r="K42" s="77">
        <f>D308</f>
        <v/>
      </c>
      <c r="L42" s="77">
        <f>E308</f>
        <v/>
      </c>
      <c r="M42" s="79">
        <f>I42/10+J42+K42+L42</f>
        <v/>
      </c>
    </row>
    <row r="43">
      <c r="A43" s="21" t="inlineStr">
        <is>
          <t>T3</t>
        </is>
      </c>
      <c r="B43" s="1">
        <f>B44-B$40</f>
        <v/>
      </c>
      <c r="C43" s="1">
        <f>C44-C$40</f>
        <v/>
      </c>
      <c r="D43" s="1">
        <f>D44-D$40</f>
        <v/>
      </c>
      <c r="E43" s="18">
        <f>E44-E$40</f>
        <v/>
      </c>
      <c r="H43" s="80">
        <f>A323</f>
        <v/>
      </c>
      <c r="I43" s="81">
        <f>B324</f>
        <v/>
      </c>
      <c r="J43" s="82">
        <f>C324</f>
        <v/>
      </c>
      <c r="K43" s="81">
        <f>D324</f>
        <v/>
      </c>
      <c r="L43" s="81">
        <f>E324</f>
        <v/>
      </c>
      <c r="M43" s="83">
        <f>I43/10+J43+K43+L43</f>
        <v/>
      </c>
    </row>
    <row r="44">
      <c r="A44" s="21" t="inlineStr">
        <is>
          <t>T4</t>
        </is>
      </c>
      <c r="B44" s="1">
        <f>B45-B$40</f>
        <v/>
      </c>
      <c r="C44" s="1">
        <f>C45-C$40</f>
        <v/>
      </c>
      <c r="D44" s="1">
        <f>D45-D$40</f>
        <v/>
      </c>
      <c r="E44" s="18">
        <f>E45-E$40</f>
        <v/>
      </c>
      <c r="H44" s="84">
        <f>A335</f>
        <v/>
      </c>
      <c r="I44" s="85">
        <f>B336</f>
        <v/>
      </c>
      <c r="J44" s="86">
        <f>C336</f>
        <v/>
      </c>
      <c r="K44" s="85">
        <f>D336</f>
        <v/>
      </c>
      <c r="L44" s="85">
        <f>E336</f>
        <v/>
      </c>
      <c r="M44" s="83">
        <f>I44/10+J44+K44+L44</f>
        <v/>
      </c>
    </row>
    <row r="45">
      <c r="A45" s="21" t="inlineStr">
        <is>
          <t>T5</t>
        </is>
      </c>
      <c r="B45" s="1">
        <f>B46-B$40</f>
        <v/>
      </c>
      <c r="C45" s="1">
        <f>C46-C$40</f>
        <v/>
      </c>
      <c r="D45" s="1">
        <f>D46-D$40</f>
        <v/>
      </c>
      <c r="E45" s="18">
        <f>E46-E$40</f>
        <v/>
      </c>
      <c r="H45" s="84">
        <f>A347</f>
        <v/>
      </c>
      <c r="I45" s="85">
        <f>B348</f>
        <v/>
      </c>
      <c r="J45" s="86">
        <f>C348</f>
        <v/>
      </c>
      <c r="K45" s="85">
        <f>D348</f>
        <v/>
      </c>
      <c r="L45" s="85">
        <f>E348</f>
        <v/>
      </c>
      <c r="M45" s="83">
        <f>I45/10+J45+K45+L45</f>
        <v/>
      </c>
    </row>
    <row r="46">
      <c r="A46" s="21" t="inlineStr">
        <is>
          <t>T6</t>
        </is>
      </c>
      <c r="B46" s="1">
        <f>B47-B$40</f>
        <v/>
      </c>
      <c r="C46" s="1">
        <f>C47-C$40</f>
        <v/>
      </c>
      <c r="D46" s="1">
        <f>D47-D$40</f>
        <v/>
      </c>
      <c r="E46" s="18">
        <f>E47-E$40</f>
        <v/>
      </c>
      <c r="H46" s="84">
        <f>A359</f>
        <v/>
      </c>
      <c r="I46" s="85">
        <f>B360</f>
        <v/>
      </c>
      <c r="J46" s="86">
        <f>C360</f>
        <v/>
      </c>
      <c r="K46" s="85">
        <f>D360</f>
        <v/>
      </c>
      <c r="L46" s="85">
        <f>E360</f>
        <v/>
      </c>
      <c r="M46" s="83">
        <f>I46/10+J46+K46+L46</f>
        <v/>
      </c>
    </row>
    <row r="47">
      <c r="A47" s="21" t="inlineStr">
        <is>
          <t>T7</t>
        </is>
      </c>
      <c r="B47" s="1" t="n">
        <v>1320</v>
      </c>
      <c r="C47" s="1" t="n">
        <v>112</v>
      </c>
      <c r="D47" s="1" t="n">
        <v>84</v>
      </c>
      <c r="E47" s="18" t="n">
        <v>72</v>
      </c>
      <c r="H47" s="87">
        <f>A371</f>
        <v/>
      </c>
      <c r="I47" s="88">
        <f>B372</f>
        <v/>
      </c>
      <c r="J47" s="89">
        <f>C372</f>
        <v/>
      </c>
      <c r="K47" s="88">
        <f>D372</f>
        <v/>
      </c>
      <c r="L47" s="88">
        <f>E372</f>
        <v/>
      </c>
      <c r="M47" s="90">
        <f>I47/10+J47+K47+L47</f>
        <v/>
      </c>
    </row>
    <row r="48">
      <c r="A48" s="21" t="inlineStr">
        <is>
          <t>T8</t>
        </is>
      </c>
      <c r="B48" s="1" t="n">
        <v>1485</v>
      </c>
      <c r="C48" s="1" t="n">
        <v>126</v>
      </c>
      <c r="D48" s="1" t="n">
        <v>95</v>
      </c>
      <c r="E48" s="18" t="n">
        <v>81</v>
      </c>
    </row>
    <row r="49">
      <c r="A49" s="22" t="inlineStr">
        <is>
          <t>T9</t>
        </is>
      </c>
      <c r="B49" s="23" t="n">
        <v>1980</v>
      </c>
      <c r="C49" s="23" t="n">
        <v>168</v>
      </c>
      <c r="D49" s="23" t="n">
        <v>126</v>
      </c>
      <c r="E49" s="24" t="n">
        <v>108</v>
      </c>
    </row>
    <row r="50">
      <c r="A50" s="21" t="n"/>
      <c r="E50" s="18" t="n"/>
    </row>
    <row r="51">
      <c r="A51" s="6" t="inlineStr">
        <is>
          <t>Baby Bud</t>
        </is>
      </c>
      <c r="B51" s="4" t="n"/>
      <c r="C51" s="4" t="n"/>
      <c r="D51" s="4" t="n"/>
      <c r="E51" s="5" t="n"/>
    </row>
    <row r="52">
      <c r="A52" s="13" t="inlineStr">
        <is>
          <t>Growth Factor</t>
        </is>
      </c>
      <c r="B52" s="14">
        <f>(B61-B59)/4</f>
        <v/>
      </c>
      <c r="C52" s="14">
        <f>(C61-C59)/4</f>
        <v/>
      </c>
      <c r="D52" s="14">
        <f>(D61-D59)/4</f>
        <v/>
      </c>
      <c r="E52" s="15">
        <f>(E61-E59)/4</f>
        <v/>
      </c>
    </row>
    <row r="53">
      <c r="A53" s="21" t="inlineStr">
        <is>
          <t>T1</t>
        </is>
      </c>
      <c r="B53" s="1" t="n">
        <v>310</v>
      </c>
      <c r="C53" s="1" t="n">
        <v>30</v>
      </c>
      <c r="D53" s="1" t="n">
        <v>18</v>
      </c>
      <c r="E53" s="18" t="n">
        <v>21</v>
      </c>
    </row>
    <row r="54">
      <c r="A54" s="21" t="inlineStr">
        <is>
          <t>T2</t>
        </is>
      </c>
      <c r="B54" s="1" t="n">
        <v>465</v>
      </c>
      <c r="C54" s="1" t="n">
        <v>45</v>
      </c>
      <c r="D54" s="1" t="n">
        <v>27</v>
      </c>
      <c r="E54" s="18" t="n">
        <v>32</v>
      </c>
    </row>
    <row r="55">
      <c r="A55" s="21" t="inlineStr">
        <is>
          <t>T3</t>
        </is>
      </c>
      <c r="B55" s="1" t="n">
        <v>620</v>
      </c>
      <c r="C55" s="1" t="n">
        <v>60</v>
      </c>
      <c r="D55" s="1" t="n">
        <v>36</v>
      </c>
      <c r="E55" s="18" t="n">
        <v>42</v>
      </c>
    </row>
    <row r="56">
      <c r="A56" s="21" t="inlineStr">
        <is>
          <t>T4</t>
        </is>
      </c>
      <c r="B56" s="1" t="n">
        <v>775</v>
      </c>
      <c r="C56" s="1" t="n">
        <v>75</v>
      </c>
      <c r="D56" s="1" t="n">
        <v>45</v>
      </c>
      <c r="E56" s="18" t="n">
        <v>53</v>
      </c>
    </row>
    <row r="57">
      <c r="A57" s="21" t="inlineStr">
        <is>
          <t>T5</t>
        </is>
      </c>
      <c r="B57" s="1" t="n">
        <v>930</v>
      </c>
      <c r="C57" s="1" t="n">
        <v>90</v>
      </c>
      <c r="D57" s="1" t="n">
        <v>54</v>
      </c>
      <c r="E57" s="18" t="n">
        <v>63</v>
      </c>
    </row>
    <row r="58">
      <c r="A58" s="21" t="inlineStr">
        <is>
          <t>T6</t>
        </is>
      </c>
      <c r="B58" s="1" t="n">
        <v>1085</v>
      </c>
      <c r="C58" s="1" t="n">
        <v>105</v>
      </c>
      <c r="D58" s="1" t="n">
        <v>63</v>
      </c>
      <c r="E58" s="18" t="n">
        <v>74</v>
      </c>
    </row>
    <row r="59">
      <c r="A59" s="21" t="inlineStr">
        <is>
          <t>T7</t>
        </is>
      </c>
      <c r="B59" s="1" t="n">
        <v>1240</v>
      </c>
      <c r="C59" s="1" t="n">
        <v>120</v>
      </c>
      <c r="D59" s="1" t="n">
        <v>72</v>
      </c>
      <c r="E59" s="18" t="n">
        <v>84</v>
      </c>
    </row>
    <row r="60">
      <c r="A60" s="21" t="inlineStr">
        <is>
          <t>T8</t>
        </is>
      </c>
      <c r="B60" s="1" t="n">
        <v>1395</v>
      </c>
      <c r="C60" s="1" t="n">
        <v>135</v>
      </c>
      <c r="D60" s="1" t="n">
        <v>81</v>
      </c>
      <c r="E60" s="18" t="n">
        <v>95</v>
      </c>
    </row>
    <row r="61">
      <c r="A61" s="22" t="inlineStr">
        <is>
          <t>T9</t>
        </is>
      </c>
      <c r="B61" s="23" t="n">
        <v>1860</v>
      </c>
      <c r="C61" s="23" t="n">
        <v>180</v>
      </c>
      <c r="D61" s="23" t="n">
        <v>108</v>
      </c>
      <c r="E61" s="24" t="n">
        <v>126</v>
      </c>
    </row>
    <row r="62"/>
    <row r="63"/>
    <row r="64"/>
    <row r="65"/>
    <row r="66">
      <c r="A66" s="3" t="inlineStr">
        <is>
          <t>DEMON</t>
        </is>
      </c>
      <c r="B66" s="4" t="n"/>
      <c r="C66" s="4" t="n"/>
      <c r="D66" s="4" t="n"/>
      <c r="E66" s="5" t="n"/>
    </row>
    <row r="67">
      <c r="A67" s="91" t="inlineStr">
        <is>
          <t>Ironball Thrower</t>
        </is>
      </c>
      <c r="B67" s="4" t="n"/>
      <c r="C67" s="4" t="n"/>
      <c r="D67" s="4" t="n"/>
      <c r="E67" s="5" t="n"/>
    </row>
    <row r="68">
      <c r="A68" s="13" t="inlineStr">
        <is>
          <t>Growth Factor</t>
        </is>
      </c>
      <c r="B68" s="14">
        <f>(B77-B75)/4</f>
        <v/>
      </c>
      <c r="C68" s="14">
        <f>(C77-C75)/4</f>
        <v/>
      </c>
      <c r="D68" s="14">
        <f>(D77-D75)/4</f>
        <v/>
      </c>
      <c r="E68" s="15">
        <f>(E77-E75)/4</f>
        <v/>
      </c>
    </row>
    <row r="69">
      <c r="A69" s="6" t="inlineStr">
        <is>
          <t>T1</t>
        </is>
      </c>
      <c r="B69" s="1">
        <f>B70-B$68</f>
        <v/>
      </c>
      <c r="C69" s="1">
        <f>C70-C$68</f>
        <v/>
      </c>
      <c r="D69" s="1">
        <f>D70-D$68</f>
        <v/>
      </c>
      <c r="E69" s="18">
        <f>E70-E$68</f>
        <v/>
      </c>
    </row>
    <row r="70">
      <c r="A70" s="21" t="inlineStr">
        <is>
          <t>T2</t>
        </is>
      </c>
      <c r="B70" s="1">
        <f>B71-B$68</f>
        <v/>
      </c>
      <c r="C70" s="1">
        <f>C71-C$68</f>
        <v/>
      </c>
      <c r="D70" s="1">
        <f>D71-D$68</f>
        <v/>
      </c>
      <c r="E70" s="18">
        <f>E71-E$68</f>
        <v/>
      </c>
    </row>
    <row r="71">
      <c r="A71" s="21" t="inlineStr">
        <is>
          <t>T3</t>
        </is>
      </c>
      <c r="B71" s="1">
        <f>B72-B$68</f>
        <v/>
      </c>
      <c r="C71" s="1">
        <f>C72-C$68</f>
        <v/>
      </c>
      <c r="D71" s="1">
        <f>D72-D$68</f>
        <v/>
      </c>
      <c r="E71" s="18">
        <f>E72-E$68</f>
        <v/>
      </c>
    </row>
    <row r="72">
      <c r="A72" s="21" t="inlineStr">
        <is>
          <t>T4</t>
        </is>
      </c>
      <c r="B72" s="1">
        <f>B73-B$68</f>
        <v/>
      </c>
      <c r="C72" s="1">
        <f>C73-C$68</f>
        <v/>
      </c>
      <c r="D72" s="1">
        <f>D73-D$68</f>
        <v/>
      </c>
      <c r="E72" s="18">
        <f>E73-E$68</f>
        <v/>
      </c>
    </row>
    <row r="73">
      <c r="A73" s="21" t="inlineStr">
        <is>
          <t>T5</t>
        </is>
      </c>
      <c r="B73" s="1">
        <f>B74-B$68</f>
        <v/>
      </c>
      <c r="C73" s="1">
        <f>C74-C$68</f>
        <v/>
      </c>
      <c r="D73" s="1">
        <f>D74-D$68</f>
        <v/>
      </c>
      <c r="E73" s="18">
        <f>E74-E$68</f>
        <v/>
      </c>
    </row>
    <row r="74">
      <c r="A74" s="21" t="inlineStr">
        <is>
          <t>T6</t>
        </is>
      </c>
      <c r="B74" s="1">
        <f>B75-B$68</f>
        <v/>
      </c>
      <c r="C74" s="1">
        <f>C75-C$68</f>
        <v/>
      </c>
      <c r="D74" s="1">
        <f>D75-D$68</f>
        <v/>
      </c>
      <c r="E74" s="18">
        <f>E75-E$68</f>
        <v/>
      </c>
    </row>
    <row r="75">
      <c r="A75" s="21" t="inlineStr">
        <is>
          <t>T7</t>
        </is>
      </c>
      <c r="B75" s="1" t="n">
        <v>800</v>
      </c>
      <c r="C75" s="1" t="n">
        <v>120</v>
      </c>
      <c r="D75" s="1" t="n">
        <v>88</v>
      </c>
      <c r="E75" s="18" t="n">
        <v>112</v>
      </c>
    </row>
    <row r="76">
      <c r="A76" s="21" t="inlineStr">
        <is>
          <t>T8</t>
        </is>
      </c>
      <c r="B76" s="1" t="n">
        <v>900</v>
      </c>
      <c r="C76" s="1" t="n">
        <v>135</v>
      </c>
      <c r="D76" s="1" t="n">
        <v>99</v>
      </c>
      <c r="E76" s="18" t="n">
        <v>126</v>
      </c>
    </row>
    <row r="77">
      <c r="A77" s="22" t="inlineStr">
        <is>
          <t>T9</t>
        </is>
      </c>
      <c r="B77" s="23" t="n">
        <v>1200</v>
      </c>
      <c r="C77" s="23" t="n">
        <v>180</v>
      </c>
      <c r="D77" s="23" t="n">
        <v>132</v>
      </c>
      <c r="E77" s="24" t="n">
        <v>168</v>
      </c>
    </row>
    <row r="78">
      <c r="A78" s="21" t="n"/>
      <c r="E78" s="18" t="n"/>
    </row>
    <row r="79">
      <c r="A79" s="91" t="inlineStr">
        <is>
          <t>Nightmare Steed</t>
        </is>
      </c>
      <c r="B79" s="4" t="n"/>
      <c r="C79" s="4" t="n"/>
      <c r="D79" s="4" t="n"/>
      <c r="E79" s="5" t="n"/>
    </row>
    <row r="80">
      <c r="A80" s="13" t="inlineStr">
        <is>
          <t>Growth Factor</t>
        </is>
      </c>
      <c r="B80" s="14">
        <f>(B89-B87)/4</f>
        <v/>
      </c>
      <c r="C80" s="14">
        <f>(C89-C87)/4</f>
        <v/>
      </c>
      <c r="D80" s="14">
        <f>(D89-D87)/4</f>
        <v/>
      </c>
      <c r="E80" s="15">
        <f>(E89-E87)/4</f>
        <v/>
      </c>
    </row>
    <row r="81">
      <c r="A81" s="6" t="inlineStr">
        <is>
          <t>T1</t>
        </is>
      </c>
      <c r="B81" s="1">
        <f>B82-B$80</f>
        <v/>
      </c>
      <c r="C81" s="1">
        <f>C82-C$80</f>
        <v/>
      </c>
      <c r="D81" s="1">
        <f>D82-D$80</f>
        <v/>
      </c>
      <c r="E81" s="18">
        <f>E82-E$80</f>
        <v/>
      </c>
    </row>
    <row r="82">
      <c r="A82" s="21" t="inlineStr">
        <is>
          <t>T2</t>
        </is>
      </c>
      <c r="B82" s="1">
        <f>B83-B$80</f>
        <v/>
      </c>
      <c r="C82" s="1">
        <f>C83-C$80</f>
        <v/>
      </c>
      <c r="D82" s="1">
        <f>D83-D$80</f>
        <v/>
      </c>
      <c r="E82" s="18">
        <f>E83-E$80</f>
        <v/>
      </c>
    </row>
    <row r="83">
      <c r="A83" s="21" t="inlineStr">
        <is>
          <t>T3</t>
        </is>
      </c>
      <c r="B83" s="1">
        <f>B84-B$80</f>
        <v/>
      </c>
      <c r="C83" s="1">
        <f>C84-C$80</f>
        <v/>
      </c>
      <c r="D83" s="1">
        <f>D84-D$80</f>
        <v/>
      </c>
      <c r="E83" s="18">
        <f>E84-E$80</f>
        <v/>
      </c>
    </row>
    <row r="84">
      <c r="A84" s="21" t="inlineStr">
        <is>
          <t>T4</t>
        </is>
      </c>
      <c r="B84" s="1">
        <f>B85-B$80</f>
        <v/>
      </c>
      <c r="C84" s="1">
        <f>C85-C$80</f>
        <v/>
      </c>
      <c r="D84" s="1">
        <f>D85-D$80</f>
        <v/>
      </c>
      <c r="E84" s="18">
        <f>E85-E$80</f>
        <v/>
      </c>
    </row>
    <row r="85">
      <c r="A85" s="21" t="inlineStr">
        <is>
          <t>T5</t>
        </is>
      </c>
      <c r="B85" s="1">
        <f>B86-B$80</f>
        <v/>
      </c>
      <c r="C85" s="1">
        <f>C86-C$80</f>
        <v/>
      </c>
      <c r="D85" s="1">
        <f>D86-D$80</f>
        <v/>
      </c>
      <c r="E85" s="18">
        <f>E86-E$80</f>
        <v/>
      </c>
    </row>
    <row r="86">
      <c r="A86" s="21" t="inlineStr">
        <is>
          <t>T6</t>
        </is>
      </c>
      <c r="B86" s="1">
        <f>B87-B$80</f>
        <v/>
      </c>
      <c r="C86" s="1">
        <f>C87-C$80</f>
        <v/>
      </c>
      <c r="D86" s="1">
        <f>D87-D$80</f>
        <v/>
      </c>
      <c r="E86" s="18">
        <f>E87-E$80</f>
        <v/>
      </c>
    </row>
    <row r="87">
      <c r="A87" s="21" t="inlineStr">
        <is>
          <t>T7</t>
        </is>
      </c>
      <c r="B87" s="1" t="n">
        <v>800</v>
      </c>
      <c r="C87" s="1" t="n">
        <v>120</v>
      </c>
      <c r="D87" s="1" t="n">
        <v>84</v>
      </c>
      <c r="E87" s="18" t="n">
        <v>116</v>
      </c>
    </row>
    <row r="88">
      <c r="A88" s="21" t="inlineStr">
        <is>
          <t>T8</t>
        </is>
      </c>
      <c r="B88" s="1" t="n">
        <v>900</v>
      </c>
      <c r="C88" s="1" t="n">
        <v>135</v>
      </c>
      <c r="D88" s="1" t="n">
        <v>95</v>
      </c>
      <c r="E88" s="18" t="n">
        <v>131</v>
      </c>
    </row>
    <row r="89">
      <c r="A89" s="22" t="inlineStr">
        <is>
          <t>T9</t>
        </is>
      </c>
      <c r="B89" s="23" t="n">
        <v>1200</v>
      </c>
      <c r="C89" s="23" t="n">
        <v>180</v>
      </c>
      <c r="D89" s="23" t="n">
        <v>126</v>
      </c>
      <c r="E89" s="24" t="n">
        <v>174</v>
      </c>
    </row>
    <row r="90">
      <c r="A90" s="21" t="n"/>
      <c r="E90" s="18" t="n"/>
    </row>
    <row r="91">
      <c r="A91" s="91" t="inlineStr">
        <is>
          <t>Imp</t>
        </is>
      </c>
      <c r="B91" s="4" t="n"/>
      <c r="C91" s="4" t="n"/>
      <c r="D91" s="4" t="n"/>
      <c r="E91" s="5" t="n"/>
    </row>
    <row r="92">
      <c r="A92" s="13" t="inlineStr">
        <is>
          <t>Growth Factor</t>
        </is>
      </c>
      <c r="B92" s="14">
        <f>(B101-B99)/4</f>
        <v/>
      </c>
      <c r="C92" s="14">
        <f>(C101-C99)/4</f>
        <v/>
      </c>
      <c r="D92" s="14">
        <f>(D101-D99)/4</f>
        <v/>
      </c>
      <c r="E92" s="15">
        <f>(E101-E99)/4</f>
        <v/>
      </c>
    </row>
    <row r="93">
      <c r="A93" s="6" t="inlineStr">
        <is>
          <t>T1</t>
        </is>
      </c>
      <c r="B93" s="1">
        <f>B94-B$92</f>
        <v/>
      </c>
      <c r="C93" s="1">
        <f>C94-C$92</f>
        <v/>
      </c>
      <c r="D93" s="1">
        <f>D94-D$92</f>
        <v/>
      </c>
      <c r="E93" s="18">
        <f>E94-E$92</f>
        <v/>
      </c>
    </row>
    <row r="94">
      <c r="A94" s="21" t="inlineStr">
        <is>
          <t>T2</t>
        </is>
      </c>
      <c r="B94" s="1">
        <f>B95-B$92</f>
        <v/>
      </c>
      <c r="C94" s="1">
        <f>C95-C$92</f>
        <v/>
      </c>
      <c r="D94" s="1">
        <f>D95-D$92</f>
        <v/>
      </c>
      <c r="E94" s="18">
        <f>E95-E$92</f>
        <v/>
      </c>
    </row>
    <row r="95">
      <c r="A95" s="21" t="inlineStr">
        <is>
          <t>T3</t>
        </is>
      </c>
      <c r="B95" s="1">
        <f>B96-B$92</f>
        <v/>
      </c>
      <c r="C95" s="1">
        <f>C96-C$92</f>
        <v/>
      </c>
      <c r="D95" s="1">
        <f>D96-D$92</f>
        <v/>
      </c>
      <c r="E95" s="18">
        <f>E96-E$92</f>
        <v/>
      </c>
    </row>
    <row r="96">
      <c r="A96" s="21" t="inlineStr">
        <is>
          <t>T4</t>
        </is>
      </c>
      <c r="B96" s="1">
        <f>B97-B$92</f>
        <v/>
      </c>
      <c r="C96" s="1">
        <f>C97-C$92</f>
        <v/>
      </c>
      <c r="D96" s="1">
        <f>D97-D$92</f>
        <v/>
      </c>
      <c r="E96" s="18">
        <f>E97-E$92</f>
        <v/>
      </c>
    </row>
    <row r="97">
      <c r="A97" s="21" t="inlineStr">
        <is>
          <t>T5</t>
        </is>
      </c>
      <c r="B97" s="1">
        <f>B98-B$92</f>
        <v/>
      </c>
      <c r="C97" s="1">
        <f>C98-C$92</f>
        <v/>
      </c>
      <c r="D97" s="1">
        <f>D98-D$92</f>
        <v/>
      </c>
      <c r="E97" s="18">
        <f>E98-E$92</f>
        <v/>
      </c>
    </row>
    <row r="98">
      <c r="A98" s="21" t="inlineStr">
        <is>
          <t>T6</t>
        </is>
      </c>
      <c r="B98" s="1">
        <f>B99-B$92</f>
        <v/>
      </c>
      <c r="C98" s="1">
        <f>C99-C$92</f>
        <v/>
      </c>
      <c r="D98" s="1">
        <f>D99-D$92</f>
        <v/>
      </c>
      <c r="E98" s="18">
        <f>E99-E$92</f>
        <v/>
      </c>
    </row>
    <row r="99">
      <c r="A99" s="21" t="inlineStr">
        <is>
          <t>T7</t>
        </is>
      </c>
      <c r="B99" s="1" t="n">
        <v>880</v>
      </c>
      <c r="C99" s="1" t="n">
        <v>124</v>
      </c>
      <c r="D99" s="1" t="n">
        <v>84</v>
      </c>
      <c r="E99" s="18" t="n">
        <v>104</v>
      </c>
    </row>
    <row r="100">
      <c r="A100" s="21" t="inlineStr">
        <is>
          <t>T8</t>
        </is>
      </c>
      <c r="B100" s="1" t="n">
        <v>990</v>
      </c>
      <c r="C100" s="1" t="n">
        <v>140</v>
      </c>
      <c r="D100" s="1" t="n">
        <v>95</v>
      </c>
      <c r="E100" s="18" t="n">
        <v>117</v>
      </c>
    </row>
    <row r="101">
      <c r="A101" s="22" t="inlineStr">
        <is>
          <t>T9</t>
        </is>
      </c>
      <c r="B101" s="23" t="n">
        <v>1320</v>
      </c>
      <c r="C101" s="23" t="n">
        <v>186</v>
      </c>
      <c r="D101" s="23" t="n">
        <v>126</v>
      </c>
      <c r="E101" s="24" t="n">
        <v>156</v>
      </c>
    </row>
    <row r="102">
      <c r="A102" s="21" t="n"/>
      <c r="E102" s="18" t="n"/>
    </row>
    <row r="103">
      <c r="A103" s="91" t="inlineStr">
        <is>
          <t>Berserker</t>
        </is>
      </c>
      <c r="B103" s="4" t="n"/>
      <c r="C103" s="4" t="n"/>
      <c r="D103" s="4" t="n"/>
      <c r="E103" s="5" t="n"/>
    </row>
    <row r="104">
      <c r="A104" s="13" t="inlineStr">
        <is>
          <t>Growth Factor</t>
        </is>
      </c>
      <c r="B104" s="14">
        <f>(B113-B111)/4</f>
        <v/>
      </c>
      <c r="C104" s="14">
        <f>(C113-C111)/4</f>
        <v/>
      </c>
      <c r="D104" s="14">
        <f>(D113-D111)/4</f>
        <v/>
      </c>
      <c r="E104" s="15">
        <f>(E113-E111)/4</f>
        <v/>
      </c>
    </row>
    <row r="105">
      <c r="A105" s="6" t="inlineStr">
        <is>
          <t>T1</t>
        </is>
      </c>
      <c r="B105" s="1" t="n">
        <v>230</v>
      </c>
      <c r="C105" s="1" t="n">
        <v>30</v>
      </c>
      <c r="D105" s="1" t="n">
        <v>20</v>
      </c>
      <c r="E105" s="18" t="n">
        <v>27</v>
      </c>
    </row>
    <row r="106">
      <c r="A106" s="21" t="inlineStr">
        <is>
          <t>T2</t>
        </is>
      </c>
      <c r="B106" s="1" t="n">
        <v>345</v>
      </c>
      <c r="C106" s="1" t="n">
        <v>45</v>
      </c>
      <c r="D106" s="1" t="n">
        <v>30</v>
      </c>
      <c r="E106" s="18" t="n">
        <v>41</v>
      </c>
    </row>
    <row r="107">
      <c r="A107" s="21" t="inlineStr">
        <is>
          <t>T3</t>
        </is>
      </c>
      <c r="B107" s="1" t="n">
        <v>460</v>
      </c>
      <c r="C107" s="1" t="n">
        <v>60</v>
      </c>
      <c r="D107" s="1" t="n">
        <v>40</v>
      </c>
      <c r="E107" s="18" t="n">
        <v>54</v>
      </c>
    </row>
    <row r="108">
      <c r="A108" s="21" t="inlineStr">
        <is>
          <t>T4</t>
        </is>
      </c>
      <c r="B108" s="1" t="n">
        <v>575</v>
      </c>
      <c r="C108" s="1" t="n">
        <v>75</v>
      </c>
      <c r="D108" s="1" t="n">
        <v>50</v>
      </c>
      <c r="E108" s="18" t="n">
        <v>68</v>
      </c>
    </row>
    <row r="109">
      <c r="A109" s="21" t="inlineStr">
        <is>
          <t>T5</t>
        </is>
      </c>
      <c r="B109" s="1" t="n">
        <v>690</v>
      </c>
      <c r="C109" s="1" t="n">
        <v>90</v>
      </c>
      <c r="D109" s="1" t="n">
        <v>60</v>
      </c>
      <c r="E109" s="18" t="n">
        <v>81</v>
      </c>
    </row>
    <row r="110">
      <c r="A110" s="21" t="inlineStr">
        <is>
          <t>T6</t>
        </is>
      </c>
      <c r="B110" s="1" t="n">
        <v>805</v>
      </c>
      <c r="C110" s="1" t="n">
        <v>105</v>
      </c>
      <c r="D110" s="1" t="n">
        <v>70</v>
      </c>
      <c r="E110" s="18" t="n">
        <v>95</v>
      </c>
    </row>
    <row r="111">
      <c r="A111" s="21" t="inlineStr">
        <is>
          <t>T7</t>
        </is>
      </c>
      <c r="B111" s="1" t="n">
        <v>920</v>
      </c>
      <c r="C111" s="1" t="n">
        <v>120</v>
      </c>
      <c r="D111" s="1" t="n">
        <v>80</v>
      </c>
      <c r="E111" s="18" t="n">
        <v>108</v>
      </c>
    </row>
    <row r="112">
      <c r="A112" s="21" t="inlineStr">
        <is>
          <t>T8</t>
        </is>
      </c>
      <c r="B112" s="1" t="n">
        <v>1035</v>
      </c>
      <c r="C112" s="1" t="n">
        <v>135</v>
      </c>
      <c r="D112" s="1" t="n">
        <v>90</v>
      </c>
      <c r="E112" s="18" t="n">
        <v>122</v>
      </c>
    </row>
    <row r="113">
      <c r="A113" s="22" t="inlineStr">
        <is>
          <t>T9</t>
        </is>
      </c>
      <c r="B113" s="23" t="n">
        <v>1380</v>
      </c>
      <c r="C113" s="23" t="n">
        <v>180</v>
      </c>
      <c r="D113" s="23" t="n">
        <v>120</v>
      </c>
      <c r="E113" s="24" t="n">
        <v>162</v>
      </c>
    </row>
    <row r="114">
      <c r="A114" s="21" t="n"/>
      <c r="E114" s="18" t="n"/>
    </row>
    <row r="115">
      <c r="A115" s="91" t="inlineStr">
        <is>
          <t>Vampire</t>
        </is>
      </c>
      <c r="B115" s="4" t="n"/>
      <c r="C115" s="4" t="n"/>
      <c r="D115" s="4" t="n"/>
      <c r="E115" s="5" t="n"/>
    </row>
    <row r="116">
      <c r="A116" s="13" t="inlineStr">
        <is>
          <t>Growth Factor</t>
        </is>
      </c>
      <c r="B116" s="14">
        <f>(B125-B123)/4</f>
        <v/>
      </c>
      <c r="C116" s="14">
        <f>(C125-C123)/4</f>
        <v/>
      </c>
      <c r="D116" s="14">
        <f>(D125-D123)/4</f>
        <v/>
      </c>
      <c r="E116" s="15">
        <f>(E125-E123)/4</f>
        <v/>
      </c>
    </row>
    <row r="117">
      <c r="A117" s="21" t="inlineStr">
        <is>
          <t>T1</t>
        </is>
      </c>
      <c r="B117" s="1">
        <f>B118-B$116</f>
        <v/>
      </c>
      <c r="C117" s="1">
        <f>C118-C$116</f>
        <v/>
      </c>
      <c r="D117" s="1">
        <f>D118-D$116</f>
        <v/>
      </c>
      <c r="E117" s="18">
        <f>E118-E$116</f>
        <v/>
      </c>
    </row>
    <row r="118">
      <c r="A118" s="21" t="inlineStr">
        <is>
          <t>T2</t>
        </is>
      </c>
      <c r="B118" s="1">
        <f>B119-B$116</f>
        <v/>
      </c>
      <c r="C118" s="1">
        <f>C119-C$116</f>
        <v/>
      </c>
      <c r="D118" s="1">
        <f>D119-D$116</f>
        <v/>
      </c>
      <c r="E118" s="18">
        <f>E119-E$116</f>
        <v/>
      </c>
    </row>
    <row r="119">
      <c r="A119" s="21" t="inlineStr">
        <is>
          <t>T3</t>
        </is>
      </c>
      <c r="B119" s="1">
        <f>B120-B$116</f>
        <v/>
      </c>
      <c r="C119" s="1">
        <f>C120-C$116</f>
        <v/>
      </c>
      <c r="D119" s="1">
        <f>D120-D$116</f>
        <v/>
      </c>
      <c r="E119" s="18">
        <f>E120-E$116</f>
        <v/>
      </c>
    </row>
    <row r="120">
      <c r="A120" s="21" t="inlineStr">
        <is>
          <t>T4</t>
        </is>
      </c>
      <c r="B120" s="1">
        <f>B121-B$116</f>
        <v/>
      </c>
      <c r="C120" s="1">
        <f>C121-C$116</f>
        <v/>
      </c>
      <c r="D120" s="1">
        <f>D121-D$116</f>
        <v/>
      </c>
      <c r="E120" s="18">
        <f>E121-E$116</f>
        <v/>
      </c>
    </row>
    <row r="121">
      <c r="A121" s="21" t="inlineStr">
        <is>
          <t>T5</t>
        </is>
      </c>
      <c r="B121" s="1">
        <f>B122-B$116</f>
        <v/>
      </c>
      <c r="C121" s="1">
        <f>C122-C$116</f>
        <v/>
      </c>
      <c r="D121" s="1">
        <f>D122-D$116</f>
        <v/>
      </c>
      <c r="E121" s="18">
        <f>E122-E$116</f>
        <v/>
      </c>
    </row>
    <row r="122">
      <c r="A122" s="21" t="inlineStr">
        <is>
          <t>T6</t>
        </is>
      </c>
      <c r="B122" s="1">
        <f>B123-B$116</f>
        <v/>
      </c>
      <c r="C122" s="1">
        <f>C123-C$116</f>
        <v/>
      </c>
      <c r="D122" s="1">
        <f>D123-D$116</f>
        <v/>
      </c>
      <c r="E122" s="18">
        <f>E123-E$116</f>
        <v/>
      </c>
    </row>
    <row r="123">
      <c r="A123" s="21" t="inlineStr">
        <is>
          <t>T7</t>
        </is>
      </c>
      <c r="B123" s="1" t="n">
        <v>840</v>
      </c>
      <c r="C123" s="1" t="n">
        <v>128</v>
      </c>
      <c r="D123" s="1" t="n">
        <v>76</v>
      </c>
      <c r="E123" s="18" t="n">
        <v>112</v>
      </c>
    </row>
    <row r="124">
      <c r="A124" s="21" t="inlineStr">
        <is>
          <t>T8</t>
        </is>
      </c>
      <c r="B124" s="1" t="n">
        <v>945</v>
      </c>
      <c r="C124" s="1" t="n">
        <v>144</v>
      </c>
      <c r="D124" s="1" t="n">
        <v>86</v>
      </c>
      <c r="E124" s="18" t="n">
        <v>126</v>
      </c>
    </row>
    <row r="125">
      <c r="A125" s="22" t="inlineStr">
        <is>
          <t>T9</t>
        </is>
      </c>
      <c r="B125" s="23" t="n">
        <v>1260</v>
      </c>
      <c r="C125" s="23" t="n">
        <v>192</v>
      </c>
      <c r="D125" s="23" t="n">
        <v>114</v>
      </c>
      <c r="E125" s="24" t="n">
        <v>168</v>
      </c>
    </row>
    <row r="126"/>
    <row r="127"/>
    <row r="128"/>
    <row r="129"/>
    <row r="130">
      <c r="A130" s="3" t="inlineStr">
        <is>
          <t>ANGEL</t>
        </is>
      </c>
      <c r="B130" s="4" t="n"/>
      <c r="C130" s="4" t="n"/>
      <c r="D130" s="4" t="n"/>
      <c r="E130" s="5" t="n"/>
    </row>
    <row r="131">
      <c r="A131" s="6" t="inlineStr">
        <is>
          <t>Koryeon Snail</t>
        </is>
      </c>
      <c r="B131" s="4" t="n"/>
      <c r="C131" s="4" t="n"/>
      <c r="D131" s="4" t="n"/>
      <c r="E131" s="5" t="n"/>
    </row>
    <row r="132">
      <c r="A132" s="13" t="inlineStr">
        <is>
          <t>Growth Factor</t>
        </is>
      </c>
      <c r="B132" s="14">
        <f>(B141-B139)/4</f>
        <v/>
      </c>
      <c r="C132" s="14">
        <f>(C141-C139)/4</f>
        <v/>
      </c>
      <c r="D132" s="14">
        <f>(D141-D139)/4</f>
        <v/>
      </c>
      <c r="E132" s="15">
        <f>(E141-E139)/4</f>
        <v/>
      </c>
    </row>
    <row r="133">
      <c r="A133" s="21" t="inlineStr">
        <is>
          <t>T1</t>
        </is>
      </c>
      <c r="B133" s="1">
        <f>B134-B$132</f>
        <v/>
      </c>
      <c r="C133" s="1">
        <f>C134-C$132</f>
        <v/>
      </c>
      <c r="D133" s="1">
        <f>D134-D$132</f>
        <v/>
      </c>
      <c r="E133" s="18">
        <f>E134-E$132</f>
        <v/>
      </c>
    </row>
    <row r="134">
      <c r="A134" s="21" t="inlineStr">
        <is>
          <t>T2</t>
        </is>
      </c>
      <c r="B134" s="1">
        <f>B135-B$132</f>
        <v/>
      </c>
      <c r="C134" s="1">
        <f>C135-C$132</f>
        <v/>
      </c>
      <c r="D134" s="1">
        <f>D135-D$132</f>
        <v/>
      </c>
      <c r="E134" s="18">
        <f>E135-E$132</f>
        <v/>
      </c>
    </row>
    <row r="135">
      <c r="A135" s="21" t="inlineStr">
        <is>
          <t>T3</t>
        </is>
      </c>
      <c r="B135" s="1">
        <f>B136-B$132</f>
        <v/>
      </c>
      <c r="C135" s="1">
        <f>C136-C$132</f>
        <v/>
      </c>
      <c r="D135" s="1">
        <f>D136-D$132</f>
        <v/>
      </c>
      <c r="E135" s="18">
        <f>E136-E$132</f>
        <v/>
      </c>
    </row>
    <row r="136">
      <c r="A136" s="21" t="inlineStr">
        <is>
          <t>T4</t>
        </is>
      </c>
      <c r="B136" s="1">
        <f>B137-B$132</f>
        <v/>
      </c>
      <c r="C136" s="1">
        <f>C137-C$132</f>
        <v/>
      </c>
      <c r="D136" s="1">
        <f>D137-D$132</f>
        <v/>
      </c>
      <c r="E136" s="18">
        <f>E137-E$132</f>
        <v/>
      </c>
    </row>
    <row r="137">
      <c r="A137" s="21" t="inlineStr">
        <is>
          <t>T5</t>
        </is>
      </c>
      <c r="B137" s="1">
        <f>B138-B$132</f>
        <v/>
      </c>
      <c r="C137" s="1">
        <f>C138-C$132</f>
        <v/>
      </c>
      <c r="D137" s="1">
        <f>D138-D$132</f>
        <v/>
      </c>
      <c r="E137" s="18">
        <f>E138-E$132</f>
        <v/>
      </c>
    </row>
    <row r="138">
      <c r="A138" s="21" t="inlineStr">
        <is>
          <t>T6</t>
        </is>
      </c>
      <c r="B138" s="1">
        <f>B139-B$132</f>
        <v/>
      </c>
      <c r="C138" s="1">
        <f>C139-C$132</f>
        <v/>
      </c>
      <c r="D138" s="1">
        <f>D139-D$132</f>
        <v/>
      </c>
      <c r="E138" s="18">
        <f>E139-E$132</f>
        <v/>
      </c>
    </row>
    <row r="139">
      <c r="A139" s="21" t="inlineStr">
        <is>
          <t>T7</t>
        </is>
      </c>
      <c r="B139" s="1" t="n">
        <v>1240</v>
      </c>
      <c r="C139" s="1" t="n">
        <v>80</v>
      </c>
      <c r="D139" s="1" t="n">
        <v>76</v>
      </c>
      <c r="E139" s="18" t="n">
        <v>120</v>
      </c>
    </row>
    <row r="140">
      <c r="A140" s="21" t="inlineStr">
        <is>
          <t>T8</t>
        </is>
      </c>
      <c r="B140" s="1" t="n">
        <v>1395</v>
      </c>
      <c r="C140" s="1" t="n">
        <v>90</v>
      </c>
      <c r="D140" s="1" t="n">
        <v>86</v>
      </c>
      <c r="E140" s="18" t="n">
        <v>135</v>
      </c>
    </row>
    <row r="141">
      <c r="A141" s="22" t="inlineStr">
        <is>
          <t>T9</t>
        </is>
      </c>
      <c r="B141" s="23" t="n">
        <v>1860</v>
      </c>
      <c r="C141" s="23" t="n">
        <v>120</v>
      </c>
      <c r="D141" s="23" t="n">
        <v>114</v>
      </c>
      <c r="E141" s="24" t="n">
        <v>180</v>
      </c>
    </row>
    <row r="142">
      <c r="A142" s="21" t="n"/>
      <c r="E142" s="18" t="n"/>
    </row>
    <row r="143">
      <c r="A143" s="6" t="inlineStr">
        <is>
          <t>Stan</t>
        </is>
      </c>
      <c r="B143" s="4" t="n"/>
      <c r="C143" s="4" t="n"/>
      <c r="D143" s="4" t="n"/>
      <c r="E143" s="5" t="n"/>
    </row>
    <row r="144">
      <c r="A144" s="13" t="inlineStr">
        <is>
          <t>Growth Factor</t>
        </is>
      </c>
      <c r="B144" s="14">
        <f>(B153-B151)/4</f>
        <v/>
      </c>
      <c r="C144" s="14">
        <f>(C153-C151)/4</f>
        <v/>
      </c>
      <c r="D144" s="14">
        <f>(D153-D151)/4</f>
        <v/>
      </c>
      <c r="E144" s="15">
        <f>(E153-E151)/4</f>
        <v/>
      </c>
    </row>
    <row r="145">
      <c r="A145" s="21" t="inlineStr">
        <is>
          <t>T1</t>
        </is>
      </c>
      <c r="B145" s="1">
        <f>B146-B$144</f>
        <v/>
      </c>
      <c r="C145" s="1">
        <f>C146-C$144</f>
        <v/>
      </c>
      <c r="D145" s="1">
        <f>D146-D$144</f>
        <v/>
      </c>
      <c r="E145" s="18">
        <f>E146-E$144</f>
        <v/>
      </c>
    </row>
    <row r="146">
      <c r="A146" s="21" t="inlineStr">
        <is>
          <t>T2</t>
        </is>
      </c>
      <c r="B146" s="1">
        <f>B147-B$144</f>
        <v/>
      </c>
      <c r="C146" s="1">
        <f>C147-C$144</f>
        <v/>
      </c>
      <c r="D146" s="1">
        <f>D147-D$144</f>
        <v/>
      </c>
      <c r="E146" s="18">
        <f>E147-E$144</f>
        <v/>
      </c>
    </row>
    <row r="147">
      <c r="A147" s="21" t="inlineStr">
        <is>
          <t>T3</t>
        </is>
      </c>
      <c r="B147" s="1">
        <f>B148-B$144</f>
        <v/>
      </c>
      <c r="C147" s="1">
        <f>C148-C$144</f>
        <v/>
      </c>
      <c r="D147" s="1">
        <f>D148-D$144</f>
        <v/>
      </c>
      <c r="E147" s="18">
        <f>E148-E$144</f>
        <v/>
      </c>
    </row>
    <row r="148">
      <c r="A148" s="21" t="inlineStr">
        <is>
          <t>T4</t>
        </is>
      </c>
      <c r="B148" s="1">
        <f>B149-B$144</f>
        <v/>
      </c>
      <c r="C148" s="1">
        <f>C149-C$144</f>
        <v/>
      </c>
      <c r="D148" s="1">
        <f>D149-D$144</f>
        <v/>
      </c>
      <c r="E148" s="18">
        <f>E149-E$144</f>
        <v/>
      </c>
    </row>
    <row r="149">
      <c r="A149" s="21" t="inlineStr">
        <is>
          <t>T5</t>
        </is>
      </c>
      <c r="B149" s="1">
        <f>B150-B$144</f>
        <v/>
      </c>
      <c r="C149" s="1">
        <f>C150-C$144</f>
        <v/>
      </c>
      <c r="D149" s="1">
        <f>D150-D$144</f>
        <v/>
      </c>
      <c r="E149" s="18">
        <f>E150-E$144</f>
        <v/>
      </c>
    </row>
    <row r="150">
      <c r="A150" s="21" t="inlineStr">
        <is>
          <t>T6</t>
        </is>
      </c>
      <c r="B150" s="1">
        <f>B151-B$144</f>
        <v/>
      </c>
      <c r="C150" s="1">
        <f>C151-C$144</f>
        <v/>
      </c>
      <c r="D150" s="1">
        <f>D151-D$144</f>
        <v/>
      </c>
      <c r="E150" s="18">
        <f>E151-E$144</f>
        <v/>
      </c>
    </row>
    <row r="151">
      <c r="A151" s="21" t="inlineStr">
        <is>
          <t>T7</t>
        </is>
      </c>
      <c r="B151" s="1" t="n">
        <v>1240</v>
      </c>
      <c r="C151" s="1" t="n">
        <v>80</v>
      </c>
      <c r="D151" s="1" t="n">
        <v>68</v>
      </c>
      <c r="E151" s="18" t="n">
        <v>128</v>
      </c>
    </row>
    <row r="152">
      <c r="A152" s="21" t="inlineStr">
        <is>
          <t>T8</t>
        </is>
      </c>
      <c r="B152" s="1" t="n">
        <v>1395</v>
      </c>
      <c r="C152" s="1" t="n">
        <v>90</v>
      </c>
      <c r="D152" s="1" t="n">
        <v>77</v>
      </c>
      <c r="E152" s="18" t="n">
        <v>144</v>
      </c>
    </row>
    <row r="153">
      <c r="A153" s="22" t="inlineStr">
        <is>
          <t>T9</t>
        </is>
      </c>
      <c r="B153" s="23" t="n">
        <v>1860</v>
      </c>
      <c r="C153" s="23" t="n">
        <v>120</v>
      </c>
      <c r="D153" s="23" t="n">
        <v>102</v>
      </c>
      <c r="E153" s="24" t="n">
        <v>192</v>
      </c>
    </row>
    <row r="154">
      <c r="A154" s="21" t="n"/>
      <c r="E154" s="18" t="n"/>
    </row>
    <row r="155">
      <c r="A155" s="6" t="inlineStr">
        <is>
          <t>Catcolyte</t>
        </is>
      </c>
      <c r="B155" s="4" t="n"/>
      <c r="C155" s="4" t="n"/>
      <c r="D155" s="4" t="n"/>
      <c r="E155" s="5" t="n"/>
    </row>
    <row r="156">
      <c r="A156" s="13" t="inlineStr">
        <is>
          <t>Growth Factor</t>
        </is>
      </c>
      <c r="B156" s="14">
        <f>(B165-B163)/4</f>
        <v/>
      </c>
      <c r="C156" s="14">
        <f>(C165-C163)/4</f>
        <v/>
      </c>
      <c r="D156" s="14">
        <f>(D165-D163)/4</f>
        <v/>
      </c>
      <c r="E156" s="15">
        <f>(E165-E163)/4</f>
        <v/>
      </c>
    </row>
    <row r="157">
      <c r="A157" s="21" t="inlineStr">
        <is>
          <t>T1</t>
        </is>
      </c>
      <c r="B157" s="1">
        <f>B158-B$156</f>
        <v/>
      </c>
      <c r="C157" s="1">
        <f>C158-C$156</f>
        <v/>
      </c>
      <c r="D157" s="1">
        <f>D158-D$156</f>
        <v/>
      </c>
      <c r="E157" s="18">
        <f>E158-E$156</f>
        <v/>
      </c>
    </row>
    <row r="158">
      <c r="A158" s="21" t="inlineStr">
        <is>
          <t>T2</t>
        </is>
      </c>
      <c r="B158" s="1">
        <f>B159-B$156</f>
        <v/>
      </c>
      <c r="C158" s="1">
        <f>C159-C$156</f>
        <v/>
      </c>
      <c r="D158" s="1">
        <f>D159-D$156</f>
        <v/>
      </c>
      <c r="E158" s="18">
        <f>E159-E$156</f>
        <v/>
      </c>
    </row>
    <row r="159">
      <c r="A159" s="21" t="inlineStr">
        <is>
          <t>T3</t>
        </is>
      </c>
      <c r="B159" s="1">
        <f>B160-B$156</f>
        <v/>
      </c>
      <c r="C159" s="1">
        <f>C160-C$156</f>
        <v/>
      </c>
      <c r="D159" s="1">
        <f>D160-D$156</f>
        <v/>
      </c>
      <c r="E159" s="18">
        <f>E160-E$156</f>
        <v/>
      </c>
    </row>
    <row r="160">
      <c r="A160" s="21" t="inlineStr">
        <is>
          <t>T4</t>
        </is>
      </c>
      <c r="B160" s="1">
        <f>B161-B$156</f>
        <v/>
      </c>
      <c r="C160" s="1">
        <f>C161-C$156</f>
        <v/>
      </c>
      <c r="D160" s="1">
        <f>D161-D$156</f>
        <v/>
      </c>
      <c r="E160" s="18">
        <f>E161-E$156</f>
        <v/>
      </c>
    </row>
    <row r="161">
      <c r="A161" s="21" t="inlineStr">
        <is>
          <t>T5</t>
        </is>
      </c>
      <c r="B161" s="1">
        <f>B162-B$156</f>
        <v/>
      </c>
      <c r="C161" s="1">
        <f>C162-C$156</f>
        <v/>
      </c>
      <c r="D161" s="1">
        <f>D162-D$156</f>
        <v/>
      </c>
      <c r="E161" s="18">
        <f>E162-E$156</f>
        <v/>
      </c>
    </row>
    <row r="162">
      <c r="A162" s="21" t="inlineStr">
        <is>
          <t>T6</t>
        </is>
      </c>
      <c r="B162" s="1">
        <f>B163-B$156</f>
        <v/>
      </c>
      <c r="C162" s="1">
        <f>C163-C$156</f>
        <v/>
      </c>
      <c r="D162" s="1">
        <f>D163-D$156</f>
        <v/>
      </c>
      <c r="E162" s="18">
        <f>E163-E$156</f>
        <v/>
      </c>
    </row>
    <row r="163">
      <c r="A163" s="21" t="inlineStr">
        <is>
          <t>T7</t>
        </is>
      </c>
      <c r="B163" s="1" t="n">
        <v>1240</v>
      </c>
      <c r="C163" s="1" t="n">
        <v>80</v>
      </c>
      <c r="D163" s="1" t="n">
        <v>72</v>
      </c>
      <c r="E163" s="18" t="n">
        <v>124</v>
      </c>
    </row>
    <row r="164">
      <c r="A164" s="21" t="inlineStr">
        <is>
          <t>T8</t>
        </is>
      </c>
      <c r="B164" s="1" t="n">
        <v>1395</v>
      </c>
      <c r="C164" s="1" t="n">
        <v>90</v>
      </c>
      <c r="D164" s="1" t="n">
        <v>81</v>
      </c>
      <c r="E164" s="18" t="n">
        <v>140</v>
      </c>
    </row>
    <row r="165">
      <c r="A165" s="22" t="inlineStr">
        <is>
          <t>T9</t>
        </is>
      </c>
      <c r="B165" s="23" t="n">
        <v>1860</v>
      </c>
      <c r="C165" s="23" t="n">
        <v>120</v>
      </c>
      <c r="D165" s="23" t="n">
        <v>108</v>
      </c>
      <c r="E165" s="24" t="n">
        <v>186</v>
      </c>
    </row>
    <row r="166">
      <c r="A166" s="21" t="n"/>
      <c r="E166" s="18" t="n"/>
    </row>
    <row r="167">
      <c r="A167" s="6" t="inlineStr">
        <is>
          <t>Sanctum Warrior</t>
        </is>
      </c>
      <c r="B167" s="4" t="n"/>
      <c r="C167" s="4" t="n"/>
      <c r="D167" s="4" t="n"/>
      <c r="E167" s="5" t="n"/>
    </row>
    <row r="168">
      <c r="A168" s="13" t="inlineStr">
        <is>
          <t>Growth Factor</t>
        </is>
      </c>
      <c r="B168" s="14">
        <f>(B177-B175)/4</f>
        <v/>
      </c>
      <c r="C168" s="14">
        <f>(C177-C175)/4</f>
        <v/>
      </c>
      <c r="D168" s="14">
        <f>(D177-D175)/4</f>
        <v/>
      </c>
      <c r="E168" s="15">
        <f>(E177-E175)/4</f>
        <v/>
      </c>
    </row>
    <row r="169">
      <c r="A169" s="21" t="inlineStr">
        <is>
          <t>T1</t>
        </is>
      </c>
      <c r="B169" s="1">
        <f>B170-B$168</f>
        <v/>
      </c>
      <c r="C169" s="1">
        <f>C170-C$168</f>
        <v/>
      </c>
      <c r="D169" s="1">
        <f>D170-D$168</f>
        <v/>
      </c>
      <c r="E169" s="18">
        <f>E170-E$168</f>
        <v/>
      </c>
    </row>
    <row r="170">
      <c r="A170" s="21" t="inlineStr">
        <is>
          <t>T2</t>
        </is>
      </c>
      <c r="B170" s="1">
        <f>B171-B$168</f>
        <v/>
      </c>
      <c r="C170" s="1">
        <f>C171-C$168</f>
        <v/>
      </c>
      <c r="D170" s="1">
        <f>D171-D$168</f>
        <v/>
      </c>
      <c r="E170" s="18">
        <f>E171-E$168</f>
        <v/>
      </c>
    </row>
    <row r="171">
      <c r="A171" s="21" t="inlineStr">
        <is>
          <t>T3</t>
        </is>
      </c>
      <c r="B171" s="1">
        <f>B172-B$168</f>
        <v/>
      </c>
      <c r="C171" s="1">
        <f>C172-C$168</f>
        <v/>
      </c>
      <c r="D171" s="1">
        <f>D172-D$168</f>
        <v/>
      </c>
      <c r="E171" s="18">
        <f>E172-E$168</f>
        <v/>
      </c>
    </row>
    <row r="172">
      <c r="A172" s="21" t="inlineStr">
        <is>
          <t>T4</t>
        </is>
      </c>
      <c r="B172" s="1">
        <f>B173-B$168</f>
        <v/>
      </c>
      <c r="C172" s="1">
        <f>C173-C$168</f>
        <v/>
      </c>
      <c r="D172" s="1">
        <f>D173-D$168</f>
        <v/>
      </c>
      <c r="E172" s="18">
        <f>E173-E$168</f>
        <v/>
      </c>
    </row>
    <row r="173">
      <c r="A173" s="21" t="inlineStr">
        <is>
          <t>T5</t>
        </is>
      </c>
      <c r="B173" s="1">
        <f>B174-B$168</f>
        <v/>
      </c>
      <c r="C173" s="1">
        <f>C174-C$168</f>
        <v/>
      </c>
      <c r="D173" s="1">
        <f>D174-D$168</f>
        <v/>
      </c>
      <c r="E173" s="18">
        <f>E174-E$168</f>
        <v/>
      </c>
    </row>
    <row r="174">
      <c r="A174" s="21" t="inlineStr">
        <is>
          <t>T6</t>
        </is>
      </c>
      <c r="B174" s="1">
        <f>B175-B$168</f>
        <v/>
      </c>
      <c r="C174" s="1">
        <f>C175-C$168</f>
        <v/>
      </c>
      <c r="D174" s="1">
        <f>D175-D$168</f>
        <v/>
      </c>
      <c r="E174" s="18">
        <f>E175-E$168</f>
        <v/>
      </c>
    </row>
    <row r="175">
      <c r="A175" s="21" t="inlineStr">
        <is>
          <t>T7</t>
        </is>
      </c>
      <c r="B175" s="1" t="n">
        <v>1280</v>
      </c>
      <c r="C175" s="1" t="n">
        <v>76</v>
      </c>
      <c r="D175" s="1" t="n">
        <v>72</v>
      </c>
      <c r="E175" s="18" t="n">
        <v>124</v>
      </c>
    </row>
    <row r="176">
      <c r="A176" s="21" t="inlineStr">
        <is>
          <t>T8</t>
        </is>
      </c>
      <c r="B176" s="1" t="n">
        <v>1440</v>
      </c>
      <c r="C176" s="1" t="n">
        <v>86</v>
      </c>
      <c r="D176" s="1" t="n">
        <v>81</v>
      </c>
      <c r="E176" s="18" t="n">
        <v>140</v>
      </c>
    </row>
    <row r="177">
      <c r="A177" s="22" t="inlineStr">
        <is>
          <t>T9</t>
        </is>
      </c>
      <c r="B177" s="23" t="n">
        <v>1920</v>
      </c>
      <c r="C177" s="23" t="n">
        <v>114</v>
      </c>
      <c r="D177" s="23" t="n">
        <v>108</v>
      </c>
      <c r="E177" s="24" t="n">
        <v>186</v>
      </c>
    </row>
    <row r="178">
      <c r="A178" s="21" t="n"/>
      <c r="E178" s="18" t="n"/>
    </row>
    <row r="179">
      <c r="A179" s="6" t="inlineStr">
        <is>
          <t>Gaiastapo</t>
        </is>
      </c>
      <c r="B179" s="4" t="n"/>
      <c r="C179" s="4" t="n"/>
      <c r="D179" s="4" t="n"/>
      <c r="E179" s="5" t="n"/>
    </row>
    <row r="180">
      <c r="A180" s="13" t="inlineStr">
        <is>
          <t>Growth Factor</t>
        </is>
      </c>
      <c r="B180" s="14">
        <f>(B189-B187)/4</f>
        <v/>
      </c>
      <c r="C180" s="14">
        <f>(C189-C187)/4</f>
        <v/>
      </c>
      <c r="D180" s="14">
        <f>(D189-D187)/4</f>
        <v/>
      </c>
      <c r="E180" s="15">
        <f>(E189-E187)/4</f>
        <v/>
      </c>
    </row>
    <row r="181">
      <c r="A181" s="21" t="inlineStr">
        <is>
          <t>T1</t>
        </is>
      </c>
      <c r="B181" s="1" t="n">
        <v>290</v>
      </c>
      <c r="C181" s="1" t="n">
        <v>18</v>
      </c>
      <c r="D181" s="1" t="n">
        <v>20</v>
      </c>
      <c r="E181" s="18" t="n">
        <v>33</v>
      </c>
    </row>
    <row r="182">
      <c r="A182" s="21" t="inlineStr">
        <is>
          <t>T2</t>
        </is>
      </c>
      <c r="B182" s="1" t="n">
        <v>435</v>
      </c>
      <c r="C182" s="1" t="n">
        <v>27</v>
      </c>
      <c r="D182" s="1" t="n">
        <v>30</v>
      </c>
      <c r="E182" s="18" t="n">
        <v>50</v>
      </c>
    </row>
    <row r="183">
      <c r="A183" s="21" t="inlineStr">
        <is>
          <t>T3</t>
        </is>
      </c>
      <c r="B183" s="1" t="n">
        <v>580</v>
      </c>
      <c r="C183" s="1" t="n">
        <v>36</v>
      </c>
      <c r="D183" s="1" t="n">
        <v>40</v>
      </c>
      <c r="E183" s="18" t="n">
        <v>66</v>
      </c>
    </row>
    <row r="184">
      <c r="A184" s="21" t="inlineStr">
        <is>
          <t>T4</t>
        </is>
      </c>
      <c r="B184" s="1" t="n">
        <v>725</v>
      </c>
      <c r="C184" s="1" t="n">
        <v>45</v>
      </c>
      <c r="D184" s="1" t="n">
        <v>50</v>
      </c>
      <c r="E184" s="18" t="n">
        <v>83</v>
      </c>
    </row>
    <row r="185">
      <c r="A185" s="21" t="inlineStr">
        <is>
          <t>T5</t>
        </is>
      </c>
      <c r="B185" s="1" t="n">
        <v>870</v>
      </c>
      <c r="C185" s="1" t="n">
        <v>54</v>
      </c>
      <c r="D185" s="1" t="n">
        <v>60</v>
      </c>
      <c r="E185" s="18" t="n">
        <v>99</v>
      </c>
    </row>
    <row r="186">
      <c r="A186" s="21" t="inlineStr">
        <is>
          <t>T6</t>
        </is>
      </c>
      <c r="B186" s="1" t="n">
        <v>1015</v>
      </c>
      <c r="C186" s="1" t="n">
        <v>63</v>
      </c>
      <c r="D186" s="1" t="n">
        <v>70</v>
      </c>
      <c r="E186" s="18" t="n">
        <v>116</v>
      </c>
    </row>
    <row r="187">
      <c r="A187" s="21" t="inlineStr">
        <is>
          <t>T7</t>
        </is>
      </c>
      <c r="B187" s="1" t="n">
        <v>1160</v>
      </c>
      <c r="C187" s="1" t="n">
        <v>72</v>
      </c>
      <c r="D187" s="1" t="n">
        <v>80</v>
      </c>
      <c r="E187" s="18" t="n">
        <v>132</v>
      </c>
    </row>
    <row r="188">
      <c r="A188" s="21" t="inlineStr">
        <is>
          <t>T8</t>
        </is>
      </c>
      <c r="B188" s="1" t="n">
        <v>1305</v>
      </c>
      <c r="C188" s="1" t="n">
        <v>81</v>
      </c>
      <c r="D188" s="1" t="n">
        <v>90</v>
      </c>
      <c r="E188" s="18" t="n">
        <v>149</v>
      </c>
    </row>
    <row r="189">
      <c r="A189" s="22" t="inlineStr">
        <is>
          <t>T9</t>
        </is>
      </c>
      <c r="B189" s="23" t="n">
        <v>1740</v>
      </c>
      <c r="C189" s="23" t="n">
        <v>108</v>
      </c>
      <c r="D189" s="23" t="n">
        <v>120</v>
      </c>
      <c r="E189" s="24" t="n">
        <v>198</v>
      </c>
    </row>
    <row r="190"/>
    <row r="191"/>
    <row r="192"/>
    <row r="193"/>
    <row r="194">
      <c r="A194" s="3" t="inlineStr">
        <is>
          <t>MUTANT</t>
        </is>
      </c>
      <c r="B194" s="4" t="n"/>
      <c r="C194" s="4" t="n"/>
      <c r="D194" s="4" t="n"/>
      <c r="E194" s="5" t="n"/>
    </row>
    <row r="195">
      <c r="A195" s="91" t="inlineStr">
        <is>
          <t>Chika</t>
        </is>
      </c>
      <c r="B195" s="4" t="n"/>
      <c r="C195" s="4" t="n"/>
      <c r="D195" s="4" t="n"/>
      <c r="E195" s="5" t="n"/>
    </row>
    <row r="196">
      <c r="A196" s="13" t="inlineStr">
        <is>
          <t>Growth Factor</t>
        </is>
      </c>
      <c r="B196" s="14">
        <f>(B205-B203)/4</f>
        <v/>
      </c>
      <c r="C196" s="14">
        <f>(C205-C203)/4</f>
        <v/>
      </c>
      <c r="D196" s="14">
        <f>(D205-D203)/4</f>
        <v/>
      </c>
      <c r="E196" s="15">
        <f>(E205-E203)/4</f>
        <v/>
      </c>
    </row>
    <row r="197">
      <c r="A197" s="21" t="inlineStr">
        <is>
          <t>T1</t>
        </is>
      </c>
      <c r="B197" s="1">
        <f>B198-B$196</f>
        <v/>
      </c>
      <c r="C197" s="1">
        <f>C198-C$196</f>
        <v/>
      </c>
      <c r="D197" s="1">
        <f>D198-D$196</f>
        <v/>
      </c>
      <c r="E197" s="18">
        <f>E198-E$196</f>
        <v/>
      </c>
    </row>
    <row r="198">
      <c r="A198" s="21" t="inlineStr">
        <is>
          <t>T2</t>
        </is>
      </c>
      <c r="B198" s="1">
        <f>B199-B$196</f>
        <v/>
      </c>
      <c r="C198" s="1">
        <f>C199-C$196</f>
        <v/>
      </c>
      <c r="D198" s="1">
        <f>D199-D$196</f>
        <v/>
      </c>
      <c r="E198" s="18">
        <f>E199-E$196</f>
        <v/>
      </c>
    </row>
    <row r="199">
      <c r="A199" s="21" t="inlineStr">
        <is>
          <t>T3</t>
        </is>
      </c>
      <c r="B199" s="1">
        <f>B200-B$196</f>
        <v/>
      </c>
      <c r="C199" s="1">
        <f>C200-C$196</f>
        <v/>
      </c>
      <c r="D199" s="1">
        <f>D200-D$196</f>
        <v/>
      </c>
      <c r="E199" s="18">
        <f>E200-E$196</f>
        <v/>
      </c>
    </row>
    <row r="200">
      <c r="A200" s="21" t="inlineStr">
        <is>
          <t>T4</t>
        </is>
      </c>
      <c r="B200" s="1">
        <f>B201-B$196</f>
        <v/>
      </c>
      <c r="C200" s="1">
        <f>C201-C$196</f>
        <v/>
      </c>
      <c r="D200" s="1">
        <f>D201-D$196</f>
        <v/>
      </c>
      <c r="E200" s="18">
        <f>E201-E$196</f>
        <v/>
      </c>
    </row>
    <row r="201">
      <c r="A201" s="21" t="inlineStr">
        <is>
          <t>T5</t>
        </is>
      </c>
      <c r="B201" s="1">
        <f>B202-B$196</f>
        <v/>
      </c>
      <c r="C201" s="1">
        <f>C202-C$196</f>
        <v/>
      </c>
      <c r="D201" s="1">
        <f>D202-D$196</f>
        <v/>
      </c>
      <c r="E201" s="18">
        <f>E202-E$196</f>
        <v/>
      </c>
    </row>
    <row r="202">
      <c r="A202" s="21" t="inlineStr">
        <is>
          <t>T6</t>
        </is>
      </c>
      <c r="B202" s="1">
        <f>B203-B$196</f>
        <v/>
      </c>
      <c r="C202" s="1">
        <f>C203-C$196</f>
        <v/>
      </c>
      <c r="D202" s="1">
        <f>D203-D$196</f>
        <v/>
      </c>
      <c r="E202" s="18">
        <f>E203-E$196</f>
        <v/>
      </c>
    </row>
    <row r="203">
      <c r="A203" s="21" t="inlineStr">
        <is>
          <t>T7</t>
        </is>
      </c>
      <c r="B203" s="1" t="n">
        <v>880</v>
      </c>
      <c r="C203" s="1" t="n">
        <v>120</v>
      </c>
      <c r="D203" s="1" t="n">
        <v>72</v>
      </c>
      <c r="E203" s="18" t="n">
        <v>120</v>
      </c>
    </row>
    <row r="204">
      <c r="A204" s="21" t="inlineStr">
        <is>
          <t>T8</t>
        </is>
      </c>
      <c r="B204" s="1" t="n">
        <v>990</v>
      </c>
      <c r="C204" s="1" t="n">
        <v>135</v>
      </c>
      <c r="D204" s="1" t="n">
        <v>81</v>
      </c>
      <c r="E204" s="18" t="n">
        <v>135</v>
      </c>
    </row>
    <row r="205">
      <c r="A205" s="22" t="inlineStr">
        <is>
          <t>T9</t>
        </is>
      </c>
      <c r="B205" s="23" t="n">
        <v>1320</v>
      </c>
      <c r="C205" s="23" t="n">
        <v>180</v>
      </c>
      <c r="D205" s="23" t="n">
        <v>108</v>
      </c>
      <c r="E205" s="24" t="n">
        <v>180</v>
      </c>
    </row>
    <row r="206">
      <c r="A206" s="21" t="n"/>
      <c r="E206" s="18" t="n"/>
    </row>
    <row r="207">
      <c r="A207" s="91" t="inlineStr">
        <is>
          <t>Minorino</t>
        </is>
      </c>
      <c r="B207" s="4" t="n"/>
      <c r="C207" s="4" t="n"/>
      <c r="D207" s="4" t="n"/>
      <c r="E207" s="5" t="n"/>
    </row>
    <row r="208">
      <c r="A208" s="13" t="inlineStr">
        <is>
          <t>Growth Factor</t>
        </is>
      </c>
      <c r="B208" s="14">
        <f>(B217-B215)/4</f>
        <v/>
      </c>
      <c r="C208" s="14">
        <f>(C217-C215)/4</f>
        <v/>
      </c>
      <c r="D208" s="14">
        <f>(D217-D215)/4</f>
        <v/>
      </c>
      <c r="E208" s="15">
        <f>(E217-E215)/4</f>
        <v/>
      </c>
    </row>
    <row r="209">
      <c r="A209" s="21" t="inlineStr">
        <is>
          <t>T1</t>
        </is>
      </c>
      <c r="B209" s="1">
        <f>B210-B$208</f>
        <v/>
      </c>
      <c r="C209" s="1">
        <f>C210-C$208</f>
        <v/>
      </c>
      <c r="D209" s="1">
        <f>D210-D$208</f>
        <v/>
      </c>
      <c r="E209" s="18">
        <f>E210-E$208</f>
        <v/>
      </c>
    </row>
    <row r="210">
      <c r="A210" s="21" t="inlineStr">
        <is>
          <t>T2</t>
        </is>
      </c>
      <c r="B210" s="1">
        <f>B211-B$208</f>
        <v/>
      </c>
      <c r="C210" s="1">
        <f>C211-C$208</f>
        <v/>
      </c>
      <c r="D210" s="1">
        <f>D211-D$208</f>
        <v/>
      </c>
      <c r="E210" s="18">
        <f>E211-E$208</f>
        <v/>
      </c>
    </row>
    <row r="211">
      <c r="A211" s="21" t="inlineStr">
        <is>
          <t>T3</t>
        </is>
      </c>
      <c r="B211" s="1">
        <f>B212-B$208</f>
        <v/>
      </c>
      <c r="C211" s="1">
        <f>C212-C$208</f>
        <v/>
      </c>
      <c r="D211" s="1">
        <f>D212-D$208</f>
        <v/>
      </c>
      <c r="E211" s="18">
        <f>E212-E$208</f>
        <v/>
      </c>
    </row>
    <row r="212">
      <c r="A212" s="21" t="inlineStr">
        <is>
          <t>T4</t>
        </is>
      </c>
      <c r="B212" s="1">
        <f>B213-B$208</f>
        <v/>
      </c>
      <c r="C212" s="1">
        <f>C213-C$208</f>
        <v/>
      </c>
      <c r="D212" s="1">
        <f>D213-D$208</f>
        <v/>
      </c>
      <c r="E212" s="18">
        <f>E213-E$208</f>
        <v/>
      </c>
    </row>
    <row r="213">
      <c r="A213" s="21" t="inlineStr">
        <is>
          <t>T5</t>
        </is>
      </c>
      <c r="B213" s="1">
        <f>B214-B$208</f>
        <v/>
      </c>
      <c r="C213" s="1">
        <f>C214-C$208</f>
        <v/>
      </c>
      <c r="D213" s="1">
        <f>D214-D$208</f>
        <v/>
      </c>
      <c r="E213" s="18">
        <f>E214-E$208</f>
        <v/>
      </c>
    </row>
    <row r="214">
      <c r="A214" s="21" t="inlineStr">
        <is>
          <t>T6</t>
        </is>
      </c>
      <c r="B214" s="1">
        <f>B215-B$208</f>
        <v/>
      </c>
      <c r="C214" s="1">
        <f>C215-C$208</f>
        <v/>
      </c>
      <c r="D214" s="1">
        <f>D215-D$208</f>
        <v/>
      </c>
      <c r="E214" s="18">
        <f>E215-E$208</f>
        <v/>
      </c>
    </row>
    <row r="215">
      <c r="A215" s="21" t="inlineStr">
        <is>
          <t>T7</t>
        </is>
      </c>
      <c r="B215" s="1" t="n">
        <v>960</v>
      </c>
      <c r="C215" s="1" t="n">
        <v>116</v>
      </c>
      <c r="D215" s="1" t="n">
        <v>72</v>
      </c>
      <c r="E215" s="18" t="n">
        <v>116</v>
      </c>
    </row>
    <row r="216">
      <c r="A216" s="21" t="inlineStr">
        <is>
          <t>T8</t>
        </is>
      </c>
      <c r="B216" s="1" t="n">
        <v>1080</v>
      </c>
      <c r="C216" s="1" t="n">
        <v>131</v>
      </c>
      <c r="D216" s="1" t="n">
        <v>81</v>
      </c>
      <c r="E216" s="18" t="n">
        <v>131</v>
      </c>
    </row>
    <row r="217">
      <c r="A217" s="22" t="inlineStr">
        <is>
          <t>T9</t>
        </is>
      </c>
      <c r="B217" s="23" t="n">
        <v>1440</v>
      </c>
      <c r="C217" s="23" t="n">
        <v>174</v>
      </c>
      <c r="D217" s="23" t="n">
        <v>108</v>
      </c>
      <c r="E217" s="24" t="n">
        <v>174</v>
      </c>
    </row>
    <row r="218">
      <c r="A218" s="21" t="n"/>
      <c r="E218" s="18" t="n"/>
    </row>
    <row r="219">
      <c r="A219" s="91" t="inlineStr">
        <is>
          <t>Demonic Tentacle</t>
        </is>
      </c>
      <c r="B219" s="4" t="n"/>
      <c r="C219" s="4" t="n"/>
      <c r="D219" s="4" t="n"/>
      <c r="E219" s="5" t="n"/>
    </row>
    <row r="220">
      <c r="A220" s="13" t="inlineStr">
        <is>
          <t>Growth Factor</t>
        </is>
      </c>
      <c r="B220" s="14">
        <f>(B229-B227)/4</f>
        <v/>
      </c>
      <c r="C220" s="14">
        <f>(C229-C227)/4</f>
        <v/>
      </c>
      <c r="D220" s="14">
        <f>(D229-D227)/4</f>
        <v/>
      </c>
      <c r="E220" s="15">
        <f>(E229-E227)/4</f>
        <v/>
      </c>
    </row>
    <row r="221">
      <c r="A221" s="21" t="inlineStr">
        <is>
          <t>T1</t>
        </is>
      </c>
      <c r="B221" s="1">
        <f>B222-B$220</f>
        <v/>
      </c>
      <c r="C221" s="1">
        <f>C222-C$220</f>
        <v/>
      </c>
      <c r="D221" s="1">
        <f>D222-D$220</f>
        <v/>
      </c>
      <c r="E221" s="18">
        <f>E222-E$220</f>
        <v/>
      </c>
    </row>
    <row r="222">
      <c r="A222" s="21" t="inlineStr">
        <is>
          <t>T2</t>
        </is>
      </c>
      <c r="B222" s="1">
        <f>B223-B$220</f>
        <v/>
      </c>
      <c r="C222" s="1">
        <f>C223-C$220</f>
        <v/>
      </c>
      <c r="D222" s="1">
        <f>D223-D$220</f>
        <v/>
      </c>
      <c r="E222" s="18">
        <f>E223-E$220</f>
        <v/>
      </c>
    </row>
    <row r="223">
      <c r="A223" s="21" t="inlineStr">
        <is>
          <t>T3</t>
        </is>
      </c>
      <c r="B223" s="1">
        <f>B224-B$220</f>
        <v/>
      </c>
      <c r="C223" s="1">
        <f>C224-C$220</f>
        <v/>
      </c>
      <c r="D223" s="1">
        <f>D224-D$220</f>
        <v/>
      </c>
      <c r="E223" s="18">
        <f>E224-E$220</f>
        <v/>
      </c>
    </row>
    <row r="224">
      <c r="A224" s="21" t="inlineStr">
        <is>
          <t>T4</t>
        </is>
      </c>
      <c r="B224" s="1">
        <f>B225-B$220</f>
        <v/>
      </c>
      <c r="C224" s="1">
        <f>C225-C$220</f>
        <v/>
      </c>
      <c r="D224" s="1">
        <f>D225-D$220</f>
        <v/>
      </c>
      <c r="E224" s="18">
        <f>E225-E$220</f>
        <v/>
      </c>
    </row>
    <row r="225">
      <c r="A225" s="21" t="inlineStr">
        <is>
          <t>T5</t>
        </is>
      </c>
      <c r="B225" s="1">
        <f>B226-B$220</f>
        <v/>
      </c>
      <c r="C225" s="1">
        <f>C226-C$220</f>
        <v/>
      </c>
      <c r="D225" s="1">
        <f>D226-D$220</f>
        <v/>
      </c>
      <c r="E225" s="18">
        <f>E226-E$220</f>
        <v/>
      </c>
    </row>
    <row r="226">
      <c r="A226" s="21" t="inlineStr">
        <is>
          <t>T6</t>
        </is>
      </c>
      <c r="B226" s="1">
        <f>B227-B$220</f>
        <v/>
      </c>
      <c r="C226" s="1">
        <f>C227-C$220</f>
        <v/>
      </c>
      <c r="D226" s="1">
        <f>D227-D$220</f>
        <v/>
      </c>
      <c r="E226" s="18">
        <f>E227-E$220</f>
        <v/>
      </c>
    </row>
    <row r="227">
      <c r="A227" s="21" t="inlineStr">
        <is>
          <t>T7</t>
        </is>
      </c>
      <c r="B227" s="1" t="n">
        <v>880</v>
      </c>
      <c r="C227" s="1" t="n">
        <v>116</v>
      </c>
      <c r="D227" s="1" t="n">
        <v>72</v>
      </c>
      <c r="E227" s="18" t="n">
        <v>124</v>
      </c>
    </row>
    <row r="228">
      <c r="A228" s="21" t="inlineStr">
        <is>
          <t>T8</t>
        </is>
      </c>
      <c r="B228" s="1" t="n">
        <v>990</v>
      </c>
      <c r="C228" s="1" t="n">
        <v>131</v>
      </c>
      <c r="D228" s="1" t="n">
        <v>81</v>
      </c>
      <c r="E228" s="18" t="n">
        <v>140</v>
      </c>
    </row>
    <row r="229">
      <c r="A229" s="22" t="inlineStr">
        <is>
          <t>T9</t>
        </is>
      </c>
      <c r="B229" s="23" t="n">
        <v>1320</v>
      </c>
      <c r="C229" s="23" t="n">
        <v>174</v>
      </c>
      <c r="D229" s="23" t="n">
        <v>108</v>
      </c>
      <c r="E229" s="24" t="n">
        <v>186</v>
      </c>
    </row>
    <row r="230">
      <c r="A230" s="21" t="n"/>
      <c r="E230" s="18" t="n"/>
    </row>
    <row r="231">
      <c r="A231" s="91" t="inlineStr">
        <is>
          <t>Little Monk</t>
        </is>
      </c>
      <c r="B231" s="4" t="n"/>
      <c r="C231" s="4" t="n"/>
      <c r="D231" s="4" t="n"/>
      <c r="E231" s="5" t="n"/>
    </row>
    <row r="232">
      <c r="A232" s="13" t="inlineStr">
        <is>
          <t>Growth Factor</t>
        </is>
      </c>
      <c r="B232" s="14">
        <f>(B241-B239)/4</f>
        <v/>
      </c>
      <c r="C232" s="14">
        <f>(C241-C239)/4</f>
        <v/>
      </c>
      <c r="D232" s="14">
        <f>(D241-D239)/4</f>
        <v/>
      </c>
      <c r="E232" s="15">
        <f>(E241-E239)/4</f>
        <v/>
      </c>
    </row>
    <row r="233">
      <c r="A233" s="21" t="inlineStr">
        <is>
          <t>T1</t>
        </is>
      </c>
      <c r="B233" s="1">
        <f>B234-B$232</f>
        <v/>
      </c>
      <c r="C233" s="1">
        <f>C234-C$232</f>
        <v/>
      </c>
      <c r="D233" s="1">
        <f>D234-D$232</f>
        <v/>
      </c>
      <c r="E233" s="18">
        <f>E234-E$232</f>
        <v/>
      </c>
    </row>
    <row r="234">
      <c r="A234" s="21" t="inlineStr">
        <is>
          <t>T2</t>
        </is>
      </c>
      <c r="B234" s="1">
        <f>B235-B$232</f>
        <v/>
      </c>
      <c r="C234" s="1">
        <f>C235-C$232</f>
        <v/>
      </c>
      <c r="D234" s="1">
        <f>D235-D$232</f>
        <v/>
      </c>
      <c r="E234" s="18">
        <f>E235-E$232</f>
        <v/>
      </c>
    </row>
    <row r="235">
      <c r="A235" s="21" t="inlineStr">
        <is>
          <t>T3</t>
        </is>
      </c>
      <c r="B235" s="1">
        <f>B236-B$232</f>
        <v/>
      </c>
      <c r="C235" s="1">
        <f>C236-C$232</f>
        <v/>
      </c>
      <c r="D235" s="1">
        <f>D236-D$232</f>
        <v/>
      </c>
      <c r="E235" s="18">
        <f>E236-E$232</f>
        <v/>
      </c>
    </row>
    <row r="236">
      <c r="A236" s="21" t="inlineStr">
        <is>
          <t>T4</t>
        </is>
      </c>
      <c r="B236" s="1">
        <f>B237-B$232</f>
        <v/>
      </c>
      <c r="C236" s="1">
        <f>C237-C$232</f>
        <v/>
      </c>
      <c r="D236" s="1">
        <f>D237-D$232</f>
        <v/>
      </c>
      <c r="E236" s="18">
        <f>E237-E$232</f>
        <v/>
      </c>
    </row>
    <row r="237">
      <c r="A237" s="21" t="inlineStr">
        <is>
          <t>T5</t>
        </is>
      </c>
      <c r="B237" s="1">
        <f>B238-B$232</f>
        <v/>
      </c>
      <c r="C237" s="1">
        <f>C238-C$232</f>
        <v/>
      </c>
      <c r="D237" s="1">
        <f>D238-D$232</f>
        <v/>
      </c>
      <c r="E237" s="18">
        <f>E238-E$232</f>
        <v/>
      </c>
    </row>
    <row r="238">
      <c r="A238" s="21" t="inlineStr">
        <is>
          <t>T6</t>
        </is>
      </c>
      <c r="B238" s="1">
        <f>B239-B$232</f>
        <v/>
      </c>
      <c r="C238" s="1">
        <f>C239-C$232</f>
        <v/>
      </c>
      <c r="D238" s="1">
        <f>D239-D$232</f>
        <v/>
      </c>
      <c r="E238" s="18">
        <f>E239-E$232</f>
        <v/>
      </c>
    </row>
    <row r="239">
      <c r="A239" s="21" t="inlineStr">
        <is>
          <t>T7</t>
        </is>
      </c>
      <c r="B239" s="1" t="n">
        <v>840</v>
      </c>
      <c r="C239" s="1" t="n">
        <v>120</v>
      </c>
      <c r="D239" s="1" t="n">
        <v>76</v>
      </c>
      <c r="E239" s="18" t="n">
        <v>120</v>
      </c>
    </row>
    <row r="240">
      <c r="A240" s="21" t="inlineStr">
        <is>
          <t>T8</t>
        </is>
      </c>
      <c r="B240" s="1" t="n">
        <v>945</v>
      </c>
      <c r="C240" s="1" t="n">
        <v>135</v>
      </c>
      <c r="D240" s="1" t="n">
        <v>86</v>
      </c>
      <c r="E240" s="18" t="n">
        <v>135</v>
      </c>
    </row>
    <row r="241">
      <c r="A241" s="22" t="inlineStr">
        <is>
          <t>T9</t>
        </is>
      </c>
      <c r="B241" s="23" t="n">
        <v>1260</v>
      </c>
      <c r="C241" s="23" t="n">
        <v>180</v>
      </c>
      <c r="D241" s="23" t="n">
        <v>114</v>
      </c>
      <c r="E241" s="24" t="n">
        <v>180</v>
      </c>
    </row>
    <row r="242">
      <c r="A242" s="21" t="n"/>
      <c r="E242" s="18" t="n"/>
    </row>
    <row r="243">
      <c r="A243" s="91" t="inlineStr">
        <is>
          <t>Roachikun</t>
        </is>
      </c>
      <c r="B243" s="4" t="n"/>
      <c r="C243" s="4" t="n"/>
      <c r="D243" s="4" t="n"/>
      <c r="E243" s="5" t="n"/>
    </row>
    <row r="244">
      <c r="A244" s="13" t="inlineStr">
        <is>
          <t>Growth Factor</t>
        </is>
      </c>
      <c r="B244" s="14">
        <f>(B253-B251)/4</f>
        <v/>
      </c>
      <c r="C244" s="14">
        <f>(C253-C251)/4</f>
        <v/>
      </c>
      <c r="D244" s="14">
        <f>(D253-D251)/4</f>
        <v/>
      </c>
      <c r="E244" s="15">
        <f>(E253-E251)/4</f>
        <v/>
      </c>
    </row>
    <row r="245">
      <c r="A245" s="21" t="inlineStr">
        <is>
          <t>T1</t>
        </is>
      </c>
      <c r="B245" s="1" t="n">
        <v>190</v>
      </c>
      <c r="C245" s="1" t="n">
        <v>30</v>
      </c>
      <c r="D245" s="1" t="n">
        <v>18</v>
      </c>
      <c r="E245" s="18" t="n">
        <v>33</v>
      </c>
    </row>
    <row r="246">
      <c r="A246" s="21" t="inlineStr">
        <is>
          <t>T2</t>
        </is>
      </c>
      <c r="B246" s="1" t="n">
        <v>285</v>
      </c>
      <c r="C246" s="1" t="n">
        <v>45</v>
      </c>
      <c r="D246" s="1" t="n">
        <v>27</v>
      </c>
      <c r="E246" s="18" t="n">
        <v>50</v>
      </c>
    </row>
    <row r="247">
      <c r="A247" s="21" t="inlineStr">
        <is>
          <t>T3</t>
        </is>
      </c>
      <c r="B247" s="1" t="n">
        <v>380</v>
      </c>
      <c r="C247" s="1" t="n">
        <v>60</v>
      </c>
      <c r="D247" s="1" t="n">
        <v>36</v>
      </c>
      <c r="E247" s="18" t="n">
        <v>66</v>
      </c>
    </row>
    <row r="248">
      <c r="A248" s="21" t="inlineStr">
        <is>
          <t>T4</t>
        </is>
      </c>
      <c r="B248" s="1" t="n">
        <v>475</v>
      </c>
      <c r="C248" s="1" t="n">
        <v>75</v>
      </c>
      <c r="D248" s="1" t="n">
        <v>45</v>
      </c>
      <c r="E248" s="18" t="n">
        <v>83</v>
      </c>
    </row>
    <row r="249">
      <c r="A249" s="21" t="inlineStr">
        <is>
          <t>T5</t>
        </is>
      </c>
      <c r="B249" s="1" t="n">
        <v>570</v>
      </c>
      <c r="C249" s="1" t="n">
        <v>90</v>
      </c>
      <c r="D249" s="1" t="n">
        <v>54</v>
      </c>
      <c r="E249" s="18" t="n">
        <v>99</v>
      </c>
    </row>
    <row r="250">
      <c r="A250" s="21" t="inlineStr">
        <is>
          <t>T6</t>
        </is>
      </c>
      <c r="B250" s="1" t="n">
        <v>665</v>
      </c>
      <c r="C250" s="1" t="n">
        <v>105</v>
      </c>
      <c r="D250" s="1" t="n">
        <v>63</v>
      </c>
      <c r="E250" s="18" t="n">
        <v>116</v>
      </c>
    </row>
    <row r="251">
      <c r="A251" s="21" t="inlineStr">
        <is>
          <t>T7</t>
        </is>
      </c>
      <c r="B251" s="1" t="n">
        <v>760</v>
      </c>
      <c r="C251" s="1" t="n">
        <v>120</v>
      </c>
      <c r="D251" s="1" t="n">
        <v>72</v>
      </c>
      <c r="E251" s="18" t="n">
        <v>132</v>
      </c>
    </row>
    <row r="252">
      <c r="A252" s="21" t="inlineStr">
        <is>
          <t>T8</t>
        </is>
      </c>
      <c r="B252" s="1" t="n">
        <v>855</v>
      </c>
      <c r="C252" s="1" t="n">
        <v>135</v>
      </c>
      <c r="D252" s="1" t="n">
        <v>81</v>
      </c>
      <c r="E252" s="18" t="n">
        <v>149</v>
      </c>
    </row>
    <row r="253">
      <c r="A253" s="22" t="inlineStr">
        <is>
          <t>T9</t>
        </is>
      </c>
      <c r="B253" s="23" t="n">
        <v>1140</v>
      </c>
      <c r="C253" s="23" t="n">
        <v>180</v>
      </c>
      <c r="D253" s="23" t="n">
        <v>108</v>
      </c>
      <c r="E253" s="24" t="n">
        <v>198</v>
      </c>
    </row>
    <row r="254"/>
    <row r="255"/>
    <row r="256"/>
    <row r="257"/>
    <row r="258">
      <c r="A258" s="3" t="inlineStr">
        <is>
          <t>MECHA</t>
        </is>
      </c>
      <c r="B258" s="4" t="n"/>
      <c r="C258" s="4" t="n"/>
      <c r="D258" s="4" t="n"/>
      <c r="E258" s="5" t="n"/>
    </row>
    <row r="259">
      <c r="A259" s="91" t="inlineStr">
        <is>
          <t>Mechanic</t>
        </is>
      </c>
      <c r="B259" s="4" t="n"/>
      <c r="C259" s="4" t="n"/>
      <c r="D259" s="4" t="n"/>
      <c r="E259" s="5" t="n"/>
    </row>
    <row r="260">
      <c r="A260" s="13" t="inlineStr">
        <is>
          <t>Growth Factor</t>
        </is>
      </c>
      <c r="B260" s="14">
        <f>B261/2</f>
        <v/>
      </c>
      <c r="C260" s="14">
        <f>C261/2</f>
        <v/>
      </c>
      <c r="D260" s="14">
        <f>D261/2</f>
        <v/>
      </c>
      <c r="E260" s="14">
        <f>E261/2</f>
        <v/>
      </c>
    </row>
    <row r="261">
      <c r="A261" s="21" t="inlineStr">
        <is>
          <t>T1</t>
        </is>
      </c>
      <c r="B261" s="1" t="n">
        <v>240</v>
      </c>
      <c r="C261" s="1" t="n">
        <v>23</v>
      </c>
      <c r="D261" s="1" t="n">
        <v>21</v>
      </c>
      <c r="E261" s="18" t="n">
        <v>32</v>
      </c>
    </row>
    <row r="262">
      <c r="A262" s="21" t="inlineStr">
        <is>
          <t>T2</t>
        </is>
      </c>
      <c r="B262" s="1">
        <f>B261+B$260</f>
        <v/>
      </c>
      <c r="C262" s="1">
        <f>C261+C$260</f>
        <v/>
      </c>
      <c r="D262" s="1">
        <f>D261+D$260</f>
        <v/>
      </c>
      <c r="E262" s="18">
        <f>E261+E$260</f>
        <v/>
      </c>
    </row>
    <row r="263">
      <c r="A263" s="21" t="inlineStr">
        <is>
          <t>T3</t>
        </is>
      </c>
      <c r="B263" s="1">
        <f>B262+B$260</f>
        <v/>
      </c>
      <c r="C263" s="1">
        <f>C262+C$260</f>
        <v/>
      </c>
      <c r="D263" s="1">
        <f>D262+D$260</f>
        <v/>
      </c>
      <c r="E263" s="18">
        <f>E262+E$260</f>
        <v/>
      </c>
    </row>
    <row r="264">
      <c r="A264" s="21" t="inlineStr">
        <is>
          <t>T4</t>
        </is>
      </c>
      <c r="B264" s="1">
        <f>B263+B$260</f>
        <v/>
      </c>
      <c r="C264" s="1">
        <f>C263+C$260</f>
        <v/>
      </c>
      <c r="D264" s="1">
        <f>D263+D$260</f>
        <v/>
      </c>
      <c r="E264" s="18">
        <f>E263+E$260</f>
        <v/>
      </c>
    </row>
    <row r="265">
      <c r="A265" s="21" t="inlineStr">
        <is>
          <t>T5</t>
        </is>
      </c>
      <c r="B265" s="1">
        <f>B264+B$260</f>
        <v/>
      </c>
      <c r="C265" s="1">
        <f>C264+C$260</f>
        <v/>
      </c>
      <c r="D265" s="1">
        <f>D264+D$260</f>
        <v/>
      </c>
      <c r="E265" s="18">
        <f>E264+E$260</f>
        <v/>
      </c>
    </row>
    <row r="266">
      <c r="A266" s="21" t="inlineStr">
        <is>
          <t>T6</t>
        </is>
      </c>
      <c r="B266" s="1">
        <f>B265+B$260</f>
        <v/>
      </c>
      <c r="C266" s="1">
        <f>C265+C$260</f>
        <v/>
      </c>
      <c r="D266" s="1">
        <f>D265+D$260</f>
        <v/>
      </c>
      <c r="E266" s="18">
        <f>E265+E$260</f>
        <v/>
      </c>
    </row>
    <row r="267">
      <c r="A267" s="21" t="inlineStr">
        <is>
          <t>T7</t>
        </is>
      </c>
      <c r="B267" s="1">
        <f>B266+B$260</f>
        <v/>
      </c>
      <c r="C267" s="1">
        <f>C266+C$260</f>
        <v/>
      </c>
      <c r="D267" s="1">
        <f>D266+D$260</f>
        <v/>
      </c>
      <c r="E267" s="18">
        <f>E266+E$260</f>
        <v/>
      </c>
    </row>
    <row r="268">
      <c r="A268" s="21" t="inlineStr">
        <is>
          <t>T8</t>
        </is>
      </c>
      <c r="B268" s="1" t="n">
        <v>1080</v>
      </c>
      <c r="C268" s="1" t="n">
        <v>104</v>
      </c>
      <c r="D268" s="1" t="n">
        <v>95</v>
      </c>
      <c r="E268" s="18" t="n">
        <v>144</v>
      </c>
    </row>
    <row r="269">
      <c r="A269" s="22" t="inlineStr">
        <is>
          <t>T9</t>
        </is>
      </c>
      <c r="B269" s="23">
        <f>B268+3*B260</f>
        <v/>
      </c>
      <c r="C269" s="23">
        <f>C268+3*C260</f>
        <v/>
      </c>
      <c r="D269" s="23">
        <f>D268+3*D260</f>
        <v/>
      </c>
      <c r="E269" s="24">
        <f>E268+3*E260</f>
        <v/>
      </c>
    </row>
    <row r="270">
      <c r="A270" s="21" t="n"/>
      <c r="E270" s="18" t="n"/>
    </row>
    <row r="271">
      <c r="A271" s="91" t="inlineStr">
        <is>
          <t>Wood Golem</t>
        </is>
      </c>
      <c r="B271" s="4" t="n"/>
      <c r="C271" s="4" t="n"/>
      <c r="D271" s="4" t="n"/>
      <c r="E271" s="5" t="n"/>
    </row>
    <row r="272">
      <c r="A272" s="13" t="inlineStr">
        <is>
          <t>Growth Factor</t>
        </is>
      </c>
      <c r="B272" s="14">
        <f>B273/2</f>
        <v/>
      </c>
      <c r="C272" s="14">
        <f>C273/2</f>
        <v/>
      </c>
      <c r="D272" s="14">
        <f>D273/2</f>
        <v/>
      </c>
      <c r="E272" s="15">
        <f>E273/2</f>
        <v/>
      </c>
    </row>
    <row r="273">
      <c r="A273" s="21" t="inlineStr">
        <is>
          <t>T1</t>
        </is>
      </c>
      <c r="B273" s="1" t="n">
        <v>250</v>
      </c>
      <c r="C273" s="1" t="n">
        <v>23</v>
      </c>
      <c r="D273" s="1" t="n">
        <v>21</v>
      </c>
      <c r="E273" s="18" t="n">
        <v>31</v>
      </c>
    </row>
    <row r="274">
      <c r="A274" s="21" t="inlineStr">
        <is>
          <t>T2</t>
        </is>
      </c>
      <c r="B274" s="92">
        <f>B273+B$272</f>
        <v/>
      </c>
      <c r="C274" s="92">
        <f>C273+C$272</f>
        <v/>
      </c>
      <c r="D274" s="92">
        <f>D273+D$272</f>
        <v/>
      </c>
      <c r="E274" s="93">
        <f>E273+E$272</f>
        <v/>
      </c>
    </row>
    <row r="275">
      <c r="A275" s="21" t="inlineStr">
        <is>
          <t>T3</t>
        </is>
      </c>
      <c r="B275" s="92">
        <f>B274+B$272</f>
        <v/>
      </c>
      <c r="C275" s="92">
        <f>C274+C$272</f>
        <v/>
      </c>
      <c r="D275" s="92">
        <f>D274+D$272</f>
        <v/>
      </c>
      <c r="E275" s="93">
        <f>E274+E$272</f>
        <v/>
      </c>
    </row>
    <row r="276">
      <c r="A276" s="21" t="inlineStr">
        <is>
          <t>T4</t>
        </is>
      </c>
      <c r="B276" s="92">
        <f>B275+B$272</f>
        <v/>
      </c>
      <c r="C276" s="92">
        <f>C275+C$272</f>
        <v/>
      </c>
      <c r="D276" s="92">
        <f>D275+D$272</f>
        <v/>
      </c>
      <c r="E276" s="93">
        <f>E275+E$272</f>
        <v/>
      </c>
    </row>
    <row r="277">
      <c r="A277" s="21" t="inlineStr">
        <is>
          <t>T5</t>
        </is>
      </c>
      <c r="B277" s="92">
        <f>B276+B$272</f>
        <v/>
      </c>
      <c r="C277" s="92">
        <f>C276+C$272</f>
        <v/>
      </c>
      <c r="D277" s="92">
        <f>D276+D$272</f>
        <v/>
      </c>
      <c r="E277" s="93">
        <f>E276+E$272</f>
        <v/>
      </c>
    </row>
    <row r="278">
      <c r="A278" s="21" t="inlineStr">
        <is>
          <t>T6</t>
        </is>
      </c>
      <c r="B278" s="92">
        <f>B277+B$272</f>
        <v/>
      </c>
      <c r="C278" s="92">
        <f>C277+C$272</f>
        <v/>
      </c>
      <c r="D278" s="92">
        <f>D277+D$272</f>
        <v/>
      </c>
      <c r="E278" s="93">
        <f>E277+E$272</f>
        <v/>
      </c>
    </row>
    <row r="279">
      <c r="A279" s="21" t="inlineStr">
        <is>
          <t>T7</t>
        </is>
      </c>
      <c r="B279" s="92">
        <f>B278+B$272</f>
        <v/>
      </c>
      <c r="C279" s="92">
        <f>C278+C$272</f>
        <v/>
      </c>
      <c r="D279" s="92">
        <f>D278+D$272</f>
        <v/>
      </c>
      <c r="E279" s="93">
        <f>E278+E$272</f>
        <v/>
      </c>
    </row>
    <row r="280">
      <c r="A280" s="21" t="inlineStr">
        <is>
          <t>T8</t>
        </is>
      </c>
      <c r="B280" s="1" t="n">
        <v>1125</v>
      </c>
      <c r="C280" s="1" t="n">
        <v>104</v>
      </c>
      <c r="D280" s="1" t="n">
        <v>95</v>
      </c>
      <c r="E280" s="18" t="n">
        <v>140</v>
      </c>
    </row>
    <row r="281">
      <c r="A281" s="22" t="inlineStr">
        <is>
          <t>T9</t>
        </is>
      </c>
      <c r="B281" s="23">
        <f>B280+3*B272</f>
        <v/>
      </c>
      <c r="C281" s="23">
        <f>C280+3*C272</f>
        <v/>
      </c>
      <c r="D281" s="23">
        <f>D280+3*D272</f>
        <v/>
      </c>
      <c r="E281" s="24">
        <f>E280+3*E272</f>
        <v/>
      </c>
    </row>
    <row r="282">
      <c r="A282" s="94" t="n"/>
      <c r="B282" s="1" t="n"/>
      <c r="C282" s="1" t="n"/>
      <c r="D282" s="1" t="n"/>
      <c r="E282" s="18" t="n"/>
    </row>
    <row r="283">
      <c r="A283" s="91" t="inlineStr">
        <is>
          <t>Keyboard Warrior</t>
        </is>
      </c>
      <c r="B283" s="4" t="n"/>
      <c r="C283" s="4" t="n"/>
      <c r="D283" s="4" t="n"/>
      <c r="E283" s="5" t="n"/>
    </row>
    <row r="284">
      <c r="A284" s="13" t="inlineStr">
        <is>
          <t>Growth Factor</t>
        </is>
      </c>
      <c r="B284" s="14">
        <f>B285/2</f>
        <v/>
      </c>
      <c r="C284" s="14">
        <f>C285/2</f>
        <v/>
      </c>
      <c r="D284" s="14">
        <f>D285/2</f>
        <v/>
      </c>
      <c r="E284" s="15">
        <f>E285/2</f>
        <v/>
      </c>
    </row>
    <row r="285">
      <c r="A285" s="21" t="inlineStr">
        <is>
          <t>T1</t>
        </is>
      </c>
      <c r="B285" s="1" t="n">
        <v>250</v>
      </c>
      <c r="C285" s="1" t="n">
        <v>22</v>
      </c>
      <c r="D285" s="1" t="n">
        <v>22</v>
      </c>
      <c r="E285" s="18" t="n">
        <v>31</v>
      </c>
    </row>
    <row r="286">
      <c r="A286" s="21" t="inlineStr">
        <is>
          <t>T2</t>
        </is>
      </c>
      <c r="B286" s="92">
        <f>B285+B$284</f>
        <v/>
      </c>
      <c r="C286" s="92">
        <f>C285+C$284</f>
        <v/>
      </c>
      <c r="D286" s="92">
        <f>D285+D$284</f>
        <v/>
      </c>
      <c r="E286" s="93">
        <f>E285+E$284</f>
        <v/>
      </c>
    </row>
    <row r="287">
      <c r="A287" s="21" t="inlineStr">
        <is>
          <t>T3</t>
        </is>
      </c>
      <c r="B287" s="92">
        <f>B286+B$284</f>
        <v/>
      </c>
      <c r="C287" s="92">
        <f>C286+C$284</f>
        <v/>
      </c>
      <c r="D287" s="92">
        <f>D286+D$284</f>
        <v/>
      </c>
      <c r="E287" s="93">
        <f>E286+E$284</f>
        <v/>
      </c>
    </row>
    <row r="288">
      <c r="A288" s="21" t="inlineStr">
        <is>
          <t>T4</t>
        </is>
      </c>
      <c r="B288" s="92">
        <f>B287+B$284</f>
        <v/>
      </c>
      <c r="C288" s="92">
        <f>C287+C$284</f>
        <v/>
      </c>
      <c r="D288" s="92">
        <f>D287+D$284</f>
        <v/>
      </c>
      <c r="E288" s="93">
        <f>E287+E$284</f>
        <v/>
      </c>
    </row>
    <row r="289">
      <c r="A289" s="21" t="inlineStr">
        <is>
          <t>T5</t>
        </is>
      </c>
      <c r="B289" s="92">
        <f>B288+B$284</f>
        <v/>
      </c>
      <c r="C289" s="92">
        <f>C288+C$284</f>
        <v/>
      </c>
      <c r="D289" s="92">
        <f>D288+D$284</f>
        <v/>
      </c>
      <c r="E289" s="93">
        <f>E288+E$284</f>
        <v/>
      </c>
    </row>
    <row r="290">
      <c r="A290" s="21" t="inlineStr">
        <is>
          <t>T6</t>
        </is>
      </c>
      <c r="B290" s="92">
        <f>B289+B$284</f>
        <v/>
      </c>
      <c r="C290" s="92">
        <f>C289+C$284</f>
        <v/>
      </c>
      <c r="D290" s="92">
        <f>D289+D$284</f>
        <v/>
      </c>
      <c r="E290" s="93">
        <f>E289+E$284</f>
        <v/>
      </c>
    </row>
    <row r="291">
      <c r="A291" s="21" t="inlineStr">
        <is>
          <t>T7</t>
        </is>
      </c>
      <c r="B291" s="92">
        <f>B290+B$284</f>
        <v/>
      </c>
      <c r="C291" s="92">
        <f>C290+C$284</f>
        <v/>
      </c>
      <c r="D291" s="92">
        <f>D290+D$284</f>
        <v/>
      </c>
      <c r="E291" s="93">
        <f>E290+E$284</f>
        <v/>
      </c>
    </row>
    <row r="292">
      <c r="A292" s="21" t="inlineStr">
        <is>
          <t>T8</t>
        </is>
      </c>
      <c r="B292" s="1" t="n">
        <v>1125</v>
      </c>
      <c r="C292" s="1" t="n">
        <v>99</v>
      </c>
      <c r="D292" s="1" t="n">
        <v>99</v>
      </c>
      <c r="E292" s="18" t="n">
        <v>140</v>
      </c>
    </row>
    <row r="293">
      <c r="A293" s="22" t="inlineStr">
        <is>
          <t>T9</t>
        </is>
      </c>
      <c r="B293" s="23">
        <f>B292+3*B284</f>
        <v/>
      </c>
      <c r="C293" s="23">
        <f>C292+3*C284</f>
        <v/>
      </c>
      <c r="D293" s="23">
        <f>D292+3*D284</f>
        <v/>
      </c>
      <c r="E293" s="24">
        <f>E292+3*E284</f>
        <v/>
      </c>
    </row>
    <row r="294">
      <c r="A294" s="21" t="n"/>
      <c r="E294" s="18" t="n"/>
    </row>
    <row r="295">
      <c r="A295" s="91" t="inlineStr">
        <is>
          <t>Snail Mech</t>
        </is>
      </c>
      <c r="B295" s="4" t="n"/>
      <c r="C295" s="4" t="n"/>
      <c r="D295" s="4" t="n"/>
      <c r="E295" s="5" t="n"/>
    </row>
    <row r="296">
      <c r="A296" s="13" t="inlineStr">
        <is>
          <t>Growth Factor</t>
        </is>
      </c>
      <c r="B296" s="14">
        <f>B297/2</f>
        <v/>
      </c>
      <c r="C296" s="14">
        <f>C297/2</f>
        <v/>
      </c>
      <c r="D296" s="14">
        <f>D297/2</f>
        <v/>
      </c>
      <c r="E296" s="15">
        <f>E297/2</f>
        <v/>
      </c>
    </row>
    <row r="297">
      <c r="A297" s="21" t="inlineStr">
        <is>
          <t>T1</t>
        </is>
      </c>
      <c r="B297" s="1" t="n">
        <v>260</v>
      </c>
      <c r="C297" s="1" t="n">
        <v>23</v>
      </c>
      <c r="D297" s="1" t="n">
        <v>21</v>
      </c>
      <c r="E297" s="18" t="n">
        <v>30</v>
      </c>
    </row>
    <row r="298">
      <c r="A298" s="21" t="inlineStr">
        <is>
          <t>T2</t>
        </is>
      </c>
      <c r="B298" s="92">
        <f>B297+B$296</f>
        <v/>
      </c>
      <c r="C298" s="92">
        <f>C297+C$296</f>
        <v/>
      </c>
      <c r="D298" s="92">
        <f>D297+D$296</f>
        <v/>
      </c>
      <c r="E298" s="93">
        <f>E297+E$296</f>
        <v/>
      </c>
    </row>
    <row r="299">
      <c r="A299" s="21" t="inlineStr">
        <is>
          <t>T3</t>
        </is>
      </c>
      <c r="B299" s="92">
        <f>B298+B$296</f>
        <v/>
      </c>
      <c r="C299" s="92">
        <f>C298+C$296</f>
        <v/>
      </c>
      <c r="D299" s="92">
        <f>D298+D$296</f>
        <v/>
      </c>
      <c r="E299" s="93">
        <f>E298+E$296</f>
        <v/>
      </c>
    </row>
    <row r="300">
      <c r="A300" s="21" t="inlineStr">
        <is>
          <t>T4</t>
        </is>
      </c>
      <c r="B300" s="92">
        <f>B299+B$296</f>
        <v/>
      </c>
      <c r="C300" s="92">
        <f>C299+C$296</f>
        <v/>
      </c>
      <c r="D300" s="92">
        <f>D299+D$296</f>
        <v/>
      </c>
      <c r="E300" s="93">
        <f>E299+E$296</f>
        <v/>
      </c>
    </row>
    <row r="301">
      <c r="A301" s="21" t="inlineStr">
        <is>
          <t>T5</t>
        </is>
      </c>
      <c r="B301" s="92">
        <f>B300+B$296</f>
        <v/>
      </c>
      <c r="C301" s="92">
        <f>C300+C$296</f>
        <v/>
      </c>
      <c r="D301" s="92">
        <f>D300+D$296</f>
        <v/>
      </c>
      <c r="E301" s="93">
        <f>E300+E$296</f>
        <v/>
      </c>
    </row>
    <row r="302">
      <c r="A302" s="21" t="inlineStr">
        <is>
          <t>T6</t>
        </is>
      </c>
      <c r="B302" s="92">
        <f>B301+B$296</f>
        <v/>
      </c>
      <c r="C302" s="92">
        <f>C301+C$296</f>
        <v/>
      </c>
      <c r="D302" s="92">
        <f>D301+D$296</f>
        <v/>
      </c>
      <c r="E302" s="93">
        <f>E301+E$296</f>
        <v/>
      </c>
    </row>
    <row r="303">
      <c r="A303" s="21" t="inlineStr">
        <is>
          <t>T7</t>
        </is>
      </c>
      <c r="B303" s="92">
        <f>B302+B$296</f>
        <v/>
      </c>
      <c r="C303" s="92">
        <f>C302+C$296</f>
        <v/>
      </c>
      <c r="D303" s="92">
        <f>D302+D$296</f>
        <v/>
      </c>
      <c r="E303" s="93">
        <f>E302+E$296</f>
        <v/>
      </c>
    </row>
    <row r="304">
      <c r="A304" s="21" t="inlineStr">
        <is>
          <t>T8</t>
        </is>
      </c>
      <c r="B304" s="1" t="n">
        <v>1170</v>
      </c>
      <c r="C304" s="1" t="n">
        <v>104</v>
      </c>
      <c r="D304" s="1" t="n">
        <v>95</v>
      </c>
      <c r="E304" s="18" t="n">
        <v>135</v>
      </c>
    </row>
    <row r="305">
      <c r="A305" s="22" t="inlineStr">
        <is>
          <t>T9</t>
        </is>
      </c>
      <c r="B305" s="23">
        <f>B304+3*B296</f>
        <v/>
      </c>
      <c r="C305" s="23">
        <f>C304+3*C296</f>
        <v/>
      </c>
      <c r="D305" s="23">
        <f>D304+3*D296</f>
        <v/>
      </c>
      <c r="E305" s="24">
        <f>E304+3*E296</f>
        <v/>
      </c>
    </row>
    <row r="306">
      <c r="A306" s="21" t="n"/>
      <c r="E306" s="18" t="n"/>
    </row>
    <row r="307">
      <c r="A307" s="91" t="inlineStr">
        <is>
          <t>NeuroMecha</t>
        </is>
      </c>
      <c r="B307" s="4" t="n"/>
      <c r="C307" s="4" t="n"/>
      <c r="D307" s="4" t="n"/>
      <c r="E307" s="5" t="n"/>
    </row>
    <row r="308">
      <c r="A308" s="13" t="inlineStr">
        <is>
          <t>Growth Factor</t>
        </is>
      </c>
      <c r="B308" s="14" t="n">
        <v>125</v>
      </c>
      <c r="C308" s="14" t="n">
        <v>10</v>
      </c>
      <c r="D308" s="14" t="n">
        <v>10</v>
      </c>
      <c r="E308" s="15" t="n">
        <v>17.5</v>
      </c>
    </row>
    <row r="309">
      <c r="A309" s="21" t="inlineStr">
        <is>
          <t>T1</t>
        </is>
      </c>
      <c r="B309" s="1">
        <f>B308*2</f>
        <v/>
      </c>
      <c r="C309" s="1">
        <f>C308*2</f>
        <v/>
      </c>
      <c r="D309" s="1">
        <f>D308*2</f>
        <v/>
      </c>
      <c r="E309" s="1">
        <f>E308*2</f>
        <v/>
      </c>
    </row>
    <row r="310">
      <c r="A310" s="21" t="inlineStr">
        <is>
          <t>T2</t>
        </is>
      </c>
      <c r="B310" s="92">
        <f>B309+B$296</f>
        <v/>
      </c>
      <c r="C310" s="92">
        <f>C309+C$296</f>
        <v/>
      </c>
      <c r="D310" s="92">
        <f>D309+D$296</f>
        <v/>
      </c>
      <c r="E310" s="93">
        <f>E309+E$296</f>
        <v/>
      </c>
    </row>
    <row r="311">
      <c r="A311" s="21" t="inlineStr">
        <is>
          <t>T3</t>
        </is>
      </c>
      <c r="B311" s="92">
        <f>B310+B$296</f>
        <v/>
      </c>
      <c r="C311" s="92">
        <f>C310+C$296</f>
        <v/>
      </c>
      <c r="D311" s="92">
        <f>D310+D$296</f>
        <v/>
      </c>
      <c r="E311" s="93">
        <f>E310+E$296</f>
        <v/>
      </c>
    </row>
    <row r="312">
      <c r="A312" s="21" t="inlineStr">
        <is>
          <t>T4</t>
        </is>
      </c>
      <c r="B312" s="92">
        <f>B311+B$296</f>
        <v/>
      </c>
      <c r="C312" s="92">
        <f>C311+C$296</f>
        <v/>
      </c>
      <c r="D312" s="92">
        <f>D311+D$296</f>
        <v/>
      </c>
      <c r="E312" s="93">
        <f>E311+E$296</f>
        <v/>
      </c>
    </row>
    <row r="313">
      <c r="A313" s="21" t="inlineStr">
        <is>
          <t>T5</t>
        </is>
      </c>
      <c r="B313" s="92">
        <f>B312+B$296</f>
        <v/>
      </c>
      <c r="C313" s="92">
        <f>C312+C$296</f>
        <v/>
      </c>
      <c r="D313" s="92">
        <f>D312+D$296</f>
        <v/>
      </c>
      <c r="E313" s="93">
        <f>E312+E$296</f>
        <v/>
      </c>
    </row>
    <row r="314">
      <c r="A314" s="21" t="inlineStr">
        <is>
          <t>T6</t>
        </is>
      </c>
      <c r="B314" s="92">
        <f>B313+B$296</f>
        <v/>
      </c>
      <c r="C314" s="92">
        <f>C313+C$296</f>
        <v/>
      </c>
      <c r="D314" s="92">
        <f>D313+D$296</f>
        <v/>
      </c>
      <c r="E314" s="93">
        <f>E313+E$296</f>
        <v/>
      </c>
    </row>
    <row r="315">
      <c r="A315" s="21" t="inlineStr">
        <is>
          <t>T7</t>
        </is>
      </c>
      <c r="B315" s="92">
        <f>B314+B$296</f>
        <v/>
      </c>
      <c r="C315" s="92">
        <f>C314+C$296</f>
        <v/>
      </c>
      <c r="D315" s="92">
        <f>D314+D$296</f>
        <v/>
      </c>
      <c r="E315" s="93">
        <f>E314+E$296</f>
        <v/>
      </c>
    </row>
    <row r="316">
      <c r="A316" s="21" t="inlineStr">
        <is>
          <t>T8</t>
        </is>
      </c>
      <c r="B316" s="1" t="n">
        <v>1170</v>
      </c>
      <c r="C316" s="1" t="n">
        <v>104</v>
      </c>
      <c r="D316" s="1" t="n">
        <v>95</v>
      </c>
      <c r="E316" s="18" t="n">
        <v>135</v>
      </c>
    </row>
    <row r="317">
      <c r="A317" s="22" t="inlineStr">
        <is>
          <t>T9</t>
        </is>
      </c>
      <c r="B317" s="23">
        <f>B316+3*B308</f>
        <v/>
      </c>
      <c r="C317" s="23">
        <f>C316+3*C308</f>
        <v/>
      </c>
      <c r="D317" s="23">
        <f>D316+3*D308</f>
        <v/>
      </c>
      <c r="E317" s="24">
        <f>E316+3*E308</f>
        <v/>
      </c>
    </row>
    <row r="318">
      <c r="A318" s="95" t="n"/>
      <c r="E318" s="18" t="n"/>
    </row>
    <row r="319">
      <c r="A319" s="95" t="n"/>
      <c r="E319" s="18" t="n"/>
    </row>
    <row r="320">
      <c r="A320" s="95" t="n"/>
      <c r="E320" s="18" t="n"/>
    </row>
    <row r="321">
      <c r="A321" s="95" t="n"/>
      <c r="E321" s="18" t="n"/>
    </row>
    <row r="322">
      <c r="A322" s="3" t="inlineStr">
        <is>
          <t>DRAGON</t>
        </is>
      </c>
      <c r="B322" s="4" t="n"/>
      <c r="C322" s="4" t="n"/>
      <c r="D322" s="4" t="n"/>
      <c r="E322" s="5" t="n"/>
    </row>
    <row r="323">
      <c r="A323" s="6" t="inlineStr">
        <is>
          <t>Drawn Dragon</t>
        </is>
      </c>
      <c r="B323" s="4" t="n"/>
      <c r="C323" s="4" t="n"/>
      <c r="D323" s="4" t="n"/>
      <c r="E323" s="5" t="n"/>
    </row>
    <row r="324">
      <c r="A324" s="13" t="inlineStr">
        <is>
          <t>Growth Factor</t>
        </is>
      </c>
      <c r="B324" s="14">
        <f>(B332-B331)/2</f>
        <v/>
      </c>
      <c r="C324" s="14">
        <f>(C332-C331)/2</f>
        <v/>
      </c>
      <c r="D324" s="14">
        <f>(D332-D331)/2</f>
        <v/>
      </c>
      <c r="E324" s="15">
        <f>(E332-E331)/2</f>
        <v/>
      </c>
    </row>
    <row r="325">
      <c r="A325" s="21" t="inlineStr">
        <is>
          <t>T1</t>
        </is>
      </c>
      <c r="B325" s="1">
        <f>B326-B$324</f>
        <v/>
      </c>
      <c r="C325" s="1">
        <f>C326-C$324</f>
        <v/>
      </c>
      <c r="D325" s="1">
        <f>D326-D$324</f>
        <v/>
      </c>
      <c r="E325" s="18">
        <f>E326-E$324</f>
        <v/>
      </c>
    </row>
    <row r="326">
      <c r="A326" s="21" t="inlineStr">
        <is>
          <t>T2</t>
        </is>
      </c>
      <c r="B326" s="1">
        <f>B327-B$324</f>
        <v/>
      </c>
      <c r="C326" s="1">
        <f>C327-C$324</f>
        <v/>
      </c>
      <c r="D326" s="1">
        <f>D327-D$324</f>
        <v/>
      </c>
      <c r="E326" s="18">
        <f>E327-E$324</f>
        <v/>
      </c>
    </row>
    <row r="327">
      <c r="A327" s="21" t="inlineStr">
        <is>
          <t>T3</t>
        </is>
      </c>
      <c r="B327" s="1">
        <f>B328-B$324</f>
        <v/>
      </c>
      <c r="C327" s="1">
        <f>C328-C$324</f>
        <v/>
      </c>
      <c r="D327" s="1">
        <f>D328-D$324</f>
        <v/>
      </c>
      <c r="E327" s="18">
        <f>E328-E$324</f>
        <v/>
      </c>
    </row>
    <row r="328">
      <c r="A328" s="21" t="inlineStr">
        <is>
          <t>T4</t>
        </is>
      </c>
      <c r="B328" s="1">
        <f>B329-B$324</f>
        <v/>
      </c>
      <c r="C328" s="1">
        <f>C329-C$324</f>
        <v/>
      </c>
      <c r="D328" s="1">
        <f>D329-D$324</f>
        <v/>
      </c>
      <c r="E328" s="18">
        <f>E329-E$324</f>
        <v/>
      </c>
    </row>
    <row r="329">
      <c r="A329" s="21" t="inlineStr">
        <is>
          <t>T5</t>
        </is>
      </c>
      <c r="B329" s="1">
        <f>B330-B$324</f>
        <v/>
      </c>
      <c r="C329" s="1">
        <f>C330-C$324</f>
        <v/>
      </c>
      <c r="D329" s="1">
        <f>D330-D$324</f>
        <v/>
      </c>
      <c r="E329" s="18">
        <f>E330-E$324</f>
        <v/>
      </c>
    </row>
    <row r="330">
      <c r="A330" s="21" t="inlineStr">
        <is>
          <t>T6</t>
        </is>
      </c>
      <c r="B330" s="1">
        <f>B331-B$324</f>
        <v/>
      </c>
      <c r="C330" s="1">
        <f>C331-C$324</f>
        <v/>
      </c>
      <c r="D330" s="1">
        <f>D331-D$324</f>
        <v/>
      </c>
      <c r="E330" s="18">
        <f>E331-E$324</f>
        <v/>
      </c>
    </row>
    <row r="331">
      <c r="A331" s="21" t="inlineStr">
        <is>
          <t>T7</t>
        </is>
      </c>
      <c r="B331" s="1" t="n">
        <v>935</v>
      </c>
      <c r="C331" s="1" t="n">
        <v>140</v>
      </c>
      <c r="D331" s="1" t="n">
        <v>85</v>
      </c>
      <c r="E331" s="18" t="n">
        <v>128</v>
      </c>
    </row>
    <row r="332">
      <c r="A332" s="21" t="inlineStr">
        <is>
          <t>T8</t>
        </is>
      </c>
      <c r="B332" s="1" t="n">
        <v>1155</v>
      </c>
      <c r="C332" s="1" t="n">
        <v>173</v>
      </c>
      <c r="D332" s="1" t="n">
        <v>105</v>
      </c>
      <c r="E332" s="18" t="n">
        <v>158</v>
      </c>
    </row>
    <row r="333">
      <c r="A333" s="22" t="inlineStr">
        <is>
          <t>T9</t>
        </is>
      </c>
      <c r="B333" s="23" t="n">
        <v>1540</v>
      </c>
      <c r="C333" s="23" t="n">
        <v>231</v>
      </c>
      <c r="D333" s="23" t="n">
        <v>140</v>
      </c>
      <c r="E333" s="24" t="n">
        <v>210</v>
      </c>
    </row>
    <row r="334">
      <c r="A334" s="21" t="n"/>
      <c r="E334" s="18" t="n"/>
    </row>
    <row r="335">
      <c r="A335" s="6" t="inlineStr">
        <is>
          <t>Slug Dragonling</t>
        </is>
      </c>
      <c r="B335" s="4" t="n"/>
      <c r="C335" s="4" t="n"/>
      <c r="D335" s="4" t="n"/>
      <c r="E335" s="5" t="n"/>
    </row>
    <row r="336">
      <c r="A336" s="13" t="inlineStr">
        <is>
          <t>Growth Factor</t>
        </is>
      </c>
      <c r="B336" s="14">
        <f>(B344-B343)/2</f>
        <v/>
      </c>
      <c r="C336" s="14">
        <f>(C344-C343)/2</f>
        <v/>
      </c>
      <c r="D336" s="14">
        <f>(D344-D343)/2</f>
        <v/>
      </c>
      <c r="E336" s="15">
        <f>(E344-E343)/2</f>
        <v/>
      </c>
    </row>
    <row r="337">
      <c r="A337" s="21" t="inlineStr">
        <is>
          <t>T1</t>
        </is>
      </c>
      <c r="B337" s="1">
        <f>B338-B$336</f>
        <v/>
      </c>
      <c r="C337" s="1">
        <f>C338-C$336</f>
        <v/>
      </c>
      <c r="D337" s="1">
        <f>D338-D$336</f>
        <v/>
      </c>
      <c r="E337" s="18">
        <f>E338-E$336</f>
        <v/>
      </c>
    </row>
    <row r="338">
      <c r="A338" s="21" t="inlineStr">
        <is>
          <t>T2</t>
        </is>
      </c>
      <c r="B338" s="1">
        <f>B339-B$336</f>
        <v/>
      </c>
      <c r="C338" s="1">
        <f>C339-C$336</f>
        <v/>
      </c>
      <c r="D338" s="1">
        <f>D339-D$336</f>
        <v/>
      </c>
      <c r="E338" s="18">
        <f>E339-E$336</f>
        <v/>
      </c>
    </row>
    <row r="339">
      <c r="A339" s="21" t="inlineStr">
        <is>
          <t>T3</t>
        </is>
      </c>
      <c r="B339" s="1">
        <f>B340-B$336</f>
        <v/>
      </c>
      <c r="C339" s="1">
        <f>C340-C$336</f>
        <v/>
      </c>
      <c r="D339" s="1">
        <f>D340-D$336</f>
        <v/>
      </c>
      <c r="E339" s="18">
        <f>E340-E$336</f>
        <v/>
      </c>
    </row>
    <row r="340">
      <c r="A340" s="21" t="inlineStr">
        <is>
          <t>T4</t>
        </is>
      </c>
      <c r="B340" s="1">
        <f>B341-B$336</f>
        <v/>
      </c>
      <c r="C340" s="1">
        <f>C341-C$336</f>
        <v/>
      </c>
      <c r="D340" s="1">
        <f>D341-D$336</f>
        <v/>
      </c>
      <c r="E340" s="18">
        <f>E341-E$336</f>
        <v/>
      </c>
    </row>
    <row r="341">
      <c r="A341" s="21" t="inlineStr">
        <is>
          <t>T5</t>
        </is>
      </c>
      <c r="B341" s="1">
        <f>B342-B$336</f>
        <v/>
      </c>
      <c r="C341" s="1">
        <f>C342-C$336</f>
        <v/>
      </c>
      <c r="D341" s="1">
        <f>D342-D$336</f>
        <v/>
      </c>
      <c r="E341" s="18">
        <f>E342-E$336</f>
        <v/>
      </c>
    </row>
    <row r="342">
      <c r="A342" s="21" t="inlineStr">
        <is>
          <t>T6</t>
        </is>
      </c>
      <c r="B342" s="1">
        <f>B343-B$336</f>
        <v/>
      </c>
      <c r="C342" s="1">
        <f>C343-C$336</f>
        <v/>
      </c>
      <c r="D342" s="1">
        <f>D343-D$336</f>
        <v/>
      </c>
      <c r="E342" s="18">
        <f>E343-E$336</f>
        <v/>
      </c>
    </row>
    <row r="343">
      <c r="A343" s="21" t="inlineStr">
        <is>
          <t>T7</t>
        </is>
      </c>
      <c r="B343" s="1" t="n">
        <v>1275</v>
      </c>
      <c r="C343" s="1" t="n">
        <v>128</v>
      </c>
      <c r="D343" s="1" t="n">
        <v>85</v>
      </c>
      <c r="E343" s="18" t="n">
        <v>106</v>
      </c>
    </row>
    <row r="344">
      <c r="A344" s="21" t="inlineStr">
        <is>
          <t>T8</t>
        </is>
      </c>
      <c r="B344" s="1" t="n">
        <v>1575</v>
      </c>
      <c r="C344" s="1" t="n">
        <v>158</v>
      </c>
      <c r="D344" s="1" t="n">
        <v>105</v>
      </c>
      <c r="E344" s="18" t="n">
        <v>131</v>
      </c>
    </row>
    <row r="345">
      <c r="A345" s="22" t="inlineStr">
        <is>
          <t>T9</t>
        </is>
      </c>
      <c r="B345" s="23" t="n">
        <v>2100</v>
      </c>
      <c r="C345" s="23" t="n">
        <v>210</v>
      </c>
      <c r="D345" s="23" t="n">
        <v>140</v>
      </c>
      <c r="E345" s="24" t="n">
        <v>175</v>
      </c>
    </row>
    <row r="346">
      <c r="A346" s="21" t="n"/>
      <c r="E346" s="18" t="n"/>
    </row>
    <row r="347">
      <c r="A347" s="6" t="inlineStr">
        <is>
          <t>Nanosaur</t>
        </is>
      </c>
      <c r="B347" s="4" t="n"/>
      <c r="C347" s="4" t="n"/>
      <c r="D347" s="4" t="n"/>
      <c r="E347" s="5" t="n"/>
    </row>
    <row r="348">
      <c r="A348" s="13" t="inlineStr">
        <is>
          <t>Growth Factor</t>
        </is>
      </c>
      <c r="B348" s="14">
        <f>(B356-B355)/2</f>
        <v/>
      </c>
      <c r="C348" s="14">
        <f>(C356-C355)/2</f>
        <v/>
      </c>
      <c r="D348" s="14">
        <f>(D356-D355)/2</f>
        <v/>
      </c>
      <c r="E348" s="15">
        <f>(E356-E355)/2</f>
        <v/>
      </c>
    </row>
    <row r="349">
      <c r="A349" s="21" t="inlineStr">
        <is>
          <t>T1</t>
        </is>
      </c>
      <c r="B349" s="1">
        <f>B350-B$348</f>
        <v/>
      </c>
      <c r="C349" s="1">
        <f>C350-C$348</f>
        <v/>
      </c>
      <c r="D349" s="1">
        <f>D350-D$348</f>
        <v/>
      </c>
      <c r="E349" s="18">
        <f>E350-E$348</f>
        <v/>
      </c>
    </row>
    <row r="350">
      <c r="A350" s="21" t="inlineStr">
        <is>
          <t>T2</t>
        </is>
      </c>
      <c r="B350" s="1">
        <f>B351-B$348</f>
        <v/>
      </c>
      <c r="C350" s="1">
        <f>C351-C$348</f>
        <v/>
      </c>
      <c r="D350" s="1">
        <f>D351-D$348</f>
        <v/>
      </c>
      <c r="E350" s="18">
        <f>E351-E$348</f>
        <v/>
      </c>
    </row>
    <row r="351">
      <c r="A351" s="21" t="inlineStr">
        <is>
          <t>T3</t>
        </is>
      </c>
      <c r="B351" s="1">
        <f>B352-B$348</f>
        <v/>
      </c>
      <c r="C351" s="1">
        <f>C352-C$348</f>
        <v/>
      </c>
      <c r="D351" s="1">
        <f>D352-D$348</f>
        <v/>
      </c>
      <c r="E351" s="18">
        <f>E352-E$348</f>
        <v/>
      </c>
    </row>
    <row r="352">
      <c r="A352" s="21" t="inlineStr">
        <is>
          <t>T4</t>
        </is>
      </c>
      <c r="B352" s="1">
        <f>B353-B$348</f>
        <v/>
      </c>
      <c r="C352" s="1">
        <f>C353-C$348</f>
        <v/>
      </c>
      <c r="D352" s="1">
        <f>D353-D$348</f>
        <v/>
      </c>
      <c r="E352" s="18">
        <f>E353-E$348</f>
        <v/>
      </c>
    </row>
    <row r="353">
      <c r="A353" s="21" t="inlineStr">
        <is>
          <t>T5</t>
        </is>
      </c>
      <c r="B353" s="1">
        <f>B354-B$348</f>
        <v/>
      </c>
      <c r="C353" s="1">
        <f>C354-C$348</f>
        <v/>
      </c>
      <c r="D353" s="1">
        <f>D354-D$348</f>
        <v/>
      </c>
      <c r="E353" s="18">
        <f>E354-E$348</f>
        <v/>
      </c>
    </row>
    <row r="354">
      <c r="A354" s="21" t="inlineStr">
        <is>
          <t>T6</t>
        </is>
      </c>
      <c r="B354" s="1">
        <f>B355-B$348</f>
        <v/>
      </c>
      <c r="C354" s="1">
        <f>C355-C$348</f>
        <v/>
      </c>
      <c r="D354" s="1">
        <f>D355-D$348</f>
        <v/>
      </c>
      <c r="E354" s="18">
        <f>E355-E$348</f>
        <v/>
      </c>
    </row>
    <row r="355">
      <c r="A355" s="21" t="inlineStr">
        <is>
          <t>T7</t>
        </is>
      </c>
      <c r="B355" s="1" t="n">
        <v>1105</v>
      </c>
      <c r="C355" s="1" t="n">
        <v>132</v>
      </c>
      <c r="D355" s="1" t="n">
        <v>85</v>
      </c>
      <c r="E355" s="18" t="n">
        <v>119</v>
      </c>
    </row>
    <row r="356">
      <c r="A356" s="21" t="inlineStr">
        <is>
          <t>T8</t>
        </is>
      </c>
      <c r="B356" s="1" t="n">
        <v>1365</v>
      </c>
      <c r="C356" s="1" t="n">
        <v>163</v>
      </c>
      <c r="D356" s="1" t="n">
        <v>105</v>
      </c>
      <c r="E356" s="18" t="n">
        <v>147</v>
      </c>
    </row>
    <row r="357">
      <c r="A357" s="22" t="inlineStr">
        <is>
          <t>T9</t>
        </is>
      </c>
      <c r="B357" s="23" t="n">
        <v>1820</v>
      </c>
      <c r="C357" s="23" t="n">
        <v>217</v>
      </c>
      <c r="D357" s="23" t="n">
        <v>140</v>
      </c>
      <c r="E357" s="24" t="n">
        <v>196</v>
      </c>
    </row>
    <row r="358">
      <c r="A358" s="21" t="n"/>
      <c r="E358" s="18" t="n"/>
    </row>
    <row r="359">
      <c r="A359" s="6" t="inlineStr">
        <is>
          <t>Frost Drake</t>
        </is>
      </c>
      <c r="B359" s="4" t="n"/>
      <c r="C359" s="4" t="n"/>
      <c r="D359" s="4" t="n"/>
      <c r="E359" s="5" t="n"/>
    </row>
    <row r="360">
      <c r="A360" s="13" t="inlineStr">
        <is>
          <t>Growth Factor</t>
        </is>
      </c>
      <c r="B360" s="14">
        <f>(B368-B367)/2</f>
        <v/>
      </c>
      <c r="C360" s="14">
        <f>(C368-C367)/2</f>
        <v/>
      </c>
      <c r="D360" s="14">
        <f>(D368-D367)/2</f>
        <v/>
      </c>
      <c r="E360" s="15">
        <f>(E368-E367)/2</f>
        <v/>
      </c>
    </row>
    <row r="361">
      <c r="A361" s="21" t="inlineStr">
        <is>
          <t>T1</t>
        </is>
      </c>
      <c r="B361" s="1">
        <f>B362-B$360</f>
        <v/>
      </c>
      <c r="C361" s="1">
        <f>C362-C$360</f>
        <v/>
      </c>
      <c r="D361" s="1">
        <f>D362-D$360</f>
        <v/>
      </c>
      <c r="E361" s="18">
        <f>E362-E$360</f>
        <v/>
      </c>
    </row>
    <row r="362">
      <c r="A362" s="21" t="inlineStr">
        <is>
          <t>T2</t>
        </is>
      </c>
      <c r="B362" s="1">
        <f>B363-B$360</f>
        <v/>
      </c>
      <c r="C362" s="1">
        <f>C363-C$360</f>
        <v/>
      </c>
      <c r="D362" s="1">
        <f>D363-D$360</f>
        <v/>
      </c>
      <c r="E362" s="18">
        <f>E363-E$360</f>
        <v/>
      </c>
    </row>
    <row r="363">
      <c r="A363" s="21" t="inlineStr">
        <is>
          <t>T3</t>
        </is>
      </c>
      <c r="B363" s="1">
        <f>B364-B$360</f>
        <v/>
      </c>
      <c r="C363" s="1">
        <f>C364-C$360</f>
        <v/>
      </c>
      <c r="D363" s="1">
        <f>D364-D$360</f>
        <v/>
      </c>
      <c r="E363" s="18">
        <f>E364-E$360</f>
        <v/>
      </c>
    </row>
    <row r="364">
      <c r="A364" s="21" t="inlineStr">
        <is>
          <t>T4</t>
        </is>
      </c>
      <c r="B364" s="1">
        <f>B365-B$360</f>
        <v/>
      </c>
      <c r="C364" s="1">
        <f>C365-C$360</f>
        <v/>
      </c>
      <c r="D364" s="1">
        <f>D365-D$360</f>
        <v/>
      </c>
      <c r="E364" s="18">
        <f>E365-E$360</f>
        <v/>
      </c>
    </row>
    <row r="365">
      <c r="A365" s="21" t="inlineStr">
        <is>
          <t>T5</t>
        </is>
      </c>
      <c r="B365" s="1">
        <f>B366-B$360</f>
        <v/>
      </c>
      <c r="C365" s="1">
        <f>C366-C$360</f>
        <v/>
      </c>
      <c r="D365" s="1">
        <f>D366-D$360</f>
        <v/>
      </c>
      <c r="E365" s="18">
        <f>E366-E$360</f>
        <v/>
      </c>
    </row>
    <row r="366">
      <c r="A366" s="21" t="inlineStr">
        <is>
          <t>T6</t>
        </is>
      </c>
      <c r="B366" s="1">
        <f>B367-B$360</f>
        <v/>
      </c>
      <c r="C366" s="1">
        <f>C367-C$360</f>
        <v/>
      </c>
      <c r="D366" s="1">
        <f>D367-D$360</f>
        <v/>
      </c>
      <c r="E366" s="18">
        <f>E367-E$360</f>
        <v/>
      </c>
    </row>
    <row r="367">
      <c r="A367" s="21" t="inlineStr">
        <is>
          <t>T7</t>
        </is>
      </c>
      <c r="B367" s="1" t="n">
        <v>850</v>
      </c>
      <c r="C367" s="1" t="n">
        <v>149</v>
      </c>
      <c r="D367" s="1" t="n">
        <v>85</v>
      </c>
      <c r="E367" s="18" t="n">
        <v>128</v>
      </c>
    </row>
    <row r="368">
      <c r="A368" s="21" t="inlineStr">
        <is>
          <t>T8</t>
        </is>
      </c>
      <c r="B368" s="1" t="n">
        <v>1050</v>
      </c>
      <c r="C368" s="1" t="n">
        <v>184</v>
      </c>
      <c r="D368" s="1" t="n">
        <v>105</v>
      </c>
      <c r="E368" s="18" t="n">
        <v>158</v>
      </c>
    </row>
    <row r="369">
      <c r="A369" s="22" t="inlineStr">
        <is>
          <t>T9</t>
        </is>
      </c>
      <c r="B369" s="23" t="n">
        <v>1400</v>
      </c>
      <c r="C369" s="23" t="n">
        <v>245</v>
      </c>
      <c r="D369" s="23" t="n">
        <v>140</v>
      </c>
      <c r="E369" s="24" t="n">
        <v>210</v>
      </c>
    </row>
    <row r="370">
      <c r="A370" s="21" t="n"/>
      <c r="E370" s="18" t="n"/>
    </row>
    <row r="371">
      <c r="A371" s="6" t="inlineStr">
        <is>
          <t>Jaden Embryo</t>
        </is>
      </c>
      <c r="B371" s="4" t="n"/>
      <c r="C371" s="4" t="n"/>
      <c r="D371" s="4" t="n"/>
      <c r="E371" s="5" t="n"/>
    </row>
    <row r="372">
      <c r="A372" s="13" t="inlineStr">
        <is>
          <t>Growth Factor</t>
        </is>
      </c>
      <c r="B372" s="14">
        <f>(B380-B379)/2</f>
        <v/>
      </c>
      <c r="C372" s="14">
        <f>(C380-C379)/2</f>
        <v/>
      </c>
      <c r="D372" s="14">
        <f>(D380-D379)/2</f>
        <v/>
      </c>
      <c r="E372" s="15">
        <f>(E380-E379)/2</f>
        <v/>
      </c>
    </row>
    <row r="373">
      <c r="A373" s="21" t="inlineStr">
        <is>
          <t>T1</t>
        </is>
      </c>
      <c r="B373" s="1" t="n">
        <v>250</v>
      </c>
      <c r="C373" s="1" t="n">
        <v>45</v>
      </c>
      <c r="D373" s="1" t="n">
        <v>21</v>
      </c>
      <c r="E373" s="18" t="n">
        <v>40</v>
      </c>
    </row>
    <row r="374">
      <c r="A374" s="21" t="inlineStr">
        <is>
          <t>T2</t>
        </is>
      </c>
      <c r="B374" s="1" t="n">
        <v>350</v>
      </c>
      <c r="C374" s="1" t="n">
        <v>63</v>
      </c>
      <c r="D374" s="1" t="n">
        <v>30</v>
      </c>
      <c r="E374" s="18" t="n">
        <v>56</v>
      </c>
    </row>
    <row r="375">
      <c r="A375" s="21" t="inlineStr">
        <is>
          <t>T3</t>
        </is>
      </c>
      <c r="B375" s="1" t="n">
        <v>450</v>
      </c>
      <c r="C375" s="1" t="n">
        <v>81</v>
      </c>
      <c r="D375" s="1" t="n">
        <v>38</v>
      </c>
      <c r="E375" s="18" t="n">
        <v>72</v>
      </c>
    </row>
    <row r="376">
      <c r="A376" s="21" t="inlineStr">
        <is>
          <t>T4</t>
        </is>
      </c>
      <c r="B376" s="1" t="n">
        <v>550</v>
      </c>
      <c r="C376" s="1" t="n">
        <v>99</v>
      </c>
      <c r="D376" s="1" t="n">
        <v>47</v>
      </c>
      <c r="E376" s="18" t="n">
        <v>88</v>
      </c>
    </row>
    <row r="377">
      <c r="A377" s="21" t="inlineStr">
        <is>
          <t>T5</t>
        </is>
      </c>
      <c r="B377" s="1" t="n">
        <v>650</v>
      </c>
      <c r="C377" s="1" t="n">
        <v>117</v>
      </c>
      <c r="D377" s="1" t="n">
        <v>55</v>
      </c>
      <c r="E377" s="18" t="n">
        <v>104</v>
      </c>
    </row>
    <row r="378">
      <c r="A378" s="21" t="inlineStr">
        <is>
          <t>T6</t>
        </is>
      </c>
      <c r="B378" s="1" t="n">
        <v>750</v>
      </c>
      <c r="C378" s="1" t="n">
        <v>135</v>
      </c>
      <c r="D378" s="1" t="n">
        <v>64</v>
      </c>
      <c r="E378" s="18" t="n">
        <v>120</v>
      </c>
    </row>
    <row r="379">
      <c r="A379" s="21" t="inlineStr">
        <is>
          <t>T7</t>
        </is>
      </c>
      <c r="B379" s="1" t="n">
        <v>850</v>
      </c>
      <c r="C379" s="1" t="n">
        <v>153</v>
      </c>
      <c r="D379" s="1" t="n">
        <v>72</v>
      </c>
      <c r="E379" s="18" t="n">
        <v>136</v>
      </c>
    </row>
    <row r="380">
      <c r="A380" s="21" t="inlineStr">
        <is>
          <t>T8</t>
        </is>
      </c>
      <c r="B380" s="1" t="n">
        <v>1050</v>
      </c>
      <c r="C380" s="1" t="n">
        <v>189</v>
      </c>
      <c r="D380" s="1" t="n">
        <v>89</v>
      </c>
      <c r="E380" s="18" t="n">
        <v>168</v>
      </c>
    </row>
    <row r="381">
      <c r="A381" s="22" t="inlineStr">
        <is>
          <t>T9</t>
        </is>
      </c>
      <c r="B381" s="23" t="n">
        <v>1400</v>
      </c>
      <c r="C381" s="23" t="n">
        <v>252</v>
      </c>
      <c r="D381" s="23" t="n">
        <v>119</v>
      </c>
      <c r="E381" s="24" t="n">
        <v>224</v>
      </c>
    </row>
  </sheetData>
  <mergeCells count="2">
    <mergeCell ref="H3:J3"/>
    <mergeCell ref="L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2026-04-25T21:15:21Z</dcterms:created>
  <dcterms:modified xmlns:dcterms="http://purl.org/dc/terms/" xmlns:xsi="http://www.w3.org/2001/XMLSchema-instance" xsi:type="dcterms:W3CDTF">2026-04-25T21:15:22Z</dcterms:modified>
</cp:coreProperties>
</file>