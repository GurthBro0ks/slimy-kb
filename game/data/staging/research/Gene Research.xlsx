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theme="1"/>
      <sz val="12"/>
    </font>
    <font>
      <name val="Calibri"/>
      <color rgb="FFFF0000"/>
      <sz val="12"/>
    </font>
    <font>
      <name val="Calibri"/>
      <color theme="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" fillId="0" borderId="5" applyAlignment="1" pivotButton="0" quotePrefix="0" xfId="0">
      <alignment horizontal="right"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" fillId="0" borderId="11" applyAlignment="1" pivotButton="0" quotePrefix="0" xfId="0">
      <alignment horizontal="right" vertical="bottom"/>
    </xf>
    <xf numFmtId="0" fontId="1" fillId="0" borderId="12" applyAlignment="1" pivotButton="0" quotePrefix="0" xfId="0">
      <alignment vertical="bottom"/>
    </xf>
    <xf numFmtId="0" fontId="1" fillId="0" borderId="9" applyAlignment="1" pivotButton="0" quotePrefix="0" xfId="0">
      <alignment horizontal="right" vertical="bottom"/>
    </xf>
    <xf numFmtId="0" fontId="3" fillId="0" borderId="6" applyAlignment="1" pivotButton="0" quotePrefix="0" xfId="0">
      <alignment vertical="bottom"/>
    </xf>
    <xf numFmtId="0" fontId="3" fillId="0" borderId="6" pivotButton="0" quotePrefix="0" xfId="0"/>
    <xf numFmtId="0" fontId="4" fillId="0" borderId="6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5" fillId="0" borderId="6" pivotButton="0" quotePrefix="0" xfId="0"/>
    <xf numFmtId="0" fontId="1" fillId="0" borderId="1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selection activeCell="A1" sqref="A1"/>
    </sheetView>
  </sheetViews>
  <sheetFormatPr baseColWidth="8" defaultRowHeight="15"/>
  <cols>
    <col width="18.45" customWidth="1" min="1" max="1"/>
    <col width="8.09" customWidth="1" min="2" max="2"/>
    <col width="7.82" customWidth="1" min="3" max="3"/>
    <col width="10" customWidth="1" min="4" max="4"/>
    <col width="16.82" customWidth="1" min="5" max="5"/>
    <col width="6.36" customWidth="1" min="6" max="6"/>
    <col width="13.18" customWidth="1" min="7" max="7"/>
    <col width="6.36" customWidth="1" min="8" max="8"/>
    <col width="13.09" customWidth="1" min="9" max="9"/>
    <col width="12.27" customWidth="1" min="10" max="10"/>
    <col width="15.64" customWidth="1" min="11" max="11"/>
    <col width="113.73" customWidth="1" min="12" max="12"/>
  </cols>
  <sheetData>
    <row r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Research Speed</t>
        </is>
      </c>
      <c r="E1" s="2" t="inlineStr">
        <is>
          <t>Awakening Research Speed</t>
        </is>
      </c>
      <c r="F1" s="2" t="inlineStr">
        <is>
          <t>Cells Cost</t>
        </is>
      </c>
      <c r="G1" s="2" t="inlineStr">
        <is>
          <t>Awakening Cells Cost</t>
        </is>
      </c>
      <c r="H1" s="2" t="inlineStr">
        <is>
          <t>Btad Cost</t>
        </is>
      </c>
      <c r="I1" s="2" t="inlineStr">
        <is>
          <t>Awakening Btad Cost</t>
        </is>
      </c>
      <c r="J1" s="2" t="inlineStr">
        <is>
          <t>Free Speedup (min)</t>
        </is>
      </c>
      <c r="K1" s="2" t="inlineStr">
        <is>
          <t>Awakening Free Speedup</t>
        </is>
      </c>
      <c r="L1" s="3" t="inlineStr">
        <is>
          <t>Source</t>
        </is>
      </c>
    </row>
    <row r="2">
      <c r="A2" s="4" t="inlineStr">
        <is>
          <t>INDIVIDUAL RELICS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</row>
    <row r="3">
      <c r="A3" s="4" t="inlineStr">
        <is>
          <t xml:space="preserve">   Double Helix DNA</t>
        </is>
      </c>
      <c r="B3" s="5" t="inlineStr">
        <is>
          <t>SSS</t>
        </is>
      </c>
      <c r="C3" s="5" t="inlineStr">
        <is>
          <t>TECH</t>
        </is>
      </c>
      <c r="D3" s="7" t="n">
        <v>2.4</v>
      </c>
      <c r="E3" s="7" t="n">
        <v>2</v>
      </c>
      <c r="F3" s="5" t="n"/>
      <c r="G3" s="5" t="n"/>
      <c r="H3" s="7" t="n">
        <v>4.8</v>
      </c>
      <c r="I3" s="5" t="n"/>
      <c r="J3" s="7" t="n">
        <v>36</v>
      </c>
      <c r="K3" s="5" t="n"/>
      <c r="L3" s="6" t="inlineStr">
        <is>
          <t>Lottery Machine #1 (0.09%), Wishing (0.07%), Grandmaster Scrolls (0.81%), Relic Forge (120 Relic RF)</t>
        </is>
      </c>
    </row>
    <row r="4">
      <c r="A4" s="4" t="inlineStr">
        <is>
          <t xml:space="preserve">   The Analects</t>
        </is>
      </c>
      <c r="B4" s="5" t="inlineStr">
        <is>
          <t>SSS</t>
        </is>
      </c>
      <c r="C4" s="5" t="inlineStr">
        <is>
          <t>CIV</t>
        </is>
      </c>
      <c r="D4" s="7" t="n">
        <v>2.4</v>
      </c>
      <c r="E4" s="7" t="n">
        <v>2</v>
      </c>
      <c r="F4" s="5" t="n"/>
      <c r="G4" s="5" t="n"/>
      <c r="H4" s="7" t="n">
        <v>4.8</v>
      </c>
      <c r="I4" s="5" t="n"/>
      <c r="J4" s="7" t="n">
        <v>36</v>
      </c>
      <c r="K4" s="5" t="n"/>
      <c r="L4" s="6" t="inlineStr">
        <is>
          <t>Wish Box, Lottery Machine #1 (0.09%), Wishing (0.08%), Grandmaster Scrolls (0.81%), Relic Forge (120 Relic RF)</t>
        </is>
      </c>
    </row>
    <row r="5">
      <c r="A5" s="4" t="inlineStr">
        <is>
          <t xml:space="preserve">   Voynich Script</t>
        </is>
      </c>
      <c r="B5" s="5" t="inlineStr">
        <is>
          <t>AAA</t>
        </is>
      </c>
      <c r="C5" s="5" t="inlineStr">
        <is>
          <t>CIV</t>
        </is>
      </c>
      <c r="D5" s="5" t="n"/>
      <c r="E5" s="5" t="n"/>
      <c r="F5" s="5" t="n"/>
      <c r="G5" s="5" t="n"/>
      <c r="H5" s="7" t="n">
        <v>3.6</v>
      </c>
      <c r="I5" s="7" t="n">
        <v>2.8</v>
      </c>
      <c r="J5" s="5" t="n"/>
      <c r="K5" s="5" t="n"/>
      <c r="L5" s="6" t="inlineStr">
        <is>
          <t>Form Evo Pack</t>
        </is>
      </c>
    </row>
    <row r="6">
      <c r="A6" s="8" t="inlineStr">
        <is>
          <t>MAX INDIVIDUAL RELICS</t>
        </is>
      </c>
      <c r="B6" s="9" t="n"/>
      <c r="C6" s="9" t="n"/>
      <c r="D6" s="10">
        <f>sum(D3:E5)</f>
        <v/>
      </c>
      <c r="E6" s="9" t="n"/>
      <c r="F6" s="10">
        <f>sum(F3:G5)</f>
        <v/>
      </c>
      <c r="G6" s="9" t="n"/>
      <c r="H6" s="10">
        <f>sum(H3:I5)</f>
        <v/>
      </c>
      <c r="I6" s="9" t="n"/>
      <c r="J6" s="10">
        <f>sum(J3:K5)</f>
        <v/>
      </c>
      <c r="K6" s="9" t="n"/>
      <c r="L6" s="11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6" t="n"/>
    </row>
    <row r="8">
      <c r="A8" s="1" t="inlineStr">
        <is>
          <t>PARTNER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/>
    </row>
    <row r="9">
      <c r="A9" s="8" t="inlineStr">
        <is>
          <t xml:space="preserve">   Toraemon</t>
        </is>
      </c>
      <c r="B9" s="9" t="n"/>
      <c r="C9" s="9" t="n"/>
      <c r="D9" s="10" t="n">
        <v>30</v>
      </c>
      <c r="E9" s="9" t="n"/>
      <c r="F9" s="9" t="n"/>
      <c r="G9" s="9" t="n"/>
      <c r="H9" s="9" t="n"/>
      <c r="I9" s="9" t="n"/>
      <c r="J9" s="9" t="n"/>
      <c r="K9" s="9" t="n"/>
      <c r="L9" s="11" t="inlineStr">
        <is>
          <t>lv30</t>
        </is>
      </c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6" t="n"/>
    </row>
    <row r="11">
      <c r="A11" s="1" t="inlineStr">
        <is>
          <t>ORGANS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3" t="n"/>
    </row>
    <row r="12">
      <c r="A12" s="4" t="inlineStr">
        <is>
          <t xml:space="preserve">   Savant Eye</t>
        </is>
      </c>
      <c r="B12" s="5" t="n"/>
      <c r="C12" s="5" t="n"/>
      <c r="D12" s="7" t="n">
        <v>3</v>
      </c>
      <c r="E12" s="5" t="n"/>
      <c r="F12" s="5" t="n"/>
      <c r="G12" s="5" t="n"/>
      <c r="H12" s="5" t="n"/>
      <c r="I12" s="5" t="n"/>
      <c r="J12" s="7" t="n">
        <v>15</v>
      </c>
      <c r="K12" s="5" t="n"/>
      <c r="L12" s="6" t="inlineStr">
        <is>
          <t>Organ Chest (3% chance), 1st Purchase Gift Pack Day 3 Reward($Any)</t>
        </is>
      </c>
    </row>
    <row r="13">
      <c r="A13" s="4" t="inlineStr">
        <is>
          <t xml:space="preserve">   Brainworm Neuron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7" t="n">
        <v>15</v>
      </c>
      <c r="K13" s="5" t="n"/>
      <c r="L13" s="6" t="inlineStr">
        <is>
          <t>Organ Value Pack I ($14.99)</t>
        </is>
      </c>
    </row>
    <row r="14">
      <c r="A14" s="8" t="inlineStr">
        <is>
          <t>MAX ORGANS</t>
        </is>
      </c>
      <c r="B14" s="9" t="n"/>
      <c r="C14" s="9" t="n"/>
      <c r="D14" s="10">
        <f>sum(D12:E13)</f>
        <v/>
      </c>
      <c r="E14" s="9" t="n"/>
      <c r="F14" s="10">
        <f>sum(F12:G13)</f>
        <v/>
      </c>
      <c r="G14" s="9" t="n"/>
      <c r="H14" s="10">
        <f>sum(H12:I13)</f>
        <v/>
      </c>
      <c r="I14" s="9" t="n"/>
      <c r="J14" s="10">
        <f>sum(J12:K13)</f>
        <v/>
      </c>
      <c r="K14" s="9" t="n"/>
      <c r="L14" s="11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6" t="n"/>
    </row>
    <row r="16">
      <c r="A16" s="1" t="inlineStr">
        <is>
          <t>NEBULA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>
      <c r="A17" s="4" t="inlineStr">
        <is>
          <t xml:space="preserve">   Microscopium</t>
        </is>
      </c>
      <c r="B17" s="5" t="n"/>
      <c r="C17" s="5" t="n"/>
      <c r="D17" s="7" t="n">
        <v>1.6</v>
      </c>
      <c r="E17" s="5" t="n"/>
      <c r="F17" s="5" t="n"/>
      <c r="G17" s="5" t="n"/>
      <c r="H17" s="7" t="n">
        <v>3.2</v>
      </c>
      <c r="I17" s="5" t="n"/>
      <c r="J17" s="7" t="n">
        <v>48</v>
      </c>
      <c r="K17" s="5" t="n"/>
      <c r="L17" s="6" t="inlineStr">
        <is>
          <t>Beta Galaxy</t>
        </is>
      </c>
    </row>
    <row r="18">
      <c r="A18" s="4" t="inlineStr">
        <is>
          <t xml:space="preserve">   Circinus</t>
        </is>
      </c>
      <c r="B18" s="5" t="n"/>
      <c r="C18" s="5" t="n"/>
      <c r="D18" s="7" t="n">
        <v>6</v>
      </c>
      <c r="E18" s="5" t="n"/>
      <c r="F18" s="5" t="n"/>
      <c r="G18" s="5" t="n"/>
      <c r="H18" s="7" t="n"/>
      <c r="I18" s="5" t="n"/>
      <c r="J18" s="7" t="n"/>
      <c r="K18" s="5" t="n"/>
      <c r="L18" s="6" t="inlineStr">
        <is>
          <t>Delta Galaxy</t>
        </is>
      </c>
    </row>
    <row r="19">
      <c r="A19" s="8" t="inlineStr">
        <is>
          <t>MAX NEBULA</t>
        </is>
      </c>
      <c r="B19" s="9" t="n"/>
      <c r="C19" s="9" t="n"/>
      <c r="D19" s="10">
        <f>SUM(D17:D18)</f>
        <v/>
      </c>
      <c r="E19" s="9" t="n"/>
      <c r="F19" s="10">
        <f>SUM(F17:F18)</f>
        <v/>
      </c>
      <c r="G19" s="9" t="n"/>
      <c r="H19" s="10">
        <f>SUM(H17:H18)</f>
        <v/>
      </c>
      <c r="I19" s="9" t="n"/>
      <c r="J19" s="10">
        <f>SUM(J17:J18)</f>
        <v/>
      </c>
      <c r="K19" s="9" t="n"/>
      <c r="L19" s="11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6" t="n"/>
    </row>
    <row r="21">
      <c r="A21" s="4" t="inlineStr">
        <is>
          <t>COLLECTORS TALENTS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6" t="n"/>
    </row>
    <row r="22">
      <c r="A22" s="4" t="inlineStr">
        <is>
          <t xml:space="preserve">   Genetic Engineering I</t>
        </is>
      </c>
      <c r="B22" s="5" t="n"/>
      <c r="C22" s="5" t="n"/>
      <c r="D22" s="5" t="n">
        <v>15</v>
      </c>
      <c r="E22" s="5" t="n"/>
      <c r="F22" s="5" t="n"/>
      <c r="G22" s="5" t="n"/>
      <c r="H22" s="5" t="n"/>
      <c r="I22" s="5" t="n"/>
      <c r="J22" s="5" t="n"/>
      <c r="K22" s="5" t="n"/>
      <c r="L22" s="6" t="inlineStr">
        <is>
          <t>15 Purple Talent Points</t>
        </is>
      </c>
    </row>
    <row r="23">
      <c r="A23" s="4" t="inlineStr">
        <is>
          <t xml:space="preserve">   Genetic Engineering II</t>
        </is>
      </c>
      <c r="B23" s="5" t="n"/>
      <c r="C23" s="5" t="n"/>
      <c r="D23" s="5" t="n">
        <v>15</v>
      </c>
      <c r="E23" s="5" t="n"/>
      <c r="F23" s="5" t="n"/>
      <c r="G23" s="5" t="n"/>
      <c r="H23" s="5" t="n"/>
      <c r="I23" s="5" t="n"/>
      <c r="J23" s="5" t="n">
        <v>150</v>
      </c>
      <c r="K23" s="5" t="n"/>
      <c r="L23" s="6" t="inlineStr">
        <is>
          <t>15 Orange Talent Points</t>
        </is>
      </c>
    </row>
    <row r="24">
      <c r="A24" s="4" t="inlineStr">
        <is>
          <t xml:space="preserve">   Gene SPD II (purple)</t>
        </is>
      </c>
      <c r="B24" s="5" t="n"/>
      <c r="C24" s="5" t="n"/>
      <c r="D24" s="5" t="n">
        <v>20</v>
      </c>
      <c r="E24" s="5" t="n"/>
      <c r="F24" s="5" t="n"/>
      <c r="G24" s="5" t="n"/>
      <c r="H24" s="5" t="n"/>
      <c r="I24" s="5" t="n"/>
      <c r="J24" s="5" t="n"/>
      <c r="K24" s="5" t="n"/>
      <c r="L24" s="6" t="inlineStr">
        <is>
          <t>15 Purple Talent Points</t>
        </is>
      </c>
    </row>
    <row r="25">
      <c r="A25" s="4" t="inlineStr">
        <is>
          <t xml:space="preserve">   Gene SPD II (orange)</t>
        </is>
      </c>
      <c r="B25" s="5" t="n"/>
      <c r="C25" s="5" t="n"/>
      <c r="D25" s="5" t="n">
        <v>20</v>
      </c>
      <c r="E25" s="5" t="n"/>
      <c r="F25" s="5" t="n"/>
      <c r="G25" s="5" t="n"/>
      <c r="H25" s="5" t="n"/>
      <c r="I25" s="5" t="n"/>
      <c r="J25" s="5" t="n">
        <v>240</v>
      </c>
      <c r="K25" s="5" t="n"/>
      <c r="L25" s="6" t="inlineStr">
        <is>
          <t>15 Orange Talent Points</t>
        </is>
      </c>
    </row>
    <row r="26">
      <c r="A26" s="4" t="inlineStr">
        <is>
          <t>MAX COLLECTORS TALENTS</t>
        </is>
      </c>
      <c r="B26" s="5" t="n"/>
      <c r="C26" s="5" t="n"/>
      <c r="D26" s="5">
        <f>sum(D22:E25)</f>
        <v/>
      </c>
      <c r="E26" s="5" t="n"/>
      <c r="F26" s="5">
        <f>sum(F22:G25)</f>
        <v/>
      </c>
      <c r="G26" s="5" t="n"/>
      <c r="H26" s="5">
        <f>sum(H22:I25)</f>
        <v/>
      </c>
      <c r="I26" s="5" t="n"/>
      <c r="J26" s="5">
        <f>sum(J22:K25)</f>
        <v/>
      </c>
      <c r="K26" s="5" t="n"/>
      <c r="L26" s="6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6" t="n"/>
    </row>
    <row r="28">
      <c r="A28" s="1" t="inlineStr">
        <is>
          <t>FUNGUS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</row>
    <row r="29">
      <c r="A29" s="8" t="inlineStr">
        <is>
          <t xml:space="preserve">    Purple</t>
        </is>
      </c>
      <c r="B29" s="9" t="n"/>
      <c r="C29" s="9" t="n"/>
      <c r="D29" s="9" t="n">
        <v>3</v>
      </c>
      <c r="E29" s="9" t="n"/>
      <c r="F29" s="9" t="n"/>
      <c r="G29" s="9" t="n"/>
      <c r="H29" s="9" t="n"/>
      <c r="I29" s="9" t="n"/>
      <c r="J29" s="9" t="n"/>
      <c r="K29" s="9" t="n"/>
      <c r="L29" s="11" t="inlineStr">
        <is>
          <t>500 Purple Fungus Consumed</t>
        </is>
      </c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6" t="n"/>
    </row>
    <row r="31">
      <c r="A31" s="4" t="inlineStr">
        <is>
          <t>ROCKET UPGRADES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6" t="n"/>
    </row>
    <row r="32">
      <c r="A32" s="4" t="inlineStr">
        <is>
          <t xml:space="preserve">   Silence Hall</t>
        </is>
      </c>
      <c r="B32" s="5" t="n"/>
      <c r="C32" s="5" t="n"/>
      <c r="D32" s="5" t="n">
        <v>5</v>
      </c>
      <c r="E32" s="5" t="n"/>
      <c r="F32" s="5" t="n"/>
      <c r="G32" s="5" t="n"/>
      <c r="H32" s="5" t="n"/>
      <c r="I32" s="5" t="n"/>
      <c r="J32" s="5" t="n">
        <v>120</v>
      </c>
      <c r="K32" s="5" t="n"/>
      <c r="L32" s="6" t="inlineStr">
        <is>
          <t>lv5</t>
        </is>
      </c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6" t="n"/>
    </row>
    <row r="34">
      <c r="A34" s="1" t="inlineStr">
        <is>
          <t>AVATAR BONUS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3" t="n"/>
    </row>
    <row r="35">
      <c r="A35" s="8" t="inlineStr">
        <is>
          <t xml:space="preserve">   Event Avatar</t>
        </is>
      </c>
      <c r="B35" s="9" t="n"/>
      <c r="C35" s="9" t="n"/>
      <c r="D35" s="10" t="n">
        <v>5</v>
      </c>
      <c r="E35" s="9" t="n"/>
      <c r="F35" s="10" t="n">
        <v>5</v>
      </c>
      <c r="G35" s="9" t="n"/>
      <c r="H35" s="10" t="n">
        <v>5</v>
      </c>
      <c r="I35" s="9" t="n"/>
      <c r="J35" s="10" t="n">
        <v>20</v>
      </c>
      <c r="K35" s="9" t="n"/>
      <c r="L35" s="11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6" t="n"/>
    </row>
    <row r="37">
      <c r="A37" s="12" t="inlineStr">
        <is>
          <t>RESONANCE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3" t="n"/>
    </row>
    <row r="38">
      <c r="A38" s="4" t="inlineStr">
        <is>
          <t xml:space="preserve">  BLUE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6" t="n"/>
    </row>
    <row r="39">
      <c r="A39" s="4" t="inlineStr">
        <is>
          <t xml:space="preserve">    Research Speed</t>
        </is>
      </c>
      <c r="B39" s="5" t="n"/>
      <c r="C39" s="5" t="n"/>
      <c r="D39" s="7" t="n">
        <v>1.8</v>
      </c>
      <c r="E39" s="5" t="n"/>
      <c r="F39" s="5" t="n"/>
      <c r="G39" s="5" t="n"/>
      <c r="H39" s="5" t="n"/>
      <c r="I39" s="5" t="n"/>
      <c r="J39" s="5" t="n"/>
      <c r="K39" s="5" t="n"/>
      <c r="L39" s="6" t="n"/>
    </row>
    <row r="40">
      <c r="A40" s="4" t="inlineStr">
        <is>
          <t xml:space="preserve">      Chakana</t>
        </is>
      </c>
      <c r="B40" s="5" t="inlineStr">
        <is>
          <t>Blue</t>
        </is>
      </c>
      <c r="C40" s="5" t="inlineStr">
        <is>
          <t>FTH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6" t="inlineStr">
        <is>
          <t>Lottery Machine #1 (0.03%), Wishing (0.85%), Soul Chest (2%)</t>
        </is>
      </c>
    </row>
    <row r="41">
      <c r="A41" s="4" t="inlineStr">
        <is>
          <t xml:space="preserve">      Great Wave</t>
        </is>
      </c>
      <c r="B41" s="5" t="inlineStr">
        <is>
          <t>Blue</t>
        </is>
      </c>
      <c r="C41" s="5" t="inlineStr">
        <is>
          <t>ART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6" t="inlineStr">
        <is>
          <t>Lottery Machine #1 (0.07%), Wishing (3%), Yamato Treasure Maps (20%)</t>
        </is>
      </c>
    </row>
    <row r="42">
      <c r="A42" s="4" t="inlineStr">
        <is>
          <t xml:space="preserve">      Janssen Microscope</t>
        </is>
      </c>
      <c r="B42" s="5" t="inlineStr">
        <is>
          <t>Blue</t>
        </is>
      </c>
      <c r="C42" s="5" t="inlineStr">
        <is>
          <t>TECH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6" t="inlineStr">
        <is>
          <t>Lottery Machine #1 (0.07%), Wishing (2.6%), Evolution Chest (2%), Novice Scrolls (1%)</t>
        </is>
      </c>
    </row>
    <row r="43">
      <c r="A43" s="4" t="inlineStr">
        <is>
          <t xml:space="preserve">      Royal Doll</t>
        </is>
      </c>
      <c r="B43" s="5" t="inlineStr">
        <is>
          <t>Blue</t>
        </is>
      </c>
      <c r="C43" s="5" t="inlineStr">
        <is>
          <t>CIV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6" t="inlineStr">
        <is>
          <t>Lottery Machine #1 (0.03%), Wishing (0.82%)</t>
        </is>
      </c>
    </row>
    <row r="44">
      <c r="A44" s="4" t="inlineStr">
        <is>
          <t xml:space="preserve">      Mask of Zorro</t>
        </is>
      </c>
      <c r="B44" s="5" t="inlineStr">
        <is>
          <t>Blue</t>
        </is>
      </c>
      <c r="C44" s="5" t="inlineStr">
        <is>
          <t>FAME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6" t="inlineStr">
        <is>
          <t>Lottery Machine #1 (0.03%), Wish (1.2%), Zorro (B+B Reward)</t>
        </is>
      </c>
    </row>
    <row r="45">
      <c r="A45" s="4" t="inlineStr">
        <is>
          <t xml:space="preserve">      Moai</t>
        </is>
      </c>
      <c r="B45" s="5" t="inlineStr">
        <is>
          <t>Blue</t>
        </is>
      </c>
      <c r="C45" s="5" t="inlineStr">
        <is>
          <t>FTH</t>
        </is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6" t="inlineStr">
        <is>
          <t>Lottery Machine #1 (0.36%), Wishing (10.6%), Soul Chest (2%), Novice Scrolls (5%)</t>
        </is>
      </c>
    </row>
    <row r="46">
      <c r="A46" s="4" t="inlineStr">
        <is>
          <t xml:space="preserve">  PURPLE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6" t="n"/>
    </row>
    <row r="47">
      <c r="A47" s="4" t="inlineStr">
        <is>
          <t xml:space="preserve">    Research Speed</t>
        </is>
      </c>
      <c r="B47" s="5" t="n"/>
      <c r="C47" s="5" t="n"/>
      <c r="D47" s="7" t="n">
        <v>2</v>
      </c>
      <c r="E47" s="5" t="n"/>
      <c r="F47" s="5" t="n"/>
      <c r="G47" s="5" t="n"/>
      <c r="H47" s="5" t="n"/>
      <c r="I47" s="5" t="n"/>
      <c r="J47" s="5" t="n"/>
      <c r="K47" s="5" t="n"/>
      <c r="L47" s="6" t="n"/>
    </row>
    <row r="48">
      <c r="A48" s="4" t="inlineStr">
        <is>
          <t xml:space="preserve">      Fuchun Mountains</t>
        </is>
      </c>
      <c r="B48" s="5" t="inlineStr">
        <is>
          <t>AA</t>
        </is>
      </c>
      <c r="C48" s="5" t="inlineStr">
        <is>
          <t>FTH</t>
        </is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6" t="inlineStr">
        <is>
          <t>Fragment Crafting (3.9%), Lottery Machine #1 (0.08%), Wishing (0.36%), Expert Scrolls (0.95%)</t>
        </is>
      </c>
    </row>
    <row r="49">
      <c r="A49" s="4" t="inlineStr">
        <is>
          <t xml:space="preserve">      Tyr's Arm</t>
        </is>
      </c>
      <c r="B49" s="5" t="inlineStr">
        <is>
          <t>AA</t>
        </is>
      </c>
      <c r="C49" s="5" t="inlineStr">
        <is>
          <t>FTH</t>
        </is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6" t="inlineStr">
        <is>
          <t>Fragment Crafting (3.8%), Lottery Machine #1 (0.08%), Wishing (0.35%), Expert Scrolls (0.95%)</t>
        </is>
      </c>
    </row>
    <row r="50">
      <c r="A50" s="4" t="inlineStr">
        <is>
          <t xml:space="preserve">      Platinum Record</t>
        </is>
      </c>
      <c r="B50" s="5" t="inlineStr">
        <is>
          <t>AA</t>
        </is>
      </c>
      <c r="C50" s="5" t="inlineStr">
        <is>
          <t>FAME</t>
        </is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6" t="inlineStr">
        <is>
          <t>Fragment Crafting (3.9%), Lottery Machine #1 (0.08%), Wishing (0.35%), Expert Scrolls (0.95%)</t>
        </is>
      </c>
    </row>
    <row r="51">
      <c r="A51" s="4" t="inlineStr">
        <is>
          <t xml:space="preserve">      Schindler's List</t>
        </is>
      </c>
      <c r="B51" s="5" t="inlineStr">
        <is>
          <t>AAA</t>
        </is>
      </c>
      <c r="C51" s="5" t="inlineStr">
        <is>
          <t>CIV</t>
        </is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6" t="inlineStr">
        <is>
          <t>Fragment Crafting (1.5%), Lottery Machine #1 (0.03%), Wishing (0.14%), Soul Chest (1.5%), Relic Forge (80 Relic RF)</t>
        </is>
      </c>
    </row>
    <row r="52">
      <c r="A52" s="4" t="inlineStr">
        <is>
          <t xml:space="preserve">      Polonium</t>
        </is>
      </c>
      <c r="B52" s="5" t="inlineStr">
        <is>
          <t>AA</t>
        </is>
      </c>
      <c r="C52" s="5" t="inlineStr">
        <is>
          <t>TECH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6" t="inlineStr">
        <is>
          <t>Fragment Crafting (3.9%), Lottery Machine #1 (0.08%), Wishes (0.36%), Time Chests (1.5%), Expert Scrolls (0.95%)</t>
        </is>
      </c>
    </row>
    <row r="53">
      <c r="A53" s="4" t="inlineStr">
        <is>
          <t xml:space="preserve">      Cavendish's Scales</t>
        </is>
      </c>
      <c r="B53" s="5" t="inlineStr">
        <is>
          <t>AAA</t>
        </is>
      </c>
      <c r="C53" s="5" t="inlineStr">
        <is>
          <t>TECH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6" t="inlineStr">
        <is>
          <t>Fragment Crafting (1.6%), Lottery Machine #1 (0.03%), Wishing (0.14%), Relic Forge (80 Relic RF)</t>
        </is>
      </c>
    </row>
    <row r="54">
      <c r="A54" s="8" t="inlineStr">
        <is>
          <t>MAX RESONANCE</t>
        </is>
      </c>
      <c r="B54" s="9" t="n"/>
      <c r="C54" s="9" t="n"/>
      <c r="D54" s="10">
        <f>sum(D39:E53)</f>
        <v/>
      </c>
      <c r="E54" s="9" t="n"/>
      <c r="F54" s="10">
        <f>sum(F39:G53)</f>
        <v/>
      </c>
      <c r="G54" s="9" t="n"/>
      <c r="H54" s="10">
        <f>sum(H39:I53)</f>
        <v/>
      </c>
      <c r="I54" s="9" t="n"/>
      <c r="J54" s="10">
        <f>sum(J39:K53)</f>
        <v/>
      </c>
      <c r="K54" s="9" t="n"/>
      <c r="L54" s="11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13" t="inlineStr">
        <is>
          <t>General Research Speed</t>
        </is>
      </c>
      <c r="B56" s="14">
        <f>D6+D9+D14+D19+D35+D54+D29+D32+D26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15" t="inlineStr">
        <is>
          <t>General Cells Cost Reduction</t>
        </is>
      </c>
      <c r="B57" s="16">
        <f>F6+F14+F35+F54+F26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15" t="inlineStr">
        <is>
          <t>General Btad Cost Reduction</t>
        </is>
      </c>
      <c r="B58" s="16">
        <f>H6+H14+H19+H35+H54+H26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15" t="inlineStr">
        <is>
          <t>General Research Speed (min)</t>
        </is>
      </c>
      <c r="B59" s="16">
        <f>J6+J14+J19+J35+J54+J32+J26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12" t="inlineStr">
        <is>
          <t>ZOMBIE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3" t="n"/>
    </row>
    <row r="65">
      <c r="A65" s="4" t="inlineStr">
        <is>
          <t>INDIVIDUAL RELICS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6" t="n"/>
    </row>
    <row r="66">
      <c r="A66" s="4" t="inlineStr">
        <is>
          <t xml:space="preserve">   3-Faced Statue</t>
        </is>
      </c>
      <c r="B66" s="5" t="inlineStr">
        <is>
          <t>SS</t>
        </is>
      </c>
      <c r="C66" s="5" t="inlineStr">
        <is>
          <t>FTH</t>
        </is>
      </c>
      <c r="D66" s="7" t="n">
        <v>6.6</v>
      </c>
      <c r="E66" s="5" t="n"/>
      <c r="F66" s="5" t="n"/>
      <c r="G66" s="5" t="n"/>
      <c r="H66" s="5" t="n"/>
      <c r="I66" s="5" t="n"/>
      <c r="J66" s="7" t="n">
        <v>66</v>
      </c>
      <c r="K66" s="7" t="n">
        <v>60</v>
      </c>
      <c r="L66" s="6" t="inlineStr">
        <is>
          <t>Fragment Crafting (4.4%), Lottery Machine #1 (0.24%), Wishing (0.16%), Demon God Chest (5%), Master Scrolls (1.9%), Grandmaster Scrolls (2.1%), FTH Master Scrolls (9.2%)</t>
        </is>
      </c>
    </row>
    <row r="67">
      <c r="A67" s="4" t="inlineStr">
        <is>
          <t xml:space="preserve">   Red Dot Award</t>
        </is>
      </c>
      <c r="B67" s="5" t="inlineStr">
        <is>
          <t>AAA</t>
        </is>
      </c>
      <c r="C67" s="5" t="inlineStr">
        <is>
          <t>FAME</t>
        </is>
      </c>
      <c r="D67" s="7" t="n"/>
      <c r="E67" s="7" t="n"/>
      <c r="F67" s="7" t="n"/>
      <c r="G67" s="5" t="n"/>
      <c r="H67" s="5" t="n">
        <v>5.4</v>
      </c>
      <c r="I67" s="5" t="n"/>
      <c r="J67" s="5" t="n"/>
      <c r="K67" s="5" t="n"/>
      <c r="L67" s="6" t="inlineStr">
        <is>
          <t>Decoration Bonus Relic #1</t>
        </is>
      </c>
    </row>
    <row r="68">
      <c r="A68" s="4" t="inlineStr">
        <is>
          <t xml:space="preserve">   Death of Marat</t>
        </is>
      </c>
      <c r="B68" s="5" t="inlineStr">
        <is>
          <t>AA</t>
        </is>
      </c>
      <c r="C68" s="5" t="inlineStr">
        <is>
          <t>ART</t>
        </is>
      </c>
      <c r="D68" s="7" t="n">
        <v>4.8</v>
      </c>
      <c r="E68" s="7" t="n">
        <v>4.2</v>
      </c>
      <c r="F68" s="7" t="n">
        <v>4.8</v>
      </c>
      <c r="G68" s="5" t="n"/>
      <c r="H68" s="5" t="n"/>
      <c r="I68" s="5" t="n"/>
      <c r="J68" s="5" t="n"/>
      <c r="K68" s="5" t="n"/>
      <c r="L68" s="6" t="inlineStr">
        <is>
          <t>Fragment Crafting (3.9%), Lottery Machine #1 (0.08%), Wishing (0.36%), Expert Scrolls (0.95%)</t>
        </is>
      </c>
    </row>
    <row r="69">
      <c r="A69" s="4" t="inlineStr">
        <is>
          <t xml:space="preserve">   Hannibal's Cup</t>
        </is>
      </c>
      <c r="B69" s="5" t="inlineStr">
        <is>
          <t>AA</t>
        </is>
      </c>
      <c r="C69" s="5" t="inlineStr">
        <is>
          <t>FAME</t>
        </is>
      </c>
      <c r="D69" s="5" t="n"/>
      <c r="E69" s="5" t="n"/>
      <c r="F69" s="5" t="n"/>
      <c r="G69" s="5" t="n"/>
      <c r="H69" s="7" t="n">
        <v>4.8</v>
      </c>
      <c r="I69" s="7" t="n">
        <v>4.2</v>
      </c>
      <c r="J69" s="5" t="n"/>
      <c r="K69" s="5" t="n"/>
      <c r="L69" s="6" t="inlineStr">
        <is>
          <t>Fragment Crafting (3.9%), Lottery Machine #1 (0.08%), Wishing (0.35%), Expert Scrolls (0.95%)</t>
        </is>
      </c>
    </row>
    <row r="70">
      <c r="A70" s="4" t="inlineStr">
        <is>
          <t xml:space="preserve">   Cloisters Cards</t>
        </is>
      </c>
      <c r="B70" s="5" t="inlineStr">
        <is>
          <t>Blue</t>
        </is>
      </c>
      <c r="C70" s="5" t="inlineStr">
        <is>
          <t>FAME</t>
        </is>
      </c>
      <c r="D70" s="5" t="n"/>
      <c r="E70" s="5" t="n"/>
      <c r="F70" s="5" t="n"/>
      <c r="G70" s="5" t="n"/>
      <c r="H70" s="5" t="n"/>
      <c r="I70" s="5" t="n"/>
      <c r="J70" s="7" t="n">
        <v>30</v>
      </c>
      <c r="K70" s="7" t="n">
        <v>30</v>
      </c>
      <c r="L70" s="17" t="inlineStr">
        <is>
          <t>Lottery Machine #2 (0.26%)</t>
        </is>
      </c>
    </row>
    <row r="71">
      <c r="A71" s="4" t="inlineStr">
        <is>
          <t xml:space="preserve">   Storyteller</t>
        </is>
      </c>
      <c r="B71" s="5" t="inlineStr">
        <is>
          <t>Blue</t>
        </is>
      </c>
      <c r="C71" s="5" t="inlineStr">
        <is>
          <t>ART</t>
        </is>
      </c>
      <c r="D71" s="5" t="n"/>
      <c r="E71" s="5" t="n"/>
      <c r="F71" s="5" t="n"/>
      <c r="G71" s="5" t="n"/>
      <c r="H71" s="5" t="n"/>
      <c r="I71" s="5" t="n"/>
      <c r="J71" s="7" t="n">
        <v>30</v>
      </c>
      <c r="K71" s="7" t="n">
        <v>30</v>
      </c>
      <c r="L71" s="6" t="inlineStr">
        <is>
          <t>Lottery Machine #1 (0.07%), Wishing (2.6%), Novice Scrolls (1%)</t>
        </is>
      </c>
    </row>
    <row r="72">
      <c r="A72" s="4" t="inlineStr">
        <is>
          <t xml:space="preserve">   Gecko Tail Specimen</t>
        </is>
      </c>
      <c r="B72" s="5" t="inlineStr">
        <is>
          <t>Green</t>
        </is>
      </c>
      <c r="C72" s="5" t="inlineStr">
        <is>
          <t>CIV</t>
        </is>
      </c>
      <c r="D72" s="7" t="n"/>
      <c r="E72" s="5" t="n"/>
      <c r="F72" s="7" t="n"/>
      <c r="G72" s="5" t="n"/>
      <c r="H72" s="7" t="n">
        <v>1.8</v>
      </c>
      <c r="I72" s="5" t="n"/>
      <c r="J72" s="7" t="n"/>
      <c r="K72" s="5" t="n"/>
      <c r="L72" s="6" t="inlineStr">
        <is>
          <t>Shop Easter Egg</t>
        </is>
      </c>
    </row>
    <row r="73">
      <c r="A73" s="8" t="inlineStr">
        <is>
          <t>MAX INDIVIDUAL RELICS</t>
        </is>
      </c>
      <c r="B73" s="9" t="n"/>
      <c r="C73" s="9" t="n"/>
      <c r="D73" s="10">
        <f>sum(D65:E72)</f>
        <v/>
      </c>
      <c r="E73" s="9" t="n"/>
      <c r="F73" s="10">
        <f>sum(F65:G72)</f>
        <v/>
      </c>
      <c r="G73" s="9" t="n"/>
      <c r="H73" s="10">
        <f>sum(H65:I72)</f>
        <v/>
      </c>
      <c r="I73" s="9" t="n"/>
      <c r="J73" s="10">
        <f>sum(J65:K72)</f>
        <v/>
      </c>
      <c r="K73" s="9" t="n"/>
      <c r="L73" s="11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6" t="n"/>
    </row>
    <row r="75">
      <c r="A75" s="1" t="inlineStr">
        <is>
          <t>PARTNERS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3" t="n"/>
    </row>
    <row r="76">
      <c r="A76" s="8" t="inlineStr">
        <is>
          <t xml:space="preserve">   Zadako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10" t="n">
        <v>15</v>
      </c>
      <c r="K76" s="9" t="n"/>
      <c r="L76" s="11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6" t="n"/>
    </row>
    <row r="78">
      <c r="A78" s="1" t="inlineStr">
        <is>
          <t>RESONANCE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3" t="n"/>
    </row>
    <row r="79">
      <c r="A79" s="4" t="inlineStr">
        <is>
          <t xml:space="preserve">  BLUE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6" t="n"/>
    </row>
    <row r="80">
      <c r="A80" s="4" t="inlineStr">
        <is>
          <t xml:space="preserve">    Research Speed</t>
        </is>
      </c>
      <c r="B80" s="5" t="n"/>
      <c r="C80" s="5" t="n"/>
      <c r="D80" s="7" t="n">
        <v>3</v>
      </c>
      <c r="E80" s="5" t="n"/>
      <c r="F80" s="5" t="n"/>
      <c r="G80" s="5" t="n"/>
      <c r="H80" s="5" t="n"/>
      <c r="I80" s="5" t="n"/>
      <c r="J80" s="5" t="n"/>
      <c r="K80" s="5" t="n"/>
      <c r="L80" s="6" t="n"/>
    </row>
    <row r="81">
      <c r="A81" s="4" t="inlineStr">
        <is>
          <t xml:space="preserve">      Ranjyatai Incense</t>
        </is>
      </c>
      <c r="B81" s="5" t="inlineStr">
        <is>
          <t>Blue</t>
        </is>
      </c>
      <c r="C81" s="5" t="inlineStr">
        <is>
          <t>FTH</t>
        </is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6" t="inlineStr">
        <is>
          <t>Lottery Machine #1 (0.07%), Wishing (2.1%), Novice Scrolls (1%)</t>
        </is>
      </c>
    </row>
    <row r="82">
      <c r="A82" s="4" t="inlineStr">
        <is>
          <t xml:space="preserve">      Ancient Block</t>
        </is>
      </c>
      <c r="B82" s="5" t="inlineStr">
        <is>
          <t>Blue</t>
        </is>
      </c>
      <c r="C82" s="5" t="inlineStr">
        <is>
          <t>FTH</t>
        </is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6" t="inlineStr">
        <is>
          <t>Lottery Machine #1 (0.07%), Wishing (2.1%), Soul Chest (2%), Novice Scrolls (1%)</t>
        </is>
      </c>
    </row>
    <row r="83">
      <c r="A83" s="4" t="inlineStr">
        <is>
          <t xml:space="preserve">    Free Speedup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7" t="n">
        <v>30</v>
      </c>
      <c r="K83" s="5" t="n"/>
      <c r="L83" s="6" t="n"/>
    </row>
    <row r="84">
      <c r="A84" s="4" t="inlineStr">
        <is>
          <t xml:space="preserve">      Instant Noodle Recipe</t>
        </is>
      </c>
      <c r="B84" s="5" t="inlineStr">
        <is>
          <t>Blue</t>
        </is>
      </c>
      <c r="C84" s="5" t="inlineStr">
        <is>
          <t>FAME</t>
        </is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18" t="inlineStr">
        <is>
          <t>Lottery Machine #2 (0.26%)</t>
        </is>
      </c>
    </row>
    <row r="85">
      <c r="A85" s="4" t="inlineStr">
        <is>
          <t xml:space="preserve">      Appert's Glass Bottle</t>
        </is>
      </c>
      <c r="B85" s="5" t="inlineStr">
        <is>
          <t>Blue</t>
        </is>
      </c>
      <c r="C85" s="5" t="inlineStr">
        <is>
          <t>FAME</t>
        </is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18" t="inlineStr">
        <is>
          <t>Lottery Machine #2 (0.03%)</t>
        </is>
      </c>
    </row>
    <row r="86">
      <c r="A86" s="4" t="inlineStr">
        <is>
          <t xml:space="preserve">  PURPLE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6" t="n"/>
    </row>
    <row r="87">
      <c r="A87" s="4" t="inlineStr">
        <is>
          <t xml:space="preserve">    Research Speed</t>
        </is>
      </c>
      <c r="B87" s="5" t="n"/>
      <c r="C87" s="5" t="n"/>
      <c r="D87" s="7" t="n">
        <v>3.6</v>
      </c>
      <c r="E87" s="5" t="n"/>
      <c r="F87" s="5" t="n"/>
      <c r="G87" s="5" t="n"/>
      <c r="H87" s="5" t="n"/>
      <c r="I87" s="5" t="n"/>
      <c r="J87" s="5" t="n"/>
      <c r="K87" s="5" t="n"/>
      <c r="L87" s="6" t="n"/>
    </row>
    <row r="88">
      <c r="A88" s="4" t="inlineStr">
        <is>
          <t xml:space="preserve">      Jade Burial Suit</t>
        </is>
      </c>
      <c r="B88" s="5" t="inlineStr">
        <is>
          <t>AA</t>
        </is>
      </c>
      <c r="C88" s="5" t="inlineStr">
        <is>
          <t>FTH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6" t="inlineStr">
        <is>
          <t>Fragment Crafting (1.5%), Lottery Machine #1 (0.03%), Wishing (0.14%), Cathay Treasure Map (10% chance), Relic Forge (80 Relic RF)</t>
        </is>
      </c>
    </row>
    <row r="89">
      <c r="A89" s="4" t="inlineStr">
        <is>
          <t xml:space="preserve">      Yamato Mirror</t>
        </is>
      </c>
      <c r="B89" s="5" t="inlineStr">
        <is>
          <t>AAA</t>
        </is>
      </c>
      <c r="C89" s="5" t="inlineStr">
        <is>
          <t>FTH</t>
        </is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6" t="inlineStr">
        <is>
          <t>Fragment Crafting (1.5%), Lottery Machine #1 (0.03%), Wishing (0.14%), Relic Forge (80 Relic RF)</t>
        </is>
      </c>
    </row>
    <row r="90">
      <c r="A90" s="4" t="inlineStr">
        <is>
          <t xml:space="preserve">    Cells Consumed</t>
        </is>
      </c>
      <c r="B90" s="5" t="n"/>
      <c r="C90" s="5" t="n"/>
      <c r="D90" s="5" t="n"/>
      <c r="E90" s="5" t="n"/>
      <c r="F90" s="7" t="n">
        <v>3.6</v>
      </c>
      <c r="G90" s="5" t="n"/>
      <c r="H90" s="5" t="n"/>
      <c r="I90" s="5" t="n"/>
      <c r="J90" s="5" t="n"/>
      <c r="K90" s="5" t="n"/>
      <c r="L90" s="6" t="n"/>
    </row>
    <row r="91">
      <c r="A91" s="4" t="inlineStr">
        <is>
          <t xml:space="preserve">      Crystal Skull</t>
        </is>
      </c>
      <c r="B91" s="5" t="inlineStr">
        <is>
          <t>AAA</t>
        </is>
      </c>
      <c r="C91" s="5" t="inlineStr">
        <is>
          <t>ART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6" t="inlineStr">
        <is>
          <t>Fragment Crafting (1.6%), Lottery Machine #1 (0.03%), Wishing (0.14%), Time Chest (1.5%), Relic Forge (Relic RF 80)</t>
        </is>
      </c>
    </row>
    <row r="92">
      <c r="A92" s="4" t="inlineStr">
        <is>
          <t xml:space="preserve">      Truth Crystal</t>
        </is>
      </c>
      <c r="B92" s="5" t="inlineStr">
        <is>
          <t>AAA</t>
        </is>
      </c>
      <c r="C92" s="5" t="inlineStr">
        <is>
          <t>FTH</t>
        </is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6" t="inlineStr">
        <is>
          <t>Fragment Crating (1.5%), Lottery Machine #1 (0.03%), Wishing (0.14%), Relic Forge (80 Relic RF), Nebula Chest (1.5%)</t>
        </is>
      </c>
    </row>
    <row r="93">
      <c r="A93" s="4" t="inlineStr">
        <is>
          <t xml:space="preserve">  ORANGE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6" t="n"/>
    </row>
    <row r="94">
      <c r="A94" s="4" t="inlineStr">
        <is>
          <t xml:space="preserve">    Research Speed</t>
        </is>
      </c>
      <c r="B94" s="5" t="n"/>
      <c r="C94" s="5" t="n"/>
      <c r="D94" s="7" t="n">
        <v>5.4</v>
      </c>
      <c r="E94" s="5" t="n"/>
      <c r="F94" s="5" t="n"/>
      <c r="G94" s="5" t="n"/>
      <c r="H94" s="5" t="n"/>
      <c r="I94" s="5" t="n"/>
      <c r="J94" s="5" t="n"/>
      <c r="K94" s="5" t="n"/>
      <c r="L94" s="6" t="n"/>
    </row>
    <row r="95">
      <c r="A95" s="4" t="inlineStr">
        <is>
          <t xml:space="preserve">      SkyWeb Hub</t>
        </is>
      </c>
      <c r="B95" s="5" t="inlineStr">
        <is>
          <t>SS</t>
        </is>
      </c>
      <c r="C95" s="5" t="inlineStr">
        <is>
          <t>TECH</t>
        </is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6" t="inlineStr">
        <is>
          <t>Koryeon Domain, Fragment Crafting (5.2%), Lottery Machine #1 (0.24%), Wishing (0.19%), Super Treasure Maps (5%), Master Scrolls (1.9%), Grandmaster Scrolls (2.1%), TECH Master Scrolls (9.2%)</t>
        </is>
      </c>
    </row>
    <row r="96">
      <c r="A96" s="4" t="inlineStr">
        <is>
          <t xml:space="preserve">      Fu Hao Scripts</t>
        </is>
      </c>
      <c r="B96" s="5" t="inlineStr">
        <is>
          <t>SS</t>
        </is>
      </c>
      <c r="C96" s="5" t="inlineStr">
        <is>
          <t>CIV</t>
        </is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6" t="inlineStr">
        <is>
          <t>Fragment Crafting (4.1%), Lottery Machine #1 (0.18%), Wishing (0.15%), Grandmaster Scrolls (1.6%)</t>
        </is>
      </c>
    </row>
    <row r="97">
      <c r="A97" s="4" t="inlineStr">
        <is>
          <t xml:space="preserve">      Buddha Finger Sarira</t>
        </is>
      </c>
      <c r="B97" s="5" t="inlineStr">
        <is>
          <t>SS</t>
        </is>
      </c>
      <c r="C97" s="5" t="inlineStr">
        <is>
          <t>FTH</t>
        </is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6" t="inlineStr">
        <is>
          <t>Fragment Crafting (3.3%), Lottery Machine #1 (0.18%), Wishing (0.12%), Bharata Treasure Maps (%), Grandmaster Scrolls (1.6%)</t>
        </is>
      </c>
    </row>
    <row r="98">
      <c r="A98" s="4" t="inlineStr">
        <is>
          <t xml:space="preserve">      Proclamation 95</t>
        </is>
      </c>
      <c r="B98" s="5" t="inlineStr">
        <is>
          <t>SS</t>
        </is>
      </c>
      <c r="C98" s="5" t="inlineStr">
        <is>
          <t>FAME</t>
        </is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6" t="inlineStr">
        <is>
          <t>Fragment Crafting (0.61), Lottery Machine #1 (0.24%), Wishing (0.22%), Master Scrolls (0.19%), Grandmaster Scrolls (2.1%), FAME Master Scroll (9.2%)</t>
        </is>
      </c>
    </row>
    <row r="99">
      <c r="A99" s="4" t="inlineStr">
        <is>
          <t xml:space="preserve">    Cells Consumed</t>
        </is>
      </c>
      <c r="B99" s="5" t="n"/>
      <c r="C99" s="5" t="n"/>
      <c r="D99" s="5" t="n"/>
      <c r="E99" s="5" t="n"/>
      <c r="F99" s="7" t="n">
        <v>4.2</v>
      </c>
      <c r="G99" s="5" t="n"/>
      <c r="H99" s="5" t="n"/>
      <c r="I99" s="5" t="n"/>
      <c r="J99" s="5" t="n"/>
      <c r="K99" s="5" t="n"/>
      <c r="L99" s="6" t="n"/>
    </row>
    <row r="100">
      <c r="A100" s="4" t="inlineStr">
        <is>
          <t xml:space="preserve">      Mummy of Ramesses</t>
        </is>
      </c>
      <c r="B100" s="5" t="inlineStr">
        <is>
          <t>SS</t>
        </is>
      </c>
      <c r="C100" s="5" t="inlineStr">
        <is>
          <t>FTH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6" t="inlineStr">
        <is>
          <t>T7.5 Zombie Gene Research</t>
        </is>
      </c>
    </row>
    <row r="101">
      <c r="A101" s="4" t="inlineStr">
        <is>
          <t xml:space="preserve">      Ark of the Covenant</t>
        </is>
      </c>
      <c r="B101" s="5" t="inlineStr">
        <is>
          <t>SS</t>
        </is>
      </c>
      <c r="C101" s="5" t="inlineStr">
        <is>
          <t>FTH</t>
        </is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6" t="inlineStr">
        <is>
          <t>Fragment Crafting (15.1%), Lottery Machine #1 (0.81%), Wishing (0.53%), Relic Forge (90 Relic RF)</t>
        </is>
      </c>
    </row>
    <row r="102">
      <c r="A102" s="8" t="inlineStr">
        <is>
          <t>MAX RESONANCE</t>
        </is>
      </c>
      <c r="B102" s="9" t="n"/>
      <c r="C102" s="9" t="n"/>
      <c r="D102" s="10">
        <f>sum(D79:D101)</f>
        <v/>
      </c>
      <c r="E102" s="9" t="n"/>
      <c r="F102" s="10">
        <f>sum(F79:F101)</f>
        <v/>
      </c>
      <c r="G102" s="9" t="n"/>
      <c r="H102" s="10">
        <f>sum(H79:H101)</f>
        <v/>
      </c>
      <c r="I102" s="9" t="n"/>
      <c r="J102" s="10">
        <f>sum(J79:J101)</f>
        <v/>
      </c>
      <c r="K102" s="9" t="n"/>
      <c r="L102" s="11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12" t="inlineStr">
        <is>
          <t>DEMON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3" t="n"/>
    </row>
    <row r="106">
      <c r="A106" s="4" t="inlineStr">
        <is>
          <t>INDIVIDUAL RELICS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6" t="n"/>
    </row>
    <row r="107">
      <c r="A107" s="4" t="inlineStr">
        <is>
          <t xml:space="preserve">   5th Element</t>
        </is>
      </c>
      <c r="B107" s="5" t="inlineStr">
        <is>
          <t>SS</t>
        </is>
      </c>
      <c r="C107" s="5" t="inlineStr">
        <is>
          <t>TECH</t>
        </is>
      </c>
      <c r="D107" s="7" t="n">
        <v>7.2</v>
      </c>
      <c r="E107" s="5" t="n"/>
      <c r="F107" s="5" t="n"/>
      <c r="G107" s="5" t="n"/>
      <c r="H107" s="5" t="n"/>
      <c r="I107" s="5" t="n"/>
      <c r="J107" s="7" t="n">
        <v>72</v>
      </c>
      <c r="K107" s="7" t="n">
        <v>60</v>
      </c>
      <c r="L107" s="6" t="inlineStr">
        <is>
          <t>Fragment Crafting (5.2%), Lottery Machine #1 (0.24%), Wishing (0.19%), Master Scrolls (1.9%), Grandmaster Scrolls (2.1%), TECH Master Scrolls (9.2%)</t>
        </is>
      </c>
    </row>
    <row r="108">
      <c r="A108" s="4" t="inlineStr">
        <is>
          <t xml:space="preserve">   Dream Top</t>
        </is>
      </c>
      <c r="B108" s="5" t="inlineStr">
        <is>
          <t>AAA</t>
        </is>
      </c>
      <c r="C108" s="5" t="inlineStr">
        <is>
          <t>CIV</t>
        </is>
      </c>
      <c r="D108" s="7" t="n">
        <v>5.4</v>
      </c>
      <c r="E108" s="7" t="n">
        <v>4.2</v>
      </c>
      <c r="F108" s="5" t="n"/>
      <c r="G108" s="5" t="n"/>
      <c r="H108" s="5" t="n"/>
      <c r="I108" s="5" t="n"/>
      <c r="J108" s="5" t="n"/>
      <c r="K108" s="5" t="n"/>
      <c r="L108" s="6" t="inlineStr">
        <is>
          <t>Fragment Crafting (1.5%), Lottery Machine #1 (0.03%), Wishing (0.14%), Time Chest (1.5%), Relic Forge (80 Relic RF)</t>
        </is>
      </c>
    </row>
    <row r="109">
      <c r="A109" s="4" t="inlineStr">
        <is>
          <t xml:space="preserve">   Corinthian Pillar</t>
        </is>
      </c>
      <c r="B109" s="5" t="inlineStr">
        <is>
          <t>AAA</t>
        </is>
      </c>
      <c r="C109" s="5" t="inlineStr">
        <is>
          <t>FTH</t>
        </is>
      </c>
      <c r="D109" s="5" t="n"/>
      <c r="E109" s="5" t="n"/>
      <c r="F109" s="7" t="n">
        <v>5.4</v>
      </c>
      <c r="G109" s="5" t="n"/>
      <c r="H109" s="7" t="n">
        <v>5.4</v>
      </c>
      <c r="I109" s="7" t="n">
        <v>4.2</v>
      </c>
      <c r="J109" s="5" t="n"/>
      <c r="K109" s="5" t="n"/>
      <c r="L109" s="6" t="inlineStr">
        <is>
          <t>Fragment Crafting (1.5%), Lottery Machine #1 (0.03%), Wishing (0.14%), Relic Forge (80 Relic RF)</t>
        </is>
      </c>
    </row>
    <row r="110">
      <c r="A110" s="4" t="inlineStr">
        <is>
          <t xml:space="preserve">   Pompeii</t>
        </is>
      </c>
      <c r="B110" s="5" t="inlineStr">
        <is>
          <t>Blue</t>
        </is>
      </c>
      <c r="C110" s="5" t="inlineStr">
        <is>
          <t>ART</t>
        </is>
      </c>
      <c r="D110" s="5" t="n"/>
      <c r="E110" s="5" t="n"/>
      <c r="F110" s="5" t="n"/>
      <c r="G110" s="5" t="n"/>
      <c r="H110" s="5" t="n"/>
      <c r="I110" s="5" t="n"/>
      <c r="J110" s="7" t="n">
        <v>30</v>
      </c>
      <c r="K110" s="7" t="n">
        <v>30</v>
      </c>
      <c r="L110" s="18" t="inlineStr">
        <is>
          <t>Lottery Machine #2 (0.03%)</t>
        </is>
      </c>
    </row>
    <row r="111">
      <c r="A111" s="4" t="inlineStr">
        <is>
          <t xml:space="preserve">   Opera Phantom</t>
        </is>
      </c>
      <c r="B111" s="5" t="inlineStr">
        <is>
          <t>Blue</t>
        </is>
      </c>
      <c r="C111" s="5" t="inlineStr">
        <is>
          <t>ART</t>
        </is>
      </c>
      <c r="D111" s="5" t="n"/>
      <c r="E111" s="5" t="n"/>
      <c r="F111" s="5" t="n"/>
      <c r="G111" s="5" t="n"/>
      <c r="H111" s="5" t="n"/>
      <c r="I111" s="5" t="n"/>
      <c r="J111" s="7" t="n">
        <v>30</v>
      </c>
      <c r="K111" s="7" t="n">
        <v>30</v>
      </c>
      <c r="L111" s="6" t="inlineStr">
        <is>
          <t>Lottery Machine #1 (0.03%), Wishing (1.2%)</t>
        </is>
      </c>
    </row>
    <row r="112">
      <c r="A112" s="4" t="inlineStr">
        <is>
          <t xml:space="preserve">   Death Vase</t>
        </is>
      </c>
      <c r="B112" s="5" t="inlineStr">
        <is>
          <t>Green</t>
        </is>
      </c>
      <c r="C112" s="5" t="inlineStr">
        <is>
          <t>ART</t>
        </is>
      </c>
      <c r="D112" s="7" t="n"/>
      <c r="E112" s="5" t="n"/>
      <c r="F112" s="7" t="n"/>
      <c r="G112" s="5" t="n"/>
      <c r="H112" s="7" t="n">
        <v>1.8</v>
      </c>
      <c r="I112" s="5" t="n"/>
      <c r="J112" s="7" t="n"/>
      <c r="K112" s="5" t="n"/>
      <c r="L112" s="6" t="inlineStr">
        <is>
          <t>"I want your collection!" Dragon Wish</t>
        </is>
      </c>
    </row>
    <row r="113">
      <c r="A113" s="8" t="inlineStr">
        <is>
          <t>MAX INDIVIDUAL RELICS</t>
        </is>
      </c>
      <c r="B113" s="9" t="n"/>
      <c r="C113" s="9" t="n"/>
      <c r="D113" s="10">
        <f>sum(D106:E112)</f>
        <v/>
      </c>
      <c r="E113" s="9" t="n"/>
      <c r="F113" s="10">
        <f>sum(F106:G112)</f>
        <v/>
      </c>
      <c r="G113" s="9" t="n"/>
      <c r="H113" s="10">
        <f>sum(H106:I112)</f>
        <v/>
      </c>
      <c r="I113" s="9" t="n"/>
      <c r="J113" s="10">
        <f>sum(J106:K112)</f>
        <v/>
      </c>
      <c r="K113" s="9" t="n"/>
      <c r="L113" s="11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6" t="n"/>
    </row>
    <row r="115">
      <c r="A115" s="1" t="inlineStr">
        <is>
          <t>RESONANCE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3" t="n"/>
    </row>
    <row r="116">
      <c r="A116" s="4" t="inlineStr">
        <is>
          <t xml:space="preserve">  BLUE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6" t="n"/>
    </row>
    <row r="117">
      <c r="A117" s="4" t="inlineStr">
        <is>
          <t xml:space="preserve">    Research Speed</t>
        </is>
      </c>
      <c r="B117" s="5" t="n"/>
      <c r="C117" s="5" t="n"/>
      <c r="D117" s="7" t="n">
        <v>3.6</v>
      </c>
      <c r="E117" s="5" t="n"/>
      <c r="F117" s="5" t="n"/>
      <c r="G117" s="5" t="n"/>
      <c r="H117" s="5" t="n"/>
      <c r="I117" s="5" t="n"/>
      <c r="J117" s="5" t="n"/>
      <c r="K117" s="5" t="n"/>
      <c r="L117" s="6" t="n"/>
    </row>
    <row r="118">
      <c r="A118" s="4" t="inlineStr">
        <is>
          <t xml:space="preserve">      Ludovisi Gaul</t>
        </is>
      </c>
      <c r="B118" s="5" t="inlineStr">
        <is>
          <t>Blue</t>
        </is>
      </c>
      <c r="C118" s="5" t="inlineStr">
        <is>
          <t>ART</t>
        </is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6" t="inlineStr">
        <is>
          <t>Lottery Machine #1 (0.07%), Wishing (3%), Novice Scrolls (1%)</t>
        </is>
      </c>
    </row>
    <row r="119">
      <c r="A119" s="4" t="inlineStr">
        <is>
          <t xml:space="preserve">      Twelve Tables</t>
        </is>
      </c>
      <c r="B119" s="5" t="inlineStr">
        <is>
          <t>Blue</t>
        </is>
      </c>
      <c r="C119" s="5" t="inlineStr">
        <is>
          <t>FAME</t>
        </is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6" t="inlineStr">
        <is>
          <t>Lottery Machine #1 (0.03%), Wishing (1.2%)</t>
        </is>
      </c>
    </row>
    <row r="120">
      <c r="A120" s="4" t="inlineStr">
        <is>
          <t xml:space="preserve">      Ranjyatai Incense</t>
        </is>
      </c>
      <c r="B120" s="5" t="inlineStr">
        <is>
          <t>Blue</t>
        </is>
      </c>
      <c r="C120" s="5" t="inlineStr">
        <is>
          <t>FTH</t>
        </is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6" t="inlineStr">
        <is>
          <t>Lottery Machine #1 (0.07%), Wishing (2.1%), Novice Scrolls (1%)</t>
        </is>
      </c>
    </row>
    <row r="121">
      <c r="A121" s="4" t="inlineStr">
        <is>
          <t xml:space="preserve">    Free Speedup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7" t="n">
        <v>30</v>
      </c>
      <c r="K121" s="5" t="n"/>
      <c r="L121" s="6" t="n"/>
    </row>
    <row r="122">
      <c r="A122" s="4" t="inlineStr">
        <is>
          <t xml:space="preserve">      Pompeii</t>
        </is>
      </c>
      <c r="B122" s="5" t="inlineStr">
        <is>
          <t>Blue</t>
        </is>
      </c>
      <c r="C122" s="5" t="inlineStr">
        <is>
          <t>ART</t>
        </is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18" t="inlineStr">
        <is>
          <t>Lottery Machine #2 (0.03%)</t>
        </is>
      </c>
    </row>
    <row r="123">
      <c r="A123" s="4" t="inlineStr">
        <is>
          <t xml:space="preserve">      The Fall of Phaethon</t>
        </is>
      </c>
      <c r="B123" s="5" t="inlineStr">
        <is>
          <t>Blue</t>
        </is>
      </c>
      <c r="C123" s="5" t="inlineStr">
        <is>
          <t>ART</t>
        </is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18" t="inlineStr">
        <is>
          <t>Lottery Machine #2 (0.03%), Indigent Nobleman (72K B-tads)</t>
        </is>
      </c>
    </row>
    <row r="124">
      <c r="A124" s="4" t="inlineStr">
        <is>
          <t xml:space="preserve">  PURPLE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6" t="n"/>
    </row>
    <row r="125">
      <c r="A125" s="4" t="inlineStr">
        <is>
          <t xml:space="preserve">    Research Speed</t>
        </is>
      </c>
      <c r="B125" s="5" t="n"/>
      <c r="C125" s="5" t="n"/>
      <c r="D125" s="7" t="n">
        <v>3.6</v>
      </c>
      <c r="E125" s="5" t="n"/>
      <c r="F125" s="5" t="n"/>
      <c r="G125" s="5" t="n"/>
      <c r="H125" s="5" t="n"/>
      <c r="I125" s="5" t="n"/>
      <c r="J125" s="5" t="n"/>
      <c r="K125" s="5" t="n"/>
      <c r="L125" s="6" t="n"/>
    </row>
    <row r="126">
      <c r="A126" s="4" t="inlineStr">
        <is>
          <t xml:space="preserve">      Blood of Dracula</t>
        </is>
      </c>
      <c r="B126" s="5" t="inlineStr">
        <is>
          <t>AA</t>
        </is>
      </c>
      <c r="C126" s="5" t="inlineStr">
        <is>
          <t>FTH</t>
        </is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6" t="inlineStr">
        <is>
          <t>Fragment Crafting (3.8%), Lottery Machine #1 (0.08%), Wishing (0.35%), Soul Chest (1.5%), Expert Scrolls (0.95%)</t>
        </is>
      </c>
    </row>
    <row r="127">
      <c r="A127" s="4" t="inlineStr">
        <is>
          <t xml:space="preserve">      Death of Marat</t>
        </is>
      </c>
      <c r="B127" s="5" t="inlineStr">
        <is>
          <t>AA</t>
        </is>
      </c>
      <c r="C127" s="5" t="inlineStr">
        <is>
          <t>ART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6" t="inlineStr">
        <is>
          <t>Fragment Crafting (3.9%), Lottery Machine #1 (0.08%), Wishing (0.36%), Expert Scrolls (0.95%)</t>
        </is>
      </c>
    </row>
    <row r="128">
      <c r="A128" s="4" t="inlineStr">
        <is>
          <t xml:space="preserve">    Cells Consumed</t>
        </is>
      </c>
      <c r="B128" s="5" t="n"/>
      <c r="C128" s="5" t="n"/>
      <c r="D128" s="5" t="n"/>
      <c r="E128" s="5" t="n"/>
      <c r="F128" s="7" t="n">
        <v>3.6</v>
      </c>
      <c r="G128" s="5" t="n"/>
      <c r="H128" s="5" t="n"/>
      <c r="I128" s="5" t="n"/>
      <c r="J128" s="5" t="n"/>
      <c r="K128" s="5" t="n"/>
      <c r="L128" s="6" t="n"/>
    </row>
    <row r="129">
      <c r="A129" s="4" t="inlineStr">
        <is>
          <t xml:space="preserve">      Augustus' Medal</t>
        </is>
      </c>
      <c r="B129" s="5" t="inlineStr">
        <is>
          <t>AAA</t>
        </is>
      </c>
      <c r="C129" s="5" t="inlineStr">
        <is>
          <t>FAME</t>
        </is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6" t="inlineStr">
        <is>
          <t>Fragment Crafting (1.6%), Lottery Machine #1 (0.03%), Wishing (0.14%), Club Chest (1.5%), Relic Forge (80 Relic RF)</t>
        </is>
      </c>
    </row>
    <row r="130">
      <c r="A130" s="4" t="inlineStr">
        <is>
          <t xml:space="preserve">      Plantagenet Badge</t>
        </is>
      </c>
      <c r="B130" s="5" t="inlineStr">
        <is>
          <t>AAA</t>
        </is>
      </c>
      <c r="C130" s="5" t="inlineStr">
        <is>
          <t>FAME</t>
        </is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6" t="inlineStr">
        <is>
          <t>Fragment Crafting (1.6%), Lottery Machine #1 (0.03%), Wishing (0.14%), Relic Forge (80 Relic RF)</t>
        </is>
      </c>
    </row>
    <row r="131">
      <c r="A131" s="4" t="inlineStr">
        <is>
          <t xml:space="preserve">  ORANGE</t>
        </is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6" t="n"/>
    </row>
    <row r="132">
      <c r="A132" s="4" t="inlineStr">
        <is>
          <t xml:space="preserve">    Research Speed</t>
        </is>
      </c>
      <c r="B132" s="5" t="n"/>
      <c r="C132" s="5" t="n"/>
      <c r="D132" s="7" t="n">
        <v>4.2</v>
      </c>
      <c r="E132" s="5" t="n"/>
      <c r="F132" s="5" t="n"/>
      <c r="G132" s="5" t="n"/>
      <c r="H132" s="5" t="n"/>
      <c r="I132" s="5" t="n"/>
      <c r="J132" s="5" t="n"/>
      <c r="K132" s="5" t="n"/>
      <c r="L132" s="6" t="n"/>
    </row>
    <row r="133">
      <c r="A133" s="4" t="inlineStr">
        <is>
          <t xml:space="preserve">      The Key of Solomon</t>
        </is>
      </c>
      <c r="B133" s="5" t="inlineStr">
        <is>
          <t>SS</t>
        </is>
      </c>
      <c r="C133" s="5" t="inlineStr">
        <is>
          <t>FTH</t>
        </is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6" t="inlineStr">
        <is>
          <t>T7.5 Demon Gene Research</t>
        </is>
      </c>
    </row>
    <row r="134">
      <c r="A134" s="4" t="inlineStr">
        <is>
          <t xml:space="preserve">      Eye of Akamoddo</t>
        </is>
      </c>
      <c r="B134" s="5" t="inlineStr">
        <is>
          <t>SS</t>
        </is>
      </c>
      <c r="C134" s="5" t="inlineStr">
        <is>
          <t>FTH</t>
        </is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6" t="inlineStr">
        <is>
          <t>Fragment Crafting (4.4%), Lottery Machine #1 (0.24%), Wishing (0.16%), Time Chest (1%), Master Scrolls (1.9%), Grandmaster Scrolls (2.1%), FTH Master Scrolls (9.2%)</t>
        </is>
      </c>
    </row>
    <row r="135">
      <c r="A135" s="4" t="inlineStr">
        <is>
          <t xml:space="preserve">    Cells Consumed</t>
        </is>
      </c>
      <c r="B135" s="5" t="n"/>
      <c r="C135" s="5" t="n"/>
      <c r="D135" s="5" t="n"/>
      <c r="E135" s="5" t="n"/>
      <c r="F135" s="7" t="n">
        <v>4.2</v>
      </c>
      <c r="G135" s="5" t="n"/>
      <c r="H135" s="5" t="n"/>
      <c r="I135" s="5" t="n"/>
      <c r="J135" s="5" t="n"/>
      <c r="K135" s="5" t="n"/>
      <c r="L135" s="6" t="n"/>
    </row>
    <row r="136">
      <c r="A136" s="4" t="inlineStr">
        <is>
          <t xml:space="preserve">      Soul Stone</t>
        </is>
      </c>
      <c r="B136" s="5" t="inlineStr">
        <is>
          <t>SSS</t>
        </is>
      </c>
      <c r="C136" s="5" t="inlineStr">
        <is>
          <t>FTH</t>
        </is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6" t="inlineStr">
        <is>
          <t>Lottery Machine #1 (0.09%), Wishing (0.06%), Soul Chest (0.01%), Grandmaster Scrolls (0.81%), Relic Forge (120 Relic RF)</t>
        </is>
      </c>
    </row>
    <row r="137">
      <c r="A137" s="4" t="inlineStr">
        <is>
          <t xml:space="preserve">      Scale of Anubis</t>
        </is>
      </c>
      <c r="B137" s="5" t="inlineStr">
        <is>
          <t>SSS</t>
        </is>
      </c>
      <c r="C137" s="5" t="inlineStr">
        <is>
          <t>FTH</t>
        </is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6" t="inlineStr">
        <is>
          <t>Fissure Level 550, Ad Chest (0.2%)</t>
        </is>
      </c>
    </row>
    <row r="138">
      <c r="A138" s="8" t="inlineStr">
        <is>
          <t>MAX RESONANCE</t>
        </is>
      </c>
      <c r="B138" s="9" t="n"/>
      <c r="C138" s="9" t="n"/>
      <c r="D138" s="10">
        <f>sum(D116:D137)</f>
        <v/>
      </c>
      <c r="E138" s="9" t="n"/>
      <c r="F138" s="10">
        <f>sum(F116:F137)</f>
        <v/>
      </c>
      <c r="G138" s="9" t="n"/>
      <c r="H138" s="10">
        <f>sum(H116:H137)</f>
        <v/>
      </c>
      <c r="I138" s="9" t="n"/>
      <c r="J138" s="10">
        <f>sum(J116:J137)</f>
        <v/>
      </c>
      <c r="K138" s="9" t="n"/>
      <c r="L138" s="11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12" t="inlineStr">
        <is>
          <t>ANGEL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3" t="n"/>
    </row>
    <row r="142">
      <c r="A142" s="4" t="inlineStr">
        <is>
          <t>INDIVIDUAL RELICS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6" t="n"/>
    </row>
    <row r="143">
      <c r="A143" s="4" t="inlineStr">
        <is>
          <t xml:space="preserve">   Noah's Ark</t>
        </is>
      </c>
      <c r="B143" s="5" t="inlineStr">
        <is>
          <t>SSS</t>
        </is>
      </c>
      <c r="C143" s="5" t="inlineStr">
        <is>
          <t>FAME</t>
        </is>
      </c>
      <c r="D143" s="7" t="n">
        <v>6</v>
      </c>
      <c r="E143" s="5" t="n"/>
      <c r="F143" s="5" t="n"/>
      <c r="G143" s="5" t="n"/>
      <c r="H143" s="5" t="n"/>
      <c r="I143" s="5" t="n"/>
      <c r="J143" s="5" t="n"/>
      <c r="K143" s="5" t="n"/>
      <c r="L143" s="6" t="inlineStr">
        <is>
          <t>Weekly Special Reward Relic #3</t>
        </is>
      </c>
    </row>
    <row r="144">
      <c r="A144" s="4" t="inlineStr">
        <is>
          <t xml:space="preserve">   Hubble Telescope</t>
        </is>
      </c>
      <c r="B144" s="5" t="inlineStr">
        <is>
          <t>SSS</t>
        </is>
      </c>
      <c r="C144" s="5" t="inlineStr">
        <is>
          <t>TECH</t>
        </is>
      </c>
      <c r="D144" s="7" t="n">
        <v>6</v>
      </c>
      <c r="E144" s="5" t="n"/>
      <c r="F144" s="5" t="n"/>
      <c r="G144" s="5" t="n"/>
      <c r="H144" s="5" t="n"/>
      <c r="I144" s="5" t="n"/>
      <c r="J144" s="7" t="n">
        <v>60</v>
      </c>
      <c r="K144" s="7" t="n">
        <v>60</v>
      </c>
      <c r="L144" s="6" t="inlineStr">
        <is>
          <t>Fragment Crafting (17.8%), Lottery Machine #1 (0.80%), Wishing (0.65%), Super Treasure Maps (15%), Relic Forge (90 Relic RF)</t>
        </is>
      </c>
    </row>
    <row r="145">
      <c r="A145" s="4" t="inlineStr">
        <is>
          <t xml:space="preserve">   Azoth</t>
        </is>
      </c>
      <c r="B145" s="5" t="inlineStr">
        <is>
          <t>AAA</t>
        </is>
      </c>
      <c r="C145" s="5" t="inlineStr">
        <is>
          <t>FTH</t>
        </is>
      </c>
      <c r="D145" s="7" t="n"/>
      <c r="E145" s="5" t="n"/>
      <c r="F145" s="5" t="n"/>
      <c r="G145" s="5" t="n"/>
      <c r="H145" s="5" t="n">
        <v>5.4</v>
      </c>
      <c r="I145" s="5" t="n"/>
      <c r="J145" s="5" t="n"/>
      <c r="K145" s="5" t="n"/>
      <c r="L145" s="19" t="inlineStr">
        <is>
          <t>Domain Exploration Reward</t>
        </is>
      </c>
    </row>
    <row r="146">
      <c r="A146" s="4" t="inlineStr">
        <is>
          <t xml:space="preserve">   The Nutcracker</t>
        </is>
      </c>
      <c r="B146" s="5" t="inlineStr">
        <is>
          <t>AAA</t>
        </is>
      </c>
      <c r="C146" s="5" t="inlineStr">
        <is>
          <t>ART</t>
        </is>
      </c>
      <c r="D146" s="7" t="n">
        <v>5.4</v>
      </c>
      <c r="E146" s="5" t="n"/>
      <c r="F146" s="5" t="n"/>
      <c r="G146" s="5" t="n"/>
      <c r="H146" s="5" t="n"/>
      <c r="I146" s="5" t="n"/>
      <c r="J146" s="5" t="n"/>
      <c r="K146" s="5" t="n"/>
      <c r="L146" s="6" t="inlineStr">
        <is>
          <t>Fragment Crafting (1.6%), Lottery Machine #1 (0.03%), Wishing (0.14%), Relic Forge (80 Relic RF)</t>
        </is>
      </c>
    </row>
    <row r="147">
      <c r="A147" s="4" t="inlineStr">
        <is>
          <t xml:space="preserve">   Moonlight Sonata</t>
        </is>
      </c>
      <c r="B147" s="5" t="inlineStr">
        <is>
          <t>AAA</t>
        </is>
      </c>
      <c r="C147" s="5" t="inlineStr">
        <is>
          <t>ART</t>
        </is>
      </c>
      <c r="D147" s="5" t="n"/>
      <c r="E147" s="5" t="n"/>
      <c r="F147" s="7" t="n">
        <v>5.4</v>
      </c>
      <c r="G147" s="5" t="n"/>
      <c r="H147" s="7" t="n">
        <v>5.4</v>
      </c>
      <c r="I147" s="7" t="n">
        <v>4.2</v>
      </c>
      <c r="J147" s="5" t="n"/>
      <c r="K147" s="5" t="n"/>
      <c r="L147" s="6" t="inlineStr">
        <is>
          <t>Fragment Crafting (1.6%), Lottery Machine #1 (0.03%), Wishing (0.14%), Relic Forge (80 Relic RF), Nebula Chest (1.5%)</t>
        </is>
      </c>
    </row>
    <row r="148">
      <c r="A148" s="4" t="inlineStr">
        <is>
          <t xml:space="preserve">   Ouroboros Mark</t>
        </is>
      </c>
      <c r="B148" s="5" t="inlineStr">
        <is>
          <t>Blue</t>
        </is>
      </c>
      <c r="C148" s="5" t="inlineStr">
        <is>
          <t>FTH</t>
        </is>
      </c>
      <c r="D148" s="5" t="n"/>
      <c r="E148" s="5" t="n"/>
      <c r="F148" s="5" t="n"/>
      <c r="G148" s="5" t="n"/>
      <c r="H148" s="5" t="n"/>
      <c r="I148" s="5" t="n"/>
      <c r="J148" s="7" t="n">
        <v>30</v>
      </c>
      <c r="K148" s="7" t="n">
        <v>30</v>
      </c>
      <c r="L148" s="18" t="inlineStr">
        <is>
          <t>Lottery Machine #2 (0.26%)</t>
        </is>
      </c>
    </row>
    <row r="149">
      <c r="A149" s="4" t="inlineStr">
        <is>
          <t xml:space="preserve">   Peter Pan's Flute</t>
        </is>
      </c>
      <c r="B149" s="5" t="inlineStr">
        <is>
          <t>Blue</t>
        </is>
      </c>
      <c r="C149" s="5" t="inlineStr">
        <is>
          <t>FAME</t>
        </is>
      </c>
      <c r="D149" s="5" t="n"/>
      <c r="E149" s="5" t="n"/>
      <c r="F149" s="5" t="n"/>
      <c r="G149" s="5" t="n"/>
      <c r="H149" s="5" t="n"/>
      <c r="I149" s="5" t="n"/>
      <c r="J149" s="7" t="n">
        <v>30</v>
      </c>
      <c r="K149" s="7" t="n">
        <v>30</v>
      </c>
      <c r="L149" s="6" t="inlineStr">
        <is>
          <t>Lottery Machine #1 (0.03%), Wishing (1.2%), Britland Treasure Map (20%)</t>
        </is>
      </c>
    </row>
    <row r="150">
      <c r="A150" s="8" t="inlineStr">
        <is>
          <t>MAX INDIVIDUAL RELICS</t>
        </is>
      </c>
      <c r="B150" s="9" t="n"/>
      <c r="C150" s="9" t="n"/>
      <c r="D150" s="10">
        <f>sum(D143:E149)</f>
        <v/>
      </c>
      <c r="E150" s="9" t="n"/>
      <c r="F150" s="10">
        <f>sum(F143:G149)</f>
        <v/>
      </c>
      <c r="G150" s="9" t="n"/>
      <c r="H150" s="10">
        <f>sum(H143:I149)</f>
        <v/>
      </c>
      <c r="I150" s="9" t="n"/>
      <c r="J150" s="10">
        <f>sum(J143:K149)</f>
        <v/>
      </c>
      <c r="K150" s="9" t="n"/>
      <c r="L150" s="11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6" t="n"/>
    </row>
    <row r="152">
      <c r="A152" s="1" t="inlineStr">
        <is>
          <t>PARTNERS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3" t="n"/>
    </row>
    <row r="153">
      <c r="A153" s="8" t="inlineStr">
        <is>
          <t xml:space="preserve">   Leeku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10" t="n">
        <v>15</v>
      </c>
      <c r="K153" s="9" t="n"/>
      <c r="L153" s="11" t="n"/>
    </row>
    <row r="154">
      <c r="A154" s="20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6" t="n"/>
    </row>
    <row r="155">
      <c r="A155" s="1" t="inlineStr">
        <is>
          <t>RESONANCE</t>
        </is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3" t="n"/>
    </row>
    <row r="156">
      <c r="A156" s="4" t="inlineStr">
        <is>
          <t xml:space="preserve">  BLUE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6" t="n"/>
    </row>
    <row r="157">
      <c r="A157" s="4" t="inlineStr">
        <is>
          <t xml:space="preserve">    Research Speed</t>
        </is>
      </c>
      <c r="B157" s="5" t="n"/>
      <c r="C157" s="5" t="n"/>
      <c r="D157" s="7" t="n">
        <v>3</v>
      </c>
      <c r="E157" s="5" t="n"/>
      <c r="F157" s="5" t="n"/>
      <c r="G157" s="5" t="n"/>
      <c r="H157" s="5" t="n"/>
      <c r="I157" s="5" t="n"/>
      <c r="J157" s="5" t="n"/>
      <c r="K157" s="5" t="n"/>
      <c r="L157" s="6" t="n"/>
    </row>
    <row r="158">
      <c r="A158" s="4" t="inlineStr">
        <is>
          <t xml:space="preserve">      Faraday's Dynamo</t>
        </is>
      </c>
      <c r="B158" s="5" t="inlineStr">
        <is>
          <t>Blue</t>
        </is>
      </c>
      <c r="C158" s="5" t="inlineStr">
        <is>
          <t>TECH</t>
        </is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6" t="inlineStr">
        <is>
          <t>Lottery Machine #1 (0.07%), Wishing (2.6%), Tool Chest (2%), Novice Scrolls (1%)</t>
        </is>
      </c>
    </row>
    <row r="159">
      <c r="A159" s="4" t="inlineStr">
        <is>
          <t xml:space="preserve">      Linde's Fridge</t>
        </is>
      </c>
      <c r="B159" s="5" t="inlineStr">
        <is>
          <t>Blue</t>
        </is>
      </c>
      <c r="C159" s="5" t="inlineStr">
        <is>
          <t>TECH</t>
        </is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6" t="inlineStr">
        <is>
          <t>Mecha Gene Research T2</t>
        </is>
      </c>
    </row>
    <row r="160">
      <c r="A160" s="4" t="inlineStr">
        <is>
          <t xml:space="preserve">    Free Speedup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7" t="n">
        <v>30</v>
      </c>
      <c r="K160" s="5" t="n"/>
      <c r="L160" s="6" t="n"/>
    </row>
    <row r="161">
      <c r="A161" s="4" t="inlineStr">
        <is>
          <t xml:space="preserve">      Acta Apostolicae Sedis</t>
        </is>
      </c>
      <c r="B161" s="5" t="inlineStr">
        <is>
          <t>Blue</t>
        </is>
      </c>
      <c r="C161" s="5" t="inlineStr">
        <is>
          <t>FTH</t>
        </is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18" t="inlineStr">
        <is>
          <t>Lottery Machine #2 (0.07%)</t>
        </is>
      </c>
    </row>
    <row r="162">
      <c r="A162" s="4" t="inlineStr">
        <is>
          <t xml:space="preserve">      Innocent III Armorial</t>
        </is>
      </c>
      <c r="B162" s="5" t="inlineStr">
        <is>
          <t>Blue</t>
        </is>
      </c>
      <c r="C162" s="5" t="inlineStr">
        <is>
          <t>FTH</t>
        </is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18" t="inlineStr">
        <is>
          <t>Lottery Machine #2 (0.03%), Indigent Nobleman (72K B-tads)</t>
        </is>
      </c>
    </row>
    <row r="163">
      <c r="A163" s="4" t="inlineStr">
        <is>
          <t xml:space="preserve">  PURPLE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6" t="n"/>
    </row>
    <row r="164">
      <c r="A164" s="4" t="inlineStr">
        <is>
          <t xml:space="preserve">    Research Speed</t>
        </is>
      </c>
      <c r="B164" s="5" t="n"/>
      <c r="C164" s="5" t="n"/>
      <c r="D164" s="7" t="n">
        <v>3.6</v>
      </c>
      <c r="E164" s="5" t="n"/>
      <c r="F164" s="5" t="n"/>
      <c r="G164" s="5" t="n"/>
      <c r="H164" s="5" t="n"/>
      <c r="I164" s="5" t="n"/>
      <c r="J164" s="5" t="n"/>
      <c r="K164" s="5" t="n"/>
      <c r="L164" s="6" t="n"/>
    </row>
    <row r="165">
      <c r="A165" s="4" t="inlineStr">
        <is>
          <t xml:space="preserve">      Tesla Coil</t>
        </is>
      </c>
      <c r="B165" s="5" t="inlineStr">
        <is>
          <t>AAA</t>
        </is>
      </c>
      <c r="C165" s="5" t="inlineStr">
        <is>
          <t>TECH</t>
        </is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6" t="inlineStr">
        <is>
          <t>Fragment Crafting (1.6%), Lottery Machine #1 (0.03%), Wishing (0.14%), Tool Chest (1.5%), Relic Forge (80 Relic RF)</t>
        </is>
      </c>
    </row>
    <row r="166">
      <c r="A166" s="4" t="inlineStr">
        <is>
          <t xml:space="preserve">      ENIAC Prototype</t>
        </is>
      </c>
      <c r="B166" s="5" t="inlineStr">
        <is>
          <t>AA</t>
        </is>
      </c>
      <c r="C166" s="5" t="inlineStr">
        <is>
          <t>TECH</t>
        </is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6" t="inlineStr">
        <is>
          <t>Fragment Crafting (3.9%), Lottery Machine #1 (0.08%), Wishing (0.36%), Murikan Treasure Map (10%), Expert Scrolls (0.95%)</t>
        </is>
      </c>
    </row>
    <row r="167">
      <c r="A167" s="4" t="inlineStr">
        <is>
          <t xml:space="preserve">    Cells Consumed</t>
        </is>
      </c>
      <c r="B167" s="5" t="n"/>
      <c r="C167" s="5" t="n"/>
      <c r="D167" s="5" t="n"/>
      <c r="E167" s="5" t="n"/>
      <c r="F167" s="7" t="n">
        <v>3.6</v>
      </c>
      <c r="G167" s="5" t="n"/>
      <c r="H167" s="5" t="n"/>
      <c r="I167" s="5" t="n"/>
      <c r="J167" s="5" t="n"/>
      <c r="K167" s="5" t="n"/>
      <c r="L167" s="6" t="n"/>
    </row>
    <row r="168">
      <c r="A168" s="4" t="inlineStr">
        <is>
          <t xml:space="preserve">      Zoroaster's Torch</t>
        </is>
      </c>
      <c r="B168" s="5" t="inlineStr">
        <is>
          <t>AA</t>
        </is>
      </c>
      <c r="C168" s="5" t="inlineStr">
        <is>
          <t>FTH</t>
        </is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6" t="inlineStr">
        <is>
          <t>Fragment Crafting (3.8%), Lottery Machine #1 (0.08%), Wishing (0.35%), Hellas Treasure Maps (%), Expert Scrolls (0.95%)</t>
        </is>
      </c>
    </row>
    <row r="169">
      <c r="A169" s="4" t="inlineStr">
        <is>
          <t xml:space="preserve">      Cornucopia</t>
        </is>
      </c>
      <c r="B169" s="5" t="inlineStr">
        <is>
          <t>AAA</t>
        </is>
      </c>
      <c r="C169" s="5" t="inlineStr">
        <is>
          <t>FTH</t>
        </is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6" t="inlineStr">
        <is>
          <t>Fragment Crafting (1.5%), Lottery Machine #1 (0.03%), Wishing (0.14%), Fungus Chest (1.5%), Relic Forge (80 Relic RF)</t>
        </is>
      </c>
    </row>
    <row r="170">
      <c r="A170" s="4" t="inlineStr">
        <is>
          <t xml:space="preserve">  ORANGE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6" t="n"/>
    </row>
    <row r="171">
      <c r="A171" s="4" t="inlineStr">
        <is>
          <t xml:space="preserve">    Research Speed</t>
        </is>
      </c>
      <c r="B171" s="5" t="n"/>
      <c r="C171" s="5" t="n"/>
      <c r="D171" s="7" t="n">
        <v>4.2</v>
      </c>
      <c r="E171" s="5" t="n"/>
      <c r="F171" s="5" t="n"/>
      <c r="G171" s="5" t="n"/>
      <c r="H171" s="5" t="n"/>
      <c r="I171" s="5" t="n"/>
      <c r="J171" s="5" t="n"/>
      <c r="K171" s="5" t="n"/>
      <c r="L171" s="6" t="n"/>
    </row>
    <row r="172">
      <c r="A172" s="4" t="inlineStr">
        <is>
          <t xml:space="preserve">      The Thinker</t>
        </is>
      </c>
      <c r="B172" s="5" t="inlineStr">
        <is>
          <t>SS</t>
        </is>
      </c>
      <c r="C172" s="5" t="inlineStr">
        <is>
          <t>ART</t>
        </is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6" t="inlineStr">
        <is>
          <t>Fragment Crafting (5.3%), Lottery Machine #1 (0.24%), Wishing (0.2%), Demon God Chest (5%), Master Scrolls (1.9%), Grandmaster Scrolls (2.1%), ART Master Scrolls (10.2%)</t>
        </is>
      </c>
    </row>
    <row r="173">
      <c r="A173" s="4" t="inlineStr">
        <is>
          <t xml:space="preserve">      David</t>
        </is>
      </c>
      <c r="B173" s="5" t="inlineStr">
        <is>
          <t>SS</t>
        </is>
      </c>
      <c r="C173" s="5" t="inlineStr">
        <is>
          <t>ART</t>
        </is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6" t="inlineStr">
        <is>
          <t>Fragment Crafting (4%), Lottery Machine #1 (0.18%), Wishing (0.15%), Demon God Chest (5%), Grandmaster Scrolls (1.6%)</t>
        </is>
      </c>
    </row>
    <row r="174">
      <c r="A174" s="4" t="inlineStr">
        <is>
          <t xml:space="preserve">    Cells Consumed</t>
        </is>
      </c>
      <c r="B174" s="5" t="n"/>
      <c r="C174" s="5" t="n"/>
      <c r="D174" s="5" t="n"/>
      <c r="E174" s="5" t="n"/>
      <c r="F174" s="7" t="n">
        <v>4.8</v>
      </c>
      <c r="G174" s="5" t="n"/>
      <c r="H174" s="5" t="n"/>
      <c r="I174" s="5" t="n"/>
      <c r="J174" s="5" t="n"/>
      <c r="K174" s="5" t="n"/>
      <c r="L174" s="6" t="n"/>
    </row>
    <row r="175">
      <c r="A175" s="4" t="inlineStr">
        <is>
          <t xml:space="preserve">      The Pieta</t>
        </is>
      </c>
      <c r="B175" s="5" t="inlineStr">
        <is>
          <t>S</t>
        </is>
      </c>
      <c r="C175" s="5" t="inlineStr">
        <is>
          <t>CIV</t>
        </is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6" t="inlineStr">
        <is>
          <t>Fragment Crafting (18.8%), Lottery Machine #1 (0.81%), Wishing (0.69%), Relic Forge (90 Relic RF)</t>
        </is>
      </c>
    </row>
    <row r="176">
      <c r="A176" s="4" t="inlineStr">
        <is>
          <t xml:space="preserve">      Venus de Milo</t>
        </is>
      </c>
      <c r="B176" s="5" t="inlineStr">
        <is>
          <t>SS</t>
        </is>
      </c>
      <c r="C176" s="5" t="inlineStr">
        <is>
          <t>ART</t>
        </is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6" t="inlineStr">
        <is>
          <t>T7.5 Angel Gene Research</t>
        </is>
      </c>
    </row>
    <row r="177">
      <c r="A177" s="4" t="inlineStr">
        <is>
          <t xml:space="preserve">      Devol's Robot</t>
        </is>
      </c>
      <c r="B177" s="5" t="inlineStr">
        <is>
          <t>S</t>
        </is>
      </c>
      <c r="C177" s="5" t="inlineStr">
        <is>
          <t>TECH</t>
        </is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6" t="inlineStr">
        <is>
          <t>Fragment Crafting (17.8%), Wishing (0.65%), Ad Chest (3%), Master Scrolls (6.5%), TECH Master Scrolls (31.5%), Relic Forge (90 Relic RF)</t>
        </is>
      </c>
    </row>
    <row r="178">
      <c r="A178" s="8" t="inlineStr">
        <is>
          <t>MAX RESONANCE</t>
        </is>
      </c>
      <c r="B178" s="9" t="n"/>
      <c r="C178" s="9" t="n"/>
      <c r="D178" s="10">
        <f>sum(D157:E177)</f>
        <v/>
      </c>
      <c r="E178" s="9" t="n"/>
      <c r="F178" s="10">
        <f>sum(F157:G177)</f>
        <v/>
      </c>
      <c r="G178" s="9" t="n"/>
      <c r="H178" s="10">
        <f>sum(H157:I177)</f>
        <v/>
      </c>
      <c r="I178" s="9" t="n"/>
      <c r="J178" s="10">
        <f>sum(J157:K177)</f>
        <v/>
      </c>
      <c r="K178" s="9" t="n"/>
      <c r="L178" s="11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12" t="inlineStr">
        <is>
          <t>MUTANT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3" t="n"/>
    </row>
    <row r="182">
      <c r="A182" s="4" t="inlineStr">
        <is>
          <t>INDIVIDUAL RELICS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6" t="n"/>
    </row>
    <row r="183">
      <c r="A183" s="4" t="inlineStr">
        <is>
          <t xml:space="preserve">   Turin Papyrus</t>
        </is>
      </c>
      <c r="B183" s="5" t="inlineStr">
        <is>
          <t>SSS</t>
        </is>
      </c>
      <c r="C183" s="5" t="inlineStr">
        <is>
          <t>CIV</t>
        </is>
      </c>
      <c r="D183" s="7" t="n">
        <v>5.4</v>
      </c>
      <c r="E183" s="5" t="n"/>
      <c r="F183" s="5" t="n"/>
      <c r="G183" s="5" t="n"/>
      <c r="H183" s="5" t="n"/>
      <c r="I183" s="5" t="n"/>
      <c r="J183" s="5" t="n"/>
      <c r="K183" s="5" t="n"/>
      <c r="L183" s="19" t="inlineStr">
        <is>
          <t>Wish Box Album Relic #2</t>
        </is>
      </c>
    </row>
    <row r="184">
      <c r="A184" s="4" t="inlineStr">
        <is>
          <t xml:space="preserve">   Tokamak</t>
        </is>
      </c>
      <c r="B184" s="5" t="inlineStr">
        <is>
          <t>SS</t>
        </is>
      </c>
      <c r="C184" s="5" t="inlineStr">
        <is>
          <t>TECH</t>
        </is>
      </c>
      <c r="D184" s="7" t="n">
        <v>6.6</v>
      </c>
      <c r="E184" s="5" t="n"/>
      <c r="F184" s="5" t="n"/>
      <c r="G184" s="5" t="n"/>
      <c r="H184" s="5" t="n"/>
      <c r="I184" s="5" t="n"/>
      <c r="J184" s="7" t="n">
        <v>66</v>
      </c>
      <c r="K184" s="7" t="n">
        <v>60</v>
      </c>
      <c r="L184" s="6" t="inlineStr">
        <is>
          <t>Fragment Crafting (5.2%), Lottery Machine #1 (0.24%), Wishing (1.9%), Master Scrolls (1.9%), Grandmaster Scrolls (2.1%), TECH Master Scrolls (9.2%)</t>
        </is>
      </c>
    </row>
    <row r="185">
      <c r="A185" s="4" t="inlineStr">
        <is>
          <t xml:space="preserve">   Mermaid Statue</t>
        </is>
      </c>
      <c r="B185" s="5" t="inlineStr">
        <is>
          <t>AAA</t>
        </is>
      </c>
      <c r="C185" s="5" t="inlineStr">
        <is>
          <t>ART</t>
        </is>
      </c>
      <c r="D185" s="5" t="n"/>
      <c r="E185" s="5" t="n"/>
      <c r="F185" s="7" t="n">
        <v>5.4</v>
      </c>
      <c r="G185" s="5" t="n"/>
      <c r="H185" s="7" t="n">
        <v>5.4</v>
      </c>
      <c r="I185" s="7" t="n">
        <v>4.2</v>
      </c>
      <c r="J185" s="5" t="n"/>
      <c r="K185" s="5" t="n"/>
      <c r="L185" s="6" t="inlineStr">
        <is>
          <t>Fragment Crafting (1.6%), Lottery Machine #1 (0.03%), Wishing (0.14%), Relic Forge (80 Relic RF)</t>
        </is>
      </c>
    </row>
    <row r="186">
      <c r="A186" s="4" t="inlineStr">
        <is>
          <t xml:space="preserve">   Mars Rover</t>
        </is>
      </c>
      <c r="B186" s="5" t="inlineStr">
        <is>
          <t>AAA</t>
        </is>
      </c>
      <c r="C186" s="5" t="inlineStr">
        <is>
          <t>TECH</t>
        </is>
      </c>
      <c r="D186" s="7" t="n">
        <v>5.4</v>
      </c>
      <c r="E186" s="5" t="n"/>
      <c r="F186" s="5" t="n"/>
      <c r="G186" s="5" t="n"/>
      <c r="H186" s="5" t="n"/>
      <c r="I186" s="5" t="n"/>
      <c r="J186" s="5" t="n"/>
      <c r="K186" s="5" t="n"/>
      <c r="L186" s="6" t="inlineStr">
        <is>
          <t>Fragment Crafting (1.6%), Lottery Machine #1 (0.03%), Wishing (0.14%), Evolution Chest (1.5%), Relic Forge (80 Relic RF)</t>
        </is>
      </c>
    </row>
    <row r="187">
      <c r="A187" s="4" t="inlineStr">
        <is>
          <t xml:space="preserve">   Hina Doll</t>
        </is>
      </c>
      <c r="B187" s="5" t="inlineStr">
        <is>
          <t>Blue</t>
        </is>
      </c>
      <c r="C187" s="5" t="inlineStr">
        <is>
          <t>CIV</t>
        </is>
      </c>
      <c r="D187" s="5" t="n"/>
      <c r="E187" s="5" t="n"/>
      <c r="F187" s="5" t="n"/>
      <c r="G187" s="5" t="n"/>
      <c r="H187" s="5" t="n"/>
      <c r="I187" s="5" t="n"/>
      <c r="J187" s="7" t="n">
        <v>30</v>
      </c>
      <c r="K187" s="7" t="n">
        <v>30</v>
      </c>
      <c r="L187" s="18" t="inlineStr">
        <is>
          <t>Lottery Machine #2 (0.26%)</t>
        </is>
      </c>
    </row>
    <row r="188">
      <c r="A188" s="4" t="inlineStr">
        <is>
          <t xml:space="preserve">   Sleeping Gypsy</t>
        </is>
      </c>
      <c r="B188" s="5" t="inlineStr">
        <is>
          <t>Blue</t>
        </is>
      </c>
      <c r="C188" s="5" t="inlineStr">
        <is>
          <t>ART</t>
        </is>
      </c>
      <c r="D188" s="5" t="n"/>
      <c r="E188" s="5" t="n"/>
      <c r="F188" s="5" t="n"/>
      <c r="G188" s="5" t="n"/>
      <c r="H188" s="5" t="n"/>
      <c r="I188" s="5" t="n"/>
      <c r="J188" s="7" t="n">
        <v>30</v>
      </c>
      <c r="K188" s="7" t="n">
        <v>30</v>
      </c>
      <c r="L188" s="6" t="inlineStr">
        <is>
          <t>Lottery Machine #1 (0.03%), Wishing (1.2%), Indigent Nobleman for 72k B-tads</t>
        </is>
      </c>
    </row>
    <row r="189">
      <c r="A189" s="4" t="inlineStr">
        <is>
          <t xml:space="preserve">   Dwarf Specimen</t>
        </is>
      </c>
      <c r="B189" s="5" t="inlineStr">
        <is>
          <t>Green</t>
        </is>
      </c>
      <c r="C189" s="5" t="inlineStr">
        <is>
          <t>CIV</t>
        </is>
      </c>
      <c r="D189" s="7" t="n"/>
      <c r="E189" s="5" t="n"/>
      <c r="F189" s="7" t="n"/>
      <c r="G189" s="5" t="n"/>
      <c r="H189" s="7" t="n">
        <v>1.8</v>
      </c>
      <c r="I189" s="5" t="n"/>
      <c r="J189" s="7" t="n"/>
      <c r="K189" s="5" t="n"/>
      <c r="L189" s="6" t="inlineStr">
        <is>
          <t>Defeat Milk White</t>
        </is>
      </c>
    </row>
    <row r="190">
      <c r="A190" s="8" t="inlineStr">
        <is>
          <t>MAX INDIVIDUAL RELICS</t>
        </is>
      </c>
      <c r="B190" s="9" t="n"/>
      <c r="C190" s="9" t="n"/>
      <c r="D190" s="10">
        <f>sum(D182:E189)</f>
        <v/>
      </c>
      <c r="E190" s="9" t="n"/>
      <c r="F190" s="10">
        <f>sum(F182:G189)</f>
        <v/>
      </c>
      <c r="G190" s="9" t="n"/>
      <c r="H190" s="10">
        <f>sum(H182:I189)</f>
        <v/>
      </c>
      <c r="I190" s="9" t="n"/>
      <c r="J190" s="10">
        <f>sum(J182:K189)</f>
        <v/>
      </c>
      <c r="K190" s="9" t="n"/>
      <c r="L190" s="11" t="n"/>
    </row>
    <row r="191">
      <c r="A191" s="4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6" t="n"/>
    </row>
    <row r="192">
      <c r="A192" s="1" t="inlineStr">
        <is>
          <t>PARTNERS</t>
        </is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3" t="n"/>
    </row>
    <row r="193">
      <c r="A193" s="8" t="inlineStr">
        <is>
          <t xml:space="preserve">   Red Doe</t>
        </is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10" t="n">
        <v>15</v>
      </c>
      <c r="K193" s="9" t="n"/>
      <c r="L193" s="11" t="n"/>
    </row>
    <row r="194">
      <c r="A194" s="4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6" t="n"/>
    </row>
    <row r="195">
      <c r="A195" s="1" t="inlineStr">
        <is>
          <t>RESONANCE</t>
        </is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3" t="n"/>
    </row>
    <row r="196">
      <c r="A196" s="4" t="inlineStr">
        <is>
          <t xml:space="preserve">  BLUE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6" t="n"/>
    </row>
    <row r="197">
      <c r="A197" s="4" t="inlineStr">
        <is>
          <t xml:space="preserve">    Research Speed</t>
        </is>
      </c>
      <c r="B197" s="5" t="n"/>
      <c r="C197" s="5" t="n"/>
      <c r="D197" s="7" t="n">
        <v>3</v>
      </c>
      <c r="E197" s="5" t="n"/>
      <c r="F197" s="5" t="n"/>
      <c r="G197" s="5" t="n"/>
      <c r="H197" s="5" t="n"/>
      <c r="I197" s="5" t="n"/>
      <c r="J197" s="5" t="n"/>
      <c r="K197" s="5" t="n"/>
      <c r="L197" s="6" t="n"/>
    </row>
    <row r="198">
      <c r="A198" s="4" t="inlineStr">
        <is>
          <t xml:space="preserve">      Pumpkin Coach</t>
        </is>
      </c>
      <c r="B198" s="5" t="inlineStr">
        <is>
          <t>Blue</t>
        </is>
      </c>
      <c r="C198" s="5" t="inlineStr">
        <is>
          <t>CIV</t>
        </is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6" t="inlineStr">
        <is>
          <t>Lottery Machine #1 (0.07%), Wishing (2.1%), Novice Scrolls (1%)</t>
        </is>
      </c>
    </row>
    <row r="199">
      <c r="A199" s="4" t="inlineStr">
        <is>
          <t xml:space="preserve">      Leo's Plant</t>
        </is>
      </c>
      <c r="B199" s="5" t="inlineStr">
        <is>
          <t>Blue</t>
        </is>
      </c>
      <c r="C199" s="5" t="inlineStr">
        <is>
          <t>CIV</t>
        </is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6" t="inlineStr">
        <is>
          <t>Lottery Machine #1 (0.36%), Wishing (10.3%), Fungus Chest (2%), Novice Scrolls (5%)</t>
        </is>
      </c>
    </row>
    <row r="200">
      <c r="A200" s="4" t="inlineStr">
        <is>
          <t xml:space="preserve">    Free Speedup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7" t="n">
        <v>30</v>
      </c>
      <c r="K200" s="5" t="n"/>
      <c r="L200" s="6" t="n"/>
    </row>
    <row r="201">
      <c r="A201" s="4" t="inlineStr">
        <is>
          <t xml:space="preserve">      Hina Doll</t>
        </is>
      </c>
      <c r="B201" s="5" t="inlineStr">
        <is>
          <t>Blue</t>
        </is>
      </c>
      <c r="C201" s="5" t="inlineStr">
        <is>
          <t>CIV</t>
        </is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18" t="inlineStr">
        <is>
          <t>Lottery Machine #2 (0.26%)</t>
        </is>
      </c>
    </row>
    <row r="202">
      <c r="A202" s="4" t="inlineStr">
        <is>
          <t xml:space="preserve">      Tawla</t>
        </is>
      </c>
      <c r="B202" s="5" t="inlineStr">
        <is>
          <t>Blue</t>
        </is>
      </c>
      <c r="C202" s="5" t="inlineStr">
        <is>
          <t>CIV</t>
        </is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18" t="inlineStr">
        <is>
          <t>Lottery Machine #2 (0.03%)</t>
        </is>
      </c>
    </row>
    <row r="203">
      <c r="A203" s="4" t="inlineStr">
        <is>
          <t xml:space="preserve">  PURPLE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6" t="n"/>
    </row>
    <row r="204">
      <c r="A204" s="4" t="inlineStr">
        <is>
          <t xml:space="preserve">    Research Speed</t>
        </is>
      </c>
      <c r="B204" s="5" t="n"/>
      <c r="C204" s="5" t="n"/>
      <c r="D204" s="7" t="n">
        <v>3.6</v>
      </c>
      <c r="E204" s="5" t="n"/>
      <c r="F204" s="5" t="n"/>
      <c r="G204" s="5" t="n"/>
      <c r="H204" s="5" t="n"/>
      <c r="I204" s="5" t="n"/>
      <c r="J204" s="5" t="n"/>
      <c r="K204" s="5" t="n"/>
      <c r="L204" s="6" t="n"/>
    </row>
    <row r="205">
      <c r="A205" s="4" t="inlineStr">
        <is>
          <t xml:space="preserve">      Glass Coffin</t>
        </is>
      </c>
      <c r="B205" s="5" t="inlineStr">
        <is>
          <t>AA</t>
        </is>
      </c>
      <c r="C205" s="5" t="inlineStr">
        <is>
          <t>FTH</t>
        </is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6" t="inlineStr">
        <is>
          <t>Fragment Crafting (3.8%), Lottery Machine #1 (0.08%), Wishing (0.35%), Soul Chest (1.5%), Expert Scrolls (0.95%)</t>
        </is>
      </c>
    </row>
    <row r="206">
      <c r="A206" s="4" t="inlineStr">
        <is>
          <t xml:space="preserve">      Chinchorro Mummy</t>
        </is>
      </c>
      <c r="B206" s="5" t="inlineStr">
        <is>
          <t>AA</t>
        </is>
      </c>
      <c r="C206" s="5" t="inlineStr">
        <is>
          <t>FTH</t>
        </is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6" t="inlineStr">
        <is>
          <t>Koryeon Domain, Fragment Crafting (3.8%), Lottery Machine #1 (0.08%), Wishing (0.36%), Soul Chest (1.5%), Expert Scrolls (0.95%)</t>
        </is>
      </c>
    </row>
    <row r="207">
      <c r="A207" s="4" t="inlineStr">
        <is>
          <t xml:space="preserve">    Cells Consumed</t>
        </is>
      </c>
      <c r="B207" s="5" t="n"/>
      <c r="C207" s="5" t="n"/>
      <c r="D207" s="5" t="n"/>
      <c r="E207" s="5" t="n"/>
      <c r="F207" s="7" t="n">
        <v>3.6</v>
      </c>
      <c r="G207" s="5" t="n"/>
      <c r="H207" s="5" t="n"/>
      <c r="I207" s="5" t="n"/>
      <c r="J207" s="5" t="n"/>
      <c r="K207" s="5" t="n"/>
      <c r="L207" s="6" t="n"/>
    </row>
    <row r="208">
      <c r="A208" s="4" t="inlineStr">
        <is>
          <t xml:space="preserve">      Schindler's List</t>
        </is>
      </c>
      <c r="B208" s="5" t="inlineStr">
        <is>
          <t>AAA</t>
        </is>
      </c>
      <c r="C208" s="5" t="inlineStr">
        <is>
          <t>CIV</t>
        </is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6" t="inlineStr">
        <is>
          <t>Fragment Crafting (1.5%), Lottery Machine #1 (0.03%), Wishing (0.14%), Soul Chest (1.5%), Relic Forge (80 Relic RF)</t>
        </is>
      </c>
    </row>
    <row r="209">
      <c r="A209" s="4" t="inlineStr">
        <is>
          <t xml:space="preserve">      Socrates's Poison</t>
        </is>
      </c>
      <c r="B209" s="5" t="inlineStr">
        <is>
          <t>AA</t>
        </is>
      </c>
      <c r="C209" s="5" t="inlineStr">
        <is>
          <t>CIV</t>
        </is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6" t="inlineStr">
        <is>
          <t>Fragment Crafting (3.7%), Lottery Machine #1 (0.08%), Wishing (0.34%), Hellenic Treasure Maps (%), Expert Scrolls (0.95%)</t>
        </is>
      </c>
    </row>
    <row r="210">
      <c r="A210" s="4" t="inlineStr">
        <is>
          <t xml:space="preserve">  ORANGE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6" t="n"/>
    </row>
    <row r="211">
      <c r="A211" s="4" t="inlineStr">
        <is>
          <t xml:space="preserve">    Research Speed</t>
        </is>
      </c>
      <c r="B211" s="5" t="n"/>
      <c r="C211" s="5" t="n"/>
      <c r="D211" s="7" t="n">
        <v>4.2</v>
      </c>
      <c r="E211" s="5" t="n"/>
      <c r="F211" s="5" t="n"/>
      <c r="G211" s="5" t="n"/>
      <c r="H211" s="5" t="n"/>
      <c r="I211" s="5" t="n"/>
      <c r="J211" s="5" t="n"/>
      <c r="K211" s="5" t="n"/>
      <c r="L211" s="6" t="n"/>
    </row>
    <row r="212">
      <c r="A212" s="4" t="inlineStr">
        <is>
          <t xml:space="preserve">      Element R.</t>
        </is>
      </c>
      <c r="B212" s="5" t="inlineStr">
        <is>
          <t>S</t>
        </is>
      </c>
      <c r="C212" s="5" t="inlineStr">
        <is>
          <t>TECH</t>
        </is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6" t="inlineStr">
        <is>
          <t>Fragment Crafting (17.8%), Lottery Machine #1 (0.81%), Wishing (0.65%), Relic Forge (90 Relic RF)</t>
        </is>
      </c>
    </row>
    <row r="213">
      <c r="A213" s="4" t="inlineStr">
        <is>
          <t xml:space="preserve">      SkyWeb Hub</t>
        </is>
      </c>
      <c r="B213" s="5" t="inlineStr">
        <is>
          <t>SS</t>
        </is>
      </c>
      <c r="C213" s="5" t="inlineStr">
        <is>
          <t>TECH</t>
        </is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6" t="inlineStr">
        <is>
          <t>Koryeon Domain, Fragment Crafting (5.2%), Lottery Machine #1 (0.24%), Wishing (0.19%), Super Treasure Maps (5%), Master Scrolls (1.9%), Grandmaster Scrolls (2.1%), TECH Master Scrolls (9.2%)</t>
        </is>
      </c>
    </row>
    <row r="214">
      <c r="A214" s="4" t="inlineStr">
        <is>
          <t xml:space="preserve">    Cells Consumed</t>
        </is>
      </c>
      <c r="B214" s="5" t="n"/>
      <c r="C214" s="5" t="n"/>
      <c r="D214" s="5" t="n"/>
      <c r="E214" s="5" t="n"/>
      <c r="F214" s="7" t="n">
        <v>4.2</v>
      </c>
      <c r="G214" s="5" t="n"/>
      <c r="H214" s="5" t="n"/>
      <c r="I214" s="5" t="n"/>
      <c r="J214" s="5" t="n"/>
      <c r="K214" s="5" t="n"/>
      <c r="L214" s="6" t="n"/>
    </row>
    <row r="215">
      <c r="A215" s="4" t="inlineStr">
        <is>
          <t xml:space="preserve">      Noah's Ark</t>
        </is>
      </c>
      <c r="B215" s="5" t="inlineStr">
        <is>
          <t>SSS</t>
        </is>
      </c>
      <c r="C215" s="5" t="inlineStr">
        <is>
          <t>FAME</t>
        </is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6" t="inlineStr">
        <is>
          <t>Weekly Special Reward Relic #3</t>
        </is>
      </c>
    </row>
    <row r="216">
      <c r="A216" s="4" t="inlineStr">
        <is>
          <t xml:space="preserve">      Einstein's Brain</t>
        </is>
      </c>
      <c r="B216" s="5" t="inlineStr">
        <is>
          <t>SSS</t>
        </is>
      </c>
      <c r="C216" s="5" t="inlineStr">
        <is>
          <t>FAME</t>
        </is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21" t="inlineStr">
        <is>
          <t>Lottery Machine #1 (0.09%), Wishing (0.08%), Grandmaster Scrolls (0.79%)</t>
        </is>
      </c>
    </row>
    <row r="217">
      <c r="A217" s="8" t="inlineStr">
        <is>
          <t>MAX RESONANCE</t>
        </is>
      </c>
      <c r="B217" s="9" t="n"/>
      <c r="C217" s="9" t="n"/>
      <c r="D217" s="10">
        <f>sum(D196:D216)</f>
        <v/>
      </c>
      <c r="E217" s="9" t="n"/>
      <c r="F217" s="10">
        <f>sum(F196:F216)</f>
        <v/>
      </c>
      <c r="G217" s="9" t="n"/>
      <c r="H217" s="10">
        <f>sum(H196:H216)</f>
        <v/>
      </c>
      <c r="I217" s="9" t="n"/>
      <c r="J217" s="10">
        <f>sum(J196:J216)</f>
        <v/>
      </c>
      <c r="K217" s="9" t="n"/>
      <c r="L217" s="11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>
      <c r="A220" s="12" t="inlineStr">
        <is>
          <t>MECHA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3" t="n"/>
    </row>
    <row r="221">
      <c r="A221" s="4" t="inlineStr">
        <is>
          <t>INDIVIDUAL RELICS</t>
        </is>
      </c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6" t="n"/>
    </row>
    <row r="222">
      <c r="A222" s="4" t="inlineStr">
        <is>
          <t xml:space="preserve">   Causality</t>
        </is>
      </c>
      <c r="B222" s="5" t="inlineStr">
        <is>
          <t>SS</t>
        </is>
      </c>
      <c r="C222" s="5" t="inlineStr">
        <is>
          <t>TECH</t>
        </is>
      </c>
      <c r="D222" s="7" t="n">
        <v>6.6</v>
      </c>
      <c r="E222" s="5" t="n"/>
      <c r="F222" s="5" t="n"/>
      <c r="G222" s="5" t="n"/>
      <c r="H222" s="5" t="n"/>
      <c r="I222" s="5" t="n"/>
      <c r="J222" s="7" t="n">
        <v>66</v>
      </c>
      <c r="K222" s="7" t="n">
        <v>60</v>
      </c>
      <c r="L222" s="6" t="inlineStr">
        <is>
          <t>Fragment Crafting (3.9%), Lottery Machine #1 (0.18%), Alchemy Furnace (0.14%), Grandmaster Scrolls (1.6%)</t>
        </is>
      </c>
    </row>
    <row r="223">
      <c r="A223" s="4" t="inlineStr">
        <is>
          <t xml:space="preserve">   Hawking's Wheelchair</t>
        </is>
      </c>
      <c r="B223" s="5" t="inlineStr">
        <is>
          <t>AAA</t>
        </is>
      </c>
      <c r="C223" s="5" t="inlineStr">
        <is>
          <t>TECH</t>
        </is>
      </c>
      <c r="D223" s="5" t="n"/>
      <c r="E223" s="5" t="n"/>
      <c r="F223" s="7" t="n">
        <v>5.4</v>
      </c>
      <c r="G223" s="5" t="n"/>
      <c r="H223" s="7" t="n">
        <v>5.4</v>
      </c>
      <c r="I223" s="7" t="n">
        <v>4.2</v>
      </c>
      <c r="J223" s="5" t="n"/>
      <c r="K223" s="5" t="n"/>
      <c r="L223" s="6" t="inlineStr">
        <is>
          <t>Fragment Crafting (1.6%), Lottery Machine #1 (0.03%), Wishing (0.35%), Relic Forge (80 Relic RF)</t>
        </is>
      </c>
    </row>
    <row r="224">
      <c r="A224" s="4" t="inlineStr">
        <is>
          <t xml:space="preserve">   Tesla Coil</t>
        </is>
      </c>
      <c r="B224" s="5" t="inlineStr">
        <is>
          <t>AAA</t>
        </is>
      </c>
      <c r="C224" s="5" t="inlineStr">
        <is>
          <t>TECH</t>
        </is>
      </c>
      <c r="D224" s="5" t="n"/>
      <c r="E224" s="5" t="n"/>
      <c r="F224" s="5" t="n"/>
      <c r="G224" s="5" t="n"/>
      <c r="H224" s="7" t="n">
        <v>5.4</v>
      </c>
      <c r="I224" s="7" t="n">
        <v>4.2</v>
      </c>
      <c r="J224" s="5" t="n"/>
      <c r="K224" s="5" t="n"/>
      <c r="L224" s="6" t="inlineStr">
        <is>
          <t>Fragment Crafting (1.6%), Lottery Machine #1 (0.03%), Wishing (0.14%), Tool Chest (1.5%), Relic Forge (80 Relic RF)</t>
        </is>
      </c>
    </row>
    <row r="225">
      <c r="A225" s="4" t="inlineStr">
        <is>
          <t xml:space="preserve">   Kilby's IC</t>
        </is>
      </c>
      <c r="B225" s="5" t="inlineStr">
        <is>
          <t>AAA</t>
        </is>
      </c>
      <c r="C225" s="5" t="inlineStr">
        <is>
          <t>TECH</t>
        </is>
      </c>
      <c r="D225" s="5" t="n"/>
      <c r="E225" s="5" t="n"/>
      <c r="F225" s="5" t="n"/>
      <c r="G225" s="5" t="n"/>
      <c r="H225" s="5" t="n">
        <v>5.4</v>
      </c>
      <c r="I225" s="5" t="n"/>
      <c r="J225" s="7" t="n"/>
      <c r="K225" s="7" t="n"/>
      <c r="L225" s="19" t="inlineStr">
        <is>
          <t>Museum Operation Reward</t>
        </is>
      </c>
    </row>
    <row r="226">
      <c r="A226" s="4" t="inlineStr">
        <is>
          <t xml:space="preserve">   Chain Reaction Model</t>
        </is>
      </c>
      <c r="B226" s="5" t="inlineStr">
        <is>
          <t>Blue</t>
        </is>
      </c>
      <c r="C226" s="5" t="inlineStr">
        <is>
          <t>TECH</t>
        </is>
      </c>
      <c r="D226" s="5" t="n"/>
      <c r="E226" s="5" t="n"/>
      <c r="F226" s="5" t="n"/>
      <c r="G226" s="5" t="n"/>
      <c r="H226" s="5" t="n"/>
      <c r="I226" s="5" t="n"/>
      <c r="J226" s="7" t="n">
        <v>30</v>
      </c>
      <c r="K226" s="7" t="n">
        <v>30</v>
      </c>
      <c r="L226" s="18" t="inlineStr">
        <is>
          <t>Lottery Machine #2 (0.07%)</t>
        </is>
      </c>
    </row>
    <row r="227">
      <c r="A227" s="4" t="inlineStr">
        <is>
          <t xml:space="preserve">   Aztec Calendar</t>
        </is>
      </c>
      <c r="B227" s="5" t="inlineStr">
        <is>
          <t>Blue</t>
        </is>
      </c>
      <c r="C227" s="5" t="inlineStr">
        <is>
          <t>TECH</t>
        </is>
      </c>
      <c r="D227" s="5" t="n"/>
      <c r="E227" s="5" t="n"/>
      <c r="F227" s="5" t="n"/>
      <c r="G227" s="5" t="n"/>
      <c r="H227" s="5" t="n"/>
      <c r="I227" s="5" t="n"/>
      <c r="J227" s="7" t="n">
        <v>30</v>
      </c>
      <c r="K227" s="7" t="n">
        <v>30</v>
      </c>
      <c r="L227" s="6" t="inlineStr">
        <is>
          <t>Lottery Machine #1 (0.03%), Wishing (1.1%), Time Chest (2%)</t>
        </is>
      </c>
    </row>
    <row r="228">
      <c r="A228" s="8" t="inlineStr">
        <is>
          <t>MAX INDIVIDUAL RELICS</t>
        </is>
      </c>
      <c r="B228" s="9" t="n"/>
      <c r="C228" s="9" t="n"/>
      <c r="D228" s="10">
        <f>sum(D221:E227)</f>
        <v/>
      </c>
      <c r="E228" s="9" t="n"/>
      <c r="F228" s="10">
        <f>sum(F221:G227)</f>
        <v/>
      </c>
      <c r="G228" s="9" t="n"/>
      <c r="H228" s="10">
        <f>sum(H221:I227)</f>
        <v/>
      </c>
      <c r="I228" s="9" t="n"/>
      <c r="J228" s="10">
        <f>sum(J221:K227)</f>
        <v/>
      </c>
      <c r="K228" s="9" t="n"/>
      <c r="L228" s="11" t="n"/>
    </row>
    <row r="229">
      <c r="A229" s="4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6" t="n"/>
    </row>
    <row r="230">
      <c r="A230" s="1" t="inlineStr">
        <is>
          <t>PARTNERS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3" t="n"/>
    </row>
    <row r="231">
      <c r="A231" s="8" t="inlineStr">
        <is>
          <t xml:space="preserve">   Jiro</t>
        </is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10" t="n">
        <v>15</v>
      </c>
      <c r="K231" s="9" t="n"/>
      <c r="L231" s="11" t="n"/>
    </row>
    <row r="232">
      <c r="A232" s="4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6" t="n"/>
    </row>
    <row r="233">
      <c r="A233" s="1" t="inlineStr">
        <is>
          <t>RESONANCE</t>
        </is>
      </c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3" t="n"/>
    </row>
    <row r="234">
      <c r="A234" s="4" t="inlineStr">
        <is>
          <t xml:space="preserve">  BLUE</t>
        </is>
      </c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6" t="n"/>
    </row>
    <row r="235">
      <c r="A235" s="4" t="inlineStr">
        <is>
          <t xml:space="preserve">    Research Speed</t>
        </is>
      </c>
      <c r="B235" s="5" t="n"/>
      <c r="C235" s="5" t="n"/>
      <c r="D235" s="7" t="n">
        <v>3</v>
      </c>
      <c r="E235" s="5" t="n"/>
      <c r="F235" s="5" t="n"/>
      <c r="G235" s="5" t="n"/>
      <c r="H235" s="5" t="n"/>
      <c r="I235" s="5" t="n"/>
      <c r="J235" s="5" t="n"/>
      <c r="K235" s="5" t="n"/>
      <c r="L235" s="6" t="n"/>
    </row>
    <row r="236">
      <c r="A236" s="4" t="inlineStr">
        <is>
          <t xml:space="preserve">      Big Fish Bone</t>
        </is>
      </c>
      <c r="B236" s="5" t="inlineStr">
        <is>
          <t>Blue</t>
        </is>
      </c>
      <c r="C236" s="5" t="inlineStr">
        <is>
          <t>CIV</t>
        </is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6" t="inlineStr">
        <is>
          <t>Lottery Machine #1 (0.36%), Wishing (10.3%), Novice Scrolls (5%)</t>
        </is>
      </c>
    </row>
    <row r="237">
      <c r="A237" s="4" t="inlineStr">
        <is>
          <t xml:space="preserve">      Eye of Medusa</t>
        </is>
      </c>
      <c r="B237" s="5" t="inlineStr">
        <is>
          <t>Blue</t>
        </is>
      </c>
      <c r="C237" s="5" t="inlineStr">
        <is>
          <t>ART</t>
        </is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6" t="inlineStr">
        <is>
          <t>Defeat Medusa, Mutant Gene Research T2</t>
        </is>
      </c>
    </row>
    <row r="238">
      <c r="A238" s="4" t="inlineStr">
        <is>
          <t xml:space="preserve">    Free Speedup</t>
        </is>
      </c>
      <c r="B238" s="5" t="n"/>
      <c r="C238" s="5" t="n"/>
      <c r="D238" s="5" t="n"/>
      <c r="E238" s="5" t="n"/>
      <c r="F238" s="5" t="n"/>
      <c r="G238" s="5" t="n"/>
      <c r="H238" s="5" t="n"/>
      <c r="I238" s="5" t="n"/>
      <c r="J238" s="7" t="n">
        <v>30</v>
      </c>
      <c r="K238" s="5" t="n"/>
      <c r="L238" s="6" t="n"/>
    </row>
    <row r="239">
      <c r="A239" s="4" t="inlineStr">
        <is>
          <t xml:space="preserve">      Spencer's Microwave</t>
        </is>
      </c>
      <c r="B239" s="5" t="inlineStr">
        <is>
          <t>Blue</t>
        </is>
      </c>
      <c r="C239" s="5" t="inlineStr">
        <is>
          <t>TECH</t>
        </is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18" t="inlineStr">
        <is>
          <t>Lottery Machine #2 (0.26%), Indigent Nobleman (72K B-tads)</t>
        </is>
      </c>
    </row>
    <row r="240">
      <c r="A240" s="4" t="inlineStr">
        <is>
          <t xml:space="preserve">      Roentgen Ray Photo</t>
        </is>
      </c>
      <c r="B240" s="5" t="inlineStr">
        <is>
          <t>Blue</t>
        </is>
      </c>
      <c r="C240" s="5" t="inlineStr">
        <is>
          <t>TECH</t>
        </is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18" t="inlineStr">
        <is>
          <t>Lottery Machine #2 (0.07%)</t>
        </is>
      </c>
    </row>
    <row r="241">
      <c r="A241" s="4" t="inlineStr">
        <is>
          <t xml:space="preserve">  PURPLE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6" t="n"/>
    </row>
    <row r="242">
      <c r="A242" s="4" t="inlineStr">
        <is>
          <t xml:space="preserve">    Research Speed</t>
        </is>
      </c>
      <c r="B242" s="5" t="n"/>
      <c r="C242" s="5" t="n"/>
      <c r="D242" s="7" t="n">
        <v>3.6</v>
      </c>
      <c r="E242" s="5" t="n"/>
      <c r="F242" s="5" t="n"/>
      <c r="G242" s="5" t="n"/>
      <c r="H242" s="5" t="n"/>
      <c r="I242" s="5" t="n"/>
      <c r="J242" s="5" t="n"/>
      <c r="K242" s="5" t="n"/>
      <c r="L242" s="6" t="n"/>
    </row>
    <row r="243">
      <c r="A243" s="4" t="inlineStr">
        <is>
          <t xml:space="preserve">      Wealth of Nations</t>
        </is>
      </c>
      <c r="B243" s="5" t="inlineStr">
        <is>
          <t>AAA</t>
        </is>
      </c>
      <c r="C243" s="5" t="inlineStr">
        <is>
          <t>FAME</t>
        </is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6" t="inlineStr">
        <is>
          <t>Fragment Crafting (1.6%), Lottery Machine #1 (0.03%), Wishing (0.14%), Relic Forge (80 Relic RF)</t>
        </is>
      </c>
    </row>
    <row r="244">
      <c r="A244" s="4" t="inlineStr">
        <is>
          <t xml:space="preserve">      Treaty of Versailles</t>
        </is>
      </c>
      <c r="B244" s="5" t="inlineStr">
        <is>
          <t>AAA</t>
        </is>
      </c>
      <c r="C244" s="5" t="inlineStr">
        <is>
          <t>FAME</t>
        </is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6" t="inlineStr">
        <is>
          <t>Fragment Crafting (1.6%), Lottery Machine #1 (0.03%), Wishing (0.14%), Club Chest (1.5%), Relic Forge (80 Relic RF)</t>
        </is>
      </c>
    </row>
    <row r="245">
      <c r="A245" s="4" t="inlineStr">
        <is>
          <t xml:space="preserve">    Cells Consumed</t>
        </is>
      </c>
      <c r="B245" s="5" t="n"/>
      <c r="C245" s="5" t="n"/>
      <c r="D245" s="5" t="n"/>
      <c r="E245" s="5" t="n"/>
      <c r="F245" s="7" t="n">
        <v>3.6</v>
      </c>
      <c r="G245" s="5" t="n"/>
      <c r="H245" s="5" t="n"/>
      <c r="I245" s="5" t="n"/>
      <c r="J245" s="5" t="n"/>
      <c r="K245" s="5" t="n"/>
      <c r="L245" s="6" t="n"/>
    </row>
    <row r="246">
      <c r="A246" s="4" t="inlineStr">
        <is>
          <t xml:space="preserve">      Shakespeare Scripts</t>
        </is>
      </c>
      <c r="B246" s="5" t="inlineStr">
        <is>
          <t>AA</t>
        </is>
      </c>
      <c r="C246" s="5" t="inlineStr">
        <is>
          <t>CIV</t>
        </is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6" t="inlineStr">
        <is>
          <t>Fragment Crafting (3.7%), Lottery Machine #1 (0.08%), Wishing (0.34%), Relic Forge (80 Relic RF)</t>
        </is>
      </c>
    </row>
    <row r="247">
      <c r="A247" s="4" t="inlineStr">
        <is>
          <t xml:space="preserve">      Codex Leicester</t>
        </is>
      </c>
      <c r="B247" s="5" t="inlineStr">
        <is>
          <t>A</t>
        </is>
      </c>
      <c r="C247" s="5" t="inlineStr">
        <is>
          <t>CIV</t>
        </is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6" t="inlineStr">
        <is>
          <t>Fragment Crafting (29.9%), Lottery Machine #1 (0.66%), Wishing (2.7%), Expert Scrolls (7.6%)</t>
        </is>
      </c>
    </row>
    <row r="248">
      <c r="A248" s="4" t="inlineStr">
        <is>
          <t xml:space="preserve">  ORANGE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6" t="n"/>
    </row>
    <row r="249">
      <c r="A249" s="4" t="inlineStr">
        <is>
          <t xml:space="preserve">    Research Speed</t>
        </is>
      </c>
      <c r="B249" s="5" t="n"/>
      <c r="C249" s="5" t="n"/>
      <c r="D249" s="7" t="n">
        <v>4.2</v>
      </c>
      <c r="E249" s="5" t="n"/>
      <c r="F249" s="5" t="n"/>
      <c r="G249" s="5" t="n"/>
      <c r="H249" s="5" t="n"/>
      <c r="I249" s="5" t="n"/>
      <c r="J249" s="5" t="n"/>
      <c r="K249" s="5" t="n"/>
      <c r="L249" s="6" t="n"/>
    </row>
    <row r="250">
      <c r="A250" s="4" t="inlineStr">
        <is>
          <t xml:space="preserve">      Ape's Footprint Fossil</t>
        </is>
      </c>
      <c r="B250" s="5" t="inlineStr">
        <is>
          <t>SS</t>
        </is>
      </c>
      <c r="C250" s="5" t="inlineStr">
        <is>
          <t>FAME</t>
        </is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6" t="inlineStr">
        <is>
          <t>Super Species Chest (2.4%)</t>
        </is>
      </c>
    </row>
    <row r="251">
      <c r="A251" s="4" t="inlineStr">
        <is>
          <t xml:space="preserve">      Gravitation Scripts</t>
        </is>
      </c>
      <c r="B251" s="5" t="inlineStr">
        <is>
          <t>SSS</t>
        </is>
      </c>
      <c r="C251" s="5" t="inlineStr">
        <is>
          <t>FAME</t>
        </is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6" t="inlineStr">
        <is>
          <t>Daily Pack Relic #10</t>
        </is>
      </c>
    </row>
    <row r="252">
      <c r="A252" s="4" t="inlineStr">
        <is>
          <t xml:space="preserve">    Cells Consumed</t>
        </is>
      </c>
      <c r="B252" s="5" t="n"/>
      <c r="C252" s="5" t="n"/>
      <c r="D252" s="5" t="n"/>
      <c r="E252" s="5" t="n"/>
      <c r="F252" s="7" t="n">
        <v>4.2</v>
      </c>
      <c r="G252" s="5" t="n"/>
      <c r="H252" s="5" t="n"/>
      <c r="I252" s="5" t="n"/>
      <c r="J252" s="5" t="n"/>
      <c r="K252" s="5" t="n"/>
      <c r="L252" s="6" t="n"/>
    </row>
    <row r="253">
      <c r="A253" s="4" t="inlineStr">
        <is>
          <t xml:space="preserve">      Agamemnon Mask</t>
        </is>
      </c>
      <c r="B253" s="5" t="inlineStr">
        <is>
          <t>SS</t>
        </is>
      </c>
      <c r="C253" s="5" t="inlineStr">
        <is>
          <t>ART</t>
        </is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6" t="inlineStr">
        <is>
          <t>Fragment Crafting (4%), Lottery Machine #1 (0.18%), Wishing (0.15%), Grandmaster Scrolls (1.6%)</t>
        </is>
      </c>
    </row>
    <row r="254">
      <c r="A254" s="4" t="inlineStr">
        <is>
          <t xml:space="preserve">      Tutankhamun Mask</t>
        </is>
      </c>
      <c r="B254" s="5" t="inlineStr">
        <is>
          <t>S</t>
        </is>
      </c>
      <c r="C254" s="5" t="inlineStr">
        <is>
          <t>ART</t>
        </is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6" t="inlineStr">
        <is>
          <t>Fragment Crafting (18.1%), Lottery Machine #1 (0.81%), Wishing (0.68%), Super Treasure Maps (15%), Master Scrolls (6.5%), ART Master Scrolls (34.7%), Relic Forge (90 Relic RF)</t>
        </is>
      </c>
    </row>
    <row r="255">
      <c r="A255" s="8" t="inlineStr">
        <is>
          <t>MAX RESONANCE</t>
        </is>
      </c>
      <c r="B255" s="9" t="n"/>
      <c r="C255" s="9" t="n"/>
      <c r="D255" s="10">
        <f>sum(D234:D254)</f>
        <v/>
      </c>
      <c r="E255" s="9" t="n"/>
      <c r="F255" s="10">
        <f>sum(F234:F254)</f>
        <v/>
      </c>
      <c r="G255" s="9" t="n"/>
      <c r="H255" s="10">
        <f>sum(H234:H254)</f>
        <v/>
      </c>
      <c r="I255" s="9" t="n"/>
      <c r="J255" s="10">
        <f>sum(J234:J254)</f>
        <v/>
      </c>
      <c r="K255" s="9" t="n"/>
      <c r="L255" s="11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>
      <c r="A258" s="12" t="inlineStr">
        <is>
          <t>DRAGON</t>
        </is>
      </c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3" t="n"/>
    </row>
    <row r="259">
      <c r="A259" s="4" t="inlineStr">
        <is>
          <t>INDIVIDUAL RELICS</t>
        </is>
      </c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6" t="n"/>
    </row>
    <row r="260">
      <c r="A260" s="4" t="inlineStr">
        <is>
          <t xml:space="preserve">   Ancient Dragon Crystal</t>
        </is>
      </c>
      <c r="B260" s="5" t="inlineStr">
        <is>
          <t>SSS</t>
        </is>
      </c>
      <c r="C260" s="5" t="inlineStr">
        <is>
          <t>FTH</t>
        </is>
      </c>
      <c r="D260" s="7" t="n">
        <v>7.2</v>
      </c>
      <c r="E260" s="7" t="n">
        <v>6</v>
      </c>
      <c r="F260" s="5" t="n"/>
      <c r="G260" s="5" t="n"/>
      <c r="H260" s="7" t="n"/>
      <c r="I260" s="5" t="n"/>
      <c r="J260" s="5" t="n"/>
      <c r="K260" s="5" t="n"/>
      <c r="L260" s="19" t="inlineStr">
        <is>
          <t>Ultimate Divine Dragon Reward</t>
        </is>
      </c>
    </row>
    <row r="261">
      <c r="A261" s="4" t="inlineStr">
        <is>
          <t xml:space="preserve">   Guernica</t>
        </is>
      </c>
      <c r="B261" s="5" t="inlineStr">
        <is>
          <t>AAA</t>
        </is>
      </c>
      <c r="C261" s="5" t="inlineStr">
        <is>
          <t>ART</t>
        </is>
      </c>
      <c r="D261" s="7" t="n">
        <v>5.4</v>
      </c>
      <c r="E261" s="7" t="n">
        <v>4.2</v>
      </c>
      <c r="F261" s="5" t="n"/>
      <c r="G261" s="5" t="n"/>
      <c r="H261" s="7" t="n">
        <v>5.4</v>
      </c>
      <c r="I261" s="5" t="n"/>
      <c r="J261" s="5" t="n"/>
      <c r="K261" s="5" t="n"/>
      <c r="L261" s="6" t="inlineStr">
        <is>
          <t>Fragment Crafting (1.6%), Lottery Machine #1 (0.03%), Wishing (0.14%), Bharata Treasure Maps (%), Relic Forge (Relic RF 80)</t>
        </is>
      </c>
    </row>
    <row r="262">
      <c r="A262" s="4" t="inlineStr">
        <is>
          <t xml:space="preserve">   Twin Lions Lantern</t>
        </is>
      </c>
      <c r="B262" s="5" t="inlineStr">
        <is>
          <t>AA</t>
        </is>
      </c>
      <c r="C262" s="5" t="inlineStr">
        <is>
          <t>FAME</t>
        </is>
      </c>
      <c r="D262" s="5" t="n"/>
      <c r="E262" s="5" t="n"/>
      <c r="F262" s="5" t="n"/>
      <c r="G262" s="5" t="n"/>
      <c r="H262" s="5" t="n">
        <v>4.8</v>
      </c>
      <c r="I262" s="5" t="n">
        <v>4.2</v>
      </c>
      <c r="J262" s="7" t="n"/>
      <c r="K262" s="7" t="n"/>
      <c r="L262" s="19" t="inlineStr">
        <is>
          <t>Museum Operation Reward</t>
        </is>
      </c>
    </row>
    <row r="263">
      <c r="A263" s="4" t="inlineStr">
        <is>
          <t xml:space="preserve">   Golden Fleece</t>
        </is>
      </c>
      <c r="B263" s="5" t="inlineStr">
        <is>
          <t>Blue</t>
        </is>
      </c>
      <c r="C263" s="5" t="inlineStr">
        <is>
          <t>FTH</t>
        </is>
      </c>
      <c r="D263" s="5" t="n"/>
      <c r="E263" s="5" t="n"/>
      <c r="F263" s="5" t="n"/>
      <c r="G263" s="5" t="n"/>
      <c r="H263" s="5" t="n"/>
      <c r="I263" s="5" t="n"/>
      <c r="J263" s="7" t="n">
        <v>30</v>
      </c>
      <c r="K263" s="7" t="n">
        <v>30</v>
      </c>
      <c r="L263" s="6" t="inlineStr">
        <is>
          <t>Lottery Machine #1 (0.03%), Wishing (0.85%)</t>
        </is>
      </c>
    </row>
    <row r="264">
      <c r="A264" s="8" t="inlineStr">
        <is>
          <t>MAX INDIVIDUAL RELICS</t>
        </is>
      </c>
      <c r="B264" s="9" t="n"/>
      <c r="C264" s="9" t="n"/>
      <c r="D264" s="10">
        <f>sum(D259:E263)</f>
        <v/>
      </c>
      <c r="E264" s="9" t="n"/>
      <c r="F264" s="10">
        <f>sum(F259:G263)</f>
        <v/>
      </c>
      <c r="G264" s="9" t="n"/>
      <c r="H264" s="10">
        <f>sum(H259:I263)</f>
        <v/>
      </c>
      <c r="I264" s="9" t="n"/>
      <c r="J264" s="10">
        <f>sum(J259:K263)</f>
        <v/>
      </c>
      <c r="K264" s="9" t="n"/>
      <c r="L264" s="11" t="n"/>
    </row>
    <row r="265">
      <c r="A265" s="20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6" t="n"/>
    </row>
    <row r="266">
      <c r="A266" s="1" t="inlineStr">
        <is>
          <t>RESONANCE</t>
        </is>
      </c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3" t="n"/>
    </row>
    <row r="267">
      <c r="A267" s="4" t="inlineStr">
        <is>
          <t xml:space="preserve">  BLUE</t>
        </is>
      </c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6" t="n"/>
    </row>
    <row r="268">
      <c r="A268" s="4" t="inlineStr">
        <is>
          <t xml:space="preserve">    Research Speed</t>
        </is>
      </c>
      <c r="B268" s="5" t="n"/>
      <c r="C268" s="5" t="n"/>
      <c r="D268" s="7" t="n">
        <v>3.6</v>
      </c>
      <c r="E268" s="5" t="n"/>
      <c r="F268" s="5" t="n"/>
      <c r="G268" s="5" t="n"/>
      <c r="H268" s="5" t="n"/>
      <c r="I268" s="5" t="n"/>
      <c r="J268" s="5" t="n"/>
      <c r="K268" s="5" t="n"/>
      <c r="L268" s="6" t="n"/>
    </row>
    <row r="269">
      <c r="A269" s="4" t="inlineStr">
        <is>
          <t xml:space="preserve">      Commercial Code</t>
        </is>
      </c>
      <c r="B269" s="5" t="inlineStr">
        <is>
          <t>Blue</t>
        </is>
      </c>
      <c r="C269" s="5" t="inlineStr">
        <is>
          <t>FAME</t>
        </is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6" t="inlineStr">
        <is>
          <t>Lottery Machine #1 (0.07%), Wishing (3.1%), Club Chest (2%), Novice Scrolls (1%), Peter Jr. rare rent (5 frags)</t>
        </is>
      </c>
    </row>
    <row r="270">
      <c r="A270" s="4" t="inlineStr">
        <is>
          <t xml:space="preserve">      Rubik's Cube</t>
        </is>
      </c>
      <c r="B270" s="5" t="inlineStr">
        <is>
          <t>Blue</t>
        </is>
      </c>
      <c r="C270" s="5" t="inlineStr">
        <is>
          <t>CIV</t>
        </is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6" t="inlineStr">
        <is>
          <t>Lottery Machine #1 (0.07%), Wishing (2.1%), Novice Scroll (1%)</t>
        </is>
      </c>
    </row>
    <row r="271">
      <c r="A271" s="4" t="inlineStr">
        <is>
          <t xml:space="preserve">      Tee Virus</t>
        </is>
      </c>
      <c r="B271" s="5" t="inlineStr">
        <is>
          <t>Blue</t>
        </is>
      </c>
      <c r="C271" s="5" t="inlineStr">
        <is>
          <t>TECH</t>
        </is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6" t="inlineStr">
        <is>
          <t>Zombie Gene Research T2</t>
        </is>
      </c>
    </row>
    <row r="272">
      <c r="A272" s="4" t="inlineStr">
        <is>
          <t xml:space="preserve">    Free Speedup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  <c r="J272" s="7" t="n">
        <v>30</v>
      </c>
      <c r="K272" s="5" t="n"/>
      <c r="L272" s="6" t="n"/>
    </row>
    <row r="273">
      <c r="A273" s="4" t="inlineStr">
        <is>
          <t xml:space="preserve">      Wet Gardener Poster</t>
        </is>
      </c>
      <c r="B273" s="5" t="inlineStr">
        <is>
          <t>Blue</t>
        </is>
      </c>
      <c r="C273" s="5" t="inlineStr">
        <is>
          <t>FAME</t>
        </is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18" t="inlineStr">
        <is>
          <t>Lottery Machine #2 (0.07%)</t>
        </is>
      </c>
    </row>
    <row r="274">
      <c r="A274" s="4" t="inlineStr">
        <is>
          <t xml:space="preserve">      Gertie the Dinosaur</t>
        </is>
      </c>
      <c r="B274" s="5" t="inlineStr">
        <is>
          <t>Blue</t>
        </is>
      </c>
      <c r="C274" s="5" t="inlineStr">
        <is>
          <t>FAME</t>
        </is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18" t="inlineStr">
        <is>
          <t>Lottery Machine #2 (0.26%)</t>
        </is>
      </c>
    </row>
    <row r="275">
      <c r="A275" s="4" t="inlineStr">
        <is>
          <t xml:space="preserve">  PURPLE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6" t="n"/>
    </row>
    <row r="276">
      <c r="A276" s="4" t="inlineStr">
        <is>
          <t xml:space="preserve">    Research Speed</t>
        </is>
      </c>
      <c r="B276" s="5" t="n"/>
      <c r="C276" s="5" t="n"/>
      <c r="D276" s="7" t="n">
        <v>4.8</v>
      </c>
      <c r="E276" s="5" t="n"/>
      <c r="F276" s="5" t="n"/>
      <c r="G276" s="5" t="n"/>
      <c r="H276" s="5" t="n"/>
      <c r="I276" s="5" t="n"/>
      <c r="J276" s="5" t="n"/>
      <c r="K276" s="5" t="n"/>
      <c r="L276" s="6" t="n"/>
    </row>
    <row r="277">
      <c r="A277" s="4" t="inlineStr">
        <is>
          <t xml:space="preserve">      Blood of Dracula</t>
        </is>
      </c>
      <c r="B277" s="5" t="inlineStr">
        <is>
          <t>AA</t>
        </is>
      </c>
      <c r="C277" s="5" t="inlineStr">
        <is>
          <t>FTH</t>
        </is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6" t="inlineStr">
        <is>
          <t>Fragment Crafting (3.8%), Lottery Machine #1 (0.08%), Wishing (0.35%), Soul Chest (1.5%), Expert Scrolls (0.95%)</t>
        </is>
      </c>
    </row>
    <row r="278">
      <c r="A278" s="4" t="inlineStr">
        <is>
          <t xml:space="preserve">      Prehistoric Fossil</t>
        </is>
      </c>
      <c r="B278" s="5" t="inlineStr">
        <is>
          <t>AAA</t>
        </is>
      </c>
      <c r="C278" s="5" t="inlineStr">
        <is>
          <t>CIV</t>
        </is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6" t="inlineStr">
        <is>
          <t>Fragment Crafting (1.5%), Lottery Machine #1 (0.03%), Wishing (0.14%), Time Chest (1.5%), Relic Forge (80 Relic RF)</t>
        </is>
      </c>
    </row>
    <row r="279">
      <c r="A279" s="4" t="inlineStr">
        <is>
          <t xml:space="preserve">      Ark Reactor</t>
        </is>
      </c>
      <c r="B279" s="5" t="inlineStr">
        <is>
          <t>AA</t>
        </is>
      </c>
      <c r="C279" s="5" t="inlineStr">
        <is>
          <t>TECH</t>
        </is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6" t="inlineStr">
        <is>
          <t>Fragment Crafting (3.9%), Lottery Machine #1 (0.08%), Wishing (0.36%), Expert Scrolls (0.95%)</t>
        </is>
      </c>
    </row>
    <row r="280">
      <c r="A280" s="4" t="inlineStr">
        <is>
          <t xml:space="preserve">      Crystal Skull</t>
        </is>
      </c>
      <c r="B280" s="5" t="inlineStr">
        <is>
          <t>AAA</t>
        </is>
      </c>
      <c r="C280" s="5" t="inlineStr">
        <is>
          <t>ART</t>
        </is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6" t="inlineStr">
        <is>
          <t>Fragment Crafting (1.6%), Lottery Machine #1 (0.03%), Wishing (0.14%), Time Chest (1.5%), Relic Forge (Relic RF 80)</t>
        </is>
      </c>
    </row>
    <row r="281">
      <c r="A281" s="4" t="inlineStr">
        <is>
          <t xml:space="preserve">  ORANGE</t>
        </is>
      </c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6" t="n"/>
    </row>
    <row r="282">
      <c r="A282" s="4" t="inlineStr">
        <is>
          <t xml:space="preserve">    Research Speed</t>
        </is>
      </c>
      <c r="B282" s="5" t="n"/>
      <c r="C282" s="5" t="n"/>
      <c r="D282" s="7" t="n">
        <v>4.2</v>
      </c>
      <c r="E282" s="5" t="n"/>
      <c r="F282" s="5" t="n"/>
      <c r="G282" s="5" t="n"/>
      <c r="H282" s="5" t="n"/>
      <c r="I282" s="5" t="n"/>
      <c r="J282" s="5" t="n"/>
      <c r="K282" s="5" t="n"/>
      <c r="L282" s="6" t="n"/>
    </row>
    <row r="283">
      <c r="A283" s="4" t="inlineStr">
        <is>
          <t xml:space="preserve">      The Black Book</t>
        </is>
      </c>
      <c r="B283" s="5" t="inlineStr">
        <is>
          <t>SSS</t>
        </is>
      </c>
      <c r="C283" s="5" t="inlineStr">
        <is>
          <t>FTH</t>
        </is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6" t="inlineStr">
        <is>
          <t>Silence Hall (Rebel Cabin) Reward</t>
        </is>
      </c>
    </row>
    <row r="284">
      <c r="A284" s="4" t="inlineStr">
        <is>
          <t xml:space="preserve">      Higgs Boson</t>
        </is>
      </c>
      <c r="B284" s="5" t="inlineStr">
        <is>
          <t>SSS</t>
        </is>
      </c>
      <c r="C284" s="5" t="inlineStr">
        <is>
          <t>TECH</t>
        </is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6" t="inlineStr">
        <is>
          <t>Daily Gold Pack Relic #3</t>
        </is>
      </c>
    </row>
    <row r="285">
      <c r="A285" s="8" t="inlineStr">
        <is>
          <t>MAX RESONANCE</t>
        </is>
      </c>
      <c r="B285" s="9" t="n"/>
      <c r="C285" s="9" t="n"/>
      <c r="D285" s="10">
        <f>sum(D267:D284)</f>
        <v/>
      </c>
      <c r="E285" s="9" t="n"/>
      <c r="F285" s="10">
        <f>sum(F267:F284)</f>
        <v/>
      </c>
      <c r="G285" s="9" t="n"/>
      <c r="H285" s="10">
        <f>sum(H267:H284)</f>
        <v/>
      </c>
      <c r="I285" s="9" t="n"/>
      <c r="J285" s="10">
        <f>sum(J267:J284)</f>
        <v/>
      </c>
      <c r="K285" s="9" t="n"/>
      <c r="L285" s="11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>
      <c r="A290" s="13" t="n"/>
      <c r="B290" s="22" t="inlineStr">
        <is>
          <t>Zombie</t>
        </is>
      </c>
      <c r="C290" s="22" t="inlineStr">
        <is>
          <t>Demon</t>
        </is>
      </c>
      <c r="D290" s="22" t="inlineStr">
        <is>
          <t>Angel</t>
        </is>
      </c>
      <c r="E290" s="22" t="inlineStr">
        <is>
          <t>Mutant</t>
        </is>
      </c>
      <c r="F290" s="22" t="inlineStr">
        <is>
          <t>Mecha</t>
        </is>
      </c>
      <c r="G290" s="22" t="inlineStr">
        <is>
          <t>Dragon</t>
        </is>
      </c>
      <c r="H290" s="5" t="n"/>
      <c r="I290" s="5" t="n"/>
      <c r="J290" s="5" t="n"/>
      <c r="K290" s="5" t="n"/>
      <c r="L290" s="5" t="n"/>
    </row>
    <row r="291">
      <c r="A291" s="15" t="inlineStr">
        <is>
          <t>General Research Speed</t>
        </is>
      </c>
      <c r="B291" s="16">
        <f>B56+D73+D102</f>
        <v/>
      </c>
      <c r="C291" s="16">
        <f>B56+D113+D138</f>
        <v/>
      </c>
      <c r="D291" s="16">
        <f>B56+D150+D178</f>
        <v/>
      </c>
      <c r="E291" s="16">
        <f>B56+D190+D217</f>
        <v/>
      </c>
      <c r="F291" s="16">
        <f>B56+D228+D255</f>
        <v/>
      </c>
      <c r="G291" s="16">
        <f>B56+D264+D285</f>
        <v/>
      </c>
      <c r="H291" s="5" t="n"/>
      <c r="I291" s="5" t="n"/>
      <c r="J291" s="5" t="n"/>
      <c r="K291" s="5" t="n"/>
      <c r="L291" s="5" t="n"/>
    </row>
    <row r="292">
      <c r="A292" s="15" t="inlineStr">
        <is>
          <t>General Cells Cost Reduction</t>
        </is>
      </c>
      <c r="B292" s="16">
        <f>B57+F73+F102</f>
        <v/>
      </c>
      <c r="C292" s="16">
        <f>B57+F113+F138</f>
        <v/>
      </c>
      <c r="D292" s="16">
        <f>B57+F150+F178</f>
        <v/>
      </c>
      <c r="E292" s="16">
        <f>B57+F190+F217</f>
        <v/>
      </c>
      <c r="F292" s="16">
        <f>B57+F228+F255</f>
        <v/>
      </c>
      <c r="G292" s="16">
        <f>0</f>
        <v/>
      </c>
      <c r="H292" s="5" t="n"/>
      <c r="I292" s="5" t="n"/>
      <c r="J292" s="5" t="n"/>
      <c r="K292" s="5" t="n"/>
      <c r="L292" s="5" t="n"/>
    </row>
    <row r="293">
      <c r="A293" s="15" t="inlineStr">
        <is>
          <t>General Btad Cost Reduction</t>
        </is>
      </c>
      <c r="B293" s="16">
        <f>B58+H73+H102</f>
        <v/>
      </c>
      <c r="C293" s="16">
        <f>B58+H73+H102</f>
        <v/>
      </c>
      <c r="D293" s="16">
        <f>B58+H150+H178</f>
        <v/>
      </c>
      <c r="E293" s="16">
        <f>B58+H190+H217</f>
        <v/>
      </c>
      <c r="F293" s="16">
        <f>B58+H228+H255</f>
        <v/>
      </c>
      <c r="G293" s="16">
        <f>B58+H264+H285</f>
        <v/>
      </c>
      <c r="H293" s="5" t="n"/>
      <c r="I293" s="5" t="n"/>
      <c r="J293" s="5" t="n"/>
      <c r="K293" s="5" t="n"/>
      <c r="L293" s="5" t="n"/>
    </row>
    <row r="294">
      <c r="A294" s="15" t="inlineStr">
        <is>
          <t>General Research Speed (min)</t>
        </is>
      </c>
      <c r="B294" s="16">
        <f>B59+J73+J76+J102</f>
        <v/>
      </c>
      <c r="C294" s="16">
        <f>B59+J113+J138</f>
        <v/>
      </c>
      <c r="D294" s="16">
        <f>B59+J150+J153+J178</f>
        <v/>
      </c>
      <c r="E294" s="16">
        <f>B59+J190+J193+J217</f>
        <v/>
      </c>
      <c r="F294" s="16">
        <f>B59+J228+J231+J255</f>
        <v/>
      </c>
      <c r="G294" s="16">
        <f>B59+J264+J285</f>
        <v/>
      </c>
      <c r="H294" s="5" t="n"/>
      <c r="I294" s="5" t="n"/>
      <c r="J294" s="5" t="n"/>
      <c r="K294" s="5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2026-04-25T21:14:51Z</dcterms:created>
  <dcterms:modified xmlns:dcterms="http://purl.org/dc/terms/" xmlns:xsi="http://www.w3.org/2001/XMLSchema-instance" xsi:type="dcterms:W3CDTF">2026-04-25T21:14:52Z</dcterms:modified>
</cp:coreProperties>
</file>