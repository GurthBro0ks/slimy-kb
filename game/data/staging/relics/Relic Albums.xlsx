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ic Albu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Verdana"/>
      <color theme="1"/>
      <scheme val="minor"/>
    </font>
    <font>
      <name val="Verdana"/>
      <color theme="1"/>
      <sz val="9"/>
      <scheme val="minor"/>
    </font>
    <font>
      <name val="Verdana"/>
      <color theme="1"/>
      <sz val="9"/>
    </font>
    <font>
      <name val="Verdana"/>
      <color theme="1"/>
      <sz val="12"/>
    </font>
    <font>
      <name val="Verdana"/>
      <color rgb="FFFFFFFF"/>
      <scheme val="minor"/>
    </font>
  </fonts>
  <fills count="5">
    <fill>
      <patternFill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E8E7FC"/>
        <bgColor rgb="FFE8E7FC"/>
      </patternFill>
    </fill>
  </fills>
  <borders count="13">
    <border>
      <left/>
      <right/>
      <top/>
      <bottom/>
      <diagonal/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2" fillId="0" borderId="6" pivotButton="0" quotePrefix="0" xfId="0"/>
    <xf numFmtId="0" fontId="1" fillId="0" borderId="6" pivotButton="0" quotePrefix="0" xfId="0"/>
    <xf numFmtId="0" fontId="3" fillId="2" borderId="4" applyAlignment="1" pivotButton="0" quotePrefix="0" xfId="0">
      <alignment vertical="bottom"/>
    </xf>
    <xf numFmtId="0" fontId="4" fillId="0" borderId="6" applyAlignment="1" pivotButton="0" quotePrefix="0" xfId="0">
      <alignment vertical="bottom"/>
    </xf>
    <xf numFmtId="0" fontId="4" fillId="2" borderId="5" applyAlignment="1" pivotButton="0" quotePrefix="0" xfId="0">
      <alignment vertical="bottom"/>
    </xf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  <xf numFmtId="0" fontId="1" fillId="0" borderId="10" pivotButton="0" quotePrefix="0" xfId="0"/>
    <xf numFmtId="0" fontId="1" fillId="0" borderId="11" pivotButton="0" quotePrefix="0" xfId="0"/>
    <xf numFmtId="0" fontId="2" fillId="0" borderId="12" pivotButton="0" quotePrefix="0" xfId="0"/>
    <xf numFmtId="0" fontId="1" fillId="0" borderId="12" pivotButton="0" quotePrefix="0" xfId="0"/>
    <xf numFmtId="0" fontId="2" fillId="0" borderId="4" pivotButton="0" quotePrefix="0" xfId="0"/>
    <xf numFmtId="0" fontId="5" fillId="0" borderId="7" pivotButton="0" quotePrefix="0" xfId="0"/>
    <xf numFmtId="0" fontId="5" fillId="0" borderId="3" pivotButton="0" quotePrefix="0" xfId="0"/>
    <xf numFmtId="0" fontId="5" fillId="0" borderId="2" pivotButton="0" quotePrefix="0" xfId="0"/>
    <xf numFmtId="0" fontId="5" fillId="0" borderId="1" pivotButton="0" quotePrefix="0" xfId="0"/>
    <xf numFmtId="0" fontId="4" fillId="3" borderId="4" applyAlignment="1" pivotButton="0" quotePrefix="0" xfId="0">
      <alignment horizontal="right" vertical="bottom"/>
    </xf>
    <xf numFmtId="0" fontId="4" fillId="3" borderId="4" applyAlignment="1" pivotButton="0" quotePrefix="0" xfId="0">
      <alignment vertical="bottom"/>
    </xf>
    <xf numFmtId="0" fontId="3" fillId="3" borderId="6" applyAlignment="1" pivotButton="0" quotePrefix="0" xfId="0">
      <alignment vertical="bottom"/>
    </xf>
    <xf numFmtId="0" fontId="4" fillId="3" borderId="5" applyAlignment="1" pivotButton="0" quotePrefix="0" xfId="0">
      <alignment vertical="bottom"/>
    </xf>
    <xf numFmtId="0" fontId="4" fillId="3" borderId="8" applyAlignment="1" pivotButton="0" quotePrefix="0" xfId="0">
      <alignment horizontal="right" vertical="bottom"/>
    </xf>
    <xf numFmtId="0" fontId="4" fillId="3" borderId="6" applyAlignment="1" pivotButton="0" quotePrefix="0" xfId="0">
      <alignment vertical="bottom"/>
    </xf>
    <xf numFmtId="0" fontId="4" fillId="4" borderId="8" applyAlignment="1" pivotButton="0" quotePrefix="0" xfId="0">
      <alignment horizontal="right" vertical="bottom"/>
    </xf>
    <xf numFmtId="0" fontId="4" fillId="4" borderId="6" applyAlignment="1" pivotButton="0" quotePrefix="0" xfId="0">
      <alignment vertical="bottom"/>
    </xf>
    <xf numFmtId="0" fontId="3" fillId="4" borderId="6" applyAlignment="1" pivotButton="0" quotePrefix="0" xfId="0">
      <alignment vertical="bottom"/>
    </xf>
    <xf numFmtId="0" fontId="4" fillId="4" borderId="5" applyAlignment="1" pivotButton="0" quotePrefix="0" xfId="0">
      <alignment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6"/>
  <sheetViews>
    <sheetView workbookViewId="0">
      <selection activeCell="A1" sqref="A1"/>
    </sheetView>
  </sheetViews>
  <sheetFormatPr baseColWidth="8" defaultRowHeight="15"/>
  <cols>
    <col width="4.91" customWidth="1" min="1" max="1"/>
    <col width="23.82" customWidth="1" min="2" max="2"/>
    <col width="7.45" customWidth="1" min="3" max="3"/>
    <col width="103.27" customWidth="1" min="4" max="4"/>
    <col width="16.82" customWidth="1" min="5" max="5"/>
    <col width="39.18" customWidth="1" min="6" max="6"/>
  </cols>
  <sheetData>
    <row r="1">
      <c r="A1" s="1" t="inlineStr">
        <is>
          <t>Order</t>
        </is>
      </c>
      <c r="B1" s="1" t="inlineStr">
        <is>
          <t>Daily Pack Relic</t>
        </is>
      </c>
      <c r="C1" s="2" t="inlineStr">
        <is>
          <t>(Days)</t>
        </is>
      </c>
      <c r="D1" s="3" t="inlineStr">
        <is>
          <t>Passive</t>
        </is>
      </c>
      <c r="E1" s="3" t="inlineStr">
        <is>
          <t>Stamp Type</t>
        </is>
      </c>
      <c r="F1" s="2" t="inlineStr">
        <is>
          <t>Notable Stamps</t>
        </is>
      </c>
    </row>
    <row r="2">
      <c r="A2" s="4" t="n">
        <v>1</v>
      </c>
      <c r="B2" s="4" t="inlineStr">
        <is>
          <t>Winged Victory</t>
        </is>
      </c>
      <c r="C2" s="5">
        <f>A2*28</f>
        <v/>
      </c>
      <c r="D2" s="6" t="inlineStr">
        <is>
          <t>Snail HP +1,200, Snail ATK +220, Per Sign-In, Snail ATK +24; Sign-Ins: 20/20</t>
        </is>
      </c>
      <c r="E2" s="7" t="inlineStr">
        <is>
          <t>Exploration</t>
        </is>
      </c>
      <c r="F2" s="5" t="inlineStr">
        <is>
          <t>600 ATK; 15% INTEL</t>
        </is>
      </c>
    </row>
    <row r="3">
      <c r="A3" s="4" t="n">
        <v>2</v>
      </c>
      <c r="B3" s="4" t="inlineStr">
        <is>
          <t>Nibelungenlied</t>
        </is>
      </c>
      <c r="C3" s="5">
        <f>A3*28</f>
        <v/>
      </c>
      <c r="D3" s="6" t="inlineStr">
        <is>
          <t>Snail ATK +220, Per 5 Dragon Gene LVLs, Snail ATK +24, Per 5 Dragon Gene LVLs, Snail RUSH +24; Dragon Gene LVLs Researched: 100/100</t>
        </is>
      </c>
      <c r="E3" s="7" t="inlineStr">
        <is>
          <t>Arena</t>
        </is>
      </c>
      <c r="F3" s="5" t="inlineStr">
        <is>
          <t>30% CRIT / CRIT DMG / Ignore DEF</t>
        </is>
      </c>
    </row>
    <row r="4">
      <c r="A4" s="4" t="n">
        <v>3</v>
      </c>
      <c r="B4" s="4" t="inlineStr">
        <is>
          <t>Fermat's Scripts</t>
        </is>
      </c>
      <c r="C4" s="5">
        <f>A4*28</f>
        <v/>
      </c>
      <c r="D4" s="6" t="inlineStr">
        <is>
          <t>Snail ATK +220, Per 5 Daily Packs bought, Snail ATK +12, Per 5 Daily Packs bought, Snail DEF +12; Daily Packs Purchased: 200/200</t>
        </is>
      </c>
      <c r="E4" s="7" t="inlineStr">
        <is>
          <t>Britland</t>
        </is>
      </c>
      <c r="F4" s="5" t="inlineStr">
        <is>
          <t>15 TECH</t>
        </is>
      </c>
    </row>
    <row r="5">
      <c r="A5" s="4" t="n">
        <v>4</v>
      </c>
      <c r="B5" s="4" t="inlineStr">
        <is>
          <t>Guevara's Portrait</t>
        </is>
      </c>
      <c r="C5" s="5">
        <f>A5*28</f>
        <v/>
      </c>
      <c r="D5" s="6" t="inlineStr">
        <is>
          <t>Snail DEF +220, Per 20 Chores completed, Snail ATK +36, Per 20 Chores completed, Snail DEF +36; Chores Completed: 300/300</t>
        </is>
      </c>
      <c r="E5" s="7" t="inlineStr">
        <is>
          <t>Arena</t>
        </is>
      </c>
      <c r="F5" s="5" t="inlineStr">
        <is>
          <t>15 FAME; 7.5% DMG Reduction</t>
        </is>
      </c>
    </row>
    <row r="6">
      <c r="A6" s="4" t="n">
        <v>5</v>
      </c>
      <c r="B6" s="4" t="inlineStr">
        <is>
          <t>Wheel of Fortune</t>
        </is>
      </c>
      <c r="C6" s="5">
        <f>A6*28</f>
        <v/>
      </c>
      <c r="D6" s="6" t="inlineStr">
        <is>
          <t>Snail ATK +220, When offering, 2x Order Chest Drops +12%, Per 5 Divine Order Chests opened: Snail ATK +36; Divine Order Chests Opened: 100/100</t>
        </is>
      </c>
      <c r="E6" s="7" t="inlineStr">
        <is>
          <t>Hellas</t>
        </is>
      </c>
      <c r="F6" s="5" t="inlineStr">
        <is>
          <t>15 FTH; 30% Angel Cells</t>
        </is>
      </c>
    </row>
    <row r="7">
      <c r="A7" s="4" t="n">
        <v>6</v>
      </c>
      <c r="B7" s="4" t="inlineStr">
        <is>
          <t>Iliad &amp; Odyssey</t>
        </is>
      </c>
      <c r="C7" s="5">
        <f>A7*28</f>
        <v/>
      </c>
      <c r="D7" s="6" t="inlineStr">
        <is>
          <t>When offering, 2x Neutral Chest Drops +10%, Per 10 Daily Packs bought, Snail ATK +18, Per 10 Daily Packs bought, Snail RUSH +18, Daily Packs Purchased: 360/360</t>
        </is>
      </c>
      <c r="E7" s="7" t="inlineStr">
        <is>
          <t>Hellas</t>
        </is>
      </c>
      <c r="F7" s="5" t="inlineStr">
        <is>
          <t>30 Medals; 15% Orange Cards</t>
        </is>
      </c>
    </row>
    <row r="8">
      <c r="A8" s="4" t="n">
        <v>7</v>
      </c>
      <c r="B8" s="4" t="inlineStr">
        <is>
          <t>King's Gayageum</t>
        </is>
      </c>
      <c r="C8" s="5">
        <f>A8*28</f>
        <v/>
      </c>
      <c r="D8" s="6" t="inlineStr">
        <is>
          <t>Snail ATK +220, Per 60 Minions in battle, Troop ATK +90, Per 60 Minions in battle, Troop RUSH +90</t>
        </is>
      </c>
      <c r="E8" s="7" t="inlineStr">
        <is>
          <t>Koryeo</t>
        </is>
      </c>
      <c r="F8" s="5" t="inlineStr">
        <is>
          <t>15 ART; 30% Demon Cells</t>
        </is>
      </c>
    </row>
    <row r="9">
      <c r="A9" s="4" t="n">
        <v>8</v>
      </c>
      <c r="B9" s="4" t="inlineStr">
        <is>
          <t>Nautilus</t>
        </is>
      </c>
      <c r="C9" s="5">
        <f>A9*28</f>
        <v/>
      </c>
      <c r="D9" s="6" t="inlineStr">
        <is>
          <t>Refining gives +1 Wormhole Refiner by +66%, Per 5 TECH Relics awakened, Snail HP +240, Per 5 TECH Relics awakened, Snail ATK +24; TECH Relics Awakened: 100/100</t>
        </is>
      </c>
      <c r="E9" s="7" t="inlineStr">
        <is>
          <t>Bharata</t>
        </is>
      </c>
      <c r="F9" s="5" t="inlineStr">
        <is>
          <t>15 TECH; 30% Mecha Cells; 15% Orange Cards</t>
        </is>
      </c>
    </row>
    <row r="10">
      <c r="A10" s="4" t="n">
        <v>9</v>
      </c>
      <c r="B10" s="4" t="inlineStr">
        <is>
          <t>Gutenberg's Press</t>
        </is>
      </c>
      <c r="C10" s="5">
        <f>A10*28</f>
        <v/>
      </c>
      <c r="D10" s="6" t="inlineStr">
        <is>
          <t>Snail Leadership +17, Per 60 Minions in battle, Troop ATK +90, Per 60 Minions in battle, Troop HARD Stats +30</t>
        </is>
      </c>
      <c r="E10" s="7" t="inlineStr">
        <is>
          <t>Kemet</t>
        </is>
      </c>
      <c r="F10" s="5" t="inlineStr">
        <is>
          <t>15 CIV; 3000 Btads; 9% Kemet Travel SPD</t>
        </is>
      </c>
    </row>
    <row r="11">
      <c r="A11" s="4" t="n">
        <v>10</v>
      </c>
      <c r="B11" s="4" t="inlineStr">
        <is>
          <t>Gravitation Scripts</t>
        </is>
      </c>
      <c r="C11" s="5">
        <f>A11*28</f>
        <v/>
      </c>
      <c r="D11" s="6" t="inlineStr">
        <is>
          <t>Snail ATK +220, Per 5 Rocket Tech LVLs, Snail ATK +48, Per 5 Rocket Tech LVLs, Snail DEF +48; Rocket Tech Upgraded: 50/50</t>
        </is>
      </c>
      <c r="E11" s="7" t="inlineStr">
        <is>
          <t>Rift</t>
        </is>
      </c>
      <c r="F11" s="5" t="inlineStr">
        <is>
          <t>15 FAME; 30% DMG; 300 Earth DMG</t>
        </is>
      </c>
    </row>
    <row r="12">
      <c r="A12" s="4" t="n">
        <v>11</v>
      </c>
      <c r="B12" s="4" t="inlineStr">
        <is>
          <t>Napoleonic Code</t>
        </is>
      </c>
      <c r="C12" s="5">
        <f>A12*28</f>
        <v/>
      </c>
      <c r="D12" s="6" t="inlineStr">
        <is>
          <t>Snail Leadership +17, Per 60 Minions in battle, Troop RUSH +90, Per 60 Minions in Battle, Troop HARD Stats +30</t>
        </is>
      </c>
      <c r="E12" s="7" t="inlineStr">
        <is>
          <t>Rift</t>
        </is>
      </c>
      <c r="F12" s="5" t="inlineStr">
        <is>
          <t>6% Green Card; 6% Purple Reagent</t>
        </is>
      </c>
    </row>
    <row r="13">
      <c r="A13" s="4" t="n">
        <v>12</v>
      </c>
      <c r="B13" s="4" t="inlineStr">
        <is>
          <t>Golden Vase</t>
        </is>
      </c>
      <c r="C13" s="5">
        <f>A13*28</f>
        <v/>
      </c>
      <c r="D13" s="6" t="inlineStr">
        <is>
          <t>Snail DEF +100, When offering, 2x Neutral Chest Drops +12%, Per 10 Altar God Descents, Snail DEF +12, Per 10 Altar God Descents, Snail RUSH +12; Gods Descended: 400/400</t>
        </is>
      </c>
      <c r="E13" s="7" t="inlineStr">
        <is>
          <t>Rift</t>
        </is>
      </c>
      <c r="F13" s="5" t="inlineStr">
        <is>
          <t>6% Btad; 3% Incense</t>
        </is>
      </c>
    </row>
    <row r="14">
      <c r="A14" s="4" t="n">
        <v>13</v>
      </c>
      <c r="B14" s="4" t="inlineStr">
        <is>
          <t>Dead Sea Scrolls</t>
        </is>
      </c>
      <c r="C14" s="5">
        <f>A14*28</f>
        <v/>
      </c>
      <c r="D14" s="6" t="inlineStr">
        <is>
          <t>Per 60 Minions in battle, Troop ATK +90, Per 60 Minions in battle, Troop HARD Stats +60, When offering, 2x Chaos Chest Drops +12%</t>
        </is>
      </c>
      <c r="E14" s="7" t="inlineStr">
        <is>
          <t>Mantis</t>
        </is>
      </c>
      <c r="F14" s="5" t="inlineStr">
        <is>
          <t>Troop 60 Water DMG; 9% RUSH; 9% CRIT</t>
        </is>
      </c>
    </row>
    <row r="15">
      <c r="A15" s="4" t="n">
        <v>14</v>
      </c>
      <c r="B15" s="4" t="inlineStr">
        <is>
          <t>Salvator Mundi</t>
        </is>
      </c>
      <c r="C15" s="5">
        <f>A15*28</f>
        <v/>
      </c>
      <c r="D15" s="6" t="inlineStr">
        <is>
          <t>Snail ATK +220, Per 10 Wormhole Refines, Snail ATK +12, Per 10 Wormhole Refines, Snail RUSH +12; Wormhole Refines: 500/500</t>
        </is>
      </c>
      <c r="E15" s="7" t="inlineStr">
        <is>
          <t>Britland</t>
        </is>
      </c>
      <c r="F15" s="5" t="inlineStr">
        <is>
          <t>15 ART; 30 Medals; 30% Demon Cells</t>
        </is>
      </c>
    </row>
    <row r="16">
      <c r="A16" s="4" t="n">
        <v>15</v>
      </c>
      <c r="B16" s="4" t="inlineStr">
        <is>
          <t>Last Self Portrait</t>
        </is>
      </c>
      <c r="C16" s="5">
        <f>A16*28</f>
        <v/>
      </c>
      <c r="D16" s="6" t="inlineStr">
        <is>
          <t>Zombie Minion ATK +12%, Per 60 Minions in battle: Troop HP +1800, Per 60 Minions in battle: Troop DEF +90</t>
        </is>
      </c>
      <c r="E16" s="7" t="inlineStr">
        <is>
          <t>Hamster</t>
        </is>
      </c>
      <c r="F16" s="5" t="inlineStr">
        <is>
          <t>15 ART; 60 Troop Earth DMG; 9% HP</t>
        </is>
      </c>
    </row>
    <row r="17">
      <c r="A17" s="4" t="n">
        <v>16</v>
      </c>
      <c r="B17" s="4" t="inlineStr">
        <is>
          <t>Brave New World</t>
        </is>
      </c>
      <c r="C17" s="5">
        <f>A17*28</f>
        <v/>
      </c>
      <c r="D17" s="6" t="inlineStr">
        <is>
          <t>Snail Leadership +12, Per 60 Minions in battle: Troop HARD Stats +60, When Offering, 2x Neutral Chest Drops +12%</t>
        </is>
      </c>
      <c r="E17" s="7" t="inlineStr">
        <is>
          <t>Rift</t>
        </is>
      </c>
      <c r="F17" s="5" t="inlineStr">
        <is>
          <t>6% Orange Card; 6% Time Chest; 300 Water DMG</t>
        </is>
      </c>
    </row>
    <row r="18">
      <c r="A18" s="4" t="n">
        <v>17</v>
      </c>
      <c r="B18" s="4" t="inlineStr">
        <is>
          <t>Head of Bhairava</t>
        </is>
      </c>
      <c r="C18" s="5">
        <f>A18*28</f>
        <v/>
      </c>
      <c r="D18" s="6" t="inlineStr">
        <is>
          <t>Snail RUSH +220, Per 60 Minions in battle: Troop RUSH +90, When offering, 2x Neutral Chest Drops +12%</t>
        </is>
      </c>
      <c r="E18" s="7" t="inlineStr">
        <is>
          <t>Surf Clam</t>
        </is>
      </c>
      <c r="F18" s="5" t="inlineStr">
        <is>
          <t>15 FTH; 9% Troop CRIT DMG; 60 Wind DMG</t>
        </is>
      </c>
    </row>
    <row r="19">
      <c r="A19" s="4" t="n">
        <v>18</v>
      </c>
      <c r="B19" s="4" t="inlineStr">
        <is>
          <t>The Last Judgement</t>
        </is>
      </c>
      <c r="C19" s="5">
        <f>A19*28</f>
        <v/>
      </c>
      <c r="D19" s="6" t="inlineStr">
        <is>
          <t>Snail ATK +220, When offering, 2x Chaos Chest Drops +12%, Per FTH Master Scroll used, Snail RUSH +48; FTH Master Scrolls Used: 10/10</t>
        </is>
      </c>
      <c r="E19" s="7" t="inlineStr">
        <is>
          <t>Rift</t>
        </is>
      </c>
      <c r="F19" s="5" t="inlineStr">
        <is>
          <t>600 ATK; 6% Btad; 300 Earth DMG</t>
        </is>
      </c>
    </row>
    <row r="20">
      <c r="A20" s="4" t="n">
        <v>19</v>
      </c>
      <c r="B20" s="4" t="inlineStr">
        <is>
          <t>Herma of Pericles</t>
        </is>
      </c>
      <c r="C20" s="5">
        <f>A20*28</f>
        <v/>
      </c>
      <c r="D20" s="6" t="inlineStr">
        <is>
          <t>Snail DEF +220, Per 60 Minions in battle: Troop Water DMG +30, Per 60 Minions in battle: Troop Fire DMG +30</t>
        </is>
      </c>
      <c r="E20" s="7" t="inlineStr">
        <is>
          <t>Mantis</t>
        </is>
      </c>
      <c r="F20" s="5" t="inlineStr">
        <is>
          <t>9% Troop CRIT DMG; 9% Hero DMG; 60 Wind DMG</t>
        </is>
      </c>
    </row>
    <row r="21">
      <c r="A21" s="4" t="n">
        <v>20</v>
      </c>
      <c r="B21" s="4" t="inlineStr">
        <is>
          <t>Manga Manuscript</t>
        </is>
      </c>
      <c r="C21" s="5">
        <f>A21*28</f>
        <v/>
      </c>
      <c r="D21" s="6" t="inlineStr">
        <is>
          <t>Wormhole Refinement SPD +8.8%, Per 10 Wormhole Refines, Snail ATK +12, Per 10 Wormhole Refines, Snail RUSH +12; Wormhole Refines: 500/500</t>
        </is>
      </c>
      <c r="E21" s="7" t="inlineStr">
        <is>
          <t>Yamato</t>
        </is>
      </c>
      <c r="F21" s="5" t="inlineStr">
        <is>
          <t>30 Medals</t>
        </is>
      </c>
    </row>
    <row r="22">
      <c r="A22" s="4" t="n">
        <v>21</v>
      </c>
      <c r="B22" s="4" t="inlineStr">
        <is>
          <t>Von Neumann Arch.</t>
        </is>
      </c>
      <c r="C22" s="5">
        <f>A22*28</f>
        <v/>
      </c>
      <c r="D22" s="6" t="inlineStr">
        <is>
          <t>Snail RUSH +120, Mecha Minion ATK +12%, Per 60 Mecha Minions in battle: Troop ATK +180</t>
        </is>
      </c>
      <c r="E22" s="7" t="inlineStr">
        <is>
          <t>Rift</t>
        </is>
      </c>
      <c r="F22" s="5" t="inlineStr">
        <is>
          <t>15 TECH; 30% DMG; 6% White Cards</t>
        </is>
      </c>
    </row>
    <row r="23">
      <c r="A23" s="4" t="n">
        <v>22</v>
      </c>
      <c r="B23" s="4" t="inlineStr">
        <is>
          <t>Grand Unified Theory</t>
        </is>
      </c>
      <c r="C23" s="5">
        <f>A23*28</f>
        <v/>
      </c>
      <c r="D23" s="6" t="inlineStr">
        <is>
          <t>Snail ATK +220, Per Dragon Form Tier, Snail HP +1200, Per Dragon Form Tier, Snail ATK +120; Dragon Form Tiers: 9/9</t>
        </is>
      </c>
      <c r="E23" s="7" t="inlineStr">
        <is>
          <t>Rift</t>
        </is>
      </c>
      <c r="F23" s="5" t="inlineStr">
        <is>
          <t>15 TECH; 600 ATK; 300 Fire DMG</t>
        </is>
      </c>
    </row>
    <row r="24">
      <c r="A24" s="4" t="n">
        <v>23</v>
      </c>
      <c r="B24" s="4" t="inlineStr">
        <is>
          <t>Columbus Chart</t>
        </is>
      </c>
      <c r="C24" s="5">
        <f>A24*28</f>
        <v/>
      </c>
      <c r="D24" s="6" t="inlineStr">
        <is>
          <t>Snail ATK +120; Per 60 Minions in battle: Troop HARD stats +30, Per 60 Minions in battle: Troop ATK +180</t>
        </is>
      </c>
      <c r="E24" s="7" t="inlineStr">
        <is>
          <t>Rift</t>
        </is>
      </c>
      <c r="F24" s="5" t="inlineStr">
        <is>
          <t>15 FAME; 6% Btad; 300 Wind DMG</t>
        </is>
      </c>
    </row>
    <row r="25">
      <c r="A25" s="4" t="n">
        <v>24</v>
      </c>
      <c r="B25" s="4" t="inlineStr">
        <is>
          <t>Emerald Tablet</t>
        </is>
      </c>
      <c r="C25" s="5">
        <f>A25*28</f>
        <v/>
      </c>
      <c r="D25" s="6" t="inlineStr">
        <is>
          <t>Snail Leadership +17, Per 60 Minions in battle: Troop Earth DMG +30, Per 60 Minions in battle: Troop Wind DMG +30</t>
        </is>
      </c>
      <c r="E25" s="7" t="inlineStr">
        <is>
          <t>Kemet</t>
        </is>
      </c>
      <c r="F25" s="5" t="inlineStr">
        <is>
          <t>15 FTH; -300 Grandmaster Scroll cost</t>
        </is>
      </c>
    </row>
    <row r="26">
      <c r="A26" s="4" t="n">
        <v>25</v>
      </c>
      <c r="B26" s="4" t="inlineStr">
        <is>
          <t>Talmud</t>
        </is>
      </c>
      <c r="C26" s="5">
        <f>A26*28</f>
        <v/>
      </c>
      <c r="D26" s="6" t="inlineStr">
        <is>
          <t>Snail ATK +220, When offering, 2x Order Chest Drops +12%, Per 10 Altar God Descents, Snail ATK +24; Gods Descended: 400/400</t>
        </is>
      </c>
      <c r="E26" s="7" t="inlineStr">
        <is>
          <t>Minion Sim</t>
        </is>
      </c>
      <c r="F26" s="5" t="inlineStr">
        <is>
          <t>15 FTH; 9% Troop ATK; 60 Fire DMG</t>
        </is>
      </c>
    </row>
    <row r="27">
      <c r="A27" s="4" t="n">
        <v>26</v>
      </c>
      <c r="B27" s="4" t="inlineStr">
        <is>
          <t>Turing Award</t>
        </is>
      </c>
      <c r="C27" s="5">
        <f>A27*28</f>
        <v/>
      </c>
      <c r="D27" s="6" t="inlineStr">
        <is>
          <t>When spotting a weakness: Protomon extra DMG +1760; Per 10 TECH stamens used, Snail ATK +15, Per 10 TECH stamens used, Snail RUSH +15; TECH Stamens Used: 360/360</t>
        </is>
      </c>
      <c r="E27" s="7" t="inlineStr">
        <is>
          <t>Lumber Camp</t>
        </is>
      </c>
      <c r="F27" s="5" t="inlineStr">
        <is>
          <t>15 FAME; 30% Wood Output; 30% Ancient Lumber</t>
        </is>
      </c>
    </row>
    <row r="28">
      <c r="A28" s="4" t="n">
        <v>27</v>
      </c>
      <c r="B28" s="4" t="inlineStr">
        <is>
          <t>Apollo and Daphne</t>
        </is>
      </c>
      <c r="C28" s="5">
        <f>A28*28</f>
        <v/>
      </c>
      <c r="D28" s="6" t="inlineStr">
        <is>
          <t>Snail Leadership +17, Per 60 T7+ Minions in battle: Troop RUSH +120, Per 3 Frozen Soils used on Protomons: Devotee DMG +192; Frozen Soils Used: 60/60</t>
        </is>
      </c>
      <c r="E28" s="7" t="inlineStr">
        <is>
          <t>Rift</t>
        </is>
      </c>
      <c r="F28" s="5" t="inlineStr">
        <is>
          <t>15 ART; 6% Blue Cards; 6% Purple Cards</t>
        </is>
      </c>
    </row>
    <row r="29">
      <c r="A29" s="4" t="n">
        <v>28</v>
      </c>
      <c r="B29" s="4" t="inlineStr">
        <is>
          <t>Big Bang Theory</t>
        </is>
      </c>
      <c r="C29" s="5">
        <f>A29*28</f>
        <v/>
      </c>
      <c r="D29" s="6" t="inlineStr">
        <is>
          <t>Snail HP +1000, Mecha Minion HP +12%, Minion skin bonus HP +100%, Per 10 HP stamens used, Snail HP +150; HP Stamens Used: 960/960</t>
        </is>
      </c>
      <c r="E29" s="7" t="inlineStr">
        <is>
          <t>Minion Sim</t>
        </is>
      </c>
      <c r="F29" s="5" t="inlineStr">
        <is>
          <t>15 TECH; 9% Troop HP; 9% Troop Healing</t>
        </is>
      </c>
    </row>
    <row r="30">
      <c r="A30" s="4" t="n">
        <v>29</v>
      </c>
      <c r="B30" s="4" t="inlineStr">
        <is>
          <t>Tauroctony</t>
        </is>
      </c>
      <c r="C30" s="5">
        <f>A30*28</f>
        <v/>
      </c>
      <c r="D30" s="6" t="inlineStr">
        <is>
          <t>Dragon Orb offering SPD +13.2%, Per 3 unique souls offered: Snail ATK +12, Per 3 unique souls offered: Devotee DMG +96</t>
        </is>
      </c>
      <c r="E30" s="7" t="inlineStr">
        <is>
          <t>Goldfish</t>
        </is>
      </c>
      <c r="F30" s="5" t="inlineStr">
        <is>
          <t>15 FTH; 6% Hero DMG; 6% Troop DMG Reduction</t>
        </is>
      </c>
    </row>
    <row r="31">
      <c r="A31" s="4" t="n">
        <v>30</v>
      </c>
      <c r="B31" s="4" t="inlineStr">
        <is>
          <t>Philosophy Meditations</t>
        </is>
      </c>
      <c r="C31" s="5">
        <f>A31*28</f>
        <v/>
      </c>
      <c r="D31" s="6" t="inlineStr">
        <is>
          <t>Prarie Sanctum Score +1100, Per 2000 Prarie Sanctum Score, Devotee DMG +96, Per 2000 Prarie Sanctum Score, Devotee Troop DMG +96; Prarie Sanctum Score: 100,000/100,000</t>
        </is>
      </c>
      <c r="E31" s="7" t="inlineStr">
        <is>
          <t>Prarie Sanctum</t>
        </is>
      </c>
      <c r="F31" s="5" t="inlineStr">
        <is>
          <t>15 CIV; 30% Glorium Yield</t>
        </is>
      </c>
    </row>
    <row r="32">
      <c r="A32" s="4" t="n">
        <v>31</v>
      </c>
      <c r="B32" s="4" t="inlineStr">
        <is>
          <t>The Age of Bronze</t>
        </is>
      </c>
      <c r="C32" s="5">
        <f>A32*28</f>
        <v/>
      </c>
      <c r="D32" s="6" t="inlineStr">
        <is>
          <t>Snail ATK +100, Snail Leadership +12, Demon minion ATK +12%, Per 5 Rift apostles dominated, Snail ATK +48; Rift Apostles Dominated: 60/60</t>
        </is>
      </c>
      <c r="E32" s="7" t="inlineStr">
        <is>
          <t>Rift</t>
        </is>
      </c>
      <c r="F32" s="5" t="inlineStr">
        <is>
          <t>600 ATK; 600 DEF; 600 RUSH</t>
        </is>
      </c>
    </row>
    <row r="33">
      <c r="A33" s="4" t="n">
        <v>32</v>
      </c>
      <c r="B33" s="4" t="inlineStr">
        <is>
          <t>The Argonauts</t>
        </is>
      </c>
      <c r="C33" s="5">
        <f>A33*28</f>
        <v/>
      </c>
      <c r="D33" s="6" t="inlineStr">
        <is>
          <t>Snail RUSH +100, Angel Minion DEF +12%, Per God Upgrade, Snail ATK +60, Per God Upgrade, Snail RUSH +60; God Upgrades: 10/10</t>
        </is>
      </c>
      <c r="E33" s="7" t="inlineStr">
        <is>
          <t>Minion Sim</t>
        </is>
      </c>
      <c r="F33" s="5" t="inlineStr">
        <is>
          <t>9% Troop DEF; 9% Troop RUSH; 1200 Troop Regen</t>
        </is>
      </c>
    </row>
    <row r="34">
      <c r="A34" s="4" t="n">
        <v>33</v>
      </c>
      <c r="B34" s="4" t="inlineStr">
        <is>
          <t>Poincare Conjecture Manuscript</t>
        </is>
      </c>
      <c r="C34" s="5">
        <f>A34*28</f>
        <v/>
      </c>
      <c r="D34" s="8" t="inlineStr">
        <is>
          <t>Snail RUSH +100, Minion skin RUSH +100%, Per 5 Protomons: Snail RUSH +36, Per 5 Epic Protodex Stars: Acolyte DMG +288; Protomons Obtained: 100/100</t>
        </is>
      </c>
      <c r="E34" s="9" t="inlineStr">
        <is>
          <t>Desert Sanctum</t>
        </is>
      </c>
      <c r="F34" s="10" t="inlineStr">
        <is>
          <t>15 TECH; 30% Glorium Yield</t>
        </is>
      </c>
    </row>
    <row r="35">
      <c r="A35" s="4" t="n">
        <v>34</v>
      </c>
      <c r="B35" s="4" t="inlineStr">
        <is>
          <t>Fenian Legends</t>
        </is>
      </c>
      <c r="C35" s="5">
        <f>A35*28</f>
        <v/>
      </c>
      <c r="D35" s="6" t="inlineStr">
        <is>
          <t>Snail Leadership +17, Minion RUSH +12%, Per 2000 Swamp Sanctum Score: Snail ATK +12; Swamp Sanctum Score: 100,000/100,000</t>
        </is>
      </c>
      <c r="E35" s="7" t="inlineStr">
        <is>
          <t>Swamp Sanctum</t>
        </is>
      </c>
      <c r="F35" s="5" t="inlineStr">
        <is>
          <t>15 CIV; 30% Glorium Yield</t>
        </is>
      </c>
    </row>
    <row r="36">
      <c r="A36" s="4" t="n">
        <v>35</v>
      </c>
      <c r="B36" s="4" t="inlineStr">
        <is>
          <t>Bencao Gangmu</t>
        </is>
      </c>
      <c r="C36" s="5">
        <f>A36*28</f>
        <v/>
      </c>
      <c r="D36" s="6" t="inlineStr">
        <is>
          <t>Minion Healing SPD +11%, Per 50 minions healed: Snail ATK +15, Per 50 minions healed: Devotee troop DMG +120; Minions Healed: 2000/2000</t>
        </is>
      </c>
      <c r="E36" s="7" t="inlineStr">
        <is>
          <t>Surf Clam</t>
        </is>
      </c>
      <c r="F36" s="5" t="inlineStr">
        <is>
          <t>15 FAME; 9% Troop HP; 9% Troop RUSH</t>
        </is>
      </c>
    </row>
    <row r="37">
      <c r="A37" s="4" t="n">
        <v>36</v>
      </c>
      <c r="B37" s="4" t="inlineStr">
        <is>
          <t>Blue Danube</t>
        </is>
      </c>
      <c r="C37" s="5">
        <f>A37*28</f>
        <v/>
      </c>
      <c r="D37" s="6" t="inlineStr">
        <is>
          <t>Minion Skin HP +100%; Per 2000 Swamp Sanctum Score, Priest-Snail assisance DMG +96; Per 2000 Swamp Sanctum Score, Priest-Troop assistance DMG +96; Swamp Sanctum Score: 100,000/100,000</t>
        </is>
      </c>
      <c r="E37" s="7" t="inlineStr">
        <is>
          <t>Kemet</t>
        </is>
      </c>
      <c r="F37" s="5" t="n"/>
    </row>
    <row r="38">
      <c r="A38" s="4" t="n">
        <v>37</v>
      </c>
      <c r="B38" s="4" t="inlineStr">
        <is>
          <t>Adam's Star</t>
        </is>
      </c>
      <c r="C38" s="5">
        <f>A38*28</f>
        <v/>
      </c>
      <c r="D38" s="6" t="inlineStr">
        <is>
          <t>Snail ATK +100; Zombie Minion RUSH +12%, Per 5 Mirage Gems, Snail ATK +12; Per 5 Mirage Gems, Snail DEF +12; Mirage Gems: 300/300</t>
        </is>
      </c>
      <c r="E38" s="7" t="inlineStr">
        <is>
          <t>Bharata</t>
        </is>
      </c>
      <c r="F38" s="5" t="n"/>
    </row>
    <row r="39">
      <c r="A39" s="4" t="n">
        <v>38</v>
      </c>
      <c r="B39" s="4" t="inlineStr">
        <is>
          <t>The Principia</t>
        </is>
      </c>
      <c r="C39" s="5">
        <f>A39*28</f>
        <v/>
      </c>
      <c r="D39" s="8" t="inlineStr">
        <is>
          <t>Snail Leadership +17, Mecha Minion DEF +12%; Per 1200 Gaia Tech Pts, Snail ATK +12; Gaia Tech Pts: 60,000/60,000</t>
        </is>
      </c>
      <c r="E39" s="9" t="inlineStr">
        <is>
          <t>Prarie Sanctum</t>
        </is>
      </c>
      <c r="F39" s="10" t="inlineStr">
        <is>
          <t>15 TECH; 30% Glorium Yield</t>
        </is>
      </c>
    </row>
    <row r="40">
      <c r="A40" s="4" t="n">
        <v>39</v>
      </c>
      <c r="B40" s="4" t="inlineStr">
        <is>
          <t>Death of the Virgin</t>
        </is>
      </c>
      <c r="C40" s="5">
        <f>A40*28</f>
        <v/>
      </c>
      <c r="D40" s="6" t="inlineStr">
        <is>
          <t>Quantum Amp Production +13.2%; Per 100 Recruitment Orders, Priest-Snail Assistence DMG +96; Per 100 Recruitment Orders, Priest-Troop Assistence DMG +96; Recruitment Orders: 5000/5000</t>
        </is>
      </c>
      <c r="E40" s="7" t="inlineStr">
        <is>
          <t>Rift</t>
        </is>
      </c>
      <c r="F40" s="5" t="inlineStr">
        <is>
          <t>15 ART; 6% Orange Reagent</t>
        </is>
      </c>
    </row>
    <row r="41">
      <c r="A41" s="4" t="n">
        <v>40</v>
      </c>
      <c r="B41" s="4" t="inlineStr">
        <is>
          <t>Don Juan</t>
        </is>
      </c>
      <c r="C41" s="5">
        <f>A41*28</f>
        <v/>
      </c>
      <c r="D41" s="6" t="inlineStr">
        <is>
          <t>Snail ATK +220; Per 60 T7+ Minions in Battle: Troop ATK +120; Per 60 T7+ Minions in Battle: Troop DEF +120</t>
        </is>
      </c>
      <c r="E41" s="7" t="inlineStr">
        <is>
          <t>Dung Beetle</t>
        </is>
      </c>
      <c r="F41" s="5" t="inlineStr">
        <is>
          <t>15 CIV; 9% Troop HP; 9% Troop ATK</t>
        </is>
      </c>
    </row>
    <row r="42">
      <c r="A42" s="4" t="n">
        <v>41</v>
      </c>
      <c r="B42" s="4" t="n"/>
      <c r="C42" s="5">
        <f>A42*28</f>
        <v/>
      </c>
      <c r="D42" s="6" t="n"/>
      <c r="E42" s="7" t="n"/>
      <c r="F42" s="5" t="n"/>
    </row>
    <row r="43">
      <c r="A43" s="4" t="n">
        <v>42</v>
      </c>
      <c r="B43" s="4" t="inlineStr">
        <is>
          <t>Draupnir</t>
        </is>
      </c>
      <c r="C43" s="5">
        <f>A43*28</f>
        <v/>
      </c>
      <c r="D43" s="6" t="inlineStr">
        <is>
          <t>Angel Minion ATK +12%; Per 60 T7+ Minions in battle: Troop DEF +220; Per FTH Bionic Part extracted, Snail ATK +60; FTH Bionic Part Extracted: 10/10</t>
        </is>
      </c>
      <c r="E43" s="7" t="inlineStr">
        <is>
          <t>Rift</t>
        </is>
      </c>
      <c r="F43" s="5" t="inlineStr">
        <is>
          <t>15 FTH; 6% White Cards; 6% Purple Cards</t>
        </is>
      </c>
    </row>
    <row r="44">
      <c r="A44" s="4" t="n">
        <v>43</v>
      </c>
      <c r="B44" s="4" t="inlineStr">
        <is>
          <t>Ram in a Thicket</t>
        </is>
      </c>
      <c r="C44" s="5">
        <f>A44*28</f>
        <v/>
      </c>
      <c r="D44" s="6" t="inlineStr">
        <is>
          <t>Snail RUSH +120; Per 60 T7+ Minions in battle: Troop ATK +220; Per 10 Rare Protomons Fused, Snail DEF +24; Rare Protomons Fused: 200/200</t>
        </is>
      </c>
      <c r="E44" s="7" t="inlineStr">
        <is>
          <t>Quantum Amp</t>
        </is>
      </c>
      <c r="F44" s="5" t="inlineStr">
        <is>
          <t>15 ART; 30% Production</t>
        </is>
      </c>
    </row>
    <row r="45">
      <c r="A45" s="4" t="n">
        <v>44</v>
      </c>
      <c r="B45" s="4" t="inlineStr">
        <is>
          <t>Wuthering Heights</t>
        </is>
      </c>
      <c r="C45" s="5">
        <f>A45*28</f>
        <v/>
      </c>
      <c r="D45" s="6" t="inlineStr">
        <is>
          <t>All minion skins RUSH +100%; Protomons assist Snail in battle, and deal extra DMG +1760; Per 3 Epic Protodex Entries, Snail HP +360; Epic Protodex Entries: 60/60</t>
        </is>
      </c>
      <c r="E45" s="7" t="inlineStr">
        <is>
          <t>Britland</t>
        </is>
      </c>
      <c r="F45" s="5" t="inlineStr">
        <is>
          <t>30 Medals</t>
        </is>
      </c>
    </row>
    <row r="46">
      <c r="A46" s="4" t="n">
        <v>45</v>
      </c>
      <c r="B46" s="4" t="inlineStr">
        <is>
          <t>Alexander's Sarcophagus</t>
        </is>
      </c>
      <c r="C46" s="5">
        <f>A46*28</f>
        <v/>
      </c>
      <c r="D46" s="6" t="inlineStr">
        <is>
          <t>Snail Leadership +12, Per 60 Minions in battle: Troop HP +2200, Per 5 Epic Protodex Stars, Snail DEF +36; Epic Protodex Stars: 100/100</t>
        </is>
      </c>
      <c r="E46" s="7" t="inlineStr">
        <is>
          <t>Hellas</t>
        </is>
      </c>
      <c r="F46" s="5" t="inlineStr">
        <is>
          <t>15 FAME</t>
        </is>
      </c>
    </row>
    <row r="47">
      <c r="A47" s="4" t="n">
        <v>46</v>
      </c>
      <c r="B47" s="4" t="inlineStr">
        <is>
          <t>Phase-Shift Spatial Gate</t>
        </is>
      </c>
      <c r="C47" s="5">
        <f>A47*28</f>
        <v/>
      </c>
      <c r="D47" s="6" t="inlineStr">
        <is>
          <t>Mecha Minion ATK +12%; Protomons assist Snail in battle, and deal extra DMG +1760; Per TECH Bionic Part Extracted, Snail HP +600; TECH Bionic Part Extracted: 10/10</t>
        </is>
      </c>
      <c r="E47" s="7" t="inlineStr">
        <is>
          <t>Surf Clam</t>
        </is>
      </c>
      <c r="F47" s="5" t="inlineStr">
        <is>
          <t>60 Earth DMG; 6% DMG Reduc; 9% RUSH</t>
        </is>
      </c>
    </row>
    <row r="48">
      <c r="A48" s="4" t="n">
        <v>47</v>
      </c>
      <c r="B48" s="4" t="inlineStr">
        <is>
          <t>Arianrhod's Wheel</t>
        </is>
      </c>
      <c r="C48" s="5">
        <f>A48*28</f>
        <v/>
      </c>
      <c r="D48" s="6" t="inlineStr">
        <is>
          <t>Dragon Minion RUSH +12%; Protomons assist Snail in battle, and deal extra DMG +1760; Per 60 T7+ Minions in battle: Troop HP +1200</t>
        </is>
      </c>
      <c r="E48" s="7" t="inlineStr">
        <is>
          <t>Rift</t>
        </is>
      </c>
      <c r="F48" s="5" t="inlineStr">
        <is>
          <t>15 FTH; 6% Orange Cards; 3% Dragon Orbs</t>
        </is>
      </c>
    </row>
    <row r="49">
      <c r="A49" s="4" t="n">
        <v>48</v>
      </c>
      <c r="B49" s="4" t="inlineStr">
        <is>
          <t>Ra-Hotep Couple</t>
        </is>
      </c>
      <c r="C49" s="5">
        <f>A49*28</f>
        <v/>
      </c>
      <c r="D49" s="6" t="inlineStr">
        <is>
          <t>Snail HP +2200; All Demon Minion Skins, HARD Stats +120%; Per 10 Rare Protomons fused, Snail ATK +24; Rare Protomons Fused: 200/200</t>
        </is>
      </c>
      <c r="E49" s="7" t="inlineStr">
        <is>
          <t>Hamster</t>
        </is>
      </c>
      <c r="F49" s="5" t="inlineStr">
        <is>
          <t>60 Wind DMG; 9% CRIT DMG; 60 Water DMG</t>
        </is>
      </c>
    </row>
    <row r="50">
      <c r="A50" s="4" t="n">
        <v>49</v>
      </c>
      <c r="B50" s="4" t="inlineStr">
        <is>
          <t>Anna Karenina</t>
        </is>
      </c>
      <c r="C50" s="5">
        <f>A50*28</f>
        <v/>
      </c>
      <c r="D50" s="6" t="inlineStr">
        <is>
          <t>Snail Leadership +17; Per 60 T7+ Minions in battle: Troop RUSH +120; Per 1000 Hellas Apostles Advanced, Snail ATK +36; Hellas Apostles Advanced: 20,000/20,000</t>
        </is>
      </c>
      <c r="E50" s="7" t="inlineStr">
        <is>
          <t>Quantum Amp</t>
        </is>
      </c>
      <c r="F50" s="5" t="inlineStr">
        <is>
          <t>15 CIV; 15% Production; 15% Nebula Shards</t>
        </is>
      </c>
    </row>
    <row r="51">
      <c r="A51" s="4" t="n">
        <v>50</v>
      </c>
      <c r="B51" s="4" t="inlineStr">
        <is>
          <t>Charlemange Crown</t>
        </is>
      </c>
      <c r="C51" s="5">
        <f>A51*28</f>
        <v/>
      </c>
      <c r="D51" s="6" t="inlineStr">
        <is>
          <t>Snail ATK +220; Zombie Minion ATK +12%; Per 5 Epic Protodex Stars, Snail DEF +36; Epic Protodex Stars: 100/100</t>
        </is>
      </c>
      <c r="E51" s="7" t="inlineStr">
        <is>
          <t>Rift</t>
        </is>
      </c>
      <c r="F51" s="5" t="inlineStr">
        <is>
          <t>300 Fire DMG; 6% Btads; 3% Incense</t>
        </is>
      </c>
    </row>
    <row r="52">
      <c r="A52" s="4" t="n">
        <v>51</v>
      </c>
      <c r="B52" s="4" t="inlineStr">
        <is>
          <t>Infin. Improb. Eng.</t>
        </is>
      </c>
      <c r="C52" s="5">
        <f>A52*28</f>
        <v/>
      </c>
      <c r="D52" s="6" t="inlineStr">
        <is>
          <t>Snail DEF +120; Per 60 T7+ Minions in battle: Troop ATK +220; Per 3 Epic Protodex Entries, Snail ATK +36; Epic Protodex Entries: 60/60</t>
        </is>
      </c>
      <c r="E52" s="7" t="inlineStr">
        <is>
          <t>Quantum Amp</t>
        </is>
      </c>
      <c r="F52" s="5" t="inlineStr">
        <is>
          <t>15 TECH; 15% Production</t>
        </is>
      </c>
    </row>
    <row r="53">
      <c r="A53" s="4" t="n">
        <v>52</v>
      </c>
      <c r="B53" s="4" t="inlineStr">
        <is>
          <t>Feather of Justice</t>
        </is>
      </c>
      <c r="C53" s="5">
        <f>A53*28</f>
        <v/>
      </c>
      <c r="D53" s="6" t="inlineStr">
        <is>
          <t>Angel Minion DEF +12%; Protomons assist Troop in battle, and deal extra DMG +1760; Per 10 Rare Protomons fused, Snail RUSH +24; Rare Protomons Fused: 200/200</t>
        </is>
      </c>
      <c r="E53" s="7" t="inlineStr">
        <is>
          <t>Rift</t>
        </is>
      </c>
      <c r="F53" s="5" t="inlineStr">
        <is>
          <t>600 ATK; 6% INTEL; 300 Earth DMG</t>
        </is>
      </c>
    </row>
    <row r="54">
      <c r="A54" s="4" t="n">
        <v>53</v>
      </c>
      <c r="B54" s="4" t="inlineStr">
        <is>
          <t>Arnolfini Portrait</t>
        </is>
      </c>
      <c r="C54" s="5">
        <f>A54*28</f>
        <v/>
      </c>
      <c r="D54" s="6" t="inlineStr">
        <is>
          <t>Snail Leadership +17; Per 60 T7+ Minions in battle: Troop HP +1200; Per ART Bionic Part Extracted, Snail DEF +60; ART Bionic Part Extracted: 10/10</t>
        </is>
      </c>
      <c r="E54" s="7" t="inlineStr">
        <is>
          <t>Mantis</t>
        </is>
      </c>
      <c r="F54" s="5" t="inlineStr">
        <is>
          <t>60 Earth DMG; 9% HP; 60 Wind DMG</t>
        </is>
      </c>
    </row>
    <row r="55">
      <c r="A55" s="4" t="n">
        <v>54</v>
      </c>
      <c r="B55" s="4" t="inlineStr">
        <is>
          <t>Poetics-Aristotle</t>
        </is>
      </c>
      <c r="C55" s="5">
        <f>A55*28</f>
        <v/>
      </c>
      <c r="D55" s="6" t="inlineStr">
        <is>
          <t>Mutant Minion ATK +12%; Protomons assist Snail in battle, and deal extra DMG +1760; Per 1,000 Hellas Apostles advanced, Snail RUSH +36; Hellas Apostles Advanced: 20,000/20,000</t>
        </is>
      </c>
      <c r="E55" s="7" t="inlineStr">
        <is>
          <t>Hellas</t>
        </is>
      </c>
      <c r="F55" s="5" t="inlineStr">
        <is>
          <t>15 CIV; 30 Medals</t>
        </is>
      </c>
    </row>
    <row r="56">
      <c r="A56" s="4" t="n">
        <v>55</v>
      </c>
      <c r="B56" s="4" t="inlineStr">
        <is>
          <t>History</t>
        </is>
      </c>
      <c r="C56" s="5">
        <f>A56*28</f>
        <v/>
      </c>
      <c r="D56" s="6" t="inlineStr">
        <is>
          <t>Snail DEF +220; All Angel Minion Skins, HARD Stats +120%; Per 3 Epic Protomons fused, Snail RUSH +36; Epic Protomons Fused: 60/60</t>
        </is>
      </c>
      <c r="E56" s="7" t="inlineStr">
        <is>
          <t>Hellas</t>
        </is>
      </c>
      <c r="F56" s="5" t="inlineStr">
        <is>
          <t>15 FAME</t>
        </is>
      </c>
    </row>
    <row r="57">
      <c r="A57" s="4" t="n">
        <v>56</v>
      </c>
      <c r="B57" s="4" t="inlineStr">
        <is>
          <t>Serenade for Strings in G Major</t>
        </is>
      </c>
      <c r="C57" s="5">
        <f>A57*28</f>
        <v/>
      </c>
      <c r="D57" s="6" t="inlineStr">
        <is>
          <t>Snail DEF +220; Per 60 T7+ Minions in Battle: Troop DEF +120; Per 3 Distinct Souls Offered, Priest-Troop Assistence DMG +48, Distinct Souls Offered: 300/300</t>
        </is>
      </c>
      <c r="E57" s="7" t="inlineStr">
        <is>
          <t>Prarie Sanctum</t>
        </is>
      </c>
      <c r="F57" s="5" t="inlineStr">
        <is>
          <t>15 ART; 30% Divine Crystal Yield</t>
        </is>
      </c>
    </row>
    <row r="58">
      <c r="A58" s="4" t="n">
        <v>57</v>
      </c>
      <c r="B58" s="4" t="inlineStr">
        <is>
          <t>The Brothers Karamazov</t>
        </is>
      </c>
      <c r="C58" s="5">
        <f>A58*28</f>
        <v/>
      </c>
      <c r="D58" s="6" t="inlineStr">
        <is>
          <t>Snail Leadership +17; Mutant Minion Skin HARD Stats +120%; Per 5 CIV Relics Awakened, Snail ATK +36, CIV Relics Awakened: 100/100</t>
        </is>
      </c>
      <c r="E58" s="7" t="inlineStr">
        <is>
          <t>Rift</t>
        </is>
      </c>
      <c r="F58" s="5" t="inlineStr">
        <is>
          <t>15 CIV; 6% 2x INTEL; 6% 2x Btads</t>
        </is>
      </c>
    </row>
    <row r="59">
      <c r="A59" s="4" t="n">
        <v>58</v>
      </c>
      <c r="B59" s="4" t="inlineStr">
        <is>
          <t>Comprehensive Nuclear-Test-Ban Treaty</t>
        </is>
      </c>
      <c r="C59" s="5">
        <f>A59*28</f>
        <v/>
      </c>
      <c r="D59" s="6" t="inlineStr">
        <is>
          <t>Snail HP +1200; Zombie Minion RUSH +12%; Protomon assist Troop in battle, extra DMG +1760</t>
        </is>
      </c>
      <c r="E59" s="7" t="inlineStr">
        <is>
          <t>Mantis</t>
        </is>
      </c>
      <c r="F59" s="5" t="inlineStr">
        <is>
          <t>9% Troop RUSH; 6% CRIT DMG; 60 Wind DMG</t>
        </is>
      </c>
    </row>
    <row r="60">
      <c r="A60" s="4" t="n">
        <v>59</v>
      </c>
      <c r="B60" s="4" t="inlineStr">
        <is>
          <t>Chacmool Statue</t>
        </is>
      </c>
      <c r="C60" s="5">
        <f>A60*28</f>
        <v/>
      </c>
      <c r="D60" s="6" t="inlineStr">
        <is>
          <t>Per 60 T7+ Minions in Battle: Troop ATK +220; Per CIV Bionic Part Extracted, Snail ATK +60; Per CIV Bionic Part Exctracted, Priest-Troop Assistence DMG + 576; CIV Bionic Parts: 10/10</t>
        </is>
      </c>
      <c r="E60" s="7" t="inlineStr">
        <is>
          <t>Dung Beetle</t>
        </is>
      </c>
      <c r="F60" s="5" t="inlineStr">
        <is>
          <t>6% DMG Reduc; 9% CRIT DMG; 60 Earth DMG</t>
        </is>
      </c>
    </row>
    <row r="61">
      <c r="A61" s="4" t="n">
        <v>60</v>
      </c>
      <c r="B61" s="4" t="inlineStr">
        <is>
          <t>Hans Christian Andersen Award</t>
        </is>
      </c>
      <c r="C61" s="5">
        <f>A61*28</f>
        <v/>
      </c>
      <c r="D61" s="6" t="inlineStr">
        <is>
          <t>Snail RUSH +220; Zombie Minion HARD Stats +120%; Per 3 Minion Skins Crafted, Snail RUSH +36; Minion Skins Crafted: 60/60</t>
        </is>
      </c>
      <c r="E61" s="7" t="inlineStr">
        <is>
          <t>Desert Sanctum</t>
        </is>
      </c>
      <c r="F61" s="5" t="inlineStr">
        <is>
          <t>15 FAME; 30% Divine Crystal Yield</t>
        </is>
      </c>
    </row>
    <row r="62">
      <c r="A62" s="4" t="n">
        <v>61</v>
      </c>
      <c r="B62" s="4" t="inlineStr">
        <is>
          <t>Atrahasis</t>
        </is>
      </c>
      <c r="C62" s="5">
        <f>A62*28</f>
        <v/>
      </c>
      <c r="D62" s="6" t="inlineStr">
        <is>
          <t>Snail Leadership +12; All Minion Skin DEF +100%; Per 3 Minion Skins Crafted, Snail RUSH +36; Minion Skins Crafted: 60/60; Snail RUSH +100</t>
        </is>
      </c>
      <c r="E62" s="7" t="inlineStr">
        <is>
          <t>Rift</t>
        </is>
      </c>
      <c r="F62" s="5" t="inlineStr">
        <is>
          <t>15 FTH; 30 Medals; 6% Blue Reagents</t>
        </is>
      </c>
    </row>
    <row r="63">
      <c r="A63" s="4" t="n">
        <v>62</v>
      </c>
      <c r="B63" s="4" t="inlineStr">
        <is>
          <t>The Kiss</t>
        </is>
      </c>
      <c r="C63" s="5">
        <f>A63*28</f>
        <v/>
      </c>
      <c r="D63" s="6" t="inlineStr">
        <is>
          <t>Demon Minion ATK +12%; Per 5 ART Relics Awakened, Snail ATK +36, Per 5 ART Relics Awakened, Priest-Snail assistence DMG +288, ART Relics Awakened: 100/100, Protomon assist Troop in battle, extra DMG +800</t>
        </is>
      </c>
      <c r="E63" s="7" t="inlineStr">
        <is>
          <t>Goldfish</t>
        </is>
      </c>
      <c r="F63" s="5" t="inlineStr">
        <is>
          <t>9% Troop CRIT; 6% Hero DMG; 60 Water RES</t>
        </is>
      </c>
    </row>
    <row r="64">
      <c r="A64" s="4" t="n">
        <v>63</v>
      </c>
      <c r="B64" s="4" t="inlineStr">
        <is>
          <t>World Trade Agreement</t>
        </is>
      </c>
      <c r="C64" s="5">
        <f>A64*28</f>
        <v/>
      </c>
      <c r="D64" s="6" t="inlineStr">
        <is>
          <t>Per 60 T7+ Minions in Battle: Troop RUSH +220; Per 2 FAME Master Scrolls Opened, Snail DEF +12; Per 2 FAME Master Scrolls Opened, Priest-Snail Assistence DMG + 960; FAME Master Scrolls: 100/100</t>
        </is>
      </c>
      <c r="E64" s="7" t="inlineStr">
        <is>
          <t>Rift</t>
        </is>
      </c>
      <c r="F64" s="5" t="inlineStr">
        <is>
          <t>15 FAME; 6% Blue Cards; 6% Orange Cards</t>
        </is>
      </c>
    </row>
    <row r="65">
      <c r="A65" s="4" t="n">
        <v>64</v>
      </c>
      <c r="B65" s="4" t="inlineStr">
        <is>
          <t>Kinkaku-Ji Model</t>
        </is>
      </c>
      <c r="C65" s="5">
        <f>A65*28</f>
        <v/>
      </c>
      <c r="D65" s="6" t="inlineStr">
        <is>
          <t>Snail Leadership +17; Mutant Minion DEF +12%; Per Mutant Tier Upgraded, Snail HP +720; Mutant Tier 9/9</t>
        </is>
      </c>
      <c r="E65" s="7" t="inlineStr">
        <is>
          <t>Yamato</t>
        </is>
      </c>
      <c r="F65" s="5" t="inlineStr">
        <is>
          <t>15 CIV; 3000 Btads</t>
        </is>
      </c>
    </row>
    <row r="66">
      <c r="A66" s="4" t="n">
        <v>65</v>
      </c>
      <c r="B66" s="4" t="inlineStr">
        <is>
          <t>Jin Hou Bird Zun</t>
        </is>
      </c>
      <c r="C66" s="5">
        <f>A66*28</f>
        <v/>
      </c>
      <c r="D66" s="6" t="inlineStr">
        <is>
          <t>Per 60 T7+ Minions in Battle: Troop ATK +220; Per 5 Epic Protodex Stars, Snail ATK +36; Per 5 Epic Protodex Stars, Priest-Troop assistence DMG +288; Epic Protodex Stars: 100/100</t>
        </is>
      </c>
      <c r="E66" s="7" t="inlineStr">
        <is>
          <t>Cathay</t>
        </is>
      </c>
      <c r="F66" s="5" t="inlineStr">
        <is>
          <t>30 Medals; 15 ART</t>
        </is>
      </c>
    </row>
    <row r="67">
      <c r="A67" s="4" t="inlineStr">
        <is>
          <t>??</t>
        </is>
      </c>
      <c r="B67" s="4" t="inlineStr">
        <is>
          <t>Zeno's Paradoxes</t>
        </is>
      </c>
      <c r="C67" s="5" t="inlineStr">
        <is>
          <t>??</t>
        </is>
      </c>
      <c r="D67" s="6" t="inlineStr">
        <is>
          <t>Snail Leadership +17; All Mecha Minion Skins, HARD Stats +120%; Per 3 Minion Skins crafted, Snail ATK +24; Minion Skins crafted: 90/90</t>
        </is>
      </c>
      <c r="E67" s="7" t="inlineStr">
        <is>
          <t>Hamster</t>
        </is>
      </c>
      <c r="F67" s="5" t="inlineStr">
        <is>
          <t>6% DMG REDUC</t>
        </is>
      </c>
    </row>
    <row r="68">
      <c r="A68" s="4" t="inlineStr">
        <is>
          <t>??</t>
        </is>
      </c>
      <c r="B68" s="4" t="inlineStr">
        <is>
          <t>Rainbow Feathered Robe</t>
        </is>
      </c>
      <c r="C68" s="5" t="inlineStr">
        <is>
          <t>??</t>
        </is>
      </c>
      <c r="D68" s="6" t="inlineStr">
        <is>
          <t>Snail Leadership +17; Zombie Minion ATK +12%; Per Zombie Form Tier, Snail ATK +60; Zombie Form Tiers: 9/9</t>
        </is>
      </c>
      <c r="E68" s="7" t="inlineStr">
        <is>
          <t>Kemet</t>
        </is>
      </c>
      <c r="F68" s="5" t="inlineStr">
        <is>
          <t>30 Medals; 15 FAME</t>
        </is>
      </c>
    </row>
    <row r="69">
      <c r="A69" s="4" t="inlineStr">
        <is>
          <t>??</t>
        </is>
      </c>
      <c r="B69" s="4" t="inlineStr">
        <is>
          <t>Madame Bovary</t>
        </is>
      </c>
      <c r="C69" s="5" t="inlineStr">
        <is>
          <t>??</t>
        </is>
      </c>
      <c r="D69" s="6" t="inlineStr">
        <is>
          <t>Angel Minion RUSH +12%; Per 60 T8+ Minions deployed, Troop HP +2640; Per Angel Form Tier, Snail RUSH +60; Angel Form Tiers: 9/9</t>
        </is>
      </c>
      <c r="E69" s="7" t="inlineStr">
        <is>
          <t>Rift</t>
        </is>
      </c>
      <c r="F69" s="5" t="inlineStr">
        <is>
          <t>15 CIV; 6% Orange Cards; 3% Dragon Orbs</t>
        </is>
      </c>
    </row>
    <row r="70">
      <c r="A70" s="4" t="inlineStr">
        <is>
          <t>??</t>
        </is>
      </c>
      <c r="B70" s="4" t="inlineStr">
        <is>
          <t>Of Human Bondage</t>
        </is>
      </c>
      <c r="C70" s="5" t="inlineStr">
        <is>
          <t>??</t>
        </is>
      </c>
      <c r="D70" s="6" t="inlineStr">
        <is>
          <t>Snail Leadership +17; Demon Minion RUSH +12%; Per Demon Form Tier, Snail ATK +60; Demon Form Tiers: 9/9</t>
        </is>
      </c>
      <c r="E70" s="7" t="inlineStr">
        <is>
          <t>Dung Beetle</t>
        </is>
      </c>
      <c r="F70" s="5" t="inlineStr">
        <is>
          <t>9% CRIT; 6% Hero DMG</t>
        </is>
      </c>
    </row>
    <row r="71">
      <c r="A71" s="4" t="n"/>
      <c r="B71" s="4" t="n"/>
      <c r="C71" s="5" t="n"/>
      <c r="D71" s="6" t="n"/>
      <c r="E71" s="7" t="n"/>
      <c r="F71" s="5" t="n"/>
    </row>
    <row r="72">
      <c r="A72" s="3" t="n"/>
      <c r="B72" s="3" t="n"/>
      <c r="C72" s="3" t="n"/>
      <c r="D72" s="3" t="n"/>
      <c r="E72" s="3" t="n"/>
      <c r="F72" s="3" t="n"/>
    </row>
    <row r="73"/>
    <row r="74"/>
    <row r="75"/>
    <row r="76"/>
    <row r="77"/>
    <row r="78"/>
    <row r="79">
      <c r="A79" s="11" t="inlineStr">
        <is>
          <t>Order</t>
        </is>
      </c>
      <c r="B79" s="1" t="inlineStr">
        <is>
          <t>Silver Pack Relic</t>
        </is>
      </c>
      <c r="C79" s="2" t="inlineStr">
        <is>
          <t>(Days)</t>
        </is>
      </c>
      <c r="D79" s="3" t="inlineStr">
        <is>
          <t>Passive</t>
        </is>
      </c>
      <c r="E79" s="3" t="inlineStr">
        <is>
          <t>Stamp Type</t>
        </is>
      </c>
      <c r="F79" s="2" t="inlineStr">
        <is>
          <t>Notable Stamps</t>
        </is>
      </c>
    </row>
    <row r="80">
      <c r="A80" s="12" t="n">
        <v>1</v>
      </c>
      <c r="B80" s="4" t="inlineStr">
        <is>
          <t>Aladdin's Carpet</t>
        </is>
      </c>
      <c r="C80" s="5">
        <f>A80*(280/2)</f>
        <v/>
      </c>
      <c r="D80" s="6" t="inlineStr">
        <is>
          <t>Snail ATK +120, When offering, 2x Divine Chest Drops +17%, Per 5 Daily Silver Packs bought, Snail ATK +30; Daily Silver Packs Bought: 150/150</t>
        </is>
      </c>
      <c r="E80" s="7" t="inlineStr">
        <is>
          <t>Yamato</t>
        </is>
      </c>
      <c r="F80" s="5" t="inlineStr">
        <is>
          <t>15 CIV; 30 Medals; -300 Master Scroll Cost</t>
        </is>
      </c>
    </row>
    <row r="81">
      <c r="A81" s="12" t="n">
        <v>2</v>
      </c>
      <c r="B81" s="4" t="inlineStr">
        <is>
          <t>Caesar Statue</t>
        </is>
      </c>
      <c r="C81" s="5">
        <f>A81*(280/2)</f>
        <v/>
      </c>
      <c r="D81" s="6" t="inlineStr">
        <is>
          <t>Snail ATK +220, Per Realm conquered, Snail HP +1,400, Per Realm Conquered, Snail ATK +140; Realms Conquered: 8/8</t>
        </is>
      </c>
      <c r="E81" s="7" t="inlineStr">
        <is>
          <t>Hellas</t>
        </is>
      </c>
      <c r="F81" s="5" t="inlineStr">
        <is>
          <t>15 ART; 15% Btad</t>
        </is>
      </c>
    </row>
    <row r="82">
      <c r="A82" s="12" t="n">
        <v>3</v>
      </c>
      <c r="B82" s="4" t="inlineStr">
        <is>
          <t>Bronze Shiva Statue</t>
        </is>
      </c>
      <c r="C82" s="5">
        <f>A82*(280/2)</f>
        <v/>
      </c>
      <c r="D82" s="6" t="inlineStr">
        <is>
          <t>Snail ATK +220, When offering, 2x Chaos Chest Drops +12%, Troop CRIT +5%</t>
        </is>
      </c>
      <c r="E82" s="7" t="inlineStr">
        <is>
          <t>Bharata</t>
        </is>
      </c>
      <c r="F82" s="5" t="inlineStr">
        <is>
          <t>30 Medals</t>
        </is>
      </c>
    </row>
    <row r="83">
      <c r="A83" s="12" t="n">
        <v>4</v>
      </c>
      <c r="B83" s="4" t="inlineStr">
        <is>
          <t>Antimatter Bomb</t>
        </is>
      </c>
      <c r="C83" s="5">
        <f>A83*(280/2)</f>
        <v/>
      </c>
      <c r="D83" s="6" t="inlineStr">
        <is>
          <t>Snail ATK +220, Per 10 Apostles dominated, Snail ATK +60, Per 10 Apostles dominated, Snail RUSH +60; Apostles Dominated: 200/200</t>
        </is>
      </c>
      <c r="E83" s="7" t="inlineStr">
        <is>
          <t>Goldfish</t>
        </is>
      </c>
      <c r="F83" s="5" t="inlineStr">
        <is>
          <t>9% Troop RUSH; 6% Hero DMG; 15 All ELMT DMG</t>
        </is>
      </c>
    </row>
    <row r="84">
      <c r="A84" s="12" t="n">
        <v>5</v>
      </c>
      <c r="B84" s="4" t="inlineStr">
        <is>
          <t>War and Peace</t>
        </is>
      </c>
      <c r="C84" s="5">
        <f>A84*(280/2)</f>
        <v/>
      </c>
      <c r="D84" s="6" t="inlineStr">
        <is>
          <t>Snail Leadership +25, All Minion ATK +3.6%, All Minion RUSH +3.6%</t>
        </is>
      </c>
      <c r="E84" s="7" t="inlineStr">
        <is>
          <t>Rift</t>
        </is>
      </c>
      <c r="F84" s="5" t="inlineStr">
        <is>
          <t>600 ATK; 600 DEF; 6% Food</t>
        </is>
      </c>
    </row>
    <row r="85">
      <c r="A85" s="12" t="n">
        <v>6</v>
      </c>
      <c r="B85" s="4" t="inlineStr">
        <is>
          <t>Untitled</t>
        </is>
      </c>
      <c r="C85" s="5">
        <f>A85*(280/2)</f>
        <v/>
      </c>
      <c r="D85" s="6" t="inlineStr">
        <is>
          <t>When refining, +22% chance for White Building Materials to turn into Green, Per 20 Wormhole Refiners, Snail ATK +24, Per 20 Wormhole Refiners, Snail RUSH +24; 800/800 Wormhole Refiner</t>
        </is>
      </c>
      <c r="E85" s="7" t="inlineStr">
        <is>
          <t>Rift</t>
        </is>
      </c>
      <c r="F85" s="5" t="inlineStr">
        <is>
          <t>600 ATK; 15% Cells; 6% Cards</t>
        </is>
      </c>
    </row>
    <row r="86">
      <c r="A86" s="12" t="n">
        <v>7</v>
      </c>
      <c r="B86" s="4" t="inlineStr">
        <is>
          <t>Avesta</t>
        </is>
      </c>
      <c r="C86" s="5">
        <f>A86*(280/2)</f>
        <v/>
      </c>
      <c r="D86" s="6" t="inlineStr">
        <is>
          <t>Mutant Minion ATK +12%, Per 60 Minions in battle: Troop HARD Stats +60, Per 5 Mutant Gene LVLs, Snail ATK +42; Mutant Gene LVLs Researched: 150/150</t>
        </is>
      </c>
      <c r="E86" s="7" t="inlineStr">
        <is>
          <t>Mantis</t>
        </is>
      </c>
      <c r="F86" s="5" t="inlineStr">
        <is>
          <t>15 FTH; 6% Troop DMG Reduc; 60 Fire DMG</t>
        </is>
      </c>
    </row>
    <row r="87">
      <c r="A87" s="12" t="n">
        <v>8</v>
      </c>
      <c r="B87" s="4" t="inlineStr">
        <is>
          <t>Bill of Rights</t>
        </is>
      </c>
      <c r="C87" s="5">
        <f>A87*(280/2)</f>
        <v/>
      </c>
      <c r="D87" s="6" t="inlineStr">
        <is>
          <t>Snail Leadership +25, Demon Minion ATK +12%, Per 50 Daily Silver Packs bought, Snail ATK +48; Daily Silver Packs Bought: 1000/1000</t>
        </is>
      </c>
      <c r="E87" s="7" t="inlineStr">
        <is>
          <t>Rift</t>
        </is>
      </c>
      <c r="F87" s="5" t="inlineStr">
        <is>
          <t>15 FAME; 6% Orange Reagents; 600 Extra RUSH</t>
        </is>
      </c>
    </row>
    <row r="88">
      <c r="A88" s="12" t="n">
        <v>9</v>
      </c>
      <c r="B88" s="4" t="inlineStr">
        <is>
          <t>Chicago Pile-1</t>
        </is>
      </c>
      <c r="C88" s="5">
        <f>A88*(280/2)</f>
        <v/>
      </c>
      <c r="D88" s="6" t="inlineStr">
        <is>
          <t>Snail ATK +100, When catalyzing spores, 1.2% chance to convert blue to purple, Per 10000 Sanctum Points, Snail ATK +20, Per 10000 Sanctum Points, Devotee troop DMG +160, Sanctum Points: 500,000/500,000</t>
        </is>
      </c>
      <c r="E88" s="7" t="inlineStr">
        <is>
          <t>Rift</t>
        </is>
      </c>
      <c r="F88" s="5" t="inlineStr">
        <is>
          <t>6% Blue Cards; 6% Purple Cards; 6% Orange Cards</t>
        </is>
      </c>
    </row>
    <row r="89">
      <c r="A89" s="12" t="n">
        <v>10</v>
      </c>
      <c r="B89" s="4" t="inlineStr">
        <is>
          <t>Treatise on the Great</t>
        </is>
      </c>
      <c r="C89" s="5">
        <f>A89*(280/2)</f>
        <v/>
      </c>
      <c r="D89" s="6" t="inlineStr">
        <is>
          <t xml:space="preserve">Snail ATK +100, Dragon Minion ATK +12%, Minion Skin DEF +100%, Per 50 minions cloned, Snail ATK +24; Minions Cloned: 2000/2000 </t>
        </is>
      </c>
      <c r="E89" s="7" t="inlineStr">
        <is>
          <t>Arctic Sanctum</t>
        </is>
      </c>
      <c r="F89" s="5" t="inlineStr">
        <is>
          <t>15 FTH; 30% Divine Crystal Yield</t>
        </is>
      </c>
    </row>
    <row r="90">
      <c r="A90" s="12" t="n">
        <v>11</v>
      </c>
      <c r="B90" s="4" t="inlineStr">
        <is>
          <t>Apollo Program</t>
        </is>
      </c>
      <c r="C90" s="5">
        <f>A90*(280/2)</f>
        <v/>
      </c>
      <c r="D90" s="6" t="inlineStr">
        <is>
          <t>Snail Leadership +25; Zombie Minion DEF +12%, Per orange brand case opened: Snail ATK +20; Orange Brand Cases Opened: 50/50</t>
        </is>
      </c>
      <c r="E90" s="7" t="inlineStr">
        <is>
          <t>Rift</t>
        </is>
      </c>
      <c r="F90" s="5" t="inlineStr">
        <is>
          <t>15 FAME; 6% Orange Reagents; Wind DMG +300</t>
        </is>
      </c>
    </row>
    <row r="91">
      <c r="A91" s="12" t="n">
        <v>12</v>
      </c>
      <c r="B91" s="4" t="inlineStr">
        <is>
          <t>Chemical Bond Theory</t>
        </is>
      </c>
      <c r="C91" s="5">
        <f>A91*(280/2)</f>
        <v/>
      </c>
      <c r="D91" s="6" t="inlineStr">
        <is>
          <t>Per 60 T7+ Minions in battle: Troop HARD Stats +88; All Mecha Minion Skins, HARD Stats +120%; Per 5 TECH Relics Awakened, Snail ATK +48; TECH Relics Awakened: 100/100</t>
        </is>
      </c>
      <c r="E91" s="7" t="inlineStr">
        <is>
          <t>Murika</t>
        </is>
      </c>
      <c r="F91" s="5" t="inlineStr">
        <is>
          <t>15 TECH; 30 Medals</t>
        </is>
      </c>
    </row>
    <row r="92">
      <c r="A92" s="12" t="n">
        <v>13</v>
      </c>
      <c r="B92" s="4" t="inlineStr">
        <is>
          <t>Marilyn Diptych</t>
        </is>
      </c>
      <c r="C92" s="5">
        <f>A92*(280/2)</f>
        <v/>
      </c>
      <c r="D92" s="6" t="inlineStr">
        <is>
          <t>All Sanctum Divine Crystal Output +6%; Demon Minion HP +12%; Per 50 Daily Silver Packs bought, Snail ATK +12; Daily Silver Packs Bought: 4,000/4,000; Snail ATK +100</t>
        </is>
      </c>
      <c r="E92" s="7" t="inlineStr">
        <is>
          <t>Rift</t>
        </is>
      </c>
      <c r="F92" s="5" t="inlineStr">
        <is>
          <t>15 ART; 6% Orange Cards; 6% INTEL</t>
        </is>
      </c>
    </row>
    <row r="93">
      <c r="A93" s="13" t="n">
        <v>14</v>
      </c>
      <c r="B93" s="14" t="inlineStr">
        <is>
          <t>Tyet</t>
        </is>
      </c>
      <c r="C93" s="15">
        <f>A93*(280/2)</f>
        <v/>
      </c>
      <c r="D93" s="16" t="inlineStr">
        <is>
          <t>Catalyzed Green Spores turn to Blue by +1.2%; Snail Leadership +25; Per 500 Catalysis, Snail ATK +24; Catalysis: 20,000/20,000</t>
        </is>
      </c>
      <c r="E93" s="17" t="inlineStr">
        <is>
          <t>Rift</t>
        </is>
      </c>
      <c r="F93" s="15" t="inlineStr">
        <is>
          <t>15 FTH; 3% Dragon Orbs; 300 Water DMG</t>
        </is>
      </c>
    </row>
    <row r="94"/>
    <row r="95"/>
    <row r="96"/>
    <row r="97"/>
    <row r="98">
      <c r="A98" s="11" t="inlineStr">
        <is>
          <t>Order</t>
        </is>
      </c>
      <c r="B98" s="1" t="inlineStr">
        <is>
          <t>Gold Pack Relic</t>
        </is>
      </c>
      <c r="C98" s="2" t="inlineStr">
        <is>
          <t>(Days)</t>
        </is>
      </c>
      <c r="D98" s="3" t="inlineStr">
        <is>
          <t>Passive</t>
        </is>
      </c>
      <c r="E98" s="3" t="inlineStr">
        <is>
          <t>Stamp Type</t>
        </is>
      </c>
      <c r="F98" s="2" t="inlineStr">
        <is>
          <t>Notable Stamps</t>
        </is>
      </c>
    </row>
    <row r="99">
      <c r="A99" s="12" t="n">
        <v>1</v>
      </c>
      <c r="B99" s="4" t="inlineStr">
        <is>
          <t>Fire Chalice</t>
        </is>
      </c>
      <c r="C99" s="5">
        <f>A99*280</f>
        <v/>
      </c>
      <c r="D99" s="6" t="inlineStr">
        <is>
          <t>In Dragon Form, Fire DMG +320, When crafting an Orange Reagent, +15% to get +1, Per 5 Gold Daily Packs bought, Snail ATK +20; Gold Daily Packs: 300/300</t>
        </is>
      </c>
      <c r="E99" s="7" t="inlineStr">
        <is>
          <t>Arena</t>
        </is>
      </c>
      <c r="F99" s="5" t="inlineStr">
        <is>
          <t>600 Fire DMG; 600 Wind DMG; 30% CRIT DMG</t>
        </is>
      </c>
    </row>
    <row r="100">
      <c r="A100" s="12" t="n">
        <v>2</v>
      </c>
      <c r="B100" s="4" t="inlineStr">
        <is>
          <t>Impression, Sunrise</t>
        </is>
      </c>
      <c r="C100" s="5">
        <f>A100*280</f>
        <v/>
      </c>
      <c r="D100" s="6" t="inlineStr">
        <is>
          <t>In Dragon Form, Crit DMG +22%, Per 5 ART Relics awakened, Snail ATK +24, Per 5 ART Relics awakened, Snail RUSH +24; ART Relics Awakened: 100/100</t>
        </is>
      </c>
      <c r="E100" s="7" t="inlineStr">
        <is>
          <t>Gene Sim</t>
        </is>
      </c>
      <c r="F100" s="5" t="inlineStr">
        <is>
          <t>15 ART; 600 Fire DMG; 600 Water DMG</t>
        </is>
      </c>
    </row>
    <row r="101">
      <c r="A101" s="12" t="n">
        <v>3</v>
      </c>
      <c r="B101" s="4" t="inlineStr">
        <is>
          <t>Higg's Boson</t>
        </is>
      </c>
      <c r="C101" s="5">
        <f>A101*280</f>
        <v/>
      </c>
      <c r="D101" s="6" t="inlineStr">
        <is>
          <t>Snail Leadership +40, Dragon Minion ATK +12%, Dragon Minion DEF +12%</t>
        </is>
      </c>
      <c r="E101" s="7" t="inlineStr">
        <is>
          <t>Rift</t>
        </is>
      </c>
      <c r="F101" s="5" t="inlineStr">
        <is>
          <t>15 TECH; 6% Cells; 300 Wind DMG</t>
        </is>
      </c>
    </row>
    <row r="102">
      <c r="A102" s="12" t="n">
        <v>4</v>
      </c>
      <c r="B102" s="7" t="inlineStr">
        <is>
          <t>Potsdam Declaration</t>
        </is>
      </c>
      <c r="C102" s="5">
        <f>A102*280</f>
        <v/>
      </c>
      <c r="D102" s="6" t="inlineStr">
        <is>
          <t>In Dragon Form, ALL ELMT DMG +8.8%, In Dragon Form, All ELMT RES +4.8%, Per 3 Master Scrolls used, Snail ATK +24; Master Scrolls Used: 150/150</t>
        </is>
      </c>
      <c r="E102" s="7" t="inlineStr">
        <is>
          <t>Surf Clam</t>
        </is>
      </c>
      <c r="F102" s="5" t="inlineStr">
        <is>
          <t>9% Troop CRIT; 60 Fire DMG; 60 Earth DMG</t>
        </is>
      </c>
    </row>
    <row r="103">
      <c r="A103" s="12" t="n">
        <v>5</v>
      </c>
      <c r="B103" s="4" t="inlineStr">
        <is>
          <t>Metamorphosis</t>
        </is>
      </c>
      <c r="C103" s="5">
        <f>A103*280</f>
        <v/>
      </c>
      <c r="D103" s="6" t="inlineStr">
        <is>
          <t>In Dragon Form, Poison DMG +220; In Dragon Form, Ignore DEF +4.8%; Dragon Minion ATK +12%</t>
        </is>
      </c>
      <c r="E103" s="7" t="inlineStr">
        <is>
          <t>Rift</t>
        </is>
      </c>
      <c r="F103" s="5" t="inlineStr">
        <is>
          <t>15 FTH; 30% DMG; 3% Dragon Orb</t>
        </is>
      </c>
    </row>
    <row r="104">
      <c r="A104" s="12" t="n">
        <v>6</v>
      </c>
      <c r="B104" s="7" t="inlineStr">
        <is>
          <t>Volsunga Saga</t>
        </is>
      </c>
      <c r="C104" s="5">
        <f>A104*280</f>
        <v/>
      </c>
      <c r="D104" s="6" t="inlineStr">
        <is>
          <t>Snail Leadership +40, Minion Skin ATK +100%, Per 3 Minion Skins: Snail ATK +60; Minion Skins: 60/60</t>
        </is>
      </c>
      <c r="E104" s="7" t="inlineStr">
        <is>
          <t>Biozilla</t>
        </is>
      </c>
      <c r="F104" s="5" t="inlineStr">
        <is>
          <t>15 CIV; 9% Troop ATK; 9% Troop DEF</t>
        </is>
      </c>
    </row>
    <row r="105">
      <c r="A105" s="12" t="n">
        <v>7</v>
      </c>
      <c r="B105" s="7" t="inlineStr">
        <is>
          <t>The King in Yellow</t>
        </is>
      </c>
      <c r="C105" s="5">
        <f>A105*280</f>
        <v/>
      </c>
      <c r="D105" s="6" t="inlineStr">
        <is>
          <t>Poison DMG +44%; Dragon Minion DEF +12%; Per 30 Gold Daily Packs bought, Snail ATK +12; Gold Daily Packs Bought: 3000/3000</t>
        </is>
      </c>
      <c r="E105" s="7" t="inlineStr">
        <is>
          <t>Biozilla</t>
        </is>
      </c>
      <c r="F105" s="5" t="inlineStr">
        <is>
          <t>15 TECH; 9% CRIT; 9% CRIT DMG</t>
        </is>
      </c>
    </row>
    <row r="106">
      <c r="A106" s="13" t="n">
        <v>8</v>
      </c>
      <c r="B106" s="17" t="inlineStr">
        <is>
          <t>Lu Ji's Calligraphy</t>
        </is>
      </c>
      <c r="C106" s="15">
        <f>A106*280</f>
        <v/>
      </c>
      <c r="D106" s="16" t="inlineStr">
        <is>
          <t>In Dragon Form, Crit DMG +22%; In Dragon Form, Wind DMG +120; All Minion Skins RUSH +100%</t>
        </is>
      </c>
      <c r="E106" s="17" t="inlineStr">
        <is>
          <t>Rift</t>
        </is>
      </c>
      <c r="F106" s="15" t="inlineStr">
        <is>
          <t>15 CIV; 30% DMG; 6% INTEL</t>
        </is>
      </c>
    </row>
    <row r="107"/>
    <row r="108"/>
    <row r="109"/>
    <row r="110"/>
    <row r="111">
      <c r="A111" s="11" t="inlineStr">
        <is>
          <t>Order</t>
        </is>
      </c>
      <c r="B111" s="1" t="inlineStr">
        <is>
          <t>Travelers Relic</t>
        </is>
      </c>
      <c r="C111" s="2" t="inlineStr">
        <is>
          <t>(Days)</t>
        </is>
      </c>
      <c r="D111" s="3" t="inlineStr">
        <is>
          <t>Passive</t>
        </is>
      </c>
      <c r="E111" s="3" t="inlineStr">
        <is>
          <t>Stamp Type</t>
        </is>
      </c>
      <c r="F111" s="2" t="inlineStr">
        <is>
          <t>Notable Stamps</t>
        </is>
      </c>
    </row>
    <row r="112">
      <c r="A112" s="12" t="n">
        <v>1</v>
      </c>
      <c r="B112" s="4" t="inlineStr">
        <is>
          <t>Book of the Dead</t>
        </is>
      </c>
      <c r="C112" s="5">
        <f>CEILING(A112*280/3,1)</f>
        <v/>
      </c>
      <c r="D112" s="6" t="inlineStr">
        <is>
          <t>B-tad rewards from offering +8.8%, Per 10 Altar God Descents, Snail ATK +15, Per 10 Altar God Descents, Snail RUSH +15; Gods Descended: 400/400</t>
        </is>
      </c>
      <c r="E112" s="7" t="inlineStr">
        <is>
          <t>Britland</t>
        </is>
      </c>
      <c r="F112" s="5" t="inlineStr">
        <is>
          <t>15 FTH; 30 Medals; 9% Britland Travel SPD</t>
        </is>
      </c>
    </row>
    <row r="113">
      <c r="A113" s="12" t="n">
        <v>2</v>
      </c>
      <c r="B113" s="4" t="inlineStr">
        <is>
          <t>Goldbach's Conjecture</t>
        </is>
      </c>
      <c r="C113" s="5">
        <f>CEILING(A113*280/3,1)</f>
        <v/>
      </c>
      <c r="D113" s="6" t="inlineStr">
        <is>
          <t>Wormhole Refinement SPD +4.8%, When refining, +12% chance for Green Materials to turn into Blue, Per 10 Wormhole Refines, Snail RUSH +12; Wormhole Refines: 500/500</t>
        </is>
      </c>
      <c r="E113" s="7" t="inlineStr">
        <is>
          <t>Dung Beetle</t>
        </is>
      </c>
      <c r="F113" s="5" t="inlineStr">
        <is>
          <t>15 TECH; 9% Troop ATK; 6% Troop DMG Reduc</t>
        </is>
      </c>
    </row>
    <row r="114">
      <c r="A114" s="12" t="n">
        <v>3</v>
      </c>
      <c r="B114" s="4" t="inlineStr">
        <is>
          <t>Narmer Palette</t>
        </is>
      </c>
      <c r="C114" s="5">
        <f>CEILING(A114*280/3,1)</f>
        <v/>
      </c>
      <c r="D114" s="6" t="inlineStr">
        <is>
          <t>Vending Machine Glue Purchases +3; Quantum Amp gives Nebula Chest Shards by +13.2%, Per 5 Quantum Amp LVLs, Snail ATK +60, Per 5 Quantum Amp LVLs, Snail RUSH +60; Quantum Amp LVL: 50/50</t>
        </is>
      </c>
      <c r="E114" s="7" t="inlineStr">
        <is>
          <t>Rift</t>
        </is>
      </c>
      <c r="F114" s="5" t="inlineStr">
        <is>
          <t>600 ATK; 6% Blue Reagents; 600 CIV</t>
        </is>
      </c>
    </row>
    <row r="115">
      <c r="A115" s="12" t="n">
        <v>4</v>
      </c>
      <c r="B115" s="4" t="inlineStr">
        <is>
          <t>Hugo Award</t>
        </is>
      </c>
      <c r="C115" s="5">
        <f>CEILING(A115*280/3,1)</f>
        <v/>
      </c>
      <c r="D115" s="6" t="inlineStr">
        <is>
          <t>Snail Leadership +17, All Minion RUSH +2.4%, Per 60 Minions in battle, Troop HARD Stats +30</t>
        </is>
      </c>
      <c r="E115" s="7" t="inlineStr">
        <is>
          <t>Murika</t>
        </is>
      </c>
      <c r="F115" s="5" t="inlineStr">
        <is>
          <t>15 FAME</t>
        </is>
      </c>
    </row>
    <row r="116">
      <c r="A116" s="12" t="n">
        <v>5</v>
      </c>
      <c r="B116" s="4" t="inlineStr">
        <is>
          <t>Avogadro's Manuscript</t>
        </is>
      </c>
      <c r="C116" s="5">
        <f>CEILING(A116*280/3,1)</f>
        <v/>
      </c>
      <c r="D116" s="6" t="inlineStr">
        <is>
          <t>Snail Leadership +17; Per 20 Wormhole Refiners, Snail ATK +15; Per 20 Wormhole Refiners, Snail DEF +15; Wormhole Refiners: 800/800</t>
        </is>
      </c>
      <c r="E116" s="7" t="inlineStr">
        <is>
          <t>Rift</t>
        </is>
      </c>
      <c r="F116" s="5" t="inlineStr">
        <is>
          <t>15 TECH; 6% Purple Cards; 6% Purple Reagents</t>
        </is>
      </c>
    </row>
    <row r="117">
      <c r="A117" s="4" t="n">
        <v>6</v>
      </c>
      <c r="B117" s="4" t="inlineStr">
        <is>
          <t>Tail-burned Guqin</t>
        </is>
      </c>
      <c r="C117" s="7">
        <f>CEILING(A117*280/3,1)</f>
        <v/>
      </c>
      <c r="D117" s="18" t="inlineStr">
        <is>
          <t>Free Gene Speedup +54m, Per 60 Minions in battle: Troop HP +1800, Per Master Chef's Legacy Activated, Snail ATK +15; Master Chef's Legacy Activated: 40/40</t>
        </is>
      </c>
      <c r="E117" s="7" t="inlineStr">
        <is>
          <t>Cathay</t>
        </is>
      </c>
      <c r="F117" s="5" t="inlineStr">
        <is>
          <t>30 Medals</t>
        </is>
      </c>
    </row>
    <row r="118">
      <c r="A118" s="12" t="n">
        <v>7</v>
      </c>
      <c r="B118" s="4" t="inlineStr">
        <is>
          <t>Book of Exodus</t>
        </is>
      </c>
      <c r="C118" s="5">
        <f>CEILING(A118*280/3,1)</f>
        <v/>
      </c>
      <c r="D118" s="6" t="inlineStr">
        <is>
          <t>Gaia's Cabin Output +12%, Per 60 T7+ Minions in battle: Troop ATK +120, Per 10k Fervor, Apostle-Troop Assisance DMG +96; Fervor: 500k/500k</t>
        </is>
      </c>
      <c r="E118" s="7" t="inlineStr">
        <is>
          <t>Mantis</t>
        </is>
      </c>
      <c r="F118" s="5" t="inlineStr">
        <is>
          <t>15 FTH; 9% Troop ATK; 9% Troop RUSH</t>
        </is>
      </c>
    </row>
    <row r="119">
      <c r="A119" s="12" t="n">
        <v>8</v>
      </c>
      <c r="B119" s="7" t="inlineStr">
        <is>
          <t>Yongle Encyclopedia</t>
        </is>
      </c>
      <c r="C119" s="5">
        <f>CEILING(A119*280/3,1)</f>
        <v/>
      </c>
      <c r="D119" s="6" t="inlineStr">
        <is>
          <t>Minion Skin HARD Stats +30%, Per 60 T7+ Minions in battle: Troop ATK +120, Per 10 advanced fusions, Snail ATK +12, Advanced Fusions 500/500</t>
        </is>
      </c>
      <c r="E119" s="7" t="inlineStr">
        <is>
          <t>Cathay</t>
        </is>
      </c>
      <c r="F119" s="5" t="inlineStr">
        <is>
          <t>15 FAME</t>
        </is>
      </c>
    </row>
    <row r="120">
      <c r="A120" s="4" t="n">
        <v>9</v>
      </c>
      <c r="B120" s="4" t="inlineStr">
        <is>
          <t>Water Lilies</t>
        </is>
      </c>
      <c r="C120" s="5">
        <f>CEILING(A120*280/3,1)</f>
        <v/>
      </c>
      <c r="D120" s="6" t="inlineStr">
        <is>
          <t>Snail Leadership +12; Per 2000 Frost Sanctum Rating Pts, Snail Rush +12, Per 2000 Frost Sanctum Rating Pts, Priest-Snail Assistence DMG +96</t>
        </is>
      </c>
      <c r="E120" s="7" t="inlineStr">
        <is>
          <t>Arctic Sanctum</t>
        </is>
      </c>
      <c r="F120" s="5" t="inlineStr">
        <is>
          <t>15 ART; 30% Divine Crystal Yield</t>
        </is>
      </c>
    </row>
    <row r="121">
      <c r="A121" s="4" t="n">
        <v>10</v>
      </c>
      <c r="B121" s="4" t="inlineStr">
        <is>
          <t>Metaphysics</t>
        </is>
      </c>
      <c r="C121" s="5">
        <f>CEILING(A121*280/3,1)</f>
        <v/>
      </c>
      <c r="D121" s="6" t="inlineStr">
        <is>
          <t>Mutant Minion HP +12%, Per CIV Bionic Part Extracted, Snail ATK +60 &amp; Priest Assistance DMG +480, CIV Bionic Part Extracted: 10/10, Protomon assist Troop in battle, extra DMG +800</t>
        </is>
      </c>
      <c r="E121" s="7" t="inlineStr">
        <is>
          <t>Goldfish</t>
        </is>
      </c>
      <c r="F121" s="5" t="inlineStr">
        <is>
          <t>15 CIV; 6% Troop DMG Reduc; 9% Troop HP</t>
        </is>
      </c>
    </row>
    <row r="122">
      <c r="A122" s="4" t="n">
        <v>11</v>
      </c>
      <c r="B122" s="4" t="inlineStr">
        <is>
          <t>Earth Size Fix</t>
        </is>
      </c>
      <c r="C122" s="5">
        <f>CEILING(A122*280/3,1)</f>
        <v/>
      </c>
      <c r="D122" s="6" t="inlineStr">
        <is>
          <t>Minion Skin HARD Stats +30%, Per 60 T7+ Minions in battle: Troop HP +2200, Per 30 Time Chests Opened, Snail RUSH +12; Time Chests Opened: 1500/1500</t>
        </is>
      </c>
      <c r="E122" s="7" t="inlineStr">
        <is>
          <t>Forest Sanctum</t>
        </is>
      </c>
      <c r="F122" s="5" t="inlineStr">
        <is>
          <t>15 TECH; 30% Divine Crystal Yield</t>
        </is>
      </c>
    </row>
    <row r="123">
      <c r="A123" s="4" t="n">
        <v>12</v>
      </c>
      <c r="B123" s="4" t="inlineStr">
        <is>
          <t>The Yellow Christ</t>
        </is>
      </c>
      <c r="C123" s="5">
        <f>CEILING(A123*280/3,1)</f>
        <v/>
      </c>
      <c r="D123" s="6" t="inlineStr">
        <is>
          <t>Snail Leadership +12; Demon Minion RUSH +12%, Per targeted fusion, priest-snail assistance DMG +96, Targeted Fusions: 50/50, Protomon assist Troop in battle, extra DMG +800</t>
        </is>
      </c>
      <c r="E123" s="7" t="inlineStr">
        <is>
          <t>Swamp Sanctum</t>
        </is>
      </c>
      <c r="F123" s="5" t="inlineStr">
        <is>
          <t>15 ART; 30% Divine Crystal Yield</t>
        </is>
      </c>
    </row>
    <row r="124">
      <c r="A124" s="4" t="n">
        <v>13</v>
      </c>
      <c r="B124" s="4" t="inlineStr">
        <is>
          <t>The Realist Manifesto</t>
        </is>
      </c>
      <c r="C124" s="5">
        <f>CEILING(A124*280/3,1)</f>
        <v/>
      </c>
      <c r="D124" s="6" t="inlineStr">
        <is>
          <t>Zombie Minion HP +12%; Per 2 FAME Master Scrolls Opened, Snail ATK +12; FAME Master Scrolls Opened: 100/100; Per 2 Mystery Gloop Opened, Priest-Snail assistence DMG +96; Protomon assist Troop in battle, extra DMG +800</t>
        </is>
      </c>
      <c r="E124" s="7" t="inlineStr">
        <is>
          <t>Rift</t>
        </is>
      </c>
      <c r="F124" s="5" t="inlineStr">
        <is>
          <t>15 FAME; 3% Dragon Orbs; 6% Btads</t>
        </is>
      </c>
    </row>
    <row r="125">
      <c r="A125" s="13" t="n">
        <v>14</v>
      </c>
      <c r="B125" s="14" t="inlineStr">
        <is>
          <t>Ra's Solar Barque</t>
        </is>
      </c>
      <c r="C125" s="15">
        <f>CEILING(A125*280/3,1)</f>
        <v/>
      </c>
      <c r="D125" s="16" t="inlineStr">
        <is>
          <t>Snail Leadership +17, Element Circle, Chance to produce M-Diamond +12%, Per 5 Quantum Amp LVLs, Snail ATK +60; Quantum Amp LVL: 50/50</t>
        </is>
      </c>
      <c r="E125" s="17" t="inlineStr">
        <is>
          <t>Quantum Amp</t>
        </is>
      </c>
      <c r="F125" s="15" t="inlineStr">
        <is>
          <t>15 FTH; 15% Output</t>
        </is>
      </c>
    </row>
    <row r="126"/>
    <row r="127"/>
    <row r="128"/>
    <row r="129">
      <c r="A129" s="19" t="inlineStr">
        <is>
          <t>Order</t>
        </is>
      </c>
      <c r="B129" s="20" t="inlineStr">
        <is>
          <t>Wish Box</t>
        </is>
      </c>
      <c r="C129" s="21" t="inlineStr">
        <is>
          <t>(Days)</t>
        </is>
      </c>
      <c r="D129" s="20" t="inlineStr">
        <is>
          <t>Passive</t>
        </is>
      </c>
      <c r="E129" s="20" t="inlineStr">
        <is>
          <t>Stamp Type</t>
        </is>
      </c>
      <c r="F129" s="21" t="inlineStr">
        <is>
          <t>Notable Stamps</t>
        </is>
      </c>
    </row>
    <row r="130">
      <c r="A130" s="12" t="n">
        <v>1</v>
      </c>
      <c r="B130" s="7" t="inlineStr">
        <is>
          <t>Seated Voltaire</t>
        </is>
      </c>
      <c r="C130" s="5" t="inlineStr">
        <is>
          <t>N/A</t>
        </is>
      </c>
      <c r="D130" s="6" t="inlineStr">
        <is>
          <t>Snail Leadership +17; Per 20 ART Wishes Made, Snail DEF +12; Per 20 ART Wishes made, Snail RUSH +12; Wishes Made: 1,000/1,000</t>
        </is>
      </c>
      <c r="E130" s="7" t="inlineStr">
        <is>
          <t>Biozilla</t>
        </is>
      </c>
      <c r="F130" s="5" t="inlineStr">
        <is>
          <t>15 ART; 6% Troop DEF; 30 Wind DMG</t>
        </is>
      </c>
    </row>
    <row r="131">
      <c r="A131" s="12" t="n">
        <v>2</v>
      </c>
      <c r="B131" s="7" t="inlineStr">
        <is>
          <t>Turin Papyrus</t>
        </is>
      </c>
      <c r="C131" s="5" t="inlineStr">
        <is>
          <t>N/A</t>
        </is>
      </c>
      <c r="D131" s="6" t="inlineStr">
        <is>
          <t>Snail DEF +100; Mutant Gene Research SPD +5.4%; Per 5 Mutant Gene LVLs, Snail DEF +24; Per 5 Mutant Gene LVLs, Snail RUSH +24; Mutant Gene LVLs Researched: 150/150</t>
        </is>
      </c>
      <c r="E131" s="7" t="inlineStr">
        <is>
          <t>Kemet</t>
        </is>
      </c>
      <c r="F131" s="5" t="inlineStr">
        <is>
          <t>15 CIV</t>
        </is>
      </c>
    </row>
    <row r="132">
      <c r="A132" s="12" t="n">
        <v>3</v>
      </c>
      <c r="B132" s="7" t="inlineStr">
        <is>
          <t>Olympic Torch</t>
        </is>
      </c>
      <c r="C132" s="5" t="inlineStr">
        <is>
          <t>N/A</t>
        </is>
      </c>
      <c r="D132" s="6" t="inlineStr">
        <is>
          <t>All Minion ATK +2.4%; Quantum Amp production +13.2%; Per 60 Minions in battle: Troop HARD Stats +30</t>
        </is>
      </c>
      <c r="E132" s="7" t="inlineStr">
        <is>
          <t>Minion Sim</t>
        </is>
      </c>
      <c r="F132" s="5" t="inlineStr">
        <is>
          <t>15 FAME; 9% Troop DEF; 9% Troop HP</t>
        </is>
      </c>
    </row>
    <row r="133">
      <c r="A133" s="12" t="n">
        <v>4</v>
      </c>
      <c r="B133" s="7" t="inlineStr">
        <is>
          <t>Ten Commandments</t>
        </is>
      </c>
      <c r="C133" s="5" t="inlineStr">
        <is>
          <t>N/A</t>
        </is>
      </c>
      <c r="D133" s="6" t="inlineStr">
        <is>
          <t>Per 60 Angel Minions in Battle: Troop ATK +180; Per 5 Angel Gene LVLs, Snail ATK +18; Per 5 Angel Gene LVLs, Snail DEF +18; Angel Gene LVLs Researched: 150/150</t>
        </is>
      </c>
      <c r="E133" s="7" t="inlineStr">
        <is>
          <t>Rift</t>
        </is>
      </c>
      <c r="F133" s="5" t="inlineStr">
        <is>
          <t>15% Angel/Mutant/Mecha Cells</t>
        </is>
      </c>
    </row>
    <row r="134">
      <c r="A134" s="12" t="n">
        <v>5</v>
      </c>
      <c r="B134" s="7" t="inlineStr">
        <is>
          <t>Zizhi Tongjian</t>
        </is>
      </c>
      <c r="C134" s="5" t="inlineStr">
        <is>
          <t>N/A</t>
        </is>
      </c>
      <c r="D134" s="6" t="inlineStr">
        <is>
          <t>Snail Leadership +12; Minion DEF +2.4%; Per 60 Minions in Battle: Troop DEF +180</t>
        </is>
      </c>
      <c r="E134" s="7" t="inlineStr">
        <is>
          <t>Rift</t>
        </is>
      </c>
      <c r="F134" s="5" t="inlineStr">
        <is>
          <t>15 FAME; 6% Purple Cards; 3% Dragon Orbs</t>
        </is>
      </c>
    </row>
    <row r="135">
      <c r="A135" s="12" t="n">
        <v>6</v>
      </c>
      <c r="B135" s="7" t="inlineStr">
        <is>
          <t>Pure Reason Critique</t>
        </is>
      </c>
      <c r="C135" s="5" t="inlineStr">
        <is>
          <t>N/A</t>
        </is>
      </c>
      <c r="D135" s="6" t="inlineStr">
        <is>
          <t>Protomon assist Troop in battle, extra DMG +1760; Per 5 Zombie Gene LVLs, Snail HP +240; Per 5 Zombie Gene LVLs, Snail ATK +24; Zombie Gene LVLs Researched: 150/150</t>
        </is>
      </c>
      <c r="E135" s="7" t="inlineStr">
        <is>
          <t>Quantum Amp</t>
        </is>
      </c>
      <c r="F135" s="5" t="inlineStr">
        <is>
          <t>15 FAME; 15% Production; 15% Nebula Shards</t>
        </is>
      </c>
    </row>
    <row r="136">
      <c r="A136" s="12" t="n">
        <v>7</v>
      </c>
      <c r="B136" s="7" t="inlineStr">
        <is>
          <t>La Comedie humaine</t>
        </is>
      </c>
      <c r="C136" s="5" t="inlineStr">
        <is>
          <t>N/A</t>
        </is>
      </c>
      <c r="D136" s="6" t="inlineStr">
        <is>
          <t>All Minion RUSH +2.4%; Per 2000 Desert Sanctum Rating Pts, Priest-Snail Assistance DMG +96 &amp; Priest-Troop Assistance DMG +96; Desert Sanctum Rating: 100,000/100,000; Protomon assist Troop in battle, extra DMG +800</t>
        </is>
      </c>
      <c r="E136" s="7" t="inlineStr">
        <is>
          <t>Rift</t>
        </is>
      </c>
      <c r="F136" s="5" t="inlineStr">
        <is>
          <t>6% 2x INTEL; 300 Earth DMG</t>
        </is>
      </c>
    </row>
    <row r="137">
      <c r="A137" s="12" t="n">
        <v>8</v>
      </c>
      <c r="B137" s="7" t="inlineStr">
        <is>
          <t>EPR Paradox</t>
        </is>
      </c>
      <c r="C137" s="5" t="inlineStr">
        <is>
          <t>N/A</t>
        </is>
      </c>
      <c r="D137" s="6" t="inlineStr">
        <is>
          <t>Mecha Minion DEF +12%; Per 60 T7+ Minions in battle: Troop ATK +220; Per 60 T7+ Minions in battle: Troop RUSH +120</t>
        </is>
      </c>
      <c r="E137" s="7" t="inlineStr">
        <is>
          <t>Rift</t>
        </is>
      </c>
      <c r="F137" s="5" t="inlineStr">
        <is>
          <t>15 TECH; 6% Blue Reagent; 6% Green Cards</t>
        </is>
      </c>
    </row>
    <row r="138">
      <c r="A138" s="12" t="n">
        <v>9</v>
      </c>
      <c r="B138" s="7" t="inlineStr">
        <is>
          <t>Xi Ping Stele Script</t>
        </is>
      </c>
      <c r="C138" s="5" t="inlineStr">
        <is>
          <t>N/A</t>
        </is>
      </c>
      <c r="D138" s="6" t="inlineStr">
        <is>
          <t>Mutant Minion DEF +12%; Per 5 CIV Relics awakened, Snail ATK +36; Per 5 CIV Relics awakened, Snail DEF +36; CIV Relics Awakened: 100/100; Snail ATK +100</t>
        </is>
      </c>
      <c r="E138" s="7" t="inlineStr">
        <is>
          <t>Cathay</t>
        </is>
      </c>
      <c r="F138" s="5" t="inlineStr">
        <is>
          <t>15 CIV; 30 Medals</t>
        </is>
      </c>
    </row>
    <row r="139">
      <c r="A139" s="12" t="n">
        <v>10</v>
      </c>
      <c r="B139" s="7" t="inlineStr">
        <is>
          <t>Eden Scepter</t>
        </is>
      </c>
      <c r="C139" s="5" t="inlineStr">
        <is>
          <t>N/A</t>
        </is>
      </c>
      <c r="D139" s="6" t="inlineStr">
        <is>
          <t>Angel Minion HP +12%; Protomons assist Snail in battle, and deal extra DMG +1760; Per FTH Bionic Part extracted, Snail RUSH +60; FTH Bionic Part Extracted: 10/10</t>
        </is>
      </c>
      <c r="E139" s="7" t="inlineStr">
        <is>
          <t>Rift</t>
        </is>
      </c>
      <c r="F139" s="5" t="inlineStr">
        <is>
          <t>15 FTH; 300 Water DMG; 3% Incense</t>
        </is>
      </c>
    </row>
    <row r="140">
      <c r="A140" s="12" t="n">
        <v>11</v>
      </c>
      <c r="B140" s="7" t="inlineStr">
        <is>
          <t>Hypercube</t>
        </is>
      </c>
      <c r="C140" s="5" t="inlineStr">
        <is>
          <t>N/A</t>
        </is>
      </c>
      <c r="D140" s="6" t="inlineStr">
        <is>
          <t>Snail Leadership +12; For every 3 levels of Base Station cleared, Snail HP +120; For every 3 levels of Base Station cleared, Snail RUSH +12; Base Station LVLs Cleared: 150/150; Snail HP +1000</t>
        </is>
      </c>
      <c r="E140" s="7" t="inlineStr">
        <is>
          <t>Mantis</t>
        </is>
      </c>
      <c r="F140" s="5" t="inlineStr">
        <is>
          <t>60 Wind DMG; 9% HP; 6% Hero DMG</t>
        </is>
      </c>
    </row>
    <row r="141">
      <c r="A141" s="12" t="n">
        <v>12</v>
      </c>
      <c r="B141" s="7" t="inlineStr">
        <is>
          <t>Othello</t>
        </is>
      </c>
      <c r="C141" s="5" t="inlineStr">
        <is>
          <t>N/A</t>
        </is>
      </c>
      <c r="D141" s="6" t="inlineStr">
        <is>
          <t>Snail ATK +120; All Minion Skins HP +100%; Protomons assist Troop in battle, and deal extra DMG +1760</t>
        </is>
      </c>
      <c r="E141" s="7" t="inlineStr">
        <is>
          <t>Rift</t>
        </is>
      </c>
      <c r="F141" s="5" t="inlineStr">
        <is>
          <t>15 ART; 600 RUSH; 300 Fire DMG</t>
        </is>
      </c>
    </row>
    <row r="142">
      <c r="A142" s="12" t="inlineStr">
        <is>
          <t>??</t>
        </is>
      </c>
      <c r="B142" s="7" t="inlineStr">
        <is>
          <t>Xuanyuan Compass Chariot</t>
        </is>
      </c>
      <c r="C142" s="5" t="inlineStr">
        <is>
          <t>N/A</t>
        </is>
      </c>
      <c r="D142" s="6" t="inlineStr">
        <is>
          <t>Snail Leadership +17; All Minin HP +2.4%; Per 60 T8+ Minions deployed, Troop HP +1440</t>
        </is>
      </c>
      <c r="E142" s="7" t="inlineStr">
        <is>
          <t>Goldfish</t>
        </is>
      </c>
      <c r="F142" s="5" t="inlineStr">
        <is>
          <t>9% ATK; 6% Hero DMG</t>
        </is>
      </c>
    </row>
    <row r="143">
      <c r="A143" s="12" t="inlineStr">
        <is>
          <t>??</t>
        </is>
      </c>
      <c r="B143" s="7" t="inlineStr">
        <is>
          <t>Talos' Bronze Gears</t>
        </is>
      </c>
      <c r="C143" s="5" t="inlineStr">
        <is>
          <t>N/A</t>
        </is>
      </c>
      <c r="D143" s="6" t="inlineStr">
        <is>
          <t>Snail Leadership +17; Per 5 Incubator Files fully restored, Snail DEF + 36 &amp; Snail RUSH +36; Files fully restored: 100/100</t>
        </is>
      </c>
      <c r="E143" s="7" t="inlineStr">
        <is>
          <t>Surf Clam</t>
        </is>
      </c>
      <c r="F143" s="5" t="inlineStr">
        <is>
          <t>9% DEF; 6% Hero DMG</t>
        </is>
      </c>
    </row>
    <row r="144">
      <c r="A144" s="12" t="n"/>
      <c r="B144" s="7" t="inlineStr">
        <is>
          <t>Erinyes' Shackles</t>
        </is>
      </c>
      <c r="C144" s="5" t="inlineStr">
        <is>
          <t>N/A</t>
        </is>
      </c>
      <c r="D144" s="6" t="inlineStr">
        <is>
          <t>Zombie Minion ATK +12%; Per 60 T8+ Minions deployed, Troop RUSH +264 &amp; Troop RUSH + 144</t>
        </is>
      </c>
      <c r="E144" s="7" t="inlineStr">
        <is>
          <t>Hellas</t>
        </is>
      </c>
      <c r="F144" s="5" t="inlineStr">
        <is>
          <t>15 FTH; 30 Medals</t>
        </is>
      </c>
    </row>
    <row r="145">
      <c r="A145" s="13" t="n"/>
      <c r="B145" s="17" t="n"/>
      <c r="C145" s="15" t="n"/>
      <c r="D145" s="16" t="n"/>
      <c r="E145" s="17" t="n"/>
      <c r="F145" s="15" t="n"/>
    </row>
    <row r="146"/>
    <row r="147"/>
    <row r="148"/>
    <row r="149"/>
    <row r="150">
      <c r="A150" s="11" t="inlineStr">
        <is>
          <t>Order</t>
        </is>
      </c>
      <c r="B150" s="1" t="inlineStr">
        <is>
          <t>Weekly Special</t>
        </is>
      </c>
      <c r="C150" s="2" t="inlineStr">
        <is>
          <t>(Days)</t>
        </is>
      </c>
      <c r="D150" s="3" t="inlineStr">
        <is>
          <t>Passive</t>
        </is>
      </c>
      <c r="E150" s="3" t="inlineStr">
        <is>
          <t>Stamp Type</t>
        </is>
      </c>
      <c r="F150" s="2" t="inlineStr">
        <is>
          <t>Notable Stamps</t>
        </is>
      </c>
    </row>
    <row r="151">
      <c r="A151" s="12" t="n">
        <v>1</v>
      </c>
      <c r="B151" s="4" t="inlineStr">
        <is>
          <t>Kepler Telescope</t>
        </is>
      </c>
      <c r="C151" s="5">
        <f>7*3*7*A151</f>
        <v/>
      </c>
      <c r="D151" s="6" t="inlineStr">
        <is>
          <t>Snail ATK +100; When in Mecha Form: Gain +12% Mecha Cells in explorations; Per Domain discovered, Snail ATK +60; Per Domain discovered, Snail RUSH +60; Domains Discovered: 8/8</t>
        </is>
      </c>
      <c r="E151" s="7" t="inlineStr">
        <is>
          <t>Hellas</t>
        </is>
      </c>
      <c r="F151" s="5" t="inlineStr">
        <is>
          <t>15 TECH; 15% Orange Cards</t>
        </is>
      </c>
    </row>
    <row r="152">
      <c r="A152" s="12" t="n">
        <v>2</v>
      </c>
      <c r="B152" s="4" t="inlineStr">
        <is>
          <t>St. Louisa Goblet</t>
        </is>
      </c>
      <c r="C152" s="5">
        <f>7*3*7*A152</f>
        <v/>
      </c>
      <c r="D152" s="6" t="inlineStr">
        <is>
          <t>Explore in Demon Form, gain +12% Demon Cells; Per 60 Demon Minions in battle, Troop ATK +180; Per 60 Demon Minions in battle, Troop RUSH +90</t>
        </is>
      </c>
      <c r="E152" s="7" t="inlineStr">
        <is>
          <t>Kemet</t>
        </is>
      </c>
      <c r="F152" s="5" t="inlineStr">
        <is>
          <t>30 Medals</t>
        </is>
      </c>
    </row>
    <row r="153">
      <c r="A153" s="12" t="n">
        <v>3</v>
      </c>
      <c r="B153" s="4" t="inlineStr">
        <is>
          <t>Noah's Ark</t>
        </is>
      </c>
      <c r="C153" s="5">
        <f>7*3*7*A153</f>
        <v/>
      </c>
      <c r="D153" s="6" t="inlineStr">
        <is>
          <t>Snail DEF +100; Angel Gene Research SPD +6%; Per partner you have, Snail ATK +36; Per partner you have, Snail DEF +36; Current Partners: 15/15</t>
        </is>
      </c>
      <c r="E153" s="7" t="inlineStr">
        <is>
          <t>Gene Sim</t>
        </is>
      </c>
      <c r="F153" s="5" t="inlineStr">
        <is>
          <t>1200 Regen</t>
        </is>
      </c>
    </row>
    <row r="154">
      <c r="A154" s="12" t="n">
        <v>4</v>
      </c>
      <c r="B154" s="7" t="inlineStr">
        <is>
          <t>Cthaat Aquadingen</t>
        </is>
      </c>
      <c r="C154" s="5">
        <f>7*3*7*A154</f>
        <v/>
      </c>
      <c r="D154" s="6" t="inlineStr">
        <is>
          <t>Snail ATK +220; Angel Minion Cloning SPD +12%; Per 20 FTH wish, Snail ATK +12; FTH wishes 1000/1000</t>
        </is>
      </c>
      <c r="E154" s="7" t="inlineStr">
        <is>
          <t>Murika</t>
        </is>
      </c>
      <c r="F154" s="5" t="inlineStr">
        <is>
          <t>15 FTH; 30% Angel Cells</t>
        </is>
      </c>
    </row>
    <row r="155">
      <c r="A155" s="12" t="n">
        <v>5</v>
      </c>
      <c r="B155" s="7" t="inlineStr">
        <is>
          <t>Journey to Earth Core</t>
        </is>
      </c>
      <c r="C155" s="5">
        <f>7*3*7*A155</f>
        <v/>
      </c>
      <c r="D155" s="6" t="inlineStr">
        <is>
          <t>Free Gene Speedup +36m; Per 60 Zombie Minions in Battle: Troop ATK +180; Per 5 Zombe Gene Research LVLs, Snail Hp +180; Zombie Gene LVLs Researched: 150/150</t>
        </is>
      </c>
      <c r="E155" s="7" t="inlineStr">
        <is>
          <t>Rift</t>
        </is>
      </c>
      <c r="F155" s="5" t="inlineStr">
        <is>
          <t>600 ATK; 300 Fire DMG; 300 Wind DMG</t>
        </is>
      </c>
    </row>
    <row r="156">
      <c r="A156" s="12" t="n">
        <v>6</v>
      </c>
      <c r="B156" s="7" t="inlineStr">
        <is>
          <t>Apollo Lunar Module</t>
        </is>
      </c>
      <c r="C156" s="5">
        <f>7*3*7*A156</f>
        <v/>
      </c>
      <c r="D156" s="6" t="inlineStr">
        <is>
          <t>Snail ATK +120; Snail Hp +1000; Per 60 T7+ Minions in Battle, Troop HARD Stats +40; Per TECH Bionic Part Extracted, Snail ATK +60; TECH Bionic Parts: 10/10</t>
        </is>
      </c>
      <c r="E156" s="7" t="inlineStr">
        <is>
          <t>Swamp Sanctum</t>
        </is>
      </c>
      <c r="F156" s="5" t="inlineStr">
        <is>
          <t>15 TECH; 30% Divine Crystal Output/Cap</t>
        </is>
      </c>
    </row>
    <row r="157">
      <c r="A157" s="12" t="n">
        <v>7</v>
      </c>
      <c r="B157" s="7" t="inlineStr">
        <is>
          <t>Vairocana Statue</t>
        </is>
      </c>
      <c r="C157" s="5">
        <f>7*3*7*A157</f>
        <v/>
      </c>
      <c r="D157" s="6" t="inlineStr">
        <is>
          <t>Snail RUSH +120; All minion skin RUSH +100%; Per 3 Forest Protomon, Priest-Snail Assistance DMG +192; Forest Protomon: 60/60; Protomon Snail assist DMG +800</t>
        </is>
      </c>
      <c r="E157" s="7" t="inlineStr">
        <is>
          <t>Forest Sanctum</t>
        </is>
      </c>
      <c r="F157" s="5" t="inlineStr">
        <is>
          <t>15 ART; 600 ART in Rift; 6% Cards</t>
        </is>
      </c>
    </row>
    <row r="158">
      <c r="A158" s="12" t="n">
        <v>8</v>
      </c>
      <c r="B158" s="7" t="inlineStr">
        <is>
          <t>Code of Ur-Nammu</t>
        </is>
      </c>
      <c r="C158" s="5">
        <f>7*3*7*A158</f>
        <v/>
      </c>
      <c r="D158" s="6" t="inlineStr">
        <is>
          <t>Per 60 Zombie Minions in battle: Troop ATK +90; Per 6 kinds of Souls offered, Snail ATK +12 &amp; Priest-Assistance DMG +96; Souls offered: 300/300; Protomon Troop Assist DMG +800</t>
        </is>
      </c>
      <c r="E158" s="7" t="inlineStr">
        <is>
          <t>Gene Sim</t>
        </is>
      </c>
      <c r="F158" s="5" t="inlineStr">
        <is>
          <t>15 FAME; 30% Lifesteal Effect; 15% DMG REDUC</t>
        </is>
      </c>
    </row>
    <row r="159">
      <c r="A159" s="12" t="n">
        <v>9</v>
      </c>
      <c r="B159" s="7" t="inlineStr">
        <is>
          <t>The Birth of Tragedy</t>
        </is>
      </c>
      <c r="C159" s="5">
        <f>7*3*7*A159</f>
        <v/>
      </c>
      <c r="D159" s="6" t="inlineStr">
        <is>
          <t>Snail ATK +220; All minion skins HP +100%; Per 3 Minion Skins crafted, Protomon Troop Assistance DMG +288; Minion Skins Crafted: 60/60</t>
        </is>
      </c>
      <c r="E159" s="7" t="inlineStr">
        <is>
          <t>Rift</t>
        </is>
      </c>
      <c r="F159" s="5" t="inlineStr">
        <is>
          <t>6% Purple Reagents; 6% Orange Cards; 3% Incense</t>
        </is>
      </c>
    </row>
    <row r="160">
      <c r="A160" s="12" t="n">
        <v>10</v>
      </c>
      <c r="B160" s="7" t="inlineStr">
        <is>
          <t>The Dream</t>
        </is>
      </c>
      <c r="C160" s="5">
        <f>7*3*7*A160</f>
        <v/>
      </c>
      <c r="D160" s="6" t="inlineStr">
        <is>
          <t>Per 60 Demon Minions in battle: Troop DEF +180; Protomon Troop assist DMG +960; Per Dorm Decor gained, Snail RUSH +12; Dorm Decor Gained: 40/40</t>
        </is>
      </c>
      <c r="E160" s="7" t="inlineStr">
        <is>
          <t>Rift</t>
        </is>
      </c>
      <c r="F160" s="5" t="inlineStr">
        <is>
          <t>15 ART; 6% Blue Cards</t>
        </is>
      </c>
    </row>
    <row r="161">
      <c r="A161" s="12" t="n">
        <v>11</v>
      </c>
      <c r="B161" s="7" t="inlineStr">
        <is>
          <t>Tassili n'Ajjer</t>
        </is>
      </c>
      <c r="C161" s="5">
        <f>7*3*7*A161</f>
        <v/>
      </c>
      <c r="D161" s="6" t="inlineStr">
        <is>
          <t>Snail Leadership +12; Per 5 CIV Relics awakened, Priest-Snail/Priest-Troop Assistance DMG +288; CIV Relics Awakened: 100/100; Protomon Snail Assist DMG +800</t>
        </is>
      </c>
      <c r="E161" s="7" t="inlineStr">
        <is>
          <t>Hamster</t>
        </is>
      </c>
      <c r="F161" s="5" t="inlineStr">
        <is>
          <t>15 CIV; 9% DEF; 6% DMG REDUC</t>
        </is>
      </c>
    </row>
    <row r="162">
      <c r="A162" s="12" t="inlineStr">
        <is>
          <t>??</t>
        </is>
      </c>
      <c r="B162" s="7" t="inlineStr">
        <is>
          <t>Twin Heroes</t>
        </is>
      </c>
      <c r="C162" s="5" t="inlineStr">
        <is>
          <t>??</t>
        </is>
      </c>
      <c r="D162" s="6" t="inlineStr">
        <is>
          <t>Snail ATK +100; Minion HP +2.4%; Minion RUSH +2.4%; Per 50 Minions Cloned, Snail ATK +18; Minions Cloned: 2000/2000</t>
        </is>
      </c>
      <c r="E162" s="7" t="inlineStr">
        <is>
          <t>Rift</t>
        </is>
      </c>
      <c r="F162" s="5" t="inlineStr">
        <is>
          <t>15 ART; 600 ART in Rift; 6% Cards</t>
        </is>
      </c>
    </row>
    <row r="163">
      <c r="A163" s="3" t="n"/>
      <c r="B163" s="3" t="n"/>
      <c r="C163" s="3" t="n"/>
      <c r="D163" s="3" t="n"/>
      <c r="E163" s="3" t="n"/>
      <c r="F163" s="3" t="n"/>
    </row>
    <row r="164"/>
    <row r="165"/>
    <row r="166"/>
    <row r="167">
      <c r="A167" s="19" t="inlineStr">
        <is>
          <t>Order</t>
        </is>
      </c>
      <c r="B167" s="22" t="inlineStr">
        <is>
          <t>Lottery Box (AAA)</t>
        </is>
      </c>
      <c r="C167" s="21" t="inlineStr">
        <is>
          <t>(Rounds)</t>
        </is>
      </c>
      <c r="D167" s="20" t="inlineStr">
        <is>
          <t>Passive</t>
        </is>
      </c>
      <c r="E167" s="20" t="inlineStr">
        <is>
          <t>Stamp Type</t>
        </is>
      </c>
      <c r="F167" s="21" t="inlineStr">
        <is>
          <t>Notable Stamps</t>
        </is>
      </c>
    </row>
    <row r="168">
      <c r="A168" s="12" t="n">
        <v>1</v>
      </c>
      <c r="B168" s="4" t="inlineStr">
        <is>
          <t>Silver Treaty</t>
        </is>
      </c>
      <c r="C168" s="5">
        <f>A168*8</f>
        <v/>
      </c>
      <c r="D168" s="6" t="inlineStr">
        <is>
          <t>Sunny Plant Food gives +1 Green Pistil by +3.6%; Per 10 Maneater Pistils Used, Snail DEF +9; Maneater Pistils Used: 400/400</t>
        </is>
      </c>
      <c r="E168" s="7" t="inlineStr">
        <is>
          <t>Kemet</t>
        </is>
      </c>
      <c r="F168" s="5" t="inlineStr">
        <is>
          <t>10 FAME</t>
        </is>
      </c>
    </row>
    <row r="169">
      <c r="A169" s="12" t="n">
        <v>2</v>
      </c>
      <c r="B169" s="4" t="inlineStr">
        <is>
          <t>The Goodbye Kiss</t>
        </is>
      </c>
      <c r="C169" s="5">
        <f>A169*8</f>
        <v/>
      </c>
      <c r="D169" s="6" t="inlineStr">
        <is>
          <t>Snail DEF +90; The Fungus Farm has a +16% chance to produce Wonder Fungi</t>
        </is>
      </c>
      <c r="E169" s="7" t="inlineStr">
        <is>
          <t>Murika</t>
        </is>
      </c>
      <c r="F169" s="5" t="inlineStr">
        <is>
          <t>10 ART</t>
        </is>
      </c>
    </row>
    <row r="170">
      <c r="A170" s="12" t="n">
        <v>3</v>
      </c>
      <c r="B170" s="4" t="inlineStr">
        <is>
          <t>Valaroma</t>
        </is>
      </c>
      <c r="C170" s="5">
        <f>A170*8</f>
        <v/>
      </c>
      <c r="D170" s="6" t="inlineStr">
        <is>
          <t>Angel Minion ATK +9%; Per 30 Angel Minions in battle: Troop HARD Stats +32</t>
        </is>
      </c>
      <c r="E170" s="7" t="inlineStr">
        <is>
          <t>Britland</t>
        </is>
      </c>
      <c r="F170" s="5" t="inlineStr">
        <is>
          <t>10 FTH</t>
        </is>
      </c>
    </row>
    <row r="171">
      <c r="A171" s="12" t="n">
        <v>4</v>
      </c>
      <c r="B171" s="4" t="inlineStr">
        <is>
          <t>Letters for Josephine</t>
        </is>
      </c>
      <c r="C171" s="5">
        <f>A171*8</f>
        <v/>
      </c>
      <c r="D171" s="6" t="inlineStr">
        <is>
          <t>Per Purple+ Gear equipped, Snail HP +90; Per Purple+ Gear equipped, Snail ATK +9; Snail HP +700</t>
        </is>
      </c>
      <c r="E171" s="7" t="inlineStr">
        <is>
          <t>Rift</t>
        </is>
      </c>
      <c r="F171" s="5" t="n"/>
    </row>
    <row r="172">
      <c r="A172" s="12" t="n">
        <v>5</v>
      </c>
      <c r="B172" s="4" t="inlineStr">
        <is>
          <t>Helmholtz Coil</t>
        </is>
      </c>
      <c r="C172" s="5">
        <f>A172*8</f>
        <v/>
      </c>
      <c r="D172" s="6" t="inlineStr">
        <is>
          <t>Refine +1 Green Demon God Material by +9%; Refine +1 Green Rebel Troop Material by +9%; Snail HP +700</t>
        </is>
      </c>
      <c r="E172" s="7" t="inlineStr">
        <is>
          <t>Rift</t>
        </is>
      </c>
      <c r="F172" s="5" t="inlineStr">
        <is>
          <t>2% INTEL; 3% Orange Cards</t>
        </is>
      </c>
    </row>
    <row r="173">
      <c r="A173" s="4" t="n">
        <v>6</v>
      </c>
      <c r="B173" s="4" t="inlineStr">
        <is>
          <t>The Fifer</t>
        </is>
      </c>
      <c r="C173" s="5">
        <f>A173*8</f>
        <v/>
      </c>
      <c r="D173" s="6" t="inlineStr">
        <is>
          <t>Quantum Amp Max Cap +16%; Per 5 Quantum Amp LVLs, Snail DEF +36; Quantum Amp LVL: 50/50</t>
        </is>
      </c>
      <c r="E173" s="7" t="inlineStr">
        <is>
          <t>Rift</t>
        </is>
      </c>
      <c r="F173" s="5" t="inlineStr">
        <is>
          <t>10 ART; 3% INTEL</t>
        </is>
      </c>
    </row>
    <row r="174">
      <c r="A174" s="23" t="n">
        <v>7</v>
      </c>
      <c r="B174" s="24" t="inlineStr">
        <is>
          <t>Wilson Cloud Chamber</t>
        </is>
      </c>
      <c r="C174" s="5">
        <f>A174*8</f>
        <v/>
      </c>
      <c r="D174" s="25" t="inlineStr">
        <is>
          <t>Per 30 Mecha Minions in battle: Troop HP +360; Per 30 Mecha Minions in battle: Troop ATK +64</t>
        </is>
      </c>
      <c r="E174" s="9" t="inlineStr">
        <is>
          <t>Britland</t>
        </is>
      </c>
      <c r="F174" s="26" t="inlineStr">
        <is>
          <t>10 TECH</t>
        </is>
      </c>
    </row>
    <row r="175">
      <c r="A175" s="27" t="n">
        <v>8</v>
      </c>
      <c r="B175" s="28" t="inlineStr">
        <is>
          <t>Nishijin Fabric</t>
        </is>
      </c>
      <c r="C175" s="5">
        <f>A175*8</f>
        <v/>
      </c>
      <c r="D175" s="25" t="inlineStr">
        <is>
          <t>Snail ATK +90; Quantum Amp Production +9.6%</t>
        </is>
      </c>
      <c r="E175" s="9" t="inlineStr">
        <is>
          <t>Yamato</t>
        </is>
      </c>
      <c r="F175" s="26" t="inlineStr">
        <is>
          <t>10 ART</t>
        </is>
      </c>
    </row>
    <row r="176">
      <c r="A176" s="12" t="n">
        <v>9</v>
      </c>
      <c r="B176" s="4" t="inlineStr">
        <is>
          <t>Forsman Cardiac Catheter</t>
        </is>
      </c>
      <c r="C176" s="5">
        <f>A176*8</f>
        <v/>
      </c>
      <c r="D176" s="6" t="inlineStr">
        <is>
          <t>Snail HP +1600; Dragon Minion Hp +9%</t>
        </is>
      </c>
      <c r="E176" s="7" t="inlineStr">
        <is>
          <t>Rift</t>
        </is>
      </c>
      <c r="F176" s="5" t="n"/>
    </row>
    <row r="177">
      <c r="A177" s="12" t="n">
        <v>10</v>
      </c>
      <c r="B177" s="4" t="inlineStr">
        <is>
          <t>Hela's Ship</t>
        </is>
      </c>
      <c r="C177" s="5">
        <f>A177*8</f>
        <v/>
      </c>
      <c r="D177" s="6" t="inlineStr">
        <is>
          <t>Snail ATK +70; Per 40 Eggs Hatched, Snail ATK +9; Per 40 Eggs Hatched, Snail RUSH +9; Eggs Hatched: 1600/1600</t>
        </is>
      </c>
      <c r="E177" s="7" t="inlineStr">
        <is>
          <t>Rift</t>
        </is>
      </c>
      <c r="F177" s="5" t="n"/>
    </row>
    <row r="178">
      <c r="A178" s="12" t="n">
        <v>11</v>
      </c>
      <c r="B178" s="4" t="inlineStr">
        <is>
          <t>Djinn Theory</t>
        </is>
      </c>
      <c r="C178" s="5">
        <f>A178*8</f>
        <v/>
      </c>
      <c r="D178" s="6" t="inlineStr">
        <is>
          <t>Snail DEF +90; Quantum Amp Max Cap +16%</t>
        </is>
      </c>
      <c r="E178" s="7" t="inlineStr">
        <is>
          <t>Britland</t>
        </is>
      </c>
      <c r="F178" s="5" t="n"/>
    </row>
    <row r="179">
      <c r="A179" s="12" t="n">
        <v>12</v>
      </c>
      <c r="B179" s="4" t="inlineStr">
        <is>
          <t>Galileo's Thermometer</t>
        </is>
      </c>
      <c r="C179" s="5">
        <f>A179*8</f>
        <v/>
      </c>
      <c r="D179" s="6" t="inlineStr">
        <is>
          <t>Per 30 Mecha Minions in battle: Troop ATK +64; Per Mecha Form Tier, Snail ATK +36; Mecha Form Tier 9/9</t>
        </is>
      </c>
      <c r="E179" s="7" t="inlineStr">
        <is>
          <t>Rift</t>
        </is>
      </c>
      <c r="F179" s="5" t="n"/>
    </row>
    <row r="180">
      <c r="A180" s="12" t="n">
        <v>13</v>
      </c>
      <c r="B180" s="4" t="inlineStr">
        <is>
          <t>Biography of Great Artists</t>
        </is>
      </c>
      <c r="C180" s="5">
        <f>A180*8</f>
        <v/>
      </c>
      <c r="D180" s="6" t="inlineStr">
        <is>
          <t>Quantum Amp Production +9.6%; Zombie Minion Cloning SPD +9%</t>
        </is>
      </c>
      <c r="E180" s="7" t="inlineStr">
        <is>
          <t>Rift</t>
        </is>
      </c>
      <c r="F180" s="5" t="n"/>
    </row>
    <row r="181">
      <c r="A181" s="4" t="n">
        <v>14</v>
      </c>
      <c r="B181" s="4" t="inlineStr">
        <is>
          <t>Galatea</t>
        </is>
      </c>
      <c r="C181" s="5">
        <f>A181*8</f>
        <v/>
      </c>
      <c r="D181" s="6" t="inlineStr">
        <is>
          <t>Snail ATK +90; Per 30 Angel Minions in battle: Troop ATK +64</t>
        </is>
      </c>
      <c r="E181" s="7" t="inlineStr">
        <is>
          <t>Hellas</t>
        </is>
      </c>
      <c r="F181" s="5" t="n"/>
    </row>
    <row r="182">
      <c r="A182" s="4" t="n">
        <v>15</v>
      </c>
      <c r="B182" s="4" t="inlineStr">
        <is>
          <t>Ride of the Valkyrie</t>
        </is>
      </c>
      <c r="C182" s="5">
        <f>A182*8</f>
        <v/>
      </c>
      <c r="D182" s="6" t="inlineStr">
        <is>
          <t>Mutant Minion Cloning SPD +9%; Per 30 Mutant Minions in battle: Troop RUSH +64</t>
        </is>
      </c>
      <c r="E182" s="7" t="inlineStr">
        <is>
          <t>Rift</t>
        </is>
      </c>
      <c r="F182" s="5" t="n"/>
    </row>
    <row r="183">
      <c r="A183" s="23" t="n">
        <v>16</v>
      </c>
      <c r="B183" s="24" t="inlineStr">
        <is>
          <t>Brunel TBM</t>
        </is>
      </c>
      <c r="C183" s="5">
        <f>A183*8</f>
        <v/>
      </c>
      <c r="D183" s="25" t="inlineStr">
        <is>
          <t>Per 30 Mecha Minions in battle: Troop DEF +64; Per 500 Fissure Floors, Snail DEF +18; Fissure Floors: 15000/15000</t>
        </is>
      </c>
      <c r="E183" s="9" t="inlineStr">
        <is>
          <t>Kemet</t>
        </is>
      </c>
      <c r="F183" s="26" t="n"/>
    </row>
    <row r="184">
      <c r="A184" s="27" t="n">
        <v>17</v>
      </c>
      <c r="B184" s="28" t="inlineStr">
        <is>
          <t>Mesopotamian Wheel</t>
        </is>
      </c>
      <c r="C184" s="5">
        <f>A184*8</f>
        <v/>
      </c>
      <c r="D184" s="25" t="inlineStr">
        <is>
          <t>Snail DEF +160; Quantum Amp Production +5.4%</t>
        </is>
      </c>
      <c r="E184" s="9" t="inlineStr">
        <is>
          <t>Rift</t>
        </is>
      </c>
      <c r="F184" s="26" t="n"/>
    </row>
    <row r="185">
      <c r="A185" s="27" t="n">
        <v>18</v>
      </c>
      <c r="B185" s="28" t="inlineStr">
        <is>
          <t>Fuenteovejuna</t>
        </is>
      </c>
      <c r="C185" s="5">
        <f>A185*8</f>
        <v/>
      </c>
      <c r="D185" s="25" t="inlineStr">
        <is>
          <t>Demon Minion Cloning SPD +9%; Per 30 Demon Minions in battle: Troop ATK +64</t>
        </is>
      </c>
      <c r="E185" s="9" t="inlineStr">
        <is>
          <t>Rift</t>
        </is>
      </c>
      <c r="F185" s="26" t="n"/>
    </row>
    <row r="186">
      <c r="A186" s="29" t="n">
        <v>19</v>
      </c>
      <c r="B186" s="30" t="inlineStr">
        <is>
          <t>Theory of Human Understanding</t>
        </is>
      </c>
      <c r="C186" s="5">
        <f>A186*8</f>
        <v/>
      </c>
      <c r="D186" s="31" t="inlineStr">
        <is>
          <t>Per 30 Mutant Minions in battle: Troop HP +360; Per 30 Mutant Minions in battle: Troop ATK +64</t>
        </is>
      </c>
      <c r="E186" s="9" t="inlineStr">
        <is>
          <t>Britland</t>
        </is>
      </c>
      <c r="F186" s="32" t="n"/>
    </row>
    <row r="187">
      <c r="A187" s="27" t="n">
        <v>20</v>
      </c>
      <c r="B187" s="28" t="inlineStr">
        <is>
          <t>Chiran Balan</t>
        </is>
      </c>
      <c r="C187" s="5">
        <f>A187*8</f>
        <v/>
      </c>
      <c r="D187" s="25" t="inlineStr">
        <is>
          <t>Snail ATK +70; Dragon Minion Cloning SPD +9%; Per 5 Dragon Gene LVLs researched, Snail ATK +18; Dragon Gene LVLs Researched: 150/150</t>
        </is>
      </c>
      <c r="E187" s="9" t="inlineStr">
        <is>
          <t>Rift</t>
        </is>
      </c>
      <c r="F187" s="26" t="n"/>
    </row>
    <row r="188">
      <c r="A188" s="12" t="n">
        <v>21</v>
      </c>
      <c r="B188" s="4" t="inlineStr">
        <is>
          <t>Antikythera Orb</t>
        </is>
      </c>
      <c r="C188" s="5">
        <f>A188*8</f>
        <v/>
      </c>
      <c r="D188" s="6" t="inlineStr">
        <is>
          <t>Per 30 T7+ Minions in battle, Troop HP +640; Per 3 TECH relics obtained, Snail ATK +18; TECH Relics Obtained: 60/60</t>
        </is>
      </c>
      <c r="E188" s="7" t="inlineStr">
        <is>
          <t>Hellas</t>
        </is>
      </c>
      <c r="F188" s="5" t="n"/>
    </row>
    <row r="189">
      <c r="A189" s="4" t="n">
        <v>22</v>
      </c>
      <c r="B189" s="4" t="inlineStr">
        <is>
          <t>Lunch on the Yacht</t>
        </is>
      </c>
      <c r="C189" s="5">
        <f>A189*8</f>
        <v/>
      </c>
      <c r="D189" s="6" t="inlineStr">
        <is>
          <t>Per 30 T7+ Minions in battle, Troop ATK +64; Per 6 Distinct Souls Offered, Priest-Snail Assistence DMG +72; Distinct Souls Offered: 300/300</t>
        </is>
      </c>
      <c r="E189" s="7" t="inlineStr">
        <is>
          <t>Rift</t>
        </is>
      </c>
      <c r="F189" s="5" t="n"/>
    </row>
    <row r="190">
      <c r="A190" s="4" t="n">
        <v>23</v>
      </c>
      <c r="B190" s="4" t="inlineStr">
        <is>
          <t>Thus Spoke Zarathustra</t>
        </is>
      </c>
      <c r="C190" s="5">
        <f>A190*8</f>
        <v/>
      </c>
      <c r="D190" s="6" t="inlineStr">
        <is>
          <t>Mutant Minion ATK +9%; Minion Healing SPD +8%</t>
        </is>
      </c>
      <c r="E190" s="7" t="inlineStr">
        <is>
          <t>Rift</t>
        </is>
      </c>
      <c r="F190" s="5" t="n"/>
    </row>
    <row r="191">
      <c r="A191" s="23" t="n">
        <v>24</v>
      </c>
      <c r="B191" s="24" t="inlineStr">
        <is>
          <t>Strapdown Inertial Navigation Technology</t>
        </is>
      </c>
      <c r="C191" s="5">
        <f>A191*8</f>
        <v/>
      </c>
      <c r="D191" s="25" t="inlineStr">
        <is>
          <t>Mecha Minion ATK +9%; Per apostle appointed, Priest-Snail Assistence DMG +72; Apostles appointed: 50/50; Protomons assist Snail in battle, and deal extra DMG +560</t>
        </is>
      </c>
      <c r="E191" s="9" t="inlineStr">
        <is>
          <t>Murika</t>
        </is>
      </c>
      <c r="F191" s="26" t="n"/>
    </row>
    <row r="192">
      <c r="A192" s="27" t="n">
        <v>25</v>
      </c>
      <c r="B192" s="28" t="inlineStr">
        <is>
          <t>Jade Cabbage</t>
        </is>
      </c>
      <c r="C192" s="5">
        <f>A192*8</f>
        <v/>
      </c>
      <c r="D192" s="25" t="inlineStr">
        <is>
          <t>Per 30 T7+ Minions in battle, Troop RUSH +64; Per 100 recruitment orders, Priest-Snail Assistence DMG +72; Recruitment Orders: 5000/5000</t>
        </is>
      </c>
      <c r="E192" s="9" t="inlineStr">
        <is>
          <t>Cathay</t>
        </is>
      </c>
      <c r="F192" s="26" t="n"/>
    </row>
    <row r="193">
      <c r="A193" s="27" t="n">
        <v>26</v>
      </c>
      <c r="B193" s="28" t="inlineStr">
        <is>
          <t>Those Who Count Sand</t>
        </is>
      </c>
      <c r="C193" s="5">
        <f>A193*8</f>
        <v/>
      </c>
      <c r="D193" s="25" t="inlineStr">
        <is>
          <t>Minion Healing SPD +4.5%; Per 30 T7+ Minions in battle, Troop DEF +64</t>
        </is>
      </c>
      <c r="E193" s="9" t="inlineStr">
        <is>
          <t>Hellas</t>
        </is>
      </c>
      <c r="F193" s="26" t="n"/>
    </row>
    <row r="194">
      <c r="A194" s="29" t="n">
        <v>27</v>
      </c>
      <c r="B194" s="30" t="inlineStr">
        <is>
          <t>Non-War Pact</t>
        </is>
      </c>
      <c r="C194" s="5">
        <f>A194*8</f>
        <v/>
      </c>
      <c r="D194" s="31" t="inlineStr">
        <is>
          <t>Zombie Minion HP +9%; Per 5 Mythic Protodex Stars, Priest-Troop Assistence DMG +216; Mythic Protodex Stars: 100/100; Protomons assist Troops in battle, and deal extra DMG +560</t>
        </is>
      </c>
      <c r="E194" s="9" t="inlineStr">
        <is>
          <t>Rift</t>
        </is>
      </c>
      <c r="F194" s="32" t="n"/>
    </row>
    <row r="195">
      <c r="A195" s="27" t="n">
        <v>28</v>
      </c>
      <c r="B195" s="28" t="inlineStr">
        <is>
          <t>Since the New World</t>
        </is>
      </c>
      <c r="C195" s="5">
        <f>A195*8</f>
        <v/>
      </c>
      <c r="D195" s="25" t="inlineStr">
        <is>
          <t>Per 30 T7+ Minions in battle: Troop ATK +64; Per 5 ART Relics Awakened, Priest-Snail Assistence DMG +216; ART Relics Awakened: 100/100</t>
        </is>
      </c>
      <c r="E195" s="9" t="inlineStr">
        <is>
          <t>Rift</t>
        </is>
      </c>
      <c r="F195" s="26" t="n"/>
    </row>
    <row r="196">
      <c r="A196" s="3" t="n"/>
      <c r="B196" s="3" t="n"/>
      <c r="C196" s="3" t="n"/>
      <c r="D196" s="3" t="n"/>
      <c r="E196" s="3" t="n"/>
      <c r="F196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2026-04-25T21:15:33Z</dcterms:created>
  <dcterms:modified xmlns:dcterms="http://purl.org/dc/terms/" xmlns:xsi="http://www.w3.org/2001/XMLSchema-instance" xsi:type="dcterms:W3CDTF">2026-04-25T21:15:34Z</dcterms:modified>
</cp:coreProperties>
</file>