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2"/>
    </font>
    <font>
      <name val="Verdana"/>
      <color theme="1"/>
      <sz val="12"/>
      <scheme val="minor"/>
    </font>
    <font>
      <name val="Calibri"/>
      <color theme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2" borderId="3" applyAlignment="1" pivotButton="0" quotePrefix="0" xfId="0">
      <alignment horizontal="center" vertical="bottom"/>
    </xf>
    <xf numFmtId="0" fontId="2" fillId="2" borderId="4" applyAlignment="1" pivotButton="0" quotePrefix="0" xfId="0">
      <alignment horizontal="center" vertical="bottom"/>
    </xf>
    <xf numFmtId="0" fontId="0" fillId="0" borderId="15" pivotButton="0" quotePrefix="0" xfId="0"/>
    <xf numFmtId="0" fontId="2" fillId="2" borderId="6" applyAlignment="1" pivotButton="0" quotePrefix="0" xfId="0">
      <alignment horizontal="center" vertical="bottom"/>
    </xf>
    <xf numFmtId="0" fontId="0" fillId="0" borderId="14" pivotButton="0" quotePrefix="0" xfId="0"/>
    <xf numFmtId="0" fontId="2" fillId="2" borderId="2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0" fontId="2" fillId="0" borderId="2" applyAlignment="1" pivotButton="0" quotePrefix="0" xfId="0">
      <alignment horizontal="right" vertical="bottom"/>
    </xf>
    <xf numFmtId="0" fontId="2" fillId="0" borderId="7" applyAlignment="1" pivotButton="0" quotePrefix="0" xfId="0">
      <alignment horizontal="center" vertical="bottom"/>
    </xf>
    <xf numFmtId="0" fontId="2" fillId="0" borderId="8" applyAlignment="1" pivotButton="0" quotePrefix="0" xfId="0">
      <alignment horizontal="center" vertical="bottom"/>
    </xf>
    <xf numFmtId="0" fontId="2" fillId="0" borderId="9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2" fillId="0" borderId="11" applyAlignment="1" pivotButton="0" quotePrefix="0" xfId="0">
      <alignment horizontal="center" vertical="bottom"/>
    </xf>
    <xf numFmtId="0" fontId="2" fillId="0" borderId="12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0" borderId="13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selection activeCell="A1" sqref="A1"/>
    </sheetView>
  </sheetViews>
  <sheetFormatPr baseColWidth="8" defaultRowHeight="15"/>
  <cols>
    <col width="9.82" customWidth="1" min="1" max="1"/>
    <col width="3.73" customWidth="1" min="2" max="2"/>
    <col width="3.09" customWidth="1" min="3" max="3"/>
    <col width="4.55" customWidth="1" min="4" max="4"/>
    <col width="2.73" customWidth="1" min="5" max="5"/>
    <col width="4.36" customWidth="1" min="6" max="6"/>
    <col width="2.73" customWidth="1" min="7" max="7"/>
    <col width="4.45" customWidth="1" min="8" max="8"/>
    <col width="2.73" customWidth="1" min="9" max="9"/>
    <col width="3.82" customWidth="1" min="10" max="10"/>
    <col width="2.73" customWidth="1" min="11" max="11"/>
    <col width="4.45" customWidth="1" min="12" max="12"/>
    <col width="2.73" customWidth="1" min="13" max="13"/>
    <col width="4" customWidth="1" min="14" max="14"/>
    <col width="2.73" customWidth="1" min="15" max="15"/>
    <col width="4.36" customWidth="1" min="16" max="16"/>
    <col width="2.73" customWidth="1" min="17" max="17"/>
    <col width="3.55" customWidth="1" min="18" max="18"/>
    <col width="5.27" customWidth="1" min="19" max="19"/>
    <col width="4.18" customWidth="1" min="31" max="31"/>
    <col width="4.09" customWidth="1" min="32" max="32"/>
    <col width="2.36" customWidth="1" min="33" max="33"/>
    <col width="6.91" customWidth="1" min="34" max="34"/>
    <col width="2.36" customWidth="1" min="35" max="35"/>
    <col width="6" customWidth="1" min="36" max="36"/>
    <col width="2.36" customWidth="1" min="37" max="37"/>
    <col width="6.18" customWidth="1" min="38" max="38"/>
    <col width="2.36" customWidth="1" min="39" max="39"/>
    <col width="4.73" customWidth="1" min="40" max="40"/>
    <col width="2.36" customWidth="1" min="41" max="41"/>
    <col width="4.91" customWidth="1" min="42" max="42"/>
    <col width="2.36" customWidth="1" min="43" max="43"/>
    <col width="4.82" customWidth="1" min="44" max="44"/>
    <col width="2.36" customWidth="1" min="45" max="45"/>
    <col width="2.36" customWidth="1" min="47" max="47"/>
  </cols>
  <sheetData>
    <row r="1">
      <c r="A1" s="1" t="inlineStr">
        <is>
          <t>Drifter Stat Gains Per Level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</row>
    <row r="2">
      <c r="S2" s="3" t="n"/>
      <c r="T2" s="3" t="n"/>
      <c r="U2" s="3" t="n"/>
      <c r="V2" s="3" t="n"/>
      <c r="W2" s="3" t="n"/>
      <c r="X2" s="2" t="n"/>
      <c r="Y2" s="2" t="n"/>
      <c r="Z2" s="2" t="n"/>
      <c r="AA2" s="2" t="n"/>
      <c r="AB2" s="2" t="n"/>
      <c r="AC2" s="2" t="n"/>
      <c r="AD2" s="2" t="n"/>
      <c r="AE2" s="4" t="inlineStr">
        <is>
          <t>Level</t>
        </is>
      </c>
      <c r="AF2" s="4" t="inlineStr">
        <is>
          <t>Band</t>
        </is>
      </c>
      <c r="AG2" s="4" t="n"/>
      <c r="AH2" s="4" t="inlineStr">
        <is>
          <t>Seafaring</t>
        </is>
      </c>
      <c r="AI2" s="4" t="n"/>
      <c r="AJ2" s="4" t="inlineStr">
        <is>
          <t>Ninjutsu</t>
        </is>
      </c>
      <c r="AK2" s="4" t="n"/>
      <c r="AL2" s="4" t="inlineStr">
        <is>
          <t>Defense</t>
        </is>
      </c>
      <c r="AM2" s="4" t="n"/>
      <c r="AN2" s="4" t="inlineStr">
        <is>
          <t>Siege</t>
        </is>
      </c>
      <c r="AO2" s="4" t="n"/>
      <c r="AP2" s="4" t="inlineStr">
        <is>
          <t>Dance</t>
        </is>
      </c>
      <c r="AQ2" s="4" t="n"/>
      <c r="AR2" s="4" t="inlineStr">
        <is>
          <t>Riding</t>
        </is>
      </c>
      <c r="AS2" s="4" t="n"/>
      <c r="AT2" s="4" t="inlineStr">
        <is>
          <t>Dharma</t>
        </is>
      </c>
      <c r="AU2" s="4" t="n"/>
      <c r="AV2" s="3" t="n"/>
    </row>
    <row r="3">
      <c r="A3" s="5" t="inlineStr">
        <is>
          <t>Drifter</t>
        </is>
      </c>
      <c r="B3" s="6" t="inlineStr">
        <is>
          <t>Band</t>
        </is>
      </c>
      <c r="C3" s="7" t="n"/>
      <c r="D3" s="8" t="inlineStr">
        <is>
          <t>Seafaring</t>
        </is>
      </c>
      <c r="E3" s="9" t="n"/>
      <c r="F3" s="6" t="inlineStr">
        <is>
          <t>Ninjutsu</t>
        </is>
      </c>
      <c r="G3" s="7" t="n"/>
      <c r="H3" s="8" t="inlineStr">
        <is>
          <t>Defense</t>
        </is>
      </c>
      <c r="I3" s="9" t="n"/>
      <c r="J3" s="6" t="inlineStr">
        <is>
          <t>Siege</t>
        </is>
      </c>
      <c r="K3" s="7" t="n"/>
      <c r="L3" s="8" t="inlineStr">
        <is>
          <t>Dance</t>
        </is>
      </c>
      <c r="M3" s="9" t="n"/>
      <c r="N3" s="6" t="inlineStr">
        <is>
          <t>Riding</t>
        </is>
      </c>
      <c r="O3" s="7" t="n"/>
      <c r="P3" s="8" t="inlineStr">
        <is>
          <t>Dharma</t>
        </is>
      </c>
      <c r="Q3" s="9" t="n"/>
      <c r="R3" s="10" t="n"/>
      <c r="S3" s="11" t="inlineStr">
        <is>
          <t>Total</t>
        </is>
      </c>
      <c r="T3" s="10" t="inlineStr">
        <is>
          <t>S+ Total</t>
        </is>
      </c>
      <c r="U3" s="3" t="n"/>
      <c r="V3" s="3" t="n"/>
      <c r="W3" s="3" t="n"/>
      <c r="X3" s="3" t="n"/>
      <c r="Y3" s="2" t="n"/>
      <c r="Z3" s="2" t="n"/>
      <c r="AA3" s="2" t="n"/>
      <c r="AB3" s="2" t="n"/>
      <c r="AC3" s="2" t="n"/>
      <c r="AD3" s="2" t="n"/>
      <c r="AE3" s="2" t="n"/>
      <c r="AF3" s="12" t="n">
        <v>37</v>
      </c>
      <c r="AG3" s="12" t="n">
        <v>1480</v>
      </c>
      <c r="AH3" s="4" t="n"/>
      <c r="AI3" s="12" t="n">
        <v>3552</v>
      </c>
      <c r="AJ3" s="4" t="n"/>
      <c r="AK3" s="12" t="n">
        <v>11520</v>
      </c>
      <c r="AL3" s="12" t="n">
        <v>22</v>
      </c>
      <c r="AM3" s="12" t="n">
        <v>12496</v>
      </c>
      <c r="AN3" s="12" t="n">
        <v>40</v>
      </c>
      <c r="AO3" s="12" t="n">
        <v>2146</v>
      </c>
      <c r="AP3" s="4" t="n"/>
      <c r="AQ3" s="12" t="n">
        <v>1813</v>
      </c>
      <c r="AR3" s="4" t="n"/>
      <c r="AS3" s="12" t="n">
        <v>4440</v>
      </c>
      <c r="AT3" s="4" t="n"/>
      <c r="AU3" s="12" t="n">
        <v>3071</v>
      </c>
      <c r="AV3" s="4" t="n"/>
    </row>
    <row r="4">
      <c r="A4" s="13" t="inlineStr">
        <is>
          <t>Momochi</t>
        </is>
      </c>
      <c r="B4" s="13">
        <f>(AG3-AH3*120)/$AF3</f>
        <v/>
      </c>
      <c r="C4" s="14" t="inlineStr">
        <is>
          <t>C</t>
        </is>
      </c>
      <c r="D4" s="15">
        <f>(AI3-AJ3*120)/$AF3</f>
        <v/>
      </c>
      <c r="E4" s="15" t="inlineStr">
        <is>
          <t>B</t>
        </is>
      </c>
      <c r="F4" s="13">
        <f>(AK3-AL3*120)/$AF3</f>
        <v/>
      </c>
      <c r="G4" s="14" t="inlineStr">
        <is>
          <t>SSS</t>
        </is>
      </c>
      <c r="H4" s="15">
        <f>(AM3-AN3*120)/$AF3</f>
        <v/>
      </c>
      <c r="I4" s="15" t="inlineStr">
        <is>
          <t>SS</t>
        </is>
      </c>
      <c r="J4" s="13">
        <f>(AO3-AP3*120)/$AF3</f>
        <v/>
      </c>
      <c r="K4" s="14" t="inlineStr">
        <is>
          <t>C</t>
        </is>
      </c>
      <c r="L4" s="15">
        <f>(AQ3-AR3*120)/$AF3</f>
        <v/>
      </c>
      <c r="M4" s="15" t="inlineStr">
        <is>
          <t>C</t>
        </is>
      </c>
      <c r="N4" s="13">
        <f>(AS3-AT3*120)/$AF3</f>
        <v/>
      </c>
      <c r="O4" s="14" t="inlineStr">
        <is>
          <t>A</t>
        </is>
      </c>
      <c r="P4" s="15">
        <f>(AU3-AV3*120)/$AF3</f>
        <v/>
      </c>
      <c r="Q4" s="15" t="inlineStr">
        <is>
          <t>B</t>
        </is>
      </c>
      <c r="R4" s="16" t="n"/>
      <c r="S4" s="14">
        <f>B4+D4+F4+H4+J4+L4+N4+P4</f>
        <v/>
      </c>
      <c r="T4" s="17">
        <f>F4+H4</f>
        <v/>
      </c>
      <c r="U4" s="3" t="n"/>
      <c r="V4" s="3" t="n"/>
      <c r="W4" s="3" t="n"/>
      <c r="X4" s="3" t="n"/>
      <c r="Y4" s="2" t="n"/>
      <c r="Z4" s="2" t="n"/>
      <c r="AA4" s="2" t="n"/>
      <c r="AB4" s="2" t="n"/>
      <c r="AC4" s="2" t="n"/>
      <c r="AD4" s="2" t="n"/>
      <c r="AE4" s="2" t="n"/>
      <c r="AF4" s="12" t="n">
        <v>28</v>
      </c>
      <c r="AG4" s="12" t="n">
        <v>2352</v>
      </c>
      <c r="AH4" s="4" t="n"/>
      <c r="AI4" s="12" t="n">
        <v>3388</v>
      </c>
      <c r="AJ4" s="4" t="n"/>
      <c r="AK4" s="12" t="n">
        <v>9640</v>
      </c>
      <c r="AL4" s="12" t="n">
        <v>22</v>
      </c>
      <c r="AM4" s="12" t="n">
        <v>1232</v>
      </c>
      <c r="AN4" s="4" t="n"/>
      <c r="AO4" s="12" t="n">
        <v>1716</v>
      </c>
      <c r="AP4" s="12" t="n">
        <v>1</v>
      </c>
      <c r="AQ4" s="12" t="n">
        <v>6524</v>
      </c>
      <c r="AR4" s="12" t="n">
        <v>14</v>
      </c>
      <c r="AS4" s="12" t="n">
        <v>1652</v>
      </c>
      <c r="AT4" s="4" t="n"/>
      <c r="AU4" s="12" t="n">
        <v>2324</v>
      </c>
      <c r="AV4" s="4" t="n"/>
    </row>
    <row r="5">
      <c r="A5" s="18" t="inlineStr">
        <is>
          <t>Amakusa</t>
        </is>
      </c>
      <c r="B5" s="18">
        <f>(AG4-AH4*120)/$AF4</f>
        <v/>
      </c>
      <c r="C5" s="19" t="inlineStr">
        <is>
          <t>B</t>
        </is>
      </c>
      <c r="D5" s="20">
        <f>(AI4-AJ4*120)/$AF4</f>
        <v/>
      </c>
      <c r="E5" s="20" t="inlineStr">
        <is>
          <t>A</t>
        </is>
      </c>
      <c r="F5" s="18">
        <f>(AK4-AL4*120)/$AF4</f>
        <v/>
      </c>
      <c r="G5" s="19" t="inlineStr">
        <is>
          <t>SSS</t>
        </is>
      </c>
      <c r="H5" s="20">
        <f>(AM4-AN4*120)/$AF4</f>
        <v/>
      </c>
      <c r="I5" s="20" t="inlineStr">
        <is>
          <t>C</t>
        </is>
      </c>
      <c r="J5" s="18">
        <f>(AO4-AP4*120)/$AF4</f>
        <v/>
      </c>
      <c r="K5" s="19" t="inlineStr">
        <is>
          <t>C</t>
        </is>
      </c>
      <c r="L5" s="20">
        <f>(AQ4-AR4*120)/$AF4</f>
        <v/>
      </c>
      <c r="M5" s="20" t="inlineStr">
        <is>
          <t>S</t>
        </is>
      </c>
      <c r="N5" s="18">
        <f>(AS4-AT4*120)/$AF4</f>
        <v/>
      </c>
      <c r="O5" s="19" t="inlineStr">
        <is>
          <t>C</t>
        </is>
      </c>
      <c r="P5" s="20">
        <f>(AU4-AV4*120)/$AF4</f>
        <v/>
      </c>
      <c r="Q5" s="20" t="inlineStr">
        <is>
          <t>B</t>
        </is>
      </c>
      <c r="R5" s="16" t="n"/>
      <c r="S5" s="19">
        <f>B5+D5+F5+H5+J5+L5+N5+P5</f>
        <v/>
      </c>
      <c r="T5" s="17">
        <f>F5+L5</f>
        <v/>
      </c>
      <c r="U5" s="3" t="n"/>
      <c r="V5" s="3" t="n"/>
      <c r="W5" s="3" t="n"/>
      <c r="X5" s="3" t="n"/>
      <c r="Y5" s="2" t="n"/>
      <c r="Z5" s="2" t="n"/>
      <c r="AA5" s="2" t="n"/>
      <c r="AB5" s="2" t="n"/>
      <c r="AC5" s="2" t="n"/>
      <c r="AD5" s="2" t="n"/>
      <c r="AE5" s="2" t="n"/>
      <c r="AF5" s="12" t="n">
        <v>24</v>
      </c>
      <c r="AG5" s="12" t="n">
        <v>1176</v>
      </c>
      <c r="AH5" s="4" t="n"/>
      <c r="AI5" s="12" t="n">
        <v>1128</v>
      </c>
      <c r="AJ5" s="4" t="n"/>
      <c r="AK5" s="12" t="n">
        <v>2232</v>
      </c>
      <c r="AL5" s="12" t="n">
        <v>1</v>
      </c>
      <c r="AM5" s="12" t="n">
        <v>2952</v>
      </c>
      <c r="AN5" s="4" t="n"/>
      <c r="AO5" s="12" t="n">
        <v>2136</v>
      </c>
      <c r="AP5" s="4" t="n"/>
      <c r="AQ5" s="12" t="n">
        <v>8880</v>
      </c>
      <c r="AR5" s="12" t="n">
        <v>26</v>
      </c>
      <c r="AS5" s="12" t="n">
        <v>1344</v>
      </c>
      <c r="AT5" s="4" t="n"/>
      <c r="AU5" s="12" t="n">
        <v>4416</v>
      </c>
      <c r="AV5" s="12" t="n">
        <v>1</v>
      </c>
    </row>
    <row r="6">
      <c r="A6" s="13" t="inlineStr">
        <is>
          <t>Excalibra</t>
        </is>
      </c>
      <c r="B6" s="13">
        <f>(AG5-AH5*120)/$AF5</f>
        <v/>
      </c>
      <c r="C6" s="14" t="inlineStr">
        <is>
          <t>C</t>
        </is>
      </c>
      <c r="D6" s="15">
        <f>(AI5-AJ5*120)/$AF5</f>
        <v/>
      </c>
      <c r="E6" s="15" t="inlineStr">
        <is>
          <t>C</t>
        </is>
      </c>
      <c r="F6" s="13">
        <f>(AK5-AL5*120)/$AF5</f>
        <v/>
      </c>
      <c r="G6" s="14" t="inlineStr">
        <is>
          <t>B</t>
        </is>
      </c>
      <c r="H6" s="15">
        <f>(AM5-AN5*120)/$AF5</f>
        <v/>
      </c>
      <c r="I6" s="15" t="inlineStr">
        <is>
          <t>A</t>
        </is>
      </c>
      <c r="J6" s="13">
        <f>(AO5-AP5*120)/$AF5</f>
        <v/>
      </c>
      <c r="K6" s="14" t="inlineStr">
        <is>
          <t>B</t>
        </is>
      </c>
      <c r="L6" s="15">
        <f>(AQ5-AR5*120)/$AF5</f>
        <v/>
      </c>
      <c r="M6" s="15" t="inlineStr">
        <is>
          <t>SSS</t>
        </is>
      </c>
      <c r="N6" s="13">
        <f>(AS5-AT5*120)/$AF5</f>
        <v/>
      </c>
      <c r="O6" s="14" t="inlineStr">
        <is>
          <t>C</t>
        </is>
      </c>
      <c r="P6" s="15">
        <f>(AU5-AV5*120)/$AF5</f>
        <v/>
      </c>
      <c r="Q6" s="15" t="inlineStr">
        <is>
          <t>S</t>
        </is>
      </c>
      <c r="R6" s="16" t="n"/>
      <c r="S6" s="14">
        <f>B6+D6+F6+H6+J6+L6+N6+P6</f>
        <v/>
      </c>
      <c r="T6" s="17">
        <f>L6+P6</f>
        <v/>
      </c>
      <c r="U6" s="3" t="n"/>
      <c r="V6" s="3" t="n"/>
      <c r="W6" s="3" t="n"/>
      <c r="X6" s="3" t="n"/>
      <c r="Y6" s="2" t="n"/>
      <c r="Z6" s="2" t="n"/>
      <c r="AA6" s="2" t="n"/>
      <c r="AB6" s="2" t="n"/>
      <c r="AC6" s="2" t="n"/>
      <c r="AD6" s="2" t="n"/>
      <c r="AE6" s="2" t="n"/>
      <c r="AF6" s="12" t="n">
        <v>36</v>
      </c>
      <c r="AG6" s="12" t="n">
        <v>4968</v>
      </c>
      <c r="AH6" s="4" t="n"/>
      <c r="AI6" s="12" t="n">
        <v>684</v>
      </c>
      <c r="AJ6" s="4" t="n"/>
      <c r="AK6" s="12" t="n">
        <v>8640</v>
      </c>
      <c r="AL6" s="12" t="n">
        <v>12</v>
      </c>
      <c r="AM6" s="12" t="n">
        <v>3348</v>
      </c>
      <c r="AN6" s="4" t="n"/>
      <c r="AO6" s="12" t="n">
        <v>2664</v>
      </c>
      <c r="AP6" s="12" t="n">
        <v>9</v>
      </c>
      <c r="AQ6" s="12" t="n">
        <v>3600</v>
      </c>
      <c r="AR6" s="4" t="n"/>
      <c r="AS6" s="12" t="n">
        <v>10068</v>
      </c>
      <c r="AT6" s="12" t="n">
        <v>20</v>
      </c>
      <c r="AU6" s="12" t="n">
        <v>1836</v>
      </c>
      <c r="AV6" s="4" t="n"/>
    </row>
    <row r="7">
      <c r="A7" s="18" t="inlineStr">
        <is>
          <t>Night Kitty</t>
        </is>
      </c>
      <c r="B7" s="18">
        <f>(AG6-AH6*120)/$AF6</f>
        <v/>
      </c>
      <c r="C7" s="19" t="inlineStr">
        <is>
          <t>A</t>
        </is>
      </c>
      <c r="D7" s="20">
        <f>(AI6-AJ6*120)/$AF6</f>
        <v/>
      </c>
      <c r="E7" s="20" t="inlineStr">
        <is>
          <t>D</t>
        </is>
      </c>
      <c r="F7" s="18">
        <f>(AK6-AL6*120)/$AF6</f>
        <v/>
      </c>
      <c r="G7" s="19" t="inlineStr">
        <is>
          <t>SS</t>
        </is>
      </c>
      <c r="H7" s="20">
        <f>(AM6-AN6*120)/$AF6</f>
        <v/>
      </c>
      <c r="I7" s="20" t="inlineStr">
        <is>
          <t>B</t>
        </is>
      </c>
      <c r="J7" s="18">
        <f>(AO6-AP6*120)/$AF6</f>
        <v/>
      </c>
      <c r="K7" s="19" t="inlineStr">
        <is>
          <t>C</t>
        </is>
      </c>
      <c r="L7" s="20">
        <f>(AQ6-AR6*120)/$AF6</f>
        <v/>
      </c>
      <c r="M7" s="20" t="inlineStr">
        <is>
          <t>B</t>
        </is>
      </c>
      <c r="N7" s="18">
        <f>(AS6-AT6*120)/$AF6</f>
        <v/>
      </c>
      <c r="O7" s="19" t="inlineStr">
        <is>
          <t>SS</t>
        </is>
      </c>
      <c r="P7" s="20">
        <f>(AU6-AV6*120)/$AF6</f>
        <v/>
      </c>
      <c r="Q7" s="20" t="inlineStr">
        <is>
          <t>C</t>
        </is>
      </c>
      <c r="R7" s="16" t="n"/>
      <c r="S7" s="19">
        <f>B7+D7+F7+H7+J7+L7+N7+P7</f>
        <v/>
      </c>
      <c r="T7" s="17">
        <f>F7+N7</f>
        <v/>
      </c>
      <c r="U7" s="3" t="n"/>
      <c r="V7" s="3" t="n"/>
      <c r="W7" s="3" t="n"/>
      <c r="X7" s="3" t="n"/>
      <c r="Y7" s="2" t="n"/>
      <c r="Z7" s="2" t="n"/>
      <c r="AA7" s="2" t="n"/>
      <c r="AB7" s="2" t="n"/>
      <c r="AC7" s="2" t="n"/>
      <c r="AD7" s="2" t="n"/>
      <c r="AE7" s="2" t="n"/>
      <c r="AF7" s="12" t="n">
        <v>34</v>
      </c>
      <c r="AG7" s="12" t="n">
        <v>1768</v>
      </c>
      <c r="AH7" s="4" t="n"/>
      <c r="AI7" s="12" t="n">
        <v>7080</v>
      </c>
      <c r="AJ7" s="12" t="n">
        <v>8</v>
      </c>
      <c r="AK7" s="12" t="n">
        <v>3298</v>
      </c>
      <c r="AL7" s="4" t="n"/>
      <c r="AM7" s="12" t="n">
        <v>3162</v>
      </c>
      <c r="AN7" s="4" t="n"/>
      <c r="AO7" s="12" t="n">
        <v>1854</v>
      </c>
      <c r="AP7" s="12" t="n">
        <v>1</v>
      </c>
      <c r="AQ7" s="12" t="n">
        <v>1360</v>
      </c>
      <c r="AR7" s="4" t="n"/>
      <c r="AS7" s="12" t="n">
        <v>8992</v>
      </c>
      <c r="AT7" s="12" t="n">
        <v>16</v>
      </c>
      <c r="AU7" s="12" t="n">
        <v>4726</v>
      </c>
      <c r="AV7" s="4" t="n"/>
    </row>
    <row r="8">
      <c r="A8" s="13" t="inlineStr">
        <is>
          <t>Tridentman</t>
        </is>
      </c>
      <c r="B8" s="13">
        <f>(AG7-AH7*120)/$AF7</f>
        <v/>
      </c>
      <c r="C8" s="14" t="inlineStr">
        <is>
          <t>C</t>
        </is>
      </c>
      <c r="D8" s="15">
        <f>(AI7-AJ7*120)/$AF7</f>
        <v/>
      </c>
      <c r="E8" s="15" t="inlineStr">
        <is>
          <t>S</t>
        </is>
      </c>
      <c r="F8" s="13">
        <f>(AK7-AL7*120)/$AF7</f>
        <v/>
      </c>
      <c r="G8" s="14" t="inlineStr">
        <is>
          <t>B</t>
        </is>
      </c>
      <c r="H8" s="15">
        <f>(AM7-AN7*120)/$AF7</f>
        <v/>
      </c>
      <c r="I8" s="15" t="inlineStr">
        <is>
          <t>B</t>
        </is>
      </c>
      <c r="J8" s="13">
        <f>(AO7-AP7*120)/$AF7</f>
        <v/>
      </c>
      <c r="K8" s="14" t="inlineStr">
        <is>
          <t>C</t>
        </is>
      </c>
      <c r="L8" s="15">
        <f>(AQ7-AR7*120)/$AF7</f>
        <v/>
      </c>
      <c r="M8" s="15" t="inlineStr">
        <is>
          <t>C</t>
        </is>
      </c>
      <c r="N8" s="13">
        <f>(AS7-AT7*120)/$AF7</f>
        <v/>
      </c>
      <c r="O8" s="14" t="inlineStr">
        <is>
          <t>SS</t>
        </is>
      </c>
      <c r="P8" s="15">
        <f>(AU7-AV7*120)/$AF7</f>
        <v/>
      </c>
      <c r="Q8" s="15" t="inlineStr">
        <is>
          <t>A</t>
        </is>
      </c>
      <c r="R8" s="16" t="n"/>
      <c r="S8" s="14">
        <f>B8+D8+F8+H8+J8+L8+N8+P8</f>
        <v/>
      </c>
      <c r="T8" s="17">
        <f>D8+N8</f>
        <v/>
      </c>
      <c r="U8" s="3" t="n"/>
      <c r="V8" s="3" t="n"/>
      <c r="W8" s="3" t="n"/>
      <c r="X8" s="3" t="n"/>
      <c r="Y8" s="2" t="n"/>
      <c r="Z8" s="2" t="n"/>
      <c r="AA8" s="2" t="n"/>
      <c r="AB8" s="2" t="n"/>
      <c r="AC8" s="2" t="n"/>
      <c r="AD8" s="2" t="n"/>
      <c r="AE8" s="2" t="n"/>
      <c r="AF8" s="12" t="n">
        <v>24</v>
      </c>
      <c r="AG8" s="12" t="n">
        <v>1416</v>
      </c>
      <c r="AH8" s="4" t="n"/>
      <c r="AI8" s="12" t="n">
        <v>1008</v>
      </c>
      <c r="AJ8" s="4" t="n"/>
      <c r="AK8" s="12" t="n">
        <v>1320</v>
      </c>
      <c r="AL8" s="4" t="n"/>
      <c r="AM8" s="12" t="n">
        <v>2016</v>
      </c>
      <c r="AN8" s="4" t="n"/>
      <c r="AO8" s="12" t="n">
        <v>10560</v>
      </c>
      <c r="AP8" s="12" t="n">
        <v>40</v>
      </c>
      <c r="AQ8" s="12" t="n">
        <v>2112</v>
      </c>
      <c r="AR8" s="4" t="n"/>
      <c r="AS8" s="12" t="n">
        <v>2904</v>
      </c>
      <c r="AT8" s="4" t="n"/>
      <c r="AU8" s="12" t="n">
        <v>4488</v>
      </c>
      <c r="AV8" s="12" t="n">
        <v>2</v>
      </c>
    </row>
    <row r="9">
      <c r="A9" s="18" t="inlineStr">
        <is>
          <t>Mad Abe</t>
        </is>
      </c>
      <c r="B9" s="18">
        <f>(AG8-AH8*120)/$AF8</f>
        <v/>
      </c>
      <c r="C9" s="19" t="inlineStr">
        <is>
          <t>C</t>
        </is>
      </c>
      <c r="D9" s="20">
        <f>(AI8-AJ8*120)/$AF8</f>
        <v/>
      </c>
      <c r="E9" s="20" t="inlineStr">
        <is>
          <t>C</t>
        </is>
      </c>
      <c r="F9" s="18">
        <f>(AK8-AL8*120)/$AF8</f>
        <v/>
      </c>
      <c r="G9" s="19" t="inlineStr">
        <is>
          <t>C</t>
        </is>
      </c>
      <c r="H9" s="20">
        <f>(AM8-AN8*120)/$AF8</f>
        <v/>
      </c>
      <c r="I9" s="20" t="inlineStr">
        <is>
          <t>B</t>
        </is>
      </c>
      <c r="J9" s="18">
        <f>(AO8-AP8*120)/$AF8</f>
        <v/>
      </c>
      <c r="K9" s="19" t="inlineStr">
        <is>
          <t>SSS</t>
        </is>
      </c>
      <c r="L9" s="20">
        <f>(AQ8-AR8*120)/$AF8</f>
        <v/>
      </c>
      <c r="M9" s="20" t="inlineStr">
        <is>
          <t>B</t>
        </is>
      </c>
      <c r="N9" s="18">
        <f>(AS8-AT8*120)/$AF8</f>
        <v/>
      </c>
      <c r="O9" s="19" t="inlineStr">
        <is>
          <t>A</t>
        </is>
      </c>
      <c r="P9" s="20">
        <f>(AU8-AV8*120)/$AF8</f>
        <v/>
      </c>
      <c r="Q9" s="20" t="inlineStr">
        <is>
          <t>S</t>
        </is>
      </c>
      <c r="R9" s="16" t="n"/>
      <c r="S9" s="19">
        <f>B9+D9+F9+H9+J9+L9+N9+P9</f>
        <v/>
      </c>
      <c r="T9" s="17">
        <f>J9+P9</f>
        <v/>
      </c>
      <c r="U9" s="3" t="n"/>
      <c r="V9" s="3" t="n"/>
      <c r="W9" s="3" t="n"/>
      <c r="X9" s="3" t="n"/>
      <c r="Y9" s="2" t="n"/>
      <c r="Z9" s="2" t="n"/>
      <c r="AA9" s="2" t="n"/>
      <c r="AB9" s="2" t="n"/>
      <c r="AC9" s="2" t="n"/>
      <c r="AD9" s="2" t="n"/>
      <c r="AE9" s="2" t="n"/>
      <c r="AF9" s="12" t="n">
        <v>23</v>
      </c>
      <c r="AG9" s="12" t="n">
        <v>9950</v>
      </c>
      <c r="AH9" s="12" t="n">
        <v>35</v>
      </c>
      <c r="AI9" s="12" t="n">
        <v>1242</v>
      </c>
      <c r="AJ9" s="4" t="n"/>
      <c r="AK9" s="12" t="n">
        <v>1265</v>
      </c>
      <c r="AL9" s="4" t="n"/>
      <c r="AM9" s="12" t="n">
        <v>1104</v>
      </c>
      <c r="AN9" s="4" t="n"/>
      <c r="AO9" s="12" t="n">
        <v>3498</v>
      </c>
      <c r="AP9" s="12" t="n">
        <v>5</v>
      </c>
      <c r="AQ9" s="12" t="n">
        <v>3915</v>
      </c>
      <c r="AR9" s="12" t="n">
        <v>1</v>
      </c>
      <c r="AS9" s="12" t="n">
        <v>2024</v>
      </c>
      <c r="AT9" s="4" t="n"/>
      <c r="AU9" s="12" t="n">
        <v>2024</v>
      </c>
      <c r="AV9" s="4" t="n"/>
    </row>
    <row r="10">
      <c r="A10" s="13" t="inlineStr">
        <is>
          <t>Dracula</t>
        </is>
      </c>
      <c r="B10" s="13">
        <f>(AG9-AH9*120)/$AF9</f>
        <v/>
      </c>
      <c r="C10" s="14" t="inlineStr">
        <is>
          <t>SSS</t>
        </is>
      </c>
      <c r="D10" s="15">
        <f>(AI9-AJ9*120)/$AF9</f>
        <v/>
      </c>
      <c r="E10" s="15" t="inlineStr">
        <is>
          <t>C</t>
        </is>
      </c>
      <c r="F10" s="13">
        <f>(AK9-AL9*120)/$AF9</f>
        <v/>
      </c>
      <c r="G10" s="14" t="inlineStr">
        <is>
          <t>C</t>
        </is>
      </c>
      <c r="H10" s="15">
        <f>(AM9-AN9*120)/$AF9</f>
        <v/>
      </c>
      <c r="I10" s="15" t="inlineStr">
        <is>
          <t>C</t>
        </is>
      </c>
      <c r="J10" s="13">
        <f>(AO9-AP9*120)/$AF9</f>
        <v/>
      </c>
      <c r="K10" s="14" t="inlineStr">
        <is>
          <t>A</t>
        </is>
      </c>
      <c r="L10" s="15">
        <f>(AQ9-AR9*120)/$AF9</f>
        <v/>
      </c>
      <c r="M10" s="15" t="inlineStr">
        <is>
          <t>S</t>
        </is>
      </c>
      <c r="N10" s="13">
        <f>(AS9-AT9*120)/$AF9</f>
        <v/>
      </c>
      <c r="O10" s="14" t="inlineStr">
        <is>
          <t>B</t>
        </is>
      </c>
      <c r="P10" s="15">
        <f>(AU9-AV9*120)/$AF9</f>
        <v/>
      </c>
      <c r="Q10" s="15" t="inlineStr">
        <is>
          <t>B</t>
        </is>
      </c>
      <c r="R10" s="16" t="n"/>
      <c r="S10" s="14">
        <f>B10+D10+F10+H10+J10+L10+N10+P10</f>
        <v/>
      </c>
      <c r="T10" s="17">
        <f>B10+L10</f>
        <v/>
      </c>
      <c r="U10" s="3" t="n"/>
      <c r="V10" s="3" t="n"/>
      <c r="W10" s="3" t="n"/>
      <c r="X10" s="3" t="n"/>
      <c r="Y10" s="2" t="n"/>
      <c r="Z10" s="2" t="n"/>
      <c r="AA10" s="2" t="n"/>
      <c r="AB10" s="2" t="n"/>
      <c r="AC10" s="2" t="n"/>
      <c r="AD10" s="2" t="n"/>
      <c r="AE10" s="2" t="n"/>
      <c r="AF10" s="12" t="n">
        <v>19</v>
      </c>
      <c r="AG10" s="12" t="n">
        <v>6944</v>
      </c>
      <c r="AH10" s="12" t="n">
        <v>30</v>
      </c>
      <c r="AI10" s="12" t="n">
        <v>760</v>
      </c>
      <c r="AJ10" s="4" t="n"/>
      <c r="AK10" s="12" t="n">
        <v>798</v>
      </c>
      <c r="AL10" s="4" t="n"/>
      <c r="AM10" s="12" t="n">
        <v>1900</v>
      </c>
      <c r="AN10" s="4" t="n"/>
      <c r="AO10" s="12" t="n">
        <v>1140</v>
      </c>
      <c r="AP10" s="4" t="n"/>
      <c r="AQ10" s="12" t="n">
        <v>8350</v>
      </c>
      <c r="AR10" s="12" t="n">
        <v>30</v>
      </c>
      <c r="AS10" s="12" t="n">
        <v>1653</v>
      </c>
      <c r="AT10" s="4" t="n"/>
      <c r="AU10" s="12" t="n">
        <v>2622</v>
      </c>
      <c r="AV10" s="4" t="n"/>
    </row>
    <row r="11">
      <c r="A11" s="18" t="inlineStr">
        <is>
          <t>Athena</t>
        </is>
      </c>
      <c r="B11" s="18">
        <f>(AG10-AH10*120)/$AF10</f>
        <v/>
      </c>
      <c r="C11" s="19" t="inlineStr">
        <is>
          <t>S</t>
        </is>
      </c>
      <c r="D11" s="20">
        <f>(AI10-AJ10*120)/$AF10</f>
        <v/>
      </c>
      <c r="E11" s="20" t="inlineStr">
        <is>
          <t>C</t>
        </is>
      </c>
      <c r="F11" s="18">
        <f>(AK10-AL10*120)/$AF10</f>
        <v/>
      </c>
      <c r="G11" s="19" t="inlineStr">
        <is>
          <t>C</t>
        </is>
      </c>
      <c r="H11" s="20">
        <f>(AM10-AN10*120)/$AF10</f>
        <v/>
      </c>
      <c r="I11" s="20" t="inlineStr">
        <is>
          <t>B</t>
        </is>
      </c>
      <c r="J11" s="18">
        <f>(AO10-AP10*120)/$AF10</f>
        <v/>
      </c>
      <c r="K11" s="19" t="inlineStr">
        <is>
          <t>C</t>
        </is>
      </c>
      <c r="L11" s="20">
        <f>(AQ10-AR10*120)/$AF10</f>
        <v/>
      </c>
      <c r="M11" s="20" t="inlineStr">
        <is>
          <t>SSS</t>
        </is>
      </c>
      <c r="N11" s="18">
        <f>(AS10-AT10*120)/$AF10</f>
        <v/>
      </c>
      <c r="O11" s="19" t="inlineStr">
        <is>
          <t>B</t>
        </is>
      </c>
      <c r="P11" s="20">
        <f>(AU10-AV10*120)/$AF10</f>
        <v/>
      </c>
      <c r="Q11" s="20" t="inlineStr">
        <is>
          <t>A</t>
        </is>
      </c>
      <c r="R11" s="16" t="n"/>
      <c r="S11" s="19">
        <f>B11+D11+F11+H11+J11+L11+N11+P11</f>
        <v/>
      </c>
      <c r="T11" s="17">
        <f>B11+L11</f>
        <v/>
      </c>
      <c r="U11" s="3" t="n"/>
      <c r="V11" s="3" t="n"/>
      <c r="W11" s="3" t="n"/>
      <c r="X11" s="3" t="n"/>
      <c r="Y11" s="2" t="n"/>
      <c r="Z11" s="2" t="n"/>
      <c r="AA11" s="2" t="n"/>
      <c r="AB11" s="2" t="n"/>
      <c r="AC11" s="2" t="n"/>
      <c r="AD11" s="2" t="n"/>
      <c r="AE11" s="2" t="n"/>
      <c r="AF11" s="12" t="n">
        <v>30</v>
      </c>
      <c r="AG11" s="12" t="n">
        <v>1800</v>
      </c>
      <c r="AH11" s="4" t="n"/>
      <c r="AI11" s="12" t="n">
        <v>4200</v>
      </c>
      <c r="AJ11" s="4" t="n"/>
      <c r="AK11" s="12" t="n">
        <v>3000</v>
      </c>
      <c r="AL11" s="4" t="n"/>
      <c r="AM11" s="12" t="n">
        <v>11940</v>
      </c>
      <c r="AN11" s="12" t="n">
        <v>37</v>
      </c>
      <c r="AO11" s="12" t="n">
        <v>7560</v>
      </c>
      <c r="AP11" s="12" t="n">
        <v>18</v>
      </c>
      <c r="AQ11" s="12" t="n">
        <v>2940</v>
      </c>
      <c r="AR11" s="4" t="n"/>
      <c r="AS11" s="12" t="n">
        <v>210</v>
      </c>
      <c r="AT11" s="4" t="n"/>
      <c r="AU11" s="12" t="n">
        <v>1410</v>
      </c>
      <c r="AV11" s="4" t="n"/>
    </row>
    <row r="12">
      <c r="A12" s="13" t="inlineStr">
        <is>
          <t>Past Pyramid</t>
        </is>
      </c>
      <c r="B12" s="13">
        <f>(AG11-AH11*120)/$AF11</f>
        <v/>
      </c>
      <c r="C12" s="14" t="inlineStr">
        <is>
          <t>C</t>
        </is>
      </c>
      <c r="D12" s="15">
        <f>(AI11-AJ11*120)/$AF11</f>
        <v/>
      </c>
      <c r="E12" s="15" t="inlineStr">
        <is>
          <t>A</t>
        </is>
      </c>
      <c r="F12" s="13">
        <f>(AK11-AL11*120)/$AF11</f>
        <v/>
      </c>
      <c r="G12" s="14" t="inlineStr">
        <is>
          <t>B</t>
        </is>
      </c>
      <c r="H12" s="15">
        <f>(AM11-AN11*120)/$AF11</f>
        <v/>
      </c>
      <c r="I12" s="15" t="inlineStr">
        <is>
          <t>SSS</t>
        </is>
      </c>
      <c r="J12" s="13">
        <f>(AO11-AP11*120)/$AF11</f>
        <v/>
      </c>
      <c r="K12" s="14" t="inlineStr">
        <is>
          <t>S</t>
        </is>
      </c>
      <c r="L12" s="15">
        <f>(AQ11-AR11*120)/$AF11</f>
        <v/>
      </c>
      <c r="M12" s="15" t="inlineStr">
        <is>
          <t>B</t>
        </is>
      </c>
      <c r="N12" s="13">
        <f>(AS11-AT11*120)/$AF11</f>
        <v/>
      </c>
      <c r="O12" s="14" t="inlineStr">
        <is>
          <t>D</t>
        </is>
      </c>
      <c r="P12" s="15">
        <f>(AU11-AV11*120)/$AF11</f>
        <v/>
      </c>
      <c r="Q12" s="15" t="inlineStr">
        <is>
          <t>C</t>
        </is>
      </c>
      <c r="R12" s="16" t="n"/>
      <c r="S12" s="14">
        <f>B12+D12+F12+H12+J12+L12+N12+P12</f>
        <v/>
      </c>
      <c r="T12" s="17">
        <f>H12+J12</f>
        <v/>
      </c>
      <c r="U12" s="3" t="n"/>
      <c r="V12" s="3" t="n"/>
      <c r="W12" s="3" t="n"/>
      <c r="X12" s="3" t="n"/>
      <c r="Y12" s="2" t="n"/>
      <c r="Z12" s="2" t="n"/>
      <c r="AA12" s="2" t="n"/>
      <c r="AB12" s="2" t="n"/>
      <c r="AC12" s="2" t="n"/>
      <c r="AD12" s="2" t="n"/>
      <c r="AE12" s="2" t="n"/>
      <c r="AF12" s="12" t="n">
        <v>30</v>
      </c>
      <c r="AG12" s="12" t="n">
        <v>1740</v>
      </c>
      <c r="AH12" s="4" t="n"/>
      <c r="AI12" s="12" t="n">
        <v>3000</v>
      </c>
      <c r="AJ12" s="4" t="n"/>
      <c r="AK12" s="12" t="n">
        <v>1800</v>
      </c>
      <c r="AL12" s="4" t="n"/>
      <c r="AM12" s="12" t="n">
        <v>5640</v>
      </c>
      <c r="AN12" s="12" t="n">
        <v>2</v>
      </c>
      <c r="AO12" s="12" t="n">
        <v>11100</v>
      </c>
      <c r="AP12" s="12" t="n">
        <v>30</v>
      </c>
      <c r="AQ12" s="12" t="n">
        <v>4200</v>
      </c>
      <c r="AR12" s="4" t="n"/>
      <c r="AS12" s="12" t="n">
        <v>150</v>
      </c>
      <c r="AT12" s="4" t="n"/>
      <c r="AU12" s="12" t="n">
        <v>1800</v>
      </c>
      <c r="AV12" s="4" t="n"/>
    </row>
    <row r="13">
      <c r="A13" s="18" t="inlineStr">
        <is>
          <t>Future Pyramid</t>
        </is>
      </c>
      <c r="B13" s="18">
        <f>(AG12-AH12*120)/$AF12</f>
        <v/>
      </c>
      <c r="C13" s="19" t="inlineStr">
        <is>
          <t>C</t>
        </is>
      </c>
      <c r="D13" s="20">
        <f>(AI12-AJ12*120)/$AF12</f>
        <v/>
      </c>
      <c r="E13" s="20" t="inlineStr">
        <is>
          <t>B</t>
        </is>
      </c>
      <c r="F13" s="18">
        <f>(AK12-AL12*120)/$AF12</f>
        <v/>
      </c>
      <c r="G13" s="19" t="inlineStr">
        <is>
          <t>C</t>
        </is>
      </c>
      <c r="H13" s="20">
        <f>(AM12-AN12*120)/$AF12</f>
        <v/>
      </c>
      <c r="I13" s="20" t="inlineStr">
        <is>
          <t>S</t>
        </is>
      </c>
      <c r="J13" s="18">
        <f>(AO12-AP12*120)/$AF12</f>
        <v/>
      </c>
      <c r="K13" s="19" t="inlineStr">
        <is>
          <t>SSS</t>
        </is>
      </c>
      <c r="L13" s="20">
        <f>(AQ12-AR12*120)/$AF12</f>
        <v/>
      </c>
      <c r="M13" s="20" t="inlineStr">
        <is>
          <t>A</t>
        </is>
      </c>
      <c r="N13" s="18">
        <f>(AS12-AT12*120)/$AF12</f>
        <v/>
      </c>
      <c r="O13" s="19" t="inlineStr">
        <is>
          <t>D</t>
        </is>
      </c>
      <c r="P13" s="20">
        <f>(AU12-AV12*120)/$AF12</f>
        <v/>
      </c>
      <c r="Q13" s="20" t="inlineStr">
        <is>
          <t>C</t>
        </is>
      </c>
      <c r="R13" s="16" t="n"/>
      <c r="S13" s="19">
        <f>B13+D13+F13+H13+J13+L13+N13+P13</f>
        <v/>
      </c>
      <c r="T13" s="17">
        <f>H13+J13</f>
        <v/>
      </c>
      <c r="U13" s="3" t="n"/>
      <c r="V13" s="3" t="n"/>
      <c r="W13" s="3" t="n"/>
      <c r="X13" s="3" t="n"/>
      <c r="Y13" s="2" t="n"/>
      <c r="Z13" s="2" t="n"/>
      <c r="AA13" s="2" t="n"/>
      <c r="AB13" s="2" t="n"/>
      <c r="AC13" s="2" t="n"/>
      <c r="AD13" s="2" t="n"/>
      <c r="AE13" s="2" t="n"/>
      <c r="AF13" s="12" t="n">
        <v>32</v>
      </c>
      <c r="AG13" s="12" t="n">
        <v>4448</v>
      </c>
      <c r="AH13" s="4" t="n"/>
      <c r="AI13" s="12" t="n">
        <v>2848</v>
      </c>
      <c r="AJ13" s="4" t="n"/>
      <c r="AK13" s="12" t="n">
        <v>3072</v>
      </c>
      <c r="AL13" s="4" t="n"/>
      <c r="AM13" s="12" t="n">
        <v>1696</v>
      </c>
      <c r="AN13" s="4" t="n"/>
      <c r="AO13" s="12" t="n">
        <v>2000</v>
      </c>
      <c r="AP13" s="12" t="n">
        <v>6</v>
      </c>
      <c r="AQ13" s="12" t="n">
        <v>1600</v>
      </c>
      <c r="AR13" s="4" t="n"/>
      <c r="AS13" s="12" t="n">
        <v>5656</v>
      </c>
      <c r="AT13" s="12" t="n">
        <v>1</v>
      </c>
      <c r="AU13" s="12" t="n">
        <v>11720</v>
      </c>
      <c r="AV13" s="12" t="n">
        <v>31</v>
      </c>
    </row>
    <row r="14">
      <c r="A14" s="13" t="inlineStr">
        <is>
          <t>Sanzang</t>
        </is>
      </c>
      <c r="B14" s="13">
        <f>(AG13-AH13*120)/$AF13</f>
        <v/>
      </c>
      <c r="C14" s="14" t="inlineStr">
        <is>
          <t>A</t>
        </is>
      </c>
      <c r="D14" s="15">
        <f>(AI13-AJ13*120)/$AF13</f>
        <v/>
      </c>
      <c r="E14" s="15" t="inlineStr">
        <is>
          <t>B</t>
        </is>
      </c>
      <c r="F14" s="13">
        <f>(AK13-AL13*120)/$AF13</f>
        <v/>
      </c>
      <c r="G14" s="14" t="inlineStr">
        <is>
          <t>B</t>
        </is>
      </c>
      <c r="H14" s="15">
        <f>(AM13-AN13*120)/$AF13</f>
        <v/>
      </c>
      <c r="I14" s="15" t="inlineStr">
        <is>
          <t>C</t>
        </is>
      </c>
      <c r="J14" s="13">
        <f>(AO13-AP13*120)/$AF13</f>
        <v/>
      </c>
      <c r="K14" s="14" t="inlineStr">
        <is>
          <t>C</t>
        </is>
      </c>
      <c r="L14" s="15">
        <f>(AQ13-AR13*120)/$AF13</f>
        <v/>
      </c>
      <c r="M14" s="15" t="inlineStr">
        <is>
          <t>C</t>
        </is>
      </c>
      <c r="N14" s="13">
        <f>(AS13-AT13*120)/$AF13</f>
        <v/>
      </c>
      <c r="O14" s="14" t="inlineStr">
        <is>
          <t>S</t>
        </is>
      </c>
      <c r="P14" s="15">
        <f>(AU13-AV13*120)/$AF13</f>
        <v/>
      </c>
      <c r="Q14" s="15" t="inlineStr">
        <is>
          <t>SSS</t>
        </is>
      </c>
      <c r="R14" s="16" t="n"/>
      <c r="S14" s="14">
        <f>B14+D14+F14+H14+J14+L14+N14+P14</f>
        <v/>
      </c>
      <c r="T14" s="17">
        <f>N14+P14</f>
        <v/>
      </c>
      <c r="U14" s="3" t="n"/>
      <c r="V14" s="3" t="n"/>
      <c r="W14" s="3" t="n"/>
      <c r="X14" s="3" t="n"/>
      <c r="Y14" s="2" t="n"/>
      <c r="Z14" s="2" t="n"/>
      <c r="AA14" s="2" t="n"/>
      <c r="AB14" s="2" t="n"/>
      <c r="AC14" s="2" t="n"/>
      <c r="AD14" s="2" t="n"/>
      <c r="AE14" s="2" t="n"/>
      <c r="AF14" s="12" t="n">
        <v>33</v>
      </c>
      <c r="AG14" s="12" t="n">
        <v>1881</v>
      </c>
      <c r="AH14" s="4" t="n"/>
      <c r="AI14" s="12" t="n">
        <v>9330</v>
      </c>
      <c r="AJ14" s="12" t="n">
        <v>20</v>
      </c>
      <c r="AK14" s="12" t="n">
        <v>2871</v>
      </c>
      <c r="AL14" s="4" t="n"/>
      <c r="AM14" s="12" t="n">
        <v>3102</v>
      </c>
      <c r="AN14" s="4" t="n"/>
      <c r="AO14" s="12" t="n">
        <v>1452</v>
      </c>
      <c r="AP14" s="4" t="n"/>
      <c r="AQ14" s="12" t="n">
        <v>4224</v>
      </c>
      <c r="AR14" s="4" t="n"/>
      <c r="AS14" s="12" t="n">
        <v>1551</v>
      </c>
      <c r="AT14" s="4" t="n"/>
      <c r="AU14" s="12" t="n">
        <v>9384</v>
      </c>
      <c r="AV14" s="12" t="n">
        <v>21</v>
      </c>
    </row>
    <row r="15">
      <c r="A15" s="18" t="inlineStr">
        <is>
          <t>Dragon Horse</t>
        </is>
      </c>
      <c r="B15" s="18">
        <f>(AG14-AH14*120)/$AF14</f>
        <v/>
      </c>
      <c r="C15" s="19" t="inlineStr">
        <is>
          <t>C</t>
        </is>
      </c>
      <c r="D15" s="20">
        <f>(AI14-AJ14*120)/$AF14</f>
        <v/>
      </c>
      <c r="E15" s="20" t="inlineStr">
        <is>
          <t>SS</t>
        </is>
      </c>
      <c r="F15" s="18">
        <f>(AK14-AL14*120)/$AF14</f>
        <v/>
      </c>
      <c r="G15" s="19" t="inlineStr">
        <is>
          <t>B</t>
        </is>
      </c>
      <c r="H15" s="20">
        <f>(AM14-AN14*120)/$AF14</f>
        <v/>
      </c>
      <c r="I15" s="20" t="inlineStr">
        <is>
          <t>B</t>
        </is>
      </c>
      <c r="J15" s="18">
        <f>(AO14-AP14*120)/$AF14</f>
        <v/>
      </c>
      <c r="K15" s="19" t="inlineStr">
        <is>
          <t>C</t>
        </is>
      </c>
      <c r="L15" s="20">
        <f>(AQ14-AR14*120)/$AF14</f>
        <v/>
      </c>
      <c r="M15" s="20" t="inlineStr">
        <is>
          <t>A</t>
        </is>
      </c>
      <c r="N15" s="18">
        <f>(AS14-AT14*120)/$AF14</f>
        <v/>
      </c>
      <c r="O15" s="19" t="inlineStr">
        <is>
          <t>C</t>
        </is>
      </c>
      <c r="P15" s="20">
        <f>(AU14-AV14*120)/$AF14</f>
        <v/>
      </c>
      <c r="Q15" s="20" t="inlineStr">
        <is>
          <t>SS</t>
        </is>
      </c>
      <c r="R15" s="16" t="n"/>
      <c r="S15" s="19">
        <f>B15+D15+F15+H15+J15+L15+N15+P15</f>
        <v/>
      </c>
      <c r="T15" s="17">
        <f>D15+P15</f>
        <v/>
      </c>
      <c r="U15" s="3" t="n"/>
      <c r="V15" s="3" t="n"/>
      <c r="W15" s="3" t="n"/>
      <c r="X15" s="3" t="n"/>
      <c r="Y15" s="2" t="n"/>
      <c r="Z15" s="2" t="n"/>
      <c r="AA15" s="2" t="n"/>
      <c r="AB15" s="2" t="n"/>
      <c r="AC15" s="2" t="n"/>
      <c r="AD15" s="2" t="n"/>
      <c r="AE15" s="2" t="n"/>
      <c r="AF15" s="12" t="n">
        <v>30</v>
      </c>
      <c r="AG15" s="12" t="n">
        <v>2490</v>
      </c>
      <c r="AH15" s="4" t="n"/>
      <c r="AI15" s="12" t="n">
        <v>1200</v>
      </c>
      <c r="AJ15" s="4" t="n"/>
      <c r="AK15" s="12" t="n">
        <v>1290</v>
      </c>
      <c r="AL15" s="4" t="n"/>
      <c r="AM15" s="12" t="n">
        <v>5220</v>
      </c>
      <c r="AN15" s="12" t="n">
        <v>3</v>
      </c>
      <c r="AO15" s="12" t="n">
        <v>7350</v>
      </c>
      <c r="AP15" s="12" t="n">
        <v>20</v>
      </c>
      <c r="AQ15" s="12" t="n">
        <v>2520</v>
      </c>
      <c r="AR15" s="4" t="n"/>
      <c r="AS15" s="12" t="n">
        <v>13500</v>
      </c>
      <c r="AT15" s="12" t="n">
        <v>50</v>
      </c>
      <c r="AU15" s="12" t="n">
        <v>3630</v>
      </c>
      <c r="AV15" s="4" t="n"/>
    </row>
    <row r="16">
      <c r="A16" s="13" t="inlineStr">
        <is>
          <t>Guan Yu</t>
        </is>
      </c>
      <c r="B16" s="13">
        <f>(AG15-AH15*120)/$AF15</f>
        <v/>
      </c>
      <c r="C16" s="14" t="inlineStr">
        <is>
          <t>B</t>
        </is>
      </c>
      <c r="D16" s="15">
        <f>(AI15-AJ15*120)/$AF15</f>
        <v/>
      </c>
      <c r="E16" s="15" t="inlineStr">
        <is>
          <t>C</t>
        </is>
      </c>
      <c r="F16" s="13">
        <f>(AK15-AL15*120)/$AF15</f>
        <v/>
      </c>
      <c r="G16" s="14" t="inlineStr">
        <is>
          <t>C</t>
        </is>
      </c>
      <c r="H16" s="15">
        <f>(AM15-AN15*120)/$AF15</f>
        <v/>
      </c>
      <c r="I16" s="15" t="inlineStr">
        <is>
          <t>S</t>
        </is>
      </c>
      <c r="J16" s="13">
        <f>(AO15-AP15*120)/$AF15</f>
        <v/>
      </c>
      <c r="K16" s="14" t="inlineStr">
        <is>
          <t>S</t>
        </is>
      </c>
      <c r="L16" s="15">
        <f>(AQ15-AR15*120)/$AF15</f>
        <v/>
      </c>
      <c r="M16" s="15" t="inlineStr">
        <is>
          <t>B</t>
        </is>
      </c>
      <c r="N16" s="13">
        <f>(AS15-AT15*120)/$AF15</f>
        <v/>
      </c>
      <c r="O16" s="14" t="inlineStr">
        <is>
          <t>SSS</t>
        </is>
      </c>
      <c r="P16" s="15">
        <f>(AU15-AV15*120)/$AF15</f>
        <v/>
      </c>
      <c r="Q16" s="15" t="inlineStr">
        <is>
          <t>A</t>
        </is>
      </c>
      <c r="R16" s="16" t="n"/>
      <c r="S16" s="14">
        <f>B16+D16+F16+H16+J16+L16+N16+P16</f>
        <v/>
      </c>
      <c r="T16" s="17">
        <f>H16+J16+N16</f>
        <v/>
      </c>
      <c r="U16" s="3" t="n"/>
      <c r="V16" s="3" t="n"/>
      <c r="W16" s="3" t="n"/>
      <c r="X16" s="3" t="n"/>
      <c r="Y16" s="2" t="n"/>
      <c r="Z16" s="2" t="n"/>
      <c r="AA16" s="2" t="n"/>
      <c r="AB16" s="2" t="n"/>
      <c r="AC16" s="2" t="n"/>
      <c r="AD16" s="2" t="n"/>
      <c r="AE16" s="2" t="n"/>
      <c r="AF16" s="12" t="n">
        <v>34</v>
      </c>
      <c r="AG16" s="12" t="n">
        <v>3400</v>
      </c>
      <c r="AH16" s="4" t="n"/>
      <c r="AI16" s="12" t="n">
        <v>2040</v>
      </c>
      <c r="AJ16" s="4" t="n"/>
      <c r="AK16" s="12" t="n">
        <v>9762</v>
      </c>
      <c r="AL16" s="12" t="n">
        <v>21</v>
      </c>
      <c r="AM16" s="12" t="n">
        <v>680</v>
      </c>
      <c r="AN16" s="4" t="n"/>
      <c r="AO16" s="12" t="n">
        <v>4080</v>
      </c>
      <c r="AP16" s="4" t="n"/>
      <c r="AQ16" s="12" t="n">
        <v>3366</v>
      </c>
      <c r="AR16" s="4" t="n"/>
      <c r="AS16" s="12" t="n">
        <v>1768</v>
      </c>
      <c r="AT16" s="4" t="n"/>
      <c r="AU16" s="12" t="n">
        <v>10554</v>
      </c>
      <c r="AV16" s="12" t="n">
        <v>31</v>
      </c>
    </row>
    <row r="17">
      <c r="A17" s="18" t="inlineStr">
        <is>
          <t>Poisoner</t>
        </is>
      </c>
      <c r="B17" s="18">
        <f>(AG16-AH16*120)/$AF16</f>
        <v/>
      </c>
      <c r="C17" s="19" t="inlineStr">
        <is>
          <t>B</t>
        </is>
      </c>
      <c r="D17" s="20">
        <f>(AI16-AJ16*120)/$AF16</f>
        <v/>
      </c>
      <c r="E17" s="20" t="inlineStr">
        <is>
          <t>C</t>
        </is>
      </c>
      <c r="F17" s="18">
        <f>(AK16-AL16*120)/$AF16</f>
        <v/>
      </c>
      <c r="G17" s="19" t="inlineStr">
        <is>
          <t>SS</t>
        </is>
      </c>
      <c r="H17" s="20">
        <f>(AM16-AN16*120)/$AF16</f>
        <v/>
      </c>
      <c r="I17" s="20" t="inlineStr">
        <is>
          <t>D</t>
        </is>
      </c>
      <c r="J17" s="18">
        <f>(AO16-AP16*120)/$AF16</f>
        <v/>
      </c>
      <c r="K17" s="19" t="inlineStr">
        <is>
          <t>A</t>
        </is>
      </c>
      <c r="L17" s="20">
        <f>(AQ16-AR16*120)/$AF16</f>
        <v/>
      </c>
      <c r="M17" s="20" t="inlineStr">
        <is>
          <t>B</t>
        </is>
      </c>
      <c r="N17" s="18">
        <f>(AS16-AT16*120)/$AF16</f>
        <v/>
      </c>
      <c r="O17" s="19" t="inlineStr">
        <is>
          <t>C</t>
        </is>
      </c>
      <c r="P17" s="20">
        <f>(AU16-AV16*120)/$AF16</f>
        <v/>
      </c>
      <c r="Q17" s="20" t="inlineStr">
        <is>
          <t>SS</t>
        </is>
      </c>
      <c r="R17" s="16" t="n"/>
      <c r="S17" s="19">
        <f>B17+D17+F17+H17+J17+L17+N17+P17</f>
        <v/>
      </c>
      <c r="T17" s="17">
        <f>F17+P17</f>
        <v/>
      </c>
      <c r="U17" s="3" t="n"/>
      <c r="V17" s="3" t="n"/>
      <c r="W17" s="3" t="n"/>
      <c r="X17" s="3" t="n"/>
      <c r="Y17" s="2" t="n"/>
      <c r="Z17" s="2" t="n"/>
      <c r="AA17" s="2" t="n"/>
      <c r="AB17" s="2" t="n"/>
      <c r="AC17" s="2" t="n"/>
      <c r="AD17" s="2" t="n"/>
      <c r="AE17" s="2" t="n"/>
      <c r="AF17" s="12" t="n">
        <v>30</v>
      </c>
      <c r="AG17" s="12" t="n">
        <v>8640</v>
      </c>
      <c r="AH17" s="12" t="n">
        <v>21</v>
      </c>
      <c r="AI17" s="12" t="n">
        <v>1770</v>
      </c>
      <c r="AJ17" s="4" t="n"/>
      <c r="AK17" s="12" t="n">
        <v>1200</v>
      </c>
      <c r="AL17" s="4" t="n"/>
      <c r="AM17" s="12" t="n">
        <v>13800</v>
      </c>
      <c r="AN17" s="12" t="n">
        <v>55</v>
      </c>
      <c r="AO17" s="12" t="n">
        <v>3720</v>
      </c>
      <c r="AP17" s="4" t="n"/>
      <c r="AQ17" s="12" t="n">
        <v>2670</v>
      </c>
      <c r="AR17" s="4" t="n"/>
      <c r="AS17" s="12" t="n">
        <v>1410</v>
      </c>
      <c r="AT17" s="4" t="n"/>
      <c r="AU17" s="12" t="n">
        <v>2790</v>
      </c>
      <c r="AV17" s="4" t="n"/>
    </row>
    <row r="18">
      <c r="A18" s="13" t="inlineStr">
        <is>
          <t>Madam Huang</t>
        </is>
      </c>
      <c r="B18" s="13">
        <f>(AG17-AH17*120)/$AF17</f>
        <v/>
      </c>
      <c r="C18" s="14" t="inlineStr">
        <is>
          <t>SS</t>
        </is>
      </c>
      <c r="D18" s="15">
        <f>(AI17-AJ17*120)/$AF17</f>
        <v/>
      </c>
      <c r="E18" s="15" t="inlineStr">
        <is>
          <t>C</t>
        </is>
      </c>
      <c r="F18" s="13">
        <f>(AK17-AL17*120)/$AF17</f>
        <v/>
      </c>
      <c r="G18" s="14" t="inlineStr">
        <is>
          <t>C</t>
        </is>
      </c>
      <c r="H18" s="15">
        <f>(AM17-AN17*120)/$AF17</f>
        <v/>
      </c>
      <c r="I18" s="15" t="inlineStr">
        <is>
          <t>SSS</t>
        </is>
      </c>
      <c r="J18" s="13">
        <f>(AO17-AP17*120)/$AF17</f>
        <v/>
      </c>
      <c r="K18" s="14" t="inlineStr">
        <is>
          <t>A</t>
        </is>
      </c>
      <c r="L18" s="15">
        <f>(AQ17-AR17*120)/$AF17</f>
        <v/>
      </c>
      <c r="M18" s="15" t="inlineStr">
        <is>
          <t>B</t>
        </is>
      </c>
      <c r="N18" s="13">
        <f>(AS17-AT17*120)/$AF17</f>
        <v/>
      </c>
      <c r="O18" s="14" t="inlineStr">
        <is>
          <t>C</t>
        </is>
      </c>
      <c r="P18" s="15">
        <f>(AU17-AV17*120)/$AF17</f>
        <v/>
      </c>
      <c r="Q18" s="15" t="inlineStr">
        <is>
          <t>B</t>
        </is>
      </c>
      <c r="R18" s="16" t="n"/>
      <c r="S18" s="14">
        <f>B18+D18+F18+H18+J18+L18+N18+P18</f>
        <v/>
      </c>
      <c r="T18" s="17">
        <f>B18+H18</f>
        <v/>
      </c>
      <c r="U18" s="3" t="n"/>
      <c r="V18" s="3" t="n"/>
      <c r="W18" s="3" t="n"/>
      <c r="X18" s="3" t="n"/>
      <c r="Y18" s="2" t="n"/>
      <c r="Z18" s="2" t="n"/>
      <c r="AA18" s="2" t="n"/>
      <c r="AB18" s="2" t="n"/>
      <c r="AC18" s="2" t="n"/>
      <c r="AD18" s="2" t="n"/>
      <c r="AE18" s="2" t="n"/>
      <c r="AF18" s="12" t="n">
        <v>39</v>
      </c>
      <c r="AG18" s="12" t="n">
        <v>2067</v>
      </c>
      <c r="AH18" s="4" t="n"/>
      <c r="AI18" s="12" t="n">
        <v>3315</v>
      </c>
      <c r="AJ18" s="4" t="n"/>
      <c r="AK18" s="12" t="n">
        <v>8181</v>
      </c>
      <c r="AL18" s="12" t="n">
        <v>10</v>
      </c>
      <c r="AM18" s="12" t="n">
        <v>4719</v>
      </c>
      <c r="AN18" s="4" t="n"/>
      <c r="AO18" s="12" t="n">
        <v>4632</v>
      </c>
      <c r="AP18" s="12" t="n">
        <v>10</v>
      </c>
      <c r="AQ18" s="12" t="n">
        <v>1638</v>
      </c>
      <c r="AR18" s="4" t="n"/>
      <c r="AS18" s="12" t="n">
        <v>2340</v>
      </c>
      <c r="AT18" s="4" t="n"/>
      <c r="AU18" s="12" t="n">
        <v>12960</v>
      </c>
      <c r="AV18" s="12" t="n">
        <v>30</v>
      </c>
    </row>
    <row r="19">
      <c r="A19" s="18" t="inlineStr">
        <is>
          <t>Hitman No.1</t>
        </is>
      </c>
      <c r="B19" s="18">
        <f>(AG18-AH18*120)/$AF18</f>
        <v/>
      </c>
      <c r="C19" s="19" t="inlineStr">
        <is>
          <t>C</t>
        </is>
      </c>
      <c r="D19" s="20">
        <f>(AI18-AJ18*120)/$AF18</f>
        <v/>
      </c>
      <c r="E19" s="20" t="inlineStr">
        <is>
          <t>B</t>
        </is>
      </c>
      <c r="F19" s="18">
        <f>(AK18-AL18*120)/$AF18</f>
        <v/>
      </c>
      <c r="G19" s="19" t="inlineStr">
        <is>
          <t>S</t>
        </is>
      </c>
      <c r="H19" s="20">
        <f>(AM18-AN18*120)/$AF18</f>
        <v/>
      </c>
      <c r="I19" s="20" t="inlineStr">
        <is>
          <t>A</t>
        </is>
      </c>
      <c r="J19" s="18">
        <f>(AO18-AP18*120)/$AF18</f>
        <v/>
      </c>
      <c r="K19" s="19" t="inlineStr">
        <is>
          <t>B</t>
        </is>
      </c>
      <c r="L19" s="20">
        <f>(AQ18-AR18*120)/$AF18</f>
        <v/>
      </c>
      <c r="M19" s="20" t="inlineStr">
        <is>
          <t>C</t>
        </is>
      </c>
      <c r="N19" s="18">
        <f>(AS18-AT18*120)/$AF18</f>
        <v/>
      </c>
      <c r="O19" s="19" t="inlineStr">
        <is>
          <t>C</t>
        </is>
      </c>
      <c r="P19" s="20">
        <f>(AU18-AV18*120)/$AF18</f>
        <v/>
      </c>
      <c r="Q19" s="20" t="inlineStr">
        <is>
          <t>SSS</t>
        </is>
      </c>
      <c r="R19" s="16" t="n"/>
      <c r="S19" s="19">
        <f>B19+D19+F19+H19+J19+L19+N19+P19</f>
        <v/>
      </c>
      <c r="T19" s="17">
        <f>F19+P19</f>
        <v/>
      </c>
      <c r="U19" s="3" t="n"/>
      <c r="V19" s="3" t="n"/>
      <c r="W19" s="3" t="n"/>
      <c r="X19" s="3" t="n"/>
      <c r="Y19" s="2" t="n"/>
      <c r="Z19" s="2" t="n"/>
      <c r="AA19" s="2" t="n"/>
      <c r="AB19" s="2" t="n"/>
      <c r="AC19" s="2" t="n"/>
      <c r="AD19" s="2" t="n"/>
      <c r="AE19" s="2" t="n"/>
      <c r="AF19" s="12" t="n">
        <v>10</v>
      </c>
      <c r="AG19" s="12" t="n">
        <v>4770</v>
      </c>
      <c r="AH19" s="12" t="n">
        <v>22</v>
      </c>
      <c r="AI19" s="12" t="n">
        <v>820</v>
      </c>
      <c r="AJ19" s="4" t="n"/>
      <c r="AK19" s="12" t="n">
        <v>980</v>
      </c>
      <c r="AL19" s="4" t="n"/>
      <c r="AM19" s="12" t="n">
        <v>450</v>
      </c>
      <c r="AN19" s="4" t="n"/>
      <c r="AO19" s="12" t="n">
        <v>520</v>
      </c>
      <c r="AP19" s="4" t="n"/>
      <c r="AQ19" s="12" t="n">
        <v>1920</v>
      </c>
      <c r="AR19" s="12" t="n">
        <v>1</v>
      </c>
      <c r="AS19" s="12" t="n">
        <v>2010</v>
      </c>
      <c r="AT19" s="12" t="n">
        <v>2</v>
      </c>
      <c r="AU19" s="12" t="n">
        <v>410</v>
      </c>
      <c r="AV19" s="4" t="n"/>
    </row>
    <row r="20">
      <c r="A20" s="13" t="inlineStr">
        <is>
          <t>Commissioner</t>
        </is>
      </c>
      <c r="B20" s="13">
        <f>(AG19-AH19*120)/$AF19</f>
        <v/>
      </c>
      <c r="C20" s="14" t="inlineStr">
        <is>
          <t>SS</t>
        </is>
      </c>
      <c r="D20" s="15">
        <f>(AI19-AJ19*120)/$AF19</f>
        <v/>
      </c>
      <c r="E20" s="15" t="inlineStr">
        <is>
          <t>B</t>
        </is>
      </c>
      <c r="F20" s="13">
        <f>(AK19-AL19*120)/$AF19</f>
        <v/>
      </c>
      <c r="G20" s="14" t="inlineStr">
        <is>
          <t>B</t>
        </is>
      </c>
      <c r="H20" s="15">
        <f>(AM19-AN19*120)/$AF19</f>
        <v/>
      </c>
      <c r="I20" s="15" t="inlineStr">
        <is>
          <t>C</t>
        </is>
      </c>
      <c r="J20" s="13">
        <f>(AO19-AP19*120)/$AF19</f>
        <v/>
      </c>
      <c r="K20" s="14" t="inlineStr">
        <is>
          <t>C</t>
        </is>
      </c>
      <c r="L20" s="15">
        <f>(AQ19-AR19*120)/$AF19</f>
        <v/>
      </c>
      <c r="M20" s="15" t="inlineStr">
        <is>
          <t>S</t>
        </is>
      </c>
      <c r="N20" s="13">
        <f>(AS19-AT19*120)/$AF19</f>
        <v/>
      </c>
      <c r="O20" s="14" t="inlineStr">
        <is>
          <t>S</t>
        </is>
      </c>
      <c r="P20" s="15">
        <f>(AU19-AV19*120)/$AF19</f>
        <v/>
      </c>
      <c r="Q20" s="15" t="inlineStr">
        <is>
          <t>C</t>
        </is>
      </c>
      <c r="R20" s="16" t="n"/>
      <c r="S20" s="14">
        <f>B20+D20+F20+H20+J20+L20+N20+P20</f>
        <v/>
      </c>
      <c r="T20" s="17">
        <f>B20+L20+N20</f>
        <v/>
      </c>
      <c r="U20" s="3" t="n"/>
      <c r="V20" s="3" t="n"/>
      <c r="W20" s="3" t="n"/>
      <c r="X20" s="3" t="n"/>
      <c r="Y20" s="2" t="n"/>
      <c r="Z20" s="2" t="n"/>
      <c r="AA20" s="2" t="n"/>
      <c r="AB20" s="2" t="n"/>
      <c r="AC20" s="2" t="n"/>
      <c r="AD20" s="2" t="n"/>
      <c r="AE20" s="2" t="n"/>
      <c r="AF20" s="12" t="n">
        <v>26</v>
      </c>
      <c r="AG20" s="12" t="n">
        <v>9248</v>
      </c>
      <c r="AH20" s="12" t="n">
        <v>32</v>
      </c>
      <c r="AI20" s="12" t="n">
        <v>2444</v>
      </c>
      <c r="AJ20" s="4" t="n"/>
      <c r="AK20" s="12" t="n">
        <v>3224</v>
      </c>
      <c r="AL20" s="4" t="n"/>
      <c r="AM20" s="12" t="n">
        <v>1456</v>
      </c>
      <c r="AN20" s="4" t="n"/>
      <c r="AO20" s="12" t="n">
        <v>2106</v>
      </c>
      <c r="AP20" s="4" t="n"/>
      <c r="AQ20" s="12" t="n">
        <v>8204</v>
      </c>
      <c r="AR20" s="12" t="n">
        <v>22</v>
      </c>
      <c r="AS20" s="12" t="n">
        <v>1066</v>
      </c>
      <c r="AT20" s="4" t="n"/>
      <c r="AU20" s="12" t="n">
        <v>1378</v>
      </c>
      <c r="AV20" s="4" t="n"/>
    </row>
    <row r="21">
      <c r="A21" s="18" t="inlineStr">
        <is>
          <t>Idol Boy</t>
        </is>
      </c>
      <c r="B21" s="18">
        <f>(AG20-AH20*120)/$AF20</f>
        <v/>
      </c>
      <c r="C21" s="19" t="inlineStr">
        <is>
          <t>SS</t>
        </is>
      </c>
      <c r="D21" s="20">
        <f>(AI20-AJ20*120)/$AF20</f>
        <v/>
      </c>
      <c r="E21" s="20" t="inlineStr">
        <is>
          <t>B</t>
        </is>
      </c>
      <c r="F21" s="18">
        <f>(AK20-AL20*120)/$AF20</f>
        <v/>
      </c>
      <c r="G21" s="19" t="inlineStr">
        <is>
          <t>A</t>
        </is>
      </c>
      <c r="H21" s="20">
        <f>(AM20-AN20*120)/$AF20</f>
        <v/>
      </c>
      <c r="I21" s="20" t="inlineStr">
        <is>
          <t>C</t>
        </is>
      </c>
      <c r="J21" s="18">
        <f>(AO20-AP20*120)/$AF20</f>
        <v/>
      </c>
      <c r="K21" s="19" t="inlineStr">
        <is>
          <t>B</t>
        </is>
      </c>
      <c r="L21" s="20">
        <f>(AQ20-AR20*120)/$AF20</f>
        <v/>
      </c>
      <c r="M21" s="20" t="inlineStr">
        <is>
          <t>SS</t>
        </is>
      </c>
      <c r="N21" s="18">
        <f>(AS20-AT20*120)/$AF20</f>
        <v/>
      </c>
      <c r="O21" s="19" t="inlineStr">
        <is>
          <t>C</t>
        </is>
      </c>
      <c r="P21" s="20">
        <f>(AU20-AV20*120)/$AF20</f>
        <v/>
      </c>
      <c r="Q21" s="20" t="inlineStr">
        <is>
          <t>C</t>
        </is>
      </c>
      <c r="R21" s="16" t="n"/>
      <c r="S21" s="19">
        <f>B21+D21+F21+H21+J21+L21+N21+P21</f>
        <v/>
      </c>
      <c r="T21" s="17">
        <f>B21+L21</f>
        <v/>
      </c>
      <c r="U21" s="3" t="n"/>
      <c r="V21" s="3" t="n"/>
      <c r="W21" s="3" t="n"/>
      <c r="X21" s="3" t="n"/>
      <c r="Y21" s="2" t="n"/>
      <c r="Z21" s="2" t="n"/>
      <c r="AA21" s="2" t="n"/>
      <c r="AB21" s="2" t="n"/>
      <c r="AC21" s="2" t="n"/>
      <c r="AD21" s="2" t="n"/>
      <c r="AE21" s="2" t="n"/>
      <c r="AF21" s="12" t="n">
        <v>20</v>
      </c>
      <c r="AG21" s="12" t="n">
        <v>2800</v>
      </c>
      <c r="AH21" s="4" t="n"/>
      <c r="AI21" s="12" t="n">
        <v>8600</v>
      </c>
      <c r="AJ21" s="12" t="n">
        <v>30</v>
      </c>
      <c r="AK21" s="12" t="n">
        <v>1160</v>
      </c>
      <c r="AL21" s="4" t="n"/>
      <c r="AM21" s="12" t="n">
        <v>3320</v>
      </c>
      <c r="AN21" s="12" t="n">
        <v>1</v>
      </c>
      <c r="AO21" s="12" t="n">
        <v>3040</v>
      </c>
      <c r="AP21" s="12" t="n">
        <v>10</v>
      </c>
      <c r="AQ21" s="12" t="n">
        <v>900</v>
      </c>
      <c r="AR21" s="4" t="n"/>
      <c r="AS21" s="12" t="n">
        <v>1840</v>
      </c>
      <c r="AT21" s="4" t="n"/>
      <c r="AU21" s="12" t="n">
        <v>940</v>
      </c>
      <c r="AV21" s="4" t="n"/>
    </row>
    <row r="22">
      <c r="A22" s="13" t="inlineStr">
        <is>
          <t>Peacekeeper</t>
        </is>
      </c>
      <c r="B22" s="13">
        <f>(AG21-AH21*120)/$AF21</f>
        <v/>
      </c>
      <c r="C22" s="14" t="inlineStr">
        <is>
          <t>A</t>
        </is>
      </c>
      <c r="D22" s="15">
        <f>(AI21-AJ21*120)/$AF21</f>
        <v/>
      </c>
      <c r="E22" s="15" t="inlineStr">
        <is>
          <t>SSS</t>
        </is>
      </c>
      <c r="F22" s="13">
        <f>(AK21-AL21*120)/$AF21</f>
        <v/>
      </c>
      <c r="G22" s="14" t="inlineStr">
        <is>
          <t>C</t>
        </is>
      </c>
      <c r="H22" s="15">
        <f>(AM21-AN21*120)/$AF21</f>
        <v/>
      </c>
      <c r="I22" s="15" t="inlineStr">
        <is>
          <t>S</t>
        </is>
      </c>
      <c r="J22" s="13">
        <f>(AO21-AP21*120)/$AF21</f>
        <v/>
      </c>
      <c r="K22" s="14" t="inlineStr">
        <is>
          <t>B</t>
        </is>
      </c>
      <c r="L22" s="15">
        <f>(AQ21-AR21*120)/$AF21</f>
        <v/>
      </c>
      <c r="M22" s="15" t="inlineStr">
        <is>
          <t>C</t>
        </is>
      </c>
      <c r="N22" s="13">
        <f>(AS21-AT21*120)/$AF21</f>
        <v/>
      </c>
      <c r="O22" s="14" t="inlineStr">
        <is>
          <t>B</t>
        </is>
      </c>
      <c r="P22" s="15">
        <f>(AU21-AV21*120)/$AF21</f>
        <v/>
      </c>
      <c r="Q22" s="15" t="inlineStr">
        <is>
          <t>C</t>
        </is>
      </c>
      <c r="R22" s="16" t="n"/>
      <c r="S22" s="14">
        <f>B22+D22+F22+H22+J22+L22+N22+P22</f>
        <v/>
      </c>
      <c r="T22" s="17">
        <f>D22+H22</f>
        <v/>
      </c>
      <c r="U22" s="3" t="n"/>
      <c r="V22" s="3" t="n"/>
      <c r="W22" s="3" t="n"/>
      <c r="X22" s="3" t="n"/>
      <c r="Y22" s="2" t="n"/>
      <c r="Z22" s="2" t="n"/>
      <c r="AA22" s="2" t="n"/>
      <c r="AB22" s="2" t="n"/>
      <c r="AC22" s="2" t="n"/>
      <c r="AD22" s="2" t="n"/>
      <c r="AE22" s="2" t="n"/>
      <c r="AF22" s="12" t="n">
        <v>30</v>
      </c>
      <c r="AG22" s="12" t="n">
        <v>1170</v>
      </c>
      <c r="AH22" s="4" t="n"/>
      <c r="AI22" s="12" t="n">
        <v>10800</v>
      </c>
      <c r="AJ22" s="12" t="n">
        <v>30</v>
      </c>
      <c r="AK22" s="12" t="n">
        <v>570</v>
      </c>
      <c r="AL22" s="4" t="n"/>
      <c r="AM22" s="12" t="n">
        <v>1590</v>
      </c>
      <c r="AN22" s="4" t="n"/>
      <c r="AO22" s="12" t="n">
        <v>5430</v>
      </c>
      <c r="AP22" s="12" t="n">
        <v>2</v>
      </c>
      <c r="AQ22" s="12" t="n">
        <v>2460</v>
      </c>
      <c r="AR22" s="4" t="n"/>
      <c r="AS22" s="12" t="n">
        <v>3000</v>
      </c>
      <c r="AT22" s="4" t="n"/>
      <c r="AU22" s="12" t="n">
        <v>3870</v>
      </c>
      <c r="AV22" s="4" t="n"/>
    </row>
    <row r="23">
      <c r="A23" s="18" t="inlineStr">
        <is>
          <t>St. Trinidad</t>
        </is>
      </c>
      <c r="B23" s="18">
        <f>(AG22-AH22*120)/$AF22</f>
        <v/>
      </c>
      <c r="C23" s="19" t="inlineStr">
        <is>
          <t>C</t>
        </is>
      </c>
      <c r="D23" s="20">
        <f>(AI22-AJ22*120)/$AF22</f>
        <v/>
      </c>
      <c r="E23" s="20" t="inlineStr">
        <is>
          <t>SSS</t>
        </is>
      </c>
      <c r="F23" s="18">
        <f>(AK22-AL22*120)/$AF22</f>
        <v/>
      </c>
      <c r="G23" s="19" t="inlineStr">
        <is>
          <t>D</t>
        </is>
      </c>
      <c r="H23" s="20">
        <f>(AM22-AN22*120)/$AF22</f>
        <v/>
      </c>
      <c r="I23" s="20" t="inlineStr">
        <is>
          <t>C</t>
        </is>
      </c>
      <c r="J23" s="18">
        <f>(AO22-AP22*120)/$AF22</f>
        <v/>
      </c>
      <c r="K23" s="19" t="inlineStr">
        <is>
          <t>S</t>
        </is>
      </c>
      <c r="L23" s="20">
        <f>(AQ22-AR22*120)/$AF22</f>
        <v/>
      </c>
      <c r="M23" s="20" t="inlineStr">
        <is>
          <t>B</t>
        </is>
      </c>
      <c r="N23" s="18">
        <f>(AS22-AT22*120)/$AF22</f>
        <v/>
      </c>
      <c r="O23" s="19" t="inlineStr">
        <is>
          <t>B</t>
        </is>
      </c>
      <c r="P23" s="20">
        <f>(AU22-AV22*120)/$AF22</f>
        <v/>
      </c>
      <c r="Q23" s="20" t="inlineStr">
        <is>
          <t>A</t>
        </is>
      </c>
      <c r="R23" s="16" t="n"/>
      <c r="S23" s="19">
        <f>B23+D23+F23+H23+J23+L23+N23+P23</f>
        <v/>
      </c>
      <c r="T23" s="17">
        <f>D23+J23</f>
        <v/>
      </c>
      <c r="U23" s="3" t="n"/>
      <c r="V23" s="3" t="n"/>
      <c r="W23" s="3" t="n"/>
      <c r="X23" s="3" t="n"/>
      <c r="Y23" s="2" t="n"/>
      <c r="Z23" s="2" t="n"/>
      <c r="AA23" s="2" t="n"/>
      <c r="AB23" s="2" t="n"/>
      <c r="AC23" s="2" t="n"/>
      <c r="AD23" s="2" t="n"/>
      <c r="AE23" s="2" t="n"/>
      <c r="AF23" s="12" t="n">
        <v>30</v>
      </c>
      <c r="AG23" s="12" t="n">
        <v>2460</v>
      </c>
      <c r="AH23" s="4" t="n"/>
      <c r="AI23" s="12" t="n">
        <v>10110</v>
      </c>
      <c r="AJ23" s="12" t="n">
        <v>30</v>
      </c>
      <c r="AK23" s="12" t="n">
        <v>3780</v>
      </c>
      <c r="AL23" s="4" t="n"/>
      <c r="AM23" s="12" t="n">
        <v>2970</v>
      </c>
      <c r="AN23" s="4" t="n"/>
      <c r="AO23" s="12" t="n">
        <v>7140</v>
      </c>
      <c r="AP23" s="12" t="n">
        <v>9</v>
      </c>
      <c r="AQ23" s="12" t="n">
        <v>1740</v>
      </c>
      <c r="AR23" s="4" t="n"/>
      <c r="AS23" s="12" t="n">
        <v>1530</v>
      </c>
      <c r="AT23" s="4" t="n"/>
      <c r="AU23" s="12" t="n">
        <v>600</v>
      </c>
      <c r="AV23" s="4" t="n"/>
    </row>
    <row r="24">
      <c r="A24" s="13" t="inlineStr">
        <is>
          <t>Soleil Royal</t>
        </is>
      </c>
      <c r="B24" s="13">
        <f>(AG23-AH23*120)/$AF23</f>
        <v/>
      </c>
      <c r="C24" s="14" t="inlineStr">
        <is>
          <t>B</t>
        </is>
      </c>
      <c r="D24" s="15">
        <f>(AI23-AJ23*120)/$AF23</f>
        <v/>
      </c>
      <c r="E24" s="15" t="inlineStr">
        <is>
          <t>SS</t>
        </is>
      </c>
      <c r="F24" s="13">
        <f>(AK23-AL23*120)/$AF23</f>
        <v/>
      </c>
      <c r="G24" s="14" t="inlineStr">
        <is>
          <t>A</t>
        </is>
      </c>
      <c r="H24" s="15">
        <f>(AM23-AN23*120)/$AF23</f>
        <v/>
      </c>
      <c r="I24" s="15" t="inlineStr">
        <is>
          <t>B</t>
        </is>
      </c>
      <c r="J24" s="13">
        <f>(AO23-AP23*120)/$AF23</f>
        <v/>
      </c>
      <c r="K24" s="14" t="inlineStr">
        <is>
          <t>SS</t>
        </is>
      </c>
      <c r="L24" s="15">
        <f>(AQ23-AR23*120)/$AF23</f>
        <v/>
      </c>
      <c r="M24" s="15" t="inlineStr">
        <is>
          <t>C</t>
        </is>
      </c>
      <c r="N24" s="13">
        <f>(AS23-AT23*120)/$AF23</f>
        <v/>
      </c>
      <c r="O24" s="14" t="inlineStr">
        <is>
          <t>C</t>
        </is>
      </c>
      <c r="P24" s="15">
        <f>(AU23-AV23*120)/$AF23</f>
        <v/>
      </c>
      <c r="Q24" s="15" t="inlineStr">
        <is>
          <t>D</t>
        </is>
      </c>
      <c r="R24" s="21" t="n"/>
      <c r="S24" s="14">
        <f>B24+D24+F24+H24+J24+L24+N24+P24</f>
        <v/>
      </c>
      <c r="T24" s="22">
        <f>D24+J24</f>
        <v/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</row>
    <row r="26">
      <c r="A26" s="2" t="n"/>
      <c r="B26" s="22" t="inlineStr">
        <is>
          <t>Rank</t>
        </is>
      </c>
      <c r="C26" s="22" t="inlineStr">
        <is>
          <t>Min</t>
        </is>
      </c>
      <c r="D26" s="22" t="inlineStr">
        <is>
          <t>Max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</row>
    <row r="27">
      <c r="A27" s="2" t="n"/>
      <c r="B27" s="17" t="inlineStr">
        <is>
          <t>SSS</t>
        </is>
      </c>
      <c r="C27" s="22" t="n">
        <v>240</v>
      </c>
      <c r="D27" s="22" t="n">
        <v>250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</row>
    <row r="28">
      <c r="A28" s="2" t="n"/>
      <c r="B28" s="17" t="inlineStr">
        <is>
          <t>SS</t>
        </is>
      </c>
      <c r="C28" s="22" t="n">
        <v>200</v>
      </c>
      <c r="D28" s="22" t="n">
        <v>217</v>
      </c>
      <c r="E28" s="2" t="n"/>
      <c r="F28" s="2" t="n"/>
      <c r="G28" s="23" t="n"/>
    </row>
    <row r="29">
      <c r="A29" s="2" t="n"/>
      <c r="B29" s="17" t="inlineStr">
        <is>
          <t>S</t>
        </is>
      </c>
      <c r="C29" s="22" t="n">
        <v>160</v>
      </c>
      <c r="D29" s="22" t="n">
        <v>180</v>
      </c>
      <c r="E29" s="2" t="n"/>
      <c r="F29" s="2" t="n"/>
      <c r="G29" s="23" t="n"/>
    </row>
    <row r="30">
      <c r="A30" s="2" t="n"/>
      <c r="B30" s="17" t="inlineStr">
        <is>
          <t>A</t>
        </is>
      </c>
      <c r="C30" s="22" t="n">
        <v>120</v>
      </c>
      <c r="D30" s="22" t="n">
        <v>140</v>
      </c>
      <c r="E30" s="2" t="n"/>
      <c r="F30" s="2" t="n"/>
      <c r="G30" s="23" t="n"/>
    </row>
    <row r="31">
      <c r="A31" s="2" t="n"/>
      <c r="B31" s="17" t="inlineStr">
        <is>
          <t>B</t>
        </is>
      </c>
      <c r="C31" s="22" t="n">
        <v>82</v>
      </c>
      <c r="D31" s="22" t="n">
        <v>100</v>
      </c>
      <c r="E31" s="2" t="n"/>
      <c r="F31" s="2" t="n"/>
      <c r="G31" s="23" t="n"/>
    </row>
    <row r="32">
      <c r="A32" s="2" t="n"/>
      <c r="B32" s="17" t="inlineStr">
        <is>
          <t>C</t>
        </is>
      </c>
      <c r="C32" s="22" t="n">
        <v>39</v>
      </c>
      <c r="D32" s="22" t="n">
        <v>60</v>
      </c>
      <c r="E32" s="2" t="n"/>
      <c r="F32" s="2" t="n"/>
      <c r="G32" s="23" t="n"/>
    </row>
    <row r="33">
      <c r="A33" s="2" t="n"/>
      <c r="B33" s="17" t="inlineStr">
        <is>
          <t>D</t>
        </is>
      </c>
      <c r="C33" s="22" t="n">
        <v>5</v>
      </c>
      <c r="D33" s="22" t="n">
        <v>20</v>
      </c>
      <c r="E33" s="2" t="n"/>
      <c r="F33" s="2" t="n"/>
      <c r="G33" s="23" t="n"/>
    </row>
    <row r="34">
      <c r="A34" s="2" t="n"/>
      <c r="B34" s="2" t="n"/>
      <c r="C34" s="2" t="n"/>
      <c r="D34" s="2" t="n"/>
      <c r="E34" s="2" t="n"/>
      <c r="F34" s="2" t="n"/>
      <c r="G34" s="23" t="n"/>
    </row>
    <row r="35">
      <c r="A35" s="23" t="n"/>
      <c r="B35" s="23" t="n"/>
      <c r="C35" s="23" t="n"/>
      <c r="D35" s="23" t="n"/>
      <c r="E35" s="23" t="n"/>
      <c r="F35" s="23" t="n"/>
      <c r="G35" s="23" t="n"/>
    </row>
    <row r="36">
      <c r="A36" s="23" t="n"/>
      <c r="B36" s="23" t="n"/>
      <c r="C36" s="23" t="n"/>
      <c r="D36" s="23" t="n"/>
      <c r="E36" s="23" t="n"/>
      <c r="F36" s="23" t="n"/>
      <c r="G36" s="23" t="n"/>
    </row>
  </sheetData>
  <mergeCells count="8">
    <mergeCell ref="F3:G3"/>
    <mergeCell ref="L3:M3"/>
    <mergeCell ref="J3:K3"/>
    <mergeCell ref="P3:Q3"/>
    <mergeCell ref="N3:O3"/>
    <mergeCell ref="B3:C3"/>
    <mergeCell ref="D3:E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2026-04-25T21:15:37Z</dcterms:created>
  <dcterms:modified xmlns:dcterms="http://purl.org/dc/terms/" xmlns:xsi="http://www.w3.org/2001/XMLSchema-instance" xsi:type="dcterms:W3CDTF">2026-04-25T21:15:38Z</dcterms:modified>
</cp:coreProperties>
</file>