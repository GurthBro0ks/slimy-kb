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Mach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olor rgb="FF000000"/>
      <sz val="12"/>
    </font>
    <font>
      <name val="Calibri"/>
      <b val="1"/>
      <color rgb="FF000000"/>
      <sz val="12"/>
    </font>
    <font>
      <name val="Calibri"/>
      <color theme="1"/>
      <sz val="12"/>
    </font>
    <font>
      <name val="Calibri"/>
      <color rgb="FFFF0000"/>
      <sz val="12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2" fillId="0" borderId="4" pivotButton="0" quotePrefix="0" xfId="0"/>
    <xf numFmtId="0" fontId="1" fillId="0" borderId="5" applyAlignment="1" pivotButton="0" quotePrefix="0" xfId="0">
      <alignment vertical="bottom"/>
    </xf>
    <xf numFmtId="1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10" fontId="1" fillId="0" borderId="9" pivotButton="0" quotePrefix="0" xfId="0"/>
    <xf numFmtId="10" fontId="1" fillId="0" borderId="3" pivotButton="0" quotePrefix="0" xfId="0"/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10" fontId="1" fillId="0" borderId="3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8" applyAlignment="1" pivotButton="0" quotePrefix="0" xfId="0">
      <alignment vertical="bottom"/>
    </xf>
    <xf numFmtId="0" fontId="1" fillId="0" borderId="9" applyAlignment="1" pivotButton="0" quotePrefix="0" xfId="0">
      <alignment vertical="bottom"/>
    </xf>
    <xf numFmtId="0" fontId="1" fillId="0" borderId="9" pivotButton="0" quotePrefix="0" xfId="0"/>
    <xf numFmtId="0" fontId="1" fillId="0" borderId="4" applyAlignment="1" pivotButton="0" quotePrefix="0" xfId="0">
      <alignment vertical="bottom"/>
    </xf>
    <xf numFmtId="10" fontId="1" fillId="0" borderId="6" applyAlignment="1" pivotButton="0" quotePrefix="0" xfId="0">
      <alignment vertical="bottom"/>
    </xf>
    <xf numFmtId="0" fontId="3" fillId="0" borderId="6" pivotButton="0" quotePrefix="0" xfId="0"/>
    <xf numFmtId="0" fontId="4" fillId="0" borderId="5" applyAlignment="1" pivotButton="0" quotePrefix="0" xfId="0">
      <alignment vertical="bottom"/>
    </xf>
    <xf numFmtId="0" fontId="2" fillId="0" borderId="1" pivotButton="0" quotePrefix="0" xfId="0"/>
    <xf numFmtId="0" fontId="1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cols>
    <col width="17.45" customWidth="1" min="1" max="1"/>
    <col width="8.09" customWidth="1" min="2" max="2"/>
    <col width="7.82" customWidth="1" min="3" max="3"/>
    <col width="8.09" customWidth="1" min="4" max="4"/>
    <col width="11.73" customWidth="1" min="5" max="5"/>
    <col width="6.09" customWidth="1" min="6" max="6"/>
    <col width="9.73" customWidth="1" min="7" max="7"/>
    <col width="7.27" customWidth="1" min="8" max="8"/>
    <col width="14.09" customWidth="1" min="9" max="9"/>
    <col width="8.82" customWidth="1" min="10" max="10"/>
    <col width="123" customWidth="1" min="11" max="11"/>
    <col width="8.640000000000001" customWidth="1" min="12" max="12"/>
  </cols>
  <sheetData>
    <row r="1" ht="15.75" customHeight="1">
      <c r="A1" s="1" t="inlineStr">
        <is>
          <t>Name</t>
        </is>
      </c>
      <c r="B1" s="2" t="inlineStr">
        <is>
          <t>Rarity</t>
        </is>
      </c>
      <c r="C1" s="2" t="inlineStr">
        <is>
          <t>Type</t>
        </is>
      </c>
      <c r="D1" s="2" t="inlineStr">
        <is>
          <t>Base Output</t>
        </is>
      </c>
      <c r="E1" s="2" t="inlineStr">
        <is>
          <t>Awakening Output</t>
        </is>
      </c>
      <c r="F1" s="2" t="inlineStr">
        <is>
          <t>Base Cap</t>
        </is>
      </c>
      <c r="G1" s="2" t="inlineStr">
        <is>
          <t>Awakening Cap</t>
        </is>
      </c>
      <c r="H1" s="2" t="inlineStr">
        <is>
          <t>Time Chest</t>
        </is>
      </c>
      <c r="I1" s="2" t="inlineStr">
        <is>
          <t>Awakening Time Chest</t>
        </is>
      </c>
      <c r="J1" s="2" t="inlineStr">
        <is>
          <t>AFFECT Boost</t>
        </is>
      </c>
      <c r="K1" s="3" t="inlineStr">
        <is>
          <t>Source</t>
        </is>
      </c>
    </row>
    <row r="2" ht="15.75" customHeight="1">
      <c r="A2" s="4" t="inlineStr">
        <is>
          <t>INDIVIDUAL RELICS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6" t="n"/>
    </row>
    <row r="3" ht="15.75" customHeight="1">
      <c r="A3" s="7" t="inlineStr">
        <is>
          <t xml:space="preserve">   Sputnik 1</t>
        </is>
      </c>
      <c r="B3" s="8" t="inlineStr">
        <is>
          <t>SS</t>
        </is>
      </c>
      <c r="C3" s="8" t="inlineStr">
        <is>
          <t>TECH</t>
        </is>
      </c>
      <c r="D3" s="5" t="n">
        <v>22</v>
      </c>
      <c r="E3" s="5" t="n"/>
      <c r="F3" s="5" t="n">
        <v>22</v>
      </c>
      <c r="G3" s="5" t="n"/>
      <c r="H3" s="5" t="n">
        <v>22</v>
      </c>
      <c r="I3" s="5" t="n">
        <v>20</v>
      </c>
      <c r="J3" s="5" t="n"/>
      <c r="K3" s="6" t="inlineStr">
        <is>
          <t>Fragment Crafting (3.9%), Lottery Machine #1 (0.18%), Wishing (0.14%), Club Chest (1%), Grandmaster Scrolls (1.6%)</t>
        </is>
      </c>
    </row>
    <row r="4" ht="15.75" customHeight="1">
      <c r="A4" s="7" t="inlineStr">
        <is>
          <t xml:space="preserve">   Artificial Black Hole</t>
        </is>
      </c>
      <c r="B4" s="8" t="inlineStr">
        <is>
          <t>SSS</t>
        </is>
      </c>
      <c r="C4" s="8" t="inlineStr">
        <is>
          <t>TECH</t>
        </is>
      </c>
      <c r="D4" s="5" t="n">
        <v>24</v>
      </c>
      <c r="E4" s="5" t="n">
        <v>20</v>
      </c>
      <c r="F4" s="5" t="n"/>
      <c r="G4" s="5" t="n"/>
      <c r="H4" s="5" t="n"/>
      <c r="I4" s="5" t="n"/>
      <c r="J4" s="5" t="n"/>
      <c r="K4" s="6" t="inlineStr">
        <is>
          <t>Wish Box, Lottery Machine #1 (0.09%), Wishing (0.07%), Demon God Chest (0.1%), Grandmaster Scrolls (0.81%), Relic Forge (120 Relic RF), Nebula Chest (0.01%)</t>
        </is>
      </c>
    </row>
    <row r="5" ht="15.75" customHeight="1">
      <c r="A5" s="7" t="inlineStr">
        <is>
          <t xml:space="preserve">   Golden Wheat</t>
        </is>
      </c>
      <c r="B5" s="8" t="inlineStr">
        <is>
          <t>SSS</t>
        </is>
      </c>
      <c r="C5" s="8" t="inlineStr">
        <is>
          <t>ART</t>
        </is>
      </c>
      <c r="D5" s="5" t="n">
        <v>24</v>
      </c>
      <c r="E5" s="5" t="n"/>
      <c r="F5" s="5" t="n"/>
      <c r="G5" s="5" t="n"/>
      <c r="H5" s="5" t="n"/>
      <c r="I5" s="5" t="n"/>
      <c r="J5" s="5" t="n"/>
      <c r="K5" s="6" t="inlineStr">
        <is>
          <t>Wish Pack, Lottery Machine #1 (0.09%), Wishing (0.08%), Yamato Treasure Maps (0.01%), Grandmaster Scrolls (0.81%), Relic Forge (120 Relic RF)</t>
        </is>
      </c>
    </row>
    <row r="6" ht="15.75" customHeight="1">
      <c r="A6" s="7" t="inlineStr">
        <is>
          <t xml:space="preserve">   Morse's Telegraph</t>
        </is>
      </c>
      <c r="B6" s="8" t="inlineStr">
        <is>
          <t>SS</t>
        </is>
      </c>
      <c r="C6" s="8" t="inlineStr">
        <is>
          <t>TECH</t>
        </is>
      </c>
      <c r="D6" s="5" t="n">
        <v>22</v>
      </c>
      <c r="E6" s="5" t="n"/>
      <c r="F6" s="5" t="n"/>
      <c r="G6" s="5" t="n"/>
      <c r="H6" s="5" t="n"/>
      <c r="I6" s="5" t="n"/>
      <c r="J6" s="5" t="n"/>
      <c r="K6" s="6" t="inlineStr">
        <is>
          <t>Fragment Crafting (5.2%), Lottery Machine #1 (0.24%), Wishing (0.19%), Tool Chest (1%), Master Scrolls (1.9%), Grandmaster Scrolls (2.1%), TECH Master Scrolls (9.2%)</t>
        </is>
      </c>
    </row>
    <row r="7" ht="15.75" customHeight="1">
      <c r="A7" s="4" t="inlineStr">
        <is>
          <t xml:space="preserve">   Notre Dame Bell</t>
        </is>
      </c>
      <c r="B7" s="8" t="inlineStr">
        <is>
          <t>S</t>
        </is>
      </c>
      <c r="C7" s="8" t="inlineStr">
        <is>
          <t>CIV</t>
        </is>
      </c>
      <c r="D7" s="5" t="n"/>
      <c r="E7" s="5" t="n"/>
      <c r="F7" s="5" t="n">
        <v>20</v>
      </c>
      <c r="G7" s="5" t="n">
        <v>20</v>
      </c>
      <c r="H7" s="5" t="n"/>
      <c r="I7" s="5" t="n"/>
      <c r="J7" s="5" t="n"/>
      <c r="K7" s="6" t="inlineStr">
        <is>
          <t>Fragment Crafting (18.8%), Lottery Machine #1 (0.81%), Wishing (0.69%), Relic Forge (90 Relic RF)</t>
        </is>
      </c>
    </row>
    <row r="8" ht="15.75" customHeight="1">
      <c r="A8" s="7" t="inlineStr">
        <is>
          <t xml:space="preserve">   Bell's Telephone</t>
        </is>
      </c>
      <c r="B8" s="8" t="inlineStr">
        <is>
          <t>AAA</t>
        </is>
      </c>
      <c r="C8" s="8" t="inlineStr">
        <is>
          <t>TECH</t>
        </is>
      </c>
      <c r="D8" s="5" t="n"/>
      <c r="E8" s="5" t="n"/>
      <c r="F8" s="5" t="n"/>
      <c r="G8" s="5" t="n"/>
      <c r="H8" s="5" t="n">
        <v>18</v>
      </c>
      <c r="I8" s="5" t="n">
        <v>14</v>
      </c>
      <c r="J8" s="5" t="n"/>
      <c r="K8" s="6" t="inlineStr">
        <is>
          <t>Fragment Crafting (1.6%), Lottery Machine #1 (0.03%), Wishes (0.14%), Relic Forge (80 Relic RF)</t>
        </is>
      </c>
    </row>
    <row r="9" ht="15.75" customHeight="1">
      <c r="A9" s="7" t="inlineStr">
        <is>
          <t xml:space="preserve">   Kapa's Camera</t>
        </is>
      </c>
      <c r="B9" s="8" t="inlineStr">
        <is>
          <t>AAA</t>
        </is>
      </c>
      <c r="C9" s="8" t="inlineStr">
        <is>
          <t>CIV</t>
        </is>
      </c>
      <c r="D9" s="5" t="n">
        <v>18</v>
      </c>
      <c r="E9" s="5" t="n">
        <v>14</v>
      </c>
      <c r="F9" s="5" t="n">
        <v>18</v>
      </c>
      <c r="G9" s="5" t="n"/>
      <c r="H9" s="5" t="n"/>
      <c r="I9" s="5" t="n"/>
      <c r="J9" s="5" t="n"/>
      <c r="K9" s="6" t="inlineStr">
        <is>
          <t>Fragment Crafting (1.5%), Lottery Machine #1 (0.03%), Wishing (0.14%), Relic Forge (80 Relic RF)</t>
        </is>
      </c>
    </row>
    <row r="10" ht="15.75" customHeight="1">
      <c r="A10" s="7" t="inlineStr">
        <is>
          <t xml:space="preserve">   Yuan Calendar</t>
        </is>
      </c>
      <c r="B10" s="8" t="inlineStr">
        <is>
          <t>AAA</t>
        </is>
      </c>
      <c r="C10" s="8" t="inlineStr">
        <is>
          <t>TECH</t>
        </is>
      </c>
      <c r="D10" s="5" t="n"/>
      <c r="E10" s="5" t="n"/>
      <c r="F10" s="5" t="n"/>
      <c r="G10" s="5" t="n"/>
      <c r="H10" s="5" t="n">
        <v>16</v>
      </c>
      <c r="I10" s="5" t="n"/>
      <c r="J10" s="5" t="n"/>
      <c r="K10" s="6" t="inlineStr">
        <is>
          <t>Fragment Crafting (3.9%), Lottery Machine #1 (0.08%), Wishing (0.36%), Koryeon Treasure Maps (10%), Expert Scrolls (0.95%)</t>
        </is>
      </c>
    </row>
    <row r="11" ht="15.75" customHeight="1">
      <c r="A11" s="7" t="inlineStr">
        <is>
          <t xml:space="preserve">   Keyhole Satellite</t>
        </is>
      </c>
      <c r="B11" s="8" t="inlineStr">
        <is>
          <t>AAA</t>
        </is>
      </c>
      <c r="C11" s="8" t="inlineStr">
        <is>
          <t>TECH</t>
        </is>
      </c>
      <c r="D11" s="5" t="n"/>
      <c r="E11" s="5" t="n">
        <v>15</v>
      </c>
      <c r="F11" s="5" t="n">
        <v>15</v>
      </c>
      <c r="G11" s="5" t="n"/>
      <c r="H11" s="5" t="n"/>
      <c r="I11" s="5" t="n"/>
      <c r="J11" s="5" t="n"/>
      <c r="K11" s="6" t="inlineStr">
        <is>
          <t>Fragment Crafting (1.6%), Lottery Machine #1 (0.03%), Wishing (0.14%), Relic Forge (80 Relic RF), Nebula Chest (1.5%)</t>
        </is>
      </c>
    </row>
    <row r="12" ht="15.75" customHeight="1">
      <c r="A12" s="7" t="inlineStr">
        <is>
          <t xml:space="preserve">   Peacock Throne</t>
        </is>
      </c>
      <c r="B12" s="8" t="inlineStr">
        <is>
          <t>AAA</t>
        </is>
      </c>
      <c r="C12" s="8" t="inlineStr">
        <is>
          <t>ART</t>
        </is>
      </c>
      <c r="D12" s="5" t="n">
        <v>5</v>
      </c>
      <c r="E12" s="5" t="n">
        <v>5</v>
      </c>
      <c r="F12" s="5" t="n"/>
      <c r="G12" s="5" t="n"/>
      <c r="H12" s="5" t="n"/>
      <c r="I12" s="5" t="n"/>
      <c r="J12" s="5" t="n"/>
      <c r="K12" s="9" t="inlineStr">
        <is>
          <t>Supreme Relic</t>
        </is>
      </c>
    </row>
    <row r="13" ht="15.75" customHeight="1">
      <c r="A13" s="7" t="inlineStr">
        <is>
          <t xml:space="preserve">   Peacock Clock</t>
        </is>
      </c>
      <c r="B13" s="8" t="inlineStr">
        <is>
          <t>Blue</t>
        </is>
      </c>
      <c r="C13" s="8" t="inlineStr">
        <is>
          <t>ART</t>
        </is>
      </c>
      <c r="D13" s="5" t="n">
        <v>10</v>
      </c>
      <c r="E13" s="5" t="n">
        <v>10</v>
      </c>
      <c r="F13" s="5" t="n"/>
      <c r="G13" s="5" t="n"/>
      <c r="H13" s="5" t="n"/>
      <c r="I13" s="5" t="n"/>
      <c r="J13" s="5" t="n"/>
      <c r="K13" s="6" t="inlineStr">
        <is>
          <t>Lottery Machine #1 (0.03%), Wishing (1.2%), Bharata Treasure Maps (%), Time Chest (2%)</t>
        </is>
      </c>
    </row>
    <row r="14" ht="15.75" customHeight="1">
      <c r="A14" s="4" t="inlineStr">
        <is>
          <t xml:space="preserve">   Cuckoo Clock</t>
        </is>
      </c>
      <c r="B14" s="8" t="inlineStr">
        <is>
          <t>Blue</t>
        </is>
      </c>
      <c r="C14" s="8" t="inlineStr">
        <is>
          <t>ART</t>
        </is>
      </c>
      <c r="D14" s="5" t="n"/>
      <c r="E14" s="5" t="n"/>
      <c r="F14" s="5" t="n">
        <v>10</v>
      </c>
      <c r="G14" s="5" t="n">
        <v>10</v>
      </c>
      <c r="H14" s="5" t="n"/>
      <c r="I14" s="5" t="n"/>
      <c r="J14" s="5" t="n"/>
      <c r="K14" s="6" t="inlineStr">
        <is>
          <t>Lottery Machine #1 (0.07%), Wishing (3%), Time Chest (2%), Trainee Scrolls (1%)</t>
        </is>
      </c>
    </row>
    <row r="15" ht="15.75" customHeight="1">
      <c r="A15" s="7" t="inlineStr">
        <is>
          <t xml:space="preserve">   Sands of Time</t>
        </is>
      </c>
      <c r="B15" s="8" t="inlineStr">
        <is>
          <t>Green</t>
        </is>
      </c>
      <c r="C15" s="8" t="inlineStr">
        <is>
          <t>ART</t>
        </is>
      </c>
      <c r="D15" s="5" t="n"/>
      <c r="E15" s="5" t="n"/>
      <c r="F15" s="5" t="n"/>
      <c r="G15" s="5" t="n"/>
      <c r="H15" s="5" t="n">
        <v>6</v>
      </c>
      <c r="I15" s="5" t="n"/>
      <c r="J15" s="5" t="n"/>
      <c r="K15" s="6" t="inlineStr">
        <is>
          <t>Fissure Floor 1968</t>
        </is>
      </c>
    </row>
    <row r="16" ht="15.75" customHeight="1">
      <c r="A16" s="7" t="inlineStr">
        <is>
          <t xml:space="preserve">   Nuclear Fusion Battery</t>
        </is>
      </c>
      <c r="B16" s="8" t="inlineStr">
        <is>
          <t>Green</t>
        </is>
      </c>
      <c r="C16" s="8" t="inlineStr">
        <is>
          <t>TECH</t>
        </is>
      </c>
      <c r="D16" s="5" t="n">
        <v>6</v>
      </c>
      <c r="E16" s="5" t="n"/>
      <c r="F16" s="5" t="n"/>
      <c r="G16" s="5" t="n"/>
      <c r="H16" s="5" t="n"/>
      <c r="I16" s="5" t="n"/>
      <c r="J16" s="5" t="n"/>
      <c r="K16" s="6" t="inlineStr">
        <is>
          <t>Robot Guard</t>
        </is>
      </c>
    </row>
    <row r="17" ht="15.75" customHeight="1">
      <c r="A17" s="7" t="inlineStr">
        <is>
          <t xml:space="preserve">   Blower</t>
        </is>
      </c>
      <c r="B17" s="8" t="inlineStr">
        <is>
          <t>Green</t>
        </is>
      </c>
      <c r="C17" s="8" t="inlineStr">
        <is>
          <t>TECH</t>
        </is>
      </c>
      <c r="D17" s="5" t="n">
        <v>6</v>
      </c>
      <c r="E17" s="5" t="n"/>
      <c r="F17" s="5" t="n"/>
      <c r="G17" s="5" t="n"/>
      <c r="H17" s="5" t="n"/>
      <c r="I17" s="5" t="n"/>
      <c r="J17" s="5" t="n"/>
      <c r="K17" s="9" t="inlineStr">
        <is>
          <t>Defeat Pepper the Butcher</t>
        </is>
      </c>
    </row>
    <row r="18" ht="15.75" customHeight="1">
      <c r="A18" s="10" t="inlineStr">
        <is>
          <t>MAX INDIVIDUAL RELICS</t>
        </is>
      </c>
      <c r="B18" s="11" t="n"/>
      <c r="C18" s="11" t="n"/>
      <c r="D18" s="11">
        <f>SUM(D4:E17)</f>
        <v/>
      </c>
      <c r="E18" s="11" t="n"/>
      <c r="F18" s="11">
        <f>SUM(F4:G17)</f>
        <v/>
      </c>
      <c r="G18" s="11" t="n"/>
      <c r="H18" s="11">
        <f>SUM(H4:I17)</f>
        <v/>
      </c>
      <c r="I18" s="11" t="n"/>
      <c r="J18" s="11" t="n"/>
      <c r="K18" s="12" t="n"/>
    </row>
    <row r="19" ht="15.75" customHeight="1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9" t="n"/>
    </row>
    <row r="20" ht="15.75" customHeight="1">
      <c r="A20" s="1" t="inlineStr">
        <is>
          <t>PARTNER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13" t="n"/>
    </row>
    <row r="21" ht="15.75" customHeight="1">
      <c r="A21" s="10" t="inlineStr">
        <is>
          <t xml:space="preserve">   Lee Gi-na</t>
        </is>
      </c>
      <c r="B21" s="11" t="n"/>
      <c r="C21" s="11" t="n"/>
      <c r="D21" s="11" t="n">
        <v>30</v>
      </c>
      <c r="E21" s="11" t="n"/>
      <c r="F21" s="11" t="n"/>
      <c r="G21" s="11" t="n"/>
      <c r="H21" s="11" t="n"/>
      <c r="I21" s="11" t="n"/>
      <c r="J21" s="11" t="n"/>
      <c r="K21" s="12" t="inlineStr">
        <is>
          <t>lv30</t>
        </is>
      </c>
    </row>
    <row r="22" ht="15.75" customHeight="1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9" t="n"/>
    </row>
    <row r="23" ht="15.75" customHeight="1">
      <c r="A23" s="14" t="inlineStr">
        <is>
          <t>COLLECTORS TALENTS</t>
        </is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6" t="n"/>
    </row>
    <row r="24" ht="15.75" customHeight="1">
      <c r="A24" s="17" t="inlineStr">
        <is>
          <t xml:space="preserve">   Dimension Keeper</t>
        </is>
      </c>
      <c r="B24" s="18" t="n"/>
      <c r="C24" s="18" t="n"/>
      <c r="D24" s="18" t="n">
        <v>25</v>
      </c>
      <c r="E24" s="18" t="n"/>
      <c r="F24" s="18" t="n">
        <v>25</v>
      </c>
      <c r="G24" s="18" t="n"/>
      <c r="H24" s="18" t="n"/>
      <c r="I24" s="18" t="n"/>
      <c r="J24" s="18" t="n"/>
      <c r="K24" s="19" t="inlineStr">
        <is>
          <t>10 Orange Talent Points</t>
        </is>
      </c>
    </row>
    <row r="25" ht="15.75" customHeight="1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9" t="n"/>
    </row>
    <row r="26" ht="15.75" customHeight="1">
      <c r="A26" s="1" t="inlineStr">
        <is>
          <t>ROBOTS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13" t="n"/>
    </row>
    <row r="27" ht="15.75" customHeight="1">
      <c r="A27" s="10" t="inlineStr">
        <is>
          <t xml:space="preserve">   Hello Boxer</t>
        </is>
      </c>
      <c r="B27" s="11" t="n"/>
      <c r="C27" s="11" t="n"/>
      <c r="D27" s="11" t="n">
        <v>3</v>
      </c>
      <c r="E27" s="11" t="n"/>
      <c r="F27" s="11" t="n"/>
      <c r="G27" s="11" t="n"/>
      <c r="H27" s="11" t="n"/>
      <c r="I27" s="11" t="n"/>
      <c r="J27" s="11" t="n"/>
      <c r="K27" s="20" t="inlineStr">
        <is>
          <t>Wormhole Refiner (0.03%)</t>
        </is>
      </c>
    </row>
    <row r="28" ht="15.75" customHeight="1">
      <c r="A28" s="4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9" t="n"/>
    </row>
    <row r="29" ht="15.75" customHeight="1">
      <c r="A29" s="1" t="inlineStr">
        <is>
          <t>INTEL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13" t="n"/>
    </row>
    <row r="30" ht="15.75" customHeight="1">
      <c r="A30" s="10" t="inlineStr">
        <is>
          <t xml:space="preserve">   Cathay</t>
        </is>
      </c>
      <c r="B30" s="11" t="n"/>
      <c r="C30" s="11" t="n"/>
      <c r="D30" s="11" t="n">
        <v>10</v>
      </c>
      <c r="E30" s="11" t="n"/>
      <c r="F30" s="11" t="n"/>
      <c r="G30" s="11" t="n"/>
      <c r="H30" s="11" t="n"/>
      <c r="I30" s="11" t="n"/>
      <c r="J30" s="11" t="n"/>
      <c r="K30" s="12" t="n"/>
    </row>
    <row r="31" ht="15.75" customHeight="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9" t="n"/>
    </row>
    <row r="32" ht="15.75" customHeight="1">
      <c r="A32" s="14" t="inlineStr">
        <is>
          <t>BUBBLE FRAMES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6" t="n"/>
    </row>
    <row r="33" ht="15.75" customHeight="1">
      <c r="A33" s="17" t="inlineStr">
        <is>
          <t xml:space="preserve">   Whale Power III</t>
        </is>
      </c>
      <c r="B33" s="18" t="n"/>
      <c r="C33" s="18" t="n"/>
      <c r="D33" s="18" t="n">
        <v>12</v>
      </c>
      <c r="E33" s="18" t="n"/>
      <c r="F33" s="18" t="n"/>
      <c r="G33" s="18" t="n"/>
      <c r="H33" s="18" t="n"/>
      <c r="I33" s="18" t="n"/>
      <c r="J33" s="18" t="n"/>
      <c r="K33" s="19" t="inlineStr">
        <is>
          <t>5M W-tads Spent</t>
        </is>
      </c>
    </row>
    <row r="34" ht="15.75" customHeight="1">
      <c r="A34" s="21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22" t="n"/>
    </row>
    <row r="35" ht="15.75" customHeight="1">
      <c r="A35" s="1" t="inlineStr">
        <is>
          <t>ORGAN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13" t="n"/>
    </row>
    <row r="36" ht="15.75" customHeight="1">
      <c r="A36" s="4" t="inlineStr">
        <is>
          <t xml:space="preserve">   Alveolus of Gaia</t>
        </is>
      </c>
      <c r="B36" s="5" t="n"/>
      <c r="C36" s="5" t="n"/>
      <c r="D36" s="5" t="n">
        <v>20</v>
      </c>
      <c r="E36" s="5" t="n"/>
      <c r="F36" s="5" t="n">
        <v>20</v>
      </c>
      <c r="G36" s="5" t="n"/>
      <c r="H36" s="5" t="n"/>
      <c r="I36" s="5" t="n"/>
      <c r="J36" s="5" t="n"/>
      <c r="K36" s="6" t="inlineStr">
        <is>
          <t>lv40</t>
        </is>
      </c>
    </row>
    <row r="37" ht="15.75" customHeight="1">
      <c r="A37" s="4" t="inlineStr">
        <is>
          <t xml:space="preserve">   Warp Horn</t>
        </is>
      </c>
      <c r="B37" s="5" t="n"/>
      <c r="C37" s="5" t="n"/>
      <c r="D37" s="5" t="n">
        <v>10</v>
      </c>
      <c r="E37" s="5" t="n"/>
      <c r="F37" s="5" t="n">
        <v>10</v>
      </c>
      <c r="G37" s="5" t="n"/>
      <c r="H37" s="5" t="n"/>
      <c r="I37" s="5" t="n"/>
      <c r="J37" s="5" t="n"/>
      <c r="K37" s="6" t="inlineStr">
        <is>
          <t>lv20</t>
        </is>
      </c>
    </row>
    <row r="38" ht="15.75" customHeight="1">
      <c r="A38" s="4" t="inlineStr">
        <is>
          <t xml:space="preserve">   Universe Energy Cube</t>
        </is>
      </c>
      <c r="B38" s="5" t="n"/>
      <c r="C38" s="5" t="n"/>
      <c r="D38" s="5" t="n">
        <v>30</v>
      </c>
      <c r="E38" s="5" t="n"/>
      <c r="F38" s="5" t="n"/>
      <c r="G38" s="5" t="n"/>
      <c r="H38" s="5" t="n"/>
      <c r="I38" s="5" t="n"/>
      <c r="J38" s="5" t="n"/>
      <c r="K38" s="9" t="inlineStr">
        <is>
          <t>lv30</t>
        </is>
      </c>
    </row>
    <row r="39" ht="15.75" customHeight="1">
      <c r="A39" s="10" t="inlineStr">
        <is>
          <t>MAX ORGAN</t>
        </is>
      </c>
      <c r="B39" s="11" t="n"/>
      <c r="C39" s="11" t="n"/>
      <c r="D39" s="11">
        <f>sum(D36:D38)</f>
        <v/>
      </c>
      <c r="E39" s="11" t="n"/>
      <c r="F39" s="11">
        <f>sum(F36:F38)</f>
        <v/>
      </c>
      <c r="G39" s="11" t="n"/>
      <c r="H39" s="11">
        <f>sum(H36:H38)</f>
        <v/>
      </c>
      <c r="I39" s="11" t="n"/>
      <c r="J39" s="11" t="n"/>
      <c r="K39" s="12" t="n"/>
    </row>
    <row r="40" ht="15.75" customHeight="1">
      <c r="A40" s="4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9" t="n"/>
    </row>
    <row r="41" ht="15.75" customHeight="1">
      <c r="A41" s="1" t="inlineStr">
        <is>
          <t>ROCKET UPGRADES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13" t="n"/>
    </row>
    <row r="42" ht="15.75" customHeight="1">
      <c r="A42" s="10" t="inlineStr">
        <is>
          <t xml:space="preserve">   Eternal Hall</t>
        </is>
      </c>
      <c r="B42" s="11" t="n"/>
      <c r="C42" s="11" t="n"/>
      <c r="D42" s="11" t="n">
        <v>10</v>
      </c>
      <c r="E42" s="11" t="n"/>
      <c r="F42" s="11" t="n">
        <v>10</v>
      </c>
      <c r="G42" s="11" t="n"/>
      <c r="H42" s="11" t="n"/>
      <c r="I42" s="11" t="n"/>
      <c r="J42" s="11" t="n"/>
      <c r="K42" s="20" t="inlineStr">
        <is>
          <t>Lv5</t>
        </is>
      </c>
    </row>
    <row r="43" ht="15.75" customHeight="1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9" t="n"/>
    </row>
    <row r="44" ht="15.75" customHeight="1">
      <c r="A44" s="1" t="inlineStr">
        <is>
          <t>AVATARS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13" t="n"/>
    </row>
    <row r="45" ht="15.75" customHeight="1">
      <c r="A45" s="10" t="inlineStr">
        <is>
          <t xml:space="preserve">   Mirage Avatar I Bonus</t>
        </is>
      </c>
      <c r="B45" s="11" t="n"/>
      <c r="C45" s="11" t="n"/>
      <c r="D45" s="11" t="n">
        <v>20</v>
      </c>
      <c r="E45" s="11" t="n"/>
      <c r="F45" s="11" t="n">
        <v>40</v>
      </c>
      <c r="G45" s="11" t="n"/>
      <c r="H45" s="11" t="n"/>
      <c r="I45" s="11" t="n"/>
      <c r="J45" s="11" t="n"/>
      <c r="K45" s="12" t="n"/>
    </row>
    <row r="46" ht="15.75" customHeight="1">
      <c r="A46" s="4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9" t="n"/>
    </row>
    <row r="47" ht="15.75" customHeight="1">
      <c r="A47" s="1" t="inlineStr">
        <is>
          <t>STAMPS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13" t="n"/>
    </row>
    <row r="48" ht="15.75" customHeight="1">
      <c r="A48" s="7" t="inlineStr">
        <is>
          <t xml:space="preserve">   Particle Collider</t>
        </is>
      </c>
      <c r="B48" s="8" t="inlineStr">
        <is>
          <t>SSS</t>
        </is>
      </c>
      <c r="C48" s="8" t="inlineStr">
        <is>
          <t>TECH</t>
        </is>
      </c>
      <c r="D48" s="5" t="n">
        <v>30</v>
      </c>
      <c r="E48" s="5" t="n"/>
      <c r="F48" s="5" t="n"/>
      <c r="G48" s="5" t="n"/>
      <c r="H48" s="5" t="n">
        <v>30</v>
      </c>
      <c r="I48" s="5" t="n"/>
      <c r="J48" s="5" t="n">
        <v>15</v>
      </c>
      <c r="K48" s="6" t="inlineStr">
        <is>
          <t>Wish Box, Lottery Machine #1 (0.09%), Wishing (0.07%), Tool Chest (0.01%), Grandmaster Scrolls (0.81%), Relic Forge (120 Relic RF)</t>
        </is>
      </c>
    </row>
    <row r="49" ht="15.75" customHeight="1">
      <c r="A49" s="7" t="inlineStr">
        <is>
          <t xml:space="preserve">   Quantum Radio</t>
        </is>
      </c>
      <c r="B49" s="8" t="inlineStr">
        <is>
          <t>SSS</t>
        </is>
      </c>
      <c r="C49" s="8" t="inlineStr">
        <is>
          <t>TECH</t>
        </is>
      </c>
      <c r="D49" s="5" t="n">
        <v>30</v>
      </c>
      <c r="E49" s="5" t="n"/>
      <c r="F49" s="5" t="n">
        <v>30</v>
      </c>
      <c r="G49" s="5" t="n"/>
      <c r="H49" s="5" t="n"/>
      <c r="I49" s="5" t="n"/>
      <c r="J49" s="5" t="n">
        <v>15</v>
      </c>
      <c r="K49" s="9" t="inlineStr">
        <is>
          <t>Super Species Chest (0.03%)</t>
        </is>
      </c>
    </row>
    <row r="50" ht="15.75" customHeight="1">
      <c r="A50" s="7" t="inlineStr">
        <is>
          <t xml:space="preserve">   Tokamak</t>
        </is>
      </c>
      <c r="B50" s="8" t="inlineStr">
        <is>
          <t>SS</t>
        </is>
      </c>
      <c r="C50" s="8" t="inlineStr">
        <is>
          <t>TECH</t>
        </is>
      </c>
      <c r="D50" s="5" t="n">
        <v>30</v>
      </c>
      <c r="E50" s="5" t="n"/>
      <c r="F50" s="5" t="n"/>
      <c r="G50" s="5" t="n"/>
      <c r="H50" s="5" t="n"/>
      <c r="I50" s="5" t="n"/>
      <c r="J50" s="5" t="n">
        <v>15</v>
      </c>
      <c r="K50" s="6" t="inlineStr">
        <is>
          <t>Fragment Crafting (5.2%), Lottery Machine #1 (0.24%), Wishing (1.9%), Master Scrolls (1.9%), Grandmaster Scrolls (2.1%), TECH Master Scrolls (9.2%)</t>
        </is>
      </c>
    </row>
    <row r="51" ht="15.75" customHeight="1">
      <c r="A51" s="4" t="inlineStr">
        <is>
          <t xml:space="preserve">   Relativity Scripts</t>
        </is>
      </c>
      <c r="B51" s="8" t="inlineStr">
        <is>
          <t>SSS</t>
        </is>
      </c>
      <c r="C51" s="8" t="inlineStr">
        <is>
          <t>TECH</t>
        </is>
      </c>
      <c r="D51" s="5" t="n">
        <v>30</v>
      </c>
      <c r="E51" s="5" t="n"/>
      <c r="F51" s="5" t="n">
        <v>30</v>
      </c>
      <c r="G51" s="5" t="n"/>
      <c r="H51" s="5" t="n">
        <v>30</v>
      </c>
      <c r="I51" s="5" t="n"/>
      <c r="J51" s="5" t="n"/>
      <c r="K51" s="6" t="inlineStr">
        <is>
          <t>Wish Box, Lottery Machine #1 (0.09%), Wishing (0.07%), Time Chest (0.01%), Grandmaster Scrolls (0.81%), Relic Forge (120 Relic RF), Indigent Nobleman (810K B-tads)</t>
        </is>
      </c>
    </row>
    <row r="52" ht="15.75" customHeight="1">
      <c r="A52" s="4" t="inlineStr">
        <is>
          <t xml:space="preserve">   Matrix System</t>
        </is>
      </c>
      <c r="B52" s="8" t="inlineStr">
        <is>
          <t>SS</t>
        </is>
      </c>
      <c r="C52" s="8" t="inlineStr">
        <is>
          <t>TECH</t>
        </is>
      </c>
      <c r="D52" s="5" t="n">
        <v>30</v>
      </c>
      <c r="E52" s="5" t="n"/>
      <c r="F52" s="5" t="n"/>
      <c r="G52" s="5" t="n"/>
      <c r="H52" s="5" t="n">
        <v>30</v>
      </c>
      <c r="I52" s="5" t="n"/>
      <c r="J52" s="5" t="n"/>
      <c r="K52" s="6" t="inlineStr">
        <is>
          <t>T7.5 Mecha Gene Research</t>
        </is>
      </c>
    </row>
    <row r="53" ht="15.75" customHeight="1">
      <c r="A53" s="4" t="inlineStr">
        <is>
          <t xml:space="preserve">   Sputnik 1</t>
        </is>
      </c>
      <c r="B53" s="8" t="inlineStr">
        <is>
          <t>SS</t>
        </is>
      </c>
      <c r="C53" s="8" t="inlineStr">
        <is>
          <t>TECH</t>
        </is>
      </c>
      <c r="D53" s="5" t="n"/>
      <c r="E53" s="5" t="n"/>
      <c r="F53" s="5" t="n"/>
      <c r="G53" s="5" t="n"/>
      <c r="H53" s="5" t="n">
        <v>30</v>
      </c>
      <c r="I53" s="5" t="n"/>
      <c r="J53" s="5" t="n"/>
      <c r="K53" s="6" t="inlineStr">
        <is>
          <t>Fragment Crafting (3.9%), Lottery Machine #1 (0.18%), Wishing (0.14%), Club Chest (1%), Grandmaster Scrolls (1.6%)</t>
        </is>
      </c>
    </row>
    <row r="54" ht="15.75" customHeight="1">
      <c r="A54" s="4" t="inlineStr">
        <is>
          <t xml:space="preserve">   SkyWeb Hub</t>
        </is>
      </c>
      <c r="B54" s="8" t="inlineStr">
        <is>
          <t>SS</t>
        </is>
      </c>
      <c r="C54" s="8" t="inlineStr">
        <is>
          <t>TECH</t>
        </is>
      </c>
      <c r="D54" s="5" t="n"/>
      <c r="E54" s="5" t="n"/>
      <c r="F54" s="5" t="n">
        <v>30</v>
      </c>
      <c r="G54" s="5" t="n"/>
      <c r="H54" s="5" t="n">
        <v>30</v>
      </c>
      <c r="I54" s="5" t="n"/>
      <c r="J54" s="5" t="n"/>
      <c r="K54" s="6" t="inlineStr">
        <is>
          <t>Koryeon Domain, Fragment Crafting (5.2%), Lottery Machine #1 (0.24%), Wishing (0.19%), Super Treasure Maps (5%), Master Scrolls (1.9%), Grandmaster Scrolls (2.1%), TECH Master Scrolls (9.2%)</t>
        </is>
      </c>
    </row>
    <row r="55" ht="15.75" customHeight="1">
      <c r="A55" s="4" t="inlineStr">
        <is>
          <t xml:space="preserve">   Edison's Kinetoscope</t>
        </is>
      </c>
      <c r="B55" s="8" t="inlineStr">
        <is>
          <t>S</t>
        </is>
      </c>
      <c r="C55" s="8" t="inlineStr">
        <is>
          <t>TECH</t>
        </is>
      </c>
      <c r="D55" s="5" t="n">
        <v>30</v>
      </c>
      <c r="E55" s="5" t="n"/>
      <c r="F55" s="5" t="n"/>
      <c r="G55" s="5" t="n"/>
      <c r="H55" s="5" t="n"/>
      <c r="I55" s="5" t="n"/>
      <c r="J55" s="5" t="n"/>
      <c r="K55" s="9" t="inlineStr">
        <is>
          <t>Ad Shop</t>
        </is>
      </c>
    </row>
    <row r="56" ht="15.75" customHeight="1">
      <c r="A56" s="4" t="inlineStr">
        <is>
          <t xml:space="preserve">   Babage Engine</t>
        </is>
      </c>
      <c r="B56" s="8" t="inlineStr">
        <is>
          <t>S</t>
        </is>
      </c>
      <c r="C56" s="8" t="inlineStr">
        <is>
          <t>TECH</t>
        </is>
      </c>
      <c r="D56" s="5" t="n"/>
      <c r="E56" s="5" t="n"/>
      <c r="F56" s="5" t="n"/>
      <c r="G56" s="5" t="n"/>
      <c r="H56" s="5" t="n"/>
      <c r="I56" s="5" t="n"/>
      <c r="J56" s="5" t="n">
        <v>15</v>
      </c>
      <c r="K56" s="6" t="inlineStr">
        <is>
          <t>Lottery Machine #1 (0.12%), Wishing (0.1%), Grandmaster Scrolls (1%), Relic Forge (100 Relic RF)</t>
        </is>
      </c>
    </row>
    <row r="57" ht="15.75" customHeight="1">
      <c r="A57" s="4" t="inlineStr">
        <is>
          <t xml:space="preserve">   Hubble Telescope</t>
        </is>
      </c>
      <c r="B57" s="8" t="inlineStr">
        <is>
          <t>S</t>
        </is>
      </c>
      <c r="C57" s="8" t="inlineStr">
        <is>
          <t>TECH</t>
        </is>
      </c>
      <c r="D57" s="5" t="n"/>
      <c r="E57" s="5" t="n"/>
      <c r="F57" s="5" t="n"/>
      <c r="G57" s="5" t="n"/>
      <c r="H57" s="5" t="n"/>
      <c r="I57" s="5" t="n"/>
      <c r="J57" s="5" t="n">
        <v>15</v>
      </c>
      <c r="K57" s="6" t="inlineStr">
        <is>
          <t>Fragment Crafting (17.8%), Lottery Machine #1 (0.80%), Wishing (0.65%), Super Treasure Maps (15%), Relic Forge (90 Relic RF)</t>
        </is>
      </c>
    </row>
    <row r="58" ht="15.75" customHeight="1">
      <c r="A58" s="4" t="inlineStr">
        <is>
          <t xml:space="preserve">   AMS</t>
        </is>
      </c>
      <c r="B58" s="8" t="inlineStr">
        <is>
          <t>SS</t>
        </is>
      </c>
      <c r="C58" s="8" t="inlineStr">
        <is>
          <t>TECH</t>
        </is>
      </c>
      <c r="D58" s="5" t="n"/>
      <c r="E58" s="5" t="n"/>
      <c r="F58" s="5" t="n"/>
      <c r="G58" s="5" t="n"/>
      <c r="H58" s="5" t="n">
        <v>30</v>
      </c>
      <c r="I58" s="5" t="n"/>
      <c r="J58" s="5" t="n"/>
      <c r="K58" s="23" t="inlineStr">
        <is>
          <t>Lottery Machine #2 (0.47%), Indigent Nobleman (570K B-tads)</t>
        </is>
      </c>
    </row>
    <row r="59" ht="15.75" customHeight="1">
      <c r="A59" s="4" t="inlineStr">
        <is>
          <t xml:space="preserve">   CRISPR</t>
        </is>
      </c>
      <c r="B59" s="8" t="inlineStr">
        <is>
          <t>S</t>
        </is>
      </c>
      <c r="C59" s="8" t="inlineStr">
        <is>
          <t>TECH</t>
        </is>
      </c>
      <c r="D59" s="5" t="n"/>
      <c r="E59" s="5" t="n"/>
      <c r="F59" s="5" t="n"/>
      <c r="G59" s="5" t="n"/>
      <c r="H59" s="5" t="n">
        <v>30</v>
      </c>
      <c r="I59" s="5" t="n"/>
      <c r="J59" s="5" t="n"/>
      <c r="K59" s="23" t="inlineStr">
        <is>
          <t>Lottery Machine #2 (1.59%)</t>
        </is>
      </c>
    </row>
    <row r="60" ht="15.75" customHeight="1">
      <c r="A60" s="4" t="inlineStr">
        <is>
          <t xml:space="preserve">   Morse's Telegraph</t>
        </is>
      </c>
      <c r="B60" s="8" t="inlineStr">
        <is>
          <t>SS</t>
        </is>
      </c>
      <c r="C60" s="8" t="inlineStr">
        <is>
          <t>TECH</t>
        </is>
      </c>
      <c r="D60" s="5" t="n"/>
      <c r="E60" s="5" t="n"/>
      <c r="F60" s="5" t="n">
        <v>30</v>
      </c>
      <c r="G60" s="5" t="n"/>
      <c r="H60" s="5" t="n"/>
      <c r="I60" s="5" t="n"/>
      <c r="J60" s="5" t="n"/>
      <c r="K60" s="6" t="inlineStr">
        <is>
          <t>Fragment Crafting (5.2%), Lottery Machine #1 (0.24%), Wishing (0.19%), Tool Chest (1%), Master Scrolls (1.9%), Grandmaster Scrolls (2.1%), TECH Master Scrolls (9.2%)</t>
        </is>
      </c>
    </row>
    <row r="61" ht="15.75" customHeight="1">
      <c r="A61" s="4" t="inlineStr">
        <is>
          <t xml:space="preserve">   Era Magazine Vol. 1</t>
        </is>
      </c>
      <c r="B61" s="8" t="inlineStr">
        <is>
          <t>SS</t>
        </is>
      </c>
      <c r="C61" s="8" t="inlineStr">
        <is>
          <t>CIV</t>
        </is>
      </c>
      <c r="D61" s="5" t="n"/>
      <c r="E61" s="5" t="n"/>
      <c r="F61" s="5" t="n"/>
      <c r="G61" s="5" t="n"/>
      <c r="H61" s="5" t="n"/>
      <c r="I61" s="5" t="n"/>
      <c r="J61" s="5" t="n">
        <v>15</v>
      </c>
      <c r="K61" s="6" t="inlineStr">
        <is>
          <t>Lottery Machine #1 (0.12%), Wishing (0.1%), Ad Chest (1%), Grandmaster Scrolls (1%), Relic Forge (100 Relic RF)</t>
        </is>
      </c>
    </row>
    <row r="62" ht="15.75" customHeight="1">
      <c r="A62" s="4" t="inlineStr">
        <is>
          <t xml:space="preserve">   The School of Athens</t>
        </is>
      </c>
      <c r="B62" s="8" t="inlineStr">
        <is>
          <t>SS</t>
        </is>
      </c>
      <c r="C62" s="8" t="inlineStr">
        <is>
          <t>ART</t>
        </is>
      </c>
      <c r="D62" s="5" t="n"/>
      <c r="E62" s="5" t="n"/>
      <c r="F62" s="5" t="n"/>
      <c r="G62" s="5" t="n"/>
      <c r="H62" s="5" t="n"/>
      <c r="I62" s="5" t="n"/>
      <c r="J62" s="5" t="n">
        <v>15</v>
      </c>
      <c r="K62" s="6" t="inlineStr">
        <is>
          <t>Fragment Crafting (5.3%), Lottery Machine #1 (0.24%), Wishing (0.2%), Super Treasure Maps (5%), Master Scrolls (1.9%), Grandmaster Scrolls (2.1%), ART Master Scrolls (10.2%)</t>
        </is>
      </c>
    </row>
    <row r="63" ht="15.75" customHeight="1">
      <c r="A63" s="4" t="inlineStr">
        <is>
          <t xml:space="preserve">   Eye of Akamoddo</t>
        </is>
      </c>
      <c r="B63" s="8" t="inlineStr">
        <is>
          <t>SS</t>
        </is>
      </c>
      <c r="C63" s="8" t="inlineStr">
        <is>
          <t>FTH</t>
        </is>
      </c>
      <c r="D63" s="5" t="n"/>
      <c r="E63" s="5" t="n"/>
      <c r="F63" s="5" t="n"/>
      <c r="G63" s="5" t="n"/>
      <c r="H63" s="5" t="n"/>
      <c r="I63" s="5" t="n"/>
      <c r="J63" s="5" t="n">
        <v>15</v>
      </c>
      <c r="K63" s="6" t="inlineStr">
        <is>
          <t>Fragment Crafting (4.4%), Lottery Machine #1 (0.24%), Wishing (0.16%), Time Chest (1%), Master Scrolls (1.9%), Grandmaster Scrolls (2.1%), FTH Master Scrolls (9.2%)</t>
        </is>
      </c>
    </row>
    <row r="64" ht="15.75" customHeight="1">
      <c r="A64" s="4" t="inlineStr">
        <is>
          <t xml:space="preserve">   Ape's Footprint Fossil</t>
        </is>
      </c>
      <c r="B64" s="8" t="inlineStr">
        <is>
          <t>SS</t>
        </is>
      </c>
      <c r="C64" s="24" t="inlineStr">
        <is>
          <t>FAME</t>
        </is>
      </c>
      <c r="D64" s="5" t="n"/>
      <c r="E64" s="5" t="n"/>
      <c r="F64" s="5" t="n">
        <v>30</v>
      </c>
      <c r="G64" s="5" t="n"/>
      <c r="H64" s="5" t="n"/>
      <c r="I64" s="5" t="n"/>
      <c r="J64" s="5" t="n"/>
      <c r="K64" s="9" t="inlineStr">
        <is>
          <t>Super Species Chest (2.4%)</t>
        </is>
      </c>
    </row>
    <row r="65" ht="15.75" customHeight="1">
      <c r="A65" s="4" t="inlineStr">
        <is>
          <t xml:space="preserve">   Koh-i-Noor Diamond</t>
        </is>
      </c>
      <c r="B65" s="8" t="inlineStr">
        <is>
          <t>S</t>
        </is>
      </c>
      <c r="C65" s="8" t="inlineStr">
        <is>
          <t>ART</t>
        </is>
      </c>
      <c r="D65" s="5" t="n"/>
      <c r="E65" s="5" t="n"/>
      <c r="F65" s="5" t="n">
        <v>30</v>
      </c>
      <c r="G65" s="5" t="n"/>
      <c r="H65" s="5" t="n"/>
      <c r="I65" s="5" t="n"/>
      <c r="J65" s="5" t="n"/>
      <c r="K65" s="6" t="inlineStr">
        <is>
          <t>Fragment Crafting (18.1%), Lottery Machine #1 (0.81%), Wishing (0.68%), Master Scrolls (6.5%), ART Master Scrolls (34.7%), Relic Forge (90 Relic RF)</t>
        </is>
      </c>
    </row>
    <row r="66" ht="15.75" customHeight="1">
      <c r="A66" s="4" t="inlineStr">
        <is>
          <t xml:space="preserve">   Notre Dame Bell</t>
        </is>
      </c>
      <c r="B66" s="8" t="inlineStr">
        <is>
          <t>S</t>
        </is>
      </c>
      <c r="C66" s="8" t="inlineStr">
        <is>
          <t>CIV</t>
        </is>
      </c>
      <c r="D66" s="5" t="n"/>
      <c r="E66" s="5" t="n"/>
      <c r="F66" s="5" t="n">
        <v>30</v>
      </c>
      <c r="G66" s="5" t="n"/>
      <c r="H66" s="5" t="n"/>
      <c r="I66" s="5" t="n"/>
      <c r="J66" s="5" t="n"/>
      <c r="K66" s="6" t="inlineStr">
        <is>
          <t>Fragment Crafting (18.8%), Lottery Machine #1 (0.81%), Wishing (0.69%), Relic Forge (90 Relic RF)</t>
        </is>
      </c>
    </row>
    <row r="67" ht="15.75" customHeight="1">
      <c r="A67" s="10" t="inlineStr">
        <is>
          <t>MAX MACHINE STAMPS</t>
        </is>
      </c>
      <c r="B67" s="11" t="n"/>
      <c r="C67" s="11" t="n"/>
      <c r="D67" s="11">
        <f>D50+D48+D49</f>
        <v/>
      </c>
      <c r="E67" s="11" t="n"/>
      <c r="F67" s="11">
        <f>F50+F48+F49</f>
        <v/>
      </c>
      <c r="G67" s="11" t="n"/>
      <c r="H67" s="11">
        <f>H50+H48+H49</f>
        <v/>
      </c>
      <c r="I67" s="11" t="n"/>
      <c r="J67" s="11">
        <f>J50+J48+J49</f>
        <v/>
      </c>
      <c r="K67" s="20" t="n"/>
    </row>
    <row r="68" ht="15.75" customHeight="1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6" t="n"/>
    </row>
    <row r="69" ht="15.75" customHeight="1">
      <c r="A69" s="25" t="inlineStr">
        <is>
          <t>RESONANCE</t>
        </is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3" t="n"/>
    </row>
    <row r="70" ht="15.75" customHeight="1">
      <c r="A70" s="4" t="inlineStr">
        <is>
          <t xml:space="preserve">  BLUE </t>
        </is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6" t="n"/>
    </row>
    <row r="71" ht="15.75" customHeight="1">
      <c r="A71" s="4" t="inlineStr">
        <is>
          <t xml:space="preserve">    Output</t>
        </is>
      </c>
      <c r="B71" s="5" t="n"/>
      <c r="C71" s="5" t="n"/>
      <c r="D71" s="5" t="n">
        <v>18</v>
      </c>
      <c r="E71" s="5" t="n"/>
      <c r="F71" s="5" t="n"/>
      <c r="G71" s="5" t="n"/>
      <c r="H71" s="5" t="n"/>
      <c r="I71" s="5" t="n"/>
      <c r="J71" s="5" t="n"/>
      <c r="K71" s="6" t="n"/>
    </row>
    <row r="72" ht="15.75" customHeight="1">
      <c r="A72" s="4" t="inlineStr">
        <is>
          <t xml:space="preserve">      Star of David</t>
        </is>
      </c>
      <c r="B72" s="8" t="inlineStr">
        <is>
          <t>Blue</t>
        </is>
      </c>
      <c r="C72" s="8" t="inlineStr">
        <is>
          <t>FTH</t>
        </is>
      </c>
      <c r="D72" s="5" t="n"/>
      <c r="E72" s="5" t="n"/>
      <c r="F72" s="5" t="n"/>
      <c r="G72" s="5" t="n"/>
      <c r="H72" s="5" t="n"/>
      <c r="I72" s="5" t="n"/>
      <c r="J72" s="5" t="n"/>
      <c r="K72" s="9" t="inlineStr">
        <is>
          <t>Angel Gene Research T2</t>
        </is>
      </c>
    </row>
    <row r="73" ht="15.75" customHeight="1">
      <c r="A73" s="4" t="inlineStr">
        <is>
          <t xml:space="preserve">      Benin Statue</t>
        </is>
      </c>
      <c r="B73" s="8" t="inlineStr">
        <is>
          <t>Blue</t>
        </is>
      </c>
      <c r="C73" s="8" t="inlineStr">
        <is>
          <t>ART</t>
        </is>
      </c>
      <c r="D73" s="5" t="n"/>
      <c r="E73" s="5" t="n"/>
      <c r="F73" s="5" t="n"/>
      <c r="G73" s="5" t="n"/>
      <c r="H73" s="5" t="n"/>
      <c r="I73" s="5" t="n"/>
      <c r="J73" s="5" t="n"/>
      <c r="K73" s="6" t="inlineStr">
        <is>
          <t>Lottery Machine #1 (0.03%), Wishing (1.2%)</t>
        </is>
      </c>
    </row>
    <row r="74" ht="15.75" customHeight="1">
      <c r="A74" s="4" t="inlineStr">
        <is>
          <t xml:space="preserve">      Chronometer</t>
        </is>
      </c>
      <c r="B74" s="8" t="inlineStr">
        <is>
          <t>Blue</t>
        </is>
      </c>
      <c r="C74" s="8" t="inlineStr">
        <is>
          <t>TECH</t>
        </is>
      </c>
      <c r="D74" s="5" t="n"/>
      <c r="E74" s="5" t="n"/>
      <c r="F74" s="5" t="n"/>
      <c r="G74" s="5" t="n"/>
      <c r="H74" s="5" t="n"/>
      <c r="I74" s="5" t="n"/>
      <c r="J74" s="5" t="n"/>
      <c r="K74" s="6" t="inlineStr">
        <is>
          <t>Lottery Machine #1 (0.03%), Wishing (1.1%), Tool Chest (2%)</t>
        </is>
      </c>
    </row>
    <row r="75" ht="15.75" customHeight="1">
      <c r="A75" s="4" t="inlineStr">
        <is>
          <t xml:space="preserve">      Sholes' Typewriter</t>
        </is>
      </c>
      <c r="B75" s="8" t="inlineStr">
        <is>
          <t>Blue</t>
        </is>
      </c>
      <c r="C75" s="8" t="inlineStr">
        <is>
          <t>CIV</t>
        </is>
      </c>
      <c r="D75" s="5" t="n"/>
      <c r="E75" s="5" t="n"/>
      <c r="F75" s="5" t="n"/>
      <c r="G75" s="5" t="n"/>
      <c r="H75" s="5" t="n"/>
      <c r="I75" s="5" t="n"/>
      <c r="J75" s="5" t="n"/>
      <c r="K75" s="6" t="inlineStr">
        <is>
          <t>Lottery Machine #1 (0.03%), Wishing (0.82%)</t>
        </is>
      </c>
    </row>
    <row r="76" ht="15.75" customHeight="1">
      <c r="A76" s="4" t="inlineStr">
        <is>
          <t xml:space="preserve">      Churchill's Cigar</t>
        </is>
      </c>
      <c r="B76" s="8" t="inlineStr">
        <is>
          <t>Blue</t>
        </is>
      </c>
      <c r="C76" s="24" t="inlineStr">
        <is>
          <t>FAME</t>
        </is>
      </c>
      <c r="D76" s="5" t="n"/>
      <c r="E76" s="5" t="n"/>
      <c r="F76" s="5" t="n"/>
      <c r="G76" s="5" t="n"/>
      <c r="H76" s="5" t="n"/>
      <c r="I76" s="5" t="n"/>
      <c r="J76" s="5" t="n"/>
      <c r="K76" s="6" t="inlineStr">
        <is>
          <t>Lottery Machine #1 (0.07%), Wishing (3.1%), Trainee Scrolls (1%)</t>
        </is>
      </c>
    </row>
    <row r="77" ht="15.75" customHeight="1">
      <c r="A77" s="4" t="inlineStr">
        <is>
          <t xml:space="preserve">      Traveler Manual</t>
        </is>
      </c>
      <c r="B77" s="8" t="inlineStr">
        <is>
          <t>Blue</t>
        </is>
      </c>
      <c r="C77" s="8" t="inlineStr">
        <is>
          <t>CIV</t>
        </is>
      </c>
      <c r="D77" s="5" t="n"/>
      <c r="E77" s="5" t="n"/>
      <c r="F77" s="5" t="n"/>
      <c r="G77" s="5" t="n"/>
      <c r="H77" s="5" t="n"/>
      <c r="I77" s="5" t="n"/>
      <c r="J77" s="5" t="n"/>
      <c r="K77" s="6" t="inlineStr">
        <is>
          <t>Finish Traveler tasks (Tutorial)</t>
        </is>
      </c>
    </row>
    <row r="78" ht="15.75" customHeight="1">
      <c r="A78" s="4" t="inlineStr">
        <is>
          <t xml:space="preserve">    Time Chest</t>
        </is>
      </c>
      <c r="B78" s="5" t="n"/>
      <c r="C78" s="5" t="n"/>
      <c r="D78" s="5" t="n"/>
      <c r="E78" s="5" t="n"/>
      <c r="F78" s="5" t="n"/>
      <c r="G78" s="5" t="n"/>
      <c r="H78" s="5" t="n">
        <v>14</v>
      </c>
      <c r="I78" s="5" t="n"/>
      <c r="J78" s="5" t="n"/>
      <c r="K78" s="6" t="n"/>
    </row>
    <row r="79" ht="15.75" customHeight="1">
      <c r="A79" s="4" t="inlineStr">
        <is>
          <t xml:space="preserve">      Golden Fleece</t>
        </is>
      </c>
      <c r="B79" s="8" t="inlineStr">
        <is>
          <t>Blue</t>
        </is>
      </c>
      <c r="C79" s="8" t="inlineStr">
        <is>
          <t>FTH</t>
        </is>
      </c>
      <c r="D79" s="5" t="n"/>
      <c r="E79" s="5" t="n"/>
      <c r="F79" s="5" t="n"/>
      <c r="G79" s="5" t="n"/>
      <c r="H79" s="5" t="n"/>
      <c r="I79" s="5" t="n"/>
      <c r="J79" s="5" t="n"/>
      <c r="K79" s="6" t="inlineStr">
        <is>
          <t>Lottery Machine #1 (0.03%), Wishing (0.85%)</t>
        </is>
      </c>
    </row>
    <row r="80" ht="15.75" customHeight="1">
      <c r="A80" s="4" t="inlineStr">
        <is>
          <t xml:space="preserve">      Bronze Bird</t>
        </is>
      </c>
      <c r="B80" s="8" t="inlineStr">
        <is>
          <t>Blue</t>
        </is>
      </c>
      <c r="C80" s="24" t="inlineStr">
        <is>
          <t>FAME</t>
        </is>
      </c>
      <c r="D80" s="5" t="n"/>
      <c r="E80" s="5" t="n"/>
      <c r="F80" s="5" t="n"/>
      <c r="G80" s="5" t="n"/>
      <c r="H80" s="5" t="n"/>
      <c r="I80" s="5" t="n"/>
      <c r="J80" s="5" t="n"/>
      <c r="K80" s="6" t="inlineStr">
        <is>
          <t>Cathay Treasure Map (20%)</t>
        </is>
      </c>
    </row>
    <row r="81" ht="15.75" customHeight="1">
      <c r="A81" s="4" t="inlineStr">
        <is>
          <t xml:space="preserve">      Seismograph</t>
        </is>
      </c>
      <c r="B81" s="8" t="inlineStr">
        <is>
          <t>Blue</t>
        </is>
      </c>
      <c r="C81" s="8" t="inlineStr">
        <is>
          <t>TECH</t>
        </is>
      </c>
      <c r="D81" s="5" t="n"/>
      <c r="E81" s="5" t="n"/>
      <c r="F81" s="5" t="n"/>
      <c r="G81" s="5" t="n"/>
      <c r="H81" s="5" t="n"/>
      <c r="I81" s="5" t="n"/>
      <c r="J81" s="5" t="n"/>
      <c r="K81" s="6" t="inlineStr">
        <is>
          <t>Lottery Machine #1 (0.07%), Wishing (2.1%), Novice Scroll (1%)</t>
        </is>
      </c>
    </row>
    <row r="82" ht="15.75" customHeight="1">
      <c r="A82" s="4" t="inlineStr">
        <is>
          <t xml:space="preserve">      Enigma Machine</t>
        </is>
      </c>
      <c r="B82" s="8" t="inlineStr">
        <is>
          <t>Blue</t>
        </is>
      </c>
      <c r="C82" s="8" t="inlineStr">
        <is>
          <t>TECH</t>
        </is>
      </c>
      <c r="D82" s="5" t="n"/>
      <c r="E82" s="5" t="n"/>
      <c r="F82" s="5" t="n"/>
      <c r="G82" s="5" t="n"/>
      <c r="H82" s="5" t="n"/>
      <c r="I82" s="5" t="n"/>
      <c r="J82" s="5" t="n"/>
      <c r="K82" s="6" t="inlineStr">
        <is>
          <t>Lottery Machine #1 (0.03%), Wishing (1.1%)</t>
        </is>
      </c>
    </row>
    <row r="83" ht="15.75" customHeight="1">
      <c r="A83" s="4" t="inlineStr">
        <is>
          <t xml:space="preserve">  PURPLE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6" t="n"/>
    </row>
    <row r="84" ht="15.75" customHeight="1">
      <c r="A84" s="4" t="inlineStr">
        <is>
          <t xml:space="preserve">    Output</t>
        </is>
      </c>
      <c r="B84" s="5" t="n"/>
      <c r="C84" s="5" t="n"/>
      <c r="D84" s="5" t="n">
        <v>12</v>
      </c>
      <c r="E84" s="5" t="n"/>
      <c r="F84" s="5" t="n"/>
      <c r="G84" s="5" t="n"/>
      <c r="H84" s="5" t="n"/>
      <c r="I84" s="5" t="n"/>
      <c r="J84" s="5" t="n"/>
      <c r="K84" s="6" t="n"/>
    </row>
    <row r="85" ht="15.75" customHeight="1">
      <c r="A85" s="4" t="inlineStr">
        <is>
          <t xml:space="preserve">      Galileo's Ball</t>
        </is>
      </c>
      <c r="B85" s="8" t="inlineStr">
        <is>
          <t>AAA</t>
        </is>
      </c>
      <c r="C85" s="24" t="inlineStr">
        <is>
          <t>FAME</t>
        </is>
      </c>
      <c r="D85" s="5" t="n"/>
      <c r="E85" s="5" t="n"/>
      <c r="F85" s="5" t="n"/>
      <c r="G85" s="5" t="n"/>
      <c r="H85" s="5" t="n"/>
      <c r="I85" s="5" t="n"/>
      <c r="J85" s="5" t="n"/>
      <c r="K85" s="6" t="inlineStr">
        <is>
          <t>Fragment Crafting (1.6%), Lottery Machine #1 (0.03%), Wishing (0.14%), Relic Forge (80 Relic RF)</t>
        </is>
      </c>
    </row>
    <row r="86" ht="15.75" customHeight="1">
      <c r="A86" s="4" t="inlineStr">
        <is>
          <t xml:space="preserve">      Armstrong's Footprint</t>
        </is>
      </c>
      <c r="B86" s="8" t="inlineStr">
        <is>
          <t>AA</t>
        </is>
      </c>
      <c r="C86" s="24" t="inlineStr">
        <is>
          <t>FAME</t>
        </is>
      </c>
      <c r="D86" s="5" t="n"/>
      <c r="E86" s="5" t="n"/>
      <c r="F86" s="5" t="n"/>
      <c r="G86" s="5" t="n"/>
      <c r="H86" s="5" t="n"/>
      <c r="I86" s="5" t="n"/>
      <c r="J86" s="5" t="n"/>
      <c r="K86" s="6" t="inlineStr">
        <is>
          <t>Fragment Crafting (3.9%), Lottery Machine #1 (0.08%), Wishing (0.35%), Expert Scrolls (0.95%)</t>
        </is>
      </c>
    </row>
    <row r="87" ht="15.75" customHeight="1">
      <c r="A87" s="4" t="inlineStr">
        <is>
          <t xml:space="preserve">    Time Chest</t>
        </is>
      </c>
      <c r="B87" s="5" t="n"/>
      <c r="C87" s="5" t="n"/>
      <c r="D87" s="5" t="n"/>
      <c r="E87" s="5" t="n"/>
      <c r="F87" s="5" t="n"/>
      <c r="G87" s="5" t="n"/>
      <c r="H87" s="5" t="n">
        <v>12</v>
      </c>
      <c r="I87" s="5" t="n"/>
      <c r="J87" s="5" t="n"/>
      <c r="K87" s="6" t="n"/>
    </row>
    <row r="88" ht="15.75" customHeight="1">
      <c r="A88" s="4" t="inlineStr">
        <is>
          <t xml:space="preserve">      Prince's Rose</t>
        </is>
      </c>
      <c r="B88" s="8" t="inlineStr">
        <is>
          <t>AA</t>
        </is>
      </c>
      <c r="C88" s="8" t="inlineStr">
        <is>
          <t>CIV</t>
        </is>
      </c>
      <c r="D88" s="5" t="n"/>
      <c r="E88" s="5" t="n"/>
      <c r="F88" s="5" t="n"/>
      <c r="G88" s="5" t="n"/>
      <c r="H88" s="5" t="n"/>
      <c r="I88" s="5" t="n"/>
      <c r="J88" s="5" t="n"/>
      <c r="K88" s="6" t="inlineStr">
        <is>
          <t>Fragment Crafting (3.7%), Lottery Machine #1 (0.8%), Wishing (0.34%), Fungus Chest (1.5%), Expert Scrolls (0.95%)</t>
        </is>
      </c>
    </row>
    <row r="89" ht="15.75" customHeight="1">
      <c r="A89" s="4" t="inlineStr">
        <is>
          <t xml:space="preserve">      Lennon's Guitar</t>
        </is>
      </c>
      <c r="B89" s="8" t="inlineStr">
        <is>
          <t>AAA</t>
        </is>
      </c>
      <c r="C89" s="8" t="inlineStr">
        <is>
          <t>CIV</t>
        </is>
      </c>
      <c r="D89" s="5" t="n"/>
      <c r="E89" s="5" t="n"/>
      <c r="F89" s="5" t="n"/>
      <c r="G89" s="5" t="n"/>
      <c r="H89" s="5" t="n"/>
      <c r="I89" s="5" t="n"/>
      <c r="J89" s="5" t="n"/>
      <c r="K89" s="6" t="inlineStr">
        <is>
          <t>Fragment Crafting (1.5%), Lottery Machine #1 (0.03%), Wishing (0.14%), Relic Forge (80 Relic RF)</t>
        </is>
      </c>
    </row>
    <row r="90" ht="15.75" customHeight="1">
      <c r="A90" s="4" t="inlineStr">
        <is>
          <t xml:space="preserve">  ORANGE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6" t="n"/>
    </row>
    <row r="91" ht="15.75" customHeight="1">
      <c r="A91" s="4" t="inlineStr">
        <is>
          <t xml:space="preserve">    Output</t>
        </is>
      </c>
      <c r="B91" s="5" t="n"/>
      <c r="C91" s="5" t="n"/>
      <c r="D91" s="5" t="n">
        <v>16</v>
      </c>
      <c r="E91" s="5" t="n"/>
      <c r="F91" s="5" t="n"/>
      <c r="G91" s="5" t="n"/>
      <c r="H91" s="5" t="n"/>
      <c r="I91" s="5" t="n"/>
      <c r="J91" s="5" t="n"/>
      <c r="K91" s="6" t="n"/>
    </row>
    <row r="92" ht="15.75" customHeight="1">
      <c r="A92" s="4" t="inlineStr">
        <is>
          <t xml:space="preserve">      Artificial Black Hole</t>
        </is>
      </c>
      <c r="B92" s="8" t="inlineStr">
        <is>
          <t>SSS</t>
        </is>
      </c>
      <c r="C92" s="8" t="inlineStr">
        <is>
          <t>TECH</t>
        </is>
      </c>
      <c r="D92" s="5" t="n"/>
      <c r="E92" s="5" t="n"/>
      <c r="F92" s="5" t="n"/>
      <c r="G92" s="5" t="n"/>
      <c r="H92" s="5" t="n"/>
      <c r="I92" s="5" t="n"/>
      <c r="J92" s="5" t="n"/>
      <c r="K92" s="6" t="inlineStr">
        <is>
          <t>Wish Box, Lottery Machine #1 (0.09%), Wishing (0.07%), Demon God Chest (0.1%), Grandmaster Scrolls (0.81%), Relic Forge (120 Relic RF), Nebula Chest (0.01%)</t>
        </is>
      </c>
    </row>
    <row r="93" ht="15.75" customHeight="1">
      <c r="A93" s="4" t="inlineStr">
        <is>
          <t xml:space="preserve">      Particle Collider</t>
        </is>
      </c>
      <c r="B93" s="8" t="inlineStr">
        <is>
          <t>SSS</t>
        </is>
      </c>
      <c r="C93" s="8" t="inlineStr">
        <is>
          <t>TECH</t>
        </is>
      </c>
      <c r="D93" s="5" t="n"/>
      <c r="E93" s="5" t="n"/>
      <c r="F93" s="5" t="n"/>
      <c r="G93" s="5" t="n"/>
      <c r="H93" s="5" t="n"/>
      <c r="I93" s="5" t="n"/>
      <c r="J93" s="5" t="n"/>
      <c r="K93" s="6" t="inlineStr">
        <is>
          <t>Wish Box, Lottery Machine #1 (0.09%), Wishing (0.07%), Tool Chest (0.01%), Grandmaster Scrolls (0.81%), Relic Forge (120 Relic RF)</t>
        </is>
      </c>
    </row>
    <row r="94" ht="15.75" customHeight="1">
      <c r="A94" s="4" t="inlineStr">
        <is>
          <t xml:space="preserve">      Lotus Chalice</t>
        </is>
      </c>
      <c r="B94" s="8" t="inlineStr">
        <is>
          <t>SSS</t>
        </is>
      </c>
      <c r="C94" s="8" t="inlineStr">
        <is>
          <t>ART</t>
        </is>
      </c>
      <c r="D94" s="5" t="n"/>
      <c r="E94" s="5" t="n"/>
      <c r="F94" s="5" t="n"/>
      <c r="G94" s="5" t="n"/>
      <c r="H94" s="5" t="n"/>
      <c r="I94" s="5" t="n"/>
      <c r="J94" s="5" t="n"/>
      <c r="K94" s="6" t="inlineStr">
        <is>
          <t>Wish Pack, Lottery Machine #1 (0.09%), Wishing (0.08%), Kemetic Treasure Chests (0.01%), Grandmaster Scrolls (0.81%), Relic Forge (120 Relic RF)</t>
        </is>
      </c>
    </row>
    <row r="95" ht="15.75" customHeight="1">
      <c r="A95" s="4" t="inlineStr">
        <is>
          <t xml:space="preserve">    Time Chest</t>
        </is>
      </c>
      <c r="B95" s="5" t="n"/>
      <c r="C95" s="5" t="n"/>
      <c r="D95" s="5" t="n"/>
      <c r="E95" s="5" t="n"/>
      <c r="F95" s="5" t="n"/>
      <c r="G95" s="5" t="n"/>
      <c r="H95" s="5" t="n">
        <v>16</v>
      </c>
      <c r="I95" s="5" t="n"/>
      <c r="J95" s="5" t="n"/>
      <c r="K95" s="6" t="n"/>
    </row>
    <row r="96" ht="15.75" customHeight="1">
      <c r="A96" s="4" t="inlineStr">
        <is>
          <t xml:space="preserve">      King Dangun Statue</t>
        </is>
      </c>
      <c r="B96" s="8" t="inlineStr">
        <is>
          <t>S</t>
        </is>
      </c>
      <c r="C96" s="8" t="inlineStr">
        <is>
          <t>FTH</t>
        </is>
      </c>
      <c r="D96" s="5" t="n"/>
      <c r="E96" s="5" t="n"/>
      <c r="F96" s="5" t="n"/>
      <c r="G96" s="5" t="n"/>
      <c r="H96" s="5" t="n"/>
      <c r="I96" s="5" t="n"/>
      <c r="J96" s="5" t="n"/>
      <c r="K96" s="6" t="inlineStr">
        <is>
          <t>Fragment Crafting (15.1%), Lottery Machine #1 (0.81%), Wishing (0.81%), Koryeo Treasure Map (5%), Relic Forge (90 Relic RF), Museum Value Pack I ($14.99)</t>
        </is>
      </c>
    </row>
    <row r="97" ht="15.75" customHeight="1">
      <c r="A97" s="4" t="inlineStr">
        <is>
          <t xml:space="preserve">      Causality</t>
        </is>
      </c>
      <c r="B97" s="8" t="inlineStr">
        <is>
          <t>SS</t>
        </is>
      </c>
      <c r="C97" s="8" t="inlineStr">
        <is>
          <t>TECH</t>
        </is>
      </c>
      <c r="D97" s="5" t="n"/>
      <c r="E97" s="5" t="n"/>
      <c r="F97" s="5" t="n"/>
      <c r="G97" s="5" t="n"/>
      <c r="H97" s="5" t="n"/>
      <c r="I97" s="5" t="n"/>
      <c r="J97" s="5" t="n"/>
      <c r="K97" s="6" t="inlineStr">
        <is>
          <t>Fragment Crafting (3.9%), Lottery Machine #1 (0.18%), Alchemy Furnace (0.14%), Grandmaster Scrolls (1.6%)</t>
        </is>
      </c>
    </row>
    <row r="98" ht="15.75" customHeight="1">
      <c r="A98" s="4" t="inlineStr">
        <is>
          <t xml:space="preserve">      Liberty Guide People</t>
        </is>
      </c>
      <c r="B98" s="8" t="inlineStr">
        <is>
          <t>SS</t>
        </is>
      </c>
      <c r="C98" s="8" t="inlineStr">
        <is>
          <t>ART</t>
        </is>
      </c>
      <c r="D98" s="5" t="n"/>
      <c r="E98" s="5" t="n"/>
      <c r="F98" s="5" t="n"/>
      <c r="G98" s="5" t="n"/>
      <c r="H98" s="5" t="n"/>
      <c r="I98" s="5" t="n"/>
      <c r="J98" s="5" t="n"/>
      <c r="K98" s="6" t="inlineStr">
        <is>
          <t>Fragment Crafting (5.3%), Lottery Machine #1 (0.24%), Wishing (0.2%), Dragon Chest (5%), Master Scrolls (1.9%), Grandmaster Scrolls (2.1%), ART Master Scrolls (10.2%)</t>
        </is>
      </c>
    </row>
    <row r="99" ht="15.75" customHeight="1">
      <c r="A99" s="10" t="inlineStr">
        <is>
          <t>MAX RESONANCE</t>
        </is>
      </c>
      <c r="B99" s="11" t="n"/>
      <c r="C99" s="11" t="n"/>
      <c r="D99" s="11">
        <f>SUM(D70:D98)</f>
        <v/>
      </c>
      <c r="E99" s="11" t="n"/>
      <c r="F99" s="11">
        <f>SUM(F70:F98)</f>
        <v/>
      </c>
      <c r="G99" s="11" t="n"/>
      <c r="H99" s="11">
        <f>SUM(H70:H98)</f>
        <v/>
      </c>
      <c r="I99" s="11" t="n"/>
      <c r="J99" s="11" t="n"/>
      <c r="K99" s="20" t="n"/>
    </row>
    <row r="100" ht="15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 ht="15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 ht="15.75" customHeight="1">
      <c r="A102" s="26" t="inlineStr">
        <is>
          <t>Total Travel Speedup Output</t>
        </is>
      </c>
      <c r="B102" s="26">
        <f>D18+D21+D67+D99+D30+D39+D24+D45+D33+D42+D27</f>
        <v/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 ht="15.75" customHeight="1">
      <c r="A103" s="26" t="inlineStr">
        <is>
          <t>Total Travel Speedup Cap</t>
        </is>
      </c>
      <c r="B103" s="26">
        <f>F18+F21+F67+F99+F24+F30+F39+F45+F42</f>
        <v/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  <row r="104" ht="15.75" customHeight="1">
      <c r="A104" s="26" t="inlineStr">
        <is>
          <t>Total Time Chest Gen</t>
        </is>
      </c>
      <c r="B104" s="26">
        <f>H18+H67+H99+H21+H24+H30+H39+H45</f>
        <v/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2026-04-25T21:15:15Z</dcterms:created>
  <dcterms:modified xmlns:dcterms="http://purl.org/dc/terms/" xmlns:xsi="http://www.w3.org/2001/XMLSchema-instance" xsi:type="dcterms:W3CDTF">2026-04-25T21:15:16Z</dcterms:modified>
</cp:coreProperties>
</file>