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um A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FF000000"/>
      <sz val="12"/>
    </font>
    <font>
      <name val="Calibri"/>
      <b val="1"/>
      <color rgb="FF000000"/>
      <sz val="12"/>
    </font>
    <font>
      <name val="Calibri"/>
      <color rgb="FFFF0000"/>
      <sz val="12"/>
    </font>
    <font>
      <name val="Calibri"/>
      <color theme="1"/>
      <sz val="12"/>
    </font>
    <font>
      <name val="Calibri"/>
      <strike val="1"/>
      <color rgb="FFFF0000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5" applyAlignment="1" pivotButton="0" quotePrefix="0" xfId="0">
      <alignment horizontal="right" vertical="bottom"/>
    </xf>
    <xf numFmtId="0" fontId="3" fillId="0" borderId="6" applyAlignment="1" pivotButton="0" quotePrefix="0" xfId="0">
      <alignment vertical="bottom"/>
    </xf>
    <xf numFmtId="0" fontId="4" fillId="0" borderId="6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0" borderId="8" applyAlignment="1" pivotButton="0" quotePrefix="0" xfId="0">
      <alignment horizontal="right" vertical="bottom"/>
    </xf>
    <xf numFmtId="0" fontId="1" fillId="0" borderId="9" applyAlignment="1" pivotButton="0" quotePrefix="0" xfId="0">
      <alignment vertical="bottom"/>
    </xf>
    <xf numFmtId="0" fontId="1" fillId="0" borderId="1" pivotButton="0" quotePrefix="0" xfId="0"/>
    <xf numFmtId="0" fontId="1" fillId="0" borderId="2" pivotButton="0" quotePrefix="0" xfId="0"/>
    <xf numFmtId="10" fontId="1" fillId="0" borderId="3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4" pivotButton="0" quotePrefix="0" xfId="0"/>
    <xf numFmtId="0" fontId="1" fillId="0" borderId="5" pivotButton="0" quotePrefix="0" xfId="0"/>
    <xf numFmtId="10" fontId="1" fillId="0" borderId="6" pivotButton="0" quotePrefix="0" xfId="0"/>
    <xf numFmtId="0" fontId="2" fillId="0" borderId="1" applyAlignment="1" pivotButton="0" quotePrefix="0" xfId="0">
      <alignment vertical="bottom"/>
    </xf>
    <xf numFmtId="0" fontId="5" fillId="0" borderId="6" applyAlignment="1" pivotButton="0" quotePrefix="0" xfId="0">
      <alignment vertical="bottom"/>
    </xf>
    <xf numFmtId="0" fontId="1" fillId="0" borderId="10" applyAlignment="1" pivotButton="0" quotePrefix="0" xfId="0">
      <alignment vertical="bottom"/>
    </xf>
    <xf numFmtId="0" fontId="1" fillId="0" borderId="11" applyAlignment="1" pivotButton="0" quotePrefix="0" xfId="0">
      <alignment horizontal="right" vertical="bottom"/>
    </xf>
    <xf numFmtId="0" fontId="1" fillId="0" borderId="12" applyAlignment="1" pivotButton="0" quotePrefix="0" xfId="0">
      <alignment vertical="bottom"/>
    </xf>
    <xf numFmtId="0" fontId="1" fillId="0" borderId="9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15.18" customWidth="1" min="1" max="1"/>
    <col width="11.73" customWidth="1" min="5" max="5"/>
    <col width="9.73" customWidth="1" min="7" max="7"/>
    <col width="10.09" customWidth="1" min="8" max="8"/>
    <col width="16.91" customWidth="1" min="9" max="9"/>
    <col width="121" customWidth="1" min="11" max="11"/>
  </cols>
  <sheetData>
    <row r="1">
      <c r="A1" s="1" t="inlineStr">
        <is>
          <t>Name</t>
        </is>
      </c>
      <c r="B1" s="2" t="inlineStr">
        <is>
          <t>Rarity</t>
        </is>
      </c>
      <c r="C1" s="2" t="inlineStr">
        <is>
          <t>Type</t>
        </is>
      </c>
      <c r="D1" s="2" t="inlineStr">
        <is>
          <t>Base Output</t>
        </is>
      </c>
      <c r="E1" s="2" t="inlineStr">
        <is>
          <t>Awakening Output</t>
        </is>
      </c>
      <c r="F1" s="2" t="inlineStr">
        <is>
          <t>Base Cap</t>
        </is>
      </c>
      <c r="G1" s="2" t="inlineStr">
        <is>
          <t>Awakening Cap</t>
        </is>
      </c>
      <c r="H1" s="2" t="inlineStr">
        <is>
          <t>Nebula Chest</t>
        </is>
      </c>
      <c r="I1" s="2" t="inlineStr">
        <is>
          <t>Awakening Nebula Chest</t>
        </is>
      </c>
      <c r="J1" s="2" t="inlineStr">
        <is>
          <t>AFFECT Boost</t>
        </is>
      </c>
      <c r="K1" s="3" t="inlineStr">
        <is>
          <t>Source</t>
        </is>
      </c>
    </row>
    <row r="2">
      <c r="A2" s="4" t="inlineStr">
        <is>
          <t>INDIVIDUAL RELICS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6" t="n"/>
    </row>
    <row r="3">
      <c r="A3" s="7" t="inlineStr">
        <is>
          <t xml:space="preserve">   Olympic Torch</t>
        </is>
      </c>
      <c r="B3" s="5" t="inlineStr">
        <is>
          <t>SSS</t>
        </is>
      </c>
      <c r="C3" s="8" t="inlineStr">
        <is>
          <t>FAME</t>
        </is>
      </c>
      <c r="D3" s="9" t="n">
        <v>7.2</v>
      </c>
      <c r="E3" s="5" t="n">
        <v>6</v>
      </c>
      <c r="F3" s="9" t="n"/>
      <c r="G3" s="5" t="n"/>
      <c r="H3" s="9" t="n"/>
      <c r="I3" s="9" t="n"/>
      <c r="J3" s="5" t="n"/>
      <c r="K3" s="10" t="inlineStr">
        <is>
          <t>Wish Box Album Relic #3</t>
        </is>
      </c>
    </row>
    <row r="4">
      <c r="A4" s="7" t="inlineStr">
        <is>
          <t xml:space="preserve">   Outer Space Treaty</t>
        </is>
      </c>
      <c r="B4" s="5" t="inlineStr">
        <is>
          <t>SSS</t>
        </is>
      </c>
      <c r="C4" s="5" t="inlineStr">
        <is>
          <t>FAME</t>
        </is>
      </c>
      <c r="D4" s="9" t="n">
        <v>7.2</v>
      </c>
      <c r="E4" s="9" t="n">
        <v>6</v>
      </c>
      <c r="F4" s="9" t="n"/>
      <c r="G4" s="5" t="n"/>
      <c r="H4" s="5" t="n"/>
      <c r="I4" s="5" t="n"/>
      <c r="J4" s="5" t="n"/>
      <c r="K4" s="6" t="inlineStr">
        <is>
          <t>Star Chart Shop</t>
        </is>
      </c>
    </row>
    <row r="5">
      <c r="A5" s="7" t="inlineStr">
        <is>
          <t xml:space="preserve">   Great Mogul Diamond</t>
        </is>
      </c>
      <c r="B5" s="5" t="inlineStr">
        <is>
          <t>SSS</t>
        </is>
      </c>
      <c r="C5" s="5" t="inlineStr">
        <is>
          <t>ART</t>
        </is>
      </c>
      <c r="D5" s="9" t="n">
        <v>7.2</v>
      </c>
      <c r="E5" s="9" t="n">
        <v>6</v>
      </c>
      <c r="F5" s="9" t="n"/>
      <c r="G5" s="5" t="n"/>
      <c r="H5" s="5" t="n"/>
      <c r="I5" s="5" t="n"/>
      <c r="J5" s="5" t="n"/>
      <c r="K5" s="6" t="inlineStr">
        <is>
          <t>Badge Shop</t>
        </is>
      </c>
    </row>
    <row r="6">
      <c r="A6" s="7" t="inlineStr">
        <is>
          <t xml:space="preserve">   Narmer Palette</t>
        </is>
      </c>
      <c r="B6" s="5" t="inlineStr">
        <is>
          <t>SSS</t>
        </is>
      </c>
      <c r="C6" s="5" t="inlineStr">
        <is>
          <t>CIV</t>
        </is>
      </c>
      <c r="D6" s="9" t="n"/>
      <c r="E6" s="9" t="n"/>
      <c r="F6" s="5" t="n"/>
      <c r="G6" s="5" t="n"/>
      <c r="H6" s="5" t="n">
        <v>7.2</v>
      </c>
      <c r="I6" s="5" t="n">
        <v>6</v>
      </c>
      <c r="J6" s="5" t="n"/>
      <c r="K6" s="6" t="inlineStr">
        <is>
          <t>Traveler's Pack Reward #3</t>
        </is>
      </c>
    </row>
    <row r="7">
      <c r="A7" s="7" t="inlineStr">
        <is>
          <t xml:space="preserve">   Scales of Astraea</t>
        </is>
      </c>
      <c r="B7" s="5" t="inlineStr">
        <is>
          <t>SSS</t>
        </is>
      </c>
      <c r="C7" s="5" t="inlineStr">
        <is>
          <t>FTH</t>
        </is>
      </c>
      <c r="D7" s="9" t="n"/>
      <c r="E7" s="5" t="n"/>
      <c r="F7" s="5" t="n">
        <v>12</v>
      </c>
      <c r="G7" s="5" t="n">
        <v>10</v>
      </c>
      <c r="H7" s="5" t="n"/>
      <c r="I7" s="5" t="n"/>
      <c r="J7" s="5" t="n"/>
      <c r="K7" s="6" t="inlineStr">
        <is>
          <t>Star Chart Shop</t>
        </is>
      </c>
    </row>
    <row r="8">
      <c r="A8" s="7" t="inlineStr">
        <is>
          <t xml:space="preserve">   Indus Seal</t>
        </is>
      </c>
      <c r="B8" s="5" t="inlineStr">
        <is>
          <t>AAA</t>
        </is>
      </c>
      <c r="C8" s="5" t="inlineStr">
        <is>
          <t>CIV</t>
        </is>
      </c>
      <c r="D8" s="5" t="n"/>
      <c r="E8" s="5" t="n"/>
      <c r="F8" s="5" t="n">
        <v>9</v>
      </c>
      <c r="G8" s="5" t="n">
        <v>7</v>
      </c>
      <c r="H8" s="9" t="n">
        <v>5.4</v>
      </c>
      <c r="I8" s="9" t="n"/>
      <c r="J8" s="5" t="n"/>
      <c r="K8" s="11" t="inlineStr">
        <is>
          <t>Indigent Nobleman (210K B-tads)</t>
        </is>
      </c>
    </row>
    <row r="9">
      <c r="A9" s="7" t="inlineStr">
        <is>
          <t xml:space="preserve">   Djinn Theory</t>
        </is>
      </c>
      <c r="B9" s="5" t="inlineStr">
        <is>
          <t>AAA</t>
        </is>
      </c>
      <c r="C9" s="5" t="inlineStr">
        <is>
          <t>CIV</t>
        </is>
      </c>
      <c r="D9" s="9" t="n"/>
      <c r="E9" s="9" t="n"/>
      <c r="F9" s="9" t="n">
        <v>9</v>
      </c>
      <c r="G9" s="5" t="n">
        <v>7</v>
      </c>
      <c r="H9" s="5" t="n"/>
      <c r="I9" s="5" t="n"/>
      <c r="J9" s="5" t="n"/>
      <c r="K9" s="10" t="inlineStr">
        <is>
          <t>Lottery Box Relic #11</t>
        </is>
      </c>
    </row>
    <row r="10">
      <c r="A10" s="7" t="inlineStr">
        <is>
          <t xml:space="preserve">   Mesopotamian Wheel</t>
        </is>
      </c>
      <c r="B10" s="5" t="inlineStr">
        <is>
          <t>AAA</t>
        </is>
      </c>
      <c r="C10" s="5" t="inlineStr">
        <is>
          <t>FAME</t>
        </is>
      </c>
      <c r="D10" s="9" t="n">
        <v>5.4</v>
      </c>
      <c r="E10" s="9" t="n"/>
      <c r="F10" s="9" t="n"/>
      <c r="G10" s="5" t="n"/>
      <c r="H10" s="5" t="n"/>
      <c r="I10" s="5" t="n"/>
      <c r="J10" s="5" t="n"/>
      <c r="K10" s="10" t="inlineStr">
        <is>
          <t>Lottery Box Relic #17</t>
        </is>
      </c>
    </row>
    <row r="11">
      <c r="A11" s="7" t="inlineStr">
        <is>
          <t xml:space="preserve">   Biography of Great Artists</t>
        </is>
      </c>
      <c r="B11" s="5" t="inlineStr">
        <is>
          <t>AAA</t>
        </is>
      </c>
      <c r="C11" s="5" t="inlineStr">
        <is>
          <t>FAME</t>
        </is>
      </c>
      <c r="D11" s="9" t="n">
        <v>5.4</v>
      </c>
      <c r="E11" s="9" t="n">
        <v>4.2</v>
      </c>
      <c r="F11" s="9" t="n"/>
      <c r="G11" s="5" t="n"/>
      <c r="H11" s="5" t="n"/>
      <c r="I11" s="5" t="n"/>
      <c r="J11" s="5" t="n"/>
      <c r="K11" s="10" t="inlineStr">
        <is>
          <t>Lottery Box Relic #13</t>
        </is>
      </c>
    </row>
    <row r="12">
      <c r="A12" s="7" t="inlineStr">
        <is>
          <t xml:space="preserve">   Nishijin Fabric</t>
        </is>
      </c>
      <c r="B12" s="5" t="inlineStr">
        <is>
          <t>AAA</t>
        </is>
      </c>
      <c r="C12" s="5" t="inlineStr">
        <is>
          <t>ART</t>
        </is>
      </c>
      <c r="D12" s="9" t="n">
        <v>5.4</v>
      </c>
      <c r="E12" s="9" t="n">
        <v>4.2</v>
      </c>
      <c r="F12" s="9" t="n"/>
      <c r="G12" s="5" t="n"/>
      <c r="H12" s="5" t="n"/>
      <c r="I12" s="5" t="n"/>
      <c r="J12" s="5" t="n"/>
      <c r="K12" s="10" t="inlineStr">
        <is>
          <t>Lottery Box Relic #8</t>
        </is>
      </c>
    </row>
    <row r="13">
      <c r="A13" s="7" t="inlineStr">
        <is>
          <t xml:space="preserve">   Peacock Throne</t>
        </is>
      </c>
      <c r="B13" s="5" t="inlineStr">
        <is>
          <t>AAA</t>
        </is>
      </c>
      <c r="C13" s="5" t="inlineStr">
        <is>
          <t>ART</t>
        </is>
      </c>
      <c r="D13" s="9" t="n">
        <v>5</v>
      </c>
      <c r="E13" s="9" t="n">
        <v>5</v>
      </c>
      <c r="F13" s="5" t="n"/>
      <c r="G13" s="5" t="n"/>
      <c r="H13" s="9" t="n"/>
      <c r="I13" s="9" t="n"/>
      <c r="J13" s="5" t="n"/>
      <c r="K13" s="6" t="inlineStr">
        <is>
          <t>Supreme Relic Reward</t>
        </is>
      </c>
    </row>
    <row r="14">
      <c r="A14" s="7" t="inlineStr">
        <is>
          <t xml:space="preserve">   V8 Engine</t>
        </is>
      </c>
      <c r="B14" s="5" t="inlineStr">
        <is>
          <t>AAA</t>
        </is>
      </c>
      <c r="C14" s="5" t="inlineStr">
        <is>
          <t>TECH</t>
        </is>
      </c>
      <c r="D14" s="5" t="n">
        <v>3.6</v>
      </c>
      <c r="E14" s="5" t="n">
        <v>2.8</v>
      </c>
      <c r="F14" s="9" t="n"/>
      <c r="G14" s="9" t="n"/>
      <c r="H14" s="5" t="n"/>
      <c r="I14" s="5" t="n"/>
      <c r="J14" s="5" t="n"/>
      <c r="K14" s="10" t="inlineStr">
        <is>
          <t>Time Beacon Reward</t>
        </is>
      </c>
    </row>
    <row r="15">
      <c r="A15" s="4" t="inlineStr">
        <is>
          <t xml:space="preserve">   The Fifer</t>
        </is>
      </c>
      <c r="B15" s="5" t="inlineStr">
        <is>
          <t>AAA</t>
        </is>
      </c>
      <c r="C15" s="5" t="inlineStr">
        <is>
          <t>ART</t>
        </is>
      </c>
      <c r="D15" s="9" t="n"/>
      <c r="E15" s="9" t="n"/>
      <c r="F15" s="5" t="n">
        <v>9</v>
      </c>
      <c r="G15" s="5" t="n">
        <v>7</v>
      </c>
      <c r="H15" s="5" t="n"/>
      <c r="I15" s="5" t="n"/>
      <c r="J15" s="5" t="n"/>
      <c r="K15" s="10" t="inlineStr">
        <is>
          <t>Lottery Box Relic #6</t>
        </is>
      </c>
    </row>
    <row r="16">
      <c r="A16" s="12" t="inlineStr">
        <is>
          <t>MAX INDIVIDUAL RELICS</t>
        </is>
      </c>
      <c r="B16" s="13" t="n"/>
      <c r="C16" s="13" t="n"/>
      <c r="D16" s="14">
        <f>sum(D3:E15)</f>
        <v/>
      </c>
      <c r="E16" s="13" t="n"/>
      <c r="F16" s="14">
        <f>sum(F3:G15)</f>
        <v/>
      </c>
      <c r="G16" s="13" t="n"/>
      <c r="H16" s="14">
        <f>sum(H3:I15)</f>
        <v/>
      </c>
      <c r="I16" s="13" t="n"/>
      <c r="J16" s="13" t="n"/>
      <c r="K16" s="1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1" t="inlineStr">
        <is>
          <t>ORGAN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3" t="n"/>
    </row>
    <row r="19">
      <c r="A19" s="4" t="inlineStr">
        <is>
          <t xml:space="preserve">   Warp Horn</t>
        </is>
      </c>
      <c r="B19" s="5" t="n"/>
      <c r="C19" s="5" t="n"/>
      <c r="D19" s="9" t="n">
        <v>10</v>
      </c>
      <c r="E19" s="5" t="n"/>
      <c r="F19" s="9" t="n">
        <v>10</v>
      </c>
      <c r="G19" s="5" t="n"/>
      <c r="H19" s="5" t="n"/>
      <c r="I19" s="5" t="n"/>
      <c r="J19" s="5" t="n"/>
      <c r="K19" s="6" t="inlineStr">
        <is>
          <t>lv20</t>
        </is>
      </c>
    </row>
    <row r="20">
      <c r="A20" s="12" t="inlineStr">
        <is>
          <t xml:space="preserve">   Alveolus of Gaia</t>
        </is>
      </c>
      <c r="B20" s="13" t="n"/>
      <c r="C20" s="13" t="n"/>
      <c r="D20" s="14" t="n">
        <v>20</v>
      </c>
      <c r="E20" s="13" t="n"/>
      <c r="F20" s="14" t="n">
        <v>20</v>
      </c>
      <c r="G20" s="13" t="n"/>
      <c r="H20" s="13" t="n"/>
      <c r="I20" s="13" t="n"/>
      <c r="J20" s="13" t="n"/>
      <c r="K20" s="15" t="inlineStr">
        <is>
          <t>lv40</t>
        </is>
      </c>
    </row>
    <row r="21">
      <c r="A21" s="4" t="inlineStr">
        <is>
          <t>MAX ORGAN</t>
        </is>
      </c>
      <c r="B21" s="5" t="n"/>
      <c r="C21" s="5" t="n"/>
      <c r="D21" s="5">
        <f>sum(D19:D20)</f>
        <v/>
      </c>
      <c r="E21" s="5" t="n"/>
      <c r="F21" s="5">
        <f>sum(F19:F20)</f>
        <v/>
      </c>
      <c r="G21" s="5" t="n"/>
      <c r="H21" s="5">
        <f>sum(H19:H20)</f>
        <v/>
      </c>
      <c r="I21" s="5" t="n"/>
      <c r="J21" s="5" t="n"/>
      <c r="K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16" t="inlineStr">
        <is>
          <t>ROCKET UPGRADES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8" t="n"/>
    </row>
    <row r="24">
      <c r="A24" s="19" t="inlineStr">
        <is>
          <t xml:space="preserve">   Eternal Hall</t>
        </is>
      </c>
      <c r="B24" s="20" t="n"/>
      <c r="C24" s="20" t="n"/>
      <c r="D24" s="20" t="n">
        <v>10</v>
      </c>
      <c r="E24" s="20" t="n"/>
      <c r="F24" s="20" t="n">
        <v>10</v>
      </c>
      <c r="G24" s="20" t="n"/>
      <c r="H24" s="20" t="n"/>
      <c r="I24" s="20" t="n"/>
      <c r="J24" s="20" t="n"/>
      <c r="K24" s="21" t="inlineStr">
        <is>
          <t>Lv5</t>
        </is>
      </c>
    </row>
    <row r="25">
      <c r="A25" s="22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4" t="n"/>
    </row>
    <row r="26">
      <c r="A26" s="1" t="inlineStr">
        <is>
          <t>AVATARS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3" t="n"/>
    </row>
    <row r="27">
      <c r="A27" s="12" t="inlineStr">
        <is>
          <t xml:space="preserve">   Mirage Avatar I Bonus</t>
        </is>
      </c>
      <c r="B27" s="13" t="n"/>
      <c r="C27" s="13" t="n"/>
      <c r="D27" s="14" t="n">
        <v>20</v>
      </c>
      <c r="E27" s="13" t="n"/>
      <c r="F27" s="14" t="n">
        <v>40</v>
      </c>
      <c r="G27" s="13" t="n"/>
      <c r="H27" s="13" t="n"/>
      <c r="I27" s="13" t="n"/>
      <c r="J27" s="13" t="n"/>
      <c r="K27" s="1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1" t="inlineStr">
        <is>
          <t>STAMPS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3" t="n"/>
    </row>
    <row r="30">
      <c r="A30" s="7" t="inlineStr">
        <is>
          <t xml:space="preserve">   Natural History</t>
        </is>
      </c>
      <c r="B30" s="5" t="inlineStr">
        <is>
          <t>SSS</t>
        </is>
      </c>
      <c r="C30" s="5" t="inlineStr">
        <is>
          <t>FAME</t>
        </is>
      </c>
      <c r="D30" s="9" t="n">
        <v>15</v>
      </c>
      <c r="E30" s="5" t="n"/>
      <c r="F30" s="5" t="n"/>
      <c r="G30" s="5" t="n"/>
      <c r="H30" s="5" t="n">
        <v>15</v>
      </c>
      <c r="I30" s="5" t="n"/>
      <c r="J30" s="5" t="n">
        <v>15</v>
      </c>
      <c r="K30" s="10" t="inlineStr">
        <is>
          <t>Lottery Machine #3 (?%)</t>
        </is>
      </c>
    </row>
    <row r="31">
      <c r="A31" s="4" t="inlineStr">
        <is>
          <t xml:space="preserve">   Outer Space Treaty</t>
        </is>
      </c>
      <c r="B31" s="5" t="inlineStr">
        <is>
          <t>SSS</t>
        </is>
      </c>
      <c r="C31" s="5" t="inlineStr">
        <is>
          <t>FAME</t>
        </is>
      </c>
      <c r="D31" s="9" t="n">
        <v>15</v>
      </c>
      <c r="E31" s="5" t="n"/>
      <c r="F31" s="5" t="n">
        <v>30</v>
      </c>
      <c r="G31" s="5" t="n"/>
      <c r="H31" s="5" t="n"/>
      <c r="I31" s="5" t="n"/>
      <c r="J31" s="5" t="n">
        <v>15</v>
      </c>
      <c r="K31" s="6" t="inlineStr">
        <is>
          <t>Star Chart Shop</t>
        </is>
      </c>
    </row>
    <row r="32">
      <c r="A32" s="7" t="inlineStr">
        <is>
          <t xml:space="preserve">   Ram in a Thicket</t>
        </is>
      </c>
      <c r="B32" s="5" t="inlineStr">
        <is>
          <t>SSS</t>
        </is>
      </c>
      <c r="C32" s="5" t="inlineStr">
        <is>
          <t>ART</t>
        </is>
      </c>
      <c r="D32" s="9" t="n">
        <v>15</v>
      </c>
      <c r="E32" s="5" t="n"/>
      <c r="F32" s="9" t="n">
        <v>30</v>
      </c>
      <c r="G32" s="5" t="n"/>
      <c r="H32" s="9" t="n"/>
      <c r="I32" s="5" t="n"/>
      <c r="J32" s="5" t="n">
        <v>15</v>
      </c>
      <c r="K32" s="10" t="inlineStr">
        <is>
          <t>Daily Pack Relic #43</t>
        </is>
      </c>
    </row>
    <row r="33">
      <c r="A33" s="4" t="inlineStr">
        <is>
          <t xml:space="preserve">   Constellations</t>
        </is>
      </c>
      <c r="B33" s="5" t="inlineStr">
        <is>
          <t>SSS</t>
        </is>
      </c>
      <c r="C33" s="5" t="inlineStr">
        <is>
          <t>ART</t>
        </is>
      </c>
      <c r="D33" s="9" t="n"/>
      <c r="E33" s="5" t="n"/>
      <c r="F33" s="9" t="n">
        <v>30</v>
      </c>
      <c r="G33" s="5" t="n"/>
      <c r="H33" s="9" t="n">
        <v>15</v>
      </c>
      <c r="I33" s="5" t="n"/>
      <c r="J33" s="5" t="n">
        <v>15</v>
      </c>
      <c r="K33" s="6" t="inlineStr">
        <is>
          <t>Star Chart Shop</t>
        </is>
      </c>
    </row>
    <row r="34">
      <c r="A34" s="7" t="inlineStr">
        <is>
          <t xml:space="preserve">   Scales of Astraea</t>
        </is>
      </c>
      <c r="B34" s="5" t="inlineStr">
        <is>
          <t>SSS</t>
        </is>
      </c>
      <c r="C34" s="5" t="inlineStr">
        <is>
          <t>FTH</t>
        </is>
      </c>
      <c r="D34" s="5" t="n">
        <v>15</v>
      </c>
      <c r="E34" s="5" t="n"/>
      <c r="F34" s="9" t="n"/>
      <c r="G34" s="5" t="n"/>
      <c r="H34" s="9" t="n">
        <v>15</v>
      </c>
      <c r="I34" s="5" t="n"/>
      <c r="J34" s="9" t="n">
        <v>15</v>
      </c>
      <c r="K34" s="6" t="inlineStr">
        <is>
          <t>Star Chart Shop</t>
        </is>
      </c>
    </row>
    <row r="35">
      <c r="A35" s="4" t="inlineStr">
        <is>
          <t xml:space="preserve">   Ra's Solar Barque</t>
        </is>
      </c>
      <c r="B35" s="5" t="inlineStr">
        <is>
          <t>SSS</t>
        </is>
      </c>
      <c r="C35" s="5" t="inlineStr">
        <is>
          <t>FTH</t>
        </is>
      </c>
      <c r="D35" s="9" t="n">
        <v>15</v>
      </c>
      <c r="E35" s="5" t="n"/>
      <c r="F35" s="5" t="n">
        <v>30</v>
      </c>
      <c r="G35" s="5" t="n"/>
      <c r="H35" s="5" t="n"/>
      <c r="I35" s="5" t="n"/>
      <c r="J35" s="9" t="n">
        <v>15</v>
      </c>
      <c r="K35" s="10" t="inlineStr">
        <is>
          <t>Traveler's Pack #14</t>
        </is>
      </c>
    </row>
    <row r="36">
      <c r="A36" s="7" t="inlineStr">
        <is>
          <t xml:space="preserve">   Anna Karenina</t>
        </is>
      </c>
      <c r="B36" s="5" t="inlineStr">
        <is>
          <t>SSS</t>
        </is>
      </c>
      <c r="C36" s="5" t="inlineStr">
        <is>
          <t>CIV</t>
        </is>
      </c>
      <c r="D36" s="9" t="n">
        <v>15</v>
      </c>
      <c r="E36" s="5" t="n"/>
      <c r="F36" s="5" t="n"/>
      <c r="G36" s="5" t="n"/>
      <c r="H36" s="5" t="n">
        <v>15</v>
      </c>
      <c r="I36" s="5" t="n"/>
      <c r="J36" s="9" t="n">
        <v>15</v>
      </c>
      <c r="K36" s="10" t="inlineStr">
        <is>
          <t>Daily Pack Relic #49</t>
        </is>
      </c>
    </row>
    <row r="37">
      <c r="A37" s="4" t="inlineStr">
        <is>
          <t xml:space="preserve">   Hevelius Chart</t>
        </is>
      </c>
      <c r="B37" s="5" t="inlineStr">
        <is>
          <t>SSS</t>
        </is>
      </c>
      <c r="C37" s="5" t="inlineStr">
        <is>
          <t>CIV</t>
        </is>
      </c>
      <c r="D37" s="9" t="n">
        <v>15</v>
      </c>
      <c r="E37" s="5" t="n"/>
      <c r="F37" s="5" t="n">
        <v>30</v>
      </c>
      <c r="G37" s="5" t="n"/>
      <c r="H37" s="5" t="n"/>
      <c r="I37" s="5" t="n"/>
      <c r="J37" s="9" t="n">
        <v>15</v>
      </c>
      <c r="K37" s="6" t="inlineStr">
        <is>
          <t>Star Chart Shop</t>
        </is>
      </c>
    </row>
    <row r="38">
      <c r="A38" s="7" t="inlineStr">
        <is>
          <t xml:space="preserve">   Messier Catalogue</t>
        </is>
      </c>
      <c r="B38" s="5" t="inlineStr">
        <is>
          <t>SSS</t>
        </is>
      </c>
      <c r="C38" s="5" t="inlineStr">
        <is>
          <t>TECH</t>
        </is>
      </c>
      <c r="D38" s="5" t="n">
        <v>15</v>
      </c>
      <c r="E38" s="5" t="n"/>
      <c r="F38" s="9" t="n">
        <v>30</v>
      </c>
      <c r="G38" s="5" t="n"/>
      <c r="H38" s="9" t="n">
        <v>15</v>
      </c>
      <c r="I38" s="5" t="n"/>
      <c r="J38" s="9" t="n"/>
      <c r="K38" s="6" t="inlineStr">
        <is>
          <t>Star Chart Shop</t>
        </is>
      </c>
    </row>
    <row r="39">
      <c r="A39" s="4" t="inlineStr">
        <is>
          <t xml:space="preserve">   Infin. Improb. Eng.</t>
        </is>
      </c>
      <c r="B39" s="5" t="inlineStr">
        <is>
          <t>SSS</t>
        </is>
      </c>
      <c r="C39" s="5" t="inlineStr">
        <is>
          <t>TECH</t>
        </is>
      </c>
      <c r="D39" s="5" t="n">
        <v>15</v>
      </c>
      <c r="E39" s="5" t="n"/>
      <c r="F39" s="9" t="n">
        <v>30</v>
      </c>
      <c r="G39" s="5" t="n"/>
      <c r="H39" s="9" t="n"/>
      <c r="I39" s="5" t="n"/>
      <c r="J39" s="9" t="n">
        <v>15</v>
      </c>
      <c r="K39" s="10" t="inlineStr">
        <is>
          <t>Daily Pack Relic #51</t>
        </is>
      </c>
    </row>
    <row r="40">
      <c r="A40" s="12" t="inlineStr">
        <is>
          <t>MAX QUANTUM AMP STAMPS</t>
        </is>
      </c>
      <c r="B40" s="13" t="n"/>
      <c r="C40" s="13" t="n"/>
      <c r="D40" s="14">
        <f>D30+D32+D34+D36+D38</f>
        <v/>
      </c>
      <c r="E40" s="13" t="n"/>
      <c r="F40" s="14">
        <f>F30+F32+F34+F36+F38</f>
        <v/>
      </c>
      <c r="G40" s="13" t="n"/>
      <c r="H40" s="14">
        <f>H30+H32+H34+H36+H38</f>
        <v/>
      </c>
      <c r="I40" s="13" t="n"/>
      <c r="J40" s="14">
        <f>J30+J32+J34+J36+J38</f>
        <v/>
      </c>
      <c r="K40" s="1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25" t="inlineStr">
        <is>
          <t>RESONANCE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3" t="n"/>
    </row>
    <row r="43">
      <c r="A43" s="4" t="inlineStr">
        <is>
          <t xml:space="preserve">  ORANGE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6" t="n"/>
    </row>
    <row r="44">
      <c r="A44" s="4" t="inlineStr">
        <is>
          <t xml:space="preserve">    Output</t>
        </is>
      </c>
      <c r="B44" s="5" t="n"/>
      <c r="C44" s="5" t="n"/>
      <c r="D44" s="9" t="n">
        <v>7</v>
      </c>
      <c r="E44" s="5" t="n"/>
      <c r="F44" s="5" t="n"/>
      <c r="G44" s="5" t="n"/>
      <c r="H44" s="5" t="n"/>
      <c r="I44" s="5" t="n"/>
      <c r="J44" s="5" t="n"/>
      <c r="K44" s="6" t="n"/>
    </row>
    <row r="45">
      <c r="A45" s="4" t="inlineStr">
        <is>
          <t xml:space="preserve">      Hevelius Chart</t>
        </is>
      </c>
      <c r="B45" s="5" t="inlineStr">
        <is>
          <t>SSS</t>
        </is>
      </c>
      <c r="C45" s="5" t="inlineStr">
        <is>
          <t>CIV</t>
        </is>
      </c>
      <c r="D45" s="5" t="n"/>
      <c r="E45" s="5" t="n"/>
      <c r="F45" s="5" t="n"/>
      <c r="G45" s="5" t="n"/>
      <c r="H45" s="5" t="n"/>
      <c r="I45" s="5" t="n"/>
      <c r="J45" s="5" t="n"/>
      <c r="K45" s="6" t="inlineStr">
        <is>
          <t>Star Chart Shop</t>
        </is>
      </c>
    </row>
    <row r="46">
      <c r="A46" s="4" t="inlineStr">
        <is>
          <t xml:space="preserve">      Mysterious Relic</t>
        </is>
      </c>
      <c r="B46" s="5" t="inlineStr">
        <is>
          <t>SSS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6" t="n"/>
    </row>
    <row r="47">
      <c r="A47" s="4" t="inlineStr">
        <is>
          <t xml:space="preserve">    Cap 1</t>
        </is>
      </c>
      <c r="B47" s="5" t="n"/>
      <c r="C47" s="5" t="n"/>
      <c r="D47" s="5" t="n"/>
      <c r="E47" s="5" t="n"/>
      <c r="F47" s="5" t="n">
        <v>7</v>
      </c>
      <c r="G47" s="5" t="n"/>
      <c r="H47" s="9" t="n"/>
      <c r="I47" s="5" t="n"/>
      <c r="J47" s="5" t="n"/>
      <c r="K47" s="6" t="n"/>
    </row>
    <row r="48">
      <c r="A48" s="4" t="inlineStr">
        <is>
          <t xml:space="preserve">      Constellations</t>
        </is>
      </c>
      <c r="B48" s="5" t="inlineStr">
        <is>
          <t>SSS</t>
        </is>
      </c>
      <c r="C48" s="5" t="inlineStr">
        <is>
          <t>ART</t>
        </is>
      </c>
      <c r="D48" s="5" t="n"/>
      <c r="E48" s="5" t="n"/>
      <c r="F48" s="5" t="n"/>
      <c r="G48" s="5" t="n"/>
      <c r="H48" s="5" t="n"/>
      <c r="I48" s="5" t="n"/>
      <c r="J48" s="5" t="n"/>
      <c r="K48" s="6" t="inlineStr">
        <is>
          <t>Star Chart Shop</t>
        </is>
      </c>
    </row>
    <row r="49">
      <c r="A49" s="4" t="inlineStr">
        <is>
          <t xml:space="preserve">      Olympic Charter</t>
        </is>
      </c>
      <c r="B49" s="5" t="inlineStr">
        <is>
          <t>SSS</t>
        </is>
      </c>
      <c r="C49" s="5" t="inlineStr">
        <is>
          <t>FAME</t>
        </is>
      </c>
      <c r="D49" s="5" t="n"/>
      <c r="E49" s="5" t="n"/>
      <c r="F49" s="5" t="n"/>
      <c r="G49" s="5" t="n"/>
      <c r="H49" s="5" t="n"/>
      <c r="I49" s="5" t="n"/>
      <c r="J49" s="5" t="n"/>
      <c r="K49" s="26" t="inlineStr">
        <is>
          <t>Lottery Machine #2 (?%)</t>
        </is>
      </c>
    </row>
    <row r="50">
      <c r="A50" s="4" t="inlineStr">
        <is>
          <t xml:space="preserve">    Cap 2</t>
        </is>
      </c>
      <c r="B50" s="5" t="n"/>
      <c r="C50" s="5" t="n"/>
      <c r="D50" s="9" t="n"/>
      <c r="E50" s="5" t="n"/>
      <c r="F50" s="9" t="n">
        <v>7</v>
      </c>
      <c r="G50" s="5" t="n"/>
      <c r="H50" s="9" t="n"/>
      <c r="I50" s="5" t="n"/>
      <c r="J50" s="5" t="n"/>
      <c r="K50" s="6" t="n"/>
    </row>
    <row r="51">
      <c r="A51" s="4" t="inlineStr">
        <is>
          <t xml:space="preserve">      Energy Missile</t>
        </is>
      </c>
      <c r="B51" s="5" t="inlineStr">
        <is>
          <t>SSS</t>
        </is>
      </c>
      <c r="C51" s="5" t="inlineStr">
        <is>
          <t>TECH</t>
        </is>
      </c>
      <c r="D51" s="5" t="n"/>
      <c r="E51" s="5" t="n"/>
      <c r="F51" s="5" t="n"/>
      <c r="G51" s="5" t="n"/>
      <c r="H51" s="5" t="n"/>
      <c r="I51" s="5" t="n"/>
      <c r="J51" s="5" t="n"/>
      <c r="K51" s="6" t="inlineStr">
        <is>
          <t>Lucky Box Reward Batch no. 1-7</t>
        </is>
      </c>
    </row>
    <row r="52">
      <c r="A52" s="4" t="inlineStr">
        <is>
          <t xml:space="preserve">      Quark Model</t>
        </is>
      </c>
      <c r="B52" s="5" t="inlineStr">
        <is>
          <t>SSS</t>
        </is>
      </c>
      <c r="C52" s="5" t="inlineStr">
        <is>
          <t>TECH</t>
        </is>
      </c>
      <c r="D52" s="5" t="n"/>
      <c r="E52" s="5" t="n"/>
      <c r="F52" s="5" t="n"/>
      <c r="G52" s="5" t="n"/>
      <c r="H52" s="5" t="n"/>
      <c r="I52" s="5" t="n"/>
      <c r="J52" s="5" t="n"/>
      <c r="K52" s="6" t="inlineStr">
        <is>
          <t>Lucky Box Reward Batch no. 8-14</t>
        </is>
      </c>
    </row>
    <row r="53">
      <c r="A53" s="4" t="inlineStr">
        <is>
          <t xml:space="preserve">      MoCA</t>
        </is>
      </c>
      <c r="B53" s="5" t="inlineStr">
        <is>
          <t>SSS</t>
        </is>
      </c>
      <c r="C53" s="5" t="inlineStr">
        <is>
          <t>TECH</t>
        </is>
      </c>
      <c r="D53" s="9" t="n"/>
      <c r="E53" s="5" t="n"/>
      <c r="F53" s="9" t="n"/>
      <c r="G53" s="5" t="n"/>
      <c r="H53" s="9" t="n"/>
      <c r="I53" s="5" t="n"/>
      <c r="J53" s="5" t="n"/>
      <c r="K53" s="6" t="inlineStr">
        <is>
          <t>Lucky Box Reward Batch no. 15-21</t>
        </is>
      </c>
    </row>
    <row r="54">
      <c r="A54" s="12" t="inlineStr">
        <is>
          <t>MAX RESONANCE</t>
        </is>
      </c>
      <c r="B54" s="13" t="n"/>
      <c r="C54" s="13" t="n"/>
      <c r="D54" s="14">
        <f>sum(D43:D53)</f>
        <v/>
      </c>
      <c r="E54" s="13" t="n"/>
      <c r="F54" s="14">
        <f>sum(F43:F53)</f>
        <v/>
      </c>
      <c r="G54" s="13" t="n"/>
      <c r="H54" s="14">
        <f>sum(H43:H53)</f>
        <v/>
      </c>
      <c r="I54" s="13" t="n"/>
      <c r="J54" s="13" t="n"/>
      <c r="K54" s="1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27" t="inlineStr">
        <is>
          <t>Total Base Output</t>
        </is>
      </c>
      <c r="B57" s="28">
        <f>D16+D21+D27+D40+D54+D24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29" t="inlineStr">
        <is>
          <t>Total Base Cap</t>
        </is>
      </c>
      <c r="B58" s="30">
        <f>F16+F21+F27+F40+F54+F24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29" t="inlineStr">
        <is>
          <t>Total Nebula Chest</t>
        </is>
      </c>
      <c r="B59" s="30">
        <f>H16+H21+H27+H40+H54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2026-04-25T21:15:17Z</dcterms:created>
  <dcterms:modified xmlns:dcterms="http://purl.org/dc/terms/" xmlns:xsi="http://www.w3.org/2001/XMLSchema-instance" xsi:type="dcterms:W3CDTF">2026-04-25T21:15:17Z</dcterms:modified>
</cp:coreProperties>
</file>