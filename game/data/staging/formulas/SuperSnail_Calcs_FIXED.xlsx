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worksheets/sheet3.xml" ContentType="application/vnd.openxmlformats-officedocument.spreadsheetml.worksheet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worksheets/sheet4.xml" ContentType="application/vnd.openxmlformats-officedocument.spreadsheetml.worksheet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worksheets/sheet5.xml" ContentType="application/vnd.openxmlformats-officedocument.spreadsheetml.worksheet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worksheets/sheet6.xml" ContentType="application/vnd.openxmlformats-officedocument.spreadsheetml.worksheet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worksheets/sheet7.xml" ContentType="application/vnd.openxmlformats-officedocument.spreadsheetml.worksheet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worksheets/sheet8.xml" ContentType="application/vnd.openxmlformats-officedocument.spreadsheetml.worksheet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worksheets/sheet9.xml" ContentType="application/vnd.openxmlformats-officedocument.spreadsheetml.worksheet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worksheets/sheet10.xml" ContentType="application/vnd.openxmlformats-officedocument.spreadsheetml.worksheet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worksheets/sheet11.xml" ContentType="application/vnd.openxmlformats-officedocument.spreadsheetml.worksheet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worksheets/sheet12.xml" ContentType="application/vnd.openxmlformats-officedocument.spreadsheetml.worksheet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worksheets/sheet13.xml" ContentType="application/vnd.openxmlformats-officedocument.spreadsheetml.worksheet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worksheets/sheet14.xml" ContentType="application/vnd.openxmlformats-officedocument.spreadsheetml.worksheet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worksheets/sheet15.xml" ContentType="application/vnd.openxmlformats-officedocument.spreadsheetml.worksheet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worksheets/sheet16.xml" ContentType="application/vnd.openxmlformats-officedocument.spreadsheetml.worksheet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worksheets/sheet17.xml" ContentType="application/vnd.openxmlformats-officedocument.spreadsheetml.worksheet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worksheets/sheet18.xml" ContentType="application/vnd.openxmlformats-officedocument.spreadsheetml.worksheet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worksheets/sheet19.xml" ContentType="application/vnd.openxmlformats-officedocument.spreadsheetml.worksheet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worksheets/sheet20.xml" ContentType="application/vnd.openxmlformats-officedocument.spreadsheetml.worksheet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worksheets/sheet21.xml" ContentType="application/vnd.openxmlformats-officedocument.spreadsheetml.worksheet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worksheets/sheet22.xml" ContentType="application/vnd.openxmlformats-officedocument.spreadsheetml.worksheet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worksheets/sheet23.xml" ContentType="application/vnd.openxmlformats-officedocument.spreadsheetml.worksheet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worksheets/sheet24.xml" ContentType="application/vnd.openxmlformats-officedocument.spreadsheetml.worksheet+xml"/>
  <Override PartName="/xl/tables/table339.xml" ContentType="application/vnd.openxmlformats-officedocument.spreadsheetml.table+xml"/>
  <Override PartName="/xl/worksheets/sheet25.xml" ContentType="application/vnd.openxmlformats-officedocument.spreadsheetml.worksheet+xml"/>
  <Override PartName="/xl/tables/table340.xml" ContentType="application/vnd.openxmlformats-officedocument.spreadsheetml.table+xml"/>
  <Override PartName="/xl/worksheets/sheet26.xml" ContentType="application/vnd.openxmlformats-officedocument.spreadsheetml.worksheet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1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worksheets/sheet33.xml" ContentType="application/vnd.openxmlformats-officedocument.spreadsheetml.worksheet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ffering Speed" sheetId="1" state="visible" r:id="rId1"/>
    <sheet xmlns:r="http://schemas.openxmlformats.org/officeDocument/2006/relationships" name="Travel Speed" sheetId="2" state="visible" r:id="rId2"/>
    <sheet xmlns:r="http://schemas.openxmlformats.org/officeDocument/2006/relationships" name="Gene Research" sheetId="3" state="visible" r:id="rId3"/>
    <sheet xmlns:r="http://schemas.openxmlformats.org/officeDocument/2006/relationships" name="Cells Gained" sheetId="4" state="visible" r:id="rId4"/>
    <sheet xmlns:r="http://schemas.openxmlformats.org/officeDocument/2006/relationships" name="Museum" sheetId="5" state="visible" r:id="rId5"/>
    <sheet xmlns:r="http://schemas.openxmlformats.org/officeDocument/2006/relationships" name="Rocket Cabin Effects" sheetId="6" state="visible" r:id="rId6"/>
    <sheet xmlns:r="http://schemas.openxmlformats.org/officeDocument/2006/relationships" name="Minion Boosts" sheetId="7" state="visible" r:id="rId7"/>
    <sheet xmlns:r="http://schemas.openxmlformats.org/officeDocument/2006/relationships" name="Leadership" sheetId="8" state="visible" r:id="rId8"/>
    <sheet xmlns:r="http://schemas.openxmlformats.org/officeDocument/2006/relationships" name="Tadpole Pond" sheetId="9" state="visible" r:id="rId9"/>
    <sheet xmlns:r="http://schemas.openxmlformats.org/officeDocument/2006/relationships" name="Fungus Farm" sheetId="10" state="visible" r:id="rId10"/>
    <sheet xmlns:r="http://schemas.openxmlformats.org/officeDocument/2006/relationships" name="Time Machine" sheetId="11" state="visible" r:id="rId11"/>
    <sheet xmlns:r="http://schemas.openxmlformats.org/officeDocument/2006/relationships" name="Lumber Camp" sheetId="12" state="visible" r:id="rId12"/>
    <sheet xmlns:r="http://schemas.openxmlformats.org/officeDocument/2006/relationships" name="Quarry" sheetId="13" state="visible" r:id="rId13"/>
    <sheet xmlns:r="http://schemas.openxmlformats.org/officeDocument/2006/relationships" name="Quantum Amp" sheetId="14" state="visible" r:id="rId14"/>
    <sheet xmlns:r="http://schemas.openxmlformats.org/officeDocument/2006/relationships" name="Compass" sheetId="15" state="visible" r:id="rId15"/>
    <sheet xmlns:r="http://schemas.openxmlformats.org/officeDocument/2006/relationships" name="Cost Reductions" sheetId="16" state="visible" r:id="rId16"/>
    <sheet xmlns:r="http://schemas.openxmlformats.org/officeDocument/2006/relationships" name="Lottery" sheetId="17" state="visible" r:id="rId17"/>
    <sheet xmlns:r="http://schemas.openxmlformats.org/officeDocument/2006/relationships" name="Minion Base Stats" sheetId="18" state="visible" r:id="rId18"/>
    <sheet xmlns:r="http://schemas.openxmlformats.org/officeDocument/2006/relationships" name="Partner Research Costs" sheetId="19" state="visible" r:id="rId19"/>
    <sheet xmlns:r="http://schemas.openxmlformats.org/officeDocument/2006/relationships" name="DNA Costs" sheetId="20" state="visible" r:id="rId20"/>
    <sheet xmlns:r="http://schemas.openxmlformats.org/officeDocument/2006/relationships" name="Dragon DNA Costs" sheetId="21" state="visible" r:id="rId21"/>
    <sheet xmlns:r="http://schemas.openxmlformats.org/officeDocument/2006/relationships" name="Relic Albums" sheetId="22" state="visible" r:id="rId22"/>
    <sheet xmlns:r="http://schemas.openxmlformats.org/officeDocument/2006/relationships" name="Lotto2 Expanded Stock" sheetId="23" state="visible" r:id="rId23"/>
    <sheet xmlns:r="http://schemas.openxmlformats.org/officeDocument/2006/relationships" name="Lotto3 Expanded Stock" sheetId="24" state="visible" r:id="rId24"/>
    <sheet xmlns:r="http://schemas.openxmlformats.org/officeDocument/2006/relationships" name="Useful Awakenings" sheetId="25" state="visible" r:id="rId25"/>
    <sheet xmlns:r="http://schemas.openxmlformats.org/officeDocument/2006/relationships" name="Rift Anecdotes" sheetId="26" state="visible" r:id="rId26"/>
    <sheet xmlns:r="http://schemas.openxmlformats.org/officeDocument/2006/relationships" name="Dance Calculator" sheetId="27" state="visible" r:id="rId27"/>
    <sheet xmlns:r="http://schemas.openxmlformats.org/officeDocument/2006/relationships" name="Band Calculator" sheetId="28" state="visible" r:id="rId28"/>
    <sheet xmlns:r="http://schemas.openxmlformats.org/officeDocument/2006/relationships" name="Sailing Calculator" sheetId="29" state="visible" r:id="rId29"/>
    <sheet xmlns:r="http://schemas.openxmlformats.org/officeDocument/2006/relationships" name="Drifter Stats" sheetId="30" state="visible" r:id="rId30"/>
    <sheet xmlns:r="http://schemas.openxmlformats.org/officeDocument/2006/relationships" name="Drifter Priority" sheetId="31" state="visible" r:id="rId31"/>
    <sheet xmlns:r="http://schemas.openxmlformats.org/officeDocument/2006/relationships" name="Protomon" sheetId="32" state="visible" r:id="rId32"/>
    <sheet xmlns:r="http://schemas.openxmlformats.org/officeDocument/2006/relationships" name="Hitmen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2">
    <font>
      <name val="Verdana"/>
      <color theme="1"/>
      <sz val="12"/>
      <scheme val="minor"/>
    </font>
    <font>
      <name val="Calibri"/>
      <color theme="1"/>
    </font>
    <font>
      <name val="Calibri"/>
      <b val="1"/>
      <color theme="1"/>
      <sz val="12"/>
    </font>
    <font>
      <name val="Calibri"/>
      <color rgb="FF000000"/>
      <sz val="12"/>
    </font>
    <font>
      <name val="Calibri"/>
      <color rgb="FF1A1A1A"/>
      <sz val="12"/>
    </font>
    <font>
      <name val="Calibri"/>
      <color theme="1"/>
      <sz val="12"/>
    </font>
    <font>
      <name val="Calibri"/>
      <b val="1"/>
      <color theme="1"/>
    </font>
    <font>
      <name val="Calibri"/>
      <b val="1"/>
      <color rgb="FF1A1A1A"/>
      <sz val="12"/>
    </font>
    <font>
      <name val="Calibri"/>
      <color rgb="FFFFFFFF"/>
    </font>
    <font>
      <name val="Calibri"/>
      <b val="1"/>
      <color rgb="FF000000"/>
      <sz val="12"/>
    </font>
    <font>
      <name val="Calibri"/>
      <color rgb="FFFF0000"/>
      <sz val="12"/>
    </font>
    <font>
      <name val="Verdana"/>
      <color theme="1"/>
      <scheme val="minor"/>
    </font>
    <font>
      <name val="Calibri"/>
      <color rgb="FF1F1F1F"/>
      <sz val="12"/>
    </font>
    <font>
      <name val="&quot;Google Sans&quot;"/>
      <color rgb="FF1F1F1F"/>
      <sz val="11"/>
    </font>
    <font>
      <name val="Calibri"/>
      <strike val="1"/>
      <color rgb="FFFF0000"/>
      <sz val="12"/>
    </font>
    <font>
      <name val="Calibri"/>
      <color rgb="FFFFFFFF"/>
      <sz val="12"/>
    </font>
    <font>
      <name val="Verdana"/>
      <color theme="1"/>
      <sz val="12"/>
    </font>
    <font>
      <name val="Verdana"/>
      <color rgb="FFFF0000"/>
      <scheme val="minor"/>
    </font>
    <font/>
    <font>
      <name val="Verdana"/>
      <b val="1"/>
      <color theme="1"/>
      <scheme val="minor"/>
    </font>
    <font>
      <name val="Verdana"/>
      <color rgb="FFFFFFFF"/>
      <scheme val="minor"/>
    </font>
    <font>
      <name val="Arial"/>
      <color theme="1"/>
    </font>
    <font>
      <name val="Calibri"/>
      <color rgb="FF0000FF"/>
      <sz val="12"/>
    </font>
    <font>
      <name val="Calibri"/>
      <color theme="1"/>
      <sz val="14"/>
    </font>
    <font>
      <name val="Verdana"/>
      <color theme="1"/>
      <sz val="9"/>
      <scheme val="minor"/>
    </font>
    <font>
      <name val="Verdana"/>
      <color theme="1"/>
      <sz val="9"/>
    </font>
    <font>
      <name val="Verdana"/>
      <b val="1"/>
      <color rgb="FFFFFFFF"/>
      <scheme val="minor"/>
    </font>
    <font>
      <name val="Calibri"/>
      <b val="1"/>
      <color rgb="FFFFFFFF"/>
    </font>
    <font>
      <name val="Calibri"/>
      <color rgb="FF980000"/>
      <sz val="12"/>
    </font>
    <font>
      <name val="Calibri"/>
      <color rgb="FF0000FF"/>
    </font>
    <font>
      <name val="Calibri"/>
      <color rgb="FF000000"/>
    </font>
    <font>
      <b val="1"/>
      <color rgb="00CC0000"/>
    </font>
  </fonts>
  <fills count="36">
    <fill>
      <patternFill/>
    </fill>
    <fill>
      <patternFill patternType="lightGray"/>
    </fill>
    <fill>
      <patternFill patternType="solid">
        <fgColor rgb="FFF0E9D7"/>
        <bgColor rgb="FFF0E9D7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8BC34A"/>
        <bgColor rgb="FF8BC34A"/>
      </patternFill>
    </fill>
    <fill>
      <patternFill patternType="solid">
        <fgColor rgb="FFF3F3F3"/>
        <bgColor rgb="FFF3F3F3"/>
      </patternFill>
    </fill>
    <fill>
      <patternFill patternType="solid">
        <fgColor rgb="FFE8F0FE"/>
        <bgColor rgb="FFE8F0FE"/>
      </patternFill>
    </fill>
    <fill>
      <patternFill patternType="solid">
        <fgColor rgb="FFBDBDBD"/>
        <bgColor rgb="FFBDBDBD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5B95F9"/>
        <bgColor rgb="FF5B95F9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EBEFF1"/>
        <bgColor rgb="FFEBEFF1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00FFCCCC"/>
        <bgColor rgb="00FFCCCC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163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4" pivotButton="0" quotePrefix="0" xfId="0"/>
    <xf numFmtId="0" fontId="1" fillId="0" borderId="0" pivotButton="0" quotePrefix="0" xfId="0"/>
    <xf numFmtId="0" fontId="1" fillId="0" borderId="5" pivotButton="0" quotePrefix="0" xfId="0"/>
    <xf numFmtId="0" fontId="1" fillId="0" borderId="4" pivotButton="0" quotePrefix="0" xfId="0"/>
    <xf numFmtId="0" fontId="3" fillId="0" borderId="0" applyAlignment="1" pivotButton="0" quotePrefix="0" xfId="0">
      <alignment vertical="bottom"/>
    </xf>
    <xf numFmtId="0" fontId="1" fillId="0" borderId="0" pivotButton="0" quotePrefix="0" xfId="0"/>
    <xf numFmtId="0" fontId="4" fillId="0" borderId="5" pivotButton="0" quotePrefix="0" xfId="0"/>
    <xf numFmtId="10" fontId="5" fillId="0" borderId="0" pivotButton="0" quotePrefix="0" xfId="0"/>
    <xf numFmtId="2" fontId="5" fillId="0" borderId="0" pivotButton="0" quotePrefix="0" xfId="0"/>
    <xf numFmtId="10" fontId="5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10" fontId="5" fillId="0" borderId="8" pivotButton="0" quotePrefix="0" xfId="0"/>
    <xf numFmtId="0" fontId="1" fillId="0" borderId="4" pivotButton="0" quotePrefix="0" xfId="0"/>
    <xf numFmtId="0" fontId="1" fillId="0" borderId="0" pivotButton="0" quotePrefix="0" xfId="0"/>
    <xf numFmtId="10" fontId="5" fillId="0" borderId="5" pivotButton="0" quotePrefix="0" xfId="0"/>
    <xf numFmtId="0" fontId="2" fillId="0" borderId="1" pivotButton="0" quotePrefix="0" xfId="0"/>
    <xf numFmtId="10" fontId="5" fillId="0" borderId="3" pivotButton="0" quotePrefix="0" xfId="0"/>
    <xf numFmtId="0" fontId="1" fillId="0" borderId="6" pivotButton="0" quotePrefix="0" xfId="0"/>
    <xf numFmtId="0" fontId="1" fillId="0" borderId="4" pivotButton="0" quotePrefix="0" xfId="0"/>
    <xf numFmtId="0" fontId="6" fillId="0" borderId="1" pivotButton="0" quotePrefix="0" xfId="0"/>
    <xf numFmtId="0" fontId="1" fillId="0" borderId="7" pivotButton="0" quotePrefix="0" xfId="0"/>
    <xf numFmtId="0" fontId="1" fillId="0" borderId="8" pivotButton="0" quotePrefix="0" xfId="0"/>
    <xf numFmtId="0" fontId="6" fillId="0" borderId="4" pivotButton="0" quotePrefix="0" xfId="0"/>
    <xf numFmtId="0" fontId="6" fillId="0" borderId="6" pivotButton="0" quotePrefix="0" xfId="0"/>
    <xf numFmtId="0" fontId="1" fillId="0" borderId="5" pivotButton="0" quotePrefix="0" xfId="0"/>
    <xf numFmtId="0" fontId="1" fillId="0" borderId="5" pivotButton="0" quotePrefix="0" xfId="0"/>
    <xf numFmtId="0" fontId="1" fillId="0" borderId="9" pivotButton="0" quotePrefix="0" xfId="0"/>
    <xf numFmtId="0" fontId="1" fillId="0" borderId="9" pivotButton="0" quotePrefix="0" xfId="0"/>
    <xf numFmtId="0" fontId="1" fillId="0" borderId="10" pivotButton="0" quotePrefix="0" xfId="0"/>
    <xf numFmtId="4" fontId="1" fillId="0" borderId="5" pivotButton="0" quotePrefix="0" xfId="0"/>
    <xf numFmtId="0" fontId="1" fillId="0" borderId="9" applyAlignment="1" pivotButton="0" quotePrefix="0" xfId="0">
      <alignment horizontal="center"/>
    </xf>
    <xf numFmtId="4" fontId="1" fillId="0" borderId="9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9" pivotButton="0" quotePrefix="0" xfId="0"/>
    <xf numFmtId="4" fontId="1" fillId="0" borderId="9" pivotButton="0" quotePrefix="0" xfId="0"/>
    <xf numFmtId="0" fontId="4" fillId="0" borderId="8" pivotButton="0" quotePrefix="0" xfId="0"/>
    <xf numFmtId="0" fontId="7" fillId="0" borderId="1" pivotButton="0" quotePrefix="0" xfId="0"/>
    <xf numFmtId="10" fontId="5" fillId="0" borderId="0" pivotButton="0" quotePrefix="0" xfId="0"/>
    <xf numFmtId="0" fontId="2" fillId="0" borderId="1" pivotButton="0" quotePrefix="0" xfId="0"/>
    <xf numFmtId="0" fontId="1" fillId="0" borderId="2" pivotButton="0" quotePrefix="0" xfId="0"/>
    <xf numFmtId="10" fontId="5" fillId="0" borderId="3" pivotButton="0" quotePrefix="0" xfId="0"/>
    <xf numFmtId="0" fontId="1" fillId="0" borderId="1" pivotButton="0" quotePrefix="0" xfId="0"/>
    <xf numFmtId="0" fontId="8" fillId="0" borderId="1" pivotButton="0" quotePrefix="0" xfId="0"/>
    <xf numFmtId="0" fontId="1" fillId="0" borderId="8" pivotButton="0" quotePrefix="0" xfId="0"/>
    <xf numFmtId="0" fontId="4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3" fillId="0" borderId="6" applyAlignment="1" pivotButton="0" quotePrefix="0" xfId="0">
      <alignment vertical="bottom"/>
    </xf>
    <xf numFmtId="0" fontId="2" fillId="0" borderId="9" pivotButton="0" quotePrefix="0" xfId="0"/>
    <xf numFmtId="0" fontId="1" fillId="0" borderId="9" pivotButton="0" quotePrefix="0" xfId="0"/>
    <xf numFmtId="0" fontId="1" fillId="0" borderId="3" pivotButton="0" quotePrefix="0" xfId="0"/>
    <xf numFmtId="0" fontId="3" fillId="0" borderId="9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0" pivotButton="0" quotePrefix="0" xfId="0"/>
    <xf numFmtId="0" fontId="3" fillId="0" borderId="7" pivotButton="0" quotePrefix="0" xfId="0"/>
    <xf numFmtId="0" fontId="3" fillId="0" borderId="8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4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1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3" fillId="0" borderId="7" applyAlignment="1" pivotButton="0" quotePrefix="0" xfId="0">
      <alignment vertical="bottom"/>
    </xf>
    <xf numFmtId="0" fontId="3" fillId="0" borderId="7" applyAlignment="1" pivotButton="0" quotePrefix="0" xfId="0">
      <alignment horizontal="right" vertical="bottom"/>
    </xf>
    <xf numFmtId="0" fontId="3" fillId="0" borderId="8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0" borderId="5" applyAlignment="1" pivotButton="0" quotePrefix="0" xfId="0">
      <alignment vertical="bottom"/>
    </xf>
    <xf numFmtId="0" fontId="3" fillId="0" borderId="7" applyAlignment="1" pivotButton="0" quotePrefix="0" xfId="0">
      <alignment vertical="bottom"/>
    </xf>
    <xf numFmtId="0" fontId="3" fillId="0" borderId="7" applyAlignment="1" pivotButton="0" quotePrefix="0" xfId="0">
      <alignment horizontal="right" vertical="bottom"/>
    </xf>
    <xf numFmtId="0" fontId="3" fillId="0" borderId="8" applyAlignment="1" pivotButton="0" quotePrefix="0" xfId="0">
      <alignment vertical="bottom"/>
    </xf>
    <xf numFmtId="0" fontId="3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3" fillId="0" borderId="11" applyAlignment="1" pivotButton="0" quotePrefix="0" xfId="0">
      <alignment horizontal="right" vertical="bottom"/>
    </xf>
    <xf numFmtId="0" fontId="3" fillId="0" borderId="12" applyAlignment="1" pivotButton="0" quotePrefix="0" xfId="0">
      <alignment vertical="bottom"/>
    </xf>
    <xf numFmtId="0" fontId="3" fillId="0" borderId="8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5" fillId="0" borderId="5" pivotButton="0" quotePrefix="0" xfId="0"/>
    <xf numFmtId="0" fontId="10" fillId="0" borderId="5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3" fillId="0" borderId="11" applyAlignment="1" pivotButton="0" quotePrefix="0" xfId="0">
      <alignment horizontal="center"/>
    </xf>
    <xf numFmtId="0" fontId="3" fillId="0" borderId="8" applyAlignment="1" pivotButton="0" quotePrefix="0" xfId="0">
      <alignment horizontal="right" vertical="bottom"/>
    </xf>
    <xf numFmtId="0" fontId="3" fillId="2" borderId="5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3" fillId="0" borderId="7" applyAlignment="1" pivotButton="0" quotePrefix="0" xfId="0">
      <alignment vertical="bottom"/>
    </xf>
    <xf numFmtId="0" fontId="3" fillId="0" borderId="4" applyAlignment="1" pivotButton="0" quotePrefix="0" xfId="0">
      <alignment horizontal="center" vertical="bottom"/>
    </xf>
    <xf numFmtId="0" fontId="3" fillId="0" borderId="5" applyAlignment="1" pivotButton="0" quotePrefix="0" xfId="0">
      <alignment horizontal="right" vertical="bottom"/>
    </xf>
    <xf numFmtId="0" fontId="3" fillId="0" borderId="6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5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3" fillId="0" borderId="0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11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12" fillId="3" borderId="0" pivotButton="0" quotePrefix="0" xfId="0"/>
    <xf numFmtId="0" fontId="11" fillId="0" borderId="7" pivotButton="0" quotePrefix="0" xfId="0"/>
    <xf numFmtId="0" fontId="13" fillId="3" borderId="0" pivotButton="0" quotePrefix="0" xfId="0"/>
    <xf numFmtId="0" fontId="3" fillId="0" borderId="4" applyAlignment="1" pivotButton="0" quotePrefix="0" xfId="0">
      <alignment vertical="bottom"/>
    </xf>
    <xf numFmtId="0" fontId="14" fillId="0" borderId="5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5" fillId="0" borderId="5" pivotButton="0" quotePrefix="0" xfId="0"/>
    <xf numFmtId="0" fontId="5" fillId="0" borderId="5" pivotButton="0" quotePrefix="0" xfId="0"/>
    <xf numFmtId="0" fontId="5" fillId="0" borderId="7" pivotButton="0" quotePrefix="0" xfId="0"/>
    <xf numFmtId="0" fontId="5" fillId="0" borderId="8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0" fillId="0" borderId="7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5" fillId="0" borderId="8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5" fillId="0" borderId="3" applyAlignment="1" pivotButton="0" quotePrefix="0" xfId="0">
      <alignment vertical="bottom"/>
    </xf>
    <xf numFmtId="0" fontId="11" fillId="0" borderId="4" pivotButton="0" quotePrefix="0" xfId="0"/>
    <xf numFmtId="0" fontId="11" fillId="0" borderId="5" pivotButton="0" quotePrefix="0" xfId="0"/>
    <xf numFmtId="0" fontId="15" fillId="0" borderId="1" applyAlignment="1" pivotButton="0" quotePrefix="0" xfId="0">
      <alignment vertical="bottom"/>
    </xf>
    <xf numFmtId="0" fontId="15" fillId="0" borderId="2" applyAlignment="1" pivotButton="0" quotePrefix="0" xfId="0">
      <alignment vertical="bottom"/>
    </xf>
    <xf numFmtId="0" fontId="11" fillId="0" borderId="1" pivotButton="0" quotePrefix="0" xfId="0"/>
    <xf numFmtId="0" fontId="11" fillId="0" borderId="3" pivotButton="0" quotePrefix="0" xfId="0"/>
    <xf numFmtId="0" fontId="11" fillId="0" borderId="7" pivotButton="0" quotePrefix="0" xfId="0"/>
    <xf numFmtId="0" fontId="11" fillId="0" borderId="8" pivotButton="0" quotePrefix="0" xfId="0"/>
    <xf numFmtId="0" fontId="3" fillId="0" borderId="2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10" fillId="0" borderId="3" applyAlignment="1" pivotButton="0" quotePrefix="0" xfId="0">
      <alignment vertical="bottom"/>
    </xf>
    <xf numFmtId="0" fontId="3" fillId="0" borderId="10" applyAlignment="1" pivotButton="0" quotePrefix="0" xfId="0">
      <alignment vertical="bottom"/>
    </xf>
    <xf numFmtId="0" fontId="3" fillId="0" borderId="13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5" fillId="0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9" fillId="4" borderId="4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5" fillId="0" borderId="4" pivotButton="0" quotePrefix="0" xfId="0"/>
    <xf numFmtId="4" fontId="5" fillId="0" borderId="0" pivotButton="0" quotePrefix="0" xfId="0"/>
    <xf numFmtId="0" fontId="9" fillId="3" borderId="4" applyAlignment="1" pivotButton="0" quotePrefix="0" xfId="0">
      <alignment vertical="bottom"/>
    </xf>
    <xf numFmtId="0" fontId="3" fillId="3" borderId="0" applyAlignment="1" pivotButton="0" quotePrefix="0" xfId="0">
      <alignment horizontal="right" vertical="bottom"/>
    </xf>
    <xf numFmtId="0" fontId="5" fillId="3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4" fontId="3" fillId="0" borderId="0" applyAlignment="1" pivotButton="0" quotePrefix="0" xfId="0">
      <alignment horizontal="right" vertical="bottom"/>
    </xf>
    <xf numFmtId="0" fontId="5" fillId="3" borderId="5" applyAlignment="1" pivotButton="0" quotePrefix="0" xfId="0">
      <alignment vertical="bottom"/>
    </xf>
    <xf numFmtId="0" fontId="3" fillId="3" borderId="0" applyAlignment="1" pivotButton="0" quotePrefix="0" xfId="0">
      <alignment horizontal="right" vertical="bottom"/>
    </xf>
    <xf numFmtId="0" fontId="10" fillId="3" borderId="5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3" borderId="5" applyAlignment="1" pivotButton="0" quotePrefix="0" xfId="0">
      <alignment vertical="bottom"/>
    </xf>
    <xf numFmtId="0" fontId="3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horizontal="right" vertical="bottom"/>
    </xf>
    <xf numFmtId="0" fontId="5" fillId="4" borderId="5" applyAlignment="1" pivotButton="0" quotePrefix="0" xfId="0">
      <alignment vertical="bottom"/>
    </xf>
    <xf numFmtId="0" fontId="5" fillId="0" borderId="6" pivotButton="0" quotePrefix="0" xfId="0"/>
    <xf numFmtId="4" fontId="5" fillId="0" borderId="7" pivotButton="0" quotePrefix="0" xfId="0"/>
    <xf numFmtId="0" fontId="5" fillId="0" borderId="8" pivotButton="0" quotePrefix="0" xfId="0"/>
    <xf numFmtId="4" fontId="3" fillId="4" borderId="0" applyAlignment="1" pivotButton="0" quotePrefix="0" xfId="0">
      <alignment horizontal="right" vertical="bottom"/>
    </xf>
    <xf numFmtId="0" fontId="14" fillId="0" borderId="5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4" fontId="3" fillId="0" borderId="7" applyAlignment="1" pivotButton="0" quotePrefix="0" xfId="0">
      <alignment vertical="bottom"/>
    </xf>
    <xf numFmtId="0" fontId="5" fillId="0" borderId="8" applyAlignment="1" pivotButton="0" quotePrefix="0" xfId="0">
      <alignment vertical="bottom"/>
    </xf>
    <xf numFmtId="0" fontId="5" fillId="0" borderId="4" pivotButton="0" quotePrefix="0" xfId="0"/>
    <xf numFmtId="0" fontId="5" fillId="0" borderId="3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0" fontId="10" fillId="4" borderId="5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right" vertical="bottom"/>
    </xf>
    <xf numFmtId="0" fontId="5" fillId="4" borderId="5" applyAlignment="1" pivotButton="0" quotePrefix="0" xfId="0">
      <alignment vertical="bottom"/>
    </xf>
    <xf numFmtId="0" fontId="3" fillId="5" borderId="1" applyAlignment="1" pivotButton="0" quotePrefix="0" xfId="0">
      <alignment vertical="bottom"/>
    </xf>
    <xf numFmtId="0" fontId="3" fillId="4" borderId="6" applyAlignment="1" pivotButton="0" quotePrefix="0" xfId="0">
      <alignment vertical="bottom"/>
    </xf>
    <xf numFmtId="0" fontId="5" fillId="4" borderId="7" applyAlignment="1" pivotButton="0" quotePrefix="0" xfId="0">
      <alignment vertical="bottom"/>
    </xf>
    <xf numFmtId="0" fontId="3" fillId="4" borderId="7" applyAlignment="1" pivotButton="0" quotePrefix="0" xfId="0">
      <alignment horizontal="right" vertical="bottom"/>
    </xf>
    <xf numFmtId="0" fontId="5" fillId="4" borderId="8" applyAlignment="1" pivotButton="0" quotePrefix="0" xfId="0">
      <alignment vertical="bottom"/>
    </xf>
    <xf numFmtId="0" fontId="5" fillId="6" borderId="5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3" borderId="5" applyAlignment="1" pivotButton="0" quotePrefix="0" xfId="0">
      <alignment vertical="bottom"/>
    </xf>
    <xf numFmtId="0" fontId="9" fillId="6" borderId="4" applyAlignment="1" pivotButton="0" quotePrefix="0" xfId="0">
      <alignment vertical="bottom"/>
    </xf>
    <xf numFmtId="0" fontId="5" fillId="6" borderId="0" applyAlignment="1" pivotButton="0" quotePrefix="0" xfId="0">
      <alignment vertical="bottom"/>
    </xf>
    <xf numFmtId="0" fontId="5" fillId="6" borderId="5" applyAlignment="1" pivotButton="0" quotePrefix="0" xfId="0">
      <alignment vertical="bottom"/>
    </xf>
    <xf numFmtId="0" fontId="9" fillId="6" borderId="4" applyAlignment="1" pivotButton="0" quotePrefix="0" xfId="0">
      <alignment vertical="bottom"/>
    </xf>
    <xf numFmtId="0" fontId="3" fillId="6" borderId="0" applyAlignment="1" pivotButton="0" quotePrefix="0" xfId="0">
      <alignment horizontal="right" vertical="bottom"/>
    </xf>
    <xf numFmtId="0" fontId="5" fillId="6" borderId="5" applyAlignment="1" pivotButton="0" quotePrefix="0" xfId="0">
      <alignment vertical="bottom"/>
    </xf>
    <xf numFmtId="0" fontId="5" fillId="3" borderId="5" applyAlignment="1" pivotButton="0" quotePrefix="0" xfId="0">
      <alignment vertical="bottom"/>
    </xf>
    <xf numFmtId="4" fontId="3" fillId="4" borderId="7" applyAlignment="1" pivotButton="0" quotePrefix="0" xfId="0">
      <alignment horizontal="right" vertical="bottom"/>
    </xf>
    <xf numFmtId="0" fontId="5" fillId="6" borderId="0" applyAlignment="1" pivotButton="0" quotePrefix="0" xfId="0">
      <alignment horizontal="right" vertical="bottom"/>
    </xf>
    <xf numFmtId="0" fontId="5" fillId="6" borderId="0" applyAlignment="1" pivotButton="0" quotePrefix="0" xfId="0">
      <alignment vertical="bottom"/>
    </xf>
    <xf numFmtId="4" fontId="3" fillId="6" borderId="0" applyAlignment="1" pivotButton="0" quotePrefix="0" xfId="0">
      <alignment horizontal="right" vertical="bottom"/>
    </xf>
    <xf numFmtId="0" fontId="10" fillId="6" borderId="5" applyAlignment="1" pivotButton="0" quotePrefix="0" xfId="0">
      <alignment vertical="bottom"/>
    </xf>
    <xf numFmtId="0" fontId="5" fillId="6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right" vertical="bottom"/>
    </xf>
    <xf numFmtId="0" fontId="3" fillId="4" borderId="5" applyAlignment="1" pivotButton="0" quotePrefix="0" xfId="0">
      <alignment vertical="bottom"/>
    </xf>
    <xf numFmtId="0" fontId="5" fillId="0" borderId="10" pivotButton="0" quotePrefix="0" xfId="0"/>
    <xf numFmtId="0" fontId="5" fillId="0" borderId="13" pivotButton="0" quotePrefix="0" xfId="0"/>
    <xf numFmtId="0" fontId="5" fillId="0" borderId="11" pivotButton="0" quotePrefix="0" xfId="0"/>
    <xf numFmtId="0" fontId="9" fillId="4" borderId="4" applyAlignment="1" pivotButton="0" quotePrefix="0" xfId="0">
      <alignment vertical="bottom"/>
    </xf>
    <xf numFmtId="0" fontId="5" fillId="4" borderId="0" applyAlignment="1" pivotButton="0" quotePrefix="0" xfId="0">
      <alignment horizontal="right" vertical="bottom"/>
    </xf>
    <xf numFmtId="0" fontId="9" fillId="4" borderId="1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5" fillId="4" borderId="2" applyAlignment="1" pivotButton="0" quotePrefix="0" xfId="0">
      <alignment vertical="bottom"/>
    </xf>
    <xf numFmtId="0" fontId="5" fillId="4" borderId="2" applyAlignment="1" pivotButton="0" quotePrefix="0" xfId="0">
      <alignment vertical="bottom"/>
    </xf>
    <xf numFmtId="4" fontId="3" fillId="4" borderId="2" applyAlignment="1" pivotButton="0" quotePrefix="0" xfId="0">
      <alignment horizontal="right" vertical="bottom"/>
    </xf>
    <xf numFmtId="0" fontId="9" fillId="4" borderId="4" applyAlignment="1" pivotButton="0" quotePrefix="0" xfId="0">
      <alignment vertical="bottom"/>
    </xf>
    <xf numFmtId="0" fontId="2" fillId="3" borderId="4" applyAlignment="1" pivotButton="0" quotePrefix="0" xfId="0">
      <alignment vertical="bottom"/>
    </xf>
    <xf numFmtId="0" fontId="5" fillId="0" borderId="10" applyAlignment="1" pivotButton="0" quotePrefix="0" xfId="0">
      <alignment vertical="bottom"/>
    </xf>
    <xf numFmtId="0" fontId="5" fillId="0" borderId="13" applyAlignment="1" pivotButton="0" quotePrefix="0" xfId="0">
      <alignment vertical="bottom"/>
    </xf>
    <xf numFmtId="0" fontId="5" fillId="0" borderId="11" applyAlignment="1" pivotButton="0" quotePrefix="0" xfId="0">
      <alignment vertical="bottom"/>
    </xf>
    <xf numFmtId="0" fontId="15" fillId="5" borderId="4" applyAlignment="1" pivotButton="0" quotePrefix="0" xfId="0">
      <alignment vertical="bottom"/>
    </xf>
    <xf numFmtId="0" fontId="15" fillId="5" borderId="0" applyAlignment="1" pivotButton="0" quotePrefix="0" xfId="0">
      <alignment vertical="bottom"/>
    </xf>
    <xf numFmtId="0" fontId="5" fillId="5" borderId="5" applyAlignment="1" pivotButton="0" quotePrefix="0" xfId="0">
      <alignment vertical="bottom"/>
    </xf>
    <xf numFmtId="0" fontId="3" fillId="3" borderId="0" applyAlignment="1" pivotButton="0" quotePrefix="0" xfId="0">
      <alignment horizontal="right" vertical="bottom"/>
    </xf>
    <xf numFmtId="4" fontId="3" fillId="3" borderId="0" applyAlignment="1" pivotButton="0" quotePrefix="0" xfId="0">
      <alignment horizontal="right" vertical="bottom"/>
    </xf>
    <xf numFmtId="0" fontId="5" fillId="4" borderId="5" applyAlignment="1" pivotButton="0" quotePrefix="0" xfId="0">
      <alignment vertical="bottom"/>
    </xf>
    <xf numFmtId="0" fontId="5" fillId="4" borderId="4" applyAlignment="1" pivotButton="0" quotePrefix="0" xfId="0">
      <alignment vertical="bottom"/>
    </xf>
    <xf numFmtId="0" fontId="3" fillId="3" borderId="6" applyAlignment="1" pivotButton="0" quotePrefix="0" xfId="0">
      <alignment vertical="bottom"/>
    </xf>
    <xf numFmtId="0" fontId="5" fillId="3" borderId="7" applyAlignment="1" pivotButton="0" quotePrefix="0" xfId="0">
      <alignment vertical="bottom"/>
    </xf>
    <xf numFmtId="0" fontId="3" fillId="3" borderId="7" applyAlignment="1" pivotButton="0" quotePrefix="0" xfId="0">
      <alignment horizontal="right" vertical="bottom"/>
    </xf>
    <xf numFmtId="4" fontId="3" fillId="3" borderId="7" applyAlignment="1" pivotButton="0" quotePrefix="0" xfId="0">
      <alignment horizontal="right" vertical="bottom"/>
    </xf>
    <xf numFmtId="0" fontId="5" fillId="3" borderId="8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7" applyAlignment="1" pivotButton="0" quotePrefix="0" xfId="0">
      <alignment vertical="bottom"/>
    </xf>
    <xf numFmtId="0" fontId="5" fillId="3" borderId="0" applyAlignment="1" pivotButton="0" quotePrefix="0" xfId="0">
      <alignment horizontal="right" vertical="bottom"/>
    </xf>
    <xf numFmtId="0" fontId="5" fillId="4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right" vertical="bottom"/>
    </xf>
    <xf numFmtId="0" fontId="5" fillId="4" borderId="0" applyAlignment="1" pivotButton="0" quotePrefix="0" xfId="0">
      <alignment horizontal="right" vertical="bottom"/>
    </xf>
    <xf numFmtId="4" fontId="5" fillId="4" borderId="0" applyAlignment="1" pivotButton="0" quotePrefix="0" xfId="0">
      <alignment vertical="bottom"/>
    </xf>
    <xf numFmtId="4" fontId="5" fillId="3" borderId="0" applyAlignment="1" pivotButton="0" quotePrefix="0" xfId="0">
      <alignment vertical="bottom"/>
    </xf>
    <xf numFmtId="0" fontId="5" fillId="3" borderId="4" applyAlignment="1" pivotButton="0" quotePrefix="0" xfId="0">
      <alignment vertical="bottom"/>
    </xf>
    <xf numFmtId="0" fontId="3" fillId="4" borderId="6" applyAlignment="1" pivotButton="0" quotePrefix="0" xfId="0">
      <alignment vertical="bottom"/>
    </xf>
    <xf numFmtId="0" fontId="15" fillId="5" borderId="6" applyAlignment="1" pivotButton="0" quotePrefix="0" xfId="0">
      <alignment vertical="bottom"/>
    </xf>
    <xf numFmtId="0" fontId="15" fillId="5" borderId="7" applyAlignment="1" pivotButton="0" quotePrefix="0" xfId="0">
      <alignment vertical="bottom"/>
    </xf>
    <xf numFmtId="0" fontId="5" fillId="5" borderId="8" applyAlignment="1" pivotButton="0" quotePrefix="0" xfId="0">
      <alignment vertical="bottom"/>
    </xf>
    <xf numFmtId="0" fontId="2" fillId="4" borderId="4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3" fillId="3" borderId="5" applyAlignment="1" pivotButton="0" quotePrefix="0" xfId="0">
      <alignment vertical="bottom"/>
    </xf>
    <xf numFmtId="0" fontId="10" fillId="4" borderId="5" applyAlignment="1" pivotButton="0" quotePrefix="0" xfId="0">
      <alignment vertical="bottom"/>
    </xf>
    <xf numFmtId="0" fontId="3" fillId="5" borderId="4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0" fontId="5" fillId="0" borderId="4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5" fillId="0" borderId="6" applyAlignment="1" pivotButton="0" quotePrefix="0" xfId="0">
      <alignment vertical="bottom"/>
    </xf>
    <xf numFmtId="0" fontId="5" fillId="0" borderId="8" applyAlignment="1" pivotButton="0" quotePrefix="0" xfId="0">
      <alignment vertical="bottom"/>
    </xf>
    <xf numFmtId="0" fontId="3" fillId="5" borderId="6" applyAlignment="1" pivotButton="0" quotePrefix="0" xfId="0">
      <alignment vertical="bottom"/>
    </xf>
    <xf numFmtId="0" fontId="3" fillId="5" borderId="7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3" fillId="3" borderId="4" applyAlignment="1" pivotButton="0" quotePrefix="0" xfId="0">
      <alignment vertical="bottom"/>
    </xf>
    <xf numFmtId="0" fontId="3" fillId="3" borderId="7" applyAlignment="1" pivotButton="0" quotePrefix="0" xfId="0">
      <alignment vertical="bottom"/>
    </xf>
    <xf numFmtId="0" fontId="15" fillId="5" borderId="5" applyAlignment="1" pivotButton="0" quotePrefix="0" xfId="0">
      <alignment vertical="bottom"/>
    </xf>
    <xf numFmtId="0" fontId="3" fillId="5" borderId="5" applyAlignment="1" pivotButton="0" quotePrefix="0" xfId="0">
      <alignment vertical="bottom"/>
    </xf>
    <xf numFmtId="0" fontId="10" fillId="0" borderId="5" pivotButton="0" quotePrefix="0" xfId="0"/>
    <xf numFmtId="0" fontId="9" fillId="0" borderId="1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5" fillId="0" borderId="3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5" fillId="0" borderId="7" applyAlignment="1" pivotButton="0" quotePrefix="0" xfId="0">
      <alignment vertical="bottom"/>
    </xf>
    <xf numFmtId="0" fontId="3" fillId="0" borderId="7" applyAlignment="1" pivotButton="0" quotePrefix="0" xfId="0">
      <alignment horizontal="right" vertical="bottom"/>
    </xf>
    <xf numFmtId="0" fontId="3" fillId="0" borderId="8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16" fillId="0" borderId="1" applyAlignment="1" pivotButton="0" quotePrefix="0" xfId="0">
      <alignment vertical="bottom"/>
    </xf>
    <xf numFmtId="0" fontId="16" fillId="0" borderId="2" applyAlignment="1" pivotButton="0" quotePrefix="0" xfId="0">
      <alignment vertical="bottom"/>
    </xf>
    <xf numFmtId="0" fontId="16" fillId="0" borderId="2" applyAlignment="1" pivotButton="0" quotePrefix="0" xfId="0">
      <alignment vertical="bottom"/>
    </xf>
    <xf numFmtId="0" fontId="16" fillId="0" borderId="3" applyAlignment="1" pivotButton="0" quotePrefix="0" xfId="0">
      <alignment vertical="bottom"/>
    </xf>
    <xf numFmtId="0" fontId="16" fillId="0" borderId="7" applyAlignment="1" pivotButton="0" quotePrefix="0" xfId="0">
      <alignment vertical="bottom"/>
    </xf>
    <xf numFmtId="0" fontId="16" fillId="0" borderId="7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5" fillId="0" borderId="4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3" fillId="0" borderId="5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10" fontId="3" fillId="0" borderId="5" applyAlignment="1" pivotButton="0" quotePrefix="0" xfId="0">
      <alignment vertical="bottom"/>
    </xf>
    <xf numFmtId="0" fontId="5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10" fillId="0" borderId="5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7" borderId="4" applyAlignment="1" pivotButton="0" quotePrefix="0" xfId="0">
      <alignment vertical="bottom"/>
    </xf>
    <xf numFmtId="0" fontId="10" fillId="7" borderId="5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5" fillId="0" borderId="4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5" fillId="0" borderId="7" applyAlignment="1" pivotButton="0" quotePrefix="0" xfId="0">
      <alignment vertical="bottom"/>
    </xf>
    <xf numFmtId="0" fontId="3" fillId="0" borderId="7" applyAlignment="1" pivotButton="0" quotePrefix="0" xfId="0">
      <alignment horizontal="right" vertical="bottom"/>
    </xf>
    <xf numFmtId="10" fontId="5" fillId="0" borderId="8" applyAlignment="1" pivotButton="0" quotePrefix="0" xfId="0">
      <alignment vertical="bottom"/>
    </xf>
    <xf numFmtId="0" fontId="16" fillId="0" borderId="4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10" fontId="16" fillId="0" borderId="5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16" fillId="0" borderId="2" applyAlignment="1" pivotButton="0" quotePrefix="0" xfId="0">
      <alignment vertical="bottom"/>
    </xf>
    <xf numFmtId="0" fontId="16" fillId="0" borderId="2" applyAlignment="1" pivotButton="0" quotePrefix="0" xfId="0">
      <alignment vertical="bottom"/>
    </xf>
    <xf numFmtId="10" fontId="16" fillId="0" borderId="3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16" fillId="0" borderId="7" applyAlignment="1" pivotButton="0" quotePrefix="0" xfId="0">
      <alignment vertical="bottom"/>
    </xf>
    <xf numFmtId="0" fontId="16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10" fontId="5" fillId="0" borderId="3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5" fillId="0" borderId="7" applyAlignment="1" pivotButton="0" quotePrefix="0" xfId="0">
      <alignment vertical="bottom"/>
    </xf>
    <xf numFmtId="0" fontId="3" fillId="0" borderId="7" applyAlignment="1" pivotButton="0" quotePrefix="0" xfId="0">
      <alignment horizontal="right" vertical="bottom"/>
    </xf>
    <xf numFmtId="0" fontId="3" fillId="0" borderId="8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0" fontId="16" fillId="0" borderId="4" applyAlignment="1" pivotButton="0" quotePrefix="0" xfId="0">
      <alignment vertical="bottom"/>
    </xf>
    <xf numFmtId="10" fontId="16" fillId="0" borderId="5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5" fillId="0" borderId="2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2" fillId="0" borderId="10" applyAlignment="1" pivotButton="0" quotePrefix="0" xfId="0">
      <alignment vertical="bottom"/>
    </xf>
    <xf numFmtId="0" fontId="5" fillId="0" borderId="13" applyAlignment="1" pivotButton="0" quotePrefix="0" xfId="0">
      <alignment vertical="bottom"/>
    </xf>
    <xf numFmtId="0" fontId="3" fillId="0" borderId="13" applyAlignment="1" pivotButton="0" quotePrefix="0" xfId="0">
      <alignment horizontal="right" vertical="bottom"/>
    </xf>
    <xf numFmtId="10" fontId="5" fillId="0" borderId="11" applyAlignment="1" pivotButton="0" quotePrefix="0" xfId="0">
      <alignment vertical="bottom"/>
    </xf>
    <xf numFmtId="0" fontId="16" fillId="0" borderId="4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16" fillId="0" borderId="2" applyAlignment="1" pivotButton="0" quotePrefix="0" xfId="0">
      <alignment vertical="bottom"/>
    </xf>
    <xf numFmtId="0" fontId="9" fillId="0" borderId="10" applyAlignment="1" pivotButton="0" quotePrefix="0" xfId="0">
      <alignment vertical="bottom"/>
    </xf>
    <xf numFmtId="0" fontId="16" fillId="0" borderId="13" applyAlignment="1" pivotButton="0" quotePrefix="0" xfId="0">
      <alignment vertical="bottom"/>
    </xf>
    <xf numFmtId="10" fontId="16" fillId="0" borderId="1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6" applyAlignment="1" pivotButton="0" quotePrefix="0" xfId="0">
      <alignment vertical="bottom"/>
    </xf>
    <xf numFmtId="0" fontId="5" fillId="0" borderId="8" applyAlignment="1" pivotButton="0" quotePrefix="0" xfId="0">
      <alignment vertical="bottom"/>
    </xf>
    <xf numFmtId="0" fontId="5" fillId="0" borderId="4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16" fillId="0" borderId="2" applyAlignment="1" pivotButton="0" quotePrefix="0" xfId="0">
      <alignment vertical="bottom"/>
    </xf>
    <xf numFmtId="0" fontId="16" fillId="0" borderId="5" applyAlignment="1" pivotButton="0" quotePrefix="0" xfId="0">
      <alignment vertical="bottom"/>
    </xf>
    <xf numFmtId="0" fontId="5" fillId="0" borderId="3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0" fontId="5" fillId="0" borderId="11" applyAlignment="1" pivotButton="0" quotePrefix="0" xfId="0">
      <alignment vertical="bottom"/>
    </xf>
    <xf numFmtId="0" fontId="3" fillId="8" borderId="9" applyAlignment="1" pivotButton="0" quotePrefix="0" xfId="0">
      <alignment vertical="bottom"/>
    </xf>
    <xf numFmtId="0" fontId="3" fillId="8" borderId="9" applyAlignment="1" pivotButton="0" quotePrefix="0" xfId="0">
      <alignment horizontal="right" vertical="bottom"/>
    </xf>
    <xf numFmtId="0" fontId="3" fillId="0" borderId="1" pivotButton="0" quotePrefix="0" xfId="0"/>
    <xf numFmtId="0" fontId="3" fillId="0" borderId="2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9" fillId="0" borderId="4" pivotButton="0" quotePrefix="0" xfId="0"/>
    <xf numFmtId="10" fontId="3" fillId="0" borderId="5" pivotButton="0" quotePrefix="0" xfId="0"/>
    <xf numFmtId="0" fontId="9" fillId="0" borderId="4" pivotButton="0" quotePrefix="0" xfId="0"/>
    <xf numFmtId="0" fontId="3" fillId="0" borderId="6" pivotButton="0" quotePrefix="0" xfId="0"/>
    <xf numFmtId="10" fontId="3" fillId="0" borderId="8" pivotButton="0" quotePrefix="0" xfId="0"/>
    <xf numFmtId="10" fontId="3" fillId="0" borderId="5" pivotButton="0" quotePrefix="0" xfId="0"/>
    <xf numFmtId="10" fontId="3" fillId="0" borderId="3" pivotButton="0" quotePrefix="0" xfId="0"/>
    <xf numFmtId="0" fontId="3" fillId="0" borderId="2" applyAlignment="1" pivotButton="0" quotePrefix="0" xfId="0">
      <alignment vertical="bottom"/>
    </xf>
    <xf numFmtId="10" fontId="3" fillId="0" borderId="3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6" pivotButton="0" quotePrefix="0" xfId="0"/>
    <xf numFmtId="0" fontId="3" fillId="0" borderId="7" pivotButton="0" quotePrefix="0" xfId="0"/>
    <xf numFmtId="0" fontId="3" fillId="0" borderId="7" applyAlignment="1" pivotButton="0" quotePrefix="0" xfId="0">
      <alignment vertical="bottom"/>
    </xf>
    <xf numFmtId="10" fontId="3" fillId="0" borderId="5" applyAlignment="1" pivotButton="0" quotePrefix="0" xfId="0">
      <alignment vertical="bottom"/>
    </xf>
    <xf numFmtId="0" fontId="3" fillId="0" borderId="1" pivotButton="0" quotePrefix="0" xfId="0"/>
    <xf numFmtId="0" fontId="3" fillId="0" borderId="8" pivotButton="0" quotePrefix="0" xfId="0"/>
    <xf numFmtId="0" fontId="10" fillId="0" borderId="0" applyAlignment="1" pivotButton="0" quotePrefix="0" xfId="0">
      <alignment vertical="bottom"/>
    </xf>
    <xf numFmtId="0" fontId="9" fillId="0" borderId="1" pivotButton="0" quotePrefix="0" xfId="0"/>
    <xf numFmtId="0" fontId="3" fillId="0" borderId="9" pivotButton="0" quotePrefix="0" xfId="0"/>
    <xf numFmtId="0" fontId="3" fillId="0" borderId="5" applyAlignment="1" pivotButton="0" quotePrefix="0" xfId="0">
      <alignment vertical="bottom"/>
    </xf>
    <xf numFmtId="10" fontId="3" fillId="0" borderId="8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10" fontId="3" fillId="0" borderId="5" applyAlignment="1" pivotButton="0" quotePrefix="0" xfId="0">
      <alignment vertical="bottom"/>
    </xf>
    <xf numFmtId="0" fontId="3" fillId="0" borderId="4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3" fillId="0" borderId="11" applyAlignment="1" pivotButton="0" quotePrefix="0" xfId="0">
      <alignment horizontal="right" vertical="bottom"/>
    </xf>
    <xf numFmtId="0" fontId="3" fillId="0" borderId="12" applyAlignment="1" pivotButton="0" quotePrefix="0" xfId="0">
      <alignment vertical="bottom"/>
    </xf>
    <xf numFmtId="0" fontId="3" fillId="0" borderId="14" applyAlignment="1" pivotButton="0" quotePrefix="0" xfId="0">
      <alignment vertical="bottom"/>
    </xf>
    <xf numFmtId="0" fontId="3" fillId="0" borderId="2" pivotButton="0" quotePrefix="0" xfId="0"/>
    <xf numFmtId="0" fontId="3" fillId="0" borderId="0" pivotButton="0" quotePrefix="0" xfId="0"/>
    <xf numFmtId="10" fontId="3" fillId="0" borderId="0" pivotButton="0" quotePrefix="0" xfId="0"/>
    <xf numFmtId="0" fontId="3" fillId="0" borderId="4" applyAlignment="1" pivotButton="0" quotePrefix="0" xfId="0">
      <alignment vertical="bottom"/>
    </xf>
    <xf numFmtId="0" fontId="3" fillId="0" borderId="2" applyAlignment="1" pivotButton="0" quotePrefix="0" xfId="0">
      <alignment horizontal="center" vertical="bottom"/>
    </xf>
    <xf numFmtId="0" fontId="3" fillId="0" borderId="15" applyAlignment="1" pivotButton="0" quotePrefix="0" xfId="0">
      <alignment horizontal="center" vertical="bottom"/>
    </xf>
    <xf numFmtId="0" fontId="3" fillId="0" borderId="3" applyAlignment="1" pivotButton="0" quotePrefix="0" xfId="0">
      <alignment horizontal="center" vertical="bottom"/>
    </xf>
    <xf numFmtId="0" fontId="11" fillId="0" borderId="9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9" pivotButton="0" quotePrefix="0" xfId="0"/>
    <xf numFmtId="0" fontId="17" fillId="0" borderId="9" pivotButton="0" quotePrefix="0" xfId="0"/>
    <xf numFmtId="0" fontId="17" fillId="0" borderId="0" pivotButton="0" quotePrefix="0" xfId="0"/>
    <xf numFmtId="0" fontId="3" fillId="0" borderId="9" applyAlignment="1" pivotButton="0" quotePrefix="0" xfId="0">
      <alignment horizontal="right" vertical="bottom"/>
    </xf>
    <xf numFmtId="0" fontId="1" fillId="0" borderId="9" pivotButton="0" quotePrefix="0" xfId="0"/>
    <xf numFmtId="0" fontId="3" fillId="0" borderId="12" applyAlignment="1" pivotButton="0" quotePrefix="0" xfId="0">
      <alignment horizontal="right" vertical="bottom"/>
    </xf>
    <xf numFmtId="0" fontId="11" fillId="0" borderId="12" pivotButton="0" quotePrefix="0" xfId="0"/>
    <xf numFmtId="0" fontId="3" fillId="0" borderId="12" applyAlignment="1" pivotButton="0" quotePrefix="0" xfId="0">
      <alignment vertical="bottom"/>
    </xf>
    <xf numFmtId="0" fontId="3" fillId="0" borderId="9" applyAlignment="1" pivotButton="0" quotePrefix="0" xfId="0">
      <alignment horizontal="right" vertical="bottom"/>
    </xf>
    <xf numFmtId="0" fontId="11" fillId="0" borderId="9" pivotButton="0" quotePrefix="0" xfId="0"/>
    <xf numFmtId="0" fontId="3" fillId="0" borderId="9" applyAlignment="1" pivotButton="0" quotePrefix="0" xfId="0">
      <alignment vertical="bottom"/>
    </xf>
    <xf numFmtId="0" fontId="3" fillId="9" borderId="10" applyAlignment="1" pivotButton="0" quotePrefix="0" xfId="0">
      <alignment horizontal="center" vertical="bottom"/>
    </xf>
    <xf numFmtId="0" fontId="11" fillId="9" borderId="13" pivotButton="0" quotePrefix="0" xfId="0"/>
    <xf numFmtId="0" fontId="3" fillId="9" borderId="13" applyAlignment="1" pivotButton="0" quotePrefix="0" xfId="0">
      <alignment horizontal="center" vertical="bottom"/>
    </xf>
    <xf numFmtId="0" fontId="3" fillId="9" borderId="9" applyAlignment="1" pivotButton="0" quotePrefix="0" xfId="0">
      <alignment horizontal="center" vertical="bottom"/>
    </xf>
    <xf numFmtId="0" fontId="18" fillId="9" borderId="11" pivotButton="0" quotePrefix="0" xfId="0"/>
    <xf numFmtId="0" fontId="9" fillId="3" borderId="10" applyAlignment="1" pivotButton="0" quotePrefix="0" xfId="0">
      <alignment vertical="bottom"/>
    </xf>
    <xf numFmtId="0" fontId="11" fillId="3" borderId="13" pivotButton="0" quotePrefix="0" xfId="0"/>
    <xf numFmtId="0" fontId="3" fillId="3" borderId="13" applyAlignment="1" pivotButton="0" quotePrefix="0" xfId="0">
      <alignment horizontal="center" vertical="bottom"/>
    </xf>
    <xf numFmtId="0" fontId="1" fillId="3" borderId="11" pivotButton="0" quotePrefix="0" xfId="0"/>
    <xf numFmtId="0" fontId="3" fillId="3" borderId="9" applyAlignment="1" pivotButton="0" quotePrefix="0" xfId="0">
      <alignment horizontal="right" vertical="bottom"/>
    </xf>
    <xf numFmtId="0" fontId="3" fillId="3" borderId="10" applyAlignment="1" pivotButton="0" quotePrefix="0" xfId="0">
      <alignment horizontal="center" vertical="bottom"/>
    </xf>
    <xf numFmtId="0" fontId="18" fillId="3" borderId="11" pivotButton="0" quotePrefix="0" xfId="0"/>
    <xf numFmtId="0" fontId="9" fillId="10" borderId="10" applyAlignment="1" pivotButton="0" quotePrefix="0" xfId="0">
      <alignment vertical="bottom"/>
    </xf>
    <xf numFmtId="0" fontId="11" fillId="10" borderId="13" pivotButton="0" quotePrefix="0" xfId="0"/>
    <xf numFmtId="0" fontId="3" fillId="10" borderId="13" applyAlignment="1" pivotButton="0" quotePrefix="0" xfId="0">
      <alignment horizontal="center" vertical="bottom"/>
    </xf>
    <xf numFmtId="0" fontId="1" fillId="10" borderId="0" pivotButton="0" quotePrefix="0" xfId="0"/>
    <xf numFmtId="0" fontId="3" fillId="10" borderId="9" applyAlignment="1" pivotButton="0" quotePrefix="0" xfId="0">
      <alignment horizontal="right" vertical="bottom"/>
    </xf>
    <xf numFmtId="0" fontId="3" fillId="10" borderId="10" applyAlignment="1" pivotButton="0" quotePrefix="0" xfId="0">
      <alignment horizontal="center" vertical="bottom"/>
    </xf>
    <xf numFmtId="0" fontId="18" fillId="10" borderId="11" pivotButton="0" quotePrefix="0" xfId="0"/>
    <xf numFmtId="0" fontId="3" fillId="3" borderId="10" applyAlignment="1" pivotButton="0" quotePrefix="0" xfId="0">
      <alignment horizontal="center" vertical="bottom"/>
    </xf>
    <xf numFmtId="0" fontId="3" fillId="10" borderId="10" applyAlignment="1" pivotButton="0" quotePrefix="0" xfId="0">
      <alignment vertical="bottom"/>
    </xf>
    <xf numFmtId="0" fontId="3" fillId="10" borderId="13" applyAlignment="1" pivotButton="0" quotePrefix="0" xfId="0">
      <alignment horizontal="center" vertical="bottom"/>
    </xf>
    <xf numFmtId="0" fontId="1" fillId="10" borderId="13" pivotButton="0" quotePrefix="0" xfId="0"/>
    <xf numFmtId="0" fontId="3" fillId="10" borderId="9" applyAlignment="1" pivotButton="0" quotePrefix="0" xfId="0">
      <alignment horizontal="right" vertical="bottom"/>
    </xf>
    <xf numFmtId="0" fontId="3" fillId="3" borderId="10" applyAlignment="1" pivotButton="0" quotePrefix="0" xfId="0">
      <alignment vertical="bottom"/>
    </xf>
    <xf numFmtId="164" fontId="3" fillId="3" borderId="11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1" fillId="3" borderId="0" pivotButton="0" quotePrefix="0" xfId="0"/>
    <xf numFmtId="0" fontId="3" fillId="3" borderId="0" applyAlignment="1" pivotButton="0" quotePrefix="0" xfId="0">
      <alignment horizontal="right" vertical="bottom"/>
    </xf>
    <xf numFmtId="0" fontId="10" fillId="0" borderId="8" applyAlignment="1" pivotButton="0" quotePrefix="0" xfId="0">
      <alignment vertical="bottom"/>
    </xf>
    <xf numFmtId="0" fontId="3" fillId="11" borderId="10" applyAlignment="1" pivotButton="0" quotePrefix="0" xfId="0">
      <alignment horizontal="center" vertical="bottom"/>
    </xf>
    <xf numFmtId="0" fontId="11" fillId="11" borderId="13" pivotButton="0" quotePrefix="0" xfId="0"/>
    <xf numFmtId="0" fontId="3" fillId="11" borderId="13" applyAlignment="1" pivotButton="0" quotePrefix="0" xfId="0">
      <alignment horizontal="center" vertical="bottom"/>
    </xf>
    <xf numFmtId="0" fontId="3" fillId="11" borderId="9" applyAlignment="1" pivotButton="0" quotePrefix="0" xfId="0">
      <alignment horizontal="center" vertical="bottom"/>
    </xf>
    <xf numFmtId="0" fontId="18" fillId="11" borderId="11" pivotButton="0" quotePrefix="0" xfId="0"/>
    <xf numFmtId="0" fontId="9" fillId="12" borderId="10" applyAlignment="1" pivotButton="0" quotePrefix="0" xfId="0">
      <alignment vertical="bottom"/>
    </xf>
    <xf numFmtId="0" fontId="11" fillId="12" borderId="13" pivotButton="0" quotePrefix="0" xfId="0"/>
    <xf numFmtId="0" fontId="3" fillId="12" borderId="13" applyAlignment="1" pivotButton="0" quotePrefix="0" xfId="0">
      <alignment horizontal="center" vertical="bottom"/>
    </xf>
    <xf numFmtId="0" fontId="1" fillId="12" borderId="0" pivotButton="0" quotePrefix="0" xfId="0"/>
    <xf numFmtId="0" fontId="3" fillId="12" borderId="9" applyAlignment="1" pivotButton="0" quotePrefix="0" xfId="0">
      <alignment horizontal="right" vertical="bottom"/>
    </xf>
    <xf numFmtId="0" fontId="3" fillId="12" borderId="10" applyAlignment="1" pivotButton="0" quotePrefix="0" xfId="0">
      <alignment horizontal="center" vertical="bottom"/>
    </xf>
    <xf numFmtId="0" fontId="18" fillId="12" borderId="11" pivotButton="0" quotePrefix="0" xfId="0"/>
    <xf numFmtId="0" fontId="3" fillId="12" borderId="10" applyAlignment="1" pivotButton="0" quotePrefix="0" xfId="0">
      <alignment vertical="bottom"/>
    </xf>
    <xf numFmtId="0" fontId="3" fillId="12" borderId="13" applyAlignment="1" pivotButton="0" quotePrefix="0" xfId="0">
      <alignment horizontal="center" vertical="bottom"/>
    </xf>
    <xf numFmtId="0" fontId="1" fillId="12" borderId="13" pivotButton="0" quotePrefix="0" xfId="0"/>
    <xf numFmtId="0" fontId="3" fillId="12" borderId="9" applyAlignment="1" pivotButton="0" quotePrefix="0" xfId="0">
      <alignment horizontal="right" vertical="bottom"/>
    </xf>
    <xf numFmtId="0" fontId="3" fillId="12" borderId="0" applyAlignment="1" pivotButton="0" quotePrefix="0" xfId="0">
      <alignment vertical="bottom"/>
    </xf>
    <xf numFmtId="0" fontId="11" fillId="12" borderId="0" pivotButton="0" quotePrefix="0" xfId="0"/>
    <xf numFmtId="0" fontId="3" fillId="12" borderId="0" applyAlignment="1" pivotButton="0" quotePrefix="0" xfId="0">
      <alignment horizontal="center" vertical="bottom"/>
    </xf>
    <xf numFmtId="0" fontId="3" fillId="12" borderId="0" applyAlignment="1" pivotButton="0" quotePrefix="0" xfId="0">
      <alignment horizontal="right" vertical="bottom"/>
    </xf>
    <xf numFmtId="0" fontId="3" fillId="13" borderId="10" applyAlignment="1" pivotButton="0" quotePrefix="0" xfId="0">
      <alignment horizontal="center" vertical="bottom"/>
    </xf>
    <xf numFmtId="0" fontId="11" fillId="13" borderId="13" pivotButton="0" quotePrefix="0" xfId="0"/>
    <xf numFmtId="0" fontId="3" fillId="13" borderId="13" applyAlignment="1" pivotButton="0" quotePrefix="0" xfId="0">
      <alignment horizontal="center" vertical="bottom"/>
    </xf>
    <xf numFmtId="0" fontId="3" fillId="13" borderId="9" applyAlignment="1" pivotButton="0" quotePrefix="0" xfId="0">
      <alignment horizontal="center" vertical="bottom"/>
    </xf>
    <xf numFmtId="0" fontId="18" fillId="0" borderId="11" pivotButton="0" quotePrefix="0" xfId="0"/>
    <xf numFmtId="164" fontId="11" fillId="0" borderId="0" pivotButton="0" quotePrefix="0" xfId="0"/>
    <xf numFmtId="0" fontId="9" fillId="3" borderId="4" applyAlignment="1" pivotButton="0" quotePrefix="0" xfId="0">
      <alignment vertical="bottom"/>
    </xf>
    <xf numFmtId="0" fontId="3" fillId="3" borderId="0" applyAlignment="1" pivotButton="0" quotePrefix="0" xfId="0">
      <alignment horizontal="center" vertical="bottom"/>
    </xf>
    <xf numFmtId="0" fontId="9" fillId="14" borderId="10" applyAlignment="1" pivotButton="0" quotePrefix="0" xfId="0">
      <alignment vertical="bottom"/>
    </xf>
    <xf numFmtId="0" fontId="11" fillId="14" borderId="13" pivotButton="0" quotePrefix="0" xfId="0"/>
    <xf numFmtId="0" fontId="3" fillId="14" borderId="13" applyAlignment="1" pivotButton="0" quotePrefix="0" xfId="0">
      <alignment horizontal="center" vertical="bottom"/>
    </xf>
    <xf numFmtId="0" fontId="1" fillId="14" borderId="13" pivotButton="0" quotePrefix="0" xfId="0"/>
    <xf numFmtId="0" fontId="3" fillId="14" borderId="9" applyAlignment="1" pivotButton="0" quotePrefix="0" xfId="0">
      <alignment horizontal="right" vertical="bottom"/>
    </xf>
    <xf numFmtId="0" fontId="3" fillId="14" borderId="10" applyAlignment="1" pivotButton="0" quotePrefix="0" xfId="0">
      <alignment horizontal="center" vertical="bottom"/>
    </xf>
    <xf numFmtId="0" fontId="1" fillId="3" borderId="0" pivotButton="0" quotePrefix="0" xfId="0"/>
    <xf numFmtId="0" fontId="9" fillId="3" borderId="6" applyAlignment="1" pivotButton="0" quotePrefix="0" xfId="0">
      <alignment vertical="bottom"/>
    </xf>
    <xf numFmtId="0" fontId="3" fillId="3" borderId="7" applyAlignment="1" pivotButton="0" quotePrefix="0" xfId="0">
      <alignment horizontal="center" vertical="bottom"/>
    </xf>
    <xf numFmtId="0" fontId="1" fillId="3" borderId="7" pivotButton="0" quotePrefix="0" xfId="0"/>
    <xf numFmtId="0" fontId="3" fillId="14" borderId="10" applyAlignment="1" pivotButton="0" quotePrefix="0" xfId="0">
      <alignment vertical="bottom"/>
    </xf>
    <xf numFmtId="0" fontId="3" fillId="14" borderId="13" applyAlignment="1" pivotButton="0" quotePrefix="0" xfId="0">
      <alignment horizontal="center" vertical="bottom"/>
    </xf>
    <xf numFmtId="0" fontId="3" fillId="14" borderId="9" applyAlignment="1" pivotButton="0" quotePrefix="0" xfId="0">
      <alignment horizontal="right" vertical="bottom"/>
    </xf>
    <xf numFmtId="0" fontId="3" fillId="15" borderId="10" applyAlignment="1" pivotButton="0" quotePrefix="0" xfId="0">
      <alignment horizontal="center" vertical="bottom"/>
    </xf>
    <xf numFmtId="0" fontId="11" fillId="15" borderId="13" pivotButton="0" quotePrefix="0" xfId="0"/>
    <xf numFmtId="0" fontId="3" fillId="15" borderId="13" applyAlignment="1" pivotButton="0" quotePrefix="0" xfId="0">
      <alignment horizontal="center" vertical="bottom"/>
    </xf>
    <xf numFmtId="0" fontId="3" fillId="15" borderId="9" applyAlignment="1" pivotButton="0" quotePrefix="0" xfId="0">
      <alignment horizontal="center" vertical="bottom"/>
    </xf>
    <xf numFmtId="0" fontId="18" fillId="15" borderId="11" pivotButton="0" quotePrefix="0" xfId="0"/>
    <xf numFmtId="0" fontId="9" fillId="16" borderId="10" applyAlignment="1" pivotButton="0" quotePrefix="0" xfId="0">
      <alignment vertical="bottom"/>
    </xf>
    <xf numFmtId="0" fontId="11" fillId="16" borderId="13" pivotButton="0" quotePrefix="0" xfId="0"/>
    <xf numFmtId="0" fontId="3" fillId="16" borderId="13" applyAlignment="1" pivotButton="0" quotePrefix="0" xfId="0">
      <alignment horizontal="center" vertical="bottom"/>
    </xf>
    <xf numFmtId="0" fontId="1" fillId="16" borderId="0" pivotButton="0" quotePrefix="0" xfId="0"/>
    <xf numFmtId="0" fontId="3" fillId="16" borderId="9" applyAlignment="1" pivotButton="0" quotePrefix="0" xfId="0">
      <alignment horizontal="right" vertical="bottom"/>
    </xf>
    <xf numFmtId="0" fontId="3" fillId="16" borderId="10" applyAlignment="1" pivotButton="0" quotePrefix="0" xfId="0">
      <alignment horizontal="center" vertical="bottom"/>
    </xf>
    <xf numFmtId="0" fontId="18" fillId="16" borderId="11" pivotButton="0" quotePrefix="0" xfId="0"/>
    <xf numFmtId="0" fontId="3" fillId="16" borderId="10" applyAlignment="1" pivotButton="0" quotePrefix="0" xfId="0">
      <alignment vertical="bottom"/>
    </xf>
    <xf numFmtId="0" fontId="3" fillId="16" borderId="13" applyAlignment="1" pivotButton="0" quotePrefix="0" xfId="0">
      <alignment horizontal="center" vertical="bottom"/>
    </xf>
    <xf numFmtId="0" fontId="1" fillId="16" borderId="13" pivotButton="0" quotePrefix="0" xfId="0"/>
    <xf numFmtId="0" fontId="3" fillId="16" borderId="9" applyAlignment="1" pivotButton="0" quotePrefix="0" xfId="0">
      <alignment horizontal="right" vertical="bottom"/>
    </xf>
    <xf numFmtId="0" fontId="3" fillId="5" borderId="10" applyAlignment="1" pivotButton="0" quotePrefix="0" xfId="0">
      <alignment horizontal="center" vertical="bottom"/>
    </xf>
    <xf numFmtId="0" fontId="11" fillId="5" borderId="13" pivotButton="0" quotePrefix="0" xfId="0"/>
    <xf numFmtId="0" fontId="3" fillId="5" borderId="13" applyAlignment="1" pivotButton="0" quotePrefix="0" xfId="0">
      <alignment horizontal="center" vertical="bottom"/>
    </xf>
    <xf numFmtId="0" fontId="3" fillId="5" borderId="9" applyAlignment="1" pivotButton="0" quotePrefix="0" xfId="0">
      <alignment horizontal="center" vertical="bottom"/>
    </xf>
    <xf numFmtId="0" fontId="18" fillId="5" borderId="11" pivotButton="0" quotePrefix="0" xfId="0"/>
    <xf numFmtId="0" fontId="9" fillId="4" borderId="10" applyAlignment="1" pivotButton="0" quotePrefix="0" xfId="0">
      <alignment vertical="bottom"/>
    </xf>
    <xf numFmtId="0" fontId="11" fillId="4" borderId="13" pivotButton="0" quotePrefix="0" xfId="0"/>
    <xf numFmtId="0" fontId="3" fillId="4" borderId="13" applyAlignment="1" pivotButton="0" quotePrefix="0" xfId="0">
      <alignment horizontal="center" vertical="bottom"/>
    </xf>
    <xf numFmtId="0" fontId="1" fillId="4" borderId="11" pivotButton="0" quotePrefix="0" xfId="0"/>
    <xf numFmtId="0" fontId="3" fillId="4" borderId="9" applyAlignment="1" pivotButton="0" quotePrefix="0" xfId="0">
      <alignment horizontal="right" vertical="bottom"/>
    </xf>
    <xf numFmtId="0" fontId="3" fillId="4" borderId="10" applyAlignment="1" pivotButton="0" quotePrefix="0" xfId="0">
      <alignment horizontal="center" vertical="bottom"/>
    </xf>
    <xf numFmtId="0" fontId="18" fillId="4" borderId="11" pivotButton="0" quotePrefix="0" xfId="0"/>
    <xf numFmtId="0" fontId="1" fillId="3" borderId="11" pivotButton="0" quotePrefix="0" xfId="0"/>
    <xf numFmtId="0" fontId="3" fillId="4" borderId="10" applyAlignment="1" pivotButton="0" quotePrefix="0" xfId="0">
      <alignment vertical="bottom"/>
    </xf>
    <xf numFmtId="0" fontId="3" fillId="4" borderId="13" applyAlignment="1" pivotButton="0" quotePrefix="0" xfId="0">
      <alignment horizontal="center" vertical="bottom"/>
    </xf>
    <xf numFmtId="0" fontId="1" fillId="4" borderId="13" pivotButton="0" quotePrefix="0" xfId="0"/>
    <xf numFmtId="0" fontId="3" fillId="4" borderId="9" applyAlignment="1" pivotButton="0" quotePrefix="0" xfId="0">
      <alignment horizontal="right" vertical="bottom"/>
    </xf>
    <xf numFmtId="0" fontId="3" fillId="4" borderId="10" applyAlignment="1" pivotButton="0" quotePrefix="1" xfId="0">
      <alignment horizontal="center" vertical="bottom"/>
    </xf>
    <xf numFmtId="0" fontId="9" fillId="0" borderId="10" applyAlignment="1" pivotButton="0" quotePrefix="0" xfId="0">
      <alignment vertical="bottom"/>
    </xf>
    <xf numFmtId="0" fontId="3" fillId="0" borderId="13" applyAlignment="1" pivotButton="0" quotePrefix="0" xfId="0">
      <alignment vertical="bottom"/>
    </xf>
    <xf numFmtId="0" fontId="3" fillId="0" borderId="13" applyAlignment="1" pivotButton="0" quotePrefix="0" xfId="0">
      <alignment horizontal="center" vertical="bottom"/>
    </xf>
    <xf numFmtId="0" fontId="3" fillId="0" borderId="13" applyAlignment="1" pivotButton="0" quotePrefix="0" xfId="0">
      <alignment horizontal="center" vertical="bottom"/>
    </xf>
    <xf numFmtId="0" fontId="1" fillId="0" borderId="13" applyAlignment="1" pivotButton="0" quotePrefix="0" xfId="0">
      <alignment horizontal="center"/>
    </xf>
    <xf numFmtId="0" fontId="3" fillId="0" borderId="11" applyAlignment="1" pivotButton="0" quotePrefix="0" xfId="0">
      <alignment horizontal="center" vertical="bottom"/>
    </xf>
    <xf numFmtId="0" fontId="3" fillId="8" borderId="10" applyAlignment="1" pivotButton="0" quotePrefix="0" xfId="0">
      <alignment horizontal="center" vertical="bottom"/>
    </xf>
    <xf numFmtId="0" fontId="11" fillId="8" borderId="2" pivotButton="0" quotePrefix="0" xfId="0"/>
    <xf numFmtId="0" fontId="3" fillId="8" borderId="13" applyAlignment="1" pivotButton="0" quotePrefix="0" xfId="0">
      <alignment horizontal="center" vertical="bottom"/>
    </xf>
    <xf numFmtId="0" fontId="1" fillId="8" borderId="13" applyAlignment="1" pivotButton="0" quotePrefix="0" xfId="0">
      <alignment horizontal="center"/>
    </xf>
    <xf numFmtId="0" fontId="3" fillId="8" borderId="9" applyAlignment="1" pivotButton="0" quotePrefix="0" xfId="0">
      <alignment horizontal="center" vertical="bottom"/>
    </xf>
    <xf numFmtId="0" fontId="18" fillId="8" borderId="11" pivotButton="0" quotePrefix="0" xfId="0"/>
    <xf numFmtId="0" fontId="1" fillId="3" borderId="13" applyAlignment="1" pivotButton="0" quotePrefix="0" xfId="0">
      <alignment horizontal="center"/>
    </xf>
    <xf numFmtId="0" fontId="1" fillId="3" borderId="13" pivotButton="0" quotePrefix="0" xfId="0"/>
    <xf numFmtId="0" fontId="1" fillId="3" borderId="9" pivotButton="0" quotePrefix="0" xfId="0"/>
    <xf numFmtId="0" fontId="3" fillId="6" borderId="4" applyAlignment="1" pivotButton="0" quotePrefix="0" xfId="0">
      <alignment vertical="bottom"/>
    </xf>
    <xf numFmtId="0" fontId="3" fillId="6" borderId="0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/>
    </xf>
    <xf numFmtId="0" fontId="1" fillId="6" borderId="0" pivotButton="0" quotePrefix="0" xfId="0"/>
    <xf numFmtId="0" fontId="1" fillId="6" borderId="9" pivotButton="0" quotePrefix="0" xfId="0"/>
    <xf numFmtId="0" fontId="18" fillId="6" borderId="5" pivotButton="0" quotePrefix="0" xfId="0"/>
    <xf numFmtId="0" fontId="3" fillId="6" borderId="10" applyAlignment="1" pivotButton="0" quotePrefix="0" xfId="0">
      <alignment vertical="bottom"/>
    </xf>
    <xf numFmtId="0" fontId="11" fillId="6" borderId="13" pivotButton="0" quotePrefix="0" xfId="0"/>
    <xf numFmtId="0" fontId="3" fillId="6" borderId="13" applyAlignment="1" pivotButton="0" quotePrefix="0" xfId="0">
      <alignment horizontal="center" vertical="bottom"/>
    </xf>
    <xf numFmtId="0" fontId="1" fillId="6" borderId="13" applyAlignment="1" pivotButton="0" quotePrefix="0" xfId="0">
      <alignment horizontal="center"/>
    </xf>
    <xf numFmtId="0" fontId="1" fillId="6" borderId="11" pivotButton="0" quotePrefix="0" xfId="0"/>
    <xf numFmtId="0" fontId="11" fillId="6" borderId="10" pivotButton="0" quotePrefix="0" xfId="0"/>
    <xf numFmtId="0" fontId="3" fillId="6" borderId="11" applyAlignment="1" pivotButton="0" quotePrefix="0" xfId="0">
      <alignment horizontal="center" vertical="bottom"/>
    </xf>
    <xf numFmtId="0" fontId="9" fillId="17" borderId="9" applyAlignment="1" pivotButton="0" quotePrefix="0" xfId="0">
      <alignment vertical="bottom"/>
    </xf>
    <xf numFmtId="0" fontId="3" fillId="17" borderId="9" applyAlignment="1" pivotButton="0" quotePrefix="0" xfId="0">
      <alignment vertical="bottom"/>
    </xf>
    <xf numFmtId="0" fontId="3" fillId="17" borderId="9" applyAlignment="1" pivotButton="0" quotePrefix="0" xfId="0">
      <alignment horizontal="center" vertical="bottom"/>
    </xf>
    <xf numFmtId="0" fontId="3" fillId="17" borderId="10" applyAlignment="1" pivotButton="0" quotePrefix="0" xfId="0">
      <alignment horizontal="center" vertical="bottom"/>
    </xf>
    <xf numFmtId="0" fontId="18" fillId="17" borderId="13" pivotButton="0" quotePrefix="0" xfId="0"/>
    <xf numFmtId="0" fontId="18" fillId="17" borderId="11" pivotButton="0" quotePrefix="0" xfId="0"/>
    <xf numFmtId="0" fontId="9" fillId="3" borderId="9" applyAlignment="1" pivotButton="0" quotePrefix="0" xfId="0">
      <alignment vertical="bottom"/>
    </xf>
    <xf numFmtId="0" fontId="3" fillId="3" borderId="9" applyAlignment="1" pivotButton="0" quotePrefix="0" xfId="0">
      <alignment vertical="bottom"/>
    </xf>
    <xf numFmtId="0" fontId="3" fillId="3" borderId="9" applyAlignment="1" pivotButton="0" quotePrefix="0" xfId="0">
      <alignment horizontal="center" vertical="bottom"/>
    </xf>
    <xf numFmtId="0" fontId="3" fillId="3" borderId="10" applyAlignment="1" pivotButton="0" quotePrefix="0" xfId="0">
      <alignment vertical="bottom"/>
    </xf>
    <xf numFmtId="0" fontId="18" fillId="3" borderId="13" pivotButton="0" quotePrefix="0" xfId="0"/>
    <xf numFmtId="0" fontId="9" fillId="18" borderId="9" applyAlignment="1" pivotButton="0" quotePrefix="0" xfId="0">
      <alignment vertical="bottom"/>
    </xf>
    <xf numFmtId="0" fontId="3" fillId="18" borderId="9" applyAlignment="1" pivotButton="0" quotePrefix="0" xfId="0">
      <alignment vertical="bottom"/>
    </xf>
    <xf numFmtId="0" fontId="3" fillId="18" borderId="9" applyAlignment="1" pivotButton="0" quotePrefix="0" xfId="0">
      <alignment horizontal="right" vertical="bottom"/>
    </xf>
    <xf numFmtId="0" fontId="3" fillId="18" borderId="9" applyAlignment="1" pivotButton="0" quotePrefix="0" xfId="0">
      <alignment horizontal="center" vertical="bottom"/>
    </xf>
    <xf numFmtId="0" fontId="5" fillId="18" borderId="10" applyAlignment="1" pivotButton="0" quotePrefix="0" xfId="0">
      <alignment vertical="bottom"/>
    </xf>
    <xf numFmtId="0" fontId="18" fillId="18" borderId="13" pivotButton="0" quotePrefix="0" xfId="0"/>
    <xf numFmtId="0" fontId="18" fillId="18" borderId="11" pivotButton="0" quotePrefix="0" xfId="0"/>
    <xf numFmtId="0" fontId="9" fillId="3" borderId="9" applyAlignment="1" pivotButton="0" quotePrefix="0" xfId="0">
      <alignment vertical="bottom"/>
    </xf>
    <xf numFmtId="0" fontId="5" fillId="3" borderId="10" applyAlignment="1" pivotButton="0" quotePrefix="0" xfId="0">
      <alignment vertical="bottom"/>
    </xf>
    <xf numFmtId="0" fontId="3" fillId="18" borderId="9" applyAlignment="1" pivotButton="0" quotePrefix="0" xfId="0">
      <alignment vertical="bottom"/>
    </xf>
    <xf numFmtId="0" fontId="3" fillId="18" borderId="9" applyAlignment="1" pivotButton="0" quotePrefix="0" xfId="0">
      <alignment horizontal="right" vertical="bottom"/>
    </xf>
    <xf numFmtId="0" fontId="3" fillId="3" borderId="9" applyAlignment="1" pivotButton="0" quotePrefix="0" xfId="0">
      <alignment vertical="bottom"/>
    </xf>
    <xf numFmtId="0" fontId="3" fillId="3" borderId="9" applyAlignment="1" pivotButton="0" quotePrefix="0" xfId="0">
      <alignment horizontal="right" vertical="bottom"/>
    </xf>
    <xf numFmtId="0" fontId="9" fillId="18" borderId="9" applyAlignment="1" pivotButton="0" quotePrefix="0" xfId="0">
      <alignment vertical="bottom"/>
    </xf>
    <xf numFmtId="0" fontId="10" fillId="18" borderId="9" applyAlignment="1" pivotButton="0" quotePrefix="0" xfId="0">
      <alignment vertical="bottom"/>
    </xf>
    <xf numFmtId="0" fontId="5" fillId="18" borderId="9" applyAlignment="1" pivotButton="0" quotePrefix="0" xfId="0">
      <alignment vertical="bottom"/>
    </xf>
    <xf numFmtId="0" fontId="9" fillId="19" borderId="9" applyAlignment="1" pivotButton="0" quotePrefix="0" xfId="0">
      <alignment vertical="bottom"/>
    </xf>
    <xf numFmtId="0" fontId="3" fillId="19" borderId="9" applyAlignment="1" pivotButton="0" quotePrefix="0" xfId="0">
      <alignment vertical="bottom"/>
    </xf>
    <xf numFmtId="0" fontId="3" fillId="19" borderId="9" applyAlignment="1" pivotButton="0" quotePrefix="0" xfId="0">
      <alignment horizontal="center" vertical="bottom"/>
    </xf>
    <xf numFmtId="0" fontId="3" fillId="19" borderId="10" applyAlignment="1" pivotButton="0" quotePrefix="0" xfId="0">
      <alignment horizontal="center" vertical="bottom"/>
    </xf>
    <xf numFmtId="0" fontId="18" fillId="19" borderId="13" pivotButton="0" quotePrefix="0" xfId="0"/>
    <xf numFmtId="0" fontId="18" fillId="19" borderId="11" pivotButton="0" quotePrefix="0" xfId="0"/>
    <xf numFmtId="0" fontId="10" fillId="3" borderId="10" applyAlignment="1" pivotButton="0" quotePrefix="0" xfId="0">
      <alignment vertical="bottom"/>
    </xf>
    <xf numFmtId="0" fontId="3" fillId="20" borderId="9" applyAlignment="1" pivotButton="0" quotePrefix="0" xfId="0">
      <alignment vertical="bottom"/>
    </xf>
    <xf numFmtId="0" fontId="3" fillId="20" borderId="9" applyAlignment="1" pivotButton="0" quotePrefix="0" xfId="0">
      <alignment horizontal="right" vertical="bottom"/>
    </xf>
    <xf numFmtId="0" fontId="10" fillId="20" borderId="10" applyAlignment="1" pivotButton="0" quotePrefix="0" xfId="0">
      <alignment vertical="bottom"/>
    </xf>
    <xf numFmtId="0" fontId="18" fillId="20" borderId="13" pivotButton="0" quotePrefix="0" xfId="0"/>
    <xf numFmtId="0" fontId="18" fillId="20" borderId="11" pivotButton="0" quotePrefix="0" xfId="0"/>
    <xf numFmtId="0" fontId="3" fillId="20" borderId="9" applyAlignment="1" pivotButton="0" quotePrefix="0" xfId="0">
      <alignment vertical="bottom"/>
    </xf>
    <xf numFmtId="0" fontId="5" fillId="20" borderId="10" applyAlignment="1" pivotButton="0" quotePrefix="0" xfId="0">
      <alignment vertical="bottom"/>
    </xf>
    <xf numFmtId="0" fontId="9" fillId="21" borderId="9" applyAlignment="1" pivotButton="0" quotePrefix="0" xfId="0">
      <alignment vertical="bottom"/>
    </xf>
    <xf numFmtId="0" fontId="3" fillId="21" borderId="9" applyAlignment="1" pivotButton="0" quotePrefix="0" xfId="0">
      <alignment vertical="bottom"/>
    </xf>
    <xf numFmtId="0" fontId="3" fillId="21" borderId="9" applyAlignment="1" pivotButton="0" quotePrefix="0" xfId="0">
      <alignment horizontal="center" vertical="bottom"/>
    </xf>
    <xf numFmtId="0" fontId="3" fillId="21" borderId="10" applyAlignment="1" pivotButton="0" quotePrefix="0" xfId="0">
      <alignment horizontal="center" vertical="bottom"/>
    </xf>
    <xf numFmtId="0" fontId="18" fillId="21" borderId="13" pivotButton="0" quotePrefix="0" xfId="0"/>
    <xf numFmtId="0" fontId="18" fillId="21" borderId="11" pivotButton="0" quotePrefix="0" xfId="0"/>
    <xf numFmtId="0" fontId="3" fillId="7" borderId="9" applyAlignment="1" pivotButton="0" quotePrefix="0" xfId="0">
      <alignment vertical="bottom"/>
    </xf>
    <xf numFmtId="0" fontId="3" fillId="7" borderId="9" applyAlignment="1" pivotButton="0" quotePrefix="0" xfId="0">
      <alignment horizontal="right" vertical="bottom"/>
    </xf>
    <xf numFmtId="0" fontId="5" fillId="7" borderId="10" applyAlignment="1" pivotButton="0" quotePrefix="0" xfId="0">
      <alignment vertical="bottom"/>
    </xf>
    <xf numFmtId="0" fontId="18" fillId="7" borderId="13" pivotButton="0" quotePrefix="0" xfId="0"/>
    <xf numFmtId="0" fontId="18" fillId="7" borderId="11" pivotButton="0" quotePrefix="0" xfId="0"/>
    <xf numFmtId="0" fontId="3" fillId="7" borderId="9" applyAlignment="1" pivotButton="0" quotePrefix="0" xfId="0">
      <alignment vertical="bottom"/>
    </xf>
    <xf numFmtId="0" fontId="3" fillId="7" borderId="9" applyAlignment="1" pivotButton="0" quotePrefix="0" xfId="0">
      <alignment horizontal="right" vertical="bottom"/>
    </xf>
    <xf numFmtId="0" fontId="10" fillId="7" borderId="10" applyAlignment="1" pivotButton="0" quotePrefix="0" xfId="0">
      <alignment vertical="bottom"/>
    </xf>
    <xf numFmtId="0" fontId="9" fillId="15" borderId="9" applyAlignment="1" pivotButton="0" quotePrefix="0" xfId="0">
      <alignment vertical="bottom"/>
    </xf>
    <xf numFmtId="0" fontId="3" fillId="15" borderId="9" applyAlignment="1" pivotButton="0" quotePrefix="0" xfId="0">
      <alignment vertical="bottom"/>
    </xf>
    <xf numFmtId="0" fontId="3" fillId="15" borderId="9" applyAlignment="1" pivotButton="0" quotePrefix="0" xfId="0">
      <alignment horizontal="center" vertical="bottom"/>
    </xf>
    <xf numFmtId="0" fontId="18" fillId="15" borderId="13" pivotButton="0" quotePrefix="0" xfId="0"/>
    <xf numFmtId="0" fontId="3" fillId="16" borderId="9" applyAlignment="1" pivotButton="0" quotePrefix="0" xfId="0">
      <alignment vertical="bottom"/>
    </xf>
    <xf numFmtId="0" fontId="10" fillId="16" borderId="10" applyAlignment="1" pivotButton="0" quotePrefix="0" xfId="0">
      <alignment vertical="bottom"/>
    </xf>
    <xf numFmtId="0" fontId="18" fillId="16" borderId="13" pivotButton="0" quotePrefix="0" xfId="0"/>
    <xf numFmtId="0" fontId="3" fillId="16" borderId="9" applyAlignment="1" pivotButton="0" quotePrefix="0" xfId="0">
      <alignment vertical="bottom"/>
    </xf>
    <xf numFmtId="0" fontId="3" fillId="16" borderId="9" applyAlignment="1" pivotButton="0" quotePrefix="0" xfId="0">
      <alignment horizontal="right" vertical="bottom"/>
    </xf>
    <xf numFmtId="0" fontId="5" fillId="16" borderId="10" applyAlignment="1" pivotButton="0" quotePrefix="0" xfId="0">
      <alignment vertical="bottom"/>
    </xf>
    <xf numFmtId="0" fontId="9" fillId="22" borderId="9" applyAlignment="1" pivotButton="0" quotePrefix="0" xfId="0">
      <alignment vertical="bottom"/>
    </xf>
    <xf numFmtId="0" fontId="3" fillId="22" borderId="9" applyAlignment="1" pivotButton="0" quotePrefix="0" xfId="0">
      <alignment vertical="bottom"/>
    </xf>
    <xf numFmtId="0" fontId="3" fillId="22" borderId="9" applyAlignment="1" pivotButton="0" quotePrefix="0" xfId="0">
      <alignment horizontal="center" vertical="bottom"/>
    </xf>
    <xf numFmtId="0" fontId="3" fillId="22" borderId="10" applyAlignment="1" pivotButton="0" quotePrefix="0" xfId="0">
      <alignment horizontal="center" vertical="bottom"/>
    </xf>
    <xf numFmtId="0" fontId="18" fillId="22" borderId="13" pivotButton="0" quotePrefix="0" xfId="0"/>
    <xf numFmtId="0" fontId="18" fillId="22" borderId="11" pivotButton="0" quotePrefix="0" xfId="0"/>
    <xf numFmtId="0" fontId="3" fillId="23" borderId="9" applyAlignment="1" pivotButton="0" quotePrefix="0" xfId="0">
      <alignment vertical="bottom"/>
    </xf>
    <xf numFmtId="0" fontId="3" fillId="23" borderId="9" applyAlignment="1" pivotButton="0" quotePrefix="0" xfId="0">
      <alignment horizontal="right" vertical="bottom"/>
    </xf>
    <xf numFmtId="0" fontId="5" fillId="23" borderId="10" applyAlignment="1" pivotButton="0" quotePrefix="0" xfId="0">
      <alignment vertical="bottom"/>
    </xf>
    <xf numFmtId="0" fontId="18" fillId="23" borderId="13" pivotButton="0" quotePrefix="0" xfId="0"/>
    <xf numFmtId="0" fontId="18" fillId="23" borderId="11" pivotButton="0" quotePrefix="0" xfId="0"/>
    <xf numFmtId="0" fontId="3" fillId="23" borderId="9" applyAlignment="1" pivotButton="0" quotePrefix="0" xfId="0">
      <alignment vertical="bottom"/>
    </xf>
    <xf numFmtId="0" fontId="3" fillId="23" borderId="9" applyAlignment="1" pivotButton="0" quotePrefix="0" xfId="0">
      <alignment horizontal="right" vertical="bottom"/>
    </xf>
    <xf numFmtId="0" fontId="5" fillId="18" borderId="9" applyAlignment="1" pivotButton="0" quotePrefix="0" xfId="0">
      <alignment vertical="bottom"/>
    </xf>
    <xf numFmtId="0" fontId="3" fillId="18" borderId="9" applyAlignment="1" pivotButton="0" quotePrefix="0" xfId="0">
      <alignment horizontal="right" vertical="bottom"/>
    </xf>
    <xf numFmtId="0" fontId="10" fillId="18" borderId="10" applyAlignment="1" pivotButton="0" quotePrefix="0" xfId="0">
      <alignment vertical="bottom"/>
    </xf>
    <xf numFmtId="0" fontId="10" fillId="18" borderId="10" applyAlignment="1" pivotButton="0" quotePrefix="0" xfId="0">
      <alignment vertical="bottom"/>
    </xf>
    <xf numFmtId="0" fontId="2" fillId="0" borderId="0" pivotButton="0" quotePrefix="0" xfId="0"/>
    <xf numFmtId="0" fontId="10" fillId="0" borderId="0" pivotButton="0" quotePrefix="0" xfId="0"/>
    <xf numFmtId="0" fontId="2" fillId="0" borderId="4" pivotButton="0" quotePrefix="0" xfId="0"/>
    <xf numFmtId="0" fontId="5" fillId="0" borderId="0" pivotButton="0" quotePrefix="0" xfId="0"/>
    <xf numFmtId="0" fontId="5" fillId="0" borderId="6" pivotButton="0" quotePrefix="0" xfId="0"/>
    <xf numFmtId="0" fontId="5" fillId="0" borderId="7" pivotButton="0" quotePrefix="0" xfId="0"/>
    <xf numFmtId="0" fontId="11" fillId="0" borderId="0" pivotButton="0" quotePrefix="0" xfId="0"/>
    <xf numFmtId="0" fontId="5" fillId="0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1" pivotButton="0" quotePrefix="0" xfId="0"/>
    <xf numFmtId="0" fontId="5" fillId="0" borderId="3" pivotButton="0" quotePrefix="0" xfId="0"/>
    <xf numFmtId="0" fontId="19" fillId="0" borderId="0" applyAlignment="1" pivotButton="0" quotePrefix="0" xfId="0">
      <alignment horizontal="center"/>
    </xf>
    <xf numFmtId="0" fontId="19" fillId="0" borderId="1" pivotButton="0" quotePrefix="0" xfId="0"/>
    <xf numFmtId="0" fontId="11" fillId="0" borderId="2" pivotButton="0" quotePrefix="0" xfId="0"/>
    <xf numFmtId="0" fontId="11" fillId="0" borderId="3" pivotButton="0" quotePrefix="0" xfId="0"/>
    <xf numFmtId="0" fontId="11" fillId="0" borderId="1" pivotButton="0" quotePrefix="0" xfId="0"/>
    <xf numFmtId="0" fontId="11" fillId="0" borderId="2" pivotButton="0" quotePrefix="0" xfId="0"/>
    <xf numFmtId="0" fontId="11" fillId="0" borderId="3" pivotButton="0" quotePrefix="0" xfId="0"/>
    <xf numFmtId="0" fontId="11" fillId="8" borderId="1" applyAlignment="1" pivotButton="0" quotePrefix="0" xfId="0">
      <alignment horizontal="center"/>
    </xf>
    <xf numFmtId="0" fontId="18" fillId="8" borderId="2" pivotButton="0" quotePrefix="0" xfId="0"/>
    <xf numFmtId="0" fontId="18" fillId="8" borderId="3" pivotButton="0" quotePrefix="0" xfId="0"/>
    <xf numFmtId="0" fontId="11" fillId="8" borderId="10" applyAlignment="1" pivotButton="0" quotePrefix="0" xfId="0">
      <alignment horizontal="center"/>
    </xf>
    <xf numFmtId="0" fontId="18" fillId="8" borderId="13" pivotButton="0" quotePrefix="0" xfId="0"/>
    <xf numFmtId="0" fontId="19" fillId="0" borderId="10" pivotButton="0" quotePrefix="0" xfId="0"/>
    <xf numFmtId="0" fontId="19" fillId="0" borderId="13" pivotButton="0" quotePrefix="0" xfId="0"/>
    <xf numFmtId="0" fontId="19" fillId="0" borderId="11" pivotButton="0" quotePrefix="0" xfId="0"/>
    <xf numFmtId="0" fontId="11" fillId="3" borderId="9" pivotButton="0" quotePrefix="0" xfId="0"/>
    <xf numFmtId="0" fontId="11" fillId="3" borderId="9" applyAlignment="1" pivotButton="0" quotePrefix="0" xfId="0">
      <alignment horizontal="center"/>
    </xf>
    <xf numFmtId="0" fontId="11" fillId="0" borderId="0" pivotButton="0" quotePrefix="0" xfId="0"/>
    <xf numFmtId="0" fontId="11" fillId="0" borderId="5" pivotButton="0" quotePrefix="0" xfId="0"/>
    <xf numFmtId="0" fontId="11" fillId="6" borderId="9" applyAlignment="1" pivotButton="0" quotePrefix="0" xfId="0">
      <alignment horizontal="center"/>
    </xf>
    <xf numFmtId="0" fontId="11" fillId="6" borderId="9" pivotButton="0" quotePrefix="0" xfId="0"/>
    <xf numFmtId="0" fontId="11" fillId="6" borderId="9" applyAlignment="1" pivotButton="0" quotePrefix="0" xfId="0">
      <alignment horizontal="center"/>
    </xf>
    <xf numFmtId="0" fontId="11" fillId="6" borderId="9" pivotButton="0" quotePrefix="0" xfId="0"/>
    <xf numFmtId="0" fontId="11" fillId="0" borderId="4" pivotButton="0" quotePrefix="0" xfId="0"/>
    <xf numFmtId="0" fontId="11" fillId="3" borderId="9" pivotButton="0" quotePrefix="0" xfId="0"/>
    <xf numFmtId="0" fontId="11" fillId="3" borderId="9" applyAlignment="1" pivotButton="0" quotePrefix="0" xfId="0">
      <alignment horizontal="center"/>
    </xf>
    <xf numFmtId="0" fontId="11" fillId="0" borderId="6" pivotButton="0" quotePrefix="0" xfId="0"/>
    <xf numFmtId="0" fontId="11" fillId="0" borderId="7" pivotButton="0" quotePrefix="0" xfId="0"/>
    <xf numFmtId="0" fontId="11" fillId="0" borderId="8" pivotButton="0" quotePrefix="0" xfId="0"/>
    <xf numFmtId="0" fontId="11" fillId="0" borderId="15" pivotButton="0" quotePrefix="0" xfId="0"/>
    <xf numFmtId="0" fontId="19" fillId="0" borderId="15" applyAlignment="1" pivotButton="0" quotePrefix="0" xfId="0">
      <alignment horizontal="center"/>
    </xf>
    <xf numFmtId="0" fontId="19" fillId="0" borderId="15" pivotButton="0" quotePrefix="0" xfId="0"/>
    <xf numFmtId="0" fontId="11" fillId="4" borderId="1" pivotButton="0" quotePrefix="0" xfId="0"/>
    <xf numFmtId="0" fontId="11" fillId="4" borderId="15" pivotButton="0" quotePrefix="0" xfId="0"/>
    <xf numFmtId="0" fontId="11" fillId="4" borderId="2" pivotButton="0" quotePrefix="0" xfId="0"/>
    <xf numFmtId="0" fontId="11" fillId="4" borderId="3" pivotButton="0" quotePrefix="0" xfId="0"/>
    <xf numFmtId="0" fontId="11" fillId="4" borderId="4" pivotButton="0" quotePrefix="0" xfId="0"/>
    <xf numFmtId="0" fontId="11" fillId="4" borderId="14" pivotButton="0" quotePrefix="0" xfId="0"/>
    <xf numFmtId="0" fontId="11" fillId="4" borderId="0" pivotButton="0" quotePrefix="0" xfId="0"/>
    <xf numFmtId="0" fontId="11" fillId="4" borderId="5" pivotButton="0" quotePrefix="0" xfId="0"/>
    <xf numFmtId="0" fontId="11" fillId="4" borderId="6" pivotButton="0" quotePrefix="0" xfId="0"/>
    <xf numFmtId="0" fontId="11" fillId="4" borderId="12" pivotButton="0" quotePrefix="0" xfId="0"/>
    <xf numFmtId="0" fontId="11" fillId="4" borderId="7" pivotButton="0" quotePrefix="0" xfId="0"/>
    <xf numFmtId="0" fontId="11" fillId="4" borderId="8" pivotButton="0" quotePrefix="0" xfId="0"/>
    <xf numFmtId="0" fontId="11" fillId="12" borderId="1" pivotButton="0" quotePrefix="0" xfId="0"/>
    <xf numFmtId="0" fontId="11" fillId="12" borderId="15" pivotButton="0" quotePrefix="0" xfId="0"/>
    <xf numFmtId="0" fontId="11" fillId="12" borderId="2" pivotButton="0" quotePrefix="0" xfId="0"/>
    <xf numFmtId="0" fontId="11" fillId="12" borderId="3" pivotButton="0" quotePrefix="0" xfId="0"/>
    <xf numFmtId="0" fontId="11" fillId="12" borderId="4" pivotButton="0" quotePrefix="0" xfId="0"/>
    <xf numFmtId="0" fontId="11" fillId="12" borderId="14" pivotButton="0" quotePrefix="0" xfId="0"/>
    <xf numFmtId="0" fontId="11" fillId="12" borderId="5" pivotButton="0" quotePrefix="0" xfId="0"/>
    <xf numFmtId="0" fontId="11" fillId="12" borderId="6" pivotButton="0" quotePrefix="0" xfId="0"/>
    <xf numFmtId="0" fontId="11" fillId="12" borderId="12" pivotButton="0" quotePrefix="0" xfId="0"/>
    <xf numFmtId="0" fontId="11" fillId="12" borderId="7" pivotButton="0" quotePrefix="0" xfId="0"/>
    <xf numFmtId="0" fontId="11" fillId="12" borderId="8" pivotButton="0" quotePrefix="0" xfId="0"/>
    <xf numFmtId="0" fontId="11" fillId="16" borderId="1" pivotButton="0" quotePrefix="0" xfId="0"/>
    <xf numFmtId="0" fontId="11" fillId="16" borderId="15" pivotButton="0" quotePrefix="0" xfId="0"/>
    <xf numFmtId="0" fontId="11" fillId="16" borderId="2" pivotButton="0" quotePrefix="0" xfId="0"/>
    <xf numFmtId="0" fontId="11" fillId="16" borderId="3" pivotButton="0" quotePrefix="0" xfId="0"/>
    <xf numFmtId="0" fontId="11" fillId="0" borderId="2" pivotButton="0" quotePrefix="0" xfId="0"/>
    <xf numFmtId="0" fontId="11" fillId="16" borderId="4" pivotButton="0" quotePrefix="0" xfId="0"/>
    <xf numFmtId="0" fontId="11" fillId="16" borderId="14" pivotButton="0" quotePrefix="0" xfId="0"/>
    <xf numFmtId="0" fontId="11" fillId="16" borderId="0" pivotButton="0" quotePrefix="0" xfId="0"/>
    <xf numFmtId="0" fontId="11" fillId="16" borderId="5" pivotButton="0" quotePrefix="0" xfId="0"/>
    <xf numFmtId="0" fontId="11" fillId="16" borderId="6" pivotButton="0" quotePrefix="0" xfId="0"/>
    <xf numFmtId="0" fontId="11" fillId="16" borderId="12" pivotButton="0" quotePrefix="0" xfId="0"/>
    <xf numFmtId="0" fontId="11" fillId="16" borderId="7" pivotButton="0" quotePrefix="0" xfId="0"/>
    <xf numFmtId="0" fontId="11" fillId="16" borderId="8" pivotButton="0" quotePrefix="0" xfId="0"/>
    <xf numFmtId="0" fontId="11" fillId="23" borderId="1" pivotButton="0" quotePrefix="0" xfId="0"/>
    <xf numFmtId="0" fontId="11" fillId="23" borderId="15" pivotButton="0" quotePrefix="0" xfId="0"/>
    <xf numFmtId="0" fontId="11" fillId="23" borderId="2" pivotButton="0" quotePrefix="0" xfId="0"/>
    <xf numFmtId="0" fontId="11" fillId="23" borderId="3" pivotButton="0" quotePrefix="0" xfId="0"/>
    <xf numFmtId="0" fontId="11" fillId="23" borderId="4" pivotButton="0" quotePrefix="0" xfId="0"/>
    <xf numFmtId="0" fontId="11" fillId="23" borderId="14" pivotButton="0" quotePrefix="0" xfId="0"/>
    <xf numFmtId="0" fontId="11" fillId="23" borderId="0" pivotButton="0" quotePrefix="0" xfId="0"/>
    <xf numFmtId="0" fontId="11" fillId="23" borderId="5" pivotButton="0" quotePrefix="0" xfId="0"/>
    <xf numFmtId="0" fontId="11" fillId="23" borderId="6" pivotButton="0" quotePrefix="0" xfId="0"/>
    <xf numFmtId="0" fontId="11" fillId="23" borderId="12" pivotButton="0" quotePrefix="0" xfId="0"/>
    <xf numFmtId="0" fontId="11" fillId="23" borderId="7" pivotButton="0" quotePrefix="0" xfId="0"/>
    <xf numFmtId="0" fontId="11" fillId="23" borderId="8" pivotButton="0" quotePrefix="0" xfId="0"/>
    <xf numFmtId="0" fontId="11" fillId="24" borderId="4" pivotButton="0" quotePrefix="0" xfId="0"/>
    <xf numFmtId="0" fontId="11" fillId="24" borderId="14" pivotButton="0" quotePrefix="0" xfId="0"/>
    <xf numFmtId="0" fontId="11" fillId="24" borderId="5" pivotButton="0" quotePrefix="0" xfId="0"/>
    <xf numFmtId="0" fontId="11" fillId="24" borderId="8" pivotButton="0" quotePrefix="0" xfId="0"/>
    <xf numFmtId="0" fontId="11" fillId="18" borderId="1" pivotButton="0" quotePrefix="0" xfId="0"/>
    <xf numFmtId="0" fontId="11" fillId="18" borderId="15" pivotButton="0" quotePrefix="0" xfId="0"/>
    <xf numFmtId="0" fontId="11" fillId="18" borderId="2" pivotButton="0" quotePrefix="0" xfId="0"/>
    <xf numFmtId="0" fontId="11" fillId="18" borderId="5" pivotButton="0" quotePrefix="0" xfId="0"/>
    <xf numFmtId="0" fontId="11" fillId="18" borderId="4" pivotButton="0" quotePrefix="0" xfId="0"/>
    <xf numFmtId="0" fontId="11" fillId="18" borderId="14" pivotButton="0" quotePrefix="0" xfId="0"/>
    <xf numFmtId="0" fontId="11" fillId="18" borderId="0" pivotButton="0" quotePrefix="0" xfId="0"/>
    <xf numFmtId="0" fontId="11" fillId="18" borderId="6" pivotButton="0" quotePrefix="0" xfId="0"/>
    <xf numFmtId="0" fontId="11" fillId="18" borderId="12" pivotButton="0" quotePrefix="0" xfId="0"/>
    <xf numFmtId="0" fontId="11" fillId="18" borderId="7" pivotButton="0" quotePrefix="0" xfId="0"/>
    <xf numFmtId="0" fontId="11" fillId="18" borderId="8" pivotButton="0" quotePrefix="0" xfId="0"/>
    <xf numFmtId="0" fontId="20" fillId="0" borderId="1" pivotButton="0" quotePrefix="0" xfId="0"/>
    <xf numFmtId="0" fontId="16" fillId="3" borderId="0" applyAlignment="1" pivotButton="0" quotePrefix="0" xfId="0">
      <alignment horizontal="right" vertical="bottom"/>
    </xf>
    <xf numFmtId="0" fontId="16" fillId="3" borderId="5" applyAlignment="1" pivotButton="0" quotePrefix="0" xfId="0">
      <alignment horizontal="right" vertical="bottom"/>
    </xf>
    <xf numFmtId="0" fontId="20" fillId="0" borderId="4" pivotButton="0" quotePrefix="0" xfId="0"/>
    <xf numFmtId="0" fontId="11" fillId="0" borderId="0" pivotButton="0" quotePrefix="0" xfId="0"/>
    <xf numFmtId="0" fontId="11" fillId="0" borderId="5" pivotButton="0" quotePrefix="0" xfId="0"/>
    <xf numFmtId="0" fontId="19" fillId="0" borderId="4" pivotButton="0" quotePrefix="0" xfId="0"/>
    <xf numFmtId="0" fontId="21" fillId="0" borderId="0" applyAlignment="1" pivotButton="0" quotePrefix="0" xfId="0">
      <alignment vertical="bottom"/>
    </xf>
    <xf numFmtId="0" fontId="5" fillId="25" borderId="9" applyAlignment="1" pivotButton="0" quotePrefix="0" xfId="0">
      <alignment horizontal="center" vertical="bottom"/>
    </xf>
    <xf numFmtId="0" fontId="5" fillId="26" borderId="9" applyAlignment="1" pivotButton="0" quotePrefix="0" xfId="0">
      <alignment horizontal="center" vertical="bottom"/>
    </xf>
    <xf numFmtId="0" fontId="5" fillId="0" borderId="2" applyAlignment="1" pivotButton="0" quotePrefix="0" xfId="0">
      <alignment vertical="bottom"/>
    </xf>
    <xf numFmtId="0" fontId="5" fillId="0" borderId="2" applyAlignment="1" pivotButton="0" quotePrefix="0" xfId="0">
      <alignment horizontal="right" vertical="bottom"/>
    </xf>
    <xf numFmtId="0" fontId="5" fillId="0" borderId="3" applyAlignment="1" pivotButton="0" quotePrefix="0" xfId="0">
      <alignment vertical="bottom"/>
    </xf>
    <xf numFmtId="0" fontId="5" fillId="0" borderId="9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/>
    </xf>
    <xf numFmtId="0" fontId="5" fillId="0" borderId="9" applyAlignment="1" pivotButton="0" quotePrefix="0" xfId="0">
      <alignment horizontal="right" vertical="bottom"/>
    </xf>
    <xf numFmtId="0" fontId="22" fillId="26" borderId="9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/>
    </xf>
    <xf numFmtId="0" fontId="5" fillId="25" borderId="9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9" pivotButton="0" quotePrefix="0" xfId="0"/>
    <xf numFmtId="0" fontId="5" fillId="0" borderId="7" pivotButton="0" quotePrefix="0" xfId="0"/>
    <xf numFmtId="0" fontId="5" fillId="0" borderId="8" pivotButton="0" quotePrefix="0" xfId="0"/>
    <xf numFmtId="0" fontId="2" fillId="27" borderId="9" applyAlignment="1" pivotButton="0" quotePrefix="0" xfId="0">
      <alignment horizontal="center" vertical="bottom"/>
    </xf>
    <xf numFmtId="0" fontId="5" fillId="26" borderId="9" applyAlignment="1" pivotButton="0" quotePrefix="0" xfId="0">
      <alignment horizontal="center" vertical="bottom"/>
    </xf>
    <xf numFmtId="0" fontId="5" fillId="28" borderId="9" applyAlignment="1" pivotButton="0" quotePrefix="0" xfId="0">
      <alignment horizontal="center" vertical="bottom"/>
    </xf>
    <xf numFmtId="0" fontId="5" fillId="28" borderId="9" applyAlignment="1" pivotButton="0" quotePrefix="0" xfId="0">
      <alignment horizontal="center" vertical="bottom"/>
    </xf>
    <xf numFmtId="0" fontId="5" fillId="29" borderId="9" applyAlignment="1" pivotButton="0" quotePrefix="0" xfId="0">
      <alignment horizontal="center" vertical="bottom"/>
    </xf>
    <xf numFmtId="0" fontId="5" fillId="29" borderId="9" applyAlignment="1" pivotButton="0" quotePrefix="0" xfId="0">
      <alignment horizontal="center" vertical="bottom"/>
    </xf>
    <xf numFmtId="0" fontId="5" fillId="30" borderId="9" applyAlignment="1" pivotButton="0" quotePrefix="0" xfId="0">
      <alignment horizontal="center" vertical="bottom"/>
    </xf>
    <xf numFmtId="0" fontId="5" fillId="30" borderId="9" applyAlignment="1" pivotButton="0" quotePrefix="0" xfId="0">
      <alignment horizontal="center" vertical="bottom"/>
    </xf>
    <xf numFmtId="0" fontId="5" fillId="31" borderId="9" applyAlignment="1" pivotButton="0" quotePrefix="0" xfId="0">
      <alignment horizontal="center" vertical="bottom"/>
    </xf>
    <xf numFmtId="0" fontId="5" fillId="31" borderId="9" applyAlignment="1" pivotButton="0" quotePrefix="0" xfId="0">
      <alignment horizontal="center" vertical="bottom"/>
    </xf>
    <xf numFmtId="0" fontId="2" fillId="0" borderId="9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center" vertical="bottom"/>
    </xf>
    <xf numFmtId="0" fontId="11" fillId="0" borderId="1" pivotButton="0" quotePrefix="0" xfId="0"/>
    <xf numFmtId="0" fontId="23" fillId="0" borderId="1" applyAlignment="1" pivotButton="0" quotePrefix="0" xfId="0">
      <alignment vertical="bottom"/>
    </xf>
    <xf numFmtId="0" fontId="23" fillId="0" borderId="2" applyAlignment="1" pivotButton="0" quotePrefix="0" xfId="0">
      <alignment vertical="bottom"/>
    </xf>
    <xf numFmtId="0" fontId="23" fillId="0" borderId="2" applyAlignment="1" pivotButton="0" quotePrefix="0" xfId="0">
      <alignment vertical="bottom"/>
    </xf>
    <xf numFmtId="0" fontId="23" fillId="0" borderId="3" applyAlignment="1" pivotButton="0" quotePrefix="0" xfId="0">
      <alignment vertical="bottom"/>
    </xf>
    <xf numFmtId="0" fontId="23" fillId="0" borderId="4" applyAlignment="1" pivotButton="0" quotePrefix="0" xfId="0">
      <alignment horizontal="right" vertical="bottom"/>
    </xf>
    <xf numFmtId="0" fontId="23" fillId="0" borderId="0" applyAlignment="1" pivotButton="0" quotePrefix="0" xfId="0">
      <alignment horizontal="right" vertical="bottom"/>
    </xf>
    <xf numFmtId="3" fontId="23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vertical="bottom"/>
    </xf>
    <xf numFmtId="0" fontId="23" fillId="0" borderId="5" applyAlignment="1" pivotButton="0" quotePrefix="0" xfId="0">
      <alignment horizontal="right" vertical="bottom"/>
    </xf>
    <xf numFmtId="0" fontId="23" fillId="0" borderId="6" applyAlignment="1" pivotButton="0" quotePrefix="0" xfId="0">
      <alignment vertical="bottom"/>
    </xf>
    <xf numFmtId="1" fontId="23" fillId="0" borderId="7" applyAlignment="1" pivotButton="0" quotePrefix="0" xfId="0">
      <alignment horizontal="right" vertical="bottom"/>
    </xf>
    <xf numFmtId="3" fontId="23" fillId="0" borderId="7" applyAlignment="1" pivotButton="0" quotePrefix="0" xfId="0">
      <alignment horizontal="right" vertical="bottom"/>
    </xf>
    <xf numFmtId="0" fontId="23" fillId="0" borderId="7" applyAlignment="1" pivotButton="0" quotePrefix="0" xfId="0">
      <alignment vertical="bottom"/>
    </xf>
    <xf numFmtId="3" fontId="23" fillId="0" borderId="8" applyAlignment="1" pivotButton="0" quotePrefix="0" xfId="0">
      <alignment horizontal="right" vertical="bottom"/>
    </xf>
    <xf numFmtId="0" fontId="5" fillId="0" borderId="4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23" fillId="0" borderId="4" applyAlignment="1" pivotButton="0" quotePrefix="0" xfId="0">
      <alignment vertical="bottom"/>
    </xf>
    <xf numFmtId="0" fontId="23" fillId="0" borderId="0" applyAlignment="1" pivotButton="0" quotePrefix="0" xfId="0">
      <alignment vertical="bottom"/>
    </xf>
    <xf numFmtId="0" fontId="23" fillId="0" borderId="5" applyAlignment="1" pivotButton="0" quotePrefix="0" xfId="0">
      <alignment vertical="bottom"/>
    </xf>
    <xf numFmtId="0" fontId="23" fillId="0" borderId="0" applyAlignment="1" pivotButton="0" quotePrefix="0" xfId="0">
      <alignment horizontal="right" vertical="bottom"/>
    </xf>
    <xf numFmtId="0" fontId="23" fillId="0" borderId="7" applyAlignment="1" pivotButton="0" quotePrefix="0" xfId="0">
      <alignment horizontal="right" vertical="bottom"/>
    </xf>
    <xf numFmtId="0" fontId="23" fillId="13" borderId="1" applyAlignment="1" pivotButton="0" quotePrefix="0" xfId="0">
      <alignment vertical="bottom"/>
    </xf>
    <xf numFmtId="0" fontId="18" fillId="13" borderId="2" pivotButton="0" quotePrefix="0" xfId="0"/>
    <xf numFmtId="0" fontId="23" fillId="13" borderId="2" applyAlignment="1" pivotButton="0" quotePrefix="0" xfId="0">
      <alignment vertical="bottom"/>
    </xf>
    <xf numFmtId="0" fontId="23" fillId="13" borderId="2" applyAlignment="1" pivotButton="0" quotePrefix="0" xfId="0">
      <alignment vertical="bottom"/>
    </xf>
    <xf numFmtId="0" fontId="23" fillId="13" borderId="3" applyAlignment="1" pivotButton="0" quotePrefix="0" xfId="0">
      <alignment vertical="bottom"/>
    </xf>
    <xf numFmtId="0" fontId="23" fillId="3" borderId="4" applyAlignment="1" pivotButton="0" quotePrefix="0" xfId="0">
      <alignment horizontal="right" vertical="bottom"/>
    </xf>
    <xf numFmtId="0" fontId="23" fillId="3" borderId="0" applyAlignment="1" pivotButton="0" quotePrefix="0" xfId="0">
      <alignment horizontal="right" vertical="bottom"/>
    </xf>
    <xf numFmtId="3" fontId="23" fillId="3" borderId="0" applyAlignment="1" pivotButton="0" quotePrefix="0" xfId="0">
      <alignment horizontal="right" vertical="bottom"/>
    </xf>
    <xf numFmtId="0" fontId="23" fillId="3" borderId="0" applyAlignment="1" pivotButton="0" quotePrefix="0" xfId="0">
      <alignment vertical="bottom"/>
    </xf>
    <xf numFmtId="0" fontId="23" fillId="3" borderId="5" applyAlignment="1" pivotButton="0" quotePrefix="0" xfId="0">
      <alignment horizontal="right" vertical="bottom"/>
    </xf>
    <xf numFmtId="0" fontId="23" fillId="14" borderId="4" applyAlignment="1" pivotButton="0" quotePrefix="0" xfId="0">
      <alignment horizontal="right" vertical="bottom"/>
    </xf>
    <xf numFmtId="0" fontId="23" fillId="14" borderId="0" applyAlignment="1" pivotButton="0" quotePrefix="0" xfId="0">
      <alignment horizontal="right" vertical="bottom"/>
    </xf>
    <xf numFmtId="3" fontId="23" fillId="14" borderId="0" applyAlignment="1" pivotButton="0" quotePrefix="0" xfId="0">
      <alignment horizontal="right" vertical="bottom"/>
    </xf>
    <xf numFmtId="0" fontId="23" fillId="14" borderId="0" applyAlignment="1" pivotButton="0" quotePrefix="0" xfId="0">
      <alignment vertical="bottom"/>
    </xf>
    <xf numFmtId="0" fontId="23" fillId="14" borderId="5" applyAlignment="1" pivotButton="0" quotePrefix="0" xfId="0">
      <alignment horizontal="right" vertical="bottom"/>
    </xf>
    <xf numFmtId="0" fontId="23" fillId="3" borderId="6" applyAlignment="1" pivotButton="0" quotePrefix="0" xfId="0">
      <alignment vertical="bottom"/>
    </xf>
    <xf numFmtId="1" fontId="23" fillId="3" borderId="7" applyAlignment="1" pivotButton="0" quotePrefix="0" xfId="0">
      <alignment horizontal="right" vertical="bottom"/>
    </xf>
    <xf numFmtId="3" fontId="23" fillId="3" borderId="7" applyAlignment="1" pivotButton="0" quotePrefix="0" xfId="0">
      <alignment horizontal="right" vertical="bottom"/>
    </xf>
    <xf numFmtId="0" fontId="23" fillId="3" borderId="7" applyAlignment="1" pivotButton="0" quotePrefix="0" xfId="0">
      <alignment vertical="bottom"/>
    </xf>
    <xf numFmtId="3" fontId="23" fillId="3" borderId="8" applyAlignment="1" pivotButton="0" quotePrefix="0" xfId="0">
      <alignment horizontal="right" vertical="bottom"/>
    </xf>
    <xf numFmtId="0" fontId="23" fillId="3" borderId="7" applyAlignment="1" pivotButton="0" quotePrefix="0" xfId="0">
      <alignment horizontal="right" vertical="bottom"/>
    </xf>
    <xf numFmtId="0" fontId="11" fillId="0" borderId="1" pivotButton="0" quotePrefix="0" xfId="0"/>
    <xf numFmtId="0" fontId="11" fillId="0" borderId="6" pivotButton="0" quotePrefix="0" xfId="0"/>
    <xf numFmtId="0" fontId="23" fillId="0" borderId="6" applyAlignment="1" pivotButton="0" quotePrefix="0" xfId="0">
      <alignment horizontal="right" vertical="bottom"/>
    </xf>
    <xf numFmtId="0" fontId="23" fillId="0" borderId="8" applyAlignment="1" pivotButton="0" quotePrefix="0" xfId="0">
      <alignment horizontal="right" vertical="bottom"/>
    </xf>
    <xf numFmtId="0" fontId="11" fillId="0" borderId="1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3" fontId="23" fillId="0" borderId="0" applyAlignment="1" pivotButton="0" quotePrefix="0" xfId="0">
      <alignment horizontal="right" vertical="bottom"/>
    </xf>
    <xf numFmtId="0" fontId="23" fillId="0" borderId="4" applyAlignment="1" pivotButton="0" quotePrefix="0" xfId="0">
      <alignment vertical="bottom"/>
    </xf>
    <xf numFmtId="1" fontId="23" fillId="0" borderId="0" applyAlignment="1" pivotButton="0" quotePrefix="0" xfId="0">
      <alignment horizontal="right" vertical="bottom"/>
    </xf>
    <xf numFmtId="3" fontId="23" fillId="0" borderId="5" applyAlignment="1" pivotButton="0" quotePrefix="0" xfId="0">
      <alignment vertical="bottom"/>
    </xf>
    <xf numFmtId="164" fontId="23" fillId="0" borderId="0" applyAlignment="1" pivotButton="0" quotePrefix="0" xfId="0">
      <alignment horizontal="right" vertical="bottom"/>
    </xf>
    <xf numFmtId="164" fontId="23" fillId="0" borderId="7" applyAlignment="1" pivotButton="0" quotePrefix="0" xfId="0">
      <alignment horizontal="right" vertical="bottom"/>
    </xf>
    <xf numFmtId="3" fontId="23" fillId="0" borderId="8" applyAlignment="1" pivotButton="0" quotePrefix="0" xfId="0">
      <alignment vertical="bottom"/>
    </xf>
    <xf numFmtId="4" fontId="11" fillId="0" borderId="0" pivotButton="0" quotePrefix="0" xfId="0"/>
    <xf numFmtId="0" fontId="23" fillId="0" borderId="3" applyAlignment="1" pivotButton="0" quotePrefix="0" xfId="0">
      <alignment vertical="bottom"/>
    </xf>
    <xf numFmtId="0" fontId="23" fillId="19" borderId="1" applyAlignment="1" pivotButton="0" quotePrefix="0" xfId="0">
      <alignment vertical="bottom"/>
    </xf>
    <xf numFmtId="0" fontId="18" fillId="19" borderId="2" pivotButton="0" quotePrefix="0" xfId="0"/>
    <xf numFmtId="0" fontId="23" fillId="19" borderId="2" applyAlignment="1" pivotButton="0" quotePrefix="0" xfId="0">
      <alignment vertical="bottom"/>
    </xf>
    <xf numFmtId="0" fontId="23" fillId="19" borderId="2" applyAlignment="1" pivotButton="0" quotePrefix="0" xfId="0">
      <alignment vertical="bottom"/>
    </xf>
    <xf numFmtId="0" fontId="23" fillId="19" borderId="3" applyAlignment="1" pivotButton="0" quotePrefix="0" xfId="0">
      <alignment vertical="bottom"/>
    </xf>
    <xf numFmtId="0" fontId="23" fillId="19" borderId="3" applyAlignment="1" pivotButton="0" quotePrefix="0" xfId="0">
      <alignment vertical="bottom"/>
    </xf>
    <xf numFmtId="0" fontId="23" fillId="20" borderId="4" applyAlignment="1" pivotButton="0" quotePrefix="0" xfId="0">
      <alignment horizontal="right" vertical="bottom"/>
    </xf>
    <xf numFmtId="0" fontId="23" fillId="20" borderId="0" applyAlignment="1" pivotButton="0" quotePrefix="0" xfId="0">
      <alignment horizontal="right" vertical="bottom"/>
    </xf>
    <xf numFmtId="3" fontId="23" fillId="20" borderId="0" applyAlignment="1" pivotButton="0" quotePrefix="0" xfId="0">
      <alignment horizontal="right" vertical="bottom"/>
    </xf>
    <xf numFmtId="0" fontId="23" fillId="20" borderId="0" applyAlignment="1" pivotButton="0" quotePrefix="0" xfId="0">
      <alignment vertical="bottom"/>
    </xf>
    <xf numFmtId="0" fontId="23" fillId="20" borderId="5" applyAlignment="1" pivotButton="0" quotePrefix="0" xfId="0">
      <alignment horizontal="right" vertical="bottom"/>
    </xf>
    <xf numFmtId="1" fontId="11" fillId="0" borderId="0" pivotButton="0" quotePrefix="0" xfId="0"/>
    <xf numFmtId="1" fontId="11" fillId="0" borderId="0" pivotButton="0" quotePrefix="0" xfId="0"/>
    <xf numFmtId="1" fontId="11" fillId="0" borderId="5" pivotButton="0" quotePrefix="0" xfId="0"/>
    <xf numFmtId="164" fontId="11" fillId="0" borderId="0" pivotButton="0" quotePrefix="0" xfId="0"/>
    <xf numFmtId="164" fontId="11" fillId="0" borderId="5" pivotButton="0" quotePrefix="0" xfId="0"/>
    <xf numFmtId="3" fontId="11" fillId="0" borderId="0" pivotButton="0" quotePrefix="0" xfId="0"/>
    <xf numFmtId="3" fontId="11" fillId="0" borderId="5" pivotButton="0" quotePrefix="0" xfId="0"/>
    <xf numFmtId="3" fontId="11" fillId="0" borderId="7" pivotButton="0" quotePrefix="0" xfId="0"/>
    <xf numFmtId="3" fontId="11" fillId="0" borderId="8" pivotButton="0" quotePrefix="0" xfId="0"/>
    <xf numFmtId="0" fontId="24" fillId="0" borderId="0" pivotButton="0" quotePrefix="0" xfId="0"/>
    <xf numFmtId="0" fontId="25" fillId="6" borderId="4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6" fillId="6" borderId="5" applyAlignment="1" pivotButton="0" quotePrefix="0" xfId="0">
      <alignment vertical="bottom"/>
    </xf>
    <xf numFmtId="0" fontId="25" fillId="6" borderId="4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1" fillId="0" borderId="15" pivotButton="0" quotePrefix="0" xfId="0"/>
    <xf numFmtId="0" fontId="11" fillId="0" borderId="14" pivotButton="0" quotePrefix="0" xfId="0"/>
    <xf numFmtId="0" fontId="11" fillId="0" borderId="12" pivotButton="0" quotePrefix="0" xfId="0"/>
    <xf numFmtId="0" fontId="24" fillId="0" borderId="7" pivotButton="0" quotePrefix="0" xfId="0"/>
    <xf numFmtId="0" fontId="11" fillId="0" borderId="5" pivotButton="0" quotePrefix="0" xfId="0"/>
    <xf numFmtId="0" fontId="11" fillId="0" borderId="0" pivotButton="0" quotePrefix="0" xfId="0"/>
    <xf numFmtId="0" fontId="24" fillId="0" borderId="4" pivotButton="0" quotePrefix="0" xfId="0"/>
    <xf numFmtId="0" fontId="20" fillId="0" borderId="15" pivotButton="0" quotePrefix="0" xfId="0"/>
    <xf numFmtId="0" fontId="20" fillId="0" borderId="2" pivotButton="0" quotePrefix="0" xfId="0"/>
    <xf numFmtId="0" fontId="20" fillId="0" borderId="3" pivotButton="0" quotePrefix="0" xfId="0"/>
    <xf numFmtId="0" fontId="11" fillId="0" borderId="14" pivotButton="0" quotePrefix="0" xfId="0"/>
    <xf numFmtId="0" fontId="11" fillId="0" borderId="0" pivotButton="0" quotePrefix="0" xfId="0"/>
    <xf numFmtId="0" fontId="11" fillId="0" borderId="5" pivotButton="0" quotePrefix="0" xfId="0"/>
    <xf numFmtId="0" fontId="24" fillId="0" borderId="0" pivotButton="0" quotePrefix="0" xfId="0"/>
    <xf numFmtId="0" fontId="11" fillId="0" borderId="8" pivotButton="0" quotePrefix="0" xfId="0"/>
    <xf numFmtId="0" fontId="20" fillId="0" borderId="15" pivotButton="0" quotePrefix="0" xfId="0"/>
    <xf numFmtId="0" fontId="20" fillId="0" borderId="3" pivotButton="0" quotePrefix="0" xfId="0"/>
    <xf numFmtId="0" fontId="20" fillId="0" borderId="2" pivotButton="0" quotePrefix="0" xfId="0"/>
    <xf numFmtId="0" fontId="16" fillId="3" borderId="4" applyAlignment="1" pivotButton="0" quotePrefix="0" xfId="0">
      <alignment horizontal="right" vertical="bottom"/>
    </xf>
    <xf numFmtId="0" fontId="16" fillId="3" borderId="4" applyAlignment="1" pivotButton="0" quotePrefix="0" xfId="0">
      <alignment vertical="bottom"/>
    </xf>
    <xf numFmtId="0" fontId="25" fillId="3" borderId="0" applyAlignment="1" pivotButton="0" quotePrefix="0" xfId="0">
      <alignment vertical="bottom"/>
    </xf>
    <xf numFmtId="0" fontId="16" fillId="3" borderId="5" applyAlignment="1" pivotButton="0" quotePrefix="0" xfId="0">
      <alignment vertical="bottom"/>
    </xf>
    <xf numFmtId="0" fontId="16" fillId="3" borderId="14" applyAlignment="1" pivotButton="0" quotePrefix="0" xfId="0">
      <alignment horizontal="right" vertical="bottom"/>
    </xf>
    <xf numFmtId="0" fontId="16" fillId="3" borderId="0" applyAlignment="1" pivotButton="0" quotePrefix="0" xfId="0">
      <alignment vertical="bottom"/>
    </xf>
    <xf numFmtId="0" fontId="16" fillId="3" borderId="5" applyAlignment="1" pivotButton="0" quotePrefix="0" xfId="0">
      <alignment vertical="bottom"/>
    </xf>
    <xf numFmtId="0" fontId="16" fillId="23" borderId="14" applyAlignment="1" pivotButton="0" quotePrefix="0" xfId="0">
      <alignment horizontal="right" vertical="bottom"/>
    </xf>
    <xf numFmtId="0" fontId="16" fillId="23" borderId="0" applyAlignment="1" pivotButton="0" quotePrefix="0" xfId="0">
      <alignment vertical="bottom"/>
    </xf>
    <xf numFmtId="0" fontId="25" fillId="23" borderId="0" applyAlignment="1" pivotButton="0" quotePrefix="0" xfId="0">
      <alignment vertical="bottom"/>
    </xf>
    <xf numFmtId="0" fontId="16" fillId="23" borderId="5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5" fillId="32" borderId="10" applyAlignment="1" pivotButton="0" quotePrefix="0" xfId="0">
      <alignment horizontal="center"/>
    </xf>
    <xf numFmtId="0" fontId="18" fillId="0" borderId="13" pivotButton="0" quotePrefix="0" xfId="0"/>
    <xf numFmtId="0" fontId="5" fillId="8" borderId="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10" fillId="3" borderId="4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5" fillId="3" borderId="5" pivotButton="0" quotePrefix="0" xfId="0"/>
    <xf numFmtId="0" fontId="3" fillId="3" borderId="4" applyAlignment="1" pivotButton="0" quotePrefix="0" xfId="0">
      <alignment vertical="bottom"/>
    </xf>
    <xf numFmtId="0" fontId="5" fillId="3" borderId="4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5" fillId="3" borderId="5" applyAlignment="1" pivotButton="0" quotePrefix="0" xfId="0">
      <alignment vertical="bottom"/>
    </xf>
    <xf numFmtId="0" fontId="10" fillId="3" borderId="5" pivotButton="0" quotePrefix="0" xfId="0"/>
    <xf numFmtId="0" fontId="10" fillId="6" borderId="4" applyAlignment="1" pivotButton="0" quotePrefix="0" xfId="0">
      <alignment vertical="bottom"/>
    </xf>
    <xf numFmtId="0" fontId="3" fillId="6" borderId="0" applyAlignment="1" pivotButton="0" quotePrefix="0" xfId="0">
      <alignment vertical="bottom"/>
    </xf>
    <xf numFmtId="0" fontId="5" fillId="6" borderId="5" pivotButton="0" quotePrefix="0" xfId="0"/>
    <xf numFmtId="0" fontId="5" fillId="6" borderId="4" applyAlignment="1" pivotButton="0" quotePrefix="0" xfId="0">
      <alignment vertical="bottom"/>
    </xf>
    <xf numFmtId="0" fontId="5" fillId="6" borderId="0" applyAlignment="1" pivotButton="0" quotePrefix="0" xfId="0">
      <alignment vertical="bottom"/>
    </xf>
    <xf numFmtId="0" fontId="5" fillId="6" borderId="5" applyAlignment="1" pivotButton="0" quotePrefix="0" xfId="0">
      <alignment vertical="bottom"/>
    </xf>
    <xf numFmtId="0" fontId="10" fillId="6" borderId="5" pivotButton="0" quotePrefix="0" xfId="0"/>
    <xf numFmtId="0" fontId="5" fillId="6" borderId="5" applyAlignment="1" pivotButton="0" quotePrefix="0" xfId="0">
      <alignment vertical="bottom"/>
    </xf>
    <xf numFmtId="0" fontId="5" fillId="3" borderId="6" applyAlignment="1" pivotButton="0" quotePrefix="0" xfId="0">
      <alignment vertical="bottom"/>
    </xf>
    <xf numFmtId="0" fontId="5" fillId="3" borderId="7" applyAlignment="1" pivotButton="0" quotePrefix="0" xfId="0">
      <alignment vertical="bottom"/>
    </xf>
    <xf numFmtId="0" fontId="5" fillId="3" borderId="8" applyAlignment="1" pivotButton="0" quotePrefix="0" xfId="0">
      <alignment vertical="bottom"/>
    </xf>
    <xf numFmtId="0" fontId="5" fillId="6" borderId="0" pivotButton="0" quotePrefix="0" xfId="0"/>
    <xf numFmtId="0" fontId="5" fillId="3" borderId="0" pivotButton="0" quotePrefix="0" xfId="0"/>
    <xf numFmtId="0" fontId="3" fillId="6" borderId="6" applyAlignment="1" pivotButton="0" quotePrefix="0" xfId="0">
      <alignment vertical="bottom"/>
    </xf>
    <xf numFmtId="0" fontId="3" fillId="6" borderId="7" applyAlignment="1" pivotButton="0" quotePrefix="0" xfId="0">
      <alignment vertical="bottom"/>
    </xf>
    <xf numFmtId="0" fontId="5" fillId="6" borderId="8" pivotButton="0" quotePrefix="0" xfId="0"/>
    <xf numFmtId="0" fontId="5" fillId="3" borderId="5" pivotButton="0" quotePrefix="0" xfId="0"/>
    <xf numFmtId="0" fontId="5" fillId="6" borderId="5" pivotButton="0" quotePrefix="0" xfId="0"/>
    <xf numFmtId="0" fontId="3" fillId="3" borderId="6" applyAlignment="1" pivotButton="0" quotePrefix="0" xfId="0">
      <alignment vertical="bottom"/>
    </xf>
    <xf numFmtId="0" fontId="3" fillId="3" borderId="7" applyAlignment="1" pivotButton="0" quotePrefix="0" xfId="0">
      <alignment vertical="bottom"/>
    </xf>
    <xf numFmtId="0" fontId="5" fillId="3" borderId="8" pivotButton="0" quotePrefix="0" xfId="0"/>
    <xf numFmtId="0" fontId="5" fillId="3" borderId="7" pivotButton="0" quotePrefix="0" xfId="0"/>
    <xf numFmtId="0" fontId="5" fillId="3" borderId="8" pivotButton="0" quotePrefix="0" xfId="0"/>
    <xf numFmtId="0" fontId="1" fillId="25" borderId="10" pivotButton="0" quotePrefix="0" xfId="0"/>
    <xf numFmtId="0" fontId="1" fillId="25" borderId="13" pivotButton="0" quotePrefix="0" xfId="0"/>
    <xf numFmtId="0" fontId="1" fillId="25" borderId="11" pivotButton="0" quotePrefix="0" xfId="0"/>
    <xf numFmtId="0" fontId="10" fillId="0" borderId="1" applyAlignment="1" pivotButton="0" quotePrefix="0" xfId="0">
      <alignment vertical="bottom"/>
    </xf>
    <xf numFmtId="0" fontId="10" fillId="0" borderId="6" applyAlignment="1" pivotButton="0" quotePrefix="0" xfId="0">
      <alignment vertical="bottom"/>
    </xf>
    <xf numFmtId="0" fontId="5" fillId="0" borderId="8" pivotButton="0" quotePrefix="0" xfId="0"/>
    <xf numFmtId="0" fontId="3" fillId="0" borderId="1" applyAlignment="1" pivotButton="0" quotePrefix="0" xfId="0">
      <alignment horizontal="center" vertical="bottom"/>
    </xf>
    <xf numFmtId="0" fontId="3" fillId="0" borderId="2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3" fillId="0" borderId="7" applyAlignment="1" pivotButton="0" quotePrefix="0" xfId="0">
      <alignment horizontal="center" vertical="bottom"/>
    </xf>
    <xf numFmtId="0" fontId="5" fillId="0" borderId="8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9" fillId="0" borderId="0" pivotButton="0" quotePrefix="0" xfId="0"/>
    <xf numFmtId="0" fontId="11" fillId="0" borderId="13" pivotButton="0" quotePrefix="0" xfId="0"/>
    <xf numFmtId="0" fontId="1" fillId="32" borderId="11" pivotButton="0" quotePrefix="0" xfId="0"/>
    <xf numFmtId="0" fontId="1" fillId="14" borderId="9" applyAlignment="1" pivotButton="0" quotePrefix="0" xfId="0">
      <alignment horizontal="center"/>
    </xf>
    <xf numFmtId="0" fontId="6" fillId="14" borderId="9" applyAlignment="1" pivotButton="0" quotePrefix="0" xfId="0">
      <alignment horizontal="center"/>
    </xf>
    <xf numFmtId="0" fontId="1" fillId="12" borderId="9" applyAlignment="1" pivotButton="0" quotePrefix="0" xfId="0">
      <alignment horizontal="center"/>
    </xf>
    <xf numFmtId="0" fontId="6" fillId="12" borderId="9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6" fillId="0" borderId="10" pivotButton="0" quotePrefix="0" xfId="0"/>
    <xf numFmtId="0" fontId="20" fillId="0" borderId="13" pivotButton="0" quotePrefix="0" xfId="0"/>
    <xf numFmtId="0" fontId="20" fillId="0" borderId="11" pivotButton="0" quotePrefix="0" xfId="0"/>
    <xf numFmtId="0" fontId="27" fillId="0" borderId="9" applyAlignment="1" pivotButton="0" quotePrefix="0" xfId="0">
      <alignment horizontal="center"/>
    </xf>
    <xf numFmtId="0" fontId="5" fillId="0" borderId="9" applyAlignment="1" pivotButton="0" quotePrefix="0" xfId="0">
      <alignment horizontal="left"/>
    </xf>
    <xf numFmtId="0" fontId="5" fillId="0" borderId="9" applyAlignment="1" pivotButton="0" quotePrefix="0" xfId="0">
      <alignment horizontal="center"/>
    </xf>
    <xf numFmtId="0" fontId="8" fillId="0" borderId="11" pivotButton="0" quotePrefix="0" xfId="0"/>
    <xf numFmtId="0" fontId="1" fillId="0" borderId="9" applyAlignment="1" pivotButton="0" quotePrefix="0" xfId="0">
      <alignment horizontal="left"/>
    </xf>
    <xf numFmtId="0" fontId="1" fillId="0" borderId="9" applyAlignment="1" pivotButton="0" quotePrefix="0" xfId="0">
      <alignment horizontal="center"/>
    </xf>
    <xf numFmtId="41" fontId="1" fillId="0" borderId="9" applyAlignment="1" pivotButton="0" quotePrefix="0" xfId="0">
      <alignment horizontal="center"/>
    </xf>
    <xf numFmtId="41" fontId="5" fillId="0" borderId="9" applyAlignment="1" pivotButton="0" quotePrefix="0" xfId="0">
      <alignment horizontal="center"/>
    </xf>
    <xf numFmtId="41" fontId="5" fillId="0" borderId="9" pivotButton="0" quotePrefix="0" xfId="0"/>
    <xf numFmtId="0" fontId="11" fillId="0" borderId="11" pivotButton="0" quotePrefix="0" xfId="0"/>
    <xf numFmtId="0" fontId="6" fillId="0" borderId="9" applyAlignment="1" pivotButton="0" quotePrefix="0" xfId="0">
      <alignment horizontal="center"/>
    </xf>
    <xf numFmtId="0" fontId="1" fillId="0" borderId="13" pivotButton="0" quotePrefix="0" xfId="0"/>
    <xf numFmtId="0" fontId="21" fillId="0" borderId="9" applyAlignment="1" pivotButton="0" quotePrefix="0" xfId="0">
      <alignment vertical="bottom"/>
    </xf>
    <xf numFmtId="0" fontId="5" fillId="0" borderId="9" applyAlignment="1" pivotButton="0" quotePrefix="0" xfId="0">
      <alignment horizontal="center" vertical="bottom"/>
    </xf>
    <xf numFmtId="0" fontId="5" fillId="25" borderId="11" applyAlignment="1" pivotButton="0" quotePrefix="0" xfId="0">
      <alignment horizontal="center" vertical="bottom"/>
    </xf>
    <xf numFmtId="0" fontId="5" fillId="25" borderId="11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/>
    </xf>
    <xf numFmtId="0" fontId="5" fillId="26" borderId="9" applyAlignment="1" pivotButton="0" quotePrefix="0" xfId="0">
      <alignment vertical="bottom"/>
    </xf>
    <xf numFmtId="0" fontId="5" fillId="0" borderId="12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22" fillId="26" borderId="8" applyAlignment="1" pivotButton="0" quotePrefix="0" xfId="0">
      <alignment horizontal="right" vertical="bottom"/>
    </xf>
    <xf numFmtId="0" fontId="5" fillId="0" borderId="8" applyAlignment="1" pivotButton="0" quotePrefix="0" xfId="0">
      <alignment horizontal="right" vertical="bottom"/>
    </xf>
    <xf numFmtId="0" fontId="5" fillId="25" borderId="9" applyAlignment="1" pivotButton="0" quotePrefix="0" xfId="0">
      <alignment horizontal="center" vertical="bottom"/>
    </xf>
    <xf numFmtId="0" fontId="22" fillId="26" borderId="10" applyAlignment="1" pivotButton="0" quotePrefix="0" xfId="0">
      <alignment horizontal="center" vertical="bottom"/>
    </xf>
    <xf numFmtId="0" fontId="5" fillId="25" borderId="9" applyAlignment="1" pivotButton="0" quotePrefix="0" xfId="0">
      <alignment vertical="bottom"/>
    </xf>
    <xf numFmtId="0" fontId="28" fillId="29" borderId="10" applyAlignment="1" pivotButton="0" quotePrefix="0" xfId="0">
      <alignment vertical="bottom"/>
    </xf>
    <xf numFmtId="0" fontId="5" fillId="0" borderId="12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1" fillId="25" borderId="9" applyAlignment="1" pivotButton="0" quotePrefix="0" xfId="0">
      <alignment horizontal="center" vertical="bottom"/>
    </xf>
    <xf numFmtId="0" fontId="1" fillId="25" borderId="9" applyAlignment="1" pivotButton="0" quotePrefix="0" xfId="0">
      <alignment horizontal="center" vertical="bottom"/>
    </xf>
    <xf numFmtId="0" fontId="1" fillId="25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9" applyAlignment="1" pivotButton="0" quotePrefix="0" xfId="0">
      <alignment horizontal="center" vertical="bottom"/>
    </xf>
    <xf numFmtId="0" fontId="22" fillId="26" borderId="9" applyAlignment="1" pivotButton="0" quotePrefix="0" xfId="0">
      <alignment horizontal="right" vertical="bottom"/>
    </xf>
    <xf numFmtId="0" fontId="1" fillId="0" borderId="9" applyAlignment="1" pivotButton="0" quotePrefix="0" xfId="0">
      <alignment horizontal="right" vertical="bottom"/>
    </xf>
    <xf numFmtId="0" fontId="1" fillId="0" borderId="9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1" fillId="25" borderId="9" applyAlignment="1" pivotButton="0" quotePrefix="0" xfId="0">
      <alignment vertical="bottom"/>
    </xf>
    <xf numFmtId="0" fontId="29" fillId="26" borderId="9" applyAlignment="1" pivotButton="0" quotePrefix="0" xfId="0">
      <alignment horizontal="center" vertical="bottom"/>
    </xf>
    <xf numFmtId="0" fontId="29" fillId="26" borderId="9" applyAlignment="1" pivotButton="0" quotePrefix="0" xfId="0">
      <alignment horizontal="right" vertical="bottom"/>
    </xf>
    <xf numFmtId="1" fontId="1" fillId="0" borderId="9" applyAlignment="1" pivotButton="0" quotePrefix="0" xfId="0">
      <alignment vertical="bottom"/>
    </xf>
    <xf numFmtId="0" fontId="30" fillId="0" borderId="9" applyAlignment="1" pivotButton="0" quotePrefix="0" xfId="0">
      <alignment horizontal="center" vertical="bottom"/>
    </xf>
    <xf numFmtId="1" fontId="1" fillId="0" borderId="9" pivotButton="0" quotePrefix="0" xfId="0"/>
    <xf numFmtId="0" fontId="1" fillId="0" borderId="9" applyAlignment="1" pivotButton="0" quotePrefix="0" xfId="0">
      <alignment horizontal="right" vertical="bottom"/>
    </xf>
    <xf numFmtId="0" fontId="1" fillId="25" borderId="10" applyAlignment="1" pivotButton="0" quotePrefix="0" xfId="0">
      <alignment horizontal="center"/>
    </xf>
    <xf numFmtId="1" fontId="1" fillId="28" borderId="9" applyAlignment="1" pivotButton="0" quotePrefix="0" xfId="0">
      <alignment horizontal="right" vertical="bottom"/>
    </xf>
    <xf numFmtId="0" fontId="28" fillId="29" borderId="9" applyAlignment="1" pivotButton="0" quotePrefix="0" xfId="0">
      <alignment horizontal="center" vertical="bottom"/>
    </xf>
    <xf numFmtId="1" fontId="1" fillId="0" borderId="9" applyAlignment="1" pivotButton="0" quotePrefix="0" xfId="0">
      <alignment horizontal="right" vertical="bottom"/>
    </xf>
    <xf numFmtId="0" fontId="1" fillId="0" borderId="15" applyAlignment="1" pivotButton="0" quotePrefix="0" xfId="0">
      <alignment horizontal="center" vertical="bottom"/>
    </xf>
    <xf numFmtId="0" fontId="29" fillId="26" borderId="15" applyAlignment="1" pivotButton="0" quotePrefix="0" xfId="0">
      <alignment horizontal="right" vertical="bottom"/>
    </xf>
    <xf numFmtId="0" fontId="1" fillId="0" borderId="2" applyAlignment="1" pivotButton="0" quotePrefix="0" xfId="0">
      <alignment vertical="bottom"/>
    </xf>
    <xf numFmtId="0" fontId="5" fillId="0" borderId="9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5" fillId="25" borderId="10" applyAlignment="1" pivotButton="0" quotePrefix="0" xfId="0">
      <alignment horizontal="center" vertical="bottom"/>
    </xf>
    <xf numFmtId="10" fontId="5" fillId="0" borderId="9" applyAlignment="1" pivotButton="0" quotePrefix="0" xfId="0">
      <alignment horizontal="right" vertical="bottom"/>
    </xf>
    <xf numFmtId="10" fontId="5" fillId="0" borderId="0" applyAlignment="1" pivotButton="0" quotePrefix="0" xfId="0">
      <alignment vertical="bottom"/>
    </xf>
    <xf numFmtId="10" fontId="5" fillId="0" borderId="0" applyAlignment="1" pivotButton="0" quotePrefix="0" xfId="0">
      <alignment vertical="bottom"/>
    </xf>
    <xf numFmtId="0" fontId="22" fillId="26" borderId="9" applyAlignment="1" pivotButton="0" quotePrefix="0" xfId="0">
      <alignment horizontal="center" vertical="bottom"/>
    </xf>
    <xf numFmtId="0" fontId="5" fillId="25" borderId="6" applyAlignment="1" pivotButton="0" quotePrefix="0" xfId="0">
      <alignment horizontal="center" vertical="bottom"/>
    </xf>
    <xf numFmtId="10" fontId="5" fillId="0" borderId="9" applyAlignment="1" pivotButton="0" quotePrefix="0" xfId="0">
      <alignment horizontal="right" vertical="bottom"/>
    </xf>
    <xf numFmtId="41" fontId="5" fillId="0" borderId="0" applyAlignment="1" pivotButton="0" quotePrefix="0" xfId="0">
      <alignment vertical="bottom"/>
    </xf>
    <xf numFmtId="41" fontId="5" fillId="28" borderId="9" applyAlignment="1" pivotButton="0" quotePrefix="0" xfId="0">
      <alignment horizontal="right" vertical="bottom"/>
    </xf>
    <xf numFmtId="41" fontId="22" fillId="26" borderId="9" applyAlignment="1" pivotButton="0" quotePrefix="0" xfId="0">
      <alignment horizontal="right" vertical="bottom"/>
    </xf>
    <xf numFmtId="41" fontId="5" fillId="28" borderId="9" applyAlignment="1" pivotButton="0" quotePrefix="0" xfId="0">
      <alignment horizontal="center" vertical="bottom"/>
    </xf>
    <xf numFmtId="10" fontId="5" fillId="0" borderId="15" applyAlignment="1" pivotButton="0" quotePrefix="0" xfId="0">
      <alignment vertical="bottom"/>
    </xf>
    <xf numFmtId="10" fontId="5" fillId="28" borderId="9" applyAlignment="1" pivotButton="0" quotePrefix="0" xfId="0">
      <alignment horizontal="center" vertical="bottom"/>
    </xf>
    <xf numFmtId="0" fontId="5" fillId="0" borderId="12" applyAlignment="1" pivotButton="0" quotePrefix="0" xfId="0">
      <alignment vertical="bottom"/>
    </xf>
    <xf numFmtId="0" fontId="5" fillId="25" borderId="10" applyAlignment="1" pivotButton="0" quotePrefix="0" xfId="0">
      <alignment vertical="bottom"/>
    </xf>
    <xf numFmtId="0" fontId="5" fillId="25" borderId="13" applyAlignment="1" pivotButton="0" quotePrefix="0" xfId="0">
      <alignment vertical="bottom"/>
    </xf>
    <xf numFmtId="0" fontId="5" fillId="25" borderId="11" applyAlignment="1" pivotButton="0" quotePrefix="0" xfId="0">
      <alignment vertical="bottom"/>
    </xf>
    <xf numFmtId="0" fontId="5" fillId="25" borderId="1" applyAlignment="1" pivotButton="0" quotePrefix="0" xfId="0">
      <alignment horizontal="center" vertical="bottom"/>
    </xf>
    <xf numFmtId="0" fontId="18" fillId="0" borderId="3" pivotButton="0" quotePrefix="0" xfId="0"/>
    <xf numFmtId="0" fontId="5" fillId="25" borderId="2" applyAlignment="1" pivotButton="0" quotePrefix="0" xfId="0">
      <alignment horizontal="center" vertical="bottom"/>
    </xf>
    <xf numFmtId="0" fontId="18" fillId="0" borderId="2" pivotButton="0" quotePrefix="0" xfId="0"/>
    <xf numFmtId="0" fontId="5" fillId="25" borderId="3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/>
    </xf>
    <xf numFmtId="0" fontId="2" fillId="33" borderId="10" applyAlignment="1" pivotButton="0" quotePrefix="0" xfId="0">
      <alignment horizontal="center" vertical="bottom"/>
    </xf>
    <xf numFmtId="0" fontId="5" fillId="33" borderId="11" applyAlignment="1" pivotButton="0" quotePrefix="0" xfId="0">
      <alignment horizontal="center" vertical="bottom"/>
    </xf>
    <xf numFmtId="0" fontId="5" fillId="33" borderId="2" applyAlignment="1" pivotButton="0" quotePrefix="0" xfId="0">
      <alignment horizontal="center" vertical="bottom"/>
    </xf>
    <xf numFmtId="0" fontId="5" fillId="33" borderId="2" applyAlignment="1" pivotButton="0" quotePrefix="0" xfId="0">
      <alignment vertical="bottom"/>
    </xf>
    <xf numFmtId="0" fontId="5" fillId="33" borderId="2" pivotButton="0" quotePrefix="0" xfId="0"/>
    <xf numFmtId="0" fontId="5" fillId="33" borderId="3" pivotButton="0" quotePrefix="0" xfId="0"/>
    <xf numFmtId="0" fontId="5" fillId="27" borderId="9" applyAlignment="1" pivotButton="0" quotePrefix="0" xfId="0">
      <alignment horizontal="center" vertical="bottom"/>
    </xf>
    <xf numFmtId="0" fontId="5" fillId="0" borderId="10" applyAlignment="1" pivotButton="0" quotePrefix="0" xfId="0">
      <alignment vertical="bottom"/>
    </xf>
    <xf numFmtId="0" fontId="5" fillId="27" borderId="2" applyAlignment="1" pivotButton="0" quotePrefix="0" xfId="0">
      <alignment horizontal="center" vertical="bottom"/>
    </xf>
    <xf numFmtId="0" fontId="5" fillId="27" borderId="2" pivotButton="0" quotePrefix="0" xfId="0"/>
    <xf numFmtId="0" fontId="5" fillId="27" borderId="3" pivotButton="0" quotePrefix="0" xfId="0"/>
    <xf numFmtId="0" fontId="5" fillId="0" borderId="7" applyAlignment="1" pivotButton="0" quotePrefix="0" xfId="0">
      <alignment vertical="bottom"/>
    </xf>
    <xf numFmtId="0" fontId="5" fillId="27" borderId="9" applyAlignment="1" pivotButton="0" quotePrefix="0" xfId="0">
      <alignment horizontal="center" vertical="bottom"/>
    </xf>
    <xf numFmtId="0" fontId="2" fillId="0" borderId="10" applyAlignment="1" pivotButton="0" quotePrefix="0" xfId="0">
      <alignment horizontal="center"/>
    </xf>
    <xf numFmtId="0" fontId="19" fillId="27" borderId="1" pivotButton="0" quotePrefix="0" xfId="0"/>
    <xf numFmtId="0" fontId="11" fillId="27" borderId="2" pivotButton="0" quotePrefix="0" xfId="0"/>
    <xf numFmtId="0" fontId="2" fillId="25" borderId="9" applyAlignment="1" pivotButton="0" quotePrefix="0" xfId="0">
      <alignment horizontal="center"/>
    </xf>
    <xf numFmtId="0" fontId="11" fillId="27" borderId="4" pivotButton="0" quotePrefix="0" xfId="0"/>
    <xf numFmtId="0" fontId="5" fillId="27" borderId="0" pivotButton="0" quotePrefix="0" xfId="0"/>
    <xf numFmtId="0" fontId="5" fillId="27" borderId="5" pivotButton="0" quotePrefix="0" xfId="0"/>
    <xf numFmtId="0" fontId="5" fillId="0" borderId="2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11" fillId="0" borderId="6" pivotButton="0" quotePrefix="0" xfId="0"/>
    <xf numFmtId="0" fontId="5" fillId="0" borderId="7" pivotButton="0" quotePrefix="0" xfId="0"/>
    <xf numFmtId="0" fontId="2" fillId="32" borderId="9" applyAlignment="1" pivotButton="0" quotePrefix="0" xfId="0">
      <alignment horizontal="center"/>
    </xf>
    <xf numFmtId="0" fontId="5" fillId="0" borderId="5" pivotButton="0" quotePrefix="0" xfId="0"/>
    <xf numFmtId="0" fontId="2" fillId="34" borderId="9" pivotButton="0" quotePrefix="0" xfId="0"/>
    <xf numFmtId="0" fontId="2" fillId="0" borderId="9" pivotButton="0" quotePrefix="0" xfId="0"/>
    <xf numFmtId="0" fontId="2" fillId="0" borderId="9" applyAlignment="1" pivotButton="0" quotePrefix="0" xfId="0">
      <alignment horizontal="center"/>
    </xf>
    <xf numFmtId="0" fontId="5" fillId="8" borderId="10" applyAlignment="1" pivotButton="0" quotePrefix="0" xfId="0">
      <alignment vertical="bottom"/>
    </xf>
    <xf numFmtId="0" fontId="5" fillId="8" borderId="13" pivotButton="0" quotePrefix="0" xfId="0"/>
    <xf numFmtId="0" fontId="5" fillId="8" borderId="11" pivotButton="0" quotePrefix="0" xfId="0"/>
    <xf numFmtId="0" fontId="5" fillId="0" borderId="9" applyAlignment="1" pivotButton="0" quotePrefix="0" xfId="0">
      <alignment vertical="bottom"/>
    </xf>
    <xf numFmtId="0" fontId="5" fillId="0" borderId="9" applyAlignment="1" pivotButton="0" quotePrefix="0" xfId="0">
      <alignment horizontal="center" vertical="bottom"/>
    </xf>
    <xf numFmtId="0" fontId="5" fillId="0" borderId="9" applyAlignment="1" pivotButton="0" quotePrefix="0" xfId="0">
      <alignment vertical="bottom"/>
    </xf>
    <xf numFmtId="0" fontId="5" fillId="0" borderId="9" applyAlignment="1" pivotButton="0" quotePrefix="0" xfId="0">
      <alignment horizontal="right" vertical="bottom"/>
    </xf>
    <xf numFmtId="0" fontId="5" fillId="8" borderId="13" applyAlignment="1" pivotButton="0" quotePrefix="0" xfId="0">
      <alignment vertical="bottom"/>
    </xf>
    <xf numFmtId="0" fontId="5" fillId="8" borderId="11" applyAlignment="1" pivotButton="0" quotePrefix="0" xfId="0">
      <alignment vertical="bottom"/>
    </xf>
    <xf numFmtId="0" fontId="5" fillId="0" borderId="9" applyAlignment="1" pivotButton="0" quotePrefix="0" xfId="0">
      <alignment horizontal="right" vertical="bottom"/>
    </xf>
    <xf numFmtId="0" fontId="5" fillId="0" borderId="9" pivotButton="0" quotePrefix="0" xfId="0"/>
    <xf numFmtId="3" fontId="11" fillId="0" borderId="9" pivotButton="0" quotePrefix="0" xfId="0"/>
    <xf numFmtId="3" fontId="5" fillId="0" borderId="9" pivotButton="0" quotePrefix="0" xfId="0"/>
    <xf numFmtId="3" fontId="5" fillId="0" borderId="9" pivotButton="0" quotePrefix="0" xfId="0"/>
    <xf numFmtId="0" fontId="1" fillId="8" borderId="15" pivotButton="0" quotePrefix="0" xfId="0"/>
    <xf numFmtId="0" fontId="1" fillId="8" borderId="1" applyAlignment="1" pivotButton="0" quotePrefix="0" xfId="0">
      <alignment horizontal="center"/>
    </xf>
    <xf numFmtId="0" fontId="1" fillId="0" borderId="14" pivotButton="0" quotePrefix="0" xfId="0"/>
    <xf numFmtId="0" fontId="5" fillId="0" borderId="14" pivotButton="0" quotePrefix="0" xfId="0"/>
    <xf numFmtId="41" fontId="5" fillId="0" borderId="4" pivotButton="0" quotePrefix="0" xfId="0"/>
    <xf numFmtId="41" fontId="5" fillId="0" borderId="0" pivotButton="0" quotePrefix="0" xfId="0"/>
    <xf numFmtId="41" fontId="5" fillId="0" borderId="5" pivotButton="0" quotePrefix="0" xfId="0"/>
    <xf numFmtId="41" fontId="5" fillId="0" borderId="0" pivotButton="0" quotePrefix="0" xfId="0"/>
    <xf numFmtId="41" fontId="1" fillId="27" borderId="9" pivotButton="0" quotePrefix="0" xfId="0"/>
    <xf numFmtId="41" fontId="5" fillId="0" borderId="4" pivotButton="0" quotePrefix="0" xfId="0"/>
    <xf numFmtId="41" fontId="5" fillId="0" borderId="0" applyAlignment="1" pivotButton="0" quotePrefix="0" xfId="0">
      <alignment horizontal="right" vertical="bottom"/>
    </xf>
    <xf numFmtId="41" fontId="1" fillId="0" borderId="0" pivotButton="0" quotePrefix="0" xfId="0"/>
    <xf numFmtId="41" fontId="5" fillId="0" borderId="5" pivotButton="0" quotePrefix="0" xfId="0"/>
    <xf numFmtId="41" fontId="5" fillId="0" borderId="0" pivotButton="0" quotePrefix="0" xfId="0"/>
    <xf numFmtId="0" fontId="5" fillId="0" borderId="14" applyAlignment="1" pivotButton="0" quotePrefix="0" xfId="0">
      <alignment horizontal="right"/>
    </xf>
    <xf numFmtId="0" fontId="0" fillId="0" borderId="0" pivotButton="0" quotePrefix="0" xfId="0"/>
    <xf numFmtId="0" fontId="0" fillId="0" borderId="11" pivotButton="0" quotePrefix="0" xfId="0"/>
    <xf numFmtId="0" fontId="3" fillId="10" borderId="9" applyAlignment="1" pivotButton="0" quotePrefix="0" xfId="0">
      <alignment horizontal="center" vertical="bottom"/>
    </xf>
    <xf numFmtId="0" fontId="3" fillId="12" borderId="9" applyAlignment="1" pivotButton="0" quotePrefix="0" xfId="0">
      <alignment horizontal="center" vertical="bottom"/>
    </xf>
    <xf numFmtId="0" fontId="3" fillId="14" borderId="9" applyAlignment="1" pivotButton="0" quotePrefix="0" xfId="0">
      <alignment horizontal="center" vertical="bottom"/>
    </xf>
    <xf numFmtId="0" fontId="3" fillId="16" borderId="9" applyAlignment="1" pivotButton="0" quotePrefix="0" xfId="0">
      <alignment horizontal="center" vertical="bottom"/>
    </xf>
    <xf numFmtId="0" fontId="3" fillId="4" borderId="9" applyAlignment="1" pivotButton="0" quotePrefix="0" xfId="0">
      <alignment horizontal="center" vertical="bottom"/>
    </xf>
    <xf numFmtId="0" fontId="3" fillId="4" borderId="9" applyAlignment="1" pivotButton="0" quotePrefix="1" xfId="0">
      <alignment horizontal="center" vertical="bottom"/>
    </xf>
    <xf numFmtId="0" fontId="1" fillId="8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0" fillId="0" borderId="5" pivotButton="0" quotePrefix="0" xfId="0"/>
    <xf numFmtId="0" fontId="0" fillId="0" borderId="13" pivotButton="0" quotePrefix="0" xfId="0"/>
    <xf numFmtId="0" fontId="5" fillId="3" borderId="9" applyAlignment="1" pivotButton="0" quotePrefix="0" xfId="0">
      <alignment vertical="bottom"/>
    </xf>
    <xf numFmtId="0" fontId="10" fillId="3" borderId="9" applyAlignment="1" pivotButton="0" quotePrefix="0" xfId="0">
      <alignment vertical="bottom"/>
    </xf>
    <xf numFmtId="0" fontId="10" fillId="20" borderId="9" applyAlignment="1" pivotButton="0" quotePrefix="0" xfId="0">
      <alignment vertical="bottom"/>
    </xf>
    <xf numFmtId="0" fontId="5" fillId="20" borderId="9" applyAlignment="1" pivotButton="0" quotePrefix="0" xfId="0">
      <alignment vertical="bottom"/>
    </xf>
    <xf numFmtId="0" fontId="5" fillId="7" borderId="9" applyAlignment="1" pivotButton="0" quotePrefix="0" xfId="0">
      <alignment vertical="bottom"/>
    </xf>
    <xf numFmtId="0" fontId="10" fillId="7" borderId="9" applyAlignment="1" pivotButton="0" quotePrefix="0" xfId="0">
      <alignment vertical="bottom"/>
    </xf>
    <xf numFmtId="0" fontId="10" fillId="16" borderId="9" applyAlignment="1" pivotButton="0" quotePrefix="0" xfId="0">
      <alignment vertical="bottom"/>
    </xf>
    <xf numFmtId="0" fontId="5" fillId="16" borderId="9" applyAlignment="1" pivotButton="0" quotePrefix="0" xfId="0">
      <alignment vertical="bottom"/>
    </xf>
    <xf numFmtId="0" fontId="5" fillId="23" borderId="9" applyAlignment="1" pivotButton="0" quotePrefix="0" xfId="0">
      <alignment vertical="bottom"/>
    </xf>
    <xf numFmtId="0" fontId="10" fillId="18" borderId="9" applyAlignment="1" pivotButton="0" quotePrefix="0" xfId="0">
      <alignment vertical="bottom"/>
    </xf>
    <xf numFmtId="0" fontId="11" fillId="8" borderId="1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1" fillId="8" borderId="9" applyAlignment="1" pivotButton="0" quotePrefix="0" xfId="0">
      <alignment horizontal="center"/>
    </xf>
    <xf numFmtId="0" fontId="5" fillId="32" borderId="9" applyAlignment="1" pivotButton="0" quotePrefix="0" xfId="0">
      <alignment horizontal="center"/>
    </xf>
    <xf numFmtId="0" fontId="5" fillId="8" borderId="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28" fillId="29" borderId="9" applyAlignment="1" pivotButton="0" quotePrefix="0" xfId="0">
      <alignment vertical="bottom"/>
    </xf>
    <xf numFmtId="0" fontId="1" fillId="25" borderId="9" applyAlignment="1" pivotButton="0" quotePrefix="0" xfId="0">
      <alignment horizontal="center"/>
    </xf>
    <xf numFmtId="0" fontId="5" fillId="25" borderId="15" applyAlignment="1" pivotButton="0" quotePrefix="0" xfId="0">
      <alignment horizontal="center" vertical="bottom"/>
    </xf>
    <xf numFmtId="0" fontId="1" fillId="8" borderId="15" applyAlignment="1" pivotButton="0" quotePrefix="0" xfId="0">
      <alignment horizontal="center"/>
    </xf>
    <xf numFmtId="0" fontId="31" fillId="35" borderId="10" applyAlignment="1" pivotButton="0" quotePrefix="0" xfId="0">
      <alignment horizontal="center" vertical="bottom"/>
    </xf>
  </cellXfs>
  <cellStyles count="1">
    <cellStyle name="Normal" xfId="0" builtinId="0"/>
  </cellStyles>
  <dxfs count="34">
    <dxf>
      <font/>
      <fill>
        <patternFill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4E13"/>
      </font>
      <fill>
        <patternFill patternType="solid">
          <fgColor rgb="FFB7E1CD"/>
          <bgColor rgb="FFB7E1CD"/>
        </patternFill>
      </fill>
      <border/>
    </dxf>
    <dxf>
      <font>
        <color rgb="FF980000"/>
      </font>
      <fill>
        <patternFill patternType="solid">
          <fgColor rgb="FFF4CCCC"/>
          <bgColor rgb="FFF4CCCC"/>
        </patternFill>
      </fill>
      <border/>
    </dxf>
  </dxfs>
  <tableStyles count="369" defaultTableStyle="TableStyleMedium9" defaultPivotStyle="PivotStyleLight16">
    <tableStyle name="Offering Speed-style" pivot="0" count="3">
      <tableStyleElement type="headerRow" dxfId="1"/>
      <tableStyleElement type="firstRowStripe" dxfId="2"/>
      <tableStyleElement type="secondRowStripe" dxfId="3"/>
    </tableStyle>
    <tableStyle name="Offering Speed-style 2" pivot="0" count="3">
      <tableStyleElement type="headerRow" dxfId="1"/>
      <tableStyleElement type="firstRowStripe" dxfId="2"/>
      <tableStyleElement type="secondRowStripe" dxfId="3"/>
    </tableStyle>
    <tableStyle name="Offering Speed-style 3" pivot="0" count="3">
      <tableStyleElement type="headerRow" dxfId="1"/>
      <tableStyleElement type="firstRowStripe" dxfId="2"/>
      <tableStyleElement type="secondRowStripe" dxfId="3"/>
    </tableStyle>
    <tableStyle name="Offering Speed-style 4" pivot="0" count="3">
      <tableStyleElement type="headerRow" dxfId="1"/>
      <tableStyleElement type="firstRowStripe" dxfId="2"/>
      <tableStyleElement type="secondRowStripe" dxfId="3"/>
    </tableStyle>
    <tableStyle name="Offering Speed-style 5" pivot="0" count="3">
      <tableStyleElement type="headerRow" dxfId="1"/>
      <tableStyleElement type="firstRowStripe" dxfId="2"/>
      <tableStyleElement type="secondRowStripe" dxfId="3"/>
    </tableStyle>
    <tableStyle name="Offering Speed-style 6" pivot="0" count="3">
      <tableStyleElement type="headerRow" dxfId="1"/>
      <tableStyleElement type="firstRowStripe" dxfId="2"/>
      <tableStyleElement type="secondRowStripe" dxfId="3"/>
    </tableStyle>
    <tableStyle name="Offering Speed-style 7" pivot="0" count="3">
      <tableStyleElement type="headerRow" dxfId="4"/>
      <tableStyleElement type="firstRowStripe" dxfId="2"/>
      <tableStyleElement type="secondRowStripe" dxfId="5"/>
    </tableStyle>
    <tableStyle name="Offering Speed-style 8" pivot="0" count="3">
      <tableStyleElement type="headerRow" dxfId="4"/>
      <tableStyleElement type="firstRowStripe" dxfId="2"/>
      <tableStyleElement type="secondRowStripe" dxfId="5"/>
    </tableStyle>
    <tableStyle name="Travel Speed-style" pivot="0" count="3">
      <tableStyleElement type="headerRow" dxfId="4"/>
      <tableStyleElement type="firstRowStripe" dxfId="2"/>
      <tableStyleElement type="secondRowStripe" dxfId="5"/>
    </tableStyle>
    <tableStyle name="Travel Speed-style 2" pivot="0" count="3">
      <tableStyleElement type="headerRow" dxfId="4"/>
      <tableStyleElement type="firstRowStripe" dxfId="2"/>
      <tableStyleElement type="secondRowStripe" dxfId="5"/>
    </tableStyle>
    <tableStyle name="Travel Speed-style 3" pivot="0" count="3">
      <tableStyleElement type="headerRow" dxfId="4"/>
      <tableStyleElement type="firstRowStripe" dxfId="2"/>
      <tableStyleElement type="secondRowStripe" dxfId="5"/>
    </tableStyle>
    <tableStyle name="Travel Speed-style 4" pivot="0" count="3">
      <tableStyleElement type="headerRow" dxfId="6"/>
      <tableStyleElement type="firstRowStripe" dxfId="2"/>
      <tableStyleElement type="secondRowStripe" dxfId="7"/>
    </tableStyle>
    <tableStyle name="Travel Speed-style 5" pivot="0" count="3">
      <tableStyleElement type="headerRow" dxfId="8"/>
      <tableStyleElement type="firstRowStripe" dxfId="2"/>
      <tableStyleElement type="secondRowStripe" dxfId="9"/>
    </tableStyle>
    <tableStyle name="Travel Speed-style 6" pivot="0" count="3">
      <tableStyleElement type="headerRow" dxfId="10"/>
      <tableStyleElement type="firstRowStripe" dxfId="2"/>
      <tableStyleElement type="secondRowStripe" dxfId="11"/>
    </tableStyle>
    <tableStyle name="Travel Speed-style 7" pivot="0" count="3">
      <tableStyleElement type="headerRow" dxfId="12"/>
      <tableStyleElement type="firstRowStripe" dxfId="2"/>
      <tableStyleElement type="secondRowStripe" dxfId="13"/>
    </tableStyle>
    <tableStyle name="Travel Speed-style 8" pivot="0" count="3">
      <tableStyleElement type="headerRow" dxfId="14"/>
      <tableStyleElement type="firstRowStripe" dxfId="2"/>
      <tableStyleElement type="secondRowStripe" dxfId="15"/>
    </tableStyle>
    <tableStyle name="Travel Speed-style 9" pivot="0" count="3">
      <tableStyleElement type="headerRow" dxfId="16"/>
      <tableStyleElement type="firstRowStripe" dxfId="2"/>
      <tableStyleElement type="secondRowStripe" dxfId="17"/>
    </tableStyle>
    <tableStyle name="Travel Speed-style 10" pivot="0" count="3">
      <tableStyleElement type="headerRow" dxfId="4"/>
      <tableStyleElement type="firstRowStripe" dxfId="2"/>
      <tableStyleElement type="secondRowStripe" dxfId="5"/>
    </tableStyle>
    <tableStyle name="Travel Speed-style 11" pivot="0" count="3">
      <tableStyleElement type="headerRow" dxfId="4"/>
      <tableStyleElement type="firstRowStripe" dxfId="2"/>
      <tableStyleElement type="secondRowStripe" dxfId="5"/>
    </tableStyle>
    <tableStyle name="Travel Speed-style 12" pivot="0" count="3">
      <tableStyleElement type="headerRow" dxfId="4"/>
      <tableStyleElement type="firstRowStripe" dxfId="2"/>
      <tableStyleElement type="secondRowStripe" dxfId="5"/>
    </tableStyle>
    <tableStyle name="Travel Speed-style 13" pivot="0" count="3">
      <tableStyleElement type="headerRow" dxfId="4"/>
      <tableStyleElement type="firstRowStripe" dxfId="2"/>
      <tableStyleElement type="secondRowStripe" dxfId="5"/>
    </tableStyle>
    <tableStyle name="Travel Speed-style 14" pivot="0" count="3">
      <tableStyleElement type="headerRow" dxfId="4"/>
      <tableStyleElement type="firstRowStripe" dxfId="2"/>
      <tableStyleElement type="secondRowStripe" dxfId="5"/>
    </tableStyle>
    <tableStyle name="Travel Speed-style 15" pivot="0" count="3">
      <tableStyleElement type="headerRow" dxfId="4"/>
      <tableStyleElement type="firstRowStripe" dxfId="2"/>
      <tableStyleElement type="secondRowStripe" dxfId="5"/>
    </tableStyle>
    <tableStyle name="Travel Speed-style 16" pivot="0" count="3">
      <tableStyleElement type="headerRow" dxfId="4"/>
      <tableStyleElement type="firstRowStripe" dxfId="2"/>
      <tableStyleElement type="secondRowStripe" dxfId="5"/>
    </tableStyle>
    <tableStyle name="Travel Speed-style 17" pivot="0" count="3">
      <tableStyleElement type="headerRow" dxfId="4"/>
      <tableStyleElement type="firstRowStripe" dxfId="2"/>
      <tableStyleElement type="secondRowStripe" dxfId="5"/>
    </tableStyle>
    <tableStyle name="Gene Research-style" pivot="0" count="3">
      <tableStyleElement type="headerRow" dxfId="4"/>
      <tableStyleElement type="firstRowStripe" dxfId="2"/>
      <tableStyleElement type="secondRowStripe" dxfId="5"/>
    </tableStyle>
    <tableStyle name="Gene Research-style 2" pivot="0" count="3">
      <tableStyleElement type="headerRow" dxfId="4"/>
      <tableStyleElement type="firstRowStripe" dxfId="2"/>
      <tableStyleElement type="secondRowStripe" dxfId="5"/>
    </tableStyle>
    <tableStyle name="Gene Research-style 3" pivot="0" count="3">
      <tableStyleElement type="headerRow" dxfId="4"/>
      <tableStyleElement type="firstRowStripe" dxfId="2"/>
      <tableStyleElement type="secondRowStripe" dxfId="5"/>
    </tableStyle>
    <tableStyle name="Gene Research-style 4" pivot="0" count="3">
      <tableStyleElement type="headerRow" dxfId="4"/>
      <tableStyleElement type="firstRowStripe" dxfId="2"/>
      <tableStyleElement type="secondRowStripe" dxfId="5"/>
    </tableStyle>
    <tableStyle name="Gene Research-style 5" pivot="0" count="3">
      <tableStyleElement type="headerRow" dxfId="4"/>
      <tableStyleElement type="firstRowStripe" dxfId="2"/>
      <tableStyleElement type="secondRowStripe" dxfId="5"/>
    </tableStyle>
    <tableStyle name="Gene Research-style 6" pivot="0" count="3">
      <tableStyleElement type="headerRow" dxfId="4"/>
      <tableStyleElement type="firstRowStripe" dxfId="2"/>
      <tableStyleElement type="secondRowStripe" dxfId="5"/>
    </tableStyle>
    <tableStyle name="Gene Research-style 7" pivot="0" count="3">
      <tableStyleElement type="headerRow" dxfId="4"/>
      <tableStyleElement type="firstRowStripe" dxfId="2"/>
      <tableStyleElement type="secondRowStripe" dxfId="5"/>
    </tableStyle>
    <tableStyle name="Gene Research-style 8" pivot="0" count="3">
      <tableStyleElement type="headerRow" dxfId="4"/>
      <tableStyleElement type="firstRowStripe" dxfId="2"/>
      <tableStyleElement type="secondRowStripe" dxfId="5"/>
    </tableStyle>
    <tableStyle name="Gene Research-style 9" pivot="0" count="3">
      <tableStyleElement type="headerRow" dxfId="4"/>
      <tableStyleElement type="firstRowStripe" dxfId="2"/>
      <tableStyleElement type="secondRowStripe" dxfId="5"/>
    </tableStyle>
    <tableStyle name="Gene Research-style 10" pivot="0" count="3">
      <tableStyleElement type="headerRow" dxfId="4"/>
      <tableStyleElement type="firstRowStripe" dxfId="2"/>
      <tableStyleElement type="secondRowStripe" dxfId="5"/>
    </tableStyle>
    <tableStyle name="Gene Research-style 11" pivot="0" count="3">
      <tableStyleElement type="headerRow" dxfId="6"/>
      <tableStyleElement type="firstRowStripe" dxfId="2"/>
      <tableStyleElement type="secondRowStripe" dxfId="7"/>
    </tableStyle>
    <tableStyle name="Gene Research-style 12" pivot="0" count="3">
      <tableStyleElement type="headerRow" dxfId="6"/>
      <tableStyleElement type="firstRowStripe" dxfId="2"/>
      <tableStyleElement type="secondRowStripe" dxfId="7"/>
    </tableStyle>
    <tableStyle name="Gene Research-style 13" pivot="0" count="3">
      <tableStyleElement type="headerRow" dxfId="6"/>
      <tableStyleElement type="firstRowStripe" dxfId="2"/>
      <tableStyleElement type="secondRowStripe" dxfId="7"/>
    </tableStyle>
    <tableStyle name="Gene Research-style 14" pivot="0" count="3">
      <tableStyleElement type="headerRow" dxfId="8"/>
      <tableStyleElement type="firstRowStripe" dxfId="2"/>
      <tableStyleElement type="secondRowStripe" dxfId="9"/>
    </tableStyle>
    <tableStyle name="Gene Research-style 15" pivot="0" count="3">
      <tableStyleElement type="headerRow" dxfId="8"/>
      <tableStyleElement type="firstRowStripe" dxfId="2"/>
      <tableStyleElement type="secondRowStripe" dxfId="9"/>
    </tableStyle>
    <tableStyle name="Gene Research-style 16" pivot="0" count="3">
      <tableStyleElement type="headerRow" dxfId="10"/>
      <tableStyleElement type="firstRowStripe" dxfId="2"/>
      <tableStyleElement type="secondRowStripe" dxfId="11"/>
    </tableStyle>
    <tableStyle name="Gene Research-style 17" pivot="0" count="3">
      <tableStyleElement type="headerRow" dxfId="10"/>
      <tableStyleElement type="firstRowStripe" dxfId="2"/>
      <tableStyleElement type="secondRowStripe" dxfId="11"/>
    </tableStyle>
    <tableStyle name="Gene Research-style 18" pivot="0" count="3">
      <tableStyleElement type="headerRow" dxfId="10"/>
      <tableStyleElement type="firstRowStripe" dxfId="2"/>
      <tableStyleElement type="secondRowStripe" dxfId="11"/>
    </tableStyle>
    <tableStyle name="Gene Research-style 19" pivot="0" count="3">
      <tableStyleElement type="headerRow" dxfId="12"/>
      <tableStyleElement type="firstRowStripe" dxfId="2"/>
      <tableStyleElement type="secondRowStripe" dxfId="13"/>
    </tableStyle>
    <tableStyle name="Gene Research-style 20" pivot="0" count="3">
      <tableStyleElement type="headerRow" dxfId="12"/>
      <tableStyleElement type="firstRowStripe" dxfId="2"/>
      <tableStyleElement type="secondRowStripe" dxfId="13"/>
    </tableStyle>
    <tableStyle name="Gene Research-style 21" pivot="0" count="3">
      <tableStyleElement type="headerRow" dxfId="12"/>
      <tableStyleElement type="firstRowStripe" dxfId="2"/>
      <tableStyleElement type="secondRowStripe" dxfId="13"/>
    </tableStyle>
    <tableStyle name="Gene Research-style 22" pivot="0" count="3">
      <tableStyleElement type="headerRow" dxfId="14"/>
      <tableStyleElement type="firstRowStripe" dxfId="2"/>
      <tableStyleElement type="secondRowStripe" dxfId="15"/>
    </tableStyle>
    <tableStyle name="Gene Research-style 23" pivot="0" count="3">
      <tableStyleElement type="headerRow" dxfId="14"/>
      <tableStyleElement type="firstRowStripe" dxfId="2"/>
      <tableStyleElement type="secondRowStripe" dxfId="15"/>
    </tableStyle>
    <tableStyle name="Gene Research-style 24" pivot="0" count="3">
      <tableStyleElement type="headerRow" dxfId="14"/>
      <tableStyleElement type="firstRowStripe" dxfId="2"/>
      <tableStyleElement type="secondRowStripe" dxfId="15"/>
    </tableStyle>
    <tableStyle name="Gene Research-style 25" pivot="0" count="3">
      <tableStyleElement type="headerRow" dxfId="16"/>
      <tableStyleElement type="firstRowStripe" dxfId="2"/>
      <tableStyleElement type="secondRowStripe" dxfId="17"/>
    </tableStyle>
    <tableStyle name="Gene Research-style 26" pivot="0" count="3">
      <tableStyleElement type="headerRow" dxfId="16"/>
      <tableStyleElement type="firstRowStripe" dxfId="2"/>
      <tableStyleElement type="secondRowStripe" dxfId="17"/>
    </tableStyle>
    <tableStyle name="Gene Research-style 27" pivot="0" count="3">
      <tableStyleElement type="headerRow" dxfId="4"/>
      <tableStyleElement type="firstRowStripe" dxfId="2"/>
      <tableStyleElement type="secondRowStripe" dxfId="5"/>
    </tableStyle>
    <tableStyle name="Cells Gained-style" pivot="0" count="3">
      <tableStyleElement type="headerRow" dxfId="4"/>
      <tableStyleElement type="firstRowStripe" dxfId="2"/>
      <tableStyleElement type="secondRowStripe" dxfId="5"/>
    </tableStyle>
    <tableStyle name="Cells Gained-style 2" pivot="0" count="3">
      <tableStyleElement type="headerRow" dxfId="4"/>
      <tableStyleElement type="firstRowStripe" dxfId="2"/>
      <tableStyleElement type="secondRowStripe" dxfId="5"/>
    </tableStyle>
    <tableStyle name="Cells Gained-style 3" pivot="0" count="3">
      <tableStyleElement type="headerRow" dxfId="4"/>
      <tableStyleElement type="firstRowStripe" dxfId="2"/>
      <tableStyleElement type="secondRowStripe" dxfId="5"/>
    </tableStyle>
    <tableStyle name="Cells Gained-style 4" pivot="0" count="3">
      <tableStyleElement type="headerRow" dxfId="4"/>
      <tableStyleElement type="firstRowStripe" dxfId="2"/>
      <tableStyleElement type="secondRowStripe" dxfId="5"/>
    </tableStyle>
    <tableStyle name="Cells Gained-style 5" pivot="0" count="3">
      <tableStyleElement type="headerRow" dxfId="4"/>
      <tableStyleElement type="firstRowStripe" dxfId="2"/>
      <tableStyleElement type="secondRowStripe" dxfId="5"/>
    </tableStyle>
    <tableStyle name="Cells Gained-style 6" pivot="0" count="3">
      <tableStyleElement type="headerRow" dxfId="6"/>
      <tableStyleElement type="firstRowStripe" dxfId="2"/>
      <tableStyleElement type="secondRowStripe" dxfId="7"/>
    </tableStyle>
    <tableStyle name="Cells Gained-style 7" pivot="0" count="3">
      <tableStyleElement type="headerRow" dxfId="6"/>
      <tableStyleElement type="firstRowStripe" dxfId="2"/>
      <tableStyleElement type="secondRowStripe" dxfId="7"/>
    </tableStyle>
    <tableStyle name="Cells Gained-style 8" pivot="0" count="3">
      <tableStyleElement type="headerRow" dxfId="8"/>
      <tableStyleElement type="firstRowStripe" dxfId="2"/>
      <tableStyleElement type="secondRowStripe" dxfId="9"/>
    </tableStyle>
    <tableStyle name="Cells Gained-style 9" pivot="0" count="3">
      <tableStyleElement type="headerRow" dxfId="8"/>
      <tableStyleElement type="firstRowStripe" dxfId="2"/>
      <tableStyleElement type="secondRowStripe" dxfId="9"/>
    </tableStyle>
    <tableStyle name="Cells Gained-style 10" pivot="0" count="3">
      <tableStyleElement type="headerRow" dxfId="10"/>
      <tableStyleElement type="firstRowStripe" dxfId="2"/>
      <tableStyleElement type="secondRowStripe" dxfId="11"/>
    </tableStyle>
    <tableStyle name="Cells Gained-style 11" pivot="0" count="3">
      <tableStyleElement type="headerRow" dxfId="10"/>
      <tableStyleElement type="firstRowStripe" dxfId="2"/>
      <tableStyleElement type="secondRowStripe" dxfId="11"/>
    </tableStyle>
    <tableStyle name="Cells Gained-style 12" pivot="0" count="3">
      <tableStyleElement type="headerRow" dxfId="12"/>
      <tableStyleElement type="firstRowStripe" dxfId="2"/>
      <tableStyleElement type="secondRowStripe" dxfId="13"/>
    </tableStyle>
    <tableStyle name="Cells Gained-style 13" pivot="0" count="3">
      <tableStyleElement type="headerRow" dxfId="12"/>
      <tableStyleElement type="firstRowStripe" dxfId="2"/>
      <tableStyleElement type="secondRowStripe" dxfId="13"/>
    </tableStyle>
    <tableStyle name="Cells Gained-style 14" pivot="0" count="3">
      <tableStyleElement type="headerRow" dxfId="14"/>
      <tableStyleElement type="firstRowStripe" dxfId="2"/>
      <tableStyleElement type="secondRowStripe" dxfId="15"/>
    </tableStyle>
    <tableStyle name="Cells Gained-style 15" pivot="0" count="3">
      <tableStyleElement type="headerRow" dxfId="14"/>
      <tableStyleElement type="firstRowStripe" dxfId="2"/>
      <tableStyleElement type="secondRowStripe" dxfId="15"/>
    </tableStyle>
    <tableStyle name="Cells Gained-style 16" pivot="0" count="3">
      <tableStyleElement type="headerRow" dxfId="16"/>
      <tableStyleElement type="firstRowStripe" dxfId="2"/>
      <tableStyleElement type="secondRowStripe" dxfId="17"/>
    </tableStyle>
    <tableStyle name="Cells Gained-style 17" pivot="0" count="3">
      <tableStyleElement type="headerRow" dxfId="4"/>
      <tableStyleElement type="firstRowStripe" dxfId="2"/>
      <tableStyleElement type="secondRowStripe" dxfId="5"/>
    </tableStyle>
    <tableStyle name="Museum-style" pivot="0" count="3">
      <tableStyleElement type="headerRow" dxfId="12"/>
      <tableStyleElement type="firstRowStripe" dxfId="2"/>
      <tableStyleElement type="secondRowStripe" dxfId="13"/>
    </tableStyle>
    <tableStyle name="Museum-style 2" pivot="0" count="3">
      <tableStyleElement type="headerRow" dxfId="12"/>
      <tableStyleElement type="firstRowStripe" dxfId="2"/>
      <tableStyleElement type="secondRowStripe" dxfId="13"/>
    </tableStyle>
    <tableStyle name="Museum-style 3" pivot="0" count="3">
      <tableStyleElement type="headerRow" dxfId="8"/>
      <tableStyleElement type="firstRowStripe" dxfId="2"/>
      <tableStyleElement type="secondRowStripe" dxfId="9"/>
    </tableStyle>
    <tableStyle name="Museum-style 4" pivot="0" count="3">
      <tableStyleElement type="headerRow" dxfId="8"/>
      <tableStyleElement type="firstRowStripe" dxfId="2"/>
      <tableStyleElement type="secondRowStripe" dxfId="9"/>
    </tableStyle>
    <tableStyle name="Museum-style 5" pivot="0" count="3">
      <tableStyleElement type="headerRow" dxfId="6"/>
      <tableStyleElement type="firstRowStripe" dxfId="2"/>
      <tableStyleElement type="secondRowStripe" dxfId="7"/>
    </tableStyle>
    <tableStyle name="Museum-style 6" pivot="0" count="3">
      <tableStyleElement type="headerRow" dxfId="6"/>
      <tableStyleElement type="firstRowStripe" dxfId="2"/>
      <tableStyleElement type="secondRowStripe" dxfId="7"/>
    </tableStyle>
    <tableStyle name="Museum-style 7" pivot="0" count="3">
      <tableStyleElement type="headerRow" dxfId="18"/>
      <tableStyleElement type="firstRowStripe" dxfId="2"/>
      <tableStyleElement type="secondRowStripe" dxfId="19"/>
    </tableStyle>
    <tableStyle name="Museum-style 8" pivot="0" count="3">
      <tableStyleElement type="headerRow" dxfId="18"/>
      <tableStyleElement type="firstRowStripe" dxfId="2"/>
      <tableStyleElement type="secondRowStripe" dxfId="19"/>
    </tableStyle>
    <tableStyle name="Museum-style 9" pivot="0" count="3">
      <tableStyleElement type="headerRow" dxfId="20"/>
      <tableStyleElement type="firstRowStripe" dxfId="2"/>
      <tableStyleElement type="secondRowStripe" dxfId="21"/>
    </tableStyle>
    <tableStyle name="Museum-style 10" pivot="0" count="3">
      <tableStyleElement type="headerRow" dxfId="20"/>
      <tableStyleElement type="firstRowStripe" dxfId="2"/>
      <tableStyleElement type="secondRowStripe" dxfId="21"/>
    </tableStyle>
    <tableStyle name="Museum-style 11" pivot="0" count="3">
      <tableStyleElement type="headerRow" dxfId="22"/>
      <tableStyleElement type="firstRowStripe" dxfId="2"/>
      <tableStyleElement type="secondRowStripe" dxfId="23"/>
    </tableStyle>
    <tableStyle name="Museum-style 12" pivot="0" count="3">
      <tableStyleElement type="headerRow" dxfId="22"/>
      <tableStyleElement type="firstRowStripe" dxfId="2"/>
      <tableStyleElement type="secondRowStripe" dxfId="23"/>
    </tableStyle>
    <tableStyle name="Museum-style 13" pivot="0" count="3">
      <tableStyleElement type="headerRow" dxfId="1"/>
      <tableStyleElement type="firstRowStripe" dxfId="2"/>
      <tableStyleElement type="secondRowStripe" dxfId="3"/>
    </tableStyle>
    <tableStyle name="Museum-style 14" pivot="0" count="3">
      <tableStyleElement type="headerRow" dxfId="1"/>
      <tableStyleElement type="firstRowStripe" dxfId="2"/>
      <tableStyleElement type="secondRowStripe" dxfId="3"/>
    </tableStyle>
    <tableStyle name="Museum-style 15" pivot="0" count="3">
      <tableStyleElement type="headerRow" dxfId="4"/>
      <tableStyleElement type="firstRowStripe" dxfId="2"/>
      <tableStyleElement type="secondRowStripe" dxfId="5"/>
    </tableStyle>
    <tableStyle name="Museum-style 16" pivot="0" count="3">
      <tableStyleElement type="headerRow" dxfId="4"/>
      <tableStyleElement type="firstRowStripe" dxfId="2"/>
      <tableStyleElement type="secondRowStripe" dxfId="5"/>
    </tableStyle>
    <tableStyle name="Rocket Cabin Effects-style" pivot="0" count="3">
      <tableStyleElement type="headerRow" dxfId="4"/>
      <tableStyleElement type="firstRowStripe" dxfId="2"/>
      <tableStyleElement type="secondRowStripe" dxfId="5"/>
    </tableStyle>
    <tableStyle name="Rocket Cabin Effects-style 2" pivot="0" count="3">
      <tableStyleElement type="headerRow" dxfId="4"/>
      <tableStyleElement type="firstRowStripe" dxfId="2"/>
      <tableStyleElement type="secondRowStripe" dxfId="5"/>
    </tableStyle>
    <tableStyle name="Rocket Cabin Effects-style 3" pivot="0" count="3">
      <tableStyleElement type="headerRow" dxfId="10"/>
      <tableStyleElement type="firstRowStripe" dxfId="2"/>
      <tableStyleElement type="secondRowStripe" dxfId="11"/>
    </tableStyle>
    <tableStyle name="Rocket Cabin Effects-style 4" pivot="0" count="3">
      <tableStyleElement type="headerRow" dxfId="14"/>
      <tableStyleElement type="firstRowStripe" dxfId="2"/>
      <tableStyleElement type="secondRowStripe" dxfId="15"/>
    </tableStyle>
    <tableStyle name="Rocket Cabin Effects-style 5" pivot="0" count="3">
      <tableStyleElement type="headerRow" dxfId="8"/>
      <tableStyleElement type="firstRowStripe" dxfId="2"/>
      <tableStyleElement type="secondRowStripe" dxfId="9"/>
    </tableStyle>
    <tableStyle name="Rocket Cabin Effects-style 6" pivot="0" count="3">
      <tableStyleElement type="headerRow" dxfId="6"/>
      <tableStyleElement type="firstRowStripe" dxfId="2"/>
      <tableStyleElement type="secondRowStripe" dxfId="7"/>
    </tableStyle>
    <tableStyle name="Rocket Cabin Effects-style 7" pivot="0" count="3">
      <tableStyleElement type="headerRow" dxfId="14"/>
      <tableStyleElement type="firstRowStripe" dxfId="2"/>
      <tableStyleElement type="secondRowStripe" dxfId="15"/>
    </tableStyle>
    <tableStyle name="Rocket Cabin Effects-style 8" pivot="0" count="3">
      <tableStyleElement type="headerRow" dxfId="6"/>
      <tableStyleElement type="firstRowStripe" dxfId="2"/>
      <tableStyleElement type="secondRowStripe" dxfId="7"/>
    </tableStyle>
    <tableStyle name="Rocket Cabin Effects-style 9" pivot="0" count="3">
      <tableStyleElement type="headerRow" dxfId="4"/>
      <tableStyleElement type="firstRowStripe" dxfId="2"/>
      <tableStyleElement type="secondRowStripe" dxfId="5"/>
    </tableStyle>
    <tableStyle name="Rocket Cabin Effects-style 10" pivot="0" count="3">
      <tableStyleElement type="headerRow" dxfId="4"/>
      <tableStyleElement type="firstRowStripe" dxfId="2"/>
      <tableStyleElement type="secondRowStripe" dxfId="5"/>
    </tableStyle>
    <tableStyle name="Rocket Cabin Effects-style 11" pivot="0" count="3">
      <tableStyleElement type="headerRow" dxfId="4"/>
      <tableStyleElement type="firstRowStripe" dxfId="2"/>
      <tableStyleElement type="secondRowStripe" dxfId="5"/>
    </tableStyle>
    <tableStyle name="Rocket Cabin Effects-style 12" pivot="0" count="3">
      <tableStyleElement type="headerRow" dxfId="4"/>
      <tableStyleElement type="firstRowStripe" dxfId="2"/>
      <tableStyleElement type="secondRowStripe" dxfId="5"/>
    </tableStyle>
    <tableStyle name="Rocket Cabin Effects-style 13" pivot="0" count="3">
      <tableStyleElement type="headerRow" dxfId="8"/>
      <tableStyleElement type="firstRowStripe" dxfId="2"/>
      <tableStyleElement type="secondRowStripe" dxfId="9"/>
    </tableStyle>
    <tableStyle name="Rocket Cabin Effects-style 14" pivot="0" count="3">
      <tableStyleElement type="headerRow" dxfId="16"/>
      <tableStyleElement type="firstRowStripe" dxfId="2"/>
      <tableStyleElement type="secondRowStripe" dxfId="17"/>
    </tableStyle>
    <tableStyle name="Rocket Cabin Effects-style 15" pivot="0" count="3">
      <tableStyleElement type="headerRow" dxfId="14"/>
      <tableStyleElement type="firstRowStripe" dxfId="2"/>
      <tableStyleElement type="secondRowStripe" dxfId="15"/>
    </tableStyle>
    <tableStyle name="Rocket Cabin Effects-style 16" pivot="0" count="3">
      <tableStyleElement type="headerRow" dxfId="12"/>
      <tableStyleElement type="firstRowStripe" dxfId="2"/>
      <tableStyleElement type="secondRowStripe" dxfId="13"/>
    </tableStyle>
    <tableStyle name="Rocket Cabin Effects-style 17" pivot="0" count="3">
      <tableStyleElement type="headerRow" dxfId="8"/>
      <tableStyleElement type="firstRowStripe" dxfId="2"/>
      <tableStyleElement type="secondRowStripe" dxfId="9"/>
    </tableStyle>
    <tableStyle name="Rocket Cabin Effects-style 18" pivot="0" count="3">
      <tableStyleElement type="headerRow" dxfId="16"/>
      <tableStyleElement type="firstRowStripe" dxfId="2"/>
      <tableStyleElement type="secondRowStripe" dxfId="17"/>
    </tableStyle>
    <tableStyle name="Rocket Cabin Effects-style 19" pivot="0" count="3">
      <tableStyleElement type="headerRow" dxfId="4"/>
      <tableStyleElement type="firstRowStripe" dxfId="2"/>
      <tableStyleElement type="secondRowStripe" dxfId="5"/>
    </tableStyle>
    <tableStyle name="Rocket Cabin Effects-style 20" pivot="0" count="3">
      <tableStyleElement type="headerRow" dxfId="4"/>
      <tableStyleElement type="firstRowStripe" dxfId="2"/>
      <tableStyleElement type="secondRowStripe" dxfId="5"/>
    </tableStyle>
    <tableStyle name="Rocket Cabin Effects-style 21" pivot="0" count="3">
      <tableStyleElement type="headerRow" dxfId="4"/>
      <tableStyleElement type="firstRowStripe" dxfId="2"/>
      <tableStyleElement type="secondRowStripe" dxfId="5"/>
    </tableStyle>
    <tableStyle name="Rocket Cabin Effects-style 22" pivot="0" count="3">
      <tableStyleElement type="headerRow" dxfId="4"/>
      <tableStyleElement type="firstRowStripe" dxfId="2"/>
      <tableStyleElement type="secondRowStripe" dxfId="5"/>
    </tableStyle>
    <tableStyle name="Rocket Cabin Effects-style 23" pivot="0" count="3">
      <tableStyleElement type="headerRow" dxfId="10"/>
      <tableStyleElement type="firstRowStripe" dxfId="2"/>
      <tableStyleElement type="secondRowStripe" dxfId="11"/>
    </tableStyle>
    <tableStyle name="Rocket Cabin Effects-style 24" pivot="0" count="3">
      <tableStyleElement type="headerRow" dxfId="12"/>
      <tableStyleElement type="firstRowStripe" dxfId="2"/>
      <tableStyleElement type="secondRowStripe" dxfId="13"/>
    </tableStyle>
    <tableStyle name="Rocket Cabin Effects-style 25" pivot="0" count="3">
      <tableStyleElement type="headerRow" dxfId="6"/>
      <tableStyleElement type="firstRowStripe" dxfId="2"/>
      <tableStyleElement type="secondRowStripe" dxfId="7"/>
    </tableStyle>
    <tableStyle name="Rocket Cabin Effects-style 26" pivot="0" count="3">
      <tableStyleElement type="headerRow" dxfId="16"/>
      <tableStyleElement type="firstRowStripe" dxfId="2"/>
      <tableStyleElement type="secondRowStripe" dxfId="17"/>
    </tableStyle>
    <tableStyle name="Rocket Cabin Effects-style 27" pivot="0" count="3">
      <tableStyleElement type="headerRow" dxfId="10"/>
      <tableStyleElement type="firstRowStripe" dxfId="2"/>
      <tableStyleElement type="secondRowStripe" dxfId="11"/>
    </tableStyle>
    <tableStyle name="Rocket Cabin Effects-style 28" pivot="0" count="3">
      <tableStyleElement type="headerRow" dxfId="12"/>
      <tableStyleElement type="firstRowStripe" dxfId="2"/>
      <tableStyleElement type="secondRowStripe" dxfId="13"/>
    </tableStyle>
    <tableStyle name="Rocket Cabin Effects-style 29" pivot="0" count="3">
      <tableStyleElement type="headerRow" dxfId="4"/>
      <tableStyleElement type="firstRowStripe" dxfId="2"/>
      <tableStyleElement type="secondRowStripe" dxfId="5"/>
    </tableStyle>
    <tableStyle name="Rocket Cabin Effects-style 30" pivot="0" count="3">
      <tableStyleElement type="headerRow" dxfId="4"/>
      <tableStyleElement type="firstRowStripe" dxfId="2"/>
      <tableStyleElement type="secondRowStripe" dxfId="5"/>
    </tableStyle>
    <tableStyle name="Rocket Cabin Effects-style 31" pivot="0" count="3">
      <tableStyleElement type="headerRow" dxfId="4"/>
      <tableStyleElement type="firstRowStripe" dxfId="2"/>
      <tableStyleElement type="secondRowStripe" dxfId="5"/>
    </tableStyle>
    <tableStyle name="Minion Boosts-style" pivot="0" count="3">
      <tableStyleElement type="headerRow" dxfId="4"/>
      <tableStyleElement type="firstRowStripe" dxfId="2"/>
      <tableStyleElement type="secondRowStripe" dxfId="5"/>
    </tableStyle>
    <tableStyle name="Minion Boosts-style 2" pivot="0" count="3">
      <tableStyleElement type="headerRow" dxfId="4"/>
      <tableStyleElement type="firstRowStripe" dxfId="2"/>
      <tableStyleElement type="secondRowStripe" dxfId="5"/>
    </tableStyle>
    <tableStyle name="Minion Boosts-style 3" pivot="0" count="3">
      <tableStyleElement type="headerRow" dxfId="4"/>
      <tableStyleElement type="firstRowStripe" dxfId="2"/>
      <tableStyleElement type="secondRowStripe" dxfId="5"/>
    </tableStyle>
    <tableStyle name="Minion Boosts-style 4" pivot="0" count="3">
      <tableStyleElement type="headerRow" dxfId="4"/>
      <tableStyleElement type="firstRowStripe" dxfId="2"/>
      <tableStyleElement type="secondRowStripe" dxfId="5"/>
    </tableStyle>
    <tableStyle name="Minion Boosts-style 5" pivot="0" count="3">
      <tableStyleElement type="headerRow" dxfId="4"/>
      <tableStyleElement type="firstRowStripe" dxfId="2"/>
      <tableStyleElement type="secondRowStripe" dxfId="5"/>
    </tableStyle>
    <tableStyle name="Minion Boosts-style 6" pivot="0" count="3">
      <tableStyleElement type="headerRow" dxfId="4"/>
      <tableStyleElement type="firstRowStripe" dxfId="2"/>
      <tableStyleElement type="secondRowStripe" dxfId="5"/>
    </tableStyle>
    <tableStyle name="Minion Boosts-style 7" pivot="0" count="3">
      <tableStyleElement type="headerRow" dxfId="6"/>
      <tableStyleElement type="firstRowStripe" dxfId="2"/>
      <tableStyleElement type="secondRowStripe" dxfId="7"/>
    </tableStyle>
    <tableStyle name="Minion Boosts-style 8" pivot="0" count="3">
      <tableStyleElement type="headerRow" dxfId="6"/>
      <tableStyleElement type="firstRowStripe" dxfId="2"/>
      <tableStyleElement type="secondRowStripe" dxfId="7"/>
    </tableStyle>
    <tableStyle name="Minion Boosts-style 9" pivot="0" count="3">
      <tableStyleElement type="headerRow" dxfId="6"/>
      <tableStyleElement type="firstRowStripe" dxfId="2"/>
      <tableStyleElement type="secondRowStripe" dxfId="7"/>
    </tableStyle>
    <tableStyle name="Minion Boosts-style 10" pivot="0" count="3">
      <tableStyleElement type="headerRow" dxfId="6"/>
      <tableStyleElement type="firstRowStripe" dxfId="2"/>
      <tableStyleElement type="secondRowStripe" dxfId="7"/>
    </tableStyle>
    <tableStyle name="Minion Boosts-style 11" pivot="0" count="3">
      <tableStyleElement type="headerRow" dxfId="6"/>
      <tableStyleElement type="firstRowStripe" dxfId="2"/>
      <tableStyleElement type="secondRowStripe" dxfId="7"/>
    </tableStyle>
    <tableStyle name="Minion Boosts-style 12" pivot="0" count="3">
      <tableStyleElement type="headerRow" dxfId="8"/>
      <tableStyleElement type="firstRowStripe" dxfId="2"/>
      <tableStyleElement type="secondRowStripe" dxfId="9"/>
    </tableStyle>
    <tableStyle name="Minion Boosts-style 13" pivot="0" count="3">
      <tableStyleElement type="headerRow" dxfId="8"/>
      <tableStyleElement type="firstRowStripe" dxfId="2"/>
      <tableStyleElement type="secondRowStripe" dxfId="9"/>
    </tableStyle>
    <tableStyle name="Minion Boosts-style 14" pivot="0" count="3">
      <tableStyleElement type="headerRow" dxfId="8"/>
      <tableStyleElement type="firstRowStripe" dxfId="2"/>
      <tableStyleElement type="secondRowStripe" dxfId="9"/>
    </tableStyle>
    <tableStyle name="Minion Boosts-style 15" pivot="0" count="3">
      <tableStyleElement type="headerRow" dxfId="8"/>
      <tableStyleElement type="firstRowStripe" dxfId="2"/>
      <tableStyleElement type="secondRowStripe" dxfId="9"/>
    </tableStyle>
    <tableStyle name="Minion Boosts-style 16" pivot="0" count="3">
      <tableStyleElement type="headerRow" dxfId="8"/>
      <tableStyleElement type="firstRowStripe" dxfId="2"/>
      <tableStyleElement type="secondRowStripe" dxfId="9"/>
    </tableStyle>
    <tableStyle name="Minion Boosts-style 17" pivot="0" count="3">
      <tableStyleElement type="headerRow" dxfId="10"/>
      <tableStyleElement type="firstRowStripe" dxfId="2"/>
      <tableStyleElement type="secondRowStripe" dxfId="11"/>
    </tableStyle>
    <tableStyle name="Minion Boosts-style 18" pivot="0" count="3">
      <tableStyleElement type="headerRow" dxfId="10"/>
      <tableStyleElement type="firstRowStripe" dxfId="2"/>
      <tableStyleElement type="secondRowStripe" dxfId="11"/>
    </tableStyle>
    <tableStyle name="Minion Boosts-style 19" pivot="0" count="3">
      <tableStyleElement type="headerRow" dxfId="10"/>
      <tableStyleElement type="firstRowStripe" dxfId="2"/>
      <tableStyleElement type="secondRowStripe" dxfId="11"/>
    </tableStyle>
    <tableStyle name="Minion Boosts-style 20" pivot="0" count="3">
      <tableStyleElement type="headerRow" dxfId="10"/>
      <tableStyleElement type="firstRowStripe" dxfId="2"/>
      <tableStyleElement type="secondRowStripe" dxfId="11"/>
    </tableStyle>
    <tableStyle name="Minion Boosts-style 21" pivot="0" count="3">
      <tableStyleElement type="headerRow" dxfId="10"/>
      <tableStyleElement type="firstRowStripe" dxfId="2"/>
      <tableStyleElement type="secondRowStripe" dxfId="11"/>
    </tableStyle>
    <tableStyle name="Minion Boosts-style 22" pivot="0" count="3">
      <tableStyleElement type="headerRow" dxfId="12"/>
      <tableStyleElement type="firstRowStripe" dxfId="2"/>
      <tableStyleElement type="secondRowStripe" dxfId="13"/>
    </tableStyle>
    <tableStyle name="Minion Boosts-style 23" pivot="0" count="3">
      <tableStyleElement type="headerRow" dxfId="12"/>
      <tableStyleElement type="firstRowStripe" dxfId="2"/>
      <tableStyleElement type="secondRowStripe" dxfId="13"/>
    </tableStyle>
    <tableStyle name="Minion Boosts-style 24" pivot="0" count="3">
      <tableStyleElement type="headerRow" dxfId="12"/>
      <tableStyleElement type="firstRowStripe" dxfId="2"/>
      <tableStyleElement type="secondRowStripe" dxfId="13"/>
    </tableStyle>
    <tableStyle name="Minion Boosts-style 25" pivot="0" count="3">
      <tableStyleElement type="headerRow" dxfId="12"/>
      <tableStyleElement type="firstRowStripe" dxfId="2"/>
      <tableStyleElement type="secondRowStripe" dxfId="13"/>
    </tableStyle>
    <tableStyle name="Minion Boosts-style 26" pivot="0" count="3">
      <tableStyleElement type="headerRow" dxfId="12"/>
      <tableStyleElement type="firstRowStripe" dxfId="2"/>
      <tableStyleElement type="secondRowStripe" dxfId="13"/>
    </tableStyle>
    <tableStyle name="Minion Boosts-style 27" pivot="0" count="3">
      <tableStyleElement type="headerRow" dxfId="14"/>
      <tableStyleElement type="firstRowStripe" dxfId="2"/>
      <tableStyleElement type="secondRowStripe" dxfId="15"/>
    </tableStyle>
    <tableStyle name="Minion Boosts-style 28" pivot="0" count="3">
      <tableStyleElement type="headerRow" dxfId="14"/>
      <tableStyleElement type="firstRowStripe" dxfId="2"/>
      <tableStyleElement type="secondRowStripe" dxfId="15"/>
    </tableStyle>
    <tableStyle name="Minion Boosts-style 29" pivot="0" count="3">
      <tableStyleElement type="headerRow" dxfId="14"/>
      <tableStyleElement type="firstRowStripe" dxfId="2"/>
      <tableStyleElement type="secondRowStripe" dxfId="15"/>
    </tableStyle>
    <tableStyle name="Minion Boosts-style 30" pivot="0" count="3">
      <tableStyleElement type="headerRow" dxfId="14"/>
      <tableStyleElement type="firstRowStripe" dxfId="2"/>
      <tableStyleElement type="secondRowStripe" dxfId="15"/>
    </tableStyle>
    <tableStyle name="Minion Boosts-style 31" pivot="0" count="3">
      <tableStyleElement type="headerRow" dxfId="14"/>
      <tableStyleElement type="firstRowStripe" dxfId="2"/>
      <tableStyleElement type="secondRowStripe" dxfId="15"/>
    </tableStyle>
    <tableStyle name="Minion Boosts-style 32" pivot="0" count="3">
      <tableStyleElement type="headerRow" dxfId="16"/>
      <tableStyleElement type="firstRowStripe" dxfId="2"/>
      <tableStyleElement type="secondRowStripe" dxfId="17"/>
    </tableStyle>
    <tableStyle name="Minion Boosts-style 33" pivot="0" count="3">
      <tableStyleElement type="headerRow" dxfId="16"/>
      <tableStyleElement type="firstRowStripe" dxfId="2"/>
      <tableStyleElement type="secondRowStripe" dxfId="17"/>
    </tableStyle>
    <tableStyle name="Minion Boosts-style 34" pivot="0" count="3">
      <tableStyleElement type="headerRow" dxfId="16"/>
      <tableStyleElement type="firstRowStripe" dxfId="2"/>
      <tableStyleElement type="secondRowStripe" dxfId="17"/>
    </tableStyle>
    <tableStyle name="Minion Boosts-style 35" pivot="0" count="3">
      <tableStyleElement type="headerRow" dxfId="16"/>
      <tableStyleElement type="firstRowStripe" dxfId="2"/>
      <tableStyleElement type="secondRowStripe" dxfId="17"/>
    </tableStyle>
    <tableStyle name="Minion Boosts-style 36" pivot="0" count="3">
      <tableStyleElement type="headerRow" dxfId="16"/>
      <tableStyleElement type="firstRowStripe" dxfId="2"/>
      <tableStyleElement type="secondRowStripe" dxfId="17"/>
    </tableStyle>
    <tableStyle name="Leadership-style" pivot="0" count="3">
      <tableStyleElement type="headerRow" dxfId="18"/>
      <tableStyleElement type="firstRowStripe" dxfId="2"/>
      <tableStyleElement type="secondRowStripe" dxfId="19"/>
    </tableStyle>
    <tableStyle name="Leadership-style 2" pivot="0" count="3">
      <tableStyleElement type="headerRow" dxfId="18"/>
      <tableStyleElement type="firstRowStripe" dxfId="2"/>
      <tableStyleElement type="secondRowStripe" dxfId="19"/>
    </tableStyle>
    <tableStyle name="Leadership-style 3" pivot="0" count="3">
      <tableStyleElement type="headerRow" dxfId="18"/>
      <tableStyleElement type="firstRowStripe" dxfId="2"/>
      <tableStyleElement type="secondRowStripe" dxfId="19"/>
    </tableStyle>
    <tableStyle name="Leadership-style 4" pivot="0" count="3">
      <tableStyleElement type="headerRow" dxfId="18"/>
      <tableStyleElement type="firstRowStripe" dxfId="2"/>
      <tableStyleElement type="secondRowStripe" dxfId="19"/>
    </tableStyle>
    <tableStyle name="Leadership-style 5" pivot="0" count="3">
      <tableStyleElement type="headerRow" dxfId="18"/>
      <tableStyleElement type="firstRowStripe" dxfId="2"/>
      <tableStyleElement type="secondRowStripe" dxfId="19"/>
    </tableStyle>
    <tableStyle name="Leadership-style 6" pivot="0" count="3">
      <tableStyleElement type="headerRow" dxfId="18"/>
      <tableStyleElement type="firstRowStripe" dxfId="2"/>
      <tableStyleElement type="secondRowStripe" dxfId="19"/>
    </tableStyle>
    <tableStyle name="Leadership-style 7" pivot="0" count="3">
      <tableStyleElement type="headerRow" dxfId="18"/>
      <tableStyleElement type="firstRowStripe" dxfId="2"/>
      <tableStyleElement type="secondRowStripe" dxfId="19"/>
    </tableStyle>
    <tableStyle name="Leadership-style 8" pivot="0" count="3">
      <tableStyleElement type="headerRow" dxfId="18"/>
      <tableStyleElement type="firstRowStripe" dxfId="2"/>
      <tableStyleElement type="secondRowStripe" dxfId="19"/>
    </tableStyle>
    <tableStyle name="Leadership-style 9" pivot="0" count="3">
      <tableStyleElement type="headerRow" dxfId="18"/>
      <tableStyleElement type="firstRowStripe" dxfId="2"/>
      <tableStyleElement type="secondRowStripe" dxfId="19"/>
    </tableStyle>
    <tableStyle name="Leadership-style 10" pivot="0" count="3">
      <tableStyleElement type="headerRow" dxfId="18"/>
      <tableStyleElement type="firstRowStripe" dxfId="2"/>
      <tableStyleElement type="secondRowStripe" dxfId="19"/>
    </tableStyle>
    <tableStyle name="Leadership-style 11" pivot="0" count="3">
      <tableStyleElement type="headerRow" dxfId="18"/>
      <tableStyleElement type="firstRowStripe" dxfId="2"/>
      <tableStyleElement type="secondRowStripe" dxfId="19"/>
    </tableStyle>
    <tableStyle name="Leadership-style 12" pivot="0" count="3">
      <tableStyleElement type="headerRow" dxfId="18"/>
      <tableStyleElement type="firstRowStripe" dxfId="2"/>
      <tableStyleElement type="secondRowStripe" dxfId="19"/>
    </tableStyle>
    <tableStyle name="Leadership-style 13" pivot="0" count="3">
      <tableStyleElement type="headerRow" dxfId="4"/>
      <tableStyleElement type="firstRowStripe" dxfId="2"/>
      <tableStyleElement type="secondRowStripe" dxfId="5"/>
    </tableStyle>
    <tableStyle name="Tadpole Pond-style" pivot="0" count="3">
      <tableStyleElement type="headerRow" dxfId="18"/>
      <tableStyleElement type="firstRowStripe" dxfId="2"/>
      <tableStyleElement type="secondRowStripe" dxfId="19"/>
    </tableStyle>
    <tableStyle name="Tadpole Pond-style 2" pivot="0" count="3">
      <tableStyleElement type="headerRow" dxfId="18"/>
      <tableStyleElement type="firstRowStripe" dxfId="2"/>
      <tableStyleElement type="secondRowStripe" dxfId="19"/>
    </tableStyle>
    <tableStyle name="Tadpole Pond-style 3" pivot="0" count="3">
      <tableStyleElement type="headerRow" dxfId="18"/>
      <tableStyleElement type="firstRowStripe" dxfId="2"/>
      <tableStyleElement type="secondRowStripe" dxfId="19"/>
    </tableStyle>
    <tableStyle name="Tadpole Pond-style 4" pivot="0" count="3">
      <tableStyleElement type="headerRow" dxfId="18"/>
      <tableStyleElement type="firstRowStripe" dxfId="2"/>
      <tableStyleElement type="secondRowStripe" dxfId="19"/>
    </tableStyle>
    <tableStyle name="Tadpole Pond-style 5" pivot="0" count="3">
      <tableStyleElement type="headerRow" dxfId="18"/>
      <tableStyleElement type="firstRowStripe" dxfId="2"/>
      <tableStyleElement type="secondRowStripe" dxfId="19"/>
    </tableStyle>
    <tableStyle name="Tadpole Pond-style 6" pivot="0" count="3">
      <tableStyleElement type="headerRow" dxfId="18"/>
      <tableStyleElement type="firstRowStripe" dxfId="2"/>
      <tableStyleElement type="secondRowStripe" dxfId="19"/>
    </tableStyle>
    <tableStyle name="Tadpole Pond-style 7" pivot="0" count="3">
      <tableStyleElement type="headerRow" dxfId="18"/>
      <tableStyleElement type="firstRowStripe" dxfId="2"/>
      <tableStyleElement type="secondRowStripe" dxfId="19"/>
    </tableStyle>
    <tableStyle name="Tadpole Pond-style 8" pivot="0" count="3">
      <tableStyleElement type="headerRow" dxfId="18"/>
      <tableStyleElement type="firstRowStripe" dxfId="2"/>
      <tableStyleElement type="secondRowStripe" dxfId="19"/>
    </tableStyle>
    <tableStyle name="Tadpole Pond-style 9" pivot="0" count="3">
      <tableStyleElement type="headerRow" dxfId="18"/>
      <tableStyleElement type="firstRowStripe" dxfId="2"/>
      <tableStyleElement type="secondRowStripe" dxfId="19"/>
    </tableStyle>
    <tableStyle name="Tadpole Pond-style 10" pivot="0" count="3">
      <tableStyleElement type="headerRow" dxfId="18"/>
      <tableStyleElement type="firstRowStripe" dxfId="2"/>
      <tableStyleElement type="secondRowStripe" dxfId="19"/>
    </tableStyle>
    <tableStyle name="Tadpole Pond-style 11" pivot="0" count="3">
      <tableStyleElement type="headerRow" dxfId="4"/>
      <tableStyleElement type="firstRowStripe" dxfId="2"/>
      <tableStyleElement type="secondRowStripe" dxfId="5"/>
    </tableStyle>
    <tableStyle name="Fungus Farm-style" pivot="0" count="3">
      <tableStyleElement type="headerRow" dxfId="6"/>
      <tableStyleElement type="firstRowStripe" dxfId="2"/>
      <tableStyleElement type="secondRowStripe" dxfId="7"/>
    </tableStyle>
    <tableStyle name="Fungus Farm-style 2" pivot="0" count="3">
      <tableStyleElement type="headerRow" dxfId="6"/>
      <tableStyleElement type="firstRowStripe" dxfId="2"/>
      <tableStyleElement type="secondRowStripe" dxfId="7"/>
    </tableStyle>
    <tableStyle name="Fungus Farm-style 3" pivot="0" count="3">
      <tableStyleElement type="headerRow" dxfId="6"/>
      <tableStyleElement type="firstRowStripe" dxfId="2"/>
      <tableStyleElement type="secondRowStripe" dxfId="7"/>
    </tableStyle>
    <tableStyle name="Fungus Farm-style 4" pivot="0" count="3">
      <tableStyleElement type="headerRow" dxfId="6"/>
      <tableStyleElement type="firstRowStripe" dxfId="2"/>
      <tableStyleElement type="secondRowStripe" dxfId="7"/>
    </tableStyle>
    <tableStyle name="Fungus Farm-style 5" pivot="0" count="3">
      <tableStyleElement type="headerRow" dxfId="6"/>
      <tableStyleElement type="firstRowStripe" dxfId="2"/>
      <tableStyleElement type="secondRowStripe" dxfId="7"/>
    </tableStyle>
    <tableStyle name="Fungus Farm-style 6" pivot="0" count="3">
      <tableStyleElement type="headerRow" dxfId="6"/>
      <tableStyleElement type="firstRowStripe" dxfId="2"/>
      <tableStyleElement type="secondRowStripe" dxfId="7"/>
    </tableStyle>
    <tableStyle name="Fungus Farm-style 7" pivot="0" count="3">
      <tableStyleElement type="headerRow" dxfId="6"/>
      <tableStyleElement type="firstRowStripe" dxfId="2"/>
      <tableStyleElement type="secondRowStripe" dxfId="7"/>
    </tableStyle>
    <tableStyle name="Fungus Farm-style 8" pivot="0" count="3">
      <tableStyleElement type="headerRow" dxfId="6"/>
      <tableStyleElement type="firstRowStripe" dxfId="2"/>
      <tableStyleElement type="secondRowStripe" dxfId="7"/>
    </tableStyle>
    <tableStyle name="Fungus Farm-style 9" pivot="0" count="3">
      <tableStyleElement type="headerRow" dxfId="4"/>
      <tableStyleElement type="firstRowStripe" dxfId="2"/>
      <tableStyleElement type="secondRowStripe" dxfId="5"/>
    </tableStyle>
    <tableStyle name="Time Machine-style" pivot="0" count="3">
      <tableStyleElement type="headerRow" dxfId="24"/>
      <tableStyleElement type="firstRowStripe" dxfId="2"/>
      <tableStyleElement type="secondRowStripe" dxfId="25"/>
    </tableStyle>
    <tableStyle name="Time Machine-style 2" pivot="0" count="3">
      <tableStyleElement type="headerRow" dxfId="24"/>
      <tableStyleElement type="firstRowStripe" dxfId="2"/>
      <tableStyleElement type="secondRowStripe" dxfId="25"/>
    </tableStyle>
    <tableStyle name="Time Machine-style 3" pivot="0" count="3">
      <tableStyleElement type="headerRow" dxfId="24"/>
      <tableStyleElement type="firstRowStripe" dxfId="2"/>
      <tableStyleElement type="secondRowStripe" dxfId="25"/>
    </tableStyle>
    <tableStyle name="Time Machine-style 4" pivot="0" count="3">
      <tableStyleElement type="headerRow" dxfId="24"/>
      <tableStyleElement type="firstRowStripe" dxfId="2"/>
      <tableStyleElement type="secondRowStripe" dxfId="25"/>
    </tableStyle>
    <tableStyle name="Time Machine-style 5" pivot="0" count="3">
      <tableStyleElement type="headerRow" dxfId="24"/>
      <tableStyleElement type="firstRowStripe" dxfId="2"/>
      <tableStyleElement type="secondRowStripe" dxfId="25"/>
    </tableStyle>
    <tableStyle name="Time Machine-style 6" pivot="0" count="3">
      <tableStyleElement type="headerRow" dxfId="24"/>
      <tableStyleElement type="firstRowStripe" dxfId="2"/>
      <tableStyleElement type="secondRowStripe" dxfId="25"/>
    </tableStyle>
    <tableStyle name="Time Machine-style 7" pivot="0" count="3">
      <tableStyleElement type="headerRow" dxfId="24"/>
      <tableStyleElement type="firstRowStripe" dxfId="2"/>
      <tableStyleElement type="secondRowStripe" dxfId="25"/>
    </tableStyle>
    <tableStyle name="Time Machine-style 8" pivot="0" count="3">
      <tableStyleElement type="headerRow" dxfId="24"/>
      <tableStyleElement type="firstRowStripe" dxfId="2"/>
      <tableStyleElement type="secondRowStripe" dxfId="25"/>
    </tableStyle>
    <tableStyle name="Time Machine-style 9" pivot="0" count="3">
      <tableStyleElement type="headerRow" dxfId="24"/>
      <tableStyleElement type="firstRowStripe" dxfId="2"/>
      <tableStyleElement type="secondRowStripe" dxfId="25"/>
    </tableStyle>
    <tableStyle name="Time Machine-style 10" pivot="0" count="3">
      <tableStyleElement type="headerRow" dxfId="24"/>
      <tableStyleElement type="firstRowStripe" dxfId="2"/>
      <tableStyleElement type="secondRowStripe" dxfId="25"/>
    </tableStyle>
    <tableStyle name="Time Machine-style 11" pivot="0" count="3">
      <tableStyleElement type="headerRow" dxfId="24"/>
      <tableStyleElement type="firstRowStripe" dxfId="2"/>
      <tableStyleElement type="secondRowStripe" dxfId="25"/>
    </tableStyle>
    <tableStyle name="Time Machine-style 12" pivot="0" count="3">
      <tableStyleElement type="headerRow" dxfId="4"/>
      <tableStyleElement type="firstRowStripe" dxfId="2"/>
      <tableStyleElement type="secondRowStripe" dxfId="5"/>
    </tableStyle>
    <tableStyle name="Lumber Camp-style" pivot="0" count="3">
      <tableStyleElement type="headerRow" dxfId="22"/>
      <tableStyleElement type="firstRowStripe" dxfId="2"/>
      <tableStyleElement type="secondRowStripe" dxfId="23"/>
    </tableStyle>
    <tableStyle name="Lumber Camp-style 2" pivot="0" count="3">
      <tableStyleElement type="headerRow" dxfId="22"/>
      <tableStyleElement type="firstRowStripe" dxfId="2"/>
      <tableStyleElement type="secondRowStripe" dxfId="23"/>
    </tableStyle>
    <tableStyle name="Lumber Camp-style 3" pivot="0" count="3">
      <tableStyleElement type="headerRow" dxfId="22"/>
      <tableStyleElement type="firstRowStripe" dxfId="2"/>
      <tableStyleElement type="secondRowStripe" dxfId="23"/>
    </tableStyle>
    <tableStyle name="Lumber Camp-style 4" pivot="0" count="3">
      <tableStyleElement type="headerRow" dxfId="22"/>
      <tableStyleElement type="firstRowStripe" dxfId="2"/>
      <tableStyleElement type="secondRowStripe" dxfId="23"/>
    </tableStyle>
    <tableStyle name="Lumber Camp-style 5" pivot="0" count="3">
      <tableStyleElement type="headerRow" dxfId="22"/>
      <tableStyleElement type="firstRowStripe" dxfId="2"/>
      <tableStyleElement type="secondRowStripe" dxfId="23"/>
    </tableStyle>
    <tableStyle name="Lumber Camp-style 6" pivot="0" count="3">
      <tableStyleElement type="headerRow" dxfId="22"/>
      <tableStyleElement type="firstRowStripe" dxfId="2"/>
      <tableStyleElement type="secondRowStripe" dxfId="23"/>
    </tableStyle>
    <tableStyle name="Lumber Camp-style 7" pivot="0" count="3">
      <tableStyleElement type="headerRow" dxfId="22"/>
      <tableStyleElement type="firstRowStripe" dxfId="2"/>
      <tableStyleElement type="secondRowStripe" dxfId="23"/>
    </tableStyle>
    <tableStyle name="Lumber Camp-style 8" pivot="0" count="3">
      <tableStyleElement type="headerRow" dxfId="22"/>
      <tableStyleElement type="firstRowStripe" dxfId="2"/>
      <tableStyleElement type="secondRowStripe" dxfId="23"/>
    </tableStyle>
    <tableStyle name="Lumber Camp-style 9" pivot="0" count="3">
      <tableStyleElement type="headerRow" dxfId="22"/>
      <tableStyleElement type="firstRowStripe" dxfId="2"/>
      <tableStyleElement type="secondRowStripe" dxfId="23"/>
    </tableStyle>
    <tableStyle name="Lumber Camp-style 10" pivot="0" count="3">
      <tableStyleElement type="headerRow" dxfId="22"/>
      <tableStyleElement type="firstRowStripe" dxfId="2"/>
      <tableStyleElement type="secondRowStripe" dxfId="23"/>
    </tableStyle>
    <tableStyle name="Lumber Camp-style 11" pivot="0" count="3">
      <tableStyleElement type="headerRow" dxfId="4"/>
      <tableStyleElement type="firstRowStripe" dxfId="2"/>
      <tableStyleElement type="secondRowStripe" dxfId="5"/>
    </tableStyle>
    <tableStyle name="Quarry-style" pivot="0" count="3">
      <tableStyleElement type="headerRow" dxfId="4"/>
      <tableStyleElement type="firstRowStripe" dxfId="2"/>
      <tableStyleElement type="secondRowStripe" dxfId="5"/>
    </tableStyle>
    <tableStyle name="Quarry-style 2" pivot="0" count="3">
      <tableStyleElement type="headerRow" dxfId="4"/>
      <tableStyleElement type="firstRowStripe" dxfId="2"/>
      <tableStyleElement type="secondRowStripe" dxfId="5"/>
    </tableStyle>
    <tableStyle name="Quarry-style 3" pivot="0" count="3">
      <tableStyleElement type="headerRow" dxfId="4"/>
      <tableStyleElement type="firstRowStripe" dxfId="2"/>
      <tableStyleElement type="secondRowStripe" dxfId="5"/>
    </tableStyle>
    <tableStyle name="Quarry-style 4" pivot="0" count="3">
      <tableStyleElement type="headerRow" dxfId="4"/>
      <tableStyleElement type="firstRowStripe" dxfId="2"/>
      <tableStyleElement type="secondRowStripe" dxfId="5"/>
    </tableStyle>
    <tableStyle name="Quarry-style 5" pivot="0" count="3">
      <tableStyleElement type="headerRow" dxfId="4"/>
      <tableStyleElement type="firstRowStripe" dxfId="2"/>
      <tableStyleElement type="secondRowStripe" dxfId="5"/>
    </tableStyle>
    <tableStyle name="Quarry-style 6" pivot="0" count="3">
      <tableStyleElement type="headerRow" dxfId="4"/>
      <tableStyleElement type="firstRowStripe" dxfId="2"/>
      <tableStyleElement type="secondRowStripe" dxfId="5"/>
    </tableStyle>
    <tableStyle name="Quarry-style 7" pivot="0" count="3">
      <tableStyleElement type="headerRow" dxfId="4"/>
      <tableStyleElement type="firstRowStripe" dxfId="2"/>
      <tableStyleElement type="secondRowStripe" dxfId="5"/>
    </tableStyle>
    <tableStyle name="Quarry-style 8" pivot="0" count="3">
      <tableStyleElement type="headerRow" dxfId="4"/>
      <tableStyleElement type="firstRowStripe" dxfId="2"/>
      <tableStyleElement type="secondRowStripe" dxfId="5"/>
    </tableStyle>
    <tableStyle name="Quarry-style 9" pivot="0" count="3">
      <tableStyleElement type="headerRow" dxfId="4"/>
      <tableStyleElement type="firstRowStripe" dxfId="2"/>
      <tableStyleElement type="secondRowStripe" dxfId="5"/>
    </tableStyle>
    <tableStyle name="Quarry-style 10" pivot="0" count="3">
      <tableStyleElement type="headerRow" dxfId="4"/>
      <tableStyleElement type="firstRowStripe" dxfId="2"/>
      <tableStyleElement type="secondRowStripe" dxfId="5"/>
    </tableStyle>
    <tableStyle name="Quarry-style 11" pivot="0" count="3">
      <tableStyleElement type="headerRow" dxfId="4"/>
      <tableStyleElement type="firstRowStripe" dxfId="2"/>
      <tableStyleElement type="secondRowStripe" dxfId="5"/>
    </tableStyle>
    <tableStyle name="Quantum Amp-style" pivot="0" count="3">
      <tableStyleElement type="headerRow" dxfId="12"/>
      <tableStyleElement type="firstRowStripe" dxfId="2"/>
      <tableStyleElement type="secondRowStripe" dxfId="13"/>
    </tableStyle>
    <tableStyle name="Quantum Amp-style 2" pivot="0" count="3">
      <tableStyleElement type="headerRow" dxfId="12"/>
      <tableStyleElement type="firstRowStripe" dxfId="2"/>
      <tableStyleElement type="secondRowStripe" dxfId="13"/>
    </tableStyle>
    <tableStyle name="Quantum Amp-style 3" pivot="0" count="3">
      <tableStyleElement type="headerRow" dxfId="12"/>
      <tableStyleElement type="firstRowStripe" dxfId="2"/>
      <tableStyleElement type="secondRowStripe" dxfId="13"/>
    </tableStyle>
    <tableStyle name="Quantum Amp-style 4" pivot="0" count="3">
      <tableStyleElement type="headerRow" dxfId="12"/>
      <tableStyleElement type="firstRowStripe" dxfId="2"/>
      <tableStyleElement type="secondRowStripe" dxfId="13"/>
    </tableStyle>
    <tableStyle name="Quantum Amp-style 5" pivot="0" count="3">
      <tableStyleElement type="headerRow" dxfId="12"/>
      <tableStyleElement type="firstRowStripe" dxfId="2"/>
      <tableStyleElement type="secondRowStripe" dxfId="13"/>
    </tableStyle>
    <tableStyle name="Quantum Amp-style 6" pivot="0" count="3">
      <tableStyleElement type="headerRow" dxfId="12"/>
      <tableStyleElement type="firstRowStripe" dxfId="2"/>
      <tableStyleElement type="secondRowStripe" dxfId="13"/>
    </tableStyle>
    <tableStyle name="Quantum Amp-style 7" pivot="0" count="3">
      <tableStyleElement type="headerRow" dxfId="12"/>
      <tableStyleElement type="firstRowStripe" dxfId="2"/>
      <tableStyleElement type="secondRowStripe" dxfId="13"/>
    </tableStyle>
    <tableStyle name="Compass-style" pivot="0" count="3">
      <tableStyleElement type="headerRow" dxfId="22"/>
      <tableStyleElement type="firstRowStripe" dxfId="2"/>
      <tableStyleElement type="secondRowStripe" dxfId="23"/>
    </tableStyle>
    <tableStyle name="Compass-style 2" pivot="0" count="3">
      <tableStyleElement type="headerRow" dxfId="22"/>
      <tableStyleElement type="firstRowStripe" dxfId="2"/>
      <tableStyleElement type="secondRowStripe" dxfId="23"/>
    </tableStyle>
    <tableStyle name="Compass-style 3" pivot="0" count="3">
      <tableStyleElement type="headerRow" dxfId="20"/>
      <tableStyleElement type="firstRowStripe" dxfId="2"/>
      <tableStyleElement type="secondRowStripe" dxfId="21"/>
    </tableStyle>
    <tableStyle name="Compass-style 4" pivot="0" count="3">
      <tableStyleElement type="headerRow" dxfId="20"/>
      <tableStyleElement type="firstRowStripe" dxfId="2"/>
      <tableStyleElement type="secondRowStripe" dxfId="21"/>
    </tableStyle>
    <tableStyle name="Compass-style 5" pivot="0" count="3">
      <tableStyleElement type="headerRow" dxfId="1"/>
      <tableStyleElement type="firstRowStripe" dxfId="2"/>
      <tableStyleElement type="secondRowStripe" dxfId="3"/>
    </tableStyle>
    <tableStyle name="Compass-style 6" pivot="0" count="3">
      <tableStyleElement type="headerRow" dxfId="1"/>
      <tableStyleElement type="firstRowStripe" dxfId="2"/>
      <tableStyleElement type="secondRowStripe" dxfId="3"/>
    </tableStyle>
    <tableStyle name="Compass-style 7" pivot="0" count="3">
      <tableStyleElement type="headerRow" dxfId="10"/>
      <tableStyleElement type="firstRowStripe" dxfId="2"/>
      <tableStyleElement type="secondRowStripe" dxfId="11"/>
    </tableStyle>
    <tableStyle name="Compass-style 8" pivot="0" count="3">
      <tableStyleElement type="headerRow" dxfId="10"/>
      <tableStyleElement type="firstRowStripe" dxfId="2"/>
      <tableStyleElement type="secondRowStripe" dxfId="11"/>
    </tableStyle>
    <tableStyle name="Compass-style 9" pivot="0" count="3">
      <tableStyleElement type="headerRow" dxfId="6"/>
      <tableStyleElement type="firstRowStripe" dxfId="2"/>
      <tableStyleElement type="secondRowStripe" dxfId="7"/>
    </tableStyle>
    <tableStyle name="Compass-style 10" pivot="0" count="3">
      <tableStyleElement type="headerRow" dxfId="6"/>
      <tableStyleElement type="firstRowStripe" dxfId="2"/>
      <tableStyleElement type="secondRowStripe" dxfId="7"/>
    </tableStyle>
    <tableStyle name="Compass-style 11" pivot="0" count="3">
      <tableStyleElement type="headerRow" dxfId="4"/>
      <tableStyleElement type="firstRowStripe" dxfId="2"/>
      <tableStyleElement type="secondRowStripe" dxfId="5"/>
    </tableStyle>
    <tableStyle name="Cost Reductions-style" pivot="0" count="3">
      <tableStyleElement type="headerRow" dxfId="18"/>
      <tableStyleElement type="firstRowStripe" dxfId="2"/>
      <tableStyleElement type="secondRowStripe" dxfId="19"/>
    </tableStyle>
    <tableStyle name="Cost Reductions-style 2" pivot="0" count="3">
      <tableStyleElement type="headerRow" dxfId="6"/>
      <tableStyleElement type="firstRowStripe" dxfId="2"/>
      <tableStyleElement type="secondRowStripe" dxfId="7"/>
    </tableStyle>
    <tableStyle name="Cost Reductions-style 3" pivot="0" count="3">
      <tableStyleElement type="headerRow" dxfId="24"/>
      <tableStyleElement type="firstRowStripe" dxfId="2"/>
      <tableStyleElement type="secondRowStripe" dxfId="25"/>
    </tableStyle>
    <tableStyle name="Cost Reductions-style 4" pivot="0" count="3">
      <tableStyleElement type="headerRow" dxfId="22"/>
      <tableStyleElement type="firstRowStripe" dxfId="2"/>
      <tableStyleElement type="secondRowStripe" dxfId="23"/>
    </tableStyle>
    <tableStyle name="Cost Reductions-style 5" pivot="0" count="3">
      <tableStyleElement type="headerRow" dxfId="4"/>
      <tableStyleElement type="firstRowStripe" dxfId="2"/>
      <tableStyleElement type="secondRowStripe" dxfId="5"/>
    </tableStyle>
    <tableStyle name="Cost Reductions-style 6" pivot="0" count="3">
      <tableStyleElement type="headerRow" dxfId="12"/>
      <tableStyleElement type="firstRowStripe" dxfId="2"/>
      <tableStyleElement type="secondRowStripe" dxfId="13"/>
    </tableStyle>
    <tableStyle name="Lottery-style" pivot="0" count="3">
      <tableStyleElement type="headerRow" dxfId="1"/>
      <tableStyleElement type="firstRowStripe" dxfId="2"/>
      <tableStyleElement type="secondRowStripe" dxfId="3"/>
    </tableStyle>
    <tableStyle name="Lottery-style 2" pivot="0" count="3">
      <tableStyleElement type="headerRow" dxfId="1"/>
      <tableStyleElement type="firstRowStripe" dxfId="2"/>
      <tableStyleElement type="secondRowStripe" dxfId="3"/>
    </tableStyle>
    <tableStyle name="Lottery-style 3" pivot="0" count="3">
      <tableStyleElement type="headerRow" dxfId="1"/>
      <tableStyleElement type="firstRowStripe" dxfId="2"/>
      <tableStyleElement type="secondRowStripe" dxfId="3"/>
    </tableStyle>
    <tableStyle name="Lottery-style 4" pivot="0" count="3">
      <tableStyleElement type="headerRow" dxfId="1"/>
      <tableStyleElement type="firstRowStripe" dxfId="2"/>
      <tableStyleElement type="secondRowStripe" dxfId="3"/>
    </tableStyle>
    <tableStyle name="Lottery-style 5" pivot="0" count="3">
      <tableStyleElement type="headerRow" dxfId="1"/>
      <tableStyleElement type="firstRowStripe" dxfId="2"/>
      <tableStyleElement type="secondRowStripe" dxfId="3"/>
    </tableStyle>
    <tableStyle name="Lottery-style 6" pivot="0" count="3">
      <tableStyleElement type="headerRow" dxfId="4"/>
      <tableStyleElement type="firstRowStripe" dxfId="2"/>
      <tableStyleElement type="secondRowStripe" dxfId="5"/>
    </tableStyle>
    <tableStyle name="Minion Base Stats-style" pivot="0" count="3">
      <tableStyleElement type="headerRow" dxfId="6"/>
      <tableStyleElement type="firstRowStripe" dxfId="2"/>
      <tableStyleElement type="secondRowStripe" dxfId="7"/>
    </tableStyle>
    <tableStyle name="Minion Base Stats-style 2" pivot="0" count="3">
      <tableStyleElement type="headerRow" dxfId="6"/>
      <tableStyleElement type="firstRowStripe" dxfId="2"/>
      <tableStyleElement type="secondRowStripe" dxfId="7"/>
    </tableStyle>
    <tableStyle name="Minion Base Stats-style 3" pivot="0" count="3">
      <tableStyleElement type="headerRow" dxfId="6"/>
      <tableStyleElement type="firstRowStripe" dxfId="2"/>
      <tableStyleElement type="secondRowStripe" dxfId="7"/>
    </tableStyle>
    <tableStyle name="Minion Base Stats-style 4" pivot="0" count="3">
      <tableStyleElement type="headerRow" dxfId="6"/>
      <tableStyleElement type="firstRowStripe" dxfId="2"/>
      <tableStyleElement type="secondRowStripe" dxfId="7"/>
    </tableStyle>
    <tableStyle name="Minion Base Stats-style 5" pivot="0" count="3">
      <tableStyleElement type="headerRow" dxfId="6"/>
      <tableStyleElement type="firstRowStripe" dxfId="2"/>
      <tableStyleElement type="secondRowStripe" dxfId="7"/>
    </tableStyle>
    <tableStyle name="Minion Base Stats-style 6" pivot="0" count="3">
      <tableStyleElement type="headerRow" dxfId="20"/>
      <tableStyleElement type="firstRowStripe" dxfId="2"/>
      <tableStyleElement type="secondRowStripe" dxfId="21"/>
    </tableStyle>
    <tableStyle name="Minion Base Stats-style 7" pivot="0" count="3">
      <tableStyleElement type="headerRow" dxfId="20"/>
      <tableStyleElement type="firstRowStripe" dxfId="2"/>
      <tableStyleElement type="secondRowStripe" dxfId="21"/>
    </tableStyle>
    <tableStyle name="Minion Base Stats-style 8" pivot="0" count="3">
      <tableStyleElement type="headerRow" dxfId="20"/>
      <tableStyleElement type="firstRowStripe" dxfId="2"/>
      <tableStyleElement type="secondRowStripe" dxfId="21"/>
    </tableStyle>
    <tableStyle name="Minion Base Stats-style 9" pivot="0" count="3">
      <tableStyleElement type="headerRow" dxfId="20"/>
      <tableStyleElement type="firstRowStripe" dxfId="2"/>
      <tableStyleElement type="secondRowStripe" dxfId="21"/>
    </tableStyle>
    <tableStyle name="Minion Base Stats-style 10" pivot="0" count="3">
      <tableStyleElement type="headerRow" dxfId="20"/>
      <tableStyleElement type="firstRowStripe" dxfId="2"/>
      <tableStyleElement type="secondRowStripe" dxfId="21"/>
    </tableStyle>
    <tableStyle name="Minion Base Stats-style 11" pivot="0" count="3">
      <tableStyleElement type="headerRow" dxfId="10"/>
      <tableStyleElement type="firstRowStripe" dxfId="2"/>
      <tableStyleElement type="secondRowStripe" dxfId="11"/>
    </tableStyle>
    <tableStyle name="Minion Base Stats-style 12" pivot="0" count="3">
      <tableStyleElement type="headerRow" dxfId="10"/>
      <tableStyleElement type="firstRowStripe" dxfId="2"/>
      <tableStyleElement type="secondRowStripe" dxfId="11"/>
    </tableStyle>
    <tableStyle name="Minion Base Stats-style 13" pivot="0" count="3">
      <tableStyleElement type="headerRow" dxfId="10"/>
      <tableStyleElement type="firstRowStripe" dxfId="2"/>
      <tableStyleElement type="secondRowStripe" dxfId="11"/>
    </tableStyle>
    <tableStyle name="Minion Base Stats-style 14" pivot="0" count="3">
      <tableStyleElement type="headerRow" dxfId="10"/>
      <tableStyleElement type="firstRowStripe" dxfId="2"/>
      <tableStyleElement type="secondRowStripe" dxfId="11"/>
    </tableStyle>
    <tableStyle name="Minion Base Stats-style 15" pivot="0" count="3">
      <tableStyleElement type="headerRow" dxfId="10"/>
      <tableStyleElement type="firstRowStripe" dxfId="2"/>
      <tableStyleElement type="secondRowStripe" dxfId="11"/>
    </tableStyle>
    <tableStyle name="Minion Base Stats-style 16" pivot="0" count="3">
      <tableStyleElement type="headerRow" dxfId="12"/>
      <tableStyleElement type="firstRowStripe" dxfId="2"/>
      <tableStyleElement type="secondRowStripe" dxfId="13"/>
    </tableStyle>
    <tableStyle name="Minion Base Stats-style 17" pivot="0" count="3">
      <tableStyleElement type="headerRow" dxfId="12"/>
      <tableStyleElement type="firstRowStripe" dxfId="2"/>
      <tableStyleElement type="secondRowStripe" dxfId="13"/>
    </tableStyle>
    <tableStyle name="Minion Base Stats-style 18" pivot="0" count="3">
      <tableStyleElement type="headerRow" dxfId="12"/>
      <tableStyleElement type="firstRowStripe" dxfId="2"/>
      <tableStyleElement type="secondRowStripe" dxfId="13"/>
    </tableStyle>
    <tableStyle name="Minion Base Stats-style 19" pivot="0" count="3">
      <tableStyleElement type="headerRow" dxfId="12"/>
      <tableStyleElement type="firstRowStripe" dxfId="2"/>
      <tableStyleElement type="secondRowStripe" dxfId="13"/>
    </tableStyle>
    <tableStyle name="Minion Base Stats-style 20" pivot="0" count="3">
      <tableStyleElement type="headerRow" dxfId="12"/>
      <tableStyleElement type="firstRowStripe" dxfId="2"/>
      <tableStyleElement type="secondRowStripe" dxfId="13"/>
    </tableStyle>
    <tableStyle name="Minion Base Stats-style 21" pivot="0" count="3">
      <tableStyleElement type="headerRow" dxfId="14"/>
      <tableStyleElement type="firstRowStripe" dxfId="2"/>
      <tableStyleElement type="secondRowStripe" dxfId="15"/>
    </tableStyle>
    <tableStyle name="Minion Base Stats-style 22" pivot="0" count="3">
      <tableStyleElement type="headerRow" dxfId="14"/>
      <tableStyleElement type="firstRowStripe" dxfId="2"/>
      <tableStyleElement type="secondRowStripe" dxfId="15"/>
    </tableStyle>
    <tableStyle name="Minion Base Stats-style 23" pivot="0" count="3">
      <tableStyleElement type="headerRow" dxfId="14"/>
      <tableStyleElement type="firstRowStripe" dxfId="2"/>
      <tableStyleElement type="secondRowStripe" dxfId="15"/>
    </tableStyle>
    <tableStyle name="Minion Base Stats-style 24" pivot="0" count="3">
      <tableStyleElement type="headerRow" dxfId="14"/>
      <tableStyleElement type="firstRowStripe" dxfId="2"/>
      <tableStyleElement type="secondRowStripe" dxfId="15"/>
    </tableStyle>
    <tableStyle name="Minion Base Stats-style 25" pivot="0" count="3">
      <tableStyleElement type="headerRow" dxfId="14"/>
      <tableStyleElement type="firstRowStripe" dxfId="2"/>
      <tableStyleElement type="secondRowStripe" dxfId="15"/>
    </tableStyle>
    <tableStyle name="Minion Base Stats-style 26" pivot="0" count="3">
      <tableStyleElement type="headerRow" dxfId="16"/>
      <tableStyleElement type="firstRowStripe" dxfId="2"/>
      <tableStyleElement type="secondRowStripe" dxfId="17"/>
    </tableStyle>
    <tableStyle name="Minion Base Stats-style 27" pivot="0" count="3">
      <tableStyleElement type="headerRow" dxfId="16"/>
      <tableStyleElement type="firstRowStripe" dxfId="2"/>
      <tableStyleElement type="secondRowStripe" dxfId="17"/>
    </tableStyle>
    <tableStyle name="Minion Base Stats-style 28" pivot="0" count="3">
      <tableStyleElement type="headerRow" dxfId="16"/>
      <tableStyleElement type="firstRowStripe" dxfId="2"/>
      <tableStyleElement type="secondRowStripe" dxfId="17"/>
    </tableStyle>
    <tableStyle name="Minion Base Stats-style 29" pivot="0" count="3">
      <tableStyleElement type="headerRow" dxfId="16"/>
      <tableStyleElement type="firstRowStripe" dxfId="2"/>
      <tableStyleElement type="secondRowStripe" dxfId="17"/>
    </tableStyle>
    <tableStyle name="Minion Base Stats-style 30" pivot="0" count="3">
      <tableStyleElement type="headerRow" dxfId="16"/>
      <tableStyleElement type="firstRowStripe" dxfId="2"/>
      <tableStyleElement type="secondRowStripe" dxfId="17"/>
    </tableStyle>
    <tableStyle name="Partner Research Costs-style" pivot="0" count="3">
      <tableStyleElement type="headerRow" dxfId="4"/>
      <tableStyleElement type="firstRowStripe" dxfId="2"/>
      <tableStyleElement type="secondRowStripe" dxfId="5"/>
    </tableStyle>
    <tableStyle name="Partner Research Costs-style 2" pivot="0" count="3">
      <tableStyleElement type="headerRow" dxfId="4"/>
      <tableStyleElement type="firstRowStripe" dxfId="2"/>
      <tableStyleElement type="secondRowStripe" dxfId="5"/>
    </tableStyle>
    <tableStyle name="DNA Costs-style" pivot="0" count="3">
      <tableStyleElement type="headerRow" dxfId="1"/>
      <tableStyleElement type="firstRowStripe" dxfId="2"/>
      <tableStyleElement type="secondRowStripe" dxfId="3"/>
    </tableStyle>
    <tableStyle name="DNA Costs-style 2" pivot="0" count="3">
      <tableStyleElement type="headerRow" dxfId="1"/>
      <tableStyleElement type="firstRowStripe" dxfId="2"/>
      <tableStyleElement type="secondRowStripe" dxfId="3"/>
    </tableStyle>
    <tableStyle name="DNA Costs-style 3" pivot="0" count="3">
      <tableStyleElement type="headerRow" dxfId="1"/>
      <tableStyleElement type="firstRowStripe" dxfId="2"/>
      <tableStyleElement type="secondRowStripe" dxfId="3"/>
    </tableStyle>
    <tableStyle name="DNA Costs-style 4" pivot="0" count="3">
      <tableStyleElement type="headerRow" dxfId="1"/>
      <tableStyleElement type="firstRowStripe" dxfId="2"/>
      <tableStyleElement type="secondRowStripe" dxfId="3"/>
    </tableStyle>
    <tableStyle name="DNA Costs-style 5" pivot="0" count="3">
      <tableStyleElement type="headerRow" dxfId="1"/>
      <tableStyleElement type="firstRowStripe" dxfId="2"/>
      <tableStyleElement type="secondRowStripe" dxfId="3"/>
    </tableStyle>
    <tableStyle name="DNA Costs-style 6" pivot="0" count="3">
      <tableStyleElement type="headerRow" dxfId="1"/>
      <tableStyleElement type="firstRowStripe" dxfId="2"/>
      <tableStyleElement type="secondRowStripe" dxfId="3"/>
    </tableStyle>
    <tableStyle name="DNA Costs-style 7" pivot="0" count="3">
      <tableStyleElement type="headerRow" dxfId="1"/>
      <tableStyleElement type="firstRowStripe" dxfId="2"/>
      <tableStyleElement type="secondRowStripe" dxfId="3"/>
    </tableStyle>
    <tableStyle name="DNA Costs-style 8" pivot="0" count="3">
      <tableStyleElement type="headerRow" dxfId="1"/>
      <tableStyleElement type="firstRowStripe" dxfId="2"/>
      <tableStyleElement type="secondRowStripe" dxfId="3"/>
    </tableStyle>
    <tableStyle name="DNA Costs-style 9" pivot="0" count="3">
      <tableStyleElement type="headerRow" dxfId="1"/>
      <tableStyleElement type="firstRowStripe" dxfId="2"/>
      <tableStyleElement type="secondRowStripe" dxfId="3"/>
    </tableStyle>
    <tableStyle name="DNA Costs-style 10" pivot="0" count="3">
      <tableStyleElement type="headerRow" dxfId="1"/>
      <tableStyleElement type="firstRowStripe" dxfId="2"/>
      <tableStyleElement type="secondRowStripe" dxfId="3"/>
    </tableStyle>
    <tableStyle name="DNA Costs-style 11" pivot="0" count="3">
      <tableStyleElement type="headerRow" dxfId="1"/>
      <tableStyleElement type="firstRowStripe" dxfId="2"/>
      <tableStyleElement type="secondRowStripe" dxfId="3"/>
    </tableStyle>
    <tableStyle name="DNA Costs-style 12" pivot="0" count="3">
      <tableStyleElement type="headerRow" dxfId="1"/>
      <tableStyleElement type="firstRowStripe" dxfId="2"/>
      <tableStyleElement type="secondRowStripe" dxfId="3"/>
    </tableStyle>
    <tableStyle name="DNA Costs-style 13" pivot="0" count="3">
      <tableStyleElement type="headerRow" dxfId="1"/>
      <tableStyleElement type="firstRowStripe" dxfId="2"/>
      <tableStyleElement type="secondRowStripe" dxfId="3"/>
    </tableStyle>
    <tableStyle name="DNA Costs-style 14" pivot="0" count="3">
      <tableStyleElement type="headerRow" dxfId="1"/>
      <tableStyleElement type="firstRowStripe" dxfId="2"/>
      <tableStyleElement type="secondRowStripe" dxfId="3"/>
    </tableStyle>
    <tableStyle name="DNA Costs-style 15" pivot="0" count="3">
      <tableStyleElement type="headerRow" dxfId="1"/>
      <tableStyleElement type="firstRowStripe" dxfId="2"/>
      <tableStyleElement type="secondRowStripe" dxfId="3"/>
    </tableStyle>
    <tableStyle name="DNA Costs-style 16" pivot="0" count="3">
      <tableStyleElement type="headerRow" dxfId="1"/>
      <tableStyleElement type="firstRowStripe" dxfId="2"/>
      <tableStyleElement type="secondRowStripe" dxfId="3"/>
    </tableStyle>
    <tableStyle name="DNA Costs-style 17" pivot="0" count="3">
      <tableStyleElement type="headerRow" dxfId="1"/>
      <tableStyleElement type="firstRowStripe" dxfId="2"/>
      <tableStyleElement type="secondRowStripe" dxfId="3"/>
    </tableStyle>
    <tableStyle name="DNA Costs-style 18" pivot="0" count="3">
      <tableStyleElement type="headerRow" dxfId="1"/>
      <tableStyleElement type="firstRowStripe" dxfId="2"/>
      <tableStyleElement type="secondRowStripe" dxfId="3"/>
    </tableStyle>
    <tableStyle name="DNA Costs-style 19" pivot="0" count="3">
      <tableStyleElement type="headerRow" dxfId="1"/>
      <tableStyleElement type="firstRowStripe" dxfId="2"/>
      <tableStyleElement type="secondRowStripe" dxfId="3"/>
    </tableStyle>
    <tableStyle name="DNA Costs-style 20" pivot="0" count="3">
      <tableStyleElement type="headerRow" dxfId="1"/>
      <tableStyleElement type="firstRowStripe" dxfId="2"/>
      <tableStyleElement type="secondRowStripe" dxfId="3"/>
    </tableStyle>
    <tableStyle name="DNA Costs-style 21" pivot="0" count="3">
      <tableStyleElement type="headerRow" dxfId="1"/>
      <tableStyleElement type="firstRowStripe" dxfId="2"/>
      <tableStyleElement type="secondRowStripe" dxfId="3"/>
    </tableStyle>
    <tableStyle name="DNA Costs-style 22" pivot="0" count="3">
      <tableStyleElement type="headerRow" dxfId="1"/>
      <tableStyleElement type="firstRowStripe" dxfId="2"/>
      <tableStyleElement type="secondRowStripe" dxfId="3"/>
    </tableStyle>
    <tableStyle name="DNA Costs-style 23" pivot="0" count="3">
      <tableStyleElement type="headerRow" dxfId="1"/>
      <tableStyleElement type="firstRowStripe" dxfId="2"/>
      <tableStyleElement type="secondRowStripe" dxfId="3"/>
    </tableStyle>
    <tableStyle name="DNA Costs-style 24" pivot="0" count="3">
      <tableStyleElement type="headerRow" dxfId="1"/>
      <tableStyleElement type="firstRowStripe" dxfId="2"/>
      <tableStyleElement type="secondRowStripe" dxfId="3"/>
    </tableStyle>
    <tableStyle name="Dragon DNA Costs-style" pivot="0" count="3">
      <tableStyleElement type="headerRow" dxfId="24"/>
      <tableStyleElement type="firstRowStripe" dxfId="2"/>
      <tableStyleElement type="secondRowStripe" dxfId="25"/>
    </tableStyle>
    <tableStyle name="Dragon DNA Costs-style 2" pivot="0" count="3">
      <tableStyleElement type="headerRow" dxfId="24"/>
      <tableStyleElement type="firstRowStripe" dxfId="2"/>
      <tableStyleElement type="secondRowStripe" dxfId="25"/>
    </tableStyle>
    <tableStyle name="Dragon DNA Costs-style 3" pivot="0" count="3">
      <tableStyleElement type="headerRow" dxfId="24"/>
      <tableStyleElement type="firstRowStripe" dxfId="2"/>
      <tableStyleElement type="secondRowStripe" dxfId="25"/>
    </tableStyle>
    <tableStyle name="Dragon DNA Costs-style 4" pivot="0" count="3">
      <tableStyleElement type="headerRow" dxfId="24"/>
      <tableStyleElement type="firstRowStripe" dxfId="2"/>
      <tableStyleElement type="secondRowStripe" dxfId="25"/>
    </tableStyle>
    <tableStyle name="Dragon DNA Costs-style 5" pivot="0" count="3">
      <tableStyleElement type="headerRow" dxfId="24"/>
      <tableStyleElement type="firstRowStripe" dxfId="2"/>
      <tableStyleElement type="secondRowStripe" dxfId="25"/>
    </tableStyle>
    <tableStyle name="Dragon DNA Costs-style 6" pivot="0" count="3">
      <tableStyleElement type="headerRow" dxfId="24"/>
      <tableStyleElement type="firstRowStripe" dxfId="2"/>
      <tableStyleElement type="secondRowStripe" dxfId="25"/>
    </tableStyle>
    <tableStyle name="Dragon DNA Costs-style 7" pivot="0" count="3">
      <tableStyleElement type="headerRow" dxfId="24"/>
      <tableStyleElement type="firstRowStripe" dxfId="2"/>
      <tableStyleElement type="secondRowStripe" dxfId="25"/>
    </tableStyle>
    <tableStyle name="Dragon DNA Costs-style 8" pivot="0" count="3">
      <tableStyleElement type="headerRow" dxfId="24"/>
      <tableStyleElement type="firstRowStripe" dxfId="2"/>
      <tableStyleElement type="secondRowStripe" dxfId="25"/>
    </tableStyle>
    <tableStyle name="Dragon DNA Costs-style 9" pivot="0" count="3">
      <tableStyleElement type="headerRow" dxfId="24"/>
      <tableStyleElement type="firstRowStripe" dxfId="2"/>
      <tableStyleElement type="secondRowStripe" dxfId="25"/>
    </tableStyle>
    <tableStyle name="Dragon DNA Costs-style 10" pivot="0" count="3">
      <tableStyleElement type="headerRow" dxfId="24"/>
      <tableStyleElement type="firstRowStripe" dxfId="2"/>
      <tableStyleElement type="secondRowStripe" dxfId="25"/>
    </tableStyle>
    <tableStyle name="Dragon DNA Costs-style 11" pivot="0" count="3">
      <tableStyleElement type="headerRow" dxfId="24"/>
      <tableStyleElement type="firstRowStripe" dxfId="2"/>
      <tableStyleElement type="secondRowStripe" dxfId="25"/>
    </tableStyle>
    <tableStyle name="Dragon DNA Costs-style 12" pivot="0" count="3">
      <tableStyleElement type="headerRow" dxfId="24"/>
      <tableStyleElement type="firstRowStripe" dxfId="2"/>
      <tableStyleElement type="secondRowStripe" dxfId="25"/>
    </tableStyle>
    <tableStyle name="Dragon DNA Costs-style 13" pivot="0" count="3">
      <tableStyleElement type="headerRow" dxfId="24"/>
      <tableStyleElement type="firstRowStripe" dxfId="2"/>
      <tableStyleElement type="secondRowStripe" dxfId="25"/>
    </tableStyle>
    <tableStyle name="Dragon DNA Costs-style 14" pivot="0" count="3">
      <tableStyleElement type="headerRow" dxfId="24"/>
      <tableStyleElement type="firstRowStripe" dxfId="2"/>
      <tableStyleElement type="secondRowStripe" dxfId="25"/>
    </tableStyle>
    <tableStyle name="Dragon DNA Costs-style 15" pivot="0" count="3">
      <tableStyleElement type="headerRow" dxfId="24"/>
      <tableStyleElement type="firstRowStripe" dxfId="2"/>
      <tableStyleElement type="secondRowStripe" dxfId="25"/>
    </tableStyle>
    <tableStyle name="Dragon DNA Costs-style 16" pivot="0" count="3">
      <tableStyleElement type="headerRow" dxfId="24"/>
      <tableStyleElement type="firstRowStripe" dxfId="2"/>
      <tableStyleElement type="secondRowStripe" dxfId="25"/>
    </tableStyle>
    <tableStyle name="Dragon DNA Costs-style 17" pivot="0" count="3">
      <tableStyleElement type="headerRow" dxfId="24"/>
      <tableStyleElement type="firstRowStripe" dxfId="2"/>
      <tableStyleElement type="secondRowStripe" dxfId="25"/>
    </tableStyle>
    <tableStyle name="Dragon DNA Costs-style 18" pivot="0" count="3">
      <tableStyleElement type="headerRow" dxfId="24"/>
      <tableStyleElement type="firstRowStripe" dxfId="2"/>
      <tableStyleElement type="secondRowStripe" dxfId="25"/>
    </tableStyle>
    <tableStyle name="Dragon DNA Costs-style 19" pivot="0" count="3">
      <tableStyleElement type="headerRow" dxfId="24"/>
      <tableStyleElement type="firstRowStripe" dxfId="2"/>
      <tableStyleElement type="secondRowStripe" dxfId="25"/>
    </tableStyle>
    <tableStyle name="Dragon DNA Costs-style 20" pivot="0" count="3">
      <tableStyleElement type="headerRow" dxfId="24"/>
      <tableStyleElement type="firstRowStripe" dxfId="2"/>
      <tableStyleElement type="secondRowStripe" dxfId="25"/>
    </tableStyle>
    <tableStyle name="Dragon DNA Costs-style 21" pivot="0" count="3">
      <tableStyleElement type="headerRow" dxfId="24"/>
      <tableStyleElement type="firstRowStripe" dxfId="2"/>
      <tableStyleElement type="secondRowStripe" dxfId="25"/>
    </tableStyle>
    <tableStyle name="Dragon DNA Costs-style 22" pivot="0" count="3">
      <tableStyleElement type="headerRow" dxfId="24"/>
      <tableStyleElement type="firstRowStripe" dxfId="2"/>
      <tableStyleElement type="secondRowStripe" dxfId="25"/>
    </tableStyle>
    <tableStyle name="Dragon DNA Costs-style 23" pivot="0" count="3">
      <tableStyleElement type="headerRow" dxfId="24"/>
      <tableStyleElement type="firstRowStripe" dxfId="2"/>
      <tableStyleElement type="secondRowStripe" dxfId="25"/>
    </tableStyle>
    <tableStyle name="Dragon DNA Costs-style 24" pivot="0" count="3">
      <tableStyleElement type="headerRow" dxfId="24"/>
      <tableStyleElement type="firstRowStripe" dxfId="2"/>
      <tableStyleElement type="secondRowStripe" dxfId="25"/>
    </tableStyle>
    <tableStyle name="Relic Albums-style" pivot="0" count="3">
      <tableStyleElement type="headerRow" dxfId="22"/>
      <tableStyleElement type="firstRowStripe" dxfId="2"/>
      <tableStyleElement type="secondRowStripe" dxfId="23"/>
    </tableStyle>
    <tableStyle name="Relic Albums-style 2" pivot="0" count="3">
      <tableStyleElement type="headerRow" dxfId="4"/>
      <tableStyleElement type="firstRowStripe" dxfId="2"/>
      <tableStyleElement type="secondRowStripe" dxfId="5"/>
    </tableStyle>
    <tableStyle name="Relic Albums-style 3" pivot="0" count="3">
      <tableStyleElement type="headerRow" dxfId="10"/>
      <tableStyleElement type="firstRowStripe" dxfId="2"/>
      <tableStyleElement type="secondRowStripe" dxfId="11"/>
    </tableStyle>
    <tableStyle name="Relic Albums-style 4" pivot="0" count="3">
      <tableStyleElement type="headerRow" dxfId="1"/>
      <tableStyleElement type="firstRowStripe" dxfId="2"/>
      <tableStyleElement type="secondRowStripe" dxfId="3"/>
    </tableStyle>
    <tableStyle name="Relic Albums-style 5" pivot="0" count="3">
      <tableStyleElement type="headerRow" dxfId="20"/>
      <tableStyleElement type="firstRowStripe" dxfId="2"/>
      <tableStyleElement type="secondRowStripe" dxfId="21"/>
    </tableStyle>
    <tableStyle name="Relic Albums-style 6" pivot="0" count="3">
      <tableStyleElement type="headerRow" dxfId="24"/>
      <tableStyleElement type="firstRowStripe" dxfId="2"/>
      <tableStyleElement type="secondRowStripe" dxfId="25"/>
    </tableStyle>
    <tableStyle name="Relic Albums-style 7" pivot="0" count="3">
      <tableStyleElement type="headerRow" dxfId="12"/>
      <tableStyleElement type="firstRowStripe" dxfId="2"/>
      <tableStyleElement type="secondRowStripe" dxfId="13"/>
    </tableStyle>
    <tableStyle name="Lotto2 Expanded Stock-style" pivot="0" count="3">
      <tableStyleElement type="headerRow" dxfId="4"/>
      <tableStyleElement type="firstRowStripe" dxfId="2"/>
      <tableStyleElement type="secondRowStripe" dxfId="5"/>
    </tableStyle>
    <tableStyle name="Lotto2 Expanded Stock-style 2" pivot="0" count="3">
      <tableStyleElement type="headerRow" dxfId="4"/>
      <tableStyleElement type="firstRowStripe" dxfId="2"/>
      <tableStyleElement type="secondRowStripe" dxfId="5"/>
    </tableStyle>
    <tableStyle name="Lotto3 Expanded Stock-style" pivot="0" count="2">
      <tableStyleElement type="firstRowStripe" dxfId="2"/>
      <tableStyleElement type="secondRowStripe" dxfId="5"/>
    </tableStyle>
    <tableStyle name="Useful Awakenings-style" pivot="0" count="3">
      <tableStyleElement type="headerRow" dxfId="1"/>
      <tableStyleElement type="firstRowStripe" dxfId="2"/>
      <tableStyleElement type="secondRowStripe" dxfId="3"/>
    </tableStyle>
    <tableStyle name="Rift Anecdotes-style" pivot="0" count="3">
      <tableStyleElement type="headerRow" dxfId="4"/>
      <tableStyleElement type="firstRowStripe" dxfId="2"/>
      <tableStyleElement type="secondRowStripe" dxfId="5"/>
    </tableStyle>
    <tableStyle name="Rift Anecdotes-style 2" pivot="0" count="3">
      <tableStyleElement type="headerRow" dxfId="4"/>
      <tableStyleElement type="firstRowStripe" dxfId="2"/>
      <tableStyleElement type="secondRowStripe" dxfId="5"/>
    </tableStyle>
    <tableStyle name="Rift Anecdotes-style 3" pivot="0" count="3">
      <tableStyleElement type="headerRow" dxfId="4"/>
      <tableStyleElement type="firstRowStripe" dxfId="2"/>
      <tableStyleElement type="secondRowStripe" dxfId="5"/>
    </tableStyle>
    <tableStyle name="Rift Anecdotes-style 4" pivot="0" count="3">
      <tableStyleElement type="headerRow" dxfId="4"/>
      <tableStyleElement type="firstRowStripe" dxfId="2"/>
      <tableStyleElement type="secondRowStripe" dxfId="5"/>
    </tableStyle>
    <tableStyle name="Rift Anecdotes-style 5" pivot="0" count="3">
      <tableStyleElement type="headerRow" dxfId="4"/>
      <tableStyleElement type="firstRowStripe" dxfId="2"/>
      <tableStyleElement type="secondRowStripe" dxfId="5"/>
    </tableStyle>
    <tableStyle name="Rift Anecdotes-style 6" pivot="0" count="3">
      <tableStyleElement type="headerRow" dxfId="4"/>
      <tableStyleElement type="firstRowStripe" dxfId="2"/>
      <tableStyleElement type="secondRowStripe" dxfId="5"/>
    </tableStyle>
    <tableStyle name="Rift Anecdotes-style 7" pivot="0" count="3">
      <tableStyleElement type="headerRow" dxfId="4"/>
      <tableStyleElement type="firstRowStripe" dxfId="2"/>
      <tableStyleElement type="secondRowStripe" dxfId="5"/>
    </tableStyle>
    <tableStyle name="Rift Anecdotes-style 8" pivot="0" count="3">
      <tableStyleElement type="headerRow" dxfId="24"/>
      <tableStyleElement type="firstRowStripe" dxfId="2"/>
      <tableStyleElement type="secondRowStripe" dxfId="25"/>
    </tableStyle>
    <tableStyle name="Rift Anecdotes-style 9" pivot="0" count="3">
      <tableStyleElement type="headerRow" dxfId="24"/>
      <tableStyleElement type="firstRowStripe" dxfId="2"/>
      <tableStyleElement type="secondRowStripe" dxfId="25"/>
    </tableStyle>
    <tableStyle name="Rift Anecdotes-style 10" pivot="0" count="3">
      <tableStyleElement type="headerRow" dxfId="18"/>
      <tableStyleElement type="firstRowStripe" dxfId="2"/>
      <tableStyleElement type="secondRowStripe" dxfId="19"/>
    </tableStyle>
    <tableStyle name="Rift Anecdotes-style 11" pivot="0" count="3">
      <tableStyleElement type="headerRow" dxfId="18"/>
      <tableStyleElement type="firstRowStripe" dxfId="2"/>
      <tableStyleElement type="secondRowStripe" dxfId="19"/>
    </tableStyle>
    <tableStyle name="Rift Anecdotes-style 12" pivot="0" count="3">
      <tableStyleElement type="headerRow" dxfId="20"/>
      <tableStyleElement type="firstRowStripe" dxfId="2"/>
      <tableStyleElement type="secondRowStripe" dxfId="21"/>
    </tableStyle>
    <tableStyle name="Rift Anecdotes-style 13" pivot="0" count="3">
      <tableStyleElement type="headerRow" dxfId="20"/>
      <tableStyleElement type="firstRowStripe" dxfId="2"/>
      <tableStyleElement type="secondRowStripe" dxfId="21"/>
    </tableStyle>
    <tableStyle name="Rift Anecdotes-style 14" pivot="0" count="3">
      <tableStyleElement type="headerRow" dxfId="10"/>
      <tableStyleElement type="firstRowStripe" dxfId="2"/>
      <tableStyleElement type="secondRowStripe" dxfId="11"/>
    </tableStyle>
    <tableStyle name="Rift Anecdotes-style 15" pivot="0" count="3">
      <tableStyleElement type="headerRow" dxfId="10"/>
      <tableStyleElement type="firstRowStripe" dxfId="2"/>
      <tableStyleElement type="secondRowStripe" dxfId="11"/>
    </tableStyle>
    <tableStyle name="Rift Anecdotes-style 16" pivot="0" count="3">
      <tableStyleElement type="headerRow" dxfId="12"/>
      <tableStyleElement type="firstRowStripe" dxfId="2"/>
      <tableStyleElement type="secondRowStripe" dxfId="13"/>
    </tableStyle>
    <tableStyle name="Rift Anecdotes-style 17" pivot="0" count="3">
      <tableStyleElement type="headerRow" dxfId="12"/>
      <tableStyleElement type="firstRowStripe" dxfId="2"/>
      <tableStyleElement type="secondRowStripe" dxfId="13"/>
    </tableStyle>
    <tableStyle name="Rift Anecdotes-style 18" pivot="0" count="3">
      <tableStyleElement type="headerRow" dxfId="6"/>
      <tableStyleElement type="firstRowStripe" dxfId="2"/>
      <tableStyleElement type="secondRowStripe" dxfId="7"/>
    </tableStyle>
    <tableStyle name="Rift Anecdotes-style 19" pivot="0" count="3">
      <tableStyleElement type="headerRow" dxfId="6"/>
      <tableStyleElement type="firstRowStripe" dxfId="2"/>
      <tableStyleElement type="secondRowStripe" dxfId="7"/>
    </tableStyle>
    <tableStyle name="Rift Anecdotes-style 20" pivot="0" count="3">
      <tableStyleElement type="headerRow" dxfId="22"/>
      <tableStyleElement type="firstRowStripe" dxfId="2"/>
      <tableStyleElement type="secondRowStripe" dxfId="23"/>
    </tableStyle>
    <tableStyle name="Rift Anecdotes-style 21" pivot="0" count="3">
      <tableStyleElement type="headerRow" dxfId="22"/>
      <tableStyleElement type="firstRowStripe" dxfId="2"/>
      <tableStyleElement type="secondRowStripe" dxfId="23"/>
    </tableStyle>
    <tableStyle name="Protomon-style" pivot="0" count="3">
      <tableStyleElement type="headerRow" dxfId="4"/>
      <tableStyleElement type="firstRowStripe" dxfId="2"/>
      <tableStyleElement type="secondRowStripe" dxfId="5"/>
    </tableStyle>
    <tableStyle name="Protomon-style 2" pivot="0" count="3">
      <tableStyleElement type="headerRow" dxfId="4"/>
      <tableStyleElement type="firstRowStripe" dxfId="2"/>
      <tableStyleElement type="secondRowStripe" dxfId="5"/>
    </tableStyle>
    <tableStyle name="Protomon-style 3" pivot="0" count="3">
      <tableStyleElement type="headerRow" dxfId="4"/>
      <tableStyleElement type="firstRowStripe" dxfId="2"/>
      <tableStyleElement type="secondRowStripe" dxfId="5"/>
    </tableStyle>
    <tableStyle name="Protomon-style 4" pivot="0" count="3">
      <tableStyleElement type="headerRow" dxfId="4"/>
      <tableStyleElement type="firstRowStripe" dxfId="2"/>
      <tableStyleElement type="secondRowStripe" dxfId="5"/>
    </tableStyle>
    <tableStyle name="Protomon-style 5" pivot="0" count="3">
      <tableStyleElement type="headerRow" dxfId="4"/>
      <tableStyleElement type="firstRowStripe" dxfId="2"/>
      <tableStyleElement type="secondRowStripe" dxfId="5"/>
    </tableStyle>
    <tableStyle name="Protomon-style 6" pivot="0" count="3">
      <tableStyleElement type="headerRow" dxfId="4"/>
      <tableStyleElement type="firstRowStripe" dxfId="2"/>
      <tableStyleElement type="secondRowStripe" dxfId="5"/>
    </tableStyle>
    <tableStyle name="Hitmen-style" pivot="0" count="3">
      <tableStyleElement type="headerRow" dxfId="4"/>
      <tableStyleElement type="firstRowStripe" dxfId="2"/>
      <tableStyleElement type="secondRowStripe" dxfId="5"/>
    </tableStyle>
    <tableStyle name="Hitmen-style 2" pivot="0" count="3">
      <tableStyleElement type="headerRow" dxfId="4"/>
      <tableStyleElement type="firstRowStripe" dxfId="2"/>
      <tableStyleElement type="secondRow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omments/comment1.xml><?xml version="1.0" encoding="utf-8"?>
<comments xmlns="http://schemas.openxmlformats.org/spreadsheetml/2006/main">
  <authors>
    <author>Audit</author>
  </authors>
  <commentList>
    <comment ref="AZ1" authorId="0" shapeId="0">
      <text>
        <t>Max Level Cap constant</t>
      </text>
    </comment>
  </commentList>
</comments>
</file>

<file path=xl/tables/table1.xml><?xml version="1.0" encoding="utf-8"?>
<table xmlns="http://schemas.openxmlformats.org/spreadsheetml/2006/main" id="1" name="Table_1" displayName="Table_1" ref="A1:F9" headerRowCount="1">
  <tableColumns count="6">
    <tableColumn id="1" name="Name"/>
    <tableColumn id="2" name="Rarity"/>
    <tableColumn id="3" name="Type"/>
    <tableColumn id="4" name="Base Soul Speed"/>
    <tableColumn id="5" name="Awakened Bonus"/>
    <tableColumn id="6" name="Source"/>
  </tableColumns>
  <tableStyleInfo name="Offering Speed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1:F1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Offering Speed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4:F1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Offering Speed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7:F1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Offering Speed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20:F2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Offering Speed-style 5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23:F3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Offering Speed-style 6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40:B40" headerRowCount="0">
  <tableColumns count="2">
    <tableColumn id="1" name="Column1"/>
    <tableColumn id="2" name="Column2"/>
  </tableColumns>
  <tableStyleInfo name="Offering Speed-style 7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42:C49" headerRowCount="0">
  <tableColumns count="3">
    <tableColumn id="1" name="Column1"/>
    <tableColumn id="2" name="Column2"/>
    <tableColumn id="3" name="Column3"/>
  </tableColumns>
  <tableStyleInfo name="Offering Speed-style 8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G10" headerRowCount="1">
  <tableColumns count="7">
    <tableColumn id="1" name="Name"/>
    <tableColumn id="2" name="Rarity"/>
    <tableColumn id="3" name="Type"/>
    <tableColumn id="4" name="Base Travel Speed"/>
    <tableColumn id="5" name="Awakened Bonus"/>
    <tableColumn id="6" name="Stamp Bonus"/>
    <tableColumn id="7" name="Source"/>
  </tableColumns>
  <tableStyleInfo name="Travel Speed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12:G14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2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A15:G1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3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A19:G2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4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A22:G25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5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A26:G28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6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A29:G3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7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A32:G34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8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A35:G3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9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A40:G6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10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A64:B66" headerRowCount="0">
  <tableColumns count="2">
    <tableColumn id="1" name="Column1"/>
    <tableColumn id="2" name="Column2"/>
  </tableColumns>
  <tableStyleInfo name="Travel Speed-style 11" showFirstColumn="1" showLastColumn="1" showRowStripes="1" showColumnStripes="0"/>
</table>
</file>

<file path=xl/tables/table20.xml><?xml version="1.0" encoding="utf-8"?>
<table xmlns="http://schemas.openxmlformats.org/spreadsheetml/2006/main" id="20" name="Table_20" displayName="Table_20" ref="A69:G7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12" showFirstColumn="1" showLastColumn="1" showRowStripes="1" showColumnStripes="0"/>
</table>
</file>

<file path=xl/tables/table21.xml><?xml version="1.0" encoding="utf-8"?>
<table xmlns="http://schemas.openxmlformats.org/spreadsheetml/2006/main" id="21" name="Table_21" displayName="Table_21" ref="A75:G79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13" showFirstColumn="1" showLastColumn="1" showRowStripes="1" showColumnStripes="0"/>
</table>
</file>

<file path=xl/tables/table22.xml><?xml version="1.0" encoding="utf-8"?>
<table xmlns="http://schemas.openxmlformats.org/spreadsheetml/2006/main" id="22" name="Table_22" displayName="Table_22" ref="A81:G86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14" showFirstColumn="1" showLastColumn="1" showRowStripes="1" showColumnStripes="0"/>
</table>
</file>

<file path=xl/tables/table23.xml><?xml version="1.0" encoding="utf-8"?>
<table xmlns="http://schemas.openxmlformats.org/spreadsheetml/2006/main" id="23" name="Table_23" displayName="Table_23" ref="A88:G9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15" showFirstColumn="1" showLastColumn="1" showRowStripes="1" showColumnStripes="0"/>
</table>
</file>

<file path=xl/tables/table24.xml><?xml version="1.0" encoding="utf-8"?>
<table xmlns="http://schemas.openxmlformats.org/spreadsheetml/2006/main" id="24" name="Table_24" displayName="Table_24" ref="A95:G10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16" showFirstColumn="1" showLastColumn="1" showRowStripes="1" showColumnStripes="0"/>
</table>
</file>

<file path=xl/tables/table25.xml><?xml version="1.0" encoding="utf-8"?>
<table xmlns="http://schemas.openxmlformats.org/spreadsheetml/2006/main" id="25" name="Table_25" displayName="Table_25" ref="A102:G10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ravel Speed-style 17" showFirstColumn="1" showLastColumn="1" showRowStripes="1" showColumnStripes="0"/>
</table>
</file>

<file path=xl/tables/table26.xml><?xml version="1.0" encoding="utf-8"?>
<table xmlns="http://schemas.openxmlformats.org/spreadsheetml/2006/main" id="26" name="Table_26" displayName="Table_26" ref="A1:L6" headerRowCount="1">
  <tableColumns count="12">
    <tableColumn id="1" name="Name"/>
    <tableColumn id="2" name="Rarity"/>
    <tableColumn id="3" name="Type"/>
    <tableColumn id="4" name="Research Speed"/>
    <tableColumn id="5" name="Awakening Research Speed"/>
    <tableColumn id="6" name="Cells Cost"/>
    <tableColumn id="7" name="Awakening Cells Cost"/>
    <tableColumn id="8" name="Btad Cost"/>
    <tableColumn id="9" name="Awakening Btad Cost"/>
    <tableColumn id="10" name="Free Speedup (min)"/>
    <tableColumn id="11" name="Awakening Free Speedup"/>
    <tableColumn id="12" name="Source"/>
  </tableColumns>
  <tableStyleInfo name="Gene Research-style" showFirstColumn="1" showLastColumn="1" showRowStripes="1" showColumnStripes="0"/>
</table>
</file>

<file path=xl/tables/table27.xml><?xml version="1.0" encoding="utf-8"?>
<table xmlns="http://schemas.openxmlformats.org/spreadsheetml/2006/main" id="27" name="Table_27" displayName="Table_27" ref="A8:L10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2" showFirstColumn="1" showLastColumn="1" showRowStripes="1" showColumnStripes="0"/>
</table>
</file>

<file path=xl/tables/table28.xml><?xml version="1.0" encoding="utf-8"?>
<table xmlns="http://schemas.openxmlformats.org/spreadsheetml/2006/main" id="28" name="Table_28" displayName="Table_28" ref="A11:L15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3" showFirstColumn="1" showLastColumn="1" showRowStripes="1" showColumnStripes="0"/>
</table>
</file>

<file path=xl/tables/table29.xml><?xml version="1.0" encoding="utf-8"?>
<table xmlns="http://schemas.openxmlformats.org/spreadsheetml/2006/main" id="29" name="Table_29" displayName="Table_29" ref="A16:L20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4" showFirstColumn="1" showLastColumn="1" showRowStripes="1" showColumnStripes="0"/>
</table>
</file>

<file path=xl/tables/table30.xml><?xml version="1.0" encoding="utf-8"?>
<table xmlns="http://schemas.openxmlformats.org/spreadsheetml/2006/main" id="30" name="Table_30" displayName="Table_30" ref="A21:L27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5" showFirstColumn="1" showLastColumn="1" showRowStripes="1" showColumnStripes="0"/>
</table>
</file>

<file path=xl/tables/table31.xml><?xml version="1.0" encoding="utf-8"?>
<table xmlns="http://schemas.openxmlformats.org/spreadsheetml/2006/main" id="31" name="Table_31" displayName="Table_31" ref="A28:L30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6" showFirstColumn="1" showLastColumn="1" showRowStripes="1" showColumnStripes="0"/>
</table>
</file>

<file path=xl/tables/table32.xml><?xml version="1.0" encoding="utf-8"?>
<table xmlns="http://schemas.openxmlformats.org/spreadsheetml/2006/main" id="32" name="Table_32" displayName="Table_32" ref="A31:L33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7" showFirstColumn="1" showLastColumn="1" showRowStripes="1" showColumnStripes="0"/>
</table>
</file>

<file path=xl/tables/table33.xml><?xml version="1.0" encoding="utf-8"?>
<table xmlns="http://schemas.openxmlformats.org/spreadsheetml/2006/main" id="33" name="Table_33" displayName="Table_33" ref="A34:L35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8" showFirstColumn="1" showLastColumn="1" showRowStripes="1" showColumnStripes="0"/>
</table>
</file>

<file path=xl/tables/table34.xml><?xml version="1.0" encoding="utf-8"?>
<table xmlns="http://schemas.openxmlformats.org/spreadsheetml/2006/main" id="34" name="Table_34" displayName="Table_34" ref="A37:L54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9" showFirstColumn="1" showLastColumn="1" showRowStripes="1" showColumnStripes="0"/>
</table>
</file>

<file path=xl/tables/table35.xml><?xml version="1.0" encoding="utf-8"?>
<table xmlns="http://schemas.openxmlformats.org/spreadsheetml/2006/main" id="35" name="Table_35" displayName="Table_35" ref="A56:B59" headerRowCount="0">
  <tableColumns count="2">
    <tableColumn id="1" name="Column1"/>
    <tableColumn id="2" name="Column2"/>
  </tableColumns>
  <tableStyleInfo name="Gene Research-style 10" showFirstColumn="1" showLastColumn="1" showRowStripes="1" showColumnStripes="0"/>
</table>
</file>

<file path=xl/tables/table36.xml><?xml version="1.0" encoding="utf-8"?>
<table xmlns="http://schemas.openxmlformats.org/spreadsheetml/2006/main" id="36" name="Table_36" displayName="Table_36" ref="A64:L73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11" showFirstColumn="1" showLastColumn="1" showRowStripes="1" showColumnStripes="0"/>
</table>
</file>

<file path=xl/tables/table37.xml><?xml version="1.0" encoding="utf-8"?>
<table xmlns="http://schemas.openxmlformats.org/spreadsheetml/2006/main" id="37" name="Table_37" displayName="Table_37" ref="A75:L77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12" showFirstColumn="1" showLastColumn="1" showRowStripes="1" showColumnStripes="0"/>
</table>
</file>

<file path=xl/tables/table38.xml><?xml version="1.0" encoding="utf-8"?>
<table xmlns="http://schemas.openxmlformats.org/spreadsheetml/2006/main" id="38" name="Table_38" displayName="Table_38" ref="A78:L102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13" showFirstColumn="1" showLastColumn="1" showRowStripes="1" showColumnStripes="0"/>
</table>
</file>

<file path=xl/tables/table39.xml><?xml version="1.0" encoding="utf-8"?>
<table xmlns="http://schemas.openxmlformats.org/spreadsheetml/2006/main" id="39" name="Table_39" displayName="Table_39" ref="A105:L113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14" showFirstColumn="1" showLastColumn="1" showRowStripes="1" showColumnStripes="0"/>
</table>
</file>

<file path=xl/tables/table40.xml><?xml version="1.0" encoding="utf-8"?>
<table xmlns="http://schemas.openxmlformats.org/spreadsheetml/2006/main" id="40" name="Table_40" displayName="Table_40" ref="A115:L138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15" showFirstColumn="1" showLastColumn="1" showRowStripes="1" showColumnStripes="0"/>
</table>
</file>

<file path=xl/tables/table41.xml><?xml version="1.0" encoding="utf-8"?>
<table xmlns="http://schemas.openxmlformats.org/spreadsheetml/2006/main" id="41" name="Table_41" displayName="Table_41" ref="A141:L150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16" showFirstColumn="1" showLastColumn="1" showRowStripes="1" showColumnStripes="0"/>
</table>
</file>

<file path=xl/tables/table42.xml><?xml version="1.0" encoding="utf-8"?>
<table xmlns="http://schemas.openxmlformats.org/spreadsheetml/2006/main" id="42" name="Table_42" displayName="Table_42" ref="A152:L154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17" showFirstColumn="1" showLastColumn="1" showRowStripes="1" showColumnStripes="0"/>
</table>
</file>

<file path=xl/tables/table43.xml><?xml version="1.0" encoding="utf-8"?>
<table xmlns="http://schemas.openxmlformats.org/spreadsheetml/2006/main" id="43" name="Table_43" displayName="Table_43" ref="A155:L178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18" showFirstColumn="1" showLastColumn="1" showRowStripes="1" showColumnStripes="0"/>
</table>
</file>

<file path=xl/tables/table44.xml><?xml version="1.0" encoding="utf-8"?>
<table xmlns="http://schemas.openxmlformats.org/spreadsheetml/2006/main" id="44" name="Table_44" displayName="Table_44" ref="A181:L190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19" showFirstColumn="1" showLastColumn="1" showRowStripes="1" showColumnStripes="0"/>
</table>
</file>

<file path=xl/tables/table45.xml><?xml version="1.0" encoding="utf-8"?>
<table xmlns="http://schemas.openxmlformats.org/spreadsheetml/2006/main" id="45" name="Table_45" displayName="Table_45" ref="A192:L194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20" showFirstColumn="1" showLastColumn="1" showRowStripes="1" showColumnStripes="0"/>
</table>
</file>

<file path=xl/tables/table46.xml><?xml version="1.0" encoding="utf-8"?>
<table xmlns="http://schemas.openxmlformats.org/spreadsheetml/2006/main" id="46" name="Table_46" displayName="Table_46" ref="A195:L217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21" showFirstColumn="1" showLastColumn="1" showRowStripes="1" showColumnStripes="0"/>
</table>
</file>

<file path=xl/tables/table47.xml><?xml version="1.0" encoding="utf-8"?>
<table xmlns="http://schemas.openxmlformats.org/spreadsheetml/2006/main" id="47" name="Table_47" displayName="Table_47" ref="A220:L228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22" showFirstColumn="1" showLastColumn="1" showRowStripes="1" showColumnStripes="0"/>
</table>
</file>

<file path=xl/tables/table48.xml><?xml version="1.0" encoding="utf-8"?>
<table xmlns="http://schemas.openxmlformats.org/spreadsheetml/2006/main" id="48" name="Table_48" displayName="Table_48" ref="A230:L232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23" showFirstColumn="1" showLastColumn="1" showRowStripes="1" showColumnStripes="0"/>
</table>
</file>

<file path=xl/tables/table49.xml><?xml version="1.0" encoding="utf-8"?>
<table xmlns="http://schemas.openxmlformats.org/spreadsheetml/2006/main" id="49" name="Table_49" displayName="Table_49" ref="A233:L255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24" showFirstColumn="1" showLastColumn="1" showRowStripes="1" showColumnStripes="0"/>
</table>
</file>

<file path=xl/tables/table50.xml><?xml version="1.0" encoding="utf-8"?>
<table xmlns="http://schemas.openxmlformats.org/spreadsheetml/2006/main" id="50" name="Table_50" displayName="Table_50" ref="A258:L264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25" showFirstColumn="1" showLastColumn="1" showRowStripes="1" showColumnStripes="0"/>
</table>
</file>

<file path=xl/tables/table51.xml><?xml version="1.0" encoding="utf-8"?>
<table xmlns="http://schemas.openxmlformats.org/spreadsheetml/2006/main" id="51" name="Table_51" displayName="Table_51" ref="A266:L285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Gene Research-style 26" showFirstColumn="1" showLastColumn="1" showRowStripes="1" showColumnStripes="0"/>
</table>
</file>

<file path=xl/tables/table52.xml><?xml version="1.0" encoding="utf-8"?>
<table xmlns="http://schemas.openxmlformats.org/spreadsheetml/2006/main" id="52" name="Table_52" displayName="Table_52" ref="A290:G294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Gene Research-style 27" showFirstColumn="1" showLastColumn="1" showRowStripes="1" showColumnStripes="0"/>
</table>
</file>

<file path=xl/tables/table53.xml><?xml version="1.0" encoding="utf-8"?>
<table xmlns="http://schemas.openxmlformats.org/spreadsheetml/2006/main" id="53" name="Table_53" displayName="Table_53" ref="A1:N14" headerRowCount="1">
  <tableColumns count="14">
    <tableColumn id="1" name="Name"/>
    <tableColumn id="2" name="Rarity"/>
    <tableColumn id="3" name="Type"/>
    <tableColumn id="4" name="Zombie Cells"/>
    <tableColumn id="5" name="Zombie Cells (Awakened)"/>
    <tableColumn id="6" name="Demon Cells"/>
    <tableColumn id="7" name="Demon Cells (Awakened)"/>
    <tableColumn id="8" name="Angel Cells"/>
    <tableColumn id="9" name="Angel Cells (Awakened)"/>
    <tableColumn id="10" name="Mutant Cells"/>
    <tableColumn id="11" name="Mutant Cells (Awakened)"/>
    <tableColumn id="12" name="Mecha Cells"/>
    <tableColumn id="13" name="Mecha Cells (Awakened)"/>
    <tableColumn id="14" name="Source"/>
  </tableColumns>
  <tableStyleInfo name="Cells Gained-style" showFirstColumn="1" showLastColumn="1" showRowStripes="1" showColumnStripes="0"/>
</table>
</file>

<file path=xl/tables/table54.xml><?xml version="1.0" encoding="utf-8"?>
<table xmlns="http://schemas.openxmlformats.org/spreadsheetml/2006/main" id="54" name="Table_54" displayName="Table_54" ref="A16:N22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2" showFirstColumn="1" showLastColumn="1" showRowStripes="1" showColumnStripes="0"/>
</table>
</file>

<file path=xl/tables/table55.xml><?xml version="1.0" encoding="utf-8"?>
<table xmlns="http://schemas.openxmlformats.org/spreadsheetml/2006/main" id="55" name="Table_55" displayName="Table_55" ref="A24:N31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3" showFirstColumn="1" showLastColumn="1" showRowStripes="1" showColumnStripes="0"/>
</table>
</file>

<file path=xl/tables/table56.xml><?xml version="1.0" encoding="utf-8"?>
<table xmlns="http://schemas.openxmlformats.org/spreadsheetml/2006/main" id="56" name="Table_56" displayName="Table_56" ref="A33:N54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4" showFirstColumn="1" showLastColumn="1" showRowStripes="1" showColumnStripes="0"/>
</table>
</file>

<file path=xl/tables/table57.xml><?xml version="1.0" encoding="utf-8"?>
<table xmlns="http://schemas.openxmlformats.org/spreadsheetml/2006/main" id="57" name="Table_57" displayName="Table_57" ref="A56:F5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Cells Gained-style 5" showFirstColumn="1" showLastColumn="1" showRowStripes="1" showColumnStripes="0"/>
</table>
</file>

<file path=xl/tables/table58.xml><?xml version="1.0" encoding="utf-8"?>
<table xmlns="http://schemas.openxmlformats.org/spreadsheetml/2006/main" id="58" name="Table_58" displayName="Table_58" ref="A61:N64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6" showFirstColumn="1" showLastColumn="1" showRowStripes="1" showColumnStripes="0"/>
</table>
</file>

<file path=xl/tables/table59.xml><?xml version="1.0" encoding="utf-8"?>
<table xmlns="http://schemas.openxmlformats.org/spreadsheetml/2006/main" id="59" name="Table_59" displayName="Table_59" ref="A66:N67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7" showFirstColumn="1" showLastColumn="1" showRowStripes="1" showColumnStripes="0"/>
</table>
</file>

<file path=xl/tables/table60.xml><?xml version="1.0" encoding="utf-8"?>
<table xmlns="http://schemas.openxmlformats.org/spreadsheetml/2006/main" id="60" name="Table_60" displayName="Table_60" ref="A70:N73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8" showFirstColumn="1" showLastColumn="1" showRowStripes="1" showColumnStripes="0"/>
</table>
</file>

<file path=xl/tables/table61.xml><?xml version="1.0" encoding="utf-8"?>
<table xmlns="http://schemas.openxmlformats.org/spreadsheetml/2006/main" id="61" name="Table_61" displayName="Table_61" ref="A75:N76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9" showFirstColumn="1" showLastColumn="1" showRowStripes="1" showColumnStripes="0"/>
</table>
</file>

<file path=xl/tables/table62.xml><?xml version="1.0" encoding="utf-8"?>
<table xmlns="http://schemas.openxmlformats.org/spreadsheetml/2006/main" id="62" name="Table_62" displayName="Table_62" ref="A79:N82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10" showFirstColumn="1" showLastColumn="1" showRowStripes="1" showColumnStripes="0"/>
</table>
</file>

<file path=xl/tables/table63.xml><?xml version="1.0" encoding="utf-8"?>
<table xmlns="http://schemas.openxmlformats.org/spreadsheetml/2006/main" id="63" name="Table_63" displayName="Table_63" ref="A84:N85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11" showFirstColumn="1" showLastColumn="1" showRowStripes="1" showColumnStripes="0"/>
</table>
</file>

<file path=xl/tables/table64.xml><?xml version="1.0" encoding="utf-8"?>
<table xmlns="http://schemas.openxmlformats.org/spreadsheetml/2006/main" id="64" name="Table_64" displayName="Table_64" ref="A88:N91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12" showFirstColumn="1" showLastColumn="1" showRowStripes="1" showColumnStripes="0"/>
</table>
</file>

<file path=xl/tables/table65.xml><?xml version="1.0" encoding="utf-8"?>
<table xmlns="http://schemas.openxmlformats.org/spreadsheetml/2006/main" id="65" name="Table_65" displayName="Table_65" ref="A93:N94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13" showFirstColumn="1" showLastColumn="1" showRowStripes="1" showColumnStripes="0"/>
</table>
</file>

<file path=xl/tables/table66.xml><?xml version="1.0" encoding="utf-8"?>
<table xmlns="http://schemas.openxmlformats.org/spreadsheetml/2006/main" id="66" name="Table_66" displayName="Table_66" ref="A97:N100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14" showFirstColumn="1" showLastColumn="1" showRowStripes="1" showColumnStripes="0"/>
</table>
</file>

<file path=xl/tables/table67.xml><?xml version="1.0" encoding="utf-8"?>
<table xmlns="http://schemas.openxmlformats.org/spreadsheetml/2006/main" id="67" name="Table_67" displayName="Table_67" ref="A102:N103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15" showFirstColumn="1" showLastColumn="1" showRowStripes="1" showColumnStripes="0"/>
</table>
</file>

<file path=xl/tables/table68.xml><?xml version="1.0" encoding="utf-8"?>
<table xmlns="http://schemas.openxmlformats.org/spreadsheetml/2006/main" id="68" name="Table_68" displayName="Table_68" ref="A106:N108" headerRowCount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Cells Gained-style 16" showFirstColumn="1" showLastColumn="1" showRowStripes="1" showColumnStripes="0"/>
</table>
</file>

<file path=xl/tables/table69.xml><?xml version="1.0" encoding="utf-8"?>
<table xmlns="http://schemas.openxmlformats.org/spreadsheetml/2006/main" id="69" name="Table_69" displayName="Table_69" ref="A111:F11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Cells Gained-style 17" showFirstColumn="1" showLastColumn="1" showRowStripes="1" showColumnStripes="0"/>
</table>
</file>

<file path=xl/tables/table70.xml><?xml version="1.0" encoding="utf-8"?>
<table xmlns="http://schemas.openxmlformats.org/spreadsheetml/2006/main" id="70" name="Table_70" displayName="Table_70" ref="A1:L28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Museum-style" showFirstColumn="1" showLastColumn="1" showRowStripes="1" showColumnStripes="0"/>
</table>
</file>

<file path=xl/tables/table71.xml><?xml version="1.0" encoding="utf-8"?>
<table xmlns="http://schemas.openxmlformats.org/spreadsheetml/2006/main" id="71" name="Table_71" displayName="Table_71" ref="A31:H48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Museum-style 2" showFirstColumn="1" showLastColumn="1" showRowStripes="1" showColumnStripes="0"/>
</table>
</file>

<file path=xl/tables/table72.xml><?xml version="1.0" encoding="utf-8"?>
<table xmlns="http://schemas.openxmlformats.org/spreadsheetml/2006/main" id="72" name="Table_72" displayName="Table_72" ref="A62:L99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Museum-style 3" showFirstColumn="1" showLastColumn="1" showRowStripes="1" showColumnStripes="0"/>
</table>
</file>

<file path=xl/tables/table73.xml><?xml version="1.0" encoding="utf-8"?>
<table xmlns="http://schemas.openxmlformats.org/spreadsheetml/2006/main" id="73" name="Table_73" displayName="Table_73" ref="A102:H119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Museum-style 4" showFirstColumn="1" showLastColumn="1" showRowStripes="1" showColumnStripes="0"/>
</table>
</file>

<file path=xl/tables/table74.xml><?xml version="1.0" encoding="utf-8"?>
<table xmlns="http://schemas.openxmlformats.org/spreadsheetml/2006/main" id="74" name="Table_74" displayName="Table_74" ref="A129:L165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Museum-style 5" showFirstColumn="1" showLastColumn="1" showRowStripes="1" showColumnStripes="0"/>
</table>
</file>

<file path=xl/tables/table75.xml><?xml version="1.0" encoding="utf-8"?>
<table xmlns="http://schemas.openxmlformats.org/spreadsheetml/2006/main" id="75" name="Table_75" displayName="Table_75" ref="A171:H188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Museum-style 6" showFirstColumn="1" showLastColumn="1" showRowStripes="1" showColumnStripes="0"/>
</table>
</file>

<file path=xl/tables/table76.xml><?xml version="1.0" encoding="utf-8"?>
<table xmlns="http://schemas.openxmlformats.org/spreadsheetml/2006/main" id="76" name="Table_76" displayName="Table_76" ref="A192:L240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Museum-style 7" showFirstColumn="1" showLastColumn="1" showRowStripes="1" showColumnStripes="0"/>
</table>
</file>

<file path=xl/tables/table77.xml><?xml version="1.0" encoding="utf-8"?>
<table xmlns="http://schemas.openxmlformats.org/spreadsheetml/2006/main" id="77" name="Table_77" displayName="Table_77" ref="A244:H261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Museum-style 8" showFirstColumn="1" showLastColumn="1" showRowStripes="1" showColumnStripes="0"/>
</table>
</file>

<file path=xl/tables/table78.xml><?xml version="1.0" encoding="utf-8"?>
<table xmlns="http://schemas.openxmlformats.org/spreadsheetml/2006/main" id="78" name="Table_78" displayName="Table_78" ref="A265:L309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Museum-style 9" showFirstColumn="1" showLastColumn="1" showRowStripes="1" showColumnStripes="0"/>
</table>
</file>

<file path=xl/tables/table79.xml><?xml version="1.0" encoding="utf-8"?>
<table xmlns="http://schemas.openxmlformats.org/spreadsheetml/2006/main" id="79" name="Table_79" displayName="Table_79" ref="A312:H329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Museum-style 10" showFirstColumn="1" showLastColumn="1" showRowStripes="1" showColumnStripes="0"/>
</table>
</file>

<file path=xl/tables/table80.xml><?xml version="1.0" encoding="utf-8"?>
<table xmlns="http://schemas.openxmlformats.org/spreadsheetml/2006/main" id="80" name="Table_80" displayName="Table_80" ref="A334:L367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Museum-style 11" showFirstColumn="1" showLastColumn="1" showRowStripes="1" showColumnStripes="0"/>
</table>
</file>

<file path=xl/tables/table81.xml><?xml version="1.0" encoding="utf-8"?>
<table xmlns="http://schemas.openxmlformats.org/spreadsheetml/2006/main" id="81" name="Table_81" displayName="Table_81" ref="A370:H387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Museum-style 12" showFirstColumn="1" showLastColumn="1" showRowStripes="1" showColumnStripes="0"/>
</table>
</file>

<file path=xl/tables/table82.xml><?xml version="1.0" encoding="utf-8"?>
<table xmlns="http://schemas.openxmlformats.org/spreadsheetml/2006/main" id="82" name="Table_82" displayName="Table_82" ref="A392:L425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Museum-style 13" showFirstColumn="1" showLastColumn="1" showRowStripes="1" showColumnStripes="0"/>
</table>
</file>

<file path=xl/tables/table83.xml><?xml version="1.0" encoding="utf-8"?>
<table xmlns="http://schemas.openxmlformats.org/spreadsheetml/2006/main" id="83" name="Table_83" displayName="Table_83" ref="A430:H447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Museum-style 14" showFirstColumn="1" showLastColumn="1" showRowStripes="1" showColumnStripes="0"/>
</table>
</file>

<file path=xl/tables/table84.xml><?xml version="1.0" encoding="utf-8"?>
<table xmlns="http://schemas.openxmlformats.org/spreadsheetml/2006/main" id="84" name="Table_84" displayName="Table_84" ref="A451:L483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Museum-style 15" showFirstColumn="1" showLastColumn="1" showRowStripes="1" showColumnStripes="0"/>
</table>
</file>

<file path=xl/tables/table85.xml><?xml version="1.0" encoding="utf-8"?>
<table xmlns="http://schemas.openxmlformats.org/spreadsheetml/2006/main" id="85" name="Table_85" displayName="Table_85" ref="A488:H505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Museum-style 16" showFirstColumn="1" showLastColumn="1" showRowStripes="1" showColumnStripes="0"/>
</table>
</file>

<file path=xl/tables/table86.xml><?xml version="1.0" encoding="utf-8"?>
<table xmlns="http://schemas.openxmlformats.org/spreadsheetml/2006/main" id="86" name="Table_86" displayName="Table_86" ref="A1:F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" showFirstColumn="1" showLastColumn="1" showRowStripes="1" showColumnStripes="0"/>
</table>
</file>

<file path=xl/tables/table87.xml><?xml version="1.0" encoding="utf-8"?>
<table xmlns="http://schemas.openxmlformats.org/spreadsheetml/2006/main" id="87" name="Table_87" displayName="Table_87" ref="A4:F1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" showFirstColumn="1" showLastColumn="1" showRowStripes="1" showColumnStripes="0"/>
</table>
</file>

<file path=xl/tables/table88.xml><?xml version="1.0" encoding="utf-8"?>
<table xmlns="http://schemas.openxmlformats.org/spreadsheetml/2006/main" id="88" name="Table_88" displayName="Table_88" ref="A16:F2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3" showFirstColumn="1" showLastColumn="1" showRowStripes="1" showColumnStripes="0"/>
</table>
</file>

<file path=xl/tables/table89.xml><?xml version="1.0" encoding="utf-8"?>
<table xmlns="http://schemas.openxmlformats.org/spreadsheetml/2006/main" id="89" name="Table_89" displayName="Table_89" ref="A26:F3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4" showFirstColumn="1" showLastColumn="1" showRowStripes="1" showColumnStripes="0"/>
</table>
</file>

<file path=xl/tables/table90.xml><?xml version="1.0" encoding="utf-8"?>
<table xmlns="http://schemas.openxmlformats.org/spreadsheetml/2006/main" id="90" name="Table_90" displayName="Table_90" ref="A36:F3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5" showFirstColumn="1" showLastColumn="1" showRowStripes="1" showColumnStripes="0"/>
</table>
</file>

<file path=xl/tables/table91.xml><?xml version="1.0" encoding="utf-8"?>
<table xmlns="http://schemas.openxmlformats.org/spreadsheetml/2006/main" id="91" name="Table_91" displayName="Table_91" ref="A42:F4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6" showFirstColumn="1" showLastColumn="1" showRowStripes="1" showColumnStripes="0"/>
</table>
</file>

<file path=xl/tables/table92.xml><?xml version="1.0" encoding="utf-8"?>
<table xmlns="http://schemas.openxmlformats.org/spreadsheetml/2006/main" id="92" name="Table_92" displayName="Table_92" ref="A48:F5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7" showFirstColumn="1" showLastColumn="1" showRowStripes="1" showColumnStripes="0"/>
</table>
</file>

<file path=xl/tables/table93.xml><?xml version="1.0" encoding="utf-8"?>
<table xmlns="http://schemas.openxmlformats.org/spreadsheetml/2006/main" id="93" name="Table_93" displayName="Table_93" ref="A59:F6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8" showFirstColumn="1" showLastColumn="1" showRowStripes="1" showColumnStripes="0"/>
</table>
</file>

<file path=xl/tables/table94.xml><?xml version="1.0" encoding="utf-8"?>
<table xmlns="http://schemas.openxmlformats.org/spreadsheetml/2006/main" id="94" name="Table_94" displayName="Table_94" ref="A70:F7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9" showFirstColumn="1" showLastColumn="1" showRowStripes="1" showColumnStripes="0"/>
</table>
</file>

<file path=xl/tables/table95.xml><?xml version="1.0" encoding="utf-8"?>
<table xmlns="http://schemas.openxmlformats.org/spreadsheetml/2006/main" id="95" name="Table_95" displayName="Table_95" ref="A76:F7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10" showFirstColumn="1" showLastColumn="1" showRowStripes="1" showColumnStripes="0"/>
</table>
</file>

<file path=xl/tables/table96.xml><?xml version="1.0" encoding="utf-8"?>
<table xmlns="http://schemas.openxmlformats.org/spreadsheetml/2006/main" id="96" name="Table_96" displayName="Table_96" ref="A82:B90" headerRowCount="0">
  <tableColumns count="2">
    <tableColumn id="1" name="Column1"/>
    <tableColumn id="2" name="Column2"/>
  </tableColumns>
  <tableStyleInfo name="Rocket Cabin Effects-style 11" showFirstColumn="1" showLastColumn="1" showRowStripes="1" showColumnStripes="0"/>
</table>
</file>

<file path=xl/tables/table97.xml><?xml version="1.0" encoding="utf-8"?>
<table xmlns="http://schemas.openxmlformats.org/spreadsheetml/2006/main" id="97" name="Table_97" displayName="Table_97" ref="A96:F10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12" showFirstColumn="1" showLastColumn="1" showRowStripes="1" showColumnStripes="0"/>
</table>
</file>

<file path=xl/tables/table98.xml><?xml version="1.0" encoding="utf-8"?>
<table xmlns="http://schemas.openxmlformats.org/spreadsheetml/2006/main" id="98" name="Table_98" displayName="Table_98" ref="A107:F11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13" showFirstColumn="1" showLastColumn="1" showRowStripes="1" showColumnStripes="0"/>
</table>
</file>

<file path=xl/tables/table99.xml><?xml version="1.0" encoding="utf-8"?>
<table xmlns="http://schemas.openxmlformats.org/spreadsheetml/2006/main" id="99" name="Table_99" displayName="Table_99" ref="A117:F12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14" showFirstColumn="1" showLastColumn="1" showRowStripes="1" showColumnStripes="0"/>
</table>
</file>

<file path=xl/tables/table100.xml><?xml version="1.0" encoding="utf-8"?>
<table xmlns="http://schemas.openxmlformats.org/spreadsheetml/2006/main" id="100" name="Table_100" displayName="Table_100" ref="A127:F13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15" showFirstColumn="1" showLastColumn="1" showRowStripes="1" showColumnStripes="0"/>
</table>
</file>

<file path=xl/tables/table101.xml><?xml version="1.0" encoding="utf-8"?>
<table xmlns="http://schemas.openxmlformats.org/spreadsheetml/2006/main" id="101" name="Table_101" displayName="Table_101" ref="A133:F13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16" showFirstColumn="1" showLastColumn="1" showRowStripes="1" showColumnStripes="0"/>
</table>
</file>

<file path=xl/tables/table102.xml><?xml version="1.0" encoding="utf-8"?>
<table xmlns="http://schemas.openxmlformats.org/spreadsheetml/2006/main" id="102" name="Table_102" displayName="Table_102" ref="A139:F14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17" showFirstColumn="1" showLastColumn="1" showRowStripes="1" showColumnStripes="0"/>
</table>
</file>

<file path=xl/tables/table103.xml><?xml version="1.0" encoding="utf-8"?>
<table xmlns="http://schemas.openxmlformats.org/spreadsheetml/2006/main" id="103" name="Table_103" displayName="Table_103" ref="A150:F15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18" showFirstColumn="1" showLastColumn="1" showRowStripes="1" showColumnStripes="0"/>
</table>
</file>

<file path=xl/tables/table104.xml><?xml version="1.0" encoding="utf-8"?>
<table xmlns="http://schemas.openxmlformats.org/spreadsheetml/2006/main" id="104" name="Table_104" displayName="Table_104" ref="A161:F16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19" showFirstColumn="1" showLastColumn="1" showRowStripes="1" showColumnStripes="0"/>
</table>
</file>

<file path=xl/tables/table105.xml><?xml version="1.0" encoding="utf-8"?>
<table xmlns="http://schemas.openxmlformats.org/spreadsheetml/2006/main" id="105" name="Table_105" displayName="Table_105" ref="A167:F17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0" showFirstColumn="1" showLastColumn="1" showRowStripes="1" showColumnStripes="0"/>
</table>
</file>

<file path=xl/tables/table106.xml><?xml version="1.0" encoding="utf-8"?>
<table xmlns="http://schemas.openxmlformats.org/spreadsheetml/2006/main" id="106" name="Table_106" displayName="Table_106" ref="A173:B181" headerRowCount="0">
  <tableColumns count="2">
    <tableColumn id="1" name="Column1"/>
    <tableColumn id="2" name="Column2"/>
  </tableColumns>
  <tableStyleInfo name="Rocket Cabin Effects-style 21" showFirstColumn="1" showLastColumn="1" showRowStripes="1" showColumnStripes="0"/>
</table>
</file>

<file path=xl/tables/table107.xml><?xml version="1.0" encoding="utf-8"?>
<table xmlns="http://schemas.openxmlformats.org/spreadsheetml/2006/main" id="107" name="Table_107" displayName="Table_107" ref="A187:F19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2" showFirstColumn="1" showLastColumn="1" showRowStripes="1" showColumnStripes="0"/>
</table>
</file>

<file path=xl/tables/table108.xml><?xml version="1.0" encoding="utf-8"?>
<table xmlns="http://schemas.openxmlformats.org/spreadsheetml/2006/main" id="108" name="Table_108" displayName="Table_108" ref="A199:F20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3" showFirstColumn="1" showLastColumn="1" showRowStripes="1" showColumnStripes="0"/>
</table>
</file>

<file path=xl/tables/table109.xml><?xml version="1.0" encoding="utf-8"?>
<table xmlns="http://schemas.openxmlformats.org/spreadsheetml/2006/main" id="109" name="Table_109" displayName="Table_109" ref="A205:F21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4" showFirstColumn="1" showLastColumn="1" showRowStripes="1" showColumnStripes="0"/>
</table>
</file>

<file path=xl/tables/table110.xml><?xml version="1.0" encoding="utf-8"?>
<table xmlns="http://schemas.openxmlformats.org/spreadsheetml/2006/main" id="110" name="Table_110" displayName="Table_110" ref="A215:F22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5" showFirstColumn="1" showLastColumn="1" showRowStripes="1" showColumnStripes="0"/>
</table>
</file>

<file path=xl/tables/table111.xml><?xml version="1.0" encoding="utf-8"?>
<table xmlns="http://schemas.openxmlformats.org/spreadsheetml/2006/main" id="111" name="Table_111" displayName="Table_111" ref="A225:F22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6" showFirstColumn="1" showLastColumn="1" showRowStripes="1" showColumnStripes="0"/>
</table>
</file>

<file path=xl/tables/table112.xml><?xml version="1.0" encoding="utf-8"?>
<table xmlns="http://schemas.openxmlformats.org/spreadsheetml/2006/main" id="112" name="Table_112" displayName="Table_112" ref="A231:F23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7" showFirstColumn="1" showLastColumn="1" showRowStripes="1" showColumnStripes="0"/>
</table>
</file>

<file path=xl/tables/table113.xml><?xml version="1.0" encoding="utf-8"?>
<table xmlns="http://schemas.openxmlformats.org/spreadsheetml/2006/main" id="113" name="Table_113" displayName="Table_113" ref="A242:F25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8" showFirstColumn="1" showLastColumn="1" showRowStripes="1" showColumnStripes="0"/>
</table>
</file>

<file path=xl/tables/table114.xml><?xml version="1.0" encoding="utf-8"?>
<table xmlns="http://schemas.openxmlformats.org/spreadsheetml/2006/main" id="114" name="Table_114" displayName="Table_114" ref="A253:F25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29" showFirstColumn="1" showLastColumn="1" showRowStripes="1" showColumnStripes="0"/>
</table>
</file>

<file path=xl/tables/table115.xml><?xml version="1.0" encoding="utf-8"?>
<table xmlns="http://schemas.openxmlformats.org/spreadsheetml/2006/main" id="115" name="Table_115" displayName="Table_115" ref="A259:F26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Rocket Cabin Effects-style 30" showFirstColumn="1" showLastColumn="1" showRowStripes="1" showColumnStripes="0"/>
</table>
</file>

<file path=xl/tables/table116.xml><?xml version="1.0" encoding="utf-8"?>
<table xmlns="http://schemas.openxmlformats.org/spreadsheetml/2006/main" id="116" name="Table_116" displayName="Table_116" ref="A265:B273" headerRowCount="0">
  <tableColumns count="2">
    <tableColumn id="1" name="Column1"/>
    <tableColumn id="2" name="Column2"/>
  </tableColumns>
  <tableStyleInfo name="Rocket Cabin Effects-style 31" showFirstColumn="1" showLastColumn="1" showRowStripes="1" showColumnStripes="0"/>
</table>
</file>

<file path=xl/tables/table117.xml><?xml version="1.0" encoding="utf-8"?>
<table xmlns="http://schemas.openxmlformats.org/spreadsheetml/2006/main" id="117" name="Table_117" displayName="Table_117" ref="A2:J37" headerRowCount="1">
  <tableColumns count="10">
    <tableColumn id="1" name="HP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" showFirstColumn="1" showLastColumn="1" showRowStripes="1" showColumnStripes="0"/>
</table>
</file>

<file path=xl/tables/table118.xml><?xml version="1.0" encoding="utf-8"?>
<table xmlns="http://schemas.openxmlformats.org/spreadsheetml/2006/main" id="118" name="Table_118" displayName="Table_118" ref="N2:X1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Minion Boosts-style 2" showFirstColumn="1" showLastColumn="1" showRowStripes="1" showColumnStripes="0"/>
</table>
</file>

<file path=xl/tables/table119.xml><?xml version="1.0" encoding="utf-8"?>
<table xmlns="http://schemas.openxmlformats.org/spreadsheetml/2006/main" id="119" name="Table_119" displayName="Table_119" ref="A40:J91" headerRowCount="1">
  <tableColumns count="10">
    <tableColumn id="1" name="ATK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3" showFirstColumn="1" showLastColumn="1" showRowStripes="1" showColumnStripes="0"/>
</table>
</file>

<file path=xl/tables/table120.xml><?xml version="1.0" encoding="utf-8"?>
<table xmlns="http://schemas.openxmlformats.org/spreadsheetml/2006/main" id="120" name="Table_120" displayName="Table_120" ref="A94:J131" headerRowCount="1">
  <tableColumns count="10">
    <tableColumn id="1" name="RUSH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4" showFirstColumn="1" showLastColumn="1" showRowStripes="1" showColumnStripes="0"/>
</table>
</file>

<file path=xl/tables/table121.xml><?xml version="1.0" encoding="utf-8"?>
<table xmlns="http://schemas.openxmlformats.org/spreadsheetml/2006/main" id="121" name="Table_121" displayName="Table_121" ref="A134:J167" headerRowCount="1">
  <tableColumns count="10">
    <tableColumn id="1" name="DEF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5" showFirstColumn="1" showLastColumn="1" showRowStripes="1" showColumnStripes="0"/>
</table>
</file>

<file path=xl/tables/table122.xml><?xml version="1.0" encoding="utf-8"?>
<table xmlns="http://schemas.openxmlformats.org/spreadsheetml/2006/main" id="122" name="Table_122" displayName="Table_122" ref="A170:J201" headerRowCount="1">
  <tableColumns count="10">
    <tableColumn id="1" name="HARD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6" showFirstColumn="1" showLastColumn="1" showRowStripes="1" showColumnStripes="0"/>
</table>
</file>

<file path=xl/tables/table123.xml><?xml version="1.0" encoding="utf-8"?>
<table xmlns="http://schemas.openxmlformats.org/spreadsheetml/2006/main" id="123" name="Table_123" displayName="Table_123" ref="A207:J227" headerRowCount="1">
  <tableColumns count="10">
    <tableColumn id="1" name="HP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7" showFirstColumn="1" showLastColumn="1" showRowStripes="1" showColumnStripes="0"/>
</table>
</file>

<file path=xl/tables/table124.xml><?xml version="1.0" encoding="utf-8"?>
<table xmlns="http://schemas.openxmlformats.org/spreadsheetml/2006/main" id="124" name="Table_124" displayName="Table_124" ref="A230:J254" headerRowCount="1">
  <tableColumns count="10">
    <tableColumn id="1" name="ATK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8" showFirstColumn="1" showLastColumn="1" showRowStripes="1" showColumnStripes="0"/>
</table>
</file>

<file path=xl/tables/table125.xml><?xml version="1.0" encoding="utf-8"?>
<table xmlns="http://schemas.openxmlformats.org/spreadsheetml/2006/main" id="125" name="Table_125" displayName="Table_125" ref="A257:J275" headerRowCount="1">
  <tableColumns count="10">
    <tableColumn id="1" name="RUSH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9" showFirstColumn="1" showLastColumn="1" showRowStripes="1" showColumnStripes="0"/>
</table>
</file>

<file path=xl/tables/table126.xml><?xml version="1.0" encoding="utf-8"?>
<table xmlns="http://schemas.openxmlformats.org/spreadsheetml/2006/main" id="126" name="Table_126" displayName="Table_126" ref="A278:J294" headerRowCount="1">
  <tableColumns count="10">
    <tableColumn id="1" name="DEF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0" showFirstColumn="1" showLastColumn="1" showRowStripes="1" showColumnStripes="0"/>
</table>
</file>

<file path=xl/tables/table127.xml><?xml version="1.0" encoding="utf-8"?>
<table xmlns="http://schemas.openxmlformats.org/spreadsheetml/2006/main" id="127" name="Table_127" displayName="Table_127" ref="A297:J308" headerRowCount="1">
  <tableColumns count="10">
    <tableColumn id="1" name="HARD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1" showFirstColumn="1" showLastColumn="1" showRowStripes="1" showColumnStripes="0"/>
</table>
</file>

<file path=xl/tables/table128.xml><?xml version="1.0" encoding="utf-8"?>
<table xmlns="http://schemas.openxmlformats.org/spreadsheetml/2006/main" id="128" name="Table_128" displayName="Table_128" ref="A314:J332" headerRowCount="1">
  <tableColumns count="10">
    <tableColumn id="1" name="HP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2" showFirstColumn="1" showLastColumn="1" showRowStripes="1" showColumnStripes="0"/>
</table>
</file>

<file path=xl/tables/table129.xml><?xml version="1.0" encoding="utf-8"?>
<table xmlns="http://schemas.openxmlformats.org/spreadsheetml/2006/main" id="129" name="Table_129" displayName="Table_129" ref="A335:J358" headerRowCount="1">
  <tableColumns count="10">
    <tableColumn id="1" name="ATK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3" showFirstColumn="1" showLastColumn="1" showRowStripes="1" showColumnStripes="0"/>
</table>
</file>

<file path=xl/tables/table130.xml><?xml version="1.0" encoding="utf-8"?>
<table xmlns="http://schemas.openxmlformats.org/spreadsheetml/2006/main" id="130" name="Table_130" displayName="Table_130" ref="A361:J380" headerRowCount="1">
  <tableColumns count="10">
    <tableColumn id="1" name="RUSH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4" showFirstColumn="1" showLastColumn="1" showRowStripes="1" showColumnStripes="0"/>
</table>
</file>

<file path=xl/tables/table131.xml><?xml version="1.0" encoding="utf-8"?>
<table xmlns="http://schemas.openxmlformats.org/spreadsheetml/2006/main" id="131" name="Table_131" displayName="Table_131" ref="A383:J399" headerRowCount="1">
  <tableColumns count="10">
    <tableColumn id="1" name="DEF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5" showFirstColumn="1" showLastColumn="1" showRowStripes="1" showColumnStripes="0"/>
</table>
</file>

<file path=xl/tables/table132.xml><?xml version="1.0" encoding="utf-8"?>
<table xmlns="http://schemas.openxmlformats.org/spreadsheetml/2006/main" id="132" name="Table_132" displayName="Table_132" ref="A402:J414" headerRowCount="1">
  <tableColumns count="10">
    <tableColumn id="1" name="HARD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6" showFirstColumn="1" showLastColumn="1" showRowStripes="1" showColumnStripes="0"/>
</table>
</file>

<file path=xl/tables/table133.xml><?xml version="1.0" encoding="utf-8"?>
<table xmlns="http://schemas.openxmlformats.org/spreadsheetml/2006/main" id="133" name="Table_133" displayName="Table_133" ref="A420:J439" headerRowCount="1">
  <tableColumns count="10">
    <tableColumn id="1" name="HP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7" showFirstColumn="1" showLastColumn="1" showRowStripes="1" showColumnStripes="0"/>
</table>
</file>

<file path=xl/tables/table134.xml><?xml version="1.0" encoding="utf-8"?>
<table xmlns="http://schemas.openxmlformats.org/spreadsheetml/2006/main" id="134" name="Table_134" displayName="Table_134" ref="A442:J467" headerRowCount="1">
  <tableColumns count="10">
    <tableColumn id="1" name="ATK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8" showFirstColumn="1" showLastColumn="1" showRowStripes="1" showColumnStripes="0"/>
</table>
</file>

<file path=xl/tables/table135.xml><?xml version="1.0" encoding="utf-8"?>
<table xmlns="http://schemas.openxmlformats.org/spreadsheetml/2006/main" id="135" name="Table_135" displayName="Table_135" ref="A470:J487" headerRowCount="1">
  <tableColumns count="10">
    <tableColumn id="1" name="RUSH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19" showFirstColumn="1" showLastColumn="1" showRowStripes="1" showColumnStripes="0"/>
</table>
</file>

<file path=xl/tables/table136.xml><?xml version="1.0" encoding="utf-8"?>
<table xmlns="http://schemas.openxmlformats.org/spreadsheetml/2006/main" id="136" name="Table_136" displayName="Table_136" ref="A490:J507" headerRowCount="1">
  <tableColumns count="10">
    <tableColumn id="1" name="DEF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0" showFirstColumn="1" showLastColumn="1" showRowStripes="1" showColumnStripes="0"/>
</table>
</file>

<file path=xl/tables/table137.xml><?xml version="1.0" encoding="utf-8"?>
<table xmlns="http://schemas.openxmlformats.org/spreadsheetml/2006/main" id="137" name="Table_137" displayName="Table_137" ref="A510:J522" headerRowCount="1">
  <tableColumns count="10">
    <tableColumn id="1" name="HARD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1" showFirstColumn="1" showLastColumn="1" showRowStripes="1" showColumnStripes="0"/>
</table>
</file>

<file path=xl/tables/table138.xml><?xml version="1.0" encoding="utf-8"?>
<table xmlns="http://schemas.openxmlformats.org/spreadsheetml/2006/main" id="138" name="Table_138" displayName="Table_138" ref="A528:J546" headerRowCount="1">
  <tableColumns count="10">
    <tableColumn id="1" name="HP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2" showFirstColumn="1" showLastColumn="1" showRowStripes="1" showColumnStripes="0"/>
</table>
</file>

<file path=xl/tables/table139.xml><?xml version="1.0" encoding="utf-8"?>
<table xmlns="http://schemas.openxmlformats.org/spreadsheetml/2006/main" id="139" name="Table_139" displayName="Table_139" ref="A549:J572" headerRowCount="1">
  <tableColumns count="10">
    <tableColumn id="1" name="ATK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3" showFirstColumn="1" showLastColumn="1" showRowStripes="1" showColumnStripes="0"/>
</table>
</file>

<file path=xl/tables/table140.xml><?xml version="1.0" encoding="utf-8"?>
<table xmlns="http://schemas.openxmlformats.org/spreadsheetml/2006/main" id="140" name="Table_140" displayName="Table_140" ref="A575:J590" headerRowCount="1">
  <tableColumns count="10">
    <tableColumn id="1" name="RUSH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4" showFirstColumn="1" showLastColumn="1" showRowStripes="1" showColumnStripes="0"/>
</table>
</file>

<file path=xl/tables/table141.xml><?xml version="1.0" encoding="utf-8"?>
<table xmlns="http://schemas.openxmlformats.org/spreadsheetml/2006/main" id="141" name="Table_141" displayName="Table_141" ref="A593:J610" headerRowCount="1">
  <tableColumns count="10">
    <tableColumn id="1" name="DEF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5" showFirstColumn="1" showLastColumn="1" showRowStripes="1" showColumnStripes="0"/>
</table>
</file>

<file path=xl/tables/table142.xml><?xml version="1.0" encoding="utf-8"?>
<table xmlns="http://schemas.openxmlformats.org/spreadsheetml/2006/main" id="142" name="Table_142" displayName="Table_142" ref="A613:J624" headerRowCount="1">
  <tableColumns count="10">
    <tableColumn id="1" name="HARD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6" showFirstColumn="1" showLastColumn="1" showRowStripes="1" showColumnStripes="0"/>
</table>
</file>

<file path=xl/tables/table143.xml><?xml version="1.0" encoding="utf-8"?>
<table xmlns="http://schemas.openxmlformats.org/spreadsheetml/2006/main" id="143" name="Table_143" displayName="Table_143" ref="A630:J649" headerRowCount="1">
  <tableColumns count="10">
    <tableColumn id="1" name="HP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7" showFirstColumn="1" showLastColumn="1" showRowStripes="1" showColumnStripes="0"/>
</table>
</file>

<file path=xl/tables/table144.xml><?xml version="1.0" encoding="utf-8"?>
<table xmlns="http://schemas.openxmlformats.org/spreadsheetml/2006/main" id="144" name="Table_144" displayName="Table_144" ref="A652:J675" headerRowCount="1">
  <tableColumns count="10">
    <tableColumn id="1" name="ATK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8" showFirstColumn="1" showLastColumn="1" showRowStripes="1" showColumnStripes="0"/>
</table>
</file>

<file path=xl/tables/table145.xml><?xml version="1.0" encoding="utf-8"?>
<table xmlns="http://schemas.openxmlformats.org/spreadsheetml/2006/main" id="145" name="Table_145" displayName="Table_145" ref="A678:J697" headerRowCount="1">
  <tableColumns count="10">
    <tableColumn id="1" name="RUSH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29" showFirstColumn="1" showLastColumn="1" showRowStripes="1" showColumnStripes="0"/>
</table>
</file>

<file path=xl/tables/table146.xml><?xml version="1.0" encoding="utf-8"?>
<table xmlns="http://schemas.openxmlformats.org/spreadsheetml/2006/main" id="146" name="Table_146" displayName="Table_146" ref="A700:J715" headerRowCount="1">
  <tableColumns count="10">
    <tableColumn id="1" name="DEF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30" showFirstColumn="1" showLastColumn="1" showRowStripes="1" showColumnStripes="0"/>
</table>
</file>

<file path=xl/tables/table147.xml><?xml version="1.0" encoding="utf-8"?>
<table xmlns="http://schemas.openxmlformats.org/spreadsheetml/2006/main" id="147" name="Table_147" displayName="Table_147" ref="A718:J733" headerRowCount="1">
  <tableColumns count="10">
    <tableColumn id="1" name="HARD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31" showFirstColumn="1" showLastColumn="1" showRowStripes="1" showColumnStripes="0"/>
</table>
</file>

<file path=xl/tables/table148.xml><?xml version="1.0" encoding="utf-8"?>
<table xmlns="http://schemas.openxmlformats.org/spreadsheetml/2006/main" id="148" name="Table_148" displayName="Table_148" ref="A739:J762" headerRowCount="1">
  <tableColumns count="10">
    <tableColumn id="1" name="HP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32" showFirstColumn="1" showLastColumn="1" showRowStripes="1" showColumnStripes="0"/>
</table>
</file>

<file path=xl/tables/table149.xml><?xml version="1.0" encoding="utf-8"?>
<table xmlns="http://schemas.openxmlformats.org/spreadsheetml/2006/main" id="149" name="Table_149" displayName="Table_149" ref="A765:J792" headerRowCount="1">
  <tableColumns count="10">
    <tableColumn id="1" name="ATK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33" showFirstColumn="1" showLastColumn="1" showRowStripes="1" showColumnStripes="0"/>
</table>
</file>

<file path=xl/tables/table150.xml><?xml version="1.0" encoding="utf-8"?>
<table xmlns="http://schemas.openxmlformats.org/spreadsheetml/2006/main" id="150" name="Table_150" displayName="Table_150" ref="A795:J819" headerRowCount="1">
  <tableColumns count="10">
    <tableColumn id="1" name="RUSH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34" showFirstColumn="1" showLastColumn="1" showRowStripes="1" showColumnStripes="0"/>
</table>
</file>

<file path=xl/tables/table151.xml><?xml version="1.0" encoding="utf-8"?>
<table xmlns="http://schemas.openxmlformats.org/spreadsheetml/2006/main" id="151" name="Table_151" displayName="Table_151" ref="A822:J842" headerRowCount="1">
  <tableColumns count="10">
    <tableColumn id="1" name="DEF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35" showFirstColumn="1" showLastColumn="1" showRowStripes="1" showColumnStripes="0"/>
</table>
</file>

<file path=xl/tables/table152.xml><?xml version="1.0" encoding="utf-8"?>
<table xmlns="http://schemas.openxmlformats.org/spreadsheetml/2006/main" id="152" name="Table_152" displayName="Table_152" ref="A845:J867" headerRowCount="1">
  <tableColumns count="10">
    <tableColumn id="1" name="HARD"/>
    <tableColumn id="2" name="Rarity"/>
    <tableColumn id="3" name="Type"/>
    <tableColumn id="4" name="Base"/>
    <tableColumn id="5" name="Awakening Base"/>
    <tableColumn id="6" name="Percentage"/>
    <tableColumn id="7" name="Awakening Percentage"/>
    <tableColumn id="8" name="Per Minion"/>
    <tableColumn id="9" name="Per Minion Boost"/>
    <tableColumn id="10" name="Source"/>
  </tableColumns>
  <tableStyleInfo name="Minion Boosts-style 36" showFirstColumn="1" showLastColumn="1" showRowStripes="1" showColumnStripes="0"/>
</table>
</file>

<file path=xl/tables/table153.xml><?xml version="1.0" encoding="utf-8"?>
<table xmlns="http://schemas.openxmlformats.org/spreadsheetml/2006/main" id="153" name="Table_153" displayName="Table_153" ref="A1:F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" showFirstColumn="1" showLastColumn="1" showRowStripes="1" showColumnStripes="0"/>
</table>
</file>

<file path=xl/tables/table154.xml><?xml version="1.0" encoding="utf-8"?>
<table xmlns="http://schemas.openxmlformats.org/spreadsheetml/2006/main" id="154" name="Table_154" displayName="Table_154" ref="A6:F7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2" showFirstColumn="1" showLastColumn="1" showRowStripes="1" showColumnStripes="0"/>
</table>
</file>

<file path=xl/tables/table155.xml><?xml version="1.0" encoding="utf-8"?>
<table xmlns="http://schemas.openxmlformats.org/spreadsheetml/2006/main" id="155" name="Table_155" displayName="Table_155" ref="A78:F7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3" showFirstColumn="1" showLastColumn="1" showRowStripes="1" showColumnStripes="0"/>
</table>
</file>

<file path=xl/tables/table156.xml><?xml version="1.0" encoding="utf-8"?>
<table xmlns="http://schemas.openxmlformats.org/spreadsheetml/2006/main" id="156" name="Table_156" displayName="Table_156" ref="A81:F15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4" showFirstColumn="1" showLastColumn="1" showRowStripes="1" showColumnStripes="0"/>
</table>
</file>

<file path=xl/tables/table157.xml><?xml version="1.0" encoding="utf-8"?>
<table xmlns="http://schemas.openxmlformats.org/spreadsheetml/2006/main" id="157" name="Table_157" displayName="Table_157" ref="A153:F17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5" showFirstColumn="1" showLastColumn="1" showRowStripes="1" showColumnStripes="0"/>
</table>
</file>

<file path=xl/tables/table158.xml><?xml version="1.0" encoding="utf-8"?>
<table xmlns="http://schemas.openxmlformats.org/spreadsheetml/2006/main" id="158" name="Table_158" displayName="Table_158" ref="A175:G18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Leadership-style 6" showFirstColumn="1" showLastColumn="1" showRowStripes="1" showColumnStripes="0"/>
</table>
</file>

<file path=xl/tables/table159.xml><?xml version="1.0" encoding="utf-8"?>
<table xmlns="http://schemas.openxmlformats.org/spreadsheetml/2006/main" id="159" name="Table_159" displayName="Table_159" ref="A186:F20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7" showFirstColumn="1" showLastColumn="1" showRowStripes="1" showColumnStripes="0"/>
</table>
</file>

<file path=xl/tables/table160.xml><?xml version="1.0" encoding="utf-8"?>
<table xmlns="http://schemas.openxmlformats.org/spreadsheetml/2006/main" id="160" name="Table_160" displayName="Table_160" ref="A208:F22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8" showFirstColumn="1" showLastColumn="1" showRowStripes="1" showColumnStripes="0"/>
</table>
</file>

<file path=xl/tables/table161.xml><?xml version="1.0" encoding="utf-8"?>
<table xmlns="http://schemas.openxmlformats.org/spreadsheetml/2006/main" id="161" name="Table_161" displayName="Table_161" ref="A226:F229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9" showFirstColumn="1" showLastColumn="1" showRowStripes="1" showColumnStripes="0"/>
</table>
</file>

<file path=xl/tables/table162.xml><?xml version="1.0" encoding="utf-8"?>
<table xmlns="http://schemas.openxmlformats.org/spreadsheetml/2006/main" id="162" name="Table_162" displayName="Table_162" ref="A232:F24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10" showFirstColumn="1" showLastColumn="1" showRowStripes="1" showColumnStripes="0"/>
</table>
</file>

<file path=xl/tables/table163.xml><?xml version="1.0" encoding="utf-8"?>
<table xmlns="http://schemas.openxmlformats.org/spreadsheetml/2006/main" id="163" name="Table_163" displayName="Table_163" ref="A247:F25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11" showFirstColumn="1" showLastColumn="1" showRowStripes="1" showColumnStripes="0"/>
</table>
</file>

<file path=xl/tables/table164.xml><?xml version="1.0" encoding="utf-8"?>
<table xmlns="http://schemas.openxmlformats.org/spreadsheetml/2006/main" id="164" name="Table_164" displayName="Table_164" ref="A256:F45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Leadership-style 12" showFirstColumn="1" showLastColumn="1" showRowStripes="1" showColumnStripes="0"/>
</table>
</file>

<file path=xl/tables/table165.xml><?xml version="1.0" encoding="utf-8"?>
<table xmlns="http://schemas.openxmlformats.org/spreadsheetml/2006/main" id="165" name="Table_165" displayName="Table_165" ref="A461:B461" headerRowCount="0">
  <tableColumns count="2">
    <tableColumn id="1" name="Column1"/>
    <tableColumn id="2" name="Column2"/>
  </tableColumns>
  <tableStyleInfo name="Leadership-style 13" showFirstColumn="1" showLastColumn="1" showRowStripes="1" showColumnStripes="0"/>
</table>
</file>

<file path=xl/tables/table166.xml><?xml version="1.0" encoding="utf-8"?>
<table xmlns="http://schemas.openxmlformats.org/spreadsheetml/2006/main" id="166" name="Table_166" displayName="Table_166" ref="A1:K16" headerRowCount="1">
  <tableColumns count="11">
    <tableColumn id="1" name="Name"/>
    <tableColumn id="2" name="Rarity"/>
    <tableColumn id="3" name="Type"/>
    <tableColumn id="4" name="Base Output"/>
    <tableColumn id="5" name="Awakening Output"/>
    <tableColumn id="6" name="Base Cap"/>
    <tableColumn id="7" name="Awakening Cap"/>
    <tableColumn id="8" name="W-tad Generation"/>
    <tableColumn id="9" name="Awakening W-tad Gen"/>
    <tableColumn id="10" name="AFFECT Boost"/>
    <tableColumn id="11" name="Source"/>
  </tableColumns>
  <tableStyleInfo name="Tadpole Pond-style" showFirstColumn="1" showLastColumn="1" showRowStripes="1" showColumnStripes="0"/>
</table>
</file>

<file path=xl/tables/table167.xml><?xml version="1.0" encoding="utf-8"?>
<table xmlns="http://schemas.openxmlformats.org/spreadsheetml/2006/main" id="167" name="Table_167" displayName="Table_167" ref="A18:K2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dpole Pond-style 2" showFirstColumn="1" showLastColumn="1" showRowStripes="1" showColumnStripes="0"/>
</table>
</file>

<file path=xl/tables/table168.xml><?xml version="1.0" encoding="utf-8"?>
<table xmlns="http://schemas.openxmlformats.org/spreadsheetml/2006/main" id="168" name="Table_168" displayName="Table_168" ref="A21:K25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dpole Pond-style 3" showFirstColumn="1" showLastColumn="1" showRowStripes="1" showColumnStripes="0"/>
</table>
</file>

<file path=xl/tables/table169.xml><?xml version="1.0" encoding="utf-8"?>
<table xmlns="http://schemas.openxmlformats.org/spreadsheetml/2006/main" id="169" name="Table_169" displayName="Table_169" ref="A26:K28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dpole Pond-style 4" showFirstColumn="1" showLastColumn="1" showRowStripes="1" showColumnStripes="0"/>
</table>
</file>

<file path=xl/tables/table170.xml><?xml version="1.0" encoding="utf-8"?>
<table xmlns="http://schemas.openxmlformats.org/spreadsheetml/2006/main" id="170" name="Table_170" displayName="Table_170" ref="A29:K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dpole Pond-style 5" showFirstColumn="1" showLastColumn="1" showRowStripes="1" showColumnStripes="0"/>
</table>
</file>

<file path=xl/tables/table171.xml><?xml version="1.0" encoding="utf-8"?>
<table xmlns="http://schemas.openxmlformats.org/spreadsheetml/2006/main" id="171" name="Table_171" displayName="Table_171" ref="A32:K34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dpole Pond-style 6" showFirstColumn="1" showLastColumn="1" showRowStripes="1" showColumnStripes="0"/>
</table>
</file>

<file path=xl/tables/table172.xml><?xml version="1.0" encoding="utf-8"?>
<table xmlns="http://schemas.openxmlformats.org/spreadsheetml/2006/main" id="172" name="Table_172" displayName="Table_172" ref="A35:K37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dpole Pond-style 7" showFirstColumn="1" showLastColumn="1" showRowStripes="1" showColumnStripes="0"/>
</table>
</file>

<file path=xl/tables/table173.xml><?xml version="1.0" encoding="utf-8"?>
<table xmlns="http://schemas.openxmlformats.org/spreadsheetml/2006/main" id="173" name="Table_173" displayName="Table_173" ref="A38:K39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dpole Pond-style 8" showFirstColumn="1" showLastColumn="1" showRowStripes="1" showColumnStripes="0"/>
</table>
</file>

<file path=xl/tables/table174.xml><?xml version="1.0" encoding="utf-8"?>
<table xmlns="http://schemas.openxmlformats.org/spreadsheetml/2006/main" id="174" name="Table_174" displayName="Table_174" ref="A41:K58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dpole Pond-style 9" showFirstColumn="1" showLastColumn="1" showRowStripes="1" showColumnStripes="0"/>
</table>
</file>

<file path=xl/tables/table175.xml><?xml version="1.0" encoding="utf-8"?>
<table xmlns="http://schemas.openxmlformats.org/spreadsheetml/2006/main" id="175" name="Table_175" displayName="Table_175" ref="A60:K84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dpole Pond-style 10" showFirstColumn="1" showLastColumn="1" showRowStripes="1" showColumnStripes="0"/>
</table>
</file>

<file path=xl/tables/table176.xml><?xml version="1.0" encoding="utf-8"?>
<table xmlns="http://schemas.openxmlformats.org/spreadsheetml/2006/main" id="176" name="Table_176" displayName="Table_176" ref="A87:B89" headerRowCount="0">
  <tableColumns count="2">
    <tableColumn id="1" name="Column1"/>
    <tableColumn id="2" name="Column2"/>
  </tableColumns>
  <tableStyleInfo name="Tadpole Pond-style 11" showFirstColumn="1" showLastColumn="1" showRowStripes="1" showColumnStripes="0"/>
</table>
</file>

<file path=xl/tables/table177.xml><?xml version="1.0" encoding="utf-8"?>
<table xmlns="http://schemas.openxmlformats.org/spreadsheetml/2006/main" id="177" name="Table_177" displayName="Table_177" ref="A1:K16" headerRowCount="1">
  <tableColumns count="11">
    <tableColumn id="1" name="Name"/>
    <tableColumn id="2" name="Rarity"/>
    <tableColumn id="3" name="Type"/>
    <tableColumn id="4" name="Base Output"/>
    <tableColumn id="5" name="Awakening Output"/>
    <tableColumn id="6" name="Base Cap"/>
    <tableColumn id="7" name="Awakening Cap"/>
    <tableColumn id="8" name="Wonder Fungus"/>
    <tableColumn id="9" name="Awakening Wonder Fungus"/>
    <tableColumn id="10" name="AFFECT Boost"/>
    <tableColumn id="11" name="Source"/>
  </tableColumns>
  <tableStyleInfo name="Fungus Farm-style" showFirstColumn="1" showLastColumn="1" showRowStripes="1" showColumnStripes="0"/>
</table>
</file>

<file path=xl/tables/table178.xml><?xml version="1.0" encoding="utf-8"?>
<table xmlns="http://schemas.openxmlformats.org/spreadsheetml/2006/main" id="178" name="Table_178" displayName="Table_178" ref="A18:K22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ungus Farm-style 2" showFirstColumn="1" showLastColumn="1" showRowStripes="1" showColumnStripes="0"/>
</table>
</file>

<file path=xl/tables/table179.xml><?xml version="1.0" encoding="utf-8"?>
<table xmlns="http://schemas.openxmlformats.org/spreadsheetml/2006/main" id="179" name="Table_179" displayName="Table_179" ref="A23:K25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ungus Farm-style 3" showFirstColumn="1" showLastColumn="1" showRowStripes="1" showColumnStripes="0"/>
</table>
</file>

<file path=xl/tables/table180.xml><?xml version="1.0" encoding="utf-8"?>
<table xmlns="http://schemas.openxmlformats.org/spreadsheetml/2006/main" id="180" name="Table_180" displayName="Table_180" ref="A26:K28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ungus Farm-style 4" showFirstColumn="1" showLastColumn="1" showRowStripes="1" showColumnStripes="0"/>
</table>
</file>

<file path=xl/tables/table181.xml><?xml version="1.0" encoding="utf-8"?>
<table xmlns="http://schemas.openxmlformats.org/spreadsheetml/2006/main" id="181" name="Table_181" displayName="Table_181" ref="A29:K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ungus Farm-style 5" showFirstColumn="1" showLastColumn="1" showRowStripes="1" showColumnStripes="0"/>
</table>
</file>

<file path=xl/tables/table182.xml><?xml version="1.0" encoding="utf-8"?>
<table xmlns="http://schemas.openxmlformats.org/spreadsheetml/2006/main" id="182" name="Table_182" displayName="Table_182" ref="A32:K33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ungus Farm-style 6" showFirstColumn="1" showLastColumn="1" showRowStripes="1" showColumnStripes="0"/>
</table>
</file>

<file path=xl/tables/table183.xml><?xml version="1.0" encoding="utf-8"?>
<table xmlns="http://schemas.openxmlformats.org/spreadsheetml/2006/main" id="183" name="Table_183" displayName="Table_183" ref="A35:K52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ungus Farm-style 7" showFirstColumn="1" showLastColumn="1" showRowStripes="1" showColumnStripes="0"/>
</table>
</file>

<file path=xl/tables/table184.xml><?xml version="1.0" encoding="utf-8"?>
<table xmlns="http://schemas.openxmlformats.org/spreadsheetml/2006/main" id="184" name="Table_184" displayName="Table_184" ref="A54:K8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ungus Farm-style 8" showFirstColumn="1" showLastColumn="1" showRowStripes="1" showColumnStripes="0"/>
</table>
</file>

<file path=xl/tables/table185.xml><?xml version="1.0" encoding="utf-8"?>
<table xmlns="http://schemas.openxmlformats.org/spreadsheetml/2006/main" id="185" name="Table_185" displayName="Table_185" ref="A83:B85" headerRowCount="0">
  <tableColumns count="2">
    <tableColumn id="1" name="Column1"/>
    <tableColumn id="2" name="Column2"/>
  </tableColumns>
  <tableStyleInfo name="Fungus Farm-style 9" showFirstColumn="1" showLastColumn="1" showRowStripes="1" showColumnStripes="0"/>
</table>
</file>

<file path=xl/tables/table186.xml><?xml version="1.0" encoding="utf-8"?>
<table xmlns="http://schemas.openxmlformats.org/spreadsheetml/2006/main" id="186" name="Table_186" displayName="Table_186" ref="A1:K18" headerRowCount="1">
  <tableColumns count="11">
    <tableColumn id="1" name="Name"/>
    <tableColumn id="2" name="Rarity"/>
    <tableColumn id="3" name="Type"/>
    <tableColumn id="4" name="Base Output"/>
    <tableColumn id="5" name="Awakening Output"/>
    <tableColumn id="6" name="Base Cap"/>
    <tableColumn id="7" name="Awakening Cap"/>
    <tableColumn id="8" name="Time Chest"/>
    <tableColumn id="9" name="Awakening Time Chest"/>
    <tableColumn id="10" name="AFFECT Boost"/>
    <tableColumn id="11" name="Source"/>
  </tableColumns>
  <tableStyleInfo name="Time Machine-style" showFirstColumn="1" showLastColumn="1" showRowStripes="1" showColumnStripes="0"/>
</table>
</file>

<file path=xl/tables/table187.xml><?xml version="1.0" encoding="utf-8"?>
<table xmlns="http://schemas.openxmlformats.org/spreadsheetml/2006/main" id="187" name="Table_187" displayName="Table_187" ref="A20:K22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2" showFirstColumn="1" showLastColumn="1" showRowStripes="1" showColumnStripes="0"/>
</table>
</file>

<file path=xl/tables/table188.xml><?xml version="1.0" encoding="utf-8"?>
<table xmlns="http://schemas.openxmlformats.org/spreadsheetml/2006/main" id="188" name="Table_188" displayName="Table_188" ref="A23:K25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3" showFirstColumn="1" showLastColumn="1" showRowStripes="1" showColumnStripes="0"/>
</table>
</file>

<file path=xl/tables/table189.xml><?xml version="1.0" encoding="utf-8"?>
<table xmlns="http://schemas.openxmlformats.org/spreadsheetml/2006/main" id="189" name="Table_189" displayName="Table_189" ref="A26:K28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4" showFirstColumn="1" showLastColumn="1" showRowStripes="1" showColumnStripes="0"/>
</table>
</file>

<file path=xl/tables/table190.xml><?xml version="1.0" encoding="utf-8"?>
<table xmlns="http://schemas.openxmlformats.org/spreadsheetml/2006/main" id="190" name="Table_190" displayName="Table_190" ref="A29:K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5" showFirstColumn="1" showLastColumn="1" showRowStripes="1" showColumnStripes="0"/>
</table>
</file>

<file path=xl/tables/table191.xml><?xml version="1.0" encoding="utf-8"?>
<table xmlns="http://schemas.openxmlformats.org/spreadsheetml/2006/main" id="191" name="Table_191" displayName="Table_191" ref="A32:K34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6" showFirstColumn="1" showLastColumn="1" showRowStripes="1" showColumnStripes="0"/>
</table>
</file>

<file path=xl/tables/table192.xml><?xml version="1.0" encoding="utf-8"?>
<table xmlns="http://schemas.openxmlformats.org/spreadsheetml/2006/main" id="192" name="Table_192" displayName="Table_192" ref="A35:K4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7" showFirstColumn="1" showLastColumn="1" showRowStripes="1" showColumnStripes="0"/>
</table>
</file>

<file path=xl/tables/table193.xml><?xml version="1.0" encoding="utf-8"?>
<table xmlns="http://schemas.openxmlformats.org/spreadsheetml/2006/main" id="193" name="Table_193" displayName="Table_193" ref="A41:K43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8" showFirstColumn="1" showLastColumn="1" showRowStripes="1" showColumnStripes="0"/>
</table>
</file>

<file path=xl/tables/table194.xml><?xml version="1.0" encoding="utf-8"?>
<table xmlns="http://schemas.openxmlformats.org/spreadsheetml/2006/main" id="194" name="Table_194" displayName="Table_194" ref="A44:K45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9" showFirstColumn="1" showLastColumn="1" showRowStripes="1" showColumnStripes="0"/>
</table>
</file>

<file path=xl/tables/table195.xml><?xml version="1.0" encoding="utf-8"?>
<table xmlns="http://schemas.openxmlformats.org/spreadsheetml/2006/main" id="195" name="Table_195" displayName="Table_195" ref="A47:K67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10" showFirstColumn="1" showLastColumn="1" showRowStripes="1" showColumnStripes="0"/>
</table>
</file>

<file path=xl/tables/table196.xml><?xml version="1.0" encoding="utf-8"?>
<table xmlns="http://schemas.openxmlformats.org/spreadsheetml/2006/main" id="196" name="Table_196" displayName="Table_196" ref="A69:K99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ime Machine-style 11" showFirstColumn="1" showLastColumn="1" showRowStripes="1" showColumnStripes="0"/>
</table>
</file>

<file path=xl/tables/table197.xml><?xml version="1.0" encoding="utf-8"?>
<table xmlns="http://schemas.openxmlformats.org/spreadsheetml/2006/main" id="197" name="Table_197" displayName="Table_197" ref="A102:B104" headerRowCount="0">
  <tableColumns count="2">
    <tableColumn id="1" name="Column1"/>
    <tableColumn id="2" name="Column2"/>
  </tableColumns>
  <tableStyleInfo name="Time Machine-style 12" showFirstColumn="1" showLastColumn="1" showRowStripes="1" showColumnStripes="0"/>
</table>
</file>

<file path=xl/tables/table198.xml><?xml version="1.0" encoding="utf-8"?>
<table xmlns="http://schemas.openxmlformats.org/spreadsheetml/2006/main" id="198" name="Table_198" displayName="Table_198" ref="A1:K13" headerRowCount="1">
  <tableColumns count="11">
    <tableColumn id="1" name="Name"/>
    <tableColumn id="2" name="Rarity"/>
    <tableColumn id="3" name="Type"/>
    <tableColumn id="4" name="Base Output"/>
    <tableColumn id="5" name="Awakening Output"/>
    <tableColumn id="6" name="Base Cap"/>
    <tableColumn id="7" name="Awakening Cap"/>
    <tableColumn id="8" name="Ancient Lumber"/>
    <tableColumn id="9" name="Awakening Ancient Lumber"/>
    <tableColumn id="10" name="AFFECT Boost"/>
    <tableColumn id="11" name="Source"/>
  </tableColumns>
  <tableStyleInfo name="Lumber Camp-style" showFirstColumn="1" showLastColumn="1" showRowStripes="1" showColumnStripes="0"/>
</table>
</file>

<file path=xl/tables/table199.xml><?xml version="1.0" encoding="utf-8"?>
<table xmlns="http://schemas.openxmlformats.org/spreadsheetml/2006/main" id="199" name="Table_199" displayName="Table_199" ref="A15:K17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Lumber Camp-style 2" showFirstColumn="1" showLastColumn="1" showRowStripes="1" showColumnStripes="0"/>
</table>
</file>

<file path=xl/tables/table200.xml><?xml version="1.0" encoding="utf-8"?>
<table xmlns="http://schemas.openxmlformats.org/spreadsheetml/2006/main" id="200" name="Table_200" displayName="Table_200" ref="A18:K2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Lumber Camp-style 3" showFirstColumn="1" showLastColumn="1" showRowStripes="1" showColumnStripes="0"/>
</table>
</file>

<file path=xl/tables/table201.xml><?xml version="1.0" encoding="utf-8"?>
<table xmlns="http://schemas.openxmlformats.org/spreadsheetml/2006/main" id="201" name="Table_201" displayName="Table_201" ref="A21:K23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Lumber Camp-style 4" showFirstColumn="1" showLastColumn="1" showRowStripes="1" showColumnStripes="0"/>
</table>
</file>

<file path=xl/tables/table202.xml><?xml version="1.0" encoding="utf-8"?>
<table xmlns="http://schemas.openxmlformats.org/spreadsheetml/2006/main" id="202" name="Table_202" displayName="Table_202" ref="A24:K28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Lumber Camp-style 5" showFirstColumn="1" showLastColumn="1" showRowStripes="1" showColumnStripes="0"/>
</table>
</file>

<file path=xl/tables/table203.xml><?xml version="1.0" encoding="utf-8"?>
<table xmlns="http://schemas.openxmlformats.org/spreadsheetml/2006/main" id="203" name="Table_203" displayName="Table_203" ref="A29:K3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Lumber Camp-style 6" showFirstColumn="1" showLastColumn="1" showRowStripes="1" showColumnStripes="0"/>
</table>
</file>

<file path=xl/tables/table204.xml><?xml version="1.0" encoding="utf-8"?>
<table xmlns="http://schemas.openxmlformats.org/spreadsheetml/2006/main" id="204" name="Table_204" displayName="Table_204" ref="A32:K34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Lumber Camp-style 7" showFirstColumn="1" showLastColumn="1" showRowStripes="1" showColumnStripes="0"/>
</table>
</file>

<file path=xl/tables/table205.xml><?xml version="1.0" encoding="utf-8"?>
<table xmlns="http://schemas.openxmlformats.org/spreadsheetml/2006/main" id="205" name="Table_205" displayName="Table_205" ref="A35:K36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Lumber Camp-style 8" showFirstColumn="1" showLastColumn="1" showRowStripes="1" showColumnStripes="0"/>
</table>
</file>

<file path=xl/tables/table206.xml><?xml version="1.0" encoding="utf-8"?>
<table xmlns="http://schemas.openxmlformats.org/spreadsheetml/2006/main" id="206" name="Table_206" displayName="Table_206" ref="A38:K55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Lumber Camp-style 9" showFirstColumn="1" showLastColumn="1" showRowStripes="1" showColumnStripes="0"/>
</table>
</file>

<file path=xl/tables/table207.xml><?xml version="1.0" encoding="utf-8"?>
<table xmlns="http://schemas.openxmlformats.org/spreadsheetml/2006/main" id="207" name="Table_207" displayName="Table_207" ref="A57:K79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Lumber Camp-style 10" showFirstColumn="1" showLastColumn="1" showRowStripes="1" showColumnStripes="0"/>
</table>
</file>

<file path=xl/tables/table208.xml><?xml version="1.0" encoding="utf-8"?>
<table xmlns="http://schemas.openxmlformats.org/spreadsheetml/2006/main" id="208" name="Table_208" displayName="Table_208" ref="A82:B84" headerRowCount="0">
  <tableColumns count="2">
    <tableColumn id="1" name="Column1"/>
    <tableColumn id="2" name="Column2"/>
  </tableColumns>
  <tableStyleInfo name="Lumber Camp-style 11" showFirstColumn="1" showLastColumn="1" showRowStripes="1" showColumnStripes="0"/>
</table>
</file>

<file path=xl/tables/table209.xml><?xml version="1.0" encoding="utf-8"?>
<table xmlns="http://schemas.openxmlformats.org/spreadsheetml/2006/main" id="209" name="Table_209" displayName="Table_209" ref="A1:K14" headerRowCount="1">
  <tableColumns count="11">
    <tableColumn id="1" name="Name"/>
    <tableColumn id="2" name="Rarity"/>
    <tableColumn id="3" name="Type"/>
    <tableColumn id="4" name="Base Output"/>
    <tableColumn id="5" name="Awakening Output"/>
    <tableColumn id="6" name="Base Cap"/>
    <tableColumn id="7" name="Awakening Cap"/>
    <tableColumn id="8" name="Ancient Fossil"/>
    <tableColumn id="9" name="Awakening Ancient Fossil"/>
    <tableColumn id="10" name="AFFECT Boost"/>
    <tableColumn id="11" name="Source"/>
  </tableColumns>
  <tableStyleInfo name="Quarry-style" showFirstColumn="1" showLastColumn="1" showRowStripes="1" showColumnStripes="0"/>
</table>
</file>

<file path=xl/tables/table210.xml><?xml version="1.0" encoding="utf-8"?>
<table xmlns="http://schemas.openxmlformats.org/spreadsheetml/2006/main" id="210" name="Table_210" displayName="Table_210" ref="A16:K18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rry-style 2" showFirstColumn="1" showLastColumn="1" showRowStripes="1" showColumnStripes="0"/>
</table>
</file>

<file path=xl/tables/table211.xml><?xml version="1.0" encoding="utf-8"?>
<table xmlns="http://schemas.openxmlformats.org/spreadsheetml/2006/main" id="211" name="Table_211" displayName="Table_211" ref="A19:K21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rry-style 3" showFirstColumn="1" showLastColumn="1" showRowStripes="1" showColumnStripes="0"/>
</table>
</file>

<file path=xl/tables/table212.xml><?xml version="1.0" encoding="utf-8"?>
<table xmlns="http://schemas.openxmlformats.org/spreadsheetml/2006/main" id="212" name="Table_212" displayName="Table_212" ref="A22:K24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rry-style 4" showFirstColumn="1" showLastColumn="1" showRowStripes="1" showColumnStripes="0"/>
</table>
</file>

<file path=xl/tables/table213.xml><?xml version="1.0" encoding="utf-8"?>
<table xmlns="http://schemas.openxmlformats.org/spreadsheetml/2006/main" id="213" name="Table_213" displayName="Table_213" ref="A25:K29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rry-style 5" showFirstColumn="1" showLastColumn="1" showRowStripes="1" showColumnStripes="0"/>
</table>
</file>

<file path=xl/tables/table214.xml><?xml version="1.0" encoding="utf-8"?>
<table xmlns="http://schemas.openxmlformats.org/spreadsheetml/2006/main" id="214" name="Table_214" displayName="Table_214" ref="A30:K32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rry-style 6" showFirstColumn="1" showLastColumn="1" showRowStripes="1" showColumnStripes="0"/>
</table>
</file>

<file path=xl/tables/table215.xml><?xml version="1.0" encoding="utf-8"?>
<table xmlns="http://schemas.openxmlformats.org/spreadsheetml/2006/main" id="215" name="Table_215" displayName="Table_215" ref="A33:K35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rry-style 7" showFirstColumn="1" showLastColumn="1" showRowStripes="1" showColumnStripes="0"/>
</table>
</file>

<file path=xl/tables/table216.xml><?xml version="1.0" encoding="utf-8"?>
<table xmlns="http://schemas.openxmlformats.org/spreadsheetml/2006/main" id="216" name="Table_216" displayName="Table_216" ref="A36:K37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rry-style 8" showFirstColumn="1" showLastColumn="1" showRowStripes="1" showColumnStripes="0"/>
</table>
</file>

<file path=xl/tables/table217.xml><?xml version="1.0" encoding="utf-8"?>
<table xmlns="http://schemas.openxmlformats.org/spreadsheetml/2006/main" id="217" name="Table_217" displayName="Table_217" ref="A39:K6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rry-style 9" showFirstColumn="1" showLastColumn="1" showRowStripes="1" showColumnStripes="0"/>
</table>
</file>

<file path=xl/tables/table218.xml><?xml version="1.0" encoding="utf-8"?>
<table xmlns="http://schemas.openxmlformats.org/spreadsheetml/2006/main" id="218" name="Table_218" displayName="Table_218" ref="A62:K87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rry-style 10" showFirstColumn="1" showLastColumn="1" showRowStripes="1" showColumnStripes="0"/>
</table>
</file>

<file path=xl/tables/table219.xml><?xml version="1.0" encoding="utf-8"?>
<table xmlns="http://schemas.openxmlformats.org/spreadsheetml/2006/main" id="219" name="Table_219" displayName="Table_219" ref="A90:B92" headerRowCount="0">
  <tableColumns count="2">
    <tableColumn id="1" name="Column1"/>
    <tableColumn id="2" name="Column2"/>
  </tableColumns>
  <tableStyleInfo name="Quarry-style 11" showFirstColumn="1" showLastColumn="1" showRowStripes="1" showColumnStripes="0"/>
</table>
</file>

<file path=xl/tables/table220.xml><?xml version="1.0" encoding="utf-8"?>
<table xmlns="http://schemas.openxmlformats.org/spreadsheetml/2006/main" id="220" name="Table_220" displayName="Table_220" ref="A1:K16" headerRowCount="1">
  <tableColumns count="11">
    <tableColumn id="1" name="Name"/>
    <tableColumn id="2" name="Rarity"/>
    <tableColumn id="3" name="Type"/>
    <tableColumn id="4" name="Base Output"/>
    <tableColumn id="5" name="Awakening Output"/>
    <tableColumn id="6" name="Base Cap"/>
    <tableColumn id="7" name="Awakening Cap"/>
    <tableColumn id="8" name="Nebula Chest"/>
    <tableColumn id="9" name="Awakening Nebula Chest"/>
    <tableColumn id="10" name="AFFECT Boost"/>
    <tableColumn id="11" name="Source"/>
  </tableColumns>
  <tableStyleInfo name="Quantum Amp-style" showFirstColumn="1" showLastColumn="1" showRowStripes="1" showColumnStripes="0"/>
</table>
</file>

<file path=xl/tables/table221.xml><?xml version="1.0" encoding="utf-8"?>
<table xmlns="http://schemas.openxmlformats.org/spreadsheetml/2006/main" id="221" name="Table_221" displayName="Table_221" ref="A18:K22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ntum Amp-style 2" showFirstColumn="1" showLastColumn="1" showRowStripes="1" showColumnStripes="0"/>
</table>
</file>

<file path=xl/tables/table222.xml><?xml version="1.0" encoding="utf-8"?>
<table xmlns="http://schemas.openxmlformats.org/spreadsheetml/2006/main" id="222" name="Table_222" displayName="Table_222" ref="A23:K25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ntum Amp-style 3" showFirstColumn="1" showLastColumn="1" showRowStripes="1" showColumnStripes="0"/>
</table>
</file>

<file path=xl/tables/table223.xml><?xml version="1.0" encoding="utf-8"?>
<table xmlns="http://schemas.openxmlformats.org/spreadsheetml/2006/main" id="223" name="Table_223" displayName="Table_223" ref="A26:K27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ntum Amp-style 4" showFirstColumn="1" showLastColumn="1" showRowStripes="1" showColumnStripes="0"/>
</table>
</file>

<file path=xl/tables/table224.xml><?xml version="1.0" encoding="utf-8"?>
<table xmlns="http://schemas.openxmlformats.org/spreadsheetml/2006/main" id="224" name="Table_224" displayName="Table_224" ref="A29:K40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ntum Amp-style 5" showFirstColumn="1" showLastColumn="1" showRowStripes="1" showColumnStripes="0"/>
</table>
</file>

<file path=xl/tables/table225.xml><?xml version="1.0" encoding="utf-8"?>
<table xmlns="http://schemas.openxmlformats.org/spreadsheetml/2006/main" id="225" name="Table_225" displayName="Table_225" ref="A42:K54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Quantum Amp-style 6" showFirstColumn="1" showLastColumn="1" showRowStripes="1" showColumnStripes="0"/>
</table>
</file>

<file path=xl/tables/table226.xml><?xml version="1.0" encoding="utf-8"?>
<table xmlns="http://schemas.openxmlformats.org/spreadsheetml/2006/main" id="226" name="Table_226" displayName="Table_226" ref="A57:B59" headerRowCount="0">
  <tableColumns count="2">
    <tableColumn id="1" name="Column1"/>
    <tableColumn id="2" name="Column2"/>
  </tableColumns>
  <tableStyleInfo name="Quantum Amp-style 7" showFirstColumn="1" showLastColumn="1" showRowStripes="1" showColumnStripes="0"/>
</table>
</file>

<file path=xl/tables/table227.xml><?xml version="1.0" encoding="utf-8"?>
<table xmlns="http://schemas.openxmlformats.org/spreadsheetml/2006/main" id="227" name="Table_227" displayName="Table_227" ref="A1:S25" headerRowCount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  <tableStyleInfo name="Compass-style" showFirstColumn="1" showLastColumn="1" showRowStripes="1" showColumnStripes="0"/>
</table>
</file>

<file path=xl/tables/table228.xml><?xml version="1.0" encoding="utf-8"?>
<table xmlns="http://schemas.openxmlformats.org/spreadsheetml/2006/main" id="228" name="Table_228" displayName="Table_228" ref="U31:W37" headerRowCount="0">
  <tableColumns count="3">
    <tableColumn id="1" name="Column1"/>
    <tableColumn id="2" name="Column2"/>
    <tableColumn id="3" name="Column3"/>
  </tableColumns>
  <tableStyleInfo name="Compass-style 2" showFirstColumn="1" showLastColumn="1" showRowStripes="1" showColumnStripes="0"/>
</table>
</file>

<file path=xl/tables/table229.xml><?xml version="1.0" encoding="utf-8"?>
<table xmlns="http://schemas.openxmlformats.org/spreadsheetml/2006/main" id="229" name="Table_229" displayName="Table_229" ref="A41:S63" headerRowCount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  <tableStyleInfo name="Compass-style 3" showFirstColumn="1" showLastColumn="1" showRowStripes="1" showColumnStripes="0"/>
</table>
</file>

<file path=xl/tables/table230.xml><?xml version="1.0" encoding="utf-8"?>
<table xmlns="http://schemas.openxmlformats.org/spreadsheetml/2006/main" id="230" name="Table_230" displayName="Table_230" ref="U69:W75" headerRowCount="0">
  <tableColumns count="3">
    <tableColumn id="1" name="Column1"/>
    <tableColumn id="2" name="Column2"/>
    <tableColumn id="3" name="Column3"/>
  </tableColumns>
  <tableStyleInfo name="Compass-style 4" showFirstColumn="1" showLastColumn="1" showRowStripes="1" showColumnStripes="0"/>
</table>
</file>

<file path=xl/tables/table231.xml><?xml version="1.0" encoding="utf-8"?>
<table xmlns="http://schemas.openxmlformats.org/spreadsheetml/2006/main" id="231" name="Table_231" displayName="Table_231" ref="A79:S100" headerRowCount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  <tableStyleInfo name="Compass-style 5" showFirstColumn="1" showLastColumn="1" showRowStripes="1" showColumnStripes="0"/>
</table>
</file>

<file path=xl/tables/table232.xml><?xml version="1.0" encoding="utf-8"?>
<table xmlns="http://schemas.openxmlformats.org/spreadsheetml/2006/main" id="232" name="Table_232" displayName="Table_232" ref="U106:W112" headerRowCount="0">
  <tableColumns count="3">
    <tableColumn id="1" name="Column1"/>
    <tableColumn id="2" name="Column2"/>
    <tableColumn id="3" name="Column3"/>
  </tableColumns>
  <tableStyleInfo name="Compass-style 6" showFirstColumn="1" showLastColumn="1" showRowStripes="1" showColumnStripes="0"/>
</table>
</file>

<file path=xl/tables/table233.xml><?xml version="1.0" encoding="utf-8"?>
<table xmlns="http://schemas.openxmlformats.org/spreadsheetml/2006/main" id="233" name="Table_233" displayName="Table_233" ref="A119:S152" headerRowCount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  <tableStyleInfo name="Compass-style 7" showFirstColumn="1" showLastColumn="1" showRowStripes="1" showColumnStripes="0"/>
</table>
</file>

<file path=xl/tables/table234.xml><?xml version="1.0" encoding="utf-8"?>
<table xmlns="http://schemas.openxmlformats.org/spreadsheetml/2006/main" id="234" name="Table_234" displayName="Table_234" ref="U158:W164" headerRowCount="0">
  <tableColumns count="3">
    <tableColumn id="1" name="Column1"/>
    <tableColumn id="2" name="Column2"/>
    <tableColumn id="3" name="Column3"/>
  </tableColumns>
  <tableStyleInfo name="Compass-style 8" showFirstColumn="1" showLastColumn="1" showRowStripes="1" showColumnStripes="0"/>
</table>
</file>

<file path=xl/tables/table235.xml><?xml version="1.0" encoding="utf-8"?>
<table xmlns="http://schemas.openxmlformats.org/spreadsheetml/2006/main" id="235" name="Table_235" displayName="Table_235" ref="A169:S190" headerRowCount="0">
  <tableColumns count="1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  <tableStyleInfo name="Compass-style 9" showFirstColumn="1" showLastColumn="1" showRowStripes="1" showColumnStripes="0"/>
</table>
</file>

<file path=xl/tables/table236.xml><?xml version="1.0" encoding="utf-8"?>
<table xmlns="http://schemas.openxmlformats.org/spreadsheetml/2006/main" id="236" name="Table_236" displayName="Table_236" ref="U196:W202" headerRowCount="0">
  <tableColumns count="3">
    <tableColumn id="1" name="Column1"/>
    <tableColumn id="2" name="Column2"/>
    <tableColumn id="3" name="Column3"/>
  </tableColumns>
  <tableStyleInfo name="Compass-style 10" showFirstColumn="1" showLastColumn="1" showRowStripes="1" showColumnStripes="0"/>
</table>
</file>

<file path=xl/tables/table237.xml><?xml version="1.0" encoding="utf-8"?>
<table xmlns="http://schemas.openxmlformats.org/spreadsheetml/2006/main" id="237" name="Table_237" displayName="Table_237" ref="A207:T226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Compass-style 11" showFirstColumn="1" showLastColumn="1" showRowStripes="1" showColumnStripes="0"/>
</table>
</file>

<file path=xl/tables/table238.xml><?xml version="1.0" encoding="utf-8"?>
<table xmlns="http://schemas.openxmlformats.org/spreadsheetml/2006/main" id="238" name="Table_238" displayName="Table_238" ref="A1:J9" headerRowCount="1">
  <tableColumns count="10">
    <tableColumn id="1" name="Name"/>
    <tableColumn id="2" name="Rarity"/>
    <tableColumn id="3" name="Type"/>
    <tableColumn id="4" name="Btad Cost"/>
    <tableColumn id="5" name="Awakening Btad Cost"/>
    <tableColumn id="6" name="Wood Cost"/>
    <tableColumn id="7" name="Awakening Wood Cost"/>
    <tableColumn id="8" name="Stone Cost"/>
    <tableColumn id="9" name="Awakening Stone Cost"/>
    <tableColumn id="10" name="Source"/>
  </tableColumns>
  <tableStyleInfo name="Cost Reductions-style" showFirstColumn="1" showLastColumn="1" showRowStripes="1" showColumnStripes="0"/>
</table>
</file>

<file path=xl/tables/table239.xml><?xml version="1.0" encoding="utf-8"?>
<table xmlns="http://schemas.openxmlformats.org/spreadsheetml/2006/main" id="239" name="Table_239" displayName="Table_239" ref="A11:J17" headerRowCount="1">
  <tableColumns count="10">
    <tableColumn id="1" name="Name"/>
    <tableColumn id="2" name="Rarity"/>
    <tableColumn id="3" name="Type"/>
    <tableColumn id="4" name="Btad Cost"/>
    <tableColumn id="5" name="Awakening Btad Cost"/>
    <tableColumn id="6" name="Wood Cost"/>
    <tableColumn id="7" name="Awakening Wood Cost"/>
    <tableColumn id="8" name="Stone Cost"/>
    <tableColumn id="9" name="Awakening Stone Cost"/>
    <tableColumn id="10" name="Source"/>
  </tableColumns>
  <tableStyleInfo name="Cost Reductions-style 2" showFirstColumn="1" showLastColumn="1" showRowStripes="1" showColumnStripes="0"/>
</table>
</file>

<file path=xl/tables/table240.xml><?xml version="1.0" encoding="utf-8"?>
<table xmlns="http://schemas.openxmlformats.org/spreadsheetml/2006/main" id="240" name="Table_240" displayName="Table_240" ref="A20:J26" headerRowCount="1">
  <tableColumns count="10">
    <tableColumn id="1" name="Name"/>
    <tableColumn id="2" name="Rarity"/>
    <tableColumn id="3" name="Type"/>
    <tableColumn id="4" name="Btad Cost"/>
    <tableColumn id="5" name="Awakening Btad Cost"/>
    <tableColumn id="6" name="Wood Cost"/>
    <tableColumn id="7" name="Awakening Wood Cost"/>
    <tableColumn id="8" name="Stone Cost"/>
    <tableColumn id="9" name="Awakening Stone Cost"/>
    <tableColumn id="10" name="Source"/>
  </tableColumns>
  <tableStyleInfo name="Cost Reductions-style 3" showFirstColumn="1" showLastColumn="1" showRowStripes="1" showColumnStripes="0"/>
</table>
</file>

<file path=xl/tables/table241.xml><?xml version="1.0" encoding="utf-8"?>
<table xmlns="http://schemas.openxmlformats.org/spreadsheetml/2006/main" id="241" name="Table_241" displayName="Table_241" ref="A29:J34" headerRowCount="1">
  <tableColumns count="10">
    <tableColumn id="1" name="Name"/>
    <tableColumn id="2" name="Rarity"/>
    <tableColumn id="3" name="Type"/>
    <tableColumn id="4" name="Btad Cost"/>
    <tableColumn id="5" name="Awakening Btad Cost"/>
    <tableColumn id="6" name="Wood Cost"/>
    <tableColumn id="7" name="Awakening Wood Cost"/>
    <tableColumn id="8" name="Stone Cost"/>
    <tableColumn id="9" name="Awakening Stone Cost"/>
    <tableColumn id="10" name="Source"/>
  </tableColumns>
  <tableStyleInfo name="Cost Reductions-style 4" showFirstColumn="1" showLastColumn="1" showRowStripes="1" showColumnStripes="0"/>
</table>
</file>

<file path=xl/tables/table242.xml><?xml version="1.0" encoding="utf-8"?>
<table xmlns="http://schemas.openxmlformats.org/spreadsheetml/2006/main" id="242" name="Table_242" displayName="Table_242" ref="A37:J43" headerRowCount="1">
  <tableColumns count="10">
    <tableColumn id="1" name="Name"/>
    <tableColumn id="2" name="Rarity"/>
    <tableColumn id="3" name="Type"/>
    <tableColumn id="4" name="Btad Cost"/>
    <tableColumn id="5" name="Awakening Btad Cost"/>
    <tableColumn id="6" name="Wood Cost"/>
    <tableColumn id="7" name="Awakening Wood Cost"/>
    <tableColumn id="8" name="Stone Cost"/>
    <tableColumn id="9" name="Awakening Stone Cost"/>
    <tableColumn id="10" name="Source"/>
  </tableColumns>
  <tableStyleInfo name="Cost Reductions-style 5" showFirstColumn="1" showLastColumn="1" showRowStripes="1" showColumnStripes="0"/>
</table>
</file>

<file path=xl/tables/table243.xml><?xml version="1.0" encoding="utf-8"?>
<table xmlns="http://schemas.openxmlformats.org/spreadsheetml/2006/main" id="243" name="Table_243" displayName="Table_243" ref="A46:J49" headerRowCount="1">
  <tableColumns count="10">
    <tableColumn id="1" name="Name"/>
    <tableColumn id="2" name="Rarity"/>
    <tableColumn id="3" name="Type"/>
    <tableColumn id="4" name="Btad Cost"/>
    <tableColumn id="5" name="Awakening Btad Cost"/>
    <tableColumn id="6" name="Wood Cost"/>
    <tableColumn id="7" name="Awakening Wood Cost"/>
    <tableColumn id="8" name="Stone Cost"/>
    <tableColumn id="9" name="Awakening Stone Cost"/>
    <tableColumn id="10" name="Source"/>
  </tableColumns>
  <tableStyleInfo name="Cost Reductions-style 6" showFirstColumn="1" showLastColumn="1" showRowStripes="1" showColumnStripes="0"/>
</table>
</file>

<file path=xl/tables/table244.xml><?xml version="1.0" encoding="utf-8"?>
<table xmlns="http://schemas.openxmlformats.org/spreadsheetml/2006/main" id="244" name="Table_244" displayName="Table_244" ref="A1:H37" headerRowCount="1">
  <tableColumns count="8">
    <tableColumn id="1" name="Name"/>
    <tableColumn id="2" name="Rarity"/>
    <tableColumn id="3" name="Type"/>
    <tableColumn id="4" name="White -&gt; Green"/>
    <tableColumn id="5" name="Green -&gt; Blue"/>
    <tableColumn id="6" name="Blue -&gt; Purple"/>
    <tableColumn id="7" name="Purple -&gt; Orange"/>
    <tableColumn id="8" name="Source"/>
  </tableColumns>
  <tableStyleInfo name="Lottery-style" showFirstColumn="1" showLastColumn="1" showRowStripes="1" showColumnStripes="0"/>
</table>
</file>

<file path=xl/tables/table245.xml><?xml version="1.0" encoding="utf-8"?>
<table xmlns="http://schemas.openxmlformats.org/spreadsheetml/2006/main" id="245" name="Table_245" displayName="Table_245" ref="A40:H42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Lottery-style 2" showFirstColumn="1" showLastColumn="1" showRowStripes="1" showColumnStripes="0"/>
</table>
</file>

<file path=xl/tables/table246.xml><?xml version="1.0" encoding="utf-8"?>
<table xmlns="http://schemas.openxmlformats.org/spreadsheetml/2006/main" id="246" name="Table_246" displayName="Table_246" ref="A43:H47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Lottery-style 3" showFirstColumn="1" showLastColumn="1" showRowStripes="1" showColumnStripes="0"/>
</table>
</file>

<file path=xl/tables/table247.xml><?xml version="1.0" encoding="utf-8"?>
<table xmlns="http://schemas.openxmlformats.org/spreadsheetml/2006/main" id="247" name="Table_247" displayName="Table_247" ref="A48:H50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Lottery-style 4" showFirstColumn="1" showLastColumn="1" showRowStripes="1" showColumnStripes="0"/>
</table>
</file>

<file path=xl/tables/table248.xml><?xml version="1.0" encoding="utf-8"?>
<table xmlns="http://schemas.openxmlformats.org/spreadsheetml/2006/main" id="248" name="Table_248" displayName="Table_248" ref="A51:H52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Lottery-style 5" showFirstColumn="1" showLastColumn="1" showRowStripes="1" showColumnStripes="0"/>
</table>
</file>

<file path=xl/tables/table249.xml><?xml version="1.0" encoding="utf-8"?>
<table xmlns="http://schemas.openxmlformats.org/spreadsheetml/2006/main" id="249" name="Table_249" displayName="Table_249" ref="A57:B61" headerRowCount="0">
  <tableColumns count="2">
    <tableColumn id="1" name="Column1"/>
    <tableColumn id="2" name="Column2"/>
  </tableColumns>
  <tableStyleInfo name="Lottery-style 6" showFirstColumn="1" showLastColumn="1" showRowStripes="1" showColumnStripes="0"/>
</table>
</file>

<file path=xl/tables/table250.xml><?xml version="1.0" encoding="utf-8"?>
<table xmlns="http://schemas.openxmlformats.org/spreadsheetml/2006/main" id="250" name="Table_250" displayName="Table_250" ref="A3:E1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" showFirstColumn="1" showLastColumn="1" showRowStripes="1" showColumnStripes="0"/>
</table>
</file>

<file path=xl/tables/table251.xml><?xml version="1.0" encoding="utf-8"?>
<table xmlns="http://schemas.openxmlformats.org/spreadsheetml/2006/main" id="251" name="Table_251" displayName="Table_251" ref="A15:E2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" showFirstColumn="1" showLastColumn="1" showRowStripes="1" showColumnStripes="0"/>
</table>
</file>

<file path=xl/tables/table252.xml><?xml version="1.0" encoding="utf-8"?>
<table xmlns="http://schemas.openxmlformats.org/spreadsheetml/2006/main" id="252" name="Table_252" displayName="Table_252" ref="A27:E37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3" showFirstColumn="1" showLastColumn="1" showRowStripes="1" showColumnStripes="0"/>
</table>
</file>

<file path=xl/tables/table253.xml><?xml version="1.0" encoding="utf-8"?>
<table xmlns="http://schemas.openxmlformats.org/spreadsheetml/2006/main" id="253" name="Table_253" displayName="Table_253" ref="A39:E49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4" showFirstColumn="1" showLastColumn="1" showRowStripes="1" showColumnStripes="0"/>
</table>
</file>

<file path=xl/tables/table254.xml><?xml version="1.0" encoding="utf-8"?>
<table xmlns="http://schemas.openxmlformats.org/spreadsheetml/2006/main" id="254" name="Table_254" displayName="Table_254" ref="A51:E6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5" showFirstColumn="1" showLastColumn="1" showRowStripes="1" showColumnStripes="0"/>
</table>
</file>

<file path=xl/tables/table255.xml><?xml version="1.0" encoding="utf-8"?>
<table xmlns="http://schemas.openxmlformats.org/spreadsheetml/2006/main" id="255" name="Table_255" displayName="Table_255" ref="A67:E77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6" showFirstColumn="1" showLastColumn="1" showRowStripes="1" showColumnStripes="0"/>
</table>
</file>

<file path=xl/tables/table256.xml><?xml version="1.0" encoding="utf-8"?>
<table xmlns="http://schemas.openxmlformats.org/spreadsheetml/2006/main" id="256" name="Table_256" displayName="Table_256" ref="A79:E89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7" showFirstColumn="1" showLastColumn="1" showRowStripes="1" showColumnStripes="0"/>
</table>
</file>

<file path=xl/tables/table257.xml><?xml version="1.0" encoding="utf-8"?>
<table xmlns="http://schemas.openxmlformats.org/spreadsheetml/2006/main" id="257" name="Table_257" displayName="Table_257" ref="A91:E10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8" showFirstColumn="1" showLastColumn="1" showRowStripes="1" showColumnStripes="0"/>
</table>
</file>

<file path=xl/tables/table258.xml><?xml version="1.0" encoding="utf-8"?>
<table xmlns="http://schemas.openxmlformats.org/spreadsheetml/2006/main" id="258" name="Table_258" displayName="Table_258" ref="A103:E11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9" showFirstColumn="1" showLastColumn="1" showRowStripes="1" showColumnStripes="0"/>
</table>
</file>

<file path=xl/tables/table259.xml><?xml version="1.0" encoding="utf-8"?>
<table xmlns="http://schemas.openxmlformats.org/spreadsheetml/2006/main" id="259" name="Table_259" displayName="Table_259" ref="A115:E12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0" showFirstColumn="1" showLastColumn="1" showRowStripes="1" showColumnStripes="0"/>
</table>
</file>

<file path=xl/tables/table260.xml><?xml version="1.0" encoding="utf-8"?>
<table xmlns="http://schemas.openxmlformats.org/spreadsheetml/2006/main" id="260" name="Table_260" displayName="Table_260" ref="A131:E14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1" showFirstColumn="1" showLastColumn="1" showRowStripes="1" showColumnStripes="0"/>
</table>
</file>

<file path=xl/tables/table261.xml><?xml version="1.0" encoding="utf-8"?>
<table xmlns="http://schemas.openxmlformats.org/spreadsheetml/2006/main" id="261" name="Table_261" displayName="Table_261" ref="A143:E15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2" showFirstColumn="1" showLastColumn="1" showRowStripes="1" showColumnStripes="0"/>
</table>
</file>

<file path=xl/tables/table262.xml><?xml version="1.0" encoding="utf-8"?>
<table xmlns="http://schemas.openxmlformats.org/spreadsheetml/2006/main" id="262" name="Table_262" displayName="Table_262" ref="A155:E16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3" showFirstColumn="1" showLastColumn="1" showRowStripes="1" showColumnStripes="0"/>
</table>
</file>

<file path=xl/tables/table263.xml><?xml version="1.0" encoding="utf-8"?>
<table xmlns="http://schemas.openxmlformats.org/spreadsheetml/2006/main" id="263" name="Table_263" displayName="Table_263" ref="A167:E177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4" showFirstColumn="1" showLastColumn="1" showRowStripes="1" showColumnStripes="0"/>
</table>
</file>

<file path=xl/tables/table264.xml><?xml version="1.0" encoding="utf-8"?>
<table xmlns="http://schemas.openxmlformats.org/spreadsheetml/2006/main" id="264" name="Table_264" displayName="Table_264" ref="A179:E189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5" showFirstColumn="1" showLastColumn="1" showRowStripes="1" showColumnStripes="0"/>
</table>
</file>

<file path=xl/tables/table265.xml><?xml version="1.0" encoding="utf-8"?>
<table xmlns="http://schemas.openxmlformats.org/spreadsheetml/2006/main" id="265" name="Table_265" displayName="Table_265" ref="A195:E20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6" showFirstColumn="1" showLastColumn="1" showRowStripes="1" showColumnStripes="0"/>
</table>
</file>

<file path=xl/tables/table266.xml><?xml version="1.0" encoding="utf-8"?>
<table xmlns="http://schemas.openxmlformats.org/spreadsheetml/2006/main" id="266" name="Table_266" displayName="Table_266" ref="A207:E217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7" showFirstColumn="1" showLastColumn="1" showRowStripes="1" showColumnStripes="0"/>
</table>
</file>

<file path=xl/tables/table267.xml><?xml version="1.0" encoding="utf-8"?>
<table xmlns="http://schemas.openxmlformats.org/spreadsheetml/2006/main" id="267" name="Table_267" displayName="Table_267" ref="A219:E229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8" showFirstColumn="1" showLastColumn="1" showRowStripes="1" showColumnStripes="0"/>
</table>
</file>

<file path=xl/tables/table268.xml><?xml version="1.0" encoding="utf-8"?>
<table xmlns="http://schemas.openxmlformats.org/spreadsheetml/2006/main" id="268" name="Table_268" displayName="Table_268" ref="A231:E24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19" showFirstColumn="1" showLastColumn="1" showRowStripes="1" showColumnStripes="0"/>
</table>
</file>

<file path=xl/tables/table269.xml><?xml version="1.0" encoding="utf-8"?>
<table xmlns="http://schemas.openxmlformats.org/spreadsheetml/2006/main" id="269" name="Table_269" displayName="Table_269" ref="A243:E25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0" showFirstColumn="1" showLastColumn="1" showRowStripes="1" showColumnStripes="0"/>
</table>
</file>

<file path=xl/tables/table270.xml><?xml version="1.0" encoding="utf-8"?>
<table xmlns="http://schemas.openxmlformats.org/spreadsheetml/2006/main" id="270" name="Table_270" displayName="Table_270" ref="A259:E269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1" showFirstColumn="1" showLastColumn="1" showRowStripes="1" showColumnStripes="0"/>
</table>
</file>

<file path=xl/tables/table271.xml><?xml version="1.0" encoding="utf-8"?>
<table xmlns="http://schemas.openxmlformats.org/spreadsheetml/2006/main" id="271" name="Table_271" displayName="Table_271" ref="A271:E28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2" showFirstColumn="1" showLastColumn="1" showRowStripes="1" showColumnStripes="0"/>
</table>
</file>

<file path=xl/tables/table272.xml><?xml version="1.0" encoding="utf-8"?>
<table xmlns="http://schemas.openxmlformats.org/spreadsheetml/2006/main" id="272" name="Table_272" displayName="Table_272" ref="A283:E29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3" showFirstColumn="1" showLastColumn="1" showRowStripes="1" showColumnStripes="0"/>
</table>
</file>

<file path=xl/tables/table273.xml><?xml version="1.0" encoding="utf-8"?>
<table xmlns="http://schemas.openxmlformats.org/spreadsheetml/2006/main" id="273" name="Table_273" displayName="Table_273" ref="A295:E30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4" showFirstColumn="1" showLastColumn="1" showRowStripes="1" showColumnStripes="0"/>
</table>
</file>

<file path=xl/tables/table274.xml><?xml version="1.0" encoding="utf-8"?>
<table xmlns="http://schemas.openxmlformats.org/spreadsheetml/2006/main" id="274" name="Table_274" displayName="Table_274" ref="A307:E317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5" showFirstColumn="1" showLastColumn="1" showRowStripes="1" showColumnStripes="0"/>
</table>
</file>

<file path=xl/tables/table275.xml><?xml version="1.0" encoding="utf-8"?>
<table xmlns="http://schemas.openxmlformats.org/spreadsheetml/2006/main" id="275" name="Table_275" displayName="Table_275" ref="A323:E333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6" showFirstColumn="1" showLastColumn="1" showRowStripes="1" showColumnStripes="0"/>
</table>
</file>

<file path=xl/tables/table276.xml><?xml version="1.0" encoding="utf-8"?>
<table xmlns="http://schemas.openxmlformats.org/spreadsheetml/2006/main" id="276" name="Table_276" displayName="Table_276" ref="A335:E34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7" showFirstColumn="1" showLastColumn="1" showRowStripes="1" showColumnStripes="0"/>
</table>
</file>

<file path=xl/tables/table277.xml><?xml version="1.0" encoding="utf-8"?>
<table xmlns="http://schemas.openxmlformats.org/spreadsheetml/2006/main" id="277" name="Table_277" displayName="Table_277" ref="A347:E357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8" showFirstColumn="1" showLastColumn="1" showRowStripes="1" showColumnStripes="0"/>
</table>
</file>

<file path=xl/tables/table278.xml><?xml version="1.0" encoding="utf-8"?>
<table xmlns="http://schemas.openxmlformats.org/spreadsheetml/2006/main" id="278" name="Table_278" displayName="Table_278" ref="A359:E369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29" showFirstColumn="1" showLastColumn="1" showRowStripes="1" showColumnStripes="0"/>
</table>
</file>

<file path=xl/tables/table279.xml><?xml version="1.0" encoding="utf-8"?>
<table xmlns="http://schemas.openxmlformats.org/spreadsheetml/2006/main" id="279" name="Table_279" displayName="Table_279" ref="A371:E38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Minion Base Stats-style 30" showFirstColumn="1" showLastColumn="1" showRowStripes="1" showColumnStripes="0"/>
</table>
</file>

<file path=xl/tables/table280.xml><?xml version="1.0" encoding="utf-8"?>
<table xmlns="http://schemas.openxmlformats.org/spreadsheetml/2006/main" id="280" name="Table_280" displayName="Table_280" ref="A75:B175" headerRowCount="1">
  <tableColumns count="2">
    <tableColumn id="1" name="Research Level"/>
    <tableColumn id="2" name="Manual Cost"/>
  </tableColumns>
  <tableStyleInfo name="Partner Research Costs-style" showFirstColumn="1" showLastColumn="1" showRowStripes="1" showColumnStripes="0"/>
</table>
</file>

<file path=xl/tables/table281.xml><?xml version="1.0" encoding="utf-8"?>
<table xmlns="http://schemas.openxmlformats.org/spreadsheetml/2006/main" id="281" name="Table_281" displayName="Table_281" ref="D75:E105" headerRowCount="1">
  <tableColumns count="2">
    <tableColumn id="1" name="Total Research"/>
    <tableColumn id="2" name="Partner Level"/>
  </tableColumns>
  <tableStyleInfo name="Partner Research Costs-style 2" showFirstColumn="1" showLastColumn="1" showRowStripes="1" showColumnStripes="0"/>
</table>
</file>

<file path=xl/tables/table282.xml><?xml version="1.0" encoding="utf-8"?>
<table xmlns="http://schemas.openxmlformats.org/spreadsheetml/2006/main" id="282" name="Table_282" displayName="Table_282" ref="A2:F1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" showFirstColumn="1" showLastColumn="1" showRowStripes="1" showColumnStripes="0"/>
</table>
</file>

<file path=xl/tables/table283.xml><?xml version="1.0" encoding="utf-8"?>
<table xmlns="http://schemas.openxmlformats.org/spreadsheetml/2006/main" id="283" name="Table_283" displayName="Table_283" ref="H2:M1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2" showFirstColumn="1" showLastColumn="1" showRowStripes="1" showColumnStripes="0"/>
</table>
</file>

<file path=xl/tables/table284.xml><?xml version="1.0" encoding="utf-8"?>
<table xmlns="http://schemas.openxmlformats.org/spreadsheetml/2006/main" id="284" name="Table_284" displayName="Table_284" ref="O2:T1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3" showFirstColumn="1" showLastColumn="1" showRowStripes="1" showColumnStripes="0"/>
</table>
</file>

<file path=xl/tables/table285.xml><?xml version="1.0" encoding="utf-8"?>
<table xmlns="http://schemas.openxmlformats.org/spreadsheetml/2006/main" id="285" name="Table_285" displayName="Table_285" ref="A16:F2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4" showFirstColumn="1" showLastColumn="1" showRowStripes="1" showColumnStripes="0"/>
</table>
</file>

<file path=xl/tables/table286.xml><?xml version="1.0" encoding="utf-8"?>
<table xmlns="http://schemas.openxmlformats.org/spreadsheetml/2006/main" id="286" name="Table_286" displayName="Table_286" ref="H16:M2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5" showFirstColumn="1" showLastColumn="1" showRowStripes="1" showColumnStripes="0"/>
</table>
</file>

<file path=xl/tables/table287.xml><?xml version="1.0" encoding="utf-8"?>
<table xmlns="http://schemas.openxmlformats.org/spreadsheetml/2006/main" id="287" name="Table_287" displayName="Table_287" ref="O16:T27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6" showFirstColumn="1" showLastColumn="1" showRowStripes="1" showColumnStripes="0"/>
</table>
</file>

<file path=xl/tables/table288.xml><?xml version="1.0" encoding="utf-8"?>
<table xmlns="http://schemas.openxmlformats.org/spreadsheetml/2006/main" id="288" name="Table_288" displayName="Table_288" ref="A30:F4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7" showFirstColumn="1" showLastColumn="1" showRowStripes="1" showColumnStripes="0"/>
</table>
</file>

<file path=xl/tables/table289.xml><?xml version="1.0" encoding="utf-8"?>
<table xmlns="http://schemas.openxmlformats.org/spreadsheetml/2006/main" id="289" name="Table_289" displayName="Table_289" ref="H30:M4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8" showFirstColumn="1" showLastColumn="1" showRowStripes="1" showColumnStripes="0"/>
</table>
</file>

<file path=xl/tables/table290.xml><?xml version="1.0" encoding="utf-8"?>
<table xmlns="http://schemas.openxmlformats.org/spreadsheetml/2006/main" id="290" name="Table_290" displayName="Table_290" ref="O30:T4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9" showFirstColumn="1" showLastColumn="1" showRowStripes="1" showColumnStripes="0"/>
</table>
</file>

<file path=xl/tables/table291.xml><?xml version="1.0" encoding="utf-8"?>
<table xmlns="http://schemas.openxmlformats.org/spreadsheetml/2006/main" id="291" name="Table_291" displayName="Table_291" ref="A44:F5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0" showFirstColumn="1" showLastColumn="1" showRowStripes="1" showColumnStripes="0"/>
</table>
</file>

<file path=xl/tables/table292.xml><?xml version="1.0" encoding="utf-8"?>
<table xmlns="http://schemas.openxmlformats.org/spreadsheetml/2006/main" id="292" name="Table_292" displayName="Table_292" ref="H44:M5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1" showFirstColumn="1" showLastColumn="1" showRowStripes="1" showColumnStripes="0"/>
</table>
</file>

<file path=xl/tables/table293.xml><?xml version="1.0" encoding="utf-8"?>
<table xmlns="http://schemas.openxmlformats.org/spreadsheetml/2006/main" id="293" name="Table_293" displayName="Table_293" ref="O44:T55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2" showFirstColumn="1" showLastColumn="1" showRowStripes="1" showColumnStripes="0"/>
</table>
</file>

<file path=xl/tables/table294.xml><?xml version="1.0" encoding="utf-8"?>
<table xmlns="http://schemas.openxmlformats.org/spreadsheetml/2006/main" id="294" name="Table_294" displayName="Table_294" ref="A72:F8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3" showFirstColumn="1" showLastColumn="1" showRowStripes="1" showColumnStripes="0"/>
</table>
</file>

<file path=xl/tables/table295.xml><?xml version="1.0" encoding="utf-8"?>
<table xmlns="http://schemas.openxmlformats.org/spreadsheetml/2006/main" id="295" name="Table_295" displayName="Table_295" ref="H72:M8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4" showFirstColumn="1" showLastColumn="1" showRowStripes="1" showColumnStripes="0"/>
</table>
</file>

<file path=xl/tables/table296.xml><?xml version="1.0" encoding="utf-8"?>
<table xmlns="http://schemas.openxmlformats.org/spreadsheetml/2006/main" id="296" name="Table_296" displayName="Table_296" ref="O72:T83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5" showFirstColumn="1" showLastColumn="1" showRowStripes="1" showColumnStripes="0"/>
</table>
</file>

<file path=xl/tables/table297.xml><?xml version="1.0" encoding="utf-8"?>
<table xmlns="http://schemas.openxmlformats.org/spreadsheetml/2006/main" id="297" name="Table_297" displayName="Table_297" ref="A86:F90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6" showFirstColumn="1" showLastColumn="1" showRowStripes="1" showColumnStripes="0"/>
</table>
</file>

<file path=xl/tables/table298.xml><?xml version="1.0" encoding="utf-8"?>
<table xmlns="http://schemas.openxmlformats.org/spreadsheetml/2006/main" id="298" name="Table_298" displayName="Table_298" ref="H86:M88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7" showFirstColumn="1" showLastColumn="1" showRowStripes="1" showColumnStripes="0"/>
</table>
</file>

<file path=xl/tables/table299.xml><?xml version="1.0" encoding="utf-8"?>
<table xmlns="http://schemas.openxmlformats.org/spreadsheetml/2006/main" id="299" name="Table_299" displayName="Table_299" ref="O86:T92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8" showFirstColumn="1" showLastColumn="1" showRowStripes="1" showColumnStripes="0"/>
</table>
</file>

<file path=xl/tables/table300.xml><?xml version="1.0" encoding="utf-8"?>
<table xmlns="http://schemas.openxmlformats.org/spreadsheetml/2006/main" id="300" name="Table_300" displayName="Table_300" ref="A93:F9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19" showFirstColumn="1" showLastColumn="1" showRowStripes="1" showColumnStripes="0"/>
</table>
</file>

<file path=xl/tables/table301.xml><?xml version="1.0" encoding="utf-8"?>
<table xmlns="http://schemas.openxmlformats.org/spreadsheetml/2006/main" id="301" name="Table_301" displayName="Table_301" ref="H93:M94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20" showFirstColumn="1" showLastColumn="1" showRowStripes="1" showColumnStripes="0"/>
</table>
</file>

<file path=xl/tables/table302.xml><?xml version="1.0" encoding="utf-8"?>
<table xmlns="http://schemas.openxmlformats.org/spreadsheetml/2006/main" id="302" name="Table_302" displayName="Table_302" ref="O95:T96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DNA Costs-style 21" showFirstColumn="1" showLastColumn="1" showRowStripes="1" showColumnStripes="0"/>
</table>
</file>

<file path=xl/tables/table303.xml><?xml version="1.0" encoding="utf-8"?>
<table xmlns="http://schemas.openxmlformats.org/spreadsheetml/2006/main" id="303" name="Table_303" displayName="Table_303" ref="A97:F100" headerRowCount="1">
  <tableColumns count="6">
    <tableColumn id="1" name="T5-&gt;T6"/>
    <tableColumn id="2" name="Time (hr)"/>
    <tableColumn id="3" name="Time (days)"/>
    <tableColumn id="4" name="Cells"/>
    <tableColumn id="5" name="B-tads"/>
    <tableColumn id="6" name="DNA Points"/>
  </tableColumns>
  <tableStyleInfo name="DNA Costs-style 22" showFirstColumn="1" showLastColumn="1" showRowStripes="1" showColumnStripes="0"/>
</table>
</file>

<file path=xl/tables/table304.xml><?xml version="1.0" encoding="utf-8"?>
<table xmlns="http://schemas.openxmlformats.org/spreadsheetml/2006/main" id="304" name="Table_304" displayName="Table_304" ref="H97:M100" headerRowCount="1">
  <tableColumns count="6">
    <tableColumn id="1" name="T6-&gt;T7"/>
    <tableColumn id="2" name="Time (hr)"/>
    <tableColumn id="3" name="Time (days)"/>
    <tableColumn id="4" name="Cells"/>
    <tableColumn id="5" name="B-tads"/>
    <tableColumn id="6" name="DNA Points"/>
  </tableColumns>
  <tableStyleInfo name="DNA Costs-style 23" showFirstColumn="1" showLastColumn="1" showRowStripes="1" showColumnStripes="0"/>
</table>
</file>

<file path=xl/tables/table305.xml><?xml version="1.0" encoding="utf-8"?>
<table xmlns="http://schemas.openxmlformats.org/spreadsheetml/2006/main" id="305" name="Table_305" displayName="Table_305" ref="O99:S102" headerRowCount="1">
  <tableColumns count="5">
    <tableColumn id="1" name="T7-&gt;T8"/>
    <tableColumn id="2" name="Time (days)"/>
    <tableColumn id="3" name="Cells"/>
    <tableColumn id="4" name="B-tads"/>
    <tableColumn id="5" name="DNA Points"/>
  </tableColumns>
  <tableStyleInfo name="DNA Costs-style 24" showFirstColumn="1" showLastColumn="1" showRowStripes="1" showColumnStripes="0"/>
</table>
</file>

<file path=xl/tables/table306.xml><?xml version="1.0" encoding="utf-8"?>
<table xmlns="http://schemas.openxmlformats.org/spreadsheetml/2006/main" id="306" name="Table_306" displayName="Table_306" ref="A2:G1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" showFirstColumn="1" showLastColumn="1" showRowStripes="1" showColumnStripes="0"/>
</table>
</file>

<file path=xl/tables/table307.xml><?xml version="1.0" encoding="utf-8"?>
<table xmlns="http://schemas.openxmlformats.org/spreadsheetml/2006/main" id="307" name="Table_307" displayName="Table_307" ref="I2:O1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2" showFirstColumn="1" showLastColumn="1" showRowStripes="1" showColumnStripes="0"/>
</table>
</file>

<file path=xl/tables/table308.xml><?xml version="1.0" encoding="utf-8"?>
<table xmlns="http://schemas.openxmlformats.org/spreadsheetml/2006/main" id="308" name="Table_308" displayName="Table_308" ref="Q2:W1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3" showFirstColumn="1" showLastColumn="1" showRowStripes="1" showColumnStripes="0"/>
</table>
</file>

<file path=xl/tables/table309.xml><?xml version="1.0" encoding="utf-8"?>
<table xmlns="http://schemas.openxmlformats.org/spreadsheetml/2006/main" id="309" name="Table_309" displayName="Table_309" ref="A16:G2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4" showFirstColumn="1" showLastColumn="1" showRowStripes="1" showColumnStripes="0"/>
</table>
</file>

<file path=xl/tables/table310.xml><?xml version="1.0" encoding="utf-8"?>
<table xmlns="http://schemas.openxmlformats.org/spreadsheetml/2006/main" id="310" name="Table_310" displayName="Table_310" ref="I16:O2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5" showFirstColumn="1" showLastColumn="1" showRowStripes="1" showColumnStripes="0"/>
</table>
</file>

<file path=xl/tables/table311.xml><?xml version="1.0" encoding="utf-8"?>
<table xmlns="http://schemas.openxmlformats.org/spreadsheetml/2006/main" id="311" name="Table_311" displayName="Table_311" ref="Q16:W2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6" showFirstColumn="1" showLastColumn="1" showRowStripes="1" showColumnStripes="0"/>
</table>
</file>

<file path=xl/tables/table312.xml><?xml version="1.0" encoding="utf-8"?>
<table xmlns="http://schemas.openxmlformats.org/spreadsheetml/2006/main" id="312" name="Table_312" displayName="Table_312" ref="A30:G4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7" showFirstColumn="1" showLastColumn="1" showRowStripes="1" showColumnStripes="0"/>
</table>
</file>

<file path=xl/tables/table313.xml><?xml version="1.0" encoding="utf-8"?>
<table xmlns="http://schemas.openxmlformats.org/spreadsheetml/2006/main" id="313" name="Table_313" displayName="Table_313" ref="I30:O4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8" showFirstColumn="1" showLastColumn="1" showRowStripes="1" showColumnStripes="0"/>
</table>
</file>

<file path=xl/tables/table314.xml><?xml version="1.0" encoding="utf-8"?>
<table xmlns="http://schemas.openxmlformats.org/spreadsheetml/2006/main" id="314" name="Table_314" displayName="Table_314" ref="Q30:W41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9" showFirstColumn="1" showLastColumn="1" showRowStripes="1" showColumnStripes="0"/>
</table>
</file>

<file path=xl/tables/table315.xml><?xml version="1.0" encoding="utf-8"?>
<table xmlns="http://schemas.openxmlformats.org/spreadsheetml/2006/main" id="315" name="Table_315" displayName="Table_315" ref="A44:G55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0" showFirstColumn="1" showLastColumn="1" showRowStripes="1" showColumnStripes="0"/>
</table>
</file>

<file path=xl/tables/table316.xml><?xml version="1.0" encoding="utf-8"?>
<table xmlns="http://schemas.openxmlformats.org/spreadsheetml/2006/main" id="316" name="Table_316" displayName="Table_316" ref="I44:O55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1" showFirstColumn="1" showLastColumn="1" showRowStripes="1" showColumnStripes="0"/>
</table>
</file>

<file path=xl/tables/table317.xml><?xml version="1.0" encoding="utf-8"?>
<table xmlns="http://schemas.openxmlformats.org/spreadsheetml/2006/main" id="317" name="Table_317" displayName="Table_317" ref="Q44:W55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2" showFirstColumn="1" showLastColumn="1" showRowStripes="1" showColumnStripes="0"/>
</table>
</file>

<file path=xl/tables/table318.xml><?xml version="1.0" encoding="utf-8"?>
<table xmlns="http://schemas.openxmlformats.org/spreadsheetml/2006/main" id="318" name="Table_318" displayName="Table_318" ref="A72:G8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3" showFirstColumn="1" showLastColumn="1" showRowStripes="1" showColumnStripes="0"/>
</table>
</file>

<file path=xl/tables/table319.xml><?xml version="1.0" encoding="utf-8"?>
<table xmlns="http://schemas.openxmlformats.org/spreadsheetml/2006/main" id="319" name="Table_319" displayName="Table_319" ref="I72:O8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4" showFirstColumn="1" showLastColumn="1" showRowStripes="1" showColumnStripes="0"/>
</table>
</file>

<file path=xl/tables/table320.xml><?xml version="1.0" encoding="utf-8"?>
<table xmlns="http://schemas.openxmlformats.org/spreadsheetml/2006/main" id="320" name="Table_320" displayName="Table_320" ref="Q72:W8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5" showFirstColumn="1" showLastColumn="1" showRowStripes="1" showColumnStripes="0"/>
</table>
</file>

<file path=xl/tables/table321.xml><?xml version="1.0" encoding="utf-8"?>
<table xmlns="http://schemas.openxmlformats.org/spreadsheetml/2006/main" id="321" name="Table_321" displayName="Table_321" ref="A86:G9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6" showFirstColumn="1" showLastColumn="1" showRowStripes="1" showColumnStripes="0"/>
</table>
</file>

<file path=xl/tables/table322.xml><?xml version="1.0" encoding="utf-8"?>
<table xmlns="http://schemas.openxmlformats.org/spreadsheetml/2006/main" id="322" name="Table_322" displayName="Table_322" ref="I86:O88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7" showFirstColumn="1" showLastColumn="1" showRowStripes="1" showColumnStripes="0"/>
</table>
</file>

<file path=xl/tables/table323.xml><?xml version="1.0" encoding="utf-8"?>
<table xmlns="http://schemas.openxmlformats.org/spreadsheetml/2006/main" id="323" name="Table_323" displayName="Table_323" ref="Q86:W92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8" showFirstColumn="1" showLastColumn="1" showRowStripes="1" showColumnStripes="0"/>
</table>
</file>

<file path=xl/tables/table324.xml><?xml version="1.0" encoding="utf-8"?>
<table xmlns="http://schemas.openxmlformats.org/spreadsheetml/2006/main" id="324" name="Table_324" displayName="Table_324" ref="A93:G94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19" showFirstColumn="1" showLastColumn="1" showRowStripes="1" showColumnStripes="0"/>
</table>
</file>

<file path=xl/tables/table325.xml><?xml version="1.0" encoding="utf-8"?>
<table xmlns="http://schemas.openxmlformats.org/spreadsheetml/2006/main" id="325" name="Table_325" displayName="Table_325" ref="I93:O94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20" showFirstColumn="1" showLastColumn="1" showRowStripes="1" showColumnStripes="0"/>
</table>
</file>

<file path=xl/tables/table326.xml><?xml version="1.0" encoding="utf-8"?>
<table xmlns="http://schemas.openxmlformats.org/spreadsheetml/2006/main" id="326" name="Table_326" displayName="Table_326" ref="Q95:W96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Dragon DNA Costs-style 21" showFirstColumn="1" showLastColumn="1" showRowStripes="1" showColumnStripes="0"/>
</table>
</file>

<file path=xl/tables/table327.xml><?xml version="1.0" encoding="utf-8"?>
<table xmlns="http://schemas.openxmlformats.org/spreadsheetml/2006/main" id="327" name="Table_327" displayName="Table_327" ref="A97:D106" headerRowCount="1">
  <tableColumns count="4">
    <tableColumn id="1" name="T5-&gt;T6"/>
    <tableColumn id="2" name="Total"/>
    <tableColumn id="3" name="To Center"/>
    <tableColumn id="4" name="Remaining"/>
  </tableColumns>
  <tableStyleInfo name="Dragon DNA Costs-style 22" showFirstColumn="1" showLastColumn="1" showRowStripes="1" showColumnStripes="0"/>
</table>
</file>

<file path=xl/tables/table328.xml><?xml version="1.0" encoding="utf-8"?>
<table xmlns="http://schemas.openxmlformats.org/spreadsheetml/2006/main" id="328" name="Table_328" displayName="Table_328" ref="I97:L106" headerRowCount="1">
  <tableColumns count="4">
    <tableColumn id="1" name="T6-&gt;T7"/>
    <tableColumn id="2" name="Total"/>
    <tableColumn id="3" name="To Center"/>
    <tableColumn id="4" name="Remaining"/>
  </tableColumns>
  <tableStyleInfo name="Dragon DNA Costs-style 23" showFirstColumn="1" showLastColumn="1" showRowStripes="1" showColumnStripes="0"/>
</table>
</file>

<file path=xl/tables/table329.xml><?xml version="1.0" encoding="utf-8"?>
<table xmlns="http://schemas.openxmlformats.org/spreadsheetml/2006/main" id="329" name="Table_329" displayName="Table_329" ref="Q99:T107" headerRowCount="1">
  <tableColumns count="4">
    <tableColumn id="1" name="T7-&gt;T8"/>
    <tableColumn id="2" name="Total"/>
    <tableColumn id="3" name="To Center"/>
    <tableColumn id="4" name="Remaining"/>
  </tableColumns>
  <tableStyleInfo name="Dragon DNA Costs-style 24" showFirstColumn="1" showLastColumn="1" showRowStripes="1" showColumnStripes="0"/>
</table>
</file>

<file path=xl/tables/table330.xml><?xml version="1.0" encoding="utf-8"?>
<table xmlns="http://schemas.openxmlformats.org/spreadsheetml/2006/main" id="330" name="Table_330" displayName="Table_330" ref="A1:F71" headerRowCount="1">
  <tableColumns count="6">
    <tableColumn id="1" name="Order"/>
    <tableColumn id="2" name="Daily Pack Relic"/>
    <tableColumn id="3" name="(Days)"/>
    <tableColumn id="4" name="Passive"/>
    <tableColumn id="5" name="Stamp Type"/>
    <tableColumn id="6" name="Notable Stamps"/>
  </tableColumns>
  <tableStyleInfo name="Relic Albums-style" showFirstColumn="1" showLastColumn="1" showRowStripes="1" showColumnStripes="0"/>
</table>
</file>

<file path=xl/tables/table331.xml><?xml version="1.0" encoding="utf-8"?>
<table xmlns="http://schemas.openxmlformats.org/spreadsheetml/2006/main" id="331" name="Table_331" displayName="Table_331" ref="A79:F93" headerRowCount="1">
  <tableColumns count="6">
    <tableColumn id="1" name="Order"/>
    <tableColumn id="2" name="Silver Pack Relic"/>
    <tableColumn id="3" name="(Days)"/>
    <tableColumn id="4" name="Passive"/>
    <tableColumn id="5" name="Stamp Type"/>
    <tableColumn id="6" name="Notable Stamps"/>
  </tableColumns>
  <tableStyleInfo name="Relic Albums-style 2" showFirstColumn="1" showLastColumn="1" showRowStripes="1" showColumnStripes="0"/>
</table>
</file>

<file path=xl/tables/table332.xml><?xml version="1.0" encoding="utf-8"?>
<table xmlns="http://schemas.openxmlformats.org/spreadsheetml/2006/main" id="332" name="Table_332" displayName="Table_332" ref="A98:F106" headerRowCount="1">
  <tableColumns count="6">
    <tableColumn id="1" name="Order"/>
    <tableColumn id="2" name="Gold Pack Relic"/>
    <tableColumn id="3" name="(Days)"/>
    <tableColumn id="4" name="Passive"/>
    <tableColumn id="5" name="Stamp Type"/>
    <tableColumn id="6" name="Notable Stamps"/>
  </tableColumns>
  <tableStyleInfo name="Relic Albums-style 3" showFirstColumn="1" showLastColumn="1" showRowStripes="1" showColumnStripes="0"/>
</table>
</file>

<file path=xl/tables/table333.xml><?xml version="1.0" encoding="utf-8"?>
<table xmlns="http://schemas.openxmlformats.org/spreadsheetml/2006/main" id="333" name="Table_333" displayName="Table_333" ref="A111:F125" headerRowCount="1">
  <tableColumns count="6">
    <tableColumn id="1" name="Order"/>
    <tableColumn id="2" name="Travelers Relic"/>
    <tableColumn id="3" name="(Days)"/>
    <tableColumn id="4" name="Passive"/>
    <tableColumn id="5" name="Stamp Type"/>
    <tableColumn id="6" name="Notable Stamps"/>
  </tableColumns>
  <tableStyleInfo name="Relic Albums-style 4" showFirstColumn="1" showLastColumn="1" showRowStripes="1" showColumnStripes="0"/>
</table>
</file>

<file path=xl/tables/table334.xml><?xml version="1.0" encoding="utf-8"?>
<table xmlns="http://schemas.openxmlformats.org/spreadsheetml/2006/main" id="334" name="Table_334" displayName="Table_334" ref="A129:F145" headerRowCount="1">
  <tableColumns count="6">
    <tableColumn id="1" name="Order"/>
    <tableColumn id="2" name="Wish Box"/>
    <tableColumn id="3" name="(Days)"/>
    <tableColumn id="4" name="Passive"/>
    <tableColumn id="5" name="Stamp Type"/>
    <tableColumn id="6" name="Notable Stamps"/>
  </tableColumns>
  <tableStyleInfo name="Relic Albums-style 5" showFirstColumn="1" showLastColumn="1" showRowStripes="1" showColumnStripes="0"/>
</table>
</file>

<file path=xl/tables/table335.xml><?xml version="1.0" encoding="utf-8"?>
<table xmlns="http://schemas.openxmlformats.org/spreadsheetml/2006/main" id="335" name="Table_335" displayName="Table_335" ref="A150:F162" headerRowCount="1">
  <tableColumns count="6">
    <tableColumn id="1" name="Order"/>
    <tableColumn id="2" name="Weekly Special"/>
    <tableColumn id="3" name="(Days)"/>
    <tableColumn id="4" name="Passive"/>
    <tableColumn id="5" name="Stamp Type"/>
    <tableColumn id="6" name="Notable Stamps"/>
  </tableColumns>
  <tableStyleInfo name="Relic Albums-style 6" showFirstColumn="1" showLastColumn="1" showRowStripes="1" showColumnStripes="0"/>
</table>
</file>

<file path=xl/tables/table336.xml><?xml version="1.0" encoding="utf-8"?>
<table xmlns="http://schemas.openxmlformats.org/spreadsheetml/2006/main" id="336" name="Table_336" displayName="Table_336" ref="A167:F195" headerRowCount="1">
  <tableColumns count="6">
    <tableColumn id="1" name="Order"/>
    <tableColumn id="2" name="Lottery Box (AAA)"/>
    <tableColumn id="3" name="(Rounds)"/>
    <tableColumn id="4" name="Passive"/>
    <tableColumn id="5" name="Stamp Type"/>
    <tableColumn id="6" name="Notable Stamps"/>
  </tableColumns>
  <tableStyleInfo name="Relic Albums-style 7" showFirstColumn="1" showLastColumn="1" showRowStripes="1" showColumnStripes="0"/>
</table>
</file>

<file path=xl/tables/table337.xml><?xml version="1.0" encoding="utf-8"?>
<table xmlns="http://schemas.openxmlformats.org/spreadsheetml/2006/main" id="337" name="Table_337" displayName="Table_337" ref="A2:C32" headerRowCount="0">
  <tableColumns count="3">
    <tableColumn id="1" name="Column1"/>
    <tableColumn id="2" name="Column2"/>
    <tableColumn id="3" name="Column3"/>
  </tableColumns>
  <tableStyleInfo name="Lotto2 Expanded Stock-style" showFirstColumn="1" showLastColumn="1" showRowStripes="1" showColumnStripes="0"/>
</table>
</file>

<file path=xl/tables/table338.xml><?xml version="1.0" encoding="utf-8"?>
<table xmlns="http://schemas.openxmlformats.org/spreadsheetml/2006/main" id="338" name="Table_338" displayName="Table_338" ref="E2:G12" headerRowCount="0">
  <tableColumns count="3">
    <tableColumn id="1" name="Column1"/>
    <tableColumn id="2" name="Column2"/>
    <tableColumn id="3" name="Column3"/>
  </tableColumns>
  <tableStyleInfo name="Lotto2 Expanded Stock-style 2" showFirstColumn="1" showLastColumn="1" showRowStripes="1" showColumnStripes="0"/>
</table>
</file>

<file path=xl/tables/table339.xml><?xml version="1.0" encoding="utf-8"?>
<table xmlns="http://schemas.openxmlformats.org/spreadsheetml/2006/main" id="339" name="Table_339" displayName="Table_339" ref="A43:C61" headerRowCount="0">
  <tableColumns count="3">
    <tableColumn id="1" name="Column1"/>
    <tableColumn id="2" name="Column2"/>
    <tableColumn id="3" name="Column3"/>
  </tableColumns>
  <tableStyleInfo name="Lotto3 Expanded Stock-style" showFirstColumn="1" showLastColumn="1" showRowStripes="1" showColumnStripes="0"/>
</table>
</file>

<file path=xl/tables/table340.xml><?xml version="1.0" encoding="utf-8"?>
<table xmlns="http://schemas.openxmlformats.org/spreadsheetml/2006/main" id="340" name="Table_340" displayName="Table_340" ref="A1:F55" headerRowCount="1">
  <tableColumns count="6">
    <tableColumn id="1" name="Name"/>
    <tableColumn id="2" name="Rarity"/>
    <tableColumn id="3" name="Type"/>
    <tableColumn id="4" name="Awakening Stat"/>
    <tableColumn id="5" name="Value"/>
    <tableColumn id="6" name="Source"/>
  </tableColumns>
  <tableStyleInfo name="Useful Awakenings-style" showFirstColumn="1" showLastColumn="1" showRowStripes="1" showColumnStripes="0"/>
</table>
</file>

<file path=xl/tables/table341.xml><?xml version="1.0" encoding="utf-8"?>
<table xmlns="http://schemas.openxmlformats.org/spreadsheetml/2006/main" id="341" name="Table_341" displayName="Table_341" ref="A4:L4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Rift Anecdotes-style" showFirstColumn="1" showLastColumn="1" showRowStripes="1" showColumnStripes="0"/>
</table>
</file>

<file path=xl/tables/table342.xml><?xml version="1.0" encoding="utf-8"?>
<table xmlns="http://schemas.openxmlformats.org/spreadsheetml/2006/main" id="342" name="Table_342" displayName="Table_342" ref="A5:C27" headerRowCount="1">
  <tableColumns count="3">
    <tableColumn id="1" name="No."/>
    <tableColumn id="2" name="Name"/>
    <tableColumn id="3" name="Setting"/>
  </tableColumns>
  <tableStyleInfo name="Rift Anecdotes-style 2" showFirstColumn="1" showLastColumn="1" showRowStripes="1" showColumnStripes="0"/>
</table>
</file>

<file path=xl/tables/table343.xml><?xml version="1.0" encoding="utf-8"?>
<table xmlns="http://schemas.openxmlformats.org/spreadsheetml/2006/main" id="343" name="Table_343" displayName="Table_343" ref="D5:H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Rift Anecdotes-style 3" showFirstColumn="1" showLastColumn="1" showRowStripes="1" showColumnStripes="0"/>
</table>
</file>

<file path=xl/tables/table344.xml><?xml version="1.0" encoding="utf-8"?>
<table xmlns="http://schemas.openxmlformats.org/spreadsheetml/2006/main" id="344" name="Table_344" displayName="Table_344" ref="I5:M27" headerRowCount="1">
  <tableColumns count="5">
    <tableColumn id="1" name="Athena"/>
    <tableColumn id="2" name="Idol"/>
    <tableColumn id="3" name="Idol Level"/>
    <tableColumn id="4" name="Excalibra Level"/>
    <tableColumn id="5" name="Amakusa Level"/>
  </tableColumns>
  <tableStyleInfo name="Rift Anecdotes-style 4" showFirstColumn="1" showLastColumn="1" showRowStripes="1" showColumnStripes="0"/>
</table>
</file>

<file path=xl/tables/table345.xml><?xml version="1.0" encoding="utf-8"?>
<table xmlns="http://schemas.openxmlformats.org/spreadsheetml/2006/main" id="345" name="Table_345" displayName="Table_345" ref="N5:N27" headerRowCount="1">
  <tableColumns count="1">
    <tableColumn id="1" name="Commissioner"/>
  </tableColumns>
  <tableStyleInfo name="Rift Anecdotes-style 5" showFirstColumn="1" showLastColumn="1" showRowStripes="1" showColumnStripes="0"/>
</table>
</file>

<file path=xl/tables/table346.xml><?xml version="1.0" encoding="utf-8"?>
<table xmlns="http://schemas.openxmlformats.org/spreadsheetml/2006/main" id="346" name="Table_346" displayName="Table_346" ref="X5:X27" headerRowCount="1">
  <tableColumns count="1">
    <tableColumn id="1" name="Name"/>
  </tableColumns>
  <tableStyleInfo name="Rift Anecdotes-style 6" showFirstColumn="1" showLastColumn="1" showRowStripes="1" showColumnStripes="0"/>
</table>
</file>

<file path=xl/tables/table347.xml><?xml version="1.0" encoding="utf-8"?>
<table xmlns="http://schemas.openxmlformats.org/spreadsheetml/2006/main" id="347" name="Table_347" displayName="Table_347" ref="Y5:AC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Rift Anecdotes-style 7" showFirstColumn="1" showLastColumn="1" showRowStripes="1" showColumnStripes="0"/>
</table>
</file>

<file path=xl/tables/table348.xml><?xml version="1.0" encoding="utf-8"?>
<table xmlns="http://schemas.openxmlformats.org/spreadsheetml/2006/main" id="348" name="Table_348" displayName="Table_348" ref="A33:J33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Rift Anecdotes-style 8" showFirstColumn="1" showLastColumn="1" showRowStripes="1" showColumnStripes="0"/>
</table>
</file>

<file path=xl/tables/table349.xml><?xml version="1.0" encoding="utf-8"?>
<table xmlns="http://schemas.openxmlformats.org/spreadsheetml/2006/main" id="349" name="Table_349" displayName="Table_349" ref="A34:J56" headerRowCount="1">
  <tableColumns count="10">
    <tableColumn id="1" name="No."/>
    <tableColumn id="2" name="Name"/>
    <tableColumn id="3" name="Setting"/>
    <tableColumn id="4" name="Rec. Riding"/>
    <tableColumn id="5" name="Clear Riding"/>
    <tableColumn id="6" name="Venue"/>
    <tableColumn id="7" name="Guan Yu"/>
    <tableColumn id="8" name="Tridentman"/>
    <tableColumn id="9" name="Kitty"/>
    <tableColumn id="10" name="Commisioner"/>
  </tableColumns>
  <tableStyleInfo name="Rift Anecdotes-style 9" showFirstColumn="1" showLastColumn="1" showRowStripes="1" showColumnStripes="0"/>
</table>
</file>

<file path=xl/tables/table350.xml><?xml version="1.0" encoding="utf-8"?>
<table xmlns="http://schemas.openxmlformats.org/spreadsheetml/2006/main" id="350" name="Table_350" displayName="Table_350" ref="A61:L61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Rift Anecdotes-style 10" showFirstColumn="1" showLastColumn="1" showRowStripes="1" showColumnStripes="0"/>
</table>
</file>

<file path=xl/tables/table351.xml><?xml version="1.0" encoding="utf-8"?>
<table xmlns="http://schemas.openxmlformats.org/spreadsheetml/2006/main" id="351" name="Table_351" displayName="Table_351" ref="A62:L85" headerRowCount="1">
  <tableColumns count="12">
    <tableColumn id="1" name="No."/>
    <tableColumn id="2" name="Name"/>
    <tableColumn id="3" name="Setting"/>
    <tableColumn id="4" name="Rec. Sailing"/>
    <tableColumn id="5" name="Clear Sailing"/>
    <tableColumn id="6" name="Boss"/>
    <tableColumn id="7" name="Boss Firepower"/>
    <tableColumn id="8" name="Trident Man"/>
    <tableColumn id="9" name="St. Trinidad"/>
    <tableColumn id="10" name="Soleil Royal"/>
    <tableColumn id="11" name="Dragon Horse"/>
    <tableColumn id="12" name="Peacekeeper"/>
  </tableColumns>
  <tableStyleInfo name="Rift Anecdotes-style 11" showFirstColumn="1" showLastColumn="1" showRowStripes="1" showColumnStripes="0"/>
</table>
</file>

<file path=xl/tables/table352.xml><?xml version="1.0" encoding="utf-8"?>
<table xmlns="http://schemas.openxmlformats.org/spreadsheetml/2006/main" id="352" name="Table_352" displayName="Table_352" ref="A89:L89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Rift Anecdotes-style 12" showFirstColumn="1" showLastColumn="1" showRowStripes="1" showColumnStripes="0"/>
</table>
</file>

<file path=xl/tables/table353.xml><?xml version="1.0" encoding="utf-8"?>
<table xmlns="http://schemas.openxmlformats.org/spreadsheetml/2006/main" id="353" name="Table_353" displayName="Table_353" ref="A90:L113" headerRowCount="1">
  <tableColumns count="12">
    <tableColumn id="1" name="No."/>
    <tableColumn id="2" name="Name"/>
    <tableColumn id="3" name="Setting"/>
    <tableColumn id="4" name="Rec. Nin."/>
    <tableColumn id="5" name="Clear Nin."/>
    <tableColumn id="6" name="Weakness"/>
    <tableColumn id="7" name="HP"/>
    <tableColumn id="8" name="Momochi"/>
    <tableColumn id="9" name="Hitman"/>
    <tableColumn id="10" name="Poisoner"/>
    <tableColumn id="11" name="Amakusa"/>
    <tableColumn id="12" name="Kitty"/>
  </tableColumns>
  <tableStyleInfo name="Rift Anecdotes-style 13" showFirstColumn="1" showLastColumn="1" showRowStripes="1" showColumnStripes="0"/>
</table>
</file>

<file path=xl/tables/table354.xml><?xml version="1.0" encoding="utf-8"?>
<table xmlns="http://schemas.openxmlformats.org/spreadsheetml/2006/main" id="354" name="Table_354" displayName="Table_354" ref="A117:I117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Rift Anecdotes-style 14" showFirstColumn="1" showLastColumn="1" showRowStripes="1" showColumnStripes="0"/>
</table>
</file>

<file path=xl/tables/table355.xml><?xml version="1.0" encoding="utf-8"?>
<table xmlns="http://schemas.openxmlformats.org/spreadsheetml/2006/main" id="355" name="Table_355" displayName="Table_355" ref="A118:I140" headerRowCount="1">
  <tableColumns count="9">
    <tableColumn id="1" name="No."/>
    <tableColumn id="2" name="Name"/>
    <tableColumn id="3" name="Setting"/>
    <tableColumn id="4" name="Rec. Def."/>
    <tableColumn id="5" name="Clear Def."/>
    <tableColumn id="6" name="Momochi"/>
    <tableColumn id="7" name="Past Pyr."/>
    <tableColumn id="8" name="Huang"/>
    <tableColumn id="9" name="Future Pyr."/>
  </tableColumns>
  <tableStyleInfo name="Rift Anecdotes-style 15" showFirstColumn="1" showLastColumn="1" showRowStripes="1" showColumnStripes="0"/>
</table>
</file>

<file path=xl/tables/table356.xml><?xml version="1.0" encoding="utf-8"?>
<table xmlns="http://schemas.openxmlformats.org/spreadsheetml/2006/main" id="356" name="Table_356" displayName="Table_356" ref="A144:K144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Rift Anecdotes-style 16" showFirstColumn="1" showLastColumn="1" showRowStripes="1" showColumnStripes="0"/>
</table>
</file>

<file path=xl/tables/table357.xml><?xml version="1.0" encoding="utf-8"?>
<table xmlns="http://schemas.openxmlformats.org/spreadsheetml/2006/main" id="357" name="Table_357" displayName="Table_357" ref="A145:K168" headerRowCount="1">
  <tableColumns count="11">
    <tableColumn id="1" name="No."/>
    <tableColumn id="2" name="Name"/>
    <tableColumn id="3" name="Setting"/>
    <tableColumn id="4" name="Rec. Dhar."/>
    <tableColumn id="5" name="Clear Dhar."/>
    <tableColumn id="6" name="Enemies"/>
    <tableColumn id="7" name="Hitman"/>
    <tableColumn id="8" name="Sanzang"/>
    <tableColumn id="9" name="Dragon Horse"/>
    <tableColumn id="10" name="Poisoner"/>
    <tableColumn id="11" name="Mad Abe"/>
  </tableColumns>
  <tableStyleInfo name="Rift Anecdotes-style 17" showFirstColumn="1" showLastColumn="1" showRowStripes="1" showColumnStripes="0"/>
</table>
</file>

<file path=xl/tables/table358.xml><?xml version="1.0" encoding="utf-8"?>
<table xmlns="http://schemas.openxmlformats.org/spreadsheetml/2006/main" id="358" name="Table_358" displayName="Table_358" ref="A172:L172" headerRowCount="0">
  <tableColumns count="1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</tableColumns>
  <tableStyleInfo name="Rift Anecdotes-style 18" showFirstColumn="1" showLastColumn="1" showRowStripes="1" showColumnStripes="0"/>
</table>
</file>

<file path=xl/tables/table359.xml><?xml version="1.0" encoding="utf-8"?>
<table xmlns="http://schemas.openxmlformats.org/spreadsheetml/2006/main" id="359" name="Table_359" displayName="Table_359" ref="A173:L195" headerRowCount="1">
  <tableColumns count="12">
    <tableColumn id="1" name="No."/>
    <tableColumn id="2" name="Name"/>
    <tableColumn id="3" name="Setting"/>
    <tableColumn id="4" name="Rec. Band"/>
    <tableColumn id="5" name="Clear Band"/>
    <tableColumn id="6" name="Style"/>
    <tableColumn id="7" name="Score"/>
    <tableColumn id="8" name="Athena"/>
    <tableColumn id="9" name="Idol Boy"/>
    <tableColumn id="10" name="Commissioner"/>
    <tableColumn id="11" name="Dracula"/>
    <tableColumn id="12" name="Huang"/>
  </tableColumns>
  <tableStyleInfo name="Rift Anecdotes-style 19" showFirstColumn="1" showLastColumn="1" showRowStripes="1" showColumnStripes="0"/>
</table>
</file>

<file path=xl/tables/table360.xml><?xml version="1.0" encoding="utf-8"?>
<table xmlns="http://schemas.openxmlformats.org/spreadsheetml/2006/main" id="360" name="Table_360" displayName="Table_360" ref="A199:I199" headerRowCount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  <tableStyleInfo name="Rift Anecdotes-style 20" showFirstColumn="1" showLastColumn="1" showRowStripes="1" showColumnStripes="0"/>
</table>
</file>

<file path=xl/tables/table361.xml><?xml version="1.0" encoding="utf-8"?>
<table xmlns="http://schemas.openxmlformats.org/spreadsheetml/2006/main" id="361" name="Table_361" displayName="Table_361" ref="A200:I223" headerRowCount="1">
  <tableColumns count="9">
    <tableColumn id="1" name="No."/>
    <tableColumn id="2" name="Name"/>
    <tableColumn id="3" name="Setting"/>
    <tableColumn id="4" name="Rec. Siege"/>
    <tableColumn id="5" name="Clear Siege"/>
    <tableColumn id="6" name="Formation"/>
    <tableColumn id="7" name="Mad Abe"/>
    <tableColumn id="8" name="Future Pyr."/>
    <tableColumn id="9" name="Others S+"/>
  </tableColumns>
  <tableStyleInfo name="Rift Anecdotes-style 21" showFirstColumn="1" showLastColumn="1" showRowStripes="1" showColumnStripes="0"/>
</table>
</file>

<file path=xl/tables/table362.xml><?xml version="1.0" encoding="utf-8"?>
<table xmlns="http://schemas.openxmlformats.org/spreadsheetml/2006/main" id="362" name="Table_362" displayName="Table_362" ref="B44:F176" headerRowCount="1">
  <tableColumns count="5">
    <tableColumn id="1" name="Name"/>
    <tableColumn id="2" name="Biome"/>
    <tableColumn id="3" name="Rarity"/>
    <tableColumn id="4" name="Type"/>
    <tableColumn id="5" name="Adaptability"/>
  </tableColumns>
  <tableStyleInfo name="Protomon-style" showFirstColumn="1" showLastColumn="1" showRowStripes="1" showColumnStripes="0"/>
</table>
</file>

<file path=xl/tables/table363.xml><?xml version="1.0" encoding="utf-8"?>
<table xmlns="http://schemas.openxmlformats.org/spreadsheetml/2006/main" id="363" name="Table_363" displayName="Table_363" ref="I45:Q49" headerRowCount="1">
  <tableColumns count="9">
    <tableColumn id="1" name="Rarity"/>
    <tableColumn id="2" name="Level Gain"/>
    <tableColumn id="3" name="1* Base"/>
    <tableColumn id="4" name="2* Base"/>
    <tableColumn id="5" name="3* Base"/>
    <tableColumn id="6" name="4* Base"/>
    <tableColumn id="7" name="5* Base"/>
    <tableColumn id="8" name="6* Base"/>
    <tableColumn id="9" name="7* Base"/>
  </tableColumns>
  <tableStyleInfo name="Protomon-style 2" showFirstColumn="1" showLastColumn="1" showRowStripes="1" showColumnStripes="0"/>
</table>
</file>

<file path=xl/tables/table364.xml><?xml version="1.0" encoding="utf-8"?>
<table xmlns="http://schemas.openxmlformats.org/spreadsheetml/2006/main" id="364" name="Table_364" displayName="Table_364" ref="I52:Q57" headerRowCount="1">
  <tableColumns count="9">
    <tableColumn id="1" name="Rarity"/>
    <tableColumn id="2" name="Level Gain"/>
    <tableColumn id="3" name="1* Base"/>
    <tableColumn id="4" name="2* Base"/>
    <tableColumn id="5" name="3* Base"/>
    <tableColumn id="6" name="4* Base"/>
    <tableColumn id="7" name="5* Base"/>
    <tableColumn id="8" name="6* Base"/>
    <tableColumn id="9" name="7* Base"/>
  </tableColumns>
  <tableStyleInfo name="Protomon-style 3" showFirstColumn="1" showLastColumn="1" showRowStripes="1" showColumnStripes="0"/>
</table>
</file>

<file path=xl/tables/table365.xml><?xml version="1.0" encoding="utf-8"?>
<table xmlns="http://schemas.openxmlformats.org/spreadsheetml/2006/main" id="365" name="Table_365" displayName="Table_365" ref="I60:J65" headerRowCount="1">
  <tableColumns count="2">
    <tableColumn id="1" name="Adaptability"/>
    <tableColumn id="2" name="% Multiplier"/>
  </tableColumns>
  <tableStyleInfo name="Protomon-style 4" showFirstColumn="1" showLastColumn="1" showRowStripes="1" showColumnStripes="0"/>
</table>
</file>

<file path=xl/tables/table366.xml><?xml version="1.0" encoding="utf-8"?>
<table xmlns="http://schemas.openxmlformats.org/spreadsheetml/2006/main" id="366" name="Table_366" displayName="Table_366" ref="N60:P67" headerRowCount="1">
  <tableColumns count="3">
    <tableColumn id="1" name="Star"/>
    <tableColumn id="2" name="Max Priest"/>
    <tableColumn id="3" name="Max Devotee"/>
  </tableColumns>
  <tableStyleInfo name="Protomon-style 5" showFirstColumn="1" showLastColumn="1" showRowStripes="1" showColumnStripes="0"/>
</table>
</file>

<file path=xl/tables/table367.xml><?xml version="1.0" encoding="utf-8"?>
<table xmlns="http://schemas.openxmlformats.org/spreadsheetml/2006/main" id="367" name="Table_367" displayName="Table_367" ref="I70:L310" headerRowCount="1">
  <tableColumns count="4">
    <tableColumn id="1" name="Level"/>
    <tableColumn id="2" name="Protolith"/>
    <tableColumn id="3" name="Cumulative"/>
    <tableColumn id="4" name="Level 2"/>
  </tableColumns>
  <tableStyleInfo name="Protomon-style 6" showFirstColumn="1" showLastColumn="1" showRowStripes="1" showColumnStripes="0"/>
</table>
</file>

<file path=xl/tables/table368.xml><?xml version="1.0" encoding="utf-8"?>
<table xmlns="http://schemas.openxmlformats.org/spreadsheetml/2006/main" id="368" name="Table_368" displayName="Table_368" ref="A2:K100" headerRowCount="1">
  <tableColumns count="11">
    <tableColumn id="1" name="Hitman No."/>
    <tableColumn id="2" name="ATK"/>
    <tableColumn id="3" name="DEF"/>
    <tableColumn id="4" name="HP"/>
    <tableColumn id="5" name="Weakness"/>
    <tableColumn id="6" name="Reward"/>
    <tableColumn id="7" name="ATK 2"/>
    <tableColumn id="8" name="DEF 2"/>
    <tableColumn id="9" name="HP 2"/>
    <tableColumn id="10" name="Weakness 2"/>
    <tableColumn id="11" name="Reward 2"/>
  </tableColumns>
  <tableStyleInfo name="Hitmen-style" showFirstColumn="1" showLastColumn="1" showRowStripes="1" showColumnStripes="0"/>
</table>
</file>

<file path=xl/tables/table369.xml><?xml version="1.0" encoding="utf-8"?>
<table xmlns="http://schemas.openxmlformats.org/spreadsheetml/2006/main" id="369" name="Table_369" displayName="Table_369" ref="M3:N4" headerRowCount="1">
  <tableColumns count="2">
    <tableColumn id="1" name="Current AFFCT"/>
    <tableColumn id="2" name="Hitman w/ RUSH"/>
  </tableColumns>
  <tableStyleInfo name="Hitmen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_rels/sheet2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Relationship Type="http://schemas.openxmlformats.org/officeDocument/2006/relationships/table" Target="/xl/tables/table11.xml" Id="rId3"/><Relationship Type="http://schemas.openxmlformats.org/officeDocument/2006/relationships/table" Target="/xl/tables/table12.xml" Id="rId4"/><Relationship Type="http://schemas.openxmlformats.org/officeDocument/2006/relationships/table" Target="/xl/tables/table13.xml" Id="rId5"/><Relationship Type="http://schemas.openxmlformats.org/officeDocument/2006/relationships/table" Target="/xl/tables/table14.xml" Id="rId6"/><Relationship Type="http://schemas.openxmlformats.org/officeDocument/2006/relationships/table" Target="/xl/tables/table15.xml" Id="rId7"/><Relationship Type="http://schemas.openxmlformats.org/officeDocument/2006/relationships/table" Target="/xl/tables/table16.xml" Id="rId8"/><Relationship Type="http://schemas.openxmlformats.org/officeDocument/2006/relationships/table" Target="/xl/tables/table17.xml" Id="rId9"/><Relationship Type="http://schemas.openxmlformats.org/officeDocument/2006/relationships/table" Target="/xl/tables/table18.xml" Id="rId10"/><Relationship Type="http://schemas.openxmlformats.org/officeDocument/2006/relationships/table" Target="/xl/tables/table19.xml" Id="rId11"/><Relationship Type="http://schemas.openxmlformats.org/officeDocument/2006/relationships/table" Target="/xl/tables/table20.xml" Id="rId12"/><Relationship Type="http://schemas.openxmlformats.org/officeDocument/2006/relationships/table" Target="/xl/tables/table21.xml" Id="rId13"/><Relationship Type="http://schemas.openxmlformats.org/officeDocument/2006/relationships/table" Target="/xl/tables/table22.xml" Id="rId14"/><Relationship Type="http://schemas.openxmlformats.org/officeDocument/2006/relationships/table" Target="/xl/tables/table23.xml" Id="rId15"/><Relationship Type="http://schemas.openxmlformats.org/officeDocument/2006/relationships/table" Target="/xl/tables/table24.xml" Id="rId16"/><Relationship Type="http://schemas.openxmlformats.org/officeDocument/2006/relationships/table" Target="/xl/tables/table25.xml" Id="rId1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6.xml" Id="rId1"/><Relationship Type="http://schemas.openxmlformats.org/officeDocument/2006/relationships/table" Target="/xl/tables/table27.xml" Id="rId2"/><Relationship Type="http://schemas.openxmlformats.org/officeDocument/2006/relationships/table" Target="/xl/tables/table28.xml" Id="rId3"/><Relationship Type="http://schemas.openxmlformats.org/officeDocument/2006/relationships/table" Target="/xl/tables/table29.xml" Id="rId4"/><Relationship Type="http://schemas.openxmlformats.org/officeDocument/2006/relationships/table" Target="/xl/tables/table30.xml" Id="rId5"/><Relationship Type="http://schemas.openxmlformats.org/officeDocument/2006/relationships/table" Target="/xl/tables/table31.xml" Id="rId6"/><Relationship Type="http://schemas.openxmlformats.org/officeDocument/2006/relationships/table" Target="/xl/tables/table32.xml" Id="rId7"/><Relationship Type="http://schemas.openxmlformats.org/officeDocument/2006/relationships/table" Target="/xl/tables/table33.xml" Id="rId8"/><Relationship Type="http://schemas.openxmlformats.org/officeDocument/2006/relationships/table" Target="/xl/tables/table34.xml" Id="rId9"/><Relationship Type="http://schemas.openxmlformats.org/officeDocument/2006/relationships/table" Target="/xl/tables/table35.xml" Id="rId10"/><Relationship Type="http://schemas.openxmlformats.org/officeDocument/2006/relationships/table" Target="/xl/tables/table36.xml" Id="rId11"/><Relationship Type="http://schemas.openxmlformats.org/officeDocument/2006/relationships/table" Target="/xl/tables/table37.xml" Id="rId12"/><Relationship Type="http://schemas.openxmlformats.org/officeDocument/2006/relationships/table" Target="/xl/tables/table38.xml" Id="rId13"/><Relationship Type="http://schemas.openxmlformats.org/officeDocument/2006/relationships/table" Target="/xl/tables/table39.xml" Id="rId14"/><Relationship Type="http://schemas.openxmlformats.org/officeDocument/2006/relationships/table" Target="/xl/tables/table40.xml" Id="rId15"/><Relationship Type="http://schemas.openxmlformats.org/officeDocument/2006/relationships/table" Target="/xl/tables/table41.xml" Id="rId16"/><Relationship Type="http://schemas.openxmlformats.org/officeDocument/2006/relationships/table" Target="/xl/tables/table42.xml" Id="rId17"/><Relationship Type="http://schemas.openxmlformats.org/officeDocument/2006/relationships/table" Target="/xl/tables/table43.xml" Id="rId18"/><Relationship Type="http://schemas.openxmlformats.org/officeDocument/2006/relationships/table" Target="/xl/tables/table44.xml" Id="rId19"/><Relationship Type="http://schemas.openxmlformats.org/officeDocument/2006/relationships/table" Target="/xl/tables/table45.xml" Id="rId20"/><Relationship Type="http://schemas.openxmlformats.org/officeDocument/2006/relationships/table" Target="/xl/tables/table46.xml" Id="rId21"/><Relationship Type="http://schemas.openxmlformats.org/officeDocument/2006/relationships/table" Target="/xl/tables/table47.xml" Id="rId22"/><Relationship Type="http://schemas.openxmlformats.org/officeDocument/2006/relationships/table" Target="/xl/tables/table48.xml" Id="rId23"/><Relationship Type="http://schemas.openxmlformats.org/officeDocument/2006/relationships/table" Target="/xl/tables/table49.xml" Id="rId24"/><Relationship Type="http://schemas.openxmlformats.org/officeDocument/2006/relationships/table" Target="/xl/tables/table50.xml" Id="rId25"/><Relationship Type="http://schemas.openxmlformats.org/officeDocument/2006/relationships/table" Target="/xl/tables/table51.xml" Id="rId26"/><Relationship Type="http://schemas.openxmlformats.org/officeDocument/2006/relationships/table" Target="/xl/tables/table52.xml" Id="rId27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3.xml" Id="rId1"/><Relationship Type="http://schemas.openxmlformats.org/officeDocument/2006/relationships/table" Target="/xl/tables/table54.xml" Id="rId2"/><Relationship Type="http://schemas.openxmlformats.org/officeDocument/2006/relationships/table" Target="/xl/tables/table55.xml" Id="rId3"/><Relationship Type="http://schemas.openxmlformats.org/officeDocument/2006/relationships/table" Target="/xl/tables/table56.xml" Id="rId4"/><Relationship Type="http://schemas.openxmlformats.org/officeDocument/2006/relationships/table" Target="/xl/tables/table57.xml" Id="rId5"/><Relationship Type="http://schemas.openxmlformats.org/officeDocument/2006/relationships/table" Target="/xl/tables/table58.xml" Id="rId6"/><Relationship Type="http://schemas.openxmlformats.org/officeDocument/2006/relationships/table" Target="/xl/tables/table59.xml" Id="rId7"/><Relationship Type="http://schemas.openxmlformats.org/officeDocument/2006/relationships/table" Target="/xl/tables/table60.xml" Id="rId8"/><Relationship Type="http://schemas.openxmlformats.org/officeDocument/2006/relationships/table" Target="/xl/tables/table61.xml" Id="rId9"/><Relationship Type="http://schemas.openxmlformats.org/officeDocument/2006/relationships/table" Target="/xl/tables/table62.xml" Id="rId10"/><Relationship Type="http://schemas.openxmlformats.org/officeDocument/2006/relationships/table" Target="/xl/tables/table63.xml" Id="rId11"/><Relationship Type="http://schemas.openxmlformats.org/officeDocument/2006/relationships/table" Target="/xl/tables/table64.xml" Id="rId12"/><Relationship Type="http://schemas.openxmlformats.org/officeDocument/2006/relationships/table" Target="/xl/tables/table65.xml" Id="rId13"/><Relationship Type="http://schemas.openxmlformats.org/officeDocument/2006/relationships/table" Target="/xl/tables/table66.xml" Id="rId14"/><Relationship Type="http://schemas.openxmlformats.org/officeDocument/2006/relationships/table" Target="/xl/tables/table67.xml" Id="rId15"/><Relationship Type="http://schemas.openxmlformats.org/officeDocument/2006/relationships/table" Target="/xl/tables/table68.xml" Id="rId16"/><Relationship Type="http://schemas.openxmlformats.org/officeDocument/2006/relationships/table" Target="/xl/tables/table69.xml" Id="rId17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0.xml" Id="rId1"/><Relationship Type="http://schemas.openxmlformats.org/officeDocument/2006/relationships/table" Target="/xl/tables/table71.xml" Id="rId2"/><Relationship Type="http://schemas.openxmlformats.org/officeDocument/2006/relationships/table" Target="/xl/tables/table72.xml" Id="rId3"/><Relationship Type="http://schemas.openxmlformats.org/officeDocument/2006/relationships/table" Target="/xl/tables/table73.xml" Id="rId4"/><Relationship Type="http://schemas.openxmlformats.org/officeDocument/2006/relationships/table" Target="/xl/tables/table74.xml" Id="rId5"/><Relationship Type="http://schemas.openxmlformats.org/officeDocument/2006/relationships/table" Target="/xl/tables/table75.xml" Id="rId6"/><Relationship Type="http://schemas.openxmlformats.org/officeDocument/2006/relationships/table" Target="/xl/tables/table76.xml" Id="rId7"/><Relationship Type="http://schemas.openxmlformats.org/officeDocument/2006/relationships/table" Target="/xl/tables/table77.xml" Id="rId8"/><Relationship Type="http://schemas.openxmlformats.org/officeDocument/2006/relationships/table" Target="/xl/tables/table78.xml" Id="rId9"/><Relationship Type="http://schemas.openxmlformats.org/officeDocument/2006/relationships/table" Target="/xl/tables/table79.xml" Id="rId10"/><Relationship Type="http://schemas.openxmlformats.org/officeDocument/2006/relationships/table" Target="/xl/tables/table80.xml" Id="rId11"/><Relationship Type="http://schemas.openxmlformats.org/officeDocument/2006/relationships/table" Target="/xl/tables/table81.xml" Id="rId12"/><Relationship Type="http://schemas.openxmlformats.org/officeDocument/2006/relationships/table" Target="/xl/tables/table82.xml" Id="rId13"/><Relationship Type="http://schemas.openxmlformats.org/officeDocument/2006/relationships/table" Target="/xl/tables/table83.xml" Id="rId14"/><Relationship Type="http://schemas.openxmlformats.org/officeDocument/2006/relationships/table" Target="/xl/tables/table84.xml" Id="rId15"/><Relationship Type="http://schemas.openxmlformats.org/officeDocument/2006/relationships/table" Target="/xl/tables/table85.xml" Id="rId16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6.xml" Id="rId1"/><Relationship Type="http://schemas.openxmlformats.org/officeDocument/2006/relationships/table" Target="/xl/tables/table87.xml" Id="rId2"/><Relationship Type="http://schemas.openxmlformats.org/officeDocument/2006/relationships/table" Target="/xl/tables/table88.xml" Id="rId3"/><Relationship Type="http://schemas.openxmlformats.org/officeDocument/2006/relationships/table" Target="/xl/tables/table89.xml" Id="rId4"/><Relationship Type="http://schemas.openxmlformats.org/officeDocument/2006/relationships/table" Target="/xl/tables/table90.xml" Id="rId5"/><Relationship Type="http://schemas.openxmlformats.org/officeDocument/2006/relationships/table" Target="/xl/tables/table91.xml" Id="rId6"/><Relationship Type="http://schemas.openxmlformats.org/officeDocument/2006/relationships/table" Target="/xl/tables/table92.xml" Id="rId7"/><Relationship Type="http://schemas.openxmlformats.org/officeDocument/2006/relationships/table" Target="/xl/tables/table93.xml" Id="rId8"/><Relationship Type="http://schemas.openxmlformats.org/officeDocument/2006/relationships/table" Target="/xl/tables/table94.xml" Id="rId9"/><Relationship Type="http://schemas.openxmlformats.org/officeDocument/2006/relationships/table" Target="/xl/tables/table95.xml" Id="rId10"/><Relationship Type="http://schemas.openxmlformats.org/officeDocument/2006/relationships/table" Target="/xl/tables/table96.xml" Id="rId11"/><Relationship Type="http://schemas.openxmlformats.org/officeDocument/2006/relationships/table" Target="/xl/tables/table97.xml" Id="rId12"/><Relationship Type="http://schemas.openxmlformats.org/officeDocument/2006/relationships/table" Target="/xl/tables/table98.xml" Id="rId13"/><Relationship Type="http://schemas.openxmlformats.org/officeDocument/2006/relationships/table" Target="/xl/tables/table99.xml" Id="rId14"/><Relationship Type="http://schemas.openxmlformats.org/officeDocument/2006/relationships/table" Target="/xl/tables/table100.xml" Id="rId15"/><Relationship Type="http://schemas.openxmlformats.org/officeDocument/2006/relationships/table" Target="/xl/tables/table101.xml" Id="rId16"/><Relationship Type="http://schemas.openxmlformats.org/officeDocument/2006/relationships/table" Target="/xl/tables/table102.xml" Id="rId17"/><Relationship Type="http://schemas.openxmlformats.org/officeDocument/2006/relationships/table" Target="/xl/tables/table103.xml" Id="rId18"/><Relationship Type="http://schemas.openxmlformats.org/officeDocument/2006/relationships/table" Target="/xl/tables/table104.xml" Id="rId19"/><Relationship Type="http://schemas.openxmlformats.org/officeDocument/2006/relationships/table" Target="/xl/tables/table105.xml" Id="rId20"/><Relationship Type="http://schemas.openxmlformats.org/officeDocument/2006/relationships/table" Target="/xl/tables/table106.xml" Id="rId21"/><Relationship Type="http://schemas.openxmlformats.org/officeDocument/2006/relationships/table" Target="/xl/tables/table107.xml" Id="rId22"/><Relationship Type="http://schemas.openxmlformats.org/officeDocument/2006/relationships/table" Target="/xl/tables/table108.xml" Id="rId23"/><Relationship Type="http://schemas.openxmlformats.org/officeDocument/2006/relationships/table" Target="/xl/tables/table109.xml" Id="rId24"/><Relationship Type="http://schemas.openxmlformats.org/officeDocument/2006/relationships/table" Target="/xl/tables/table110.xml" Id="rId25"/><Relationship Type="http://schemas.openxmlformats.org/officeDocument/2006/relationships/table" Target="/xl/tables/table111.xml" Id="rId26"/><Relationship Type="http://schemas.openxmlformats.org/officeDocument/2006/relationships/table" Target="/xl/tables/table112.xml" Id="rId27"/><Relationship Type="http://schemas.openxmlformats.org/officeDocument/2006/relationships/table" Target="/xl/tables/table113.xml" Id="rId28"/><Relationship Type="http://schemas.openxmlformats.org/officeDocument/2006/relationships/table" Target="/xl/tables/table114.xml" Id="rId29"/><Relationship Type="http://schemas.openxmlformats.org/officeDocument/2006/relationships/table" Target="/xl/tables/table115.xml" Id="rId30"/><Relationship Type="http://schemas.openxmlformats.org/officeDocument/2006/relationships/table" Target="/xl/tables/table116.xml" Id="rId3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7.xml" Id="rId1"/><Relationship Type="http://schemas.openxmlformats.org/officeDocument/2006/relationships/table" Target="/xl/tables/table118.xml" Id="rId2"/><Relationship Type="http://schemas.openxmlformats.org/officeDocument/2006/relationships/table" Target="/xl/tables/table119.xml" Id="rId3"/><Relationship Type="http://schemas.openxmlformats.org/officeDocument/2006/relationships/table" Target="/xl/tables/table120.xml" Id="rId4"/><Relationship Type="http://schemas.openxmlformats.org/officeDocument/2006/relationships/table" Target="/xl/tables/table121.xml" Id="rId5"/><Relationship Type="http://schemas.openxmlformats.org/officeDocument/2006/relationships/table" Target="/xl/tables/table122.xml" Id="rId6"/><Relationship Type="http://schemas.openxmlformats.org/officeDocument/2006/relationships/table" Target="/xl/tables/table123.xml" Id="rId7"/><Relationship Type="http://schemas.openxmlformats.org/officeDocument/2006/relationships/table" Target="/xl/tables/table124.xml" Id="rId8"/><Relationship Type="http://schemas.openxmlformats.org/officeDocument/2006/relationships/table" Target="/xl/tables/table125.xml" Id="rId9"/><Relationship Type="http://schemas.openxmlformats.org/officeDocument/2006/relationships/table" Target="/xl/tables/table126.xml" Id="rId10"/><Relationship Type="http://schemas.openxmlformats.org/officeDocument/2006/relationships/table" Target="/xl/tables/table127.xml" Id="rId11"/><Relationship Type="http://schemas.openxmlformats.org/officeDocument/2006/relationships/table" Target="/xl/tables/table128.xml" Id="rId12"/><Relationship Type="http://schemas.openxmlformats.org/officeDocument/2006/relationships/table" Target="/xl/tables/table129.xml" Id="rId13"/><Relationship Type="http://schemas.openxmlformats.org/officeDocument/2006/relationships/table" Target="/xl/tables/table130.xml" Id="rId14"/><Relationship Type="http://schemas.openxmlformats.org/officeDocument/2006/relationships/table" Target="/xl/tables/table131.xml" Id="rId15"/><Relationship Type="http://schemas.openxmlformats.org/officeDocument/2006/relationships/table" Target="/xl/tables/table132.xml" Id="rId16"/><Relationship Type="http://schemas.openxmlformats.org/officeDocument/2006/relationships/table" Target="/xl/tables/table133.xml" Id="rId17"/><Relationship Type="http://schemas.openxmlformats.org/officeDocument/2006/relationships/table" Target="/xl/tables/table134.xml" Id="rId18"/><Relationship Type="http://schemas.openxmlformats.org/officeDocument/2006/relationships/table" Target="/xl/tables/table135.xml" Id="rId19"/><Relationship Type="http://schemas.openxmlformats.org/officeDocument/2006/relationships/table" Target="/xl/tables/table136.xml" Id="rId20"/><Relationship Type="http://schemas.openxmlformats.org/officeDocument/2006/relationships/table" Target="/xl/tables/table137.xml" Id="rId21"/><Relationship Type="http://schemas.openxmlformats.org/officeDocument/2006/relationships/table" Target="/xl/tables/table138.xml" Id="rId22"/><Relationship Type="http://schemas.openxmlformats.org/officeDocument/2006/relationships/table" Target="/xl/tables/table139.xml" Id="rId23"/><Relationship Type="http://schemas.openxmlformats.org/officeDocument/2006/relationships/table" Target="/xl/tables/table140.xml" Id="rId24"/><Relationship Type="http://schemas.openxmlformats.org/officeDocument/2006/relationships/table" Target="/xl/tables/table141.xml" Id="rId25"/><Relationship Type="http://schemas.openxmlformats.org/officeDocument/2006/relationships/table" Target="/xl/tables/table142.xml" Id="rId26"/><Relationship Type="http://schemas.openxmlformats.org/officeDocument/2006/relationships/table" Target="/xl/tables/table143.xml" Id="rId27"/><Relationship Type="http://schemas.openxmlformats.org/officeDocument/2006/relationships/table" Target="/xl/tables/table144.xml" Id="rId28"/><Relationship Type="http://schemas.openxmlformats.org/officeDocument/2006/relationships/table" Target="/xl/tables/table145.xml" Id="rId29"/><Relationship Type="http://schemas.openxmlformats.org/officeDocument/2006/relationships/table" Target="/xl/tables/table146.xml" Id="rId30"/><Relationship Type="http://schemas.openxmlformats.org/officeDocument/2006/relationships/table" Target="/xl/tables/table147.xml" Id="rId31"/><Relationship Type="http://schemas.openxmlformats.org/officeDocument/2006/relationships/table" Target="/xl/tables/table148.xml" Id="rId32"/><Relationship Type="http://schemas.openxmlformats.org/officeDocument/2006/relationships/table" Target="/xl/tables/table149.xml" Id="rId33"/><Relationship Type="http://schemas.openxmlformats.org/officeDocument/2006/relationships/table" Target="/xl/tables/table150.xml" Id="rId34"/><Relationship Type="http://schemas.openxmlformats.org/officeDocument/2006/relationships/table" Target="/xl/tables/table151.xml" Id="rId35"/><Relationship Type="http://schemas.openxmlformats.org/officeDocument/2006/relationships/table" Target="/xl/tables/table152.xml" Id="rId36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53.xml" Id="rId1"/><Relationship Type="http://schemas.openxmlformats.org/officeDocument/2006/relationships/table" Target="/xl/tables/table154.xml" Id="rId2"/><Relationship Type="http://schemas.openxmlformats.org/officeDocument/2006/relationships/table" Target="/xl/tables/table155.xml" Id="rId3"/><Relationship Type="http://schemas.openxmlformats.org/officeDocument/2006/relationships/table" Target="/xl/tables/table156.xml" Id="rId4"/><Relationship Type="http://schemas.openxmlformats.org/officeDocument/2006/relationships/table" Target="/xl/tables/table157.xml" Id="rId5"/><Relationship Type="http://schemas.openxmlformats.org/officeDocument/2006/relationships/table" Target="/xl/tables/table158.xml" Id="rId6"/><Relationship Type="http://schemas.openxmlformats.org/officeDocument/2006/relationships/table" Target="/xl/tables/table159.xml" Id="rId7"/><Relationship Type="http://schemas.openxmlformats.org/officeDocument/2006/relationships/table" Target="/xl/tables/table160.xml" Id="rId8"/><Relationship Type="http://schemas.openxmlformats.org/officeDocument/2006/relationships/table" Target="/xl/tables/table161.xml" Id="rId9"/><Relationship Type="http://schemas.openxmlformats.org/officeDocument/2006/relationships/table" Target="/xl/tables/table162.xml" Id="rId10"/><Relationship Type="http://schemas.openxmlformats.org/officeDocument/2006/relationships/table" Target="/xl/tables/table163.xml" Id="rId11"/><Relationship Type="http://schemas.openxmlformats.org/officeDocument/2006/relationships/table" Target="/xl/tables/table164.xml" Id="rId12"/><Relationship Type="http://schemas.openxmlformats.org/officeDocument/2006/relationships/table" Target="/xl/tables/table165.xml" Id="rId13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66.xml" Id="rId1"/><Relationship Type="http://schemas.openxmlformats.org/officeDocument/2006/relationships/table" Target="/xl/tables/table167.xml" Id="rId2"/><Relationship Type="http://schemas.openxmlformats.org/officeDocument/2006/relationships/table" Target="/xl/tables/table168.xml" Id="rId3"/><Relationship Type="http://schemas.openxmlformats.org/officeDocument/2006/relationships/table" Target="/xl/tables/table169.xml" Id="rId4"/><Relationship Type="http://schemas.openxmlformats.org/officeDocument/2006/relationships/table" Target="/xl/tables/table170.xml" Id="rId5"/><Relationship Type="http://schemas.openxmlformats.org/officeDocument/2006/relationships/table" Target="/xl/tables/table171.xml" Id="rId6"/><Relationship Type="http://schemas.openxmlformats.org/officeDocument/2006/relationships/table" Target="/xl/tables/table172.xml" Id="rId7"/><Relationship Type="http://schemas.openxmlformats.org/officeDocument/2006/relationships/table" Target="/xl/tables/table173.xml" Id="rId8"/><Relationship Type="http://schemas.openxmlformats.org/officeDocument/2006/relationships/table" Target="/xl/tables/table174.xml" Id="rId9"/><Relationship Type="http://schemas.openxmlformats.org/officeDocument/2006/relationships/table" Target="/xl/tables/table175.xml" Id="rId10"/><Relationship Type="http://schemas.openxmlformats.org/officeDocument/2006/relationships/table" Target="/xl/tables/table176.xml" Id="rId1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77.xml" Id="rId1"/><Relationship Type="http://schemas.openxmlformats.org/officeDocument/2006/relationships/table" Target="/xl/tables/table178.xml" Id="rId2"/><Relationship Type="http://schemas.openxmlformats.org/officeDocument/2006/relationships/table" Target="/xl/tables/table179.xml" Id="rId3"/><Relationship Type="http://schemas.openxmlformats.org/officeDocument/2006/relationships/table" Target="/xl/tables/table180.xml" Id="rId4"/><Relationship Type="http://schemas.openxmlformats.org/officeDocument/2006/relationships/table" Target="/xl/tables/table181.xml" Id="rId5"/><Relationship Type="http://schemas.openxmlformats.org/officeDocument/2006/relationships/table" Target="/xl/tables/table182.xml" Id="rId6"/><Relationship Type="http://schemas.openxmlformats.org/officeDocument/2006/relationships/table" Target="/xl/tables/table183.xml" Id="rId7"/><Relationship Type="http://schemas.openxmlformats.org/officeDocument/2006/relationships/table" Target="/xl/tables/table184.xml" Id="rId8"/><Relationship Type="http://schemas.openxmlformats.org/officeDocument/2006/relationships/table" Target="/xl/tables/table185.xml" Id="rId9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86.xml" Id="rId1"/><Relationship Type="http://schemas.openxmlformats.org/officeDocument/2006/relationships/table" Target="/xl/tables/table187.xml" Id="rId2"/><Relationship Type="http://schemas.openxmlformats.org/officeDocument/2006/relationships/table" Target="/xl/tables/table188.xml" Id="rId3"/><Relationship Type="http://schemas.openxmlformats.org/officeDocument/2006/relationships/table" Target="/xl/tables/table189.xml" Id="rId4"/><Relationship Type="http://schemas.openxmlformats.org/officeDocument/2006/relationships/table" Target="/xl/tables/table190.xml" Id="rId5"/><Relationship Type="http://schemas.openxmlformats.org/officeDocument/2006/relationships/table" Target="/xl/tables/table191.xml" Id="rId6"/><Relationship Type="http://schemas.openxmlformats.org/officeDocument/2006/relationships/table" Target="/xl/tables/table192.xml" Id="rId7"/><Relationship Type="http://schemas.openxmlformats.org/officeDocument/2006/relationships/table" Target="/xl/tables/table193.xml" Id="rId8"/><Relationship Type="http://schemas.openxmlformats.org/officeDocument/2006/relationships/table" Target="/xl/tables/table194.xml" Id="rId9"/><Relationship Type="http://schemas.openxmlformats.org/officeDocument/2006/relationships/table" Target="/xl/tables/table195.xml" Id="rId10"/><Relationship Type="http://schemas.openxmlformats.org/officeDocument/2006/relationships/table" Target="/xl/tables/table196.xml" Id="rId11"/><Relationship Type="http://schemas.openxmlformats.org/officeDocument/2006/relationships/table" Target="/xl/tables/table197.xml" Id="rId1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98.xml" Id="rId1"/><Relationship Type="http://schemas.openxmlformats.org/officeDocument/2006/relationships/table" Target="/xl/tables/table199.xml" Id="rId2"/><Relationship Type="http://schemas.openxmlformats.org/officeDocument/2006/relationships/table" Target="/xl/tables/table200.xml" Id="rId3"/><Relationship Type="http://schemas.openxmlformats.org/officeDocument/2006/relationships/table" Target="/xl/tables/table201.xml" Id="rId4"/><Relationship Type="http://schemas.openxmlformats.org/officeDocument/2006/relationships/table" Target="/xl/tables/table202.xml" Id="rId5"/><Relationship Type="http://schemas.openxmlformats.org/officeDocument/2006/relationships/table" Target="/xl/tables/table203.xml" Id="rId6"/><Relationship Type="http://schemas.openxmlformats.org/officeDocument/2006/relationships/table" Target="/xl/tables/table204.xml" Id="rId7"/><Relationship Type="http://schemas.openxmlformats.org/officeDocument/2006/relationships/table" Target="/xl/tables/table205.xml" Id="rId8"/><Relationship Type="http://schemas.openxmlformats.org/officeDocument/2006/relationships/table" Target="/xl/tables/table206.xml" Id="rId9"/><Relationship Type="http://schemas.openxmlformats.org/officeDocument/2006/relationships/table" Target="/xl/tables/table207.xml" Id="rId10"/><Relationship Type="http://schemas.openxmlformats.org/officeDocument/2006/relationships/table" Target="/xl/tables/table208.xml" Id="rId1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09.xml" Id="rId1"/><Relationship Type="http://schemas.openxmlformats.org/officeDocument/2006/relationships/table" Target="/xl/tables/table210.xml" Id="rId2"/><Relationship Type="http://schemas.openxmlformats.org/officeDocument/2006/relationships/table" Target="/xl/tables/table211.xml" Id="rId3"/><Relationship Type="http://schemas.openxmlformats.org/officeDocument/2006/relationships/table" Target="/xl/tables/table212.xml" Id="rId4"/><Relationship Type="http://schemas.openxmlformats.org/officeDocument/2006/relationships/table" Target="/xl/tables/table213.xml" Id="rId5"/><Relationship Type="http://schemas.openxmlformats.org/officeDocument/2006/relationships/table" Target="/xl/tables/table214.xml" Id="rId6"/><Relationship Type="http://schemas.openxmlformats.org/officeDocument/2006/relationships/table" Target="/xl/tables/table215.xml" Id="rId7"/><Relationship Type="http://schemas.openxmlformats.org/officeDocument/2006/relationships/table" Target="/xl/tables/table216.xml" Id="rId8"/><Relationship Type="http://schemas.openxmlformats.org/officeDocument/2006/relationships/table" Target="/xl/tables/table217.xml" Id="rId9"/><Relationship Type="http://schemas.openxmlformats.org/officeDocument/2006/relationships/table" Target="/xl/tables/table218.xml" Id="rId10"/><Relationship Type="http://schemas.openxmlformats.org/officeDocument/2006/relationships/table" Target="/xl/tables/table219.xml" Id="rId1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20.xml" Id="rId1"/><Relationship Type="http://schemas.openxmlformats.org/officeDocument/2006/relationships/table" Target="/xl/tables/table221.xml" Id="rId2"/><Relationship Type="http://schemas.openxmlformats.org/officeDocument/2006/relationships/table" Target="/xl/tables/table222.xml" Id="rId3"/><Relationship Type="http://schemas.openxmlformats.org/officeDocument/2006/relationships/table" Target="/xl/tables/table223.xml" Id="rId4"/><Relationship Type="http://schemas.openxmlformats.org/officeDocument/2006/relationships/table" Target="/xl/tables/table224.xml" Id="rId5"/><Relationship Type="http://schemas.openxmlformats.org/officeDocument/2006/relationships/table" Target="/xl/tables/table225.xml" Id="rId6"/><Relationship Type="http://schemas.openxmlformats.org/officeDocument/2006/relationships/table" Target="/xl/tables/table226.xml" Id="rId7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27.xml" Id="rId1"/><Relationship Type="http://schemas.openxmlformats.org/officeDocument/2006/relationships/table" Target="/xl/tables/table228.xml" Id="rId2"/><Relationship Type="http://schemas.openxmlformats.org/officeDocument/2006/relationships/table" Target="/xl/tables/table229.xml" Id="rId3"/><Relationship Type="http://schemas.openxmlformats.org/officeDocument/2006/relationships/table" Target="/xl/tables/table230.xml" Id="rId4"/><Relationship Type="http://schemas.openxmlformats.org/officeDocument/2006/relationships/table" Target="/xl/tables/table231.xml" Id="rId5"/><Relationship Type="http://schemas.openxmlformats.org/officeDocument/2006/relationships/table" Target="/xl/tables/table232.xml" Id="rId6"/><Relationship Type="http://schemas.openxmlformats.org/officeDocument/2006/relationships/table" Target="/xl/tables/table233.xml" Id="rId7"/><Relationship Type="http://schemas.openxmlformats.org/officeDocument/2006/relationships/table" Target="/xl/tables/table234.xml" Id="rId8"/><Relationship Type="http://schemas.openxmlformats.org/officeDocument/2006/relationships/table" Target="/xl/tables/table235.xml" Id="rId9"/><Relationship Type="http://schemas.openxmlformats.org/officeDocument/2006/relationships/table" Target="/xl/tables/table236.xml" Id="rId10"/><Relationship Type="http://schemas.openxmlformats.org/officeDocument/2006/relationships/table" Target="/xl/tables/table237.xml" Id="rId1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38.xml" Id="rId1"/><Relationship Type="http://schemas.openxmlformats.org/officeDocument/2006/relationships/table" Target="/xl/tables/table239.xml" Id="rId2"/><Relationship Type="http://schemas.openxmlformats.org/officeDocument/2006/relationships/table" Target="/xl/tables/table240.xml" Id="rId3"/><Relationship Type="http://schemas.openxmlformats.org/officeDocument/2006/relationships/table" Target="/xl/tables/table241.xml" Id="rId4"/><Relationship Type="http://schemas.openxmlformats.org/officeDocument/2006/relationships/table" Target="/xl/tables/table242.xml" Id="rId5"/><Relationship Type="http://schemas.openxmlformats.org/officeDocument/2006/relationships/table" Target="/xl/tables/table243.xml" Id="rId6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44.xml" Id="rId1"/><Relationship Type="http://schemas.openxmlformats.org/officeDocument/2006/relationships/table" Target="/xl/tables/table245.xml" Id="rId2"/><Relationship Type="http://schemas.openxmlformats.org/officeDocument/2006/relationships/table" Target="/xl/tables/table246.xml" Id="rId3"/><Relationship Type="http://schemas.openxmlformats.org/officeDocument/2006/relationships/table" Target="/xl/tables/table247.xml" Id="rId4"/><Relationship Type="http://schemas.openxmlformats.org/officeDocument/2006/relationships/table" Target="/xl/tables/table248.xml" Id="rId5"/><Relationship Type="http://schemas.openxmlformats.org/officeDocument/2006/relationships/table" Target="/xl/tables/table249.xml" Id="rId6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50.xml" Id="rId1"/><Relationship Type="http://schemas.openxmlformats.org/officeDocument/2006/relationships/table" Target="/xl/tables/table251.xml" Id="rId2"/><Relationship Type="http://schemas.openxmlformats.org/officeDocument/2006/relationships/table" Target="/xl/tables/table252.xml" Id="rId3"/><Relationship Type="http://schemas.openxmlformats.org/officeDocument/2006/relationships/table" Target="/xl/tables/table253.xml" Id="rId4"/><Relationship Type="http://schemas.openxmlformats.org/officeDocument/2006/relationships/table" Target="/xl/tables/table254.xml" Id="rId5"/><Relationship Type="http://schemas.openxmlformats.org/officeDocument/2006/relationships/table" Target="/xl/tables/table255.xml" Id="rId6"/><Relationship Type="http://schemas.openxmlformats.org/officeDocument/2006/relationships/table" Target="/xl/tables/table256.xml" Id="rId7"/><Relationship Type="http://schemas.openxmlformats.org/officeDocument/2006/relationships/table" Target="/xl/tables/table257.xml" Id="rId8"/><Relationship Type="http://schemas.openxmlformats.org/officeDocument/2006/relationships/table" Target="/xl/tables/table258.xml" Id="rId9"/><Relationship Type="http://schemas.openxmlformats.org/officeDocument/2006/relationships/table" Target="/xl/tables/table259.xml" Id="rId10"/><Relationship Type="http://schemas.openxmlformats.org/officeDocument/2006/relationships/table" Target="/xl/tables/table260.xml" Id="rId11"/><Relationship Type="http://schemas.openxmlformats.org/officeDocument/2006/relationships/table" Target="/xl/tables/table261.xml" Id="rId12"/><Relationship Type="http://schemas.openxmlformats.org/officeDocument/2006/relationships/table" Target="/xl/tables/table262.xml" Id="rId13"/><Relationship Type="http://schemas.openxmlformats.org/officeDocument/2006/relationships/table" Target="/xl/tables/table263.xml" Id="rId14"/><Relationship Type="http://schemas.openxmlformats.org/officeDocument/2006/relationships/table" Target="/xl/tables/table264.xml" Id="rId15"/><Relationship Type="http://schemas.openxmlformats.org/officeDocument/2006/relationships/table" Target="/xl/tables/table265.xml" Id="rId16"/><Relationship Type="http://schemas.openxmlformats.org/officeDocument/2006/relationships/table" Target="/xl/tables/table266.xml" Id="rId17"/><Relationship Type="http://schemas.openxmlformats.org/officeDocument/2006/relationships/table" Target="/xl/tables/table267.xml" Id="rId18"/><Relationship Type="http://schemas.openxmlformats.org/officeDocument/2006/relationships/table" Target="/xl/tables/table268.xml" Id="rId19"/><Relationship Type="http://schemas.openxmlformats.org/officeDocument/2006/relationships/table" Target="/xl/tables/table269.xml" Id="rId20"/><Relationship Type="http://schemas.openxmlformats.org/officeDocument/2006/relationships/table" Target="/xl/tables/table270.xml" Id="rId21"/><Relationship Type="http://schemas.openxmlformats.org/officeDocument/2006/relationships/table" Target="/xl/tables/table271.xml" Id="rId22"/><Relationship Type="http://schemas.openxmlformats.org/officeDocument/2006/relationships/table" Target="/xl/tables/table272.xml" Id="rId23"/><Relationship Type="http://schemas.openxmlformats.org/officeDocument/2006/relationships/table" Target="/xl/tables/table273.xml" Id="rId24"/><Relationship Type="http://schemas.openxmlformats.org/officeDocument/2006/relationships/table" Target="/xl/tables/table274.xml" Id="rId25"/><Relationship Type="http://schemas.openxmlformats.org/officeDocument/2006/relationships/table" Target="/xl/tables/table275.xml" Id="rId26"/><Relationship Type="http://schemas.openxmlformats.org/officeDocument/2006/relationships/table" Target="/xl/tables/table276.xml" Id="rId27"/><Relationship Type="http://schemas.openxmlformats.org/officeDocument/2006/relationships/table" Target="/xl/tables/table277.xml" Id="rId28"/><Relationship Type="http://schemas.openxmlformats.org/officeDocument/2006/relationships/table" Target="/xl/tables/table278.xml" Id="rId29"/><Relationship Type="http://schemas.openxmlformats.org/officeDocument/2006/relationships/table" Target="/xl/tables/table279.xml" Id="rId30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80.xml" Id="rId1"/><Relationship Type="http://schemas.openxmlformats.org/officeDocument/2006/relationships/table" Target="/xl/tables/table281.xml" Id="rId2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82.xml" Id="rId1"/><Relationship Type="http://schemas.openxmlformats.org/officeDocument/2006/relationships/table" Target="/xl/tables/table283.xml" Id="rId2"/><Relationship Type="http://schemas.openxmlformats.org/officeDocument/2006/relationships/table" Target="/xl/tables/table284.xml" Id="rId3"/><Relationship Type="http://schemas.openxmlformats.org/officeDocument/2006/relationships/table" Target="/xl/tables/table285.xml" Id="rId4"/><Relationship Type="http://schemas.openxmlformats.org/officeDocument/2006/relationships/table" Target="/xl/tables/table286.xml" Id="rId5"/><Relationship Type="http://schemas.openxmlformats.org/officeDocument/2006/relationships/table" Target="/xl/tables/table287.xml" Id="rId6"/><Relationship Type="http://schemas.openxmlformats.org/officeDocument/2006/relationships/table" Target="/xl/tables/table288.xml" Id="rId7"/><Relationship Type="http://schemas.openxmlformats.org/officeDocument/2006/relationships/table" Target="/xl/tables/table289.xml" Id="rId8"/><Relationship Type="http://schemas.openxmlformats.org/officeDocument/2006/relationships/table" Target="/xl/tables/table290.xml" Id="rId9"/><Relationship Type="http://schemas.openxmlformats.org/officeDocument/2006/relationships/table" Target="/xl/tables/table291.xml" Id="rId10"/><Relationship Type="http://schemas.openxmlformats.org/officeDocument/2006/relationships/table" Target="/xl/tables/table292.xml" Id="rId11"/><Relationship Type="http://schemas.openxmlformats.org/officeDocument/2006/relationships/table" Target="/xl/tables/table293.xml" Id="rId12"/><Relationship Type="http://schemas.openxmlformats.org/officeDocument/2006/relationships/table" Target="/xl/tables/table294.xml" Id="rId13"/><Relationship Type="http://schemas.openxmlformats.org/officeDocument/2006/relationships/table" Target="/xl/tables/table295.xml" Id="rId14"/><Relationship Type="http://schemas.openxmlformats.org/officeDocument/2006/relationships/table" Target="/xl/tables/table296.xml" Id="rId15"/><Relationship Type="http://schemas.openxmlformats.org/officeDocument/2006/relationships/table" Target="/xl/tables/table297.xml" Id="rId16"/><Relationship Type="http://schemas.openxmlformats.org/officeDocument/2006/relationships/table" Target="/xl/tables/table298.xml" Id="rId17"/><Relationship Type="http://schemas.openxmlformats.org/officeDocument/2006/relationships/table" Target="/xl/tables/table299.xml" Id="rId18"/><Relationship Type="http://schemas.openxmlformats.org/officeDocument/2006/relationships/table" Target="/xl/tables/table300.xml" Id="rId19"/><Relationship Type="http://schemas.openxmlformats.org/officeDocument/2006/relationships/table" Target="/xl/tables/table301.xml" Id="rId20"/><Relationship Type="http://schemas.openxmlformats.org/officeDocument/2006/relationships/table" Target="/xl/tables/table302.xml" Id="rId21"/><Relationship Type="http://schemas.openxmlformats.org/officeDocument/2006/relationships/table" Target="/xl/tables/table303.xml" Id="rId22"/><Relationship Type="http://schemas.openxmlformats.org/officeDocument/2006/relationships/table" Target="/xl/tables/table304.xml" Id="rId23"/><Relationship Type="http://schemas.openxmlformats.org/officeDocument/2006/relationships/table" Target="/xl/tables/table305.xml" Id="rId24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306.xml" Id="rId1"/><Relationship Type="http://schemas.openxmlformats.org/officeDocument/2006/relationships/table" Target="/xl/tables/table307.xml" Id="rId2"/><Relationship Type="http://schemas.openxmlformats.org/officeDocument/2006/relationships/table" Target="/xl/tables/table308.xml" Id="rId3"/><Relationship Type="http://schemas.openxmlformats.org/officeDocument/2006/relationships/table" Target="/xl/tables/table309.xml" Id="rId4"/><Relationship Type="http://schemas.openxmlformats.org/officeDocument/2006/relationships/table" Target="/xl/tables/table310.xml" Id="rId5"/><Relationship Type="http://schemas.openxmlformats.org/officeDocument/2006/relationships/table" Target="/xl/tables/table311.xml" Id="rId6"/><Relationship Type="http://schemas.openxmlformats.org/officeDocument/2006/relationships/table" Target="/xl/tables/table312.xml" Id="rId7"/><Relationship Type="http://schemas.openxmlformats.org/officeDocument/2006/relationships/table" Target="/xl/tables/table313.xml" Id="rId8"/><Relationship Type="http://schemas.openxmlformats.org/officeDocument/2006/relationships/table" Target="/xl/tables/table314.xml" Id="rId9"/><Relationship Type="http://schemas.openxmlformats.org/officeDocument/2006/relationships/table" Target="/xl/tables/table315.xml" Id="rId10"/><Relationship Type="http://schemas.openxmlformats.org/officeDocument/2006/relationships/table" Target="/xl/tables/table316.xml" Id="rId11"/><Relationship Type="http://schemas.openxmlformats.org/officeDocument/2006/relationships/table" Target="/xl/tables/table317.xml" Id="rId12"/><Relationship Type="http://schemas.openxmlformats.org/officeDocument/2006/relationships/table" Target="/xl/tables/table318.xml" Id="rId13"/><Relationship Type="http://schemas.openxmlformats.org/officeDocument/2006/relationships/table" Target="/xl/tables/table319.xml" Id="rId14"/><Relationship Type="http://schemas.openxmlformats.org/officeDocument/2006/relationships/table" Target="/xl/tables/table320.xml" Id="rId15"/><Relationship Type="http://schemas.openxmlformats.org/officeDocument/2006/relationships/table" Target="/xl/tables/table321.xml" Id="rId16"/><Relationship Type="http://schemas.openxmlformats.org/officeDocument/2006/relationships/table" Target="/xl/tables/table322.xml" Id="rId17"/><Relationship Type="http://schemas.openxmlformats.org/officeDocument/2006/relationships/table" Target="/xl/tables/table323.xml" Id="rId18"/><Relationship Type="http://schemas.openxmlformats.org/officeDocument/2006/relationships/table" Target="/xl/tables/table324.xml" Id="rId19"/><Relationship Type="http://schemas.openxmlformats.org/officeDocument/2006/relationships/table" Target="/xl/tables/table325.xml" Id="rId20"/><Relationship Type="http://schemas.openxmlformats.org/officeDocument/2006/relationships/table" Target="/xl/tables/table326.xml" Id="rId21"/><Relationship Type="http://schemas.openxmlformats.org/officeDocument/2006/relationships/table" Target="/xl/tables/table327.xml" Id="rId22"/><Relationship Type="http://schemas.openxmlformats.org/officeDocument/2006/relationships/table" Target="/xl/tables/table328.xml" Id="rId23"/><Relationship Type="http://schemas.openxmlformats.org/officeDocument/2006/relationships/table" Target="/xl/tables/table329.xml" Id="rId24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330.xml" Id="rId1"/><Relationship Type="http://schemas.openxmlformats.org/officeDocument/2006/relationships/table" Target="/xl/tables/table331.xml" Id="rId2"/><Relationship Type="http://schemas.openxmlformats.org/officeDocument/2006/relationships/table" Target="/xl/tables/table332.xml" Id="rId3"/><Relationship Type="http://schemas.openxmlformats.org/officeDocument/2006/relationships/table" Target="/xl/tables/table333.xml" Id="rId4"/><Relationship Type="http://schemas.openxmlformats.org/officeDocument/2006/relationships/table" Target="/xl/tables/table334.xml" Id="rId5"/><Relationship Type="http://schemas.openxmlformats.org/officeDocument/2006/relationships/table" Target="/xl/tables/table335.xml" Id="rId6"/><Relationship Type="http://schemas.openxmlformats.org/officeDocument/2006/relationships/table" Target="/xl/tables/table336.xml" Id="rId7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337.xml" Id="rId1"/><Relationship Type="http://schemas.openxmlformats.org/officeDocument/2006/relationships/table" Target="/xl/tables/table338.xml" Id="rId2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339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340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341.xml" Id="rId1"/><Relationship Type="http://schemas.openxmlformats.org/officeDocument/2006/relationships/table" Target="/xl/tables/table342.xml" Id="rId2"/><Relationship Type="http://schemas.openxmlformats.org/officeDocument/2006/relationships/table" Target="/xl/tables/table343.xml" Id="rId3"/><Relationship Type="http://schemas.openxmlformats.org/officeDocument/2006/relationships/table" Target="/xl/tables/table344.xml" Id="rId4"/><Relationship Type="http://schemas.openxmlformats.org/officeDocument/2006/relationships/table" Target="/xl/tables/table345.xml" Id="rId5"/><Relationship Type="http://schemas.openxmlformats.org/officeDocument/2006/relationships/table" Target="/xl/tables/table346.xml" Id="rId6"/><Relationship Type="http://schemas.openxmlformats.org/officeDocument/2006/relationships/table" Target="/xl/tables/table347.xml" Id="rId7"/><Relationship Type="http://schemas.openxmlformats.org/officeDocument/2006/relationships/table" Target="/xl/tables/table348.xml" Id="rId8"/><Relationship Type="http://schemas.openxmlformats.org/officeDocument/2006/relationships/table" Target="/xl/tables/table349.xml" Id="rId9"/><Relationship Type="http://schemas.openxmlformats.org/officeDocument/2006/relationships/table" Target="/xl/tables/table350.xml" Id="rId10"/><Relationship Type="http://schemas.openxmlformats.org/officeDocument/2006/relationships/table" Target="/xl/tables/table351.xml" Id="rId11"/><Relationship Type="http://schemas.openxmlformats.org/officeDocument/2006/relationships/table" Target="/xl/tables/table352.xml" Id="rId12"/><Relationship Type="http://schemas.openxmlformats.org/officeDocument/2006/relationships/table" Target="/xl/tables/table353.xml" Id="rId13"/><Relationship Type="http://schemas.openxmlformats.org/officeDocument/2006/relationships/table" Target="/xl/tables/table354.xml" Id="rId14"/><Relationship Type="http://schemas.openxmlformats.org/officeDocument/2006/relationships/table" Target="/xl/tables/table355.xml" Id="rId15"/><Relationship Type="http://schemas.openxmlformats.org/officeDocument/2006/relationships/table" Target="/xl/tables/table356.xml" Id="rId16"/><Relationship Type="http://schemas.openxmlformats.org/officeDocument/2006/relationships/table" Target="/xl/tables/table357.xml" Id="rId17"/><Relationship Type="http://schemas.openxmlformats.org/officeDocument/2006/relationships/table" Target="/xl/tables/table358.xml" Id="rId18"/><Relationship Type="http://schemas.openxmlformats.org/officeDocument/2006/relationships/table" Target="/xl/tables/table359.xml" Id="rId19"/><Relationship Type="http://schemas.openxmlformats.org/officeDocument/2006/relationships/table" Target="/xl/tables/table360.xml" Id="rId20"/><Relationship Type="http://schemas.openxmlformats.org/officeDocument/2006/relationships/table" Target="/xl/tables/table361.xml" Id="rId21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62.xml" Id="rId1"/><Relationship Type="http://schemas.openxmlformats.org/officeDocument/2006/relationships/table" Target="/xl/tables/table363.xml" Id="rId2"/><Relationship Type="http://schemas.openxmlformats.org/officeDocument/2006/relationships/table" Target="/xl/tables/table364.xml" Id="rId3"/><Relationship Type="http://schemas.openxmlformats.org/officeDocument/2006/relationships/table" Target="/xl/tables/table365.xml" Id="rId4"/><Relationship Type="http://schemas.openxmlformats.org/officeDocument/2006/relationships/table" Target="/xl/tables/table366.xml" Id="rId5"/><Relationship Type="http://schemas.openxmlformats.org/officeDocument/2006/relationships/table" Target="/xl/tables/table367.xml" Id="rId6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68.xml" Id="rId1"/><Relationship Type="http://schemas.openxmlformats.org/officeDocument/2006/relationships/table" Target="/xl/tables/table36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20.27" customWidth="1" style="1128" min="1" max="1"/>
    <col width="8.449999999999999" customWidth="1" style="1128" min="2" max="3"/>
    <col width="10.36" customWidth="1" style="1128" min="4" max="4"/>
    <col width="10.91" customWidth="1" style="1128" min="5" max="5"/>
    <col width="98.55" customWidth="1" style="1128" min="6" max="6"/>
    <col width="10.36" customWidth="1" style="1128" min="7" max="7"/>
    <col width="27.36" customWidth="1" style="1128" min="8" max="8"/>
    <col width="25.73" customWidth="1" style="1128" min="9" max="9"/>
    <col width="8.73" customWidth="1" style="1128" min="10" max="10"/>
    <col width="8.640000000000001" customWidth="1" style="1128" min="11" max="26"/>
  </cols>
  <sheetData>
    <row r="1" ht="15.75" customHeight="1" s="1128">
      <c r="A1" s="46" t="inlineStr">
        <is>
          <t>Name</t>
        </is>
      </c>
      <c r="B1" s="44" t="inlineStr">
        <is>
          <t>Rarity</t>
        </is>
      </c>
      <c r="C1" s="44" t="inlineStr">
        <is>
          <t>Type</t>
        </is>
      </c>
      <c r="D1" s="44" t="inlineStr">
        <is>
          <t>Base Soul Speed</t>
        </is>
      </c>
      <c r="E1" s="44" t="inlineStr">
        <is>
          <t>Awakened Bonus</t>
        </is>
      </c>
      <c r="F1" s="55" t="inlineStr">
        <is>
          <t>Source</t>
        </is>
      </c>
    </row>
    <row r="2" ht="15.75" customHeight="1" s="1128">
      <c r="A2" s="668" t="inlineStr">
        <is>
          <t>INDIVIDUAL RELICS</t>
        </is>
      </c>
      <c r="B2" s="972" t="n"/>
      <c r="C2" s="972" t="n"/>
      <c r="D2" s="972" t="n"/>
      <c r="E2" s="972" t="n"/>
      <c r="F2" s="30" t="n"/>
    </row>
    <row r="3" ht="15.75" customHeight="1" s="1128">
      <c r="A3" s="23" t="inlineStr">
        <is>
          <t xml:space="preserve">   Prometheus Torch</t>
        </is>
      </c>
      <c r="B3" s="425" t="inlineStr">
        <is>
          <t>SSS</t>
        </is>
      </c>
      <c r="C3" s="972" t="inlineStr">
        <is>
          <t>FAME</t>
        </is>
      </c>
      <c r="D3" s="972" t="n">
        <v>4.8</v>
      </c>
      <c r="E3" s="972" t="n">
        <v>4</v>
      </c>
      <c r="F3" s="10" t="inlineStr">
        <is>
          <t>Lottery Machine #1 (0.09%), Wishing (0.09%), Hellas Treasure Map, Grandmaster Scrolls (0.81%), Relic Forge (120 Relic RF)</t>
        </is>
      </c>
      <c r="G3" s="42" t="n"/>
      <c r="H3" s="42" t="n"/>
      <c r="J3" s="42" t="n"/>
    </row>
    <row r="4" ht="15.75" customHeight="1" s="1128">
      <c r="A4" s="23" t="inlineStr">
        <is>
          <t xml:space="preserve">   Houmuwu Ding</t>
        </is>
      </c>
      <c r="B4" s="425" t="inlineStr">
        <is>
          <t>SSS</t>
        </is>
      </c>
      <c r="C4" s="972" t="inlineStr">
        <is>
          <t>CIV</t>
        </is>
      </c>
      <c r="D4" s="972" t="n">
        <v>4.8</v>
      </c>
      <c r="E4" s="972" t="n">
        <v>4</v>
      </c>
      <c r="F4" s="10" t="inlineStr">
        <is>
          <t>Wish Box, Lottery Machine #1 (0.09%), Wishing (0.08%), Cathay Treasure Maps (0.01%), Grandmaster Scrolls (0.81%), Relic Forge (120 Relic RF)</t>
        </is>
      </c>
      <c r="G4" s="42" t="n"/>
      <c r="H4" s="42" t="n"/>
      <c r="J4" s="42" t="n"/>
    </row>
    <row r="5" ht="15.75" customHeight="1" s="1128">
      <c r="A5" s="23" t="inlineStr">
        <is>
          <t xml:space="preserve">   Crystal Skull</t>
        </is>
      </c>
      <c r="B5" s="425" t="inlineStr">
        <is>
          <t>AAA</t>
        </is>
      </c>
      <c r="C5" s="425" t="inlineStr">
        <is>
          <t>ART</t>
        </is>
      </c>
      <c r="D5" s="972" t="n">
        <v>3.6</v>
      </c>
      <c r="E5" s="972" t="n">
        <v>2.8</v>
      </c>
      <c r="F5" s="10" t="inlineStr">
        <is>
          <t>Fragment Crafting (1.6%), Lottery Machine #1 (0.03%), Wishing (0.14%), Time Chest (1.5%), Relic Forge (Relic RF 80)</t>
        </is>
      </c>
      <c r="G5" s="42" t="n"/>
      <c r="H5" s="42" t="n"/>
      <c r="I5" s="12" t="n"/>
      <c r="J5" s="42" t="n"/>
    </row>
    <row r="6" ht="15.75" customHeight="1" s="1128">
      <c r="A6" s="23" t="inlineStr">
        <is>
          <t xml:space="preserve">   Buddha Tooth Sarira</t>
        </is>
      </c>
      <c r="B6" s="425" t="inlineStr">
        <is>
          <t>Blue</t>
        </is>
      </c>
      <c r="C6" s="425" t="inlineStr">
        <is>
          <t>FTH</t>
        </is>
      </c>
      <c r="D6" s="972" t="n">
        <v>2</v>
      </c>
      <c r="E6" s="972" t="n">
        <v>2</v>
      </c>
      <c r="F6" s="10" t="inlineStr">
        <is>
          <t>Lottery Machine #1 (0.03%), Wishing (0.85%), Bharata Treasure Maps (%)</t>
        </is>
      </c>
      <c r="G6" s="42" t="n"/>
      <c r="H6" s="42" t="n"/>
      <c r="I6" s="12" t="n"/>
      <c r="J6" s="42" t="n"/>
    </row>
    <row r="7" ht="15.75" customHeight="1" s="1128">
      <c r="A7" s="23" t="inlineStr">
        <is>
          <t xml:space="preserve">   Death Hallows VII</t>
        </is>
      </c>
      <c r="B7" s="425" t="inlineStr">
        <is>
          <t>Green</t>
        </is>
      </c>
      <c r="C7" s="425" t="inlineStr">
        <is>
          <t>FTH</t>
        </is>
      </c>
      <c r="D7" s="972" t="n">
        <v>1.2</v>
      </c>
      <c r="E7" s="972" t="n"/>
      <c r="F7" s="19" t="inlineStr">
        <is>
          <t>Dumbledore Fight II</t>
        </is>
      </c>
      <c r="G7" s="42" t="n"/>
      <c r="H7" s="42" t="n"/>
      <c r="I7" s="12" t="n"/>
      <c r="J7" s="42" t="n"/>
    </row>
    <row r="8" ht="15.75" customHeight="1" s="1128">
      <c r="A8" s="23" t="inlineStr">
        <is>
          <t xml:space="preserve">   Crying Boy</t>
        </is>
      </c>
      <c r="B8" s="425" t="inlineStr">
        <is>
          <t>Green</t>
        </is>
      </c>
      <c r="C8" s="972" t="inlineStr">
        <is>
          <t>ART</t>
        </is>
      </c>
      <c r="D8" s="972" t="n">
        <v>1.2</v>
      </c>
      <c r="E8" s="972" t="n"/>
      <c r="F8" s="19" t="inlineStr">
        <is>
          <t>I want your collection! Dragon Wish</t>
        </is>
      </c>
      <c r="G8" s="42" t="n"/>
      <c r="H8" s="42" t="n"/>
      <c r="I8" s="12" t="n"/>
      <c r="J8" s="42" t="n"/>
    </row>
    <row r="9" ht="15.75" customHeight="1" s="1128">
      <c r="A9" s="22" t="inlineStr">
        <is>
          <t>MAX INDIVIDUAL RELICS</t>
        </is>
      </c>
      <c r="B9" s="50" t="n"/>
      <c r="C9" s="50" t="n"/>
      <c r="D9" s="50">
        <f>SUM(D2:E8)</f>
        <v/>
      </c>
      <c r="E9" s="50" t="n"/>
      <c r="F9" s="16" t="n"/>
      <c r="G9" s="42" t="n"/>
      <c r="H9" s="42" t="n"/>
      <c r="I9" s="12" t="n"/>
      <c r="J9" s="42" t="n"/>
    </row>
    <row r="10" ht="15.75" customHeight="1" s="1128">
      <c r="A10" s="23" t="n"/>
      <c r="B10" s="972" t="n"/>
      <c r="C10" s="972" t="n"/>
      <c r="D10" s="972" t="n"/>
      <c r="E10" s="972" t="n"/>
      <c r="F10" s="19" t="n"/>
      <c r="G10" s="42" t="n"/>
      <c r="H10" s="42" t="n"/>
      <c r="I10" s="12" t="n"/>
      <c r="J10" s="42" t="n"/>
    </row>
    <row r="11" ht="15.75" customHeight="1" s="1128">
      <c r="A11" s="43" t="inlineStr">
        <is>
          <t>PARTNERS</t>
        </is>
      </c>
      <c r="B11" s="44" t="n"/>
      <c r="C11" s="44" t="n"/>
      <c r="D11" s="44" t="n"/>
      <c r="E11" s="44" t="n"/>
      <c r="F11" s="45" t="n"/>
      <c r="G11" s="42" t="n"/>
      <c r="H11" s="42" t="n"/>
      <c r="I11" s="12" t="n"/>
      <c r="J11" s="42" t="n"/>
    </row>
    <row r="12" ht="15.75" customHeight="1" s="1128">
      <c r="A12" s="22" t="inlineStr">
        <is>
          <t xml:space="preserve">   Prince</t>
        </is>
      </c>
      <c r="B12" s="50" t="n"/>
      <c r="C12" s="50" t="n"/>
      <c r="D12" s="50" t="n">
        <v>18</v>
      </c>
      <c r="E12" s="50" t="n"/>
      <c r="F12" s="16" t="inlineStr">
        <is>
          <t>lv30</t>
        </is>
      </c>
      <c r="I12" s="12" t="n"/>
    </row>
    <row r="13" ht="15.75" customHeight="1" s="1128">
      <c r="A13" s="23" t="n"/>
      <c r="B13" s="972" t="n"/>
      <c r="C13" s="972" t="n"/>
      <c r="D13" s="972" t="n"/>
      <c r="E13" s="972" t="n"/>
      <c r="F13" s="30" t="n"/>
    </row>
    <row r="14" ht="15.75" customHeight="1" s="1128">
      <c r="A14" s="24" t="inlineStr">
        <is>
          <t>INTEL</t>
        </is>
      </c>
      <c r="B14" s="44" t="n"/>
      <c r="C14" s="44" t="n"/>
      <c r="D14" s="44" t="n"/>
      <c r="E14" s="44" t="n"/>
      <c r="F14" s="55" t="n"/>
    </row>
    <row r="15" ht="15.75" customHeight="1" s="1128">
      <c r="A15" s="22" t="inlineStr">
        <is>
          <t xml:space="preserve">   Koryeo</t>
        </is>
      </c>
      <c r="B15" s="50" t="n"/>
      <c r="C15" s="50" t="n"/>
      <c r="D15" s="50" t="n">
        <v>5</v>
      </c>
      <c r="E15" s="50" t="n"/>
      <c r="F15" s="51" t="n"/>
    </row>
    <row r="16" ht="15.75" customHeight="1" s="1128">
      <c r="A16" s="27" t="n"/>
      <c r="B16" s="972" t="n"/>
      <c r="C16" s="972" t="n"/>
      <c r="D16" s="972" t="n"/>
      <c r="E16" s="972" t="n"/>
      <c r="F16" s="30" t="n"/>
    </row>
    <row r="17" ht="15.75" customHeight="1" s="1128">
      <c r="A17" s="24" t="inlineStr">
        <is>
          <t>COLLECTOR's TALENTS</t>
        </is>
      </c>
      <c r="B17" s="44" t="n"/>
      <c r="C17" s="44" t="n"/>
      <c r="D17" s="44" t="n"/>
      <c r="E17" s="44" t="n"/>
      <c r="F17" s="55" t="n"/>
    </row>
    <row r="18" ht="15.75" customHeight="1" s="1128">
      <c r="A18" s="23" t="inlineStr">
        <is>
          <t xml:space="preserve">    Offering Speed</t>
        </is>
      </c>
      <c r="B18" s="972" t="n"/>
      <c r="C18" s="972" t="n"/>
      <c r="D18" s="972" t="n">
        <v>10</v>
      </c>
      <c r="E18" s="972" t="n"/>
      <c r="F18" s="30" t="n"/>
    </row>
    <row r="19" ht="15.75" customHeight="1" s="1128">
      <c r="A19" s="28" t="n"/>
      <c r="B19" s="50" t="n"/>
      <c r="C19" s="50" t="n"/>
      <c r="D19" s="50" t="n"/>
      <c r="E19" s="50" t="n"/>
      <c r="F19" s="51" t="n"/>
    </row>
    <row r="20" ht="15.75" customHeight="1" s="1128">
      <c r="A20" s="24" t="inlineStr">
        <is>
          <t>ROCKET UPGRADES</t>
        </is>
      </c>
      <c r="B20" s="44" t="n"/>
      <c r="C20" s="44" t="n"/>
      <c r="D20" s="44" t="n"/>
      <c r="E20" s="44" t="n"/>
      <c r="F20" s="55" t="n"/>
    </row>
    <row r="21" ht="15.75" customHeight="1" s="1128">
      <c r="A21" s="22" t="inlineStr">
        <is>
          <t xml:space="preserve">   Oracle Hall</t>
        </is>
      </c>
      <c r="B21" s="50" t="n"/>
      <c r="C21" s="50" t="n"/>
      <c r="D21" s="50" t="n">
        <v>5</v>
      </c>
      <c r="E21" s="50" t="n"/>
      <c r="F21" s="51" t="n"/>
    </row>
    <row r="22" ht="15.75" customHeight="1" s="1128">
      <c r="A22" s="23" t="n"/>
      <c r="B22" s="972" t="n"/>
      <c r="C22" s="972" t="n"/>
      <c r="D22" s="972" t="n"/>
      <c r="E22" s="972" t="n"/>
      <c r="F22" s="30" t="n"/>
    </row>
    <row r="23" ht="15.75" customHeight="1" s="1128">
      <c r="A23" s="43" t="inlineStr">
        <is>
          <t>RESONANCE</t>
        </is>
      </c>
      <c r="B23" s="44" t="n"/>
      <c r="C23" s="44" t="n"/>
      <c r="D23" s="44" t="n"/>
      <c r="E23" s="44" t="n"/>
      <c r="F23" s="55" t="n"/>
    </row>
    <row r="24" ht="15.75" customHeight="1" s="1128">
      <c r="A24" s="23" t="inlineStr">
        <is>
          <t>BLUE</t>
        </is>
      </c>
      <c r="B24" s="972" t="n"/>
      <c r="C24" s="972" t="n"/>
      <c r="D24" s="972" t="n">
        <v>3.6</v>
      </c>
      <c r="E24" s="972" t="n"/>
      <c r="F24" s="30" t="n"/>
    </row>
    <row r="25" ht="15.75" customHeight="1" s="1128">
      <c r="A25" s="23" t="inlineStr">
        <is>
          <t xml:space="preserve">   Divergene Meter</t>
        </is>
      </c>
      <c r="B25" s="425" t="inlineStr">
        <is>
          <t>Blue</t>
        </is>
      </c>
      <c r="C25" s="972" t="inlineStr">
        <is>
          <t>TECH</t>
        </is>
      </c>
      <c r="D25" s="972" t="n"/>
      <c r="E25" s="972" t="n"/>
      <c r="F25" s="10" t="inlineStr">
        <is>
          <t>Lottery Machine #1 (0.36%), Wishing (13.2%), Time Chest (2%), Novice Scrolls (5%)</t>
        </is>
      </c>
    </row>
    <row r="26" ht="15.75" customHeight="1" s="1128">
      <c r="A26" s="23" t="inlineStr">
        <is>
          <t xml:space="preserve">   Guanery's Violin</t>
        </is>
      </c>
      <c r="B26" s="425" t="inlineStr">
        <is>
          <t>Blue</t>
        </is>
      </c>
      <c r="C26" s="425" t="inlineStr">
        <is>
          <t>ART</t>
        </is>
      </c>
      <c r="D26" s="972" t="n"/>
      <c r="E26" s="972" t="n"/>
      <c r="F26" s="10" t="inlineStr">
        <is>
          <t>Lottery Machine #1 (0.03%), Wishing (1.2%), Indigent Nobleman (72K B-tads)</t>
        </is>
      </c>
    </row>
    <row r="27" ht="15.75" customHeight="1" s="1128">
      <c r="A27" s="23" t="inlineStr">
        <is>
          <t xml:space="preserve">   Tudor Rose</t>
        </is>
      </c>
      <c r="B27" s="425" t="inlineStr">
        <is>
          <t>Blue</t>
        </is>
      </c>
      <c r="C27" s="425" t="inlineStr">
        <is>
          <t>FAME</t>
        </is>
      </c>
      <c r="D27" s="972" t="n"/>
      <c r="E27" s="972" t="n"/>
      <c r="F27" s="30" t="inlineStr">
        <is>
          <t>Lottery Machine #1 (0.03%), Wishing (1.2%)</t>
        </is>
      </c>
    </row>
    <row r="28" ht="15.75" customHeight="1" s="1128">
      <c r="A28" s="23" t="inlineStr">
        <is>
          <t xml:space="preserve">   Holmes' Pipe</t>
        </is>
      </c>
      <c r="B28" s="425" t="inlineStr">
        <is>
          <t>Blue</t>
        </is>
      </c>
      <c r="C28" s="972" t="inlineStr">
        <is>
          <t>CIV</t>
        </is>
      </c>
      <c r="D28" s="972" t="n"/>
      <c r="E28" s="972" t="n"/>
      <c r="F28" s="30" t="inlineStr">
        <is>
          <t>Lottery Machine  #1 (0.36%), Wishing (10.3%), Trainee Scrolls (5%)</t>
        </is>
      </c>
    </row>
    <row r="29" ht="15.75" customHeight="1" s="1128">
      <c r="A29" s="23" t="inlineStr">
        <is>
          <t xml:space="preserve">   Dunhuang Painting</t>
        </is>
      </c>
      <c r="B29" s="425" t="inlineStr">
        <is>
          <t>Blue</t>
        </is>
      </c>
      <c r="C29" s="425" t="inlineStr">
        <is>
          <t>FTH</t>
        </is>
      </c>
      <c r="D29" s="972" t="n"/>
      <c r="E29" s="972" t="n"/>
      <c r="F29" s="30" t="inlineStr">
        <is>
          <t>Lottery Machine #1 (0.03%), Wishing (0.85%)</t>
        </is>
      </c>
    </row>
    <row r="30" ht="15.75" customHeight="1" s="1128">
      <c r="A30" s="23" t="inlineStr">
        <is>
          <t xml:space="preserve">   Our Lady of Kazan</t>
        </is>
      </c>
      <c r="B30" s="425" t="inlineStr">
        <is>
          <t>Blue</t>
        </is>
      </c>
      <c r="C30" s="425" t="inlineStr">
        <is>
          <t>FTH</t>
        </is>
      </c>
      <c r="D30" s="972" t="n"/>
      <c r="E30" s="972" t="n"/>
      <c r="F30" s="30" t="inlineStr">
        <is>
          <t>Lottery Machine #1 (0.36%), Wishing (10.6%), Trainee Scrolls (5%)</t>
        </is>
      </c>
    </row>
    <row r="31" ht="15.75" customHeight="1" s="1128">
      <c r="A31" s="23" t="inlineStr">
        <is>
          <t>ORANGE</t>
        </is>
      </c>
      <c r="B31" s="972" t="n"/>
      <c r="C31" s="972" t="n"/>
      <c r="D31" s="972" t="n">
        <v>4</v>
      </c>
      <c r="E31" s="972" t="n"/>
      <c r="F31" s="30" t="n"/>
    </row>
    <row r="32" ht="15.75" customHeight="1" s="1128">
      <c r="A32" s="23" t="inlineStr">
        <is>
          <t xml:space="preserve">   Pandora's Box</t>
        </is>
      </c>
      <c r="B32" s="425" t="inlineStr">
        <is>
          <t>SS</t>
        </is>
      </c>
      <c r="C32" s="425" t="inlineStr">
        <is>
          <t>FAME</t>
        </is>
      </c>
      <c r="D32" s="972" t="n"/>
      <c r="E32" s="972" t="n"/>
      <c r="F32" s="30" t="inlineStr">
        <is>
          <t>Lottery Machine #1 (0.12%), Wishing (0.11%), Soul Chest(1%), Grandmaster Scrolls (1%), Relic Forge (100 Relic RF)</t>
        </is>
      </c>
    </row>
    <row r="33" ht="15.75" customHeight="1" s="1128">
      <c r="A33" s="23" t="inlineStr">
        <is>
          <t xml:space="preserve">   True Cross</t>
        </is>
      </c>
      <c r="B33" s="425" t="inlineStr">
        <is>
          <t>SSS</t>
        </is>
      </c>
      <c r="C33" s="425" t="inlineStr">
        <is>
          <t>FTH</t>
        </is>
      </c>
      <c r="D33" s="972" t="n"/>
      <c r="E33" s="972" t="n"/>
      <c r="F33" s="30" t="inlineStr">
        <is>
          <t>Oracle Hall (Earth's Will Cabin) Reward</t>
        </is>
      </c>
    </row>
    <row r="34" ht="15.75" customHeight="1" s="1128">
      <c r="A34" s="23" t="inlineStr">
        <is>
          <t xml:space="preserve">   Arkanrock</t>
        </is>
      </c>
      <c r="B34" s="425" t="inlineStr">
        <is>
          <t>SSS</t>
        </is>
      </c>
      <c r="C34" s="425" t="inlineStr">
        <is>
          <t>FAME</t>
        </is>
      </c>
      <c r="D34" s="972" t="n"/>
      <c r="E34" s="972" t="n"/>
      <c r="F34" s="30" t="inlineStr">
        <is>
          <t>Eternal Hall (Demon God Cabin) Reward</t>
        </is>
      </c>
    </row>
    <row r="35" ht="15.75" customHeight="1" s="1128">
      <c r="A35" s="23" t="inlineStr">
        <is>
          <t xml:space="preserve">   Maya Slate</t>
        </is>
      </c>
      <c r="B35" s="425" t="inlineStr">
        <is>
          <t>SSS</t>
        </is>
      </c>
      <c r="C35" s="425" t="inlineStr">
        <is>
          <t>FTH</t>
        </is>
      </c>
      <c r="D35" s="972" t="n"/>
      <c r="E35" s="972" t="n"/>
      <c r="F35" s="30" t="inlineStr">
        <is>
          <t>Wish Box, Lottery Machine #1 (0.09%), Wishing (0.06%), Dragon Chest (0.1%), Grandmaster Scrolls (0.81%), Relic Forge (120 Relic RF)</t>
        </is>
      </c>
    </row>
    <row r="36" ht="15.75" customHeight="1" s="1128">
      <c r="A36" s="23" t="inlineStr">
        <is>
          <t xml:space="preserve">   Royal Celtic Harp</t>
        </is>
      </c>
      <c r="B36" s="425" t="inlineStr">
        <is>
          <t>SSS</t>
        </is>
      </c>
      <c r="C36" s="425" t="inlineStr">
        <is>
          <t>FTH</t>
        </is>
      </c>
      <c r="D36" s="972" t="n"/>
      <c r="E36" s="972" t="n"/>
      <c r="F36" s="30" t="inlineStr">
        <is>
          <t>Lottery Machine #1 (0.09%), Wishing (0.06%), Grandmaster Scrolls (0.76%)</t>
        </is>
      </c>
    </row>
    <row r="37" ht="15.75" customHeight="1" s="1128">
      <c r="A37" s="22" t="inlineStr">
        <is>
          <t>MAX RESONANCE</t>
        </is>
      </c>
      <c r="B37" s="50" t="n"/>
      <c r="C37" s="50" t="n"/>
      <c r="D37" s="50">
        <f>SUM(D24:E36)</f>
        <v/>
      </c>
      <c r="E37" s="50" t="n"/>
      <c r="F37" s="51" t="n"/>
    </row>
    <row r="38" ht="15.75" customHeight="1" s="1128">
      <c r="A38" s="972" t="n"/>
      <c r="B38" s="972" t="n"/>
      <c r="C38" s="972" t="n"/>
      <c r="D38" s="972" t="n"/>
      <c r="E38" s="972" t="n"/>
      <c r="F38" s="972" t="n"/>
    </row>
    <row r="39" ht="15.75" customHeight="1" s="1128">
      <c r="A39" s="972" t="n"/>
      <c r="B39" s="972" t="n"/>
      <c r="C39" s="972" t="n"/>
      <c r="D39" s="972" t="n"/>
      <c r="E39" s="972" t="n"/>
      <c r="F39" s="972" t="n"/>
    </row>
    <row r="40" ht="15.75" customHeight="1" s="1128">
      <c r="A40" s="444" t="inlineStr">
        <is>
          <t>Total Soul Offering Speed</t>
        </is>
      </c>
      <c r="B40" s="444">
        <f>D9+D12+D37+D21+D15+D18</f>
        <v/>
      </c>
      <c r="C40" s="444" t="n"/>
      <c r="D40" s="972" t="n"/>
      <c r="E40" s="972" t="n"/>
      <c r="F40" s="972" t="n"/>
    </row>
    <row r="41" ht="15.75" customHeight="1" s="1128">
      <c r="A41" s="33" t="n"/>
      <c r="B41" s="972" t="n"/>
      <c r="C41" s="34" t="n"/>
      <c r="D41" s="972" t="n"/>
      <c r="E41" s="972" t="n"/>
      <c r="F41" s="972" t="n"/>
    </row>
    <row r="42" ht="15.75" customHeight="1" s="1128">
      <c r="A42" s="444" t="n"/>
      <c r="B42" s="989" t="inlineStr">
        <is>
          <t>Base</t>
        </is>
      </c>
      <c r="C42" s="36" t="inlineStr">
        <is>
          <t>Actual</t>
        </is>
      </c>
      <c r="D42" s="972" t="n"/>
      <c r="E42" s="972" t="n"/>
      <c r="F42" s="972" t="n"/>
    </row>
    <row r="43" ht="15.75" customHeight="1" s="1128">
      <c r="A43" s="989" t="inlineStr">
        <is>
          <t>Speed Example</t>
        </is>
      </c>
      <c r="B43" s="444" t="n">
        <v>8</v>
      </c>
      <c r="C43" s="444">
        <f>$B43/(1+$B$40/$C$65)</f>
        <v/>
      </c>
      <c r="D43" s="972" t="n"/>
      <c r="E43" s="972" t="n"/>
      <c r="F43" s="972" t="n"/>
    </row>
    <row r="44" ht="15.75" customHeight="1" s="1128">
      <c r="A44" s="989" t="inlineStr">
        <is>
          <t>One Round Offering</t>
        </is>
      </c>
      <c r="B44" s="444" t="n">
        <v>240</v>
      </c>
      <c r="C44" s="444">
        <f>$B44/(1+$B$40/$C$65)</f>
        <v/>
      </c>
      <c r="D44" s="972" t="n"/>
      <c r="E44" s="972" t="n"/>
      <c r="F44" s="972" t="n"/>
    </row>
    <row r="45" ht="15.75" customHeight="1" s="1128">
      <c r="A45" s="989" t="n"/>
      <c r="B45" s="444" t="n"/>
      <c r="C45" s="444" t="n"/>
      <c r="D45" s="972" t="n"/>
      <c r="E45" s="972" t="n"/>
      <c r="F45" s="972" t="n"/>
    </row>
    <row r="46" ht="15.75" customHeight="1" s="1128">
      <c r="A46" s="989" t="inlineStr">
        <is>
          <t>5 Rounds (hours)</t>
        </is>
      </c>
      <c r="B46" s="444" t="n">
        <v>1200</v>
      </c>
      <c r="C46" s="39">
        <f>$B46/(1+$B$40/$C$65)</f>
        <v/>
      </c>
      <c r="D46" s="972" t="n"/>
      <c r="E46" s="972" t="n"/>
      <c r="F46" s="972" t="n"/>
    </row>
    <row r="47" ht="15.75" customHeight="1" s="1128">
      <c r="A47" s="989" t="inlineStr">
        <is>
          <t>Precooked Offerings (hours)</t>
        </is>
      </c>
      <c r="B47" s="972">
        <f>48*4 + 8*4</f>
        <v/>
      </c>
      <c r="C47" s="39" t="n"/>
      <c r="D47" s="972" t="n"/>
      <c r="E47" s="972" t="n"/>
      <c r="F47" s="972" t="n"/>
    </row>
    <row r="48" ht="15.75" customHeight="1" s="1128">
      <c r="A48" s="989" t="inlineStr">
        <is>
          <t>Non-precooked Offerings (hours)</t>
        </is>
      </c>
      <c r="B48" s="444">
        <f>B46-B47</f>
        <v/>
      </c>
      <c r="C48" s="39">
        <f>$B48/(1+$B$40/$C$65)</f>
        <v/>
      </c>
      <c r="D48" s="972" t="n"/>
      <c r="E48" s="972" t="n"/>
      <c r="F48" s="972" t="n"/>
    </row>
    <row r="49" ht="15.75" customHeight="1" s="1128">
      <c r="A49" s="989" t="inlineStr">
        <is>
          <t>(days)</t>
        </is>
      </c>
      <c r="B49" s="444">
        <f>B48/$C$66</f>
        <v/>
      </c>
      <c r="C49" s="39">
        <f>C48/$C$66</f>
        <v/>
      </c>
      <c r="D49" s="972" t="n"/>
      <c r="E49" s="972" t="n"/>
      <c r="F49" s="972" t="n"/>
    </row>
    <row r="50" ht="15.75" customHeight="1" s="1128"/>
    <row r="51" ht="15.75" customHeight="1" s="1128"/>
    <row r="52" ht="15.75" customHeight="1" s="1128"/>
    <row r="53" ht="15.75" customHeight="1" s="1128"/>
    <row r="54" ht="15.75" customHeight="1" s="1128"/>
    <row r="55" ht="15.75" customHeight="1" s="1128"/>
    <row r="56" ht="15.75" customHeight="1" s="1128"/>
    <row r="57" ht="15.75" customHeight="1" s="1128"/>
    <row r="58" ht="15.75" customHeight="1" s="1128"/>
    <row r="59" ht="15.75" customHeight="1" s="1128"/>
    <row r="60" ht="15.75" customHeight="1" s="1128">
      <c r="B60" s="0" t="inlineStr">
        <is>
          <t>CONSTANT_NAME</t>
        </is>
      </c>
      <c r="C60" s="0" t="inlineStr">
        <is>
          <t>VALUE</t>
        </is>
      </c>
      <c r="D60" s="0" t="inlineStr">
        <is>
          <t>DESCRIPTION</t>
        </is>
      </c>
    </row>
    <row r="61" ht="15.75" customHeight="1" s="1128">
      <c r="B61" s="0" t="inlineStr">
        <is>
          <t>Max_Level_Cap</t>
        </is>
      </c>
      <c r="C61" s="0" t="n">
        <v>120</v>
      </c>
      <c r="D61" s="0" t="inlineStr">
        <is>
          <t>Used in Drifter Stats level calculations</t>
        </is>
      </c>
    </row>
    <row r="62" ht="15.75" customHeight="1" s="1128">
      <c r="B62" s="0" t="inlineStr">
        <is>
          <t>Pct_Base</t>
        </is>
      </c>
      <c r="C62" s="0" t="n">
        <v>100</v>
      </c>
      <c r="D62" s="0" t="inlineStr">
        <is>
          <t>Percentage divisor (e.g., /$C$65 for %)</t>
        </is>
      </c>
    </row>
    <row r="63" ht="15.75" customHeight="1" s="1128">
      <c r="B63" s="0" t="inlineStr">
        <is>
          <t>Hours_Per_Day</t>
        </is>
      </c>
      <c r="C63" s="0" t="n">
        <v>24</v>
      </c>
      <c r="D63" s="0" t="inlineStr">
        <is>
          <t>Time conversion factor</t>
        </is>
      </c>
    </row>
    <row r="64" ht="15.75" customHeight="1" s="1128">
      <c r="B64" s="0" t="inlineStr">
        <is>
          <t>Minutes_Per_Hour</t>
        </is>
      </c>
      <c r="C64" s="0" t="n">
        <v>60</v>
      </c>
      <c r="D64" s="0" t="inlineStr">
        <is>
          <t>Time conversion factor</t>
        </is>
      </c>
    </row>
    <row r="65" ht="15.75" customHeight="1" s="1128">
      <c r="C65" s="0" t="n">
        <v>100</v>
      </c>
    </row>
    <row r="66" ht="15.75" customHeight="1" s="1128">
      <c r="C66" s="0" t="n">
        <v>24</v>
      </c>
    </row>
    <row r="67" ht="15.75" customHeight="1" s="1128">
      <c r="B67" t="inlineStr">
        <is>
          <t>Stat_Scalar_A</t>
        </is>
      </c>
      <c r="C67" t="n">
        <v>50</v>
      </c>
      <c r="D67" t="inlineStr">
        <is>
          <t>Minion stat scalar (type A)</t>
        </is>
      </c>
    </row>
    <row r="68" ht="15.75" customHeight="1" s="1128">
      <c r="B68" t="inlineStr">
        <is>
          <t>Stat_Scalar_B</t>
        </is>
      </c>
      <c r="C68" t="n">
        <v>52.5</v>
      </c>
      <c r="D68" t="inlineStr">
        <is>
          <t>Minion stat scalar (type B)</t>
        </is>
      </c>
    </row>
    <row r="69" ht="15.75" customHeight="1" s="1128">
      <c r="B69" t="inlineStr">
        <is>
          <t>Level_Base_Cost</t>
        </is>
      </c>
      <c r="C69" t="n">
        <v>60</v>
      </c>
      <c r="D69" t="inlineStr">
        <is>
          <t>Protomon base level cost / Minutes per hour</t>
        </is>
      </c>
    </row>
    <row r="70" ht="15.75" customHeight="1" s="1128">
      <c r="B70" t="inlineStr">
        <is>
          <t>Level_Increment</t>
        </is>
      </c>
      <c r="C70" t="n">
        <v>20</v>
      </c>
      <c r="D70" t="inlineStr">
        <is>
          <t>Protomon per-level cost increment</t>
        </is>
      </c>
    </row>
    <row r="71" ht="15.75" customHeight="1" s="1128"/>
    <row r="72" ht="15.75" customHeight="1" s="1128"/>
    <row r="73" ht="15.75" customHeight="1" s="1128"/>
    <row r="74" ht="15.75" customHeight="1" s="1128"/>
    <row r="75" ht="15.75" customHeight="1" s="1128"/>
    <row r="76" ht="15.75" customHeight="1" s="1128"/>
    <row r="77" ht="15.75" customHeight="1" s="1128"/>
    <row r="78" ht="15.75" customHeight="1" s="1128"/>
    <row r="79" ht="15.75" customHeight="1" s="1128"/>
    <row r="80" ht="15.75" customHeight="1" s="1128"/>
    <row r="81" ht="15.75" customHeight="1" s="1128"/>
    <row r="82" ht="15.75" customHeight="1" s="1128"/>
    <row r="83" ht="15.75" customHeight="1" s="1128"/>
    <row r="84" ht="15.75" customHeight="1" s="1128"/>
    <row r="85" ht="15.75" customHeight="1" s="1128"/>
    <row r="86" ht="15.75" customHeight="1" s="1128"/>
    <row r="87" ht="15.75" customHeight="1" s="1128"/>
    <row r="88" ht="15.75" customHeight="1" s="1128"/>
    <row r="89" ht="15.75" customHeight="1" s="1128"/>
    <row r="90" ht="15.75" customHeight="1" s="1128"/>
    <row r="91" ht="15.75" customHeight="1" s="1128"/>
    <row r="92" ht="15.75" customHeight="1" s="1128"/>
    <row r="93" ht="15.75" customHeight="1" s="1128"/>
    <row r="94" ht="15.75" customHeight="1" s="1128"/>
    <row r="95" ht="15.75" customHeight="1" s="1128"/>
    <row r="96" ht="15.75" customHeight="1" s="1128"/>
    <row r="97" ht="15.75" customHeight="1" s="1128"/>
    <row r="98" ht="15.75" customHeight="1" s="1128"/>
    <row r="99" ht="15.75" customHeight="1" s="1128"/>
    <row r="100" ht="15.75" customHeight="1" s="1128"/>
    <row r="101" ht="15.75" customHeight="1" s="1128"/>
    <row r="102" ht="15.75" customHeight="1" s="1128"/>
    <row r="103" ht="15.75" customHeight="1" s="1128"/>
    <row r="104" ht="15.75" customHeight="1" s="1128"/>
    <row r="105" ht="15.75" customHeight="1" s="1128"/>
    <row r="106" ht="15.75" customHeight="1" s="1128"/>
    <row r="107" ht="15.75" customHeight="1" s="1128"/>
    <row r="108" ht="15.75" customHeight="1" s="1128"/>
    <row r="109" ht="15.75" customHeight="1" s="1128"/>
    <row r="110" ht="15.75" customHeight="1" s="1128"/>
    <row r="111" ht="15.75" customHeight="1" s="1128"/>
    <row r="112" ht="15.75" customHeight="1" s="1128"/>
    <row r="113" ht="15.75" customHeight="1" s="1128"/>
    <row r="114" ht="15.75" customHeight="1" s="1128"/>
    <row r="115" ht="15.75" customHeight="1" s="1128"/>
    <row r="116" ht="15.75" customHeight="1" s="1128"/>
    <row r="117" ht="15.75" customHeight="1" s="1128"/>
    <row r="118" ht="15.75" customHeight="1" s="1128"/>
    <row r="119" ht="15.75" customHeight="1" s="1128"/>
    <row r="120" ht="15.75" customHeight="1" s="1128"/>
    <row r="121" ht="15.75" customHeight="1" s="1128"/>
    <row r="122" ht="15.75" customHeight="1" s="1128"/>
    <row r="123" ht="15.75" customHeight="1" s="1128"/>
    <row r="124" ht="15.75" customHeight="1" s="1128"/>
    <row r="125" ht="15.75" customHeight="1" s="1128"/>
    <row r="126" ht="15.75" customHeight="1" s="1128"/>
    <row r="127" ht="15.75" customHeight="1" s="1128"/>
    <row r="128" ht="15.75" customHeight="1" s="1128"/>
    <row r="129" ht="15.75" customHeight="1" s="1128"/>
    <row r="130" ht="15.75" customHeight="1" s="1128"/>
    <row r="131" ht="15.75" customHeight="1" s="1128"/>
    <row r="132" ht="15.75" customHeight="1" s="1128"/>
    <row r="133" ht="15.75" customHeight="1" s="1128"/>
    <row r="134" ht="15.75" customHeight="1" s="1128"/>
    <row r="135" ht="15.75" customHeight="1" s="1128"/>
    <row r="136" ht="15.75" customHeight="1" s="1128"/>
    <row r="137" ht="15.75" customHeight="1" s="1128"/>
    <row r="138" ht="15.75" customHeight="1" s="1128"/>
    <row r="139" ht="15.75" customHeight="1" s="1128"/>
    <row r="140" ht="15.75" customHeight="1" s="1128"/>
    <row r="141" ht="15.75" customHeight="1" s="1128"/>
    <row r="142" ht="15.75" customHeight="1" s="1128"/>
    <row r="143" ht="15.75" customHeight="1" s="1128"/>
    <row r="144" ht="15.75" customHeight="1" s="1128"/>
    <row r="145" ht="15.75" customHeight="1" s="1128"/>
    <row r="146" ht="15.75" customHeight="1" s="1128"/>
    <row r="147" ht="15.75" customHeight="1" s="1128"/>
    <row r="148" ht="15.75" customHeight="1" s="1128"/>
    <row r="149" ht="15.75" customHeight="1" s="1128"/>
    <row r="150" ht="15.75" customHeight="1" s="1128"/>
    <row r="151" ht="15.75" customHeight="1" s="1128"/>
    <row r="152" ht="15.75" customHeight="1" s="1128"/>
    <row r="153" ht="15.75" customHeight="1" s="1128"/>
    <row r="154" ht="15.75" customHeight="1" s="1128"/>
    <row r="155" ht="15.75" customHeight="1" s="1128"/>
    <row r="156" ht="15.75" customHeight="1" s="1128"/>
    <row r="157" ht="15.75" customHeight="1" s="1128"/>
    <row r="158" ht="15.75" customHeight="1" s="1128"/>
    <row r="159" ht="15.75" customHeight="1" s="1128"/>
    <row r="160" ht="15.75" customHeight="1" s="1128"/>
    <row r="161" ht="15.75" customHeight="1" s="1128"/>
    <row r="162" ht="15.75" customHeight="1" s="1128"/>
    <row r="163" ht="15.75" customHeight="1" s="1128"/>
    <row r="164" ht="15.75" customHeight="1" s="1128"/>
    <row r="165" ht="15.75" customHeight="1" s="1128"/>
    <row r="166" ht="15.75" customHeight="1" s="1128"/>
    <row r="167" ht="15.75" customHeight="1" s="1128"/>
    <row r="168" ht="15.75" customHeight="1" s="1128"/>
    <row r="169" ht="15.75" customHeight="1" s="1128"/>
    <row r="170" ht="15.75" customHeight="1" s="1128"/>
    <row r="171" ht="15.75" customHeight="1" s="1128"/>
    <row r="172" ht="15.75" customHeight="1" s="1128"/>
    <row r="173" ht="15.75" customHeight="1" s="1128"/>
    <row r="174" ht="15.75" customHeight="1" s="1128"/>
    <row r="175" ht="15.75" customHeight="1" s="1128"/>
    <row r="176" ht="15.75" customHeight="1" s="1128"/>
    <row r="177" ht="15.75" customHeight="1" s="1128"/>
    <row r="178" ht="15.75" customHeight="1" s="1128"/>
    <row r="179" ht="15.75" customHeight="1" s="1128"/>
    <row r="180" ht="15.75" customHeight="1" s="1128"/>
    <row r="181" ht="15.75" customHeight="1" s="1128"/>
    <row r="182" ht="15.75" customHeight="1" s="1128"/>
    <row r="183" ht="15.75" customHeight="1" s="1128"/>
    <row r="184" ht="15.75" customHeight="1" s="1128"/>
    <row r="185" ht="15.75" customHeight="1" s="1128"/>
    <row r="186" ht="15.75" customHeight="1" s="1128"/>
    <row r="187" ht="15.75" customHeight="1" s="1128"/>
    <row r="188" ht="15.75" customHeight="1" s="1128"/>
    <row r="189" ht="15.75" customHeight="1" s="1128"/>
    <row r="190" ht="15.75" customHeight="1" s="1128"/>
    <row r="191" ht="15.75" customHeight="1" s="1128"/>
    <row r="192" ht="15.75" customHeight="1" s="1128"/>
    <row r="193" ht="15.75" customHeight="1" s="1128"/>
    <row r="194" ht="15.75" customHeight="1" s="1128"/>
    <row r="195" ht="15.75" customHeight="1" s="1128"/>
    <row r="196" ht="15.75" customHeight="1" s="1128"/>
    <row r="197" ht="15.75" customHeight="1" s="1128"/>
    <row r="198" ht="15.75" customHeight="1" s="1128"/>
    <row r="199" ht="15.75" customHeight="1" s="1128"/>
    <row r="200" ht="15.75" customHeight="1" s="1128"/>
    <row r="201" ht="15.75" customHeight="1" s="1128"/>
    <row r="202" ht="15.75" customHeight="1" s="1128"/>
    <row r="203" ht="15.75" customHeight="1" s="1128"/>
    <row r="204" ht="15.75" customHeight="1" s="1128"/>
    <row r="205" ht="15.75" customHeight="1" s="1128"/>
    <row r="206" ht="15.75" customHeight="1" s="1128"/>
    <row r="207" ht="15.75" customHeight="1" s="1128"/>
    <row r="208" ht="15.75" customHeight="1" s="1128"/>
    <row r="209" ht="15.75" customHeight="1" s="1128"/>
    <row r="210" ht="15.75" customHeight="1" s="1128"/>
    <row r="211" ht="15.75" customHeight="1" s="1128"/>
    <row r="212" ht="15.75" customHeight="1" s="1128"/>
    <row r="213" ht="15.75" customHeight="1" s="1128"/>
    <row r="214" ht="15.75" customHeight="1" s="1128"/>
    <row r="215" ht="15.75" customHeight="1" s="1128"/>
    <row r="216" ht="15.75" customHeight="1" s="1128"/>
    <row r="217" ht="15.75" customHeight="1" s="1128"/>
    <row r="218" ht="15.75" customHeight="1" s="1128"/>
    <row r="219" ht="15.75" customHeight="1" s="1128"/>
    <row r="220" ht="15.75" customHeight="1" s="1128"/>
    <row r="221" ht="15.75" customHeight="1" s="1128"/>
    <row r="222" ht="15.75" customHeight="1" s="1128"/>
    <row r="223" ht="15.75" customHeight="1" s="1128"/>
    <row r="224" ht="15.75" customHeight="1" s="1128"/>
    <row r="225" ht="15.75" customHeight="1" s="1128"/>
    <row r="226" ht="15.75" customHeight="1" s="1128"/>
    <row r="227" ht="15.75" customHeight="1" s="1128"/>
    <row r="228" ht="15.75" customHeight="1" s="1128"/>
    <row r="229" ht="15.75" customHeight="1" s="1128"/>
    <row r="230" ht="15.75" customHeight="1" s="1128"/>
    <row r="231" ht="15.75" customHeight="1" s="1128"/>
    <row r="232" ht="15.75" customHeight="1" s="1128"/>
    <row r="233" ht="15.75" customHeight="1" s="1128"/>
    <row r="234" ht="15.75" customHeight="1" s="1128"/>
    <row r="235" ht="15.75" customHeight="1" s="1128"/>
    <row r="236" ht="15.75" customHeight="1" s="1128"/>
    <row r="237" ht="15.75" customHeight="1" s="1128"/>
    <row r="238" ht="15.75" customHeight="1" s="1128"/>
    <row r="239" ht="15.75" customHeight="1" s="1128"/>
    <row r="240" ht="15.75" customHeight="1" s="1128"/>
    <row r="241" ht="15.75" customHeight="1" s="1128"/>
    <row r="242" ht="15.75" customHeight="1" s="1128"/>
    <row r="243" ht="15.75" customHeight="1" s="1128"/>
    <row r="244" ht="15.75" customHeight="1" s="1128"/>
    <row r="245" ht="15.75" customHeight="1" s="1128"/>
    <row r="246" ht="15.75" customHeight="1" s="1128"/>
    <row r="247" ht="15.75" customHeight="1" s="1128"/>
    <row r="248" ht="15.75" customHeight="1" s="1128"/>
    <row r="249" ht="15.75" customHeight="1" s="1128"/>
    <row r="250" ht="15.75" customHeight="1" s="1128"/>
    <row r="251" ht="15.75" customHeight="1" s="1128"/>
    <row r="252" ht="15.75" customHeight="1" s="1128"/>
    <row r="253" ht="15.75" customHeight="1" s="1128"/>
    <row r="254" ht="15.75" customHeight="1" s="1128"/>
    <row r="255" ht="15.75" customHeight="1" s="1128"/>
    <row r="256" ht="15.75" customHeight="1" s="1128"/>
    <row r="257" ht="15.75" customHeight="1" s="1128"/>
    <row r="258" ht="15.75" customHeight="1" s="1128"/>
    <row r="259" ht="15.75" customHeight="1" s="1128"/>
    <row r="260" ht="15.75" customHeight="1" s="1128"/>
    <row r="261" ht="15.75" customHeight="1" s="1128"/>
    <row r="262" ht="15.75" customHeight="1" s="1128"/>
    <row r="263" ht="15.75" customHeight="1" s="1128"/>
    <row r="264" ht="15.75" customHeight="1" s="1128"/>
    <row r="265" ht="15.75" customHeight="1" s="1128"/>
    <row r="266" ht="15.75" customHeight="1" s="1128"/>
    <row r="267" ht="15.75" customHeight="1" s="1128"/>
    <row r="268" ht="15.75" customHeight="1" s="1128"/>
    <row r="269" ht="15.75" customHeight="1" s="1128"/>
    <row r="270" ht="15.75" customHeight="1" s="1128"/>
    <row r="271" ht="15.75" customHeight="1" s="1128"/>
    <row r="272" ht="15.75" customHeight="1" s="1128"/>
    <row r="273" ht="15.75" customHeight="1" s="1128"/>
    <row r="274" ht="15.75" customHeight="1" s="1128"/>
    <row r="275" ht="15.75" customHeight="1" s="1128"/>
    <row r="276" ht="15.75" customHeight="1" s="1128"/>
    <row r="277" ht="15.75" customHeight="1" s="1128"/>
    <row r="278" ht="15.75" customHeight="1" s="1128"/>
    <row r="279" ht="15.75" customHeight="1" s="1128"/>
    <row r="280" ht="15.75" customHeight="1" s="1128"/>
    <row r="281" ht="15.75" customHeight="1" s="1128"/>
    <row r="282" ht="15.75" customHeight="1" s="1128"/>
    <row r="283" ht="15.75" customHeight="1" s="1128"/>
    <row r="284" ht="15.75" customHeight="1" s="1128"/>
    <row r="285" ht="15.75" customHeight="1" s="1128"/>
    <row r="286" ht="15.75" customHeight="1" s="1128"/>
    <row r="287" ht="15.75" customHeight="1" s="1128"/>
    <row r="288" ht="15.75" customHeight="1" s="1128"/>
    <row r="289" ht="15.75" customHeight="1" s="1128"/>
    <row r="290" ht="15.75" customHeight="1" s="1128"/>
    <row r="291" ht="15.75" customHeight="1" s="1128"/>
    <row r="292" ht="15.75" customHeight="1" s="1128"/>
    <row r="293" ht="15.75" customHeight="1" s="1128"/>
    <row r="294" ht="15.75" customHeight="1" s="1128"/>
    <row r="295" ht="15.75" customHeight="1" s="1128"/>
    <row r="296" ht="15.75" customHeight="1" s="1128"/>
    <row r="297" ht="15.75" customHeight="1" s="1128"/>
    <row r="298" ht="15.75" customHeight="1" s="1128"/>
    <row r="299" ht="15.75" customHeight="1" s="1128"/>
    <row r="300" ht="15.75" customHeight="1" s="1128"/>
    <row r="301" ht="15.75" customHeight="1" s="1128"/>
    <row r="302" ht="15.75" customHeight="1" s="1128"/>
    <row r="303" ht="15.75" customHeight="1" s="1128"/>
    <row r="304" ht="15.75" customHeight="1" s="1128"/>
    <row r="305" ht="15.75" customHeight="1" s="1128"/>
    <row r="306" ht="15.75" customHeight="1" s="1128"/>
    <row r="307" ht="15.75" customHeight="1" s="1128"/>
    <row r="308" ht="15.75" customHeight="1" s="1128"/>
    <row r="309" ht="15.75" customHeight="1" s="1128"/>
    <row r="310" ht="15.75" customHeight="1" s="1128"/>
    <row r="311" ht="15.75" customHeight="1" s="1128"/>
    <row r="312" ht="15.75" customHeight="1" s="1128"/>
    <row r="313" ht="15.75" customHeight="1" s="1128"/>
    <row r="314" ht="15.75" customHeight="1" s="1128"/>
    <row r="315" ht="15.75" customHeight="1" s="1128"/>
    <row r="316" ht="15.75" customHeight="1" s="1128"/>
    <row r="317" ht="15.75" customHeight="1" s="1128"/>
    <row r="318" ht="15.75" customHeight="1" s="1128"/>
    <row r="319" ht="15.75" customHeight="1" s="1128"/>
    <row r="320" ht="15.75" customHeight="1" s="1128"/>
    <row r="321" ht="15.75" customHeight="1" s="1128"/>
    <row r="322" ht="15.75" customHeight="1" s="1128"/>
    <row r="323" ht="15.75" customHeight="1" s="1128"/>
    <row r="324" ht="15.75" customHeight="1" s="1128"/>
    <row r="325" ht="15.75" customHeight="1" s="1128"/>
    <row r="326" ht="15.75" customHeight="1" s="1128"/>
    <row r="327" ht="15.75" customHeight="1" s="1128"/>
    <row r="328" ht="15.75" customHeight="1" s="1128"/>
    <row r="329" ht="15.75" customHeight="1" s="1128"/>
    <row r="330" ht="15.75" customHeight="1" s="1128"/>
    <row r="331" ht="15.75" customHeight="1" s="1128"/>
    <row r="332" ht="15.75" customHeight="1" s="1128"/>
    <row r="333" ht="15.75" customHeight="1" s="1128"/>
    <row r="334" ht="15.75" customHeight="1" s="1128"/>
    <row r="335" ht="15.75" customHeight="1" s="1128"/>
    <row r="336" ht="15.75" customHeight="1" s="1128"/>
    <row r="337" ht="15.75" customHeight="1" s="1128"/>
    <row r="338" ht="15.75" customHeight="1" s="1128"/>
    <row r="339" ht="15.75" customHeight="1" s="1128"/>
    <row r="340" ht="15.75" customHeight="1" s="1128"/>
    <row r="341" ht="15.75" customHeight="1" s="1128"/>
    <row r="342" ht="15.75" customHeight="1" s="1128"/>
    <row r="343" ht="15.75" customHeight="1" s="1128"/>
    <row r="344" ht="15.75" customHeight="1" s="1128"/>
    <row r="345" ht="15.75" customHeight="1" s="1128"/>
    <row r="346" ht="15.75" customHeight="1" s="1128"/>
    <row r="347" ht="15.75" customHeight="1" s="1128"/>
    <row r="348" ht="15.75" customHeight="1" s="1128"/>
    <row r="349" ht="15.75" customHeight="1" s="1128"/>
    <row r="350" ht="15.75" customHeight="1" s="1128"/>
    <row r="351" ht="15.75" customHeight="1" s="1128"/>
    <row r="352" ht="15.75" customHeight="1" s="1128"/>
    <row r="353" ht="15.75" customHeight="1" s="1128"/>
    <row r="354" ht="15.75" customHeight="1" s="1128"/>
    <row r="355" ht="15.75" customHeight="1" s="1128"/>
    <row r="356" ht="15.75" customHeight="1" s="1128"/>
    <row r="357" ht="15.75" customHeight="1" s="1128"/>
    <row r="358" ht="15.75" customHeight="1" s="1128"/>
    <row r="359" ht="15.75" customHeight="1" s="1128"/>
    <row r="360" ht="15.75" customHeight="1" s="1128"/>
    <row r="361" ht="15.75" customHeight="1" s="1128"/>
    <row r="362" ht="15.75" customHeight="1" s="1128"/>
    <row r="363" ht="15.75" customHeight="1" s="1128"/>
    <row r="364" ht="15.75" customHeight="1" s="1128"/>
    <row r="365" ht="15.75" customHeight="1" s="1128"/>
    <row r="366" ht="15.75" customHeight="1" s="1128"/>
    <row r="367" ht="15.75" customHeight="1" s="1128"/>
    <row r="368" ht="15.75" customHeight="1" s="1128"/>
    <row r="369" ht="15.75" customHeight="1" s="1128"/>
    <row r="370" ht="15.75" customHeight="1" s="1128"/>
    <row r="371" ht="15.75" customHeight="1" s="1128"/>
    <row r="372" ht="15.75" customHeight="1" s="1128"/>
    <row r="373" ht="15.75" customHeight="1" s="1128"/>
    <row r="374" ht="15.75" customHeight="1" s="1128"/>
    <row r="375" ht="15.75" customHeight="1" s="1128"/>
    <row r="376" ht="15.75" customHeight="1" s="1128"/>
    <row r="377" ht="15.75" customHeight="1" s="1128"/>
    <row r="378" ht="15.75" customHeight="1" s="1128"/>
    <row r="379" ht="15.75" customHeight="1" s="1128"/>
    <row r="380" ht="15.75" customHeight="1" s="1128"/>
    <row r="381" ht="15.75" customHeight="1" s="1128"/>
    <row r="382" ht="15.75" customHeight="1" s="1128"/>
    <row r="383" ht="15.75" customHeight="1" s="1128"/>
    <row r="384" ht="15.75" customHeight="1" s="1128"/>
    <row r="385" ht="15.75" customHeight="1" s="1128"/>
    <row r="386" ht="15.75" customHeight="1" s="1128"/>
    <row r="387" ht="15.75" customHeight="1" s="1128"/>
    <row r="388" ht="15.75" customHeight="1" s="1128"/>
    <row r="389" ht="15.75" customHeight="1" s="1128"/>
    <row r="390" ht="15.75" customHeight="1" s="1128"/>
    <row r="391" ht="15.75" customHeight="1" s="1128"/>
    <row r="392" ht="15.75" customHeight="1" s="1128"/>
    <row r="393" ht="15.75" customHeight="1" s="1128"/>
    <row r="394" ht="15.75" customHeight="1" s="1128"/>
    <row r="395" ht="15.75" customHeight="1" s="1128"/>
    <row r="396" ht="15.75" customHeight="1" s="1128"/>
    <row r="397" ht="15.75" customHeight="1" s="1128"/>
    <row r="398" ht="15.75" customHeight="1" s="1128"/>
    <row r="399" ht="15.75" customHeight="1" s="1128"/>
    <row r="400" ht="15.75" customHeight="1" s="1128"/>
    <row r="401" ht="15.75" customHeight="1" s="1128"/>
    <row r="402" ht="15.75" customHeight="1" s="1128"/>
    <row r="403" ht="15.75" customHeight="1" s="1128"/>
    <row r="404" ht="15.75" customHeight="1" s="1128"/>
    <row r="405" ht="15.75" customHeight="1" s="1128"/>
    <row r="406" ht="15.75" customHeight="1" s="1128"/>
    <row r="407" ht="15.75" customHeight="1" s="1128"/>
    <row r="408" ht="15.75" customHeight="1" s="1128"/>
    <row r="409" ht="15.75" customHeight="1" s="1128"/>
    <row r="410" ht="15.75" customHeight="1" s="1128"/>
    <row r="411" ht="15.75" customHeight="1" s="1128"/>
    <row r="412" ht="15.75" customHeight="1" s="1128"/>
    <row r="413" ht="15.75" customHeight="1" s="1128"/>
    <row r="414" ht="15.75" customHeight="1" s="1128"/>
    <row r="415" ht="15.75" customHeight="1" s="1128"/>
    <row r="416" ht="15.75" customHeight="1" s="1128"/>
    <row r="417" ht="15.75" customHeight="1" s="1128"/>
    <row r="418" ht="15.75" customHeight="1" s="1128"/>
    <row r="419" ht="15.75" customHeight="1" s="1128"/>
    <row r="420" ht="15.75" customHeight="1" s="1128"/>
    <row r="421" ht="15.75" customHeight="1" s="1128"/>
    <row r="422" ht="15.75" customHeight="1" s="1128"/>
    <row r="423" ht="15.75" customHeight="1" s="1128"/>
    <row r="424" ht="15.75" customHeight="1" s="1128"/>
    <row r="425" ht="15.75" customHeight="1" s="1128"/>
    <row r="426" ht="15.75" customHeight="1" s="1128"/>
    <row r="427" ht="15.75" customHeight="1" s="1128"/>
    <row r="428" ht="15.75" customHeight="1" s="1128"/>
    <row r="429" ht="15.75" customHeight="1" s="1128"/>
    <row r="430" ht="15.75" customHeight="1" s="1128"/>
    <row r="431" ht="15.75" customHeight="1" s="1128"/>
    <row r="432" ht="15.75" customHeight="1" s="1128"/>
    <row r="433" ht="15.75" customHeight="1" s="1128"/>
    <row r="434" ht="15.75" customHeight="1" s="1128"/>
    <row r="435" ht="15.75" customHeight="1" s="1128"/>
    <row r="436" ht="15.75" customHeight="1" s="1128"/>
    <row r="437" ht="15.75" customHeight="1" s="1128"/>
    <row r="438" ht="15.75" customHeight="1" s="1128"/>
    <row r="439" ht="15.75" customHeight="1" s="1128"/>
    <row r="440" ht="15.75" customHeight="1" s="1128"/>
    <row r="441" ht="15.75" customHeight="1" s="1128"/>
    <row r="442" ht="15.75" customHeight="1" s="1128"/>
    <row r="443" ht="15.75" customHeight="1" s="1128"/>
    <row r="444" ht="15.75" customHeight="1" s="1128"/>
    <row r="445" ht="15.75" customHeight="1" s="1128"/>
    <row r="446" ht="15.75" customHeight="1" s="1128"/>
    <row r="447" ht="15.75" customHeight="1" s="1128"/>
    <row r="448" ht="15.75" customHeight="1" s="1128"/>
    <row r="449" ht="15.75" customHeight="1" s="1128"/>
    <row r="450" ht="15.75" customHeight="1" s="1128"/>
    <row r="451" ht="15.75" customHeight="1" s="1128"/>
    <row r="452" ht="15.75" customHeight="1" s="1128"/>
    <row r="453" ht="15.75" customHeight="1" s="1128"/>
    <row r="454" ht="15.75" customHeight="1" s="1128"/>
    <row r="455" ht="15.75" customHeight="1" s="1128"/>
    <row r="456" ht="15.75" customHeight="1" s="1128"/>
    <row r="457" ht="15.75" customHeight="1" s="1128"/>
    <row r="458" ht="15.75" customHeight="1" s="1128"/>
    <row r="459" ht="15.75" customHeight="1" s="1128"/>
    <row r="460" ht="15.75" customHeight="1" s="1128"/>
    <row r="461" ht="15.75" customHeight="1" s="1128"/>
    <row r="462" ht="15.75" customHeight="1" s="1128"/>
    <row r="463" ht="15.75" customHeight="1" s="1128"/>
    <row r="464" ht="15.75" customHeight="1" s="1128"/>
    <row r="465" ht="15.75" customHeight="1" s="1128"/>
    <row r="466" ht="15.75" customHeight="1" s="1128"/>
    <row r="467" ht="15.75" customHeight="1" s="1128"/>
    <row r="468" ht="15.75" customHeight="1" s="1128"/>
    <row r="469" ht="15.75" customHeight="1" s="1128"/>
    <row r="470" ht="15.75" customHeight="1" s="1128"/>
    <row r="471" ht="15.75" customHeight="1" s="1128"/>
    <row r="472" ht="15.75" customHeight="1" s="1128"/>
    <row r="473" ht="15.75" customHeight="1" s="1128"/>
    <row r="474" ht="15.75" customHeight="1" s="1128"/>
    <row r="475" ht="15.75" customHeight="1" s="1128"/>
    <row r="476" ht="15.75" customHeight="1" s="1128"/>
    <row r="477" ht="15.75" customHeight="1" s="1128"/>
    <row r="478" ht="15.75" customHeight="1" s="1128"/>
    <row r="479" ht="15.75" customHeight="1" s="1128"/>
    <row r="480" ht="15.75" customHeight="1" s="1128"/>
    <row r="481" ht="15.75" customHeight="1" s="1128"/>
    <row r="482" ht="15.75" customHeight="1" s="1128"/>
    <row r="483" ht="15.75" customHeight="1" s="1128"/>
    <row r="484" ht="15.75" customHeight="1" s="1128"/>
    <row r="485" ht="15.75" customHeight="1" s="1128"/>
    <row r="486" ht="15.75" customHeight="1" s="1128"/>
    <row r="487" ht="15.75" customHeight="1" s="1128"/>
    <row r="488" ht="15.75" customHeight="1" s="1128"/>
    <row r="489" ht="15.75" customHeight="1" s="1128"/>
    <row r="490" ht="15.75" customHeight="1" s="1128"/>
    <row r="491" ht="15.75" customHeight="1" s="1128"/>
    <row r="492" ht="15.75" customHeight="1" s="1128"/>
    <row r="493" ht="15.75" customHeight="1" s="1128"/>
    <row r="494" ht="15.75" customHeight="1" s="1128"/>
    <row r="495" ht="15.75" customHeight="1" s="1128"/>
    <row r="496" ht="15.75" customHeight="1" s="1128"/>
    <row r="497" ht="15.75" customHeight="1" s="1128"/>
    <row r="498" ht="15.75" customHeight="1" s="1128"/>
    <row r="499" ht="15.75" customHeight="1" s="1128"/>
    <row r="500" ht="15.75" customHeight="1" s="1128"/>
    <row r="501" ht="15.75" customHeight="1" s="1128"/>
    <row r="502" ht="15.75" customHeight="1" s="1128"/>
    <row r="503" ht="15.75" customHeight="1" s="1128"/>
    <row r="504" ht="15.75" customHeight="1" s="1128"/>
    <row r="505" ht="15.75" customHeight="1" s="1128"/>
    <row r="506" ht="15.75" customHeight="1" s="1128"/>
    <row r="507" ht="15.75" customHeight="1" s="1128"/>
    <row r="508" ht="15.75" customHeight="1" s="1128"/>
    <row r="509" ht="15.75" customHeight="1" s="1128"/>
    <row r="510" ht="15.75" customHeight="1" s="1128"/>
    <row r="511" ht="15.75" customHeight="1" s="1128"/>
    <row r="512" ht="15.75" customHeight="1" s="1128"/>
    <row r="513" ht="15.75" customHeight="1" s="1128"/>
    <row r="514" ht="15.75" customHeight="1" s="1128"/>
    <row r="515" ht="15.75" customHeight="1" s="1128"/>
    <row r="516" ht="15.75" customHeight="1" s="1128"/>
    <row r="517" ht="15.75" customHeight="1" s="1128"/>
    <row r="518" ht="15.75" customHeight="1" s="1128"/>
    <row r="519" ht="15.75" customHeight="1" s="1128"/>
    <row r="520" ht="15.75" customHeight="1" s="1128"/>
    <row r="521" ht="15.75" customHeight="1" s="1128"/>
    <row r="522" ht="15.75" customHeight="1" s="1128"/>
    <row r="523" ht="15.75" customHeight="1" s="1128"/>
    <row r="524" ht="15.75" customHeight="1" s="1128"/>
    <row r="525" ht="15.75" customHeight="1" s="1128"/>
    <row r="526" ht="15.75" customHeight="1" s="1128"/>
    <row r="527" ht="15.75" customHeight="1" s="1128"/>
    <row r="528" ht="15.75" customHeight="1" s="1128"/>
    <row r="529" ht="15.75" customHeight="1" s="1128"/>
    <row r="530" ht="15.75" customHeight="1" s="1128"/>
    <row r="531" ht="15.75" customHeight="1" s="1128"/>
    <row r="532" ht="15.75" customHeight="1" s="1128"/>
    <row r="533" ht="15.75" customHeight="1" s="1128"/>
    <row r="534" ht="15.75" customHeight="1" s="1128"/>
    <row r="535" ht="15.75" customHeight="1" s="1128"/>
    <row r="536" ht="15.75" customHeight="1" s="1128"/>
    <row r="537" ht="15.75" customHeight="1" s="1128"/>
    <row r="538" ht="15.75" customHeight="1" s="1128"/>
    <row r="539" ht="15.75" customHeight="1" s="1128"/>
    <row r="540" ht="15.75" customHeight="1" s="1128"/>
    <row r="541" ht="15.75" customHeight="1" s="1128"/>
    <row r="542" ht="15.75" customHeight="1" s="1128"/>
    <row r="543" ht="15.75" customHeight="1" s="1128"/>
    <row r="544" ht="15.75" customHeight="1" s="1128"/>
    <row r="545" ht="15.75" customHeight="1" s="1128"/>
    <row r="546" ht="15.75" customHeight="1" s="1128"/>
    <row r="547" ht="15.75" customHeight="1" s="1128"/>
    <row r="548" ht="15.75" customHeight="1" s="1128"/>
    <row r="549" ht="15.75" customHeight="1" s="1128"/>
    <row r="550" ht="15.75" customHeight="1" s="1128"/>
    <row r="551" ht="15.75" customHeight="1" s="1128"/>
    <row r="552" ht="15.75" customHeight="1" s="1128"/>
    <row r="553" ht="15.75" customHeight="1" s="1128"/>
    <row r="554" ht="15.75" customHeight="1" s="1128"/>
    <row r="555" ht="15.75" customHeight="1" s="1128"/>
    <row r="556" ht="15.75" customHeight="1" s="1128"/>
    <row r="557" ht="15.75" customHeight="1" s="1128"/>
    <row r="558" ht="15.75" customHeight="1" s="1128"/>
    <row r="559" ht="15.75" customHeight="1" s="1128"/>
    <row r="560" ht="15.75" customHeight="1" s="1128"/>
    <row r="561" ht="15.75" customHeight="1" s="1128"/>
    <row r="562" ht="15.75" customHeight="1" s="1128"/>
    <row r="563" ht="15.75" customHeight="1" s="1128"/>
    <row r="564" ht="15.75" customHeight="1" s="1128"/>
    <row r="565" ht="15.75" customHeight="1" s="1128"/>
    <row r="566" ht="15.75" customHeight="1" s="1128"/>
    <row r="567" ht="15.75" customHeight="1" s="1128"/>
    <row r="568" ht="15.75" customHeight="1" s="1128"/>
    <row r="569" ht="15.75" customHeight="1" s="1128"/>
    <row r="570" ht="15.75" customHeight="1" s="1128"/>
    <row r="571" ht="15.75" customHeight="1" s="1128"/>
    <row r="572" ht="15.75" customHeight="1" s="1128"/>
    <row r="573" ht="15.75" customHeight="1" s="1128"/>
    <row r="574" ht="15.75" customHeight="1" s="1128"/>
    <row r="575" ht="15.75" customHeight="1" s="1128"/>
    <row r="576" ht="15.75" customHeight="1" s="1128"/>
    <row r="577" ht="15.75" customHeight="1" s="1128"/>
    <row r="578" ht="15.75" customHeight="1" s="1128"/>
    <row r="579" ht="15.75" customHeight="1" s="1128"/>
    <row r="580" ht="15.75" customHeight="1" s="1128"/>
    <row r="581" ht="15.75" customHeight="1" s="1128"/>
    <row r="582" ht="15.75" customHeight="1" s="1128"/>
    <row r="583" ht="15.75" customHeight="1" s="1128"/>
    <row r="584" ht="15.75" customHeight="1" s="1128"/>
    <row r="585" ht="15.75" customHeight="1" s="1128"/>
    <row r="586" ht="15.75" customHeight="1" s="1128"/>
    <row r="587" ht="15.75" customHeight="1" s="1128"/>
    <row r="588" ht="15.75" customHeight="1" s="1128"/>
    <row r="589" ht="15.75" customHeight="1" s="1128"/>
    <row r="590" ht="15.75" customHeight="1" s="1128"/>
    <row r="591" ht="15.75" customHeight="1" s="1128"/>
    <row r="592" ht="15.75" customHeight="1" s="1128"/>
    <row r="593" ht="15.75" customHeight="1" s="1128"/>
    <row r="594" ht="15.75" customHeight="1" s="1128"/>
    <row r="595" ht="15.75" customHeight="1" s="1128"/>
    <row r="596" ht="15.75" customHeight="1" s="1128"/>
    <row r="597" ht="15.75" customHeight="1" s="1128"/>
    <row r="598" ht="15.75" customHeight="1" s="1128"/>
    <row r="599" ht="15.75" customHeight="1" s="1128"/>
    <row r="600" ht="15.75" customHeight="1" s="1128"/>
    <row r="601" ht="15.75" customHeight="1" s="1128"/>
    <row r="602" ht="15.75" customHeight="1" s="1128"/>
    <row r="603" ht="15.75" customHeight="1" s="1128"/>
    <row r="604" ht="15.75" customHeight="1" s="1128"/>
    <row r="605" ht="15.75" customHeight="1" s="1128"/>
    <row r="606" ht="15.75" customHeight="1" s="1128"/>
    <row r="607" ht="15.75" customHeight="1" s="1128"/>
    <row r="608" ht="15.75" customHeight="1" s="1128"/>
    <row r="609" ht="15.75" customHeight="1" s="1128"/>
    <row r="610" ht="15.75" customHeight="1" s="1128"/>
    <row r="611" ht="15.75" customHeight="1" s="1128"/>
    <row r="612" ht="15.75" customHeight="1" s="1128"/>
    <row r="613" ht="15.75" customHeight="1" s="1128"/>
    <row r="614" ht="15.75" customHeight="1" s="1128"/>
    <row r="615" ht="15.75" customHeight="1" s="1128"/>
    <row r="616" ht="15.75" customHeight="1" s="1128"/>
    <row r="617" ht="15.75" customHeight="1" s="1128"/>
    <row r="618" ht="15.75" customHeight="1" s="1128"/>
    <row r="619" ht="15.75" customHeight="1" s="1128"/>
    <row r="620" ht="15.75" customHeight="1" s="1128"/>
    <row r="621" ht="15.75" customHeight="1" s="1128"/>
    <row r="622" ht="15.75" customHeight="1" s="1128"/>
    <row r="623" ht="15.75" customHeight="1" s="1128"/>
    <row r="624" ht="15.75" customHeight="1" s="1128"/>
    <row r="625" ht="15.75" customHeight="1" s="1128"/>
    <row r="626" ht="15.75" customHeight="1" s="1128"/>
    <row r="627" ht="15.75" customHeight="1" s="1128"/>
    <row r="628" ht="15.75" customHeight="1" s="1128"/>
    <row r="629" ht="15.75" customHeight="1" s="1128"/>
    <row r="630" ht="15.75" customHeight="1" s="1128"/>
    <row r="631" ht="15.75" customHeight="1" s="1128"/>
    <row r="632" ht="15.75" customHeight="1" s="1128"/>
    <row r="633" ht="15.75" customHeight="1" s="1128"/>
    <row r="634" ht="15.75" customHeight="1" s="1128"/>
    <row r="635" ht="15.75" customHeight="1" s="1128"/>
    <row r="636" ht="15.75" customHeight="1" s="1128"/>
    <row r="637" ht="15.75" customHeight="1" s="1128"/>
    <row r="638" ht="15.75" customHeight="1" s="1128"/>
    <row r="639" ht="15.75" customHeight="1" s="1128"/>
    <row r="640" ht="15.75" customHeight="1" s="1128"/>
    <row r="641" ht="15.75" customHeight="1" s="1128"/>
    <row r="642" ht="15.75" customHeight="1" s="1128"/>
    <row r="643" ht="15.75" customHeight="1" s="1128"/>
    <row r="644" ht="15.75" customHeight="1" s="1128"/>
    <row r="645" ht="15.75" customHeight="1" s="1128"/>
    <row r="646" ht="15.75" customHeight="1" s="1128"/>
    <row r="647" ht="15.75" customHeight="1" s="1128"/>
    <row r="648" ht="15.75" customHeight="1" s="1128"/>
    <row r="649" ht="15.75" customHeight="1" s="1128"/>
    <row r="650" ht="15.75" customHeight="1" s="1128"/>
    <row r="651" ht="15.75" customHeight="1" s="1128"/>
    <row r="652" ht="15.75" customHeight="1" s="1128"/>
    <row r="653" ht="15.75" customHeight="1" s="1128"/>
    <row r="654" ht="15.75" customHeight="1" s="1128"/>
    <row r="655" ht="15.75" customHeight="1" s="1128"/>
    <row r="656" ht="15.75" customHeight="1" s="1128"/>
    <row r="657" ht="15.75" customHeight="1" s="1128"/>
    <row r="658" ht="15.75" customHeight="1" s="1128"/>
    <row r="659" ht="15.75" customHeight="1" s="1128"/>
    <row r="660" ht="15.75" customHeight="1" s="1128"/>
    <row r="661" ht="15.75" customHeight="1" s="1128"/>
    <row r="662" ht="15.75" customHeight="1" s="1128"/>
    <row r="663" ht="15.75" customHeight="1" s="1128"/>
    <row r="664" ht="15.75" customHeight="1" s="1128"/>
    <row r="665" ht="15.75" customHeight="1" s="1128"/>
    <row r="666" ht="15.75" customHeight="1" s="1128"/>
    <row r="667" ht="15.75" customHeight="1" s="1128"/>
    <row r="668" ht="15.75" customHeight="1" s="1128"/>
    <row r="669" ht="15.75" customHeight="1" s="1128"/>
    <row r="670" ht="15.75" customHeight="1" s="1128"/>
    <row r="671" ht="15.75" customHeight="1" s="1128"/>
    <row r="672" ht="15.75" customHeight="1" s="1128"/>
    <row r="673" ht="15.75" customHeight="1" s="1128"/>
    <row r="674" ht="15.75" customHeight="1" s="1128"/>
    <row r="675" ht="15.75" customHeight="1" s="1128"/>
    <row r="676" ht="15.75" customHeight="1" s="1128"/>
    <row r="677" ht="15.75" customHeight="1" s="1128"/>
    <row r="678" ht="15.75" customHeight="1" s="1128"/>
    <row r="679" ht="15.75" customHeight="1" s="1128"/>
    <row r="680" ht="15.75" customHeight="1" s="1128"/>
    <row r="681" ht="15.75" customHeight="1" s="1128"/>
    <row r="682" ht="15.75" customHeight="1" s="1128"/>
    <row r="683" ht="15.75" customHeight="1" s="1128"/>
    <row r="684" ht="15.75" customHeight="1" s="1128"/>
    <row r="685" ht="15.75" customHeight="1" s="1128"/>
    <row r="686" ht="15.75" customHeight="1" s="1128"/>
    <row r="687" ht="15.75" customHeight="1" s="1128"/>
    <row r="688" ht="15.75" customHeight="1" s="1128"/>
    <row r="689" ht="15.75" customHeight="1" s="1128"/>
    <row r="690" ht="15.75" customHeight="1" s="1128"/>
    <row r="691" ht="15.75" customHeight="1" s="1128"/>
    <row r="692" ht="15.75" customHeight="1" s="1128"/>
    <row r="693" ht="15.75" customHeight="1" s="1128"/>
    <row r="694" ht="15.75" customHeight="1" s="1128"/>
    <row r="695" ht="15.75" customHeight="1" s="1128"/>
    <row r="696" ht="15.75" customHeight="1" s="1128"/>
    <row r="697" ht="15.75" customHeight="1" s="1128"/>
    <row r="698" ht="15.75" customHeight="1" s="1128"/>
    <row r="699" ht="15.75" customHeight="1" s="1128"/>
    <row r="700" ht="15.75" customHeight="1" s="1128"/>
    <row r="701" ht="15.75" customHeight="1" s="1128"/>
    <row r="702" ht="15.75" customHeight="1" s="1128"/>
    <row r="703" ht="15.75" customHeight="1" s="1128"/>
    <row r="704" ht="15.75" customHeight="1" s="1128"/>
    <row r="705" ht="15.75" customHeight="1" s="1128"/>
    <row r="706" ht="15.75" customHeight="1" s="1128"/>
    <row r="707" ht="15.75" customHeight="1" s="1128"/>
    <row r="708" ht="15.75" customHeight="1" s="1128"/>
    <row r="709" ht="15.75" customHeight="1" s="1128"/>
    <row r="710" ht="15.75" customHeight="1" s="1128"/>
    <row r="711" ht="15.75" customHeight="1" s="1128"/>
    <row r="712" ht="15.75" customHeight="1" s="1128"/>
    <row r="713" ht="15.75" customHeight="1" s="1128"/>
    <row r="714" ht="15.75" customHeight="1" s="1128"/>
    <row r="715" ht="15.75" customHeight="1" s="1128"/>
    <row r="716" ht="15.75" customHeight="1" s="1128"/>
    <row r="717" ht="15.75" customHeight="1" s="1128"/>
    <row r="718" ht="15.75" customHeight="1" s="1128"/>
    <row r="719" ht="15.75" customHeight="1" s="1128"/>
    <row r="720" ht="15.75" customHeight="1" s="1128"/>
    <row r="721" ht="15.75" customHeight="1" s="1128"/>
    <row r="722" ht="15.75" customHeight="1" s="1128"/>
    <row r="723" ht="15.75" customHeight="1" s="1128"/>
    <row r="724" ht="15.75" customHeight="1" s="1128"/>
    <row r="725" ht="15.75" customHeight="1" s="1128"/>
    <row r="726" ht="15.75" customHeight="1" s="1128"/>
    <row r="727" ht="15.75" customHeight="1" s="1128"/>
    <row r="728" ht="15.75" customHeight="1" s="1128"/>
    <row r="729" ht="15.75" customHeight="1" s="1128"/>
    <row r="730" ht="15.75" customHeight="1" s="1128"/>
    <row r="731" ht="15.75" customHeight="1" s="1128"/>
    <row r="732" ht="15.75" customHeight="1" s="1128"/>
    <row r="733" ht="15.75" customHeight="1" s="1128"/>
    <row r="734" ht="15.75" customHeight="1" s="1128"/>
    <row r="735" ht="15.75" customHeight="1" s="1128"/>
    <row r="736" ht="15.75" customHeight="1" s="1128"/>
    <row r="737" ht="15.75" customHeight="1" s="1128"/>
    <row r="738" ht="15.75" customHeight="1" s="1128"/>
    <row r="739" ht="15.75" customHeight="1" s="1128"/>
    <row r="740" ht="15.75" customHeight="1" s="1128"/>
    <row r="741" ht="15.75" customHeight="1" s="1128"/>
    <row r="742" ht="15.75" customHeight="1" s="1128"/>
    <row r="743" ht="15.75" customHeight="1" s="1128"/>
    <row r="744" ht="15.75" customHeight="1" s="1128"/>
    <row r="745" ht="15.75" customHeight="1" s="1128"/>
    <row r="746" ht="15.75" customHeight="1" s="1128"/>
    <row r="747" ht="15.75" customHeight="1" s="1128"/>
    <row r="748" ht="15.75" customHeight="1" s="1128"/>
    <row r="749" ht="15.75" customHeight="1" s="1128"/>
    <row r="750" ht="15.75" customHeight="1" s="1128"/>
    <row r="751" ht="15.75" customHeight="1" s="1128"/>
    <row r="752" ht="15.75" customHeight="1" s="1128"/>
    <row r="753" ht="15.75" customHeight="1" s="1128"/>
    <row r="754" ht="15.75" customHeight="1" s="1128"/>
    <row r="755" ht="15.75" customHeight="1" s="1128"/>
    <row r="756" ht="15.75" customHeight="1" s="1128"/>
    <row r="757" ht="15.75" customHeight="1" s="1128"/>
    <row r="758" ht="15.75" customHeight="1" s="1128"/>
    <row r="759" ht="15.75" customHeight="1" s="1128"/>
    <row r="760" ht="15.75" customHeight="1" s="1128"/>
    <row r="761" ht="15.75" customHeight="1" s="1128"/>
    <row r="762" ht="15.75" customHeight="1" s="1128"/>
    <row r="763" ht="15.75" customHeight="1" s="1128"/>
    <row r="764" ht="15.75" customHeight="1" s="1128"/>
    <row r="765" ht="15.75" customHeight="1" s="1128"/>
    <row r="766" ht="15.75" customHeight="1" s="1128"/>
    <row r="767" ht="15.75" customHeight="1" s="1128"/>
    <row r="768" ht="15.75" customHeight="1" s="1128"/>
    <row r="769" ht="15.75" customHeight="1" s="1128"/>
    <row r="770" ht="15.75" customHeight="1" s="1128"/>
    <row r="771" ht="15.75" customHeight="1" s="1128"/>
    <row r="772" ht="15.75" customHeight="1" s="1128"/>
    <row r="773" ht="15.75" customHeight="1" s="1128"/>
    <row r="774" ht="15.75" customHeight="1" s="1128"/>
    <row r="775" ht="15.75" customHeight="1" s="1128"/>
    <row r="776" ht="15.75" customHeight="1" s="1128"/>
    <row r="777" ht="15.75" customHeight="1" s="1128"/>
    <row r="778" ht="15.75" customHeight="1" s="1128"/>
    <row r="779" ht="15.75" customHeight="1" s="1128"/>
    <row r="780" ht="15.75" customHeight="1" s="1128"/>
    <row r="781" ht="15.75" customHeight="1" s="1128"/>
    <row r="782" ht="15.75" customHeight="1" s="1128"/>
    <row r="783" ht="15.75" customHeight="1" s="1128"/>
    <row r="784" ht="15.75" customHeight="1" s="1128"/>
    <row r="785" ht="15.75" customHeight="1" s="1128"/>
    <row r="786" ht="15.75" customHeight="1" s="1128"/>
    <row r="787" ht="15.75" customHeight="1" s="1128"/>
    <row r="788" ht="15.75" customHeight="1" s="1128"/>
    <row r="789" ht="15.75" customHeight="1" s="1128"/>
    <row r="790" ht="15.75" customHeight="1" s="1128"/>
    <row r="791" ht="15.75" customHeight="1" s="1128"/>
    <row r="792" ht="15.75" customHeight="1" s="1128"/>
    <row r="793" ht="15.75" customHeight="1" s="1128"/>
    <row r="794" ht="15.75" customHeight="1" s="1128"/>
    <row r="795" ht="15.75" customHeight="1" s="1128"/>
    <row r="796" ht="15.75" customHeight="1" s="1128"/>
    <row r="797" ht="15.75" customHeight="1" s="1128"/>
    <row r="798" ht="15.75" customHeight="1" s="1128"/>
    <row r="799" ht="15.75" customHeight="1" s="1128"/>
    <row r="800" ht="15.75" customHeight="1" s="1128"/>
    <row r="801" ht="15.75" customHeight="1" s="1128"/>
    <row r="802" ht="15.75" customHeight="1" s="1128"/>
    <row r="803" ht="15.75" customHeight="1" s="1128"/>
    <row r="804" ht="15.75" customHeight="1" s="1128"/>
    <row r="805" ht="15.75" customHeight="1" s="1128"/>
    <row r="806" ht="15.75" customHeight="1" s="1128"/>
    <row r="807" ht="15.75" customHeight="1" s="1128"/>
    <row r="808" ht="15.75" customHeight="1" s="1128"/>
    <row r="809" ht="15.75" customHeight="1" s="1128"/>
    <row r="810" ht="15.75" customHeight="1" s="1128"/>
    <row r="811" ht="15.75" customHeight="1" s="1128"/>
    <row r="812" ht="15.75" customHeight="1" s="1128"/>
    <row r="813" ht="15.75" customHeight="1" s="1128"/>
    <row r="814" ht="15.75" customHeight="1" s="1128"/>
    <row r="815" ht="15.75" customHeight="1" s="1128"/>
    <row r="816" ht="15.75" customHeight="1" s="1128"/>
    <row r="817" ht="15.75" customHeight="1" s="1128"/>
    <row r="818" ht="15.75" customHeight="1" s="1128"/>
    <row r="819" ht="15.75" customHeight="1" s="1128"/>
    <row r="820" ht="15.75" customHeight="1" s="1128"/>
    <row r="821" ht="15.75" customHeight="1" s="1128"/>
    <row r="822" ht="15.75" customHeight="1" s="1128"/>
    <row r="823" ht="15.75" customHeight="1" s="1128"/>
    <row r="824" ht="15.75" customHeight="1" s="1128"/>
    <row r="825" ht="15.75" customHeight="1" s="1128"/>
    <row r="826" ht="15.75" customHeight="1" s="1128"/>
    <row r="827" ht="15.75" customHeight="1" s="1128"/>
    <row r="828" ht="15.75" customHeight="1" s="1128"/>
    <row r="829" ht="15.75" customHeight="1" s="1128"/>
    <row r="830" ht="15.75" customHeight="1" s="1128"/>
    <row r="831" ht="15.75" customHeight="1" s="1128"/>
    <row r="832" ht="15.75" customHeight="1" s="1128"/>
    <row r="833" ht="15.75" customHeight="1" s="1128"/>
    <row r="834" ht="15.75" customHeight="1" s="1128"/>
    <row r="835" ht="15.75" customHeight="1" s="1128"/>
    <row r="836" ht="15.75" customHeight="1" s="1128"/>
    <row r="837" ht="15.75" customHeight="1" s="1128"/>
    <row r="838" ht="15.75" customHeight="1" s="1128"/>
    <row r="839" ht="15.75" customHeight="1" s="1128"/>
    <row r="840" ht="15.75" customHeight="1" s="1128"/>
    <row r="841" ht="15.75" customHeight="1" s="1128"/>
    <row r="842" ht="15.75" customHeight="1" s="1128"/>
    <row r="843" ht="15.75" customHeight="1" s="1128"/>
    <row r="844" ht="15.75" customHeight="1" s="1128"/>
    <row r="845" ht="15.75" customHeight="1" s="1128"/>
    <row r="846" ht="15.75" customHeight="1" s="1128"/>
    <row r="847" ht="15.75" customHeight="1" s="1128"/>
    <row r="848" ht="15.75" customHeight="1" s="1128"/>
    <row r="849" ht="15.75" customHeight="1" s="1128"/>
    <row r="850" ht="15.75" customHeight="1" s="1128"/>
    <row r="851" ht="15.75" customHeight="1" s="1128"/>
    <row r="852" ht="15.75" customHeight="1" s="1128"/>
    <row r="853" ht="15.75" customHeight="1" s="1128"/>
    <row r="854" ht="15.75" customHeight="1" s="1128"/>
    <row r="855" ht="15.75" customHeight="1" s="1128"/>
    <row r="856" ht="15.75" customHeight="1" s="1128"/>
    <row r="857" ht="15.75" customHeight="1" s="1128"/>
    <row r="858" ht="15.75" customHeight="1" s="1128"/>
    <row r="859" ht="15.75" customHeight="1" s="1128"/>
    <row r="860" ht="15.75" customHeight="1" s="1128"/>
    <row r="861" ht="15.75" customHeight="1" s="1128"/>
    <row r="862" ht="15.75" customHeight="1" s="1128"/>
    <row r="863" ht="15.75" customHeight="1" s="1128"/>
    <row r="864" ht="15.75" customHeight="1" s="1128"/>
    <row r="865" ht="15.75" customHeight="1" s="1128"/>
    <row r="866" ht="15.75" customHeight="1" s="1128"/>
    <row r="867" ht="15.75" customHeight="1" s="1128"/>
    <row r="868" ht="15.75" customHeight="1" s="1128"/>
    <row r="869" ht="15.75" customHeight="1" s="1128"/>
    <row r="870" ht="15.75" customHeight="1" s="1128"/>
    <row r="871" ht="15.75" customHeight="1" s="1128"/>
    <row r="872" ht="15.75" customHeight="1" s="1128"/>
    <row r="873" ht="15.75" customHeight="1" s="1128"/>
    <row r="874" ht="15.75" customHeight="1" s="1128"/>
    <row r="875" ht="15.75" customHeight="1" s="1128"/>
    <row r="876" ht="15.75" customHeight="1" s="1128"/>
    <row r="877" ht="15.75" customHeight="1" s="1128"/>
    <row r="878" ht="15.75" customHeight="1" s="1128"/>
    <row r="879" ht="15.75" customHeight="1" s="1128"/>
    <row r="880" ht="15.75" customHeight="1" s="1128"/>
    <row r="881" ht="15.75" customHeight="1" s="1128"/>
    <row r="882" ht="15.75" customHeight="1" s="1128"/>
    <row r="883" ht="15.75" customHeight="1" s="1128"/>
    <row r="884" ht="15.75" customHeight="1" s="1128"/>
    <row r="885" ht="15.75" customHeight="1" s="1128"/>
    <row r="886" ht="15.75" customHeight="1" s="1128"/>
    <row r="887" ht="15.75" customHeight="1" s="1128"/>
    <row r="888" ht="15.75" customHeight="1" s="1128"/>
    <row r="889" ht="15.75" customHeight="1" s="1128"/>
    <row r="890" ht="15.75" customHeight="1" s="1128"/>
    <row r="891" ht="15.75" customHeight="1" s="1128"/>
    <row r="892" ht="15.75" customHeight="1" s="1128"/>
    <row r="893" ht="15.75" customHeight="1" s="1128"/>
    <row r="894" ht="15.75" customHeight="1" s="1128"/>
    <row r="895" ht="15.75" customHeight="1" s="1128"/>
    <row r="896" ht="15.75" customHeight="1" s="1128"/>
    <row r="897" ht="15.75" customHeight="1" s="1128"/>
    <row r="898" ht="15.75" customHeight="1" s="1128"/>
    <row r="899" ht="15.75" customHeight="1" s="1128"/>
    <row r="900" ht="15.75" customHeight="1" s="1128"/>
    <row r="901" ht="15.75" customHeight="1" s="1128"/>
    <row r="902" ht="15.75" customHeight="1" s="1128"/>
    <row r="903" ht="15.75" customHeight="1" s="1128"/>
    <row r="904" ht="15.75" customHeight="1" s="1128"/>
    <row r="905" ht="15.75" customHeight="1" s="1128"/>
    <row r="906" ht="15.75" customHeight="1" s="1128"/>
    <row r="907" ht="15.75" customHeight="1" s="1128"/>
    <row r="908" ht="15.75" customHeight="1" s="1128"/>
    <row r="909" ht="15.75" customHeight="1" s="1128"/>
    <row r="910" ht="15.75" customHeight="1" s="1128"/>
    <row r="911" ht="15.75" customHeight="1" s="1128"/>
    <row r="912" ht="15.75" customHeight="1" s="1128"/>
    <row r="913" ht="15.75" customHeight="1" s="1128"/>
    <row r="914" ht="15.75" customHeight="1" s="1128"/>
    <row r="915" ht="15.75" customHeight="1" s="1128"/>
    <row r="916" ht="15.75" customHeight="1" s="1128"/>
    <row r="917" ht="15.75" customHeight="1" s="1128"/>
    <row r="918" ht="15.75" customHeight="1" s="1128"/>
    <row r="919" ht="15.75" customHeight="1" s="1128"/>
    <row r="920" ht="15.75" customHeight="1" s="1128"/>
    <row r="921" ht="15.75" customHeight="1" s="1128"/>
    <row r="922" ht="15.75" customHeight="1" s="1128"/>
    <row r="923" ht="15.75" customHeight="1" s="1128"/>
    <row r="924" ht="15.75" customHeight="1" s="1128"/>
    <row r="925" ht="15.75" customHeight="1" s="1128"/>
    <row r="926" ht="15.75" customHeight="1" s="1128"/>
    <row r="927" ht="15.75" customHeight="1" s="1128"/>
    <row r="928" ht="15.75" customHeight="1" s="1128"/>
    <row r="929" ht="15.75" customHeight="1" s="1128"/>
    <row r="930" ht="15.75" customHeight="1" s="1128"/>
    <row r="931" ht="15.75" customHeight="1" s="1128"/>
    <row r="932" ht="15.75" customHeight="1" s="1128"/>
    <row r="933" ht="15.75" customHeight="1" s="1128"/>
    <row r="934" ht="15.75" customHeight="1" s="1128"/>
    <row r="935" ht="15.75" customHeight="1" s="1128"/>
    <row r="936" ht="15.75" customHeight="1" s="1128"/>
    <row r="937" ht="15.75" customHeight="1" s="1128"/>
    <row r="938" ht="15.75" customHeight="1" s="1128"/>
    <row r="939" ht="15.75" customHeight="1" s="1128"/>
    <row r="940" ht="15.75" customHeight="1" s="1128"/>
    <row r="941" ht="15.75" customHeight="1" s="1128"/>
    <row r="942" ht="15.75" customHeight="1" s="1128"/>
    <row r="943" ht="15.75" customHeight="1" s="1128"/>
    <row r="944" ht="15.75" customHeight="1" s="1128"/>
    <row r="945" ht="15.75" customHeight="1" s="1128"/>
    <row r="946" ht="15.75" customHeight="1" s="1128"/>
    <row r="947" ht="15.75" customHeight="1" s="1128"/>
    <row r="948" ht="15.75" customHeight="1" s="1128"/>
    <row r="949" ht="15.75" customHeight="1" s="1128"/>
    <row r="950" ht="15.75" customHeight="1" s="1128"/>
    <row r="951" ht="15.75" customHeight="1" s="1128"/>
    <row r="952" ht="15.75" customHeight="1" s="1128"/>
    <row r="953" ht="15.75" customHeight="1" s="1128"/>
    <row r="954" ht="15.75" customHeight="1" s="1128"/>
    <row r="955" ht="15.75" customHeight="1" s="1128"/>
    <row r="956" ht="15.75" customHeight="1" s="1128"/>
    <row r="957" ht="15.75" customHeight="1" s="1128"/>
    <row r="958" ht="15.75" customHeight="1" s="1128"/>
    <row r="959" ht="15.75" customHeight="1" s="1128"/>
    <row r="960" ht="15.75" customHeight="1" s="1128"/>
    <row r="961" ht="15.75" customHeight="1" s="1128"/>
    <row r="962" ht="15.75" customHeight="1" s="1128"/>
    <row r="963" ht="15.75" customHeight="1" s="1128"/>
    <row r="964" ht="15.75" customHeight="1" s="1128"/>
    <row r="965" ht="15.75" customHeight="1" s="1128"/>
    <row r="966" ht="15.75" customHeight="1" s="1128"/>
    <row r="967" ht="15.75" customHeight="1" s="1128"/>
    <row r="968" ht="15.75" customHeight="1" s="1128"/>
    <row r="969" ht="15.75" customHeight="1" s="1128"/>
    <row r="970" ht="15.75" customHeight="1" s="1128"/>
    <row r="971" ht="15.75" customHeight="1" s="1128"/>
    <row r="972" ht="15.75" customHeight="1" s="1128"/>
    <row r="973" ht="15.75" customHeight="1" s="1128"/>
    <row r="974" ht="15.75" customHeight="1" s="1128"/>
    <row r="975" ht="15.75" customHeight="1" s="1128"/>
    <row r="976" ht="15.75" customHeight="1" s="1128"/>
    <row r="977" ht="15.75" customHeight="1" s="1128"/>
    <row r="978" ht="15.75" customHeight="1" s="1128"/>
    <row r="979" ht="15.75" customHeight="1" s="1128"/>
    <row r="980" ht="15.75" customHeight="1" s="1128"/>
    <row r="981" ht="15.75" customHeight="1" s="1128"/>
    <row r="982" ht="15.75" customHeight="1" s="1128"/>
    <row r="983" ht="15.75" customHeight="1" s="1128"/>
    <row r="984" ht="15.75" customHeight="1" s="1128"/>
    <row r="985" ht="15.75" customHeight="1" s="1128"/>
    <row r="986" ht="15.75" customHeight="1" s="1128"/>
    <row r="987" ht="15.75" customHeight="1" s="1128"/>
    <row r="988" ht="15.75" customHeight="1" s="1128"/>
    <row r="989" ht="15.75" customHeight="1" s="1128"/>
    <row r="990" ht="15.75" customHeight="1" s="1128"/>
    <row r="991" ht="15.75" customHeight="1" s="1128"/>
    <row r="992" ht="15.75" customHeight="1" s="1128"/>
    <row r="993" ht="15.75" customHeight="1" s="1128"/>
    <row r="994" ht="15.75" customHeight="1" s="1128"/>
    <row r="995" ht="15.75" customHeight="1" s="1128"/>
    <row r="996" ht="15.75" customHeight="1" s="1128"/>
    <row r="997" ht="15.75" customHeight="1" s="1128"/>
    <row r="998" ht="15.75" customHeight="1" s="1128"/>
    <row r="999" ht="15.75" customHeight="1" s="1128"/>
    <row r="1000" ht="15.75" customHeight="1" s="1128"/>
    <row r="1001" ht="15.75" customHeight="1" s="1128"/>
    <row r="1002" ht="15.75" customHeight="1" s="1128"/>
    <row r="1003" ht="15.75" customHeight="1" s="1128"/>
    <row r="1004" ht="15.75" customHeight="1" s="1128"/>
    <row r="1005" ht="15.75" customHeight="1" s="1128"/>
    <row r="1006" ht="15.75" customHeight="1" s="1128"/>
    <row r="1007" ht="15.75" customHeight="1" s="1128"/>
    <row r="1008" ht="15.75" customHeight="1" s="1128"/>
    <row r="1009" ht="15.75" customHeight="1" s="1128"/>
    <row r="1010" ht="15.75" customHeight="1" s="1128"/>
    <row r="1011" ht="15.75" customHeight="1" s="1128"/>
    <row r="1012" ht="15.75" customHeight="1" s="1128"/>
    <row r="1013" ht="15.75" customHeight="1" s="1128"/>
  </sheetData>
  <dataValidations count="2">
    <dataValidation sqref="B3:B8 B25:B30 B32:B36" showDropDown="0" showInputMessage="0" showErrorMessage="1" allowBlank="1" type="list">
      <formula1>"SSS,SS,S,AAA,AA,A,Blue,Green"</formula1>
    </dataValidation>
    <dataValidation sqref="C3:C8 C25:C30 C32:C36" showDropDown="0" showInputMessage="0" showErrorMessage="1" allowBlank="1" type="list">
      <formula1>"FAME,ART,FTH,CIV,TECH"</formula1>
    </dataValidation>
  </dataValidations>
  <pageMargins left="0.7" right="0.7" top="0.75" bottom="0.75" header="0" footer="0"/>
  <pageSetup orientation="landscape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8.18" customWidth="1" style="1128" min="1" max="1"/>
    <col width="8.449999999999999" customWidth="1" style="1128" min="2" max="2"/>
    <col width="7.82" customWidth="1" style="1128" min="3" max="3"/>
    <col width="11.27" customWidth="1" style="1128" min="4" max="4"/>
    <col width="10.91" customWidth="1" style="1128" min="5" max="5"/>
    <col width="8.449999999999999" customWidth="1" style="1128" min="6" max="6"/>
    <col width="134.55" customWidth="1" style="1128" min="7" max="7"/>
    <col width="8.640000000000001" customWidth="1" style="1128" min="8" max="26"/>
  </cols>
  <sheetData>
    <row r="1" ht="15.75" customHeight="1" s="1128">
      <c r="A1" s="46" t="inlineStr">
        <is>
          <t>Name</t>
        </is>
      </c>
      <c r="B1" s="44" t="inlineStr">
        <is>
          <t>Rarity</t>
        </is>
      </c>
      <c r="C1" s="44" t="inlineStr">
        <is>
          <t>Type</t>
        </is>
      </c>
      <c r="D1" s="44" t="inlineStr">
        <is>
          <t>Base Travel Speed</t>
        </is>
      </c>
      <c r="E1" s="44" t="inlineStr">
        <is>
          <t>Awakened Bonus</t>
        </is>
      </c>
      <c r="F1" s="44" t="inlineStr">
        <is>
          <t>Stamp Bonus</t>
        </is>
      </c>
      <c r="G1" s="55" t="inlineStr">
        <is>
          <t>Source</t>
        </is>
      </c>
      <c r="H1" s="42" t="n"/>
      <c r="I1" s="42" t="n"/>
      <c r="K1" s="42" t="n"/>
    </row>
    <row r="2" ht="15.75" customHeight="1" s="1128">
      <c r="A2" s="668" t="inlineStr">
        <is>
          <t>INDIVIDUAL RELICS</t>
        </is>
      </c>
      <c r="B2" s="972" t="n"/>
      <c r="C2" s="972" t="n"/>
      <c r="D2" s="972" t="n"/>
      <c r="E2" s="972" t="n"/>
      <c r="F2" s="972" t="n"/>
      <c r="G2" s="30" t="n"/>
      <c r="H2" s="42" t="n"/>
      <c r="I2" s="42" t="n"/>
      <c r="K2" s="42" t="n"/>
    </row>
    <row r="3" ht="15.75" customHeight="1" s="1128">
      <c r="A3" s="23" t="inlineStr">
        <is>
          <t xml:space="preserve">   Voyager 1</t>
        </is>
      </c>
      <c r="B3" s="425" t="inlineStr">
        <is>
          <t>SSS</t>
        </is>
      </c>
      <c r="C3" s="972" t="inlineStr">
        <is>
          <t>TECH</t>
        </is>
      </c>
      <c r="D3" s="972" t="n">
        <v>2.4</v>
      </c>
      <c r="E3" s="972" t="n"/>
      <c r="F3" s="972" t="n"/>
      <c r="G3" s="10" t="inlineStr">
        <is>
          <t>Wish Box, Lottery Machine #1 (0.09%), Wishing (0.07%), Murikan Treasure Maps (0.01%), Grandmaster Scrolls (0.81%), Relic Forge (120 Relic RF)</t>
        </is>
      </c>
      <c r="H3" s="42" t="n"/>
      <c r="I3" s="42" t="n"/>
      <c r="J3" s="12" t="n"/>
      <c r="K3" s="42" t="n"/>
    </row>
    <row r="4" ht="15.75" customHeight="1" s="1128">
      <c r="A4" s="23" t="inlineStr">
        <is>
          <t xml:space="preserve">   Magellan's Telescope</t>
        </is>
      </c>
      <c r="B4" s="425" t="inlineStr">
        <is>
          <t>SSS</t>
        </is>
      </c>
      <c r="C4" s="425" t="inlineStr">
        <is>
          <t>FAME</t>
        </is>
      </c>
      <c r="D4" s="972" t="n">
        <v>2.4</v>
      </c>
      <c r="E4" s="972" t="n"/>
      <c r="F4" s="972" t="n">
        <v>9</v>
      </c>
      <c r="G4" s="10" t="inlineStr">
        <is>
          <t>Lottery Machine #1 (0.09%), Wishing (0.09%), Hellas Treasure Map, Grandmaster Scrolls (0.81%), Relic Forge (120 Relic RF)</t>
        </is>
      </c>
      <c r="H4" s="42" t="n"/>
      <c r="I4" s="42" t="n"/>
      <c r="J4" s="12" t="n"/>
      <c r="K4" s="42" t="n"/>
    </row>
    <row r="5" ht="15.75" customHeight="1" s="1128">
      <c r="A5" s="23" t="inlineStr">
        <is>
          <t xml:space="preserve">   Somersault Cloud</t>
        </is>
      </c>
      <c r="B5" s="425" t="inlineStr">
        <is>
          <t>SSS</t>
        </is>
      </c>
      <c r="C5" s="425" t="inlineStr">
        <is>
          <t>FTH</t>
        </is>
      </c>
      <c r="D5" s="972" t="n">
        <v>2.4</v>
      </c>
      <c r="E5" s="972" t="n"/>
      <c r="F5" s="972" t="n"/>
      <c r="G5" s="10" t="inlineStr">
        <is>
          <t>Wish Pack, Lottery Machine #1 (0.09%), Wishing (0.06%), Super Treasure Maps (0.03%), Grandmaster Scrolls (0.81%), Relic Forge (120 Relic RF), "I want your collection!" Dragon Wish</t>
        </is>
      </c>
      <c r="H5" s="42" t="n"/>
      <c r="I5" s="42" t="n"/>
      <c r="J5" s="12" t="n"/>
      <c r="K5" s="42" t="n"/>
    </row>
    <row r="6" ht="15.75" customHeight="1" s="1128">
      <c r="A6" s="23" t="inlineStr">
        <is>
          <t xml:space="preserve">   Travels of Marco Polo</t>
        </is>
      </c>
      <c r="B6" s="425" t="inlineStr">
        <is>
          <t>SS</t>
        </is>
      </c>
      <c r="C6" s="425" t="inlineStr">
        <is>
          <t>FAME</t>
        </is>
      </c>
      <c r="D6" s="972" t="n">
        <v>2.2</v>
      </c>
      <c r="E6" s="972" t="n"/>
      <c r="F6" s="972" t="n"/>
      <c r="G6" s="10" t="inlineStr">
        <is>
          <t>Lottery Machine #1 (0.12%), Wishing (0.11%), Grandmaster Scrolls (1%), Relic Forge (100 Relic RF), Club Value Pack II ($49.99)</t>
        </is>
      </c>
      <c r="H6" s="42" t="n"/>
      <c r="I6" s="42" t="n"/>
      <c r="J6" s="12" t="n"/>
      <c r="K6" s="42" t="n"/>
    </row>
    <row r="7" ht="15.75" customHeight="1" s="1128">
      <c r="A7" s="23" t="inlineStr">
        <is>
          <t xml:space="preserve">   Otto Engine</t>
        </is>
      </c>
      <c r="B7" s="425" t="inlineStr">
        <is>
          <t>AAA</t>
        </is>
      </c>
      <c r="C7" s="972" t="inlineStr">
        <is>
          <t>TECH</t>
        </is>
      </c>
      <c r="D7" s="972" t="n">
        <v>1.8</v>
      </c>
      <c r="E7" s="972" t="n">
        <v>1.4</v>
      </c>
      <c r="F7" s="972" t="n"/>
      <c r="G7" s="10" t="inlineStr">
        <is>
          <t>Fragment Crafting (1.6%), Lottery Machine #1 (0.03%), Wishing (0.14%), Tool Chest (1.5%), Relic Forge (80 Relic RF)</t>
        </is>
      </c>
      <c r="H7" s="42" t="n"/>
      <c r="I7" s="42" t="n"/>
      <c r="J7" s="12" t="n"/>
      <c r="K7" s="42" t="n"/>
    </row>
    <row r="8" ht="15.75" customHeight="1" s="1128">
      <c r="A8" s="23" t="inlineStr">
        <is>
          <t xml:space="preserve">   Bronze Bird</t>
        </is>
      </c>
      <c r="B8" s="425" t="inlineStr">
        <is>
          <t>Blue</t>
        </is>
      </c>
      <c r="C8" s="425" t="inlineStr">
        <is>
          <t>FAME</t>
        </is>
      </c>
      <c r="D8" s="972" t="n">
        <v>2</v>
      </c>
      <c r="E8" s="972" t="n"/>
      <c r="F8" s="972" t="n"/>
      <c r="G8" s="19" t="inlineStr">
        <is>
          <t>Cathay Treasure Map (20%)</t>
        </is>
      </c>
      <c r="J8" s="12" t="n"/>
    </row>
    <row r="9" ht="15.75" customHeight="1" s="1128">
      <c r="A9" s="23" t="inlineStr">
        <is>
          <t xml:space="preserve">   Flying Broom</t>
        </is>
      </c>
      <c r="B9" s="425" t="inlineStr">
        <is>
          <t>Green</t>
        </is>
      </c>
      <c r="C9" s="425" t="inlineStr">
        <is>
          <t>FAME</t>
        </is>
      </c>
      <c r="D9" s="972" t="n">
        <v>0.6</v>
      </c>
      <c r="E9" s="972" t="n"/>
      <c r="F9" s="972" t="n"/>
      <c r="G9" s="19" t="inlineStr">
        <is>
          <t>Defeat Ratman</t>
        </is>
      </c>
      <c r="J9" s="12" t="n"/>
    </row>
    <row r="10" ht="15.75" customHeight="1" s="1128">
      <c r="A10" s="22" t="inlineStr">
        <is>
          <t>MAX INDIVIDUAL RELICS</t>
        </is>
      </c>
      <c r="B10" s="50" t="n"/>
      <c r="C10" s="50" t="n"/>
      <c r="D10" s="50">
        <f>SUM(D3:F9)</f>
        <v/>
      </c>
      <c r="E10" s="50" t="n"/>
      <c r="F10" s="50" t="n"/>
      <c r="G10" s="16" t="n"/>
      <c r="J10" s="12" t="n"/>
    </row>
    <row r="11" ht="15.75" customHeight="1" s="1128">
      <c r="A11" s="23" t="n"/>
      <c r="B11" s="972" t="n"/>
      <c r="C11" s="972" t="n"/>
      <c r="D11" s="972" t="n"/>
      <c r="E11" s="972" t="n"/>
      <c r="F11" s="972" t="n"/>
      <c r="G11" s="19" t="n"/>
      <c r="J11" s="12" t="n"/>
    </row>
    <row r="12" ht="15.75" customHeight="1" s="1128">
      <c r="A12" s="43" t="inlineStr">
        <is>
          <t>GEAR</t>
        </is>
      </c>
      <c r="B12" s="44" t="n"/>
      <c r="C12" s="44" t="n"/>
      <c r="D12" s="44" t="n"/>
      <c r="E12" s="44" t="n"/>
      <c r="F12" s="44" t="n"/>
      <c r="G12" s="45" t="n"/>
      <c r="J12" s="12" t="n"/>
    </row>
    <row r="13" ht="15.75" customHeight="1" s="1128">
      <c r="A13" s="22" t="inlineStr">
        <is>
          <t xml:space="preserve">   Tremendous Support</t>
        </is>
      </c>
      <c r="B13" s="50" t="n"/>
      <c r="C13" s="50" t="n"/>
      <c r="D13" s="50" t="n">
        <v>9.6</v>
      </c>
      <c r="E13" s="50" t="n"/>
      <c r="F13" s="50" t="n"/>
      <c r="G13" s="40" t="inlineStr">
        <is>
          <t>Divine Order Chest (0.8%)</t>
        </is>
      </c>
    </row>
    <row r="14" ht="15.75" customHeight="1" s="1128">
      <c r="A14" s="23" t="n"/>
      <c r="B14" s="972" t="n"/>
      <c r="C14" s="972" t="n"/>
      <c r="D14" s="972" t="n"/>
      <c r="E14" s="972" t="n"/>
      <c r="F14" s="972" t="n"/>
      <c r="G14" s="19" t="n"/>
    </row>
    <row r="15" ht="15.75" customHeight="1" s="1128">
      <c r="A15" s="41" t="inlineStr">
        <is>
          <t>ROCKET UPGRADES</t>
        </is>
      </c>
      <c r="B15" s="44" t="n"/>
      <c r="C15" s="44" t="n"/>
      <c r="D15" s="44" t="n"/>
      <c r="E15" s="44" t="n"/>
      <c r="F15" s="44" t="n"/>
      <c r="G15" s="45" t="n"/>
    </row>
    <row r="16" ht="15.75" customHeight="1" s="1128">
      <c r="A16" s="22" t="inlineStr">
        <is>
          <t xml:space="preserve">   Domain Holograph</t>
        </is>
      </c>
      <c r="B16" s="50" t="n"/>
      <c r="C16" s="50" t="n"/>
      <c r="D16" s="50" t="n">
        <v>5</v>
      </c>
      <c r="E16" s="50" t="n"/>
      <c r="F16" s="50" t="n"/>
      <c r="G16" s="16" t="n"/>
    </row>
    <row r="17" ht="15.75" customHeight="1" s="1128">
      <c r="A17" s="972" t="n"/>
      <c r="B17" s="972" t="n"/>
      <c r="C17" s="972" t="n"/>
      <c r="D17" s="972" t="n"/>
      <c r="E17" s="972" t="n"/>
      <c r="F17" s="972" t="n"/>
      <c r="G17" s="42" t="n"/>
    </row>
    <row r="18" ht="15.75" customHeight="1" s="1128">
      <c r="A18" s="43" t="inlineStr">
        <is>
          <t>FORM SPECIFIC</t>
        </is>
      </c>
      <c r="B18" s="44" t="n"/>
      <c r="C18" s="44" t="n"/>
      <c r="D18" s="44" t="n"/>
      <c r="E18" s="44" t="n"/>
      <c r="F18" s="44" t="n"/>
      <c r="G18" s="45" t="n"/>
    </row>
    <row r="19" ht="15.75" customHeight="1" s="1128">
      <c r="A19" s="46" t="inlineStr">
        <is>
          <t>ZOMBIE</t>
        </is>
      </c>
      <c r="B19" s="44" t="n"/>
      <c r="C19" s="44" t="n"/>
      <c r="D19" s="44" t="n"/>
      <c r="E19" s="44" t="n"/>
      <c r="F19" s="44" t="n"/>
      <c r="G19" s="45" t="n"/>
    </row>
    <row r="20" ht="15.75" customHeight="1" s="1128">
      <c r="A20" s="23" t="inlineStr">
        <is>
          <t xml:space="preserve">   Shroud of Turin</t>
        </is>
      </c>
      <c r="B20" s="425" t="inlineStr">
        <is>
          <t>S</t>
        </is>
      </c>
      <c r="C20" s="425" t="inlineStr">
        <is>
          <t>FTH</t>
        </is>
      </c>
      <c r="D20" s="972" t="n">
        <v>2</v>
      </c>
      <c r="E20" s="972" t="n"/>
      <c r="F20" s="972" t="n"/>
      <c r="G20" s="10" t="inlineStr">
        <is>
          <t>Fragment Crafting (15.1%), Lottery Machine #1 (0.81%), Wishing (0.53%), Relic Forge (90 Relic RF)</t>
        </is>
      </c>
    </row>
    <row r="21" ht="15.75" customHeight="1" s="1128">
      <c r="A21" s="22" t="inlineStr">
        <is>
          <t xml:space="preserve">   Ludovisi Gaul</t>
        </is>
      </c>
      <c r="B21" s="425" t="inlineStr">
        <is>
          <t>Blue</t>
        </is>
      </c>
      <c r="C21" s="425" t="inlineStr">
        <is>
          <t>ART</t>
        </is>
      </c>
      <c r="D21" s="50" t="n">
        <v>1</v>
      </c>
      <c r="E21" s="50" t="n">
        <v>1</v>
      </c>
      <c r="F21" s="50" t="n"/>
      <c r="G21" s="40" t="inlineStr">
        <is>
          <t>Lottery Machine #1 (0.07%), Wishing (3%), Trainee Scrolls (1%), Indigent Nobleman (72K B-tads)</t>
        </is>
      </c>
    </row>
    <row r="22" ht="15.75" customHeight="1" s="1128">
      <c r="A22" s="47" t="inlineStr">
        <is>
          <t>DEMON</t>
        </is>
      </c>
      <c r="B22" s="44" t="n"/>
      <c r="C22" s="44" t="n"/>
      <c r="D22" s="44" t="n"/>
      <c r="E22" s="44" t="n"/>
      <c r="F22" s="44" t="n"/>
      <c r="G22" s="45" t="n"/>
    </row>
    <row r="23" ht="15.75" customHeight="1" s="1128">
      <c r="A23" s="23" t="inlineStr">
        <is>
          <t xml:space="preserve">   Eye of Akamoddo</t>
        </is>
      </c>
      <c r="B23" s="425" t="inlineStr">
        <is>
          <t>SS</t>
        </is>
      </c>
      <c r="C23" s="425" t="inlineStr">
        <is>
          <t>FTH</t>
        </is>
      </c>
      <c r="D23" s="972" t="n">
        <v>2.2</v>
      </c>
      <c r="E23" s="972" t="n"/>
      <c r="F23" s="972" t="n"/>
      <c r="G23" s="10" t="inlineStr">
        <is>
          <t>Fragment Crafting (4.4%), Lottery Machine #1 (0.24%), Wishing (0.16%), Time Chest (1%), Master Scrolls (1.9%), Grandmaster Scrolls (2.1%), FTH Master Scrolls (9.2%)</t>
        </is>
      </c>
    </row>
    <row r="24" ht="15.75" customHeight="1" s="1128">
      <c r="A24" s="23" t="inlineStr">
        <is>
          <t xml:space="preserve">   Great Wave</t>
        </is>
      </c>
      <c r="B24" s="425" t="inlineStr">
        <is>
          <t>Blue</t>
        </is>
      </c>
      <c r="C24" s="425" t="inlineStr">
        <is>
          <t>ART</t>
        </is>
      </c>
      <c r="D24" s="972" t="n">
        <v>1</v>
      </c>
      <c r="E24" s="972" t="n">
        <v>1</v>
      </c>
      <c r="F24" s="972" t="n"/>
      <c r="G24" s="10" t="inlineStr">
        <is>
          <t>Lottery Machine #1 (0.07%), Wishing (3%), Yamato Treasure Maps (20%)</t>
        </is>
      </c>
    </row>
    <row r="25" ht="15.75" customHeight="1" s="1128">
      <c r="A25" s="22" t="inlineStr">
        <is>
          <t xml:space="preserve">   Annabel</t>
        </is>
      </c>
      <c r="B25" s="425" t="inlineStr">
        <is>
          <t>Green</t>
        </is>
      </c>
      <c r="C25" s="50" t="inlineStr">
        <is>
          <t>CIV</t>
        </is>
      </c>
      <c r="D25" s="50" t="n">
        <v>0.6</v>
      </c>
      <c r="E25" s="50" t="n"/>
      <c r="F25" s="50" t="n"/>
      <c r="G25" s="16" t="inlineStr">
        <is>
          <t>"I want your collection!" Dragon Wish</t>
        </is>
      </c>
    </row>
    <row r="26" ht="15.75" customHeight="1" s="1128">
      <c r="A26" s="46" t="inlineStr">
        <is>
          <t>ANGEL</t>
        </is>
      </c>
      <c r="B26" s="44" t="n"/>
      <c r="C26" s="44" t="n"/>
      <c r="D26" s="44" t="n"/>
      <c r="E26" s="44" t="n"/>
      <c r="F26" s="44" t="n"/>
      <c r="G26" s="45" t="n"/>
    </row>
    <row r="27" ht="15.75" customHeight="1" s="1128">
      <c r="A27" s="23" t="inlineStr">
        <is>
          <t xml:space="preserve">   Golden Chariot</t>
        </is>
      </c>
      <c r="B27" s="425" t="inlineStr">
        <is>
          <t>SS</t>
        </is>
      </c>
      <c r="C27" s="425" t="inlineStr">
        <is>
          <t>FTH</t>
        </is>
      </c>
      <c r="D27" s="972" t="n">
        <v>2.2</v>
      </c>
      <c r="E27" s="972" t="n"/>
      <c r="F27" s="972" t="n"/>
      <c r="G27" s="10" t="inlineStr">
        <is>
          <t>Fragment Crafting (3.3%), Lottery Machine #1 (0.18%), Wishing (0.12%), Hellas Treasure Maps (%), Grandmaster Scrolls (1.6%)</t>
        </is>
      </c>
    </row>
    <row r="28" ht="15.75" customHeight="1" s="1128">
      <c r="A28" s="22" t="inlineStr">
        <is>
          <t xml:space="preserve">   Guanery's Violin</t>
        </is>
      </c>
      <c r="B28" s="425" t="inlineStr">
        <is>
          <t>Blue</t>
        </is>
      </c>
      <c r="C28" s="50" t="inlineStr">
        <is>
          <t>ART</t>
        </is>
      </c>
      <c r="D28" s="50" t="n">
        <v>1</v>
      </c>
      <c r="E28" s="50" t="n">
        <v>1</v>
      </c>
      <c r="F28" s="50" t="n"/>
      <c r="G28" s="40" t="inlineStr">
        <is>
          <t>Lottery Machine #1 (0.03%), Wishing (1.2%), Indigent Nobleman (72K B-tads)</t>
        </is>
      </c>
    </row>
    <row r="29" ht="15.75" customHeight="1" s="1128">
      <c r="A29" s="47" t="inlineStr">
        <is>
          <t>MUTANT</t>
        </is>
      </c>
      <c r="B29" s="44" t="n"/>
      <c r="C29" s="44" t="n"/>
      <c r="D29" s="44" t="n"/>
      <c r="E29" s="44" t="n"/>
      <c r="F29" s="44" t="n"/>
      <c r="G29" s="45" t="n"/>
    </row>
    <row r="30" ht="15.75" customHeight="1" s="1128">
      <c r="A30" s="23" t="inlineStr">
        <is>
          <t xml:space="preserve">    Element R</t>
        </is>
      </c>
      <c r="B30" s="425" t="inlineStr">
        <is>
          <t>S</t>
        </is>
      </c>
      <c r="C30" s="972" t="inlineStr">
        <is>
          <t>TECH</t>
        </is>
      </c>
      <c r="D30" s="972" t="n">
        <v>2</v>
      </c>
      <c r="E30" s="972" t="n"/>
      <c r="F30" s="972" t="n"/>
      <c r="G30" s="10" t="inlineStr">
        <is>
          <t>Fragment Crafting (17.8%), Lottery Machine #1 (0.81%), Wishing (0.65%), Relic Forge (90 Relic RF)</t>
        </is>
      </c>
    </row>
    <row r="31" ht="15.75" customHeight="1" s="1128">
      <c r="A31" s="22" t="inlineStr">
        <is>
          <t xml:space="preserve">    Torpedo Swimsuit</t>
        </is>
      </c>
      <c r="B31" s="425" t="inlineStr">
        <is>
          <t>Blue</t>
        </is>
      </c>
      <c r="C31" s="50" t="inlineStr">
        <is>
          <t>TECH</t>
        </is>
      </c>
      <c r="D31" s="50" t="n">
        <v>1</v>
      </c>
      <c r="E31" s="50" t="n">
        <v>1</v>
      </c>
      <c r="F31" s="50" t="n"/>
      <c r="G31" s="40" t="inlineStr">
        <is>
          <t>Lottery Machine #1 (0.03%), Wishing (1.1%), Evolution Chest (2%)</t>
        </is>
      </c>
    </row>
    <row r="32" ht="15.75" customHeight="1" s="1128">
      <c r="A32" s="47" t="inlineStr">
        <is>
          <t>MECHA</t>
        </is>
      </c>
      <c r="B32" s="44" t="n"/>
      <c r="C32" s="44" t="n"/>
      <c r="D32" s="44" t="n"/>
      <c r="E32" s="44" t="n"/>
      <c r="F32" s="44" t="n"/>
      <c r="G32" s="45" t="n"/>
    </row>
    <row r="33" ht="15.75" customHeight="1" s="1128">
      <c r="A33" s="23" t="inlineStr">
        <is>
          <t xml:space="preserve">    Skyweb Hub</t>
        </is>
      </c>
      <c r="B33" s="425" t="inlineStr">
        <is>
          <t>SS</t>
        </is>
      </c>
      <c r="C33" s="972" t="inlineStr">
        <is>
          <t>TECH</t>
        </is>
      </c>
      <c r="D33" s="972" t="n">
        <v>2.2</v>
      </c>
      <c r="E33" s="972" t="n"/>
      <c r="F33" s="972" t="n"/>
      <c r="G33" s="10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34" ht="15.75" customHeight="1" s="1128">
      <c r="A34" s="22" t="inlineStr">
        <is>
          <t xml:space="preserve">    Arirange Satellite</t>
        </is>
      </c>
      <c r="B34" s="425" t="inlineStr">
        <is>
          <t>Blue</t>
        </is>
      </c>
      <c r="C34" s="50" t="inlineStr">
        <is>
          <t>TECH</t>
        </is>
      </c>
      <c r="D34" s="50" t="n">
        <v>1</v>
      </c>
      <c r="E34" s="50" t="n">
        <v>1</v>
      </c>
      <c r="F34" s="50" t="n"/>
      <c r="G34" s="40" t="inlineStr">
        <is>
          <t>Lottery Machine #1 (0.03%), Wishing (1.1%), Nebula Chest (2%)</t>
        </is>
      </c>
    </row>
    <row r="35" ht="15.75" customHeight="1" s="1128">
      <c r="A35" s="46" t="inlineStr">
        <is>
          <t>DRAGON</t>
        </is>
      </c>
      <c r="B35" s="44" t="n"/>
      <c r="C35" s="44" t="n"/>
      <c r="D35" s="44" t="n"/>
      <c r="E35" s="44" t="n"/>
      <c r="F35" s="44" t="n"/>
      <c r="G35" s="45" t="n"/>
    </row>
    <row r="36" ht="15.75" customHeight="1" s="1128">
      <c r="A36" s="23" t="inlineStr">
        <is>
          <t xml:space="preserve">    Phoenix Feather</t>
        </is>
      </c>
      <c r="B36" s="425" t="inlineStr">
        <is>
          <t>SSS</t>
        </is>
      </c>
      <c r="C36" s="425" t="inlineStr">
        <is>
          <t>FTH</t>
        </is>
      </c>
      <c r="D36" s="972" t="n">
        <v>2.4</v>
      </c>
      <c r="E36" s="972" t="n"/>
      <c r="F36" s="972" t="n"/>
      <c r="G36" s="30" t="inlineStr">
        <is>
          <t>Lottery Machine #1 (0.09%), Wishing (0.06%), Evolution Chest (0.01%), Grandmaster Scrolls (0.81%), Relic Forge (120 Relic RF)</t>
        </is>
      </c>
    </row>
    <row r="37" ht="15.75" customHeight="1" s="1128">
      <c r="A37" s="22" t="inlineStr">
        <is>
          <t xml:space="preserve">    Dunhuang Painting</t>
        </is>
      </c>
      <c r="B37" s="425" t="inlineStr">
        <is>
          <t>Blue</t>
        </is>
      </c>
      <c r="C37" s="425" t="inlineStr">
        <is>
          <t>FTH</t>
        </is>
      </c>
      <c r="D37" s="50" t="n">
        <v>1</v>
      </c>
      <c r="E37" s="50" t="n">
        <v>1</v>
      </c>
      <c r="F37" s="50" t="n"/>
      <c r="G37" s="51" t="inlineStr">
        <is>
          <t>Lottery Machine #1 (0.03%), Wishing (0.85%)</t>
        </is>
      </c>
    </row>
    <row r="38" ht="15.75" customHeight="1" s="1128">
      <c r="A38" s="49" t="inlineStr">
        <is>
          <t>MAX FORM SPECIFIC</t>
        </is>
      </c>
      <c r="B38" s="50" t="n"/>
      <c r="C38" s="50" t="n"/>
      <c r="D38" s="50">
        <f>MAX(SUM(D20:E21), SUM(D23:E25), SUM(D27:E28), SUM(D30:E31), SUM(D33:E34), SUM(D36:E37))</f>
        <v/>
      </c>
      <c r="E38" s="50" t="n"/>
      <c r="F38" s="50" t="n"/>
      <c r="G38" s="51" t="n"/>
    </row>
    <row r="39" ht="15.75" customHeight="1" s="1128">
      <c r="A39" s="972" t="n"/>
      <c r="B39" s="972" t="n"/>
      <c r="C39" s="972" t="n"/>
      <c r="D39" s="972" t="n"/>
      <c r="E39" s="972" t="n"/>
      <c r="F39" s="972" t="n"/>
      <c r="G39" s="972" t="n"/>
    </row>
    <row r="40" ht="15.75" customHeight="1" s="1128">
      <c r="A40" s="43" t="inlineStr">
        <is>
          <t>RESONANCE</t>
        </is>
      </c>
      <c r="B40" s="44" t="n"/>
      <c r="C40" s="44" t="n"/>
      <c r="D40" s="44" t="n"/>
      <c r="E40" s="44" t="n"/>
      <c r="F40" s="44" t="n"/>
      <c r="G40" s="55" t="n"/>
    </row>
    <row r="41" ht="15.75" customHeight="1" s="1128">
      <c r="A41" s="23" t="inlineStr">
        <is>
          <t>BLUE</t>
        </is>
      </c>
      <c r="B41" s="972" t="n"/>
      <c r="C41" s="972" t="n"/>
      <c r="D41" s="972" t="n">
        <v>1.8</v>
      </c>
      <c r="E41" s="972" t="n"/>
      <c r="F41" s="972" t="n"/>
      <c r="G41" s="30" t="n"/>
    </row>
    <row r="42" ht="15.75" customHeight="1" s="1128">
      <c r="A42" s="23" t="inlineStr">
        <is>
          <t xml:space="preserve">   Flyer I</t>
        </is>
      </c>
      <c r="B42" s="425" t="inlineStr">
        <is>
          <t>Blue</t>
        </is>
      </c>
      <c r="C42" s="972" t="inlineStr">
        <is>
          <t>TECH</t>
        </is>
      </c>
      <c r="D42" s="972" t="n"/>
      <c r="E42" s="972" t="n"/>
      <c r="F42" s="972" t="n"/>
      <c r="G42" s="10" t="inlineStr">
        <is>
          <t>Lottery Machine #1 (0.03%), Wishing (1.1%)</t>
        </is>
      </c>
    </row>
    <row r="43" ht="15.75" customHeight="1" s="1128">
      <c r="A43" s="23" t="inlineStr">
        <is>
          <t xml:space="preserve">   Storyteller</t>
        </is>
      </c>
      <c r="B43" s="425" t="inlineStr">
        <is>
          <t>Blue</t>
        </is>
      </c>
      <c r="C43" s="425" t="inlineStr">
        <is>
          <t>ART</t>
        </is>
      </c>
      <c r="D43" s="972" t="n"/>
      <c r="E43" s="972" t="n"/>
      <c r="F43" s="972" t="n"/>
      <c r="G43" s="10" t="inlineStr">
        <is>
          <t>Lottery Machine #1 (0.36%), Wishing (15%), Trainee Scrolls (5%)</t>
        </is>
      </c>
    </row>
    <row r="44" ht="15.75" customHeight="1" s="1128">
      <c r="A44" s="23" t="inlineStr">
        <is>
          <t xml:space="preserve">   Dragon Crystal</t>
        </is>
      </c>
      <c r="B44" s="425" t="inlineStr">
        <is>
          <t>Blue</t>
        </is>
      </c>
      <c r="C44" s="425" t="inlineStr">
        <is>
          <t>FTH</t>
        </is>
      </c>
      <c r="D44" s="972" t="n"/>
      <c r="E44" s="972" t="n"/>
      <c r="F44" s="972" t="n"/>
      <c r="G44" s="30" t="inlineStr">
        <is>
          <t>Dragon Gene Research Tier 2</t>
        </is>
      </c>
    </row>
    <row r="45" ht="15.75" customHeight="1" s="1128">
      <c r="A45" s="23" t="inlineStr">
        <is>
          <t xml:space="preserve">   Gone with the Wind</t>
        </is>
      </c>
      <c r="B45" s="425" t="inlineStr">
        <is>
          <t>Blue</t>
        </is>
      </c>
      <c r="C45" s="972" t="inlineStr">
        <is>
          <t>CIV</t>
        </is>
      </c>
      <c r="D45" s="972" t="n"/>
      <c r="E45" s="972" t="n"/>
      <c r="F45" s="972" t="n"/>
      <c r="G45" s="30" t="inlineStr">
        <is>
          <t>Murikan Treasure Maps (20%)</t>
        </is>
      </c>
    </row>
    <row r="46" ht="15.75" customHeight="1" s="1128">
      <c r="A46" s="23" t="inlineStr">
        <is>
          <t xml:space="preserve">   Bellum Gallicum</t>
        </is>
      </c>
      <c r="B46" s="425" t="inlineStr">
        <is>
          <t>Blue</t>
        </is>
      </c>
      <c r="C46" s="425" t="inlineStr">
        <is>
          <t>FAME</t>
        </is>
      </c>
      <c r="D46" s="972" t="n"/>
      <c r="E46" s="972" t="n"/>
      <c r="F46" s="972" t="n"/>
      <c r="G46" s="30" t="inlineStr">
        <is>
          <t>Lottery Machine #1 (0.03%), Wishing (1.2%)</t>
        </is>
      </c>
    </row>
    <row r="47" ht="15.75" customHeight="1" s="1128">
      <c r="A47" s="23" t="inlineStr">
        <is>
          <t xml:space="preserve">   Atomic Clock</t>
        </is>
      </c>
      <c r="B47" s="425" t="inlineStr">
        <is>
          <t>Blue</t>
        </is>
      </c>
      <c r="C47" s="972" t="inlineStr">
        <is>
          <t>TECH</t>
        </is>
      </c>
      <c r="D47" s="972" t="n"/>
      <c r="E47" s="972" t="n"/>
      <c r="F47" s="972" t="n"/>
      <c r="G47" s="30" t="inlineStr">
        <is>
          <t>Lottery Machine #1 (0.03%), Wishing (1.1%)</t>
        </is>
      </c>
    </row>
    <row r="48" ht="15.75" customHeight="1" s="1128">
      <c r="A48" s="23" t="inlineStr">
        <is>
          <t>PURPLE</t>
        </is>
      </c>
      <c r="B48" s="972" t="n"/>
      <c r="C48" s="972" t="n"/>
      <c r="D48" s="972" t="n">
        <v>1.8</v>
      </c>
      <c r="E48" s="972" t="n"/>
      <c r="F48" s="972" t="n"/>
      <c r="G48" s="30" t="n"/>
    </row>
    <row r="49" ht="15.75" customHeight="1" s="1128">
      <c r="A49" s="23" t="inlineStr">
        <is>
          <t xml:space="preserve">   Leaf Manuscript</t>
        </is>
      </c>
      <c r="B49" s="425" t="inlineStr">
        <is>
          <t>AAA</t>
        </is>
      </c>
      <c r="C49" s="425" t="inlineStr">
        <is>
          <t>FTH</t>
        </is>
      </c>
      <c r="D49" s="972" t="n"/>
      <c r="E49" s="972" t="n"/>
      <c r="F49" s="972" t="n"/>
      <c r="G49" s="30" t="inlineStr">
        <is>
          <t>Fragment Crafting (1.5%), Lottery Machine #1 (0.03%), Wishing (0.14%), Bharata Treasure Maps (%), Relic Forge (80 Relic RF)</t>
        </is>
      </c>
    </row>
    <row r="50" ht="15.75" customHeight="1" s="1128">
      <c r="A50" s="23" t="inlineStr">
        <is>
          <t xml:space="preserve">   Skidbladnir Ship</t>
        </is>
      </c>
      <c r="B50" s="425" t="inlineStr">
        <is>
          <t>AAA</t>
        </is>
      </c>
      <c r="C50" s="425" t="inlineStr">
        <is>
          <t>FTH</t>
        </is>
      </c>
      <c r="D50" s="972" t="n"/>
      <c r="E50" s="972" t="n"/>
      <c r="F50" s="972" t="n"/>
      <c r="G50" s="30" t="inlineStr">
        <is>
          <t>Fragment Crafting (1.5%), Lottery Machine #1 (0.03%), Wishing (0.14%), Relic Forge (80 Relic RF)</t>
        </is>
      </c>
    </row>
    <row r="51" ht="15.75" customHeight="1" s="1128">
      <c r="A51" s="23" t="inlineStr">
        <is>
          <t xml:space="preserve">   Yuan Calendar</t>
        </is>
      </c>
      <c r="B51" s="425" t="inlineStr">
        <is>
          <t>AA</t>
        </is>
      </c>
      <c r="C51" s="972" t="inlineStr">
        <is>
          <t>TECH</t>
        </is>
      </c>
      <c r="D51" s="972" t="n"/>
      <c r="E51" s="972" t="n"/>
      <c r="F51" s="972" t="n"/>
      <c r="G51" s="30" t="inlineStr">
        <is>
          <t>Fragment Crafting (3.9%), Lottery Machine #1 (0.08%), Wishing (0.36%), Koryeon Treasure Maps (10%), Expert Scrolls (0.95%)</t>
        </is>
      </c>
    </row>
    <row r="52" ht="15.75" customHeight="1" s="1128">
      <c r="A52" s="23" t="inlineStr">
        <is>
          <t xml:space="preserve">   Moonlight Sonata</t>
        </is>
      </c>
      <c r="B52" s="425" t="inlineStr">
        <is>
          <t>AAA</t>
        </is>
      </c>
      <c r="C52" s="425" t="inlineStr">
        <is>
          <t>ART</t>
        </is>
      </c>
      <c r="D52" s="972" t="n"/>
      <c r="E52" s="972" t="n"/>
      <c r="F52" s="972" t="n"/>
      <c r="G52" s="30" t="inlineStr">
        <is>
          <t>Fragment Crafting (1.6%), Lottery Machine #1 (0.03%), Wishing (0.14%), Relic Forge (80 Relic RF), Nebula Chest (1.5%)</t>
        </is>
      </c>
    </row>
    <row r="53" ht="15.75" customHeight="1" s="1128">
      <c r="A53" s="23" t="inlineStr">
        <is>
          <t xml:space="preserve">   Treaty of Versailles</t>
        </is>
      </c>
      <c r="B53" s="425" t="inlineStr">
        <is>
          <t>AAA</t>
        </is>
      </c>
      <c r="C53" s="425" t="inlineStr">
        <is>
          <t>FAME</t>
        </is>
      </c>
      <c r="D53" s="972" t="n"/>
      <c r="E53" s="972" t="n"/>
      <c r="F53" s="972" t="n"/>
      <c r="G53" s="30" t="inlineStr">
        <is>
          <t>Fragment Crafting (1.6%), Lottery Machine #1 (0.03%), Wishing (0.14%), Club Chest (1.5%), Relic Forge (80 Relic RF)</t>
        </is>
      </c>
    </row>
    <row r="54" ht="15.75" customHeight="1" s="1128">
      <c r="A54" s="23" t="inlineStr">
        <is>
          <t>ORANGE</t>
        </is>
      </c>
      <c r="B54" s="972" t="n"/>
      <c r="C54" s="972" t="n"/>
      <c r="D54" s="972" t="n">
        <v>2.4</v>
      </c>
      <c r="E54" s="972" t="n"/>
      <c r="F54" s="972" t="n"/>
      <c r="G54" s="30" t="n"/>
    </row>
    <row r="55" ht="15.75" customHeight="1" s="1128">
      <c r="A55" s="23" t="inlineStr">
        <is>
          <t xml:space="preserve">   Noah's Ark</t>
        </is>
      </c>
      <c r="B55" s="425" t="inlineStr">
        <is>
          <t>SSS</t>
        </is>
      </c>
      <c r="C55" s="425" t="inlineStr">
        <is>
          <t>FTH</t>
        </is>
      </c>
      <c r="D55" s="972" t="n"/>
      <c r="E55" s="972" t="n"/>
      <c r="F55" s="972" t="n"/>
      <c r="G55" s="30" t="inlineStr">
        <is>
          <t>Weekly Special Reward Relic #3</t>
        </is>
      </c>
    </row>
    <row r="56" ht="15.75" customHeight="1" s="1128">
      <c r="A56" s="23" t="inlineStr">
        <is>
          <t xml:space="preserve">   Golden Trophy</t>
        </is>
      </c>
      <c r="B56" s="425" t="inlineStr">
        <is>
          <t>SS</t>
        </is>
      </c>
      <c r="C56" s="425" t="inlineStr">
        <is>
          <t>FAME</t>
        </is>
      </c>
      <c r="D56" s="972" t="n"/>
      <c r="E56" s="972" t="n"/>
      <c r="F56" s="972" t="n"/>
      <c r="G56" s="30" t="inlineStr">
        <is>
          <t>Lottery Machine #1 (0.12%), Wishing (0.11%), Grandmaster Scrolls (1%), Relic Forge (100 Relic RF), Avatar Value Pack II ($49.99)</t>
        </is>
      </c>
    </row>
    <row r="57" ht="15.75" customHeight="1" s="1128">
      <c r="A57" s="23" t="inlineStr">
        <is>
          <t xml:space="preserve">   Ape's Footprint Fossil</t>
        </is>
      </c>
      <c r="B57" s="425" t="inlineStr">
        <is>
          <t>SS</t>
        </is>
      </c>
      <c r="C57" s="425" t="inlineStr">
        <is>
          <t>FAME</t>
        </is>
      </c>
      <c r="D57" s="972" t="n"/>
      <c r="E57" s="972" t="n"/>
      <c r="F57" s="972" t="n"/>
      <c r="G57" s="30" t="inlineStr">
        <is>
          <t>Super Species Chest (2.4%)</t>
        </is>
      </c>
    </row>
    <row r="58" ht="15.75" customHeight="1" s="1128">
      <c r="A58" s="23" t="inlineStr">
        <is>
          <t xml:space="preserve">   Trojan Horse</t>
        </is>
      </c>
      <c r="B58" s="425" t="inlineStr">
        <is>
          <t>SSS</t>
        </is>
      </c>
      <c r="C58" s="425" t="inlineStr">
        <is>
          <t>FAME</t>
        </is>
      </c>
      <c r="D58" s="972" t="n"/>
      <c r="E58" s="972" t="n"/>
      <c r="F58" s="972" t="n"/>
      <c r="G58" s="30" t="inlineStr">
        <is>
          <t>Lottery Machine #1 (0.09%), Wishing (0.09%), Grandmaster Scrolls (0.81%), Relic Forge (120 Relic RF)</t>
        </is>
      </c>
    </row>
    <row r="59" ht="15.75" customHeight="1" s="1128">
      <c r="A59" s="23" t="inlineStr">
        <is>
          <t xml:space="preserve">   Einstein's Brain</t>
        </is>
      </c>
      <c r="B59" s="425" t="inlineStr">
        <is>
          <t>SSS</t>
        </is>
      </c>
      <c r="C59" s="425" t="inlineStr">
        <is>
          <t>FAME</t>
        </is>
      </c>
      <c r="D59" s="972" t="n"/>
      <c r="E59" s="972" t="n"/>
      <c r="F59" s="972" t="n"/>
      <c r="G59" s="30" t="inlineStr">
        <is>
          <t>Lottery Machine #1 (0.09%), Wishing (0.08%), Grandmaster Scrolls (0.79%)</t>
        </is>
      </c>
    </row>
    <row r="60" ht="15.75" customHeight="1" s="1128">
      <c r="A60" s="23" t="inlineStr">
        <is>
          <t xml:space="preserve">   Gravitation Scripts</t>
        </is>
      </c>
      <c r="B60" s="425" t="inlineStr">
        <is>
          <t>SSS</t>
        </is>
      </c>
      <c r="C60" s="425" t="inlineStr">
        <is>
          <t>FAME</t>
        </is>
      </c>
      <c r="D60" s="972" t="n"/>
      <c r="E60" s="972" t="n"/>
      <c r="F60" s="972" t="n"/>
      <c r="G60" s="30" t="inlineStr">
        <is>
          <t>Daily Pack Relic #10</t>
        </is>
      </c>
    </row>
    <row r="61" ht="15.75" customHeight="1" s="1128">
      <c r="A61" s="362" t="inlineStr">
        <is>
          <t>MAX RESONANCE</t>
        </is>
      </c>
      <c r="B61" s="50" t="n"/>
      <c r="C61" s="50" t="n"/>
      <c r="D61" s="50">
        <f>SUM(D41:F60)</f>
        <v/>
      </c>
      <c r="E61" s="50" t="n"/>
      <c r="F61" s="50" t="n"/>
      <c r="G61" s="51" t="n"/>
    </row>
    <row r="62" ht="15.75" customHeight="1" s="1128"/>
    <row r="63" ht="15.75" customHeight="1" s="1128"/>
    <row r="64" ht="15.75" customHeight="1" s="1128">
      <c r="A64" s="1097" t="inlineStr">
        <is>
          <t>Total Travel Speed (General)</t>
        </is>
      </c>
      <c r="B64" s="1097">
        <f>D10+D13+D38+D61+D16</f>
        <v/>
      </c>
      <c r="C64" s="972" t="n"/>
      <c r="D64" s="972" t="n"/>
      <c r="E64" s="972" t="n"/>
      <c r="F64" s="972" t="n"/>
      <c r="G64" s="972" t="n"/>
    </row>
    <row r="65" ht="15.75" customHeight="1" s="1128">
      <c r="A65" s="444" t="inlineStr">
        <is>
          <t>Speed Example (Hrs)</t>
        </is>
      </c>
      <c r="B65" s="444" t="n">
        <v>10</v>
      </c>
      <c r="C65" s="972" t="n"/>
      <c r="D65" s="972" t="n"/>
      <c r="E65" s="972" t="n"/>
      <c r="F65" s="972" t="n"/>
      <c r="G65" s="972" t="n"/>
    </row>
    <row r="66" ht="15.75" customHeight="1" s="1128">
      <c r="A66" s="444" t="inlineStr">
        <is>
          <t>Actual Time (General)</t>
        </is>
      </c>
      <c r="B66" s="39">
        <f>$B$65/(1+$B$64/100)</f>
        <v/>
      </c>
      <c r="C66" s="972" t="n"/>
      <c r="D66" s="972" t="n"/>
      <c r="E66" s="972" t="n"/>
      <c r="F66" s="972" t="n"/>
      <c r="G66" s="972" t="n"/>
    </row>
    <row r="67" ht="15.75" customHeight="1" s="1128">
      <c r="A67" s="972" t="n"/>
      <c r="B67" s="972" t="n"/>
      <c r="C67" s="972" t="n"/>
      <c r="D67" s="972" t="n"/>
      <c r="E67" s="972" t="n"/>
      <c r="F67" s="972" t="n"/>
      <c r="G67" s="972" t="n"/>
    </row>
    <row r="68" ht="15.75" customHeight="1" s="1128">
      <c r="A68" s="43" t="inlineStr">
        <is>
          <t>AREA SPECIFIC</t>
        </is>
      </c>
      <c r="B68" s="44" t="n"/>
      <c r="C68" s="44" t="n"/>
      <c r="D68" s="44" t="n"/>
      <c r="E68" s="44" t="n"/>
      <c r="F68" s="44" t="n"/>
      <c r="G68" s="55" t="n"/>
    </row>
    <row r="69" ht="15.75" customHeight="1" s="1128">
      <c r="A69" s="46" t="inlineStr">
        <is>
          <t>KORYEO</t>
        </is>
      </c>
      <c r="B69" s="44" t="n"/>
      <c r="C69" s="44" t="n"/>
      <c r="D69" s="44" t="n"/>
      <c r="E69" s="44" t="n"/>
      <c r="F69" s="44" t="n"/>
      <c r="G69" s="55" t="n"/>
    </row>
    <row r="70" ht="15.75" customHeight="1" s="1128">
      <c r="A70" s="23" t="inlineStr">
        <is>
          <t xml:space="preserve">   INTEL</t>
        </is>
      </c>
      <c r="B70" s="972" t="n"/>
      <c r="C70" s="972" t="n"/>
      <c r="D70" s="972" t="n">
        <v>15</v>
      </c>
      <c r="E70" s="972" t="n"/>
      <c r="F70" s="972" t="n"/>
      <c r="G70" s="30" t="n"/>
    </row>
    <row r="71" ht="15.75" customHeight="1" s="1128">
      <c r="A71" s="23" t="inlineStr">
        <is>
          <t xml:space="preserve">   Aries</t>
        </is>
      </c>
      <c r="B71" s="425" t="inlineStr">
        <is>
          <t>SSS</t>
        </is>
      </c>
      <c r="C71" s="972" t="inlineStr">
        <is>
          <t>CIV</t>
        </is>
      </c>
      <c r="D71" s="972" t="n">
        <v>9</v>
      </c>
      <c r="E71" s="972" t="n"/>
      <c r="F71" s="972" t="n"/>
      <c r="G71" s="30" t="inlineStr">
        <is>
          <t>Supreme Relic ($1k)</t>
        </is>
      </c>
    </row>
    <row r="72" ht="15.75" customHeight="1" s="1128">
      <c r="A72" s="444" t="inlineStr">
        <is>
          <t>Total Travel Speed (Koryeo)</t>
        </is>
      </c>
      <c r="B72" s="444">
        <f>$B$64+SUM(D70:D71)</f>
        <v/>
      </c>
      <c r="C72" s="972" t="n"/>
      <c r="D72" s="972" t="n"/>
      <c r="E72" s="972" t="n"/>
      <c r="F72" s="972" t="n"/>
      <c r="G72" s="30" t="n"/>
    </row>
    <row r="73" ht="15.75" customHeight="1" s="1128">
      <c r="A73" s="444" t="inlineStr">
        <is>
          <t>Actual Time (Koryeo)</t>
        </is>
      </c>
      <c r="B73" s="39">
        <f>$B$65/(1+$B72/100)</f>
        <v/>
      </c>
      <c r="C73" s="50" t="n"/>
      <c r="D73" s="50" t="n"/>
      <c r="E73" s="50" t="n"/>
      <c r="F73" s="50" t="n"/>
      <c r="G73" s="51" t="n"/>
    </row>
    <row r="74" ht="15.75" customHeight="1" s="1128">
      <c r="A74" s="23" t="n"/>
      <c r="B74" s="972" t="n"/>
      <c r="C74" s="972" t="n"/>
      <c r="D74" s="972" t="n"/>
      <c r="E74" s="972" t="n"/>
      <c r="F74" s="972" t="n"/>
      <c r="G74" s="30" t="n"/>
    </row>
    <row r="75" ht="15.75" customHeight="1" s="1128">
      <c r="A75" s="46" t="inlineStr">
        <is>
          <t>YAMATO</t>
        </is>
      </c>
      <c r="B75" s="44" t="n"/>
      <c r="C75" s="44" t="n"/>
      <c r="D75" s="44" t="n"/>
      <c r="E75" s="44" t="n"/>
      <c r="F75" s="44" t="n"/>
      <c r="G75" s="55" t="n"/>
    </row>
    <row r="76" ht="15.75" customHeight="1" s="1128">
      <c r="A76" s="23" t="inlineStr">
        <is>
          <t xml:space="preserve">   INTEL</t>
        </is>
      </c>
      <c r="B76" s="972" t="n"/>
      <c r="C76" s="972" t="n"/>
      <c r="D76" s="972" t="n">
        <v>15</v>
      </c>
      <c r="E76" s="972" t="n"/>
      <c r="F76" s="972" t="n"/>
      <c r="G76" s="30" t="n"/>
    </row>
    <row r="77" ht="15.75" customHeight="1" s="1128">
      <c r="A77" s="23" t="inlineStr">
        <is>
          <t xml:space="preserve">   Taurus</t>
        </is>
      </c>
      <c r="B77" s="425" t="inlineStr">
        <is>
          <t>SSS</t>
        </is>
      </c>
      <c r="C77" s="425" t="inlineStr">
        <is>
          <t>ART</t>
        </is>
      </c>
      <c r="D77" s="972" t="n">
        <v>9</v>
      </c>
      <c r="E77" s="972" t="n"/>
      <c r="F77" s="972" t="n"/>
      <c r="G77" s="30" t="inlineStr">
        <is>
          <t>Supreme Relic ($4k)</t>
        </is>
      </c>
    </row>
    <row r="78" ht="15.75" customHeight="1" s="1128">
      <c r="A78" s="444" t="inlineStr">
        <is>
          <t>Total Travel Speed (Yamato)</t>
        </is>
      </c>
      <c r="B78" s="444">
        <f>$B$64+SUM(D76:D77)</f>
        <v/>
      </c>
      <c r="C78" s="972" t="n"/>
      <c r="D78" s="972" t="n"/>
      <c r="E78" s="972" t="n"/>
      <c r="F78" s="972" t="n"/>
      <c r="G78" s="30" t="n"/>
    </row>
    <row r="79" ht="15.75" customHeight="1" s="1128">
      <c r="A79" s="444" t="inlineStr">
        <is>
          <t>Actual Time (Yamato)</t>
        </is>
      </c>
      <c r="B79" s="39">
        <f>$B$65/(1+$B78/100)</f>
        <v/>
      </c>
      <c r="C79" s="50" t="n"/>
      <c r="D79" s="50" t="n"/>
      <c r="E79" s="50" t="n"/>
      <c r="F79" s="50" t="n"/>
      <c r="G79" s="51" t="n"/>
    </row>
    <row r="80" ht="15.75" customHeight="1" s="1128">
      <c r="A80" s="23" t="n"/>
      <c r="B80" s="972" t="n"/>
      <c r="C80" s="972" t="n"/>
      <c r="D80" s="972" t="n"/>
      <c r="E80" s="972" t="n"/>
      <c r="F80" s="972" t="n"/>
      <c r="G80" s="30" t="n"/>
    </row>
    <row r="81" ht="15.75" customHeight="1" s="1128">
      <c r="A81" s="46" t="inlineStr">
        <is>
          <t>CATHAY</t>
        </is>
      </c>
      <c r="B81" s="44" t="n"/>
      <c r="C81" s="44" t="n"/>
      <c r="D81" s="44" t="n"/>
      <c r="E81" s="44" t="n"/>
      <c r="F81" s="44" t="n"/>
      <c r="G81" s="55" t="n"/>
    </row>
    <row r="82" ht="15.75" customHeight="1" s="1128">
      <c r="A82" s="23" t="inlineStr">
        <is>
          <t xml:space="preserve">   INTEL</t>
        </is>
      </c>
      <c r="B82" s="972" t="n"/>
      <c r="C82" s="972" t="n"/>
      <c r="D82" s="972" t="n">
        <v>20</v>
      </c>
      <c r="E82" s="972" t="n"/>
      <c r="F82" s="972" t="n"/>
      <c r="G82" s="30" t="n"/>
    </row>
    <row r="83" ht="15.75" customHeight="1" s="1128">
      <c r="A83" s="23" t="inlineStr">
        <is>
          <t xml:space="preserve">   Somersault Cloud</t>
        </is>
      </c>
      <c r="B83" s="425" t="inlineStr">
        <is>
          <t>SSS</t>
        </is>
      </c>
      <c r="C83" s="972" t="inlineStr">
        <is>
          <t>FTH</t>
        </is>
      </c>
      <c r="D83" s="972" t="n">
        <v>9</v>
      </c>
      <c r="E83" s="972" t="n"/>
      <c r="F83" s="972" t="n"/>
      <c r="G83" s="30" t="n"/>
    </row>
    <row r="84" ht="15.75" customHeight="1" s="1128">
      <c r="A84" s="23" t="inlineStr">
        <is>
          <t xml:space="preserve">   Gemini</t>
        </is>
      </c>
      <c r="B84" s="425" t="inlineStr">
        <is>
          <t>SSS</t>
        </is>
      </c>
      <c r="C84" s="972" t="inlineStr">
        <is>
          <t>FTH</t>
        </is>
      </c>
      <c r="D84" s="972" t="n">
        <v>9</v>
      </c>
      <c r="E84" s="972" t="n"/>
      <c r="F84" s="972" t="n"/>
      <c r="G84" s="30" t="inlineStr">
        <is>
          <t>Supreme Relic ($?k)</t>
        </is>
      </c>
    </row>
    <row r="85" ht="15.75" customHeight="1" s="1128">
      <c r="A85" s="444" t="inlineStr">
        <is>
          <t>Total Travel Speed (Cathay)</t>
        </is>
      </c>
      <c r="B85" s="444">
        <f>$B$64+SUM(D82:D84)</f>
        <v/>
      </c>
      <c r="C85" s="972" t="n"/>
      <c r="D85" s="972" t="n"/>
      <c r="E85" s="972" t="n"/>
      <c r="F85" s="972" t="n"/>
      <c r="G85" s="30" t="n"/>
    </row>
    <row r="86" ht="15.75" customHeight="1" s="1128">
      <c r="A86" s="444" t="inlineStr">
        <is>
          <t>Actual Time (Cathay)</t>
        </is>
      </c>
      <c r="B86" s="39">
        <f>$B$65/(1+$B85/100)</f>
        <v/>
      </c>
      <c r="C86" s="50" t="n"/>
      <c r="D86" s="50" t="n"/>
      <c r="E86" s="50" t="n"/>
      <c r="F86" s="50" t="n"/>
      <c r="G86" s="51" t="n"/>
    </row>
    <row r="87" ht="15.75" customHeight="1" s="1128">
      <c r="A87" s="23" t="n"/>
      <c r="B87" s="972" t="n"/>
      <c r="C87" s="972" t="n"/>
      <c r="D87" s="972" t="n"/>
      <c r="E87" s="972" t="n"/>
      <c r="F87" s="972" t="n"/>
      <c r="G87" s="30" t="n"/>
    </row>
    <row r="88" ht="15.75" customHeight="1" s="1128">
      <c r="A88" s="46" t="inlineStr">
        <is>
          <t>MURIKA</t>
        </is>
      </c>
      <c r="B88" s="44" t="n"/>
      <c r="C88" s="44" t="n"/>
      <c r="D88" s="44" t="n"/>
      <c r="E88" s="44" t="n"/>
      <c r="F88" s="44" t="n"/>
      <c r="G88" s="55" t="n"/>
    </row>
    <row r="89" ht="15.75" customHeight="1" s="1128">
      <c r="A89" s="23" t="inlineStr">
        <is>
          <t xml:space="preserve">   INTEL</t>
        </is>
      </c>
      <c r="B89" s="972" t="n"/>
      <c r="C89" s="972" t="n"/>
      <c r="D89" s="972" t="n">
        <v>10</v>
      </c>
      <c r="E89" s="972" t="n"/>
      <c r="F89" s="972" t="n"/>
      <c r="G89" s="30" t="n"/>
    </row>
    <row r="90" ht="15.75" customHeight="1" s="1128">
      <c r="A90" s="23" t="inlineStr">
        <is>
          <t xml:space="preserve">   Blink Steward</t>
        </is>
      </c>
      <c r="B90" s="972" t="n"/>
      <c r="C90" s="972" t="n"/>
      <c r="D90" s="972" t="n">
        <v>3</v>
      </c>
      <c r="E90" s="972" t="n"/>
      <c r="F90" s="972" t="n"/>
      <c r="G90" s="30" t="n"/>
    </row>
    <row r="91" ht="15.75" customHeight="1" s="1128">
      <c r="A91" s="23" t="inlineStr">
        <is>
          <t xml:space="preserve">   Cancer</t>
        </is>
      </c>
      <c r="B91" s="425" t="inlineStr">
        <is>
          <t>SSS</t>
        </is>
      </c>
      <c r="C91" s="425" t="inlineStr">
        <is>
          <t>ART</t>
        </is>
      </c>
      <c r="D91" s="972" t="n">
        <v>9</v>
      </c>
      <c r="E91" s="972" t="n"/>
      <c r="F91" s="972" t="n"/>
      <c r="G91" s="30" t="inlineStr">
        <is>
          <t>Supreme Relic ($12k)</t>
        </is>
      </c>
    </row>
    <row r="92" ht="15.75" customHeight="1" s="1128">
      <c r="A92" s="417" t="inlineStr">
        <is>
          <t>Total Travel Speed (Murika)</t>
        </is>
      </c>
      <c r="B92" s="444">
        <f>$B$64+SUM(D89:D91)</f>
        <v/>
      </c>
      <c r="C92" s="432" t="n"/>
      <c r="D92" s="432" t="n"/>
      <c r="E92" s="432" t="n"/>
      <c r="F92" s="432" t="n"/>
      <c r="G92" s="66" t="n"/>
      <c r="H92" s="432" t="n"/>
    </row>
    <row r="93" ht="15.75" customHeight="1" s="1128">
      <c r="A93" s="417" t="inlineStr">
        <is>
          <t>Actual Time (Murika)</t>
        </is>
      </c>
      <c r="B93" s="39">
        <f>$B$65/(1+$B92/100)</f>
        <v/>
      </c>
      <c r="C93" s="410" t="n"/>
      <c r="D93" s="410" t="n"/>
      <c r="E93" s="410" t="n"/>
      <c r="F93" s="410" t="n"/>
      <c r="G93" s="414" t="n"/>
      <c r="H93" s="432" t="n"/>
    </row>
    <row r="94" ht="15.75" customHeight="1" s="1128">
      <c r="A94" s="398" t="n"/>
      <c r="B94" s="432" t="n"/>
      <c r="C94" s="432" t="n"/>
      <c r="D94" s="432" t="n"/>
      <c r="E94" s="432" t="n"/>
      <c r="F94" s="432" t="n"/>
      <c r="G94" s="66" t="n"/>
      <c r="H94" s="432" t="n"/>
    </row>
    <row r="95" ht="15.75" customHeight="1" s="1128">
      <c r="A95" s="46" t="inlineStr">
        <is>
          <t>BRITLAND</t>
        </is>
      </c>
      <c r="B95" s="44" t="n"/>
      <c r="C95" s="44" t="n"/>
      <c r="D95" s="44" t="n"/>
      <c r="E95" s="44" t="n"/>
      <c r="F95" s="44" t="n"/>
      <c r="G95" s="55" t="n"/>
    </row>
    <row r="96" ht="15.75" customHeight="1" s="1128">
      <c r="A96" s="23" t="inlineStr">
        <is>
          <t xml:space="preserve">   INTEL</t>
        </is>
      </c>
      <c r="B96" s="972" t="n"/>
      <c r="C96" s="972" t="n"/>
      <c r="D96" s="972" t="n">
        <v>15</v>
      </c>
      <c r="E96" s="972" t="n"/>
      <c r="F96" s="972" t="n"/>
      <c r="G96" s="30" t="n"/>
    </row>
    <row r="97" ht="15.75" customHeight="1" s="1128">
      <c r="A97" s="23" t="inlineStr">
        <is>
          <t xml:space="preserve">   Book of the Dead</t>
        </is>
      </c>
      <c r="B97" s="425" t="inlineStr">
        <is>
          <t>SSS</t>
        </is>
      </c>
      <c r="C97" s="972" t="inlineStr">
        <is>
          <t>FTH</t>
        </is>
      </c>
      <c r="D97" s="972" t="n">
        <v>9</v>
      </c>
      <c r="E97" s="972" t="n"/>
      <c r="F97" s="972" t="n"/>
      <c r="G97" s="30" t="inlineStr">
        <is>
          <t>Traveler Member Reward ($2.99), Premium Member Reward ($49.99)</t>
        </is>
      </c>
    </row>
    <row r="98" ht="15.75" customHeight="1" s="1128">
      <c r="A98" s="23" t="inlineStr">
        <is>
          <t xml:space="preserve">   Leo</t>
        </is>
      </c>
      <c r="B98" s="425" t="inlineStr">
        <is>
          <t>SSS</t>
        </is>
      </c>
      <c r="C98" s="425" t="inlineStr">
        <is>
          <t>FAME</t>
        </is>
      </c>
      <c r="D98" s="972" t="n">
        <v>9</v>
      </c>
      <c r="E98" s="972" t="n"/>
      <c r="F98" s="972" t="n"/>
      <c r="G98" s="30" t="inlineStr">
        <is>
          <t>Supreme Relic ($20k)</t>
        </is>
      </c>
    </row>
    <row r="99" ht="15.75" customHeight="1" s="1128">
      <c r="A99" s="417" t="inlineStr">
        <is>
          <t>Total Travel Speed (Britland)</t>
        </is>
      </c>
      <c r="B99" s="444">
        <f>$B$64+SUM(D96:D98)</f>
        <v/>
      </c>
      <c r="C99" s="432" t="n"/>
      <c r="D99" s="432" t="n"/>
      <c r="E99" s="432" t="n"/>
      <c r="F99" s="432" t="n"/>
      <c r="G99" s="66" t="n"/>
      <c r="H99" s="432" t="n"/>
    </row>
    <row r="100" ht="15.75" customHeight="1" s="1128">
      <c r="A100" s="417" t="inlineStr">
        <is>
          <t>Actual Time (Britland)</t>
        </is>
      </c>
      <c r="B100" s="39">
        <f>$B$65/(1+$B99/100)</f>
        <v/>
      </c>
      <c r="C100" s="410" t="n"/>
      <c r="D100" s="410" t="n"/>
      <c r="E100" s="410" t="n"/>
      <c r="F100" s="410" t="n"/>
      <c r="G100" s="414" t="n"/>
      <c r="H100" s="432" t="n"/>
    </row>
    <row r="101" ht="15.75" customHeight="1" s="1128">
      <c r="A101" s="398" t="n"/>
      <c r="B101" s="432" t="n"/>
      <c r="C101" s="432" t="n"/>
      <c r="D101" s="432" t="n"/>
      <c r="E101" s="432" t="n"/>
      <c r="F101" s="432" t="n"/>
      <c r="G101" s="66" t="n"/>
      <c r="H101" s="432" t="n"/>
    </row>
    <row r="102" ht="15.75" customHeight="1" s="1128">
      <c r="A102" s="46" t="inlineStr">
        <is>
          <t>KEMET</t>
        </is>
      </c>
      <c r="B102" s="44" t="n"/>
      <c r="C102" s="44" t="n"/>
      <c r="D102" s="44" t="n"/>
      <c r="E102" s="44" t="n"/>
      <c r="F102" s="44" t="n"/>
      <c r="G102" s="55" t="n"/>
    </row>
    <row r="103" ht="15.75" customHeight="1" s="1128">
      <c r="A103" s="23" t="inlineStr">
        <is>
          <t xml:space="preserve">   INTEL</t>
        </is>
      </c>
      <c r="B103" s="972" t="n"/>
      <c r="C103" s="972" t="n"/>
      <c r="D103" s="972" t="n">
        <v>15</v>
      </c>
      <c r="E103" s="972" t="n"/>
      <c r="F103" s="972" t="n"/>
      <c r="G103" s="30" t="n"/>
    </row>
    <row r="104" ht="15.75" customHeight="1" s="1128">
      <c r="A104" s="398" t="inlineStr">
        <is>
          <t xml:space="preserve">   Gutenberg's Press</t>
        </is>
      </c>
      <c r="B104" s="425" t="inlineStr">
        <is>
          <t>SSS</t>
        </is>
      </c>
      <c r="C104" s="432" t="inlineStr">
        <is>
          <t>CIV</t>
        </is>
      </c>
      <c r="D104" s="432" t="n">
        <v>9</v>
      </c>
      <c r="E104" s="432" t="n"/>
      <c r="F104" s="432" t="n"/>
      <c r="G104" s="66" t="inlineStr">
        <is>
          <t>Daily Pack</t>
        </is>
      </c>
      <c r="H104" s="432" t="n"/>
    </row>
    <row r="105" ht="15.75" customHeight="1" s="1128">
      <c r="A105" s="398" t="inlineStr">
        <is>
          <t xml:space="preserve">   Virgo</t>
        </is>
      </c>
      <c r="B105" s="425" t="inlineStr">
        <is>
          <t>SSS</t>
        </is>
      </c>
      <c r="C105" s="425" t="inlineStr">
        <is>
          <t>FTH</t>
        </is>
      </c>
      <c r="D105" s="432" t="n">
        <v>9</v>
      </c>
      <c r="E105" s="432" t="n"/>
      <c r="F105" s="432" t="n"/>
      <c r="G105" s="66" t="inlineStr">
        <is>
          <t>Supreme Relic ($?k)</t>
        </is>
      </c>
      <c r="H105" s="432" t="n"/>
    </row>
    <row r="106" ht="15.75" customHeight="1" s="1128">
      <c r="A106" s="417" t="inlineStr">
        <is>
          <t>Total Travel Speed (Kemet)</t>
        </is>
      </c>
      <c r="B106" s="444">
        <f>$B$64+SUM(D103:D105)</f>
        <v/>
      </c>
      <c r="C106" s="432" t="n"/>
      <c r="D106" s="432" t="n"/>
      <c r="E106" s="432" t="n"/>
      <c r="F106" s="432" t="n"/>
      <c r="G106" s="66" t="n"/>
      <c r="H106" s="432" t="n"/>
    </row>
    <row r="107" ht="15.75" customHeight="1" s="1128">
      <c r="A107" s="417" t="inlineStr">
        <is>
          <t>Actual Time (Kemet)</t>
        </is>
      </c>
      <c r="B107" s="39">
        <f>$B$65/(1+$B106/100)</f>
        <v/>
      </c>
      <c r="C107" s="410" t="n"/>
      <c r="D107" s="410" t="n"/>
      <c r="E107" s="410" t="n"/>
      <c r="F107" s="410" t="n"/>
      <c r="G107" s="414" t="n"/>
      <c r="H107" s="432" t="n"/>
    </row>
    <row r="108" ht="15.75" customHeight="1" s="1128">
      <c r="A108" s="432" t="n"/>
      <c r="B108" s="432" t="n"/>
      <c r="C108" s="432" t="n"/>
      <c r="D108" s="432" t="n"/>
      <c r="E108" s="432" t="n"/>
      <c r="F108" s="432" t="n"/>
      <c r="G108" s="432" t="n"/>
      <c r="H108" s="432" t="n"/>
    </row>
    <row r="109" ht="15.75" customHeight="1" s="1128"/>
    <row r="110" ht="15.75" customHeight="1" s="1128"/>
    <row r="111" ht="15.75" customHeight="1" s="1128"/>
    <row r="112" ht="15.75" customHeight="1" s="1128"/>
    <row r="113" ht="15.75" customHeight="1" s="1128"/>
    <row r="114" ht="15.75" customHeight="1" s="1128"/>
    <row r="115" ht="15.75" customHeight="1" s="1128"/>
    <row r="116" ht="15.75" customHeight="1" s="1128"/>
    <row r="117" ht="15.75" customHeight="1" s="1128"/>
    <row r="118" ht="15.75" customHeight="1" s="1128"/>
    <row r="119" ht="15.75" customHeight="1" s="1128"/>
    <row r="120" ht="15.75" customHeight="1" s="1128"/>
    <row r="121" ht="15.75" customHeight="1" s="1128"/>
    <row r="122" ht="15.75" customHeight="1" s="1128"/>
    <row r="123" ht="15.75" customHeight="1" s="1128"/>
    <row r="124" ht="15.75" customHeight="1" s="1128"/>
    <row r="125" ht="15.75" customHeight="1" s="1128"/>
    <row r="126" ht="15.75" customHeight="1" s="1128"/>
    <row r="127" ht="15.75" customHeight="1" s="1128"/>
    <row r="128" ht="15.75" customHeight="1" s="1128"/>
    <row r="129" ht="15.75" customHeight="1" s="1128"/>
    <row r="130" ht="15.75" customHeight="1" s="1128"/>
    <row r="131" ht="15.75" customHeight="1" s="1128"/>
    <row r="132" ht="15.75" customHeight="1" s="1128"/>
    <row r="133" ht="15.75" customHeight="1" s="1128"/>
    <row r="134" ht="15.75" customHeight="1" s="1128"/>
    <row r="135" ht="15.75" customHeight="1" s="1128"/>
    <row r="136" ht="15.75" customHeight="1" s="1128"/>
    <row r="137" ht="15.75" customHeight="1" s="1128"/>
    <row r="138" ht="15.75" customHeight="1" s="1128"/>
    <row r="139" ht="15.75" customHeight="1" s="1128"/>
    <row r="140" ht="15.75" customHeight="1" s="1128"/>
    <row r="141" ht="15.75" customHeight="1" s="1128"/>
    <row r="142" ht="15.75" customHeight="1" s="1128"/>
    <row r="143" ht="15.75" customHeight="1" s="1128"/>
    <row r="144" ht="15.75" customHeight="1" s="1128"/>
    <row r="145" ht="15.75" customHeight="1" s="1128"/>
    <row r="146" ht="15.75" customHeight="1" s="1128"/>
    <row r="147" ht="15.75" customHeight="1" s="1128"/>
    <row r="148" ht="15.75" customHeight="1" s="1128"/>
    <row r="149" ht="15.75" customHeight="1" s="1128"/>
    <row r="150" ht="15.75" customHeight="1" s="1128"/>
    <row r="151" ht="15.75" customHeight="1" s="1128"/>
    <row r="152" ht="15.75" customHeight="1" s="1128"/>
    <row r="153" ht="15.75" customHeight="1" s="1128"/>
    <row r="154" ht="15.75" customHeight="1" s="1128"/>
    <row r="155" ht="15.75" customHeight="1" s="1128"/>
    <row r="156" ht="15.75" customHeight="1" s="1128"/>
    <row r="157" ht="15.75" customHeight="1" s="1128"/>
    <row r="158" ht="15.75" customHeight="1" s="1128"/>
    <row r="159" ht="15.75" customHeight="1" s="1128"/>
    <row r="160" ht="15.75" customHeight="1" s="1128"/>
    <row r="161" ht="15.75" customHeight="1" s="1128"/>
    <row r="162" ht="15.75" customHeight="1" s="1128"/>
    <row r="163" ht="15.75" customHeight="1" s="1128"/>
    <row r="164" ht="15.75" customHeight="1" s="1128"/>
    <row r="165" ht="15.75" customHeight="1" s="1128"/>
    <row r="166" ht="15.75" customHeight="1" s="1128"/>
    <row r="167" ht="15.75" customHeight="1" s="1128"/>
    <row r="168" ht="15.75" customHeight="1" s="1128"/>
    <row r="169" ht="15.75" customHeight="1" s="1128"/>
    <row r="170" ht="15.75" customHeight="1" s="1128"/>
    <row r="171" ht="15.75" customHeight="1" s="1128"/>
    <row r="172" ht="15.75" customHeight="1" s="1128"/>
    <row r="173" ht="15.75" customHeight="1" s="1128"/>
    <row r="174" ht="15.75" customHeight="1" s="1128"/>
    <row r="175" ht="15.75" customHeight="1" s="1128"/>
    <row r="176" ht="15.75" customHeight="1" s="1128"/>
    <row r="177" ht="15.75" customHeight="1" s="1128"/>
    <row r="178" ht="15.75" customHeight="1" s="1128"/>
    <row r="179" ht="15.75" customHeight="1" s="1128"/>
    <row r="180" ht="15.75" customHeight="1" s="1128"/>
    <row r="181" ht="15.75" customHeight="1" s="1128"/>
    <row r="182" ht="15.75" customHeight="1" s="1128"/>
    <row r="183" ht="15.75" customHeight="1" s="1128"/>
    <row r="184" ht="15.75" customHeight="1" s="1128"/>
    <row r="185" ht="15.75" customHeight="1" s="1128"/>
    <row r="186" ht="15.75" customHeight="1" s="1128"/>
    <row r="187" ht="15.75" customHeight="1" s="1128"/>
    <row r="188" ht="15.75" customHeight="1" s="1128"/>
    <row r="189" ht="15.75" customHeight="1" s="1128"/>
    <row r="190" ht="15.75" customHeight="1" s="1128"/>
    <row r="191" ht="15.75" customHeight="1" s="1128"/>
    <row r="192" ht="15.75" customHeight="1" s="1128"/>
    <row r="193" ht="15.75" customHeight="1" s="1128"/>
    <row r="194" ht="15.75" customHeight="1" s="1128"/>
    <row r="195" ht="15.75" customHeight="1" s="1128"/>
    <row r="196" ht="15.75" customHeight="1" s="1128"/>
    <row r="197" ht="15.75" customHeight="1" s="1128"/>
    <row r="198" ht="15.75" customHeight="1" s="1128"/>
    <row r="199" ht="15.75" customHeight="1" s="1128"/>
    <row r="200" ht="15.75" customHeight="1" s="1128"/>
    <row r="201" ht="15.75" customHeight="1" s="1128"/>
    <row r="202" ht="15.75" customHeight="1" s="1128"/>
    <row r="203" ht="15.75" customHeight="1" s="1128"/>
    <row r="204" ht="15.75" customHeight="1" s="1128"/>
    <row r="205" ht="15.75" customHeight="1" s="1128"/>
    <row r="206" ht="15.75" customHeight="1" s="1128"/>
    <row r="207" ht="15.75" customHeight="1" s="1128"/>
    <row r="208" ht="15.75" customHeight="1" s="1128"/>
    <row r="209" ht="15.75" customHeight="1" s="1128"/>
    <row r="210" ht="15.75" customHeight="1" s="1128"/>
    <row r="211" ht="15.75" customHeight="1" s="1128"/>
    <row r="212" ht="15.75" customHeight="1" s="1128"/>
    <row r="213" ht="15.75" customHeight="1" s="1128"/>
    <row r="214" ht="15.75" customHeight="1" s="1128"/>
    <row r="215" ht="15.75" customHeight="1" s="1128"/>
    <row r="216" ht="15.75" customHeight="1" s="1128"/>
    <row r="217" ht="15.75" customHeight="1" s="1128"/>
    <row r="218" ht="15.75" customHeight="1" s="1128"/>
    <row r="219" ht="15.75" customHeight="1" s="1128"/>
    <row r="220" ht="15.75" customHeight="1" s="1128"/>
    <row r="221" ht="15.75" customHeight="1" s="1128"/>
    <row r="222" ht="15.75" customHeight="1" s="1128"/>
    <row r="223" ht="15.75" customHeight="1" s="1128"/>
    <row r="224" ht="15.75" customHeight="1" s="1128"/>
    <row r="225" ht="15.75" customHeight="1" s="1128"/>
    <row r="226" ht="15.75" customHeight="1" s="1128"/>
    <row r="227" ht="15.75" customHeight="1" s="1128"/>
    <row r="228" ht="15.75" customHeight="1" s="1128"/>
    <row r="229" ht="15.75" customHeight="1" s="1128"/>
    <row r="230" ht="15.75" customHeight="1" s="1128"/>
    <row r="231" ht="15.75" customHeight="1" s="1128"/>
    <row r="232" ht="15.75" customHeight="1" s="1128"/>
    <row r="233" ht="15.75" customHeight="1" s="1128"/>
    <row r="234" ht="15.75" customHeight="1" s="1128"/>
    <row r="235" ht="15.75" customHeight="1" s="1128"/>
    <row r="236" ht="15.75" customHeight="1" s="1128"/>
    <row r="237" ht="15.75" customHeight="1" s="1128"/>
    <row r="238" ht="15.75" customHeight="1" s="1128"/>
    <row r="239" ht="15.75" customHeight="1" s="1128"/>
    <row r="240" ht="15.75" customHeight="1" s="1128"/>
    <row r="241" ht="15.75" customHeight="1" s="1128"/>
    <row r="242" ht="15.75" customHeight="1" s="1128"/>
    <row r="243" ht="15.75" customHeight="1" s="1128"/>
    <row r="244" ht="15.75" customHeight="1" s="1128"/>
    <row r="245" ht="15.75" customHeight="1" s="1128"/>
    <row r="246" ht="15.75" customHeight="1" s="1128"/>
    <row r="247" ht="15.75" customHeight="1" s="1128"/>
    <row r="248" ht="15.75" customHeight="1" s="1128"/>
    <row r="249" ht="15.75" customHeight="1" s="1128"/>
    <row r="250" ht="15.75" customHeight="1" s="1128"/>
    <row r="251" ht="15.75" customHeight="1" s="1128"/>
    <row r="252" ht="15.75" customHeight="1" s="1128"/>
    <row r="253" ht="15.75" customHeight="1" s="1128"/>
    <row r="254" ht="15.75" customHeight="1" s="1128"/>
    <row r="255" ht="15.75" customHeight="1" s="1128"/>
    <row r="256" ht="15.75" customHeight="1" s="1128"/>
    <row r="257" ht="15.75" customHeight="1" s="1128"/>
    <row r="258" ht="15.75" customHeight="1" s="1128"/>
    <row r="259" ht="15.75" customHeight="1" s="1128"/>
    <row r="260" ht="15.75" customHeight="1" s="1128"/>
    <row r="261" ht="15.75" customHeight="1" s="1128"/>
    <row r="262" ht="15.75" customHeight="1" s="1128"/>
    <row r="263" ht="15.75" customHeight="1" s="1128"/>
    <row r="264" ht="15.75" customHeight="1" s="1128"/>
    <row r="265" ht="15.75" customHeight="1" s="1128"/>
    <row r="266" ht="15.75" customHeight="1" s="1128"/>
    <row r="267" ht="15.75" customHeight="1" s="1128"/>
    <row r="268" ht="15.75" customHeight="1" s="1128"/>
    <row r="269" ht="15.75" customHeight="1" s="1128"/>
    <row r="270" ht="15.75" customHeight="1" s="1128"/>
    <row r="271" ht="15.75" customHeight="1" s="1128"/>
    <row r="272" ht="15.75" customHeight="1" s="1128"/>
    <row r="273" ht="15.75" customHeight="1" s="1128"/>
    <row r="274" ht="15.75" customHeight="1" s="1128"/>
    <row r="275" ht="15.75" customHeight="1" s="1128"/>
    <row r="276" ht="15.75" customHeight="1" s="1128"/>
    <row r="277" ht="15.75" customHeight="1" s="1128"/>
    <row r="278" ht="15.75" customHeight="1" s="1128"/>
    <row r="279" ht="15.75" customHeight="1" s="1128"/>
    <row r="280" ht="15.75" customHeight="1" s="1128"/>
    <row r="281" ht="15.75" customHeight="1" s="1128"/>
    <row r="282" ht="15.75" customHeight="1" s="1128"/>
    <row r="283" ht="15.75" customHeight="1" s="1128"/>
    <row r="284" ht="15.75" customHeight="1" s="1128"/>
    <row r="285" ht="15.75" customHeight="1" s="1128"/>
    <row r="286" ht="15.75" customHeight="1" s="1128"/>
    <row r="287" ht="15.75" customHeight="1" s="1128"/>
    <row r="288" ht="15.75" customHeight="1" s="1128"/>
    <row r="289" ht="15.75" customHeight="1" s="1128"/>
    <row r="290" ht="15.75" customHeight="1" s="1128"/>
    <row r="291" ht="15.75" customHeight="1" s="1128"/>
    <row r="292" ht="15.75" customHeight="1" s="1128"/>
    <row r="293" ht="15.75" customHeight="1" s="1128"/>
    <row r="294" ht="15.75" customHeight="1" s="1128"/>
    <row r="295" ht="15.75" customHeight="1" s="1128"/>
    <row r="296" ht="15.75" customHeight="1" s="1128"/>
    <row r="297" ht="15.75" customHeight="1" s="1128"/>
    <row r="298" ht="15.75" customHeight="1" s="1128"/>
    <row r="299" ht="15.75" customHeight="1" s="1128"/>
    <row r="300" ht="15.75" customHeight="1" s="1128"/>
    <row r="301" ht="15.75" customHeight="1" s="1128"/>
    <row r="302" ht="15.75" customHeight="1" s="1128"/>
    <row r="303" ht="15.75" customHeight="1" s="1128"/>
    <row r="304" ht="15.75" customHeight="1" s="1128"/>
    <row r="305" ht="15.75" customHeight="1" s="1128"/>
    <row r="306" ht="15.75" customHeight="1" s="1128"/>
    <row r="307" ht="15.75" customHeight="1" s="1128"/>
    <row r="308" ht="15.75" customHeight="1" s="1128"/>
    <row r="309" ht="15.75" customHeight="1" s="1128"/>
    <row r="310" ht="15.75" customHeight="1" s="1128"/>
    <row r="311" ht="15.75" customHeight="1" s="1128"/>
    <row r="312" ht="15.75" customHeight="1" s="1128"/>
    <row r="313" ht="15.75" customHeight="1" s="1128"/>
    <row r="314" ht="15.75" customHeight="1" s="1128"/>
    <row r="315" ht="15.75" customHeight="1" s="1128"/>
    <row r="316" ht="15.75" customHeight="1" s="1128"/>
    <row r="317" ht="15.75" customHeight="1" s="1128"/>
    <row r="318" ht="15.75" customHeight="1" s="1128"/>
    <row r="319" ht="15.75" customHeight="1" s="1128"/>
    <row r="320" ht="15.75" customHeight="1" s="1128"/>
    <row r="321" ht="15.75" customHeight="1" s="1128"/>
    <row r="322" ht="15.75" customHeight="1" s="1128"/>
    <row r="323" ht="15.75" customHeight="1" s="1128"/>
    <row r="324" ht="15.75" customHeight="1" s="1128"/>
    <row r="325" ht="15.75" customHeight="1" s="1128"/>
    <row r="326" ht="15.75" customHeight="1" s="1128"/>
    <row r="327" ht="15.75" customHeight="1" s="1128"/>
    <row r="328" ht="15.75" customHeight="1" s="1128"/>
    <row r="329" ht="15.75" customHeight="1" s="1128"/>
    <row r="330" ht="15.75" customHeight="1" s="1128"/>
    <row r="331" ht="15.75" customHeight="1" s="1128"/>
    <row r="332" ht="15.75" customHeight="1" s="1128"/>
    <row r="333" ht="15.75" customHeight="1" s="1128"/>
    <row r="334" ht="15.75" customHeight="1" s="1128"/>
    <row r="335" ht="15.75" customHeight="1" s="1128"/>
    <row r="336" ht="15.75" customHeight="1" s="1128"/>
    <row r="337" ht="15.75" customHeight="1" s="1128"/>
    <row r="338" ht="15.75" customHeight="1" s="1128"/>
    <row r="339" ht="15.75" customHeight="1" s="1128"/>
    <row r="340" ht="15.75" customHeight="1" s="1128"/>
    <row r="341" ht="15.75" customHeight="1" s="1128"/>
    <row r="342" ht="15.75" customHeight="1" s="1128"/>
    <row r="343" ht="15.75" customHeight="1" s="1128"/>
    <row r="344" ht="15.75" customHeight="1" s="1128"/>
    <row r="345" ht="15.75" customHeight="1" s="1128"/>
    <row r="346" ht="15.75" customHeight="1" s="1128"/>
    <row r="347" ht="15.75" customHeight="1" s="1128"/>
    <row r="348" ht="15.75" customHeight="1" s="1128"/>
    <row r="349" ht="15.75" customHeight="1" s="1128"/>
    <row r="350" ht="15.75" customHeight="1" s="1128"/>
    <row r="351" ht="15.75" customHeight="1" s="1128"/>
    <row r="352" ht="15.75" customHeight="1" s="1128"/>
    <row r="353" ht="15.75" customHeight="1" s="1128"/>
    <row r="354" ht="15.75" customHeight="1" s="1128"/>
    <row r="355" ht="15.75" customHeight="1" s="1128"/>
    <row r="356" ht="15.75" customHeight="1" s="1128"/>
    <row r="357" ht="15.75" customHeight="1" s="1128"/>
    <row r="358" ht="15.75" customHeight="1" s="1128"/>
    <row r="359" ht="15.75" customHeight="1" s="1128"/>
    <row r="360" ht="15.75" customHeight="1" s="1128"/>
    <row r="361" ht="15.75" customHeight="1" s="1128"/>
    <row r="362" ht="15.75" customHeight="1" s="1128"/>
    <row r="363" ht="15.75" customHeight="1" s="1128"/>
    <row r="364" ht="15.75" customHeight="1" s="1128"/>
    <row r="365" ht="15.75" customHeight="1" s="1128"/>
    <row r="366" ht="15.75" customHeight="1" s="1128"/>
    <row r="367" ht="15.75" customHeight="1" s="1128"/>
    <row r="368" ht="15.75" customHeight="1" s="1128"/>
    <row r="369" ht="15.75" customHeight="1" s="1128"/>
    <row r="370" ht="15.75" customHeight="1" s="1128"/>
    <row r="371" ht="15.75" customHeight="1" s="1128"/>
    <row r="372" ht="15.75" customHeight="1" s="1128"/>
    <row r="373" ht="15.75" customHeight="1" s="1128"/>
    <row r="374" ht="15.75" customHeight="1" s="1128"/>
    <row r="375" ht="15.75" customHeight="1" s="1128"/>
    <row r="376" ht="15.75" customHeight="1" s="1128"/>
    <row r="377" ht="15.75" customHeight="1" s="1128"/>
    <row r="378" ht="15.75" customHeight="1" s="1128"/>
    <row r="379" ht="15.75" customHeight="1" s="1128"/>
    <row r="380" ht="15.75" customHeight="1" s="1128"/>
    <row r="381" ht="15.75" customHeight="1" s="1128"/>
    <row r="382" ht="15.75" customHeight="1" s="1128"/>
    <row r="383" ht="15.75" customHeight="1" s="1128"/>
    <row r="384" ht="15.75" customHeight="1" s="1128"/>
    <row r="385" ht="15.75" customHeight="1" s="1128"/>
    <row r="386" ht="15.75" customHeight="1" s="1128"/>
    <row r="387" ht="15.75" customHeight="1" s="1128"/>
    <row r="388" ht="15.75" customHeight="1" s="1128"/>
    <row r="389" ht="15.75" customHeight="1" s="1128"/>
    <row r="390" ht="15.75" customHeight="1" s="1128"/>
    <row r="391" ht="15.75" customHeight="1" s="1128"/>
    <row r="392" ht="15.75" customHeight="1" s="1128"/>
    <row r="393" ht="15.75" customHeight="1" s="1128"/>
    <row r="394" ht="15.75" customHeight="1" s="1128"/>
    <row r="395" ht="15.75" customHeight="1" s="1128"/>
    <row r="396" ht="15.75" customHeight="1" s="1128"/>
    <row r="397" ht="15.75" customHeight="1" s="1128"/>
    <row r="398" ht="15.75" customHeight="1" s="1128"/>
    <row r="399" ht="15.75" customHeight="1" s="1128"/>
    <row r="400" ht="15.75" customHeight="1" s="1128"/>
    <row r="401" ht="15.75" customHeight="1" s="1128"/>
    <row r="402" ht="15.75" customHeight="1" s="1128"/>
    <row r="403" ht="15.75" customHeight="1" s="1128"/>
    <row r="404" ht="15.75" customHeight="1" s="1128"/>
    <row r="405" ht="15.75" customHeight="1" s="1128"/>
    <row r="406" ht="15.75" customHeight="1" s="1128"/>
    <row r="407" ht="15.75" customHeight="1" s="1128"/>
    <row r="408" ht="15.75" customHeight="1" s="1128"/>
    <row r="409" ht="15.75" customHeight="1" s="1128"/>
    <row r="410" ht="15.75" customHeight="1" s="1128"/>
    <row r="411" ht="15.75" customHeight="1" s="1128"/>
    <row r="412" ht="15.75" customHeight="1" s="1128"/>
    <row r="413" ht="15.75" customHeight="1" s="1128"/>
    <row r="414" ht="15.75" customHeight="1" s="1128"/>
    <row r="415" ht="15.75" customHeight="1" s="1128"/>
    <row r="416" ht="15.75" customHeight="1" s="1128"/>
    <row r="417" ht="15.75" customHeight="1" s="1128"/>
    <row r="418" ht="15.75" customHeight="1" s="1128"/>
    <row r="419" ht="15.75" customHeight="1" s="1128"/>
    <row r="420" ht="15.75" customHeight="1" s="1128"/>
    <row r="421" ht="15.75" customHeight="1" s="1128"/>
    <row r="422" ht="15.75" customHeight="1" s="1128"/>
    <row r="423" ht="15.75" customHeight="1" s="1128"/>
    <row r="424" ht="15.75" customHeight="1" s="1128"/>
    <row r="425" ht="15.75" customHeight="1" s="1128"/>
    <row r="426" ht="15.75" customHeight="1" s="1128"/>
    <row r="427" ht="15.75" customHeight="1" s="1128"/>
    <row r="428" ht="15.75" customHeight="1" s="1128"/>
    <row r="429" ht="15.75" customHeight="1" s="1128"/>
    <row r="430" ht="15.75" customHeight="1" s="1128"/>
    <row r="431" ht="15.75" customHeight="1" s="1128"/>
    <row r="432" ht="15.75" customHeight="1" s="1128"/>
    <row r="433" ht="15.75" customHeight="1" s="1128"/>
    <row r="434" ht="15.75" customHeight="1" s="1128"/>
    <row r="435" ht="15.75" customHeight="1" s="1128"/>
    <row r="436" ht="15.75" customHeight="1" s="1128"/>
    <row r="437" ht="15.75" customHeight="1" s="1128"/>
    <row r="438" ht="15.75" customHeight="1" s="1128"/>
    <row r="439" ht="15.75" customHeight="1" s="1128"/>
    <row r="440" ht="15.75" customHeight="1" s="1128"/>
    <row r="441" ht="15.75" customHeight="1" s="1128"/>
    <row r="442" ht="15.75" customHeight="1" s="1128"/>
    <row r="443" ht="15.75" customHeight="1" s="1128"/>
    <row r="444" ht="15.75" customHeight="1" s="1128"/>
    <row r="445" ht="15.75" customHeight="1" s="1128"/>
    <row r="446" ht="15.75" customHeight="1" s="1128"/>
    <row r="447" ht="15.75" customHeight="1" s="1128"/>
    <row r="448" ht="15.75" customHeight="1" s="1128"/>
    <row r="449" ht="15.75" customHeight="1" s="1128"/>
    <row r="450" ht="15.75" customHeight="1" s="1128"/>
    <row r="451" ht="15.75" customHeight="1" s="1128"/>
    <row r="452" ht="15.75" customHeight="1" s="1128"/>
    <row r="453" ht="15.75" customHeight="1" s="1128"/>
    <row r="454" ht="15.75" customHeight="1" s="1128"/>
    <row r="455" ht="15.75" customHeight="1" s="1128"/>
    <row r="456" ht="15.75" customHeight="1" s="1128"/>
    <row r="457" ht="15.75" customHeight="1" s="1128"/>
    <row r="458" ht="15.75" customHeight="1" s="1128"/>
    <row r="459" ht="15.75" customHeight="1" s="1128"/>
    <row r="460" ht="15.75" customHeight="1" s="1128"/>
    <row r="461" ht="15.75" customHeight="1" s="1128"/>
    <row r="462" ht="15.75" customHeight="1" s="1128"/>
    <row r="463" ht="15.75" customHeight="1" s="1128"/>
    <row r="464" ht="15.75" customHeight="1" s="1128"/>
    <row r="465" ht="15.75" customHeight="1" s="1128"/>
    <row r="466" ht="15.75" customHeight="1" s="1128"/>
    <row r="467" ht="15.75" customHeight="1" s="1128"/>
    <row r="468" ht="15.75" customHeight="1" s="1128"/>
    <row r="469" ht="15.75" customHeight="1" s="1128"/>
    <row r="470" ht="15.75" customHeight="1" s="1128"/>
    <row r="471" ht="15.75" customHeight="1" s="1128"/>
    <row r="472" ht="15.75" customHeight="1" s="1128"/>
    <row r="473" ht="15.75" customHeight="1" s="1128"/>
    <row r="474" ht="15.75" customHeight="1" s="1128"/>
    <row r="475" ht="15.75" customHeight="1" s="1128"/>
    <row r="476" ht="15.75" customHeight="1" s="1128"/>
    <row r="477" ht="15.75" customHeight="1" s="1128"/>
    <row r="478" ht="15.75" customHeight="1" s="1128"/>
    <row r="479" ht="15.75" customHeight="1" s="1128"/>
    <row r="480" ht="15.75" customHeight="1" s="1128"/>
    <row r="481" ht="15.75" customHeight="1" s="1128"/>
    <row r="482" ht="15.75" customHeight="1" s="1128"/>
    <row r="483" ht="15.75" customHeight="1" s="1128"/>
    <row r="484" ht="15.75" customHeight="1" s="1128"/>
    <row r="485" ht="15.75" customHeight="1" s="1128"/>
    <row r="486" ht="15.75" customHeight="1" s="1128"/>
    <row r="487" ht="15.75" customHeight="1" s="1128"/>
    <row r="488" ht="15.75" customHeight="1" s="1128"/>
    <row r="489" ht="15.75" customHeight="1" s="1128"/>
    <row r="490" ht="15.75" customHeight="1" s="1128"/>
    <row r="491" ht="15.75" customHeight="1" s="1128"/>
    <row r="492" ht="15.75" customHeight="1" s="1128"/>
    <row r="493" ht="15.75" customHeight="1" s="1128"/>
    <row r="494" ht="15.75" customHeight="1" s="1128"/>
    <row r="495" ht="15.75" customHeight="1" s="1128"/>
    <row r="496" ht="15.75" customHeight="1" s="1128"/>
    <row r="497" ht="15.75" customHeight="1" s="1128"/>
    <row r="498" ht="15.75" customHeight="1" s="1128"/>
    <row r="499" ht="15.75" customHeight="1" s="1128"/>
    <row r="500" ht="15.75" customHeight="1" s="1128"/>
    <row r="501" ht="15.75" customHeight="1" s="1128"/>
    <row r="502" ht="15.75" customHeight="1" s="1128"/>
    <row r="503" ht="15.75" customHeight="1" s="1128"/>
    <row r="504" ht="15.75" customHeight="1" s="1128"/>
    <row r="505" ht="15.75" customHeight="1" s="1128"/>
    <row r="506" ht="15.75" customHeight="1" s="1128"/>
    <row r="507" ht="15.75" customHeight="1" s="1128"/>
    <row r="508" ht="15.75" customHeight="1" s="1128"/>
    <row r="509" ht="15.75" customHeight="1" s="1128"/>
    <row r="510" ht="15.75" customHeight="1" s="1128"/>
    <row r="511" ht="15.75" customHeight="1" s="1128"/>
    <row r="512" ht="15.75" customHeight="1" s="1128"/>
    <row r="513" ht="15.75" customHeight="1" s="1128"/>
    <row r="514" ht="15.75" customHeight="1" s="1128"/>
    <row r="515" ht="15.75" customHeight="1" s="1128"/>
    <row r="516" ht="15.75" customHeight="1" s="1128"/>
    <row r="517" ht="15.75" customHeight="1" s="1128"/>
    <row r="518" ht="15.75" customHeight="1" s="1128"/>
    <row r="519" ht="15.75" customHeight="1" s="1128"/>
    <row r="520" ht="15.75" customHeight="1" s="1128"/>
    <row r="521" ht="15.75" customHeight="1" s="1128"/>
    <row r="522" ht="15.75" customHeight="1" s="1128"/>
    <row r="523" ht="15.75" customHeight="1" s="1128"/>
    <row r="524" ht="15.75" customHeight="1" s="1128"/>
    <row r="525" ht="15.75" customHeight="1" s="1128"/>
    <row r="526" ht="15.75" customHeight="1" s="1128"/>
    <row r="527" ht="15.75" customHeight="1" s="1128"/>
    <row r="528" ht="15.75" customHeight="1" s="1128"/>
    <row r="529" ht="15.75" customHeight="1" s="1128"/>
    <row r="530" ht="15.75" customHeight="1" s="1128"/>
    <row r="531" ht="15.75" customHeight="1" s="1128"/>
    <row r="532" ht="15.75" customHeight="1" s="1128"/>
    <row r="533" ht="15.75" customHeight="1" s="1128"/>
    <row r="534" ht="15.75" customHeight="1" s="1128"/>
    <row r="535" ht="15.75" customHeight="1" s="1128"/>
    <row r="536" ht="15.75" customHeight="1" s="1128"/>
    <row r="537" ht="15.75" customHeight="1" s="1128"/>
    <row r="538" ht="15.75" customHeight="1" s="1128"/>
    <row r="539" ht="15.75" customHeight="1" s="1128"/>
    <row r="540" ht="15.75" customHeight="1" s="1128"/>
    <row r="541" ht="15.75" customHeight="1" s="1128"/>
    <row r="542" ht="15.75" customHeight="1" s="1128"/>
    <row r="543" ht="15.75" customHeight="1" s="1128"/>
    <row r="544" ht="15.75" customHeight="1" s="1128"/>
    <row r="545" ht="15.75" customHeight="1" s="1128"/>
    <row r="546" ht="15.75" customHeight="1" s="1128"/>
    <row r="547" ht="15.75" customHeight="1" s="1128"/>
    <row r="548" ht="15.75" customHeight="1" s="1128"/>
    <row r="549" ht="15.75" customHeight="1" s="1128"/>
    <row r="550" ht="15.75" customHeight="1" s="1128"/>
    <row r="551" ht="15.75" customHeight="1" s="1128"/>
    <row r="552" ht="15.75" customHeight="1" s="1128"/>
    <row r="553" ht="15.75" customHeight="1" s="1128"/>
    <row r="554" ht="15.75" customHeight="1" s="1128"/>
    <row r="555" ht="15.75" customHeight="1" s="1128"/>
    <row r="556" ht="15.75" customHeight="1" s="1128"/>
    <row r="557" ht="15.75" customHeight="1" s="1128"/>
    <row r="558" ht="15.75" customHeight="1" s="1128"/>
    <row r="559" ht="15.75" customHeight="1" s="1128"/>
    <row r="560" ht="15.75" customHeight="1" s="1128"/>
    <row r="561" ht="15.75" customHeight="1" s="1128"/>
    <row r="562" ht="15.75" customHeight="1" s="1128"/>
    <row r="563" ht="15.75" customHeight="1" s="1128"/>
    <row r="564" ht="15.75" customHeight="1" s="1128"/>
    <row r="565" ht="15.75" customHeight="1" s="1128"/>
    <row r="566" ht="15.75" customHeight="1" s="1128"/>
    <row r="567" ht="15.75" customHeight="1" s="1128"/>
    <row r="568" ht="15.75" customHeight="1" s="1128"/>
    <row r="569" ht="15.75" customHeight="1" s="1128"/>
    <row r="570" ht="15.75" customHeight="1" s="1128"/>
    <row r="571" ht="15.75" customHeight="1" s="1128"/>
    <row r="572" ht="15.75" customHeight="1" s="1128"/>
    <row r="573" ht="15.75" customHeight="1" s="1128"/>
    <row r="574" ht="15.75" customHeight="1" s="1128"/>
    <row r="575" ht="15.75" customHeight="1" s="1128"/>
    <row r="576" ht="15.75" customHeight="1" s="1128"/>
    <row r="577" ht="15.75" customHeight="1" s="1128"/>
    <row r="578" ht="15.75" customHeight="1" s="1128"/>
    <row r="579" ht="15.75" customHeight="1" s="1128"/>
    <row r="580" ht="15.75" customHeight="1" s="1128"/>
    <row r="581" ht="15.75" customHeight="1" s="1128"/>
    <row r="582" ht="15.75" customHeight="1" s="1128"/>
    <row r="583" ht="15.75" customHeight="1" s="1128"/>
    <row r="584" ht="15.75" customHeight="1" s="1128"/>
    <row r="585" ht="15.75" customHeight="1" s="1128"/>
    <row r="586" ht="15.75" customHeight="1" s="1128"/>
    <row r="587" ht="15.75" customHeight="1" s="1128"/>
    <row r="588" ht="15.75" customHeight="1" s="1128"/>
    <row r="589" ht="15.75" customHeight="1" s="1128"/>
    <row r="590" ht="15.75" customHeight="1" s="1128"/>
    <row r="591" ht="15.75" customHeight="1" s="1128"/>
    <row r="592" ht="15.75" customHeight="1" s="1128"/>
    <row r="593" ht="15.75" customHeight="1" s="1128"/>
    <row r="594" ht="15.75" customHeight="1" s="1128"/>
    <row r="595" ht="15.75" customHeight="1" s="1128"/>
    <row r="596" ht="15.75" customHeight="1" s="1128"/>
    <row r="597" ht="15.75" customHeight="1" s="1128"/>
    <row r="598" ht="15.75" customHeight="1" s="1128"/>
    <row r="599" ht="15.75" customHeight="1" s="1128"/>
    <row r="600" ht="15.75" customHeight="1" s="1128"/>
    <row r="601" ht="15.75" customHeight="1" s="1128"/>
    <row r="602" ht="15.75" customHeight="1" s="1128"/>
    <row r="603" ht="15.75" customHeight="1" s="1128"/>
    <row r="604" ht="15.75" customHeight="1" s="1128"/>
    <row r="605" ht="15.75" customHeight="1" s="1128"/>
    <row r="606" ht="15.75" customHeight="1" s="1128"/>
    <row r="607" ht="15.75" customHeight="1" s="1128"/>
    <row r="608" ht="15.75" customHeight="1" s="1128"/>
    <row r="609" ht="15.75" customHeight="1" s="1128"/>
    <row r="610" ht="15.75" customHeight="1" s="1128"/>
    <row r="611" ht="15.75" customHeight="1" s="1128"/>
    <row r="612" ht="15.75" customHeight="1" s="1128"/>
    <row r="613" ht="15.75" customHeight="1" s="1128"/>
    <row r="614" ht="15.75" customHeight="1" s="1128"/>
    <row r="615" ht="15.75" customHeight="1" s="1128"/>
    <row r="616" ht="15.75" customHeight="1" s="1128"/>
    <row r="617" ht="15.75" customHeight="1" s="1128"/>
    <row r="618" ht="15.75" customHeight="1" s="1128"/>
    <row r="619" ht="15.75" customHeight="1" s="1128"/>
    <row r="620" ht="15.75" customHeight="1" s="1128"/>
    <row r="621" ht="15.75" customHeight="1" s="1128"/>
    <row r="622" ht="15.75" customHeight="1" s="1128"/>
    <row r="623" ht="15.75" customHeight="1" s="1128"/>
    <row r="624" ht="15.75" customHeight="1" s="1128"/>
    <row r="625" ht="15.75" customHeight="1" s="1128"/>
    <row r="626" ht="15.75" customHeight="1" s="1128"/>
    <row r="627" ht="15.75" customHeight="1" s="1128"/>
    <row r="628" ht="15.75" customHeight="1" s="1128"/>
    <row r="629" ht="15.75" customHeight="1" s="1128"/>
    <row r="630" ht="15.75" customHeight="1" s="1128"/>
    <row r="631" ht="15.75" customHeight="1" s="1128"/>
    <row r="632" ht="15.75" customHeight="1" s="1128"/>
    <row r="633" ht="15.75" customHeight="1" s="1128"/>
    <row r="634" ht="15.75" customHeight="1" s="1128"/>
    <row r="635" ht="15.75" customHeight="1" s="1128"/>
    <row r="636" ht="15.75" customHeight="1" s="1128"/>
    <row r="637" ht="15.75" customHeight="1" s="1128"/>
    <row r="638" ht="15.75" customHeight="1" s="1128"/>
    <row r="639" ht="15.75" customHeight="1" s="1128"/>
    <row r="640" ht="15.75" customHeight="1" s="1128"/>
    <row r="641" ht="15.75" customHeight="1" s="1128"/>
    <row r="642" ht="15.75" customHeight="1" s="1128"/>
    <row r="643" ht="15.75" customHeight="1" s="1128"/>
    <row r="644" ht="15.75" customHeight="1" s="1128"/>
    <row r="645" ht="15.75" customHeight="1" s="1128"/>
    <row r="646" ht="15.75" customHeight="1" s="1128"/>
    <row r="647" ht="15.75" customHeight="1" s="1128"/>
    <row r="648" ht="15.75" customHeight="1" s="1128"/>
    <row r="649" ht="15.75" customHeight="1" s="1128"/>
    <row r="650" ht="15.75" customHeight="1" s="1128"/>
    <row r="651" ht="15.75" customHeight="1" s="1128"/>
    <row r="652" ht="15.75" customHeight="1" s="1128"/>
    <row r="653" ht="15.75" customHeight="1" s="1128"/>
    <row r="654" ht="15.75" customHeight="1" s="1128"/>
    <row r="655" ht="15.75" customHeight="1" s="1128"/>
    <row r="656" ht="15.75" customHeight="1" s="1128"/>
    <row r="657" ht="15.75" customHeight="1" s="1128"/>
    <row r="658" ht="15.75" customHeight="1" s="1128"/>
    <row r="659" ht="15.75" customHeight="1" s="1128"/>
    <row r="660" ht="15.75" customHeight="1" s="1128"/>
    <row r="661" ht="15.75" customHeight="1" s="1128"/>
    <row r="662" ht="15.75" customHeight="1" s="1128"/>
    <row r="663" ht="15.75" customHeight="1" s="1128"/>
    <row r="664" ht="15.75" customHeight="1" s="1128"/>
    <row r="665" ht="15.75" customHeight="1" s="1128"/>
    <row r="666" ht="15.75" customHeight="1" s="1128"/>
    <row r="667" ht="15.75" customHeight="1" s="1128"/>
    <row r="668" ht="15.75" customHeight="1" s="1128"/>
    <row r="669" ht="15.75" customHeight="1" s="1128"/>
    <row r="670" ht="15.75" customHeight="1" s="1128"/>
    <row r="671" ht="15.75" customHeight="1" s="1128"/>
    <row r="672" ht="15.75" customHeight="1" s="1128"/>
    <row r="673" ht="15.75" customHeight="1" s="1128"/>
    <row r="674" ht="15.75" customHeight="1" s="1128"/>
    <row r="675" ht="15.75" customHeight="1" s="1128"/>
    <row r="676" ht="15.75" customHeight="1" s="1128"/>
    <row r="677" ht="15.75" customHeight="1" s="1128"/>
    <row r="678" ht="15.75" customHeight="1" s="1128"/>
    <row r="679" ht="15.75" customHeight="1" s="1128"/>
    <row r="680" ht="15.75" customHeight="1" s="1128"/>
    <row r="681" ht="15.75" customHeight="1" s="1128"/>
    <row r="682" ht="15.75" customHeight="1" s="1128"/>
    <row r="683" ht="15.75" customHeight="1" s="1128"/>
    <row r="684" ht="15.75" customHeight="1" s="1128"/>
    <row r="685" ht="15.75" customHeight="1" s="1128"/>
    <row r="686" ht="15.75" customHeight="1" s="1128"/>
    <row r="687" ht="15.75" customHeight="1" s="1128"/>
    <row r="688" ht="15.75" customHeight="1" s="1128"/>
    <row r="689" ht="15.75" customHeight="1" s="1128"/>
    <row r="690" ht="15.75" customHeight="1" s="1128"/>
    <row r="691" ht="15.75" customHeight="1" s="1128"/>
    <row r="692" ht="15.75" customHeight="1" s="1128"/>
    <row r="693" ht="15.75" customHeight="1" s="1128"/>
    <row r="694" ht="15.75" customHeight="1" s="1128"/>
    <row r="695" ht="15.75" customHeight="1" s="1128"/>
    <row r="696" ht="15.75" customHeight="1" s="1128"/>
    <row r="697" ht="15.75" customHeight="1" s="1128"/>
    <row r="698" ht="15.75" customHeight="1" s="1128"/>
    <row r="699" ht="15.75" customHeight="1" s="1128"/>
    <row r="700" ht="15.75" customHeight="1" s="1128"/>
    <row r="701" ht="15.75" customHeight="1" s="1128"/>
    <row r="702" ht="15.75" customHeight="1" s="1128"/>
    <row r="703" ht="15.75" customHeight="1" s="1128"/>
    <row r="704" ht="15.75" customHeight="1" s="1128"/>
    <row r="705" ht="15.75" customHeight="1" s="1128"/>
    <row r="706" ht="15.75" customHeight="1" s="1128"/>
    <row r="707" ht="15.75" customHeight="1" s="1128"/>
    <row r="708" ht="15.75" customHeight="1" s="1128"/>
    <row r="709" ht="15.75" customHeight="1" s="1128"/>
    <row r="710" ht="15.75" customHeight="1" s="1128"/>
    <row r="711" ht="15.75" customHeight="1" s="1128"/>
    <row r="712" ht="15.75" customHeight="1" s="1128"/>
    <row r="713" ht="15.75" customHeight="1" s="1128"/>
    <row r="714" ht="15.75" customHeight="1" s="1128"/>
    <row r="715" ht="15.75" customHeight="1" s="1128"/>
    <row r="716" ht="15.75" customHeight="1" s="1128"/>
    <row r="717" ht="15.75" customHeight="1" s="1128"/>
    <row r="718" ht="15.75" customHeight="1" s="1128"/>
    <row r="719" ht="15.75" customHeight="1" s="1128"/>
    <row r="720" ht="15.75" customHeight="1" s="1128"/>
    <row r="721" ht="15.75" customHeight="1" s="1128"/>
    <row r="722" ht="15.75" customHeight="1" s="1128"/>
    <row r="723" ht="15.75" customHeight="1" s="1128"/>
    <row r="724" ht="15.75" customHeight="1" s="1128"/>
    <row r="725" ht="15.75" customHeight="1" s="1128"/>
    <row r="726" ht="15.75" customHeight="1" s="1128"/>
    <row r="727" ht="15.75" customHeight="1" s="1128"/>
    <row r="728" ht="15.75" customHeight="1" s="1128"/>
    <row r="729" ht="15.75" customHeight="1" s="1128"/>
    <row r="730" ht="15.75" customHeight="1" s="1128"/>
    <row r="731" ht="15.75" customHeight="1" s="1128"/>
    <row r="732" ht="15.75" customHeight="1" s="1128"/>
    <row r="733" ht="15.75" customHeight="1" s="1128"/>
    <row r="734" ht="15.75" customHeight="1" s="1128"/>
    <row r="735" ht="15.75" customHeight="1" s="1128"/>
    <row r="736" ht="15.75" customHeight="1" s="1128"/>
    <row r="737" ht="15.75" customHeight="1" s="1128"/>
    <row r="738" ht="15.75" customHeight="1" s="1128"/>
    <row r="739" ht="15.75" customHeight="1" s="1128"/>
    <row r="740" ht="15.75" customHeight="1" s="1128"/>
    <row r="741" ht="15.75" customHeight="1" s="1128"/>
    <row r="742" ht="15.75" customHeight="1" s="1128"/>
    <row r="743" ht="15.75" customHeight="1" s="1128"/>
    <row r="744" ht="15.75" customHeight="1" s="1128"/>
    <row r="745" ht="15.75" customHeight="1" s="1128"/>
    <row r="746" ht="15.75" customHeight="1" s="1128"/>
    <row r="747" ht="15.75" customHeight="1" s="1128"/>
    <row r="748" ht="15.75" customHeight="1" s="1128"/>
    <row r="749" ht="15.75" customHeight="1" s="1128"/>
    <row r="750" ht="15.75" customHeight="1" s="1128"/>
    <row r="751" ht="15.75" customHeight="1" s="1128"/>
    <row r="752" ht="15.75" customHeight="1" s="1128"/>
    <row r="753" ht="15.75" customHeight="1" s="1128"/>
    <row r="754" ht="15.75" customHeight="1" s="1128"/>
    <row r="755" ht="15.75" customHeight="1" s="1128"/>
    <row r="756" ht="15.75" customHeight="1" s="1128"/>
    <row r="757" ht="15.75" customHeight="1" s="1128"/>
    <row r="758" ht="15.75" customHeight="1" s="1128"/>
    <row r="759" ht="15.75" customHeight="1" s="1128"/>
    <row r="760" ht="15.75" customHeight="1" s="1128"/>
    <row r="761" ht="15.75" customHeight="1" s="1128"/>
    <row r="762" ht="15.75" customHeight="1" s="1128"/>
    <row r="763" ht="15.75" customHeight="1" s="1128"/>
    <row r="764" ht="15.75" customHeight="1" s="1128"/>
    <row r="765" ht="15.75" customHeight="1" s="1128"/>
    <row r="766" ht="15.75" customHeight="1" s="1128"/>
    <row r="767" ht="15.75" customHeight="1" s="1128"/>
    <row r="768" ht="15.75" customHeight="1" s="1128"/>
    <row r="769" ht="15.75" customHeight="1" s="1128"/>
    <row r="770" ht="15.75" customHeight="1" s="1128"/>
    <row r="771" ht="15.75" customHeight="1" s="1128"/>
    <row r="772" ht="15.75" customHeight="1" s="1128"/>
    <row r="773" ht="15.75" customHeight="1" s="1128"/>
    <row r="774" ht="15.75" customHeight="1" s="1128"/>
    <row r="775" ht="15.75" customHeight="1" s="1128"/>
    <row r="776" ht="15.75" customHeight="1" s="1128"/>
    <row r="777" ht="15.75" customHeight="1" s="1128"/>
    <row r="778" ht="15.75" customHeight="1" s="1128"/>
    <row r="779" ht="15.75" customHeight="1" s="1128"/>
    <row r="780" ht="15.75" customHeight="1" s="1128"/>
    <row r="781" ht="15.75" customHeight="1" s="1128"/>
    <row r="782" ht="15.75" customHeight="1" s="1128"/>
    <row r="783" ht="15.75" customHeight="1" s="1128"/>
    <row r="784" ht="15.75" customHeight="1" s="1128"/>
    <row r="785" ht="15.75" customHeight="1" s="1128"/>
    <row r="786" ht="15.75" customHeight="1" s="1128"/>
    <row r="787" ht="15.75" customHeight="1" s="1128"/>
    <row r="788" ht="15.75" customHeight="1" s="1128"/>
    <row r="789" ht="15.75" customHeight="1" s="1128"/>
    <row r="790" ht="15.75" customHeight="1" s="1128"/>
    <row r="791" ht="15.75" customHeight="1" s="1128"/>
    <row r="792" ht="15.75" customHeight="1" s="1128"/>
    <row r="793" ht="15.75" customHeight="1" s="1128"/>
    <row r="794" ht="15.75" customHeight="1" s="1128"/>
    <row r="795" ht="15.75" customHeight="1" s="1128"/>
    <row r="796" ht="15.75" customHeight="1" s="1128"/>
    <row r="797" ht="15.75" customHeight="1" s="1128"/>
    <row r="798" ht="15.75" customHeight="1" s="1128"/>
    <row r="799" ht="15.75" customHeight="1" s="1128"/>
    <row r="800" ht="15.75" customHeight="1" s="1128"/>
    <row r="801" ht="15.75" customHeight="1" s="1128"/>
    <row r="802" ht="15.75" customHeight="1" s="1128"/>
    <row r="803" ht="15.75" customHeight="1" s="1128"/>
    <row r="804" ht="15.75" customHeight="1" s="1128"/>
    <row r="805" ht="15.75" customHeight="1" s="1128"/>
    <row r="806" ht="15.75" customHeight="1" s="1128"/>
    <row r="807" ht="15.75" customHeight="1" s="1128"/>
    <row r="808" ht="15.75" customHeight="1" s="1128"/>
    <row r="809" ht="15.75" customHeight="1" s="1128"/>
    <row r="810" ht="15.75" customHeight="1" s="1128"/>
    <row r="811" ht="15.75" customHeight="1" s="1128"/>
    <row r="812" ht="15.75" customHeight="1" s="1128"/>
    <row r="813" ht="15.75" customHeight="1" s="1128"/>
    <row r="814" ht="15.75" customHeight="1" s="1128"/>
    <row r="815" ht="15.75" customHeight="1" s="1128"/>
    <row r="816" ht="15.75" customHeight="1" s="1128"/>
    <row r="817" ht="15.75" customHeight="1" s="1128"/>
    <row r="818" ht="15.75" customHeight="1" s="1128"/>
    <row r="819" ht="15.75" customHeight="1" s="1128"/>
    <row r="820" ht="15.75" customHeight="1" s="1128"/>
    <row r="821" ht="15.75" customHeight="1" s="1128"/>
    <row r="822" ht="15.75" customHeight="1" s="1128"/>
    <row r="823" ht="15.75" customHeight="1" s="1128"/>
    <row r="824" ht="15.75" customHeight="1" s="1128"/>
    <row r="825" ht="15.75" customHeight="1" s="1128"/>
    <row r="826" ht="15.75" customHeight="1" s="1128"/>
    <row r="827" ht="15.75" customHeight="1" s="1128"/>
    <row r="828" ht="15.75" customHeight="1" s="1128"/>
    <row r="829" ht="15.75" customHeight="1" s="1128"/>
    <row r="830" ht="15.75" customHeight="1" s="1128"/>
    <row r="831" ht="15.75" customHeight="1" s="1128"/>
    <row r="832" ht="15.75" customHeight="1" s="1128"/>
    <row r="833" ht="15.75" customHeight="1" s="1128"/>
    <row r="834" ht="15.75" customHeight="1" s="1128"/>
    <row r="835" ht="15.75" customHeight="1" s="1128"/>
    <row r="836" ht="15.75" customHeight="1" s="1128"/>
    <row r="837" ht="15.75" customHeight="1" s="1128"/>
    <row r="838" ht="15.75" customHeight="1" s="1128"/>
    <row r="839" ht="15.75" customHeight="1" s="1128"/>
    <row r="840" ht="15.75" customHeight="1" s="1128"/>
    <row r="841" ht="15.75" customHeight="1" s="1128"/>
    <row r="842" ht="15.75" customHeight="1" s="1128"/>
    <row r="843" ht="15.75" customHeight="1" s="1128"/>
    <row r="844" ht="15.75" customHeight="1" s="1128"/>
    <row r="845" ht="15.75" customHeight="1" s="1128"/>
    <row r="846" ht="15.75" customHeight="1" s="1128"/>
    <row r="847" ht="15.75" customHeight="1" s="1128"/>
    <row r="848" ht="15.75" customHeight="1" s="1128"/>
    <row r="849" ht="15.75" customHeight="1" s="1128"/>
    <row r="850" ht="15.75" customHeight="1" s="1128"/>
    <row r="851" ht="15.75" customHeight="1" s="1128"/>
    <row r="852" ht="15.75" customHeight="1" s="1128"/>
    <row r="853" ht="15.75" customHeight="1" s="1128"/>
    <row r="854" ht="15.75" customHeight="1" s="1128"/>
    <row r="855" ht="15.75" customHeight="1" s="1128"/>
    <row r="856" ht="15.75" customHeight="1" s="1128"/>
    <row r="857" ht="15.75" customHeight="1" s="1128"/>
    <row r="858" ht="15.75" customHeight="1" s="1128"/>
    <row r="859" ht="15.75" customHeight="1" s="1128"/>
    <row r="860" ht="15.75" customHeight="1" s="1128"/>
    <row r="861" ht="15.75" customHeight="1" s="1128"/>
    <row r="862" ht="15.75" customHeight="1" s="1128"/>
    <row r="863" ht="15.75" customHeight="1" s="1128"/>
    <row r="864" ht="15.75" customHeight="1" s="1128"/>
    <row r="865" ht="15.75" customHeight="1" s="1128"/>
    <row r="866" ht="15.75" customHeight="1" s="1128"/>
    <row r="867" ht="15.75" customHeight="1" s="1128"/>
    <row r="868" ht="15.75" customHeight="1" s="1128"/>
    <row r="869" ht="15.75" customHeight="1" s="1128"/>
    <row r="870" ht="15.75" customHeight="1" s="1128"/>
    <row r="871" ht="15.75" customHeight="1" s="1128"/>
    <row r="872" ht="15.75" customHeight="1" s="1128"/>
    <row r="873" ht="15.75" customHeight="1" s="1128"/>
    <row r="874" ht="15.75" customHeight="1" s="1128"/>
    <row r="875" ht="15.75" customHeight="1" s="1128"/>
    <row r="876" ht="15.75" customHeight="1" s="1128"/>
    <row r="877" ht="15.75" customHeight="1" s="1128"/>
    <row r="878" ht="15.75" customHeight="1" s="1128"/>
    <row r="879" ht="15.75" customHeight="1" s="1128"/>
    <row r="880" ht="15.75" customHeight="1" s="1128"/>
    <row r="881" ht="15.75" customHeight="1" s="1128"/>
    <row r="882" ht="15.75" customHeight="1" s="1128"/>
    <row r="883" ht="15.75" customHeight="1" s="1128"/>
    <row r="884" ht="15.75" customHeight="1" s="1128"/>
    <row r="885" ht="15.75" customHeight="1" s="1128"/>
    <row r="886" ht="15.75" customHeight="1" s="1128"/>
    <row r="887" ht="15.75" customHeight="1" s="1128"/>
    <row r="888" ht="15.75" customHeight="1" s="1128"/>
    <row r="889" ht="15.75" customHeight="1" s="1128"/>
    <row r="890" ht="15.75" customHeight="1" s="1128"/>
    <row r="891" ht="15.75" customHeight="1" s="1128"/>
    <row r="892" ht="15.75" customHeight="1" s="1128"/>
    <row r="893" ht="15.75" customHeight="1" s="1128"/>
    <row r="894" ht="15.75" customHeight="1" s="1128"/>
    <row r="895" ht="15.75" customHeight="1" s="1128"/>
    <row r="896" ht="15.75" customHeight="1" s="1128"/>
    <row r="897" ht="15.75" customHeight="1" s="1128"/>
    <row r="898" ht="15.75" customHeight="1" s="1128"/>
    <row r="899" ht="15.75" customHeight="1" s="1128"/>
    <row r="900" ht="15.75" customHeight="1" s="1128"/>
    <row r="901" ht="15.75" customHeight="1" s="1128"/>
    <row r="902" ht="15.75" customHeight="1" s="1128"/>
    <row r="903" ht="15.75" customHeight="1" s="1128"/>
    <row r="904" ht="15.75" customHeight="1" s="1128"/>
    <row r="905" ht="15.75" customHeight="1" s="1128"/>
    <row r="906" ht="15.75" customHeight="1" s="1128"/>
    <row r="907" ht="15.75" customHeight="1" s="1128"/>
    <row r="908" ht="15.75" customHeight="1" s="1128"/>
    <row r="909" ht="15.75" customHeight="1" s="1128"/>
    <row r="910" ht="15.75" customHeight="1" s="1128"/>
    <row r="911" ht="15.75" customHeight="1" s="1128"/>
    <row r="912" ht="15.75" customHeight="1" s="1128"/>
    <row r="913" ht="15.75" customHeight="1" s="1128"/>
    <row r="914" ht="15.75" customHeight="1" s="1128"/>
    <row r="915" ht="15.75" customHeight="1" s="1128"/>
    <row r="916" ht="15.75" customHeight="1" s="1128"/>
    <row r="917" ht="15.75" customHeight="1" s="1128"/>
    <row r="918" ht="15.75" customHeight="1" s="1128"/>
    <row r="919" ht="15.75" customHeight="1" s="1128"/>
    <row r="920" ht="15.75" customHeight="1" s="1128"/>
    <row r="921" ht="15.75" customHeight="1" s="1128"/>
    <row r="922" ht="15.75" customHeight="1" s="1128"/>
    <row r="923" ht="15.75" customHeight="1" s="1128"/>
    <row r="924" ht="15.75" customHeight="1" s="1128"/>
    <row r="925" ht="15.75" customHeight="1" s="1128"/>
    <row r="926" ht="15.75" customHeight="1" s="1128"/>
    <row r="927" ht="15.75" customHeight="1" s="1128"/>
    <row r="928" ht="15.75" customHeight="1" s="1128"/>
    <row r="929" ht="15.75" customHeight="1" s="1128"/>
    <row r="930" ht="15.75" customHeight="1" s="1128"/>
    <row r="931" ht="15.75" customHeight="1" s="1128"/>
    <row r="932" ht="15.75" customHeight="1" s="1128"/>
    <row r="933" ht="15.75" customHeight="1" s="1128"/>
    <row r="934" ht="15.75" customHeight="1" s="1128"/>
    <row r="935" ht="15.75" customHeight="1" s="1128"/>
    <row r="936" ht="15.75" customHeight="1" s="1128"/>
    <row r="937" ht="15.75" customHeight="1" s="1128"/>
    <row r="938" ht="15.75" customHeight="1" s="1128"/>
    <row r="939" ht="15.75" customHeight="1" s="1128"/>
    <row r="940" ht="15.75" customHeight="1" s="1128"/>
    <row r="941" ht="15.75" customHeight="1" s="1128"/>
    <row r="942" ht="15.75" customHeight="1" s="1128"/>
    <row r="943" ht="15.75" customHeight="1" s="1128"/>
    <row r="944" ht="15.75" customHeight="1" s="1128"/>
    <row r="945" ht="15.75" customHeight="1" s="1128"/>
    <row r="946" ht="15.75" customHeight="1" s="1128"/>
    <row r="947" ht="15.75" customHeight="1" s="1128"/>
    <row r="948" ht="15.75" customHeight="1" s="1128"/>
    <row r="949" ht="15.75" customHeight="1" s="1128"/>
    <row r="950" ht="15.75" customHeight="1" s="1128"/>
    <row r="951" ht="15.75" customHeight="1" s="1128"/>
    <row r="952" ht="15.75" customHeight="1" s="1128"/>
    <row r="953" ht="15.75" customHeight="1" s="1128"/>
    <row r="954" ht="15.75" customHeight="1" s="1128"/>
    <row r="955" ht="15.75" customHeight="1" s="1128"/>
    <row r="956" ht="15.75" customHeight="1" s="1128"/>
    <row r="957" ht="15.75" customHeight="1" s="1128"/>
    <row r="958" ht="15.75" customHeight="1" s="1128"/>
    <row r="959" ht="15.75" customHeight="1" s="1128"/>
    <row r="960" ht="15.75" customHeight="1" s="1128"/>
    <row r="961" ht="15.75" customHeight="1" s="1128"/>
    <row r="962" ht="15.75" customHeight="1" s="1128"/>
    <row r="963" ht="15.75" customHeight="1" s="1128"/>
    <row r="964" ht="15.75" customHeight="1" s="1128"/>
    <row r="965" ht="15.75" customHeight="1" s="1128"/>
    <row r="966" ht="15.75" customHeight="1" s="1128"/>
    <row r="967" ht="15.75" customHeight="1" s="1128"/>
    <row r="968" ht="15.75" customHeight="1" s="1128"/>
    <row r="969" ht="15.75" customHeight="1" s="1128"/>
    <row r="970" ht="15.75" customHeight="1" s="1128"/>
    <row r="971" ht="15.75" customHeight="1" s="1128"/>
    <row r="972" ht="15.75" customHeight="1" s="1128"/>
    <row r="973" ht="15.75" customHeight="1" s="1128"/>
    <row r="974" ht="15.75" customHeight="1" s="1128"/>
    <row r="975" ht="15.75" customHeight="1" s="1128"/>
    <row r="976" ht="15.75" customHeight="1" s="1128"/>
    <row r="977" ht="15.75" customHeight="1" s="1128"/>
    <row r="978" ht="15.75" customHeight="1" s="1128"/>
    <row r="979" ht="15.75" customHeight="1" s="1128"/>
    <row r="980" ht="15.75" customHeight="1" s="1128"/>
    <row r="981" ht="15.75" customHeight="1" s="1128"/>
    <row r="982" ht="15.75" customHeight="1" s="1128"/>
    <row r="983" ht="15.75" customHeight="1" s="1128"/>
    <row r="984" ht="15.75" customHeight="1" s="1128"/>
    <row r="985" ht="15.75" customHeight="1" s="1128"/>
    <row r="986" ht="15.75" customHeight="1" s="1128"/>
    <row r="987" ht="15.75" customHeight="1" s="1128"/>
    <row r="988" ht="15.75" customHeight="1" s="1128"/>
    <row r="989" ht="15.75" customHeight="1" s="1128"/>
    <row r="990" ht="15.75" customHeight="1" s="1128"/>
    <row r="991" ht="15.75" customHeight="1" s="1128"/>
    <row r="992" ht="15.75" customHeight="1" s="1128"/>
    <row r="993" ht="15.75" customHeight="1" s="1128"/>
    <row r="994" ht="15.75" customHeight="1" s="1128"/>
    <row r="995" ht="15.75" customHeight="1" s="1128"/>
    <row r="996" ht="15.75" customHeight="1" s="1128"/>
    <row r="997" ht="15.75" customHeight="1" s="1128"/>
    <row r="998" ht="15.75" customHeight="1" s="1128"/>
    <row r="999" ht="15.75" customHeight="1" s="1128"/>
    <row r="1000" ht="15.75" customHeight="1" s="1128"/>
    <row r="1001" ht="15.75" customHeight="1" s="1128"/>
    <row r="1002" ht="15.75" customHeight="1" s="1128"/>
    <row r="1003" ht="15.75" customHeight="1" s="1128"/>
    <row r="1004" ht="15.75" customHeight="1" s="1128"/>
    <row r="1005" ht="15.75" customHeight="1" s="1128"/>
    <row r="1006" ht="15.75" customHeight="1" s="1128"/>
    <row r="1007" ht="15.75" customHeight="1" s="1128"/>
  </sheetData>
  <dataValidations count="2">
    <dataValidation sqref="B3:B9 B20:B21 B23:B25 B27:B28 B30:B31 B33:B34 B36:B37 B42:B47 B49:B53 B55:B60 B71 B77 B83:B84 B91 B97:B98 B104:B105" showDropDown="0" showInputMessage="0" showErrorMessage="1" allowBlank="1" type="list">
      <formula1>"SSS,SS,S,AAA,AA,A,Blue,Green"</formula1>
    </dataValidation>
    <dataValidation sqref="C3:C9 C20:C21 C23:C25 C27:C28 C30:C31 C33:C34 C36:C37 C42:C47 C49:C53 C55:C60 C71 C77 C83:C84 C91 C97:C98 C104:C105" showDropDown="0" showInputMessage="0" showErrorMessage="1" allowBlank="1" type="list">
      <formula1>"FAME,ART,FTH,CIV,TECH"</formula1>
    </dataValidation>
  </dataValidations>
  <pageMargins left="0.7" right="0.7" top="0.75" bottom="0.75" header="0" footer="0"/>
  <pageSetup orientation="landscape"/>
  <tableParts count="1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29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8.45" customWidth="1" style="1128" min="1" max="1"/>
    <col width="8.09" customWidth="1" style="1128" min="2" max="2"/>
    <col width="7.82" customWidth="1" style="1128" min="3" max="3"/>
    <col width="10" customWidth="1" style="1128" min="4" max="4"/>
    <col width="16.82" customWidth="1" style="1128" min="5" max="5"/>
    <col width="6.36" customWidth="1" style="1128" min="6" max="6"/>
    <col width="13.18" customWidth="1" style="1128" min="7" max="7"/>
    <col width="6.36" customWidth="1" style="1128" min="8" max="8"/>
    <col width="13.09" customWidth="1" style="1128" min="9" max="9"/>
    <col width="12.27" customWidth="1" style="1128" min="10" max="10"/>
    <col width="15.64" customWidth="1" style="1128" min="11" max="11"/>
    <col width="113.73" customWidth="1" style="1128" min="12" max="12"/>
  </cols>
  <sheetData>
    <row r="1">
      <c r="A1" s="344" t="inlineStr">
        <is>
          <t>Name</t>
        </is>
      </c>
      <c r="B1" s="406" t="inlineStr">
        <is>
          <t>Rarity</t>
        </is>
      </c>
      <c r="C1" s="406" t="inlineStr">
        <is>
          <t>Type</t>
        </is>
      </c>
      <c r="D1" s="406" t="inlineStr">
        <is>
          <t>Research Speed</t>
        </is>
      </c>
      <c r="E1" s="406" t="inlineStr">
        <is>
          <t>Awakening Research Speed</t>
        </is>
      </c>
      <c r="F1" s="406" t="inlineStr">
        <is>
          <t>Cells Cost</t>
        </is>
      </c>
      <c r="G1" s="406" t="inlineStr">
        <is>
          <t>Awakening Cells Cost</t>
        </is>
      </c>
      <c r="H1" s="406" t="inlineStr">
        <is>
          <t>Btad Cost</t>
        </is>
      </c>
      <c r="I1" s="406" t="inlineStr">
        <is>
          <t>Awakening Btad Cost</t>
        </is>
      </c>
      <c r="J1" s="406" t="inlineStr">
        <is>
          <t>Free Speedup (min)</t>
        </is>
      </c>
      <c r="K1" s="406" t="inlineStr">
        <is>
          <t>Awakening Free Speedup</t>
        </is>
      </c>
      <c r="L1" s="129" t="inlineStr">
        <is>
          <t>Source</t>
        </is>
      </c>
    </row>
    <row r="2">
      <c r="A2" s="434" t="inlineStr">
        <is>
          <t>INDIVIDUAL RELICS</t>
        </is>
      </c>
      <c r="B2" s="425" t="n"/>
      <c r="C2" s="425" t="n"/>
      <c r="D2" s="425" t="n"/>
      <c r="E2" s="425" t="n"/>
      <c r="F2" s="425" t="n"/>
      <c r="G2" s="425" t="n"/>
      <c r="H2" s="425" t="n"/>
      <c r="I2" s="425" t="n"/>
      <c r="J2" s="425" t="n"/>
      <c r="K2" s="425" t="n"/>
      <c r="L2" s="418" t="n"/>
    </row>
    <row r="3">
      <c r="A3" s="434" t="inlineStr">
        <is>
          <t xml:space="preserve">   Double Helix DNA</t>
        </is>
      </c>
      <c r="B3" s="425" t="inlineStr">
        <is>
          <t>SSS</t>
        </is>
      </c>
      <c r="C3" s="425" t="inlineStr">
        <is>
          <t>TECH</t>
        </is>
      </c>
      <c r="D3" s="371" t="n">
        <v>2.4</v>
      </c>
      <c r="E3" s="371" t="n">
        <v>2</v>
      </c>
      <c r="F3" s="425" t="n"/>
      <c r="G3" s="425" t="n"/>
      <c r="H3" s="371" t="n">
        <v>4.8</v>
      </c>
      <c r="I3" s="425" t="n"/>
      <c r="J3" s="371" t="n">
        <v>36</v>
      </c>
      <c r="K3" s="425" t="n"/>
      <c r="L3" s="418" t="inlineStr">
        <is>
          <t>Lottery Machine #1 (0.09%), Wishing (0.07%), Grandmaster Scrolls (0.81%), Relic Forge (120 Relic RF)</t>
        </is>
      </c>
    </row>
    <row r="4">
      <c r="A4" s="434" t="inlineStr">
        <is>
          <t xml:space="preserve">   The Analects</t>
        </is>
      </c>
      <c r="B4" s="425" t="inlineStr">
        <is>
          <t>SSS</t>
        </is>
      </c>
      <c r="C4" s="425" t="inlineStr">
        <is>
          <t>CIV</t>
        </is>
      </c>
      <c r="D4" s="371" t="n">
        <v>2.4</v>
      </c>
      <c r="E4" s="371" t="n">
        <v>2</v>
      </c>
      <c r="F4" s="425" t="n"/>
      <c r="G4" s="425" t="n"/>
      <c r="H4" s="371" t="n">
        <v>4.8</v>
      </c>
      <c r="I4" s="425" t="n"/>
      <c r="J4" s="371" t="n">
        <v>36</v>
      </c>
      <c r="K4" s="425" t="n"/>
      <c r="L4" s="418" t="inlineStr">
        <is>
          <t>Wish Box, Lottery Machine #1 (0.09%), Wishing (0.08%), Grandmaster Scrolls (0.81%), Relic Forge (120 Relic RF)</t>
        </is>
      </c>
    </row>
    <row r="5">
      <c r="A5" s="434" t="inlineStr">
        <is>
          <t xml:space="preserve">   Voynich Script</t>
        </is>
      </c>
      <c r="B5" s="425" t="inlineStr">
        <is>
          <t>AAA</t>
        </is>
      </c>
      <c r="C5" s="425" t="inlineStr">
        <is>
          <t>CIV</t>
        </is>
      </c>
      <c r="D5" s="425" t="n"/>
      <c r="E5" s="425" t="n"/>
      <c r="F5" s="425" t="n"/>
      <c r="G5" s="425" t="n"/>
      <c r="H5" s="371" t="n">
        <v>3.6</v>
      </c>
      <c r="I5" s="371" t="n">
        <v>2.8</v>
      </c>
      <c r="J5" s="425" t="n"/>
      <c r="K5" s="425" t="n"/>
      <c r="L5" s="418" t="inlineStr">
        <is>
          <t>Form Evo Pack</t>
        </is>
      </c>
    </row>
    <row r="6">
      <c r="A6" s="362" t="inlineStr">
        <is>
          <t>MAX INDIVIDUAL RELICS</t>
        </is>
      </c>
      <c r="B6" s="411" t="n"/>
      <c r="C6" s="411" t="n"/>
      <c r="D6" s="364">
        <f>sum(D3:E5)</f>
        <v/>
      </c>
      <c r="E6" s="411" t="n"/>
      <c r="F6" s="364">
        <f>sum(F3:G5)</f>
        <v/>
      </c>
      <c r="G6" s="411" t="n"/>
      <c r="H6" s="364">
        <f>sum(H3:I5)</f>
        <v/>
      </c>
      <c r="I6" s="411" t="n"/>
      <c r="J6" s="364">
        <f>sum(J3:K5)</f>
        <v/>
      </c>
      <c r="K6" s="411" t="n"/>
      <c r="L6" s="426" t="n"/>
    </row>
    <row r="7">
      <c r="A7" s="434" t="n"/>
      <c r="B7" s="425" t="n"/>
      <c r="C7" s="425" t="n"/>
      <c r="D7" s="425" t="n"/>
      <c r="E7" s="425" t="n"/>
      <c r="F7" s="425" t="n"/>
      <c r="G7" s="425" t="n"/>
      <c r="H7" s="425" t="n"/>
      <c r="I7" s="425" t="n"/>
      <c r="J7" s="425" t="n"/>
      <c r="K7" s="425" t="n"/>
      <c r="L7" s="418" t="n"/>
    </row>
    <row r="8">
      <c r="A8" s="344" t="inlineStr">
        <is>
          <t>PARTNER</t>
        </is>
      </c>
      <c r="B8" s="406" t="n"/>
      <c r="C8" s="406" t="n"/>
      <c r="D8" s="406" t="n"/>
      <c r="E8" s="406" t="n"/>
      <c r="F8" s="406" t="n"/>
      <c r="G8" s="406" t="n"/>
      <c r="H8" s="406" t="n"/>
      <c r="I8" s="406" t="n"/>
      <c r="J8" s="406" t="n"/>
      <c r="K8" s="406" t="n"/>
      <c r="L8" s="129" t="n"/>
    </row>
    <row r="9">
      <c r="A9" s="362" t="inlineStr">
        <is>
          <t xml:space="preserve">   Toraemon</t>
        </is>
      </c>
      <c r="B9" s="411" t="n"/>
      <c r="C9" s="411" t="n"/>
      <c r="D9" s="364" t="n">
        <v>30</v>
      </c>
      <c r="E9" s="411" t="n"/>
      <c r="F9" s="411" t="n"/>
      <c r="G9" s="411" t="n"/>
      <c r="H9" s="411" t="n"/>
      <c r="I9" s="411" t="n"/>
      <c r="J9" s="411" t="n"/>
      <c r="K9" s="411" t="n"/>
      <c r="L9" s="426" t="inlineStr">
        <is>
          <t>lv30</t>
        </is>
      </c>
    </row>
    <row r="10">
      <c r="A10" s="434" t="n"/>
      <c r="B10" s="425" t="n"/>
      <c r="C10" s="425" t="n"/>
      <c r="D10" s="425" t="n"/>
      <c r="E10" s="425" t="n"/>
      <c r="F10" s="425" t="n"/>
      <c r="G10" s="425" t="n"/>
      <c r="H10" s="425" t="n"/>
      <c r="I10" s="425" t="n"/>
      <c r="J10" s="425" t="n"/>
      <c r="K10" s="425" t="n"/>
      <c r="L10" s="418" t="n"/>
    </row>
    <row r="11">
      <c r="A11" s="344" t="inlineStr">
        <is>
          <t>ORGANS</t>
        </is>
      </c>
      <c r="B11" s="406" t="n"/>
      <c r="C11" s="406" t="n"/>
      <c r="D11" s="406" t="n"/>
      <c r="E11" s="406" t="n"/>
      <c r="F11" s="406" t="n"/>
      <c r="G11" s="406" t="n"/>
      <c r="H11" s="406" t="n"/>
      <c r="I11" s="406" t="n"/>
      <c r="J11" s="406" t="n"/>
      <c r="K11" s="406" t="n"/>
      <c r="L11" s="129" t="n"/>
    </row>
    <row r="12">
      <c r="A12" s="434" t="inlineStr">
        <is>
          <t xml:space="preserve">   Savant Eye</t>
        </is>
      </c>
      <c r="B12" s="425" t="n"/>
      <c r="C12" s="425" t="n"/>
      <c r="D12" s="371" t="n">
        <v>3</v>
      </c>
      <c r="E12" s="425" t="n"/>
      <c r="F12" s="425" t="n"/>
      <c r="G12" s="425" t="n"/>
      <c r="H12" s="425" t="n"/>
      <c r="I12" s="425" t="n"/>
      <c r="J12" s="371" t="n">
        <v>15</v>
      </c>
      <c r="K12" s="425" t="n"/>
      <c r="L12" s="418" t="inlineStr">
        <is>
          <t>Organ Chest (3% chance), 1st Purchase Gift Pack Day 3 Reward($Any)</t>
        </is>
      </c>
    </row>
    <row r="13">
      <c r="A13" s="434" t="inlineStr">
        <is>
          <t xml:space="preserve">   Brainworm Neuron</t>
        </is>
      </c>
      <c r="B13" s="425" t="n"/>
      <c r="C13" s="425" t="n"/>
      <c r="D13" s="425" t="n"/>
      <c r="E13" s="425" t="n"/>
      <c r="F13" s="425" t="n"/>
      <c r="G13" s="425" t="n"/>
      <c r="H13" s="425" t="n"/>
      <c r="I13" s="425" t="n"/>
      <c r="J13" s="371" t="n">
        <v>15</v>
      </c>
      <c r="K13" s="425" t="n"/>
      <c r="L13" s="418" t="inlineStr">
        <is>
          <t>Organ Value Pack I ($14.99)</t>
        </is>
      </c>
    </row>
    <row r="14">
      <c r="A14" s="362" t="inlineStr">
        <is>
          <t>MAX ORGANS</t>
        </is>
      </c>
      <c r="B14" s="411" t="n"/>
      <c r="C14" s="411" t="n"/>
      <c r="D14" s="364">
        <f>sum(D12:E13)</f>
        <v/>
      </c>
      <c r="E14" s="411" t="n"/>
      <c r="F14" s="364">
        <f>sum(F12:G13)</f>
        <v/>
      </c>
      <c r="G14" s="411" t="n"/>
      <c r="H14" s="364">
        <f>sum(H12:I13)</f>
        <v/>
      </c>
      <c r="I14" s="411" t="n"/>
      <c r="J14" s="364">
        <f>sum(J12:K13)</f>
        <v/>
      </c>
      <c r="K14" s="411" t="n"/>
      <c r="L14" s="426" t="n"/>
    </row>
    <row r="15">
      <c r="A15" s="434" t="n"/>
      <c r="B15" s="425" t="n"/>
      <c r="C15" s="425" t="n"/>
      <c r="D15" s="425" t="n"/>
      <c r="E15" s="425" t="n"/>
      <c r="F15" s="425" t="n"/>
      <c r="G15" s="425" t="n"/>
      <c r="H15" s="425" t="n"/>
      <c r="I15" s="425" t="n"/>
      <c r="J15" s="425" t="n"/>
      <c r="K15" s="425" t="n"/>
      <c r="L15" s="418" t="n"/>
    </row>
    <row r="16">
      <c r="A16" s="344" t="inlineStr">
        <is>
          <t>NEBULA</t>
        </is>
      </c>
      <c r="B16" s="406" t="n"/>
      <c r="C16" s="406" t="n"/>
      <c r="D16" s="406" t="n"/>
      <c r="E16" s="406" t="n"/>
      <c r="F16" s="406" t="n"/>
      <c r="G16" s="406" t="n"/>
      <c r="H16" s="406" t="n"/>
      <c r="I16" s="406" t="n"/>
      <c r="J16" s="406" t="n"/>
      <c r="K16" s="406" t="n"/>
      <c r="L16" s="129" t="n"/>
    </row>
    <row r="17">
      <c r="A17" s="434" t="inlineStr">
        <is>
          <t xml:space="preserve">   Microscopium</t>
        </is>
      </c>
      <c r="B17" s="425" t="n"/>
      <c r="C17" s="425" t="n"/>
      <c r="D17" s="371" t="n">
        <v>1.6</v>
      </c>
      <c r="E17" s="425" t="n"/>
      <c r="F17" s="425" t="n"/>
      <c r="G17" s="425" t="n"/>
      <c r="H17" s="371" t="n">
        <v>3.2</v>
      </c>
      <c r="I17" s="425" t="n"/>
      <c r="J17" s="371" t="n">
        <v>48</v>
      </c>
      <c r="K17" s="425" t="n"/>
      <c r="L17" s="418" t="inlineStr">
        <is>
          <t>Beta Galaxy</t>
        </is>
      </c>
    </row>
    <row r="18">
      <c r="A18" s="434" t="inlineStr">
        <is>
          <t xml:space="preserve">   Circinus</t>
        </is>
      </c>
      <c r="B18" s="425" t="n"/>
      <c r="C18" s="425" t="n"/>
      <c r="D18" s="371" t="n">
        <v>6</v>
      </c>
      <c r="E18" s="425" t="n"/>
      <c r="F18" s="425" t="n"/>
      <c r="G18" s="425" t="n"/>
      <c r="H18" s="371" t="n"/>
      <c r="I18" s="425" t="n"/>
      <c r="J18" s="371" t="n"/>
      <c r="K18" s="425" t="n"/>
      <c r="L18" s="418" t="inlineStr">
        <is>
          <t>Delta Galaxy</t>
        </is>
      </c>
    </row>
    <row r="19">
      <c r="A19" s="362" t="inlineStr">
        <is>
          <t>MAX NEBULA</t>
        </is>
      </c>
      <c r="B19" s="411" t="n"/>
      <c r="C19" s="411" t="n"/>
      <c r="D19" s="364">
        <f>SUM(D17:D18)</f>
        <v/>
      </c>
      <c r="E19" s="411" t="n"/>
      <c r="F19" s="364">
        <f>SUM(F17:F18)</f>
        <v/>
      </c>
      <c r="G19" s="411" t="n"/>
      <c r="H19" s="364">
        <f>SUM(H17:H18)</f>
        <v/>
      </c>
      <c r="I19" s="411" t="n"/>
      <c r="J19" s="364">
        <f>SUM(J17:J18)</f>
        <v/>
      </c>
      <c r="K19" s="411" t="n"/>
      <c r="L19" s="426" t="n"/>
    </row>
    <row r="20">
      <c r="A20" s="434" t="n"/>
      <c r="B20" s="425" t="n"/>
      <c r="C20" s="425" t="n"/>
      <c r="D20" s="425" t="n"/>
      <c r="E20" s="425" t="n"/>
      <c r="F20" s="425" t="n"/>
      <c r="G20" s="425" t="n"/>
      <c r="H20" s="425" t="n"/>
      <c r="I20" s="425" t="n"/>
      <c r="J20" s="425" t="n"/>
      <c r="K20" s="425" t="n"/>
      <c r="L20" s="418" t="n"/>
    </row>
    <row r="21">
      <c r="A21" s="434" t="inlineStr">
        <is>
          <t>COLLECTORS TALENTS</t>
        </is>
      </c>
      <c r="B21" s="425" t="n"/>
      <c r="C21" s="425" t="n"/>
      <c r="D21" s="425" t="n"/>
      <c r="E21" s="425" t="n"/>
      <c r="F21" s="425" t="n"/>
      <c r="G21" s="425" t="n"/>
      <c r="H21" s="425" t="n"/>
      <c r="I21" s="425" t="n"/>
      <c r="J21" s="425" t="n"/>
      <c r="K21" s="425" t="n"/>
      <c r="L21" s="418" t="n"/>
    </row>
    <row r="22">
      <c r="A22" s="434" t="inlineStr">
        <is>
          <t xml:space="preserve">   Genetic Engineering I</t>
        </is>
      </c>
      <c r="B22" s="425" t="n"/>
      <c r="C22" s="425" t="n"/>
      <c r="D22" s="425" t="n">
        <v>15</v>
      </c>
      <c r="E22" s="425" t="n"/>
      <c r="F22" s="425" t="n"/>
      <c r="G22" s="425" t="n"/>
      <c r="H22" s="425" t="n"/>
      <c r="I22" s="425" t="n"/>
      <c r="J22" s="425" t="n"/>
      <c r="K22" s="425" t="n"/>
      <c r="L22" s="418" t="inlineStr">
        <is>
          <t>15 Purple Talent Points</t>
        </is>
      </c>
    </row>
    <row r="23">
      <c r="A23" s="434" t="inlineStr">
        <is>
          <t xml:space="preserve">   Genetic Engineering II</t>
        </is>
      </c>
      <c r="B23" s="425" t="n"/>
      <c r="C23" s="425" t="n"/>
      <c r="D23" s="425" t="n">
        <v>15</v>
      </c>
      <c r="E23" s="425" t="n"/>
      <c r="F23" s="425" t="n"/>
      <c r="G23" s="425" t="n"/>
      <c r="H23" s="425" t="n"/>
      <c r="I23" s="425" t="n"/>
      <c r="J23" s="425" t="n">
        <v>150</v>
      </c>
      <c r="K23" s="425" t="n"/>
      <c r="L23" s="418" t="inlineStr">
        <is>
          <t>15 Orange Talent Points</t>
        </is>
      </c>
    </row>
    <row r="24">
      <c r="A24" s="434" t="inlineStr">
        <is>
          <t xml:space="preserve">   Gene SPD II (purple)</t>
        </is>
      </c>
      <c r="B24" s="425" t="n"/>
      <c r="C24" s="425" t="n"/>
      <c r="D24" s="425" t="n">
        <v>20</v>
      </c>
      <c r="E24" s="425" t="n"/>
      <c r="F24" s="425" t="n"/>
      <c r="G24" s="425" t="n"/>
      <c r="H24" s="425" t="n"/>
      <c r="I24" s="425" t="n"/>
      <c r="J24" s="425" t="n"/>
      <c r="K24" s="425" t="n"/>
      <c r="L24" s="418" t="inlineStr">
        <is>
          <t>15 Purple Talent Points</t>
        </is>
      </c>
    </row>
    <row r="25">
      <c r="A25" s="434" t="inlineStr">
        <is>
          <t xml:space="preserve">   Gene SPD II (orange)</t>
        </is>
      </c>
      <c r="B25" s="425" t="n"/>
      <c r="C25" s="425" t="n"/>
      <c r="D25" s="425" t="n">
        <v>20</v>
      </c>
      <c r="E25" s="425" t="n"/>
      <c r="F25" s="425" t="n"/>
      <c r="G25" s="425" t="n"/>
      <c r="H25" s="425" t="n"/>
      <c r="I25" s="425" t="n"/>
      <c r="J25" s="425" t="n">
        <v>240</v>
      </c>
      <c r="K25" s="425" t="n"/>
      <c r="L25" s="418" t="inlineStr">
        <is>
          <t>15 Orange Talent Points</t>
        </is>
      </c>
    </row>
    <row r="26">
      <c r="A26" s="434" t="inlineStr">
        <is>
          <t>MAX COLLECTORS TALENTS</t>
        </is>
      </c>
      <c r="B26" s="425" t="n"/>
      <c r="C26" s="425" t="n"/>
      <c r="D26" s="425">
        <f>sum(D22:E25)</f>
        <v/>
      </c>
      <c r="E26" s="425" t="n"/>
      <c r="F26" s="425">
        <f>sum(F22:G25)</f>
        <v/>
      </c>
      <c r="G26" s="425" t="n"/>
      <c r="H26" s="425">
        <f>sum(H22:I25)</f>
        <v/>
      </c>
      <c r="I26" s="425" t="n"/>
      <c r="J26" s="425">
        <f>sum(J22:K25)</f>
        <v/>
      </c>
      <c r="K26" s="425" t="n"/>
      <c r="L26" s="418" t="n"/>
    </row>
    <row r="27">
      <c r="A27" s="434" t="n"/>
      <c r="B27" s="425" t="n"/>
      <c r="C27" s="425" t="n"/>
      <c r="D27" s="425" t="n"/>
      <c r="E27" s="425" t="n"/>
      <c r="F27" s="425" t="n"/>
      <c r="G27" s="425" t="n"/>
      <c r="H27" s="425" t="n"/>
      <c r="I27" s="425" t="n"/>
      <c r="J27" s="425" t="n"/>
      <c r="K27" s="425" t="n"/>
      <c r="L27" s="418" t="n"/>
    </row>
    <row r="28">
      <c r="A28" s="344" t="inlineStr">
        <is>
          <t>FUNGUS</t>
        </is>
      </c>
      <c r="B28" s="406" t="n"/>
      <c r="C28" s="406" t="n"/>
      <c r="D28" s="406" t="n"/>
      <c r="E28" s="406" t="n"/>
      <c r="F28" s="406" t="n"/>
      <c r="G28" s="406" t="n"/>
      <c r="H28" s="406" t="n"/>
      <c r="I28" s="406" t="n"/>
      <c r="J28" s="406" t="n"/>
      <c r="K28" s="406" t="n"/>
      <c r="L28" s="129" t="n"/>
    </row>
    <row r="29">
      <c r="A29" s="362" t="inlineStr">
        <is>
          <t xml:space="preserve">    Purple</t>
        </is>
      </c>
      <c r="B29" s="411" t="n"/>
      <c r="C29" s="411" t="n"/>
      <c r="D29" s="411" t="n">
        <v>3</v>
      </c>
      <c r="E29" s="411" t="n"/>
      <c r="F29" s="411" t="n"/>
      <c r="G29" s="411" t="n"/>
      <c r="H29" s="411" t="n"/>
      <c r="I29" s="411" t="n"/>
      <c r="J29" s="411" t="n"/>
      <c r="K29" s="411" t="n"/>
      <c r="L29" s="426" t="inlineStr">
        <is>
          <t>500 Purple Fungus Consumed</t>
        </is>
      </c>
    </row>
    <row r="30">
      <c r="A30" s="434" t="n"/>
      <c r="B30" s="425" t="n"/>
      <c r="C30" s="425" t="n"/>
      <c r="D30" s="425" t="n"/>
      <c r="E30" s="425" t="n"/>
      <c r="F30" s="425" t="n"/>
      <c r="G30" s="425" t="n"/>
      <c r="H30" s="425" t="n"/>
      <c r="I30" s="425" t="n"/>
      <c r="J30" s="425" t="n"/>
      <c r="K30" s="425" t="n"/>
      <c r="L30" s="418" t="n"/>
    </row>
    <row r="31">
      <c r="A31" s="434" t="inlineStr">
        <is>
          <t>ROCKET UPGRADES</t>
        </is>
      </c>
      <c r="B31" s="425" t="n"/>
      <c r="C31" s="425" t="n"/>
      <c r="D31" s="425" t="n"/>
      <c r="E31" s="425" t="n"/>
      <c r="F31" s="425" t="n"/>
      <c r="G31" s="425" t="n"/>
      <c r="H31" s="425" t="n"/>
      <c r="I31" s="425" t="n"/>
      <c r="J31" s="425" t="n"/>
      <c r="K31" s="425" t="n"/>
      <c r="L31" s="418" t="n"/>
    </row>
    <row r="32">
      <c r="A32" s="434" t="inlineStr">
        <is>
          <t xml:space="preserve">   Silence Hall</t>
        </is>
      </c>
      <c r="B32" s="425" t="n"/>
      <c r="C32" s="425" t="n"/>
      <c r="D32" s="425" t="n">
        <v>5</v>
      </c>
      <c r="E32" s="425" t="n"/>
      <c r="F32" s="425" t="n"/>
      <c r="G32" s="425" t="n"/>
      <c r="H32" s="425" t="n"/>
      <c r="I32" s="425" t="n"/>
      <c r="J32" s="425" t="n">
        <v>120</v>
      </c>
      <c r="K32" s="425" t="n"/>
      <c r="L32" s="418" t="inlineStr">
        <is>
          <t>lv5</t>
        </is>
      </c>
    </row>
    <row r="33">
      <c r="A33" s="434" t="n"/>
      <c r="B33" s="425" t="n"/>
      <c r="C33" s="425" t="n"/>
      <c r="D33" s="425" t="n"/>
      <c r="E33" s="425" t="n"/>
      <c r="F33" s="425" t="n"/>
      <c r="G33" s="425" t="n"/>
      <c r="H33" s="425" t="n"/>
      <c r="I33" s="425" t="n"/>
      <c r="J33" s="425" t="n"/>
      <c r="K33" s="425" t="n"/>
      <c r="L33" s="418" t="n"/>
    </row>
    <row r="34">
      <c r="A34" s="344" t="inlineStr">
        <is>
          <t>AVATAR BONUS</t>
        </is>
      </c>
      <c r="B34" s="406" t="n"/>
      <c r="C34" s="406" t="n"/>
      <c r="D34" s="406" t="n"/>
      <c r="E34" s="406" t="n"/>
      <c r="F34" s="406" t="n"/>
      <c r="G34" s="406" t="n"/>
      <c r="H34" s="406" t="n"/>
      <c r="I34" s="406" t="n"/>
      <c r="J34" s="406" t="n"/>
      <c r="K34" s="406" t="n"/>
      <c r="L34" s="129" t="n"/>
    </row>
    <row r="35">
      <c r="A35" s="362" t="inlineStr">
        <is>
          <t xml:space="preserve">   Event Avatar</t>
        </is>
      </c>
      <c r="B35" s="411" t="n"/>
      <c r="C35" s="411" t="n"/>
      <c r="D35" s="364" t="n">
        <v>5</v>
      </c>
      <c r="E35" s="411" t="n"/>
      <c r="F35" s="364" t="n">
        <v>5</v>
      </c>
      <c r="G35" s="411" t="n"/>
      <c r="H35" s="364" t="n">
        <v>5</v>
      </c>
      <c r="I35" s="411" t="n"/>
      <c r="J35" s="364" t="n">
        <v>20</v>
      </c>
      <c r="K35" s="411" t="n"/>
      <c r="L35" s="426" t="n"/>
    </row>
    <row r="36">
      <c r="A36" s="434" t="n"/>
      <c r="B36" s="425" t="n"/>
      <c r="C36" s="425" t="n"/>
      <c r="D36" s="425" t="n"/>
      <c r="E36" s="425" t="n"/>
      <c r="F36" s="425" t="n"/>
      <c r="G36" s="425" t="n"/>
      <c r="H36" s="425" t="n"/>
      <c r="I36" s="425" t="n"/>
      <c r="J36" s="425" t="n"/>
      <c r="K36" s="425" t="n"/>
      <c r="L36" s="418" t="n"/>
    </row>
    <row r="37">
      <c r="A37" s="424" t="inlineStr">
        <is>
          <t>RESONANCE</t>
        </is>
      </c>
      <c r="B37" s="406" t="n"/>
      <c r="C37" s="406" t="n"/>
      <c r="D37" s="406" t="n"/>
      <c r="E37" s="406" t="n"/>
      <c r="F37" s="406" t="n"/>
      <c r="G37" s="406" t="n"/>
      <c r="H37" s="406" t="n"/>
      <c r="I37" s="406" t="n"/>
      <c r="J37" s="406" t="n"/>
      <c r="K37" s="406" t="n"/>
      <c r="L37" s="129" t="n"/>
    </row>
    <row r="38">
      <c r="A38" s="434" t="inlineStr">
        <is>
          <t xml:space="preserve">  BLUE</t>
        </is>
      </c>
      <c r="B38" s="425" t="n"/>
      <c r="C38" s="425" t="n"/>
      <c r="D38" s="425" t="n"/>
      <c r="E38" s="425" t="n"/>
      <c r="F38" s="425" t="n"/>
      <c r="G38" s="425" t="n"/>
      <c r="H38" s="425" t="n"/>
      <c r="I38" s="425" t="n"/>
      <c r="J38" s="425" t="n"/>
      <c r="K38" s="425" t="n"/>
      <c r="L38" s="418" t="n"/>
    </row>
    <row r="39">
      <c r="A39" s="434" t="inlineStr">
        <is>
          <t xml:space="preserve">    Research Speed</t>
        </is>
      </c>
      <c r="B39" s="425" t="n"/>
      <c r="C39" s="425" t="n"/>
      <c r="D39" s="371" t="n">
        <v>1.8</v>
      </c>
      <c r="E39" s="425" t="n"/>
      <c r="F39" s="425" t="n"/>
      <c r="G39" s="425" t="n"/>
      <c r="H39" s="425" t="n"/>
      <c r="I39" s="425" t="n"/>
      <c r="J39" s="425" t="n"/>
      <c r="K39" s="425" t="n"/>
      <c r="L39" s="418" t="n"/>
    </row>
    <row r="40">
      <c r="A40" s="434" t="inlineStr">
        <is>
          <t xml:space="preserve">      Chakana</t>
        </is>
      </c>
      <c r="B40" s="425" t="inlineStr">
        <is>
          <t>Blue</t>
        </is>
      </c>
      <c r="C40" s="425" t="inlineStr">
        <is>
          <t>FTH</t>
        </is>
      </c>
      <c r="D40" s="425" t="n"/>
      <c r="E40" s="425" t="n"/>
      <c r="F40" s="425" t="n"/>
      <c r="G40" s="425" t="n"/>
      <c r="H40" s="425" t="n"/>
      <c r="I40" s="425" t="n"/>
      <c r="J40" s="425" t="n"/>
      <c r="K40" s="425" t="n"/>
      <c r="L40" s="418" t="inlineStr">
        <is>
          <t>Lottery Machine #1 (0.03%), Wishing (0.85%), Soul Chest (2%)</t>
        </is>
      </c>
    </row>
    <row r="41">
      <c r="A41" s="434" t="inlineStr">
        <is>
          <t xml:space="preserve">      Great Wave</t>
        </is>
      </c>
      <c r="B41" s="425" t="inlineStr">
        <is>
          <t>Blue</t>
        </is>
      </c>
      <c r="C41" s="425" t="inlineStr">
        <is>
          <t>ART</t>
        </is>
      </c>
      <c r="D41" s="425" t="n"/>
      <c r="E41" s="425" t="n"/>
      <c r="F41" s="425" t="n"/>
      <c r="G41" s="425" t="n"/>
      <c r="H41" s="425" t="n"/>
      <c r="I41" s="425" t="n"/>
      <c r="J41" s="425" t="n"/>
      <c r="K41" s="425" t="n"/>
      <c r="L41" s="418" t="inlineStr">
        <is>
          <t>Lottery Machine #1 (0.07%), Wishing (3%), Yamato Treasure Maps (20%)</t>
        </is>
      </c>
    </row>
    <row r="42">
      <c r="A42" s="434" t="inlineStr">
        <is>
          <t xml:space="preserve">      Janssen Microscope</t>
        </is>
      </c>
      <c r="B42" s="425" t="inlineStr">
        <is>
          <t>Blue</t>
        </is>
      </c>
      <c r="C42" s="425" t="inlineStr">
        <is>
          <t>TECH</t>
        </is>
      </c>
      <c r="D42" s="425" t="n"/>
      <c r="E42" s="425" t="n"/>
      <c r="F42" s="425" t="n"/>
      <c r="G42" s="425" t="n"/>
      <c r="H42" s="425" t="n"/>
      <c r="I42" s="425" t="n"/>
      <c r="J42" s="425" t="n"/>
      <c r="K42" s="425" t="n"/>
      <c r="L42" s="418" t="inlineStr">
        <is>
          <t>Lottery Machine #1 (0.07%), Wishing (2.6%), Evolution Chest (2%), Novice Scrolls (1%)</t>
        </is>
      </c>
    </row>
    <row r="43">
      <c r="A43" s="434" t="inlineStr">
        <is>
          <t xml:space="preserve">      Royal Doll</t>
        </is>
      </c>
      <c r="B43" s="425" t="inlineStr">
        <is>
          <t>Blue</t>
        </is>
      </c>
      <c r="C43" s="425" t="inlineStr">
        <is>
          <t>CIV</t>
        </is>
      </c>
      <c r="D43" s="425" t="n"/>
      <c r="E43" s="425" t="n"/>
      <c r="F43" s="425" t="n"/>
      <c r="G43" s="425" t="n"/>
      <c r="H43" s="425" t="n"/>
      <c r="I43" s="425" t="n"/>
      <c r="J43" s="425" t="n"/>
      <c r="K43" s="425" t="n"/>
      <c r="L43" s="418" t="inlineStr">
        <is>
          <t>Lottery Machine #1 (0.03%), Wishing (0.82%)</t>
        </is>
      </c>
    </row>
    <row r="44">
      <c r="A44" s="434" t="inlineStr">
        <is>
          <t xml:space="preserve">      Mask of Zorro</t>
        </is>
      </c>
      <c r="B44" s="425" t="inlineStr">
        <is>
          <t>Blue</t>
        </is>
      </c>
      <c r="C44" s="425" t="inlineStr">
        <is>
          <t>FAME</t>
        </is>
      </c>
      <c r="D44" s="425" t="n"/>
      <c r="E44" s="425" t="n"/>
      <c r="F44" s="425" t="n"/>
      <c r="G44" s="425" t="n"/>
      <c r="H44" s="425" t="n"/>
      <c r="I44" s="425" t="n"/>
      <c r="J44" s="425" t="n"/>
      <c r="K44" s="425" t="n"/>
      <c r="L44" s="418" t="inlineStr">
        <is>
          <t>Lottery Machine #1 (0.03%), Wish (1.2%), Zorro (B+B Reward)</t>
        </is>
      </c>
    </row>
    <row r="45">
      <c r="A45" s="434" t="inlineStr">
        <is>
          <t xml:space="preserve">      Moai</t>
        </is>
      </c>
      <c r="B45" s="425" t="inlineStr">
        <is>
          <t>Blue</t>
        </is>
      </c>
      <c r="C45" s="425" t="inlineStr">
        <is>
          <t>FTH</t>
        </is>
      </c>
      <c r="D45" s="425" t="n"/>
      <c r="E45" s="425" t="n"/>
      <c r="F45" s="425" t="n"/>
      <c r="G45" s="425" t="n"/>
      <c r="H45" s="425" t="n"/>
      <c r="I45" s="425" t="n"/>
      <c r="J45" s="425" t="n"/>
      <c r="K45" s="425" t="n"/>
      <c r="L45" s="418" t="inlineStr">
        <is>
          <t>Lottery Machine #1 (0.36%), Wishing (10.6%), Soul Chest (2%), Novice Scrolls (5%)</t>
        </is>
      </c>
    </row>
    <row r="46">
      <c r="A46" s="434" t="inlineStr">
        <is>
          <t xml:space="preserve">  PURPLE</t>
        </is>
      </c>
      <c r="B46" s="425" t="n"/>
      <c r="C46" s="425" t="n"/>
      <c r="D46" s="425" t="n"/>
      <c r="E46" s="425" t="n"/>
      <c r="F46" s="425" t="n"/>
      <c r="G46" s="425" t="n"/>
      <c r="H46" s="425" t="n"/>
      <c r="I46" s="425" t="n"/>
      <c r="J46" s="425" t="n"/>
      <c r="K46" s="425" t="n"/>
      <c r="L46" s="418" t="n"/>
    </row>
    <row r="47">
      <c r="A47" s="434" t="inlineStr">
        <is>
          <t xml:space="preserve">    Research Speed</t>
        </is>
      </c>
      <c r="B47" s="425" t="n"/>
      <c r="C47" s="425" t="n"/>
      <c r="D47" s="371" t="n">
        <v>2</v>
      </c>
      <c r="E47" s="425" t="n"/>
      <c r="F47" s="425" t="n"/>
      <c r="G47" s="425" t="n"/>
      <c r="H47" s="425" t="n"/>
      <c r="I47" s="425" t="n"/>
      <c r="J47" s="425" t="n"/>
      <c r="K47" s="425" t="n"/>
      <c r="L47" s="418" t="n"/>
    </row>
    <row r="48">
      <c r="A48" s="434" t="inlineStr">
        <is>
          <t xml:space="preserve">      Fuchun Mountains</t>
        </is>
      </c>
      <c r="B48" s="425" t="inlineStr">
        <is>
          <t>AA</t>
        </is>
      </c>
      <c r="C48" s="425" t="inlineStr">
        <is>
          <t>FTH</t>
        </is>
      </c>
      <c r="D48" s="425" t="n"/>
      <c r="E48" s="425" t="n"/>
      <c r="F48" s="425" t="n"/>
      <c r="G48" s="425" t="n"/>
      <c r="H48" s="425" t="n"/>
      <c r="I48" s="425" t="n"/>
      <c r="J48" s="425" t="n"/>
      <c r="K48" s="425" t="n"/>
      <c r="L48" s="418" t="inlineStr">
        <is>
          <t>Fragment Crafting (3.9%), Lottery Machine #1 (0.08%), Wishing (0.36%), Expert Scrolls (0.95%)</t>
        </is>
      </c>
    </row>
    <row r="49">
      <c r="A49" s="434" t="inlineStr">
        <is>
          <t xml:space="preserve">      Tyr's Arm</t>
        </is>
      </c>
      <c r="B49" s="425" t="inlineStr">
        <is>
          <t>AA</t>
        </is>
      </c>
      <c r="C49" s="425" t="inlineStr">
        <is>
          <t>FTH</t>
        </is>
      </c>
      <c r="D49" s="425" t="n"/>
      <c r="E49" s="425" t="n"/>
      <c r="F49" s="425" t="n"/>
      <c r="G49" s="425" t="n"/>
      <c r="H49" s="425" t="n"/>
      <c r="I49" s="425" t="n"/>
      <c r="J49" s="425" t="n"/>
      <c r="K49" s="425" t="n"/>
      <c r="L49" s="418" t="inlineStr">
        <is>
          <t>Fragment Crafting (3.8%), Lottery Machine #1 (0.08%), Wishing (0.35%), Expert Scrolls (0.95%)</t>
        </is>
      </c>
    </row>
    <row r="50">
      <c r="A50" s="434" t="inlineStr">
        <is>
          <t xml:space="preserve">      Platinum Record</t>
        </is>
      </c>
      <c r="B50" s="425" t="inlineStr">
        <is>
          <t>AA</t>
        </is>
      </c>
      <c r="C50" s="425" t="inlineStr">
        <is>
          <t>FAME</t>
        </is>
      </c>
      <c r="D50" s="425" t="n"/>
      <c r="E50" s="425" t="n"/>
      <c r="F50" s="425" t="n"/>
      <c r="G50" s="425" t="n"/>
      <c r="H50" s="425" t="n"/>
      <c r="I50" s="425" t="n"/>
      <c r="J50" s="425" t="n"/>
      <c r="K50" s="425" t="n"/>
      <c r="L50" s="418" t="inlineStr">
        <is>
          <t>Fragment Crafting (3.9%), Lottery Machine #1 (0.08%), Wishing (0.35%), Expert Scrolls (0.95%)</t>
        </is>
      </c>
    </row>
    <row r="51">
      <c r="A51" s="434" t="inlineStr">
        <is>
          <t xml:space="preserve">      Schindler's List</t>
        </is>
      </c>
      <c r="B51" s="425" t="inlineStr">
        <is>
          <t>AAA</t>
        </is>
      </c>
      <c r="C51" s="425" t="inlineStr">
        <is>
          <t>CIV</t>
        </is>
      </c>
      <c r="D51" s="425" t="n"/>
      <c r="E51" s="425" t="n"/>
      <c r="F51" s="425" t="n"/>
      <c r="G51" s="425" t="n"/>
      <c r="H51" s="425" t="n"/>
      <c r="I51" s="425" t="n"/>
      <c r="J51" s="425" t="n"/>
      <c r="K51" s="425" t="n"/>
      <c r="L51" s="418" t="inlineStr">
        <is>
          <t>Fragment Crafting (1.5%), Lottery Machine #1 (0.03%), Wishing (0.14%), Soul Chest (1.5%), Relic Forge (80 Relic RF)</t>
        </is>
      </c>
    </row>
    <row r="52">
      <c r="A52" s="434" t="inlineStr">
        <is>
          <t xml:space="preserve">      Polonium</t>
        </is>
      </c>
      <c r="B52" s="425" t="inlineStr">
        <is>
          <t>AA</t>
        </is>
      </c>
      <c r="C52" s="425" t="inlineStr">
        <is>
          <t>TECH</t>
        </is>
      </c>
      <c r="D52" s="425" t="n"/>
      <c r="E52" s="425" t="n"/>
      <c r="F52" s="425" t="n"/>
      <c r="G52" s="425" t="n"/>
      <c r="H52" s="425" t="n"/>
      <c r="I52" s="425" t="n"/>
      <c r="J52" s="425" t="n"/>
      <c r="K52" s="425" t="n"/>
      <c r="L52" s="418" t="inlineStr">
        <is>
          <t>Fragment Crafting (3.9%), Lottery Machine #1 (0.08%), Wishes (0.36%), Time Chests (1.5%), Expert Scrolls (0.95%)</t>
        </is>
      </c>
    </row>
    <row r="53">
      <c r="A53" s="434" t="inlineStr">
        <is>
          <t xml:space="preserve">      Cavendish's Scales</t>
        </is>
      </c>
      <c r="B53" s="425" t="inlineStr">
        <is>
          <t>AAA</t>
        </is>
      </c>
      <c r="C53" s="425" t="inlineStr">
        <is>
          <t>TECH</t>
        </is>
      </c>
      <c r="D53" s="425" t="n"/>
      <c r="E53" s="425" t="n"/>
      <c r="F53" s="425" t="n"/>
      <c r="G53" s="425" t="n"/>
      <c r="H53" s="425" t="n"/>
      <c r="I53" s="425" t="n"/>
      <c r="J53" s="425" t="n"/>
      <c r="K53" s="425" t="n"/>
      <c r="L53" s="418" t="inlineStr">
        <is>
          <t>Fragment Crafting (1.6%), Lottery Machine #1 (0.03%), Wishing (0.14%), Relic Forge (80 Relic RF)</t>
        </is>
      </c>
    </row>
    <row r="54">
      <c r="A54" s="362" t="inlineStr">
        <is>
          <t>MAX RESONANCE</t>
        </is>
      </c>
      <c r="B54" s="411" t="n"/>
      <c r="C54" s="411" t="n"/>
      <c r="D54" s="364">
        <f>sum(D39:E53)</f>
        <v/>
      </c>
      <c r="E54" s="411" t="n"/>
      <c r="F54" s="364">
        <f>sum(F39:G53)</f>
        <v/>
      </c>
      <c r="G54" s="411" t="n"/>
      <c r="H54" s="364">
        <f>sum(H39:I53)</f>
        <v/>
      </c>
      <c r="I54" s="411" t="n"/>
      <c r="J54" s="364">
        <f>sum(J39:K53)</f>
        <v/>
      </c>
      <c r="K54" s="411" t="n"/>
      <c r="L54" s="426" t="n"/>
    </row>
    <row r="55">
      <c r="A55" s="425" t="n"/>
      <c r="B55" s="425" t="n"/>
      <c r="C55" s="425" t="n"/>
      <c r="D55" s="425" t="n"/>
      <c r="E55" s="425" t="n"/>
      <c r="F55" s="425" t="n"/>
      <c r="G55" s="425" t="n"/>
      <c r="H55" s="425" t="n"/>
      <c r="I55" s="425" t="n"/>
      <c r="J55" s="425" t="n"/>
      <c r="K55" s="425" t="n"/>
      <c r="L55" s="425" t="n"/>
    </row>
    <row r="56">
      <c r="A56" s="450" t="inlineStr">
        <is>
          <t>General Research Speed</t>
        </is>
      </c>
      <c r="B56" s="428">
        <f>D6+D9+D14+D19+D35+D54+D29+D32+D26</f>
        <v/>
      </c>
      <c r="C56" s="425" t="n"/>
      <c r="D56" s="425" t="n"/>
      <c r="E56" s="425" t="n"/>
      <c r="F56" s="425" t="n"/>
      <c r="G56" s="425" t="n"/>
      <c r="H56" s="425" t="n"/>
      <c r="I56" s="425" t="n"/>
      <c r="J56" s="425" t="n"/>
      <c r="K56" s="425" t="n"/>
      <c r="L56" s="425" t="n"/>
    </row>
    <row r="57">
      <c r="A57" s="447" t="inlineStr">
        <is>
          <t>General Cells Cost Reduction</t>
        </is>
      </c>
      <c r="B57" s="115">
        <f>F6+F14+F35+F54+F26</f>
        <v/>
      </c>
      <c r="C57" s="425" t="n"/>
      <c r="D57" s="425" t="n"/>
      <c r="E57" s="425" t="n"/>
      <c r="F57" s="425" t="n"/>
      <c r="G57" s="425" t="n"/>
      <c r="H57" s="425" t="n"/>
      <c r="I57" s="425" t="n"/>
      <c r="J57" s="425" t="n"/>
      <c r="K57" s="425" t="n"/>
      <c r="L57" s="425" t="n"/>
    </row>
    <row r="58">
      <c r="A58" s="447" t="inlineStr">
        <is>
          <t>General Btad Cost Reduction</t>
        </is>
      </c>
      <c r="B58" s="115">
        <f>H6+H14+H19+H35+H54+H26</f>
        <v/>
      </c>
      <c r="C58" s="425" t="n"/>
      <c r="D58" s="425" t="n"/>
      <c r="E58" s="425" t="n"/>
      <c r="F58" s="425" t="n"/>
      <c r="G58" s="425" t="n"/>
      <c r="H58" s="425" t="n"/>
      <c r="I58" s="425" t="n"/>
      <c r="J58" s="425" t="n"/>
      <c r="K58" s="425" t="n"/>
      <c r="L58" s="425" t="n"/>
    </row>
    <row r="59">
      <c r="A59" s="447" t="inlineStr">
        <is>
          <t>General Research Speed (min)</t>
        </is>
      </c>
      <c r="B59" s="115">
        <f>J6+J14+J19+J35+J54+J32+J26</f>
        <v/>
      </c>
      <c r="C59" s="425" t="n"/>
      <c r="D59" s="425" t="n"/>
      <c r="E59" s="425" t="n"/>
      <c r="F59" s="425" t="n"/>
      <c r="G59" s="425" t="n"/>
      <c r="H59" s="425" t="n"/>
      <c r="I59" s="425" t="n"/>
      <c r="J59" s="425" t="n"/>
      <c r="K59" s="425" t="n"/>
      <c r="L59" s="425" t="n"/>
    </row>
    <row r="60">
      <c r="A60" s="425" t="n"/>
      <c r="B60" s="425" t="n"/>
      <c r="C60" s="425" t="n"/>
      <c r="D60" s="425" t="n"/>
      <c r="E60" s="425" t="n"/>
      <c r="F60" s="425" t="n"/>
      <c r="G60" s="425" t="n"/>
      <c r="H60" s="425" t="n"/>
      <c r="I60" s="425" t="n"/>
      <c r="J60" s="425" t="n"/>
      <c r="K60" s="425" t="n"/>
      <c r="L60" s="425" t="n"/>
    </row>
    <row r="61">
      <c r="A61" s="425" t="n"/>
      <c r="B61" s="425" t="n"/>
      <c r="C61" s="425" t="n"/>
      <c r="D61" s="425" t="n"/>
      <c r="E61" s="425" t="n"/>
      <c r="F61" s="425" t="n"/>
      <c r="G61" s="425" t="n"/>
      <c r="H61" s="425" t="n"/>
      <c r="I61" s="425" t="n"/>
      <c r="J61" s="425" t="n"/>
      <c r="K61" s="425" t="n"/>
      <c r="L61" s="425" t="n"/>
    </row>
    <row r="62">
      <c r="A62" s="425" t="n"/>
      <c r="B62" s="425" t="n"/>
      <c r="C62" s="425" t="n"/>
      <c r="D62" s="425" t="n"/>
      <c r="E62" s="425" t="n"/>
      <c r="F62" s="425" t="n"/>
      <c r="G62" s="425" t="n"/>
      <c r="H62" s="425" t="n"/>
      <c r="I62" s="425" t="n"/>
      <c r="J62" s="425" t="n"/>
      <c r="K62" s="425" t="n"/>
      <c r="L62" s="425" t="n"/>
    </row>
    <row r="63">
      <c r="A63" s="425" t="n"/>
      <c r="B63" s="425" t="n"/>
      <c r="C63" s="425" t="n"/>
      <c r="D63" s="425" t="n"/>
      <c r="E63" s="425" t="n"/>
      <c r="F63" s="425" t="n"/>
      <c r="G63" s="425" t="n"/>
      <c r="H63" s="425" t="n"/>
      <c r="I63" s="425" t="n"/>
      <c r="J63" s="425" t="n"/>
      <c r="K63" s="425" t="n"/>
      <c r="L63" s="425" t="n"/>
    </row>
    <row r="64">
      <c r="A64" s="424" t="inlineStr">
        <is>
          <t>ZOMBIE</t>
        </is>
      </c>
      <c r="B64" s="406" t="n"/>
      <c r="C64" s="406" t="n"/>
      <c r="D64" s="406" t="n"/>
      <c r="E64" s="406" t="n"/>
      <c r="F64" s="406" t="n"/>
      <c r="G64" s="406" t="n"/>
      <c r="H64" s="406" t="n"/>
      <c r="I64" s="406" t="n"/>
      <c r="J64" s="406" t="n"/>
      <c r="K64" s="406" t="n"/>
      <c r="L64" s="129" t="n"/>
    </row>
    <row r="65">
      <c r="A65" s="434" t="inlineStr">
        <is>
          <t>INDIVIDUAL RELICS</t>
        </is>
      </c>
      <c r="B65" s="425" t="n"/>
      <c r="C65" s="425" t="n"/>
      <c r="D65" s="425" t="n"/>
      <c r="E65" s="425" t="n"/>
      <c r="F65" s="425" t="n"/>
      <c r="G65" s="425" t="n"/>
      <c r="H65" s="425" t="n"/>
      <c r="I65" s="425" t="n"/>
      <c r="J65" s="425" t="n"/>
      <c r="K65" s="425" t="n"/>
      <c r="L65" s="418" t="n"/>
    </row>
    <row r="66">
      <c r="A66" s="434" t="inlineStr">
        <is>
          <t xml:space="preserve">   3-Faced Statue</t>
        </is>
      </c>
      <c r="B66" s="425" t="inlineStr">
        <is>
          <t>SS</t>
        </is>
      </c>
      <c r="C66" s="425" t="inlineStr">
        <is>
          <t>FTH</t>
        </is>
      </c>
      <c r="D66" s="371" t="n">
        <v>6.6</v>
      </c>
      <c r="E66" s="425" t="n"/>
      <c r="F66" s="425" t="n"/>
      <c r="G66" s="425" t="n"/>
      <c r="H66" s="425" t="n"/>
      <c r="I66" s="425" t="n"/>
      <c r="J66" s="371" t="n">
        <v>66</v>
      </c>
      <c r="K66" s="371" t="n">
        <v>60</v>
      </c>
      <c r="L66" s="418" t="inlineStr">
        <is>
          <t>Fragment Crafting (4.4%), Lottery Machine #1 (0.24%), Wishing (0.16%), Demon God Chest (5%), Master Scrolls (1.9%), Grandmaster Scrolls (2.1%), FTH Master Scrolls (9.2%)</t>
        </is>
      </c>
    </row>
    <row r="67">
      <c r="A67" s="434" t="inlineStr">
        <is>
          <t xml:space="preserve">   Red Dot Award</t>
        </is>
      </c>
      <c r="B67" s="425" t="inlineStr">
        <is>
          <t>AAA</t>
        </is>
      </c>
      <c r="C67" s="425" t="inlineStr">
        <is>
          <t>FAME</t>
        </is>
      </c>
      <c r="D67" s="371" t="n"/>
      <c r="E67" s="371" t="n"/>
      <c r="F67" s="371" t="n"/>
      <c r="G67" s="425" t="n"/>
      <c r="H67" s="425" t="n">
        <v>5.4</v>
      </c>
      <c r="I67" s="425" t="n"/>
      <c r="J67" s="425" t="n"/>
      <c r="K67" s="425" t="n"/>
      <c r="L67" s="418" t="inlineStr">
        <is>
          <t>Decoration Bonus Relic #1</t>
        </is>
      </c>
    </row>
    <row r="68">
      <c r="A68" s="434" t="inlineStr">
        <is>
          <t xml:space="preserve">   Death of Marat</t>
        </is>
      </c>
      <c r="B68" s="425" t="inlineStr">
        <is>
          <t>AA</t>
        </is>
      </c>
      <c r="C68" s="425" t="inlineStr">
        <is>
          <t>ART</t>
        </is>
      </c>
      <c r="D68" s="371" t="n">
        <v>4.8</v>
      </c>
      <c r="E68" s="371" t="n">
        <v>4.2</v>
      </c>
      <c r="F68" s="371" t="n">
        <v>4.8</v>
      </c>
      <c r="G68" s="425" t="n"/>
      <c r="H68" s="425" t="n"/>
      <c r="I68" s="425" t="n"/>
      <c r="J68" s="425" t="n"/>
      <c r="K68" s="425" t="n"/>
      <c r="L68" s="418" t="inlineStr">
        <is>
          <t>Fragment Crafting (3.9%), Lottery Machine #1 (0.08%), Wishing (0.36%), Expert Scrolls (0.95%)</t>
        </is>
      </c>
    </row>
    <row r="69">
      <c r="A69" s="434" t="inlineStr">
        <is>
          <t xml:space="preserve">   Hannibal's Cup</t>
        </is>
      </c>
      <c r="B69" s="425" t="inlineStr">
        <is>
          <t>AA</t>
        </is>
      </c>
      <c r="C69" s="425" t="inlineStr">
        <is>
          <t>FAME</t>
        </is>
      </c>
      <c r="D69" s="425" t="n"/>
      <c r="E69" s="425" t="n"/>
      <c r="F69" s="425" t="n"/>
      <c r="G69" s="425" t="n"/>
      <c r="H69" s="371" t="n">
        <v>4.8</v>
      </c>
      <c r="I69" s="371" t="n">
        <v>4.2</v>
      </c>
      <c r="J69" s="425" t="n"/>
      <c r="K69" s="425" t="n"/>
      <c r="L69" s="418" t="inlineStr">
        <is>
          <t>Fragment Crafting (3.9%), Lottery Machine #1 (0.08%), Wishing (0.35%), Expert Scrolls (0.95%)</t>
        </is>
      </c>
    </row>
    <row r="70">
      <c r="A70" s="434" t="inlineStr">
        <is>
          <t xml:space="preserve">   Cloisters Cards</t>
        </is>
      </c>
      <c r="B70" s="425" t="inlineStr">
        <is>
          <t>Blue</t>
        </is>
      </c>
      <c r="C70" s="425" t="inlineStr">
        <is>
          <t>FAME</t>
        </is>
      </c>
      <c r="D70" s="425" t="n"/>
      <c r="E70" s="425" t="n"/>
      <c r="F70" s="425" t="n"/>
      <c r="G70" s="425" t="n"/>
      <c r="H70" s="425" t="n"/>
      <c r="I70" s="425" t="n"/>
      <c r="J70" s="371" t="n">
        <v>30</v>
      </c>
      <c r="K70" s="371" t="n">
        <v>30</v>
      </c>
      <c r="L70" s="386" t="inlineStr">
        <is>
          <t>Lottery Machine #2 (0.26%)</t>
        </is>
      </c>
    </row>
    <row r="71">
      <c r="A71" s="434" t="inlineStr">
        <is>
          <t xml:space="preserve">   Storyteller</t>
        </is>
      </c>
      <c r="B71" s="425" t="inlineStr">
        <is>
          <t>Blue</t>
        </is>
      </c>
      <c r="C71" s="425" t="inlineStr">
        <is>
          <t>ART</t>
        </is>
      </c>
      <c r="D71" s="425" t="n"/>
      <c r="E71" s="425" t="n"/>
      <c r="F71" s="425" t="n"/>
      <c r="G71" s="425" t="n"/>
      <c r="H71" s="425" t="n"/>
      <c r="I71" s="425" t="n"/>
      <c r="J71" s="371" t="n">
        <v>30</v>
      </c>
      <c r="K71" s="371" t="n">
        <v>30</v>
      </c>
      <c r="L71" s="418" t="inlineStr">
        <is>
          <t>Lottery Machine #1 (0.07%), Wishing (2.6%), Novice Scrolls (1%)</t>
        </is>
      </c>
    </row>
    <row r="72">
      <c r="A72" s="434" t="inlineStr">
        <is>
          <t xml:space="preserve">   Gecko Tail Specimen</t>
        </is>
      </c>
      <c r="B72" s="425" t="inlineStr">
        <is>
          <t>Green</t>
        </is>
      </c>
      <c r="C72" s="425" t="inlineStr">
        <is>
          <t>CIV</t>
        </is>
      </c>
      <c r="D72" s="371" t="n"/>
      <c r="E72" s="425" t="n"/>
      <c r="F72" s="371" t="n"/>
      <c r="G72" s="425" t="n"/>
      <c r="H72" s="371" t="n">
        <v>1.8</v>
      </c>
      <c r="I72" s="425" t="n"/>
      <c r="J72" s="371" t="n"/>
      <c r="K72" s="425" t="n"/>
      <c r="L72" s="418" t="inlineStr">
        <is>
          <t>Shop Easter Egg</t>
        </is>
      </c>
    </row>
    <row r="73">
      <c r="A73" s="362" t="inlineStr">
        <is>
          <t>MAX INDIVIDUAL RELICS</t>
        </is>
      </c>
      <c r="B73" s="411" t="n"/>
      <c r="C73" s="411" t="n"/>
      <c r="D73" s="364">
        <f>sum(D65:E72)</f>
        <v/>
      </c>
      <c r="E73" s="411" t="n"/>
      <c r="F73" s="364">
        <f>sum(F65:G72)</f>
        <v/>
      </c>
      <c r="G73" s="411" t="n"/>
      <c r="H73" s="364">
        <f>sum(H65:I72)</f>
        <v/>
      </c>
      <c r="I73" s="411" t="n"/>
      <c r="J73" s="364">
        <f>sum(J65:K72)</f>
        <v/>
      </c>
      <c r="K73" s="411" t="n"/>
      <c r="L73" s="426" t="n"/>
    </row>
    <row r="74">
      <c r="A74" s="434" t="n"/>
      <c r="B74" s="425" t="n"/>
      <c r="C74" s="425" t="n"/>
      <c r="D74" s="425" t="n"/>
      <c r="E74" s="425" t="n"/>
      <c r="F74" s="425" t="n"/>
      <c r="G74" s="425" t="n"/>
      <c r="H74" s="425" t="n"/>
      <c r="I74" s="425" t="n"/>
      <c r="J74" s="425" t="n"/>
      <c r="K74" s="425" t="n"/>
      <c r="L74" s="418" t="n"/>
    </row>
    <row r="75">
      <c r="A75" s="344" t="inlineStr">
        <is>
          <t>PARTNERS</t>
        </is>
      </c>
      <c r="B75" s="406" t="n"/>
      <c r="C75" s="406" t="n"/>
      <c r="D75" s="406" t="n"/>
      <c r="E75" s="406" t="n"/>
      <c r="F75" s="406" t="n"/>
      <c r="G75" s="406" t="n"/>
      <c r="H75" s="406" t="n"/>
      <c r="I75" s="406" t="n"/>
      <c r="J75" s="406" t="n"/>
      <c r="K75" s="406" t="n"/>
      <c r="L75" s="129" t="n"/>
    </row>
    <row r="76">
      <c r="A76" s="362" t="inlineStr">
        <is>
          <t xml:space="preserve">   Zadako</t>
        </is>
      </c>
      <c r="B76" s="411" t="n"/>
      <c r="C76" s="411" t="n"/>
      <c r="D76" s="411" t="n"/>
      <c r="E76" s="411" t="n"/>
      <c r="F76" s="411" t="n"/>
      <c r="G76" s="411" t="n"/>
      <c r="H76" s="411" t="n"/>
      <c r="I76" s="411" t="n"/>
      <c r="J76" s="364" t="n">
        <v>15</v>
      </c>
      <c r="K76" s="411" t="n"/>
      <c r="L76" s="426" t="n"/>
    </row>
    <row r="77">
      <c r="A77" s="434" t="n"/>
      <c r="B77" s="425" t="n"/>
      <c r="C77" s="425" t="n"/>
      <c r="D77" s="425" t="n"/>
      <c r="E77" s="425" t="n"/>
      <c r="F77" s="425" t="n"/>
      <c r="G77" s="425" t="n"/>
      <c r="H77" s="425" t="n"/>
      <c r="I77" s="425" t="n"/>
      <c r="J77" s="425" t="n"/>
      <c r="K77" s="425" t="n"/>
      <c r="L77" s="418" t="n"/>
    </row>
    <row r="78">
      <c r="A78" s="344" t="inlineStr">
        <is>
          <t>RESONANCE</t>
        </is>
      </c>
      <c r="B78" s="406" t="n"/>
      <c r="C78" s="406" t="n"/>
      <c r="D78" s="406" t="n"/>
      <c r="E78" s="406" t="n"/>
      <c r="F78" s="406" t="n"/>
      <c r="G78" s="406" t="n"/>
      <c r="H78" s="406" t="n"/>
      <c r="I78" s="406" t="n"/>
      <c r="J78" s="406" t="n"/>
      <c r="K78" s="406" t="n"/>
      <c r="L78" s="129" t="n"/>
    </row>
    <row r="79">
      <c r="A79" s="434" t="inlineStr">
        <is>
          <t xml:space="preserve">  BLUE</t>
        </is>
      </c>
      <c r="B79" s="425" t="n"/>
      <c r="C79" s="425" t="n"/>
      <c r="D79" s="425" t="n"/>
      <c r="E79" s="425" t="n"/>
      <c r="F79" s="425" t="n"/>
      <c r="G79" s="425" t="n"/>
      <c r="H79" s="425" t="n"/>
      <c r="I79" s="425" t="n"/>
      <c r="J79" s="425" t="n"/>
      <c r="K79" s="425" t="n"/>
      <c r="L79" s="418" t="n"/>
    </row>
    <row r="80">
      <c r="A80" s="434" t="inlineStr">
        <is>
          <t xml:space="preserve">    Research Speed</t>
        </is>
      </c>
      <c r="B80" s="425" t="n"/>
      <c r="C80" s="425" t="n"/>
      <c r="D80" s="371" t="n">
        <v>3</v>
      </c>
      <c r="E80" s="425" t="n"/>
      <c r="F80" s="425" t="n"/>
      <c r="G80" s="425" t="n"/>
      <c r="H80" s="425" t="n"/>
      <c r="I80" s="425" t="n"/>
      <c r="J80" s="425" t="n"/>
      <c r="K80" s="425" t="n"/>
      <c r="L80" s="418" t="n"/>
    </row>
    <row r="81">
      <c r="A81" s="434" t="inlineStr">
        <is>
          <t xml:space="preserve">      Ranjyatai Incense</t>
        </is>
      </c>
      <c r="B81" s="425" t="inlineStr">
        <is>
          <t>Blue</t>
        </is>
      </c>
      <c r="C81" s="425" t="inlineStr">
        <is>
          <t>FTH</t>
        </is>
      </c>
      <c r="D81" s="425" t="n"/>
      <c r="E81" s="425" t="n"/>
      <c r="F81" s="425" t="n"/>
      <c r="G81" s="425" t="n"/>
      <c r="H81" s="425" t="n"/>
      <c r="I81" s="425" t="n"/>
      <c r="J81" s="425" t="n"/>
      <c r="K81" s="425" t="n"/>
      <c r="L81" s="418" t="inlineStr">
        <is>
          <t>Lottery Machine #1 (0.07%), Wishing (2.1%), Novice Scrolls (1%)</t>
        </is>
      </c>
    </row>
    <row r="82">
      <c r="A82" s="434" t="inlineStr">
        <is>
          <t xml:space="preserve">      Ancient Block</t>
        </is>
      </c>
      <c r="B82" s="425" t="inlineStr">
        <is>
          <t>Blue</t>
        </is>
      </c>
      <c r="C82" s="425" t="inlineStr">
        <is>
          <t>FTH</t>
        </is>
      </c>
      <c r="D82" s="425" t="n"/>
      <c r="E82" s="425" t="n"/>
      <c r="F82" s="425" t="n"/>
      <c r="G82" s="425" t="n"/>
      <c r="H82" s="425" t="n"/>
      <c r="I82" s="425" t="n"/>
      <c r="J82" s="425" t="n"/>
      <c r="K82" s="425" t="n"/>
      <c r="L82" s="418" t="inlineStr">
        <is>
          <t>Lottery Machine #1 (0.07%), Wishing (2.1%), Soul Chest (2%), Novice Scrolls (1%)</t>
        </is>
      </c>
    </row>
    <row r="83">
      <c r="A83" s="434" t="inlineStr">
        <is>
          <t xml:space="preserve">    Free Speedup</t>
        </is>
      </c>
      <c r="B83" s="425" t="n"/>
      <c r="C83" s="425" t="n"/>
      <c r="D83" s="425" t="n"/>
      <c r="E83" s="425" t="n"/>
      <c r="F83" s="425" t="n"/>
      <c r="G83" s="425" t="n"/>
      <c r="H83" s="425" t="n"/>
      <c r="I83" s="425" t="n"/>
      <c r="J83" s="371" t="n">
        <v>30</v>
      </c>
      <c r="K83" s="425" t="n"/>
      <c r="L83" s="418" t="n"/>
    </row>
    <row r="84">
      <c r="A84" s="434" t="inlineStr">
        <is>
          <t xml:space="preserve">      Instant Noodle Recipe</t>
        </is>
      </c>
      <c r="B84" s="425" t="inlineStr">
        <is>
          <t>Blue</t>
        </is>
      </c>
      <c r="C84" s="425" t="inlineStr">
        <is>
          <t>FAME</t>
        </is>
      </c>
      <c r="D84" s="425" t="n"/>
      <c r="E84" s="425" t="n"/>
      <c r="F84" s="425" t="n"/>
      <c r="G84" s="425" t="n"/>
      <c r="H84" s="425" t="n"/>
      <c r="I84" s="425" t="n"/>
      <c r="J84" s="425" t="n"/>
      <c r="K84" s="425" t="n"/>
      <c r="L84" s="1095" t="inlineStr">
        <is>
          <t>Lottery Machine #2 (0.26%)</t>
        </is>
      </c>
    </row>
    <row r="85">
      <c r="A85" s="434" t="inlineStr">
        <is>
          <t xml:space="preserve">      Appert's Glass Bottle</t>
        </is>
      </c>
      <c r="B85" s="425" t="inlineStr">
        <is>
          <t>Blue</t>
        </is>
      </c>
      <c r="C85" s="425" t="inlineStr">
        <is>
          <t>FAME</t>
        </is>
      </c>
      <c r="D85" s="425" t="n"/>
      <c r="E85" s="425" t="n"/>
      <c r="F85" s="425" t="n"/>
      <c r="G85" s="425" t="n"/>
      <c r="H85" s="425" t="n"/>
      <c r="I85" s="425" t="n"/>
      <c r="J85" s="425" t="n"/>
      <c r="K85" s="425" t="n"/>
      <c r="L85" s="1095" t="inlineStr">
        <is>
          <t>Lottery Machine #2 (0.03%)</t>
        </is>
      </c>
    </row>
    <row r="86">
      <c r="A86" s="434" t="inlineStr">
        <is>
          <t xml:space="preserve">  PURPLE</t>
        </is>
      </c>
      <c r="B86" s="425" t="n"/>
      <c r="C86" s="425" t="n"/>
      <c r="D86" s="425" t="n"/>
      <c r="E86" s="425" t="n"/>
      <c r="F86" s="425" t="n"/>
      <c r="G86" s="425" t="n"/>
      <c r="H86" s="425" t="n"/>
      <c r="I86" s="425" t="n"/>
      <c r="J86" s="425" t="n"/>
      <c r="K86" s="425" t="n"/>
      <c r="L86" s="418" t="n"/>
    </row>
    <row r="87">
      <c r="A87" s="434" t="inlineStr">
        <is>
          <t xml:space="preserve">    Research Speed</t>
        </is>
      </c>
      <c r="B87" s="425" t="n"/>
      <c r="C87" s="425" t="n"/>
      <c r="D87" s="371" t="n">
        <v>3.6</v>
      </c>
      <c r="E87" s="425" t="n"/>
      <c r="F87" s="425" t="n"/>
      <c r="G87" s="425" t="n"/>
      <c r="H87" s="425" t="n"/>
      <c r="I87" s="425" t="n"/>
      <c r="J87" s="425" t="n"/>
      <c r="K87" s="425" t="n"/>
      <c r="L87" s="418" t="n"/>
    </row>
    <row r="88">
      <c r="A88" s="434" t="inlineStr">
        <is>
          <t xml:space="preserve">      Jade Burial Suit</t>
        </is>
      </c>
      <c r="B88" s="425" t="inlineStr">
        <is>
          <t>AA</t>
        </is>
      </c>
      <c r="C88" s="425" t="inlineStr">
        <is>
          <t>FTH</t>
        </is>
      </c>
      <c r="D88" s="425" t="n"/>
      <c r="E88" s="425" t="n"/>
      <c r="F88" s="425" t="n"/>
      <c r="G88" s="425" t="n"/>
      <c r="H88" s="425" t="n"/>
      <c r="I88" s="425" t="n"/>
      <c r="J88" s="425" t="n"/>
      <c r="K88" s="425" t="n"/>
      <c r="L88" s="418" t="inlineStr">
        <is>
          <t>Fragment Crafting (1.5%), Lottery Machine #1 (0.03%), Wishing (0.14%), Cathay Treasure Map (10% chance), Relic Forge (80 Relic RF)</t>
        </is>
      </c>
    </row>
    <row r="89">
      <c r="A89" s="434" t="inlineStr">
        <is>
          <t xml:space="preserve">      Yamato Mirror</t>
        </is>
      </c>
      <c r="B89" s="425" t="inlineStr">
        <is>
          <t>AAA</t>
        </is>
      </c>
      <c r="C89" s="425" t="inlineStr">
        <is>
          <t>FTH</t>
        </is>
      </c>
      <c r="D89" s="425" t="n"/>
      <c r="E89" s="425" t="n"/>
      <c r="F89" s="425" t="n"/>
      <c r="G89" s="425" t="n"/>
      <c r="H89" s="425" t="n"/>
      <c r="I89" s="425" t="n"/>
      <c r="J89" s="425" t="n"/>
      <c r="K89" s="425" t="n"/>
      <c r="L89" s="418" t="inlineStr">
        <is>
          <t>Fragment Crafting (1.5%), Lottery Machine #1 (0.03%), Wishing (0.14%), Relic Forge (80 Relic RF)</t>
        </is>
      </c>
    </row>
    <row r="90">
      <c r="A90" s="434" t="inlineStr">
        <is>
          <t xml:space="preserve">    Cells Consumed</t>
        </is>
      </c>
      <c r="B90" s="425" t="n"/>
      <c r="C90" s="425" t="n"/>
      <c r="D90" s="425" t="n"/>
      <c r="E90" s="425" t="n"/>
      <c r="F90" s="371" t="n">
        <v>3.6</v>
      </c>
      <c r="G90" s="425" t="n"/>
      <c r="H90" s="425" t="n"/>
      <c r="I90" s="425" t="n"/>
      <c r="J90" s="425" t="n"/>
      <c r="K90" s="425" t="n"/>
      <c r="L90" s="418" t="n"/>
    </row>
    <row r="91">
      <c r="A91" s="434" t="inlineStr">
        <is>
          <t xml:space="preserve">      Crystal Skull</t>
        </is>
      </c>
      <c r="B91" s="425" t="inlineStr">
        <is>
          <t>AAA</t>
        </is>
      </c>
      <c r="C91" s="425" t="inlineStr">
        <is>
          <t>ART</t>
        </is>
      </c>
      <c r="D91" s="425" t="n"/>
      <c r="E91" s="425" t="n"/>
      <c r="F91" s="425" t="n"/>
      <c r="G91" s="425" t="n"/>
      <c r="H91" s="425" t="n"/>
      <c r="I91" s="425" t="n"/>
      <c r="J91" s="425" t="n"/>
      <c r="K91" s="425" t="n"/>
      <c r="L91" s="418" t="inlineStr">
        <is>
          <t>Fragment Crafting (1.6%), Lottery Machine #1 (0.03%), Wishing (0.14%), Time Chest (1.5%), Relic Forge (Relic RF 80)</t>
        </is>
      </c>
    </row>
    <row r="92">
      <c r="A92" s="434" t="inlineStr">
        <is>
          <t xml:space="preserve">      Truth Crystal</t>
        </is>
      </c>
      <c r="B92" s="425" t="inlineStr">
        <is>
          <t>AAA</t>
        </is>
      </c>
      <c r="C92" s="425" t="inlineStr">
        <is>
          <t>FTH</t>
        </is>
      </c>
      <c r="D92" s="425" t="n"/>
      <c r="E92" s="425" t="n"/>
      <c r="F92" s="425" t="n"/>
      <c r="G92" s="425" t="n"/>
      <c r="H92" s="425" t="n"/>
      <c r="I92" s="425" t="n"/>
      <c r="J92" s="425" t="n"/>
      <c r="K92" s="425" t="n"/>
      <c r="L92" s="418" t="inlineStr">
        <is>
          <t>Fragment Crating (1.5%), Lottery Machine #1 (0.03%), Wishing (0.14%), Relic Forge (80 Relic RF), Nebula Chest (1.5%)</t>
        </is>
      </c>
    </row>
    <row r="93">
      <c r="A93" s="434" t="inlineStr">
        <is>
          <t xml:space="preserve">  ORANGE</t>
        </is>
      </c>
      <c r="B93" s="425" t="n"/>
      <c r="C93" s="425" t="n"/>
      <c r="D93" s="425" t="n"/>
      <c r="E93" s="425" t="n"/>
      <c r="F93" s="425" t="n"/>
      <c r="G93" s="425" t="n"/>
      <c r="H93" s="425" t="n"/>
      <c r="I93" s="425" t="n"/>
      <c r="J93" s="425" t="n"/>
      <c r="K93" s="425" t="n"/>
      <c r="L93" s="418" t="n"/>
    </row>
    <row r="94">
      <c r="A94" s="434" t="inlineStr">
        <is>
          <t xml:space="preserve">    Research Speed</t>
        </is>
      </c>
      <c r="B94" s="425" t="n"/>
      <c r="C94" s="425" t="n"/>
      <c r="D94" s="371" t="n">
        <v>5.4</v>
      </c>
      <c r="E94" s="425" t="n"/>
      <c r="F94" s="425" t="n"/>
      <c r="G94" s="425" t="n"/>
      <c r="H94" s="425" t="n"/>
      <c r="I94" s="425" t="n"/>
      <c r="J94" s="425" t="n"/>
      <c r="K94" s="425" t="n"/>
      <c r="L94" s="418" t="n"/>
    </row>
    <row r="95">
      <c r="A95" s="434" t="inlineStr">
        <is>
          <t xml:space="preserve">      SkyWeb Hub</t>
        </is>
      </c>
      <c r="B95" s="425" t="inlineStr">
        <is>
          <t>SS</t>
        </is>
      </c>
      <c r="C95" s="425" t="inlineStr">
        <is>
          <t>TECH</t>
        </is>
      </c>
      <c r="D95" s="425" t="n"/>
      <c r="E95" s="425" t="n"/>
      <c r="F95" s="425" t="n"/>
      <c r="G95" s="425" t="n"/>
      <c r="H95" s="425" t="n"/>
      <c r="I95" s="425" t="n"/>
      <c r="J95" s="425" t="n"/>
      <c r="K95" s="425" t="n"/>
      <c r="L95" s="418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96">
      <c r="A96" s="434" t="inlineStr">
        <is>
          <t xml:space="preserve">      Fu Hao Scripts</t>
        </is>
      </c>
      <c r="B96" s="425" t="inlineStr">
        <is>
          <t>SS</t>
        </is>
      </c>
      <c r="C96" s="425" t="inlineStr">
        <is>
          <t>CIV</t>
        </is>
      </c>
      <c r="D96" s="425" t="n"/>
      <c r="E96" s="425" t="n"/>
      <c r="F96" s="425" t="n"/>
      <c r="G96" s="425" t="n"/>
      <c r="H96" s="425" t="n"/>
      <c r="I96" s="425" t="n"/>
      <c r="J96" s="425" t="n"/>
      <c r="K96" s="425" t="n"/>
      <c r="L96" s="418" t="inlineStr">
        <is>
          <t>Fragment Crafting (4.1%), Lottery Machine #1 (0.18%), Wishing (0.15%), Grandmaster Scrolls (1.6%)</t>
        </is>
      </c>
    </row>
    <row r="97">
      <c r="A97" s="434" t="inlineStr">
        <is>
          <t xml:space="preserve">      Buddha Finger Sarira</t>
        </is>
      </c>
      <c r="B97" s="425" t="inlineStr">
        <is>
          <t>SS</t>
        </is>
      </c>
      <c r="C97" s="425" t="inlineStr">
        <is>
          <t>FTH</t>
        </is>
      </c>
      <c r="D97" s="425" t="n"/>
      <c r="E97" s="425" t="n"/>
      <c r="F97" s="425" t="n"/>
      <c r="G97" s="425" t="n"/>
      <c r="H97" s="425" t="n"/>
      <c r="I97" s="425" t="n"/>
      <c r="J97" s="425" t="n"/>
      <c r="K97" s="425" t="n"/>
      <c r="L97" s="418" t="inlineStr">
        <is>
          <t>Fragment Crafting (3.3%), Lottery Machine #1 (0.18%), Wishing (0.12%), Bharata Treasure Maps (%), Grandmaster Scrolls (1.6%)</t>
        </is>
      </c>
    </row>
    <row r="98">
      <c r="A98" s="434" t="inlineStr">
        <is>
          <t xml:space="preserve">      Proclamation 95</t>
        </is>
      </c>
      <c r="B98" s="425" t="inlineStr">
        <is>
          <t>SS</t>
        </is>
      </c>
      <c r="C98" s="425" t="inlineStr">
        <is>
          <t>FAME</t>
        </is>
      </c>
      <c r="D98" s="425" t="n"/>
      <c r="E98" s="425" t="n"/>
      <c r="F98" s="425" t="n"/>
      <c r="G98" s="425" t="n"/>
      <c r="H98" s="425" t="n"/>
      <c r="I98" s="425" t="n"/>
      <c r="J98" s="425" t="n"/>
      <c r="K98" s="425" t="n"/>
      <c r="L98" s="418" t="inlineStr">
        <is>
          <t>Fragment Crafting (0.61), Lottery Machine #1 (0.24%), Wishing (0.22%), Master Scrolls (0.19%), Grandmaster Scrolls (2.1%), FAME Master Scroll (9.2%)</t>
        </is>
      </c>
    </row>
    <row r="99">
      <c r="A99" s="434" t="inlineStr">
        <is>
          <t xml:space="preserve">    Cells Consumed</t>
        </is>
      </c>
      <c r="B99" s="425" t="n"/>
      <c r="C99" s="425" t="n"/>
      <c r="D99" s="425" t="n"/>
      <c r="E99" s="425" t="n"/>
      <c r="F99" s="371" t="n">
        <v>4.2</v>
      </c>
      <c r="G99" s="425" t="n"/>
      <c r="H99" s="425" t="n"/>
      <c r="I99" s="425" t="n"/>
      <c r="J99" s="425" t="n"/>
      <c r="K99" s="425" t="n"/>
      <c r="L99" s="418" t="n"/>
    </row>
    <row r="100">
      <c r="A100" s="434" t="inlineStr">
        <is>
          <t xml:space="preserve">      Mummy of Ramesses</t>
        </is>
      </c>
      <c r="B100" s="425" t="inlineStr">
        <is>
          <t>SS</t>
        </is>
      </c>
      <c r="C100" s="425" t="inlineStr">
        <is>
          <t>FTH</t>
        </is>
      </c>
      <c r="D100" s="425" t="n"/>
      <c r="E100" s="425" t="n"/>
      <c r="F100" s="425" t="n"/>
      <c r="G100" s="425" t="n"/>
      <c r="H100" s="425" t="n"/>
      <c r="I100" s="425" t="n"/>
      <c r="J100" s="425" t="n"/>
      <c r="K100" s="425" t="n"/>
      <c r="L100" s="418" t="inlineStr">
        <is>
          <t>T7.5 Zombie Gene Research</t>
        </is>
      </c>
    </row>
    <row r="101">
      <c r="A101" s="434" t="inlineStr">
        <is>
          <t xml:space="preserve">      Ark of the Covenant</t>
        </is>
      </c>
      <c r="B101" s="425" t="inlineStr">
        <is>
          <t>SS</t>
        </is>
      </c>
      <c r="C101" s="425" t="inlineStr">
        <is>
          <t>FTH</t>
        </is>
      </c>
      <c r="D101" s="425" t="n"/>
      <c r="E101" s="425" t="n"/>
      <c r="F101" s="425" t="n"/>
      <c r="G101" s="425" t="n"/>
      <c r="H101" s="425" t="n"/>
      <c r="I101" s="425" t="n"/>
      <c r="J101" s="425" t="n"/>
      <c r="K101" s="425" t="n"/>
      <c r="L101" s="418" t="inlineStr">
        <is>
          <t>Fragment Crafting (15.1%), Lottery Machine #1 (0.81%), Wishing (0.53%), Relic Forge (90 Relic RF)</t>
        </is>
      </c>
    </row>
    <row r="102">
      <c r="A102" s="362" t="inlineStr">
        <is>
          <t>MAX RESONANCE</t>
        </is>
      </c>
      <c r="B102" s="411" t="n"/>
      <c r="C102" s="411" t="n"/>
      <c r="D102" s="364">
        <f>sum(D79:D101)</f>
        <v/>
      </c>
      <c r="E102" s="411" t="n"/>
      <c r="F102" s="364">
        <f>sum(F79:F101)</f>
        <v/>
      </c>
      <c r="G102" s="411" t="n"/>
      <c r="H102" s="364">
        <f>sum(H79:H101)</f>
        <v/>
      </c>
      <c r="I102" s="411" t="n"/>
      <c r="J102" s="364">
        <f>sum(J79:J101)</f>
        <v/>
      </c>
      <c r="K102" s="411" t="n"/>
      <c r="L102" s="426" t="n"/>
    </row>
    <row r="103">
      <c r="A103" s="425" t="n"/>
      <c r="B103" s="425" t="n"/>
      <c r="C103" s="425" t="n"/>
      <c r="D103" s="425" t="n"/>
      <c r="E103" s="425" t="n"/>
      <c r="F103" s="425" t="n"/>
      <c r="G103" s="425" t="n"/>
      <c r="H103" s="425" t="n"/>
      <c r="I103" s="425" t="n"/>
      <c r="J103" s="425" t="n"/>
      <c r="K103" s="425" t="n"/>
      <c r="L103" s="425" t="n"/>
    </row>
    <row r="104">
      <c r="A104" s="425" t="n"/>
      <c r="B104" s="425" t="n"/>
      <c r="C104" s="425" t="n"/>
      <c r="D104" s="425" t="n"/>
      <c r="E104" s="425" t="n"/>
      <c r="F104" s="425" t="n"/>
      <c r="G104" s="425" t="n"/>
      <c r="H104" s="425" t="n"/>
      <c r="I104" s="425" t="n"/>
      <c r="J104" s="425" t="n"/>
      <c r="K104" s="425" t="n"/>
      <c r="L104" s="425" t="n"/>
    </row>
    <row r="105">
      <c r="A105" s="424" t="inlineStr">
        <is>
          <t>DEMON</t>
        </is>
      </c>
      <c r="B105" s="406" t="n"/>
      <c r="C105" s="406" t="n"/>
      <c r="D105" s="406" t="n"/>
      <c r="E105" s="406" t="n"/>
      <c r="F105" s="406" t="n"/>
      <c r="G105" s="406" t="n"/>
      <c r="H105" s="406" t="n"/>
      <c r="I105" s="406" t="n"/>
      <c r="J105" s="406" t="n"/>
      <c r="K105" s="406" t="n"/>
      <c r="L105" s="129" t="n"/>
    </row>
    <row r="106">
      <c r="A106" s="434" t="inlineStr">
        <is>
          <t>INDIVIDUAL RELICS</t>
        </is>
      </c>
      <c r="B106" s="425" t="n"/>
      <c r="C106" s="425" t="n"/>
      <c r="D106" s="425" t="n"/>
      <c r="E106" s="425" t="n"/>
      <c r="F106" s="425" t="n"/>
      <c r="G106" s="425" t="n"/>
      <c r="H106" s="425" t="n"/>
      <c r="I106" s="425" t="n"/>
      <c r="J106" s="425" t="n"/>
      <c r="K106" s="425" t="n"/>
      <c r="L106" s="418" t="n"/>
    </row>
    <row r="107">
      <c r="A107" s="434" t="inlineStr">
        <is>
          <t xml:space="preserve">   5th Element</t>
        </is>
      </c>
      <c r="B107" s="425" t="inlineStr">
        <is>
          <t>SS</t>
        </is>
      </c>
      <c r="C107" s="425" t="inlineStr">
        <is>
          <t>TECH</t>
        </is>
      </c>
      <c r="D107" s="371" t="n">
        <v>7.2</v>
      </c>
      <c r="E107" s="425" t="n"/>
      <c r="F107" s="425" t="n"/>
      <c r="G107" s="425" t="n"/>
      <c r="H107" s="425" t="n"/>
      <c r="I107" s="425" t="n"/>
      <c r="J107" s="371" t="n">
        <v>72</v>
      </c>
      <c r="K107" s="371" t="n">
        <v>60</v>
      </c>
      <c r="L107" s="418" t="inlineStr">
        <is>
          <t>Fragment Crafting (5.2%), Lottery Machine #1 (0.24%), Wishing (0.19%), Master Scrolls (1.9%), Grandmaster Scrolls (2.1%), TECH Master Scrolls (9.2%)</t>
        </is>
      </c>
    </row>
    <row r="108">
      <c r="A108" s="434" t="inlineStr">
        <is>
          <t xml:space="preserve">   Dream Top</t>
        </is>
      </c>
      <c r="B108" s="425" t="inlineStr">
        <is>
          <t>AAA</t>
        </is>
      </c>
      <c r="C108" s="425" t="inlineStr">
        <is>
          <t>CIV</t>
        </is>
      </c>
      <c r="D108" s="371" t="n">
        <v>5.4</v>
      </c>
      <c r="E108" s="371" t="n">
        <v>4.2</v>
      </c>
      <c r="F108" s="425" t="n"/>
      <c r="G108" s="425" t="n"/>
      <c r="H108" s="425" t="n"/>
      <c r="I108" s="425" t="n"/>
      <c r="J108" s="425" t="n"/>
      <c r="K108" s="425" t="n"/>
      <c r="L108" s="418" t="inlineStr">
        <is>
          <t>Fragment Crafting (1.5%), Lottery Machine #1 (0.03%), Wishing (0.14%), Time Chest (1.5%), Relic Forge (80 Relic RF)</t>
        </is>
      </c>
    </row>
    <row r="109">
      <c r="A109" s="434" t="inlineStr">
        <is>
          <t xml:space="preserve">   Corinthian Pillar</t>
        </is>
      </c>
      <c r="B109" s="425" t="inlineStr">
        <is>
          <t>AAA</t>
        </is>
      </c>
      <c r="C109" s="425" t="inlineStr">
        <is>
          <t>FTH</t>
        </is>
      </c>
      <c r="D109" s="425" t="n"/>
      <c r="E109" s="425" t="n"/>
      <c r="F109" s="371" t="n">
        <v>5.4</v>
      </c>
      <c r="G109" s="425" t="n"/>
      <c r="H109" s="371" t="n">
        <v>5.4</v>
      </c>
      <c r="I109" s="371" t="n">
        <v>4.2</v>
      </c>
      <c r="J109" s="425" t="n"/>
      <c r="K109" s="425" t="n"/>
      <c r="L109" s="418" t="inlineStr">
        <is>
          <t>Fragment Crafting (1.5%), Lottery Machine #1 (0.03%), Wishing (0.14%), Relic Forge (80 Relic RF)</t>
        </is>
      </c>
    </row>
    <row r="110">
      <c r="A110" s="434" t="inlineStr">
        <is>
          <t xml:space="preserve">   Pompeii</t>
        </is>
      </c>
      <c r="B110" s="425" t="inlineStr">
        <is>
          <t>Blue</t>
        </is>
      </c>
      <c r="C110" s="425" t="inlineStr">
        <is>
          <t>ART</t>
        </is>
      </c>
      <c r="D110" s="425" t="n"/>
      <c r="E110" s="425" t="n"/>
      <c r="F110" s="425" t="n"/>
      <c r="G110" s="425" t="n"/>
      <c r="H110" s="425" t="n"/>
      <c r="I110" s="425" t="n"/>
      <c r="J110" s="371" t="n">
        <v>30</v>
      </c>
      <c r="K110" s="371" t="n">
        <v>30</v>
      </c>
      <c r="L110" s="1095" t="inlineStr">
        <is>
          <t>Lottery Machine #2 (0.03%)</t>
        </is>
      </c>
    </row>
    <row r="111">
      <c r="A111" s="434" t="inlineStr">
        <is>
          <t xml:space="preserve">   Opera Phantom</t>
        </is>
      </c>
      <c r="B111" s="425" t="inlineStr">
        <is>
          <t>Blue</t>
        </is>
      </c>
      <c r="C111" s="425" t="inlineStr">
        <is>
          <t>ART</t>
        </is>
      </c>
      <c r="D111" s="425" t="n"/>
      <c r="E111" s="425" t="n"/>
      <c r="F111" s="425" t="n"/>
      <c r="G111" s="425" t="n"/>
      <c r="H111" s="425" t="n"/>
      <c r="I111" s="425" t="n"/>
      <c r="J111" s="371" t="n">
        <v>30</v>
      </c>
      <c r="K111" s="371" t="n">
        <v>30</v>
      </c>
      <c r="L111" s="418" t="inlineStr">
        <is>
          <t>Lottery Machine #1 (0.03%), Wishing (1.2%)</t>
        </is>
      </c>
    </row>
    <row r="112">
      <c r="A112" s="434" t="inlineStr">
        <is>
          <t xml:space="preserve">   Death Vase</t>
        </is>
      </c>
      <c r="B112" s="425" t="inlineStr">
        <is>
          <t>Green</t>
        </is>
      </c>
      <c r="C112" s="425" t="inlineStr">
        <is>
          <t>ART</t>
        </is>
      </c>
      <c r="D112" s="371" t="n"/>
      <c r="E112" s="425" t="n"/>
      <c r="F112" s="371" t="n"/>
      <c r="G112" s="425" t="n"/>
      <c r="H112" s="371" t="n">
        <v>1.8</v>
      </c>
      <c r="I112" s="425" t="n"/>
      <c r="J112" s="371" t="n"/>
      <c r="K112" s="425" t="n"/>
      <c r="L112" s="418" t="inlineStr">
        <is>
          <t>"I want your collection!" Dragon Wish</t>
        </is>
      </c>
    </row>
    <row r="113">
      <c r="A113" s="362" t="inlineStr">
        <is>
          <t>MAX INDIVIDUAL RELICS</t>
        </is>
      </c>
      <c r="B113" s="411" t="n"/>
      <c r="C113" s="411" t="n"/>
      <c r="D113" s="364">
        <f>sum(D106:E112)</f>
        <v/>
      </c>
      <c r="E113" s="411" t="n"/>
      <c r="F113" s="364">
        <f>sum(F106:G112)</f>
        <v/>
      </c>
      <c r="G113" s="411" t="n"/>
      <c r="H113" s="364">
        <f>sum(H106:I112)</f>
        <v/>
      </c>
      <c r="I113" s="411" t="n"/>
      <c r="J113" s="364">
        <f>sum(J106:K112)</f>
        <v/>
      </c>
      <c r="K113" s="411" t="n"/>
      <c r="L113" s="426" t="n"/>
    </row>
    <row r="114">
      <c r="A114" s="434" t="n"/>
      <c r="B114" s="425" t="n"/>
      <c r="C114" s="425" t="n"/>
      <c r="D114" s="425" t="n"/>
      <c r="E114" s="425" t="n"/>
      <c r="F114" s="425" t="n"/>
      <c r="G114" s="425" t="n"/>
      <c r="H114" s="425" t="n"/>
      <c r="I114" s="425" t="n"/>
      <c r="J114" s="425" t="n"/>
      <c r="K114" s="425" t="n"/>
      <c r="L114" s="418" t="n"/>
    </row>
    <row r="115">
      <c r="A115" s="344" t="inlineStr">
        <is>
          <t>RESONANCE</t>
        </is>
      </c>
      <c r="B115" s="406" t="n"/>
      <c r="C115" s="406" t="n"/>
      <c r="D115" s="406" t="n"/>
      <c r="E115" s="406" t="n"/>
      <c r="F115" s="406" t="n"/>
      <c r="G115" s="406" t="n"/>
      <c r="H115" s="406" t="n"/>
      <c r="I115" s="406" t="n"/>
      <c r="J115" s="406" t="n"/>
      <c r="K115" s="406" t="n"/>
      <c r="L115" s="129" t="n"/>
    </row>
    <row r="116">
      <c r="A116" s="434" t="inlineStr">
        <is>
          <t xml:space="preserve">  BLUE</t>
        </is>
      </c>
      <c r="B116" s="425" t="n"/>
      <c r="C116" s="425" t="n"/>
      <c r="D116" s="425" t="n"/>
      <c r="E116" s="425" t="n"/>
      <c r="F116" s="425" t="n"/>
      <c r="G116" s="425" t="n"/>
      <c r="H116" s="425" t="n"/>
      <c r="I116" s="425" t="n"/>
      <c r="J116" s="425" t="n"/>
      <c r="K116" s="425" t="n"/>
      <c r="L116" s="418" t="n"/>
    </row>
    <row r="117">
      <c r="A117" s="434" t="inlineStr">
        <is>
          <t xml:space="preserve">    Research Speed</t>
        </is>
      </c>
      <c r="B117" s="425" t="n"/>
      <c r="C117" s="425" t="n"/>
      <c r="D117" s="371" t="n">
        <v>3.6</v>
      </c>
      <c r="E117" s="425" t="n"/>
      <c r="F117" s="425" t="n"/>
      <c r="G117" s="425" t="n"/>
      <c r="H117" s="425" t="n"/>
      <c r="I117" s="425" t="n"/>
      <c r="J117" s="425" t="n"/>
      <c r="K117" s="425" t="n"/>
      <c r="L117" s="418" t="n"/>
    </row>
    <row r="118">
      <c r="A118" s="434" t="inlineStr">
        <is>
          <t xml:space="preserve">      Ludovisi Gaul</t>
        </is>
      </c>
      <c r="B118" s="425" t="inlineStr">
        <is>
          <t>Blue</t>
        </is>
      </c>
      <c r="C118" s="425" t="inlineStr">
        <is>
          <t>ART</t>
        </is>
      </c>
      <c r="D118" s="425" t="n"/>
      <c r="E118" s="425" t="n"/>
      <c r="F118" s="425" t="n"/>
      <c r="G118" s="425" t="n"/>
      <c r="H118" s="425" t="n"/>
      <c r="I118" s="425" t="n"/>
      <c r="J118" s="425" t="n"/>
      <c r="K118" s="425" t="n"/>
      <c r="L118" s="418" t="inlineStr">
        <is>
          <t>Lottery Machine #1 (0.07%), Wishing (3%), Novice Scrolls (1%)</t>
        </is>
      </c>
    </row>
    <row r="119">
      <c r="A119" s="434" t="inlineStr">
        <is>
          <t xml:space="preserve">      Twelve Tables</t>
        </is>
      </c>
      <c r="B119" s="425" t="inlineStr">
        <is>
          <t>Blue</t>
        </is>
      </c>
      <c r="C119" s="425" t="inlineStr">
        <is>
          <t>FAME</t>
        </is>
      </c>
      <c r="D119" s="425" t="n"/>
      <c r="E119" s="425" t="n"/>
      <c r="F119" s="425" t="n"/>
      <c r="G119" s="425" t="n"/>
      <c r="H119" s="425" t="n"/>
      <c r="I119" s="425" t="n"/>
      <c r="J119" s="425" t="n"/>
      <c r="K119" s="425" t="n"/>
      <c r="L119" s="418" t="inlineStr">
        <is>
          <t>Lottery Machine #1 (0.03%), Wishing (1.2%)</t>
        </is>
      </c>
    </row>
    <row r="120">
      <c r="A120" s="434" t="inlineStr">
        <is>
          <t xml:space="preserve">      Ranjyatai Incense</t>
        </is>
      </c>
      <c r="B120" s="425" t="inlineStr">
        <is>
          <t>Blue</t>
        </is>
      </c>
      <c r="C120" s="425" t="inlineStr">
        <is>
          <t>FTH</t>
        </is>
      </c>
      <c r="D120" s="425" t="n"/>
      <c r="E120" s="425" t="n"/>
      <c r="F120" s="425" t="n"/>
      <c r="G120" s="425" t="n"/>
      <c r="H120" s="425" t="n"/>
      <c r="I120" s="425" t="n"/>
      <c r="J120" s="425" t="n"/>
      <c r="K120" s="425" t="n"/>
      <c r="L120" s="418" t="inlineStr">
        <is>
          <t>Lottery Machine #1 (0.07%), Wishing (2.1%), Novice Scrolls (1%)</t>
        </is>
      </c>
    </row>
    <row r="121">
      <c r="A121" s="434" t="inlineStr">
        <is>
          <t xml:space="preserve">    Free Speedup</t>
        </is>
      </c>
      <c r="B121" s="425" t="n"/>
      <c r="C121" s="425" t="n"/>
      <c r="D121" s="425" t="n"/>
      <c r="E121" s="425" t="n"/>
      <c r="F121" s="425" t="n"/>
      <c r="G121" s="425" t="n"/>
      <c r="H121" s="425" t="n"/>
      <c r="I121" s="425" t="n"/>
      <c r="J121" s="371" t="n">
        <v>30</v>
      </c>
      <c r="K121" s="425" t="n"/>
      <c r="L121" s="418" t="n"/>
    </row>
    <row r="122">
      <c r="A122" s="434" t="inlineStr">
        <is>
          <t xml:space="preserve">      Pompeii</t>
        </is>
      </c>
      <c r="B122" s="425" t="inlineStr">
        <is>
          <t>Blue</t>
        </is>
      </c>
      <c r="C122" s="425" t="inlineStr">
        <is>
          <t>ART</t>
        </is>
      </c>
      <c r="D122" s="425" t="n"/>
      <c r="E122" s="425" t="n"/>
      <c r="F122" s="425" t="n"/>
      <c r="G122" s="425" t="n"/>
      <c r="H122" s="425" t="n"/>
      <c r="I122" s="425" t="n"/>
      <c r="J122" s="425" t="n"/>
      <c r="K122" s="425" t="n"/>
      <c r="L122" s="1095" t="inlineStr">
        <is>
          <t>Lottery Machine #2 (0.03%)</t>
        </is>
      </c>
    </row>
    <row r="123">
      <c r="A123" s="434" t="inlineStr">
        <is>
          <t xml:space="preserve">      The Fall of Phaethon</t>
        </is>
      </c>
      <c r="B123" s="425" t="inlineStr">
        <is>
          <t>Blue</t>
        </is>
      </c>
      <c r="C123" s="425" t="inlineStr">
        <is>
          <t>ART</t>
        </is>
      </c>
      <c r="D123" s="425" t="n"/>
      <c r="E123" s="425" t="n"/>
      <c r="F123" s="425" t="n"/>
      <c r="G123" s="425" t="n"/>
      <c r="H123" s="425" t="n"/>
      <c r="I123" s="425" t="n"/>
      <c r="J123" s="425" t="n"/>
      <c r="K123" s="425" t="n"/>
      <c r="L123" s="1095" t="inlineStr">
        <is>
          <t>Lottery Machine #2 (0.03%), Indigent Nobleman (72K B-tads)</t>
        </is>
      </c>
    </row>
    <row r="124">
      <c r="A124" s="434" t="inlineStr">
        <is>
          <t xml:space="preserve">  PURPLE</t>
        </is>
      </c>
      <c r="B124" s="425" t="n"/>
      <c r="C124" s="425" t="n"/>
      <c r="D124" s="425" t="n"/>
      <c r="E124" s="425" t="n"/>
      <c r="F124" s="425" t="n"/>
      <c r="G124" s="425" t="n"/>
      <c r="H124" s="425" t="n"/>
      <c r="I124" s="425" t="n"/>
      <c r="J124" s="425" t="n"/>
      <c r="K124" s="425" t="n"/>
      <c r="L124" s="418" t="n"/>
    </row>
    <row r="125">
      <c r="A125" s="434" t="inlineStr">
        <is>
          <t xml:space="preserve">    Research Speed</t>
        </is>
      </c>
      <c r="B125" s="425" t="n"/>
      <c r="C125" s="425" t="n"/>
      <c r="D125" s="371" t="n">
        <v>3.6</v>
      </c>
      <c r="E125" s="425" t="n"/>
      <c r="F125" s="425" t="n"/>
      <c r="G125" s="425" t="n"/>
      <c r="H125" s="425" t="n"/>
      <c r="I125" s="425" t="n"/>
      <c r="J125" s="425" t="n"/>
      <c r="K125" s="425" t="n"/>
      <c r="L125" s="418" t="n"/>
    </row>
    <row r="126">
      <c r="A126" s="434" t="inlineStr">
        <is>
          <t xml:space="preserve">      Blood of Dracula</t>
        </is>
      </c>
      <c r="B126" s="425" t="inlineStr">
        <is>
          <t>AA</t>
        </is>
      </c>
      <c r="C126" s="425" t="inlineStr">
        <is>
          <t>FTH</t>
        </is>
      </c>
      <c r="D126" s="425" t="n"/>
      <c r="E126" s="425" t="n"/>
      <c r="F126" s="425" t="n"/>
      <c r="G126" s="425" t="n"/>
      <c r="H126" s="425" t="n"/>
      <c r="I126" s="425" t="n"/>
      <c r="J126" s="425" t="n"/>
      <c r="K126" s="425" t="n"/>
      <c r="L126" s="418" t="inlineStr">
        <is>
          <t>Fragment Crafting (3.8%), Lottery Machine #1 (0.08%), Wishing (0.35%), Soul Chest (1.5%), Expert Scrolls (0.95%)</t>
        </is>
      </c>
    </row>
    <row r="127">
      <c r="A127" s="434" t="inlineStr">
        <is>
          <t xml:space="preserve">      Death of Marat</t>
        </is>
      </c>
      <c r="B127" s="425" t="inlineStr">
        <is>
          <t>AA</t>
        </is>
      </c>
      <c r="C127" s="425" t="inlineStr">
        <is>
          <t>ART</t>
        </is>
      </c>
      <c r="D127" s="425" t="n"/>
      <c r="E127" s="425" t="n"/>
      <c r="F127" s="425" t="n"/>
      <c r="G127" s="425" t="n"/>
      <c r="H127" s="425" t="n"/>
      <c r="I127" s="425" t="n"/>
      <c r="J127" s="425" t="n"/>
      <c r="K127" s="425" t="n"/>
      <c r="L127" s="418" t="inlineStr">
        <is>
          <t>Fragment Crafting (3.9%), Lottery Machine #1 (0.08%), Wishing (0.36%), Expert Scrolls (0.95%)</t>
        </is>
      </c>
    </row>
    <row r="128">
      <c r="A128" s="434" t="inlineStr">
        <is>
          <t xml:space="preserve">    Cells Consumed</t>
        </is>
      </c>
      <c r="B128" s="425" t="n"/>
      <c r="C128" s="425" t="n"/>
      <c r="D128" s="425" t="n"/>
      <c r="E128" s="425" t="n"/>
      <c r="F128" s="371" t="n">
        <v>3.6</v>
      </c>
      <c r="G128" s="425" t="n"/>
      <c r="H128" s="425" t="n"/>
      <c r="I128" s="425" t="n"/>
      <c r="J128" s="425" t="n"/>
      <c r="K128" s="425" t="n"/>
      <c r="L128" s="418" t="n"/>
    </row>
    <row r="129">
      <c r="A129" s="434" t="inlineStr">
        <is>
          <t xml:space="preserve">      Augustus' Medal</t>
        </is>
      </c>
      <c r="B129" s="425" t="inlineStr">
        <is>
          <t>AAA</t>
        </is>
      </c>
      <c r="C129" s="425" t="inlineStr">
        <is>
          <t>FAME</t>
        </is>
      </c>
      <c r="D129" s="425" t="n"/>
      <c r="E129" s="425" t="n"/>
      <c r="F129" s="425" t="n"/>
      <c r="G129" s="425" t="n"/>
      <c r="H129" s="425" t="n"/>
      <c r="I129" s="425" t="n"/>
      <c r="J129" s="425" t="n"/>
      <c r="K129" s="425" t="n"/>
      <c r="L129" s="418" t="inlineStr">
        <is>
          <t>Fragment Crafting (1.6%), Lottery Machine #1 (0.03%), Wishing (0.14%), Club Chest (1.5%), Relic Forge (80 Relic RF)</t>
        </is>
      </c>
    </row>
    <row r="130">
      <c r="A130" s="434" t="inlineStr">
        <is>
          <t xml:space="preserve">      Plantagenet Badge</t>
        </is>
      </c>
      <c r="B130" s="425" t="inlineStr">
        <is>
          <t>AAA</t>
        </is>
      </c>
      <c r="C130" s="425" t="inlineStr">
        <is>
          <t>FAME</t>
        </is>
      </c>
      <c r="D130" s="425" t="n"/>
      <c r="E130" s="425" t="n"/>
      <c r="F130" s="425" t="n"/>
      <c r="G130" s="425" t="n"/>
      <c r="H130" s="425" t="n"/>
      <c r="I130" s="425" t="n"/>
      <c r="J130" s="425" t="n"/>
      <c r="K130" s="425" t="n"/>
      <c r="L130" s="418" t="inlineStr">
        <is>
          <t>Fragment Crafting (1.6%), Lottery Machine #1 (0.03%), Wishing (0.14%), Relic Forge (80 Relic RF)</t>
        </is>
      </c>
    </row>
    <row r="131">
      <c r="A131" s="434" t="inlineStr">
        <is>
          <t xml:space="preserve">  ORANGE</t>
        </is>
      </c>
      <c r="B131" s="425" t="n"/>
      <c r="C131" s="425" t="n"/>
      <c r="D131" s="425" t="n"/>
      <c r="E131" s="425" t="n"/>
      <c r="F131" s="425" t="n"/>
      <c r="G131" s="425" t="n"/>
      <c r="H131" s="425" t="n"/>
      <c r="I131" s="425" t="n"/>
      <c r="J131" s="425" t="n"/>
      <c r="K131" s="425" t="n"/>
      <c r="L131" s="418" t="n"/>
    </row>
    <row r="132">
      <c r="A132" s="434" t="inlineStr">
        <is>
          <t xml:space="preserve">    Research Speed</t>
        </is>
      </c>
      <c r="B132" s="425" t="n"/>
      <c r="C132" s="425" t="n"/>
      <c r="D132" s="371" t="n">
        <v>4.2</v>
      </c>
      <c r="E132" s="425" t="n"/>
      <c r="F132" s="425" t="n"/>
      <c r="G132" s="425" t="n"/>
      <c r="H132" s="425" t="n"/>
      <c r="I132" s="425" t="n"/>
      <c r="J132" s="425" t="n"/>
      <c r="K132" s="425" t="n"/>
      <c r="L132" s="418" t="n"/>
    </row>
    <row r="133">
      <c r="A133" s="434" t="inlineStr">
        <is>
          <t xml:space="preserve">      The Key of Solomon</t>
        </is>
      </c>
      <c r="B133" s="425" t="inlineStr">
        <is>
          <t>SS</t>
        </is>
      </c>
      <c r="C133" s="425" t="inlineStr">
        <is>
          <t>FTH</t>
        </is>
      </c>
      <c r="D133" s="425" t="n"/>
      <c r="E133" s="425" t="n"/>
      <c r="F133" s="425" t="n"/>
      <c r="G133" s="425" t="n"/>
      <c r="H133" s="425" t="n"/>
      <c r="I133" s="425" t="n"/>
      <c r="J133" s="425" t="n"/>
      <c r="K133" s="425" t="n"/>
      <c r="L133" s="418" t="inlineStr">
        <is>
          <t>T7.5 Demon Gene Research</t>
        </is>
      </c>
    </row>
    <row r="134">
      <c r="A134" s="434" t="inlineStr">
        <is>
          <t xml:space="preserve">      Eye of Akamoddo</t>
        </is>
      </c>
      <c r="B134" s="425" t="inlineStr">
        <is>
          <t>SS</t>
        </is>
      </c>
      <c r="C134" s="425" t="inlineStr">
        <is>
          <t>FTH</t>
        </is>
      </c>
      <c r="D134" s="425" t="n"/>
      <c r="E134" s="425" t="n"/>
      <c r="F134" s="425" t="n"/>
      <c r="G134" s="425" t="n"/>
      <c r="H134" s="425" t="n"/>
      <c r="I134" s="425" t="n"/>
      <c r="J134" s="425" t="n"/>
      <c r="K134" s="425" t="n"/>
      <c r="L134" s="418" t="inlineStr">
        <is>
          <t>Fragment Crafting (4.4%), Lottery Machine #1 (0.24%), Wishing (0.16%), Time Chest (1%), Master Scrolls (1.9%), Grandmaster Scrolls (2.1%), FTH Master Scrolls (9.2%)</t>
        </is>
      </c>
    </row>
    <row r="135">
      <c r="A135" s="434" t="inlineStr">
        <is>
          <t xml:space="preserve">    Cells Consumed</t>
        </is>
      </c>
      <c r="B135" s="425" t="n"/>
      <c r="C135" s="425" t="n"/>
      <c r="D135" s="425" t="n"/>
      <c r="E135" s="425" t="n"/>
      <c r="F135" s="371" t="n">
        <v>4.2</v>
      </c>
      <c r="G135" s="425" t="n"/>
      <c r="H135" s="425" t="n"/>
      <c r="I135" s="425" t="n"/>
      <c r="J135" s="425" t="n"/>
      <c r="K135" s="425" t="n"/>
      <c r="L135" s="418" t="n"/>
    </row>
    <row r="136">
      <c r="A136" s="434" t="inlineStr">
        <is>
          <t xml:space="preserve">      Soul Stone</t>
        </is>
      </c>
      <c r="B136" s="425" t="inlineStr">
        <is>
          <t>SSS</t>
        </is>
      </c>
      <c r="C136" s="425" t="inlineStr">
        <is>
          <t>FTH</t>
        </is>
      </c>
      <c r="D136" s="425" t="n"/>
      <c r="E136" s="425" t="n"/>
      <c r="F136" s="425" t="n"/>
      <c r="G136" s="425" t="n"/>
      <c r="H136" s="425" t="n"/>
      <c r="I136" s="425" t="n"/>
      <c r="J136" s="425" t="n"/>
      <c r="K136" s="425" t="n"/>
      <c r="L136" s="418" t="inlineStr">
        <is>
          <t>Lottery Machine #1 (0.09%), Wishing (0.06%), Soul Chest (0.01%), Grandmaster Scrolls (0.81%), Relic Forge (120 Relic RF)</t>
        </is>
      </c>
    </row>
    <row r="137">
      <c r="A137" s="434" t="inlineStr">
        <is>
          <t xml:space="preserve">      Scale of Anubis</t>
        </is>
      </c>
      <c r="B137" s="425" t="inlineStr">
        <is>
          <t>SSS</t>
        </is>
      </c>
      <c r="C137" s="425" t="inlineStr">
        <is>
          <t>FTH</t>
        </is>
      </c>
      <c r="D137" s="425" t="n"/>
      <c r="E137" s="425" t="n"/>
      <c r="F137" s="425" t="n"/>
      <c r="G137" s="425" t="n"/>
      <c r="H137" s="425" t="n"/>
      <c r="I137" s="425" t="n"/>
      <c r="J137" s="425" t="n"/>
      <c r="K137" s="425" t="n"/>
      <c r="L137" s="418" t="inlineStr">
        <is>
          <t>Fissure Level 550, Ad Chest (0.2%)</t>
        </is>
      </c>
    </row>
    <row r="138">
      <c r="A138" s="362" t="inlineStr">
        <is>
          <t>MAX RESONANCE</t>
        </is>
      </c>
      <c r="B138" s="411" t="n"/>
      <c r="C138" s="411" t="n"/>
      <c r="D138" s="364">
        <f>sum(D116:D137)</f>
        <v/>
      </c>
      <c r="E138" s="411" t="n"/>
      <c r="F138" s="364">
        <f>sum(F116:F137)</f>
        <v/>
      </c>
      <c r="G138" s="411" t="n"/>
      <c r="H138" s="364">
        <f>sum(H116:H137)</f>
        <v/>
      </c>
      <c r="I138" s="411" t="n"/>
      <c r="J138" s="364">
        <f>sum(J116:J137)</f>
        <v/>
      </c>
      <c r="K138" s="411" t="n"/>
      <c r="L138" s="426" t="n"/>
    </row>
    <row r="139">
      <c r="A139" s="425" t="n"/>
      <c r="B139" s="425" t="n"/>
      <c r="C139" s="425" t="n"/>
      <c r="D139" s="425" t="n"/>
      <c r="E139" s="425" t="n"/>
      <c r="F139" s="425" t="n"/>
      <c r="G139" s="425" t="n"/>
      <c r="H139" s="425" t="n"/>
      <c r="I139" s="425" t="n"/>
      <c r="J139" s="425" t="n"/>
      <c r="K139" s="425" t="n"/>
      <c r="L139" s="425" t="n"/>
    </row>
    <row r="140">
      <c r="A140" s="425" t="n"/>
      <c r="B140" s="425" t="n"/>
      <c r="C140" s="425" t="n"/>
      <c r="D140" s="425" t="n"/>
      <c r="E140" s="425" t="n"/>
      <c r="F140" s="425" t="n"/>
      <c r="G140" s="425" t="n"/>
      <c r="H140" s="425" t="n"/>
      <c r="I140" s="425" t="n"/>
      <c r="J140" s="425" t="n"/>
      <c r="K140" s="425" t="n"/>
      <c r="L140" s="425" t="n"/>
    </row>
    <row r="141">
      <c r="A141" s="424" t="inlineStr">
        <is>
          <t>ANGEL</t>
        </is>
      </c>
      <c r="B141" s="406" t="n"/>
      <c r="C141" s="406" t="n"/>
      <c r="D141" s="406" t="n"/>
      <c r="E141" s="406" t="n"/>
      <c r="F141" s="406" t="n"/>
      <c r="G141" s="406" t="n"/>
      <c r="H141" s="406" t="n"/>
      <c r="I141" s="406" t="n"/>
      <c r="J141" s="406" t="n"/>
      <c r="K141" s="406" t="n"/>
      <c r="L141" s="129" t="n"/>
    </row>
    <row r="142">
      <c r="A142" s="434" t="inlineStr">
        <is>
          <t>INDIVIDUAL RELICS</t>
        </is>
      </c>
      <c r="B142" s="425" t="n"/>
      <c r="C142" s="425" t="n"/>
      <c r="D142" s="425" t="n"/>
      <c r="E142" s="425" t="n"/>
      <c r="F142" s="425" t="n"/>
      <c r="G142" s="425" t="n"/>
      <c r="H142" s="425" t="n"/>
      <c r="I142" s="425" t="n"/>
      <c r="J142" s="425" t="n"/>
      <c r="K142" s="425" t="n"/>
      <c r="L142" s="418" t="n"/>
    </row>
    <row r="143">
      <c r="A143" s="434" t="inlineStr">
        <is>
          <t xml:space="preserve">   Noah's Ark</t>
        </is>
      </c>
      <c r="B143" s="425" t="inlineStr">
        <is>
          <t>SSS</t>
        </is>
      </c>
      <c r="C143" s="425" t="inlineStr">
        <is>
          <t>FAME</t>
        </is>
      </c>
      <c r="D143" s="371" t="n">
        <v>6</v>
      </c>
      <c r="E143" s="425" t="n"/>
      <c r="F143" s="425" t="n"/>
      <c r="G143" s="425" t="n"/>
      <c r="H143" s="425" t="n"/>
      <c r="I143" s="425" t="n"/>
      <c r="J143" s="425" t="n"/>
      <c r="K143" s="425" t="n"/>
      <c r="L143" s="418" t="inlineStr">
        <is>
          <t>Weekly Special Reward Relic #3</t>
        </is>
      </c>
    </row>
    <row r="144">
      <c r="A144" s="434" t="inlineStr">
        <is>
          <t xml:space="preserve">   Hubble Telescope</t>
        </is>
      </c>
      <c r="B144" s="425" t="inlineStr">
        <is>
          <t>SSS</t>
        </is>
      </c>
      <c r="C144" s="425" t="inlineStr">
        <is>
          <t>TECH</t>
        </is>
      </c>
      <c r="D144" s="371" t="n">
        <v>6</v>
      </c>
      <c r="E144" s="425" t="n"/>
      <c r="F144" s="425" t="n"/>
      <c r="G144" s="425" t="n"/>
      <c r="H144" s="425" t="n"/>
      <c r="I144" s="425" t="n"/>
      <c r="J144" s="371" t="n">
        <v>60</v>
      </c>
      <c r="K144" s="371" t="n">
        <v>60</v>
      </c>
      <c r="L144" s="418" t="inlineStr">
        <is>
          <t>Fragment Crafting (17.8%), Lottery Machine #1 (0.80%), Wishing (0.65%), Super Treasure Maps (15%), Relic Forge (90 Relic RF)</t>
        </is>
      </c>
    </row>
    <row r="145">
      <c r="A145" s="434" t="inlineStr">
        <is>
          <t xml:space="preserve">   Azoth</t>
        </is>
      </c>
      <c r="B145" s="425" t="inlineStr">
        <is>
          <t>AAA</t>
        </is>
      </c>
      <c r="C145" s="425" t="inlineStr">
        <is>
          <t>FTH</t>
        </is>
      </c>
      <c r="D145" s="371" t="n"/>
      <c r="E145" s="425" t="n"/>
      <c r="F145" s="425" t="n"/>
      <c r="G145" s="425" t="n"/>
      <c r="H145" s="425" t="n">
        <v>5.4</v>
      </c>
      <c r="I145" s="425" t="n"/>
      <c r="J145" s="425" t="n"/>
      <c r="K145" s="425" t="n"/>
      <c r="L145" s="390" t="inlineStr">
        <is>
          <t>Domain Exploration Reward</t>
        </is>
      </c>
    </row>
    <row r="146">
      <c r="A146" s="434" t="inlineStr">
        <is>
          <t xml:space="preserve">   The Nutcracker</t>
        </is>
      </c>
      <c r="B146" s="425" t="inlineStr">
        <is>
          <t>AAA</t>
        </is>
      </c>
      <c r="C146" s="425" t="inlineStr">
        <is>
          <t>ART</t>
        </is>
      </c>
      <c r="D146" s="371" t="n">
        <v>5.4</v>
      </c>
      <c r="E146" s="425" t="n"/>
      <c r="F146" s="425" t="n"/>
      <c r="G146" s="425" t="n"/>
      <c r="H146" s="425" t="n"/>
      <c r="I146" s="425" t="n"/>
      <c r="J146" s="425" t="n"/>
      <c r="K146" s="425" t="n"/>
      <c r="L146" s="418" t="inlineStr">
        <is>
          <t>Fragment Crafting (1.6%), Lottery Machine #1 (0.03%), Wishing (0.14%), Relic Forge (80 Relic RF)</t>
        </is>
      </c>
    </row>
    <row r="147">
      <c r="A147" s="434" t="inlineStr">
        <is>
          <t xml:space="preserve">   Moonlight Sonata</t>
        </is>
      </c>
      <c r="B147" s="425" t="inlineStr">
        <is>
          <t>AAA</t>
        </is>
      </c>
      <c r="C147" s="425" t="inlineStr">
        <is>
          <t>ART</t>
        </is>
      </c>
      <c r="D147" s="425" t="n"/>
      <c r="E147" s="425" t="n"/>
      <c r="F147" s="371" t="n">
        <v>5.4</v>
      </c>
      <c r="G147" s="425" t="n"/>
      <c r="H147" s="371" t="n">
        <v>5.4</v>
      </c>
      <c r="I147" s="371" t="n">
        <v>4.2</v>
      </c>
      <c r="J147" s="425" t="n"/>
      <c r="K147" s="425" t="n"/>
      <c r="L147" s="418" t="inlineStr">
        <is>
          <t>Fragment Crafting (1.6%), Lottery Machine #1 (0.03%), Wishing (0.14%), Relic Forge (80 Relic RF), Nebula Chest (1.5%)</t>
        </is>
      </c>
    </row>
    <row r="148">
      <c r="A148" s="434" t="inlineStr">
        <is>
          <t xml:space="preserve">   Ouroboros Mark</t>
        </is>
      </c>
      <c r="B148" s="425" t="inlineStr">
        <is>
          <t>Blue</t>
        </is>
      </c>
      <c r="C148" s="425" t="inlineStr">
        <is>
          <t>FTH</t>
        </is>
      </c>
      <c r="D148" s="425" t="n"/>
      <c r="E148" s="425" t="n"/>
      <c r="F148" s="425" t="n"/>
      <c r="G148" s="425" t="n"/>
      <c r="H148" s="425" t="n"/>
      <c r="I148" s="425" t="n"/>
      <c r="J148" s="371" t="n">
        <v>30</v>
      </c>
      <c r="K148" s="371" t="n">
        <v>30</v>
      </c>
      <c r="L148" s="1095" t="inlineStr">
        <is>
          <t>Lottery Machine #2 (0.26%)</t>
        </is>
      </c>
    </row>
    <row r="149">
      <c r="A149" s="434" t="inlineStr">
        <is>
          <t xml:space="preserve">   Peter Pan's Flute</t>
        </is>
      </c>
      <c r="B149" s="425" t="inlineStr">
        <is>
          <t>Blue</t>
        </is>
      </c>
      <c r="C149" s="425" t="inlineStr">
        <is>
          <t>FAME</t>
        </is>
      </c>
      <c r="D149" s="425" t="n"/>
      <c r="E149" s="425" t="n"/>
      <c r="F149" s="425" t="n"/>
      <c r="G149" s="425" t="n"/>
      <c r="H149" s="425" t="n"/>
      <c r="I149" s="425" t="n"/>
      <c r="J149" s="371" t="n">
        <v>30</v>
      </c>
      <c r="K149" s="371" t="n">
        <v>30</v>
      </c>
      <c r="L149" s="418" t="inlineStr">
        <is>
          <t>Lottery Machine #1 (0.03%), Wishing (1.2%), Britland Treasure Map (20%)</t>
        </is>
      </c>
    </row>
    <row r="150">
      <c r="A150" s="362" t="inlineStr">
        <is>
          <t>MAX INDIVIDUAL RELICS</t>
        </is>
      </c>
      <c r="B150" s="411" t="n"/>
      <c r="C150" s="411" t="n"/>
      <c r="D150" s="364">
        <f>sum(D143:E149)</f>
        <v/>
      </c>
      <c r="E150" s="411" t="n"/>
      <c r="F150" s="364">
        <f>sum(F143:G149)</f>
        <v/>
      </c>
      <c r="G150" s="411" t="n"/>
      <c r="H150" s="364">
        <f>sum(H143:I149)</f>
        <v/>
      </c>
      <c r="I150" s="411" t="n"/>
      <c r="J150" s="364">
        <f>sum(J143:K149)</f>
        <v/>
      </c>
      <c r="K150" s="411" t="n"/>
      <c r="L150" s="426" t="n"/>
    </row>
    <row r="151">
      <c r="A151" s="434" t="n"/>
      <c r="B151" s="425" t="n"/>
      <c r="C151" s="425" t="n"/>
      <c r="D151" s="425" t="n"/>
      <c r="E151" s="425" t="n"/>
      <c r="F151" s="425" t="n"/>
      <c r="G151" s="425" t="n"/>
      <c r="H151" s="425" t="n"/>
      <c r="I151" s="425" t="n"/>
      <c r="J151" s="425" t="n"/>
      <c r="K151" s="425" t="n"/>
      <c r="L151" s="418" t="n"/>
    </row>
    <row r="152">
      <c r="A152" s="344" t="inlineStr">
        <is>
          <t>PARTNERS</t>
        </is>
      </c>
      <c r="B152" s="406" t="n"/>
      <c r="C152" s="406" t="n"/>
      <c r="D152" s="406" t="n"/>
      <c r="E152" s="406" t="n"/>
      <c r="F152" s="406" t="n"/>
      <c r="G152" s="406" t="n"/>
      <c r="H152" s="406" t="n"/>
      <c r="I152" s="406" t="n"/>
      <c r="J152" s="406" t="n"/>
      <c r="K152" s="406" t="n"/>
      <c r="L152" s="129" t="n"/>
    </row>
    <row r="153">
      <c r="A153" s="362" t="inlineStr">
        <is>
          <t xml:space="preserve">   Leeku</t>
        </is>
      </c>
      <c r="B153" s="411" t="n"/>
      <c r="C153" s="411" t="n"/>
      <c r="D153" s="411" t="n"/>
      <c r="E153" s="411" t="n"/>
      <c r="F153" s="411" t="n"/>
      <c r="G153" s="411" t="n"/>
      <c r="H153" s="411" t="n"/>
      <c r="I153" s="411" t="n"/>
      <c r="J153" s="364" t="n">
        <v>15</v>
      </c>
      <c r="K153" s="411" t="n"/>
      <c r="L153" s="426" t="n"/>
    </row>
    <row r="154">
      <c r="A154" s="357" t="n"/>
      <c r="B154" s="425" t="n"/>
      <c r="C154" s="425" t="n"/>
      <c r="D154" s="425" t="n"/>
      <c r="E154" s="425" t="n"/>
      <c r="F154" s="425" t="n"/>
      <c r="G154" s="425" t="n"/>
      <c r="H154" s="425" t="n"/>
      <c r="I154" s="425" t="n"/>
      <c r="J154" s="425" t="n"/>
      <c r="K154" s="425" t="n"/>
      <c r="L154" s="418" t="n"/>
    </row>
    <row r="155">
      <c r="A155" s="344" t="inlineStr">
        <is>
          <t>RESONANCE</t>
        </is>
      </c>
      <c r="B155" s="406" t="n"/>
      <c r="C155" s="406" t="n"/>
      <c r="D155" s="406" t="n"/>
      <c r="E155" s="406" t="n"/>
      <c r="F155" s="406" t="n"/>
      <c r="G155" s="406" t="n"/>
      <c r="H155" s="406" t="n"/>
      <c r="I155" s="406" t="n"/>
      <c r="J155" s="406" t="n"/>
      <c r="K155" s="406" t="n"/>
      <c r="L155" s="129" t="n"/>
    </row>
    <row r="156">
      <c r="A156" s="434" t="inlineStr">
        <is>
          <t xml:space="preserve">  BLUE</t>
        </is>
      </c>
      <c r="B156" s="425" t="n"/>
      <c r="C156" s="425" t="n"/>
      <c r="D156" s="425" t="n"/>
      <c r="E156" s="425" t="n"/>
      <c r="F156" s="425" t="n"/>
      <c r="G156" s="425" t="n"/>
      <c r="H156" s="425" t="n"/>
      <c r="I156" s="425" t="n"/>
      <c r="J156" s="425" t="n"/>
      <c r="K156" s="425" t="n"/>
      <c r="L156" s="418" t="n"/>
    </row>
    <row r="157">
      <c r="A157" s="434" t="inlineStr">
        <is>
          <t xml:space="preserve">    Research Speed</t>
        </is>
      </c>
      <c r="B157" s="425" t="n"/>
      <c r="C157" s="425" t="n"/>
      <c r="D157" s="371" t="n">
        <v>3</v>
      </c>
      <c r="E157" s="425" t="n"/>
      <c r="F157" s="425" t="n"/>
      <c r="G157" s="425" t="n"/>
      <c r="H157" s="425" t="n"/>
      <c r="I157" s="425" t="n"/>
      <c r="J157" s="425" t="n"/>
      <c r="K157" s="425" t="n"/>
      <c r="L157" s="418" t="n"/>
    </row>
    <row r="158">
      <c r="A158" s="434" t="inlineStr">
        <is>
          <t xml:space="preserve">      Faraday's Dynamo</t>
        </is>
      </c>
      <c r="B158" s="425" t="inlineStr">
        <is>
          <t>Blue</t>
        </is>
      </c>
      <c r="C158" s="425" t="inlineStr">
        <is>
          <t>TECH</t>
        </is>
      </c>
      <c r="D158" s="425" t="n"/>
      <c r="E158" s="425" t="n"/>
      <c r="F158" s="425" t="n"/>
      <c r="G158" s="425" t="n"/>
      <c r="H158" s="425" t="n"/>
      <c r="I158" s="425" t="n"/>
      <c r="J158" s="425" t="n"/>
      <c r="K158" s="425" t="n"/>
      <c r="L158" s="418" t="inlineStr">
        <is>
          <t>Lottery Machine #1 (0.07%), Wishing (2.6%), Tool Chest (2%), Novice Scrolls (1%)</t>
        </is>
      </c>
    </row>
    <row r="159">
      <c r="A159" s="434" t="inlineStr">
        <is>
          <t xml:space="preserve">      Linde's Fridge</t>
        </is>
      </c>
      <c r="B159" s="425" t="inlineStr">
        <is>
          <t>Blue</t>
        </is>
      </c>
      <c r="C159" s="425" t="inlineStr">
        <is>
          <t>TECH</t>
        </is>
      </c>
      <c r="D159" s="425" t="n"/>
      <c r="E159" s="425" t="n"/>
      <c r="F159" s="425" t="n"/>
      <c r="G159" s="425" t="n"/>
      <c r="H159" s="425" t="n"/>
      <c r="I159" s="425" t="n"/>
      <c r="J159" s="425" t="n"/>
      <c r="K159" s="425" t="n"/>
      <c r="L159" s="418" t="inlineStr">
        <is>
          <t>Mecha Gene Research T2</t>
        </is>
      </c>
    </row>
    <row r="160">
      <c r="A160" s="434" t="inlineStr">
        <is>
          <t xml:space="preserve">    Free Speedup</t>
        </is>
      </c>
      <c r="B160" s="425" t="n"/>
      <c r="C160" s="425" t="n"/>
      <c r="D160" s="425" t="n"/>
      <c r="E160" s="425" t="n"/>
      <c r="F160" s="425" t="n"/>
      <c r="G160" s="425" t="n"/>
      <c r="H160" s="425" t="n"/>
      <c r="I160" s="425" t="n"/>
      <c r="J160" s="371" t="n">
        <v>30</v>
      </c>
      <c r="K160" s="425" t="n"/>
      <c r="L160" s="418" t="n"/>
    </row>
    <row r="161">
      <c r="A161" s="434" t="inlineStr">
        <is>
          <t xml:space="preserve">      Acta Apostolicae Sedis</t>
        </is>
      </c>
      <c r="B161" s="425" t="inlineStr">
        <is>
          <t>Blue</t>
        </is>
      </c>
      <c r="C161" s="425" t="inlineStr">
        <is>
          <t>FTH</t>
        </is>
      </c>
      <c r="D161" s="425" t="n"/>
      <c r="E161" s="425" t="n"/>
      <c r="F161" s="425" t="n"/>
      <c r="G161" s="425" t="n"/>
      <c r="H161" s="425" t="n"/>
      <c r="I161" s="425" t="n"/>
      <c r="J161" s="425" t="n"/>
      <c r="K161" s="425" t="n"/>
      <c r="L161" s="1095" t="inlineStr">
        <is>
          <t>Lottery Machine #2 (0.07%)</t>
        </is>
      </c>
    </row>
    <row r="162">
      <c r="A162" s="434" t="inlineStr">
        <is>
          <t xml:space="preserve">      Innocent III Armorial</t>
        </is>
      </c>
      <c r="B162" s="425" t="inlineStr">
        <is>
          <t>Blue</t>
        </is>
      </c>
      <c r="C162" s="425" t="inlineStr">
        <is>
          <t>FTH</t>
        </is>
      </c>
      <c r="D162" s="425" t="n"/>
      <c r="E162" s="425" t="n"/>
      <c r="F162" s="425" t="n"/>
      <c r="G162" s="425" t="n"/>
      <c r="H162" s="425" t="n"/>
      <c r="I162" s="425" t="n"/>
      <c r="J162" s="425" t="n"/>
      <c r="K162" s="425" t="n"/>
      <c r="L162" s="1095" t="inlineStr">
        <is>
          <t>Lottery Machine #2 (0.03%), Indigent Nobleman (72K B-tads)</t>
        </is>
      </c>
    </row>
    <row r="163">
      <c r="A163" s="434" t="inlineStr">
        <is>
          <t xml:space="preserve">  PURPLE</t>
        </is>
      </c>
      <c r="B163" s="425" t="n"/>
      <c r="C163" s="425" t="n"/>
      <c r="D163" s="425" t="n"/>
      <c r="E163" s="425" t="n"/>
      <c r="F163" s="425" t="n"/>
      <c r="G163" s="425" t="n"/>
      <c r="H163" s="425" t="n"/>
      <c r="I163" s="425" t="n"/>
      <c r="J163" s="425" t="n"/>
      <c r="K163" s="425" t="n"/>
      <c r="L163" s="418" t="n"/>
    </row>
    <row r="164">
      <c r="A164" s="434" t="inlineStr">
        <is>
          <t xml:space="preserve">    Research Speed</t>
        </is>
      </c>
      <c r="B164" s="425" t="n"/>
      <c r="C164" s="425" t="n"/>
      <c r="D164" s="371" t="n">
        <v>3.6</v>
      </c>
      <c r="E164" s="425" t="n"/>
      <c r="F164" s="425" t="n"/>
      <c r="G164" s="425" t="n"/>
      <c r="H164" s="425" t="n"/>
      <c r="I164" s="425" t="n"/>
      <c r="J164" s="425" t="n"/>
      <c r="K164" s="425" t="n"/>
      <c r="L164" s="418" t="n"/>
    </row>
    <row r="165">
      <c r="A165" s="434" t="inlineStr">
        <is>
          <t xml:space="preserve">      Tesla Coil</t>
        </is>
      </c>
      <c r="B165" s="425" t="inlineStr">
        <is>
          <t>AAA</t>
        </is>
      </c>
      <c r="C165" s="425" t="inlineStr">
        <is>
          <t>TECH</t>
        </is>
      </c>
      <c r="D165" s="425" t="n"/>
      <c r="E165" s="425" t="n"/>
      <c r="F165" s="425" t="n"/>
      <c r="G165" s="425" t="n"/>
      <c r="H165" s="425" t="n"/>
      <c r="I165" s="425" t="n"/>
      <c r="J165" s="425" t="n"/>
      <c r="K165" s="425" t="n"/>
      <c r="L165" s="418" t="inlineStr">
        <is>
          <t>Fragment Crafting (1.6%), Lottery Machine #1 (0.03%), Wishing (0.14%), Tool Chest (1.5%), Relic Forge (80 Relic RF)</t>
        </is>
      </c>
    </row>
    <row r="166">
      <c r="A166" s="434" t="inlineStr">
        <is>
          <t xml:space="preserve">      ENIAC Prototype</t>
        </is>
      </c>
      <c r="B166" s="425" t="inlineStr">
        <is>
          <t>AA</t>
        </is>
      </c>
      <c r="C166" s="425" t="inlineStr">
        <is>
          <t>TECH</t>
        </is>
      </c>
      <c r="D166" s="425" t="n"/>
      <c r="E166" s="425" t="n"/>
      <c r="F166" s="425" t="n"/>
      <c r="G166" s="425" t="n"/>
      <c r="H166" s="425" t="n"/>
      <c r="I166" s="425" t="n"/>
      <c r="J166" s="425" t="n"/>
      <c r="K166" s="425" t="n"/>
      <c r="L166" s="418" t="inlineStr">
        <is>
          <t>Fragment Crafting (3.9%), Lottery Machine #1 (0.08%), Wishing (0.36%), Murikan Treasure Map (10%), Expert Scrolls (0.95%)</t>
        </is>
      </c>
    </row>
    <row r="167">
      <c r="A167" s="434" t="inlineStr">
        <is>
          <t xml:space="preserve">    Cells Consumed</t>
        </is>
      </c>
      <c r="B167" s="425" t="n"/>
      <c r="C167" s="425" t="n"/>
      <c r="D167" s="425" t="n"/>
      <c r="E167" s="425" t="n"/>
      <c r="F167" s="371" t="n">
        <v>3.6</v>
      </c>
      <c r="G167" s="425" t="n"/>
      <c r="H167" s="425" t="n"/>
      <c r="I167" s="425" t="n"/>
      <c r="J167" s="425" t="n"/>
      <c r="K167" s="425" t="n"/>
      <c r="L167" s="418" t="n"/>
    </row>
    <row r="168">
      <c r="A168" s="434" t="inlineStr">
        <is>
          <t xml:space="preserve">      Zoroaster's Torch</t>
        </is>
      </c>
      <c r="B168" s="425" t="inlineStr">
        <is>
          <t>AA</t>
        </is>
      </c>
      <c r="C168" s="425" t="inlineStr">
        <is>
          <t>FTH</t>
        </is>
      </c>
      <c r="D168" s="425" t="n"/>
      <c r="E168" s="425" t="n"/>
      <c r="F168" s="425" t="n"/>
      <c r="G168" s="425" t="n"/>
      <c r="H168" s="425" t="n"/>
      <c r="I168" s="425" t="n"/>
      <c r="J168" s="425" t="n"/>
      <c r="K168" s="425" t="n"/>
      <c r="L168" s="418" t="inlineStr">
        <is>
          <t>Fragment Crafting (3.8%), Lottery Machine #1 (0.08%), Wishing (0.35%), Hellas Treasure Maps (%), Expert Scrolls (0.95%)</t>
        </is>
      </c>
    </row>
    <row r="169">
      <c r="A169" s="434" t="inlineStr">
        <is>
          <t xml:space="preserve">      Cornucopia</t>
        </is>
      </c>
      <c r="B169" s="425" t="inlineStr">
        <is>
          <t>AAA</t>
        </is>
      </c>
      <c r="C169" s="425" t="inlineStr">
        <is>
          <t>FTH</t>
        </is>
      </c>
      <c r="D169" s="425" t="n"/>
      <c r="E169" s="425" t="n"/>
      <c r="F169" s="425" t="n"/>
      <c r="G169" s="425" t="n"/>
      <c r="H169" s="425" t="n"/>
      <c r="I169" s="425" t="n"/>
      <c r="J169" s="425" t="n"/>
      <c r="K169" s="425" t="n"/>
      <c r="L169" s="418" t="inlineStr">
        <is>
          <t>Fragment Crafting (1.5%), Lottery Machine #1 (0.03%), Wishing (0.14%), Fungus Chest (1.5%), Relic Forge (80 Relic RF)</t>
        </is>
      </c>
    </row>
    <row r="170">
      <c r="A170" s="434" t="inlineStr">
        <is>
          <t xml:space="preserve">  ORANGE</t>
        </is>
      </c>
      <c r="B170" s="425" t="n"/>
      <c r="C170" s="425" t="n"/>
      <c r="D170" s="425" t="n"/>
      <c r="E170" s="425" t="n"/>
      <c r="F170" s="425" t="n"/>
      <c r="G170" s="425" t="n"/>
      <c r="H170" s="425" t="n"/>
      <c r="I170" s="425" t="n"/>
      <c r="J170" s="425" t="n"/>
      <c r="K170" s="425" t="n"/>
      <c r="L170" s="418" t="n"/>
    </row>
    <row r="171">
      <c r="A171" s="434" t="inlineStr">
        <is>
          <t xml:space="preserve">    Research Speed</t>
        </is>
      </c>
      <c r="B171" s="425" t="n"/>
      <c r="C171" s="425" t="n"/>
      <c r="D171" s="371" t="n">
        <v>4.2</v>
      </c>
      <c r="E171" s="425" t="n"/>
      <c r="F171" s="425" t="n"/>
      <c r="G171" s="425" t="n"/>
      <c r="H171" s="425" t="n"/>
      <c r="I171" s="425" t="n"/>
      <c r="J171" s="425" t="n"/>
      <c r="K171" s="425" t="n"/>
      <c r="L171" s="418" t="n"/>
    </row>
    <row r="172">
      <c r="A172" s="434" t="inlineStr">
        <is>
          <t xml:space="preserve">      The Thinker</t>
        </is>
      </c>
      <c r="B172" s="425" t="inlineStr">
        <is>
          <t>SS</t>
        </is>
      </c>
      <c r="C172" s="425" t="inlineStr">
        <is>
          <t>ART</t>
        </is>
      </c>
      <c r="D172" s="425" t="n"/>
      <c r="E172" s="425" t="n"/>
      <c r="F172" s="425" t="n"/>
      <c r="G172" s="425" t="n"/>
      <c r="H172" s="425" t="n"/>
      <c r="I172" s="425" t="n"/>
      <c r="J172" s="425" t="n"/>
      <c r="K172" s="425" t="n"/>
      <c r="L172" s="418" t="inlineStr">
        <is>
          <t>Fragment Crafting (5.3%), Lottery Machine #1 (0.24%), Wishing (0.2%), Demon God Chest (5%), Master Scrolls (1.9%), Grandmaster Scrolls (2.1%), ART Master Scrolls (10.2%)</t>
        </is>
      </c>
    </row>
    <row r="173">
      <c r="A173" s="434" t="inlineStr">
        <is>
          <t xml:space="preserve">      David</t>
        </is>
      </c>
      <c r="B173" s="425" t="inlineStr">
        <is>
          <t>SS</t>
        </is>
      </c>
      <c r="C173" s="425" t="inlineStr">
        <is>
          <t>ART</t>
        </is>
      </c>
      <c r="D173" s="425" t="n"/>
      <c r="E173" s="425" t="n"/>
      <c r="F173" s="425" t="n"/>
      <c r="G173" s="425" t="n"/>
      <c r="H173" s="425" t="n"/>
      <c r="I173" s="425" t="n"/>
      <c r="J173" s="425" t="n"/>
      <c r="K173" s="425" t="n"/>
      <c r="L173" s="418" t="inlineStr">
        <is>
          <t>Fragment Crafting (4%), Lottery Machine #1 (0.18%), Wishing (0.15%), Demon God Chest (5%), Grandmaster Scrolls (1.6%)</t>
        </is>
      </c>
    </row>
    <row r="174">
      <c r="A174" s="434" t="inlineStr">
        <is>
          <t xml:space="preserve">    Cells Consumed</t>
        </is>
      </c>
      <c r="B174" s="425" t="n"/>
      <c r="C174" s="425" t="n"/>
      <c r="D174" s="425" t="n"/>
      <c r="E174" s="425" t="n"/>
      <c r="F174" s="371" t="n">
        <v>4.8</v>
      </c>
      <c r="G174" s="425" t="n"/>
      <c r="H174" s="425" t="n"/>
      <c r="I174" s="425" t="n"/>
      <c r="J174" s="425" t="n"/>
      <c r="K174" s="425" t="n"/>
      <c r="L174" s="418" t="n"/>
    </row>
    <row r="175">
      <c r="A175" s="434" t="inlineStr">
        <is>
          <t xml:space="preserve">      The Pieta</t>
        </is>
      </c>
      <c r="B175" s="425" t="inlineStr">
        <is>
          <t>S</t>
        </is>
      </c>
      <c r="C175" s="425" t="inlineStr">
        <is>
          <t>CIV</t>
        </is>
      </c>
      <c r="D175" s="425" t="n"/>
      <c r="E175" s="425" t="n"/>
      <c r="F175" s="425" t="n"/>
      <c r="G175" s="425" t="n"/>
      <c r="H175" s="425" t="n"/>
      <c r="I175" s="425" t="n"/>
      <c r="J175" s="425" t="n"/>
      <c r="K175" s="425" t="n"/>
      <c r="L175" s="418" t="inlineStr">
        <is>
          <t>Fragment Crafting (18.8%), Lottery Machine #1 (0.81%), Wishing (0.69%), Relic Forge (90 Relic RF)</t>
        </is>
      </c>
    </row>
    <row r="176">
      <c r="A176" s="434" t="inlineStr">
        <is>
          <t xml:space="preserve">      Venus de Milo</t>
        </is>
      </c>
      <c r="B176" s="425" t="inlineStr">
        <is>
          <t>SS</t>
        </is>
      </c>
      <c r="C176" s="425" t="inlineStr">
        <is>
          <t>ART</t>
        </is>
      </c>
      <c r="D176" s="425" t="n"/>
      <c r="E176" s="425" t="n"/>
      <c r="F176" s="425" t="n"/>
      <c r="G176" s="425" t="n"/>
      <c r="H176" s="425" t="n"/>
      <c r="I176" s="425" t="n"/>
      <c r="J176" s="425" t="n"/>
      <c r="K176" s="425" t="n"/>
      <c r="L176" s="418" t="inlineStr">
        <is>
          <t>T7.5 Angel Gene Research</t>
        </is>
      </c>
    </row>
    <row r="177">
      <c r="A177" s="434" t="inlineStr">
        <is>
          <t xml:space="preserve">      Devol's Robot</t>
        </is>
      </c>
      <c r="B177" s="425" t="inlineStr">
        <is>
          <t>S</t>
        </is>
      </c>
      <c r="C177" s="425" t="inlineStr">
        <is>
          <t>TECH</t>
        </is>
      </c>
      <c r="D177" s="425" t="n"/>
      <c r="E177" s="425" t="n"/>
      <c r="F177" s="425" t="n"/>
      <c r="G177" s="425" t="n"/>
      <c r="H177" s="425" t="n"/>
      <c r="I177" s="425" t="n"/>
      <c r="J177" s="425" t="n"/>
      <c r="K177" s="425" t="n"/>
      <c r="L177" s="418" t="inlineStr">
        <is>
          <t>Fragment Crafting (17.8%), Wishing (0.65%), Ad Chest (3%), Master Scrolls (6.5%), TECH Master Scrolls (31.5%), Relic Forge (90 Relic RF)</t>
        </is>
      </c>
    </row>
    <row r="178">
      <c r="A178" s="362" t="inlineStr">
        <is>
          <t>MAX RESONANCE</t>
        </is>
      </c>
      <c r="B178" s="411" t="n"/>
      <c r="C178" s="411" t="n"/>
      <c r="D178" s="364">
        <f>sum(D157:E177)</f>
        <v/>
      </c>
      <c r="E178" s="411" t="n"/>
      <c r="F178" s="364">
        <f>sum(F157:G177)</f>
        <v/>
      </c>
      <c r="G178" s="411" t="n"/>
      <c r="H178" s="364">
        <f>sum(H157:I177)</f>
        <v/>
      </c>
      <c r="I178" s="411" t="n"/>
      <c r="J178" s="364">
        <f>sum(J157:K177)</f>
        <v/>
      </c>
      <c r="K178" s="411" t="n"/>
      <c r="L178" s="426" t="n"/>
    </row>
    <row r="179">
      <c r="A179" s="425" t="n"/>
      <c r="B179" s="425" t="n"/>
      <c r="C179" s="425" t="n"/>
      <c r="D179" s="425" t="n"/>
      <c r="E179" s="425" t="n"/>
      <c r="F179" s="425" t="n"/>
      <c r="G179" s="425" t="n"/>
      <c r="H179" s="425" t="n"/>
      <c r="I179" s="425" t="n"/>
      <c r="J179" s="425" t="n"/>
      <c r="K179" s="425" t="n"/>
      <c r="L179" s="425" t="n"/>
    </row>
    <row r="180">
      <c r="A180" s="425" t="n"/>
      <c r="B180" s="425" t="n"/>
      <c r="C180" s="425" t="n"/>
      <c r="D180" s="425" t="n"/>
      <c r="E180" s="425" t="n"/>
      <c r="F180" s="425" t="n"/>
      <c r="G180" s="425" t="n"/>
      <c r="H180" s="425" t="n"/>
      <c r="I180" s="425" t="n"/>
      <c r="J180" s="425" t="n"/>
      <c r="K180" s="425" t="n"/>
      <c r="L180" s="425" t="n"/>
    </row>
    <row r="181">
      <c r="A181" s="424" t="inlineStr">
        <is>
          <t>MUTANT</t>
        </is>
      </c>
      <c r="B181" s="406" t="n"/>
      <c r="C181" s="406" t="n"/>
      <c r="D181" s="406" t="n"/>
      <c r="E181" s="406" t="n"/>
      <c r="F181" s="406" t="n"/>
      <c r="G181" s="406" t="n"/>
      <c r="H181" s="406" t="n"/>
      <c r="I181" s="406" t="n"/>
      <c r="J181" s="406" t="n"/>
      <c r="K181" s="406" t="n"/>
      <c r="L181" s="129" t="n"/>
    </row>
    <row r="182">
      <c r="A182" s="434" t="inlineStr">
        <is>
          <t>INDIVIDUAL RELICS</t>
        </is>
      </c>
      <c r="B182" s="425" t="n"/>
      <c r="C182" s="425" t="n"/>
      <c r="D182" s="425" t="n"/>
      <c r="E182" s="425" t="n"/>
      <c r="F182" s="425" t="n"/>
      <c r="G182" s="425" t="n"/>
      <c r="H182" s="425" t="n"/>
      <c r="I182" s="425" t="n"/>
      <c r="J182" s="425" t="n"/>
      <c r="K182" s="425" t="n"/>
      <c r="L182" s="418" t="n"/>
    </row>
    <row r="183">
      <c r="A183" s="434" t="inlineStr">
        <is>
          <t xml:space="preserve">   Turin Papyrus</t>
        </is>
      </c>
      <c r="B183" s="425" t="inlineStr">
        <is>
          <t>SSS</t>
        </is>
      </c>
      <c r="C183" s="425" t="inlineStr">
        <is>
          <t>CIV</t>
        </is>
      </c>
      <c r="D183" s="371" t="n">
        <v>5.4</v>
      </c>
      <c r="E183" s="425" t="n"/>
      <c r="F183" s="425" t="n"/>
      <c r="G183" s="425" t="n"/>
      <c r="H183" s="425" t="n"/>
      <c r="I183" s="425" t="n"/>
      <c r="J183" s="425" t="n"/>
      <c r="K183" s="425" t="n"/>
      <c r="L183" s="390" t="inlineStr">
        <is>
          <t>Wish Box Album Relic #2</t>
        </is>
      </c>
    </row>
    <row r="184">
      <c r="A184" s="434" t="inlineStr">
        <is>
          <t xml:space="preserve">   Tokamak</t>
        </is>
      </c>
      <c r="B184" s="425" t="inlineStr">
        <is>
          <t>SS</t>
        </is>
      </c>
      <c r="C184" s="425" t="inlineStr">
        <is>
          <t>TECH</t>
        </is>
      </c>
      <c r="D184" s="371" t="n">
        <v>6.6</v>
      </c>
      <c r="E184" s="425" t="n"/>
      <c r="F184" s="425" t="n"/>
      <c r="G184" s="425" t="n"/>
      <c r="H184" s="425" t="n"/>
      <c r="I184" s="425" t="n"/>
      <c r="J184" s="371" t="n">
        <v>66</v>
      </c>
      <c r="K184" s="371" t="n">
        <v>60</v>
      </c>
      <c r="L184" s="418" t="inlineStr">
        <is>
          <t>Fragment Crafting (5.2%), Lottery Machine #1 (0.24%), Wishing (1.9%), Master Scrolls (1.9%), Grandmaster Scrolls (2.1%), TECH Master Scrolls (9.2%)</t>
        </is>
      </c>
    </row>
    <row r="185">
      <c r="A185" s="434" t="inlineStr">
        <is>
          <t xml:space="preserve">   Mermaid Statue</t>
        </is>
      </c>
      <c r="B185" s="425" t="inlineStr">
        <is>
          <t>AAA</t>
        </is>
      </c>
      <c r="C185" s="425" t="inlineStr">
        <is>
          <t>ART</t>
        </is>
      </c>
      <c r="D185" s="425" t="n"/>
      <c r="E185" s="425" t="n"/>
      <c r="F185" s="371" t="n">
        <v>5.4</v>
      </c>
      <c r="G185" s="425" t="n"/>
      <c r="H185" s="371" t="n">
        <v>5.4</v>
      </c>
      <c r="I185" s="371" t="n">
        <v>4.2</v>
      </c>
      <c r="J185" s="425" t="n"/>
      <c r="K185" s="425" t="n"/>
      <c r="L185" s="418" t="inlineStr">
        <is>
          <t>Fragment Crafting (1.6%), Lottery Machine #1 (0.03%), Wishing (0.14%), Relic Forge (80 Relic RF)</t>
        </is>
      </c>
    </row>
    <row r="186">
      <c r="A186" s="434" t="inlineStr">
        <is>
          <t xml:space="preserve">   Mars Rover</t>
        </is>
      </c>
      <c r="B186" s="425" t="inlineStr">
        <is>
          <t>AAA</t>
        </is>
      </c>
      <c r="C186" s="425" t="inlineStr">
        <is>
          <t>TECH</t>
        </is>
      </c>
      <c r="D186" s="371" t="n">
        <v>5.4</v>
      </c>
      <c r="E186" s="425" t="n"/>
      <c r="F186" s="425" t="n"/>
      <c r="G186" s="425" t="n"/>
      <c r="H186" s="425" t="n"/>
      <c r="I186" s="425" t="n"/>
      <c r="J186" s="425" t="n"/>
      <c r="K186" s="425" t="n"/>
      <c r="L186" s="418" t="inlineStr">
        <is>
          <t>Fragment Crafting (1.6%), Lottery Machine #1 (0.03%), Wishing (0.14%), Evolution Chest (1.5%), Relic Forge (80 Relic RF)</t>
        </is>
      </c>
    </row>
    <row r="187">
      <c r="A187" s="434" t="inlineStr">
        <is>
          <t xml:space="preserve">   Hina Doll</t>
        </is>
      </c>
      <c r="B187" s="425" t="inlineStr">
        <is>
          <t>Blue</t>
        </is>
      </c>
      <c r="C187" s="425" t="inlineStr">
        <is>
          <t>CIV</t>
        </is>
      </c>
      <c r="D187" s="425" t="n"/>
      <c r="E187" s="425" t="n"/>
      <c r="F187" s="425" t="n"/>
      <c r="G187" s="425" t="n"/>
      <c r="H187" s="425" t="n"/>
      <c r="I187" s="425" t="n"/>
      <c r="J187" s="371" t="n">
        <v>30</v>
      </c>
      <c r="K187" s="371" t="n">
        <v>30</v>
      </c>
      <c r="L187" s="1095" t="inlineStr">
        <is>
          <t>Lottery Machine #2 (0.26%)</t>
        </is>
      </c>
    </row>
    <row r="188">
      <c r="A188" s="434" t="inlineStr">
        <is>
          <t xml:space="preserve">   Sleeping Gypsy</t>
        </is>
      </c>
      <c r="B188" s="425" t="inlineStr">
        <is>
          <t>Blue</t>
        </is>
      </c>
      <c r="C188" s="425" t="inlineStr">
        <is>
          <t>ART</t>
        </is>
      </c>
      <c r="D188" s="425" t="n"/>
      <c r="E188" s="425" t="n"/>
      <c r="F188" s="425" t="n"/>
      <c r="G188" s="425" t="n"/>
      <c r="H188" s="425" t="n"/>
      <c r="I188" s="425" t="n"/>
      <c r="J188" s="371" t="n">
        <v>30</v>
      </c>
      <c r="K188" s="371" t="n">
        <v>30</v>
      </c>
      <c r="L188" s="418" t="inlineStr">
        <is>
          <t>Lottery Machine #1 (0.03%), Wishing (1.2%), Indigent Nobleman for 72k B-tads</t>
        </is>
      </c>
    </row>
    <row r="189">
      <c r="A189" s="434" t="inlineStr">
        <is>
          <t xml:space="preserve">   Dwarf Specimen</t>
        </is>
      </c>
      <c r="B189" s="425" t="inlineStr">
        <is>
          <t>Green</t>
        </is>
      </c>
      <c r="C189" s="425" t="inlineStr">
        <is>
          <t>CIV</t>
        </is>
      </c>
      <c r="D189" s="371" t="n"/>
      <c r="E189" s="425" t="n"/>
      <c r="F189" s="371" t="n"/>
      <c r="G189" s="425" t="n"/>
      <c r="H189" s="371" t="n">
        <v>1.8</v>
      </c>
      <c r="I189" s="425" t="n"/>
      <c r="J189" s="371" t="n"/>
      <c r="K189" s="425" t="n"/>
      <c r="L189" s="418" t="inlineStr">
        <is>
          <t>Defeat Milk White</t>
        </is>
      </c>
    </row>
    <row r="190">
      <c r="A190" s="362" t="inlineStr">
        <is>
          <t>MAX INDIVIDUAL RELICS</t>
        </is>
      </c>
      <c r="B190" s="411" t="n"/>
      <c r="C190" s="411" t="n"/>
      <c r="D190" s="364">
        <f>sum(D182:E189)</f>
        <v/>
      </c>
      <c r="E190" s="411" t="n"/>
      <c r="F190" s="364">
        <f>sum(F182:G189)</f>
        <v/>
      </c>
      <c r="G190" s="411" t="n"/>
      <c r="H190" s="364">
        <f>sum(H182:I189)</f>
        <v/>
      </c>
      <c r="I190" s="411" t="n"/>
      <c r="J190" s="364">
        <f>sum(J182:K189)</f>
        <v/>
      </c>
      <c r="K190" s="411" t="n"/>
      <c r="L190" s="426" t="n"/>
    </row>
    <row r="191">
      <c r="A191" s="434" t="n"/>
      <c r="B191" s="425" t="n"/>
      <c r="C191" s="425" t="n"/>
      <c r="D191" s="425" t="n"/>
      <c r="E191" s="425" t="n"/>
      <c r="F191" s="425" t="n"/>
      <c r="G191" s="425" t="n"/>
      <c r="H191" s="425" t="n"/>
      <c r="I191" s="425" t="n"/>
      <c r="J191" s="425" t="n"/>
      <c r="K191" s="425" t="n"/>
      <c r="L191" s="418" t="n"/>
    </row>
    <row r="192">
      <c r="A192" s="344" t="inlineStr">
        <is>
          <t>PARTNERS</t>
        </is>
      </c>
      <c r="B192" s="406" t="n"/>
      <c r="C192" s="406" t="n"/>
      <c r="D192" s="406" t="n"/>
      <c r="E192" s="406" t="n"/>
      <c r="F192" s="406" t="n"/>
      <c r="G192" s="406" t="n"/>
      <c r="H192" s="406" t="n"/>
      <c r="I192" s="406" t="n"/>
      <c r="J192" s="406" t="n"/>
      <c r="K192" s="406" t="n"/>
      <c r="L192" s="129" t="n"/>
    </row>
    <row r="193">
      <c r="A193" s="362" t="inlineStr">
        <is>
          <t xml:space="preserve">   Red Doe</t>
        </is>
      </c>
      <c r="B193" s="411" t="n"/>
      <c r="C193" s="411" t="n"/>
      <c r="D193" s="411" t="n"/>
      <c r="E193" s="411" t="n"/>
      <c r="F193" s="411" t="n"/>
      <c r="G193" s="411" t="n"/>
      <c r="H193" s="411" t="n"/>
      <c r="I193" s="411" t="n"/>
      <c r="J193" s="364" t="n">
        <v>15</v>
      </c>
      <c r="K193" s="411" t="n"/>
      <c r="L193" s="426" t="n"/>
    </row>
    <row r="194">
      <c r="A194" s="434" t="n"/>
      <c r="B194" s="425" t="n"/>
      <c r="C194" s="425" t="n"/>
      <c r="D194" s="425" t="n"/>
      <c r="E194" s="425" t="n"/>
      <c r="F194" s="425" t="n"/>
      <c r="G194" s="425" t="n"/>
      <c r="H194" s="425" t="n"/>
      <c r="I194" s="425" t="n"/>
      <c r="J194" s="425" t="n"/>
      <c r="K194" s="425" t="n"/>
      <c r="L194" s="418" t="n"/>
    </row>
    <row r="195">
      <c r="A195" s="344" t="inlineStr">
        <is>
          <t>RESONANCE</t>
        </is>
      </c>
      <c r="B195" s="406" t="n"/>
      <c r="C195" s="406" t="n"/>
      <c r="D195" s="406" t="n"/>
      <c r="E195" s="406" t="n"/>
      <c r="F195" s="406" t="n"/>
      <c r="G195" s="406" t="n"/>
      <c r="H195" s="406" t="n"/>
      <c r="I195" s="406" t="n"/>
      <c r="J195" s="406" t="n"/>
      <c r="K195" s="406" t="n"/>
      <c r="L195" s="129" t="n"/>
    </row>
    <row r="196">
      <c r="A196" s="434" t="inlineStr">
        <is>
          <t xml:space="preserve">  BLUE</t>
        </is>
      </c>
      <c r="B196" s="425" t="n"/>
      <c r="C196" s="425" t="n"/>
      <c r="D196" s="425" t="n"/>
      <c r="E196" s="425" t="n"/>
      <c r="F196" s="425" t="n"/>
      <c r="G196" s="425" t="n"/>
      <c r="H196" s="425" t="n"/>
      <c r="I196" s="425" t="n"/>
      <c r="J196" s="425" t="n"/>
      <c r="K196" s="425" t="n"/>
      <c r="L196" s="418" t="n"/>
    </row>
    <row r="197">
      <c r="A197" s="434" t="inlineStr">
        <is>
          <t xml:space="preserve">    Research Speed</t>
        </is>
      </c>
      <c r="B197" s="425" t="n"/>
      <c r="C197" s="425" t="n"/>
      <c r="D197" s="371" t="n">
        <v>3</v>
      </c>
      <c r="E197" s="425" t="n"/>
      <c r="F197" s="425" t="n"/>
      <c r="G197" s="425" t="n"/>
      <c r="H197" s="425" t="n"/>
      <c r="I197" s="425" t="n"/>
      <c r="J197" s="425" t="n"/>
      <c r="K197" s="425" t="n"/>
      <c r="L197" s="418" t="n"/>
    </row>
    <row r="198">
      <c r="A198" s="434" t="inlineStr">
        <is>
          <t xml:space="preserve">      Pumpkin Coach</t>
        </is>
      </c>
      <c r="B198" s="425" t="inlineStr">
        <is>
          <t>Blue</t>
        </is>
      </c>
      <c r="C198" s="425" t="inlineStr">
        <is>
          <t>CIV</t>
        </is>
      </c>
      <c r="D198" s="425" t="n"/>
      <c r="E198" s="425" t="n"/>
      <c r="F198" s="425" t="n"/>
      <c r="G198" s="425" t="n"/>
      <c r="H198" s="425" t="n"/>
      <c r="I198" s="425" t="n"/>
      <c r="J198" s="425" t="n"/>
      <c r="K198" s="425" t="n"/>
      <c r="L198" s="418" t="inlineStr">
        <is>
          <t>Lottery Machine #1 (0.07%), Wishing (2.1%), Novice Scrolls (1%)</t>
        </is>
      </c>
    </row>
    <row r="199">
      <c r="A199" s="434" t="inlineStr">
        <is>
          <t xml:space="preserve">      Leo's Plant</t>
        </is>
      </c>
      <c r="B199" s="425" t="inlineStr">
        <is>
          <t>Blue</t>
        </is>
      </c>
      <c r="C199" s="425" t="inlineStr">
        <is>
          <t>CIV</t>
        </is>
      </c>
      <c r="D199" s="425" t="n"/>
      <c r="E199" s="425" t="n"/>
      <c r="F199" s="425" t="n"/>
      <c r="G199" s="425" t="n"/>
      <c r="H199" s="425" t="n"/>
      <c r="I199" s="425" t="n"/>
      <c r="J199" s="425" t="n"/>
      <c r="K199" s="425" t="n"/>
      <c r="L199" s="418" t="inlineStr">
        <is>
          <t>Lottery Machine #1 (0.36%), Wishing (10.3%), Fungus Chest (2%), Novice Scrolls (5%)</t>
        </is>
      </c>
    </row>
    <row r="200">
      <c r="A200" s="434" t="inlineStr">
        <is>
          <t xml:space="preserve">    Free Speedup</t>
        </is>
      </c>
      <c r="B200" s="425" t="n"/>
      <c r="C200" s="425" t="n"/>
      <c r="D200" s="425" t="n"/>
      <c r="E200" s="425" t="n"/>
      <c r="F200" s="425" t="n"/>
      <c r="G200" s="425" t="n"/>
      <c r="H200" s="425" t="n"/>
      <c r="I200" s="425" t="n"/>
      <c r="J200" s="371" t="n">
        <v>30</v>
      </c>
      <c r="K200" s="425" t="n"/>
      <c r="L200" s="418" t="n"/>
    </row>
    <row r="201">
      <c r="A201" s="434" t="inlineStr">
        <is>
          <t xml:space="preserve">      Hina Doll</t>
        </is>
      </c>
      <c r="B201" s="425" t="inlineStr">
        <is>
          <t>Blue</t>
        </is>
      </c>
      <c r="C201" s="425" t="inlineStr">
        <is>
          <t>CIV</t>
        </is>
      </c>
      <c r="D201" s="425" t="n"/>
      <c r="E201" s="425" t="n"/>
      <c r="F201" s="425" t="n"/>
      <c r="G201" s="425" t="n"/>
      <c r="H201" s="425" t="n"/>
      <c r="I201" s="425" t="n"/>
      <c r="J201" s="425" t="n"/>
      <c r="K201" s="425" t="n"/>
      <c r="L201" s="1095" t="inlineStr">
        <is>
          <t>Lottery Machine #2 (0.26%)</t>
        </is>
      </c>
    </row>
    <row r="202">
      <c r="A202" s="434" t="inlineStr">
        <is>
          <t xml:space="preserve">      Tawla</t>
        </is>
      </c>
      <c r="B202" s="425" t="inlineStr">
        <is>
          <t>Blue</t>
        </is>
      </c>
      <c r="C202" s="425" t="inlineStr">
        <is>
          <t>CIV</t>
        </is>
      </c>
      <c r="D202" s="425" t="n"/>
      <c r="E202" s="425" t="n"/>
      <c r="F202" s="425" t="n"/>
      <c r="G202" s="425" t="n"/>
      <c r="H202" s="425" t="n"/>
      <c r="I202" s="425" t="n"/>
      <c r="J202" s="425" t="n"/>
      <c r="K202" s="425" t="n"/>
      <c r="L202" s="1095" t="inlineStr">
        <is>
          <t>Lottery Machine #2 (0.03%)</t>
        </is>
      </c>
    </row>
    <row r="203">
      <c r="A203" s="434" t="inlineStr">
        <is>
          <t xml:space="preserve">  PURPLE</t>
        </is>
      </c>
      <c r="B203" s="425" t="n"/>
      <c r="C203" s="425" t="n"/>
      <c r="D203" s="425" t="n"/>
      <c r="E203" s="425" t="n"/>
      <c r="F203" s="425" t="n"/>
      <c r="G203" s="425" t="n"/>
      <c r="H203" s="425" t="n"/>
      <c r="I203" s="425" t="n"/>
      <c r="J203" s="425" t="n"/>
      <c r="K203" s="425" t="n"/>
      <c r="L203" s="418" t="n"/>
    </row>
    <row r="204">
      <c r="A204" s="434" t="inlineStr">
        <is>
          <t xml:space="preserve">    Research Speed</t>
        </is>
      </c>
      <c r="B204" s="425" t="n"/>
      <c r="C204" s="425" t="n"/>
      <c r="D204" s="371" t="n">
        <v>3.6</v>
      </c>
      <c r="E204" s="425" t="n"/>
      <c r="F204" s="425" t="n"/>
      <c r="G204" s="425" t="n"/>
      <c r="H204" s="425" t="n"/>
      <c r="I204" s="425" t="n"/>
      <c r="J204" s="425" t="n"/>
      <c r="K204" s="425" t="n"/>
      <c r="L204" s="418" t="n"/>
    </row>
    <row r="205">
      <c r="A205" s="434" t="inlineStr">
        <is>
          <t xml:space="preserve">      Glass Coffin</t>
        </is>
      </c>
      <c r="B205" s="425" t="inlineStr">
        <is>
          <t>AA</t>
        </is>
      </c>
      <c r="C205" s="425" t="inlineStr">
        <is>
          <t>FTH</t>
        </is>
      </c>
      <c r="D205" s="425" t="n"/>
      <c r="E205" s="425" t="n"/>
      <c r="F205" s="425" t="n"/>
      <c r="G205" s="425" t="n"/>
      <c r="H205" s="425" t="n"/>
      <c r="I205" s="425" t="n"/>
      <c r="J205" s="425" t="n"/>
      <c r="K205" s="425" t="n"/>
      <c r="L205" s="418" t="inlineStr">
        <is>
          <t>Fragment Crafting (3.8%), Lottery Machine #1 (0.08%), Wishing (0.35%), Soul Chest (1.5%), Expert Scrolls (0.95%)</t>
        </is>
      </c>
    </row>
    <row r="206">
      <c r="A206" s="434" t="inlineStr">
        <is>
          <t xml:space="preserve">      Chinchorro Mummy</t>
        </is>
      </c>
      <c r="B206" s="425" t="inlineStr">
        <is>
          <t>AA</t>
        </is>
      </c>
      <c r="C206" s="425" t="inlineStr">
        <is>
          <t>FTH</t>
        </is>
      </c>
      <c r="D206" s="425" t="n"/>
      <c r="E206" s="425" t="n"/>
      <c r="F206" s="425" t="n"/>
      <c r="G206" s="425" t="n"/>
      <c r="H206" s="425" t="n"/>
      <c r="I206" s="425" t="n"/>
      <c r="J206" s="425" t="n"/>
      <c r="K206" s="425" t="n"/>
      <c r="L206" s="418" t="inlineStr">
        <is>
          <t>Koryeon Domain, Fragment Crafting (3.8%), Lottery Machine #1 (0.08%), Wishing (0.36%), Soul Chest (1.5%), Expert Scrolls (0.95%)</t>
        </is>
      </c>
    </row>
    <row r="207">
      <c r="A207" s="434" t="inlineStr">
        <is>
          <t xml:space="preserve">    Cells Consumed</t>
        </is>
      </c>
      <c r="B207" s="425" t="n"/>
      <c r="C207" s="425" t="n"/>
      <c r="D207" s="425" t="n"/>
      <c r="E207" s="425" t="n"/>
      <c r="F207" s="371" t="n">
        <v>3.6</v>
      </c>
      <c r="G207" s="425" t="n"/>
      <c r="H207" s="425" t="n"/>
      <c r="I207" s="425" t="n"/>
      <c r="J207" s="425" t="n"/>
      <c r="K207" s="425" t="n"/>
      <c r="L207" s="418" t="n"/>
    </row>
    <row r="208">
      <c r="A208" s="434" t="inlineStr">
        <is>
          <t xml:space="preserve">      Schindler's List</t>
        </is>
      </c>
      <c r="B208" s="425" t="inlineStr">
        <is>
          <t>AAA</t>
        </is>
      </c>
      <c r="C208" s="425" t="inlineStr">
        <is>
          <t>CIV</t>
        </is>
      </c>
      <c r="D208" s="425" t="n"/>
      <c r="E208" s="425" t="n"/>
      <c r="F208" s="425" t="n"/>
      <c r="G208" s="425" t="n"/>
      <c r="H208" s="425" t="n"/>
      <c r="I208" s="425" t="n"/>
      <c r="J208" s="425" t="n"/>
      <c r="K208" s="425" t="n"/>
      <c r="L208" s="418" t="inlineStr">
        <is>
          <t>Fragment Crafting (1.5%), Lottery Machine #1 (0.03%), Wishing (0.14%), Soul Chest (1.5%), Relic Forge (80 Relic RF)</t>
        </is>
      </c>
    </row>
    <row r="209">
      <c r="A209" s="434" t="inlineStr">
        <is>
          <t xml:space="preserve">      Socrates's Poison</t>
        </is>
      </c>
      <c r="B209" s="425" t="inlineStr">
        <is>
          <t>AA</t>
        </is>
      </c>
      <c r="C209" s="425" t="inlineStr">
        <is>
          <t>CIV</t>
        </is>
      </c>
      <c r="D209" s="425" t="n"/>
      <c r="E209" s="425" t="n"/>
      <c r="F209" s="425" t="n"/>
      <c r="G209" s="425" t="n"/>
      <c r="H209" s="425" t="n"/>
      <c r="I209" s="425" t="n"/>
      <c r="J209" s="425" t="n"/>
      <c r="K209" s="425" t="n"/>
      <c r="L209" s="418" t="inlineStr">
        <is>
          <t>Fragment Crafting (3.7%), Lottery Machine #1 (0.08%), Wishing (0.34%), Hellenic Treasure Maps (%), Expert Scrolls (0.95%)</t>
        </is>
      </c>
    </row>
    <row r="210">
      <c r="A210" s="434" t="inlineStr">
        <is>
          <t xml:space="preserve">  ORANGE</t>
        </is>
      </c>
      <c r="B210" s="425" t="n"/>
      <c r="C210" s="425" t="n"/>
      <c r="D210" s="425" t="n"/>
      <c r="E210" s="425" t="n"/>
      <c r="F210" s="425" t="n"/>
      <c r="G210" s="425" t="n"/>
      <c r="H210" s="425" t="n"/>
      <c r="I210" s="425" t="n"/>
      <c r="J210" s="425" t="n"/>
      <c r="K210" s="425" t="n"/>
      <c r="L210" s="418" t="n"/>
    </row>
    <row r="211">
      <c r="A211" s="434" t="inlineStr">
        <is>
          <t xml:space="preserve">    Research Speed</t>
        </is>
      </c>
      <c r="B211" s="425" t="n"/>
      <c r="C211" s="425" t="n"/>
      <c r="D211" s="371" t="n">
        <v>4.2</v>
      </c>
      <c r="E211" s="425" t="n"/>
      <c r="F211" s="425" t="n"/>
      <c r="G211" s="425" t="n"/>
      <c r="H211" s="425" t="n"/>
      <c r="I211" s="425" t="n"/>
      <c r="J211" s="425" t="n"/>
      <c r="K211" s="425" t="n"/>
      <c r="L211" s="418" t="n"/>
    </row>
    <row r="212">
      <c r="A212" s="434" t="inlineStr">
        <is>
          <t xml:space="preserve">      Element R.</t>
        </is>
      </c>
      <c r="B212" s="425" t="inlineStr">
        <is>
          <t>S</t>
        </is>
      </c>
      <c r="C212" s="425" t="inlineStr">
        <is>
          <t>TECH</t>
        </is>
      </c>
      <c r="D212" s="425" t="n"/>
      <c r="E212" s="425" t="n"/>
      <c r="F212" s="425" t="n"/>
      <c r="G212" s="425" t="n"/>
      <c r="H212" s="425" t="n"/>
      <c r="I212" s="425" t="n"/>
      <c r="J212" s="425" t="n"/>
      <c r="K212" s="425" t="n"/>
      <c r="L212" s="418" t="inlineStr">
        <is>
          <t>Fragment Crafting (17.8%), Lottery Machine #1 (0.81%), Wishing (0.65%), Relic Forge (90 Relic RF)</t>
        </is>
      </c>
    </row>
    <row r="213">
      <c r="A213" s="434" t="inlineStr">
        <is>
          <t xml:space="preserve">      SkyWeb Hub</t>
        </is>
      </c>
      <c r="B213" s="425" t="inlineStr">
        <is>
          <t>SS</t>
        </is>
      </c>
      <c r="C213" s="425" t="inlineStr">
        <is>
          <t>TECH</t>
        </is>
      </c>
      <c r="D213" s="425" t="n"/>
      <c r="E213" s="425" t="n"/>
      <c r="F213" s="425" t="n"/>
      <c r="G213" s="425" t="n"/>
      <c r="H213" s="425" t="n"/>
      <c r="I213" s="425" t="n"/>
      <c r="J213" s="425" t="n"/>
      <c r="K213" s="425" t="n"/>
      <c r="L213" s="418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214">
      <c r="A214" s="434" t="inlineStr">
        <is>
          <t xml:space="preserve">    Cells Consumed</t>
        </is>
      </c>
      <c r="B214" s="425" t="n"/>
      <c r="C214" s="425" t="n"/>
      <c r="D214" s="425" t="n"/>
      <c r="E214" s="425" t="n"/>
      <c r="F214" s="371" t="n">
        <v>4.2</v>
      </c>
      <c r="G214" s="425" t="n"/>
      <c r="H214" s="425" t="n"/>
      <c r="I214" s="425" t="n"/>
      <c r="J214" s="425" t="n"/>
      <c r="K214" s="425" t="n"/>
      <c r="L214" s="418" t="n"/>
    </row>
    <row r="215">
      <c r="A215" s="434" t="inlineStr">
        <is>
          <t xml:space="preserve">      Noah's Ark</t>
        </is>
      </c>
      <c r="B215" s="425" t="inlineStr">
        <is>
          <t>SSS</t>
        </is>
      </c>
      <c r="C215" s="425" t="inlineStr">
        <is>
          <t>FAME</t>
        </is>
      </c>
      <c r="D215" s="425" t="n"/>
      <c r="E215" s="425" t="n"/>
      <c r="F215" s="425" t="n"/>
      <c r="G215" s="425" t="n"/>
      <c r="H215" s="425" t="n"/>
      <c r="I215" s="425" t="n"/>
      <c r="J215" s="425" t="n"/>
      <c r="K215" s="425" t="n"/>
      <c r="L215" s="418" t="inlineStr">
        <is>
          <t>Weekly Special Reward Relic #3</t>
        </is>
      </c>
    </row>
    <row r="216">
      <c r="A216" s="434" t="inlineStr">
        <is>
          <t xml:space="preserve">      Einstein's Brain</t>
        </is>
      </c>
      <c r="B216" s="425" t="inlineStr">
        <is>
          <t>SSS</t>
        </is>
      </c>
      <c r="C216" s="425" t="inlineStr">
        <is>
          <t>FAME</t>
        </is>
      </c>
      <c r="D216" s="425" t="n"/>
      <c r="E216" s="425" t="n"/>
      <c r="F216" s="425" t="n"/>
      <c r="G216" s="425" t="n"/>
      <c r="H216" s="425" t="n"/>
      <c r="I216" s="425" t="n"/>
      <c r="J216" s="425" t="n"/>
      <c r="K216" s="425" t="n"/>
      <c r="L216" s="30" t="inlineStr">
        <is>
          <t>Lottery Machine #1 (0.09%), Wishing (0.08%), Grandmaster Scrolls (0.79%)</t>
        </is>
      </c>
    </row>
    <row r="217">
      <c r="A217" s="362" t="inlineStr">
        <is>
          <t>MAX RESONANCE</t>
        </is>
      </c>
      <c r="B217" s="411" t="n"/>
      <c r="C217" s="411" t="n"/>
      <c r="D217" s="364">
        <f>sum(D196:D216)</f>
        <v/>
      </c>
      <c r="E217" s="411" t="n"/>
      <c r="F217" s="364">
        <f>sum(F196:F216)</f>
        <v/>
      </c>
      <c r="G217" s="411" t="n"/>
      <c r="H217" s="364">
        <f>sum(H196:H216)</f>
        <v/>
      </c>
      <c r="I217" s="411" t="n"/>
      <c r="J217" s="364">
        <f>sum(J196:J216)</f>
        <v/>
      </c>
      <c r="K217" s="411" t="n"/>
      <c r="L217" s="426" t="n"/>
    </row>
    <row r="218">
      <c r="A218" s="425" t="n"/>
      <c r="B218" s="425" t="n"/>
      <c r="C218" s="425" t="n"/>
      <c r="D218" s="425" t="n"/>
      <c r="E218" s="425" t="n"/>
      <c r="F218" s="425" t="n"/>
      <c r="G218" s="425" t="n"/>
      <c r="H218" s="425" t="n"/>
      <c r="I218" s="425" t="n"/>
      <c r="J218" s="425" t="n"/>
      <c r="K218" s="425" t="n"/>
      <c r="L218" s="425" t="n"/>
    </row>
    <row r="219">
      <c r="A219" s="425" t="n"/>
      <c r="B219" s="425" t="n"/>
      <c r="C219" s="425" t="n"/>
      <c r="D219" s="425" t="n"/>
      <c r="E219" s="425" t="n"/>
      <c r="F219" s="425" t="n"/>
      <c r="G219" s="425" t="n"/>
      <c r="H219" s="425" t="n"/>
      <c r="I219" s="425" t="n"/>
      <c r="J219" s="425" t="n"/>
      <c r="K219" s="425" t="n"/>
      <c r="L219" s="425" t="n"/>
    </row>
    <row r="220">
      <c r="A220" s="424" t="inlineStr">
        <is>
          <t>MECHA</t>
        </is>
      </c>
      <c r="B220" s="406" t="n"/>
      <c r="C220" s="406" t="n"/>
      <c r="D220" s="406" t="n"/>
      <c r="E220" s="406" t="n"/>
      <c r="F220" s="406" t="n"/>
      <c r="G220" s="406" t="n"/>
      <c r="H220" s="406" t="n"/>
      <c r="I220" s="406" t="n"/>
      <c r="J220" s="406" t="n"/>
      <c r="K220" s="406" t="n"/>
      <c r="L220" s="129" t="n"/>
    </row>
    <row r="221">
      <c r="A221" s="434" t="inlineStr">
        <is>
          <t>INDIVIDUAL RELICS</t>
        </is>
      </c>
      <c r="B221" s="425" t="n"/>
      <c r="C221" s="425" t="n"/>
      <c r="D221" s="425" t="n"/>
      <c r="E221" s="425" t="n"/>
      <c r="F221" s="425" t="n"/>
      <c r="G221" s="425" t="n"/>
      <c r="H221" s="425" t="n"/>
      <c r="I221" s="425" t="n"/>
      <c r="J221" s="425" t="n"/>
      <c r="K221" s="425" t="n"/>
      <c r="L221" s="418" t="n"/>
    </row>
    <row r="222">
      <c r="A222" s="434" t="inlineStr">
        <is>
          <t xml:space="preserve">   Causality</t>
        </is>
      </c>
      <c r="B222" s="425" t="inlineStr">
        <is>
          <t>SS</t>
        </is>
      </c>
      <c r="C222" s="425" t="inlineStr">
        <is>
          <t>TECH</t>
        </is>
      </c>
      <c r="D222" s="371" t="n">
        <v>6.6</v>
      </c>
      <c r="E222" s="425" t="n"/>
      <c r="F222" s="425" t="n"/>
      <c r="G222" s="425" t="n"/>
      <c r="H222" s="425" t="n"/>
      <c r="I222" s="425" t="n"/>
      <c r="J222" s="371" t="n">
        <v>66</v>
      </c>
      <c r="K222" s="371" t="n">
        <v>60</v>
      </c>
      <c r="L222" s="418" t="inlineStr">
        <is>
          <t>Fragment Crafting (3.9%), Lottery Machine #1 (0.18%), Alchemy Furnace (0.14%), Grandmaster Scrolls (1.6%)</t>
        </is>
      </c>
    </row>
    <row r="223">
      <c r="A223" s="434" t="inlineStr">
        <is>
          <t xml:space="preserve">   Hawking's Wheelchair</t>
        </is>
      </c>
      <c r="B223" s="425" t="inlineStr">
        <is>
          <t>AAA</t>
        </is>
      </c>
      <c r="C223" s="425" t="inlineStr">
        <is>
          <t>TECH</t>
        </is>
      </c>
      <c r="D223" s="425" t="n"/>
      <c r="E223" s="425" t="n"/>
      <c r="F223" s="371" t="n">
        <v>5.4</v>
      </c>
      <c r="G223" s="425" t="n"/>
      <c r="H223" s="371" t="n">
        <v>5.4</v>
      </c>
      <c r="I223" s="371" t="n">
        <v>4.2</v>
      </c>
      <c r="J223" s="425" t="n"/>
      <c r="K223" s="425" t="n"/>
      <c r="L223" s="418" t="inlineStr">
        <is>
          <t>Fragment Crafting (1.6%), Lottery Machine #1 (0.03%), Wishing (0.35%), Relic Forge (80 Relic RF)</t>
        </is>
      </c>
    </row>
    <row r="224">
      <c r="A224" s="434" t="inlineStr">
        <is>
          <t xml:space="preserve">   Tesla Coil</t>
        </is>
      </c>
      <c r="B224" s="425" t="inlineStr">
        <is>
          <t>AAA</t>
        </is>
      </c>
      <c r="C224" s="425" t="inlineStr">
        <is>
          <t>TECH</t>
        </is>
      </c>
      <c r="D224" s="425" t="n"/>
      <c r="E224" s="425" t="n"/>
      <c r="F224" s="425" t="n"/>
      <c r="G224" s="425" t="n"/>
      <c r="H224" s="371" t="n">
        <v>5.4</v>
      </c>
      <c r="I224" s="371" t="n">
        <v>4.2</v>
      </c>
      <c r="J224" s="425" t="n"/>
      <c r="K224" s="425" t="n"/>
      <c r="L224" s="418" t="inlineStr">
        <is>
          <t>Fragment Crafting (1.6%), Lottery Machine #1 (0.03%), Wishing (0.14%), Tool Chest (1.5%), Relic Forge (80 Relic RF)</t>
        </is>
      </c>
    </row>
    <row r="225">
      <c r="A225" s="434" t="inlineStr">
        <is>
          <t xml:space="preserve">   Kilby's IC</t>
        </is>
      </c>
      <c r="B225" s="425" t="inlineStr">
        <is>
          <t>AAA</t>
        </is>
      </c>
      <c r="C225" s="425" t="inlineStr">
        <is>
          <t>TECH</t>
        </is>
      </c>
      <c r="D225" s="425" t="n"/>
      <c r="E225" s="425" t="n"/>
      <c r="F225" s="425" t="n"/>
      <c r="G225" s="425" t="n"/>
      <c r="H225" s="425" t="n">
        <v>5.4</v>
      </c>
      <c r="I225" s="425" t="n"/>
      <c r="J225" s="371" t="n"/>
      <c r="K225" s="371" t="n"/>
      <c r="L225" s="390" t="inlineStr">
        <is>
          <t>Museum Operation Reward</t>
        </is>
      </c>
    </row>
    <row r="226">
      <c r="A226" s="434" t="inlineStr">
        <is>
          <t xml:space="preserve">   Chain Reaction Model</t>
        </is>
      </c>
      <c r="B226" s="425" t="inlineStr">
        <is>
          <t>Blue</t>
        </is>
      </c>
      <c r="C226" s="425" t="inlineStr">
        <is>
          <t>TECH</t>
        </is>
      </c>
      <c r="D226" s="425" t="n"/>
      <c r="E226" s="425" t="n"/>
      <c r="F226" s="425" t="n"/>
      <c r="G226" s="425" t="n"/>
      <c r="H226" s="425" t="n"/>
      <c r="I226" s="425" t="n"/>
      <c r="J226" s="371" t="n">
        <v>30</v>
      </c>
      <c r="K226" s="371" t="n">
        <v>30</v>
      </c>
      <c r="L226" s="1095" t="inlineStr">
        <is>
          <t>Lottery Machine #2 (0.07%)</t>
        </is>
      </c>
    </row>
    <row r="227">
      <c r="A227" s="434" t="inlineStr">
        <is>
          <t xml:space="preserve">   Aztec Calendar</t>
        </is>
      </c>
      <c r="B227" s="425" t="inlineStr">
        <is>
          <t>Blue</t>
        </is>
      </c>
      <c r="C227" s="425" t="inlineStr">
        <is>
          <t>TECH</t>
        </is>
      </c>
      <c r="D227" s="425" t="n"/>
      <c r="E227" s="425" t="n"/>
      <c r="F227" s="425" t="n"/>
      <c r="G227" s="425" t="n"/>
      <c r="H227" s="425" t="n"/>
      <c r="I227" s="425" t="n"/>
      <c r="J227" s="371" t="n">
        <v>30</v>
      </c>
      <c r="K227" s="371" t="n">
        <v>30</v>
      </c>
      <c r="L227" s="418" t="inlineStr">
        <is>
          <t>Lottery Machine #1 (0.03%), Wishing (1.1%), Time Chest (2%)</t>
        </is>
      </c>
    </row>
    <row r="228">
      <c r="A228" s="362" t="inlineStr">
        <is>
          <t>MAX INDIVIDUAL RELICS</t>
        </is>
      </c>
      <c r="B228" s="411" t="n"/>
      <c r="C228" s="411" t="n"/>
      <c r="D228" s="364">
        <f>sum(D221:E227)</f>
        <v/>
      </c>
      <c r="E228" s="411" t="n"/>
      <c r="F228" s="364">
        <f>sum(F221:G227)</f>
        <v/>
      </c>
      <c r="G228" s="411" t="n"/>
      <c r="H228" s="364">
        <f>sum(H221:I227)</f>
        <v/>
      </c>
      <c r="I228" s="411" t="n"/>
      <c r="J228" s="364">
        <f>sum(J221:K227)</f>
        <v/>
      </c>
      <c r="K228" s="411" t="n"/>
      <c r="L228" s="426" t="n"/>
    </row>
    <row r="229">
      <c r="A229" s="434" t="n"/>
      <c r="B229" s="425" t="n"/>
      <c r="C229" s="425" t="n"/>
      <c r="D229" s="425" t="n"/>
      <c r="E229" s="425" t="n"/>
      <c r="F229" s="425" t="n"/>
      <c r="G229" s="425" t="n"/>
      <c r="H229" s="425" t="n"/>
      <c r="I229" s="425" t="n"/>
      <c r="J229" s="425" t="n"/>
      <c r="K229" s="425" t="n"/>
      <c r="L229" s="418" t="n"/>
    </row>
    <row r="230">
      <c r="A230" s="344" t="inlineStr">
        <is>
          <t>PARTNERS</t>
        </is>
      </c>
      <c r="B230" s="406" t="n"/>
      <c r="C230" s="406" t="n"/>
      <c r="D230" s="406" t="n"/>
      <c r="E230" s="406" t="n"/>
      <c r="F230" s="406" t="n"/>
      <c r="G230" s="406" t="n"/>
      <c r="H230" s="406" t="n"/>
      <c r="I230" s="406" t="n"/>
      <c r="J230" s="406" t="n"/>
      <c r="K230" s="406" t="n"/>
      <c r="L230" s="129" t="n"/>
    </row>
    <row r="231">
      <c r="A231" s="362" t="inlineStr">
        <is>
          <t xml:space="preserve">   Jiro</t>
        </is>
      </c>
      <c r="B231" s="411" t="n"/>
      <c r="C231" s="411" t="n"/>
      <c r="D231" s="411" t="n"/>
      <c r="E231" s="411" t="n"/>
      <c r="F231" s="411" t="n"/>
      <c r="G231" s="411" t="n"/>
      <c r="H231" s="411" t="n"/>
      <c r="I231" s="411" t="n"/>
      <c r="J231" s="364" t="n">
        <v>15</v>
      </c>
      <c r="K231" s="411" t="n"/>
      <c r="L231" s="426" t="n"/>
    </row>
    <row r="232">
      <c r="A232" s="434" t="n"/>
      <c r="B232" s="425" t="n"/>
      <c r="C232" s="425" t="n"/>
      <c r="D232" s="425" t="n"/>
      <c r="E232" s="425" t="n"/>
      <c r="F232" s="425" t="n"/>
      <c r="G232" s="425" t="n"/>
      <c r="H232" s="425" t="n"/>
      <c r="I232" s="425" t="n"/>
      <c r="J232" s="425" t="n"/>
      <c r="K232" s="425" t="n"/>
      <c r="L232" s="418" t="n"/>
    </row>
    <row r="233">
      <c r="A233" s="344" t="inlineStr">
        <is>
          <t>RESONANCE</t>
        </is>
      </c>
      <c r="B233" s="406" t="n"/>
      <c r="C233" s="406" t="n"/>
      <c r="D233" s="406" t="n"/>
      <c r="E233" s="406" t="n"/>
      <c r="F233" s="406" t="n"/>
      <c r="G233" s="406" t="n"/>
      <c r="H233" s="406" t="n"/>
      <c r="I233" s="406" t="n"/>
      <c r="J233" s="406" t="n"/>
      <c r="K233" s="406" t="n"/>
      <c r="L233" s="129" t="n"/>
    </row>
    <row r="234">
      <c r="A234" s="434" t="inlineStr">
        <is>
          <t xml:space="preserve">  BLUE</t>
        </is>
      </c>
      <c r="B234" s="425" t="n"/>
      <c r="C234" s="425" t="n"/>
      <c r="D234" s="425" t="n"/>
      <c r="E234" s="425" t="n"/>
      <c r="F234" s="425" t="n"/>
      <c r="G234" s="425" t="n"/>
      <c r="H234" s="425" t="n"/>
      <c r="I234" s="425" t="n"/>
      <c r="J234" s="425" t="n"/>
      <c r="K234" s="425" t="n"/>
      <c r="L234" s="418" t="n"/>
    </row>
    <row r="235">
      <c r="A235" s="434" t="inlineStr">
        <is>
          <t xml:space="preserve">    Research Speed</t>
        </is>
      </c>
      <c r="B235" s="425" t="n"/>
      <c r="C235" s="425" t="n"/>
      <c r="D235" s="371" t="n">
        <v>3</v>
      </c>
      <c r="E235" s="425" t="n"/>
      <c r="F235" s="425" t="n"/>
      <c r="G235" s="425" t="n"/>
      <c r="H235" s="425" t="n"/>
      <c r="I235" s="425" t="n"/>
      <c r="J235" s="425" t="n"/>
      <c r="K235" s="425" t="n"/>
      <c r="L235" s="418" t="n"/>
    </row>
    <row r="236">
      <c r="A236" s="434" t="inlineStr">
        <is>
          <t xml:space="preserve">      Big Fish Bone</t>
        </is>
      </c>
      <c r="B236" s="425" t="inlineStr">
        <is>
          <t>Blue</t>
        </is>
      </c>
      <c r="C236" s="425" t="inlineStr">
        <is>
          <t>CIV</t>
        </is>
      </c>
      <c r="D236" s="425" t="n"/>
      <c r="E236" s="425" t="n"/>
      <c r="F236" s="425" t="n"/>
      <c r="G236" s="425" t="n"/>
      <c r="H236" s="425" t="n"/>
      <c r="I236" s="425" t="n"/>
      <c r="J236" s="425" t="n"/>
      <c r="K236" s="425" t="n"/>
      <c r="L236" s="418" t="inlineStr">
        <is>
          <t>Lottery Machine #1 (0.36%), Wishing (10.3%), Novice Scrolls (5%)</t>
        </is>
      </c>
    </row>
    <row r="237">
      <c r="A237" s="434" t="inlineStr">
        <is>
          <t xml:space="preserve">      Eye of Medusa</t>
        </is>
      </c>
      <c r="B237" s="425" t="inlineStr">
        <is>
          <t>Blue</t>
        </is>
      </c>
      <c r="C237" s="425" t="inlineStr">
        <is>
          <t>ART</t>
        </is>
      </c>
      <c r="D237" s="425" t="n"/>
      <c r="E237" s="425" t="n"/>
      <c r="F237" s="425" t="n"/>
      <c r="G237" s="425" t="n"/>
      <c r="H237" s="425" t="n"/>
      <c r="I237" s="425" t="n"/>
      <c r="J237" s="425" t="n"/>
      <c r="K237" s="425" t="n"/>
      <c r="L237" s="418" t="inlineStr">
        <is>
          <t>Defeat Medusa, Mutant Gene Research T2</t>
        </is>
      </c>
    </row>
    <row r="238">
      <c r="A238" s="434" t="inlineStr">
        <is>
          <t xml:space="preserve">    Free Speedup</t>
        </is>
      </c>
      <c r="B238" s="425" t="n"/>
      <c r="C238" s="425" t="n"/>
      <c r="D238" s="425" t="n"/>
      <c r="E238" s="425" t="n"/>
      <c r="F238" s="425" t="n"/>
      <c r="G238" s="425" t="n"/>
      <c r="H238" s="425" t="n"/>
      <c r="I238" s="425" t="n"/>
      <c r="J238" s="371" t="n">
        <v>30</v>
      </c>
      <c r="K238" s="425" t="n"/>
      <c r="L238" s="418" t="n"/>
    </row>
    <row r="239">
      <c r="A239" s="434" t="inlineStr">
        <is>
          <t xml:space="preserve">      Spencer's Microwave</t>
        </is>
      </c>
      <c r="B239" s="425" t="inlineStr">
        <is>
          <t>Blue</t>
        </is>
      </c>
      <c r="C239" s="425" t="inlineStr">
        <is>
          <t>TECH</t>
        </is>
      </c>
      <c r="D239" s="425" t="n"/>
      <c r="E239" s="425" t="n"/>
      <c r="F239" s="425" t="n"/>
      <c r="G239" s="425" t="n"/>
      <c r="H239" s="425" t="n"/>
      <c r="I239" s="425" t="n"/>
      <c r="J239" s="425" t="n"/>
      <c r="K239" s="425" t="n"/>
      <c r="L239" s="1095" t="inlineStr">
        <is>
          <t>Lottery Machine #2 (0.26%), Indigent Nobleman (72K B-tads)</t>
        </is>
      </c>
    </row>
    <row r="240">
      <c r="A240" s="434" t="inlineStr">
        <is>
          <t xml:space="preserve">      Roentgen Ray Photo</t>
        </is>
      </c>
      <c r="B240" s="425" t="inlineStr">
        <is>
          <t>Blue</t>
        </is>
      </c>
      <c r="C240" s="425" t="inlineStr">
        <is>
          <t>TECH</t>
        </is>
      </c>
      <c r="D240" s="425" t="n"/>
      <c r="E240" s="425" t="n"/>
      <c r="F240" s="425" t="n"/>
      <c r="G240" s="425" t="n"/>
      <c r="H240" s="425" t="n"/>
      <c r="I240" s="425" t="n"/>
      <c r="J240" s="425" t="n"/>
      <c r="K240" s="425" t="n"/>
      <c r="L240" s="1095" t="inlineStr">
        <is>
          <t>Lottery Machine #2 (0.07%)</t>
        </is>
      </c>
    </row>
    <row r="241">
      <c r="A241" s="434" t="inlineStr">
        <is>
          <t xml:space="preserve">  PURPLE</t>
        </is>
      </c>
      <c r="B241" s="425" t="n"/>
      <c r="C241" s="425" t="n"/>
      <c r="D241" s="425" t="n"/>
      <c r="E241" s="425" t="n"/>
      <c r="F241" s="425" t="n"/>
      <c r="G241" s="425" t="n"/>
      <c r="H241" s="425" t="n"/>
      <c r="I241" s="425" t="n"/>
      <c r="J241" s="425" t="n"/>
      <c r="K241" s="425" t="n"/>
      <c r="L241" s="418" t="n"/>
    </row>
    <row r="242">
      <c r="A242" s="434" t="inlineStr">
        <is>
          <t xml:space="preserve">    Research Speed</t>
        </is>
      </c>
      <c r="B242" s="425" t="n"/>
      <c r="C242" s="425" t="n"/>
      <c r="D242" s="371" t="n">
        <v>3.6</v>
      </c>
      <c r="E242" s="425" t="n"/>
      <c r="F242" s="425" t="n"/>
      <c r="G242" s="425" t="n"/>
      <c r="H242" s="425" t="n"/>
      <c r="I242" s="425" t="n"/>
      <c r="J242" s="425" t="n"/>
      <c r="K242" s="425" t="n"/>
      <c r="L242" s="418" t="n"/>
    </row>
    <row r="243">
      <c r="A243" s="434" t="inlineStr">
        <is>
          <t xml:space="preserve">      Wealth of Nations</t>
        </is>
      </c>
      <c r="B243" s="425" t="inlineStr">
        <is>
          <t>AAA</t>
        </is>
      </c>
      <c r="C243" s="425" t="inlineStr">
        <is>
          <t>FAME</t>
        </is>
      </c>
      <c r="D243" s="425" t="n"/>
      <c r="E243" s="425" t="n"/>
      <c r="F243" s="425" t="n"/>
      <c r="G243" s="425" t="n"/>
      <c r="H243" s="425" t="n"/>
      <c r="I243" s="425" t="n"/>
      <c r="J243" s="425" t="n"/>
      <c r="K243" s="425" t="n"/>
      <c r="L243" s="418" t="inlineStr">
        <is>
          <t>Fragment Crafting (1.6%), Lottery Machine #1 (0.03%), Wishing (0.14%), Relic Forge (80 Relic RF)</t>
        </is>
      </c>
    </row>
    <row r="244">
      <c r="A244" s="434" t="inlineStr">
        <is>
          <t xml:space="preserve">      Treaty of Versailles</t>
        </is>
      </c>
      <c r="B244" s="425" t="inlineStr">
        <is>
          <t>AAA</t>
        </is>
      </c>
      <c r="C244" s="425" t="inlineStr">
        <is>
          <t>FAME</t>
        </is>
      </c>
      <c r="D244" s="425" t="n"/>
      <c r="E244" s="425" t="n"/>
      <c r="F244" s="425" t="n"/>
      <c r="G244" s="425" t="n"/>
      <c r="H244" s="425" t="n"/>
      <c r="I244" s="425" t="n"/>
      <c r="J244" s="425" t="n"/>
      <c r="K244" s="425" t="n"/>
      <c r="L244" s="418" t="inlineStr">
        <is>
          <t>Fragment Crafting (1.6%), Lottery Machine #1 (0.03%), Wishing (0.14%), Club Chest (1.5%), Relic Forge (80 Relic RF)</t>
        </is>
      </c>
    </row>
    <row r="245">
      <c r="A245" s="434" t="inlineStr">
        <is>
          <t xml:space="preserve">    Cells Consumed</t>
        </is>
      </c>
      <c r="B245" s="425" t="n"/>
      <c r="C245" s="425" t="n"/>
      <c r="D245" s="425" t="n"/>
      <c r="E245" s="425" t="n"/>
      <c r="F245" s="371" t="n">
        <v>3.6</v>
      </c>
      <c r="G245" s="425" t="n"/>
      <c r="H245" s="425" t="n"/>
      <c r="I245" s="425" t="n"/>
      <c r="J245" s="425" t="n"/>
      <c r="K245" s="425" t="n"/>
      <c r="L245" s="418" t="n"/>
    </row>
    <row r="246">
      <c r="A246" s="434" t="inlineStr">
        <is>
          <t xml:space="preserve">      Shakespeare Scripts</t>
        </is>
      </c>
      <c r="B246" s="425" t="inlineStr">
        <is>
          <t>AA</t>
        </is>
      </c>
      <c r="C246" s="425" t="inlineStr">
        <is>
          <t>CIV</t>
        </is>
      </c>
      <c r="D246" s="425" t="n"/>
      <c r="E246" s="425" t="n"/>
      <c r="F246" s="425" t="n"/>
      <c r="G246" s="425" t="n"/>
      <c r="H246" s="425" t="n"/>
      <c r="I246" s="425" t="n"/>
      <c r="J246" s="425" t="n"/>
      <c r="K246" s="425" t="n"/>
      <c r="L246" s="418" t="inlineStr">
        <is>
          <t>Fragment Crafting (3.7%), Lottery Machine #1 (0.08%), Wishing (0.34%), Relic Forge (80 Relic RF)</t>
        </is>
      </c>
    </row>
    <row r="247">
      <c r="A247" s="434" t="inlineStr">
        <is>
          <t xml:space="preserve">      Codex Leicester</t>
        </is>
      </c>
      <c r="B247" s="425" t="inlineStr">
        <is>
          <t>A</t>
        </is>
      </c>
      <c r="C247" s="425" t="inlineStr">
        <is>
          <t>CIV</t>
        </is>
      </c>
      <c r="D247" s="425" t="n"/>
      <c r="E247" s="425" t="n"/>
      <c r="F247" s="425" t="n"/>
      <c r="G247" s="425" t="n"/>
      <c r="H247" s="425" t="n"/>
      <c r="I247" s="425" t="n"/>
      <c r="J247" s="425" t="n"/>
      <c r="K247" s="425" t="n"/>
      <c r="L247" s="418" t="inlineStr">
        <is>
          <t>Fragment Crafting (29.9%), Lottery Machine #1 (0.66%), Wishing (2.7%), Expert Scrolls (7.6%)</t>
        </is>
      </c>
    </row>
    <row r="248">
      <c r="A248" s="434" t="inlineStr">
        <is>
          <t xml:space="preserve">  ORANGE</t>
        </is>
      </c>
      <c r="B248" s="425" t="n"/>
      <c r="C248" s="425" t="n"/>
      <c r="D248" s="425" t="n"/>
      <c r="E248" s="425" t="n"/>
      <c r="F248" s="425" t="n"/>
      <c r="G248" s="425" t="n"/>
      <c r="H248" s="425" t="n"/>
      <c r="I248" s="425" t="n"/>
      <c r="J248" s="425" t="n"/>
      <c r="K248" s="425" t="n"/>
      <c r="L248" s="418" t="n"/>
    </row>
    <row r="249">
      <c r="A249" s="434" t="inlineStr">
        <is>
          <t xml:space="preserve">    Research Speed</t>
        </is>
      </c>
      <c r="B249" s="425" t="n"/>
      <c r="C249" s="425" t="n"/>
      <c r="D249" s="371" t="n">
        <v>4.2</v>
      </c>
      <c r="E249" s="425" t="n"/>
      <c r="F249" s="425" t="n"/>
      <c r="G249" s="425" t="n"/>
      <c r="H249" s="425" t="n"/>
      <c r="I249" s="425" t="n"/>
      <c r="J249" s="425" t="n"/>
      <c r="K249" s="425" t="n"/>
      <c r="L249" s="418" t="n"/>
    </row>
    <row r="250">
      <c r="A250" s="434" t="inlineStr">
        <is>
          <t xml:space="preserve">      Ape's Footprint Fossil</t>
        </is>
      </c>
      <c r="B250" s="425" t="inlineStr">
        <is>
          <t>SS</t>
        </is>
      </c>
      <c r="C250" s="425" t="inlineStr">
        <is>
          <t>FAME</t>
        </is>
      </c>
      <c r="D250" s="425" t="n"/>
      <c r="E250" s="425" t="n"/>
      <c r="F250" s="425" t="n"/>
      <c r="G250" s="425" t="n"/>
      <c r="H250" s="425" t="n"/>
      <c r="I250" s="425" t="n"/>
      <c r="J250" s="425" t="n"/>
      <c r="K250" s="425" t="n"/>
      <c r="L250" s="418" t="inlineStr">
        <is>
          <t>Super Species Chest (2.4%)</t>
        </is>
      </c>
    </row>
    <row r="251">
      <c r="A251" s="434" t="inlineStr">
        <is>
          <t xml:space="preserve">      Gravitation Scripts</t>
        </is>
      </c>
      <c r="B251" s="425" t="inlineStr">
        <is>
          <t>SSS</t>
        </is>
      </c>
      <c r="C251" s="425" t="inlineStr">
        <is>
          <t>FAME</t>
        </is>
      </c>
      <c r="D251" s="425" t="n"/>
      <c r="E251" s="425" t="n"/>
      <c r="F251" s="425" t="n"/>
      <c r="G251" s="425" t="n"/>
      <c r="H251" s="425" t="n"/>
      <c r="I251" s="425" t="n"/>
      <c r="J251" s="425" t="n"/>
      <c r="K251" s="425" t="n"/>
      <c r="L251" s="418" t="inlineStr">
        <is>
          <t>Daily Pack Relic #10</t>
        </is>
      </c>
    </row>
    <row r="252">
      <c r="A252" s="434" t="inlineStr">
        <is>
          <t xml:space="preserve">    Cells Consumed</t>
        </is>
      </c>
      <c r="B252" s="425" t="n"/>
      <c r="C252" s="425" t="n"/>
      <c r="D252" s="425" t="n"/>
      <c r="E252" s="425" t="n"/>
      <c r="F252" s="371" t="n">
        <v>4.2</v>
      </c>
      <c r="G252" s="425" t="n"/>
      <c r="H252" s="425" t="n"/>
      <c r="I252" s="425" t="n"/>
      <c r="J252" s="425" t="n"/>
      <c r="K252" s="425" t="n"/>
      <c r="L252" s="418" t="n"/>
    </row>
    <row r="253">
      <c r="A253" s="434" t="inlineStr">
        <is>
          <t xml:space="preserve">      Agamemnon Mask</t>
        </is>
      </c>
      <c r="B253" s="425" t="inlineStr">
        <is>
          <t>SS</t>
        </is>
      </c>
      <c r="C253" s="425" t="inlineStr">
        <is>
          <t>ART</t>
        </is>
      </c>
      <c r="D253" s="425" t="n"/>
      <c r="E253" s="425" t="n"/>
      <c r="F253" s="425" t="n"/>
      <c r="G253" s="425" t="n"/>
      <c r="H253" s="425" t="n"/>
      <c r="I253" s="425" t="n"/>
      <c r="J253" s="425" t="n"/>
      <c r="K253" s="425" t="n"/>
      <c r="L253" s="418" t="inlineStr">
        <is>
          <t>Fragment Crafting (4%), Lottery Machine #1 (0.18%), Wishing (0.15%), Grandmaster Scrolls (1.6%)</t>
        </is>
      </c>
    </row>
    <row r="254">
      <c r="A254" s="434" t="inlineStr">
        <is>
          <t xml:space="preserve">      Tutankhamun Mask</t>
        </is>
      </c>
      <c r="B254" s="425" t="inlineStr">
        <is>
          <t>S</t>
        </is>
      </c>
      <c r="C254" s="425" t="inlineStr">
        <is>
          <t>ART</t>
        </is>
      </c>
      <c r="D254" s="425" t="n"/>
      <c r="E254" s="425" t="n"/>
      <c r="F254" s="425" t="n"/>
      <c r="G254" s="425" t="n"/>
      <c r="H254" s="425" t="n"/>
      <c r="I254" s="425" t="n"/>
      <c r="J254" s="425" t="n"/>
      <c r="K254" s="425" t="n"/>
      <c r="L254" s="418" t="inlineStr">
        <is>
          <t>Fragment Crafting (18.1%), Lottery Machine #1 (0.81%), Wishing (0.68%), Super Treasure Maps (15%), Master Scrolls (6.5%), ART Master Scrolls (34.7%), Relic Forge (90 Relic RF)</t>
        </is>
      </c>
    </row>
    <row r="255">
      <c r="A255" s="362" t="inlineStr">
        <is>
          <t>MAX RESONANCE</t>
        </is>
      </c>
      <c r="B255" s="411" t="n"/>
      <c r="C255" s="411" t="n"/>
      <c r="D255" s="364">
        <f>sum(D234:D254)</f>
        <v/>
      </c>
      <c r="E255" s="411" t="n"/>
      <c r="F255" s="364">
        <f>sum(F234:F254)</f>
        <v/>
      </c>
      <c r="G255" s="411" t="n"/>
      <c r="H255" s="364">
        <f>sum(H234:H254)</f>
        <v/>
      </c>
      <c r="I255" s="411" t="n"/>
      <c r="J255" s="364">
        <f>sum(J234:J254)</f>
        <v/>
      </c>
      <c r="K255" s="411" t="n"/>
      <c r="L255" s="426" t="n"/>
    </row>
    <row r="256">
      <c r="A256" s="425" t="n"/>
      <c r="B256" s="425" t="n"/>
      <c r="C256" s="425" t="n"/>
      <c r="D256" s="425" t="n"/>
      <c r="E256" s="425" t="n"/>
      <c r="F256" s="425" t="n"/>
      <c r="G256" s="425" t="n"/>
      <c r="H256" s="425" t="n"/>
      <c r="I256" s="425" t="n"/>
      <c r="J256" s="425" t="n"/>
      <c r="K256" s="425" t="n"/>
      <c r="L256" s="425" t="n"/>
    </row>
    <row r="257">
      <c r="A257" s="425" t="n"/>
      <c r="B257" s="425" t="n"/>
      <c r="C257" s="425" t="n"/>
      <c r="D257" s="425" t="n"/>
      <c r="E257" s="425" t="n"/>
      <c r="F257" s="425" t="n"/>
      <c r="G257" s="425" t="n"/>
      <c r="H257" s="425" t="n"/>
      <c r="I257" s="425" t="n"/>
      <c r="J257" s="425" t="n"/>
      <c r="K257" s="425" t="n"/>
      <c r="L257" s="425" t="n"/>
    </row>
    <row r="258">
      <c r="A258" s="424" t="inlineStr">
        <is>
          <t>DRAGON</t>
        </is>
      </c>
      <c r="B258" s="406" t="n"/>
      <c r="C258" s="406" t="n"/>
      <c r="D258" s="406" t="n"/>
      <c r="E258" s="406" t="n"/>
      <c r="F258" s="406" t="n"/>
      <c r="G258" s="406" t="n"/>
      <c r="H258" s="406" t="n"/>
      <c r="I258" s="406" t="n"/>
      <c r="J258" s="406" t="n"/>
      <c r="K258" s="406" t="n"/>
      <c r="L258" s="129" t="n"/>
    </row>
    <row r="259">
      <c r="A259" s="434" t="inlineStr">
        <is>
          <t>INDIVIDUAL RELICS</t>
        </is>
      </c>
      <c r="B259" s="425" t="n"/>
      <c r="C259" s="425" t="n"/>
      <c r="D259" s="425" t="n"/>
      <c r="E259" s="425" t="n"/>
      <c r="F259" s="425" t="n"/>
      <c r="G259" s="425" t="n"/>
      <c r="H259" s="425" t="n"/>
      <c r="I259" s="425" t="n"/>
      <c r="J259" s="425" t="n"/>
      <c r="K259" s="425" t="n"/>
      <c r="L259" s="418" t="n"/>
    </row>
    <row r="260">
      <c r="A260" s="434" t="inlineStr">
        <is>
          <t xml:space="preserve">   Ancient Dragon Crystal</t>
        </is>
      </c>
      <c r="B260" s="425" t="inlineStr">
        <is>
          <t>SSS</t>
        </is>
      </c>
      <c r="C260" s="425" t="inlineStr">
        <is>
          <t>FTH</t>
        </is>
      </c>
      <c r="D260" s="371" t="n">
        <v>7.2</v>
      </c>
      <c r="E260" s="371" t="n">
        <v>6</v>
      </c>
      <c r="F260" s="425" t="n"/>
      <c r="G260" s="425" t="n"/>
      <c r="H260" s="371" t="n"/>
      <c r="I260" s="425" t="n"/>
      <c r="J260" s="425" t="n"/>
      <c r="K260" s="425" t="n"/>
      <c r="L260" s="390" t="inlineStr">
        <is>
          <t>Ultimate Divine Dragon Reward</t>
        </is>
      </c>
    </row>
    <row r="261">
      <c r="A261" s="434" t="inlineStr">
        <is>
          <t xml:space="preserve">   Guernica</t>
        </is>
      </c>
      <c r="B261" s="425" t="inlineStr">
        <is>
          <t>AAA</t>
        </is>
      </c>
      <c r="C261" s="425" t="inlineStr">
        <is>
          <t>ART</t>
        </is>
      </c>
      <c r="D261" s="371" t="n">
        <v>5.4</v>
      </c>
      <c r="E261" s="371" t="n">
        <v>4.2</v>
      </c>
      <c r="F261" s="425" t="n"/>
      <c r="G261" s="425" t="n"/>
      <c r="H261" s="371" t="n">
        <v>5.4</v>
      </c>
      <c r="I261" s="425" t="n"/>
      <c r="J261" s="425" t="n"/>
      <c r="K261" s="425" t="n"/>
      <c r="L261" s="418" t="inlineStr">
        <is>
          <t>Fragment Crafting (1.6%), Lottery Machine #1 (0.03%), Wishing (0.14%), Bharata Treasure Maps (%), Relic Forge (Relic RF 80)</t>
        </is>
      </c>
    </row>
    <row r="262">
      <c r="A262" s="434" t="inlineStr">
        <is>
          <t xml:space="preserve">   Twin Lions Lantern</t>
        </is>
      </c>
      <c r="B262" s="425" t="inlineStr">
        <is>
          <t>AA</t>
        </is>
      </c>
      <c r="C262" s="425" t="inlineStr">
        <is>
          <t>FAME</t>
        </is>
      </c>
      <c r="D262" s="425" t="n"/>
      <c r="E262" s="425" t="n"/>
      <c r="F262" s="425" t="n"/>
      <c r="G262" s="425" t="n"/>
      <c r="H262" s="425" t="n">
        <v>4.8</v>
      </c>
      <c r="I262" s="425" t="n">
        <v>4.2</v>
      </c>
      <c r="J262" s="371" t="n"/>
      <c r="K262" s="371" t="n"/>
      <c r="L262" s="390" t="inlineStr">
        <is>
          <t>Museum Operation Reward</t>
        </is>
      </c>
    </row>
    <row r="263">
      <c r="A263" s="434" t="inlineStr">
        <is>
          <t xml:space="preserve">   Golden Fleece</t>
        </is>
      </c>
      <c r="B263" s="425" t="inlineStr">
        <is>
          <t>Blue</t>
        </is>
      </c>
      <c r="C263" s="425" t="inlineStr">
        <is>
          <t>FTH</t>
        </is>
      </c>
      <c r="D263" s="425" t="n"/>
      <c r="E263" s="425" t="n"/>
      <c r="F263" s="425" t="n"/>
      <c r="G263" s="425" t="n"/>
      <c r="H263" s="425" t="n"/>
      <c r="I263" s="425" t="n"/>
      <c r="J263" s="371" t="n">
        <v>30</v>
      </c>
      <c r="K263" s="371" t="n">
        <v>30</v>
      </c>
      <c r="L263" s="418" t="inlineStr">
        <is>
          <t>Lottery Machine #1 (0.03%), Wishing (0.85%)</t>
        </is>
      </c>
    </row>
    <row r="264">
      <c r="A264" s="362" t="inlineStr">
        <is>
          <t>MAX INDIVIDUAL RELICS</t>
        </is>
      </c>
      <c r="B264" s="411" t="n"/>
      <c r="C264" s="411" t="n"/>
      <c r="D264" s="364">
        <f>sum(D259:E263)</f>
        <v/>
      </c>
      <c r="E264" s="411" t="n"/>
      <c r="F264" s="364">
        <f>sum(F259:G263)</f>
        <v/>
      </c>
      <c r="G264" s="411" t="n"/>
      <c r="H264" s="364">
        <f>sum(H259:I263)</f>
        <v/>
      </c>
      <c r="I264" s="411" t="n"/>
      <c r="J264" s="364">
        <f>sum(J259:K263)</f>
        <v/>
      </c>
      <c r="K264" s="411" t="n"/>
      <c r="L264" s="426" t="n"/>
    </row>
    <row r="265">
      <c r="A265" s="357" t="n"/>
      <c r="B265" s="425" t="n"/>
      <c r="C265" s="425" t="n"/>
      <c r="D265" s="425" t="n"/>
      <c r="E265" s="425" t="n"/>
      <c r="F265" s="425" t="n"/>
      <c r="G265" s="425" t="n"/>
      <c r="H265" s="425" t="n"/>
      <c r="I265" s="425" t="n"/>
      <c r="J265" s="425" t="n"/>
      <c r="K265" s="425" t="n"/>
      <c r="L265" s="418" t="n"/>
    </row>
    <row r="266">
      <c r="A266" s="344" t="inlineStr">
        <is>
          <t>RESONANCE</t>
        </is>
      </c>
      <c r="B266" s="406" t="n"/>
      <c r="C266" s="406" t="n"/>
      <c r="D266" s="406" t="n"/>
      <c r="E266" s="406" t="n"/>
      <c r="F266" s="406" t="n"/>
      <c r="G266" s="406" t="n"/>
      <c r="H266" s="406" t="n"/>
      <c r="I266" s="406" t="n"/>
      <c r="J266" s="406" t="n"/>
      <c r="K266" s="406" t="n"/>
      <c r="L266" s="129" t="n"/>
    </row>
    <row r="267">
      <c r="A267" s="434" t="inlineStr">
        <is>
          <t xml:space="preserve">  BLUE</t>
        </is>
      </c>
      <c r="B267" s="425" t="n"/>
      <c r="C267" s="425" t="n"/>
      <c r="D267" s="425" t="n"/>
      <c r="E267" s="425" t="n"/>
      <c r="F267" s="425" t="n"/>
      <c r="G267" s="425" t="n"/>
      <c r="H267" s="425" t="n"/>
      <c r="I267" s="425" t="n"/>
      <c r="J267" s="425" t="n"/>
      <c r="K267" s="425" t="n"/>
      <c r="L267" s="418" t="n"/>
    </row>
    <row r="268">
      <c r="A268" s="434" t="inlineStr">
        <is>
          <t xml:space="preserve">    Research Speed</t>
        </is>
      </c>
      <c r="B268" s="425" t="n"/>
      <c r="C268" s="425" t="n"/>
      <c r="D268" s="371" t="n">
        <v>3.6</v>
      </c>
      <c r="E268" s="425" t="n"/>
      <c r="F268" s="425" t="n"/>
      <c r="G268" s="425" t="n"/>
      <c r="H268" s="425" t="n"/>
      <c r="I268" s="425" t="n"/>
      <c r="J268" s="425" t="n"/>
      <c r="K268" s="425" t="n"/>
      <c r="L268" s="418" t="n"/>
    </row>
    <row r="269">
      <c r="A269" s="434" t="inlineStr">
        <is>
          <t xml:space="preserve">      Commercial Code</t>
        </is>
      </c>
      <c r="B269" s="425" t="inlineStr">
        <is>
          <t>Blue</t>
        </is>
      </c>
      <c r="C269" s="425" t="inlineStr">
        <is>
          <t>FAME</t>
        </is>
      </c>
      <c r="D269" s="425" t="n"/>
      <c r="E269" s="425" t="n"/>
      <c r="F269" s="425" t="n"/>
      <c r="G269" s="425" t="n"/>
      <c r="H269" s="425" t="n"/>
      <c r="I269" s="425" t="n"/>
      <c r="J269" s="425" t="n"/>
      <c r="K269" s="425" t="n"/>
      <c r="L269" s="418" t="inlineStr">
        <is>
          <t>Lottery Machine #1 (0.07%), Wishing (3.1%), Club Chest (2%), Novice Scrolls (1%), Peter Jr. rare rent (5 frags)</t>
        </is>
      </c>
    </row>
    <row r="270">
      <c r="A270" s="434" t="inlineStr">
        <is>
          <t xml:space="preserve">      Rubik's Cube</t>
        </is>
      </c>
      <c r="B270" s="425" t="inlineStr">
        <is>
          <t>Blue</t>
        </is>
      </c>
      <c r="C270" s="425" t="inlineStr">
        <is>
          <t>CIV</t>
        </is>
      </c>
      <c r="D270" s="425" t="n"/>
      <c r="E270" s="425" t="n"/>
      <c r="F270" s="425" t="n"/>
      <c r="G270" s="425" t="n"/>
      <c r="H270" s="425" t="n"/>
      <c r="I270" s="425" t="n"/>
      <c r="J270" s="425" t="n"/>
      <c r="K270" s="425" t="n"/>
      <c r="L270" s="418" t="inlineStr">
        <is>
          <t>Lottery Machine #1 (0.07%), Wishing (2.1%), Novice Scroll (1%)</t>
        </is>
      </c>
    </row>
    <row r="271">
      <c r="A271" s="434" t="inlineStr">
        <is>
          <t xml:space="preserve">      Tee Virus</t>
        </is>
      </c>
      <c r="B271" s="425" t="inlineStr">
        <is>
          <t>Blue</t>
        </is>
      </c>
      <c r="C271" s="425" t="inlineStr">
        <is>
          <t>TECH</t>
        </is>
      </c>
      <c r="D271" s="425" t="n"/>
      <c r="E271" s="425" t="n"/>
      <c r="F271" s="425" t="n"/>
      <c r="G271" s="425" t="n"/>
      <c r="H271" s="425" t="n"/>
      <c r="I271" s="425" t="n"/>
      <c r="J271" s="425" t="n"/>
      <c r="K271" s="425" t="n"/>
      <c r="L271" s="418" t="inlineStr">
        <is>
          <t>Zombie Gene Research T2</t>
        </is>
      </c>
    </row>
    <row r="272">
      <c r="A272" s="434" t="inlineStr">
        <is>
          <t xml:space="preserve">    Free Speedup</t>
        </is>
      </c>
      <c r="B272" s="425" t="n"/>
      <c r="C272" s="425" t="n"/>
      <c r="D272" s="425" t="n"/>
      <c r="E272" s="425" t="n"/>
      <c r="F272" s="425" t="n"/>
      <c r="G272" s="425" t="n"/>
      <c r="H272" s="425" t="n"/>
      <c r="I272" s="425" t="n"/>
      <c r="J272" s="371" t="n">
        <v>30</v>
      </c>
      <c r="K272" s="425" t="n"/>
      <c r="L272" s="418" t="n"/>
    </row>
    <row r="273">
      <c r="A273" s="434" t="inlineStr">
        <is>
          <t xml:space="preserve">      Wet Gardener Poster</t>
        </is>
      </c>
      <c r="B273" s="425" t="inlineStr">
        <is>
          <t>Blue</t>
        </is>
      </c>
      <c r="C273" s="425" t="inlineStr">
        <is>
          <t>FAME</t>
        </is>
      </c>
      <c r="D273" s="425" t="n"/>
      <c r="E273" s="425" t="n"/>
      <c r="F273" s="425" t="n"/>
      <c r="G273" s="425" t="n"/>
      <c r="H273" s="425" t="n"/>
      <c r="I273" s="425" t="n"/>
      <c r="J273" s="425" t="n"/>
      <c r="K273" s="425" t="n"/>
      <c r="L273" s="1095" t="inlineStr">
        <is>
          <t>Lottery Machine #2 (0.07%)</t>
        </is>
      </c>
    </row>
    <row r="274">
      <c r="A274" s="434" t="inlineStr">
        <is>
          <t xml:space="preserve">      Gertie the Dinosaur</t>
        </is>
      </c>
      <c r="B274" s="425" t="inlineStr">
        <is>
          <t>Blue</t>
        </is>
      </c>
      <c r="C274" s="425" t="inlineStr">
        <is>
          <t>FAME</t>
        </is>
      </c>
      <c r="D274" s="425" t="n"/>
      <c r="E274" s="425" t="n"/>
      <c r="F274" s="425" t="n"/>
      <c r="G274" s="425" t="n"/>
      <c r="H274" s="425" t="n"/>
      <c r="I274" s="425" t="n"/>
      <c r="J274" s="425" t="n"/>
      <c r="K274" s="425" t="n"/>
      <c r="L274" s="1095" t="inlineStr">
        <is>
          <t>Lottery Machine #2 (0.26%)</t>
        </is>
      </c>
    </row>
    <row r="275">
      <c r="A275" s="434" t="inlineStr">
        <is>
          <t xml:space="preserve">  PURPLE</t>
        </is>
      </c>
      <c r="B275" s="425" t="n"/>
      <c r="C275" s="425" t="n"/>
      <c r="D275" s="425" t="n"/>
      <c r="E275" s="425" t="n"/>
      <c r="F275" s="425" t="n"/>
      <c r="G275" s="425" t="n"/>
      <c r="H275" s="425" t="n"/>
      <c r="I275" s="425" t="n"/>
      <c r="J275" s="425" t="n"/>
      <c r="K275" s="425" t="n"/>
      <c r="L275" s="418" t="n"/>
    </row>
    <row r="276">
      <c r="A276" s="434" t="inlineStr">
        <is>
          <t xml:space="preserve">    Research Speed</t>
        </is>
      </c>
      <c r="B276" s="425" t="n"/>
      <c r="C276" s="425" t="n"/>
      <c r="D276" s="371" t="n">
        <v>4.8</v>
      </c>
      <c r="E276" s="425" t="n"/>
      <c r="F276" s="425" t="n"/>
      <c r="G276" s="425" t="n"/>
      <c r="H276" s="425" t="n"/>
      <c r="I276" s="425" t="n"/>
      <c r="J276" s="425" t="n"/>
      <c r="K276" s="425" t="n"/>
      <c r="L276" s="418" t="n"/>
    </row>
    <row r="277">
      <c r="A277" s="434" t="inlineStr">
        <is>
          <t xml:space="preserve">      Blood of Dracula</t>
        </is>
      </c>
      <c r="B277" s="425" t="inlineStr">
        <is>
          <t>AA</t>
        </is>
      </c>
      <c r="C277" s="425" t="inlineStr">
        <is>
          <t>FTH</t>
        </is>
      </c>
      <c r="D277" s="425" t="n"/>
      <c r="E277" s="425" t="n"/>
      <c r="F277" s="425" t="n"/>
      <c r="G277" s="425" t="n"/>
      <c r="H277" s="425" t="n"/>
      <c r="I277" s="425" t="n"/>
      <c r="J277" s="425" t="n"/>
      <c r="K277" s="425" t="n"/>
      <c r="L277" s="418" t="inlineStr">
        <is>
          <t>Fragment Crafting (3.8%), Lottery Machine #1 (0.08%), Wishing (0.35%), Soul Chest (1.5%), Expert Scrolls (0.95%)</t>
        </is>
      </c>
    </row>
    <row r="278">
      <c r="A278" s="434" t="inlineStr">
        <is>
          <t xml:space="preserve">      Prehistoric Fossil</t>
        </is>
      </c>
      <c r="B278" s="425" t="inlineStr">
        <is>
          <t>AAA</t>
        </is>
      </c>
      <c r="C278" s="425" t="inlineStr">
        <is>
          <t>CIV</t>
        </is>
      </c>
      <c r="D278" s="425" t="n"/>
      <c r="E278" s="425" t="n"/>
      <c r="F278" s="425" t="n"/>
      <c r="G278" s="425" t="n"/>
      <c r="H278" s="425" t="n"/>
      <c r="I278" s="425" t="n"/>
      <c r="J278" s="425" t="n"/>
      <c r="K278" s="425" t="n"/>
      <c r="L278" s="418" t="inlineStr">
        <is>
          <t>Fragment Crafting (1.5%), Lottery Machine #1 (0.03%), Wishing (0.14%), Time Chest (1.5%), Relic Forge (80 Relic RF)</t>
        </is>
      </c>
    </row>
    <row r="279">
      <c r="A279" s="434" t="inlineStr">
        <is>
          <t xml:space="preserve">      Ark Reactor</t>
        </is>
      </c>
      <c r="B279" s="425" t="inlineStr">
        <is>
          <t>AA</t>
        </is>
      </c>
      <c r="C279" s="425" t="inlineStr">
        <is>
          <t>TECH</t>
        </is>
      </c>
      <c r="D279" s="425" t="n"/>
      <c r="E279" s="425" t="n"/>
      <c r="F279" s="425" t="n"/>
      <c r="G279" s="425" t="n"/>
      <c r="H279" s="425" t="n"/>
      <c r="I279" s="425" t="n"/>
      <c r="J279" s="425" t="n"/>
      <c r="K279" s="425" t="n"/>
      <c r="L279" s="418" t="inlineStr">
        <is>
          <t>Fragment Crafting (3.9%), Lottery Machine #1 (0.08%), Wishing (0.36%), Expert Scrolls (0.95%)</t>
        </is>
      </c>
    </row>
    <row r="280">
      <c r="A280" s="434" t="inlineStr">
        <is>
          <t xml:space="preserve">      Crystal Skull</t>
        </is>
      </c>
      <c r="B280" s="425" t="inlineStr">
        <is>
          <t>AAA</t>
        </is>
      </c>
      <c r="C280" s="425" t="inlineStr">
        <is>
          <t>ART</t>
        </is>
      </c>
      <c r="D280" s="425" t="n"/>
      <c r="E280" s="425" t="n"/>
      <c r="F280" s="425" t="n"/>
      <c r="G280" s="425" t="n"/>
      <c r="H280" s="425" t="n"/>
      <c r="I280" s="425" t="n"/>
      <c r="J280" s="425" t="n"/>
      <c r="K280" s="425" t="n"/>
      <c r="L280" s="418" t="inlineStr">
        <is>
          <t>Fragment Crafting (1.6%), Lottery Machine #1 (0.03%), Wishing (0.14%), Time Chest (1.5%), Relic Forge (Relic RF 80)</t>
        </is>
      </c>
    </row>
    <row r="281">
      <c r="A281" s="434" t="inlineStr">
        <is>
          <t xml:space="preserve">  ORANGE</t>
        </is>
      </c>
      <c r="B281" s="425" t="n"/>
      <c r="C281" s="425" t="n"/>
      <c r="D281" s="425" t="n"/>
      <c r="E281" s="425" t="n"/>
      <c r="F281" s="425" t="n"/>
      <c r="G281" s="425" t="n"/>
      <c r="H281" s="425" t="n"/>
      <c r="I281" s="425" t="n"/>
      <c r="J281" s="425" t="n"/>
      <c r="K281" s="425" t="n"/>
      <c r="L281" s="418" t="n"/>
    </row>
    <row r="282">
      <c r="A282" s="434" t="inlineStr">
        <is>
          <t xml:space="preserve">    Research Speed</t>
        </is>
      </c>
      <c r="B282" s="425" t="n"/>
      <c r="C282" s="425" t="n"/>
      <c r="D282" s="371" t="n">
        <v>4.2</v>
      </c>
      <c r="E282" s="425" t="n"/>
      <c r="F282" s="425" t="n"/>
      <c r="G282" s="425" t="n"/>
      <c r="H282" s="425" t="n"/>
      <c r="I282" s="425" t="n"/>
      <c r="J282" s="425" t="n"/>
      <c r="K282" s="425" t="n"/>
      <c r="L282" s="418" t="n"/>
    </row>
    <row r="283">
      <c r="A283" s="434" t="inlineStr">
        <is>
          <t xml:space="preserve">      The Black Book</t>
        </is>
      </c>
      <c r="B283" s="425" t="inlineStr">
        <is>
          <t>SSS</t>
        </is>
      </c>
      <c r="C283" s="425" t="inlineStr">
        <is>
          <t>FTH</t>
        </is>
      </c>
      <c r="D283" s="425" t="n"/>
      <c r="E283" s="425" t="n"/>
      <c r="F283" s="425" t="n"/>
      <c r="G283" s="425" t="n"/>
      <c r="H283" s="425" t="n"/>
      <c r="I283" s="425" t="n"/>
      <c r="J283" s="425" t="n"/>
      <c r="K283" s="425" t="n"/>
      <c r="L283" s="418" t="inlineStr">
        <is>
          <t>Silence Hall (Rebel Cabin) Reward</t>
        </is>
      </c>
    </row>
    <row r="284">
      <c r="A284" s="434" t="inlineStr">
        <is>
          <t xml:space="preserve">      Higgs Boson</t>
        </is>
      </c>
      <c r="B284" s="425" t="inlineStr">
        <is>
          <t>SSS</t>
        </is>
      </c>
      <c r="C284" s="425" t="inlineStr">
        <is>
          <t>TECH</t>
        </is>
      </c>
      <c r="D284" s="425" t="n"/>
      <c r="E284" s="425" t="n"/>
      <c r="F284" s="425" t="n"/>
      <c r="G284" s="425" t="n"/>
      <c r="H284" s="425" t="n"/>
      <c r="I284" s="425" t="n"/>
      <c r="J284" s="425" t="n"/>
      <c r="K284" s="425" t="n"/>
      <c r="L284" s="418" t="inlineStr">
        <is>
          <t>Daily Gold Pack Relic #3</t>
        </is>
      </c>
    </row>
    <row r="285">
      <c r="A285" s="362" t="inlineStr">
        <is>
          <t>MAX RESONANCE</t>
        </is>
      </c>
      <c r="B285" s="411" t="n"/>
      <c r="C285" s="411" t="n"/>
      <c r="D285" s="364">
        <f>sum(D267:D284)</f>
        <v/>
      </c>
      <c r="E285" s="411" t="n"/>
      <c r="F285" s="364">
        <f>sum(F267:F284)</f>
        <v/>
      </c>
      <c r="G285" s="411" t="n"/>
      <c r="H285" s="364">
        <f>sum(H267:H284)</f>
        <v/>
      </c>
      <c r="I285" s="411" t="n"/>
      <c r="J285" s="364">
        <f>sum(J267:J284)</f>
        <v/>
      </c>
      <c r="K285" s="411" t="n"/>
      <c r="L285" s="426" t="n"/>
    </row>
    <row r="286">
      <c r="A286" s="425" t="n"/>
      <c r="B286" s="425" t="n"/>
      <c r="C286" s="425" t="n"/>
      <c r="D286" s="425" t="n"/>
      <c r="E286" s="425" t="n"/>
      <c r="F286" s="425" t="n"/>
      <c r="G286" s="425" t="n"/>
      <c r="H286" s="425" t="n"/>
      <c r="I286" s="425" t="n"/>
      <c r="J286" s="425" t="n"/>
      <c r="K286" s="425" t="n"/>
      <c r="L286" s="425" t="n"/>
    </row>
    <row r="287">
      <c r="A287" s="425" t="n"/>
      <c r="B287" s="425" t="n"/>
      <c r="C287" s="425" t="n"/>
      <c r="D287" s="425" t="n"/>
      <c r="E287" s="425" t="n"/>
      <c r="F287" s="425" t="n"/>
      <c r="G287" s="425" t="n"/>
      <c r="H287" s="425" t="n"/>
      <c r="I287" s="425" t="n"/>
      <c r="J287" s="425" t="n"/>
      <c r="K287" s="425" t="n"/>
      <c r="L287" s="425" t="n"/>
    </row>
    <row r="288">
      <c r="A288" s="425" t="n"/>
      <c r="B288" s="425" t="n"/>
      <c r="C288" s="425" t="n"/>
      <c r="D288" s="425" t="n"/>
      <c r="E288" s="425" t="n"/>
      <c r="F288" s="425" t="n"/>
      <c r="G288" s="425" t="n"/>
      <c r="H288" s="425" t="n"/>
      <c r="I288" s="425" t="n"/>
      <c r="J288" s="425" t="n"/>
      <c r="K288" s="425" t="n"/>
      <c r="L288" s="425" t="n"/>
    </row>
    <row r="289">
      <c r="A289" s="425" t="n"/>
      <c r="B289" s="425" t="n"/>
      <c r="C289" s="425" t="n"/>
      <c r="D289" s="425" t="n"/>
      <c r="E289" s="425" t="n"/>
      <c r="F289" s="425" t="n"/>
      <c r="G289" s="425" t="n"/>
      <c r="H289" s="425" t="n"/>
      <c r="I289" s="425" t="n"/>
      <c r="J289" s="425" t="n"/>
      <c r="K289" s="425" t="n"/>
      <c r="L289" s="425" t="n"/>
    </row>
    <row r="290">
      <c r="A290" s="450" t="n"/>
      <c r="B290" s="114" t="inlineStr">
        <is>
          <t>Zombie</t>
        </is>
      </c>
      <c r="C290" s="114" t="inlineStr">
        <is>
          <t>Demon</t>
        </is>
      </c>
      <c r="D290" s="114" t="inlineStr">
        <is>
          <t>Angel</t>
        </is>
      </c>
      <c r="E290" s="114" t="inlineStr">
        <is>
          <t>Mutant</t>
        </is>
      </c>
      <c r="F290" s="114" t="inlineStr">
        <is>
          <t>Mecha</t>
        </is>
      </c>
      <c r="G290" s="114" t="inlineStr">
        <is>
          <t>Dragon</t>
        </is>
      </c>
      <c r="H290" s="425" t="n"/>
      <c r="I290" s="425" t="n"/>
      <c r="J290" s="425" t="n"/>
      <c r="K290" s="425" t="n"/>
      <c r="L290" s="425" t="n"/>
    </row>
    <row r="291">
      <c r="A291" s="447" t="inlineStr">
        <is>
          <t>General Research Speed</t>
        </is>
      </c>
      <c r="B291" s="115">
        <f>B56+D73+D102</f>
        <v/>
      </c>
      <c r="C291" s="115">
        <f>B56+D113+D138</f>
        <v/>
      </c>
      <c r="D291" s="115">
        <f>B56+D150+D178</f>
        <v/>
      </c>
      <c r="E291" s="115">
        <f>B56+D190+D217</f>
        <v/>
      </c>
      <c r="F291" s="115">
        <f>B56+D228+D255</f>
        <v/>
      </c>
      <c r="G291" s="115">
        <f>B56+D264+D285</f>
        <v/>
      </c>
      <c r="H291" s="425" t="n"/>
      <c r="I291" s="425" t="n"/>
      <c r="J291" s="425" t="n"/>
      <c r="K291" s="425" t="n"/>
      <c r="L291" s="425" t="n"/>
    </row>
    <row r="292">
      <c r="A292" s="447" t="inlineStr">
        <is>
          <t>General Cells Cost Reduction</t>
        </is>
      </c>
      <c r="B292" s="115">
        <f>B57+F73+F102</f>
        <v/>
      </c>
      <c r="C292" s="115">
        <f>B57+F113+F138</f>
        <v/>
      </c>
      <c r="D292" s="115">
        <f>B57+F150+F178</f>
        <v/>
      </c>
      <c r="E292" s="115">
        <f>B57+F190+F217</f>
        <v/>
      </c>
      <c r="F292" s="115">
        <f>B57+F228+F255</f>
        <v/>
      </c>
      <c r="G292" s="115">
        <f>0</f>
        <v/>
      </c>
      <c r="H292" s="425" t="n"/>
      <c r="I292" s="425" t="n"/>
      <c r="J292" s="425" t="n"/>
      <c r="K292" s="425" t="n"/>
      <c r="L292" s="425" t="n"/>
    </row>
    <row r="293">
      <c r="A293" s="447" t="inlineStr">
        <is>
          <t>General Btad Cost Reduction</t>
        </is>
      </c>
      <c r="B293" s="115">
        <f>B58+H73+H102</f>
        <v/>
      </c>
      <c r="C293" s="115">
        <f>B58+H73+H102</f>
        <v/>
      </c>
      <c r="D293" s="115">
        <f>B58+H150+H178</f>
        <v/>
      </c>
      <c r="E293" s="115">
        <f>B58+H190+H217</f>
        <v/>
      </c>
      <c r="F293" s="115">
        <f>B58+H228+H255</f>
        <v/>
      </c>
      <c r="G293" s="115">
        <f>B58+H264+H285</f>
        <v/>
      </c>
      <c r="H293" s="425" t="n"/>
      <c r="I293" s="425" t="n"/>
      <c r="J293" s="425" t="n"/>
      <c r="K293" s="425" t="n"/>
      <c r="L293" s="425" t="n"/>
    </row>
    <row r="294">
      <c r="A294" s="447" t="inlineStr">
        <is>
          <t>General Research Speed (min)</t>
        </is>
      </c>
      <c r="B294" s="115">
        <f>B59+J73+J76+J102</f>
        <v/>
      </c>
      <c r="C294" s="115">
        <f>B59+J113+J138</f>
        <v/>
      </c>
      <c r="D294" s="115">
        <f>B59+J150+J153+J178</f>
        <v/>
      </c>
      <c r="E294" s="115">
        <f>B59+J190+J193+J217</f>
        <v/>
      </c>
      <c r="F294" s="115">
        <f>B59+J228+J231+J255</f>
        <v/>
      </c>
      <c r="G294" s="115">
        <f>B59+J264+J285</f>
        <v/>
      </c>
      <c r="H294" s="425" t="n"/>
      <c r="I294" s="425" t="n"/>
      <c r="J294" s="425" t="n"/>
      <c r="K294" s="425" t="n"/>
      <c r="L294" s="425" t="n"/>
    </row>
    <row r="295">
      <c r="A295" s="425" t="n"/>
      <c r="B295" s="425" t="n"/>
      <c r="C295" s="425" t="n"/>
      <c r="D295" s="425" t="n"/>
      <c r="E295" s="425" t="n"/>
      <c r="F295" s="425" t="n"/>
      <c r="G295" s="425" t="n"/>
      <c r="H295" s="425" t="n"/>
      <c r="I295" s="425" t="n"/>
      <c r="J295" s="425" t="n"/>
      <c r="K295" s="425" t="n"/>
      <c r="L295" s="425" t="n"/>
    </row>
  </sheetData>
  <dataValidations count="2">
    <dataValidation sqref="B3:B5 B40:B45 B48:B53 B66:B72 B81:B82 B84:B85 B88:B89 B91:B92 B95:B98 B100:B101 B107:B112 B118:B120 B122:B123 B126:B127 B129:B130 B133:B134 B136:B137 B143:B149 B158:B159 B161:B162 B165:B166 B168:B169 B172:B173 B175:B177 B183:B189 B198:B199 B201:B202 B205:B206 B208:B209 B212:B213 B215:B216 B222:B227 B236:B237 B239:B240 B243:B244 B246:B247 B250:B251 B253:B254 B260:B263 B269:B271 B273:B274 B277:B280 B283:B284" showDropDown="0" showInputMessage="0" showErrorMessage="1" allowBlank="1" type="list">
      <formula1>"SSS,SS,S,AAA,AA,A,Blue,Green"</formula1>
    </dataValidation>
    <dataValidation sqref="C3:C5 C40:C45 C48:C53 C66:C72 C81:C82 C84:C85 C88:C89 C91:C92 C95:C98 C100:C101 C107:C112 C118:C120 C122:C123 C126:C127 C129:C130 C133:C134 C136:C137 C143:C149 C158:C159 C161:C162 C165:C166 C168:C169 C172:C173 C175:C177 C183:C189 C198:C199 C201:C202 C205:C206 C208:C209 C212:C213 C215:C216 C222:C227 C236:C237 C239:C240 C243:C244 C246:C247 C250:C251 C253:C254 C260:C263 C269:C271 C273:C274 C277:C280 C283:C284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2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1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8.36" customWidth="1" style="1128" min="1" max="1"/>
    <col width="7.09" customWidth="1" style="1128" min="2" max="2"/>
    <col width="7.82" customWidth="1" style="1128" min="3" max="3"/>
    <col width="8.18" customWidth="1" style="1128" min="4" max="4"/>
    <col width="15.55" customWidth="1" style="1128" min="5" max="5"/>
    <col width="8.09" customWidth="1" style="1128" min="6" max="6"/>
    <col width="15.45" customWidth="1" style="1128" min="7" max="7"/>
    <col width="7.09" customWidth="1" style="1128" min="8" max="8"/>
    <col width="14.45" customWidth="1" style="1128" min="9" max="9"/>
    <col width="8.18" customWidth="1" style="1128" min="10" max="10"/>
    <col width="15.55" customWidth="1" style="1128" min="11" max="11"/>
    <col width="7.82" customWidth="1" style="1128" min="12" max="12"/>
    <col width="15.18" customWidth="1" style="1128" min="13" max="13"/>
    <col width="115.55" customWidth="1" style="1128" min="14" max="14"/>
  </cols>
  <sheetData>
    <row r="1">
      <c r="A1" s="344" t="inlineStr">
        <is>
          <t>Name</t>
        </is>
      </c>
      <c r="B1" s="406" t="inlineStr">
        <is>
          <t>Rarity</t>
        </is>
      </c>
      <c r="C1" s="406" t="inlineStr">
        <is>
          <t>Type</t>
        </is>
      </c>
      <c r="D1" s="406" t="inlineStr">
        <is>
          <t>Zombie Cells</t>
        </is>
      </c>
      <c r="E1" s="406" t="inlineStr">
        <is>
          <t>Zombie Cells (Awakened)</t>
        </is>
      </c>
      <c r="F1" s="406" t="inlineStr">
        <is>
          <t>Demon Cells</t>
        </is>
      </c>
      <c r="G1" s="406" t="inlineStr">
        <is>
          <t>Demon Cells (Awakened)</t>
        </is>
      </c>
      <c r="H1" s="406" t="inlineStr">
        <is>
          <t>Angel Cells</t>
        </is>
      </c>
      <c r="I1" s="406" t="inlineStr">
        <is>
          <t>Angel Cells (Awakened)</t>
        </is>
      </c>
      <c r="J1" s="406" t="inlineStr">
        <is>
          <t>Mutant Cells</t>
        </is>
      </c>
      <c r="K1" s="406" t="inlineStr">
        <is>
          <t>Mutant Cells (Awakened)</t>
        </is>
      </c>
      <c r="L1" s="406" t="inlineStr">
        <is>
          <t>Mecha Cells</t>
        </is>
      </c>
      <c r="M1" s="406" t="inlineStr">
        <is>
          <t>Mecha Cells (Awakened)</t>
        </is>
      </c>
      <c r="N1" s="129" t="inlineStr">
        <is>
          <t>Source</t>
        </is>
      </c>
    </row>
    <row r="2">
      <c r="A2" s="434" t="inlineStr">
        <is>
          <t>INDIVIDUAL RELICS</t>
        </is>
      </c>
      <c r="B2" s="425" t="n"/>
      <c r="C2" s="425" t="n"/>
      <c r="D2" s="425" t="n"/>
      <c r="E2" s="425" t="n"/>
      <c r="F2" s="425" t="n"/>
      <c r="G2" s="425" t="n"/>
      <c r="H2" s="425" t="n"/>
      <c r="I2" s="425" t="n"/>
      <c r="J2" s="425" t="n"/>
      <c r="K2" s="425" t="n"/>
      <c r="L2" s="425" t="n"/>
      <c r="M2" s="425" t="n"/>
      <c r="N2" s="418" t="n"/>
    </row>
    <row r="3">
      <c r="A3" s="434" t="inlineStr">
        <is>
          <t xml:space="preserve">   Shroud of Turin</t>
        </is>
      </c>
      <c r="B3" s="425" t="inlineStr">
        <is>
          <t>S</t>
        </is>
      </c>
      <c r="C3" s="425" t="inlineStr">
        <is>
          <t>FTH</t>
        </is>
      </c>
      <c r="D3" s="371" t="n">
        <v>10</v>
      </c>
      <c r="E3" s="371" t="n">
        <v>10</v>
      </c>
      <c r="F3" s="425" t="n"/>
      <c r="G3" s="425" t="n"/>
      <c r="H3" s="425" t="n"/>
      <c r="I3" s="425" t="n"/>
      <c r="J3" s="425" t="n"/>
      <c r="K3" s="425" t="n"/>
      <c r="L3" s="425" t="n"/>
      <c r="M3" s="425" t="n"/>
      <c r="N3" s="418" t="inlineStr">
        <is>
          <t>Fragment Crafting (15.1%), Lottery Machine #1 (0.81%), Wishing (0.53%), Relic Forge (90 Relic RF)</t>
        </is>
      </c>
    </row>
    <row r="4">
      <c r="A4" s="434" t="inlineStr">
        <is>
          <t xml:space="preserve">   Eye of Akamoddo</t>
        </is>
      </c>
      <c r="B4" s="425" t="inlineStr">
        <is>
          <t>SS</t>
        </is>
      </c>
      <c r="C4" s="425" t="inlineStr">
        <is>
          <t>FTH</t>
        </is>
      </c>
      <c r="D4" s="425" t="n"/>
      <c r="E4" s="425" t="n"/>
      <c r="F4" s="371" t="n">
        <v>11</v>
      </c>
      <c r="G4" s="371" t="n">
        <v>10</v>
      </c>
      <c r="H4" s="425" t="n"/>
      <c r="I4" s="425" t="n"/>
      <c r="J4" s="425" t="n"/>
      <c r="K4" s="425" t="n"/>
      <c r="L4" s="425" t="n"/>
      <c r="M4" s="425" t="n"/>
      <c r="N4" s="418" t="inlineStr">
        <is>
          <t>Fragment Crafting (4.4%), Lottery Machine #1 (0.24%), Wishing (0.16%), Time Chest (1%), Master Scrolls (1.9%), Grandmaster Scrolls (2.1%), FTH Master Scrolls (9.2%)</t>
        </is>
      </c>
    </row>
    <row r="5">
      <c r="A5" s="434" t="inlineStr">
        <is>
          <t xml:space="preserve">   Time-Travel Box</t>
        </is>
      </c>
      <c r="B5" s="425" t="inlineStr">
        <is>
          <t>SS</t>
        </is>
      </c>
      <c r="C5" s="425" t="inlineStr">
        <is>
          <t>FAME</t>
        </is>
      </c>
      <c r="D5" s="425" t="n"/>
      <c r="E5" s="425" t="n"/>
      <c r="F5" s="425" t="n"/>
      <c r="G5" s="425" t="n"/>
      <c r="H5" s="371" t="n">
        <v>11</v>
      </c>
      <c r="I5" s="371" t="n">
        <v>10</v>
      </c>
      <c r="J5" s="425" t="n"/>
      <c r="K5" s="425" t="n"/>
      <c r="L5" s="425" t="n"/>
      <c r="M5" s="425" t="n"/>
      <c r="N5" s="418" t="inlineStr">
        <is>
          <t>Fragment Crafting (4.6%), Lottery Machine #1 (0.18%), Wishing (0.17%), Dragon Chest (5%), Grandmaster Scrolls (1.6%)</t>
        </is>
      </c>
    </row>
    <row r="6">
      <c r="A6" s="434" t="inlineStr">
        <is>
          <t xml:space="preserve">   Element R</t>
        </is>
      </c>
      <c r="B6" s="425" t="inlineStr">
        <is>
          <t>S</t>
        </is>
      </c>
      <c r="C6" s="425" t="inlineStr">
        <is>
          <t>TECH</t>
        </is>
      </c>
      <c r="D6" s="425" t="n"/>
      <c r="E6" s="425" t="n"/>
      <c r="F6" s="425" t="n"/>
      <c r="G6" s="425" t="n"/>
      <c r="H6" s="425" t="n"/>
      <c r="I6" s="425" t="n"/>
      <c r="J6" s="371" t="n">
        <v>10</v>
      </c>
      <c r="K6" s="371" t="n">
        <v>10</v>
      </c>
      <c r="L6" s="425" t="n"/>
      <c r="M6" s="425" t="n"/>
      <c r="N6" s="418" t="inlineStr">
        <is>
          <t>Fragment Crafting (17.8%), Lottery Machine #1 (0.81%), Wishing (0.65%), Relic Forge (90 Relic RF)</t>
        </is>
      </c>
    </row>
    <row r="7">
      <c r="A7" s="434" t="inlineStr">
        <is>
          <t xml:space="preserve">   SkyWeb Hub</t>
        </is>
      </c>
      <c r="B7" s="425" t="inlineStr">
        <is>
          <t>SS</t>
        </is>
      </c>
      <c r="C7" s="425" t="inlineStr">
        <is>
          <t>TECH</t>
        </is>
      </c>
      <c r="D7" s="425" t="n"/>
      <c r="E7" s="425" t="n"/>
      <c r="F7" s="425" t="n"/>
      <c r="G7" s="425" t="n"/>
      <c r="H7" s="425" t="n"/>
      <c r="I7" s="425" t="n"/>
      <c r="J7" s="425" t="n"/>
      <c r="K7" s="425" t="n"/>
      <c r="L7" s="371" t="n">
        <v>11</v>
      </c>
      <c r="M7" s="371" t="n">
        <v>10</v>
      </c>
      <c r="N7" s="418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8">
      <c r="A8" s="434" t="inlineStr">
        <is>
          <t xml:space="preserve">   Prehistoric Fossil</t>
        </is>
      </c>
      <c r="B8" s="425" t="inlineStr">
        <is>
          <t>AAA</t>
        </is>
      </c>
      <c r="C8" s="425" t="inlineStr">
        <is>
          <t>CIV</t>
        </is>
      </c>
      <c r="D8" s="371" t="n">
        <v>5.4</v>
      </c>
      <c r="E8" s="425" t="n"/>
      <c r="F8" s="371" t="n">
        <v>5.4</v>
      </c>
      <c r="G8" s="425" t="n"/>
      <c r="H8" s="371" t="n">
        <v>5.4</v>
      </c>
      <c r="I8" s="425" t="n"/>
      <c r="J8" s="371" t="n">
        <v>5.4</v>
      </c>
      <c r="K8" s="425" t="n"/>
      <c r="L8" s="371" t="n">
        <v>5.4</v>
      </c>
      <c r="M8" s="425" t="n"/>
      <c r="N8" s="418" t="inlineStr">
        <is>
          <t>Fragment Crafting (1.5%), Lottery Machine #1 (0.03%), Wishing (0.14%), Time Chest (1.5%), Relic Forge (80 Relic RF)</t>
        </is>
      </c>
    </row>
    <row r="9">
      <c r="A9" s="434" t="inlineStr">
        <is>
          <t xml:space="preserve">   Imperial Lamp</t>
        </is>
      </c>
      <c r="B9" s="425" t="inlineStr">
        <is>
          <t>Blue</t>
        </is>
      </c>
      <c r="C9" s="425" t="inlineStr">
        <is>
          <t>ART</t>
        </is>
      </c>
      <c r="D9" s="371" t="n">
        <v>5</v>
      </c>
      <c r="E9" s="371" t="n">
        <v>5</v>
      </c>
      <c r="F9" s="425" t="n"/>
      <c r="G9" s="425" t="n"/>
      <c r="H9" s="425" t="n"/>
      <c r="I9" s="425" t="n"/>
      <c r="J9" s="425" t="n"/>
      <c r="K9" s="425" t="n"/>
      <c r="L9" s="425" t="n"/>
      <c r="M9" s="425" t="n"/>
      <c r="N9" s="418" t="inlineStr">
        <is>
          <t>Lottery Machine #1 (0.07%), Wishing (3%), Novice Scrolls (1%)</t>
        </is>
      </c>
    </row>
    <row r="10">
      <c r="A10" s="434" t="inlineStr">
        <is>
          <t xml:space="preserve">   Ranjyatai Incense</t>
        </is>
      </c>
      <c r="B10" s="425" t="inlineStr">
        <is>
          <t>Blue</t>
        </is>
      </c>
      <c r="C10" s="425" t="inlineStr">
        <is>
          <t>FTH</t>
        </is>
      </c>
      <c r="D10" s="425" t="n"/>
      <c r="E10" s="425" t="n"/>
      <c r="F10" s="371" t="n">
        <v>5</v>
      </c>
      <c r="G10" s="371" t="n">
        <v>5</v>
      </c>
      <c r="H10" s="425" t="n"/>
      <c r="I10" s="425" t="n"/>
      <c r="J10" s="425" t="n"/>
      <c r="K10" s="425" t="n"/>
      <c r="L10" s="425" t="n"/>
      <c r="M10" s="425" t="n"/>
      <c r="N10" s="418" t="inlineStr">
        <is>
          <t>Lottery Machine #1 (0.07%), Wishing (2.1%), Novice Scrolls (1%)</t>
        </is>
      </c>
    </row>
    <row r="11">
      <c r="A11" s="434" t="inlineStr">
        <is>
          <t xml:space="preserve">   Gone with the Wind</t>
        </is>
      </c>
      <c r="B11" s="425" t="inlineStr">
        <is>
          <t>Blue</t>
        </is>
      </c>
      <c r="C11" s="425" t="inlineStr">
        <is>
          <t>CIV</t>
        </is>
      </c>
      <c r="D11" s="425" t="n"/>
      <c r="E11" s="425" t="n"/>
      <c r="F11" s="425" t="n"/>
      <c r="G11" s="425" t="n"/>
      <c r="H11" s="371" t="n">
        <v>5</v>
      </c>
      <c r="I11" s="371" t="n">
        <v>5</v>
      </c>
      <c r="J11" s="425" t="n"/>
      <c r="K11" s="425" t="n"/>
      <c r="L11" s="425" t="n"/>
      <c r="M11" s="425" t="n"/>
      <c r="N11" s="418" t="inlineStr">
        <is>
          <t>Murikan Treasure Maps (20%)</t>
        </is>
      </c>
    </row>
    <row r="12">
      <c r="A12" s="434" t="inlineStr">
        <is>
          <t xml:space="preserve">   Izu Dancer</t>
        </is>
      </c>
      <c r="B12" s="425" t="inlineStr">
        <is>
          <t>Blue</t>
        </is>
      </c>
      <c r="C12" s="425" t="inlineStr">
        <is>
          <t>CIV</t>
        </is>
      </c>
      <c r="D12" s="425" t="n"/>
      <c r="E12" s="425" t="n"/>
      <c r="F12" s="425" t="n"/>
      <c r="G12" s="425" t="n"/>
      <c r="H12" s="425" t="n"/>
      <c r="I12" s="425" t="n"/>
      <c r="J12" s="371" t="n">
        <v>5</v>
      </c>
      <c r="K12" s="371" t="n">
        <v>5</v>
      </c>
      <c r="L12" s="425" t="n"/>
      <c r="M12" s="425" t="n"/>
      <c r="N12" s="418" t="inlineStr">
        <is>
          <t>Lottery Machine #1 (0.03%), Wishing (0.82%)</t>
        </is>
      </c>
    </row>
    <row r="13">
      <c r="A13" s="434" t="inlineStr">
        <is>
          <t xml:space="preserve">   Euclid's Elements</t>
        </is>
      </c>
      <c r="B13" s="425" t="inlineStr">
        <is>
          <t>Blue</t>
        </is>
      </c>
      <c r="C13" s="425" t="inlineStr">
        <is>
          <t>TECH</t>
        </is>
      </c>
      <c r="D13" s="425" t="n"/>
      <c r="E13" s="425" t="n"/>
      <c r="F13" s="425" t="n"/>
      <c r="G13" s="425" t="n"/>
      <c r="H13" s="425" t="n"/>
      <c r="I13" s="425" t="n"/>
      <c r="J13" s="425" t="n"/>
      <c r="K13" s="425" t="n"/>
      <c r="L13" s="371" t="n">
        <v>5</v>
      </c>
      <c r="M13" s="371" t="n">
        <v>5</v>
      </c>
      <c r="N13" s="418" t="inlineStr">
        <is>
          <t>Lottery Machine #1 (0.03%), Wishing (1.1%), Hellenic Treasure Map (%)</t>
        </is>
      </c>
    </row>
    <row r="14">
      <c r="A14" s="362" t="inlineStr">
        <is>
          <t>MAX INDIVIDUAL RELICS</t>
        </is>
      </c>
      <c r="B14" s="411" t="n"/>
      <c r="C14" s="411" t="n"/>
      <c r="D14" s="364">
        <f>sum(D2:E13)</f>
        <v/>
      </c>
      <c r="E14" s="411" t="n"/>
      <c r="F14" s="364">
        <f>sum(F2:G13)</f>
        <v/>
      </c>
      <c r="G14" s="411" t="n"/>
      <c r="H14" s="364">
        <f>sum(H2:I13)</f>
        <v/>
      </c>
      <c r="I14" s="411" t="n"/>
      <c r="J14" s="364">
        <f>sum(J2:K13)</f>
        <v/>
      </c>
      <c r="K14" s="411" t="n"/>
      <c r="L14" s="364">
        <f>sum(L2:M13)</f>
        <v/>
      </c>
      <c r="M14" s="411" t="n"/>
      <c r="N14" s="426" t="n"/>
    </row>
    <row r="15">
      <c r="A15" s="434" t="n"/>
      <c r="B15" s="425" t="n"/>
      <c r="C15" s="425" t="n"/>
      <c r="D15" s="425" t="n"/>
      <c r="E15" s="425" t="n"/>
      <c r="F15" s="425" t="n"/>
      <c r="G15" s="425" t="n"/>
      <c r="H15" s="425" t="n"/>
      <c r="I15" s="425" t="n"/>
      <c r="J15" s="425" t="n"/>
      <c r="K15" s="425" t="n"/>
      <c r="L15" s="425" t="n"/>
      <c r="M15" s="425" t="n"/>
      <c r="N15" s="418" t="n"/>
    </row>
    <row r="16">
      <c r="A16" s="344" t="inlineStr">
        <is>
          <t>ORGANS</t>
        </is>
      </c>
      <c r="B16" s="406" t="n"/>
      <c r="C16" s="406" t="n"/>
      <c r="D16" s="406" t="n"/>
      <c r="E16" s="406" t="n"/>
      <c r="F16" s="406" t="n"/>
      <c r="G16" s="406" t="n"/>
      <c r="H16" s="406" t="n"/>
      <c r="I16" s="406" t="n"/>
      <c r="J16" s="406" t="n"/>
      <c r="K16" s="406" t="n"/>
      <c r="L16" s="406" t="n"/>
      <c r="M16" s="406" t="n"/>
      <c r="N16" s="129" t="n"/>
    </row>
    <row r="17">
      <c r="A17" s="434" t="inlineStr">
        <is>
          <t xml:space="preserve">   Evil Pattern</t>
        </is>
      </c>
      <c r="B17" s="425" t="n"/>
      <c r="C17" s="425" t="n"/>
      <c r="D17" s="371" t="n">
        <v>5</v>
      </c>
      <c r="E17" s="425" t="n"/>
      <c r="F17" s="371" t="n">
        <v>5</v>
      </c>
      <c r="G17" s="425" t="n"/>
      <c r="H17" s="371" t="n">
        <v>5</v>
      </c>
      <c r="I17" s="425" t="n"/>
      <c r="J17" s="371" t="n">
        <v>5</v>
      </c>
      <c r="K17" s="425" t="n"/>
      <c r="L17" s="371" t="n">
        <v>5</v>
      </c>
      <c r="M17" s="425" t="n"/>
      <c r="N17" s="418" t="inlineStr">
        <is>
          <t>Tutorial (Evolution)</t>
        </is>
      </c>
    </row>
    <row r="18">
      <c r="A18" s="434" t="inlineStr">
        <is>
          <t xml:space="preserve">   Demon Spine</t>
        </is>
      </c>
      <c r="B18" s="425" t="n"/>
      <c r="C18" s="425" t="n"/>
      <c r="D18" s="371" t="n">
        <v>4</v>
      </c>
      <c r="E18" s="425" t="n"/>
      <c r="F18" s="371" t="n">
        <v>4</v>
      </c>
      <c r="G18" s="425" t="n"/>
      <c r="H18" s="425" t="n"/>
      <c r="I18" s="425" t="n"/>
      <c r="J18" s="425" t="n"/>
      <c r="K18" s="425" t="n"/>
      <c r="L18" s="425" t="n"/>
      <c r="M18" s="425" t="n"/>
      <c r="N18" s="418" t="inlineStr">
        <is>
          <t>Demon God Matrix (Demon God Rocket Cabin) Reward</t>
        </is>
      </c>
    </row>
    <row r="19">
      <c r="A19" s="434" t="inlineStr">
        <is>
          <t xml:space="preserve">   Eden Neuron</t>
        </is>
      </c>
      <c r="B19" s="425" t="n"/>
      <c r="C19" s="425" t="n"/>
      <c r="D19" s="425" t="n"/>
      <c r="E19" s="425" t="n"/>
      <c r="F19" s="425" t="n"/>
      <c r="G19" s="425" t="n"/>
      <c r="H19" s="371" t="n">
        <v>4</v>
      </c>
      <c r="I19" s="425" t="n"/>
      <c r="J19" s="425" t="n"/>
      <c r="K19" s="425" t="n"/>
      <c r="L19" s="371" t="n">
        <v>4</v>
      </c>
      <c r="M19" s="425" t="n"/>
      <c r="N19" s="418" t="inlineStr">
        <is>
          <t>Garden of Eden (Earth's Will Rocket Cabin) Reward</t>
        </is>
      </c>
    </row>
    <row r="20">
      <c r="A20" s="434" t="inlineStr">
        <is>
          <t xml:space="preserve">   Dark Matter's Heart</t>
        </is>
      </c>
      <c r="B20" s="425" t="n"/>
      <c r="C20" s="425" t="n"/>
      <c r="D20" s="371" t="n">
        <v>4</v>
      </c>
      <c r="E20" s="425" t="n"/>
      <c r="F20" s="371" t="n">
        <v>4</v>
      </c>
      <c r="G20" s="425" t="n"/>
      <c r="H20" s="371" t="n">
        <v>4</v>
      </c>
      <c r="I20" s="425" t="n"/>
      <c r="J20" s="371" t="n">
        <v>8</v>
      </c>
      <c r="K20" s="425" t="n"/>
      <c r="L20" s="371" t="n">
        <v>4</v>
      </c>
      <c r="M20" s="425" t="n"/>
      <c r="N20" s="418" t="inlineStr">
        <is>
          <t>Dark Matter Reactor (Rebel Cabin) Reward</t>
        </is>
      </c>
    </row>
    <row r="21">
      <c r="A21" s="434" t="inlineStr">
        <is>
          <t xml:space="preserve">   Alveolus of Gaia</t>
        </is>
      </c>
      <c r="B21" s="425" t="n"/>
      <c r="C21" s="425" t="n"/>
      <c r="D21" s="371" t="n">
        <v>20</v>
      </c>
      <c r="E21" s="425" t="n"/>
      <c r="F21" s="371" t="n">
        <v>20</v>
      </c>
      <c r="G21" s="425" t="n"/>
      <c r="H21" s="371" t="n">
        <v>20</v>
      </c>
      <c r="I21" s="425" t="n"/>
      <c r="J21" s="371" t="n">
        <v>20</v>
      </c>
      <c r="K21" s="425" t="n"/>
      <c r="L21" s="371" t="n">
        <v>20</v>
      </c>
      <c r="M21" s="425" t="n"/>
      <c r="N21" s="418" t="inlineStr">
        <is>
          <t>Feast Rewards</t>
        </is>
      </c>
    </row>
    <row r="22">
      <c r="A22" s="362" t="inlineStr">
        <is>
          <t>MAX ORGANS</t>
        </is>
      </c>
      <c r="B22" s="411" t="n"/>
      <c r="C22" s="411" t="n"/>
      <c r="D22" s="364">
        <f>sum(D17:E21)</f>
        <v/>
      </c>
      <c r="E22" s="411" t="n"/>
      <c r="F22" s="364">
        <f>sum(F17:G21)</f>
        <v/>
      </c>
      <c r="G22" s="411" t="n"/>
      <c r="H22" s="364">
        <f>sum(H17:I21)</f>
        <v/>
      </c>
      <c r="I22" s="411" t="n"/>
      <c r="J22" s="364">
        <f>sum(J17:K21)</f>
        <v/>
      </c>
      <c r="K22" s="411" t="n"/>
      <c r="L22" s="364">
        <f>sum(L17:M21)</f>
        <v/>
      </c>
      <c r="M22" s="411" t="n"/>
      <c r="N22" s="426" t="n"/>
    </row>
    <row r="23">
      <c r="A23" s="434" t="n"/>
      <c r="B23" s="425" t="n"/>
      <c r="C23" s="425" t="n"/>
      <c r="D23" s="425" t="n"/>
      <c r="E23" s="425" t="n"/>
      <c r="F23" s="425" t="n"/>
      <c r="G23" s="425" t="n"/>
      <c r="H23" s="425" t="n"/>
      <c r="I23" s="425" t="n"/>
      <c r="J23" s="425" t="n"/>
      <c r="K23" s="425" t="n"/>
      <c r="L23" s="425" t="n"/>
      <c r="M23" s="425" t="n"/>
      <c r="N23" s="418" t="n"/>
    </row>
    <row r="24">
      <c r="A24" s="344" t="inlineStr">
        <is>
          <t>ROCKET CABINS</t>
        </is>
      </c>
      <c r="B24" s="406" t="n"/>
      <c r="C24" s="406" t="n"/>
      <c r="D24" s="406" t="n"/>
      <c r="E24" s="406" t="n"/>
      <c r="F24" s="406" t="n"/>
      <c r="G24" s="406" t="n"/>
      <c r="H24" s="406" t="n"/>
      <c r="I24" s="406" t="n"/>
      <c r="J24" s="406" t="n"/>
      <c r="K24" s="406" t="n"/>
      <c r="L24" s="406" t="n"/>
      <c r="M24" s="406" t="n"/>
      <c r="N24" s="129" t="n"/>
    </row>
    <row r="25">
      <c r="A25" s="434" t="inlineStr">
        <is>
          <t xml:space="preserve">   Eternal Hall</t>
        </is>
      </c>
      <c r="B25" s="425" t="n"/>
      <c r="C25" s="425" t="n"/>
      <c r="D25" s="371" t="n">
        <v>10</v>
      </c>
      <c r="E25" s="425" t="n"/>
      <c r="F25" s="371" t="n">
        <v>10</v>
      </c>
      <c r="G25" s="425" t="n"/>
      <c r="H25" s="371" t="n">
        <v>10</v>
      </c>
      <c r="I25" s="425" t="n"/>
      <c r="J25" s="371" t="n">
        <v>10</v>
      </c>
      <c r="K25" s="425" t="n"/>
      <c r="L25" s="371" t="n">
        <v>10</v>
      </c>
      <c r="M25" s="425" t="n"/>
      <c r="N25" s="418" t="inlineStr">
        <is>
          <t>Demon God Cabin</t>
        </is>
      </c>
    </row>
    <row r="26">
      <c r="A26" s="434" t="inlineStr">
        <is>
          <t xml:space="preserve">   Silence Hall</t>
        </is>
      </c>
      <c r="B26" s="425" t="n"/>
      <c r="C26" s="425" t="n"/>
      <c r="D26" s="371" t="n">
        <v>10</v>
      </c>
      <c r="E26" s="425" t="n"/>
      <c r="F26" s="425" t="n"/>
      <c r="G26" s="425" t="n"/>
      <c r="H26" s="425" t="n"/>
      <c r="I26" s="425" t="n"/>
      <c r="J26" s="425" t="n"/>
      <c r="K26" s="425" t="n"/>
      <c r="L26" s="425" t="n"/>
      <c r="M26" s="425" t="n"/>
      <c r="N26" s="418" t="inlineStr">
        <is>
          <t>Rebel Cabin</t>
        </is>
      </c>
    </row>
    <row r="27">
      <c r="A27" s="434" t="inlineStr">
        <is>
          <t xml:space="preserve">   Apocalypse Hall</t>
        </is>
      </c>
      <c r="B27" s="425" t="n"/>
      <c r="C27" s="425" t="n"/>
      <c r="D27" s="425" t="n"/>
      <c r="E27" s="425" t="n"/>
      <c r="F27" s="371" t="n">
        <v>10</v>
      </c>
      <c r="G27" s="425" t="n"/>
      <c r="H27" s="425" t="n"/>
      <c r="I27" s="425" t="n"/>
      <c r="J27" s="425" t="n"/>
      <c r="K27" s="425" t="n"/>
      <c r="L27" s="425" t="n"/>
      <c r="M27" s="425" t="n"/>
      <c r="N27" s="418" t="inlineStr">
        <is>
          <t>Demon God Cabin</t>
        </is>
      </c>
    </row>
    <row r="28">
      <c r="A28" s="434" t="inlineStr">
        <is>
          <t xml:space="preserve">   Oracle Hall</t>
        </is>
      </c>
      <c r="B28" s="425" t="n"/>
      <c r="C28" s="425" t="n"/>
      <c r="D28" s="425" t="n"/>
      <c r="E28" s="425" t="n"/>
      <c r="F28" s="425" t="n"/>
      <c r="G28" s="425" t="n"/>
      <c r="H28" s="371" t="n">
        <v>10</v>
      </c>
      <c r="I28" s="425" t="n"/>
      <c r="J28" s="425" t="n"/>
      <c r="K28" s="425" t="n"/>
      <c r="L28" s="425" t="n"/>
      <c r="M28" s="425" t="n"/>
      <c r="N28" s="418" t="inlineStr">
        <is>
          <t>Earth's Will Cabin</t>
        </is>
      </c>
    </row>
    <row r="29">
      <c r="A29" s="434" t="inlineStr">
        <is>
          <t xml:space="preserve">   Revelation Hall</t>
        </is>
      </c>
      <c r="B29" s="425" t="n"/>
      <c r="C29" s="425" t="n"/>
      <c r="D29" s="425" t="n"/>
      <c r="E29" s="425" t="n"/>
      <c r="F29" s="425" t="n"/>
      <c r="G29" s="425" t="n"/>
      <c r="H29" s="425" t="n"/>
      <c r="I29" s="425" t="n"/>
      <c r="J29" s="371" t="n">
        <v>10</v>
      </c>
      <c r="K29" s="425" t="n"/>
      <c r="L29" s="425" t="n"/>
      <c r="M29" s="425" t="n"/>
      <c r="N29" s="418" t="inlineStr">
        <is>
          <t>Earth's Will Cabin</t>
        </is>
      </c>
    </row>
    <row r="30">
      <c r="A30" s="434" t="inlineStr">
        <is>
          <t xml:space="preserve">   Steel Hall</t>
        </is>
      </c>
      <c r="B30" s="425" t="n"/>
      <c r="C30" s="425" t="n"/>
      <c r="D30" s="425" t="n"/>
      <c r="E30" s="425" t="n"/>
      <c r="F30" s="425" t="n"/>
      <c r="G30" s="425" t="n"/>
      <c r="H30" s="425" t="n"/>
      <c r="I30" s="425" t="n"/>
      <c r="J30" s="425" t="n"/>
      <c r="K30" s="425" t="n"/>
      <c r="L30" s="371" t="n">
        <v>10</v>
      </c>
      <c r="M30" s="425" t="n"/>
      <c r="N30" s="418" t="inlineStr">
        <is>
          <t>Rebel Cabin</t>
        </is>
      </c>
    </row>
    <row r="31">
      <c r="A31" s="362" t="inlineStr">
        <is>
          <t>MAX ROCKET CABIN</t>
        </is>
      </c>
      <c r="B31" s="411" t="n"/>
      <c r="C31" s="411" t="n"/>
      <c r="D31" s="364">
        <f>sum(D25:E30)</f>
        <v/>
      </c>
      <c r="E31" s="411" t="n"/>
      <c r="F31" s="364">
        <f>sum(F25:G30)</f>
        <v/>
      </c>
      <c r="G31" s="411" t="n"/>
      <c r="H31" s="364">
        <f>sum(H25:I30)</f>
        <v/>
      </c>
      <c r="I31" s="411" t="n"/>
      <c r="J31" s="364">
        <f>sum(J25:K30)</f>
        <v/>
      </c>
      <c r="K31" s="411" t="n"/>
      <c r="L31" s="364">
        <f>sum(L25:M30)</f>
        <v/>
      </c>
      <c r="M31" s="411" t="n"/>
      <c r="N31" s="426" t="n"/>
    </row>
    <row r="32">
      <c r="A32" s="434" t="n"/>
      <c r="B32" s="425" t="n"/>
      <c r="C32" s="425" t="n"/>
      <c r="D32" s="425" t="n"/>
      <c r="E32" s="425" t="n"/>
      <c r="F32" s="425" t="n"/>
      <c r="G32" s="425" t="n"/>
      <c r="H32" s="425" t="n"/>
      <c r="I32" s="425" t="n"/>
      <c r="J32" s="425" t="n"/>
      <c r="K32" s="425" t="n"/>
      <c r="L32" s="425" t="n"/>
      <c r="M32" s="425" t="n"/>
      <c r="N32" s="418" t="n"/>
    </row>
    <row r="33">
      <c r="A33" s="344" t="inlineStr">
        <is>
          <t>RESONANCE</t>
        </is>
      </c>
      <c r="B33" s="406" t="n"/>
      <c r="C33" s="406" t="n"/>
      <c r="D33" s="406" t="n"/>
      <c r="E33" s="406" t="n"/>
      <c r="F33" s="406" t="n"/>
      <c r="G33" s="406" t="n"/>
      <c r="H33" s="406" t="n"/>
      <c r="I33" s="406" t="n"/>
      <c r="J33" s="406" t="n"/>
      <c r="K33" s="406" t="n"/>
      <c r="L33" s="406" t="n"/>
      <c r="M33" s="406" t="n"/>
      <c r="N33" s="129" t="n"/>
    </row>
    <row r="34">
      <c r="A34" s="434" t="inlineStr">
        <is>
          <t xml:space="preserve">  PURPLE</t>
        </is>
      </c>
      <c r="B34" s="425" t="n"/>
      <c r="C34" s="425" t="n"/>
      <c r="D34" s="425" t="n"/>
      <c r="E34" s="425" t="n"/>
      <c r="F34" s="425" t="n"/>
      <c r="G34" s="425" t="n"/>
      <c r="H34" s="425" t="n"/>
      <c r="I34" s="425" t="n"/>
      <c r="J34" s="425" t="n"/>
      <c r="K34" s="425" t="n"/>
      <c r="L34" s="425" t="n"/>
      <c r="M34" s="425" t="n"/>
      <c r="N34" s="418" t="n"/>
    </row>
    <row r="35">
      <c r="A35" s="434" t="inlineStr">
        <is>
          <t xml:space="preserve">    Zombie</t>
        </is>
      </c>
      <c r="B35" s="425" t="n"/>
      <c r="C35" s="425" t="n"/>
      <c r="D35" s="371" t="n">
        <v>6</v>
      </c>
      <c r="E35" s="425" t="n"/>
      <c r="F35" s="425" t="n"/>
      <c r="G35" s="425" t="n"/>
      <c r="H35" s="425" t="n"/>
      <c r="I35" s="425" t="n"/>
      <c r="J35" s="425" t="n"/>
      <c r="K35" s="425" t="n"/>
      <c r="L35" s="425" t="n"/>
      <c r="M35" s="425" t="n"/>
      <c r="N35" s="418" t="n"/>
    </row>
    <row r="36">
      <c r="A36" s="434" t="inlineStr">
        <is>
          <t xml:space="preserve">      Voynich Script</t>
        </is>
      </c>
      <c r="B36" s="425" t="inlineStr">
        <is>
          <t>AAA</t>
        </is>
      </c>
      <c r="C36" s="425" t="inlineStr">
        <is>
          <t>CIV</t>
        </is>
      </c>
      <c r="D36" s="425" t="n"/>
      <c r="E36" s="425" t="n"/>
      <c r="F36" s="425" t="n"/>
      <c r="G36" s="425" t="n"/>
      <c r="H36" s="425" t="n"/>
      <c r="I36" s="425" t="n"/>
      <c r="J36" s="425" t="n"/>
      <c r="K36" s="425" t="n"/>
      <c r="L36" s="425" t="n"/>
      <c r="M36" s="425" t="n"/>
      <c r="N36" s="418" t="inlineStr">
        <is>
          <t>Form Evo Pack</t>
        </is>
      </c>
    </row>
    <row r="37">
      <c r="A37" s="434" t="inlineStr">
        <is>
          <t xml:space="preserve">      The Nutcracker</t>
        </is>
      </c>
      <c r="B37" s="425" t="inlineStr">
        <is>
          <t>AAA</t>
        </is>
      </c>
      <c r="C37" s="425" t="inlineStr">
        <is>
          <t>ART</t>
        </is>
      </c>
      <c r="D37" s="425" t="n"/>
      <c r="E37" s="425" t="n"/>
      <c r="F37" s="425" t="n"/>
      <c r="G37" s="425" t="n"/>
      <c r="H37" s="425" t="n"/>
      <c r="I37" s="425" t="n"/>
      <c r="J37" s="425" t="n"/>
      <c r="K37" s="425" t="n"/>
      <c r="L37" s="425" t="n"/>
      <c r="M37" s="425" t="n"/>
      <c r="N37" s="418" t="inlineStr">
        <is>
          <t>Fragment Crafting (1.6%), Lottery Machine #1 (0.03%), Wishing (0.14%), Relic Forge (80 Relic RF)</t>
        </is>
      </c>
    </row>
    <row r="38">
      <c r="A38" s="434" t="inlineStr">
        <is>
          <t xml:space="preserve">    Demon</t>
        </is>
      </c>
      <c r="B38" s="425" t="n"/>
      <c r="C38" s="425" t="n"/>
      <c r="D38" s="425" t="n"/>
      <c r="E38" s="425" t="n"/>
      <c r="F38" s="371" t="n">
        <v>6</v>
      </c>
      <c r="G38" s="425" t="n"/>
      <c r="H38" s="425" t="n"/>
      <c r="I38" s="425" t="n"/>
      <c r="J38" s="425" t="n"/>
      <c r="K38" s="425" t="n"/>
      <c r="L38" s="425" t="n"/>
      <c r="M38" s="425" t="n"/>
      <c r="N38" s="418" t="n"/>
    </row>
    <row r="39">
      <c r="A39" s="434" t="inlineStr">
        <is>
          <t xml:space="preserve">      Andersen's Fairytales</t>
        </is>
      </c>
      <c r="B39" s="425" t="inlineStr">
        <is>
          <t>AAA</t>
        </is>
      </c>
      <c r="C39" s="425" t="inlineStr">
        <is>
          <t>CIV</t>
        </is>
      </c>
      <c r="D39" s="425" t="n"/>
      <c r="E39" s="425" t="n"/>
      <c r="F39" s="425" t="n"/>
      <c r="G39" s="425" t="n"/>
      <c r="H39" s="425" t="n"/>
      <c r="I39" s="425" t="n"/>
      <c r="J39" s="425" t="n"/>
      <c r="K39" s="425" t="n"/>
      <c r="L39" s="425" t="n"/>
      <c r="M39" s="425" t="n"/>
      <c r="N39" s="418" t="inlineStr">
        <is>
          <t>Fragment Crafting (1.5%), Lottery Machine #1 (0.03%), Wishing (0.14%), Relic Forge (80 Relic RF)</t>
        </is>
      </c>
    </row>
    <row r="40">
      <c r="A40" s="434" t="inlineStr">
        <is>
          <t xml:space="preserve">      Magic Mirror</t>
        </is>
      </c>
      <c r="B40" s="425" t="inlineStr">
        <is>
          <t>AAA</t>
        </is>
      </c>
      <c r="C40" s="425" t="inlineStr">
        <is>
          <t>FTH</t>
        </is>
      </c>
      <c r="D40" s="425" t="n"/>
      <c r="E40" s="425" t="n"/>
      <c r="F40" s="425" t="n"/>
      <c r="G40" s="425" t="n"/>
      <c r="H40" s="425" t="n"/>
      <c r="I40" s="425" t="n"/>
      <c r="J40" s="425" t="n"/>
      <c r="K40" s="425" t="n"/>
      <c r="L40" s="425" t="n"/>
      <c r="M40" s="425" t="n"/>
      <c r="N40" s="418" t="inlineStr">
        <is>
          <t>Fragment Crafting (1.5%), Lottery Machine #1 (0.03%), Wishing (0.14%), Relic Forge (80 Relic RF)</t>
        </is>
      </c>
    </row>
    <row r="41">
      <c r="A41" s="434" t="inlineStr">
        <is>
          <t xml:space="preserve">    Angel</t>
        </is>
      </c>
      <c r="B41" s="425" t="n"/>
      <c r="C41" s="425" t="n"/>
      <c r="D41" s="425" t="n"/>
      <c r="E41" s="425" t="n"/>
      <c r="F41" s="425" t="n"/>
      <c r="G41" s="425" t="n"/>
      <c r="H41" s="371" t="n">
        <v>8</v>
      </c>
      <c r="I41" s="425" t="n"/>
      <c r="J41" s="425" t="n"/>
      <c r="K41" s="425" t="n"/>
      <c r="L41" s="425" t="n"/>
      <c r="M41" s="425" t="n"/>
      <c r="N41" s="418" t="n"/>
    </row>
    <row r="42">
      <c r="A42" s="434" t="inlineStr">
        <is>
          <t xml:space="preserve">      Napoleon Painting</t>
        </is>
      </c>
      <c r="B42" s="425" t="inlineStr">
        <is>
          <t>AAA</t>
        </is>
      </c>
      <c r="C42" s="425" t="inlineStr">
        <is>
          <t>ART</t>
        </is>
      </c>
      <c r="D42" s="425" t="n"/>
      <c r="E42" s="425" t="n"/>
      <c r="F42" s="425" t="n"/>
      <c r="G42" s="425" t="n"/>
      <c r="H42" s="425" t="n"/>
      <c r="I42" s="425" t="n"/>
      <c r="J42" s="425" t="n"/>
      <c r="K42" s="425" t="n"/>
      <c r="L42" s="425" t="n"/>
      <c r="M42" s="425" t="n"/>
      <c r="N42" s="418" t="inlineStr">
        <is>
          <t>Fragment Crafting (1.6%), Lottery Machine #1 (0.03%), Wishing (0.14%), Relic Forge (Relic RF x80)</t>
        </is>
      </c>
    </row>
    <row r="43">
      <c r="A43" s="434" t="inlineStr">
        <is>
          <t xml:space="preserve">      Phoenician Tablet</t>
        </is>
      </c>
      <c r="B43" s="425" t="inlineStr">
        <is>
          <t>AA</t>
        </is>
      </c>
      <c r="C43" s="425" t="inlineStr">
        <is>
          <t>CIV</t>
        </is>
      </c>
      <c r="D43" s="425" t="n"/>
      <c r="E43" s="425" t="n"/>
      <c r="F43" s="425" t="n"/>
      <c r="G43" s="425" t="n"/>
      <c r="H43" s="425" t="n"/>
      <c r="I43" s="425" t="n"/>
      <c r="J43" s="425" t="n"/>
      <c r="K43" s="425" t="n"/>
      <c r="L43" s="425" t="n"/>
      <c r="M43" s="425" t="n"/>
      <c r="N43" s="418" t="inlineStr">
        <is>
          <t>Fragment Crafting (3.7%), Lottery Machine #1 (0.8%), Wishing (0.34%), Kemetic Treasure Maps (10%), Expert Scrolls (0.95%)</t>
        </is>
      </c>
    </row>
    <row r="44">
      <c r="A44" s="434" t="inlineStr">
        <is>
          <t xml:space="preserve">      Hawking's Wheelchair</t>
        </is>
      </c>
      <c r="B44" s="425" t="inlineStr">
        <is>
          <t>AAA</t>
        </is>
      </c>
      <c r="C44" s="425" t="inlineStr">
        <is>
          <t>TECH</t>
        </is>
      </c>
      <c r="D44" s="425" t="n"/>
      <c r="E44" s="425" t="n"/>
      <c r="F44" s="425" t="n"/>
      <c r="G44" s="425" t="n"/>
      <c r="H44" s="425" t="n"/>
      <c r="I44" s="425" t="n"/>
      <c r="J44" s="425" t="n"/>
      <c r="K44" s="425" t="n"/>
      <c r="L44" s="425" t="n"/>
      <c r="M44" s="425" t="n"/>
      <c r="N44" s="418" t="inlineStr">
        <is>
          <t>Fragment Crafting (1.6%), Lottery Machine #1 (0.03%), Wishing (0.35%), Relic Forge (80 Relic RF)</t>
        </is>
      </c>
    </row>
    <row r="45">
      <c r="A45" s="434" t="inlineStr">
        <is>
          <t xml:space="preserve">      Rosetta Stone</t>
        </is>
      </c>
      <c r="B45" s="425" t="inlineStr">
        <is>
          <t>A</t>
        </is>
      </c>
      <c r="C45" s="425" t="inlineStr">
        <is>
          <t>FAME</t>
        </is>
      </c>
      <c r="D45" s="425" t="n"/>
      <c r="E45" s="425" t="n"/>
      <c r="F45" s="425" t="n"/>
      <c r="G45" s="425" t="n"/>
      <c r="H45" s="425" t="n"/>
      <c r="I45" s="425" t="n"/>
      <c r="J45" s="425" t="n"/>
      <c r="K45" s="425" t="n"/>
      <c r="L45" s="425" t="n"/>
      <c r="M45" s="425" t="n"/>
      <c r="N45" s="116" t="inlineStr">
        <is>
          <t>Fragment Crafting (31%), Lottery Machine #1 (0.66%), Wishing (2.8%), Kemetic Treasure Maps (10%), Expert Scrolls (7.6%)</t>
        </is>
      </c>
    </row>
    <row r="46">
      <c r="A46" s="434" t="inlineStr">
        <is>
          <t xml:space="preserve">    Mutant</t>
        </is>
      </c>
      <c r="B46" s="425" t="n"/>
      <c r="C46" s="425" t="n"/>
      <c r="D46" s="425" t="n"/>
      <c r="E46" s="425" t="n"/>
      <c r="F46" s="425" t="n"/>
      <c r="G46" s="425" t="n"/>
      <c r="H46" s="425" t="n"/>
      <c r="I46" s="425" t="n"/>
      <c r="J46" s="371" t="n">
        <v>7</v>
      </c>
      <c r="K46" s="425" t="n"/>
      <c r="L46" s="425" t="n"/>
      <c r="M46" s="425" t="n"/>
      <c r="N46" s="418" t="n"/>
    </row>
    <row r="47">
      <c r="A47" s="434" t="inlineStr">
        <is>
          <t xml:space="preserve">      Sword Throne</t>
        </is>
      </c>
      <c r="B47" s="425" t="inlineStr">
        <is>
          <t>AAA</t>
        </is>
      </c>
      <c r="C47" s="425" t="inlineStr">
        <is>
          <t>FAME</t>
        </is>
      </c>
      <c r="D47" s="425" t="n"/>
      <c r="E47" s="425" t="n"/>
      <c r="F47" s="425" t="n"/>
      <c r="G47" s="425" t="n"/>
      <c r="H47" s="425" t="n"/>
      <c r="I47" s="425" t="n"/>
      <c r="J47" s="425" t="n"/>
      <c r="K47" s="425" t="n"/>
      <c r="L47" s="425" t="n"/>
      <c r="M47" s="425" t="n"/>
      <c r="N47" s="418" t="inlineStr">
        <is>
          <t>Power Pack</t>
        </is>
      </c>
    </row>
    <row r="48">
      <c r="A48" s="434" t="inlineStr">
        <is>
          <t xml:space="preserve">      Marquis Bell</t>
        </is>
      </c>
      <c r="B48" s="425" t="inlineStr">
        <is>
          <t>AAA</t>
        </is>
      </c>
      <c r="C48" s="425" t="inlineStr">
        <is>
          <t>ART</t>
        </is>
      </c>
      <c r="D48" s="425" t="n"/>
      <c r="E48" s="425" t="n"/>
      <c r="F48" s="425" t="n"/>
      <c r="G48" s="425" t="n"/>
      <c r="H48" s="425" t="n"/>
      <c r="I48" s="425" t="n"/>
      <c r="J48" s="425" t="n"/>
      <c r="K48" s="425" t="n"/>
      <c r="L48" s="425" t="n"/>
      <c r="M48" s="425" t="n"/>
      <c r="N48" s="418" t="inlineStr">
        <is>
          <t>Fragment Crafting (1.6%), Lottery Machine #1 (0.03%), Wishing (1.4%), Cathay Treasure Maps (10%), Relic Forge (80 Relic RF)</t>
        </is>
      </c>
    </row>
    <row r="49">
      <c r="A49" s="434" t="inlineStr">
        <is>
          <t xml:space="preserve">      Lennon's Guitar</t>
        </is>
      </c>
      <c r="B49" s="425" t="inlineStr">
        <is>
          <t>AAA</t>
        </is>
      </c>
      <c r="C49" s="425" t="inlineStr">
        <is>
          <t>CIV</t>
        </is>
      </c>
      <c r="D49" s="425" t="n"/>
      <c r="E49" s="425" t="n"/>
      <c r="F49" s="425" t="n"/>
      <c r="G49" s="425" t="n"/>
      <c r="H49" s="425" t="n"/>
      <c r="I49" s="425" t="n"/>
      <c r="J49" s="425" t="n"/>
      <c r="K49" s="425" t="n"/>
      <c r="L49" s="425" t="n"/>
      <c r="M49" s="425" t="n"/>
      <c r="N49" s="418" t="inlineStr">
        <is>
          <t>Fragment Crafting (1.5%), Lottery Machine #1 (0.03%), Wishing (0.14%), Relic Forge (80 Relic RF)</t>
        </is>
      </c>
    </row>
    <row r="50">
      <c r="A50" s="434" t="inlineStr">
        <is>
          <t xml:space="preserve">    Mecha</t>
        </is>
      </c>
      <c r="B50" s="425" t="n"/>
      <c r="C50" s="425" t="n"/>
      <c r="D50" s="425" t="n"/>
      <c r="E50" s="425" t="n"/>
      <c r="F50" s="425" t="n"/>
      <c r="G50" s="425" t="n"/>
      <c r="H50" s="425" t="n"/>
      <c r="I50" s="425" t="n"/>
      <c r="J50" s="425" t="n"/>
      <c r="K50" s="425" t="n"/>
      <c r="L50" s="371" t="n">
        <v>7</v>
      </c>
      <c r="M50" s="425" t="n"/>
      <c r="N50" s="418" t="n"/>
    </row>
    <row r="51">
      <c r="A51" s="434" t="inlineStr">
        <is>
          <t xml:space="preserve">      Dolly Specimen</t>
        </is>
      </c>
      <c r="B51" s="425" t="inlineStr">
        <is>
          <t>A</t>
        </is>
      </c>
      <c r="C51" s="425" t="inlineStr">
        <is>
          <t>TECH</t>
        </is>
      </c>
      <c r="D51" s="425" t="n"/>
      <c r="E51" s="425" t="n"/>
      <c r="F51" s="425" t="n"/>
      <c r="G51" s="425" t="n"/>
      <c r="H51" s="425" t="n"/>
      <c r="I51" s="425" t="n"/>
      <c r="J51" s="425" t="n"/>
      <c r="K51" s="425" t="n"/>
      <c r="L51" s="425" t="n"/>
      <c r="M51" s="425" t="n"/>
      <c r="N51" s="418" t="inlineStr">
        <is>
          <t>Fragment Crafting (31.5%), Lottery Machine #1 (0.66%), Wishing (2.9%), Expert Scrolls (7.6%)</t>
        </is>
      </c>
    </row>
    <row r="52">
      <c r="A52" s="434" t="inlineStr">
        <is>
          <t xml:space="preserve">      Augustus Medal</t>
        </is>
      </c>
      <c r="B52" s="425" t="inlineStr">
        <is>
          <t>AAA</t>
        </is>
      </c>
      <c r="C52" s="425" t="inlineStr">
        <is>
          <t>FAME</t>
        </is>
      </c>
      <c r="D52" s="425" t="n"/>
      <c r="E52" s="425" t="n"/>
      <c r="F52" s="425" t="n"/>
      <c r="G52" s="425" t="n"/>
      <c r="H52" s="425" t="n"/>
      <c r="I52" s="425" t="n"/>
      <c r="J52" s="425" t="n"/>
      <c r="K52" s="425" t="n"/>
      <c r="L52" s="425" t="n"/>
      <c r="M52" s="425" t="n"/>
      <c r="N52" s="418" t="inlineStr">
        <is>
          <t>Fragment Crafting (1.6%), Lottery Machine #1 (0.03%), Wishing (0.14%), Club Chest (1.5%), Relic Forge (80 Relic RF)</t>
        </is>
      </c>
    </row>
    <row r="53">
      <c r="A53" s="434" t="inlineStr">
        <is>
          <t xml:space="preserve">      Cornucopia</t>
        </is>
      </c>
      <c r="B53" s="425" t="inlineStr">
        <is>
          <t>AAA</t>
        </is>
      </c>
      <c r="C53" s="425" t="inlineStr">
        <is>
          <t>FTH</t>
        </is>
      </c>
      <c r="D53" s="425" t="n"/>
      <c r="E53" s="425" t="n"/>
      <c r="F53" s="425" t="n"/>
      <c r="G53" s="425" t="n"/>
      <c r="H53" s="425" t="n"/>
      <c r="I53" s="425" t="n"/>
      <c r="J53" s="425" t="n"/>
      <c r="K53" s="425" t="n"/>
      <c r="L53" s="425" t="n"/>
      <c r="M53" s="425" t="n"/>
      <c r="N53" s="418" t="inlineStr">
        <is>
          <t>Fragment Crafting (1.5%), Lottery Machine #1 (0.03%), Wishing (0.14%), Fungus Chest (1.5%), Relic Forge (80 Relic RF)</t>
        </is>
      </c>
    </row>
    <row r="54">
      <c r="A54" s="362" t="inlineStr">
        <is>
          <t>MAX RESONANCE</t>
        </is>
      </c>
      <c r="B54" s="411" t="n"/>
      <c r="C54" s="411" t="n"/>
      <c r="D54" s="364">
        <f>sum(D35:D53)</f>
        <v/>
      </c>
      <c r="E54" s="411" t="n"/>
      <c r="F54" s="364">
        <f>sum(F35:F53)</f>
        <v/>
      </c>
      <c r="G54" s="411" t="n"/>
      <c r="H54" s="364">
        <f>sum(H35:H53)</f>
        <v/>
      </c>
      <c r="I54" s="411" t="n"/>
      <c r="J54" s="364">
        <f>sum(J35:J53)</f>
        <v/>
      </c>
      <c r="K54" s="411" t="n"/>
      <c r="L54" s="364">
        <f>sum(L35:L53)</f>
        <v/>
      </c>
      <c r="M54" s="411" t="n"/>
      <c r="N54" s="426" t="n"/>
    </row>
    <row r="55">
      <c r="A55" s="425" t="n"/>
      <c r="B55" s="425" t="n"/>
      <c r="C55" s="425" t="n"/>
      <c r="D55" s="425" t="n"/>
      <c r="E55" s="425" t="n"/>
      <c r="F55" s="425" t="n"/>
      <c r="G55" s="425" t="n"/>
      <c r="H55" s="425" t="n"/>
      <c r="I55" s="425" t="n"/>
      <c r="J55" s="425" t="n"/>
      <c r="K55" s="425" t="n"/>
      <c r="L55" s="425" t="n"/>
      <c r="M55" s="425" t="n"/>
      <c r="N55" s="425" t="n"/>
    </row>
    <row r="56">
      <c r="A56" s="450" t="n"/>
      <c r="B56" s="114" t="inlineStr">
        <is>
          <t>Zombie</t>
        </is>
      </c>
      <c r="C56" s="114" t="inlineStr">
        <is>
          <t>Demon</t>
        </is>
      </c>
      <c r="D56" s="114" t="inlineStr">
        <is>
          <t>Angel</t>
        </is>
      </c>
      <c r="E56" s="114" t="inlineStr">
        <is>
          <t>Mutant</t>
        </is>
      </c>
      <c r="F56" s="114" t="inlineStr">
        <is>
          <t>Mecha</t>
        </is>
      </c>
      <c r="G56" s="425" t="n"/>
      <c r="H56" s="425" t="n"/>
      <c r="I56" s="425" t="n"/>
      <c r="J56" s="425" t="n"/>
      <c r="K56" s="425" t="n"/>
      <c r="L56" s="425" t="n"/>
      <c r="M56" s="425" t="n"/>
      <c r="N56" s="425" t="n"/>
    </row>
    <row r="57">
      <c r="A57" s="447" t="inlineStr">
        <is>
          <t>General Cell Gain</t>
        </is>
      </c>
      <c r="B57" s="115">
        <f>D14+D22+D31+D54</f>
        <v/>
      </c>
      <c r="C57" s="115">
        <f>F14+F22+F31+F54</f>
        <v/>
      </c>
      <c r="D57" s="115">
        <f>H14+H22+H31+H54</f>
        <v/>
      </c>
      <c r="E57" s="115">
        <f>J14+J22+J31+J54</f>
        <v/>
      </c>
      <c r="F57" s="115">
        <f>L14+L22+L31+L54</f>
        <v/>
      </c>
      <c r="G57" s="425" t="n"/>
      <c r="H57" s="425" t="n"/>
      <c r="I57" s="425" t="n"/>
      <c r="J57" s="425" t="n"/>
      <c r="K57" s="425" t="n"/>
      <c r="L57" s="425" t="n"/>
      <c r="M57" s="425" t="n"/>
      <c r="N57" s="425" t="n"/>
    </row>
    <row r="58">
      <c r="A58" s="425" t="n"/>
      <c r="B58" s="425" t="n"/>
      <c r="C58" s="425" t="n"/>
      <c r="D58" s="425" t="n"/>
      <c r="E58" s="425" t="n"/>
      <c r="F58" s="425" t="n"/>
      <c r="G58" s="425" t="n"/>
      <c r="H58" s="425" t="n"/>
      <c r="I58" s="425" t="n"/>
      <c r="J58" s="425" t="n"/>
      <c r="K58" s="425" t="n"/>
      <c r="L58" s="425" t="n"/>
      <c r="M58" s="425" t="n"/>
      <c r="N58" s="425" t="n"/>
    </row>
    <row r="59">
      <c r="A59" s="425" t="n"/>
      <c r="B59" s="425" t="n"/>
      <c r="C59" s="425" t="n"/>
      <c r="D59" s="425" t="n"/>
      <c r="E59" s="425" t="n"/>
      <c r="F59" s="425" t="n"/>
      <c r="G59" s="425" t="n"/>
      <c r="H59" s="425" t="n"/>
      <c r="I59" s="425" t="n"/>
      <c r="J59" s="425" t="n"/>
      <c r="K59" s="425" t="n"/>
      <c r="L59" s="425" t="n"/>
      <c r="M59" s="425" t="n"/>
      <c r="N59" s="425" t="n"/>
    </row>
    <row r="60">
      <c r="A60" s="344" t="inlineStr">
        <is>
          <t>FORM SPECIFIC BONUSES</t>
        </is>
      </c>
      <c r="B60" s="406" t="n"/>
      <c r="C60" s="406" t="n"/>
      <c r="D60" s="406" t="n"/>
      <c r="E60" s="406" t="n"/>
      <c r="F60" s="406" t="n"/>
      <c r="G60" s="406" t="n"/>
      <c r="H60" s="406" t="n"/>
      <c r="I60" s="406" t="n"/>
      <c r="J60" s="406" t="n"/>
      <c r="K60" s="406" t="n"/>
      <c r="L60" s="406" t="n"/>
      <c r="M60" s="406" t="n"/>
      <c r="N60" s="129" t="n"/>
    </row>
    <row r="61">
      <c r="A61" s="424" t="inlineStr">
        <is>
          <t>ZOMBIE</t>
        </is>
      </c>
      <c r="B61" s="406" t="n"/>
      <c r="C61" s="406" t="n"/>
      <c r="D61" s="406" t="n"/>
      <c r="E61" s="406" t="n"/>
      <c r="F61" s="406" t="n"/>
      <c r="G61" s="406" t="n"/>
      <c r="H61" s="406" t="n"/>
      <c r="I61" s="406" t="n"/>
      <c r="J61" s="406" t="n"/>
      <c r="K61" s="406" t="n"/>
      <c r="L61" s="406" t="n"/>
      <c r="M61" s="406" t="n"/>
      <c r="N61" s="129" t="n"/>
    </row>
    <row r="62">
      <c r="A62" s="434" t="inlineStr">
        <is>
          <t>INDIVIDUAL RELICS</t>
        </is>
      </c>
      <c r="B62" s="425" t="n"/>
      <c r="C62" s="425" t="n"/>
      <c r="D62" s="425" t="n"/>
      <c r="E62" s="425" t="n"/>
      <c r="F62" s="425" t="n"/>
      <c r="G62" s="425" t="n"/>
      <c r="H62" s="425" t="n"/>
      <c r="I62" s="425" t="n"/>
      <c r="J62" s="425" t="n"/>
      <c r="K62" s="425" t="n"/>
      <c r="L62" s="425" t="n"/>
      <c r="M62" s="425" t="n"/>
      <c r="N62" s="418" t="n"/>
    </row>
    <row r="63">
      <c r="A63" s="434" t="inlineStr">
        <is>
          <t xml:space="preserve">   Nobel's Will</t>
        </is>
      </c>
      <c r="B63" s="425" t="inlineStr">
        <is>
          <t>SSS</t>
        </is>
      </c>
      <c r="C63" s="425" t="inlineStr">
        <is>
          <t>FAME</t>
        </is>
      </c>
      <c r="D63" s="371" t="n">
        <v>12</v>
      </c>
      <c r="E63" s="425" t="n"/>
      <c r="F63" s="425" t="n"/>
      <c r="G63" s="425" t="n"/>
      <c r="H63" s="425" t="n"/>
      <c r="I63" s="425" t="n"/>
      <c r="J63" s="425" t="n"/>
      <c r="K63" s="425" t="n"/>
      <c r="L63" s="425" t="n"/>
      <c r="M63" s="425" t="n"/>
      <c r="N63" s="418" t="inlineStr">
        <is>
          <t>Lottery Machine #1 (0.09%), Wishing (0.08%), Grandmaster Scrolls (0.79%), Lottery Event 9/22/2023-9/28/2023</t>
        </is>
      </c>
    </row>
    <row r="64">
      <c r="A64" s="362" t="inlineStr">
        <is>
          <t>MAX INDIVIDUAL RELICS</t>
        </is>
      </c>
      <c r="B64" s="411" t="n"/>
      <c r="C64" s="411" t="n"/>
      <c r="D64" s="364">
        <f>sum(D62:E63)</f>
        <v/>
      </c>
      <c r="E64" s="411" t="n"/>
      <c r="F64" s="364">
        <f>sum(F62:G63)</f>
        <v/>
      </c>
      <c r="G64" s="411" t="n"/>
      <c r="H64" s="364">
        <f>sum(H62:I63)</f>
        <v/>
      </c>
      <c r="I64" s="411" t="n"/>
      <c r="J64" s="364">
        <f>sum(J62:K63)</f>
        <v/>
      </c>
      <c r="K64" s="411" t="n"/>
      <c r="L64" s="364">
        <f>sum(L62:M63)</f>
        <v/>
      </c>
      <c r="M64" s="411" t="n"/>
      <c r="N64" s="426" t="n"/>
    </row>
    <row r="65">
      <c r="A65" s="434" t="n"/>
      <c r="B65" s="425" t="n"/>
      <c r="C65" s="425" t="n"/>
      <c r="D65" s="425" t="n"/>
      <c r="E65" s="425" t="n"/>
      <c r="F65" s="425" t="n"/>
      <c r="G65" s="425" t="n"/>
      <c r="H65" s="425" t="n"/>
      <c r="I65" s="425" t="n"/>
      <c r="J65" s="425" t="n"/>
      <c r="K65" s="425" t="n"/>
      <c r="L65" s="425" t="n"/>
      <c r="M65" s="425" t="n"/>
      <c r="N65" s="418" t="n"/>
    </row>
    <row r="66">
      <c r="A66" s="344" t="inlineStr">
        <is>
          <t>ORGANS</t>
        </is>
      </c>
      <c r="B66" s="406" t="n"/>
      <c r="C66" s="406" t="n"/>
      <c r="D66" s="406" t="n"/>
      <c r="E66" s="406" t="n"/>
      <c r="F66" s="406" t="n"/>
      <c r="G66" s="406" t="n"/>
      <c r="H66" s="406" t="n"/>
      <c r="I66" s="406" t="n"/>
      <c r="J66" s="406" t="n"/>
      <c r="K66" s="406" t="n"/>
      <c r="L66" s="406" t="n"/>
      <c r="M66" s="406" t="n"/>
      <c r="N66" s="129" t="n"/>
    </row>
    <row r="67">
      <c r="A67" s="362" t="inlineStr">
        <is>
          <t xml:space="preserve">   Death Claw</t>
        </is>
      </c>
      <c r="B67" s="411" t="n"/>
      <c r="C67" s="411" t="n"/>
      <c r="D67" s="364" t="n">
        <v>6</v>
      </c>
      <c r="E67" s="411" t="n"/>
      <c r="F67" s="364" t="n">
        <v>6</v>
      </c>
      <c r="G67" s="411" t="n"/>
      <c r="H67" s="364" t="n">
        <v>6</v>
      </c>
      <c r="I67" s="411" t="n"/>
      <c r="J67" s="364" t="n">
        <v>6</v>
      </c>
      <c r="K67" s="411" t="n"/>
      <c r="L67" s="364" t="n">
        <v>6</v>
      </c>
      <c r="M67" s="411" t="n"/>
      <c r="N67" s="426" t="inlineStr">
        <is>
          <t>Organ Chest (3% chance), Koryeo INTEL Exchange "Flesh Modification II"(x4), Wishing Event Value Pack V</t>
        </is>
      </c>
    </row>
    <row r="68">
      <c r="A68" s="434" t="n"/>
      <c r="B68" s="425" t="n"/>
      <c r="C68" s="425" t="n"/>
      <c r="D68" s="425" t="n"/>
      <c r="E68" s="425" t="n"/>
      <c r="F68" s="425" t="n"/>
      <c r="G68" s="425" t="n"/>
      <c r="H68" s="425" t="n"/>
      <c r="I68" s="425" t="n"/>
      <c r="J68" s="425" t="n"/>
      <c r="K68" s="425" t="n"/>
      <c r="L68" s="425" t="n"/>
      <c r="M68" s="425" t="n"/>
      <c r="N68" s="418" t="n"/>
    </row>
    <row r="69">
      <c r="A69" s="434" t="n"/>
      <c r="B69" s="425" t="n"/>
      <c r="C69" s="425" t="n"/>
      <c r="D69" s="425" t="n"/>
      <c r="E69" s="425" t="n"/>
      <c r="F69" s="425" t="n"/>
      <c r="G69" s="425" t="n"/>
      <c r="H69" s="425" t="n"/>
      <c r="I69" s="425" t="n"/>
      <c r="J69" s="425" t="n"/>
      <c r="K69" s="425" t="n"/>
      <c r="L69" s="425" t="n"/>
      <c r="M69" s="425" t="n"/>
      <c r="N69" s="418" t="n"/>
    </row>
    <row r="70">
      <c r="A70" s="424" t="inlineStr">
        <is>
          <t>DEMON</t>
        </is>
      </c>
      <c r="B70" s="406" t="n"/>
      <c r="C70" s="406" t="n"/>
      <c r="D70" s="406" t="n"/>
      <c r="E70" s="406" t="n"/>
      <c r="F70" s="406" t="n"/>
      <c r="G70" s="406" t="n"/>
      <c r="H70" s="406" t="n"/>
      <c r="I70" s="406" t="n"/>
      <c r="J70" s="406" t="n"/>
      <c r="K70" s="406" t="n"/>
      <c r="L70" s="406" t="n"/>
      <c r="M70" s="406" t="n"/>
      <c r="N70" s="129" t="n"/>
    </row>
    <row r="71">
      <c r="A71" s="434" t="inlineStr">
        <is>
          <t>INDIVIDUAL RELICS</t>
        </is>
      </c>
      <c r="B71" s="425" t="n"/>
      <c r="C71" s="425" t="n"/>
      <c r="D71" s="425" t="n"/>
      <c r="E71" s="425" t="n"/>
      <c r="F71" s="425" t="n"/>
      <c r="G71" s="425" t="n"/>
      <c r="H71" s="425" t="n"/>
      <c r="I71" s="425" t="n"/>
      <c r="J71" s="425" t="n"/>
      <c r="K71" s="425" t="n"/>
      <c r="L71" s="425" t="n"/>
      <c r="M71" s="425" t="n"/>
      <c r="N71" s="418" t="n"/>
    </row>
    <row r="72">
      <c r="A72" s="434" t="inlineStr">
        <is>
          <t xml:space="preserve">   St. Louisa Goblet</t>
        </is>
      </c>
      <c r="B72" s="425" t="inlineStr">
        <is>
          <t>SSS</t>
        </is>
      </c>
      <c r="C72" s="425" t="inlineStr">
        <is>
          <t>ART</t>
        </is>
      </c>
      <c r="D72" s="425" t="n"/>
      <c r="E72" s="425" t="n"/>
      <c r="F72" s="371" t="n">
        <v>12</v>
      </c>
      <c r="G72" s="425" t="n"/>
      <c r="H72" s="425" t="n"/>
      <c r="I72" s="425" t="n"/>
      <c r="J72" s="425" t="n"/>
      <c r="K72" s="425" t="n"/>
      <c r="L72" s="425" t="n"/>
      <c r="M72" s="425" t="n"/>
      <c r="N72" s="418" t="inlineStr">
        <is>
          <t>Weekly Special Reward Relic #2</t>
        </is>
      </c>
    </row>
    <row r="73">
      <c r="A73" s="362" t="inlineStr">
        <is>
          <t>MAX INDIVIDUAL RELICS</t>
        </is>
      </c>
      <c r="B73" s="411" t="n"/>
      <c r="C73" s="411" t="n"/>
      <c r="D73" s="364">
        <f>sum(D71:E72)</f>
        <v/>
      </c>
      <c r="E73" s="411" t="n"/>
      <c r="F73" s="364">
        <f>sum(F71:G72)</f>
        <v/>
      </c>
      <c r="G73" s="411" t="n"/>
      <c r="H73" s="364">
        <f>sum(H71:I72)</f>
        <v/>
      </c>
      <c r="I73" s="411" t="n"/>
      <c r="J73" s="364">
        <f>sum(J71:K72)</f>
        <v/>
      </c>
      <c r="K73" s="411" t="n"/>
      <c r="L73" s="364">
        <f>sum(L71:M72)</f>
        <v/>
      </c>
      <c r="M73" s="411" t="n"/>
      <c r="N73" s="426" t="n"/>
    </row>
    <row r="74">
      <c r="A74" s="434" t="n"/>
      <c r="B74" s="425" t="n"/>
      <c r="C74" s="425" t="n"/>
      <c r="D74" s="425" t="n"/>
      <c r="E74" s="425" t="n"/>
      <c r="F74" s="425" t="n"/>
      <c r="G74" s="425" t="n"/>
      <c r="H74" s="425" t="n"/>
      <c r="I74" s="425" t="n"/>
      <c r="J74" s="425" t="n"/>
      <c r="K74" s="425" t="n"/>
      <c r="L74" s="425" t="n"/>
      <c r="M74" s="425" t="n"/>
      <c r="N74" s="418" t="n"/>
    </row>
    <row r="75">
      <c r="A75" s="344" t="inlineStr">
        <is>
          <t>ORGANS</t>
        </is>
      </c>
      <c r="B75" s="406" t="n"/>
      <c r="C75" s="406" t="n"/>
      <c r="D75" s="406" t="n"/>
      <c r="E75" s="406" t="n"/>
      <c r="F75" s="406" t="n"/>
      <c r="G75" s="406" t="n"/>
      <c r="H75" s="406" t="n"/>
      <c r="I75" s="406" t="n"/>
      <c r="J75" s="406" t="n"/>
      <c r="K75" s="406" t="n"/>
      <c r="L75" s="406" t="n"/>
      <c r="M75" s="406" t="n"/>
      <c r="N75" s="129" t="n"/>
    </row>
    <row r="76">
      <c r="A76" s="362" t="inlineStr">
        <is>
          <t xml:space="preserve">   Demon Skull</t>
        </is>
      </c>
      <c r="B76" s="411" t="n"/>
      <c r="C76" s="411" t="n"/>
      <c r="D76" s="364" t="n">
        <v>6</v>
      </c>
      <c r="E76" s="411" t="n"/>
      <c r="F76" s="364" t="n">
        <v>6</v>
      </c>
      <c r="G76" s="411" t="n"/>
      <c r="H76" s="364" t="n">
        <v>6</v>
      </c>
      <c r="I76" s="411" t="n"/>
      <c r="J76" s="364" t="n">
        <v>6</v>
      </c>
      <c r="K76" s="411" t="n"/>
      <c r="L76" s="364" t="n">
        <v>6</v>
      </c>
      <c r="M76" s="411" t="n"/>
      <c r="N76" s="426" t="inlineStr">
        <is>
          <t>Organ Chest (3%), Organ Value Pack II ($49.99), Grand Pack Day 2 Reward ($15.00 total anywhere in-game)</t>
        </is>
      </c>
    </row>
    <row r="77">
      <c r="A77" s="434" t="n"/>
      <c r="B77" s="425" t="n"/>
      <c r="C77" s="425" t="n"/>
      <c r="D77" s="425" t="n"/>
      <c r="E77" s="425" t="n"/>
      <c r="F77" s="425" t="n"/>
      <c r="G77" s="425" t="n"/>
      <c r="H77" s="425" t="n"/>
      <c r="I77" s="425" t="n"/>
      <c r="J77" s="425" t="n"/>
      <c r="K77" s="425" t="n"/>
      <c r="L77" s="425" t="n"/>
      <c r="M77" s="425" t="n"/>
      <c r="N77" s="418" t="n"/>
    </row>
    <row r="78">
      <c r="A78" s="434" t="n"/>
      <c r="B78" s="425" t="n"/>
      <c r="C78" s="425" t="n"/>
      <c r="D78" s="425" t="n"/>
      <c r="E78" s="425" t="n"/>
      <c r="F78" s="425" t="n"/>
      <c r="G78" s="425" t="n"/>
      <c r="H78" s="425" t="n"/>
      <c r="I78" s="425" t="n"/>
      <c r="J78" s="425" t="n"/>
      <c r="K78" s="425" t="n"/>
      <c r="L78" s="425" t="n"/>
      <c r="M78" s="425" t="n"/>
      <c r="N78" s="418" t="n"/>
    </row>
    <row r="79">
      <c r="A79" s="424" t="inlineStr">
        <is>
          <t>ANGEL</t>
        </is>
      </c>
      <c r="B79" s="406" t="n"/>
      <c r="C79" s="406" t="n"/>
      <c r="D79" s="406" t="n"/>
      <c r="E79" s="406" t="n"/>
      <c r="F79" s="406" t="n"/>
      <c r="G79" s="406" t="n"/>
      <c r="H79" s="406" t="n"/>
      <c r="I79" s="406" t="n"/>
      <c r="J79" s="406" t="n"/>
      <c r="K79" s="406" t="n"/>
      <c r="L79" s="406" t="n"/>
      <c r="M79" s="406" t="n"/>
      <c r="N79" s="129" t="n"/>
    </row>
    <row r="80">
      <c r="A80" s="434" t="inlineStr">
        <is>
          <t>INDIVIDUAL RELICS</t>
        </is>
      </c>
      <c r="B80" s="425" t="n"/>
      <c r="C80" s="425" t="n"/>
      <c r="D80" s="425" t="n"/>
      <c r="E80" s="425" t="n"/>
      <c r="F80" s="425" t="n"/>
      <c r="G80" s="425" t="n"/>
      <c r="H80" s="425" t="n"/>
      <c r="I80" s="425" t="n"/>
      <c r="J80" s="425" t="n"/>
      <c r="K80" s="425" t="n"/>
      <c r="L80" s="425" t="n"/>
      <c r="M80" s="425" t="n"/>
      <c r="N80" s="418" t="n"/>
    </row>
    <row r="81">
      <c r="A81" s="434" t="inlineStr">
        <is>
          <t xml:space="preserve">   Creation of Adam</t>
        </is>
      </c>
      <c r="B81" s="425" t="inlineStr">
        <is>
          <t>SSS</t>
        </is>
      </c>
      <c r="C81" s="425" t="inlineStr">
        <is>
          <t>CIV</t>
        </is>
      </c>
      <c r="D81" s="425" t="n"/>
      <c r="E81" s="425" t="n"/>
      <c r="F81" s="425" t="n"/>
      <c r="G81" s="425" t="n"/>
      <c r="H81" s="371" t="n">
        <v>12</v>
      </c>
      <c r="I81" s="425" t="n"/>
      <c r="J81" s="425" t="n"/>
      <c r="K81" s="425" t="n"/>
      <c r="L81" s="425" t="n"/>
      <c r="M81" s="425" t="n"/>
      <c r="N81" s="418" t="inlineStr">
        <is>
          <t>Lottery Machine (0.09%), Wishing (0.08%), Grandmaster Scrolls (0.79%)</t>
        </is>
      </c>
    </row>
    <row r="82">
      <c r="A82" s="362" t="inlineStr">
        <is>
          <t>MAX INDIVIDUAL RELICS</t>
        </is>
      </c>
      <c r="B82" s="411" t="n"/>
      <c r="C82" s="411" t="n"/>
      <c r="D82" s="364">
        <f>sum(D80:E81)</f>
        <v/>
      </c>
      <c r="E82" s="411" t="n"/>
      <c r="F82" s="364">
        <f>sum(F80:G81)</f>
        <v/>
      </c>
      <c r="G82" s="411" t="n"/>
      <c r="H82" s="364">
        <f>sum(H80:I81)</f>
        <v/>
      </c>
      <c r="I82" s="411" t="n"/>
      <c r="J82" s="364">
        <f>sum(J80:K81)</f>
        <v/>
      </c>
      <c r="K82" s="411" t="n"/>
      <c r="L82" s="364">
        <f>sum(L80:M81)</f>
        <v/>
      </c>
      <c r="M82" s="411" t="n"/>
      <c r="N82" s="426" t="n"/>
    </row>
    <row r="83">
      <c r="A83" s="434" t="n"/>
      <c r="B83" s="425" t="n"/>
      <c r="C83" s="425" t="n"/>
      <c r="D83" s="425" t="n"/>
      <c r="E83" s="425" t="n"/>
      <c r="F83" s="425" t="n"/>
      <c r="G83" s="425" t="n"/>
      <c r="H83" s="425" t="n"/>
      <c r="I83" s="425" t="n"/>
      <c r="J83" s="425" t="n"/>
      <c r="K83" s="425" t="n"/>
      <c r="L83" s="425" t="n"/>
      <c r="M83" s="425" t="n"/>
      <c r="N83" s="418" t="n"/>
    </row>
    <row r="84">
      <c r="A84" s="344" t="inlineStr">
        <is>
          <t>ORGANS</t>
        </is>
      </c>
      <c r="B84" s="406" t="n"/>
      <c r="C84" s="406" t="n"/>
      <c r="D84" s="406" t="n"/>
      <c r="E84" s="406" t="n"/>
      <c r="F84" s="406" t="n"/>
      <c r="G84" s="406" t="n"/>
      <c r="H84" s="406" t="n"/>
      <c r="I84" s="406" t="n"/>
      <c r="J84" s="406" t="n"/>
      <c r="K84" s="406" t="n"/>
      <c r="L84" s="406" t="n"/>
      <c r="M84" s="406" t="n"/>
      <c r="N84" s="129" t="n"/>
    </row>
    <row r="85">
      <c r="A85" s="362" t="inlineStr">
        <is>
          <t xml:space="preserve">   Strength Crystal</t>
        </is>
      </c>
      <c r="B85" s="411" t="n"/>
      <c r="C85" s="411" t="n"/>
      <c r="D85" s="364" t="n">
        <v>6</v>
      </c>
      <c r="E85" s="411" t="n"/>
      <c r="F85" s="364" t="n">
        <v>6</v>
      </c>
      <c r="G85" s="411" t="n"/>
      <c r="H85" s="364" t="n">
        <v>6</v>
      </c>
      <c r="I85" s="411" t="n"/>
      <c r="J85" s="364" t="n">
        <v>6</v>
      </c>
      <c r="K85" s="411" t="n"/>
      <c r="L85" s="364" t="n">
        <v>6</v>
      </c>
      <c r="M85" s="411" t="n"/>
      <c r="N85" s="426" t="inlineStr">
        <is>
          <t>Organ Chest (3% chance)</t>
        </is>
      </c>
    </row>
    <row r="86">
      <c r="A86" s="357" t="n"/>
      <c r="B86" s="425" t="n"/>
      <c r="C86" s="425" t="n"/>
      <c r="D86" s="425" t="n"/>
      <c r="E86" s="425" t="n"/>
      <c r="F86" s="425" t="n"/>
      <c r="G86" s="425" t="n"/>
      <c r="H86" s="425" t="n"/>
      <c r="I86" s="425" t="n"/>
      <c r="J86" s="425" t="n"/>
      <c r="K86" s="425" t="n"/>
      <c r="L86" s="425" t="n"/>
      <c r="M86" s="425" t="n"/>
      <c r="N86" s="418" t="n"/>
    </row>
    <row r="87">
      <c r="A87" s="434" t="n"/>
      <c r="B87" s="425" t="n"/>
      <c r="C87" s="425" t="n"/>
      <c r="D87" s="425" t="n"/>
      <c r="E87" s="425" t="n"/>
      <c r="F87" s="425" t="n"/>
      <c r="G87" s="425" t="n"/>
      <c r="H87" s="425" t="n"/>
      <c r="I87" s="425" t="n"/>
      <c r="J87" s="425" t="n"/>
      <c r="K87" s="425" t="n"/>
      <c r="L87" s="425" t="n"/>
      <c r="M87" s="425" t="n"/>
      <c r="N87" s="418" t="n"/>
    </row>
    <row r="88">
      <c r="A88" s="424" t="inlineStr">
        <is>
          <t>MUTANT</t>
        </is>
      </c>
      <c r="B88" s="406" t="n"/>
      <c r="C88" s="406" t="n"/>
      <c r="D88" s="406" t="n"/>
      <c r="E88" s="406" t="n"/>
      <c r="F88" s="406" t="n"/>
      <c r="G88" s="406" t="n"/>
      <c r="H88" s="406" t="n"/>
      <c r="I88" s="406" t="n"/>
      <c r="J88" s="406" t="n"/>
      <c r="K88" s="406" t="n"/>
      <c r="L88" s="406" t="n"/>
      <c r="M88" s="406" t="n"/>
      <c r="N88" s="129" t="n"/>
    </row>
    <row r="89">
      <c r="A89" s="434" t="inlineStr">
        <is>
          <t>INDIVIDUAL RELICS</t>
        </is>
      </c>
      <c r="B89" s="425" t="n"/>
      <c r="C89" s="425" t="n"/>
      <c r="D89" s="425" t="n"/>
      <c r="E89" s="425" t="n"/>
      <c r="F89" s="425" t="n"/>
      <c r="G89" s="425" t="n"/>
      <c r="H89" s="425" t="n"/>
      <c r="I89" s="425" t="n"/>
      <c r="J89" s="425" t="n"/>
      <c r="K89" s="425" t="n"/>
      <c r="L89" s="425" t="n"/>
      <c r="M89" s="425" t="n"/>
      <c r="N89" s="418" t="n"/>
    </row>
    <row r="90">
      <c r="A90" s="434" t="inlineStr">
        <is>
          <t xml:space="preserve">   Einstein's Brain</t>
        </is>
      </c>
      <c r="B90" s="425" t="inlineStr">
        <is>
          <t>SSS</t>
        </is>
      </c>
      <c r="C90" s="425" t="inlineStr">
        <is>
          <t>FAME</t>
        </is>
      </c>
      <c r="D90" s="425" t="n"/>
      <c r="E90" s="425" t="n"/>
      <c r="F90" s="425" t="n"/>
      <c r="G90" s="425" t="n"/>
      <c r="H90" s="425" t="n"/>
      <c r="I90" s="425" t="n"/>
      <c r="J90" s="371" t="n">
        <v>12</v>
      </c>
      <c r="K90" s="425" t="n"/>
      <c r="L90" s="425" t="n"/>
      <c r="M90" s="425" t="n"/>
      <c r="N90" s="116" t="inlineStr">
        <is>
          <t>Lottery Machine (0.09%), Wishing (0.08%), Grandmaster Scrolls (0.79%)</t>
        </is>
      </c>
    </row>
    <row r="91">
      <c r="A91" s="362" t="inlineStr">
        <is>
          <t>MAX INDIVIDUAL RELICS</t>
        </is>
      </c>
      <c r="B91" s="411" t="n"/>
      <c r="C91" s="411" t="n"/>
      <c r="D91" s="364">
        <f>sum(D89:E90)</f>
        <v/>
      </c>
      <c r="E91" s="411" t="n"/>
      <c r="F91" s="364">
        <f>sum(F89:G90)</f>
        <v/>
      </c>
      <c r="G91" s="411" t="n"/>
      <c r="H91" s="364">
        <f>sum(H89:I90)</f>
        <v/>
      </c>
      <c r="I91" s="411" t="n"/>
      <c r="J91" s="364">
        <f>sum(J89:K90)</f>
        <v/>
      </c>
      <c r="K91" s="411" t="n"/>
      <c r="L91" s="364">
        <f>sum(L89:M90)</f>
        <v/>
      </c>
      <c r="M91" s="411" t="n"/>
      <c r="N91" s="426" t="n"/>
    </row>
    <row r="92">
      <c r="A92" s="434" t="n"/>
      <c r="B92" s="425" t="n"/>
      <c r="C92" s="425" t="n"/>
      <c r="D92" s="425" t="n"/>
      <c r="E92" s="425" t="n"/>
      <c r="F92" s="425" t="n"/>
      <c r="G92" s="425" t="n"/>
      <c r="H92" s="425" t="n"/>
      <c r="I92" s="425" t="n"/>
      <c r="J92" s="425" t="n"/>
      <c r="K92" s="425" t="n"/>
      <c r="L92" s="425" t="n"/>
      <c r="M92" s="425" t="n"/>
      <c r="N92" s="418" t="n"/>
    </row>
    <row r="93">
      <c r="A93" s="344" t="inlineStr">
        <is>
          <t>ORGANS</t>
        </is>
      </c>
      <c r="B93" s="406" t="n"/>
      <c r="C93" s="406" t="n"/>
      <c r="D93" s="406" t="n"/>
      <c r="E93" s="406" t="n"/>
      <c r="F93" s="406" t="n"/>
      <c r="G93" s="406" t="n"/>
      <c r="H93" s="406" t="n"/>
      <c r="I93" s="406" t="n"/>
      <c r="J93" s="406" t="n"/>
      <c r="K93" s="406" t="n"/>
      <c r="L93" s="406" t="n"/>
      <c r="M93" s="406" t="n"/>
      <c r="N93" s="129" t="n"/>
    </row>
    <row r="94">
      <c r="A94" s="362" t="inlineStr">
        <is>
          <t xml:space="preserve">   Death Claw</t>
        </is>
      </c>
      <c r="B94" s="411" t="n"/>
      <c r="C94" s="411" t="n"/>
      <c r="D94" s="364" t="n">
        <v>6</v>
      </c>
      <c r="E94" s="411" t="n"/>
      <c r="F94" s="364" t="n">
        <v>6</v>
      </c>
      <c r="G94" s="411" t="n"/>
      <c r="H94" s="364" t="n">
        <v>6</v>
      </c>
      <c r="I94" s="411" t="n"/>
      <c r="J94" s="364" t="n">
        <v>6</v>
      </c>
      <c r="K94" s="411" t="n"/>
      <c r="L94" s="364" t="n">
        <v>6</v>
      </c>
      <c r="M94" s="411" t="n"/>
      <c r="N94" s="426" t="inlineStr">
        <is>
          <t>Organ Chest (3% chance), Koryeo INTEL Exchange "Flesh Modification II"(x4), Wishing Event Value Pack V</t>
        </is>
      </c>
    </row>
    <row r="95">
      <c r="A95" s="434" t="n"/>
      <c r="B95" s="425" t="n"/>
      <c r="C95" s="425" t="n"/>
      <c r="D95" s="425" t="n"/>
      <c r="E95" s="425" t="n"/>
      <c r="F95" s="425" t="n"/>
      <c r="G95" s="425" t="n"/>
      <c r="H95" s="425" t="n"/>
      <c r="I95" s="425" t="n"/>
      <c r="J95" s="425" t="n"/>
      <c r="K95" s="425" t="n"/>
      <c r="L95" s="425" t="n"/>
      <c r="M95" s="425" t="n"/>
      <c r="N95" s="418" t="n"/>
    </row>
    <row r="96">
      <c r="A96" s="434" t="n"/>
      <c r="B96" s="425" t="n"/>
      <c r="C96" s="425" t="n"/>
      <c r="D96" s="425" t="n"/>
      <c r="E96" s="425" t="n"/>
      <c r="F96" s="425" t="n"/>
      <c r="G96" s="425" t="n"/>
      <c r="H96" s="425" t="n"/>
      <c r="I96" s="425" t="n"/>
      <c r="J96" s="425" t="n"/>
      <c r="K96" s="425" t="n"/>
      <c r="L96" s="425" t="n"/>
      <c r="M96" s="425" t="n"/>
      <c r="N96" s="418" t="n"/>
    </row>
    <row r="97">
      <c r="A97" s="424" t="inlineStr">
        <is>
          <t>MECHA</t>
        </is>
      </c>
      <c r="B97" s="406" t="n"/>
      <c r="C97" s="406" t="n"/>
      <c r="D97" s="406" t="n"/>
      <c r="E97" s="406" t="n"/>
      <c r="F97" s="406" t="n"/>
      <c r="G97" s="406" t="n"/>
      <c r="H97" s="406" t="n"/>
      <c r="I97" s="406" t="n"/>
      <c r="J97" s="406" t="n"/>
      <c r="K97" s="406" t="n"/>
      <c r="L97" s="406" t="n"/>
      <c r="M97" s="406" t="n"/>
      <c r="N97" s="129" t="n"/>
    </row>
    <row r="98">
      <c r="A98" s="434" t="inlineStr">
        <is>
          <t>INDIVIDUAL RELICS</t>
        </is>
      </c>
      <c r="B98" s="425" t="n"/>
      <c r="C98" s="425" t="n"/>
      <c r="D98" s="425" t="n"/>
      <c r="E98" s="425" t="n"/>
      <c r="F98" s="425" t="n"/>
      <c r="G98" s="425" t="n"/>
      <c r="H98" s="425" t="n"/>
      <c r="I98" s="425" t="n"/>
      <c r="J98" s="425" t="n"/>
      <c r="K98" s="425" t="n"/>
      <c r="L98" s="425" t="n"/>
      <c r="M98" s="425" t="n"/>
      <c r="N98" s="418" t="n"/>
    </row>
    <row r="99">
      <c r="A99" s="434" t="inlineStr">
        <is>
          <t xml:space="preserve">   Kepler Telescope</t>
        </is>
      </c>
      <c r="B99" s="425" t="inlineStr">
        <is>
          <t>SSS</t>
        </is>
      </c>
      <c r="C99" s="425" t="inlineStr">
        <is>
          <t>TECH</t>
        </is>
      </c>
      <c r="D99" s="425" t="n"/>
      <c r="E99" s="425" t="n"/>
      <c r="F99" s="425" t="n"/>
      <c r="G99" s="425" t="n"/>
      <c r="H99" s="425" t="n"/>
      <c r="I99" s="425" t="n"/>
      <c r="J99" s="425" t="n"/>
      <c r="K99" s="425" t="n"/>
      <c r="L99" s="371" t="n">
        <v>12</v>
      </c>
      <c r="M99" s="425" t="n"/>
      <c r="N99" s="418" t="inlineStr">
        <is>
          <t>Ultimate Special Reward Relic #1</t>
        </is>
      </c>
    </row>
    <row r="100">
      <c r="A100" s="362" t="inlineStr">
        <is>
          <t>MAX INDIVIDUAL RELICS</t>
        </is>
      </c>
      <c r="B100" s="411" t="n"/>
      <c r="C100" s="411" t="n"/>
      <c r="D100" s="364">
        <f>sum(D98:E99)</f>
        <v/>
      </c>
      <c r="E100" s="411" t="n"/>
      <c r="F100" s="364">
        <f>sum(F98:G99)</f>
        <v/>
      </c>
      <c r="G100" s="411" t="n"/>
      <c r="H100" s="364">
        <f>sum(H98:I99)</f>
        <v/>
      </c>
      <c r="I100" s="411" t="n"/>
      <c r="J100" s="364">
        <f>sum(J98:K99)</f>
        <v/>
      </c>
      <c r="K100" s="411" t="n"/>
      <c r="L100" s="364">
        <f>sum(L98:M99)</f>
        <v/>
      </c>
      <c r="M100" s="411" t="n"/>
      <c r="N100" s="426" t="n"/>
    </row>
    <row r="101">
      <c r="A101" s="434" t="n"/>
      <c r="B101" s="425" t="n"/>
      <c r="C101" s="425" t="n"/>
      <c r="D101" s="425" t="n"/>
      <c r="E101" s="425" t="n"/>
      <c r="F101" s="425" t="n"/>
      <c r="G101" s="425" t="n"/>
      <c r="H101" s="425" t="n"/>
      <c r="I101" s="425" t="n"/>
      <c r="J101" s="425" t="n"/>
      <c r="K101" s="425" t="n"/>
      <c r="L101" s="425" t="n"/>
      <c r="M101" s="425" t="n"/>
      <c r="N101" s="418" t="n"/>
    </row>
    <row r="102">
      <c r="A102" s="344" t="inlineStr">
        <is>
          <t>ORGANS</t>
        </is>
      </c>
      <c r="B102" s="406" t="n"/>
      <c r="C102" s="406" t="n"/>
      <c r="D102" s="406" t="n"/>
      <c r="E102" s="406" t="n"/>
      <c r="F102" s="406" t="n"/>
      <c r="G102" s="406" t="n"/>
      <c r="H102" s="406" t="n"/>
      <c r="I102" s="406" t="n"/>
      <c r="J102" s="406" t="n"/>
      <c r="K102" s="406" t="n"/>
      <c r="L102" s="406" t="n"/>
      <c r="M102" s="406" t="n"/>
      <c r="N102" s="129" t="n"/>
    </row>
    <row r="103">
      <c r="A103" s="362" t="inlineStr">
        <is>
          <t xml:space="preserve">   Strength Crystal</t>
        </is>
      </c>
      <c r="B103" s="411" t="n"/>
      <c r="C103" s="411" t="n"/>
      <c r="D103" s="364" t="n">
        <v>6</v>
      </c>
      <c r="E103" s="411" t="n"/>
      <c r="F103" s="364" t="n">
        <v>6</v>
      </c>
      <c r="G103" s="411" t="n"/>
      <c r="H103" s="364" t="n">
        <v>6</v>
      </c>
      <c r="I103" s="411" t="n"/>
      <c r="J103" s="364" t="n">
        <v>6</v>
      </c>
      <c r="K103" s="411" t="n"/>
      <c r="L103" s="364" t="n">
        <v>6</v>
      </c>
      <c r="M103" s="411" t="n"/>
      <c r="N103" s="426" t="inlineStr">
        <is>
          <t>Organ Chest (3% chance)</t>
        </is>
      </c>
    </row>
    <row r="104">
      <c r="A104" s="434" t="n"/>
      <c r="B104" s="425" t="n"/>
      <c r="C104" s="425" t="n"/>
      <c r="D104" s="425" t="n"/>
      <c r="E104" s="425" t="n"/>
      <c r="F104" s="425" t="n"/>
      <c r="G104" s="425" t="n"/>
      <c r="H104" s="425" t="n"/>
      <c r="I104" s="425" t="n"/>
      <c r="J104" s="425" t="n"/>
      <c r="K104" s="425" t="n"/>
      <c r="L104" s="425" t="n"/>
      <c r="M104" s="425" t="n"/>
      <c r="N104" s="418" t="n"/>
    </row>
    <row r="105">
      <c r="A105" s="434" t="n"/>
      <c r="B105" s="425" t="n"/>
      <c r="C105" s="425" t="n"/>
      <c r="D105" s="425" t="n"/>
      <c r="E105" s="425" t="n"/>
      <c r="F105" s="425" t="n"/>
      <c r="G105" s="425" t="n"/>
      <c r="H105" s="425" t="n"/>
      <c r="I105" s="425" t="n"/>
      <c r="J105" s="425" t="n"/>
      <c r="K105" s="425" t="n"/>
      <c r="L105" s="425" t="n"/>
      <c r="M105" s="425" t="n"/>
      <c r="N105" s="418" t="n"/>
    </row>
    <row r="106">
      <c r="A106" s="424" t="inlineStr">
        <is>
          <t>DRAGON</t>
        </is>
      </c>
      <c r="B106" s="406" t="n"/>
      <c r="C106" s="406" t="n"/>
      <c r="D106" s="406" t="n"/>
      <c r="E106" s="406" t="n"/>
      <c r="F106" s="406" t="n"/>
      <c r="G106" s="406" t="n"/>
      <c r="H106" s="406" t="n"/>
      <c r="I106" s="406" t="n"/>
      <c r="J106" s="406" t="n"/>
      <c r="K106" s="406" t="n"/>
      <c r="L106" s="406" t="n"/>
      <c r="M106" s="406" t="n"/>
      <c r="N106" s="129" t="n"/>
    </row>
    <row r="107">
      <c r="A107" s="434" t="inlineStr">
        <is>
          <t>ORGANS</t>
        </is>
      </c>
      <c r="B107" s="425" t="n"/>
      <c r="C107" s="425" t="n"/>
      <c r="D107" s="425" t="n"/>
      <c r="E107" s="425" t="n"/>
      <c r="F107" s="425" t="n"/>
      <c r="G107" s="425" t="n"/>
      <c r="H107" s="425" t="n"/>
      <c r="I107" s="425" t="n"/>
      <c r="J107" s="425" t="n"/>
      <c r="K107" s="425" t="n"/>
      <c r="L107" s="425" t="n"/>
      <c r="M107" s="425" t="n"/>
      <c r="N107" s="418" t="n"/>
    </row>
    <row r="108">
      <c r="A108" s="362" t="inlineStr">
        <is>
          <t xml:space="preserve">   Demon Skull</t>
        </is>
      </c>
      <c r="B108" s="411" t="n"/>
      <c r="C108" s="411" t="n"/>
      <c r="D108" s="364" t="n">
        <v>6</v>
      </c>
      <c r="E108" s="411" t="n"/>
      <c r="F108" s="364" t="n">
        <v>6</v>
      </c>
      <c r="G108" s="411" t="n"/>
      <c r="H108" s="364" t="n">
        <v>6</v>
      </c>
      <c r="I108" s="411" t="n"/>
      <c r="J108" s="364" t="n">
        <v>6</v>
      </c>
      <c r="K108" s="411" t="n"/>
      <c r="L108" s="364" t="n">
        <v>6</v>
      </c>
      <c r="M108" s="411" t="n"/>
      <c r="N108" s="426" t="inlineStr">
        <is>
          <t>Organ Chest (3%), Organ Value Pack II ($49.99), Grand Pack Day 2 Reward ($15.00 total anywhere in-game)</t>
        </is>
      </c>
    </row>
    <row r="109">
      <c r="A109" s="121" t="n"/>
      <c r="B109" s="425" t="n"/>
      <c r="C109" s="425" t="n"/>
      <c r="D109" s="425" t="n"/>
      <c r="E109" s="425" t="n"/>
      <c r="F109" s="425" t="n"/>
      <c r="G109" s="425" t="n"/>
      <c r="H109" s="425" t="n"/>
      <c r="I109" s="425" t="n"/>
      <c r="J109" s="425" t="n"/>
      <c r="K109" s="425" t="n"/>
      <c r="L109" s="425" t="n"/>
      <c r="M109" s="425" t="n"/>
      <c r="N109" s="425" t="n"/>
    </row>
    <row r="110">
      <c r="A110" s="425" t="n"/>
      <c r="B110" s="425" t="n"/>
      <c r="C110" s="425" t="n"/>
      <c r="D110" s="425" t="n"/>
      <c r="E110" s="425" t="n"/>
      <c r="F110" s="425" t="n"/>
      <c r="G110" s="425" t="n"/>
      <c r="H110" s="425" t="n"/>
      <c r="I110" s="425" t="n"/>
      <c r="J110" s="425" t="n"/>
      <c r="K110" s="425" t="n"/>
      <c r="L110" s="425" t="n"/>
      <c r="M110" s="425" t="n"/>
      <c r="N110" s="425" t="n"/>
    </row>
    <row r="111">
      <c r="A111" s="450" t="n"/>
      <c r="B111" s="114" t="inlineStr">
        <is>
          <t>Zombie</t>
        </is>
      </c>
      <c r="C111" s="114" t="inlineStr">
        <is>
          <t>Demon</t>
        </is>
      </c>
      <c r="D111" s="114" t="inlineStr">
        <is>
          <t>Angel</t>
        </is>
      </c>
      <c r="E111" s="114" t="inlineStr">
        <is>
          <t>Mutant</t>
        </is>
      </c>
      <c r="F111" s="114" t="inlineStr">
        <is>
          <t>Mecha</t>
        </is>
      </c>
      <c r="G111" s="122" t="n"/>
      <c r="H111" s="425" t="n"/>
      <c r="I111" s="425" t="n"/>
      <c r="J111" s="425" t="n"/>
      <c r="K111" s="425" t="n"/>
      <c r="L111" s="425" t="n"/>
      <c r="M111" s="425" t="n"/>
      <c r="N111" s="425" t="n"/>
    </row>
    <row r="112">
      <c r="A112" s="447" t="inlineStr">
        <is>
          <t>Cells Collected (Zombie Form)</t>
        </is>
      </c>
      <c r="B112" s="115">
        <f>$B$57+D64+D67</f>
        <v/>
      </c>
      <c r="C112" s="115">
        <f>$C$57+F64+F67</f>
        <v/>
      </c>
      <c r="D112" s="115">
        <f>$D$57+H64+H67</f>
        <v/>
      </c>
      <c r="E112" s="115">
        <f>$D$57+J64+J67</f>
        <v/>
      </c>
      <c r="F112" s="115">
        <f>$D$57+L64+L67</f>
        <v/>
      </c>
      <c r="G112" s="425" t="n"/>
      <c r="H112" s="425" t="n"/>
      <c r="I112" s="425" t="n"/>
      <c r="J112" s="425" t="n"/>
      <c r="K112" s="425" t="n"/>
      <c r="L112" s="425" t="n"/>
      <c r="M112" s="425" t="n"/>
      <c r="N112" s="425" t="n"/>
    </row>
    <row r="113">
      <c r="A113" s="447" t="inlineStr">
        <is>
          <t>Cells Collected (Demon Form)</t>
        </is>
      </c>
      <c r="B113" s="115">
        <f>$B$57+D73+D76</f>
        <v/>
      </c>
      <c r="C113" s="115">
        <f>$C$57+F73+F76</f>
        <v/>
      </c>
      <c r="D113" s="115">
        <f>$D$57+H73+H76</f>
        <v/>
      </c>
      <c r="E113" s="115">
        <f>$D$57+J73+J76</f>
        <v/>
      </c>
      <c r="F113" s="115">
        <f>$D$57+L73+L76</f>
        <v/>
      </c>
      <c r="G113" s="425" t="n"/>
      <c r="H113" s="425" t="n"/>
      <c r="I113" s="425" t="n"/>
      <c r="J113" s="425" t="n"/>
      <c r="K113" s="425" t="n"/>
      <c r="L113" s="425" t="n"/>
      <c r="M113" s="425" t="n"/>
      <c r="N113" s="425" t="n"/>
    </row>
    <row r="114">
      <c r="A114" s="447" t="inlineStr">
        <is>
          <t>Cells Collected (Angel Form)</t>
        </is>
      </c>
      <c r="B114" s="115">
        <f>$B$57+D82+D85</f>
        <v/>
      </c>
      <c r="C114" s="115">
        <f>$C$57+F82+F85</f>
        <v/>
      </c>
      <c r="D114" s="115">
        <f>$D$57+H82+H85</f>
        <v/>
      </c>
      <c r="E114" s="115">
        <f>$D$57+J82+J85</f>
        <v/>
      </c>
      <c r="F114" s="115">
        <f>$D$57+L82+L85</f>
        <v/>
      </c>
      <c r="G114" s="425" t="n"/>
      <c r="H114" s="425" t="n"/>
      <c r="I114" s="425" t="n"/>
      <c r="J114" s="425" t="n"/>
      <c r="K114" s="425" t="n"/>
      <c r="L114" s="425" t="n"/>
      <c r="M114" s="425" t="n"/>
      <c r="N114" s="425" t="n"/>
    </row>
    <row r="115">
      <c r="A115" s="447" t="inlineStr">
        <is>
          <t>Cells Collected (Mutant Form)</t>
        </is>
      </c>
      <c r="B115" s="115">
        <f>$B$57+D91+D94</f>
        <v/>
      </c>
      <c r="C115" s="115">
        <f>$C$57+F91+F94</f>
        <v/>
      </c>
      <c r="D115" s="115">
        <f>$D$57+H91+H94</f>
        <v/>
      </c>
      <c r="E115" s="115">
        <f>$D$57+J91+J94</f>
        <v/>
      </c>
      <c r="F115" s="115">
        <f>$D$57+L91+L94</f>
        <v/>
      </c>
      <c r="G115" s="425" t="n"/>
      <c r="H115" s="425" t="n"/>
      <c r="I115" s="425" t="n"/>
      <c r="J115" s="425" t="n"/>
      <c r="K115" s="425" t="n"/>
      <c r="L115" s="425" t="n"/>
      <c r="M115" s="425" t="n"/>
      <c r="N115" s="425" t="n"/>
    </row>
    <row r="116">
      <c r="A116" s="447" t="inlineStr">
        <is>
          <t>Cells Collected (Mecha Form)</t>
        </is>
      </c>
      <c r="B116" s="115">
        <f>$B$57+D100+D103</f>
        <v/>
      </c>
      <c r="C116" s="115">
        <f>$C$57+F100+F103</f>
        <v/>
      </c>
      <c r="D116" s="115">
        <f>$D$57+H100+H103</f>
        <v/>
      </c>
      <c r="E116" s="115">
        <f>$D$57+J100+J103</f>
        <v/>
      </c>
      <c r="F116" s="115">
        <f>$D$57+L100+L103</f>
        <v/>
      </c>
      <c r="G116" s="425" t="n"/>
      <c r="H116" s="425" t="n"/>
      <c r="I116" s="425" t="n"/>
      <c r="J116" s="425" t="n"/>
      <c r="K116" s="425" t="n"/>
      <c r="L116" s="425" t="n"/>
      <c r="M116" s="425" t="n"/>
      <c r="N116" s="425" t="n"/>
    </row>
    <row r="117">
      <c r="A117" s="447" t="inlineStr">
        <is>
          <t>Cells Collected (Dragon Form)</t>
        </is>
      </c>
      <c r="B117" s="115">
        <f>$B$57+D108</f>
        <v/>
      </c>
      <c r="C117" s="115">
        <f>$C$57+F108</f>
        <v/>
      </c>
      <c r="D117" s="115">
        <f>$D$57+H108</f>
        <v/>
      </c>
      <c r="E117" s="115">
        <f>$D$57+J108</f>
        <v/>
      </c>
      <c r="F117" s="115">
        <f>$D$57+L108</f>
        <v/>
      </c>
      <c r="G117" s="425" t="n"/>
      <c r="H117" s="425" t="n"/>
      <c r="I117" s="425" t="n"/>
      <c r="J117" s="425" t="n"/>
      <c r="K117" s="425" t="n"/>
      <c r="L117" s="425" t="n"/>
      <c r="M117" s="425" t="n"/>
      <c r="N117" s="425" t="n"/>
    </row>
    <row r="118">
      <c r="A118" s="425" t="n"/>
      <c r="B118" s="425" t="n"/>
      <c r="C118" s="425" t="n"/>
      <c r="D118" s="425" t="n"/>
      <c r="E118" s="425" t="n"/>
      <c r="F118" s="425" t="n"/>
      <c r="G118" s="425" t="n"/>
      <c r="H118" s="425" t="n"/>
      <c r="I118" s="425" t="n"/>
      <c r="J118" s="425" t="n"/>
      <c r="K118" s="425" t="n"/>
      <c r="L118" s="425" t="n"/>
      <c r="M118" s="425" t="n"/>
      <c r="N118" s="425" t="n"/>
    </row>
    <row r="119">
      <c r="A119" s="425" t="n"/>
      <c r="B119" s="425" t="n"/>
      <c r="C119" s="425" t="n"/>
      <c r="D119" s="425" t="n"/>
      <c r="E119" s="425" t="n"/>
      <c r="F119" s="425" t="n"/>
      <c r="G119" s="425" t="n"/>
      <c r="H119" s="425" t="n"/>
      <c r="I119" s="425" t="n"/>
      <c r="J119" s="425" t="n"/>
      <c r="K119" s="425" t="n"/>
      <c r="L119" s="425" t="n"/>
      <c r="M119" s="425" t="n"/>
      <c r="N119" s="425" t="n"/>
    </row>
  </sheetData>
  <dataValidations count="2">
    <dataValidation sqref="B3:B13 B36:B37 B39:B40 B42:B45 B47:B49 B51:B53 B63 B72 B81 B90 B99" showDropDown="0" showInputMessage="0" showErrorMessage="1" allowBlank="1" type="list">
      <formula1>"SSS,SS,S,AAA,AA,A,Blue,Green"</formula1>
    </dataValidation>
    <dataValidation sqref="C3:C13 C36:C37 C39:C40 C42:C45 C47:C49 C51:C53 C63 C72 C81 C90 C99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1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505"/>
  <sheetViews>
    <sheetView workbookViewId="0">
      <selection activeCell="A1" sqref="A1"/>
    </sheetView>
  </sheetViews>
  <sheetFormatPr baseColWidth="8" defaultColWidth="9.18" defaultRowHeight="15" customHeight="1"/>
  <cols>
    <col width="13.27" customWidth="1" style="1128" min="1" max="1"/>
    <col width="7.82" customWidth="1" style="1128" min="2" max="2"/>
    <col width="13.09" customWidth="1" style="1128" min="3" max="3"/>
    <col width="13.55" customWidth="1" style="1128" min="4" max="4"/>
    <col width="9.550000000000001" customWidth="1" style="1128" min="5" max="5"/>
    <col width="9.550000000000001" customWidth="1" style="1128" min="7" max="7"/>
    <col width="8" customWidth="1" style="1128" min="8" max="8"/>
    <col width="8.09" customWidth="1" style="1128" min="9" max="9"/>
    <col width="9.73" customWidth="1" style="1128" min="10" max="10"/>
    <col width="12.91" customWidth="1" style="1128" min="11" max="11"/>
    <col width="115.55" customWidth="1" style="1128" min="12" max="12"/>
  </cols>
  <sheetData>
    <row r="1">
      <c r="A1" s="344" t="n"/>
      <c r="B1" s="406" t="inlineStr">
        <is>
          <t>Rarity</t>
        </is>
      </c>
      <c r="C1" s="406" t="inlineStr">
        <is>
          <t>AFFCT</t>
        </is>
      </c>
      <c r="D1" s="406" t="inlineStr">
        <is>
          <t>Main AFFCT</t>
        </is>
      </c>
      <c r="E1" s="406" t="inlineStr">
        <is>
          <t>Total AFFCT</t>
        </is>
      </c>
      <c r="F1" s="406" t="inlineStr">
        <is>
          <t>Medal Output</t>
        </is>
      </c>
      <c r="G1" s="406" t="inlineStr">
        <is>
          <t>Wish Coin Cost</t>
        </is>
      </c>
      <c r="H1" s="406" t="inlineStr">
        <is>
          <t>Btad Output</t>
        </is>
      </c>
      <c r="I1" s="406" t="inlineStr">
        <is>
          <t>AFFCT Boost</t>
        </is>
      </c>
      <c r="J1" s="406" t="inlineStr">
        <is>
          <t>Effective AFFCT</t>
        </is>
      </c>
      <c r="K1" s="406" t="inlineStr">
        <is>
          <t>Total Effective AFFCT</t>
        </is>
      </c>
      <c r="L1" s="129" t="inlineStr">
        <is>
          <t>Source</t>
        </is>
      </c>
    </row>
    <row r="2">
      <c r="A2" s="424" t="inlineStr">
        <is>
          <t>KORYEO</t>
        </is>
      </c>
      <c r="B2" s="406" t="n"/>
      <c r="C2" s="406" t="n"/>
      <c r="D2" s="406" t="n"/>
      <c r="E2" s="406" t="n"/>
      <c r="F2" s="406" t="n"/>
      <c r="G2" s="406" t="n"/>
      <c r="H2" s="406" t="n"/>
      <c r="I2" s="406" t="n"/>
      <c r="J2" s="406" t="n"/>
      <c r="K2" s="406" t="n"/>
      <c r="L2" s="129" t="n"/>
    </row>
    <row r="3">
      <c r="A3" s="434" t="inlineStr">
        <is>
          <t>INDIVIDUAL RELICS</t>
        </is>
      </c>
      <c r="B3" s="425" t="n"/>
      <c r="C3" s="425" t="n"/>
      <c r="D3" s="425" t="n"/>
      <c r="E3" s="425" t="n"/>
      <c r="F3" s="425" t="n"/>
      <c r="G3" s="425" t="n"/>
      <c r="H3" s="425" t="n"/>
      <c r="I3" s="425" t="n"/>
      <c r="J3" s="425" t="n"/>
      <c r="K3" s="425" t="n"/>
      <c r="L3" s="418" t="n"/>
    </row>
    <row r="4">
      <c r="A4" s="434" t="inlineStr">
        <is>
          <t xml:space="preserve">   Ordinary Casket</t>
        </is>
      </c>
      <c r="B4" s="425" t="inlineStr">
        <is>
          <t>SSS</t>
        </is>
      </c>
      <c r="C4" s="425" t="inlineStr">
        <is>
          <t>FAME</t>
        </is>
      </c>
      <c r="D4" s="371" t="n">
        <v>104</v>
      </c>
      <c r="E4" s="371" t="n">
        <v>347</v>
      </c>
      <c r="F4" s="371" t="n">
        <v>30</v>
      </c>
      <c r="G4" s="425" t="n"/>
      <c r="H4" s="425" t="n"/>
      <c r="I4" s="371" t="n">
        <v>15</v>
      </c>
      <c r="J4" s="371">
        <f>D4+I4</f>
        <v/>
      </c>
      <c r="K4" s="371">
        <f>E4+I4</f>
        <v/>
      </c>
      <c r="L4" s="418" t="inlineStr">
        <is>
          <t>Relic Power Rewards (8M - 15M Relic Power)</t>
        </is>
      </c>
    </row>
    <row r="5">
      <c r="A5" s="434" t="inlineStr">
        <is>
          <t xml:space="preserve">   Leaf of Yggdrasil</t>
        </is>
      </c>
      <c r="B5" s="425" t="inlineStr">
        <is>
          <t>S</t>
        </is>
      </c>
      <c r="C5" s="425" t="inlineStr">
        <is>
          <t>FAME</t>
        </is>
      </c>
      <c r="D5" s="371" t="n">
        <v>100</v>
      </c>
      <c r="E5" s="371" t="n">
        <v>332</v>
      </c>
      <c r="F5" s="425" t="n"/>
      <c r="G5" s="425" t="n"/>
      <c r="H5" s="425" t="n"/>
      <c r="I5" s="425" t="n"/>
      <c r="J5" s="371">
        <f>D5+I5</f>
        <v/>
      </c>
      <c r="K5" s="371">
        <f>E5+I5</f>
        <v/>
      </c>
      <c r="L5" s="418" t="inlineStr">
        <is>
          <t>Fragment Crafting (20.7%), Lottery Machine #1 (0.81%), Wishing (0.75%), Super Treasure Map (15%), Master Scrolls (6.5%), FAME Master Scrolls (31.5%), Relic Forge (90 Relic RF)</t>
        </is>
      </c>
    </row>
    <row r="6">
      <c r="A6" s="434" t="inlineStr">
        <is>
          <t xml:space="preserve">   Twin Lions Lantern</t>
        </is>
      </c>
      <c r="B6" s="425" t="inlineStr">
        <is>
          <t>AA</t>
        </is>
      </c>
      <c r="C6" s="425" t="inlineStr">
        <is>
          <t>FAME</t>
        </is>
      </c>
      <c r="D6" s="371" t="n">
        <v>70</v>
      </c>
      <c r="E6" s="425" t="n"/>
      <c r="F6" s="425" t="n"/>
      <c r="G6" s="425" t="n"/>
      <c r="H6" s="425" t="n"/>
      <c r="I6" s="425" t="n">
        <v>10</v>
      </c>
      <c r="J6" s="371">
        <f>D6+I6</f>
        <v/>
      </c>
      <c r="K6" s="371" t="n"/>
      <c r="L6" s="390" t="inlineStr">
        <is>
          <t>Museum Operation Reward</t>
        </is>
      </c>
    </row>
    <row r="7">
      <c r="A7" s="434" t="inlineStr">
        <is>
          <t xml:space="preserve">   Mischief Map</t>
        </is>
      </c>
      <c r="B7" s="425" t="inlineStr">
        <is>
          <t>AA</t>
        </is>
      </c>
      <c r="C7" s="425" t="inlineStr">
        <is>
          <t>FAME</t>
        </is>
      </c>
      <c r="D7" s="371" t="n">
        <v>71</v>
      </c>
      <c r="E7" s="425" t="n"/>
      <c r="F7" s="425" t="n"/>
      <c r="G7" s="425" t="n"/>
      <c r="H7" s="425" t="n"/>
      <c r="I7" s="425" t="n"/>
      <c r="J7" s="371">
        <f>D7+I7</f>
        <v/>
      </c>
      <c r="K7" s="371" t="n"/>
      <c r="L7" s="390" t="inlineStr">
        <is>
          <t>Domain Exploration Reward</t>
        </is>
      </c>
    </row>
    <row r="8">
      <c r="A8" s="434" t="inlineStr">
        <is>
          <t xml:space="preserve">   View of Le Gras</t>
        </is>
      </c>
      <c r="B8" s="425" t="inlineStr">
        <is>
          <t>A</t>
        </is>
      </c>
      <c r="C8" s="425" t="inlineStr">
        <is>
          <t>FAME</t>
        </is>
      </c>
      <c r="D8" s="371" t="n">
        <v>64</v>
      </c>
      <c r="E8" s="425" t="n"/>
      <c r="F8" s="425" t="n"/>
      <c r="G8" s="425" t="n"/>
      <c r="H8" s="425" t="n"/>
      <c r="I8" s="425" t="n"/>
      <c r="J8" s="371">
        <f>D8+I8</f>
        <v/>
      </c>
      <c r="K8" s="371" t="n"/>
      <c r="L8" s="386" t="inlineStr">
        <is>
          <t>Lottery Machine #2 (0.55%)</t>
        </is>
      </c>
    </row>
    <row r="9">
      <c r="A9" s="434" t="inlineStr">
        <is>
          <t xml:space="preserve">   Peter Pan's Flute</t>
        </is>
      </c>
      <c r="B9" s="425" t="inlineStr">
        <is>
          <t>Blue</t>
        </is>
      </c>
      <c r="C9" s="425" t="inlineStr">
        <is>
          <t>FAME</t>
        </is>
      </c>
      <c r="D9" s="371" t="n">
        <v>46</v>
      </c>
      <c r="E9" s="425" t="n"/>
      <c r="F9" s="425" t="n"/>
      <c r="G9" s="425" t="n"/>
      <c r="H9" s="425" t="n"/>
      <c r="I9" s="425" t="n"/>
      <c r="J9" s="371">
        <f>D9+I9</f>
        <v/>
      </c>
      <c r="K9" s="371" t="n"/>
      <c r="L9" s="386" t="inlineStr">
        <is>
          <t>Lottery Machine #1 (0.03%), Wishing (1.2%), Britland Treasure Map (20%)</t>
        </is>
      </c>
    </row>
    <row r="10">
      <c r="A10" s="434" t="inlineStr">
        <is>
          <t xml:space="preserve">   Annals of Joseon</t>
        </is>
      </c>
      <c r="B10" s="425" t="inlineStr">
        <is>
          <t>Blue</t>
        </is>
      </c>
      <c r="C10" s="425" t="inlineStr">
        <is>
          <t>FAME</t>
        </is>
      </c>
      <c r="D10" s="371" t="n">
        <v>45</v>
      </c>
      <c r="E10" s="425" t="n"/>
      <c r="F10" s="425" t="n"/>
      <c r="G10" s="425" t="n"/>
      <c r="H10" s="425" t="n"/>
      <c r="I10" s="425" t="n"/>
      <c r="J10" s="371">
        <f>D10+I10</f>
        <v/>
      </c>
      <c r="K10" s="371" t="n"/>
      <c r="L10" s="386" t="inlineStr">
        <is>
          <t>Koryeo Treasure Map (20%)</t>
        </is>
      </c>
    </row>
    <row r="11">
      <c r="A11" s="434" t="inlineStr">
        <is>
          <t xml:space="preserve">   Hun Min Jong Um</t>
        </is>
      </c>
      <c r="B11" s="425" t="inlineStr">
        <is>
          <t>Blue</t>
        </is>
      </c>
      <c r="C11" s="425" t="inlineStr">
        <is>
          <t>FAME</t>
        </is>
      </c>
      <c r="D11" s="371" t="n">
        <v>45</v>
      </c>
      <c r="E11" s="425" t="n"/>
      <c r="F11" s="425" t="n"/>
      <c r="G11" s="425" t="n"/>
      <c r="H11" s="425" t="n"/>
      <c r="I11" s="425" t="n"/>
      <c r="J11" s="371">
        <f>D11+I11</f>
        <v/>
      </c>
      <c r="K11" s="371" t="n"/>
      <c r="L11" s="386" t="inlineStr">
        <is>
          <t>Koryeo Treasure Map (20%)</t>
        </is>
      </c>
    </row>
    <row r="12">
      <c r="A12" s="434" t="inlineStr">
        <is>
          <t xml:space="preserve">   King's Gayageum</t>
        </is>
      </c>
      <c r="B12" s="425" t="inlineStr">
        <is>
          <t>SSS</t>
        </is>
      </c>
      <c r="C12" s="425" t="inlineStr">
        <is>
          <t>ART</t>
        </is>
      </c>
      <c r="D12" s="371" t="n">
        <v>107</v>
      </c>
      <c r="E12" s="371" t="n">
        <v>362</v>
      </c>
      <c r="F12" s="425" t="n"/>
      <c r="G12" s="425" t="n"/>
      <c r="H12" s="425" t="n"/>
      <c r="I12" s="371" t="n">
        <v>15</v>
      </c>
      <c r="J12" s="371">
        <f>D12+I12</f>
        <v/>
      </c>
      <c r="K12" s="371">
        <f>E12+I12</f>
        <v/>
      </c>
      <c r="L12" s="386" t="inlineStr">
        <is>
          <t>Daily Pack Relic #7</t>
        </is>
      </c>
    </row>
    <row r="13">
      <c r="A13" s="434" t="inlineStr">
        <is>
          <t xml:space="preserve">   Irises</t>
        </is>
      </c>
      <c r="B13" s="425" t="inlineStr">
        <is>
          <t>SSS</t>
        </is>
      </c>
      <c r="C13" s="425" t="inlineStr">
        <is>
          <t>ART</t>
        </is>
      </c>
      <c r="D13" s="371" t="n">
        <v>106</v>
      </c>
      <c r="E13" s="371" t="n">
        <v>362</v>
      </c>
      <c r="F13" s="425" t="n"/>
      <c r="G13" s="425" t="n"/>
      <c r="H13" s="371" t="n">
        <v>3000</v>
      </c>
      <c r="I13" s="371" t="n">
        <v>15</v>
      </c>
      <c r="J13" s="371">
        <f>D13+I13</f>
        <v/>
      </c>
      <c r="K13" s="371">
        <f>E13+I13</f>
        <v/>
      </c>
      <c r="L13" s="386" t="inlineStr">
        <is>
          <t>Star Chart Shop</t>
        </is>
      </c>
    </row>
    <row r="14">
      <c r="A14" s="434" t="inlineStr">
        <is>
          <t xml:space="preserve">   Suger's Eagle</t>
        </is>
      </c>
      <c r="B14" s="425" t="inlineStr">
        <is>
          <t>S</t>
        </is>
      </c>
      <c r="C14" s="425" t="inlineStr">
        <is>
          <t>ART</t>
        </is>
      </c>
      <c r="D14" s="371" t="n">
        <v>99</v>
      </c>
      <c r="E14" s="425">
        <f>48+99+63+66+56</f>
        <v/>
      </c>
      <c r="F14" s="425" t="n"/>
      <c r="G14" s="425" t="n"/>
      <c r="H14" s="425" t="n"/>
      <c r="I14" s="425" t="n"/>
      <c r="J14" s="371">
        <f>D14+I14</f>
        <v/>
      </c>
      <c r="K14" s="371">
        <f>E14+I14</f>
        <v/>
      </c>
      <c r="L14" s="386" t="inlineStr">
        <is>
          <t>Lottery Machine #2 (1.59%)</t>
        </is>
      </c>
    </row>
    <row r="15">
      <c r="A15" s="434" t="inlineStr">
        <is>
          <t xml:space="preserve">   Death of Marat</t>
        </is>
      </c>
      <c r="B15" s="425" t="inlineStr">
        <is>
          <t>AA</t>
        </is>
      </c>
      <c r="C15" s="425" t="inlineStr">
        <is>
          <t>ART</t>
        </is>
      </c>
      <c r="D15" s="371" t="n">
        <v>69</v>
      </c>
      <c r="E15" s="425" t="n"/>
      <c r="F15" s="425" t="n"/>
      <c r="G15" s="425" t="n"/>
      <c r="H15" s="425" t="n"/>
      <c r="I15" s="425" t="n"/>
      <c r="J15" s="371">
        <f>D15+I15</f>
        <v/>
      </c>
      <c r="K15" s="371" t="n"/>
      <c r="L15" s="386" t="inlineStr">
        <is>
          <t>Fragment Crafting (3.9%), Lottery Machine #1 (0.08%), Wishing (0.36%), Expert Scrolls (0.95%)</t>
        </is>
      </c>
    </row>
    <row r="16">
      <c r="A16" s="434" t="inlineStr">
        <is>
          <t xml:space="preserve">   King Dangun Statue</t>
        </is>
      </c>
      <c r="B16" s="425" t="inlineStr">
        <is>
          <t>S</t>
        </is>
      </c>
      <c r="C16" s="425" t="inlineStr">
        <is>
          <t>FTH</t>
        </is>
      </c>
      <c r="D16" s="371" t="n">
        <v>99</v>
      </c>
      <c r="E16" s="371" t="n">
        <v>332</v>
      </c>
      <c r="F16" s="425" t="n"/>
      <c r="G16" s="371" t="n">
        <v>30</v>
      </c>
      <c r="H16" s="425" t="n"/>
      <c r="I16" s="425" t="n"/>
      <c r="J16" s="371">
        <f>D16+I16</f>
        <v/>
      </c>
      <c r="K16" s="371">
        <f>E16+I16</f>
        <v/>
      </c>
      <c r="L16" s="418" t="inlineStr">
        <is>
          <t>Fragment Crafting (15.1%), Lottery Machine #1 (0.81%), Wishing (0.81%), Koryeo Treasure Map (5%), Relic Forge (90 Relic RF)</t>
        </is>
      </c>
    </row>
    <row r="17">
      <c r="A17" s="434" t="inlineStr">
        <is>
          <t xml:space="preserve">   Tree of Life</t>
        </is>
      </c>
      <c r="B17" s="425" t="inlineStr">
        <is>
          <t>AAA</t>
        </is>
      </c>
      <c r="C17" s="425" t="inlineStr">
        <is>
          <t>FTH</t>
        </is>
      </c>
      <c r="D17" s="371" t="n">
        <v>72</v>
      </c>
      <c r="E17" s="425" t="n"/>
      <c r="F17" s="425" t="n"/>
      <c r="G17" s="425" t="n"/>
      <c r="H17" s="425" t="n"/>
      <c r="I17" s="371" t="n">
        <v>10</v>
      </c>
      <c r="J17" s="371">
        <f>D17+I17</f>
        <v/>
      </c>
      <c r="K17" s="371" t="n"/>
      <c r="L17" s="418" t="inlineStr">
        <is>
          <t>Fragment Crafting (1.5%), Wishing (0.03%), Lottery Machine #1 (0.14%), Fungus chest (1.5%), Relic Forge (80 Relic RF), Home Value Pack II ($4.99)</t>
        </is>
      </c>
    </row>
    <row r="18">
      <c r="A18" s="434" t="inlineStr">
        <is>
          <t xml:space="preserve">   Tyr's Arm</t>
        </is>
      </c>
      <c r="B18" s="425" t="inlineStr">
        <is>
          <t>AA</t>
        </is>
      </c>
      <c r="C18" s="425" t="inlineStr">
        <is>
          <t>FTH</t>
        </is>
      </c>
      <c r="D18" s="371" t="n">
        <v>66</v>
      </c>
      <c r="E18" s="425" t="n"/>
      <c r="F18" s="425" t="n"/>
      <c r="G18" s="425" t="n"/>
      <c r="H18" s="425" t="n"/>
      <c r="I18" s="425" t="n"/>
      <c r="J18" s="371">
        <f>D18+I18</f>
        <v/>
      </c>
      <c r="K18" s="371" t="n"/>
      <c r="L18" s="418" t="inlineStr">
        <is>
          <t>Fragment Crafting (3.8%), Lottery Machine #1 (0.08%), Wishing (0.35%), Expert Scrolls (0.95%)</t>
        </is>
      </c>
    </row>
    <row r="19">
      <c r="A19" s="434" t="inlineStr">
        <is>
          <t xml:space="preserve">   Dragon Crystal</t>
        </is>
      </c>
      <c r="B19" s="425" t="inlineStr">
        <is>
          <t>Blue</t>
        </is>
      </c>
      <c r="C19" s="425" t="inlineStr">
        <is>
          <t>FTH</t>
        </is>
      </c>
      <c r="D19" s="371" t="n">
        <v>45</v>
      </c>
      <c r="E19" s="425" t="n"/>
      <c r="F19" s="425" t="n"/>
      <c r="G19" s="425" t="n"/>
      <c r="H19" s="425" t="n"/>
      <c r="I19" s="425" t="n"/>
      <c r="J19" s="371">
        <f>D19+I19</f>
        <v/>
      </c>
      <c r="K19" s="371" t="n"/>
      <c r="L19" s="418" t="inlineStr">
        <is>
          <t>Dragon Gene Research Tier 2</t>
        </is>
      </c>
    </row>
    <row r="20">
      <c r="A20" s="434" t="inlineStr">
        <is>
          <t xml:space="preserve">   Aries</t>
        </is>
      </c>
      <c r="B20" s="425" t="inlineStr">
        <is>
          <t>SSS</t>
        </is>
      </c>
      <c r="C20" s="425" t="inlineStr">
        <is>
          <t>CIV</t>
        </is>
      </c>
      <c r="D20" s="371" t="n">
        <v>110</v>
      </c>
      <c r="E20" s="371" t="n">
        <v>365</v>
      </c>
      <c r="F20" s="425" t="n"/>
      <c r="G20" s="425" t="n"/>
      <c r="H20" s="425" t="n"/>
      <c r="I20" s="425" t="n"/>
      <c r="J20" s="371">
        <f>D20+I20</f>
        <v/>
      </c>
      <c r="K20" s="371">
        <f>E20+I20</f>
        <v/>
      </c>
      <c r="L20" s="418" t="inlineStr">
        <is>
          <t>Supreme Relic ($2k)</t>
        </is>
      </c>
    </row>
    <row r="21">
      <c r="A21" s="434" t="inlineStr">
        <is>
          <t xml:space="preserve">   Divine Comedy</t>
        </is>
      </c>
      <c r="B21" s="425" t="inlineStr">
        <is>
          <t>SSS</t>
        </is>
      </c>
      <c r="C21" s="425" t="inlineStr">
        <is>
          <t>CIV</t>
        </is>
      </c>
      <c r="D21" s="371" t="n">
        <v>106</v>
      </c>
      <c r="E21" s="371" t="n">
        <v>362</v>
      </c>
      <c r="F21" s="371" t="n">
        <v>30</v>
      </c>
      <c r="G21" s="425" t="n"/>
      <c r="H21" s="425" t="n"/>
      <c r="I21" s="425" t="n"/>
      <c r="J21" s="371">
        <f>D21+I21</f>
        <v/>
      </c>
      <c r="K21" s="371">
        <f>E21+I21</f>
        <v/>
      </c>
      <c r="L21" s="418" t="inlineStr">
        <is>
          <t>Lottery Machine #1 (0.09%), Wishing (0.08%), Grandmaster Scrolls (0.81%), Relic Forge (120 Relic RF)</t>
        </is>
      </c>
    </row>
    <row r="22">
      <c r="A22" s="434" t="inlineStr">
        <is>
          <t xml:space="preserve">   Prehistoric Fossil</t>
        </is>
      </c>
      <c r="B22" s="425" t="inlineStr">
        <is>
          <t>AAA</t>
        </is>
      </c>
      <c r="C22" s="425" t="inlineStr">
        <is>
          <t>CIV</t>
        </is>
      </c>
      <c r="D22" s="371" t="n">
        <v>75</v>
      </c>
      <c r="E22" s="425" t="n"/>
      <c r="F22" s="425" t="n"/>
      <c r="G22" s="425" t="n"/>
      <c r="H22" s="425" t="n"/>
      <c r="I22" s="425" t="n"/>
      <c r="J22" s="371">
        <f>D22+I22</f>
        <v/>
      </c>
      <c r="K22" s="371" t="n"/>
      <c r="L22" s="418" t="inlineStr">
        <is>
          <t>Fragment Crafting (1.5%), Lottery Machine #1 (0.03%), Wishing (0.14%), Time Chest (1.5%), Relic Forge (80 Relic RF)</t>
        </is>
      </c>
    </row>
    <row r="23">
      <c r="A23" s="434" t="inlineStr">
        <is>
          <t xml:space="preserve">   Koryeon Sutra</t>
        </is>
      </c>
      <c r="B23" s="425" t="inlineStr">
        <is>
          <t>AAA</t>
        </is>
      </c>
      <c r="C23" s="425" t="inlineStr">
        <is>
          <t>CIV</t>
        </is>
      </c>
      <c r="D23" s="371" t="n">
        <v>73</v>
      </c>
      <c r="E23" s="425" t="n"/>
      <c r="F23" s="425" t="n"/>
      <c r="G23" s="425" t="n"/>
      <c r="H23" s="425" t="n"/>
      <c r="I23" s="425" t="n"/>
      <c r="J23" s="371">
        <f>D23+I23</f>
        <v/>
      </c>
      <c r="K23" s="371" t="n"/>
      <c r="L23" s="418" t="inlineStr">
        <is>
          <t>Fragment Crafting (1.5%), Lottery Machine #1 (0.03%), Wishing (0.14%), Koryeon Treasure Maps (10%), Relic Forge (80 Relic RF)</t>
        </is>
      </c>
    </row>
    <row r="24">
      <c r="A24" s="434" t="inlineStr">
        <is>
          <t xml:space="preserve">   Im's Arrow</t>
        </is>
      </c>
      <c r="B24" s="425" t="inlineStr">
        <is>
          <t>Blue</t>
        </is>
      </c>
      <c r="C24" s="425" t="inlineStr">
        <is>
          <t>CIV</t>
        </is>
      </c>
      <c r="D24" s="371" t="n">
        <v>44</v>
      </c>
      <c r="E24" s="425" t="n"/>
      <c r="F24" s="425" t="n"/>
      <c r="G24" s="425" t="n"/>
      <c r="H24" s="425" t="n"/>
      <c r="I24" s="425" t="n"/>
      <c r="J24" s="371">
        <f>D24+I24</f>
        <v/>
      </c>
      <c r="K24" s="371" t="n"/>
      <c r="L24" s="418" t="inlineStr">
        <is>
          <t>Lottery Machine #1 (0.07%), Wishing (2.1%), Novice Scrolls (1%)</t>
        </is>
      </c>
    </row>
    <row r="25">
      <c r="A25" s="434" t="inlineStr">
        <is>
          <t xml:space="preserve">   Energy Missile</t>
        </is>
      </c>
      <c r="B25" s="425" t="inlineStr">
        <is>
          <t>SSS</t>
        </is>
      </c>
      <c r="C25" s="425" t="inlineStr">
        <is>
          <t>TECH</t>
        </is>
      </c>
      <c r="D25" s="371" t="n">
        <v>109</v>
      </c>
      <c r="E25" s="371" t="n">
        <v>362</v>
      </c>
      <c r="F25" s="425" t="n"/>
      <c r="G25" s="425" t="n"/>
      <c r="H25" s="425" t="n"/>
      <c r="I25" s="371" t="n">
        <v>15</v>
      </c>
      <c r="J25" s="371">
        <f>D25+I25</f>
        <v/>
      </c>
      <c r="K25" s="371">
        <f>E25+I25</f>
        <v/>
      </c>
      <c r="L25" s="418" t="inlineStr">
        <is>
          <t>Clover Vendor Reward</t>
        </is>
      </c>
    </row>
    <row r="26">
      <c r="A26" s="434" t="inlineStr">
        <is>
          <t xml:space="preserve">   Devol's Robot</t>
        </is>
      </c>
      <c r="B26" s="425" t="inlineStr">
        <is>
          <t>S</t>
        </is>
      </c>
      <c r="C26" s="425" t="inlineStr">
        <is>
          <t>TECH</t>
        </is>
      </c>
      <c r="D26" s="371" t="n">
        <v>97</v>
      </c>
      <c r="E26" s="371" t="n">
        <v>332</v>
      </c>
      <c r="F26" s="425" t="n"/>
      <c r="G26" s="425" t="n"/>
      <c r="H26" s="425" t="n"/>
      <c r="I26" s="371" t="n">
        <v>15</v>
      </c>
      <c r="J26" s="371">
        <f>D26+I26</f>
        <v/>
      </c>
      <c r="K26" s="371">
        <f>E26+I26</f>
        <v/>
      </c>
      <c r="L26" s="418" t="inlineStr">
        <is>
          <t>Fragment Crafting (17.8%), Wishing (0.65%), Ad Chest (3%), Master Scrolls (6.5%), TECH Master Scrolls (31.5%), Relic Forge (90 Relic RF)</t>
        </is>
      </c>
    </row>
    <row r="27">
      <c r="A27" s="434" t="inlineStr">
        <is>
          <t xml:space="preserve">   Artificial Blackhole</t>
        </is>
      </c>
      <c r="B27" s="425" t="inlineStr">
        <is>
          <t>SSS</t>
        </is>
      </c>
      <c r="C27" s="425" t="inlineStr">
        <is>
          <t>TECH</t>
        </is>
      </c>
      <c r="D27" s="371" t="n">
        <v>106</v>
      </c>
      <c r="E27" s="371" t="n">
        <v>362</v>
      </c>
      <c r="F27" s="425" t="n"/>
      <c r="G27" s="425" t="n"/>
      <c r="H27" s="425" t="n"/>
      <c r="I27" s="425" t="n"/>
      <c r="J27" s="371">
        <f>D27+I27</f>
        <v/>
      </c>
      <c r="K27" s="371">
        <f>E27+I27</f>
        <v/>
      </c>
      <c r="L27" s="418" t="inlineStr">
        <is>
          <t>Wish Box, Lottery Machine #1 (0.09%), Wishing (0.07%), Demon God Chest (0.1%), Grandmaster Scrolls (0.81%), Relic Forge (120 Relic RF), Nebula Chest (0.01%)</t>
        </is>
      </c>
    </row>
    <row r="28">
      <c r="A28" s="362" t="inlineStr">
        <is>
          <t xml:space="preserve">   Arirang Satillite</t>
        </is>
      </c>
      <c r="B28" s="411" t="inlineStr">
        <is>
          <t>Blue</t>
        </is>
      </c>
      <c r="C28" s="411" t="inlineStr">
        <is>
          <t>TECH</t>
        </is>
      </c>
      <c r="D28" s="364" t="n">
        <v>46</v>
      </c>
      <c r="E28" s="411" t="n"/>
      <c r="F28" s="411" t="n"/>
      <c r="G28" s="411" t="n"/>
      <c r="H28" s="411" t="n"/>
      <c r="I28" s="411" t="n"/>
      <c r="J28" s="364">
        <f>D28+I28</f>
        <v/>
      </c>
      <c r="K28" s="364" t="n"/>
      <c r="L28" s="426" t="inlineStr">
        <is>
          <t>Lottery Machine #1 (0.03%), Wishing (1.1%), Nebula Chest (2%)</t>
        </is>
      </c>
    </row>
    <row r="29">
      <c r="A29" s="425" t="n"/>
      <c r="B29" s="425" t="n"/>
      <c r="C29" s="425" t="n"/>
      <c r="D29" s="425" t="n"/>
      <c r="E29" s="425" t="n"/>
      <c r="F29" s="425" t="n"/>
      <c r="G29" s="425" t="n"/>
      <c r="H29" s="425" t="n"/>
      <c r="I29" s="425" t="n"/>
      <c r="J29" s="425" t="n"/>
      <c r="K29" s="425" t="n"/>
      <c r="L29" s="425" t="n"/>
    </row>
    <row r="30">
      <c r="A30" s="425" t="n"/>
      <c r="B30" s="425" t="n"/>
      <c r="C30" s="425" t="n"/>
      <c r="D30" s="425" t="n"/>
      <c r="E30" s="425" t="n"/>
      <c r="F30" s="425" t="n"/>
      <c r="G30" s="425" t="n"/>
      <c r="H30" s="425" t="n"/>
      <c r="I30" s="425" t="n"/>
      <c r="J30" s="425" t="n"/>
      <c r="K30" s="425" t="n"/>
      <c r="L30" s="425" t="n"/>
    </row>
    <row r="31">
      <c r="A31" s="344" t="inlineStr">
        <is>
          <t>MUSEUM LAYOUT</t>
        </is>
      </c>
      <c r="B31" s="406" t="n"/>
      <c r="C31" s="406" t="inlineStr">
        <is>
          <t>Restriction</t>
        </is>
      </c>
      <c r="D31" s="406" t="inlineStr">
        <is>
          <t>Used</t>
        </is>
      </c>
      <c r="E31" s="406" t="inlineStr">
        <is>
          <t>Museum Score</t>
        </is>
      </c>
      <c r="F31" s="406" t="inlineStr">
        <is>
          <t>Medal Output</t>
        </is>
      </c>
      <c r="G31" s="406" t="inlineStr">
        <is>
          <t>Wish Coin Cost</t>
        </is>
      </c>
      <c r="H31" s="129" t="inlineStr">
        <is>
          <t>Btad Output</t>
        </is>
      </c>
      <c r="I31" s="425" t="n"/>
      <c r="J31" s="425" t="n"/>
      <c r="K31" s="425" t="n"/>
      <c r="L31" s="425" t="n"/>
    </row>
    <row r="32">
      <c r="A32" s="126" t="n">
        <v>1</v>
      </c>
      <c r="B32" s="425" t="inlineStr">
        <is>
          <t>ALL</t>
        </is>
      </c>
      <c r="C32" s="425" t="n"/>
      <c r="D32" s="425" t="inlineStr">
        <is>
          <t>Irises</t>
        </is>
      </c>
      <c r="E32" s="371">
        <f>K13</f>
        <v/>
      </c>
      <c r="F32" s="425" t="n"/>
      <c r="G32" s="425" t="n"/>
      <c r="H32" s="127">
        <f>H13</f>
        <v/>
      </c>
      <c r="I32" s="425" t="n"/>
      <c r="J32" s="425" t="n"/>
      <c r="K32" s="425" t="n"/>
      <c r="L32" s="425" t="n"/>
    </row>
    <row r="33">
      <c r="A33" s="126" t="n">
        <v>2</v>
      </c>
      <c r="B33" s="425" t="inlineStr">
        <is>
          <t>FTH</t>
        </is>
      </c>
      <c r="C33" s="425" t="inlineStr">
        <is>
          <t>King Dangun Statue</t>
        </is>
      </c>
      <c r="D33" s="425" t="inlineStr">
        <is>
          <t>King Dangun Statue</t>
        </is>
      </c>
      <c r="E33" s="371">
        <f>J16</f>
        <v/>
      </c>
      <c r="F33" s="425" t="n"/>
      <c r="G33" s="371">
        <f>G16</f>
        <v/>
      </c>
      <c r="H33" s="418" t="n"/>
      <c r="I33" s="425" t="n"/>
      <c r="J33" s="425" t="n"/>
      <c r="K33" s="425" t="n"/>
      <c r="L33" s="425" t="n"/>
    </row>
    <row r="34">
      <c r="A34" s="126" t="n">
        <v>3</v>
      </c>
      <c r="B34" s="425" t="inlineStr">
        <is>
          <t>FAME</t>
        </is>
      </c>
      <c r="C34" s="425" t="inlineStr">
        <is>
          <t>Hun Min Jong Um</t>
        </is>
      </c>
      <c r="D34" s="425" t="inlineStr">
        <is>
          <t>Hun Min Jong Um</t>
        </is>
      </c>
      <c r="E34" s="371">
        <f>J11</f>
        <v/>
      </c>
      <c r="F34" s="425" t="n"/>
      <c r="G34" s="425" t="n"/>
      <c r="H34" s="418" t="n"/>
      <c r="I34" s="425" t="n"/>
      <c r="J34" s="425" t="n"/>
      <c r="K34" s="425" t="n"/>
      <c r="L34" s="425" t="n"/>
    </row>
    <row r="35">
      <c r="A35" s="126" t="n">
        <v>4</v>
      </c>
      <c r="B35" s="425" t="inlineStr">
        <is>
          <t>FAME</t>
        </is>
      </c>
      <c r="C35" s="425" t="inlineStr">
        <is>
          <t>Annals of Joseon</t>
        </is>
      </c>
      <c r="D35" s="425" t="inlineStr">
        <is>
          <t>Annals of Joseon</t>
        </is>
      </c>
      <c r="E35" s="371">
        <f>J10</f>
        <v/>
      </c>
      <c r="F35" s="425" t="n"/>
      <c r="G35" s="425" t="n"/>
      <c r="H35" s="418" t="n"/>
      <c r="I35" s="425" t="n"/>
      <c r="J35" s="425" t="n"/>
      <c r="K35" s="425" t="n"/>
      <c r="L35" s="425" t="n"/>
    </row>
    <row r="36">
      <c r="A36" s="126" t="n">
        <v>5</v>
      </c>
      <c r="B36" s="425" t="inlineStr">
        <is>
          <t>FAME</t>
        </is>
      </c>
      <c r="C36" s="425" t="n"/>
      <c r="D36" s="425" t="inlineStr">
        <is>
          <t>Ordinary Casket</t>
        </is>
      </c>
      <c r="E36" s="371">
        <f>J4</f>
        <v/>
      </c>
      <c r="F36" s="371">
        <f>F4</f>
        <v/>
      </c>
      <c r="G36" s="425" t="n"/>
      <c r="H36" s="418" t="n"/>
      <c r="I36" s="425" t="n"/>
      <c r="J36" s="425" t="n"/>
      <c r="K36" s="425" t="n"/>
      <c r="L36" s="425" t="n"/>
    </row>
    <row r="37">
      <c r="A37" s="126" t="n">
        <v>6</v>
      </c>
      <c r="B37" s="425" t="inlineStr">
        <is>
          <t>ART</t>
        </is>
      </c>
      <c r="C37" s="425" t="n"/>
      <c r="D37" s="425" t="inlineStr">
        <is>
          <t>King's Gayageum</t>
        </is>
      </c>
      <c r="E37" s="371">
        <f>J12</f>
        <v/>
      </c>
      <c r="F37" s="425" t="n"/>
      <c r="G37" s="425" t="n"/>
      <c r="H37" s="418" t="n"/>
      <c r="I37" s="425" t="n"/>
      <c r="J37" s="425" t="n"/>
      <c r="K37" s="425" t="n"/>
      <c r="L37" s="425" t="n"/>
    </row>
    <row r="38">
      <c r="A38" s="126" t="n">
        <v>7</v>
      </c>
      <c r="B38" s="425" t="inlineStr">
        <is>
          <t>ART</t>
        </is>
      </c>
      <c r="C38" s="425" t="n"/>
      <c r="D38" s="425" t="inlineStr">
        <is>
          <t>FILLER</t>
        </is>
      </c>
      <c r="E38" s="371" t="n">
        <v>100</v>
      </c>
      <c r="F38" s="425" t="n"/>
      <c r="G38" s="425" t="n"/>
      <c r="H38" s="418" t="n"/>
      <c r="I38" s="425" t="n"/>
      <c r="J38" s="425" t="n"/>
      <c r="K38" s="425" t="n"/>
      <c r="L38" s="425" t="n"/>
    </row>
    <row r="39">
      <c r="A39" s="126" t="n">
        <v>8</v>
      </c>
      <c r="B39" s="425" t="inlineStr">
        <is>
          <t>ART</t>
        </is>
      </c>
      <c r="C39" s="425" t="n"/>
      <c r="D39" s="425" t="inlineStr">
        <is>
          <t>FILLER</t>
        </is>
      </c>
      <c r="E39" s="371" t="n">
        <v>100</v>
      </c>
      <c r="F39" s="425" t="n"/>
      <c r="G39" s="425" t="n"/>
      <c r="H39" s="418" t="n"/>
      <c r="I39" s="425" t="n"/>
      <c r="J39" s="425" t="n"/>
      <c r="K39" s="425" t="n"/>
      <c r="L39" s="425" t="n"/>
    </row>
    <row r="40">
      <c r="A40" s="126" t="n">
        <v>9</v>
      </c>
      <c r="B40" s="425" t="inlineStr">
        <is>
          <t>FTH</t>
        </is>
      </c>
      <c r="C40" s="425" t="n"/>
      <c r="D40" s="425" t="inlineStr">
        <is>
          <t>FILLER</t>
        </is>
      </c>
      <c r="E40" s="371" t="n">
        <v>100</v>
      </c>
      <c r="F40" s="425" t="n"/>
      <c r="G40" s="425" t="n"/>
      <c r="H40" s="418" t="n"/>
      <c r="I40" s="425" t="n"/>
      <c r="J40" s="425" t="n"/>
      <c r="K40" s="425" t="n"/>
      <c r="L40" s="425" t="n"/>
    </row>
    <row r="41">
      <c r="A41" s="126" t="n">
        <v>10</v>
      </c>
      <c r="B41" s="425" t="inlineStr">
        <is>
          <t>FTH</t>
        </is>
      </c>
      <c r="C41" s="425" t="n"/>
      <c r="D41" s="425" t="inlineStr">
        <is>
          <t>FILLER</t>
        </is>
      </c>
      <c r="E41" s="371" t="n">
        <v>100</v>
      </c>
      <c r="F41" s="425" t="n"/>
      <c r="G41" s="425" t="n"/>
      <c r="H41" s="418" t="n"/>
      <c r="I41" s="425" t="n"/>
      <c r="J41" s="425" t="n"/>
      <c r="K41" s="425" t="n"/>
      <c r="L41" s="425" t="n"/>
    </row>
    <row r="42">
      <c r="A42" s="126" t="n">
        <v>11</v>
      </c>
      <c r="B42" s="425" t="inlineStr">
        <is>
          <t>CIV</t>
        </is>
      </c>
      <c r="C42" s="425" t="n"/>
      <c r="D42" s="425" t="inlineStr">
        <is>
          <t>Aries</t>
        </is>
      </c>
      <c r="E42" s="371">
        <f>J20</f>
        <v/>
      </c>
      <c r="F42" s="425" t="n"/>
      <c r="G42" s="425" t="n"/>
      <c r="H42" s="418" t="n"/>
      <c r="I42" s="425" t="n"/>
      <c r="J42" s="425" t="n"/>
      <c r="K42" s="425" t="n"/>
      <c r="L42" s="425" t="n"/>
    </row>
    <row r="43">
      <c r="A43" s="126" t="n">
        <v>12</v>
      </c>
      <c r="B43" s="425" t="inlineStr">
        <is>
          <t>CIV</t>
        </is>
      </c>
      <c r="C43" s="425" t="n"/>
      <c r="D43" s="425" t="inlineStr">
        <is>
          <t>Divine Comedy</t>
        </is>
      </c>
      <c r="E43" s="371">
        <f>J21</f>
        <v/>
      </c>
      <c r="F43" s="371">
        <f>F21</f>
        <v/>
      </c>
      <c r="G43" s="425" t="n"/>
      <c r="H43" s="418" t="n"/>
      <c r="I43" s="425" t="n"/>
      <c r="J43" s="425" t="n"/>
      <c r="K43" s="425" t="n"/>
      <c r="L43" s="425" t="n"/>
    </row>
    <row r="44">
      <c r="A44" s="126" t="n">
        <v>13</v>
      </c>
      <c r="B44" s="425" t="inlineStr">
        <is>
          <t>CIV</t>
        </is>
      </c>
      <c r="C44" s="425" t="n"/>
      <c r="D44" s="425" t="inlineStr">
        <is>
          <t>FILLER</t>
        </is>
      </c>
      <c r="E44" s="371" t="n">
        <v>100</v>
      </c>
      <c r="F44" s="425" t="n"/>
      <c r="G44" s="425" t="n"/>
      <c r="H44" s="418" t="n"/>
      <c r="I44" s="425" t="n"/>
      <c r="J44" s="425" t="n"/>
      <c r="K44" s="425" t="n"/>
      <c r="L44" s="425" t="n"/>
    </row>
    <row r="45">
      <c r="A45" s="126" t="n">
        <v>14</v>
      </c>
      <c r="B45" s="425" t="inlineStr">
        <is>
          <t>TECH</t>
        </is>
      </c>
      <c r="C45" s="425" t="n"/>
      <c r="D45" s="425" t="inlineStr">
        <is>
          <t>Energy Missile</t>
        </is>
      </c>
      <c r="E45" s="371">
        <f>J25</f>
        <v/>
      </c>
      <c r="F45" s="425" t="n"/>
      <c r="G45" s="425" t="n"/>
      <c r="H45" s="418" t="n"/>
      <c r="I45" s="425" t="n"/>
      <c r="J45" s="425" t="n"/>
      <c r="K45" s="425" t="n"/>
      <c r="L45" s="425" t="n"/>
    </row>
    <row r="46">
      <c r="A46" s="126" t="n">
        <v>15</v>
      </c>
      <c r="B46" s="425" t="inlineStr">
        <is>
          <t>TECH</t>
        </is>
      </c>
      <c r="C46" s="425" t="n"/>
      <c r="D46" s="425" t="inlineStr">
        <is>
          <t>Devol's Robot</t>
        </is>
      </c>
      <c r="E46" s="371">
        <f>J26</f>
        <v/>
      </c>
      <c r="F46" s="425" t="n"/>
      <c r="G46" s="425" t="n"/>
      <c r="H46" s="418" t="n"/>
      <c r="I46" s="425" t="n"/>
      <c r="J46" s="425" t="n"/>
      <c r="K46" s="425" t="n"/>
      <c r="L46" s="425" t="n"/>
    </row>
    <row r="47">
      <c r="A47" s="126" t="n">
        <v>16</v>
      </c>
      <c r="B47" s="425" t="inlineStr">
        <is>
          <t>TECH</t>
        </is>
      </c>
      <c r="C47" s="425" t="n"/>
      <c r="D47" s="425" t="inlineStr">
        <is>
          <t>Artificial Blackhole</t>
        </is>
      </c>
      <c r="E47" s="371">
        <f>J27</f>
        <v/>
      </c>
      <c r="F47" s="425" t="n"/>
      <c r="G47" s="425" t="n"/>
      <c r="H47" s="418" t="n"/>
      <c r="I47" s="425" t="n"/>
      <c r="J47" s="425" t="n"/>
      <c r="K47" s="425" t="n"/>
      <c r="L47" s="425" t="n"/>
    </row>
    <row r="48">
      <c r="A48" s="362" t="n"/>
      <c r="B48" s="411" t="n"/>
      <c r="C48" s="411" t="n"/>
      <c r="D48" s="411" t="inlineStr">
        <is>
          <t>TOTAL</t>
        </is>
      </c>
      <c r="E48" s="364">
        <f>SUM(E32:E47)</f>
        <v/>
      </c>
      <c r="F48" s="364">
        <f>SUM(F32:F47)</f>
        <v/>
      </c>
      <c r="G48" s="364">
        <f>SUM(G32:G47)</f>
        <v/>
      </c>
      <c r="H48" s="364">
        <f>SUM(H32:H47)</f>
        <v/>
      </c>
      <c r="I48" s="425" t="n"/>
      <c r="J48" s="425" t="n"/>
      <c r="K48" s="425" t="n"/>
      <c r="L48" s="425" t="n"/>
    </row>
    <row r="49">
      <c r="A49" s="425" t="n"/>
      <c r="B49" s="425" t="n"/>
      <c r="C49" s="425" t="n"/>
      <c r="D49" s="425" t="n"/>
      <c r="E49" s="425" t="n"/>
      <c r="F49" s="425" t="n"/>
      <c r="G49" s="425" t="n"/>
      <c r="H49" s="425" t="n"/>
      <c r="I49" s="425" t="n"/>
      <c r="J49" s="425" t="n"/>
      <c r="K49" s="425" t="n"/>
      <c r="L49" s="425" t="n"/>
    </row>
    <row r="50">
      <c r="A50" s="425" t="n"/>
      <c r="B50" s="425" t="n"/>
      <c r="C50" s="425" t="n"/>
      <c r="D50" s="425" t="n"/>
      <c r="E50" s="425" t="n"/>
      <c r="F50" s="425" t="n"/>
      <c r="G50" s="425" t="n"/>
      <c r="H50" s="425" t="n"/>
      <c r="I50" s="425" t="n"/>
      <c r="J50" s="425" t="n"/>
      <c r="K50" s="425" t="n"/>
      <c r="L50" s="425" t="n"/>
    </row>
    <row r="51">
      <c r="A51" s="425" t="n"/>
      <c r="B51" s="425" t="n"/>
      <c r="C51" s="425" t="n"/>
      <c r="D51" s="425" t="n"/>
      <c r="E51" s="425" t="n"/>
      <c r="F51" s="425" t="n"/>
      <c r="G51" s="425" t="n"/>
      <c r="H51" s="425" t="n"/>
      <c r="I51" s="425" t="n"/>
      <c r="J51" s="425" t="n"/>
      <c r="K51" s="425" t="n"/>
      <c r="L51" s="425" t="n"/>
    </row>
    <row r="52">
      <c r="A52" s="425" t="n"/>
      <c r="B52" s="425" t="n"/>
      <c r="C52" s="425" t="n"/>
      <c r="D52" s="425" t="n"/>
      <c r="E52" s="425" t="n"/>
      <c r="F52" s="425" t="n"/>
      <c r="G52" s="425" t="n"/>
      <c r="H52" s="425" t="n"/>
      <c r="I52" s="425" t="n"/>
      <c r="J52" s="425" t="n"/>
      <c r="K52" s="425" t="n"/>
      <c r="L52" s="425" t="n"/>
    </row>
    <row r="53">
      <c r="A53" s="425" t="n"/>
      <c r="B53" s="425" t="n"/>
      <c r="C53" s="425" t="n"/>
      <c r="D53" s="425" t="n"/>
      <c r="E53" s="425" t="n"/>
      <c r="F53" s="425" t="n"/>
      <c r="G53" s="425" t="n"/>
      <c r="H53" s="425" t="n"/>
      <c r="I53" s="425" t="n"/>
      <c r="J53" s="425" t="n"/>
      <c r="K53" s="425" t="n"/>
      <c r="L53" s="425" t="n"/>
    </row>
    <row r="54">
      <c r="A54" s="425" t="n"/>
      <c r="B54" s="425" t="n"/>
      <c r="C54" s="425" t="n"/>
      <c r="D54" s="425" t="n"/>
      <c r="E54" s="425" t="n"/>
      <c r="F54" s="425" t="n"/>
      <c r="G54" s="425" t="n"/>
      <c r="H54" s="425" t="n"/>
      <c r="I54" s="425" t="n"/>
      <c r="J54" s="425" t="n"/>
      <c r="K54" s="425" t="n"/>
      <c r="L54" s="425" t="n"/>
    </row>
    <row r="55">
      <c r="A55" s="425" t="n"/>
      <c r="B55" s="425" t="n"/>
      <c r="C55" s="425" t="n"/>
      <c r="D55" s="425" t="n"/>
      <c r="E55" s="425" t="n"/>
      <c r="F55" s="425" t="n"/>
      <c r="G55" s="425" t="n"/>
      <c r="H55" s="425" t="n"/>
      <c r="I55" s="425" t="n"/>
      <c r="J55" s="425" t="n"/>
      <c r="K55" s="425" t="n"/>
      <c r="L55" s="425" t="n"/>
    </row>
    <row r="56">
      <c r="A56" s="425" t="n"/>
      <c r="B56" s="425" t="n"/>
      <c r="C56" s="425" t="n"/>
      <c r="D56" s="425" t="n"/>
      <c r="E56" s="425" t="n"/>
      <c r="F56" s="425" t="n"/>
      <c r="G56" s="425" t="n"/>
      <c r="H56" s="425" t="n"/>
      <c r="I56" s="425" t="n"/>
      <c r="J56" s="425" t="n"/>
      <c r="K56" s="425" t="n"/>
      <c r="L56" s="425" t="n"/>
    </row>
    <row r="57">
      <c r="A57" s="425" t="n"/>
      <c r="B57" s="425" t="n"/>
      <c r="C57" s="425" t="n"/>
      <c r="D57" s="425" t="n"/>
      <c r="E57" s="425" t="n"/>
      <c r="F57" s="425" t="n"/>
      <c r="G57" s="425" t="n"/>
      <c r="H57" s="425" t="n"/>
      <c r="I57" s="425" t="n"/>
      <c r="J57" s="425" t="n"/>
      <c r="K57" s="425" t="n"/>
      <c r="L57" s="425" t="n"/>
    </row>
    <row r="58">
      <c r="A58" s="425" t="n"/>
      <c r="B58" s="425" t="n"/>
      <c r="C58" s="425" t="n"/>
      <c r="D58" s="425" t="n"/>
      <c r="E58" s="425" t="n"/>
      <c r="F58" s="425" t="n"/>
      <c r="G58" s="425" t="n"/>
      <c r="H58" s="425" t="n"/>
      <c r="I58" s="425" t="n"/>
      <c r="J58" s="425" t="n"/>
      <c r="K58" s="425" t="n"/>
      <c r="L58" s="425" t="n"/>
    </row>
    <row r="59">
      <c r="A59" s="425" t="n"/>
      <c r="B59" s="425" t="n"/>
      <c r="C59" s="425" t="n"/>
      <c r="D59" s="425" t="n"/>
      <c r="E59" s="425" t="n"/>
      <c r="F59" s="425" t="n"/>
      <c r="G59" s="425" t="n"/>
      <c r="H59" s="425" t="n"/>
      <c r="I59" s="425" t="n"/>
      <c r="J59" s="425" t="n"/>
      <c r="K59" s="425" t="n"/>
      <c r="L59" s="425" t="n"/>
    </row>
    <row r="60">
      <c r="A60" s="425" t="n"/>
      <c r="B60" s="425" t="n"/>
      <c r="C60" s="425" t="n"/>
      <c r="D60" s="425" t="n"/>
      <c r="E60" s="425" t="n"/>
      <c r="F60" s="425" t="n"/>
      <c r="G60" s="425" t="n"/>
      <c r="H60" s="425" t="n"/>
      <c r="I60" s="425" t="n"/>
      <c r="J60" s="425" t="n"/>
      <c r="K60" s="425" t="n"/>
      <c r="L60" s="425" t="n"/>
    </row>
    <row r="61">
      <c r="A61" s="425" t="n"/>
      <c r="B61" s="425" t="n"/>
      <c r="C61" s="425" t="n"/>
      <c r="D61" s="425" t="n"/>
      <c r="E61" s="425" t="n"/>
      <c r="F61" s="425" t="n"/>
      <c r="G61" s="425" t="n"/>
      <c r="H61" s="425" t="n"/>
      <c r="I61" s="425" t="n"/>
      <c r="J61" s="425" t="n"/>
      <c r="K61" s="425" t="n"/>
      <c r="L61" s="425" t="n"/>
    </row>
    <row r="62">
      <c r="A62" s="344" t="n"/>
      <c r="B62" s="406" t="n"/>
      <c r="C62" s="406" t="n"/>
      <c r="D62" s="406" t="inlineStr">
        <is>
          <t>Main AFFCT</t>
        </is>
      </c>
      <c r="E62" s="406" t="inlineStr">
        <is>
          <t>Total AFFCT</t>
        </is>
      </c>
      <c r="F62" s="406" t="inlineStr">
        <is>
          <t>Medal Output</t>
        </is>
      </c>
      <c r="G62" s="406" t="inlineStr">
        <is>
          <t>Wish Coin Cost</t>
        </is>
      </c>
      <c r="H62" s="406" t="inlineStr">
        <is>
          <t>Btad Output</t>
        </is>
      </c>
      <c r="I62" s="406" t="inlineStr">
        <is>
          <t>AFFCT Boost</t>
        </is>
      </c>
      <c r="J62" s="406" t="inlineStr">
        <is>
          <t>Effective AFFCT</t>
        </is>
      </c>
      <c r="K62" s="406" t="inlineStr">
        <is>
          <t>Total Effective AFFCT</t>
        </is>
      </c>
      <c r="L62" s="129" t="inlineStr">
        <is>
          <t>Source</t>
        </is>
      </c>
    </row>
    <row r="63">
      <c r="A63" s="357" t="inlineStr">
        <is>
          <t>YAMATO</t>
        </is>
      </c>
      <c r="B63" s="425" t="n"/>
      <c r="C63" s="425" t="n"/>
      <c r="D63" s="425" t="n"/>
      <c r="E63" s="425" t="n"/>
      <c r="F63" s="425" t="n"/>
      <c r="G63" s="425" t="n"/>
      <c r="H63" s="425" t="n"/>
      <c r="I63" s="425" t="n"/>
      <c r="J63" s="425" t="n"/>
      <c r="K63" s="425" t="n"/>
      <c r="L63" s="418" t="n"/>
    </row>
    <row r="64">
      <c r="A64" s="434" t="inlineStr">
        <is>
          <t>INDIVIDUAL RELICS</t>
        </is>
      </c>
      <c r="B64" s="425" t="n"/>
      <c r="C64" s="425" t="n"/>
      <c r="D64" s="425" t="n"/>
      <c r="E64" s="425" t="n"/>
      <c r="F64" s="425" t="n"/>
      <c r="G64" s="425" t="n"/>
      <c r="H64" s="425" t="n"/>
      <c r="I64" s="425" t="n"/>
      <c r="J64" s="425" t="n"/>
      <c r="K64" s="425" t="n"/>
      <c r="L64" s="418" t="n"/>
    </row>
    <row r="65">
      <c r="A65" s="434" t="inlineStr">
        <is>
          <t xml:space="preserve">   Metchnikoff's Manuscripts</t>
        </is>
      </c>
      <c r="B65" s="425" t="inlineStr">
        <is>
          <t>SSS</t>
        </is>
      </c>
      <c r="C65" s="425" t="inlineStr">
        <is>
          <t>FAME</t>
        </is>
      </c>
      <c r="D65" s="371" t="n">
        <v>107</v>
      </c>
      <c r="E65" s="425" t="n">
        <v>362</v>
      </c>
      <c r="F65" s="425" t="n"/>
      <c r="G65" s="425" t="n"/>
      <c r="H65" s="425" t="n">
        <v>3000</v>
      </c>
      <c r="I65" s="425" t="n">
        <v>15</v>
      </c>
      <c r="J65" s="371">
        <f>D65+I65</f>
        <v/>
      </c>
      <c r="K65" s="371">
        <f>E65+I65</f>
        <v/>
      </c>
      <c r="L65" s="386" t="inlineStr">
        <is>
          <t>3/8 Voucher Shop Reward, Lottery Machine #2 (?%)</t>
        </is>
      </c>
    </row>
    <row r="66">
      <c r="A66" s="434" t="inlineStr">
        <is>
          <t xml:space="preserve">   Manga Manuscript</t>
        </is>
      </c>
      <c r="B66" s="425" t="inlineStr">
        <is>
          <t>SSS</t>
        </is>
      </c>
      <c r="C66" s="425" t="inlineStr">
        <is>
          <t>FAME</t>
        </is>
      </c>
      <c r="D66" s="371" t="n">
        <v>106</v>
      </c>
      <c r="E66" s="425">
        <f>106+62+49+69+76</f>
        <v/>
      </c>
      <c r="F66" s="425" t="n">
        <v>30</v>
      </c>
      <c r="G66" s="425" t="n"/>
      <c r="H66" s="425" t="n"/>
      <c r="I66" s="425" t="n"/>
      <c r="J66" s="371">
        <f>D66+I66</f>
        <v/>
      </c>
      <c r="K66" s="371">
        <f>E66+I66</f>
        <v/>
      </c>
      <c r="L66" s="386" t="inlineStr">
        <is>
          <t>Daily Pack Relic #20</t>
        </is>
      </c>
    </row>
    <row r="67">
      <c r="A67" s="434" t="inlineStr">
        <is>
          <t xml:space="preserve">   Cross of Lorraine</t>
        </is>
      </c>
      <c r="B67" s="425" t="inlineStr">
        <is>
          <t>SS</t>
        </is>
      </c>
      <c r="C67" s="425" t="inlineStr">
        <is>
          <t>FAME</t>
        </is>
      </c>
      <c r="D67" s="371" t="n">
        <v>104</v>
      </c>
      <c r="E67" s="425">
        <f>104+57+52+68+66</f>
        <v/>
      </c>
      <c r="F67" s="425" t="n"/>
      <c r="G67" s="425" t="n"/>
      <c r="H67" s="425" t="n"/>
      <c r="I67" s="425" t="n"/>
      <c r="J67" s="371">
        <f>D67+I67</f>
        <v/>
      </c>
      <c r="K67" s="371">
        <f>E67+I67</f>
        <v/>
      </c>
      <c r="L67" s="386" t="inlineStr">
        <is>
          <t>Lottery Machine #2 (0.23%)</t>
        </is>
      </c>
    </row>
    <row r="68">
      <c r="A68" s="434" t="inlineStr">
        <is>
          <t xml:space="preserve">   Costa Rica Stone</t>
        </is>
      </c>
      <c r="B68" s="425" t="inlineStr">
        <is>
          <t>Blue</t>
        </is>
      </c>
      <c r="C68" s="425" t="inlineStr">
        <is>
          <t>FAME</t>
        </is>
      </c>
      <c r="D68" s="371" t="n">
        <v>48</v>
      </c>
      <c r="E68" s="425" t="n"/>
      <c r="F68" s="425" t="n"/>
      <c r="G68" s="425" t="n"/>
      <c r="H68" s="425" t="n"/>
      <c r="I68" s="425" t="n"/>
      <c r="J68" s="371">
        <f>D68+I68</f>
        <v/>
      </c>
      <c r="K68" s="371" t="n"/>
      <c r="L68" s="386" t="inlineStr">
        <is>
          <t>Lottery Machine #1 (0.36%), Wishing (15.5%), Novice Scrolls (5%)</t>
        </is>
      </c>
    </row>
    <row r="69">
      <c r="A69" s="434" t="inlineStr">
        <is>
          <t xml:space="preserve">   Taurus</t>
        </is>
      </c>
      <c r="B69" s="425" t="inlineStr">
        <is>
          <t>SSS</t>
        </is>
      </c>
      <c r="C69" s="425" t="inlineStr">
        <is>
          <t>ART</t>
        </is>
      </c>
      <c r="D69" s="371" t="n">
        <v>110</v>
      </c>
      <c r="E69" s="371" t="n">
        <v>363</v>
      </c>
      <c r="F69" s="425" t="n"/>
      <c r="G69" s="425" t="n"/>
      <c r="H69" s="425" t="n"/>
      <c r="I69" s="425" t="n"/>
      <c r="J69" s="371">
        <f>D69+I69</f>
        <v/>
      </c>
      <c r="K69" s="371">
        <f>E69+I69</f>
        <v/>
      </c>
      <c r="L69" s="386" t="inlineStr">
        <is>
          <t>Supreme Relic ($4k)</t>
        </is>
      </c>
    </row>
    <row r="70">
      <c r="A70" s="434" t="inlineStr">
        <is>
          <t xml:space="preserve">   Sistine Madonna</t>
        </is>
      </c>
      <c r="B70" s="425" t="inlineStr">
        <is>
          <t>SSS</t>
        </is>
      </c>
      <c r="C70" s="425" t="inlineStr">
        <is>
          <t>ART</t>
        </is>
      </c>
      <c r="D70" s="371" t="n">
        <v>109</v>
      </c>
      <c r="E70" s="371" t="n">
        <v>362</v>
      </c>
      <c r="F70" s="425" t="n"/>
      <c r="G70" s="425" t="n"/>
      <c r="H70" s="425" t="n"/>
      <c r="I70" s="425" t="n"/>
      <c r="J70" s="371">
        <f>D70+I70</f>
        <v/>
      </c>
      <c r="K70" s="371">
        <f>E70+I70</f>
        <v/>
      </c>
      <c r="L70" s="386" t="inlineStr">
        <is>
          <t>Lottery Machine #1 (0.09%), Wishing (0.08%), Grandmaster Scrolls (0.81%), Relic Forge (120 Relic RF)</t>
        </is>
      </c>
    </row>
    <row r="71">
      <c r="A71" s="434" t="inlineStr">
        <is>
          <t xml:space="preserve">   Veiled Lady</t>
        </is>
      </c>
      <c r="B71" s="425" t="inlineStr">
        <is>
          <t>SS</t>
        </is>
      </c>
      <c r="C71" s="425" t="inlineStr">
        <is>
          <t>ART</t>
        </is>
      </c>
      <c r="D71" s="371" t="n">
        <v>103</v>
      </c>
      <c r="E71" s="425">
        <f>52+103+67+70+55</f>
        <v/>
      </c>
      <c r="F71" s="425" t="n"/>
      <c r="G71" s="425" t="n"/>
      <c r="H71" s="425" t="n"/>
      <c r="I71" s="425" t="n">
        <v>15</v>
      </c>
      <c r="J71" s="371">
        <f>D71+I71</f>
        <v/>
      </c>
      <c r="K71" s="371">
        <f>E71+I71</f>
        <v/>
      </c>
      <c r="L71" s="386" t="inlineStr">
        <is>
          <t>Lottery Machine #2 (0.47%), Indigent Nobleman (570K B-tads)</t>
        </is>
      </c>
    </row>
    <row r="72">
      <c r="A72" s="434" t="inlineStr">
        <is>
          <t xml:space="preserve">   Nishijin Fabric</t>
        </is>
      </c>
      <c r="B72" s="425" t="inlineStr">
        <is>
          <t>AAA</t>
        </is>
      </c>
      <c r="C72" s="425" t="inlineStr">
        <is>
          <t>ART</t>
        </is>
      </c>
      <c r="D72" s="371" t="n">
        <v>73</v>
      </c>
      <c r="E72" s="425" t="n"/>
      <c r="F72" s="425" t="n"/>
      <c r="G72" s="425" t="n"/>
      <c r="H72" s="425" t="n"/>
      <c r="I72" s="425" t="n">
        <v>10</v>
      </c>
      <c r="J72" s="371">
        <f>D72+I72</f>
        <v/>
      </c>
      <c r="K72" s="371">
        <f>E72+I72</f>
        <v/>
      </c>
      <c r="L72" s="390" t="inlineStr">
        <is>
          <t>Lottery Box Relic #8</t>
        </is>
      </c>
    </row>
    <row r="73">
      <c r="A73" s="434" t="inlineStr">
        <is>
          <t xml:space="preserve">   Pine Trees Screen</t>
        </is>
      </c>
      <c r="B73" s="425" t="inlineStr">
        <is>
          <t>AA</t>
        </is>
      </c>
      <c r="C73" s="425" t="inlineStr">
        <is>
          <t>ART</t>
        </is>
      </c>
      <c r="D73" s="371" t="n">
        <v>67</v>
      </c>
      <c r="E73" s="425" t="n"/>
      <c r="F73" s="425" t="n"/>
      <c r="G73" s="425" t="n"/>
      <c r="H73" s="425" t="n"/>
      <c r="I73" s="425" t="n"/>
      <c r="J73" s="371">
        <f>D73+I73</f>
        <v/>
      </c>
      <c r="K73" s="371" t="n"/>
      <c r="L73" s="386" t="inlineStr">
        <is>
          <t>Fragment Crafting (3.9%), Lottery Machine #1 (0.08%), Wishing (0.36%), Yamato Treasure Maps (10%), Expert Scrolls (0.95%)</t>
        </is>
      </c>
    </row>
    <row r="74">
      <c r="A74" s="434" t="inlineStr">
        <is>
          <t xml:space="preserve">   Great Wave</t>
        </is>
      </c>
      <c r="B74" s="425" t="inlineStr">
        <is>
          <t>Blue</t>
        </is>
      </c>
      <c r="C74" s="425" t="inlineStr">
        <is>
          <t>ART</t>
        </is>
      </c>
      <c r="D74" s="371" t="n">
        <v>48</v>
      </c>
      <c r="E74" s="425" t="n"/>
      <c r="F74" s="425" t="n"/>
      <c r="G74" s="425" t="n"/>
      <c r="H74" s="425" t="n"/>
      <c r="I74" s="425" t="n"/>
      <c r="J74" s="371">
        <f>D74+I74</f>
        <v/>
      </c>
      <c r="K74" s="371" t="n"/>
      <c r="L74" s="386" t="inlineStr">
        <is>
          <t>Lottery Machine #1 (0.07%), Wishing (3%), Yamato Treasure Maps (20%)</t>
        </is>
      </c>
    </row>
    <row r="75">
      <c r="A75" s="434" t="inlineStr">
        <is>
          <t xml:space="preserve">   Universe Bowl</t>
        </is>
      </c>
      <c r="B75" s="425" t="inlineStr">
        <is>
          <t>Blue</t>
        </is>
      </c>
      <c r="C75" s="425" t="inlineStr">
        <is>
          <t>ART</t>
        </is>
      </c>
      <c r="D75" s="371" t="n">
        <v>48</v>
      </c>
      <c r="E75" s="425" t="n"/>
      <c r="F75" s="425" t="n"/>
      <c r="G75" s="425" t="n"/>
      <c r="H75" s="425" t="n"/>
      <c r="I75" s="425" t="n"/>
      <c r="J75" s="371">
        <f>D75+I75</f>
        <v/>
      </c>
      <c r="K75" s="371" t="n"/>
      <c r="L75" s="386" t="inlineStr">
        <is>
          <t>Lottery Machine #1 (0.07%), Wishing (3%), Fungus Chest (2%), Novice Scrolls (1%)</t>
        </is>
      </c>
    </row>
    <row r="76">
      <c r="A76" s="434" t="inlineStr">
        <is>
          <t xml:space="preserve">   Cuckoo Clock</t>
        </is>
      </c>
      <c r="B76" s="425" t="inlineStr">
        <is>
          <t>Blue</t>
        </is>
      </c>
      <c r="C76" s="425" t="inlineStr">
        <is>
          <t>ART</t>
        </is>
      </c>
      <c r="D76" s="371" t="n">
        <v>47</v>
      </c>
      <c r="E76" s="425" t="n"/>
      <c r="F76" s="425" t="n"/>
      <c r="G76" s="425" t="n"/>
      <c r="H76" s="425" t="n"/>
      <c r="I76" s="425" t="n"/>
      <c r="J76" s="371">
        <f>D76+I76</f>
        <v/>
      </c>
      <c r="K76" s="371" t="n"/>
      <c r="L76" s="386" t="inlineStr">
        <is>
          <t>Lottery Machine #1 (0.07%), Wishing (3%), Time Chest (2%), Novice Scrolls (1%)</t>
        </is>
      </c>
    </row>
    <row r="77">
      <c r="A77" s="434" t="inlineStr">
        <is>
          <t xml:space="preserve">   Medium Rune</t>
        </is>
      </c>
      <c r="B77" s="425" t="inlineStr">
        <is>
          <t>SSS</t>
        </is>
      </c>
      <c r="C77" s="425" t="inlineStr">
        <is>
          <t>FTH</t>
        </is>
      </c>
      <c r="D77" s="371" t="n">
        <v>106</v>
      </c>
      <c r="E77" s="371">
        <f>63+74+106+50+69</f>
        <v/>
      </c>
      <c r="F77" s="425" t="n">
        <v>30</v>
      </c>
      <c r="G77" s="425" t="n"/>
      <c r="H77" s="425" t="n"/>
      <c r="I77" s="425" t="n">
        <v>15</v>
      </c>
      <c r="J77" s="371">
        <f>D77+I77</f>
        <v/>
      </c>
      <c r="K77" s="371">
        <f>E77+I77</f>
        <v/>
      </c>
      <c r="L77" s="386" t="inlineStr">
        <is>
          <t>Halloween Event, Lottery Machine #2 (0.12%)</t>
        </is>
      </c>
    </row>
    <row r="78">
      <c r="A78" s="434" t="inlineStr">
        <is>
          <t xml:space="preserve">   Bhagavata Purana</t>
        </is>
      </c>
      <c r="B78" s="425" t="inlineStr">
        <is>
          <t>SS</t>
        </is>
      </c>
      <c r="C78" s="425" t="inlineStr">
        <is>
          <t>FTH</t>
        </is>
      </c>
      <c r="D78" s="371" t="n">
        <v>103</v>
      </c>
      <c r="E78" s="371">
        <f>61+64+103+55+64</f>
        <v/>
      </c>
      <c r="F78" s="425" t="n"/>
      <c r="G78" s="425" t="n"/>
      <c r="H78" s="425" t="n"/>
      <c r="I78" s="425" t="n"/>
      <c r="J78" s="371">
        <f>D78+I78</f>
        <v/>
      </c>
      <c r="K78" s="371">
        <f>E78+I78</f>
        <v/>
      </c>
      <c r="L78" s="386" t="inlineStr">
        <is>
          <t>Lottery Machine #2 (0.47%)</t>
        </is>
      </c>
    </row>
    <row r="79">
      <c r="A79" s="434" t="inlineStr">
        <is>
          <t xml:space="preserve">   Golden Finger</t>
        </is>
      </c>
      <c r="B79" s="425" t="inlineStr">
        <is>
          <t>S</t>
        </is>
      </c>
      <c r="C79" s="425" t="inlineStr">
        <is>
          <t>FTH</t>
        </is>
      </c>
      <c r="D79" s="371" t="n">
        <v>100</v>
      </c>
      <c r="E79" s="371" t="n">
        <v>332</v>
      </c>
      <c r="F79" s="425" t="n"/>
      <c r="G79" s="425" t="n"/>
      <c r="H79" s="425" t="n"/>
      <c r="I79" s="425" t="n"/>
      <c r="J79" s="371">
        <f>D79+I79</f>
        <v/>
      </c>
      <c r="K79" s="371">
        <f>E79+I79</f>
        <v/>
      </c>
      <c r="L79" s="386" t="inlineStr">
        <is>
          <t>Fragment Crafting (15.1%), Lottery Machine #1 (0.81%), Wishing (0.53%), Master Scrolls (6.5%), FTH Master Scrolls (31.5%), Relic Forge (90 Relic RF)</t>
        </is>
      </c>
    </row>
    <row r="80">
      <c r="A80" s="434" t="inlineStr">
        <is>
          <t xml:space="preserve">   Yamato Mirror</t>
        </is>
      </c>
      <c r="B80" s="425" t="inlineStr">
        <is>
          <t>AAA</t>
        </is>
      </c>
      <c r="C80" s="425" t="inlineStr">
        <is>
          <t>FTH</t>
        </is>
      </c>
      <c r="D80" s="371" t="n">
        <v>75</v>
      </c>
      <c r="E80" s="425" t="n"/>
      <c r="F80" s="425" t="n"/>
      <c r="G80" s="425" t="n"/>
      <c r="H80" s="425" t="n"/>
      <c r="I80" s="425" t="n"/>
      <c r="J80" s="371">
        <f>D80+I80</f>
        <v/>
      </c>
      <c r="K80" s="371" t="n"/>
      <c r="L80" s="386" t="inlineStr">
        <is>
          <t>Fragment Crafting (1.5%), Lottery Machine #1 (0.03%), Wishing (0.14%), Relic Forge (80 Relic RF)</t>
        </is>
      </c>
    </row>
    <row r="81">
      <c r="A81" s="434" t="inlineStr">
        <is>
          <t xml:space="preserve">   Kani Jade</t>
        </is>
      </c>
      <c r="B81" s="425" t="inlineStr">
        <is>
          <t>AA</t>
        </is>
      </c>
      <c r="C81" s="425" t="inlineStr">
        <is>
          <t>FTH</t>
        </is>
      </c>
      <c r="D81" s="371" t="n">
        <v>79</v>
      </c>
      <c r="E81" s="425" t="n"/>
      <c r="F81" s="425" t="n"/>
      <c r="G81" s="425" t="n"/>
      <c r="H81" s="425" t="n"/>
      <c r="I81" s="371" t="n">
        <v>10</v>
      </c>
      <c r="J81" s="371">
        <f>D81+I81</f>
        <v/>
      </c>
      <c r="K81" s="371" t="n"/>
      <c r="L81" s="386" t="inlineStr">
        <is>
          <t>Yamato INTEL, Yamato Treasure Maps (10% chance)</t>
        </is>
      </c>
    </row>
    <row r="82">
      <c r="A82" s="434" t="inlineStr">
        <is>
          <t xml:space="preserve">   Lion-dogs Statue</t>
        </is>
      </c>
      <c r="B82" s="425" t="inlineStr">
        <is>
          <t>AA</t>
        </is>
      </c>
      <c r="C82" s="425" t="inlineStr">
        <is>
          <t>FTH</t>
        </is>
      </c>
      <c r="D82" s="371" t="n">
        <v>66</v>
      </c>
      <c r="E82" s="425" t="n"/>
      <c r="F82" s="425" t="n"/>
      <c r="G82" s="425" t="n"/>
      <c r="H82" s="425" t="n"/>
      <c r="I82" s="425" t="n"/>
      <c r="J82" s="371">
        <f>D82+I82</f>
        <v/>
      </c>
      <c r="K82" s="371" t="n"/>
      <c r="L82" s="390" t="inlineStr">
        <is>
          <t>Museum Operation Reward</t>
        </is>
      </c>
    </row>
    <row r="83">
      <c r="A83" s="434" t="inlineStr">
        <is>
          <t xml:space="preserve">   Ranjyatai Incense</t>
        </is>
      </c>
      <c r="B83" s="425" t="inlineStr">
        <is>
          <t>Blue</t>
        </is>
      </c>
      <c r="C83" s="425" t="inlineStr">
        <is>
          <t>FTH</t>
        </is>
      </c>
      <c r="D83" s="371" t="n">
        <v>45</v>
      </c>
      <c r="E83" s="425" t="n"/>
      <c r="F83" s="425" t="n"/>
      <c r="G83" s="425" t="n"/>
      <c r="H83" s="425" t="n"/>
      <c r="I83" s="425" t="n"/>
      <c r="J83" s="371">
        <f>D83+I83</f>
        <v/>
      </c>
      <c r="K83" s="371" t="n"/>
      <c r="L83" s="386" t="inlineStr">
        <is>
          <t>Lottery Machine #1 (0.07%), Wishing (2.1%), Novice Scrolls (1%)</t>
        </is>
      </c>
    </row>
    <row r="84">
      <c r="A84" s="434" t="inlineStr">
        <is>
          <t xml:space="preserve">   Aladdin Carpet</t>
        </is>
      </c>
      <c r="B84" s="425" t="inlineStr">
        <is>
          <t>SSS</t>
        </is>
      </c>
      <c r="C84" s="425" t="inlineStr">
        <is>
          <t>CIV</t>
        </is>
      </c>
      <c r="D84" s="371" t="n">
        <v>109</v>
      </c>
      <c r="E84" s="371" t="n">
        <v>362</v>
      </c>
      <c r="F84" s="371" t="n">
        <v>30</v>
      </c>
      <c r="G84" s="425" t="n"/>
      <c r="H84" s="425" t="n"/>
      <c r="I84" s="371" t="n">
        <v>15</v>
      </c>
      <c r="J84" s="371">
        <f>D84+I84</f>
        <v/>
      </c>
      <c r="K84" s="371">
        <f>E84+I84</f>
        <v/>
      </c>
      <c r="L84" s="386" t="inlineStr">
        <is>
          <t>Daily Silver Pack Relic #1</t>
        </is>
      </c>
    </row>
    <row r="85">
      <c r="A85" s="434" t="inlineStr">
        <is>
          <t xml:space="preserve">   Eight Proposals</t>
        </is>
      </c>
      <c r="B85" s="425" t="inlineStr">
        <is>
          <t>SS</t>
        </is>
      </c>
      <c r="C85" s="425" t="inlineStr">
        <is>
          <t>CIV</t>
        </is>
      </c>
      <c r="D85" s="371" t="n">
        <v>104</v>
      </c>
      <c r="E85" s="371">
        <f>64+66+60+104+53</f>
        <v/>
      </c>
      <c r="F85" s="425" t="n"/>
      <c r="G85" s="425" t="n"/>
      <c r="H85" s="425" t="n"/>
      <c r="I85" s="425" t="n"/>
      <c r="J85" s="371">
        <f>D85+I85</f>
        <v/>
      </c>
      <c r="K85" s="371">
        <f>E85+I85</f>
        <v/>
      </c>
      <c r="L85" s="386" t="inlineStr">
        <is>
          <t>Lottery Machine #2 (0.23%)</t>
        </is>
      </c>
    </row>
    <row r="86">
      <c r="A86" s="434" t="inlineStr">
        <is>
          <t xml:space="preserve">   The Tale of Genji</t>
        </is>
      </c>
      <c r="B86" s="425" t="inlineStr">
        <is>
          <t>S</t>
        </is>
      </c>
      <c r="C86" s="425" t="inlineStr">
        <is>
          <t>CIV</t>
        </is>
      </c>
      <c r="D86" s="371" t="n">
        <v>100</v>
      </c>
      <c r="E86" s="371" t="n">
        <v>332</v>
      </c>
      <c r="F86" s="425" t="n"/>
      <c r="G86" s="425" t="n"/>
      <c r="H86" s="425" t="n"/>
      <c r="I86" s="425" t="n"/>
      <c r="J86" s="371">
        <f>D86+I86</f>
        <v/>
      </c>
      <c r="K86" s="371">
        <f>E86+I86</f>
        <v/>
      </c>
      <c r="L86" s="386" t="inlineStr">
        <is>
          <t>Fragment Crafting (18.8%), Lottery Machine #1 (0.81%), Wishing (0.69%), Yamoto Treasure Map (5%), Master Scroll (6.5%), CIV Master Scroll (37.5%), Relic Forge (90 Relic RF)</t>
        </is>
      </c>
    </row>
    <row r="87">
      <c r="A87" s="434" t="inlineStr">
        <is>
          <t xml:space="preserve">   Paradise Lost</t>
        </is>
      </c>
      <c r="B87" s="425" t="inlineStr">
        <is>
          <t>S</t>
        </is>
      </c>
      <c r="C87" s="425" t="inlineStr">
        <is>
          <t>CIV</t>
        </is>
      </c>
      <c r="D87" s="371" t="n">
        <v>96</v>
      </c>
      <c r="E87" s="371" t="n">
        <v>332</v>
      </c>
      <c r="F87" s="425" t="n"/>
      <c r="G87" s="425" t="n"/>
      <c r="H87" s="425" t="n"/>
      <c r="I87" s="425" t="n"/>
      <c r="J87" s="371">
        <f>D87+I87</f>
        <v/>
      </c>
      <c r="K87" s="371">
        <f>E87+I87</f>
        <v/>
      </c>
      <c r="L87" s="386" t="inlineStr">
        <is>
          <t>Fragment Crafting (18.8%), Lottery Machine #1 (0.81%), Wishing (0.69%), Super Treasure Maps (15%), Master Scrolls (6.5%), CIV Master Scrolls (34.7%), Relic Forge (90 Relic RF)</t>
        </is>
      </c>
    </row>
    <row r="88">
      <c r="A88" s="434" t="inlineStr">
        <is>
          <t xml:space="preserve">   Rashomon</t>
        </is>
      </c>
      <c r="B88" s="425" t="inlineStr">
        <is>
          <t>AAA</t>
        </is>
      </c>
      <c r="C88" s="425" t="inlineStr">
        <is>
          <t>CIV</t>
        </is>
      </c>
      <c r="D88" s="371" t="n">
        <v>71</v>
      </c>
      <c r="E88" s="425" t="n"/>
      <c r="F88" s="425" t="n"/>
      <c r="G88" s="425" t="n"/>
      <c r="H88" s="425" t="n"/>
      <c r="I88" s="425" t="n"/>
      <c r="J88" s="371">
        <f>D88+I88</f>
        <v/>
      </c>
      <c r="K88" s="371" t="n"/>
      <c r="L88" s="386" t="inlineStr">
        <is>
          <t>Gastric Pouch</t>
        </is>
      </c>
    </row>
    <row r="89">
      <c r="A89" s="434" t="inlineStr">
        <is>
          <t xml:space="preserve">   Art of Ninja</t>
        </is>
      </c>
      <c r="B89" s="425" t="inlineStr">
        <is>
          <t>Blue</t>
        </is>
      </c>
      <c r="C89" s="425" t="inlineStr">
        <is>
          <t>CIV</t>
        </is>
      </c>
      <c r="D89" s="371" t="n">
        <v>48</v>
      </c>
      <c r="E89" s="425" t="n"/>
      <c r="F89" s="425" t="n"/>
      <c r="G89" s="425" t="n"/>
      <c r="H89" s="425" t="n"/>
      <c r="I89" s="425" t="n"/>
      <c r="J89" s="371">
        <f>D89+I89</f>
        <v/>
      </c>
      <c r="K89" s="371" t="n"/>
      <c r="L89" s="386" t="inlineStr">
        <is>
          <t>Yamato Treasure Maps (20%)</t>
        </is>
      </c>
    </row>
    <row r="90">
      <c r="A90" s="434" t="inlineStr">
        <is>
          <t xml:space="preserve">   Mendel's Law</t>
        </is>
      </c>
      <c r="B90" s="425" t="inlineStr">
        <is>
          <t>SSS</t>
        </is>
      </c>
      <c r="C90" s="425" t="inlineStr">
        <is>
          <t>TECH</t>
        </is>
      </c>
      <c r="D90" s="371" t="n">
        <v>109</v>
      </c>
      <c r="E90" s="371" t="n">
        <v>362</v>
      </c>
      <c r="F90" s="425" t="n"/>
      <c r="G90" s="425" t="n"/>
      <c r="H90" s="371" t="n"/>
      <c r="I90" s="371" t="n">
        <v>15</v>
      </c>
      <c r="J90" s="371">
        <f>D90+I90</f>
        <v/>
      </c>
      <c r="K90" s="371">
        <f>E90+I90</f>
        <v/>
      </c>
      <c r="L90" s="386" t="inlineStr">
        <is>
          <t>Maneater Sunny Feed</t>
        </is>
      </c>
    </row>
    <row r="91">
      <c r="A91" s="434" t="inlineStr">
        <is>
          <t xml:space="preserve">   Species Plantarum</t>
        </is>
      </c>
      <c r="B91" s="425" t="inlineStr">
        <is>
          <t>SSS</t>
        </is>
      </c>
      <c r="C91" s="425" t="inlineStr">
        <is>
          <t>TECH</t>
        </is>
      </c>
      <c r="D91" s="371" t="n">
        <v>106</v>
      </c>
      <c r="E91" s="371" t="n">
        <v>362</v>
      </c>
      <c r="F91" s="425" t="n"/>
      <c r="G91" s="425" t="n"/>
      <c r="H91" s="371" t="n">
        <v>3000</v>
      </c>
      <c r="I91" s="371" t="n">
        <v>15</v>
      </c>
      <c r="J91" s="371">
        <f>D91+I91</f>
        <v/>
      </c>
      <c r="K91" s="371">
        <f>E91+I91</f>
        <v/>
      </c>
      <c r="L91" s="386" t="inlineStr">
        <is>
          <t>Star Chart Shop</t>
        </is>
      </c>
    </row>
    <row r="92">
      <c r="A92" s="434" t="inlineStr">
        <is>
          <t xml:space="preserve">   SC Energy Storage Unit</t>
        </is>
      </c>
      <c r="B92" s="425" t="inlineStr">
        <is>
          <t>SS</t>
        </is>
      </c>
      <c r="C92" s="425" t="inlineStr">
        <is>
          <t>TECH</t>
        </is>
      </c>
      <c r="D92" s="371" t="n">
        <v>103</v>
      </c>
      <c r="E92" s="425" t="n">
        <v>347</v>
      </c>
      <c r="F92" s="425" t="n"/>
      <c r="G92" s="425" t="n"/>
      <c r="H92" s="425" t="n"/>
      <c r="I92" s="425" t="n"/>
      <c r="J92" s="371">
        <f>D92+I92</f>
        <v/>
      </c>
      <c r="K92" s="371">
        <f>E92+I92</f>
        <v/>
      </c>
      <c r="L92" s="386" t="inlineStr">
        <is>
          <t>Lottery Machine #2 (0.47%)</t>
        </is>
      </c>
    </row>
    <row r="93">
      <c r="A93" s="434" t="inlineStr">
        <is>
          <t xml:space="preserve">   Sputnik 1</t>
        </is>
      </c>
      <c r="B93" s="425" t="inlineStr">
        <is>
          <t>SS</t>
        </is>
      </c>
      <c r="C93" s="425" t="inlineStr">
        <is>
          <t>TECH</t>
        </is>
      </c>
      <c r="D93" s="371" t="n">
        <v>104</v>
      </c>
      <c r="E93" s="371" t="n">
        <v>347</v>
      </c>
      <c r="F93" s="425" t="n"/>
      <c r="G93" s="425" t="n"/>
      <c r="H93" s="425" t="n"/>
      <c r="I93" s="425" t="n"/>
      <c r="J93" s="371">
        <f>D93+I93</f>
        <v/>
      </c>
      <c r="K93" s="371">
        <f>E93+I93</f>
        <v/>
      </c>
      <c r="L93" s="418" t="inlineStr">
        <is>
          <t>Fragment Crafting (3.9%), Lottery Machine #1 (0.18%), Wishing (0.14%), Club Chest (1%), Grandmaster Scrolls (1.5%)</t>
        </is>
      </c>
    </row>
    <row r="94">
      <c r="A94" s="434" t="inlineStr">
        <is>
          <t xml:space="preserve">   5th Element</t>
        </is>
      </c>
      <c r="B94" s="425" t="inlineStr">
        <is>
          <t>SS</t>
        </is>
      </c>
      <c r="C94" s="425" t="inlineStr">
        <is>
          <t>TECH</t>
        </is>
      </c>
      <c r="D94" s="371" t="n">
        <v>103</v>
      </c>
      <c r="E94" s="371" t="n">
        <v>347</v>
      </c>
      <c r="F94" s="425" t="n"/>
      <c r="G94" s="425" t="n"/>
      <c r="H94" s="425" t="n"/>
      <c r="I94" s="425" t="n"/>
      <c r="J94" s="371">
        <f>D94+I94</f>
        <v/>
      </c>
      <c r="K94" s="371">
        <f>E94+I94</f>
        <v/>
      </c>
      <c r="L94" s="418" t="inlineStr">
        <is>
          <t>Fragment Crafting (5.2%), Lottery Machine #1 (0.24%), Wishing (0.19%), Master Scrolls (1.9%), Grandmaster Scrolls (2.1%), TECH Master Scrolls (9.2%)</t>
        </is>
      </c>
    </row>
    <row r="95">
      <c r="A95" s="434" t="inlineStr">
        <is>
          <t xml:space="preserve">   Tokamak</t>
        </is>
      </c>
      <c r="B95" s="425" t="inlineStr">
        <is>
          <t>SS</t>
        </is>
      </c>
      <c r="C95" s="425" t="inlineStr">
        <is>
          <t>TECH</t>
        </is>
      </c>
      <c r="D95" s="371" t="n">
        <v>102</v>
      </c>
      <c r="E95" s="371" t="n">
        <v>347</v>
      </c>
      <c r="F95" s="425" t="n"/>
      <c r="G95" s="425" t="n"/>
      <c r="H95" s="425" t="n"/>
      <c r="I95" s="425" t="n"/>
      <c r="J95" s="371">
        <f>D95+I95</f>
        <v/>
      </c>
      <c r="K95" s="371">
        <f>E95+I95</f>
        <v/>
      </c>
      <c r="L95" s="418" t="inlineStr">
        <is>
          <t>Fragment Crafting (5.2%), Lottery Machine #1 (0.24%), Wishing (1.9%), Master Scrolls (1.9%), Grandmaster Scrolls (2.1%), TECH Master Scrolls (9.2%)</t>
        </is>
      </c>
    </row>
    <row r="96">
      <c r="A96" s="434" t="inlineStr">
        <is>
          <t xml:space="preserve">   Diffraction Device</t>
        </is>
      </c>
      <c r="B96" s="425" t="inlineStr">
        <is>
          <t>S</t>
        </is>
      </c>
      <c r="C96" s="425" t="inlineStr">
        <is>
          <t>TECH</t>
        </is>
      </c>
      <c r="D96" s="371" t="n">
        <v>97</v>
      </c>
      <c r="E96" s="425">
        <f>63+56+62+54+97</f>
        <v/>
      </c>
      <c r="F96" s="425" t="n"/>
      <c r="G96" s="425" t="n"/>
      <c r="H96" s="425" t="n"/>
      <c r="I96" s="425" t="n"/>
      <c r="J96" s="371">
        <f>D96+I96</f>
        <v/>
      </c>
      <c r="K96" s="371">
        <f>E96+I96</f>
        <v/>
      </c>
      <c r="L96" s="386" t="inlineStr">
        <is>
          <t>Lottery Machine #2 (1.59%)</t>
        </is>
      </c>
    </row>
    <row r="97">
      <c r="A97" s="434" t="inlineStr">
        <is>
          <t xml:space="preserve">   Mars Rover</t>
        </is>
      </c>
      <c r="B97" s="425" t="inlineStr">
        <is>
          <t>AAA</t>
        </is>
      </c>
      <c r="C97" s="425" t="inlineStr">
        <is>
          <t>TECH</t>
        </is>
      </c>
      <c r="D97" s="371" t="n">
        <v>75</v>
      </c>
      <c r="E97" s="425" t="n"/>
      <c r="F97" s="425" t="n"/>
      <c r="G97" s="425" t="n"/>
      <c r="H97" s="425" t="n"/>
      <c r="I97" s="425" t="n"/>
      <c r="J97" s="371">
        <f>D97+I97</f>
        <v/>
      </c>
      <c r="K97" s="371" t="n"/>
      <c r="L97" s="418" t="inlineStr">
        <is>
          <t>Fragment Crafting (1.6%), Lottery Machine #1(0.03%), Wishing (0.14%), Evolution Chest (1.5%), Relic Forge (80 Relic RF)</t>
        </is>
      </c>
    </row>
    <row r="98">
      <c r="A98" s="434" t="inlineStr">
        <is>
          <t xml:space="preserve">   Tesla Coil</t>
        </is>
      </c>
      <c r="B98" s="425" t="inlineStr">
        <is>
          <t>AAA</t>
        </is>
      </c>
      <c r="C98" s="425" t="inlineStr">
        <is>
          <t>TECH</t>
        </is>
      </c>
      <c r="D98" s="371" t="n">
        <v>73</v>
      </c>
      <c r="E98" s="425" t="n"/>
      <c r="F98" s="425" t="n"/>
      <c r="G98" s="425" t="n"/>
      <c r="H98" s="425" t="n"/>
      <c r="I98" s="425" t="n"/>
      <c r="J98" s="371">
        <f>D98+I98</f>
        <v/>
      </c>
      <c r="K98" s="371" t="n"/>
      <c r="L98" s="418" t="inlineStr">
        <is>
          <t>Fragment Crafting (1.6%), Lottery Machine #1 (0.03%), Wishing (0.14%), Tool Chest (1.5%), Relic Forge (80 Relic RF)</t>
        </is>
      </c>
    </row>
    <row r="99">
      <c r="A99" s="362" t="inlineStr">
        <is>
          <t xml:space="preserve">   Klein Bottle</t>
        </is>
      </c>
      <c r="B99" s="411" t="inlineStr">
        <is>
          <t>Blue</t>
        </is>
      </c>
      <c r="C99" s="411" t="inlineStr">
        <is>
          <t>TECH</t>
        </is>
      </c>
      <c r="D99" s="364" t="n">
        <v>48</v>
      </c>
      <c r="E99" s="411" t="n"/>
      <c r="F99" s="411" t="n"/>
      <c r="G99" s="411" t="n"/>
      <c r="H99" s="411" t="n"/>
      <c r="I99" s="411" t="n"/>
      <c r="J99" s="364">
        <f>D99+I99</f>
        <v/>
      </c>
      <c r="K99" s="364" t="n"/>
      <c r="L99" s="426" t="inlineStr">
        <is>
          <t>Lottery Machine #1 (0.07%), Wishing (2.6%), Novice Scrolls (1%)</t>
        </is>
      </c>
    </row>
    <row r="100">
      <c r="A100" s="121" t="n"/>
      <c r="B100" s="425" t="n"/>
      <c r="C100" s="425" t="n"/>
      <c r="D100" s="425" t="n"/>
      <c r="E100" s="425" t="n"/>
      <c r="F100" s="425" t="n"/>
      <c r="G100" s="425" t="n"/>
      <c r="H100" s="425" t="n"/>
      <c r="I100" s="425" t="n"/>
      <c r="J100" s="425" t="n"/>
      <c r="K100" s="425" t="n"/>
      <c r="L100" s="425" t="n"/>
    </row>
    <row r="101">
      <c r="A101" s="425" t="n"/>
      <c r="B101" s="425" t="n"/>
      <c r="C101" s="425" t="n"/>
      <c r="D101" s="425" t="n"/>
      <c r="E101" s="425" t="n"/>
      <c r="F101" s="425" t="n"/>
      <c r="G101" s="425" t="n"/>
      <c r="H101" s="425" t="n"/>
      <c r="I101" s="425" t="n"/>
      <c r="J101" s="425" t="n"/>
      <c r="K101" s="425" t="n"/>
      <c r="L101" s="425" t="n"/>
    </row>
    <row r="102">
      <c r="A102" s="344" t="inlineStr">
        <is>
          <t>MUSEUM LAYOUT</t>
        </is>
      </c>
      <c r="B102" s="406" t="n"/>
      <c r="C102" s="406" t="inlineStr">
        <is>
          <t>Restriction</t>
        </is>
      </c>
      <c r="D102" s="406" t="inlineStr">
        <is>
          <t>Used</t>
        </is>
      </c>
      <c r="E102" s="406" t="inlineStr">
        <is>
          <t>Museum Score</t>
        </is>
      </c>
      <c r="F102" s="406" t="inlineStr">
        <is>
          <t>Medal Output</t>
        </is>
      </c>
      <c r="G102" s="406" t="inlineStr">
        <is>
          <t>Wish Coin Cost</t>
        </is>
      </c>
      <c r="H102" s="129" t="inlineStr">
        <is>
          <t>Btad Output</t>
        </is>
      </c>
      <c r="I102" s="425" t="n"/>
      <c r="J102" s="425" t="n"/>
      <c r="K102" s="425" t="n"/>
      <c r="L102" s="425" t="n"/>
    </row>
    <row r="103">
      <c r="A103" s="126" t="n">
        <v>1</v>
      </c>
      <c r="B103" s="425" t="inlineStr">
        <is>
          <t>ALL</t>
        </is>
      </c>
      <c r="C103" s="425" t="n"/>
      <c r="D103" s="425" t="inlineStr">
        <is>
          <t>Species Plantarum</t>
        </is>
      </c>
      <c r="E103" s="371">
        <f>K91</f>
        <v/>
      </c>
      <c r="F103" s="425" t="n"/>
      <c r="G103" s="425" t="n"/>
      <c r="H103" s="127">
        <f>H91</f>
        <v/>
      </c>
      <c r="I103" s="371" t="n"/>
      <c r="J103" s="425" t="n"/>
      <c r="K103" s="425" t="n"/>
      <c r="L103" s="425" t="n"/>
    </row>
    <row r="104">
      <c r="A104" s="126" t="n">
        <v>2</v>
      </c>
      <c r="B104" s="425" t="inlineStr">
        <is>
          <t>CIV</t>
        </is>
      </c>
      <c r="C104" s="425" t="inlineStr">
        <is>
          <t>Tales of Genji</t>
        </is>
      </c>
      <c r="D104" s="425" t="inlineStr">
        <is>
          <t>Tales of Genji</t>
        </is>
      </c>
      <c r="E104" s="371">
        <f>J86</f>
        <v/>
      </c>
      <c r="F104" s="425" t="n"/>
      <c r="G104" s="425" t="n"/>
      <c r="H104" s="418" t="n"/>
      <c r="I104" s="425" t="n"/>
      <c r="J104" s="425" t="n"/>
      <c r="K104" s="425" t="n"/>
      <c r="L104" s="425" t="n"/>
    </row>
    <row r="105">
      <c r="A105" s="126" t="n">
        <v>3</v>
      </c>
      <c r="B105" s="425" t="inlineStr">
        <is>
          <t>FTH</t>
        </is>
      </c>
      <c r="C105" s="425" t="inlineStr">
        <is>
          <t>Kani Jade</t>
        </is>
      </c>
      <c r="D105" s="425" t="inlineStr">
        <is>
          <t>Kani Jade</t>
        </is>
      </c>
      <c r="E105" s="371">
        <f>J81</f>
        <v/>
      </c>
      <c r="F105" s="425" t="n"/>
      <c r="G105" s="425" t="n"/>
      <c r="H105" s="418" t="n"/>
      <c r="I105" s="425" t="n"/>
      <c r="J105" s="425" t="n"/>
      <c r="K105" s="425" t="n"/>
      <c r="L105" s="425" t="n"/>
    </row>
    <row r="106">
      <c r="A106" s="126" t="n">
        <v>4</v>
      </c>
      <c r="B106" s="425" t="inlineStr">
        <is>
          <t>ART</t>
        </is>
      </c>
      <c r="C106" s="425" t="inlineStr">
        <is>
          <t>Great Wave</t>
        </is>
      </c>
      <c r="D106" s="425" t="inlineStr">
        <is>
          <t>Great Wave</t>
        </is>
      </c>
      <c r="E106" s="371">
        <f>J74</f>
        <v/>
      </c>
      <c r="F106" s="425" t="n"/>
      <c r="G106" s="425" t="n"/>
      <c r="H106" s="418" t="n"/>
      <c r="I106" s="425" t="n"/>
      <c r="J106" s="425" t="n"/>
      <c r="K106" s="425" t="n"/>
      <c r="L106" s="425" t="n"/>
    </row>
    <row r="107">
      <c r="A107" s="126" t="n">
        <v>5</v>
      </c>
      <c r="B107" s="425" t="inlineStr">
        <is>
          <t>FAME</t>
        </is>
      </c>
      <c r="C107" s="425" t="n"/>
      <c r="D107" s="425" t="inlineStr">
        <is>
          <t>Metchnikoff's Manuscripts</t>
        </is>
      </c>
      <c r="E107" s="371">
        <f>J65</f>
        <v/>
      </c>
      <c r="F107" s="425" t="n"/>
      <c r="G107" s="425" t="n"/>
      <c r="H107" s="418">
        <f>H65</f>
        <v/>
      </c>
      <c r="I107" s="425" t="n"/>
      <c r="J107" s="425" t="n"/>
      <c r="K107" s="425" t="n"/>
      <c r="L107" s="425" t="n"/>
    </row>
    <row r="108">
      <c r="A108" s="126" t="n">
        <v>6</v>
      </c>
      <c r="B108" s="425" t="inlineStr">
        <is>
          <t>FAME</t>
        </is>
      </c>
      <c r="C108" s="425" t="n"/>
      <c r="D108" s="425" t="inlineStr">
        <is>
          <t>Manga Manuscript</t>
        </is>
      </c>
      <c r="E108" s="371">
        <f>J67</f>
        <v/>
      </c>
      <c r="F108" s="425">
        <f>F66</f>
        <v/>
      </c>
      <c r="G108" s="425" t="n"/>
      <c r="H108" s="418" t="n"/>
      <c r="I108" s="425" t="n"/>
      <c r="J108" s="425" t="n"/>
      <c r="K108" s="425" t="n"/>
      <c r="L108" s="425" t="n"/>
    </row>
    <row r="109">
      <c r="A109" s="126" t="n">
        <v>7</v>
      </c>
      <c r="B109" s="425" t="inlineStr">
        <is>
          <t>FAME</t>
        </is>
      </c>
      <c r="C109" s="425" t="n"/>
      <c r="D109" s="425" t="inlineStr">
        <is>
          <t>Cross of Lorraine</t>
        </is>
      </c>
      <c r="E109" s="371">
        <f>J68</f>
        <v/>
      </c>
      <c r="F109" s="425" t="n"/>
      <c r="G109" s="425" t="n"/>
      <c r="H109" s="418" t="n"/>
      <c r="I109" s="425" t="n"/>
      <c r="J109" s="425" t="n"/>
      <c r="K109" s="425" t="n"/>
      <c r="L109" s="425" t="n"/>
    </row>
    <row r="110">
      <c r="A110" s="126" t="n">
        <v>8</v>
      </c>
      <c r="B110" s="425" t="inlineStr">
        <is>
          <t>ART</t>
        </is>
      </c>
      <c r="C110" s="425" t="n"/>
      <c r="D110" s="669" t="inlineStr">
        <is>
          <t>Veiled Lady</t>
        </is>
      </c>
      <c r="E110" s="669">
        <f>J71</f>
        <v/>
      </c>
      <c r="F110" s="425" t="n"/>
      <c r="G110" s="425" t="n"/>
      <c r="H110" s="418" t="n"/>
      <c r="I110" s="425" t="n"/>
      <c r="J110" s="425" t="n"/>
      <c r="K110" s="425" t="n"/>
      <c r="L110" s="425" t="n"/>
    </row>
    <row r="111">
      <c r="A111" s="126" t="n">
        <v>9</v>
      </c>
      <c r="B111" s="425" t="inlineStr">
        <is>
          <t>ART</t>
        </is>
      </c>
      <c r="C111" s="425" t="n"/>
      <c r="D111" s="425" t="inlineStr">
        <is>
          <t>Taurus</t>
        </is>
      </c>
      <c r="E111" s="371">
        <f>J69</f>
        <v/>
      </c>
      <c r="F111" s="425" t="n"/>
      <c r="G111" s="425" t="n"/>
      <c r="H111" s="418" t="n"/>
      <c r="I111" s="425" t="n"/>
      <c r="J111" s="425" t="n"/>
      <c r="K111" s="425" t="n"/>
      <c r="L111" s="425" t="n"/>
    </row>
    <row r="112">
      <c r="A112" s="126" t="n">
        <v>10</v>
      </c>
      <c r="B112" s="425" t="inlineStr">
        <is>
          <t>FTH</t>
        </is>
      </c>
      <c r="C112" s="425" t="n"/>
      <c r="D112" s="425" t="inlineStr">
        <is>
          <t>Medium Rune</t>
        </is>
      </c>
      <c r="E112" s="371">
        <f>J77</f>
        <v/>
      </c>
      <c r="F112" s="425">
        <f>F77</f>
        <v/>
      </c>
      <c r="G112" s="425" t="n"/>
      <c r="H112" s="418" t="n"/>
      <c r="I112" s="425" t="n"/>
      <c r="J112" s="425" t="n"/>
      <c r="K112" s="425" t="n"/>
      <c r="L112" s="425" t="n"/>
    </row>
    <row r="113">
      <c r="A113" s="126" t="n">
        <v>11</v>
      </c>
      <c r="B113" s="425" t="inlineStr">
        <is>
          <t>FTH</t>
        </is>
      </c>
      <c r="C113" s="425" t="n"/>
      <c r="D113" s="425" t="inlineStr">
        <is>
          <t>Bhagawata Purana</t>
        </is>
      </c>
      <c r="E113" s="371">
        <f>J78</f>
        <v/>
      </c>
      <c r="F113" s="425" t="n"/>
      <c r="G113" s="425" t="n"/>
      <c r="H113" s="418" t="n"/>
      <c r="I113" s="425" t="n"/>
      <c r="J113" s="425" t="n"/>
      <c r="K113" s="425" t="n"/>
      <c r="L113" s="425" t="n"/>
    </row>
    <row r="114">
      <c r="A114" s="126" t="n">
        <v>12</v>
      </c>
      <c r="B114" s="425" t="inlineStr">
        <is>
          <t>CIV</t>
        </is>
      </c>
      <c r="C114" s="425" t="n"/>
      <c r="D114" s="425" t="inlineStr">
        <is>
          <t>Aladdin Carpet</t>
        </is>
      </c>
      <c r="E114" s="371">
        <f>J84</f>
        <v/>
      </c>
      <c r="F114" s="371">
        <f>F84</f>
        <v/>
      </c>
      <c r="G114" s="425" t="n"/>
      <c r="H114" s="418" t="n"/>
      <c r="I114" s="425" t="n"/>
      <c r="J114" s="425" t="n"/>
      <c r="K114" s="425" t="n"/>
      <c r="L114" s="425" t="n"/>
    </row>
    <row r="115">
      <c r="A115" s="126" t="n">
        <v>13</v>
      </c>
      <c r="B115" s="425" t="inlineStr">
        <is>
          <t>CIV</t>
        </is>
      </c>
      <c r="C115" s="425" t="n"/>
      <c r="D115" s="425" t="inlineStr">
        <is>
          <t>Eight Proposals</t>
        </is>
      </c>
      <c r="E115" s="371">
        <f>J85</f>
        <v/>
      </c>
      <c r="F115" s="425" t="n"/>
      <c r="G115" s="425" t="n"/>
      <c r="H115" s="418" t="n"/>
      <c r="I115" s="425" t="n"/>
      <c r="J115" s="425" t="n"/>
      <c r="K115" s="425" t="n"/>
      <c r="L115" s="425" t="n"/>
    </row>
    <row r="116">
      <c r="A116" s="126" t="n">
        <v>14</v>
      </c>
      <c r="B116" s="425" t="inlineStr">
        <is>
          <t>TECH</t>
        </is>
      </c>
      <c r="C116" s="425" t="n"/>
      <c r="D116" s="425" t="inlineStr">
        <is>
          <t>Mendel's Law</t>
        </is>
      </c>
      <c r="E116" s="906">
        <f>J90</f>
        <v/>
      </c>
      <c r="F116" s="425" t="n"/>
      <c r="G116" s="425" t="n"/>
      <c r="H116" s="418" t="n"/>
      <c r="I116" s="425" t="n"/>
      <c r="J116" s="425" t="n"/>
      <c r="K116" s="425" t="n"/>
      <c r="L116" s="425" t="n"/>
    </row>
    <row r="117">
      <c r="A117" s="126" t="n">
        <v>15</v>
      </c>
      <c r="B117" s="425" t="inlineStr">
        <is>
          <t>TECH</t>
        </is>
      </c>
      <c r="C117" s="425" t="n"/>
      <c r="D117" s="425" t="inlineStr">
        <is>
          <t>Sputnik 1</t>
        </is>
      </c>
      <c r="E117" s="371">
        <f>J93</f>
        <v/>
      </c>
      <c r="F117" s="425" t="n"/>
      <c r="G117" s="425" t="n"/>
      <c r="H117" s="418" t="n"/>
      <c r="I117" s="425" t="n"/>
      <c r="J117" s="425" t="n"/>
      <c r="K117" s="425" t="n"/>
      <c r="L117" s="425" t="n"/>
    </row>
    <row r="118">
      <c r="A118" s="126" t="n">
        <v>16</v>
      </c>
      <c r="B118" s="425" t="inlineStr">
        <is>
          <t>TECH</t>
        </is>
      </c>
      <c r="C118" s="425" t="n"/>
      <c r="D118" s="669" t="inlineStr">
        <is>
          <t>SC Energy Storage Unit</t>
        </is>
      </c>
      <c r="E118" s="669">
        <f>J92</f>
        <v/>
      </c>
      <c r="F118" s="425" t="n"/>
      <c r="G118" s="425" t="n"/>
      <c r="H118" s="418" t="n"/>
      <c r="I118" s="425" t="n"/>
      <c r="J118" s="425" t="n"/>
      <c r="K118" s="425" t="n"/>
      <c r="L118" s="425" t="n"/>
    </row>
    <row r="119">
      <c r="A119" s="362" t="n"/>
      <c r="B119" s="411" t="n"/>
      <c r="C119" s="411" t="n"/>
      <c r="D119" s="411" t="inlineStr">
        <is>
          <t>TOTAL</t>
        </is>
      </c>
      <c r="E119" s="364">
        <f>SUM(E103:E118)</f>
        <v/>
      </c>
      <c r="F119" s="364">
        <f>SUM(F103:F118)</f>
        <v/>
      </c>
      <c r="G119" s="364">
        <f>SUM(G103:G118)</f>
        <v/>
      </c>
      <c r="H119" s="115">
        <f>SUM(H103:H118)</f>
        <v/>
      </c>
      <c r="I119" s="371" t="n"/>
      <c r="J119" s="425" t="n"/>
      <c r="K119" s="425" t="n"/>
      <c r="L119" s="425" t="n"/>
    </row>
    <row r="120"/>
    <row r="121"/>
    <row r="122"/>
    <row r="123"/>
    <row r="124"/>
    <row r="125"/>
    <row r="126"/>
    <row r="127"/>
    <row r="128"/>
    <row r="129">
      <c r="A129" s="344" t="n"/>
      <c r="B129" s="406" t="n"/>
      <c r="C129" s="406" t="n"/>
      <c r="D129" s="406" t="inlineStr">
        <is>
          <t>Main AFFCT</t>
        </is>
      </c>
      <c r="E129" s="406" t="inlineStr">
        <is>
          <t>Total AFFCT</t>
        </is>
      </c>
      <c r="F129" s="406" t="inlineStr">
        <is>
          <t>Medal Output</t>
        </is>
      </c>
      <c r="G129" s="406" t="inlineStr">
        <is>
          <t>Wish Coin Cost</t>
        </is>
      </c>
      <c r="H129" s="406" t="inlineStr">
        <is>
          <t>Btad Output</t>
        </is>
      </c>
      <c r="I129" s="406" t="inlineStr">
        <is>
          <t>AFFCT Boost</t>
        </is>
      </c>
      <c r="J129" s="406" t="inlineStr">
        <is>
          <t>Effective AFFCT</t>
        </is>
      </c>
      <c r="K129" s="406" t="inlineStr">
        <is>
          <t>Total Effective AFFCT</t>
        </is>
      </c>
      <c r="L129" s="129" t="n"/>
    </row>
    <row r="130">
      <c r="A130" s="357" t="inlineStr">
        <is>
          <t>CATHAY</t>
        </is>
      </c>
      <c r="B130" s="425" t="n"/>
      <c r="C130" s="425" t="n"/>
      <c r="D130" s="425" t="n"/>
      <c r="E130" s="425" t="n"/>
      <c r="F130" s="425" t="n"/>
      <c r="G130" s="425" t="n"/>
      <c r="H130" s="425" t="n"/>
      <c r="I130" s="425" t="n"/>
      <c r="J130" s="425" t="n"/>
      <c r="K130" s="425" t="n"/>
      <c r="L130" s="418" t="n"/>
    </row>
    <row r="131">
      <c r="A131" s="434" t="inlineStr">
        <is>
          <t>INDIVIDUAL RELICS</t>
        </is>
      </c>
      <c r="B131" s="425" t="n"/>
      <c r="C131" s="425" t="n"/>
      <c r="D131" s="425" t="n"/>
      <c r="E131" s="425" t="n"/>
      <c r="F131" s="425" t="n"/>
      <c r="G131" s="425" t="n"/>
      <c r="H131" s="425" t="n"/>
      <c r="I131" s="425" t="n"/>
      <c r="J131" s="425" t="n"/>
      <c r="K131" s="425" t="n"/>
      <c r="L131" s="418" t="n"/>
    </row>
    <row r="132">
      <c r="A132" s="434" t="inlineStr">
        <is>
          <t xml:space="preserve">   Imperial Jade</t>
        </is>
      </c>
      <c r="B132" s="425" t="inlineStr">
        <is>
          <t>S</t>
        </is>
      </c>
      <c r="C132" s="425" t="inlineStr">
        <is>
          <t>FAME</t>
        </is>
      </c>
      <c r="D132" s="371" t="n">
        <v>99</v>
      </c>
      <c r="E132" s="371" t="n">
        <v>332</v>
      </c>
      <c r="F132" s="425" t="n"/>
      <c r="G132" s="425" t="n"/>
      <c r="H132" s="425" t="n"/>
      <c r="I132" s="371" t="n">
        <v>300</v>
      </c>
      <c r="J132" s="371">
        <f>D132+I132</f>
        <v/>
      </c>
      <c r="K132" s="371">
        <f>E132+I132</f>
        <v/>
      </c>
      <c r="L132" s="418" t="inlineStr">
        <is>
          <t>Fragment Crafting (20.7%), Lottery Machine #1 (0.81%), Wishing (0.75%), Cathay Treasure Maps (5%), Relic Forge (90 Relic RF)</t>
        </is>
      </c>
    </row>
    <row r="133">
      <c r="A133" s="434" t="inlineStr">
        <is>
          <t xml:space="preserve">   Yongle Encyclopedia</t>
        </is>
      </c>
      <c r="B133" s="425" t="inlineStr">
        <is>
          <t>SSS</t>
        </is>
      </c>
      <c r="C133" s="425" t="inlineStr">
        <is>
          <t>FAME</t>
        </is>
      </c>
      <c r="D133" s="371" t="n">
        <v>108</v>
      </c>
      <c r="E133" s="371" t="n">
        <v>362</v>
      </c>
      <c r="F133" s="425" t="n"/>
      <c r="G133" s="425" t="n"/>
      <c r="H133" s="425" t="n"/>
      <c r="I133" s="371" t="n">
        <v>15</v>
      </c>
      <c r="J133" s="371">
        <f>D133+I133</f>
        <v/>
      </c>
      <c r="K133" s="371">
        <f>E133+I133</f>
        <v/>
      </c>
      <c r="L133" s="418" t="inlineStr">
        <is>
          <t>Traveler's Pack Reward #8</t>
        </is>
      </c>
    </row>
    <row r="134">
      <c r="A134" s="434" t="inlineStr">
        <is>
          <t xml:space="preserve">   Time-Travel Box</t>
        </is>
      </c>
      <c r="B134" s="425" t="inlineStr">
        <is>
          <t>SS</t>
        </is>
      </c>
      <c r="C134" s="425" t="inlineStr">
        <is>
          <t>FAME</t>
        </is>
      </c>
      <c r="D134" s="371" t="n">
        <v>103</v>
      </c>
      <c r="E134" s="371" t="n">
        <v>347</v>
      </c>
      <c r="F134" s="425" t="n"/>
      <c r="G134" s="425" t="n"/>
      <c r="H134" s="425" t="n"/>
      <c r="I134" s="371" t="n">
        <v>15</v>
      </c>
      <c r="J134" s="371">
        <f>D134+I134</f>
        <v/>
      </c>
      <c r="K134" s="371">
        <f>E134+I134</f>
        <v/>
      </c>
      <c r="L134" s="418" t="inlineStr">
        <is>
          <t>Fragment Crafting (4.6%), Lottery Machine #1 (0.18%), Wishing (0.17%), Dragon Chest (5%), Grandmaster Scrolls (1.5%)</t>
        </is>
      </c>
    </row>
    <row r="135">
      <c r="A135" s="434" t="inlineStr">
        <is>
          <t xml:space="preserve">   Terracotta Warrior</t>
        </is>
      </c>
      <c r="B135" s="425" t="inlineStr">
        <is>
          <t>SSS</t>
        </is>
      </c>
      <c r="C135" s="425" t="inlineStr">
        <is>
          <t>FAME</t>
        </is>
      </c>
      <c r="D135" s="371" t="n">
        <v>108</v>
      </c>
      <c r="E135" s="371" t="n">
        <v>362</v>
      </c>
      <c r="F135" s="425" t="n"/>
      <c r="G135" s="425" t="n"/>
      <c r="H135" s="425" t="n"/>
      <c r="I135" s="425" t="n"/>
      <c r="J135" s="371">
        <f>D135+I135</f>
        <v/>
      </c>
      <c r="K135" s="371">
        <f>E135+I135</f>
        <v/>
      </c>
      <c r="L135" s="386" t="inlineStr">
        <is>
          <t>Lottery Machine #2 (0.12%), Relic Forge (120 Relic RF)</t>
        </is>
      </c>
    </row>
    <row r="136">
      <c r="A136" s="434" t="inlineStr">
        <is>
          <t xml:space="preserve">   Gordian Knot</t>
        </is>
      </c>
      <c r="B136" s="425" t="inlineStr">
        <is>
          <t>AAA</t>
        </is>
      </c>
      <c r="C136" s="425" t="inlineStr">
        <is>
          <t>FAME</t>
        </is>
      </c>
      <c r="D136" s="371" t="n">
        <v>71</v>
      </c>
      <c r="E136" s="425" t="n"/>
      <c r="F136" s="425" t="n"/>
      <c r="G136" s="425" t="n"/>
      <c r="H136" s="425" t="n"/>
      <c r="I136" s="371" t="n">
        <v>10</v>
      </c>
      <c r="J136" s="371">
        <f>D136+I136</f>
        <v/>
      </c>
      <c r="K136" s="371" t="n"/>
      <c r="L136" s="386" t="inlineStr">
        <is>
          <t>Fragment Crafting (1.6%), Lottery Machine #1 (0.03%), Wishing (0.14%), Relic Forge (80 Relic RF)</t>
        </is>
      </c>
    </row>
    <row r="137">
      <c r="A137" s="434" t="inlineStr">
        <is>
          <t xml:space="preserve">   Bronze Bird</t>
        </is>
      </c>
      <c r="B137" s="425" t="inlineStr">
        <is>
          <t>Blue</t>
        </is>
      </c>
      <c r="C137" s="425" t="inlineStr">
        <is>
          <t>FAME</t>
        </is>
      </c>
      <c r="D137" s="371" t="n">
        <v>44</v>
      </c>
      <c r="E137" s="425" t="n"/>
      <c r="F137" s="425" t="n"/>
      <c r="G137" s="425" t="n"/>
      <c r="H137" s="425" t="n"/>
      <c r="I137" s="425" t="n"/>
      <c r="J137" s="371">
        <f>D137+I137</f>
        <v/>
      </c>
      <c r="K137" s="371" t="n"/>
      <c r="L137" s="386" t="inlineStr">
        <is>
          <t>Cathay Treasure Map (20%)</t>
        </is>
      </c>
    </row>
    <row r="138">
      <c r="A138" s="434" t="inlineStr">
        <is>
          <t xml:space="preserve">   Along the River</t>
        </is>
      </c>
      <c r="B138" s="425" t="inlineStr">
        <is>
          <t>SSS</t>
        </is>
      </c>
      <c r="C138" s="425" t="inlineStr">
        <is>
          <t>ART</t>
        </is>
      </c>
      <c r="D138" s="371" t="n">
        <v>108</v>
      </c>
      <c r="E138" s="371" t="n">
        <v>362</v>
      </c>
      <c r="F138" s="425" t="n"/>
      <c r="G138" s="425" t="n"/>
      <c r="H138" s="425" t="n"/>
      <c r="I138" s="425" t="n"/>
      <c r="J138" s="371">
        <f>D138+I138</f>
        <v/>
      </c>
      <c r="K138" s="371">
        <f>E138+I138</f>
        <v/>
      </c>
      <c r="L138" s="386" t="inlineStr">
        <is>
          <t>Lottery Machine #2 (0.12%), Indigent Nobelman (810k B-tads)</t>
        </is>
      </c>
    </row>
    <row r="139">
      <c r="A139" s="434" t="inlineStr">
        <is>
          <t xml:space="preserve">   Tail-burned Guqin</t>
        </is>
      </c>
      <c r="B139" s="425" t="inlineStr">
        <is>
          <t>SSS</t>
        </is>
      </c>
      <c r="C139" s="425" t="inlineStr">
        <is>
          <t>ART</t>
        </is>
      </c>
      <c r="D139" s="371" t="n">
        <v>108</v>
      </c>
      <c r="E139" s="425" t="n">
        <v>362</v>
      </c>
      <c r="F139" s="425" t="n">
        <v>30</v>
      </c>
      <c r="G139" s="425" t="n"/>
      <c r="H139" s="425" t="n"/>
      <c r="I139" s="425" t="n"/>
      <c r="J139" s="371">
        <f>D139+I139</f>
        <v/>
      </c>
      <c r="K139" s="371">
        <f>E139+I139</f>
        <v/>
      </c>
      <c r="L139" s="386" t="inlineStr">
        <is>
          <t>Traveler's Pack Reward #6</t>
        </is>
      </c>
    </row>
    <row r="140">
      <c r="A140" s="434" t="inlineStr">
        <is>
          <t xml:space="preserve">   Panther Brooch</t>
        </is>
      </c>
      <c r="B140" s="425" t="inlineStr">
        <is>
          <t>SS</t>
        </is>
      </c>
      <c r="C140" s="425" t="inlineStr">
        <is>
          <t>ART</t>
        </is>
      </c>
      <c r="D140" s="371" t="n">
        <v>102</v>
      </c>
      <c r="E140" s="425">
        <f>54+102+66+67+58</f>
        <v/>
      </c>
      <c r="F140" s="425" t="n"/>
      <c r="G140" s="425" t="n"/>
      <c r="H140" s="425" t="n"/>
      <c r="I140" s="425" t="n"/>
      <c r="J140" s="371">
        <f>D140+I140</f>
        <v/>
      </c>
      <c r="K140" s="371">
        <f>E140+I140</f>
        <v/>
      </c>
      <c r="L140" s="386" t="inlineStr">
        <is>
          <t>Lottery Machine #2 (0.35%)</t>
        </is>
      </c>
    </row>
    <row r="141">
      <c r="A141" s="434" t="inlineStr">
        <is>
          <t xml:space="preserve">   Jade Cup</t>
        </is>
      </c>
      <c r="B141" s="425" t="inlineStr">
        <is>
          <t>AAA</t>
        </is>
      </c>
      <c r="C141" s="425" t="inlineStr">
        <is>
          <t>ART</t>
        </is>
      </c>
      <c r="D141" s="371" t="n">
        <v>71</v>
      </c>
      <c r="E141" s="425" t="n"/>
      <c r="F141" s="425" t="n"/>
      <c r="G141" s="425" t="n"/>
      <c r="H141" s="425" t="n"/>
      <c r="I141" s="425" t="n"/>
      <c r="J141" s="371">
        <f>D141+I141</f>
        <v/>
      </c>
      <c r="K141" s="371" t="n"/>
      <c r="L141" s="386" t="inlineStr">
        <is>
          <t>Fragment Crafting (1.6%), Lottery Machine #1 (0.03%), Wishing (0.14%), Relic Forge (80 Relic RF)</t>
        </is>
      </c>
    </row>
    <row r="142">
      <c r="A142" s="434" t="inlineStr">
        <is>
          <t xml:space="preserve">   Marquis Bell</t>
        </is>
      </c>
      <c r="B142" s="425" t="inlineStr">
        <is>
          <t>AAA</t>
        </is>
      </c>
      <c r="C142" s="425" t="inlineStr">
        <is>
          <t>ART</t>
        </is>
      </c>
      <c r="D142" s="371" t="n">
        <v>71</v>
      </c>
      <c r="E142" s="425" t="n"/>
      <c r="F142" s="425" t="n"/>
      <c r="G142" s="425" t="n"/>
      <c r="H142" s="425" t="n"/>
      <c r="I142" s="425" t="n"/>
      <c r="J142" s="371">
        <f>D142+I142</f>
        <v/>
      </c>
      <c r="K142" s="371" t="n"/>
      <c r="L142" s="386" t="inlineStr">
        <is>
          <t>Fragment Crafting (1.6%), Lottery Machine #1 (0.03%), Wishing (1.4%), Cathay Treasure Maps (10%), Relic Forge (80 Relic RF)</t>
        </is>
      </c>
    </row>
    <row r="143">
      <c r="A143" s="434" t="inlineStr">
        <is>
          <t xml:space="preserve">   Fuchun Mountains</t>
        </is>
      </c>
      <c r="B143" s="425" t="inlineStr">
        <is>
          <t>AA</t>
        </is>
      </c>
      <c r="C143" s="425" t="inlineStr">
        <is>
          <t>ART</t>
        </is>
      </c>
      <c r="D143" s="371" t="n">
        <v>66</v>
      </c>
      <c r="E143" s="425" t="n"/>
      <c r="F143" s="425" t="n"/>
      <c r="G143" s="425" t="n"/>
      <c r="H143" s="425" t="n"/>
      <c r="I143" s="425" t="n"/>
      <c r="J143" s="371">
        <f>D143+I143</f>
        <v/>
      </c>
      <c r="K143" s="371" t="n"/>
      <c r="L143" s="386" t="inlineStr">
        <is>
          <t>Fragment Crafting (3.9%), Lottery Machine #1 (0.08%), Wishing (0.36%), Expert Scrolls (0.95%)</t>
        </is>
      </c>
    </row>
    <row r="144">
      <c r="A144" s="434" t="inlineStr">
        <is>
          <t xml:space="preserve">   Storyteller</t>
        </is>
      </c>
      <c r="B144" s="425" t="inlineStr">
        <is>
          <t>Blue</t>
        </is>
      </c>
      <c r="C144" s="425" t="inlineStr">
        <is>
          <t>ART</t>
        </is>
      </c>
      <c r="D144" s="371" t="n">
        <v>45</v>
      </c>
      <c r="E144" s="425" t="n"/>
      <c r="F144" s="425" t="n"/>
      <c r="G144" s="425" t="n"/>
      <c r="H144" s="425" t="n"/>
      <c r="I144" s="425" t="n"/>
      <c r="J144" s="371">
        <f>D144+I144</f>
        <v/>
      </c>
      <c r="K144" s="371" t="n"/>
      <c r="L144" s="386" t="inlineStr">
        <is>
          <t>Lottery Machine #1 (0.36%), Wishing (15%), Novice Scrolls (5%)</t>
        </is>
      </c>
    </row>
    <row r="145">
      <c r="A145" s="434" t="inlineStr">
        <is>
          <t xml:space="preserve">   Imperial Lamp</t>
        </is>
      </c>
      <c r="B145" s="425" t="inlineStr">
        <is>
          <t>Blue</t>
        </is>
      </c>
      <c r="C145" s="425" t="inlineStr">
        <is>
          <t>ART</t>
        </is>
      </c>
      <c r="D145" s="371" t="n">
        <v>48</v>
      </c>
      <c r="E145" s="425" t="n"/>
      <c r="F145" s="425" t="n"/>
      <c r="G145" s="425" t="n"/>
      <c r="H145" s="425" t="n"/>
      <c r="I145" s="425" t="n"/>
      <c r="J145" s="371">
        <f>D145+I145</f>
        <v/>
      </c>
      <c r="K145" s="371" t="n"/>
      <c r="L145" s="386" t="inlineStr">
        <is>
          <t>Lottery Machine #1 (0.07%), Wishing (3%), Novice Scrolls (1%)</t>
        </is>
      </c>
    </row>
    <row r="146">
      <c r="A146" s="434" t="inlineStr">
        <is>
          <t xml:space="preserve">   Gemini</t>
        </is>
      </c>
      <c r="B146" s="425" t="inlineStr">
        <is>
          <t>SSS</t>
        </is>
      </c>
      <c r="C146" s="425" t="inlineStr">
        <is>
          <t>FTH</t>
        </is>
      </c>
      <c r="D146" s="371" t="n">
        <v>110</v>
      </c>
      <c r="E146" s="371" t="n">
        <v>365</v>
      </c>
      <c r="F146" s="425" t="n"/>
      <c r="G146" s="425" t="n"/>
      <c r="H146" s="425" t="n"/>
      <c r="I146" s="425" t="n"/>
      <c r="J146" s="371">
        <f>D146+I146</f>
        <v/>
      </c>
      <c r="K146" s="371">
        <f>E146+I146</f>
        <v/>
      </c>
      <c r="L146" s="386" t="inlineStr">
        <is>
          <t>Supreme Relic ($8k)</t>
        </is>
      </c>
    </row>
    <row r="147">
      <c r="A147" s="434" t="inlineStr">
        <is>
          <t xml:space="preserve">   Somersault Cloud</t>
        </is>
      </c>
      <c r="B147" s="425" t="inlineStr">
        <is>
          <t>SSS</t>
        </is>
      </c>
      <c r="C147" s="425" t="inlineStr">
        <is>
          <t>FTH</t>
        </is>
      </c>
      <c r="D147" s="371" t="n">
        <v>106</v>
      </c>
      <c r="E147" s="371" t="n">
        <v>362</v>
      </c>
      <c r="F147" s="425" t="n"/>
      <c r="G147" s="425" t="n"/>
      <c r="H147" s="425" t="n"/>
      <c r="I147" s="425" t="n"/>
      <c r="J147" s="371">
        <f>D147+I147</f>
        <v/>
      </c>
      <c r="K147" s="371">
        <f>E147+I147</f>
        <v/>
      </c>
      <c r="L147" s="386" t="inlineStr">
        <is>
          <t>Wish Box, Lottery Machine #1 (0.09%), Wishing (0.06%), Super Treasure Maps (0.03%), Grandmaster Scrolls (0.81%), Relic Forge (120 Relic RF)</t>
        </is>
      </c>
    </row>
    <row r="148">
      <c r="A148" s="434" t="inlineStr">
        <is>
          <t xml:space="preserve">   Buddha Finger Sarira</t>
        </is>
      </c>
      <c r="B148" s="425" t="inlineStr">
        <is>
          <t>SS</t>
        </is>
      </c>
      <c r="C148" s="425" t="inlineStr">
        <is>
          <t>FTH</t>
        </is>
      </c>
      <c r="D148" s="371" t="n">
        <v>103</v>
      </c>
      <c r="E148" s="371" t="n">
        <v>347</v>
      </c>
      <c r="F148" s="425" t="n"/>
      <c r="G148" s="425" t="n"/>
      <c r="H148" s="425" t="n"/>
      <c r="I148" s="425" t="n"/>
      <c r="J148" s="371">
        <f>D148+I148</f>
        <v/>
      </c>
      <c r="K148" s="371">
        <f>E148+I148</f>
        <v/>
      </c>
      <c r="L148" s="386" t="inlineStr">
        <is>
          <t>Fragment Crafting (3.3%), Lottery Machine #1 (0.18%), Wishing (0.12%), Bharata Treasure Maps (%), Grandmaster Scrolls (1.5%)</t>
        </is>
      </c>
    </row>
    <row r="149">
      <c r="A149" s="434" t="inlineStr">
        <is>
          <t xml:space="preserve">   Buddha Skull Sarira</t>
        </is>
      </c>
      <c r="B149" s="425" t="inlineStr">
        <is>
          <t>SS</t>
        </is>
      </c>
      <c r="C149" s="425" t="inlineStr">
        <is>
          <t>FTH</t>
        </is>
      </c>
      <c r="D149" s="371" t="n">
        <v>101</v>
      </c>
      <c r="E149" s="371" t="n">
        <v>347</v>
      </c>
      <c r="F149" s="425" t="n"/>
      <c r="G149" s="425" t="n"/>
      <c r="H149" s="425" t="n"/>
      <c r="I149" s="425" t="n"/>
      <c r="J149" s="371">
        <f>D149+I149</f>
        <v/>
      </c>
      <c r="K149" s="371">
        <f>E149+I149</f>
        <v/>
      </c>
      <c r="L149" s="386" t="inlineStr">
        <is>
          <t>Fragment Crafting (4.4%), Lottery Machine #1 (0.24%), Wishing (0.16%), Dragon Chest (5%), Master Scrolls(1.9%), Grandmaster Scrolls (2.1%), FTH Master Scrolls (9.2%)</t>
        </is>
      </c>
    </row>
    <row r="150">
      <c r="A150" s="434" t="inlineStr">
        <is>
          <t xml:space="preserve">   Frigga's Wheel</t>
        </is>
      </c>
      <c r="B150" s="425" t="inlineStr">
        <is>
          <t>A</t>
        </is>
      </c>
      <c r="C150" s="425" t="inlineStr">
        <is>
          <t>FTH</t>
        </is>
      </c>
      <c r="D150" s="371" t="n">
        <v>62</v>
      </c>
      <c r="E150" s="425" t="n"/>
      <c r="F150" s="425" t="n"/>
      <c r="G150" s="425" t="n"/>
      <c r="H150" s="425" t="n"/>
      <c r="I150" s="425" t="n"/>
      <c r="J150" s="371">
        <f>D150+I150</f>
        <v/>
      </c>
      <c r="K150" s="371" t="n"/>
      <c r="L150" s="386" t="inlineStr">
        <is>
          <t>Fragment Crafting (30.8%), Lottery Machine #1 (0.66%), Wishing (2.8%), Expert Scrolls (7.6%)</t>
        </is>
      </c>
    </row>
    <row r="151">
      <c r="A151" s="434" t="inlineStr">
        <is>
          <t xml:space="preserve">   Dunhuang Painting</t>
        </is>
      </c>
      <c r="B151" s="425" t="inlineStr">
        <is>
          <t>Blue</t>
        </is>
      </c>
      <c r="C151" s="425" t="inlineStr">
        <is>
          <t>FTH</t>
        </is>
      </c>
      <c r="D151" s="371" t="n">
        <v>46</v>
      </c>
      <c r="E151" s="425" t="n"/>
      <c r="F151" s="425" t="n"/>
      <c r="G151" s="425" t="n"/>
      <c r="H151" s="425" t="n"/>
      <c r="I151" s="425" t="n"/>
      <c r="J151" s="371">
        <f>D151+I151</f>
        <v/>
      </c>
      <c r="K151" s="371" t="n"/>
      <c r="L151" s="386" t="inlineStr">
        <is>
          <t>Lottery Machine #1 (0.03%), Wishing (0.85%)</t>
        </is>
      </c>
    </row>
    <row r="152">
      <c r="A152" s="434" t="inlineStr">
        <is>
          <t xml:space="preserve">   Tetrabiblos</t>
        </is>
      </c>
      <c r="B152" s="425" t="inlineStr">
        <is>
          <t>Blue</t>
        </is>
      </c>
      <c r="C152" s="425" t="inlineStr">
        <is>
          <t>FTH</t>
        </is>
      </c>
      <c r="D152" s="371" t="n">
        <v>48</v>
      </c>
      <c r="E152" s="425" t="n"/>
      <c r="F152" s="425" t="n"/>
      <c r="G152" s="425" t="n"/>
      <c r="H152" s="425" t="n"/>
      <c r="I152" s="425" t="n"/>
      <c r="J152" s="371">
        <f>D152+I152</f>
        <v/>
      </c>
      <c r="K152" s="371" t="n"/>
      <c r="L152" s="386" t="inlineStr">
        <is>
          <t>Lottery Machine #1 (0.03%), Wishing (0.85%), Nebula Chest (2%)</t>
        </is>
      </c>
    </row>
    <row r="153">
      <c r="A153" s="434" t="inlineStr">
        <is>
          <t xml:space="preserve">   Charlemagne Statue</t>
        </is>
      </c>
      <c r="B153" s="425" t="inlineStr">
        <is>
          <t>SSS</t>
        </is>
      </c>
      <c r="C153" s="425" t="inlineStr">
        <is>
          <t>CIV</t>
        </is>
      </c>
      <c r="D153" s="371" t="n">
        <v>107</v>
      </c>
      <c r="E153" s="371" t="n">
        <v>362</v>
      </c>
      <c r="F153" s="371" t="n">
        <v>30</v>
      </c>
      <c r="G153" s="425" t="n"/>
      <c r="H153" s="371" t="n">
        <v>3000</v>
      </c>
      <c r="I153" s="371" t="n">
        <v>15</v>
      </c>
      <c r="J153" s="371">
        <f>D153+I153</f>
        <v/>
      </c>
      <c r="K153" s="371">
        <f>E153+I153</f>
        <v/>
      </c>
      <c r="L153" s="386" t="inlineStr">
        <is>
          <t>Lucky Stars</t>
        </is>
      </c>
    </row>
    <row r="154">
      <c r="A154" s="434" t="inlineStr">
        <is>
          <t xml:space="preserve">   The Art of War</t>
        </is>
      </c>
      <c r="B154" s="425" t="inlineStr">
        <is>
          <t>SSS</t>
        </is>
      </c>
      <c r="C154" s="425" t="inlineStr">
        <is>
          <t>CIV</t>
        </is>
      </c>
      <c r="D154" s="371" t="n">
        <v>109</v>
      </c>
      <c r="E154" s="371" t="n">
        <v>362</v>
      </c>
      <c r="F154" s="371" t="n">
        <v>30</v>
      </c>
      <c r="G154" s="425" t="n"/>
      <c r="H154" s="425" t="n"/>
      <c r="I154" s="425" t="n"/>
      <c r="J154" s="371">
        <f>D154+I154</f>
        <v/>
      </c>
      <c r="K154" s="371">
        <f>E154+I154</f>
        <v/>
      </c>
      <c r="L154" s="386" t="inlineStr">
        <is>
          <t>Wish Box, Lottery Machine #1 (0.09%), Wishing (0.08%), Grandmaster Scrolls (0.81%), Relic Forge (120 Relic RF)</t>
        </is>
      </c>
    </row>
    <row r="155">
      <c r="A155" s="434" t="inlineStr">
        <is>
          <t xml:space="preserve">   Houmuwu Ding</t>
        </is>
      </c>
      <c r="B155" s="425" t="inlineStr">
        <is>
          <t>SSS</t>
        </is>
      </c>
      <c r="C155" s="425" t="inlineStr">
        <is>
          <t>CIV</t>
        </is>
      </c>
      <c r="D155" s="371" t="n">
        <v>107</v>
      </c>
      <c r="E155" s="371" t="n">
        <v>362</v>
      </c>
      <c r="F155" s="371" t="n">
        <v>30</v>
      </c>
      <c r="G155" s="425" t="n"/>
      <c r="H155" s="425" t="n"/>
      <c r="I155" s="425" t="n"/>
      <c r="J155" s="371">
        <f>D155+I155</f>
        <v/>
      </c>
      <c r="K155" s="371">
        <f>E155+I155</f>
        <v/>
      </c>
      <c r="L155" s="386" t="inlineStr">
        <is>
          <t>Wish Box, Lottery Machine #1 (0.09%), Wishing (0.08%), Cathay Treasure Maps (0.01%), Grandmaster Scrolls (0.81%), Relic Forge (120 Relic RF)</t>
        </is>
      </c>
    </row>
    <row r="156">
      <c r="A156" s="434" t="inlineStr">
        <is>
          <t xml:space="preserve">   The Analects</t>
        </is>
      </c>
      <c r="B156" s="425" t="inlineStr">
        <is>
          <t>SSS</t>
        </is>
      </c>
      <c r="C156" s="425" t="inlineStr">
        <is>
          <t>CIV</t>
        </is>
      </c>
      <c r="D156" s="371" t="n">
        <v>107</v>
      </c>
      <c r="E156" s="371" t="n">
        <v>362</v>
      </c>
      <c r="F156" s="425" t="n"/>
      <c r="G156" s="425" t="n"/>
      <c r="H156" s="425" t="n"/>
      <c r="I156" s="425" t="n"/>
      <c r="J156" s="371">
        <f>D156+I156</f>
        <v/>
      </c>
      <c r="K156" s="371">
        <f>E156+I156</f>
        <v/>
      </c>
      <c r="L156" s="386" t="inlineStr">
        <is>
          <t>Wish Box, Lottery Machine #1 (0.09%), Wishing (0.08%), Grandmaster Scrolls (0.81%), Relic Forge (120 Relic RF)</t>
        </is>
      </c>
    </row>
    <row r="157">
      <c r="A157" s="434" t="inlineStr">
        <is>
          <t xml:space="preserve">   Fu Hao Scripts</t>
        </is>
      </c>
      <c r="B157" s="425" t="inlineStr">
        <is>
          <t>SS</t>
        </is>
      </c>
      <c r="C157" s="425" t="inlineStr">
        <is>
          <t>CIV</t>
        </is>
      </c>
      <c r="D157" s="371" t="n">
        <v>105</v>
      </c>
      <c r="E157" s="371" t="n">
        <v>347</v>
      </c>
      <c r="F157" s="425" t="n"/>
      <c r="G157" s="425" t="n"/>
      <c r="H157" s="425" t="n"/>
      <c r="I157" s="425" t="n"/>
      <c r="J157" s="371">
        <f>D157+I157</f>
        <v/>
      </c>
      <c r="K157" s="371">
        <f>E157+I157</f>
        <v/>
      </c>
      <c r="L157" s="386" t="inlineStr">
        <is>
          <t>Fragment Crafting (4.1%), Lottery Machine #1 (0.18%), Wishing (0.15%), Grandmaster Scrolls (1.5%)</t>
        </is>
      </c>
    </row>
    <row r="158">
      <c r="A158" s="434" t="inlineStr">
        <is>
          <t xml:space="preserve">   Jade Burial Suit</t>
        </is>
      </c>
      <c r="B158" s="425" t="inlineStr">
        <is>
          <t>AAA</t>
        </is>
      </c>
      <c r="C158" s="425" t="inlineStr">
        <is>
          <t>CIV</t>
        </is>
      </c>
      <c r="D158" s="371" t="n">
        <v>84</v>
      </c>
      <c r="E158" s="425" t="n"/>
      <c r="F158" s="425" t="n"/>
      <c r="G158" s="425" t="n"/>
      <c r="H158" s="425" t="n"/>
      <c r="I158" s="371" t="n">
        <v>10</v>
      </c>
      <c r="J158" s="371">
        <f>D158+I158</f>
        <v/>
      </c>
      <c r="K158" s="371" t="n"/>
      <c r="L158" s="386" t="inlineStr">
        <is>
          <t>Fragment Crafting (1.5%), Lottery Machine #1 (0.03%), Wishing (0.14%), Cathay Treasure Map (10% chance), Relic Forge (80 Relic RF)</t>
        </is>
      </c>
    </row>
    <row r="159">
      <c r="A159" s="434" t="inlineStr">
        <is>
          <t xml:space="preserve">   Musician Figurine</t>
        </is>
      </c>
      <c r="B159" s="425" t="inlineStr">
        <is>
          <t>Blue</t>
        </is>
      </c>
      <c r="C159" s="425" t="inlineStr">
        <is>
          <t>CIV</t>
        </is>
      </c>
      <c r="D159" s="371" t="n">
        <v>46</v>
      </c>
      <c r="E159" s="425" t="n"/>
      <c r="F159" s="425" t="n"/>
      <c r="G159" s="425" t="n"/>
      <c r="H159" s="425" t="n"/>
      <c r="I159" s="425" t="n"/>
      <c r="J159" s="371">
        <f>D159+I159</f>
        <v/>
      </c>
      <c r="K159" s="371" t="n"/>
      <c r="L159" s="386" t="inlineStr">
        <is>
          <t>Lottery Machine #1 (0.03%), Wish (0.82%), Cathay Treasure Maps (20%)</t>
        </is>
      </c>
    </row>
    <row r="160">
      <c r="A160" s="434" t="inlineStr">
        <is>
          <t xml:space="preserve">   Jiuzhang</t>
        </is>
      </c>
      <c r="B160" s="425" t="inlineStr">
        <is>
          <t>SSS</t>
        </is>
      </c>
      <c r="C160" s="425" t="inlineStr">
        <is>
          <t>TECH</t>
        </is>
      </c>
      <c r="D160" s="371" t="n">
        <v>107</v>
      </c>
      <c r="E160" s="371">
        <f>63+54+75+63+107</f>
        <v/>
      </c>
      <c r="F160" s="425" t="n"/>
      <c r="G160" s="425" t="n"/>
      <c r="H160" s="425" t="n"/>
      <c r="I160" s="425" t="n">
        <v>15</v>
      </c>
      <c r="J160" s="371">
        <f>D160+I160</f>
        <v/>
      </c>
      <c r="K160" s="371">
        <f>E160+I160</f>
        <v/>
      </c>
      <c r="L160" s="386" t="inlineStr">
        <is>
          <t>Lottery Machine #2 (0.12%)</t>
        </is>
      </c>
    </row>
    <row r="161">
      <c r="A161" s="434" t="inlineStr">
        <is>
          <t xml:space="preserve">   Top Idea Award</t>
        </is>
      </c>
      <c r="B161" s="425" t="inlineStr">
        <is>
          <t>SSS</t>
        </is>
      </c>
      <c r="C161" s="425" t="inlineStr">
        <is>
          <t>TECH</t>
        </is>
      </c>
      <c r="D161" s="371" t="n">
        <v>106</v>
      </c>
      <c r="E161" s="371" t="n">
        <v>362</v>
      </c>
      <c r="F161" s="425" t="n"/>
      <c r="G161" s="425" t="n"/>
      <c r="H161" s="425" t="n"/>
      <c r="I161" s="425" t="n">
        <v>15</v>
      </c>
      <c r="J161" s="371">
        <f>D161+I161</f>
        <v/>
      </c>
      <c r="K161" s="371">
        <f>E161+I161</f>
        <v/>
      </c>
      <c r="L161" s="386" t="inlineStr">
        <is>
          <t>Decoration Bonus Relic #4</t>
        </is>
      </c>
    </row>
    <row r="162">
      <c r="A162" s="434" t="inlineStr">
        <is>
          <t xml:space="preserve">   The Works of Nature</t>
        </is>
      </c>
      <c r="B162" s="425" t="inlineStr">
        <is>
          <t>SSS</t>
        </is>
      </c>
      <c r="C162" s="425" t="inlineStr">
        <is>
          <t>TECH</t>
        </is>
      </c>
      <c r="D162" s="371" t="n">
        <v>106</v>
      </c>
      <c r="E162" s="371" t="n">
        <v>362</v>
      </c>
      <c r="F162" s="425" t="n"/>
      <c r="G162" s="425" t="n"/>
      <c r="H162" s="425" t="n"/>
      <c r="I162" s="425" t="n"/>
      <c r="J162" s="371">
        <f>D162+I162</f>
        <v/>
      </c>
      <c r="K162" s="371">
        <f>E162+I162</f>
        <v/>
      </c>
      <c r="L162" s="386" t="inlineStr">
        <is>
          <t>Lottery Machine #2 (0.12%)</t>
        </is>
      </c>
    </row>
    <row r="163">
      <c r="A163" s="434" t="inlineStr">
        <is>
          <t xml:space="preserve">   Causality</t>
        </is>
      </c>
      <c r="B163" s="425" t="inlineStr">
        <is>
          <t>SS</t>
        </is>
      </c>
      <c r="C163" s="425" t="inlineStr">
        <is>
          <t>TECH</t>
        </is>
      </c>
      <c r="D163" s="371" t="n">
        <v>105</v>
      </c>
      <c r="E163" s="371" t="n">
        <v>347</v>
      </c>
      <c r="F163" s="425" t="n"/>
      <c r="G163" s="425" t="n"/>
      <c r="H163" s="425" t="n"/>
      <c r="I163" s="425" t="n"/>
      <c r="J163" s="371">
        <f>D163+I163</f>
        <v/>
      </c>
      <c r="K163" s="371">
        <f>E163+I163</f>
        <v/>
      </c>
      <c r="L163" s="418" t="inlineStr">
        <is>
          <t>Fragment Crafting (3.9%), Lottery Machine #1 (0.18%), Alchemy Furnace (0.14%), Grandmaster Scrolls (1.5%)</t>
        </is>
      </c>
    </row>
    <row r="164">
      <c r="A164" s="434" t="inlineStr">
        <is>
          <t xml:space="preserve">   Observatory</t>
        </is>
      </c>
      <c r="B164" s="425" t="inlineStr">
        <is>
          <t>A</t>
        </is>
      </c>
      <c r="C164" s="425" t="inlineStr">
        <is>
          <t>TECH</t>
        </is>
      </c>
      <c r="D164" s="371" t="n">
        <v>62</v>
      </c>
      <c r="E164" s="425" t="n"/>
      <c r="F164" s="425" t="n"/>
      <c r="G164" s="425" t="n"/>
      <c r="H164" s="425" t="n"/>
      <c r="I164" s="425" t="n"/>
      <c r="J164" s="371">
        <f>D164+I164</f>
        <v/>
      </c>
      <c r="K164" s="371" t="n"/>
      <c r="L164" s="418" t="inlineStr">
        <is>
          <t>Fragment Crafting (31.5%), Lottery Machine #1 (0.66%), Wishing (2.9%), Fungus Chest (1.5%), Expert Scrolls (7.6%)</t>
        </is>
      </c>
    </row>
    <row r="165">
      <c r="A165" s="362" t="inlineStr">
        <is>
          <t xml:space="preserve">   Seismograph</t>
        </is>
      </c>
      <c r="B165" s="411" t="inlineStr">
        <is>
          <t>Blue</t>
        </is>
      </c>
      <c r="C165" s="411" t="inlineStr">
        <is>
          <t>TECH</t>
        </is>
      </c>
      <c r="D165" s="364" t="n">
        <v>45</v>
      </c>
      <c r="E165" s="411" t="n"/>
      <c r="F165" s="411" t="n"/>
      <c r="G165" s="411" t="n"/>
      <c r="H165" s="411" t="n"/>
      <c r="I165" s="411" t="n"/>
      <c r="J165" s="364">
        <f>D165+I165</f>
        <v/>
      </c>
      <c r="K165" s="364" t="n"/>
      <c r="L165" s="426" t="inlineStr">
        <is>
          <t>Lottery Machine #1 (0.07%), Wishing (2.1%), Novice Scroll (1%)</t>
        </is>
      </c>
    </row>
    <row r="166">
      <c r="A166" s="425" t="n"/>
      <c r="B166" s="425" t="n"/>
      <c r="C166" s="425" t="n"/>
      <c r="D166" s="425" t="n"/>
      <c r="E166" s="425" t="n"/>
      <c r="F166" s="425" t="n"/>
      <c r="G166" s="425" t="n"/>
      <c r="H166" s="425" t="n"/>
      <c r="I166" s="425" t="n"/>
      <c r="J166" s="425" t="n"/>
      <c r="K166" s="425" t="n"/>
      <c r="L166" s="425" t="n"/>
    </row>
    <row r="167">
      <c r="A167" s="425" t="n"/>
      <c r="B167" s="425" t="n"/>
      <c r="C167" s="425" t="n"/>
      <c r="D167" s="425" t="n"/>
      <c r="E167" s="425" t="n"/>
      <c r="F167" s="425" t="n"/>
      <c r="G167" s="425" t="n"/>
      <c r="H167" s="425" t="n"/>
      <c r="I167" s="425" t="n"/>
      <c r="J167" s="425" t="n"/>
      <c r="K167" s="425" t="n"/>
      <c r="L167" s="425" t="n"/>
    </row>
    <row r="168">
      <c r="A168" s="425" t="n"/>
      <c r="B168" s="425" t="n"/>
      <c r="C168" s="425" t="n"/>
      <c r="D168" s="425" t="n"/>
      <c r="E168" s="425" t="n"/>
      <c r="F168" s="425" t="n"/>
      <c r="G168" s="425" t="n"/>
      <c r="H168" s="425" t="n"/>
      <c r="I168" s="425" t="n"/>
      <c r="J168" s="425" t="n"/>
      <c r="K168" s="425" t="n"/>
      <c r="L168" s="425" t="n"/>
    </row>
    <row r="169">
      <c r="A169" s="425" t="n"/>
      <c r="B169" s="425" t="n"/>
      <c r="C169" s="425" t="n"/>
      <c r="D169" s="425" t="n"/>
      <c r="E169" s="425" t="n"/>
      <c r="F169" s="425" t="n"/>
      <c r="G169" s="425" t="n"/>
      <c r="H169" s="425" t="n"/>
      <c r="I169" s="425" t="n"/>
      <c r="J169" s="425" t="n"/>
      <c r="K169" s="425" t="n"/>
      <c r="L169" s="425" t="n"/>
    </row>
    <row r="170">
      <c r="A170" s="425" t="n"/>
      <c r="B170" s="425" t="n"/>
      <c r="C170" s="425" t="n"/>
      <c r="D170" s="425" t="n"/>
      <c r="E170" s="425" t="n"/>
      <c r="F170" s="425" t="n"/>
      <c r="G170" s="425" t="n"/>
      <c r="H170" s="425" t="n"/>
      <c r="I170" s="425" t="n"/>
      <c r="J170" s="425" t="n"/>
      <c r="K170" s="425" t="n"/>
      <c r="L170" s="425" t="n"/>
    </row>
    <row r="171">
      <c r="A171" s="344" t="inlineStr">
        <is>
          <t>MUSEUM LAYOUT</t>
        </is>
      </c>
      <c r="B171" s="406" t="n"/>
      <c r="C171" s="406" t="inlineStr">
        <is>
          <t>Restriction</t>
        </is>
      </c>
      <c r="D171" s="406" t="inlineStr">
        <is>
          <t>Used</t>
        </is>
      </c>
      <c r="E171" s="406" t="inlineStr">
        <is>
          <t>Museum Score</t>
        </is>
      </c>
      <c r="F171" s="406" t="inlineStr">
        <is>
          <t>Medal Output</t>
        </is>
      </c>
      <c r="G171" s="406" t="inlineStr">
        <is>
          <t>Wish Coin Cost</t>
        </is>
      </c>
      <c r="H171" s="129" t="inlineStr">
        <is>
          <t>Btad Output</t>
        </is>
      </c>
      <c r="I171" s="425" t="n"/>
      <c r="J171" s="425" t="n"/>
      <c r="K171" s="425" t="n"/>
      <c r="L171" s="425" t="n"/>
    </row>
    <row r="172">
      <c r="A172" s="126" t="n">
        <v>1</v>
      </c>
      <c r="B172" s="425" t="inlineStr">
        <is>
          <t>ALL</t>
        </is>
      </c>
      <c r="C172" s="425" t="n"/>
      <c r="D172" s="425" t="inlineStr">
        <is>
          <t>Charlemange Statue</t>
        </is>
      </c>
      <c r="E172" s="371">
        <f>K153</f>
        <v/>
      </c>
      <c r="F172" s="371">
        <f>F153</f>
        <v/>
      </c>
      <c r="G172" s="425" t="n"/>
      <c r="H172" s="127">
        <f>H153</f>
        <v/>
      </c>
      <c r="I172" s="425" t="n"/>
      <c r="J172" s="425" t="n"/>
      <c r="K172" s="425" t="n"/>
      <c r="L172" s="425" t="n"/>
    </row>
    <row r="173">
      <c r="A173" s="126" t="n">
        <v>2</v>
      </c>
      <c r="B173" s="425" t="inlineStr">
        <is>
          <t>FAME</t>
        </is>
      </c>
      <c r="C173" s="425" t="inlineStr">
        <is>
          <t>Imperial Jade</t>
        </is>
      </c>
      <c r="D173" s="425" t="inlineStr">
        <is>
          <t>Imperial Jade</t>
        </is>
      </c>
      <c r="E173" s="371">
        <f>J132</f>
        <v/>
      </c>
      <c r="F173" s="425" t="n"/>
      <c r="G173" s="425" t="n"/>
      <c r="H173" s="418" t="n"/>
      <c r="I173" s="425" t="n"/>
      <c r="J173" s="425" t="n"/>
      <c r="K173" s="425" t="n"/>
      <c r="L173" s="425" t="n"/>
    </row>
    <row r="174">
      <c r="A174" s="126" t="n">
        <v>3</v>
      </c>
      <c r="B174" s="425" t="inlineStr">
        <is>
          <t>CIV</t>
        </is>
      </c>
      <c r="C174" s="425" t="inlineStr">
        <is>
          <t>Jade Burial Suit</t>
        </is>
      </c>
      <c r="D174" s="425" t="inlineStr">
        <is>
          <t>Jade Burial Suit</t>
        </is>
      </c>
      <c r="E174" s="371">
        <f>J158</f>
        <v/>
      </c>
      <c r="F174" s="425" t="n"/>
      <c r="G174" s="425" t="n"/>
      <c r="H174" s="418" t="n"/>
      <c r="I174" s="425" t="n"/>
      <c r="J174" s="425" t="n"/>
      <c r="K174" s="425" t="n"/>
      <c r="L174" s="425" t="n"/>
    </row>
    <row r="175">
      <c r="A175" s="126" t="n">
        <v>4</v>
      </c>
      <c r="B175" s="425" t="inlineStr">
        <is>
          <t>FAME</t>
        </is>
      </c>
      <c r="C175" s="425" t="inlineStr">
        <is>
          <t>Bronze Bird</t>
        </is>
      </c>
      <c r="D175" s="425" t="inlineStr">
        <is>
          <t>Bronze Bird</t>
        </is>
      </c>
      <c r="E175" s="371">
        <f>J137</f>
        <v/>
      </c>
      <c r="F175" s="425" t="n"/>
      <c r="G175" s="425" t="n"/>
      <c r="H175" s="418" t="n"/>
      <c r="I175" s="425" t="n"/>
      <c r="J175" s="425" t="n"/>
      <c r="K175" s="425" t="n"/>
      <c r="L175" s="425" t="n"/>
    </row>
    <row r="176">
      <c r="A176" s="126" t="n">
        <v>5</v>
      </c>
      <c r="B176" s="425" t="inlineStr">
        <is>
          <t>FAME</t>
        </is>
      </c>
      <c r="C176" s="425" t="n"/>
      <c r="D176" s="425" t="inlineStr">
        <is>
          <t>Yongle Encyclopedia</t>
        </is>
      </c>
      <c r="E176" s="371">
        <f>J133</f>
        <v/>
      </c>
      <c r="F176" s="425" t="n"/>
      <c r="G176" s="425" t="n"/>
      <c r="H176" s="418" t="n"/>
      <c r="I176" s="425" t="n"/>
      <c r="J176" s="425" t="n"/>
      <c r="K176" s="425" t="n"/>
      <c r="L176" s="425" t="n"/>
    </row>
    <row r="177">
      <c r="A177" s="126" t="n">
        <v>6</v>
      </c>
      <c r="B177" s="425" t="inlineStr">
        <is>
          <t>ART</t>
        </is>
      </c>
      <c r="C177" s="425" t="n"/>
      <c r="D177" s="425" t="inlineStr">
        <is>
          <t>Tail-burned Guqin</t>
        </is>
      </c>
      <c r="E177" s="371">
        <f>J139</f>
        <v/>
      </c>
      <c r="F177" s="425">
        <f>F139</f>
        <v/>
      </c>
      <c r="G177" s="425" t="n"/>
      <c r="H177" s="418" t="n"/>
      <c r="I177" s="425" t="n"/>
      <c r="J177" s="425" t="n"/>
      <c r="K177" s="425" t="n"/>
      <c r="L177" s="425" t="n"/>
    </row>
    <row r="178">
      <c r="A178" s="126" t="n">
        <v>7</v>
      </c>
      <c r="B178" s="425" t="inlineStr">
        <is>
          <t>ART</t>
        </is>
      </c>
      <c r="C178" s="425" t="n"/>
      <c r="D178" s="425" t="inlineStr">
        <is>
          <t>Along the River</t>
        </is>
      </c>
      <c r="E178" s="371">
        <f>J139</f>
        <v/>
      </c>
      <c r="F178" s="425" t="n"/>
      <c r="G178" s="425" t="n"/>
      <c r="H178" s="418" t="n"/>
      <c r="I178" s="425" t="n"/>
      <c r="J178" s="425" t="n"/>
      <c r="K178" s="425" t="n"/>
      <c r="L178" s="425" t="n"/>
    </row>
    <row r="179">
      <c r="A179" s="126" t="n">
        <v>8</v>
      </c>
      <c r="B179" s="425" t="inlineStr">
        <is>
          <t>ART</t>
        </is>
      </c>
      <c r="C179" s="425" t="n"/>
      <c r="D179" s="425" t="inlineStr">
        <is>
          <t>Panther Brooch</t>
        </is>
      </c>
      <c r="E179" s="371">
        <f>J140</f>
        <v/>
      </c>
      <c r="F179" s="425" t="n"/>
      <c r="G179" s="425" t="n"/>
      <c r="H179" s="418" t="n"/>
      <c r="I179" s="425" t="n"/>
      <c r="J179" s="425" t="n"/>
      <c r="K179" s="425" t="n"/>
      <c r="L179" s="425" t="n"/>
    </row>
    <row r="180">
      <c r="A180" s="126" t="n">
        <v>9</v>
      </c>
      <c r="B180" s="425" t="inlineStr">
        <is>
          <t>FTH</t>
        </is>
      </c>
      <c r="C180" s="425" t="n"/>
      <c r="D180" s="425" t="inlineStr">
        <is>
          <t>Gemini</t>
        </is>
      </c>
      <c r="E180" s="371">
        <f>J146</f>
        <v/>
      </c>
      <c r="F180" s="425" t="n"/>
      <c r="G180" s="425" t="n"/>
      <c r="H180" s="418" t="n"/>
      <c r="I180" s="425" t="n"/>
      <c r="J180" s="425" t="n"/>
      <c r="K180" s="425" t="n"/>
      <c r="L180" s="425" t="n"/>
    </row>
    <row r="181">
      <c r="A181" s="126" t="n">
        <v>10</v>
      </c>
      <c r="B181" s="425" t="inlineStr">
        <is>
          <t>FTH</t>
        </is>
      </c>
      <c r="C181" s="425" t="n"/>
      <c r="D181" s="425" t="inlineStr">
        <is>
          <t>Somersault Cloud</t>
        </is>
      </c>
      <c r="E181" s="371">
        <f>J147</f>
        <v/>
      </c>
      <c r="F181" s="425" t="n"/>
      <c r="G181" s="425" t="n"/>
      <c r="H181" s="418" t="n"/>
      <c r="I181" s="425" t="n"/>
      <c r="J181" s="425" t="n"/>
      <c r="K181" s="425" t="n"/>
      <c r="L181" s="425" t="n"/>
    </row>
    <row r="182">
      <c r="A182" s="126" t="n">
        <v>11</v>
      </c>
      <c r="B182" s="425" t="inlineStr">
        <is>
          <t>FTH</t>
        </is>
      </c>
      <c r="C182" s="425" t="n"/>
      <c r="D182" s="425" t="inlineStr">
        <is>
          <t>Buddha Finger Sarira</t>
        </is>
      </c>
      <c r="E182" s="371">
        <f>J148</f>
        <v/>
      </c>
      <c r="F182" s="425" t="n"/>
      <c r="G182" s="425" t="n"/>
      <c r="H182" s="418" t="n"/>
      <c r="I182" s="425" t="n"/>
      <c r="J182" s="425" t="n"/>
      <c r="K182" s="425" t="n"/>
      <c r="L182" s="425" t="n"/>
    </row>
    <row r="183">
      <c r="A183" s="126" t="n">
        <v>12</v>
      </c>
      <c r="B183" s="425" t="inlineStr">
        <is>
          <t>CIV</t>
        </is>
      </c>
      <c r="C183" s="425" t="n"/>
      <c r="D183" s="425" t="inlineStr">
        <is>
          <t>The Art of War</t>
        </is>
      </c>
      <c r="E183" s="371">
        <f>J154</f>
        <v/>
      </c>
      <c r="F183" s="371">
        <f>F154</f>
        <v/>
      </c>
      <c r="G183" s="425" t="n"/>
      <c r="H183" s="418" t="n"/>
      <c r="I183" s="425" t="n"/>
      <c r="J183" s="425" t="n"/>
      <c r="K183" s="425" t="n"/>
      <c r="L183" s="425" t="n"/>
    </row>
    <row r="184">
      <c r="A184" s="126" t="n">
        <v>13</v>
      </c>
      <c r="B184" s="425" t="inlineStr">
        <is>
          <t>CIV</t>
        </is>
      </c>
      <c r="C184" s="425" t="n"/>
      <c r="D184" s="425" t="inlineStr">
        <is>
          <t>Houmuwu Ding</t>
        </is>
      </c>
      <c r="E184" s="371">
        <f>J155</f>
        <v/>
      </c>
      <c r="F184" s="371">
        <f>F155</f>
        <v/>
      </c>
      <c r="G184" s="425" t="n"/>
      <c r="H184" s="418" t="n"/>
      <c r="I184" s="425" t="n"/>
      <c r="J184" s="425" t="n"/>
      <c r="K184" s="425" t="n"/>
      <c r="L184" s="425" t="n"/>
    </row>
    <row r="185">
      <c r="A185" s="126" t="n">
        <v>14</v>
      </c>
      <c r="B185" s="425" t="inlineStr">
        <is>
          <t>TECH</t>
        </is>
      </c>
      <c r="C185" s="425" t="n"/>
      <c r="D185" s="669" t="inlineStr">
        <is>
          <t>Jiuzhang</t>
        </is>
      </c>
      <c r="E185" s="669">
        <f>J160</f>
        <v/>
      </c>
      <c r="F185" s="425" t="n"/>
      <c r="G185" s="425" t="n"/>
      <c r="H185" s="418" t="n"/>
      <c r="I185" s="425" t="n"/>
      <c r="J185" s="425" t="n"/>
      <c r="K185" s="425" t="n"/>
      <c r="L185" s="425" t="n"/>
    </row>
    <row r="186">
      <c r="A186" s="126" t="n">
        <v>15</v>
      </c>
      <c r="B186" s="425" t="inlineStr">
        <is>
          <t>TECH</t>
        </is>
      </c>
      <c r="C186" s="425" t="n"/>
      <c r="D186" s="669" t="inlineStr">
        <is>
          <t>Top Idea Award</t>
        </is>
      </c>
      <c r="E186" s="669">
        <f>J161</f>
        <v/>
      </c>
      <c r="F186" s="425" t="n"/>
      <c r="G186" s="425" t="n"/>
      <c r="H186" s="418" t="n"/>
      <c r="I186" s="425" t="n"/>
      <c r="J186" s="425" t="n"/>
      <c r="K186" s="425" t="n"/>
      <c r="L186" s="425" t="n"/>
    </row>
    <row r="187">
      <c r="A187" s="126" t="n">
        <v>16</v>
      </c>
      <c r="B187" s="425" t="inlineStr">
        <is>
          <t>TECH</t>
        </is>
      </c>
      <c r="C187" s="425" t="n"/>
      <c r="D187" s="425" t="inlineStr">
        <is>
          <t>The Works of Nature</t>
        </is>
      </c>
      <c r="E187" s="371">
        <f>D162</f>
        <v/>
      </c>
      <c r="F187" s="425" t="n"/>
      <c r="G187" s="425" t="n"/>
      <c r="H187" s="418" t="n"/>
      <c r="I187" s="425" t="n"/>
      <c r="J187" s="425" t="n"/>
      <c r="K187" s="425" t="n"/>
      <c r="L187" s="425" t="n"/>
    </row>
    <row r="188">
      <c r="A188" s="362" t="n"/>
      <c r="B188" s="411" t="n"/>
      <c r="C188" s="411" t="n"/>
      <c r="D188" s="411" t="inlineStr">
        <is>
          <t>TOTAL</t>
        </is>
      </c>
      <c r="E188" s="364">
        <f>SUM(E172:E187)</f>
        <v/>
      </c>
      <c r="F188" s="364">
        <f>SUM(F172:F187)</f>
        <v/>
      </c>
      <c r="G188" s="364">
        <f>SUM(G172:G187)</f>
        <v/>
      </c>
      <c r="H188" s="364">
        <f>SUM(H172:H187)</f>
        <v/>
      </c>
      <c r="I188" s="425" t="n"/>
      <c r="J188" s="425" t="n"/>
      <c r="K188" s="425" t="n"/>
      <c r="L188" s="425" t="n"/>
    </row>
    <row r="189"/>
    <row r="190"/>
    <row r="191"/>
    <row r="192">
      <c r="A192" s="344" t="n"/>
      <c r="B192" s="406" t="n"/>
      <c r="C192" s="406" t="n"/>
      <c r="D192" s="406" t="inlineStr">
        <is>
          <t>Main AFFCT</t>
        </is>
      </c>
      <c r="E192" s="406" t="inlineStr">
        <is>
          <t>Total AFFCT</t>
        </is>
      </c>
      <c r="F192" s="406" t="inlineStr">
        <is>
          <t>Medal Output</t>
        </is>
      </c>
      <c r="G192" s="406" t="inlineStr">
        <is>
          <t>Wish Coin Cost</t>
        </is>
      </c>
      <c r="H192" s="406" t="inlineStr">
        <is>
          <t>Btad Output</t>
        </is>
      </c>
      <c r="I192" s="406" t="inlineStr">
        <is>
          <t>AFFCT Boost</t>
        </is>
      </c>
      <c r="J192" s="406" t="inlineStr">
        <is>
          <t>Effective AFFCT</t>
        </is>
      </c>
      <c r="K192" s="406" t="inlineStr">
        <is>
          <t>Total Effective AFFCT</t>
        </is>
      </c>
      <c r="L192" s="129" t="n"/>
    </row>
    <row r="193">
      <c r="A193" s="357" t="inlineStr">
        <is>
          <t>MURIKA</t>
        </is>
      </c>
      <c r="B193" s="425" t="n"/>
      <c r="C193" s="425" t="n"/>
      <c r="D193" s="425" t="n"/>
      <c r="E193" s="425" t="n"/>
      <c r="F193" s="425" t="n"/>
      <c r="G193" s="425" t="n"/>
      <c r="H193" s="425" t="n"/>
      <c r="I193" s="425" t="n"/>
      <c r="J193" s="425" t="n"/>
      <c r="K193" s="425" t="n"/>
      <c r="L193" s="418" t="n"/>
    </row>
    <row r="194">
      <c r="A194" s="434" t="inlineStr">
        <is>
          <t>INDIVIDUAL RELICS</t>
        </is>
      </c>
      <c r="B194" s="425" t="n"/>
      <c r="C194" s="425" t="n"/>
      <c r="D194" s="425" t="n"/>
      <c r="E194" s="425" t="n"/>
      <c r="F194" s="425" t="n"/>
      <c r="G194" s="425" t="n"/>
      <c r="H194" s="425" t="n"/>
      <c r="I194" s="425" t="n"/>
      <c r="J194" s="425" t="n"/>
      <c r="K194" s="425" t="n"/>
      <c r="L194" s="418" t="n"/>
    </row>
    <row r="195">
      <c r="A195" s="434" t="inlineStr">
        <is>
          <t>Golden Trophy</t>
        </is>
      </c>
      <c r="B195" s="425" t="inlineStr">
        <is>
          <t>SS</t>
        </is>
      </c>
      <c r="C195" s="425" t="inlineStr">
        <is>
          <t>FAME</t>
        </is>
      </c>
      <c r="D195" s="371" t="n">
        <v>109</v>
      </c>
      <c r="E195" s="371" t="n">
        <v>347</v>
      </c>
      <c r="F195" s="425" t="n"/>
      <c r="G195" s="425" t="n"/>
      <c r="H195" s="425" t="n"/>
      <c r="I195" s="371" t="n">
        <v>15</v>
      </c>
      <c r="J195" s="371">
        <f>D195+I195</f>
        <v/>
      </c>
      <c r="K195" s="371">
        <f>E195+I195</f>
        <v/>
      </c>
      <c r="L195" s="418" t="inlineStr">
        <is>
          <t>Lottery Machine #1 (0.12%), Wishing (0.11%), Grandmaster Scrolls (1%), Relic Forge (100 Relic RF)</t>
        </is>
      </c>
    </row>
    <row r="196">
      <c r="A196" s="434" t="inlineStr">
        <is>
          <t>Hugo Award</t>
        </is>
      </c>
      <c r="B196" s="425" t="inlineStr">
        <is>
          <t>SSS</t>
        </is>
      </c>
      <c r="C196" s="425" t="inlineStr">
        <is>
          <t>FAME</t>
        </is>
      </c>
      <c r="D196" s="371" t="n">
        <v>106</v>
      </c>
      <c r="E196" s="371" t="n">
        <v>362</v>
      </c>
      <c r="F196" s="425" t="n"/>
      <c r="G196" s="425" t="n"/>
      <c r="H196" s="425" t="n"/>
      <c r="I196" s="371" t="n">
        <v>15</v>
      </c>
      <c r="J196" s="371">
        <f>D196+I196</f>
        <v/>
      </c>
      <c r="K196" s="371">
        <f>E196+I196</f>
        <v/>
      </c>
      <c r="L196" s="418" t="inlineStr">
        <is>
          <t>Traveler Pack Relic #4</t>
        </is>
      </c>
    </row>
    <row r="197">
      <c r="A197" s="434" t="inlineStr">
        <is>
          <t>Pandora's Box</t>
        </is>
      </c>
      <c r="B197" s="425" t="inlineStr">
        <is>
          <t>SS</t>
        </is>
      </c>
      <c r="C197" s="425" t="inlineStr">
        <is>
          <t>FAME</t>
        </is>
      </c>
      <c r="D197" s="371" t="n">
        <v>108</v>
      </c>
      <c r="E197" s="371" t="n">
        <v>362</v>
      </c>
      <c r="F197" s="425" t="n">
        <v>30</v>
      </c>
      <c r="G197" s="425" t="n"/>
      <c r="H197" s="425" t="n"/>
      <c r="I197" s="371" t="n"/>
      <c r="J197" s="371">
        <f>D197+I197</f>
        <v/>
      </c>
      <c r="K197" s="371">
        <f>E197+I197</f>
        <v/>
      </c>
      <c r="L197" s="418" t="inlineStr">
        <is>
          <t>Lottery Machine #1 (0.12%), Wishing (0.11%), Soul Chest(1%), Grandmaster Scrolls (1%), Relic Forge (100 Relic RF)</t>
        </is>
      </c>
    </row>
    <row r="198">
      <c r="A198" s="434" t="inlineStr">
        <is>
          <t>Einstein's Brain</t>
        </is>
      </c>
      <c r="B198" s="425" t="inlineStr">
        <is>
          <t>SSS</t>
        </is>
      </c>
      <c r="C198" s="425" t="inlineStr">
        <is>
          <t>FAME</t>
        </is>
      </c>
      <c r="D198" s="371" t="n">
        <v>106</v>
      </c>
      <c r="E198" s="371" t="n">
        <v>362</v>
      </c>
      <c r="F198" s="425" t="n"/>
      <c r="G198" s="425" t="n"/>
      <c r="H198" s="425" t="n"/>
      <c r="I198" s="371" t="n"/>
      <c r="J198" s="371">
        <f>D198+I198</f>
        <v/>
      </c>
      <c r="K198" s="371">
        <f>E198+I198</f>
        <v/>
      </c>
      <c r="L198" s="418" t="inlineStr">
        <is>
          <t>Lottery Machine #1 (0.09%), Wishing (0.08%), Grandmaster Scrolls (0.79%)</t>
        </is>
      </c>
    </row>
    <row r="199">
      <c r="A199" s="434" t="inlineStr">
        <is>
          <t>Medal of Honor</t>
        </is>
      </c>
      <c r="B199" s="425" t="inlineStr">
        <is>
          <t>SSS</t>
        </is>
      </c>
      <c r="C199" s="425" t="inlineStr">
        <is>
          <t>FAME</t>
        </is>
      </c>
      <c r="D199" s="371" t="n">
        <v>106</v>
      </c>
      <c r="E199" s="371" t="n">
        <v>362</v>
      </c>
      <c r="F199" s="425" t="n">
        <v>30</v>
      </c>
      <c r="G199" s="425" t="n"/>
      <c r="H199" s="425" t="n"/>
      <c r="I199" s="371" t="n"/>
      <c r="J199" s="371">
        <f>D199+I199</f>
        <v/>
      </c>
      <c r="K199" s="371">
        <f>E199+I199</f>
        <v/>
      </c>
      <c r="L199" s="418" t="inlineStr">
        <is>
          <t>Wish Box, Lottery Machine #1 (0.09%), Wishing (0.09%), Grandmaster Scrolls (0.81%), Relic Forge (120 Relic RF)</t>
        </is>
      </c>
    </row>
    <row r="200">
      <c r="A200" s="434" t="inlineStr">
        <is>
          <t>Proclamation 95</t>
        </is>
      </c>
      <c r="B200" s="425" t="inlineStr">
        <is>
          <t>SS</t>
        </is>
      </c>
      <c r="C200" s="425" t="inlineStr">
        <is>
          <t>FAME</t>
        </is>
      </c>
      <c r="D200" s="371" t="n">
        <v>105</v>
      </c>
      <c r="E200" s="371" t="n">
        <v>347</v>
      </c>
      <c r="F200" s="425" t="n"/>
      <c r="G200" s="425" t="n"/>
      <c r="H200" s="425" t="n"/>
      <c r="I200" s="371" t="n"/>
      <c r="J200" s="371">
        <f>D200+I200</f>
        <v/>
      </c>
      <c r="K200" s="371">
        <f>E200+I200</f>
        <v/>
      </c>
      <c r="L200" s="418" t="inlineStr">
        <is>
          <t>Fragment Crafting (0.61), Lottery Machine #1 (0.24%), Wishing (0.22%), Master Scrolls (0.19%), Grandmaster Scrolls (2.1%), FAME Master Scroll (9.2%)</t>
        </is>
      </c>
    </row>
    <row r="201">
      <c r="A201" s="434" t="inlineStr">
        <is>
          <t>Grimmy Awards</t>
        </is>
      </c>
      <c r="B201" s="425" t="inlineStr">
        <is>
          <t>SS</t>
        </is>
      </c>
      <c r="C201" s="425" t="inlineStr">
        <is>
          <t>FAME</t>
        </is>
      </c>
      <c r="D201" s="371" t="n">
        <v>104</v>
      </c>
      <c r="E201" s="371" t="n">
        <v>347</v>
      </c>
      <c r="F201" s="425" t="n"/>
      <c r="G201" s="425" t="n"/>
      <c r="H201" s="425" t="n"/>
      <c r="I201" s="371" t="n"/>
      <c r="J201" s="371">
        <f>D201+I201</f>
        <v/>
      </c>
      <c r="K201" s="371">
        <f>E201+I201</f>
        <v/>
      </c>
      <c r="L201" s="386" t="inlineStr">
        <is>
          <t>Lottery Machine #2 (0.35%)</t>
        </is>
      </c>
    </row>
    <row r="202">
      <c r="A202" s="434" t="inlineStr">
        <is>
          <t>Mayflower</t>
        </is>
      </c>
      <c r="B202" s="425" t="inlineStr">
        <is>
          <t>SS</t>
        </is>
      </c>
      <c r="C202" s="425" t="inlineStr">
        <is>
          <t>FAME</t>
        </is>
      </c>
      <c r="D202" s="371" t="n">
        <v>104</v>
      </c>
      <c r="E202" s="371" t="n">
        <v>347</v>
      </c>
      <c r="F202" s="425" t="n"/>
      <c r="G202" s="425" t="n"/>
      <c r="H202" s="425" t="n"/>
      <c r="I202" s="371" t="n"/>
      <c r="J202" s="371">
        <f>D202+I202</f>
        <v/>
      </c>
      <c r="K202" s="371">
        <f>E202+I202</f>
        <v/>
      </c>
      <c r="L202" s="386" t="inlineStr">
        <is>
          <t>Fragment Crafting (6.1%), Lottery Machine #1 (0.24%), Wishing (0.22%), Murikan Treasure Maps (5%), Master Scrolls (1.9%), Grandmaster Scrolls (2.1%), FAME Master Scrolls (9.2%)</t>
        </is>
      </c>
    </row>
    <row r="203">
      <c r="A203" s="434" t="inlineStr">
        <is>
          <t>DOI</t>
        </is>
      </c>
      <c r="B203" s="425" t="inlineStr">
        <is>
          <t>SS</t>
        </is>
      </c>
      <c r="C203" s="425" t="inlineStr">
        <is>
          <t>FAME</t>
        </is>
      </c>
      <c r="D203" s="371" t="n">
        <v>104</v>
      </c>
      <c r="E203" s="371" t="n">
        <v>347</v>
      </c>
      <c r="F203" s="425" t="n"/>
      <c r="G203" s="425" t="n"/>
      <c r="H203" s="425" t="n"/>
      <c r="I203" s="371" t="n"/>
      <c r="J203" s="371">
        <f>D203+I203</f>
        <v/>
      </c>
      <c r="K203" s="371">
        <f>E203+I203</f>
        <v/>
      </c>
      <c r="L203" s="386" t="inlineStr">
        <is>
          <t>Fragment Crafting (6.1%), Lottery Machine #1 (0.24%), Wishing (0.22%), Super Treasure Map (5%), Master Scrolls (1.9%),Grandmaster Scrolls (2.1%), FAME Master Scrolls (9.2%)</t>
        </is>
      </c>
    </row>
    <row r="204">
      <c r="A204" s="434" t="inlineStr">
        <is>
          <t>SDI</t>
        </is>
      </c>
      <c r="B204" s="425" t="inlineStr">
        <is>
          <t>SS</t>
        </is>
      </c>
      <c r="C204" s="425" t="inlineStr">
        <is>
          <t>FAME</t>
        </is>
      </c>
      <c r="D204" s="371" t="n">
        <v>103</v>
      </c>
      <c r="E204" s="371" t="n">
        <v>347</v>
      </c>
      <c r="F204" s="425" t="n"/>
      <c r="G204" s="425" t="n"/>
      <c r="H204" s="425" t="n"/>
      <c r="I204" s="371" t="n"/>
      <c r="J204" s="371">
        <f>D204+I204</f>
        <v/>
      </c>
      <c r="K204" s="371">
        <f>E204+I204</f>
        <v/>
      </c>
      <c r="L204" s="386" t="inlineStr">
        <is>
          <t>Fragment Crafting (6.1%), Lottery Machine #1 (0.24%), Wishing (0.22%), Master Scrolls (1.9%), Grandmaster Scrolls (2.1%), FAME Master Scrolls (9.2%), Nebula Chest (1%), Super Species Chest (5.5%)</t>
        </is>
      </c>
    </row>
    <row r="205">
      <c r="A205" s="434" t="inlineStr">
        <is>
          <t>Wealth Magazine Vol.1</t>
        </is>
      </c>
      <c r="B205" s="425" t="inlineStr">
        <is>
          <t>S</t>
        </is>
      </c>
      <c r="C205" s="425" t="inlineStr">
        <is>
          <t>FAME</t>
        </is>
      </c>
      <c r="D205" s="371" t="n">
        <v>98</v>
      </c>
      <c r="E205" s="371" t="n">
        <v>332</v>
      </c>
      <c r="F205" s="425" t="n"/>
      <c r="G205" s="425" t="n"/>
      <c r="H205" s="425" t="n"/>
      <c r="I205" s="425" t="n"/>
      <c r="J205" s="371">
        <f>D205+I205</f>
        <v/>
      </c>
      <c r="K205" s="371">
        <f>E205+I205</f>
        <v/>
      </c>
      <c r="L205" s="386" t="inlineStr">
        <is>
          <t>Lottery Machine #2 (1.59%)</t>
        </is>
      </c>
    </row>
    <row r="206">
      <c r="A206" s="434" t="inlineStr">
        <is>
          <t>The Kiss</t>
        </is>
      </c>
      <c r="B206" s="425" t="inlineStr">
        <is>
          <t>S</t>
        </is>
      </c>
      <c r="C206" s="425" t="inlineStr">
        <is>
          <t>FAME</t>
        </is>
      </c>
      <c r="D206" s="371" t="n">
        <v>97</v>
      </c>
      <c r="E206" s="371" t="n">
        <v>332</v>
      </c>
      <c r="F206" s="425" t="n"/>
      <c r="G206" s="425" t="n"/>
      <c r="H206" s="425" t="n"/>
      <c r="I206" s="425" t="n"/>
      <c r="J206" s="371">
        <f>D206+I206</f>
        <v/>
      </c>
      <c r="K206" s="371">
        <f>E206+I206</f>
        <v/>
      </c>
      <c r="L206" s="386" t="inlineStr">
        <is>
          <t>Lottery Machine #2 (1.59%)</t>
        </is>
      </c>
    </row>
    <row r="207">
      <c r="A207" s="434" t="inlineStr">
        <is>
          <t>Ruby Laser</t>
        </is>
      </c>
      <c r="B207" s="425" t="inlineStr">
        <is>
          <t>AAA</t>
        </is>
      </c>
      <c r="C207" s="425" t="inlineStr">
        <is>
          <t>FAME</t>
        </is>
      </c>
      <c r="D207" s="371" t="n">
        <v>73</v>
      </c>
      <c r="E207" s="425" t="n"/>
      <c r="F207" s="425" t="n"/>
      <c r="G207" s="425" t="n"/>
      <c r="H207" s="425" t="n"/>
      <c r="I207" s="371" t="n">
        <v>10</v>
      </c>
      <c r="J207" s="371">
        <f>D207+I207</f>
        <v/>
      </c>
      <c r="K207" s="371" t="n"/>
      <c r="L207" s="386" t="inlineStr">
        <is>
          <t>Lucky Box Reward</t>
        </is>
      </c>
    </row>
    <row r="208">
      <c r="A208" s="434" t="inlineStr">
        <is>
          <t>Speech of MLK</t>
        </is>
      </c>
      <c r="B208" s="425" t="inlineStr">
        <is>
          <t>AAA</t>
        </is>
      </c>
      <c r="C208" s="425" t="inlineStr">
        <is>
          <t>FAME</t>
        </is>
      </c>
      <c r="D208" s="371" t="n">
        <v>74</v>
      </c>
      <c r="E208" s="425" t="n"/>
      <c r="F208" s="425" t="n"/>
      <c r="G208" s="425" t="n"/>
      <c r="H208" s="425" t="n"/>
      <c r="I208" s="425" t="n"/>
      <c r="J208" s="371">
        <f>D208+I208</f>
        <v/>
      </c>
      <c r="K208" s="371" t="n"/>
      <c r="L208" s="386" t="inlineStr">
        <is>
          <t>Fragment Crafting (1.6%), Lottery Machine #1 (0.03%), Wishing (0.14%), Relic Forge (80 Relic RF)</t>
        </is>
      </c>
    </row>
    <row r="209">
      <c r="A209" s="434" t="inlineStr">
        <is>
          <t>ARPAnet</t>
        </is>
      </c>
      <c r="B209" s="425" t="inlineStr">
        <is>
          <t>AAA</t>
        </is>
      </c>
      <c r="C209" s="425" t="inlineStr">
        <is>
          <t>FAME</t>
        </is>
      </c>
      <c r="D209" s="371" t="n">
        <v>71</v>
      </c>
      <c r="E209" s="371" t="n"/>
      <c r="F209" s="425" t="n"/>
      <c r="G209" s="425" t="n"/>
      <c r="H209" s="425" t="n"/>
      <c r="I209" s="425" t="n"/>
      <c r="J209" s="371">
        <f>D209+I209</f>
        <v/>
      </c>
      <c r="K209" s="371" t="n"/>
      <c r="L209" s="386" t="inlineStr">
        <is>
          <t>Fragment Crafting (1.6%), Lottery Machine #1 (0.03%), Wishing (0.14%), Tool Chest(1.5%), Relic Forge (80 Relic RF)</t>
        </is>
      </c>
    </row>
    <row r="210">
      <c r="A210" s="434" t="inlineStr">
        <is>
          <t>Franklin's Kite</t>
        </is>
      </c>
      <c r="B210" s="425" t="inlineStr">
        <is>
          <t>Blue</t>
        </is>
      </c>
      <c r="C210" s="425" t="inlineStr">
        <is>
          <t>FAME</t>
        </is>
      </c>
      <c r="D210" s="371" t="n">
        <v>48</v>
      </c>
      <c r="E210" s="371" t="n"/>
      <c r="F210" s="425" t="n"/>
      <c r="G210" s="425" t="n"/>
      <c r="H210" s="425" t="n"/>
      <c r="I210" s="425" t="n"/>
      <c r="J210" s="371">
        <f>D210+I210</f>
        <v/>
      </c>
      <c r="K210" s="371" t="n"/>
      <c r="L210" s="386" t="inlineStr">
        <is>
          <t>Lottery Machine #1 (0.07%), Wishing (3.1%), Murikan Treasure Map (20%), Novice Scrolls (1%)</t>
        </is>
      </c>
    </row>
    <row r="211">
      <c r="A211" s="434" t="inlineStr">
        <is>
          <t>Mystic Mountain</t>
        </is>
      </c>
      <c r="B211" s="425" t="inlineStr">
        <is>
          <t>SSS</t>
        </is>
      </c>
      <c r="C211" s="425" t="inlineStr">
        <is>
          <t>ART</t>
        </is>
      </c>
      <c r="D211" s="371" t="n">
        <v>106</v>
      </c>
      <c r="E211" s="425">
        <f>52+106+69+74+61</f>
        <v/>
      </c>
      <c r="F211" s="425" t="n"/>
      <c r="G211" s="425" t="n"/>
      <c r="H211" s="425" t="n"/>
      <c r="I211" s="425" t="n">
        <v>15</v>
      </c>
      <c r="J211" s="371">
        <f>D211+I211</f>
        <v/>
      </c>
      <c r="K211" s="371">
        <f>E211+I211</f>
        <v/>
      </c>
      <c r="L211" s="386" t="inlineStr">
        <is>
          <t>Lottery Machine #2 (0.12%),  Nebula Value Pack III ($99.99)</t>
        </is>
      </c>
    </row>
    <row r="212">
      <c r="A212" s="434" t="inlineStr">
        <is>
          <t>Cancer</t>
        </is>
      </c>
      <c r="B212" s="425" t="inlineStr">
        <is>
          <t>SSS</t>
        </is>
      </c>
      <c r="C212" s="425" t="inlineStr">
        <is>
          <t>ART</t>
        </is>
      </c>
      <c r="D212" s="371" t="n">
        <v>110</v>
      </c>
      <c r="E212" s="425" t="n">
        <v>362</v>
      </c>
      <c r="F212" s="425" t="n"/>
      <c r="G212" s="425" t="n"/>
      <c r="H212" s="425" t="n"/>
      <c r="I212" s="425" t="n"/>
      <c r="J212" s="371">
        <f>D212+I212</f>
        <v/>
      </c>
      <c r="K212" s="371">
        <f>E212+I212</f>
        <v/>
      </c>
      <c r="L212" s="386" t="inlineStr">
        <is>
          <t>Supreme Relic #12 ($12K)</t>
        </is>
      </c>
    </row>
    <row r="213">
      <c r="A213" s="434" t="inlineStr">
        <is>
          <t>David</t>
        </is>
      </c>
      <c r="B213" s="425" t="inlineStr">
        <is>
          <t>SS</t>
        </is>
      </c>
      <c r="C213" s="425" t="inlineStr">
        <is>
          <t>ART</t>
        </is>
      </c>
      <c r="D213" s="371" t="n">
        <v>103</v>
      </c>
      <c r="E213" s="425" t="n">
        <v>347</v>
      </c>
      <c r="F213" s="425" t="n"/>
      <c r="G213" s="425" t="n"/>
      <c r="H213" s="425" t="n"/>
      <c r="I213" s="425" t="n"/>
      <c r="J213" s="371">
        <f>D213+I213</f>
        <v/>
      </c>
      <c r="K213" s="371">
        <f>E213+I213</f>
        <v/>
      </c>
      <c r="L213" s="386" t="inlineStr">
        <is>
          <t>Fragment Crafting (4%), Lottery Machine #1 (0.18%), Wishing (0.15%), Demon God Chest (5%), Grandmaster Scrolls (1.5%)</t>
        </is>
      </c>
    </row>
    <row r="214">
      <c r="A214" s="434" t="inlineStr">
        <is>
          <t>Ship in a Bottle</t>
        </is>
      </c>
      <c r="B214" s="425" t="inlineStr">
        <is>
          <t>SS</t>
        </is>
      </c>
      <c r="C214" s="425" t="inlineStr">
        <is>
          <t>ART</t>
        </is>
      </c>
      <c r="D214" s="371" t="n">
        <v>101</v>
      </c>
      <c r="E214" s="425" t="n">
        <v>347</v>
      </c>
      <c r="F214" s="425" t="n"/>
      <c r="G214" s="425" t="n"/>
      <c r="H214" s="425" t="n"/>
      <c r="I214" s="425" t="n"/>
      <c r="J214" s="371">
        <f>D214+I214</f>
        <v/>
      </c>
      <c r="K214" s="371">
        <f>E214+I214</f>
        <v/>
      </c>
      <c r="L214" s="386" t="inlineStr">
        <is>
          <t>Fragment Crafting (4%), Lottery Machine #1 (0.18%), Wishing (0.15%), Grandmaster Scrolls (1.5%)</t>
        </is>
      </c>
    </row>
    <row r="215">
      <c r="A215" s="434" t="inlineStr">
        <is>
          <t>The Goodbye Kiss</t>
        </is>
      </c>
      <c r="B215" s="425" t="inlineStr">
        <is>
          <t>AAA</t>
        </is>
      </c>
      <c r="C215" s="425" t="inlineStr">
        <is>
          <t>ART</t>
        </is>
      </c>
      <c r="D215" s="371" t="n">
        <v>75</v>
      </c>
      <c r="E215" s="425" t="n"/>
      <c r="F215" s="425" t="n"/>
      <c r="G215" s="425" t="n"/>
      <c r="H215" s="425" t="n"/>
      <c r="I215" s="425" t="n">
        <v>10</v>
      </c>
      <c r="J215" s="371">
        <f>D215+I215</f>
        <v/>
      </c>
      <c r="K215" s="371" t="n"/>
      <c r="L215" s="390" t="inlineStr">
        <is>
          <t>Lottery Box Relic #2</t>
        </is>
      </c>
    </row>
    <row r="216">
      <c r="A216" s="434" t="inlineStr">
        <is>
          <t>Peacock Suit</t>
        </is>
      </c>
      <c r="B216" s="425" t="inlineStr">
        <is>
          <t>AA</t>
        </is>
      </c>
      <c r="C216" s="425" t="inlineStr">
        <is>
          <t>ART</t>
        </is>
      </c>
      <c r="D216" s="371" t="n">
        <v>72</v>
      </c>
      <c r="E216" s="425" t="n"/>
      <c r="F216" s="425" t="n"/>
      <c r="G216" s="425" t="n"/>
      <c r="H216" s="425" t="n"/>
      <c r="I216" s="425" t="n">
        <v>10</v>
      </c>
      <c r="J216" s="371">
        <f>D216+I216</f>
        <v/>
      </c>
      <c r="K216" s="371" t="n"/>
      <c r="L216" s="386" t="inlineStr">
        <is>
          <t>Fragment Crafting (1.6%), Lottery Machine #1 (0.03%), Wishing (0.14%), Murikan Treasure Maps (10%), Relic Forge (80 Relic RF)</t>
        </is>
      </c>
    </row>
    <row r="217">
      <c r="A217" s="434" t="inlineStr">
        <is>
          <t>Silver Nugget Awards</t>
        </is>
      </c>
      <c r="B217" s="425" t="inlineStr">
        <is>
          <t>AAA</t>
        </is>
      </c>
      <c r="C217" s="425" t="inlineStr">
        <is>
          <t>ART</t>
        </is>
      </c>
      <c r="D217" s="371" t="n">
        <v>73</v>
      </c>
      <c r="E217" s="425" t="n"/>
      <c r="F217" s="425" t="n"/>
      <c r="G217" s="425" t="n"/>
      <c r="H217" s="425" t="n"/>
      <c r="I217" s="425" t="n"/>
      <c r="J217" s="371">
        <f>D217+I217</f>
        <v/>
      </c>
      <c r="K217" s="371" t="n"/>
      <c r="L217" s="386" t="inlineStr">
        <is>
          <t>Decoration Bonus Relic #2</t>
        </is>
      </c>
    </row>
    <row r="218">
      <c r="A218" s="434" t="inlineStr">
        <is>
          <t>Pinocchio</t>
        </is>
      </c>
      <c r="B218" s="425" t="inlineStr">
        <is>
          <t>Blue</t>
        </is>
      </c>
      <c r="C218" s="425" t="inlineStr">
        <is>
          <t>ART</t>
        </is>
      </c>
      <c r="D218" s="371" t="n">
        <v>46</v>
      </c>
      <c r="E218" s="425" t="n"/>
      <c r="F218" s="425" t="n"/>
      <c r="G218" s="425" t="n"/>
      <c r="H218" s="425" t="n"/>
      <c r="I218" s="425" t="n"/>
      <c r="J218" s="371">
        <f>D218+I218</f>
        <v/>
      </c>
      <c r="K218" s="371" t="n"/>
      <c r="L218" s="386" t="inlineStr">
        <is>
          <t>Lottery Machine #1 (0.03%), Wishing (1.2%)</t>
        </is>
      </c>
    </row>
    <row r="219">
      <c r="A219" s="434" t="inlineStr">
        <is>
          <t>Cthaat Aquadingen</t>
        </is>
      </c>
      <c r="B219" s="425" t="inlineStr">
        <is>
          <t>SSS</t>
        </is>
      </c>
      <c r="C219" s="425" t="inlineStr">
        <is>
          <t>FTH</t>
        </is>
      </c>
      <c r="D219" s="371" t="n">
        <v>106</v>
      </c>
      <c r="E219" s="425" t="n">
        <v>362</v>
      </c>
      <c r="F219" s="425" t="n"/>
      <c r="G219" s="425" t="n"/>
      <c r="H219" s="425" t="n"/>
      <c r="I219" s="425" t="n">
        <v>15</v>
      </c>
      <c r="J219" s="371">
        <f>D219+I219</f>
        <v/>
      </c>
      <c r="K219" s="371">
        <f>E219+I219</f>
        <v/>
      </c>
      <c r="L219" s="386" t="inlineStr">
        <is>
          <t>Weekly Special Relic #4</t>
        </is>
      </c>
    </row>
    <row r="220">
      <c r="A220" s="434" t="inlineStr">
        <is>
          <t>Eye of Akamoddo</t>
        </is>
      </c>
      <c r="B220" s="425" t="inlineStr">
        <is>
          <t>SS</t>
        </is>
      </c>
      <c r="C220" s="425" t="inlineStr">
        <is>
          <t>FTH</t>
        </is>
      </c>
      <c r="D220" s="371" t="n">
        <v>103</v>
      </c>
      <c r="E220" s="425" t="n">
        <v>347</v>
      </c>
      <c r="F220" s="425" t="n"/>
      <c r="G220" s="425" t="n"/>
      <c r="H220" s="425" t="n"/>
      <c r="I220" s="425" t="n">
        <v>15</v>
      </c>
      <c r="J220" s="371">
        <f>D220+I220</f>
        <v/>
      </c>
      <c r="K220" s="371">
        <f>E220+I220</f>
        <v/>
      </c>
      <c r="L220" s="386" t="inlineStr">
        <is>
          <t>Fragment Crafting (4.4%), Lottery Machine #1 (0.24%), Wishing (0.16%), Time Chest (1%), Master Scrolls (1.9%), Grandmaster Scrolls (2.1%), FTH Master Scrolls (9.2%)</t>
        </is>
      </c>
    </row>
    <row r="221">
      <c r="A221" s="434" t="inlineStr">
        <is>
          <t>Forbidden Fruit</t>
        </is>
      </c>
      <c r="B221" s="425" t="inlineStr">
        <is>
          <t>SS</t>
        </is>
      </c>
      <c r="C221" s="425" t="inlineStr">
        <is>
          <t>FTH</t>
        </is>
      </c>
      <c r="D221" s="371" t="n">
        <v>104</v>
      </c>
      <c r="E221" s="425" t="n">
        <v>347</v>
      </c>
      <c r="F221" s="425" t="n"/>
      <c r="G221" s="425" t="n"/>
      <c r="H221" s="425" t="n"/>
      <c r="I221" s="425" t="n"/>
      <c r="J221" s="371">
        <f>D221+I221</f>
        <v/>
      </c>
      <c r="K221" s="371">
        <f>E221+I221</f>
        <v/>
      </c>
      <c r="L221" s="386" t="inlineStr">
        <is>
          <t>Lottery Machine #1 (0.12%), Wishing (0.8%), Super Treasure Maps (5%), Grandmaster Scrolls (1%), Relic Forge (100 Relic RF)</t>
        </is>
      </c>
    </row>
    <row r="222">
      <c r="A222" s="434" t="inlineStr">
        <is>
          <t>Star of David</t>
        </is>
      </c>
      <c r="B222" s="425" t="inlineStr">
        <is>
          <t>Blue</t>
        </is>
      </c>
      <c r="C222" s="425" t="inlineStr">
        <is>
          <t>FTH</t>
        </is>
      </c>
      <c r="D222" s="371" t="n">
        <v>47</v>
      </c>
      <c r="E222" s="425" t="n"/>
      <c r="F222" s="425" t="n"/>
      <c r="G222" s="425" t="n"/>
      <c r="H222" s="425" t="n"/>
      <c r="I222" s="425" t="n"/>
      <c r="J222" s="371">
        <f>D222+I222</f>
        <v/>
      </c>
      <c r="K222" s="371" t="n"/>
      <c r="L222" s="386" t="inlineStr">
        <is>
          <t>T2 Angel Research</t>
        </is>
      </c>
    </row>
    <row r="223">
      <c r="A223" s="434" t="inlineStr">
        <is>
          <t>Don Quixote</t>
        </is>
      </c>
      <c r="B223" s="425" t="inlineStr">
        <is>
          <t>SSS</t>
        </is>
      </c>
      <c r="C223" s="425" t="inlineStr">
        <is>
          <t>CIV</t>
        </is>
      </c>
      <c r="D223" s="371" t="n">
        <v>108</v>
      </c>
      <c r="E223" s="371" t="n">
        <v>362</v>
      </c>
      <c r="F223" s="371" t="n">
        <v>30</v>
      </c>
      <c r="G223" s="425" t="n"/>
      <c r="H223" s="425" t="n"/>
      <c r="I223" s="425" t="n">
        <v>15</v>
      </c>
      <c r="J223" s="371">
        <f>D223+I223</f>
        <v/>
      </c>
      <c r="K223" s="371">
        <f>E223+I223</f>
        <v/>
      </c>
      <c r="L223" s="386" t="inlineStr">
        <is>
          <t>Badge Shop</t>
        </is>
      </c>
    </row>
    <row r="224">
      <c r="A224" s="434" t="inlineStr">
        <is>
          <t>MUSE Award</t>
        </is>
      </c>
      <c r="B224" s="425" t="inlineStr">
        <is>
          <t>SSS</t>
        </is>
      </c>
      <c r="C224" s="425" t="inlineStr">
        <is>
          <t>CIV</t>
        </is>
      </c>
      <c r="D224" s="371" t="n">
        <v>108</v>
      </c>
      <c r="E224" s="371" t="n">
        <v>362</v>
      </c>
      <c r="F224" s="371" t="n">
        <v>30</v>
      </c>
      <c r="G224" s="425" t="n"/>
      <c r="H224" s="371" t="n">
        <v>3000</v>
      </c>
      <c r="I224" s="371" t="n">
        <v>15</v>
      </c>
      <c r="J224" s="371">
        <f>D224+I224</f>
        <v/>
      </c>
      <c r="K224" s="371">
        <f>E224+I224</f>
        <v/>
      </c>
      <c r="L224" s="386" t="inlineStr">
        <is>
          <t>Decoration Bonus Relic #5</t>
        </is>
      </c>
    </row>
    <row r="225">
      <c r="A225" s="434" t="inlineStr">
        <is>
          <t>Era Magazine Vol.1</t>
        </is>
      </c>
      <c r="B225" s="425" t="inlineStr">
        <is>
          <t>SS</t>
        </is>
      </c>
      <c r="C225" s="425" t="inlineStr">
        <is>
          <t>CIV</t>
        </is>
      </c>
      <c r="D225" s="371" t="n">
        <v>103</v>
      </c>
      <c r="E225" s="371" t="n">
        <v>347</v>
      </c>
      <c r="F225" s="371" t="n"/>
      <c r="G225" s="425" t="n"/>
      <c r="H225" s="425" t="n"/>
      <c r="I225" s="425" t="n"/>
      <c r="J225" s="371">
        <f>D225+I225</f>
        <v/>
      </c>
      <c r="K225" s="371">
        <f>E225+I225</f>
        <v/>
      </c>
      <c r="L225" s="386" t="inlineStr">
        <is>
          <t>Lottery Machine #1 (0.12%), Wishing (0.1%), Ad Chest (1%), Grandmaster Scrolls (1%), Relic Forge (100 Relic RF)</t>
        </is>
      </c>
    </row>
    <row r="226">
      <c r="A226" s="434" t="inlineStr">
        <is>
          <t>Pakal's Sarcophagus</t>
        </is>
      </c>
      <c r="B226" s="425" t="inlineStr">
        <is>
          <t>AA</t>
        </is>
      </c>
      <c r="C226" s="425" t="inlineStr">
        <is>
          <t>CIV</t>
        </is>
      </c>
      <c r="D226" s="371" t="n">
        <v>75</v>
      </c>
      <c r="E226" s="425" t="n"/>
      <c r="F226" s="425" t="n"/>
      <c r="G226" s="425" t="n"/>
      <c r="H226" s="425" t="n"/>
      <c r="I226" s="371" t="n">
        <v>10</v>
      </c>
      <c r="J226" s="371">
        <f>D226+I226</f>
        <v/>
      </c>
      <c r="K226" s="371" t="n"/>
      <c r="L226" s="386" t="inlineStr">
        <is>
          <t>Gastric Pouch</t>
        </is>
      </c>
    </row>
    <row r="227">
      <c r="A227" s="434" t="inlineStr">
        <is>
          <t>Truth Crystal</t>
        </is>
      </c>
      <c r="B227" s="425" t="inlineStr">
        <is>
          <t>AAA</t>
        </is>
      </c>
      <c r="C227" s="425" t="inlineStr">
        <is>
          <t>CIV</t>
        </is>
      </c>
      <c r="D227" s="371" t="n">
        <v>71</v>
      </c>
      <c r="E227" s="371" t="n"/>
      <c r="F227" s="425" t="n"/>
      <c r="G227" s="425" t="n"/>
      <c r="H227" s="425" t="n"/>
      <c r="I227" s="425" t="n">
        <v>10</v>
      </c>
      <c r="J227" s="371">
        <f>D227+I227</f>
        <v/>
      </c>
      <c r="K227" s="371" t="n"/>
      <c r="L227" s="386" t="inlineStr">
        <is>
          <t>Fragment Crafting (1.5%), Lottery Machine #1 (0.03%), Wishing (0.14%), Relic Forge (80 Relic RF), Nebula Chest (1.5%)</t>
        </is>
      </c>
    </row>
    <row r="228">
      <c r="A228" s="434" t="inlineStr">
        <is>
          <t>Crystal Piano</t>
        </is>
      </c>
      <c r="B228" s="425" t="inlineStr">
        <is>
          <t>AAA</t>
        </is>
      </c>
      <c r="C228" s="425" t="inlineStr">
        <is>
          <t>CIV</t>
        </is>
      </c>
      <c r="D228" s="371" t="n">
        <v>71</v>
      </c>
      <c r="E228" s="371" t="n"/>
      <c r="F228" s="425" t="n"/>
      <c r="G228" s="425" t="n"/>
      <c r="H228" s="425" t="n"/>
      <c r="I228" s="425" t="n">
        <v>10</v>
      </c>
      <c r="J228" s="371">
        <f>D228+I228</f>
        <v/>
      </c>
      <c r="K228" s="371" t="n"/>
      <c r="L228" s="386" t="inlineStr">
        <is>
          <t>Fragment Crafting (1.5%), Lottery Machine #1 (0.03%), Wishing (0.14%), Relic Forge (80 Relic RF), Indigent Nobleman (210k btads)</t>
        </is>
      </c>
    </row>
    <row r="229">
      <c r="A229" s="434" t="inlineStr">
        <is>
          <t>Lennon's Guitar</t>
        </is>
      </c>
      <c r="B229" s="425" t="inlineStr">
        <is>
          <t>AAA</t>
        </is>
      </c>
      <c r="C229" s="425" t="inlineStr">
        <is>
          <t>CIV</t>
        </is>
      </c>
      <c r="D229" s="371" t="n">
        <v>72</v>
      </c>
      <c r="E229" s="425" t="n"/>
      <c r="F229" s="425" t="n"/>
      <c r="G229" s="425" t="n"/>
      <c r="H229" s="425" t="n"/>
      <c r="I229" s="371" t="n"/>
      <c r="J229" s="371">
        <f>D229+I229</f>
        <v/>
      </c>
      <c r="K229" s="371" t="n"/>
      <c r="L229" s="386" t="inlineStr">
        <is>
          <t>Fragment Crafting (1.5%), Lottery Machine #1 (0.03%), Wishing (0.14%), Relic Forge (80 Relic RF)</t>
        </is>
      </c>
    </row>
    <row r="230">
      <c r="A230" s="434" t="inlineStr">
        <is>
          <t>Sholes' Typewriter</t>
        </is>
      </c>
      <c r="B230" s="425" t="inlineStr">
        <is>
          <t>Blue</t>
        </is>
      </c>
      <c r="C230" s="425" t="inlineStr">
        <is>
          <t>CIV</t>
        </is>
      </c>
      <c r="D230" s="371" t="n">
        <v>45</v>
      </c>
      <c r="E230" s="425" t="n"/>
      <c r="F230" s="425" t="n"/>
      <c r="G230" s="425" t="n"/>
      <c r="H230" s="425" t="n"/>
      <c r="I230" s="425" t="n"/>
      <c r="J230" s="371">
        <f>D230+I230</f>
        <v/>
      </c>
      <c r="K230" s="371" t="n"/>
      <c r="L230" s="386" t="inlineStr">
        <is>
          <t>Lottery Machine #1 (0.03%), Wishing (0.82%)</t>
        </is>
      </c>
    </row>
    <row r="231">
      <c r="A231" s="434" t="inlineStr">
        <is>
          <t>Viking Horn</t>
        </is>
      </c>
      <c r="B231" s="425" t="inlineStr">
        <is>
          <t>Blue</t>
        </is>
      </c>
      <c r="C231" s="425" t="inlineStr">
        <is>
          <t>CIV</t>
        </is>
      </c>
      <c r="D231" s="371" t="n">
        <v>45</v>
      </c>
      <c r="E231" s="425" t="n"/>
      <c r="F231" s="425" t="n"/>
      <c r="G231" s="425" t="n"/>
      <c r="H231" s="425" t="n"/>
      <c r="I231" s="425" t="n"/>
      <c r="J231" s="371">
        <f>D231+I231</f>
        <v/>
      </c>
      <c r="K231" s="371" t="n"/>
      <c r="L231" s="386" t="inlineStr">
        <is>
          <t>Lottery Machine #1 (0.03%), Wishing (0.82%)</t>
        </is>
      </c>
    </row>
    <row r="232">
      <c r="A232" s="434" t="inlineStr">
        <is>
          <t>Gone with the Wind</t>
        </is>
      </c>
      <c r="B232" s="425" t="inlineStr">
        <is>
          <t>Blue</t>
        </is>
      </c>
      <c r="C232" s="425" t="inlineStr">
        <is>
          <t>CIV</t>
        </is>
      </c>
      <c r="D232" s="371" t="n">
        <v>44</v>
      </c>
      <c r="E232" s="425" t="n"/>
      <c r="F232" s="425" t="n"/>
      <c r="G232" s="425" t="n"/>
      <c r="H232" s="425" t="n"/>
      <c r="I232" s="425" t="n"/>
      <c r="J232" s="371">
        <f>D232+I232</f>
        <v/>
      </c>
      <c r="K232" s="371" t="n"/>
      <c r="L232" s="386" t="inlineStr">
        <is>
          <t>Murikan Treasure Maps (20%)</t>
        </is>
      </c>
    </row>
    <row r="233">
      <c r="A233" s="434" t="inlineStr">
        <is>
          <t>Chemical Bond Theory</t>
        </is>
      </c>
      <c r="B233" s="425" t="inlineStr">
        <is>
          <t>SSS</t>
        </is>
      </c>
      <c r="C233" s="425" t="inlineStr">
        <is>
          <t>TECH</t>
        </is>
      </c>
      <c r="D233" s="371" t="n">
        <v>109</v>
      </c>
      <c r="E233" s="371" t="n">
        <v>362</v>
      </c>
      <c r="F233" s="425" t="n">
        <v>30</v>
      </c>
      <c r="G233" s="425" t="n"/>
      <c r="H233" s="425" t="n"/>
      <c r="I233" s="425" t="n">
        <v>15</v>
      </c>
      <c r="J233" s="371">
        <f>D233+I233</f>
        <v/>
      </c>
      <c r="K233" s="371">
        <f>E233+I233</f>
        <v/>
      </c>
      <c r="L233" s="390" t="inlineStr">
        <is>
          <t>Unknown</t>
        </is>
      </c>
    </row>
    <row r="234">
      <c r="A234" s="434" t="inlineStr">
        <is>
          <t>Aegis System</t>
        </is>
      </c>
      <c r="B234" s="425" t="inlineStr">
        <is>
          <t>SSS</t>
        </is>
      </c>
      <c r="C234" s="425" t="inlineStr">
        <is>
          <t>TECH</t>
        </is>
      </c>
      <c r="D234" s="371" t="n">
        <v>106</v>
      </c>
      <c r="E234" s="371" t="n">
        <v>362</v>
      </c>
      <c r="F234" s="425" t="n"/>
      <c r="G234" s="425" t="n"/>
      <c r="H234" s="425" t="n"/>
      <c r="I234" s="425" t="n">
        <v>15</v>
      </c>
      <c r="J234" s="371">
        <f>D234+I234</f>
        <v/>
      </c>
      <c r="K234" s="371">
        <f>E234+I234</f>
        <v/>
      </c>
      <c r="L234" s="418" t="inlineStr">
        <is>
          <t>Steel Hall (Rebel Cabin) Reward</t>
        </is>
      </c>
    </row>
    <row r="235">
      <c r="A235" s="434" t="inlineStr">
        <is>
          <t>Nuclear Bomb</t>
        </is>
      </c>
      <c r="B235" s="425" t="inlineStr">
        <is>
          <t>SSS</t>
        </is>
      </c>
      <c r="C235" s="425" t="inlineStr">
        <is>
          <t>TECH</t>
        </is>
      </c>
      <c r="D235" s="371" t="n">
        <v>106</v>
      </c>
      <c r="E235" s="371" t="n">
        <v>362</v>
      </c>
      <c r="F235" s="425" t="n"/>
      <c r="G235" s="425" t="n"/>
      <c r="H235" s="425" t="n"/>
      <c r="I235" s="425" t="n"/>
      <c r="J235" s="371">
        <f>D235+I235</f>
        <v/>
      </c>
      <c r="K235" s="371">
        <f>E235+I235</f>
        <v/>
      </c>
      <c r="L235" s="418" t="inlineStr">
        <is>
          <t>Wish Box, Lottery Machine #1 (0.09%), Wishing (0.07%), Grandmaster Scrolls (0.81%), Relic Forge (120 Relic RF)</t>
        </is>
      </c>
    </row>
    <row r="236">
      <c r="A236" s="434" t="inlineStr">
        <is>
          <t>Hubble Telescope</t>
        </is>
      </c>
      <c r="B236" s="425" t="inlineStr">
        <is>
          <t>S</t>
        </is>
      </c>
      <c r="C236" s="425" t="inlineStr">
        <is>
          <t>TECH</t>
        </is>
      </c>
      <c r="D236" s="371" t="n">
        <v>99</v>
      </c>
      <c r="E236" s="425" t="n">
        <v>332</v>
      </c>
      <c r="F236" s="425" t="n"/>
      <c r="G236" s="425" t="n"/>
      <c r="H236" s="425" t="n"/>
      <c r="I236" s="425" t="n"/>
      <c r="J236" s="371">
        <f>D236+I236</f>
        <v/>
      </c>
      <c r="K236" s="371">
        <f>E236+I236</f>
        <v/>
      </c>
      <c r="L236" s="418" t="inlineStr">
        <is>
          <t>Fragment Crafting (17.8%), Lottery Machine #1 (0.80%), Wishing (0.65%), Super Treasure Maps (15%), Relic Forge (90 Relic RF)</t>
        </is>
      </c>
    </row>
    <row r="237">
      <c r="A237" s="434" t="inlineStr">
        <is>
          <t>Sparkler Award</t>
        </is>
      </c>
      <c r="B237" s="425" t="inlineStr">
        <is>
          <t>AAA</t>
        </is>
      </c>
      <c r="C237" s="425" t="inlineStr">
        <is>
          <t>TECH</t>
        </is>
      </c>
      <c r="D237" s="371" t="n">
        <v>75</v>
      </c>
      <c r="E237" s="425" t="n"/>
      <c r="F237" s="425" t="n"/>
      <c r="G237" s="425" t="n"/>
      <c r="H237" s="425" t="n"/>
      <c r="I237" s="425" t="n">
        <v>10</v>
      </c>
      <c r="J237" s="371">
        <f>D237+I237</f>
        <v/>
      </c>
      <c r="K237" s="371" t="n"/>
      <c r="L237" s="418" t="inlineStr">
        <is>
          <t>Decoration Bonus Relic #3</t>
        </is>
      </c>
    </row>
    <row r="238">
      <c r="A238" s="434" t="inlineStr">
        <is>
          <t>Kilby's IC</t>
        </is>
      </c>
      <c r="B238" s="425" t="inlineStr">
        <is>
          <t>AAA</t>
        </is>
      </c>
      <c r="C238" s="425" t="inlineStr">
        <is>
          <t>TECH</t>
        </is>
      </c>
      <c r="D238" s="371" t="n">
        <v>72</v>
      </c>
      <c r="E238" s="425" t="n"/>
      <c r="F238" s="425" t="n"/>
      <c r="G238" s="425" t="n"/>
      <c r="H238" s="425" t="n"/>
      <c r="I238" s="425" t="n">
        <v>10</v>
      </c>
      <c r="J238" s="371">
        <f>D238+I238</f>
        <v/>
      </c>
      <c r="K238" s="371" t="n"/>
      <c r="L238" s="390" t="inlineStr">
        <is>
          <t>Museum Operation Reward</t>
        </is>
      </c>
    </row>
    <row r="239">
      <c r="A239" s="434" t="inlineStr">
        <is>
          <t>ENIAC Prototype</t>
        </is>
      </c>
      <c r="B239" s="425" t="inlineStr">
        <is>
          <t>AA</t>
        </is>
      </c>
      <c r="C239" s="425" t="inlineStr">
        <is>
          <t>TECH</t>
        </is>
      </c>
      <c r="D239" s="371" t="n">
        <v>70</v>
      </c>
      <c r="E239" s="425" t="n"/>
      <c r="F239" s="425" t="n"/>
      <c r="G239" s="425" t="n"/>
      <c r="H239" s="425" t="n"/>
      <c r="I239" s="425" t="n">
        <v>10</v>
      </c>
      <c r="J239" s="371">
        <f>D239+I239</f>
        <v/>
      </c>
      <c r="K239" s="371" t="n"/>
      <c r="L239" s="418" t="inlineStr">
        <is>
          <t>Fragment Crafting (3.9%), Lottery Machine #1 (0.08%), Wishing (0.36%), Murikan Treasure Map (10%), Expert Scrolls (0.95%)</t>
        </is>
      </c>
    </row>
    <row r="240">
      <c r="A240" s="362" t="inlineStr">
        <is>
          <t>Flyer I</t>
        </is>
      </c>
      <c r="B240" s="411" t="inlineStr">
        <is>
          <t>Blue</t>
        </is>
      </c>
      <c r="C240" s="411" t="inlineStr">
        <is>
          <t>TECH</t>
        </is>
      </c>
      <c r="D240" s="364" t="n">
        <v>48</v>
      </c>
      <c r="E240" s="411" t="n"/>
      <c r="F240" s="411" t="n"/>
      <c r="G240" s="411" t="n"/>
      <c r="H240" s="411" t="n"/>
      <c r="I240" s="411" t="n"/>
      <c r="J240" s="364">
        <f>D240+I240</f>
        <v/>
      </c>
      <c r="K240" s="364" t="n"/>
      <c r="L240" s="426" t="inlineStr">
        <is>
          <t>Lottery Machine #1 (0.03%), Wishing (1.1%)</t>
        </is>
      </c>
    </row>
    <row r="241"/>
    <row r="242"/>
    <row r="243">
      <c r="A243" s="906" t="inlineStr">
        <is>
          <t>MEDALS</t>
        </is>
      </c>
    </row>
    <row r="244">
      <c r="A244" s="344" t="inlineStr">
        <is>
          <t>MUSEUM LAYOUT</t>
        </is>
      </c>
      <c r="B244" s="406" t="n"/>
      <c r="C244" s="406" t="inlineStr">
        <is>
          <t>Restriction</t>
        </is>
      </c>
      <c r="D244" s="406" t="inlineStr">
        <is>
          <t>Used</t>
        </is>
      </c>
      <c r="E244" s="406" t="inlineStr">
        <is>
          <t>Museum Score</t>
        </is>
      </c>
      <c r="F244" s="406" t="inlineStr">
        <is>
          <t>Medal Output</t>
        </is>
      </c>
      <c r="G244" s="406" t="inlineStr">
        <is>
          <t>Wish Coin Cost</t>
        </is>
      </c>
      <c r="H244" s="129" t="inlineStr">
        <is>
          <t>Btad Output</t>
        </is>
      </c>
    </row>
    <row r="245">
      <c r="A245" s="126" t="n">
        <v>1</v>
      </c>
      <c r="B245" s="425" t="inlineStr">
        <is>
          <t>ALL</t>
        </is>
      </c>
      <c r="C245" s="425" t="n"/>
      <c r="D245" s="425">
        <f>A196</f>
        <v/>
      </c>
      <c r="E245" s="371">
        <f>K196</f>
        <v/>
      </c>
      <c r="F245" s="371" t="n"/>
      <c r="G245" s="425" t="n"/>
      <c r="H245" s="127" t="n"/>
    </row>
    <row r="246">
      <c r="A246" s="126" t="n">
        <v>2</v>
      </c>
      <c r="B246" s="425" t="inlineStr">
        <is>
          <t>FAME</t>
        </is>
      </c>
      <c r="C246" s="425">
        <f>A202</f>
        <v/>
      </c>
      <c r="D246" s="425">
        <f>A202</f>
        <v/>
      </c>
      <c r="E246" s="371">
        <f>J202</f>
        <v/>
      </c>
      <c r="F246" s="425" t="n"/>
      <c r="G246" s="425" t="n"/>
      <c r="H246" s="418" t="n"/>
    </row>
    <row r="247">
      <c r="A247" s="126" t="n">
        <v>3</v>
      </c>
      <c r="B247" s="425" t="inlineStr">
        <is>
          <t>TECH</t>
        </is>
      </c>
      <c r="C247" s="425">
        <f>A239</f>
        <v/>
      </c>
      <c r="D247" s="669">
        <f>A239</f>
        <v/>
      </c>
      <c r="E247" s="669">
        <f>J239</f>
        <v/>
      </c>
      <c r="F247" s="425" t="n"/>
      <c r="G247" s="425" t="n"/>
      <c r="H247" s="418" t="n"/>
      <c r="I247" s="425" t="n"/>
      <c r="J247" s="425" t="n"/>
      <c r="K247" s="425" t="n"/>
      <c r="L247" s="425" t="n"/>
    </row>
    <row r="248">
      <c r="A248" s="126" t="n">
        <v>4</v>
      </c>
      <c r="B248" s="425" t="inlineStr">
        <is>
          <t>CIV</t>
        </is>
      </c>
      <c r="C248" s="425">
        <f>A232</f>
        <v/>
      </c>
      <c r="D248" s="425">
        <f>A232</f>
        <v/>
      </c>
      <c r="E248" s="371">
        <f>J232</f>
        <v/>
      </c>
      <c r="F248" s="425" t="n"/>
      <c r="G248" s="425" t="n"/>
      <c r="H248" s="418" t="n"/>
      <c r="I248" s="425" t="n"/>
      <c r="J248" s="425" t="n"/>
      <c r="K248" s="425" t="n"/>
      <c r="L248" s="425" t="n"/>
    </row>
    <row r="249">
      <c r="A249" s="126" t="n">
        <v>5</v>
      </c>
      <c r="B249" s="425" t="inlineStr">
        <is>
          <t>FAME</t>
        </is>
      </c>
      <c r="C249" s="425" t="n"/>
      <c r="D249" s="425">
        <f>A197</f>
        <v/>
      </c>
      <c r="E249" s="371">
        <f>J197</f>
        <v/>
      </c>
      <c r="F249" s="425">
        <f>F197</f>
        <v/>
      </c>
      <c r="G249" s="425" t="n"/>
      <c r="H249" s="418" t="n"/>
      <c r="I249" s="425" t="n"/>
      <c r="J249" s="425" t="n"/>
      <c r="K249" s="425" t="n"/>
      <c r="L249" s="425" t="n"/>
    </row>
    <row r="250">
      <c r="A250" s="126" t="n">
        <v>6</v>
      </c>
      <c r="B250" s="425" t="inlineStr">
        <is>
          <t>FAME</t>
        </is>
      </c>
      <c r="C250" s="669" t="n"/>
      <c r="D250" s="425">
        <f>A199</f>
        <v/>
      </c>
      <c r="E250" s="371">
        <f>J199</f>
        <v/>
      </c>
      <c r="F250" s="425">
        <f>F199</f>
        <v/>
      </c>
      <c r="G250" s="425" t="n"/>
      <c r="H250" s="418" t="n"/>
      <c r="I250" s="425" t="n"/>
      <c r="J250" s="425" t="n"/>
      <c r="K250" s="425" t="n"/>
      <c r="L250" s="425" t="n"/>
    </row>
    <row r="251">
      <c r="A251" s="126" t="n">
        <v>7</v>
      </c>
      <c r="B251" s="425" t="inlineStr">
        <is>
          <t>ART</t>
        </is>
      </c>
      <c r="C251" s="669" t="n"/>
      <c r="D251" s="669">
        <f>A211</f>
        <v/>
      </c>
      <c r="E251" s="669">
        <f>J211</f>
        <v/>
      </c>
      <c r="F251" s="425" t="n"/>
      <c r="G251" s="425" t="n"/>
      <c r="H251" s="418" t="n"/>
      <c r="I251" s="425" t="n"/>
      <c r="J251" s="425" t="n"/>
      <c r="K251" s="425" t="n"/>
      <c r="L251" s="425" t="n"/>
    </row>
    <row r="252">
      <c r="A252" s="126" t="n">
        <v>8</v>
      </c>
      <c r="B252" s="425" t="inlineStr">
        <is>
          <t>ART</t>
        </is>
      </c>
      <c r="C252" s="425" t="n"/>
      <c r="D252" s="669">
        <f>A212</f>
        <v/>
      </c>
      <c r="E252" s="669">
        <f>J212</f>
        <v/>
      </c>
      <c r="F252" s="425" t="n"/>
      <c r="G252" s="425" t="n"/>
      <c r="H252" s="418" t="n"/>
      <c r="I252" s="425" t="n"/>
      <c r="J252" s="425" t="n"/>
      <c r="K252" s="425" t="n"/>
      <c r="L252" s="425" t="n"/>
    </row>
    <row r="253">
      <c r="A253" s="126" t="n">
        <v>9</v>
      </c>
      <c r="B253" s="425" t="inlineStr">
        <is>
          <t>ART</t>
        </is>
      </c>
      <c r="C253" s="425" t="n"/>
      <c r="D253" s="425">
        <f>A213</f>
        <v/>
      </c>
      <c r="E253" s="371">
        <f>J213</f>
        <v/>
      </c>
      <c r="F253" s="425" t="n"/>
      <c r="G253" s="425" t="n"/>
      <c r="H253" s="418" t="n"/>
      <c r="I253" s="425" t="n"/>
      <c r="J253" s="425" t="n"/>
      <c r="K253" s="425" t="n"/>
      <c r="L253" s="425" t="n"/>
    </row>
    <row r="254">
      <c r="A254" s="126" t="n">
        <v>10</v>
      </c>
      <c r="B254" s="425" t="inlineStr">
        <is>
          <t>FTH</t>
        </is>
      </c>
      <c r="C254" s="425" t="n"/>
      <c r="D254" s="425">
        <f>A219</f>
        <v/>
      </c>
      <c r="E254" s="371">
        <f>J219</f>
        <v/>
      </c>
      <c r="F254" s="425" t="n"/>
      <c r="G254" s="425" t="n"/>
      <c r="H254" s="418" t="n"/>
      <c r="I254" s="425" t="n"/>
      <c r="J254" s="425" t="n"/>
      <c r="K254" s="425" t="n"/>
      <c r="L254" s="425" t="n"/>
    </row>
    <row r="255">
      <c r="A255" s="126" t="n">
        <v>11</v>
      </c>
      <c r="B255" s="425" t="inlineStr">
        <is>
          <t>FTH</t>
        </is>
      </c>
      <c r="C255" s="425" t="n"/>
      <c r="D255" s="425">
        <f>A220</f>
        <v/>
      </c>
      <c r="E255" s="371">
        <f>J220</f>
        <v/>
      </c>
      <c r="F255" s="425" t="n"/>
      <c r="G255" s="425" t="n"/>
      <c r="H255" s="418" t="n"/>
      <c r="I255" s="425" t="n"/>
      <c r="J255" s="425" t="n"/>
      <c r="K255" s="425" t="n"/>
      <c r="L255" s="425" t="n"/>
    </row>
    <row r="256">
      <c r="A256" s="126" t="n">
        <v>12</v>
      </c>
      <c r="B256" s="425" t="inlineStr">
        <is>
          <t>FTH</t>
        </is>
      </c>
      <c r="C256" s="425" t="n"/>
      <c r="D256" s="425">
        <f>A221</f>
        <v/>
      </c>
      <c r="E256" s="371">
        <f>J221</f>
        <v/>
      </c>
      <c r="F256" s="371" t="n"/>
      <c r="G256" s="425" t="n"/>
      <c r="H256" s="418" t="n"/>
      <c r="I256" s="425" t="n"/>
      <c r="J256" s="425" t="n"/>
      <c r="K256" s="425" t="n"/>
      <c r="L256" s="425" t="n"/>
    </row>
    <row r="257">
      <c r="A257" s="126" t="n">
        <v>13</v>
      </c>
      <c r="B257" s="425" t="inlineStr">
        <is>
          <t>CIV</t>
        </is>
      </c>
      <c r="C257" s="425" t="n"/>
      <c r="D257" s="425">
        <f>A223</f>
        <v/>
      </c>
      <c r="E257" s="371">
        <f>J223</f>
        <v/>
      </c>
      <c r="F257" s="371">
        <f>F223</f>
        <v/>
      </c>
      <c r="G257" s="425" t="n"/>
      <c r="H257" s="418" t="n"/>
      <c r="I257" s="425" t="n"/>
      <c r="J257" s="425" t="n"/>
      <c r="K257" s="425" t="n"/>
      <c r="L257" s="425" t="n"/>
    </row>
    <row r="258">
      <c r="A258" s="126" t="n">
        <v>14</v>
      </c>
      <c r="B258" s="425" t="inlineStr">
        <is>
          <t>CIV</t>
        </is>
      </c>
      <c r="C258" s="425" t="n"/>
      <c r="D258" s="425">
        <f>A224</f>
        <v/>
      </c>
      <c r="E258" s="371">
        <f>J224</f>
        <v/>
      </c>
      <c r="F258" s="425">
        <f>F224</f>
        <v/>
      </c>
      <c r="G258" s="425" t="n"/>
      <c r="H258" s="418">
        <f>H224</f>
        <v/>
      </c>
      <c r="I258" s="425" t="n"/>
      <c r="J258" s="425" t="n"/>
      <c r="K258" s="425" t="n"/>
      <c r="L258" s="425" t="n"/>
    </row>
    <row r="259">
      <c r="A259" s="126" t="n">
        <v>15</v>
      </c>
      <c r="B259" s="425" t="inlineStr">
        <is>
          <t>TECH</t>
        </is>
      </c>
      <c r="C259" s="425" t="n"/>
      <c r="D259" s="669">
        <f>A233</f>
        <v/>
      </c>
      <c r="E259" s="669">
        <f>J233</f>
        <v/>
      </c>
      <c r="F259" s="425">
        <f>F233</f>
        <v/>
      </c>
      <c r="G259" s="425" t="n"/>
      <c r="H259" s="418" t="n"/>
      <c r="I259" s="425" t="n"/>
      <c r="J259" s="425" t="n"/>
      <c r="K259" s="425" t="n"/>
      <c r="L259" s="425" t="n"/>
    </row>
    <row r="260">
      <c r="A260" s="126" t="n">
        <v>16</v>
      </c>
      <c r="B260" s="425" t="inlineStr">
        <is>
          <t>TECH</t>
        </is>
      </c>
      <c r="C260" s="425" t="n"/>
      <c r="D260" s="141">
        <f>A234</f>
        <v/>
      </c>
      <c r="E260" s="371">
        <f>J234</f>
        <v/>
      </c>
      <c r="F260" s="425" t="n"/>
      <c r="G260" s="425" t="n"/>
      <c r="H260" s="418" t="n"/>
      <c r="I260" s="425" t="n"/>
      <c r="J260" s="425" t="n"/>
      <c r="K260" s="425" t="n"/>
      <c r="L260" s="425" t="n"/>
    </row>
    <row r="261">
      <c r="A261" s="362" t="n"/>
      <c r="B261" s="706" t="n"/>
      <c r="C261" s="411" t="n"/>
      <c r="D261" s="411" t="inlineStr">
        <is>
          <t>TOTAL</t>
        </is>
      </c>
      <c r="E261" s="364">
        <f>SUM(E245:E260)</f>
        <v/>
      </c>
      <c r="F261" s="364">
        <f>SUM(F245:F260)</f>
        <v/>
      </c>
      <c r="G261" s="364">
        <f>SUM(G245:G260)</f>
        <v/>
      </c>
      <c r="H261" s="115">
        <f>SUM(H245:H260)</f>
        <v/>
      </c>
      <c r="I261" s="425" t="n"/>
      <c r="J261" s="425" t="n"/>
      <c r="K261" s="425" t="n"/>
      <c r="L261" s="425" t="n"/>
    </row>
    <row r="262"/>
    <row r="263"/>
    <row r="264"/>
    <row r="265">
      <c r="A265" s="344" t="n"/>
      <c r="B265" s="406" t="n"/>
      <c r="C265" s="406" t="n"/>
      <c r="D265" s="406" t="inlineStr">
        <is>
          <t>Main AFFCT</t>
        </is>
      </c>
      <c r="E265" s="406" t="inlineStr">
        <is>
          <t>Total AFFCT</t>
        </is>
      </c>
      <c r="F265" s="406" t="inlineStr">
        <is>
          <t>Medal Output</t>
        </is>
      </c>
      <c r="G265" s="406" t="inlineStr">
        <is>
          <t>Wish Coin Cost</t>
        </is>
      </c>
      <c r="H265" s="406" t="inlineStr">
        <is>
          <t>Btad Output</t>
        </is>
      </c>
      <c r="I265" s="406" t="inlineStr">
        <is>
          <t>AFFCT Boost</t>
        </is>
      </c>
      <c r="J265" s="406" t="inlineStr">
        <is>
          <t>Effective AFFCT</t>
        </is>
      </c>
      <c r="K265" s="406" t="inlineStr">
        <is>
          <t>Total Effective AFFCT</t>
        </is>
      </c>
      <c r="L265" s="129" t="n"/>
    </row>
    <row r="266">
      <c r="A266" s="357" t="inlineStr">
        <is>
          <t>BRITLAND</t>
        </is>
      </c>
      <c r="B266" s="425" t="n"/>
      <c r="C266" s="425" t="n"/>
      <c r="D266" s="425" t="n"/>
      <c r="E266" s="425" t="n"/>
      <c r="F266" s="425" t="n"/>
      <c r="G266" s="425" t="n"/>
      <c r="H266" s="425" t="n"/>
      <c r="I266" s="425" t="n"/>
      <c r="J266" s="425" t="n"/>
      <c r="K266" s="425" t="n"/>
      <c r="L266" s="418" t="n"/>
    </row>
    <row r="267">
      <c r="A267" s="434" t="inlineStr">
        <is>
          <t>INDIVIDUAL RELICS</t>
        </is>
      </c>
      <c r="B267" s="425" t="n"/>
      <c r="C267" s="425" t="n"/>
      <c r="D267" s="425" t="n"/>
      <c r="E267" s="425" t="n"/>
      <c r="F267" s="425" t="n"/>
      <c r="G267" s="425" t="n"/>
      <c r="H267" s="425" t="n"/>
      <c r="I267" s="425" t="n"/>
      <c r="J267" s="425" t="n"/>
      <c r="K267" s="425" t="n"/>
      <c r="L267" s="418" t="n"/>
    </row>
    <row r="268">
      <c r="A268" s="434" t="inlineStr">
        <is>
          <t>Leo</t>
        </is>
      </c>
      <c r="B268" s="425" t="inlineStr">
        <is>
          <t>SSS</t>
        </is>
      </c>
      <c r="C268" s="425" t="inlineStr">
        <is>
          <t>FAME</t>
        </is>
      </c>
      <c r="D268" s="371" t="n">
        <v>110</v>
      </c>
      <c r="E268" s="371" t="n">
        <v>365</v>
      </c>
      <c r="F268" s="425" t="n"/>
      <c r="G268" s="425" t="n"/>
      <c r="H268" s="425" t="n"/>
      <c r="I268" s="371" t="n"/>
      <c r="J268" s="371">
        <f>D268+I268</f>
        <v/>
      </c>
      <c r="K268" s="371">
        <f>E268+I268</f>
        <v/>
      </c>
      <c r="L268" s="418" t="inlineStr">
        <is>
          <t>Supreme Relic</t>
        </is>
      </c>
    </row>
    <row r="269">
      <c r="A269" s="434" t="inlineStr">
        <is>
          <t>Encyclopedia</t>
        </is>
      </c>
      <c r="B269" s="425" t="inlineStr">
        <is>
          <t>SSS</t>
        </is>
      </c>
      <c r="C269" s="425" t="inlineStr">
        <is>
          <t>FAME</t>
        </is>
      </c>
      <c r="D269" s="371" t="n">
        <v>106</v>
      </c>
      <c r="E269" s="371" t="n">
        <v>362</v>
      </c>
      <c r="F269" s="425" t="n"/>
      <c r="G269" s="425" t="n"/>
      <c r="H269" s="425" t="n"/>
      <c r="I269" s="371" t="n"/>
      <c r="J269" s="371">
        <f>D269+I269</f>
        <v/>
      </c>
      <c r="K269" s="371">
        <f>E269+I269</f>
        <v/>
      </c>
      <c r="L269" s="418" t="inlineStr">
        <is>
          <t>Wish Box, Lottery Machine #1 (0.09%), Wishing (0.09%), Grandmaster Scrolls (0.81%), Relic Forge (120 Relic RF)</t>
        </is>
      </c>
    </row>
    <row r="270">
      <c r="A270" s="434" t="inlineStr">
        <is>
          <t>Travels of Marco Polo</t>
        </is>
      </c>
      <c r="B270" s="425" t="inlineStr">
        <is>
          <t>SS</t>
        </is>
      </c>
      <c r="C270" s="425" t="inlineStr">
        <is>
          <t>FAME</t>
        </is>
      </c>
      <c r="D270" s="371" t="n">
        <v>105</v>
      </c>
      <c r="E270" s="371" t="n">
        <v>347</v>
      </c>
      <c r="F270" s="425" t="n"/>
      <c r="G270" s="425" t="n"/>
      <c r="H270" s="425" t="n"/>
      <c r="I270" s="371" t="n"/>
      <c r="J270" s="371">
        <f>D270+I270</f>
        <v/>
      </c>
      <c r="K270" s="371">
        <f>E270+I270</f>
        <v/>
      </c>
      <c r="L270" s="418" t="inlineStr">
        <is>
          <t>Lottery Machine #1 (0.12%), Wishing (0.11%), Grandmaster Scrolls (1%), Relic Forge (100 Relic RF), Club Value Pack II ($49.99)</t>
        </is>
      </c>
    </row>
    <row r="271">
      <c r="A271" s="434" t="inlineStr">
        <is>
          <t>Edict of Milan</t>
        </is>
      </c>
      <c r="B271" s="425" t="inlineStr">
        <is>
          <t>AAA</t>
        </is>
      </c>
      <c r="C271" s="425" t="inlineStr">
        <is>
          <t>FAME</t>
        </is>
      </c>
      <c r="D271" s="371" t="n">
        <v>73</v>
      </c>
      <c r="E271" s="371" t="n"/>
      <c r="F271" s="425" t="n"/>
      <c r="G271" s="425" t="n"/>
      <c r="H271" s="425" t="n"/>
      <c r="I271" s="425" t="n">
        <v>10</v>
      </c>
      <c r="J271" s="371">
        <f>D271+I271</f>
        <v/>
      </c>
      <c r="K271" s="371" t="n"/>
      <c r="L271" s="418" t="inlineStr">
        <is>
          <t>Fragment Crafting (1.6%), Lottery Machine #1 (0.03%), Wishing (0.14%), Relic Forge (80 Relic RF)</t>
        </is>
      </c>
    </row>
    <row r="272">
      <c r="A272" s="434" t="inlineStr">
        <is>
          <t>Plantagenet Badge</t>
        </is>
      </c>
      <c r="B272" s="425" t="inlineStr">
        <is>
          <t>AAA</t>
        </is>
      </c>
      <c r="C272" s="425" t="inlineStr">
        <is>
          <t>FAME</t>
        </is>
      </c>
      <c r="D272" s="371" t="n">
        <v>71</v>
      </c>
      <c r="E272" s="425" t="n"/>
      <c r="F272" s="425" t="n"/>
      <c r="G272" s="425" t="n"/>
      <c r="H272" s="425" t="n"/>
      <c r="I272" s="371" t="n"/>
      <c r="J272" s="371">
        <f>D272+I272</f>
        <v/>
      </c>
      <c r="K272" s="371" t="n"/>
      <c r="L272" s="418" t="inlineStr">
        <is>
          <t>Fragment Crafting (1.6%), Lottery Machine #1 (0.03%), Wishing (0.14%), Relic Forge (80 Relic RF)</t>
        </is>
      </c>
    </row>
    <row r="273">
      <c r="A273" s="434" t="inlineStr">
        <is>
          <t>Magna Carta</t>
        </is>
      </c>
      <c r="B273" s="425" t="inlineStr">
        <is>
          <t>AA</t>
        </is>
      </c>
      <c r="C273" s="425" t="inlineStr">
        <is>
          <t>FAME</t>
        </is>
      </c>
      <c r="D273" s="371" t="n">
        <v>69</v>
      </c>
      <c r="E273" s="425" t="n"/>
      <c r="F273" s="425" t="n"/>
      <c r="G273" s="425" t="n"/>
      <c r="H273" s="425" t="n"/>
      <c r="I273" s="425" t="n"/>
      <c r="J273" s="371">
        <f>D273+I273</f>
        <v/>
      </c>
      <c r="K273" s="371" t="n"/>
      <c r="L273" s="386" t="inlineStr">
        <is>
          <t>Fragment Crafting (3.9%), Lottery Machine #1 (0.08%), Wishing (0.35%), Britland Treasure Map (10%), Expert Scrolls (0.95%)</t>
        </is>
      </c>
    </row>
    <row r="274">
      <c r="A274" s="434" t="inlineStr">
        <is>
          <t>Nuremberg Egg</t>
        </is>
      </c>
      <c r="B274" s="425" t="inlineStr">
        <is>
          <t>A</t>
        </is>
      </c>
      <c r="C274" s="425" t="inlineStr">
        <is>
          <t>FAME</t>
        </is>
      </c>
      <c r="D274" s="371" t="n">
        <v>63</v>
      </c>
      <c r="E274" s="371" t="n"/>
      <c r="F274" s="425" t="n"/>
      <c r="G274" s="425" t="n"/>
      <c r="H274" s="425" t="n"/>
      <c r="I274" s="425" t="n"/>
      <c r="J274" s="371">
        <f>D274+I274</f>
        <v/>
      </c>
      <c r="K274" s="371" t="n"/>
      <c r="L274" s="386" t="inlineStr">
        <is>
          <t>Lottery Machine #2 (0.55%)</t>
        </is>
      </c>
    </row>
    <row r="275">
      <c r="A275" s="434" t="inlineStr">
        <is>
          <t>Churchhill's Cigar</t>
        </is>
      </c>
      <c r="B275" s="425" t="inlineStr">
        <is>
          <t>Blue</t>
        </is>
      </c>
      <c r="C275" s="425" t="inlineStr">
        <is>
          <t>FAME</t>
        </is>
      </c>
      <c r="D275" s="371" t="n">
        <v>46</v>
      </c>
      <c r="E275" s="371" t="n"/>
      <c r="F275" s="425" t="n"/>
      <c r="G275" s="425" t="n"/>
      <c r="H275" s="425" t="n"/>
      <c r="I275" s="425" t="n"/>
      <c r="J275" s="371">
        <f>D275+I275</f>
        <v/>
      </c>
      <c r="K275" s="371" t="n"/>
      <c r="L275" s="386" t="inlineStr">
        <is>
          <t>Lottery Machine #1 (0.07%), Wishing (3.1%), Novice Scrolls (1%)</t>
        </is>
      </c>
    </row>
    <row r="276">
      <c r="A276" s="434" t="inlineStr">
        <is>
          <t>Salvator Mundi</t>
        </is>
      </c>
      <c r="B276" s="425" t="inlineStr">
        <is>
          <t>SSS</t>
        </is>
      </c>
      <c r="C276" s="425" t="inlineStr">
        <is>
          <t>ART</t>
        </is>
      </c>
      <c r="D276" s="371" t="n">
        <v>109</v>
      </c>
      <c r="E276" s="425">
        <f>49+109+65+77+62</f>
        <v/>
      </c>
      <c r="F276" s="425" t="n">
        <v>30</v>
      </c>
      <c r="G276" s="425" t="n"/>
      <c r="H276" s="425" t="n"/>
      <c r="I276" s="425" t="n">
        <v>15</v>
      </c>
      <c r="J276" s="371">
        <f>D276+I276</f>
        <v/>
      </c>
      <c r="K276" s="371">
        <f>E276+I276</f>
        <v/>
      </c>
      <c r="L276" s="386" t="inlineStr">
        <is>
          <t>Daily Pack Relic #14</t>
        </is>
      </c>
    </row>
    <row r="277">
      <c r="A277" s="434" t="inlineStr">
        <is>
          <t>Pearl Earring Girl</t>
        </is>
      </c>
      <c r="B277" s="425" t="inlineStr">
        <is>
          <t>SSS</t>
        </is>
      </c>
      <c r="C277" s="425" t="inlineStr">
        <is>
          <t>ART</t>
        </is>
      </c>
      <c r="D277" s="371" t="n">
        <v>106</v>
      </c>
      <c r="E277" s="425" t="n">
        <v>362</v>
      </c>
      <c r="F277" s="425" t="n"/>
      <c r="G277" s="425" t="n"/>
      <c r="H277" s="425" t="n">
        <v>3000</v>
      </c>
      <c r="I277" s="425" t="n">
        <v>15</v>
      </c>
      <c r="J277" s="371">
        <f>D277+I277</f>
        <v/>
      </c>
      <c r="K277" s="371">
        <f>E277+I277</f>
        <v/>
      </c>
      <c r="L277" s="386" t="inlineStr">
        <is>
          <t>Lottery Machine #2 (0.11%)</t>
        </is>
      </c>
    </row>
    <row r="278">
      <c r="A278" s="434" t="inlineStr">
        <is>
          <t>Ode to Joy</t>
        </is>
      </c>
      <c r="B278" s="425" t="inlineStr">
        <is>
          <t>SSS</t>
        </is>
      </c>
      <c r="C278" s="425" t="inlineStr">
        <is>
          <t>ART</t>
        </is>
      </c>
      <c r="D278" s="371" t="n">
        <v>108</v>
      </c>
      <c r="E278" s="425" t="n">
        <v>362</v>
      </c>
      <c r="F278" s="425" t="n"/>
      <c r="G278" s="425" t="n"/>
      <c r="H278" s="425" t="n"/>
      <c r="I278" s="425" t="n"/>
      <c r="J278" s="371">
        <f>D278+I278</f>
        <v/>
      </c>
      <c r="K278" s="371">
        <f>E278+I278</f>
        <v/>
      </c>
      <c r="L278" s="386" t="inlineStr">
        <is>
          <t>Lottery Machine #2 (?%)</t>
        </is>
      </c>
    </row>
    <row r="279">
      <c r="A279" s="434" t="inlineStr">
        <is>
          <t>Africa Star</t>
        </is>
      </c>
      <c r="B279" s="425" t="inlineStr">
        <is>
          <t>SSS</t>
        </is>
      </c>
      <c r="C279" s="425" t="inlineStr">
        <is>
          <t>ART</t>
        </is>
      </c>
      <c r="D279" s="371" t="n">
        <v>108</v>
      </c>
      <c r="E279" s="371" t="n">
        <v>361</v>
      </c>
      <c r="F279" s="425" t="n"/>
      <c r="G279" s="425" t="n"/>
      <c r="H279" s="425" t="n"/>
      <c r="I279" s="425" t="n"/>
      <c r="J279" s="371">
        <f>D279+I279</f>
        <v/>
      </c>
      <c r="K279" s="371">
        <f>E279+I279</f>
        <v/>
      </c>
      <c r="L279" s="386" t="inlineStr">
        <is>
          <t>Wish Box, Lottery Machine #1 (0.09%), Wishing (0.08%), Britland Treasure Maps (0.01%), Grandmaster Scrolls (0.81%), Relic Forge (120 Relic RF)</t>
        </is>
      </c>
    </row>
    <row r="280">
      <c r="A280" s="434" t="inlineStr">
        <is>
          <t>Agamemnon Mask</t>
        </is>
      </c>
      <c r="B280" s="425" t="inlineStr">
        <is>
          <t>SS</t>
        </is>
      </c>
      <c r="C280" s="425" t="inlineStr">
        <is>
          <t>ART</t>
        </is>
      </c>
      <c r="D280" s="371" t="n">
        <v>105</v>
      </c>
      <c r="E280" s="425" t="n">
        <v>347</v>
      </c>
      <c r="F280" s="425" t="n"/>
      <c r="G280" s="425" t="n"/>
      <c r="H280" s="425" t="n"/>
      <c r="I280" s="425" t="n"/>
      <c r="J280" s="371">
        <f>D280+I280</f>
        <v/>
      </c>
      <c r="K280" s="371">
        <f>E280+I280</f>
        <v/>
      </c>
      <c r="L280" s="386" t="inlineStr">
        <is>
          <t>Fragment Crafting (4%), Lottery Machine #1 (0.18%), Wishing (0.15%), Grandmaster Scrolls (1.5%)</t>
        </is>
      </c>
    </row>
    <row r="281">
      <c r="A281" s="434" t="inlineStr">
        <is>
          <t>Hermes &amp; Dionysus</t>
        </is>
      </c>
      <c r="B281" s="425" t="inlineStr">
        <is>
          <t>SS</t>
        </is>
      </c>
      <c r="C281" s="425" t="inlineStr">
        <is>
          <t>ART</t>
        </is>
      </c>
      <c r="D281" s="371" t="n">
        <v>101</v>
      </c>
      <c r="E281" s="425">
        <f>49+101+64+69+64</f>
        <v/>
      </c>
      <c r="F281" s="425" t="n"/>
      <c r="G281" s="425" t="n"/>
      <c r="H281" s="425" t="n"/>
      <c r="I281" s="425" t="n"/>
      <c r="J281" s="371">
        <f>D281+I281</f>
        <v/>
      </c>
      <c r="K281" s="371">
        <f>E281+I281</f>
        <v/>
      </c>
      <c r="L281" s="386" t="inlineStr">
        <is>
          <t>Lottery Machine #2 (0.23%)</t>
        </is>
      </c>
    </row>
    <row r="282">
      <c r="A282" s="434" t="inlineStr">
        <is>
          <t>Koh-i-Noor Diamond</t>
        </is>
      </c>
      <c r="B282" s="425" t="inlineStr">
        <is>
          <t>S</t>
        </is>
      </c>
      <c r="C282" s="425" t="inlineStr">
        <is>
          <t>ART</t>
        </is>
      </c>
      <c r="D282" s="371" t="n">
        <v>98</v>
      </c>
      <c r="E282" s="425" t="n">
        <v>332</v>
      </c>
      <c r="F282" s="425" t="n"/>
      <c r="G282" s="425" t="n"/>
      <c r="H282" s="425" t="n"/>
      <c r="I282" s="425" t="n"/>
      <c r="J282" s="371">
        <f>D282+I282</f>
        <v/>
      </c>
      <c r="K282" s="371">
        <f>E282+I282</f>
        <v/>
      </c>
      <c r="L282" s="386" t="inlineStr">
        <is>
          <t>Fragment Crafting (18.1%), Lottery Machine #1 (0.81%), Wishing (0.68%), Master Scrolls (6.5%), ART Master Scrolls (34.7%), Relic Forge (90 Relic RF)</t>
        </is>
      </c>
    </row>
    <row r="283">
      <c r="A283" s="434" t="inlineStr">
        <is>
          <t>Diamond Peacock Brooch</t>
        </is>
      </c>
      <c r="B283" s="425" t="inlineStr">
        <is>
          <t>A</t>
        </is>
      </c>
      <c r="C283" s="425" t="inlineStr">
        <is>
          <t>ART</t>
        </is>
      </c>
      <c r="D283" s="371" t="n">
        <v>65</v>
      </c>
      <c r="E283" s="425" t="n"/>
      <c r="F283" s="425" t="n"/>
      <c r="G283" s="425" t="n"/>
      <c r="H283" s="425" t="n"/>
      <c r="I283" s="425" t="n"/>
      <c r="J283" s="371">
        <f>D283+I283</f>
        <v/>
      </c>
      <c r="K283" s="371">
        <f>E283+I283</f>
        <v/>
      </c>
      <c r="L283" s="386" t="inlineStr">
        <is>
          <t>Lottery Machine #2 (0.55%)</t>
        </is>
      </c>
    </row>
    <row r="284">
      <c r="A284" s="434" t="inlineStr">
        <is>
          <t>Opera Phantom</t>
        </is>
      </c>
      <c r="B284" s="425" t="inlineStr">
        <is>
          <t>Blue</t>
        </is>
      </c>
      <c r="C284" s="425" t="inlineStr">
        <is>
          <t>ART</t>
        </is>
      </c>
      <c r="D284" s="371" t="n">
        <v>46</v>
      </c>
      <c r="E284" s="425" t="n"/>
      <c r="F284" s="425" t="n"/>
      <c r="G284" s="425" t="n"/>
      <c r="H284" s="425" t="n"/>
      <c r="I284" s="425" t="n"/>
      <c r="J284" s="371">
        <f>D284+I284</f>
        <v/>
      </c>
      <c r="K284" s="371" t="n"/>
      <c r="L284" s="386" t="inlineStr">
        <is>
          <t>Lottery Machine #1 (0.03%), Wishing (1.2%)</t>
        </is>
      </c>
    </row>
    <row r="285">
      <c r="A285" s="434" t="inlineStr">
        <is>
          <t>Book of the Dead</t>
        </is>
      </c>
      <c r="B285" s="425" t="inlineStr">
        <is>
          <t>SSS</t>
        </is>
      </c>
      <c r="C285" s="425" t="inlineStr">
        <is>
          <t>FTH</t>
        </is>
      </c>
      <c r="D285" s="371" t="n">
        <v>107</v>
      </c>
      <c r="E285" s="371" t="n">
        <v>362</v>
      </c>
      <c r="F285" s="425" t="n">
        <v>30</v>
      </c>
      <c r="G285" s="425" t="n"/>
      <c r="H285" s="425" t="n"/>
      <c r="I285" s="425" t="n">
        <v>15</v>
      </c>
      <c r="J285" s="371">
        <f>D285+I285</f>
        <v/>
      </c>
      <c r="K285" s="371">
        <f>E285+I285</f>
        <v/>
      </c>
      <c r="L285" s="386" t="inlineStr">
        <is>
          <t>Traveler Pack Relic #1</t>
        </is>
      </c>
    </row>
    <row r="286">
      <c r="A286" s="434" t="inlineStr">
        <is>
          <t>Soul Stone</t>
        </is>
      </c>
      <c r="B286" s="425" t="inlineStr">
        <is>
          <t>SSS</t>
        </is>
      </c>
      <c r="C286" s="425" t="inlineStr">
        <is>
          <t>FTH</t>
        </is>
      </c>
      <c r="D286" s="371" t="n">
        <v>108</v>
      </c>
      <c r="E286" s="371" t="n">
        <v>362</v>
      </c>
      <c r="F286" s="425" t="n"/>
      <c r="G286" s="425" t="n"/>
      <c r="H286" s="425" t="n"/>
      <c r="I286" s="425" t="n"/>
      <c r="J286" s="371">
        <f>D286+I286</f>
        <v/>
      </c>
      <c r="K286" s="371">
        <f>E286+I286</f>
        <v/>
      </c>
      <c r="L286" s="386" t="inlineStr">
        <is>
          <t>Lottery Machine #1 (0.09%), Wishing (0.06%), Soul Chest (0.01%), Grandmaster Scrolls (0.81%), Relic Forge (120 Relic RF)</t>
        </is>
      </c>
    </row>
    <row r="287">
      <c r="A287" s="434" t="inlineStr">
        <is>
          <t>Silmarils</t>
        </is>
      </c>
      <c r="B287" s="425" t="inlineStr">
        <is>
          <t>SS</t>
        </is>
      </c>
      <c r="C287" s="425" t="inlineStr">
        <is>
          <t>FTH</t>
        </is>
      </c>
      <c r="D287" s="371" t="n">
        <v>101</v>
      </c>
      <c r="E287" s="425">
        <f>55+70+101+56+65</f>
        <v/>
      </c>
      <c r="F287" s="425" t="n"/>
      <c r="G287" s="425" t="n"/>
      <c r="H287" s="425" t="n"/>
      <c r="I287" s="425" t="n"/>
      <c r="J287" s="371">
        <f>D287+I287</f>
        <v/>
      </c>
      <c r="K287" s="371">
        <f>E287+I287</f>
        <v/>
      </c>
      <c r="L287" s="386" t="inlineStr">
        <is>
          <t>Lottery Machine #2 (0.35%)</t>
        </is>
      </c>
    </row>
    <row r="288">
      <c r="A288" s="434" t="inlineStr">
        <is>
          <t>Bimaran Casket</t>
        </is>
      </c>
      <c r="B288" s="425" t="inlineStr">
        <is>
          <t>S</t>
        </is>
      </c>
      <c r="C288" s="425" t="inlineStr">
        <is>
          <t>FTH</t>
        </is>
      </c>
      <c r="D288" s="371" t="n">
        <v>100</v>
      </c>
      <c r="E288" s="425">
        <f>56+69+100+49+58</f>
        <v/>
      </c>
      <c r="F288" s="425" t="n"/>
      <c r="G288" s="425" t="n"/>
      <c r="H288" s="425" t="n"/>
      <c r="I288" s="425" t="n"/>
      <c r="J288" s="371">
        <f>D288+I288</f>
        <v/>
      </c>
      <c r="K288" s="371">
        <f>E288+I288</f>
        <v/>
      </c>
      <c r="L288" s="386" t="inlineStr">
        <is>
          <t>Lottery Machine #2 (1.59%)</t>
        </is>
      </c>
    </row>
    <row r="289">
      <c r="A289" s="434" t="inlineStr">
        <is>
          <t>Valaroma</t>
        </is>
      </c>
      <c r="B289" s="425" t="inlineStr">
        <is>
          <t>AAA</t>
        </is>
      </c>
      <c r="C289" s="425" t="inlineStr">
        <is>
          <t>FTH</t>
        </is>
      </c>
      <c r="D289" s="371" t="n">
        <v>74</v>
      </c>
      <c r="E289" s="425" t="n"/>
      <c r="F289" s="425" t="n"/>
      <c r="G289" s="425" t="n"/>
      <c r="H289" s="425" t="n"/>
      <c r="I289" s="425" t="n">
        <v>10</v>
      </c>
      <c r="J289" s="371">
        <f>D289+I289</f>
        <v/>
      </c>
      <c r="K289" s="371" t="n"/>
      <c r="L289" s="390" t="inlineStr">
        <is>
          <t>Lottery Box Relic #3</t>
        </is>
      </c>
    </row>
    <row r="290">
      <c r="A290" s="434" t="inlineStr">
        <is>
          <t>Lionheart</t>
        </is>
      </c>
      <c r="B290" s="425" t="inlineStr">
        <is>
          <t>AAA</t>
        </is>
      </c>
      <c r="C290" s="425" t="inlineStr">
        <is>
          <t>FTH</t>
        </is>
      </c>
      <c r="D290" s="371" t="n">
        <v>75</v>
      </c>
      <c r="E290" s="425" t="n"/>
      <c r="F290" s="425" t="n"/>
      <c r="G290" s="425" t="n"/>
      <c r="H290" s="425" t="n"/>
      <c r="I290" s="425" t="n"/>
      <c r="J290" s="371">
        <f>D290+I290</f>
        <v/>
      </c>
      <c r="K290" s="371" t="n"/>
      <c r="L290" s="386" t="inlineStr">
        <is>
          <t>Fragment Crafting (1.5%), Lottery Machine #1 (0.03%), Wishing (0.14%), Relic Forge (80 Relic RF)</t>
        </is>
      </c>
    </row>
    <row r="291">
      <c r="A291" s="434" t="inlineStr">
        <is>
          <t>Runes</t>
        </is>
      </c>
      <c r="B291" s="425" t="inlineStr">
        <is>
          <t>A</t>
        </is>
      </c>
      <c r="C291" s="425" t="inlineStr">
        <is>
          <t>FTH</t>
        </is>
      </c>
      <c r="D291" s="371" t="n">
        <v>64</v>
      </c>
      <c r="E291" s="425" t="n"/>
      <c r="F291" s="425" t="n"/>
      <c r="G291" s="425" t="n"/>
      <c r="H291" s="425" t="n"/>
      <c r="I291" s="425" t="n"/>
      <c r="J291" s="371">
        <f>D291+I291</f>
        <v/>
      </c>
      <c r="K291" s="371" t="n"/>
      <c r="L291" s="386" t="inlineStr">
        <is>
          <t>Lottery Machine #2 (0.55%)</t>
        </is>
      </c>
    </row>
    <row r="292">
      <c r="A292" s="434" t="inlineStr">
        <is>
          <t>Penny Black</t>
        </is>
      </c>
      <c r="B292" s="425" t="inlineStr">
        <is>
          <t>Blue</t>
        </is>
      </c>
      <c r="C292" s="425" t="inlineStr">
        <is>
          <t>FTH</t>
        </is>
      </c>
      <c r="D292" s="371" t="n">
        <v>47</v>
      </c>
      <c r="E292" s="425" t="n"/>
      <c r="F292" s="425" t="n"/>
      <c r="G292" s="425" t="n"/>
      <c r="H292" s="425" t="n"/>
      <c r="I292" s="425" t="n"/>
      <c r="J292" s="371">
        <f>D292+I292</f>
        <v/>
      </c>
      <c r="K292" s="371" t="n"/>
      <c r="L292" s="386" t="inlineStr">
        <is>
          <t>Lottery Machine #1 (0.03%), Wishing (0.82%)</t>
        </is>
      </c>
    </row>
    <row r="293">
      <c r="A293" s="434" t="inlineStr">
        <is>
          <t>Chair of Busby</t>
        </is>
      </c>
      <c r="B293" s="425" t="inlineStr">
        <is>
          <t>Blue</t>
        </is>
      </c>
      <c r="C293" s="425" t="inlineStr">
        <is>
          <t>FTH</t>
        </is>
      </c>
      <c r="D293" s="371" t="n">
        <v>46</v>
      </c>
      <c r="E293" s="425" t="n"/>
      <c r="F293" s="425" t="n"/>
      <c r="G293" s="425" t="n"/>
      <c r="H293" s="425" t="n"/>
      <c r="I293" s="425" t="n"/>
      <c r="J293" s="371">
        <f>D293+I293</f>
        <v/>
      </c>
      <c r="K293" s="371" t="n"/>
      <c r="L293" s="386" t="inlineStr">
        <is>
          <t>Lottery Machine #1 (0.03%), Wishing (0.85%)</t>
        </is>
      </c>
    </row>
    <row r="294">
      <c r="A294" s="434" t="inlineStr">
        <is>
          <t>Arthur's Roundtable</t>
        </is>
      </c>
      <c r="B294" s="425" t="inlineStr">
        <is>
          <t>SSS</t>
        </is>
      </c>
      <c r="C294" s="425" t="inlineStr">
        <is>
          <t>CIV</t>
        </is>
      </c>
      <c r="D294" s="371" t="n">
        <v>107</v>
      </c>
      <c r="E294" s="371" t="n">
        <v>362</v>
      </c>
      <c r="F294" s="371" t="n"/>
      <c r="G294" s="425" t="n"/>
      <c r="H294" s="425" t="n"/>
      <c r="I294" s="425" t="n">
        <v>15</v>
      </c>
      <c r="J294" s="371">
        <f>D294+I294</f>
        <v/>
      </c>
      <c r="K294" s="371">
        <f>E294+I294</f>
        <v/>
      </c>
      <c r="L294" s="386" t="inlineStr">
        <is>
          <t>Relic Forge (120 RF)</t>
        </is>
      </c>
    </row>
    <row r="295">
      <c r="A295" s="434" t="inlineStr">
        <is>
          <t>Faust</t>
        </is>
      </c>
      <c r="B295" s="425" t="inlineStr">
        <is>
          <t>SSS</t>
        </is>
      </c>
      <c r="C295" s="425" t="inlineStr">
        <is>
          <t>CIV</t>
        </is>
      </c>
      <c r="D295" s="371" t="n">
        <v>108</v>
      </c>
      <c r="E295" s="371" t="n">
        <v>362</v>
      </c>
      <c r="F295" s="371" t="n">
        <v>30</v>
      </c>
      <c r="G295" s="425" t="n"/>
      <c r="H295" s="371" t="n"/>
      <c r="I295" s="371" t="n"/>
      <c r="J295" s="371">
        <f>D295+I295</f>
        <v/>
      </c>
      <c r="K295" s="371">
        <f>E295+I295</f>
        <v/>
      </c>
      <c r="L295" s="386" t="inlineStr">
        <is>
          <t>Wish Box, Lottery Machine #1 (0.09%), Wishing (0.08%), Grandmaster Scrolls (0.81%), Relic Forge (120 Relic RF)</t>
        </is>
      </c>
    </row>
    <row r="296">
      <c r="A296" s="434" t="inlineStr">
        <is>
          <t>The Song of Roland</t>
        </is>
      </c>
      <c r="B296" s="425" t="inlineStr">
        <is>
          <t>SS</t>
        </is>
      </c>
      <c r="C296" s="425" t="inlineStr">
        <is>
          <t>CIV</t>
        </is>
      </c>
      <c r="D296" s="371" t="n">
        <v>102</v>
      </c>
      <c r="E296" s="371" t="n">
        <v>347</v>
      </c>
      <c r="F296" s="371" t="n"/>
      <c r="G296" s="425" t="n"/>
      <c r="H296" s="425" t="n"/>
      <c r="I296" s="425" t="n"/>
      <c r="J296" s="371">
        <f>D296+I296</f>
        <v/>
      </c>
      <c r="K296" s="371">
        <f>E296+I296</f>
        <v/>
      </c>
      <c r="L296" s="386" t="inlineStr">
        <is>
          <t>Fragment Crafting (5.5%), Lottery Machine #1 (0.24%), Wishing (0.2%), Master Scroll (1.9%), Grandmaster Scroll (2.1%), CIV Master Scroll (10.2%)</t>
        </is>
      </c>
    </row>
    <row r="297">
      <c r="A297" s="434" t="inlineStr">
        <is>
          <t>Meditations</t>
        </is>
      </c>
      <c r="B297" s="425" t="inlineStr">
        <is>
          <t>A</t>
        </is>
      </c>
      <c r="C297" s="425" t="inlineStr">
        <is>
          <t>CIV</t>
        </is>
      </c>
      <c r="D297" s="371" t="n">
        <v>64</v>
      </c>
      <c r="E297" s="371" t="n"/>
      <c r="F297" s="425" t="n"/>
      <c r="G297" s="425" t="n"/>
      <c r="H297" s="425" t="n"/>
      <c r="I297" s="425" t="n">
        <v>10</v>
      </c>
      <c r="J297" s="371">
        <f>D297+I297</f>
        <v/>
      </c>
      <c r="K297" s="371" t="n"/>
      <c r="L297" s="386" t="inlineStr">
        <is>
          <t>Fragment Crafting (29.9%), Lottery Machine #1 (0.66%), Wishing (2.7%), Expert Scrolls (7.6%)</t>
        </is>
      </c>
    </row>
    <row r="298">
      <c r="A298" s="434" t="inlineStr">
        <is>
          <t>The Decameron</t>
        </is>
      </c>
      <c r="B298" s="425" t="inlineStr">
        <is>
          <t>AA</t>
        </is>
      </c>
      <c r="C298" s="425" t="inlineStr">
        <is>
          <t>CIV</t>
        </is>
      </c>
      <c r="D298" s="371" t="n">
        <v>68</v>
      </c>
      <c r="E298" s="425" t="n"/>
      <c r="F298" s="425" t="n"/>
      <c r="G298" s="425" t="n"/>
      <c r="H298" s="425" t="n"/>
      <c r="I298" s="371" t="n"/>
      <c r="J298" s="371">
        <f>D298+I298</f>
        <v/>
      </c>
      <c r="K298" s="371" t="n"/>
      <c r="L298" s="386" t="inlineStr">
        <is>
          <t>Fragment Crafting (3.7%), Lottery Machine #1 (0.8%), Wishing (0.34%), Britland Treasure Maps (10%), Expert Scrolls (0.95%)</t>
        </is>
      </c>
    </row>
    <row r="299">
      <c r="A299" s="434" t="inlineStr">
        <is>
          <t>Holmes's Pipe</t>
        </is>
      </c>
      <c r="B299" s="425" t="inlineStr">
        <is>
          <t>Blue</t>
        </is>
      </c>
      <c r="C299" s="425" t="inlineStr">
        <is>
          <t>CIV</t>
        </is>
      </c>
      <c r="D299" s="371" t="n">
        <v>45</v>
      </c>
      <c r="E299" s="425" t="n"/>
      <c r="F299" s="425" t="n"/>
      <c r="G299" s="425" t="n"/>
      <c r="H299" s="425" t="n"/>
      <c r="I299" s="425" t="n"/>
      <c r="J299" s="371">
        <f>D299+I299</f>
        <v/>
      </c>
      <c r="K299" s="371" t="n"/>
      <c r="L299" s="386" t="inlineStr">
        <is>
          <t>Lottery Machine #1 (0.36%), Wishing (10.3%), Novice Scrolls (5%)</t>
        </is>
      </c>
    </row>
    <row r="300">
      <c r="A300" s="434" t="inlineStr">
        <is>
          <t>Periodic Table Scripts</t>
        </is>
      </c>
      <c r="B300" s="425" t="inlineStr">
        <is>
          <t>SSS</t>
        </is>
      </c>
      <c r="C300" s="425" t="inlineStr">
        <is>
          <t>TECH</t>
        </is>
      </c>
      <c r="D300" s="371" t="n">
        <v>109</v>
      </c>
      <c r="E300" s="371" t="n">
        <v>362</v>
      </c>
      <c r="F300" s="425" t="n"/>
      <c r="G300" s="425" t="n"/>
      <c r="H300" s="425" t="n"/>
      <c r="I300" s="425" t="n">
        <v>15</v>
      </c>
      <c r="J300" s="371">
        <f>D300+I300</f>
        <v/>
      </c>
      <c r="K300" s="371">
        <f>E300+I300</f>
        <v/>
      </c>
      <c r="L300" s="386" t="inlineStr">
        <is>
          <t>Revelation Hall (Earth's Will Cabin) Reward</t>
        </is>
      </c>
    </row>
    <row r="301">
      <c r="A301" s="434" t="inlineStr">
        <is>
          <t>Fermat's Scripts</t>
        </is>
      </c>
      <c r="B301" s="425" t="inlineStr">
        <is>
          <t>SSS</t>
        </is>
      </c>
      <c r="C301" s="425" t="inlineStr">
        <is>
          <t>TECH</t>
        </is>
      </c>
      <c r="D301" s="371" t="n">
        <v>108</v>
      </c>
      <c r="E301" s="371" t="n">
        <v>362</v>
      </c>
      <c r="F301" s="425" t="n"/>
      <c r="G301" s="425" t="n"/>
      <c r="H301" s="425" t="n"/>
      <c r="I301" s="425" t="n">
        <v>15</v>
      </c>
      <c r="J301" s="371">
        <f>D301+I301</f>
        <v/>
      </c>
      <c r="K301" s="371">
        <f>E301+I301</f>
        <v/>
      </c>
      <c r="L301" s="418" t="inlineStr">
        <is>
          <t>Daily Pack Relic #3</t>
        </is>
      </c>
    </row>
    <row r="302">
      <c r="A302" s="434" t="inlineStr">
        <is>
          <t>Dyson Sphere</t>
        </is>
      </c>
      <c r="B302" s="425" t="inlineStr">
        <is>
          <t>SSS</t>
        </is>
      </c>
      <c r="C302" s="425" t="inlineStr">
        <is>
          <t>TECH</t>
        </is>
      </c>
      <c r="D302" s="371" t="n">
        <v>108</v>
      </c>
      <c r="E302" s="371" t="n">
        <v>362</v>
      </c>
      <c r="F302" s="425" t="n"/>
      <c r="G302" s="425" t="n"/>
      <c r="H302" s="425" t="n"/>
      <c r="I302" s="425" t="n"/>
      <c r="J302" s="371">
        <f>D302+I302</f>
        <v/>
      </c>
      <c r="K302" s="371">
        <f>E302+I302</f>
        <v/>
      </c>
      <c r="L302" s="418" t="inlineStr">
        <is>
          <t>Lottery Machine #1 (0.09%), Wishing (0.07%), Grandmaster Scrolls (0.81%), Relic Forge (120 Relic RF)</t>
        </is>
      </c>
    </row>
    <row r="303">
      <c r="A303" s="434" t="inlineStr">
        <is>
          <t>Watt Steam Engine</t>
        </is>
      </c>
      <c r="B303" s="425" t="inlineStr">
        <is>
          <t>SS</t>
        </is>
      </c>
      <c r="C303" s="425" t="inlineStr">
        <is>
          <t>TECH</t>
        </is>
      </c>
      <c r="D303" s="371" t="n">
        <v>103</v>
      </c>
      <c r="E303" s="371" t="n">
        <v>347</v>
      </c>
      <c r="F303" s="425" t="n"/>
      <c r="G303" s="425" t="n"/>
      <c r="H303" s="425" t="n"/>
      <c r="I303" s="425" t="n"/>
      <c r="J303" s="371">
        <f>D303+I303</f>
        <v/>
      </c>
      <c r="K303" s="371">
        <f>E303+I303</f>
        <v/>
      </c>
      <c r="L303" s="418" t="inlineStr">
        <is>
          <t>Lottery Machine #1 (0.12%), Wishing (0.1%), Grandmaster Scrolls (1%), Relic Forge (100 Relic RF)</t>
        </is>
      </c>
    </row>
    <row r="304">
      <c r="A304" s="434" t="inlineStr">
        <is>
          <t>Babbage Engine</t>
        </is>
      </c>
      <c r="B304" s="425" t="inlineStr">
        <is>
          <t>SS</t>
        </is>
      </c>
      <c r="C304" s="425" t="inlineStr">
        <is>
          <t>TECH</t>
        </is>
      </c>
      <c r="D304" s="371" t="n">
        <v>101</v>
      </c>
      <c r="E304" s="425" t="n">
        <v>347</v>
      </c>
      <c r="F304" s="425" t="n"/>
      <c r="G304" s="425" t="n"/>
      <c r="H304" s="425" t="n"/>
      <c r="I304" s="425" t="n"/>
      <c r="J304" s="371">
        <f>D304+I304</f>
        <v/>
      </c>
      <c r="K304" s="371">
        <f>E304+I304</f>
        <v/>
      </c>
      <c r="L304" s="418" t="inlineStr">
        <is>
          <t>Lottery Machine #1 (0.12%), Wishing (0.1%), Grandmaster Scrolls (1%), Relic Forge (100 Relic RF)</t>
        </is>
      </c>
    </row>
    <row r="305">
      <c r="A305" s="434" t="inlineStr">
        <is>
          <t>Wilson Cloud Chamber</t>
        </is>
      </c>
      <c r="B305" s="425" t="inlineStr">
        <is>
          <t>AAA</t>
        </is>
      </c>
      <c r="C305" s="425" t="inlineStr">
        <is>
          <t>TECH</t>
        </is>
      </c>
      <c r="D305" s="371" t="n">
        <v>72</v>
      </c>
      <c r="E305" s="425" t="n"/>
      <c r="F305" s="425" t="n"/>
      <c r="G305" s="425" t="n"/>
      <c r="H305" s="425" t="n"/>
      <c r="I305" s="425" t="n">
        <v>10</v>
      </c>
      <c r="J305" s="371">
        <f>D305+I305</f>
        <v/>
      </c>
      <c r="K305" s="371" t="n"/>
      <c r="L305" s="390" t="inlineStr">
        <is>
          <t>Lottery Box Relic #7</t>
        </is>
      </c>
    </row>
    <row r="306">
      <c r="A306" s="434" t="inlineStr">
        <is>
          <t>Cavendish Scales</t>
        </is>
      </c>
      <c r="B306" s="425" t="inlineStr">
        <is>
          <t>AAA</t>
        </is>
      </c>
      <c r="C306" s="425" t="inlineStr">
        <is>
          <t>TECH</t>
        </is>
      </c>
      <c r="D306" s="371" t="n">
        <v>73</v>
      </c>
      <c r="E306" s="425" t="n"/>
      <c r="F306" s="425" t="n"/>
      <c r="G306" s="425" t="n"/>
      <c r="H306" s="425" t="n"/>
      <c r="I306" s="425" t="n"/>
      <c r="J306" s="371">
        <f>D306+I306</f>
        <v/>
      </c>
      <c r="K306" s="371" t="n"/>
      <c r="L306" s="418" t="inlineStr">
        <is>
          <t>Fragment Crafting (1.6%), Lottery Machine #1 (0.03%), Wishing (0.14%), Relic Forge (80 Relic RF)</t>
        </is>
      </c>
    </row>
    <row r="307">
      <c r="A307" s="434" t="inlineStr">
        <is>
          <t>Dolly Specimen</t>
        </is>
      </c>
      <c r="B307" s="425" t="inlineStr">
        <is>
          <t>A</t>
        </is>
      </c>
      <c r="C307" s="425" t="inlineStr">
        <is>
          <t>TECH</t>
        </is>
      </c>
      <c r="D307" s="371" t="n">
        <v>61</v>
      </c>
      <c r="E307" s="425" t="n"/>
      <c r="F307" s="425" t="n"/>
      <c r="G307" s="425" t="n"/>
      <c r="H307" s="425" t="n"/>
      <c r="I307" s="425" t="n">
        <v>10</v>
      </c>
      <c r="J307" s="371">
        <f>D307+I307</f>
        <v/>
      </c>
      <c r="K307" s="371" t="n"/>
      <c r="L307" s="418" t="inlineStr">
        <is>
          <t>Fragment Crafting (31.5%), Lottery Machine #1 (0.66%), Wishing (2.9%), Expert Scrolls (7.6%)</t>
        </is>
      </c>
    </row>
    <row r="308">
      <c r="A308" s="434" t="inlineStr">
        <is>
          <t>Chronometer</t>
        </is>
      </c>
      <c r="B308" s="425" t="inlineStr">
        <is>
          <t>Blue</t>
        </is>
      </c>
      <c r="C308" s="425" t="inlineStr">
        <is>
          <t>TECH</t>
        </is>
      </c>
      <c r="D308" s="371" t="n">
        <v>45</v>
      </c>
      <c r="E308" s="425" t="n"/>
      <c r="F308" s="425" t="n"/>
      <c r="G308" s="425" t="n"/>
      <c r="H308" s="425" t="n"/>
      <c r="I308" s="425" t="n"/>
      <c r="J308" s="371">
        <f>D308+I308</f>
        <v/>
      </c>
      <c r="K308" s="371" t="n"/>
      <c r="L308" s="418" t="inlineStr">
        <is>
          <t>Lottery Machine #1 (0.03%), Wishing (1.1%), Tool Chest (2%)</t>
        </is>
      </c>
    </row>
    <row r="309">
      <c r="A309" s="362" t="inlineStr">
        <is>
          <t>Spinning Jenny</t>
        </is>
      </c>
      <c r="B309" s="411" t="inlineStr">
        <is>
          <t>Blue</t>
        </is>
      </c>
      <c r="C309" s="411" t="inlineStr">
        <is>
          <t>TECH</t>
        </is>
      </c>
      <c r="D309" s="364" t="n">
        <v>46</v>
      </c>
      <c r="E309" s="411" t="n"/>
      <c r="F309" s="411" t="n"/>
      <c r="G309" s="411" t="n"/>
      <c r="H309" s="411" t="n"/>
      <c r="I309" s="411" t="n"/>
      <c r="J309" s="364">
        <f>D309+I309</f>
        <v/>
      </c>
      <c r="K309" s="364" t="n"/>
      <c r="L309" s="426" t="inlineStr">
        <is>
          <t>Lottery Machine #1 (0.36%), Wishing (13.2%), Tool Chest (2%), Novice Scroll (5%)</t>
        </is>
      </c>
    </row>
    <row r="310"/>
    <row r="311"/>
    <row r="312">
      <c r="A312" s="344" t="inlineStr">
        <is>
          <t>MUSEUM LAYOUT</t>
        </is>
      </c>
      <c r="B312" s="406" t="n"/>
      <c r="C312" s="406" t="inlineStr">
        <is>
          <t>Restriction</t>
        </is>
      </c>
      <c r="D312" s="406" t="inlineStr">
        <is>
          <t>Used</t>
        </is>
      </c>
      <c r="E312" s="406" t="inlineStr">
        <is>
          <t>Museum Score</t>
        </is>
      </c>
      <c r="F312" s="406" t="inlineStr">
        <is>
          <t>Medal Output</t>
        </is>
      </c>
      <c r="G312" s="406" t="inlineStr">
        <is>
          <t>Wish Coin Cost</t>
        </is>
      </c>
      <c r="H312" s="129" t="inlineStr">
        <is>
          <t>Btad Output</t>
        </is>
      </c>
    </row>
    <row r="313">
      <c r="A313" s="126" t="n">
        <v>1</v>
      </c>
      <c r="B313" s="425" t="inlineStr">
        <is>
          <t>ALL</t>
        </is>
      </c>
      <c r="C313" s="425" t="n"/>
      <c r="D313" s="425" t="inlineStr">
        <is>
          <t>Fermat's Scripts</t>
        </is>
      </c>
      <c r="E313" s="371">
        <f>K300</f>
        <v/>
      </c>
      <c r="F313" s="371" t="n"/>
      <c r="G313" s="425" t="n"/>
      <c r="H313" s="127" t="n"/>
    </row>
    <row r="314">
      <c r="A314" s="126" t="n">
        <v>2</v>
      </c>
      <c r="B314" s="425" t="inlineStr">
        <is>
          <t>ART</t>
        </is>
      </c>
      <c r="C314" s="425" t="inlineStr">
        <is>
          <t>Africa Star</t>
        </is>
      </c>
      <c r="D314" s="425" t="inlineStr">
        <is>
          <t>Africa Star</t>
        </is>
      </c>
      <c r="E314" s="371">
        <f>J279</f>
        <v/>
      </c>
      <c r="F314" s="425" t="n"/>
      <c r="G314" s="425" t="n"/>
      <c r="H314" s="418" t="n"/>
    </row>
    <row r="315">
      <c r="A315" s="126" t="n">
        <v>3</v>
      </c>
      <c r="B315" s="425" t="inlineStr">
        <is>
          <t>FAME</t>
        </is>
      </c>
      <c r="C315" s="425" t="inlineStr">
        <is>
          <t>Magna Carta</t>
        </is>
      </c>
      <c r="D315" s="425" t="inlineStr">
        <is>
          <t>Magna Carta</t>
        </is>
      </c>
      <c r="E315" s="371">
        <f>J273</f>
        <v/>
      </c>
      <c r="F315" s="425" t="n"/>
      <c r="G315" s="425" t="n"/>
      <c r="H315" s="418" t="n"/>
      <c r="I315" s="425" t="n"/>
      <c r="J315" s="425" t="n"/>
      <c r="K315" s="425" t="n"/>
      <c r="L315" s="425" t="n"/>
    </row>
    <row r="316">
      <c r="A316" s="126" t="n">
        <v>4</v>
      </c>
      <c r="B316" s="425" t="inlineStr">
        <is>
          <t>FAME</t>
        </is>
      </c>
      <c r="C316" s="425" t="inlineStr">
        <is>
          <t>Churchill's Cigar</t>
        </is>
      </c>
      <c r="D316" s="425" t="inlineStr">
        <is>
          <t>Churchill's Cigar</t>
        </is>
      </c>
      <c r="E316" s="371">
        <f>J275</f>
        <v/>
      </c>
      <c r="F316" s="425" t="n"/>
      <c r="G316" s="425" t="n"/>
      <c r="H316" s="418" t="n"/>
      <c r="I316" s="425" t="n"/>
      <c r="J316" s="425" t="n"/>
      <c r="K316" s="425" t="n"/>
      <c r="L316" s="425" t="n"/>
    </row>
    <row r="317">
      <c r="A317" s="126" t="n">
        <v>5</v>
      </c>
      <c r="B317" s="425" t="inlineStr">
        <is>
          <t>FAME</t>
        </is>
      </c>
      <c r="C317" s="425" t="n"/>
      <c r="D317" s="425" t="inlineStr">
        <is>
          <t>Leo</t>
        </is>
      </c>
      <c r="E317" s="371">
        <f>J268</f>
        <v/>
      </c>
      <c r="F317" s="425" t="n"/>
      <c r="G317" s="425" t="n"/>
      <c r="H317" s="418" t="n"/>
      <c r="I317" s="425" t="n"/>
      <c r="J317" s="425" t="n"/>
      <c r="K317" s="425" t="n"/>
      <c r="L317" s="425" t="n"/>
    </row>
    <row r="318">
      <c r="A318" s="126" t="n">
        <v>6</v>
      </c>
      <c r="B318" s="425" t="inlineStr">
        <is>
          <t>FAME</t>
        </is>
      </c>
      <c r="C318" s="425" t="n"/>
      <c r="D318" s="425" t="inlineStr">
        <is>
          <t>Encyclopedia</t>
        </is>
      </c>
      <c r="E318" s="371">
        <f>J269</f>
        <v/>
      </c>
      <c r="F318" s="425" t="n"/>
      <c r="G318" s="425" t="n"/>
      <c r="H318" s="418" t="n"/>
      <c r="I318" s="425" t="n"/>
      <c r="J318" s="425" t="n"/>
      <c r="K318" s="425" t="n"/>
      <c r="L318" s="425" t="n"/>
    </row>
    <row r="319">
      <c r="A319" s="126" t="n">
        <v>7</v>
      </c>
      <c r="B319" s="425" t="inlineStr">
        <is>
          <t>ART</t>
        </is>
      </c>
      <c r="C319" s="425" t="n"/>
      <c r="D319" s="669" t="inlineStr">
        <is>
          <t>Salvator Mundi</t>
        </is>
      </c>
      <c r="E319" s="669">
        <f>J276</f>
        <v/>
      </c>
      <c r="F319" s="425" t="n">
        <v>30</v>
      </c>
      <c r="G319" s="425" t="n"/>
      <c r="H319" s="418" t="n"/>
      <c r="I319" s="425" t="n"/>
      <c r="J319" s="425" t="n"/>
      <c r="K319" s="425" t="n"/>
      <c r="L319" s="425" t="n"/>
    </row>
    <row r="320">
      <c r="A320" s="126" t="n">
        <v>8</v>
      </c>
      <c r="B320" s="425" t="inlineStr">
        <is>
          <t>ART</t>
        </is>
      </c>
      <c r="C320" s="425" t="n"/>
      <c r="D320" s="425">
        <f>A277</f>
        <v/>
      </c>
      <c r="E320" s="371">
        <f>J277</f>
        <v/>
      </c>
      <c r="F320" s="425" t="n"/>
      <c r="G320" s="425" t="n"/>
      <c r="H320" s="418">
        <f>H277</f>
        <v/>
      </c>
      <c r="I320" s="425" t="n"/>
      <c r="J320" s="425" t="n"/>
      <c r="K320" s="425" t="n"/>
      <c r="L320" s="425" t="n"/>
    </row>
    <row r="321">
      <c r="A321" s="126" t="n">
        <v>9</v>
      </c>
      <c r="B321" s="425" t="inlineStr">
        <is>
          <t>ART</t>
        </is>
      </c>
      <c r="C321" s="425" t="n"/>
      <c r="D321" s="425" t="inlineStr">
        <is>
          <t>Ode to Joy</t>
        </is>
      </c>
      <c r="E321" s="371">
        <f>J278</f>
        <v/>
      </c>
      <c r="F321" s="425" t="n"/>
      <c r="G321" s="425" t="n"/>
      <c r="H321" s="418" t="n"/>
      <c r="I321" s="425" t="n"/>
      <c r="J321" s="425" t="n"/>
      <c r="K321" s="425" t="n"/>
      <c r="L321" s="425" t="n"/>
    </row>
    <row r="322">
      <c r="A322" s="126" t="n">
        <v>10</v>
      </c>
      <c r="B322" s="425" t="inlineStr">
        <is>
          <t>FTH</t>
        </is>
      </c>
      <c r="C322" s="425" t="n"/>
      <c r="D322" s="425" t="inlineStr">
        <is>
          <t>Book of the Dead</t>
        </is>
      </c>
      <c r="E322" s="371">
        <f>J285</f>
        <v/>
      </c>
      <c r="F322" s="425">
        <f>F285</f>
        <v/>
      </c>
      <c r="G322" s="425" t="n"/>
      <c r="H322" s="418" t="n"/>
      <c r="I322" s="425" t="n"/>
      <c r="J322" s="425" t="n"/>
      <c r="K322" s="425" t="n"/>
      <c r="L322" s="425" t="n"/>
    </row>
    <row r="323">
      <c r="A323" s="126" t="n">
        <v>11</v>
      </c>
      <c r="B323" s="425" t="inlineStr">
        <is>
          <t>FTH</t>
        </is>
      </c>
      <c r="C323" s="425" t="n"/>
      <c r="D323" s="425" t="inlineStr">
        <is>
          <t>Soul Stone</t>
        </is>
      </c>
      <c r="E323" s="371">
        <f>J286</f>
        <v/>
      </c>
      <c r="F323" s="425" t="n"/>
      <c r="G323" s="425" t="n"/>
      <c r="H323" s="418" t="n"/>
      <c r="I323" s="425" t="n"/>
      <c r="J323" s="425" t="n"/>
      <c r="K323" s="425" t="n"/>
      <c r="L323" s="425" t="n"/>
    </row>
    <row r="324">
      <c r="A324" s="126" t="n">
        <v>12</v>
      </c>
      <c r="B324" s="425" t="inlineStr">
        <is>
          <t>FTH</t>
        </is>
      </c>
      <c r="C324" s="425" t="n"/>
      <c r="D324" s="425">
        <f>A287</f>
        <v/>
      </c>
      <c r="E324" s="371">
        <f>J287</f>
        <v/>
      </c>
      <c r="F324" s="371" t="n"/>
      <c r="G324" s="425" t="n"/>
      <c r="H324" s="418" t="n"/>
      <c r="I324" s="425" t="n"/>
      <c r="J324" s="425" t="n"/>
      <c r="K324" s="425" t="n"/>
      <c r="L324" s="425" t="n"/>
    </row>
    <row r="325">
      <c r="A325" s="126" t="n">
        <v>13</v>
      </c>
      <c r="B325" s="425" t="inlineStr">
        <is>
          <t>CIV</t>
        </is>
      </c>
      <c r="C325" s="425" t="n"/>
      <c r="D325" s="425" t="inlineStr">
        <is>
          <t>Arthur's Roundtable</t>
        </is>
      </c>
      <c r="E325" s="371">
        <f>J294</f>
        <v/>
      </c>
      <c r="F325" s="371" t="n"/>
      <c r="G325" s="425" t="n"/>
      <c r="H325" s="418" t="n"/>
      <c r="I325" s="425" t="n"/>
      <c r="J325" s="425" t="n"/>
      <c r="K325" s="425" t="n"/>
      <c r="L325" s="425" t="n"/>
    </row>
    <row r="326">
      <c r="A326" s="126" t="n">
        <v>14</v>
      </c>
      <c r="B326" s="425" t="inlineStr">
        <is>
          <t>CIV</t>
        </is>
      </c>
      <c r="C326" s="425" t="n"/>
      <c r="D326" s="425" t="inlineStr">
        <is>
          <t>Faust</t>
        </is>
      </c>
      <c r="E326" s="371">
        <f>J295</f>
        <v/>
      </c>
      <c r="F326" s="425">
        <f>F295</f>
        <v/>
      </c>
      <c r="G326" s="425" t="n"/>
      <c r="H326" s="418" t="n"/>
      <c r="I326" s="425" t="n"/>
      <c r="J326" s="425" t="n"/>
      <c r="K326" s="425" t="n"/>
      <c r="L326" s="425" t="n"/>
    </row>
    <row r="327">
      <c r="A327" s="126" t="n">
        <v>15</v>
      </c>
      <c r="B327" s="425" t="inlineStr">
        <is>
          <t>TECH</t>
        </is>
      </c>
      <c r="C327" s="425" t="n"/>
      <c r="D327" s="143" t="inlineStr">
        <is>
          <t>Periodic Table Scripts</t>
        </is>
      </c>
      <c r="E327" s="371">
        <f>J300</f>
        <v/>
      </c>
      <c r="F327" s="425" t="n"/>
      <c r="G327" s="425" t="n"/>
      <c r="H327" s="418" t="n"/>
      <c r="I327" s="425" t="n"/>
      <c r="J327" s="425" t="n"/>
      <c r="K327" s="425" t="n"/>
      <c r="L327" s="425" t="n"/>
    </row>
    <row r="328">
      <c r="A328" s="126" t="n">
        <v>16</v>
      </c>
      <c r="B328" s="425" t="inlineStr">
        <is>
          <t>TECH</t>
        </is>
      </c>
      <c r="C328" s="425" t="n"/>
      <c r="D328" s="425" t="inlineStr">
        <is>
          <t>Dyson Sphere</t>
        </is>
      </c>
      <c r="E328" s="371">
        <f>J302</f>
        <v/>
      </c>
      <c r="F328" s="425" t="n"/>
      <c r="G328" s="425" t="n"/>
      <c r="H328" s="418" t="n"/>
      <c r="I328" s="425" t="n"/>
      <c r="J328" s="425" t="n"/>
      <c r="K328" s="425" t="n"/>
      <c r="L328" s="425" t="n"/>
    </row>
    <row r="329">
      <c r="A329" s="362" t="n"/>
      <c r="B329" s="706" t="n"/>
      <c r="C329" s="411" t="n"/>
      <c r="D329" s="411" t="inlineStr">
        <is>
          <t>TOTAL</t>
        </is>
      </c>
      <c r="E329" s="364">
        <f>SUM(E313:E328)</f>
        <v/>
      </c>
      <c r="F329" s="364">
        <f>SUM(F313:F328)</f>
        <v/>
      </c>
      <c r="G329" s="364">
        <f>SUM(G313:G328)</f>
        <v/>
      </c>
      <c r="H329" s="115">
        <f>SUM(H313:H328)</f>
        <v/>
      </c>
      <c r="I329" s="425" t="n"/>
      <c r="J329" s="425" t="n"/>
      <c r="K329" s="425" t="n"/>
      <c r="L329" s="425" t="n"/>
    </row>
    <row r="330"/>
    <row r="331"/>
    <row r="332"/>
    <row r="333"/>
    <row r="334">
      <c r="A334" s="344" t="n"/>
      <c r="B334" s="406" t="n"/>
      <c r="C334" s="406" t="n"/>
      <c r="D334" s="406" t="inlineStr">
        <is>
          <t>Main AFFCT</t>
        </is>
      </c>
      <c r="E334" s="406" t="inlineStr">
        <is>
          <t>Total AFFCT</t>
        </is>
      </c>
      <c r="F334" s="406" t="inlineStr">
        <is>
          <t>Medal Output</t>
        </is>
      </c>
      <c r="G334" s="406" t="inlineStr">
        <is>
          <t>Wish Coin Cost</t>
        </is>
      </c>
      <c r="H334" s="406" t="inlineStr">
        <is>
          <t>Btad Output</t>
        </is>
      </c>
      <c r="I334" s="406" t="inlineStr">
        <is>
          <t>AFFCT Boost</t>
        </is>
      </c>
      <c r="J334" s="406" t="inlineStr">
        <is>
          <t>Effective AFFCT</t>
        </is>
      </c>
      <c r="K334" s="406" t="inlineStr">
        <is>
          <t>Total Effective AFFCT</t>
        </is>
      </c>
      <c r="L334" s="129" t="n"/>
    </row>
    <row r="335">
      <c r="A335" s="357" t="inlineStr">
        <is>
          <t>KEMET</t>
        </is>
      </c>
      <c r="B335" s="425" t="n"/>
      <c r="C335" s="425" t="n"/>
      <c r="D335" s="425" t="n"/>
      <c r="E335" s="425" t="n"/>
      <c r="F335" s="425" t="n"/>
      <c r="G335" s="425" t="n"/>
      <c r="H335" s="425" t="n"/>
      <c r="I335" s="425" t="n"/>
      <c r="J335" s="425" t="n"/>
      <c r="K335" s="425" t="n"/>
      <c r="L335" s="418" t="n"/>
    </row>
    <row r="336">
      <c r="A336" s="434" t="inlineStr">
        <is>
          <t>INDIVIDUAL RELICS</t>
        </is>
      </c>
      <c r="B336" s="425" t="n"/>
      <c r="C336" s="425" t="n"/>
      <c r="D336" s="425" t="n"/>
      <c r="E336" s="425" t="n"/>
      <c r="F336" s="425" t="n"/>
      <c r="G336" s="425" t="n"/>
      <c r="H336" s="425" t="n"/>
      <c r="I336" s="425" t="n"/>
      <c r="J336" s="425" t="n"/>
      <c r="K336" s="425" t="n"/>
      <c r="L336" s="418" t="n"/>
    </row>
    <row r="337">
      <c r="A337" s="434" t="inlineStr">
        <is>
          <t>Red Algae Fossil</t>
        </is>
      </c>
      <c r="B337" s="425" t="inlineStr">
        <is>
          <t>SSS</t>
        </is>
      </c>
      <c r="C337" s="425" t="inlineStr">
        <is>
          <t>FAME</t>
        </is>
      </c>
      <c r="D337" s="371" t="n">
        <v>108</v>
      </c>
      <c r="E337" s="371" t="n">
        <v>362</v>
      </c>
      <c r="F337" s="425" t="n"/>
      <c r="G337" s="425" t="n"/>
      <c r="H337" s="425" t="n"/>
      <c r="I337" s="371" t="n">
        <v>15</v>
      </c>
      <c r="J337" s="371">
        <f>D337+I337</f>
        <v/>
      </c>
      <c r="K337" s="371">
        <f>E337+I337</f>
        <v/>
      </c>
      <c r="L337" s="418" t="inlineStr">
        <is>
          <t>Star Chart Shop</t>
        </is>
      </c>
    </row>
    <row r="338">
      <c r="A338" s="434" t="inlineStr">
        <is>
          <t>Cairo Declaration</t>
        </is>
      </c>
      <c r="B338" s="425" t="inlineStr">
        <is>
          <t>SS</t>
        </is>
      </c>
      <c r="C338" s="425" t="inlineStr">
        <is>
          <t>FAME</t>
        </is>
      </c>
      <c r="D338" s="371" t="n">
        <v>103</v>
      </c>
      <c r="E338" s="371" t="n">
        <v>347</v>
      </c>
      <c r="F338" s="425" t="n"/>
      <c r="G338" s="425" t="n"/>
      <c r="H338" s="425" t="n"/>
      <c r="I338" s="371" t="n">
        <v>15</v>
      </c>
      <c r="J338" s="371">
        <f>D338+I338</f>
        <v/>
      </c>
      <c r="K338" s="371">
        <f>E338+I338</f>
        <v/>
      </c>
      <c r="L338" s="418" t="inlineStr">
        <is>
          <t>Fragment Crafting (4.6%), Lottery Machine #1 (0.18%), Wishing (0.17%), Grandmaster Scrolls (1.5%)</t>
        </is>
      </c>
    </row>
    <row r="339">
      <c r="A339" s="434" t="inlineStr">
        <is>
          <t>Silver Treaty</t>
        </is>
      </c>
      <c r="B339" s="425" t="inlineStr">
        <is>
          <t>AAA</t>
        </is>
      </c>
      <c r="C339" s="425" t="inlineStr">
        <is>
          <t>FAME</t>
        </is>
      </c>
      <c r="D339" s="371" t="n">
        <v>74</v>
      </c>
      <c r="E339" s="371" t="n"/>
      <c r="F339" s="425" t="n"/>
      <c r="G339" s="425" t="n"/>
      <c r="H339" s="425" t="n"/>
      <c r="I339" s="425" t="n">
        <v>10</v>
      </c>
      <c r="J339" s="371">
        <f>D339+I339</f>
        <v/>
      </c>
      <c r="K339" s="371">
        <f>E339+I339</f>
        <v/>
      </c>
      <c r="L339" s="390" t="inlineStr">
        <is>
          <t>Lottery Box Relic #1</t>
        </is>
      </c>
    </row>
    <row r="340">
      <c r="A340" s="434" t="inlineStr">
        <is>
          <t>Code of Law</t>
        </is>
      </c>
      <c r="B340" s="425" t="inlineStr">
        <is>
          <t>Blue</t>
        </is>
      </c>
      <c r="C340" s="425" t="inlineStr">
        <is>
          <t>FAME</t>
        </is>
      </c>
      <c r="D340" s="371" t="n">
        <v>47</v>
      </c>
      <c r="E340" s="371" t="n"/>
      <c r="F340" s="425" t="n"/>
      <c r="G340" s="425" t="n"/>
      <c r="H340" s="425" t="n"/>
      <c r="I340" s="425" t="n"/>
      <c r="J340" s="371">
        <f>D340+I340</f>
        <v/>
      </c>
      <c r="K340" s="371">
        <f>E340+I340</f>
        <v/>
      </c>
      <c r="L340" s="418" t="inlineStr">
        <is>
          <t>Lottery Machine #1 (0.03%), Wishing (1.2%)</t>
        </is>
      </c>
    </row>
    <row r="341">
      <c r="A341" s="434" t="inlineStr">
        <is>
          <t>Stela of Djet</t>
        </is>
      </c>
      <c r="B341" s="425" t="inlineStr">
        <is>
          <t>Blue</t>
        </is>
      </c>
      <c r="C341" s="425" t="inlineStr">
        <is>
          <t>FAME</t>
        </is>
      </c>
      <c r="D341" s="371" t="n">
        <v>45</v>
      </c>
      <c r="E341" s="425" t="n"/>
      <c r="F341" s="425" t="n"/>
      <c r="G341" s="425" t="n"/>
      <c r="H341" s="425" t="n"/>
      <c r="I341" s="425" t="n"/>
      <c r="J341" s="371">
        <f>D341+I341</f>
        <v/>
      </c>
      <c r="K341" s="371">
        <f>E341+I341</f>
        <v/>
      </c>
      <c r="L341" s="418" t="inlineStr">
        <is>
          <t>Lottery Machine #1 (0.07%), Wishing (3.1%), Novice Scrolls (1%)</t>
        </is>
      </c>
    </row>
    <row r="342">
      <c r="A342" s="434" t="inlineStr">
        <is>
          <t>St. Louisa Goblet</t>
        </is>
      </c>
      <c r="B342" s="425" t="inlineStr">
        <is>
          <t>SSS</t>
        </is>
      </c>
      <c r="C342" s="425" t="inlineStr">
        <is>
          <t>ART</t>
        </is>
      </c>
      <c r="D342" s="371" t="n">
        <v>109</v>
      </c>
      <c r="E342" s="425" t="n">
        <v>362</v>
      </c>
      <c r="F342" s="425" t="n">
        <v>30</v>
      </c>
      <c r="G342" s="425" t="n"/>
      <c r="H342" s="425" t="n"/>
      <c r="I342" s="425" t="n"/>
      <c r="J342" s="371">
        <f>D342+I342</f>
        <v/>
      </c>
      <c r="K342" s="371">
        <f>E342+I342</f>
        <v/>
      </c>
      <c r="L342" s="418" t="inlineStr">
        <is>
          <t>Weekly Special Reward Relic #2</t>
        </is>
      </c>
    </row>
    <row r="343">
      <c r="A343" s="434" t="inlineStr">
        <is>
          <t>Agamemnon Mask</t>
        </is>
      </c>
      <c r="B343" s="425" t="inlineStr">
        <is>
          <t>SS</t>
        </is>
      </c>
      <c r="C343" s="425" t="inlineStr">
        <is>
          <t>ART</t>
        </is>
      </c>
      <c r="D343" s="371" t="n">
        <v>105</v>
      </c>
      <c r="E343" s="425" t="n">
        <v>347</v>
      </c>
      <c r="F343" s="425" t="n"/>
      <c r="G343" s="425" t="n"/>
      <c r="H343" s="425" t="n"/>
      <c r="I343" s="425" t="n"/>
      <c r="J343" s="371">
        <f>D343+I343</f>
        <v/>
      </c>
      <c r="K343" s="371">
        <f>E343+I343</f>
        <v/>
      </c>
      <c r="L343" s="418" t="inlineStr">
        <is>
          <t>Fragment Crafting (4%), Lottery Machine #1 (0.18%), Wishing (0.15%), Grandmaster Scrolls (1.5%)</t>
        </is>
      </c>
    </row>
    <row r="344">
      <c r="A344" s="434" t="inlineStr">
        <is>
          <t>Tutankhamun Mask</t>
        </is>
      </c>
      <c r="B344" s="425" t="inlineStr">
        <is>
          <t>S</t>
        </is>
      </c>
      <c r="C344" s="425" t="inlineStr">
        <is>
          <t>ART</t>
        </is>
      </c>
      <c r="D344" s="371" t="n">
        <v>96</v>
      </c>
      <c r="E344" s="425" t="n"/>
      <c r="F344" s="425" t="n"/>
      <c r="G344" s="425" t="n"/>
      <c r="H344" s="425" t="n"/>
      <c r="I344" s="425" t="n"/>
      <c r="J344" s="371">
        <f>D344+I344</f>
        <v/>
      </c>
      <c r="K344" s="371">
        <f>E344+I344</f>
        <v/>
      </c>
      <c r="L344" s="418" t="inlineStr">
        <is>
          <t>Fragment Crafting (18.1%), Lottery Machine #1 (0.81%), Wishing (0.68%), Super Treasure Maps (15%), Master Scrolls (6.5%), ART Master Scrolls (34.7%), Relic Forge (90 Relic RF)</t>
        </is>
      </c>
    </row>
    <row r="345">
      <c r="A345" s="434" t="inlineStr">
        <is>
          <t>Hope Diamond</t>
        </is>
      </c>
      <c r="B345" s="425" t="inlineStr">
        <is>
          <t>AA</t>
        </is>
      </c>
      <c r="C345" s="425" t="inlineStr">
        <is>
          <t>ART</t>
        </is>
      </c>
      <c r="D345" s="371" t="n">
        <v>73</v>
      </c>
      <c r="E345" s="425" t="n"/>
      <c r="F345" s="425" t="n"/>
      <c r="G345" s="425" t="n"/>
      <c r="H345" s="425" t="n"/>
      <c r="I345" s="425" t="n"/>
      <c r="J345" s="371">
        <f>D345+I345</f>
        <v/>
      </c>
      <c r="K345" s="371">
        <f>E345+I345</f>
        <v/>
      </c>
      <c r="L345" s="418" t="inlineStr">
        <is>
          <t>Fragment Crafting (1.6%), Lottery Machine #1 (0.03%), Wishing (0.14%), Club Chest (1.5%), Relic Forge (80 Relic RF)</t>
        </is>
      </c>
    </row>
    <row r="346">
      <c r="A346" s="434" t="inlineStr">
        <is>
          <t>Nefertiti Bust</t>
        </is>
      </c>
      <c r="B346" s="425" t="inlineStr">
        <is>
          <t>A</t>
        </is>
      </c>
      <c r="C346" s="425" t="inlineStr">
        <is>
          <t>ART</t>
        </is>
      </c>
      <c r="D346" s="371" t="n">
        <v>61</v>
      </c>
      <c r="E346" s="425" t="n"/>
      <c r="F346" s="425" t="n"/>
      <c r="G346" s="425" t="n"/>
      <c r="H346" s="425" t="n"/>
      <c r="I346" s="425" t="n">
        <v>10</v>
      </c>
      <c r="J346" s="371">
        <f>D346+I346</f>
        <v/>
      </c>
      <c r="K346" s="371">
        <f>E346+I346</f>
        <v/>
      </c>
      <c r="L346" s="418" t="inlineStr">
        <is>
          <t>Fragment Crafting (31.2%), Lottery Machine #1 (0.66%), Wishing (2.8%), Expert Scrolls (7.6%)</t>
        </is>
      </c>
    </row>
    <row r="347">
      <c r="A347" s="434" t="inlineStr">
        <is>
          <t>Benin Statue</t>
        </is>
      </c>
      <c r="B347" s="425" t="inlineStr">
        <is>
          <t>Blue</t>
        </is>
      </c>
      <c r="C347" s="425" t="inlineStr">
        <is>
          <t>ART</t>
        </is>
      </c>
      <c r="D347" s="371" t="n">
        <v>47</v>
      </c>
      <c r="E347" s="425" t="n"/>
      <c r="F347" s="425" t="n"/>
      <c r="G347" s="425" t="n"/>
      <c r="H347" s="425" t="n"/>
      <c r="I347" s="425" t="n"/>
      <c r="J347" s="371">
        <f>D347+I347</f>
        <v/>
      </c>
      <c r="K347" s="371">
        <f>E347+I347</f>
        <v/>
      </c>
      <c r="L347" s="418" t="inlineStr">
        <is>
          <t>Lottery Machine #1 (0.03%), Wishing (1.2%)</t>
        </is>
      </c>
    </row>
    <row r="348">
      <c r="A348" s="434" t="inlineStr">
        <is>
          <t>Emerald Tablet</t>
        </is>
      </c>
      <c r="B348" s="425" t="inlineStr">
        <is>
          <t>SSS</t>
        </is>
      </c>
      <c r="C348" s="425" t="inlineStr">
        <is>
          <t>FTH</t>
        </is>
      </c>
      <c r="D348" s="371" t="n">
        <v>109</v>
      </c>
      <c r="E348" s="371">
        <f>59+75+109+52+67</f>
        <v/>
      </c>
      <c r="F348" s="425" t="n"/>
      <c r="G348" s="425" t="n"/>
      <c r="H348" s="425" t="n"/>
      <c r="I348" s="425" t="n">
        <v>15</v>
      </c>
      <c r="J348" s="371">
        <f>D348+I348</f>
        <v/>
      </c>
      <c r="K348" s="371">
        <f>E348+I348</f>
        <v/>
      </c>
      <c r="L348" s="418" t="inlineStr">
        <is>
          <t>Daily Pack Relic #24</t>
        </is>
      </c>
    </row>
    <row r="349">
      <c r="A349" s="434" t="inlineStr">
        <is>
          <t>The Black Book</t>
        </is>
      </c>
      <c r="B349" s="425" t="inlineStr">
        <is>
          <t>SSS</t>
        </is>
      </c>
      <c r="C349" s="425" t="inlineStr">
        <is>
          <t>FTH</t>
        </is>
      </c>
      <c r="D349" s="371" t="n">
        <v>108</v>
      </c>
      <c r="E349" s="371" t="n">
        <v>362</v>
      </c>
      <c r="F349" s="425" t="n"/>
      <c r="G349" s="425" t="n"/>
      <c r="H349" s="425" t="n"/>
      <c r="I349" s="425" t="n">
        <v>15</v>
      </c>
      <c r="J349" s="371">
        <f>D349+I349</f>
        <v/>
      </c>
      <c r="K349" s="371">
        <f>E349+I349</f>
        <v/>
      </c>
      <c r="L349" s="418" t="inlineStr">
        <is>
          <t>Silence Hall (Rebel Cabin) Reward</t>
        </is>
      </c>
    </row>
    <row r="350">
      <c r="A350" s="434" t="inlineStr">
        <is>
          <t>Virgo</t>
        </is>
      </c>
      <c r="B350" s="425" t="inlineStr">
        <is>
          <t>SSS</t>
        </is>
      </c>
      <c r="C350" s="425" t="inlineStr">
        <is>
          <t>FTH</t>
        </is>
      </c>
      <c r="D350" s="371" t="n">
        <v>110</v>
      </c>
      <c r="E350" s="425">
        <f>58+66+110+77+51</f>
        <v/>
      </c>
      <c r="F350" s="425" t="n"/>
      <c r="G350" s="425" t="n"/>
      <c r="H350" s="425" t="n"/>
      <c r="I350" s="425" t="n"/>
      <c r="J350" s="371">
        <f>D350+I350</f>
        <v/>
      </c>
      <c r="K350" s="371">
        <f>E350+I350</f>
        <v/>
      </c>
      <c r="L350" s="418" t="inlineStr">
        <is>
          <t>Supreme Relic</t>
        </is>
      </c>
    </row>
    <row r="351">
      <c r="A351" s="434" t="inlineStr">
        <is>
          <t>Mummy of Ramesses</t>
        </is>
      </c>
      <c r="B351" s="425" t="inlineStr">
        <is>
          <t>SS</t>
        </is>
      </c>
      <c r="C351" s="425" t="inlineStr">
        <is>
          <t>FTH</t>
        </is>
      </c>
      <c r="D351" s="371" t="n">
        <v>104</v>
      </c>
      <c r="E351" s="371" t="n">
        <v>347</v>
      </c>
      <c r="F351" s="425" t="n"/>
      <c r="G351" s="425" t="n"/>
      <c r="H351" s="425" t="n"/>
      <c r="I351" s="425" t="n"/>
      <c r="J351" s="371">
        <f>D351+I351</f>
        <v/>
      </c>
      <c r="K351" s="371">
        <f>E351+I351</f>
        <v/>
      </c>
      <c r="L351" s="418" t="inlineStr">
        <is>
          <t>T7.5 Zombie Research</t>
        </is>
      </c>
    </row>
    <row r="352">
      <c r="A352" s="434" t="inlineStr">
        <is>
          <t>Dream Stele</t>
        </is>
      </c>
      <c r="B352" s="425" t="inlineStr">
        <is>
          <t>SS</t>
        </is>
      </c>
      <c r="C352" s="425" t="inlineStr">
        <is>
          <t>FTH</t>
        </is>
      </c>
      <c r="D352" s="371" t="n">
        <v>102</v>
      </c>
      <c r="E352" s="425">
        <f>61+64+102+51+69</f>
        <v/>
      </c>
      <c r="F352" s="425" t="n"/>
      <c r="G352" s="425" t="n"/>
      <c r="H352" s="425" t="n"/>
      <c r="I352" s="425" t="n"/>
      <c r="J352" s="371">
        <f>D352+I352</f>
        <v/>
      </c>
      <c r="K352" s="371">
        <f>E352+I352</f>
        <v/>
      </c>
      <c r="L352" s="386" t="inlineStr">
        <is>
          <t>Lottery Machine #2 (0.47%)</t>
        </is>
      </c>
    </row>
    <row r="353">
      <c r="A353" s="434" t="inlineStr">
        <is>
          <t>Ark of the Covenant</t>
        </is>
      </c>
      <c r="B353" s="425" t="inlineStr">
        <is>
          <t>S</t>
        </is>
      </c>
      <c r="C353" s="425" t="inlineStr">
        <is>
          <t>FTH</t>
        </is>
      </c>
      <c r="D353" s="371" t="n">
        <v>98</v>
      </c>
      <c r="E353" s="425" t="n">
        <v>332</v>
      </c>
      <c r="F353" s="425" t="n"/>
      <c r="G353" s="425" t="n"/>
      <c r="H353" s="425" t="n"/>
      <c r="I353" s="425" t="n"/>
      <c r="J353" s="371">
        <f>D353+I353</f>
        <v/>
      </c>
      <c r="K353" s="371">
        <f>E353+I353</f>
        <v/>
      </c>
      <c r="L353" s="386" t="inlineStr">
        <is>
          <t>Fragment Crafting (15.1%), Lottery Machine #1 (0.81%), Wishing (0.53%), Relic Forge (90 Relic RF)</t>
        </is>
      </c>
    </row>
    <row r="354">
      <c r="A354" s="434" t="inlineStr">
        <is>
          <t>Chinchorro Mummy</t>
        </is>
      </c>
      <c r="B354" s="425" t="inlineStr">
        <is>
          <t>AA</t>
        </is>
      </c>
      <c r="C354" s="425" t="inlineStr">
        <is>
          <t>FTH</t>
        </is>
      </c>
      <c r="D354" s="371" t="n">
        <v>69</v>
      </c>
      <c r="E354" s="425" t="n"/>
      <c r="F354" s="425" t="n"/>
      <c r="G354" s="425" t="n"/>
      <c r="H354" s="425" t="n"/>
      <c r="I354" s="425" t="n">
        <v>10</v>
      </c>
      <c r="J354" s="371">
        <f>D354+I354</f>
        <v/>
      </c>
      <c r="K354" s="371">
        <f>E354+I354</f>
        <v/>
      </c>
      <c r="L354" s="386" t="inlineStr">
        <is>
          <t>Koryeon Domain, Fragment Crafting (3.8%), Lottery Machine #1 (0.08%), Wishing (0.36%), Soul Chest (1.5%), Expert Scrolls (0.95%)</t>
        </is>
      </c>
    </row>
    <row r="355">
      <c r="A355" s="434" t="inlineStr">
        <is>
          <t>Jormungandr Scale</t>
        </is>
      </c>
      <c r="B355" s="425" t="inlineStr">
        <is>
          <t>AA</t>
        </is>
      </c>
      <c r="C355" s="425" t="inlineStr">
        <is>
          <t>FTH</t>
        </is>
      </c>
      <c r="D355" s="371" t="n">
        <v>69</v>
      </c>
      <c r="E355" s="425" t="n"/>
      <c r="F355" s="425" t="n"/>
      <c r="G355" s="425" t="n"/>
      <c r="H355" s="425" t="n"/>
      <c r="I355" s="425" t="n"/>
      <c r="J355" s="371">
        <f>D355+I355</f>
        <v/>
      </c>
      <c r="K355" s="371">
        <f>E355+I355</f>
        <v/>
      </c>
      <c r="L355" s="386" t="inlineStr">
        <is>
          <t>T6.5 Dragon Research</t>
        </is>
      </c>
    </row>
    <row r="356">
      <c r="A356" s="434" t="inlineStr">
        <is>
          <t>Dendera Tablet</t>
        </is>
      </c>
      <c r="B356" s="425" t="inlineStr">
        <is>
          <t>Blue</t>
        </is>
      </c>
      <c r="C356" s="425" t="inlineStr">
        <is>
          <t>FTH</t>
        </is>
      </c>
      <c r="D356" s="371" t="n">
        <v>48</v>
      </c>
      <c r="E356" s="371" t="n"/>
      <c r="F356" s="371" t="n"/>
      <c r="G356" s="425" t="n"/>
      <c r="H356" s="425" t="n"/>
      <c r="I356" s="425" t="n"/>
      <c r="J356" s="371">
        <f>D356+I356</f>
        <v/>
      </c>
      <c r="K356" s="371">
        <f>E356+I356</f>
        <v/>
      </c>
      <c r="L356" s="386" t="inlineStr">
        <is>
          <t>Lottery Machine #1 (0.03%), Wishing (0.85%), Kemetic Treasure Maps (20%)</t>
        </is>
      </c>
    </row>
    <row r="357">
      <c r="A357" s="434" t="inlineStr">
        <is>
          <t>Turin Papyrus</t>
        </is>
      </c>
      <c r="B357" s="425" t="inlineStr">
        <is>
          <t>SSS</t>
        </is>
      </c>
      <c r="C357" s="425" t="inlineStr">
        <is>
          <t>CIV</t>
        </is>
      </c>
      <c r="D357" s="371" t="n">
        <v>109</v>
      </c>
      <c r="E357" s="371" t="n">
        <v>362</v>
      </c>
      <c r="F357" s="371" t="n"/>
      <c r="G357" s="425" t="n"/>
      <c r="H357" s="371" t="n"/>
      <c r="I357" s="371" t="n">
        <v>15</v>
      </c>
      <c r="J357" s="371">
        <f>D357+I357</f>
        <v/>
      </c>
      <c r="K357" s="371">
        <f>E357+I357</f>
        <v/>
      </c>
      <c r="L357" s="390" t="inlineStr">
        <is>
          <t>Wish Box Album Relic #2</t>
        </is>
      </c>
    </row>
    <row r="358">
      <c r="A358" s="434" t="inlineStr">
        <is>
          <t>Gutenberg's Press</t>
        </is>
      </c>
      <c r="B358" s="425" t="inlineStr">
        <is>
          <t>SSS</t>
        </is>
      </c>
      <c r="C358" s="425" t="inlineStr">
        <is>
          <t>CIV</t>
        </is>
      </c>
      <c r="D358" s="371" t="n">
        <v>107</v>
      </c>
      <c r="E358" s="371">
        <f>69+60+58+107+68</f>
        <v/>
      </c>
      <c r="F358" s="371" t="n"/>
      <c r="G358" s="425" t="n"/>
      <c r="H358" s="425" t="n">
        <v>3000</v>
      </c>
      <c r="I358" s="425" t="n">
        <v>15</v>
      </c>
      <c r="J358" s="371">
        <f>D358+I358</f>
        <v/>
      </c>
      <c r="K358" s="371">
        <f>E358+I358</f>
        <v/>
      </c>
      <c r="L358" s="386" t="inlineStr">
        <is>
          <t>Daily Pack Relic #9</t>
        </is>
      </c>
    </row>
    <row r="359">
      <c r="A359" s="434" t="inlineStr">
        <is>
          <t>Phoenician Tablet</t>
        </is>
      </c>
      <c r="B359" s="425" t="inlineStr">
        <is>
          <t>AA</t>
        </is>
      </c>
      <c r="C359" s="425" t="inlineStr">
        <is>
          <t>CIV</t>
        </is>
      </c>
      <c r="D359" s="371" t="n">
        <v>69</v>
      </c>
      <c r="E359" s="425" t="n"/>
      <c r="F359" s="425" t="n"/>
      <c r="G359" s="425" t="n"/>
      <c r="H359" s="425" t="n"/>
      <c r="I359" s="371" t="n"/>
      <c r="J359" s="371">
        <f>D359+I359</f>
        <v/>
      </c>
      <c r="K359" s="371">
        <f>E359+I359</f>
        <v/>
      </c>
      <c r="L359" s="386" t="inlineStr">
        <is>
          <t>Fragment Crafting (3.7%), Lottery Machine #1 (0.8%), Wishing (0.34%), Kemetic Treasure Maps (10%), Expert Scrolls (0.95%)</t>
        </is>
      </c>
    </row>
    <row r="360">
      <c r="A360" s="434" t="inlineStr">
        <is>
          <t>Codex Leicester</t>
        </is>
      </c>
      <c r="B360" s="425" t="inlineStr">
        <is>
          <t>A</t>
        </is>
      </c>
      <c r="C360" s="425" t="inlineStr">
        <is>
          <t>CIV</t>
        </is>
      </c>
      <c r="D360" s="371" t="n">
        <v>64</v>
      </c>
      <c r="E360" s="425" t="n"/>
      <c r="F360" s="425" t="n"/>
      <c r="G360" s="425" t="n"/>
      <c r="H360" s="425" t="n"/>
      <c r="I360" s="425" t="n"/>
      <c r="J360" s="371">
        <f>D360+I360</f>
        <v/>
      </c>
      <c r="K360" s="371">
        <f>E360+I360</f>
        <v/>
      </c>
      <c r="L360" s="386" t="inlineStr">
        <is>
          <t>Fragment Crafting (29.9%), Lottery Machine #1 (0.66%), Wishing (2.7%), Expert Scrolls (7.6%)</t>
        </is>
      </c>
    </row>
    <row r="361">
      <c r="A361" s="434" t="inlineStr">
        <is>
          <t>Seated Scribe</t>
        </is>
      </c>
      <c r="B361" s="425" t="inlineStr">
        <is>
          <t>Blue</t>
        </is>
      </c>
      <c r="C361" s="425" t="inlineStr">
        <is>
          <t>CIV</t>
        </is>
      </c>
      <c r="D361" s="371" t="n">
        <v>44</v>
      </c>
      <c r="E361" s="425" t="n"/>
      <c r="F361" s="425" t="n"/>
      <c r="G361" s="425" t="n"/>
      <c r="H361" s="425" t="n"/>
      <c r="I361" s="425" t="n"/>
      <c r="J361" s="371">
        <f>D361+I361</f>
        <v/>
      </c>
      <c r="K361" s="371">
        <f>E361+I361</f>
        <v/>
      </c>
      <c r="L361" s="386" t="inlineStr">
        <is>
          <t>Lottery Machine #1 (0.03%), Wishing (0.82%), Kemetic Treasure Map (20%)</t>
        </is>
      </c>
    </row>
    <row r="362">
      <c r="A362" s="434" t="inlineStr">
        <is>
          <t>AH602</t>
        </is>
      </c>
      <c r="B362" s="425" t="inlineStr">
        <is>
          <t>SSS</t>
        </is>
      </c>
      <c r="C362" s="425" t="inlineStr">
        <is>
          <t>TECH</t>
        </is>
      </c>
      <c r="D362" s="371" t="n">
        <v>108</v>
      </c>
      <c r="E362" s="371">
        <f>69+66+64+55+108</f>
        <v/>
      </c>
      <c r="F362" s="425" t="n"/>
      <c r="G362" s="425" t="n"/>
      <c r="H362" s="425" t="n"/>
      <c r="I362" s="425" t="n">
        <v>15</v>
      </c>
      <c r="J362" s="371">
        <f>D362+I362</f>
        <v/>
      </c>
      <c r="K362" s="371">
        <f>E362+I362</f>
        <v/>
      </c>
      <c r="L362" s="386" t="inlineStr">
        <is>
          <t>Lottery Machine #2 (0.12%), Relic Forge (120 Relic RF), 120 Objects Shot Down Reward</t>
        </is>
      </c>
    </row>
    <row r="363">
      <c r="A363" s="434" t="inlineStr">
        <is>
          <t>Kola Drilling Rig</t>
        </is>
      </c>
      <c r="B363" s="425" t="inlineStr">
        <is>
          <t>SSS</t>
        </is>
      </c>
      <c r="C363" s="425" t="inlineStr">
        <is>
          <t>TECH</t>
        </is>
      </c>
      <c r="D363" s="371" t="n">
        <v>110</v>
      </c>
      <c r="E363" s="371" t="n">
        <v>362</v>
      </c>
      <c r="F363" s="425" t="n"/>
      <c r="G363" s="425" t="n"/>
      <c r="H363" s="425" t="n">
        <v>3000</v>
      </c>
      <c r="I363" s="425" t="n"/>
      <c r="J363" s="371">
        <f>D363+I363</f>
        <v/>
      </c>
      <c r="K363" s="371">
        <f>E363+I363</f>
        <v/>
      </c>
      <c r="L363" s="201" t="inlineStr">
        <is>
          <t>Lottery Machine #2 (?%)</t>
        </is>
      </c>
    </row>
    <row r="364">
      <c r="A364" s="434" t="inlineStr">
        <is>
          <t>5th Element</t>
        </is>
      </c>
      <c r="B364" s="425" t="inlineStr">
        <is>
          <t>SS</t>
        </is>
      </c>
      <c r="C364" s="425" t="inlineStr">
        <is>
          <t>TECH</t>
        </is>
      </c>
      <c r="D364" s="371" t="n">
        <v>103</v>
      </c>
      <c r="E364" s="371" t="n">
        <v>347</v>
      </c>
      <c r="F364" s="425" t="n"/>
      <c r="G364" s="425" t="n"/>
      <c r="H364" s="425" t="n"/>
      <c r="I364" s="425" t="n"/>
      <c r="J364" s="371">
        <f>D364+I364</f>
        <v/>
      </c>
      <c r="K364" s="371">
        <f>E364+I364</f>
        <v/>
      </c>
      <c r="L364" s="386" t="inlineStr">
        <is>
          <t>Fragment Crafting (5.2%), Lottery Machine #1 (0.24%), Wishing (0.19%), Master Scrolls (1.9%), Grandmaster Scrolls (2.1%), TECH Master Scrolls (9.2%)</t>
        </is>
      </c>
    </row>
    <row r="365">
      <c r="A365" s="434" t="inlineStr">
        <is>
          <t>Turing Machine</t>
        </is>
      </c>
      <c r="B365" s="425" t="inlineStr">
        <is>
          <t>AA</t>
        </is>
      </c>
      <c r="C365" s="425" t="inlineStr">
        <is>
          <t>TECH</t>
        </is>
      </c>
      <c r="D365" s="371" t="n">
        <v>67</v>
      </c>
      <c r="E365" s="425" t="n"/>
      <c r="F365" s="425" t="n"/>
      <c r="G365" s="425" t="n"/>
      <c r="H365" s="425" t="n"/>
      <c r="I365" s="425" t="n">
        <v>10</v>
      </c>
      <c r="J365" s="371">
        <f>D365+I365</f>
        <v/>
      </c>
      <c r="K365" s="371">
        <f>E365+I365</f>
        <v/>
      </c>
      <c r="L365" s="386" t="inlineStr">
        <is>
          <t>Fragment Crafting (3.9%), Lottery Machine #1 (0.08%), Wishing (0.36%), Tool Chest (1.5%), Expert Scrolls (0.95%)</t>
        </is>
      </c>
    </row>
    <row r="366">
      <c r="A366" s="434" t="inlineStr">
        <is>
          <t>Otto Engine</t>
        </is>
      </c>
      <c r="B366" s="425" t="inlineStr">
        <is>
          <t>AAA</t>
        </is>
      </c>
      <c r="C366" s="425" t="inlineStr">
        <is>
          <t>TECH</t>
        </is>
      </c>
      <c r="D366" s="371" t="n">
        <v>71</v>
      </c>
      <c r="E366" s="425" t="n"/>
      <c r="F366" s="425" t="n"/>
      <c r="G366" s="425" t="n"/>
      <c r="H366" s="425" t="n"/>
      <c r="I366" s="425" t="n"/>
      <c r="J366" s="371">
        <f>D366+I366</f>
        <v/>
      </c>
      <c r="K366" s="371">
        <f>E366+I366</f>
        <v/>
      </c>
      <c r="L366" s="386" t="inlineStr">
        <is>
          <t>Fragment Crafting (1.6%), Lottery Machine #1 (0.03%), Wishing (0.14%), Tool Chest (1.5%), Relic Forge (80 Relic RF)</t>
        </is>
      </c>
    </row>
    <row r="367">
      <c r="A367" s="362" t="inlineStr">
        <is>
          <t>Persian Star Chart</t>
        </is>
      </c>
      <c r="B367" s="411" t="inlineStr">
        <is>
          <t>Blue</t>
        </is>
      </c>
      <c r="C367" s="411" t="inlineStr">
        <is>
          <t>TECH</t>
        </is>
      </c>
      <c r="D367" s="364" t="n">
        <v>44</v>
      </c>
      <c r="E367" s="411" t="n"/>
      <c r="F367" s="411" t="n"/>
      <c r="G367" s="411" t="n"/>
      <c r="H367" s="411" t="n"/>
      <c r="I367" s="411" t="n"/>
      <c r="J367" s="364">
        <f>D367+I367</f>
        <v/>
      </c>
      <c r="K367" s="364">
        <f>E367+I367</f>
        <v/>
      </c>
      <c r="L367" s="426" t="inlineStr">
        <is>
          <t>Lottery Machine #1 (0.36%), Wishing (13.2%), Novice Scrolls (5%), Nebula Chest (2%)</t>
        </is>
      </c>
    </row>
    <row r="368"/>
    <row r="369"/>
    <row r="370">
      <c r="A370" s="344" t="inlineStr">
        <is>
          <t>MUSEUM LAYOUT</t>
        </is>
      </c>
      <c r="B370" s="406" t="n"/>
      <c r="C370" s="406" t="inlineStr">
        <is>
          <t>Restriction</t>
        </is>
      </c>
      <c r="D370" s="406" t="inlineStr">
        <is>
          <t>Used</t>
        </is>
      </c>
      <c r="E370" s="406" t="inlineStr">
        <is>
          <t>Museum Score</t>
        </is>
      </c>
      <c r="F370" s="406" t="inlineStr">
        <is>
          <t>Medal Output</t>
        </is>
      </c>
      <c r="G370" s="406" t="inlineStr">
        <is>
          <t>Wish Coin Cost</t>
        </is>
      </c>
      <c r="H370" s="129" t="inlineStr">
        <is>
          <t>Btad Output</t>
        </is>
      </c>
      <c r="I370" s="425" t="n"/>
    </row>
    <row r="371">
      <c r="A371" s="126" t="n">
        <v>1</v>
      </c>
      <c r="B371" s="425" t="inlineStr">
        <is>
          <t>ALL</t>
        </is>
      </c>
      <c r="C371" s="425" t="n"/>
      <c r="D371" s="425">
        <f>A350</f>
        <v/>
      </c>
      <c r="E371" s="371">
        <f>K350</f>
        <v/>
      </c>
      <c r="F371" s="371" t="n"/>
      <c r="G371" s="425" t="n"/>
      <c r="H371" s="127" t="n"/>
      <c r="I371" s="371" t="n"/>
    </row>
    <row r="372">
      <c r="A372" s="126" t="n">
        <v>2</v>
      </c>
      <c r="B372" s="425" t="inlineStr">
        <is>
          <t>FAME</t>
        </is>
      </c>
      <c r="C372" s="425">
        <f>A338</f>
        <v/>
      </c>
      <c r="D372" s="425">
        <f>A338</f>
        <v/>
      </c>
      <c r="E372" s="371">
        <f>J338</f>
        <v/>
      </c>
      <c r="F372" s="425" t="n"/>
      <c r="G372" s="425" t="n"/>
      <c r="H372" s="418" t="n"/>
      <c r="I372" s="425" t="n"/>
    </row>
    <row r="373">
      <c r="A373" s="126" t="n">
        <v>3</v>
      </c>
      <c r="B373" s="425">
        <f>C359</f>
        <v/>
      </c>
      <c r="C373" s="425">
        <f>A359</f>
        <v/>
      </c>
      <c r="D373" s="425">
        <f>A359</f>
        <v/>
      </c>
      <c r="E373" s="371">
        <f>J359</f>
        <v/>
      </c>
      <c r="F373" s="425" t="n"/>
      <c r="G373" s="425" t="n"/>
      <c r="H373" s="418" t="n"/>
      <c r="I373" s="425" t="n"/>
      <c r="J373" s="425" t="n"/>
      <c r="K373" s="425" t="n"/>
      <c r="L373" s="425" t="n"/>
    </row>
    <row r="374">
      <c r="A374" s="126" t="n">
        <v>4</v>
      </c>
      <c r="B374" s="425">
        <f>C356</f>
        <v/>
      </c>
      <c r="C374" s="425">
        <f>A356</f>
        <v/>
      </c>
      <c r="D374" s="425">
        <f>A356</f>
        <v/>
      </c>
      <c r="E374" s="371">
        <f>J356</f>
        <v/>
      </c>
      <c r="F374" s="425" t="n"/>
      <c r="G374" s="425" t="n"/>
      <c r="H374" s="418" t="n"/>
      <c r="I374" s="425" t="n"/>
      <c r="J374" s="425" t="n"/>
      <c r="K374" s="425" t="n"/>
      <c r="L374" s="425" t="n"/>
    </row>
    <row r="375">
      <c r="A375" s="126" t="n">
        <v>5</v>
      </c>
      <c r="B375" s="425" t="inlineStr">
        <is>
          <t>FAME</t>
        </is>
      </c>
      <c r="C375" s="425" t="n"/>
      <c r="D375" s="425">
        <f>A337</f>
        <v/>
      </c>
      <c r="E375" s="371">
        <f>J337</f>
        <v/>
      </c>
      <c r="F375" s="425" t="n"/>
      <c r="G375" s="425" t="n"/>
      <c r="H375" s="418" t="n"/>
      <c r="I375" s="425" t="n"/>
      <c r="J375" s="425" t="n"/>
      <c r="K375" s="425" t="n"/>
      <c r="L375" s="425" t="n"/>
    </row>
    <row r="376">
      <c r="A376" s="126" t="n">
        <v>6</v>
      </c>
      <c r="B376" s="425" t="inlineStr">
        <is>
          <t>FAME</t>
        </is>
      </c>
      <c r="C376" s="425" t="n"/>
      <c r="D376" s="425" t="inlineStr">
        <is>
          <t>FILLER</t>
        </is>
      </c>
      <c r="E376" s="371" t="n">
        <v>100</v>
      </c>
      <c r="F376" s="425" t="n"/>
      <c r="G376" s="425" t="n"/>
      <c r="H376" s="418" t="n"/>
      <c r="I376" s="425" t="n"/>
      <c r="J376" s="425" t="n"/>
      <c r="K376" s="425" t="n"/>
      <c r="L376" s="425" t="n"/>
    </row>
    <row r="377">
      <c r="A377" s="126" t="n">
        <v>7</v>
      </c>
      <c r="B377" s="425" t="inlineStr">
        <is>
          <t>ART</t>
        </is>
      </c>
      <c r="C377" s="425" t="n"/>
      <c r="D377" s="669">
        <f>A342</f>
        <v/>
      </c>
      <c r="E377" s="669">
        <f>J342</f>
        <v/>
      </c>
      <c r="F377" s="425">
        <f>F342</f>
        <v/>
      </c>
      <c r="G377" s="425" t="n"/>
      <c r="H377" s="418" t="n"/>
      <c r="I377" s="425" t="n"/>
      <c r="J377" s="425" t="n"/>
      <c r="K377" s="425" t="n"/>
      <c r="L377" s="425" t="n"/>
    </row>
    <row r="378">
      <c r="A378" s="126" t="n">
        <v>8</v>
      </c>
      <c r="B378" s="425" t="inlineStr">
        <is>
          <t>ART</t>
        </is>
      </c>
      <c r="C378" s="425" t="n"/>
      <c r="D378" s="425">
        <f>A343</f>
        <v/>
      </c>
      <c r="E378" s="371">
        <f>J343</f>
        <v/>
      </c>
      <c r="F378" s="425" t="n"/>
      <c r="G378" s="425" t="n"/>
      <c r="H378" s="418" t="n"/>
      <c r="I378" s="425" t="n"/>
      <c r="J378" s="425" t="n"/>
      <c r="K378" s="425" t="n"/>
      <c r="L378" s="425" t="n"/>
    </row>
    <row r="379">
      <c r="A379" s="126" t="n">
        <v>9</v>
      </c>
      <c r="B379" s="425" t="inlineStr">
        <is>
          <t>ART</t>
        </is>
      </c>
      <c r="C379" s="425" t="n"/>
      <c r="D379" s="425" t="inlineStr">
        <is>
          <t>FILLER</t>
        </is>
      </c>
      <c r="E379" s="371" t="n">
        <v>100</v>
      </c>
      <c r="F379" s="425" t="n"/>
      <c r="G379" s="425" t="n"/>
      <c r="H379" s="418" t="n"/>
      <c r="I379" s="425" t="n"/>
      <c r="J379" s="425" t="n"/>
      <c r="K379" s="425" t="n"/>
      <c r="L379" s="425" t="n"/>
    </row>
    <row r="380">
      <c r="A380" s="126" t="n">
        <v>10</v>
      </c>
      <c r="B380" s="425" t="inlineStr">
        <is>
          <t>FTH</t>
        </is>
      </c>
      <c r="C380" s="425" t="n"/>
      <c r="D380" s="425">
        <f>A348</f>
        <v/>
      </c>
      <c r="E380" s="371">
        <f>J348</f>
        <v/>
      </c>
      <c r="F380" s="425" t="n"/>
      <c r="G380" s="425" t="n"/>
      <c r="H380" s="418" t="n"/>
      <c r="I380" s="425" t="n"/>
      <c r="J380" s="425" t="n"/>
      <c r="K380" s="425" t="n"/>
      <c r="L380" s="425" t="n"/>
    </row>
    <row r="381">
      <c r="A381" s="126" t="n">
        <v>11</v>
      </c>
      <c r="B381" s="425" t="inlineStr">
        <is>
          <t>FTH</t>
        </is>
      </c>
      <c r="C381" s="425" t="n"/>
      <c r="D381" s="425">
        <f>A349</f>
        <v/>
      </c>
      <c r="E381" s="371">
        <f>J349</f>
        <v/>
      </c>
      <c r="F381" s="425" t="n"/>
      <c r="G381" s="425" t="n"/>
      <c r="H381" s="418" t="n"/>
      <c r="I381" s="425" t="n"/>
      <c r="J381" s="425" t="n"/>
      <c r="K381" s="425" t="n"/>
      <c r="L381" s="425" t="n"/>
    </row>
    <row r="382">
      <c r="A382" s="126" t="n">
        <v>12</v>
      </c>
      <c r="B382" s="425" t="inlineStr">
        <is>
          <t>FTH</t>
        </is>
      </c>
      <c r="C382" s="425" t="n"/>
      <c r="D382" s="425">
        <f>A351</f>
        <v/>
      </c>
      <c r="E382" s="371">
        <f>J351</f>
        <v/>
      </c>
      <c r="F382" s="371" t="n"/>
      <c r="G382" s="425" t="n"/>
      <c r="H382" s="418" t="n"/>
      <c r="I382" s="425" t="n"/>
      <c r="J382" s="425" t="n"/>
      <c r="K382" s="425" t="n"/>
      <c r="L382" s="425" t="n"/>
    </row>
    <row r="383">
      <c r="A383" s="126" t="n">
        <v>13</v>
      </c>
      <c r="B383" s="425" t="inlineStr">
        <is>
          <t>CIV</t>
        </is>
      </c>
      <c r="C383" s="425" t="n"/>
      <c r="D383" s="425">
        <f>A357</f>
        <v/>
      </c>
      <c r="E383" s="371">
        <f>J357</f>
        <v/>
      </c>
      <c r="F383" s="371" t="n"/>
      <c r="G383" s="425" t="n"/>
      <c r="H383" s="418" t="n"/>
      <c r="I383" s="425" t="n"/>
      <c r="J383" s="425" t="n"/>
      <c r="K383" s="425" t="n"/>
      <c r="L383" s="425" t="n"/>
    </row>
    <row r="384">
      <c r="A384" s="126" t="n">
        <v>14</v>
      </c>
      <c r="B384" s="425" t="inlineStr">
        <is>
          <t>CIV</t>
        </is>
      </c>
      <c r="C384" s="425" t="n"/>
      <c r="D384" s="425">
        <f>A358</f>
        <v/>
      </c>
      <c r="E384" s="371">
        <f>J358</f>
        <v/>
      </c>
      <c r="F384" s="425" t="n"/>
      <c r="G384" s="425" t="n"/>
      <c r="H384" s="418">
        <f>H358</f>
        <v/>
      </c>
      <c r="I384" s="425" t="n"/>
      <c r="J384" s="425" t="n"/>
      <c r="K384" s="425" t="n"/>
      <c r="L384" s="425" t="n"/>
    </row>
    <row r="385">
      <c r="A385" s="126" t="n">
        <v>15</v>
      </c>
      <c r="B385" s="425" t="inlineStr">
        <is>
          <t>TECH</t>
        </is>
      </c>
      <c r="C385" s="425" t="n"/>
      <c r="D385" s="143">
        <f>A362</f>
        <v/>
      </c>
      <c r="E385" s="371">
        <f>J362</f>
        <v/>
      </c>
      <c r="F385" s="425" t="n"/>
      <c r="G385" s="425" t="n"/>
      <c r="H385" s="418" t="n"/>
      <c r="I385" s="425" t="n"/>
      <c r="J385" s="425" t="n"/>
      <c r="K385" s="425" t="n"/>
      <c r="L385" s="425" t="n"/>
    </row>
    <row r="386">
      <c r="A386" s="126" t="n">
        <v>16</v>
      </c>
      <c r="B386" s="425" t="inlineStr">
        <is>
          <t>TECH</t>
        </is>
      </c>
      <c r="C386" s="425" t="n"/>
      <c r="D386" s="425">
        <f>A363</f>
        <v/>
      </c>
      <c r="E386" s="371">
        <f>D363</f>
        <v/>
      </c>
      <c r="F386" s="425" t="n"/>
      <c r="G386" s="425" t="n"/>
      <c r="H386" s="418">
        <f>H363</f>
        <v/>
      </c>
      <c r="I386" s="425" t="n"/>
      <c r="J386" s="425" t="inlineStr">
        <is>
          <t>Note: 5th Element used in Yamato Museum</t>
        </is>
      </c>
      <c r="K386" s="425" t="n"/>
      <c r="L386" s="425" t="n"/>
    </row>
    <row r="387">
      <c r="A387" s="362" t="n"/>
      <c r="B387" s="706" t="n"/>
      <c r="C387" s="411" t="n"/>
      <c r="D387" s="411" t="inlineStr">
        <is>
          <t>TOTAL</t>
        </is>
      </c>
      <c r="E387" s="364">
        <f>SUM(E371:E386)</f>
        <v/>
      </c>
      <c r="F387" s="364">
        <f>SUM(F371:F386)</f>
        <v/>
      </c>
      <c r="G387" s="364">
        <f>SUM(G371:G386)</f>
        <v/>
      </c>
      <c r="H387" s="115">
        <f>SUM(H371:H386)</f>
        <v/>
      </c>
      <c r="I387" s="371" t="n"/>
      <c r="J387" s="425" t="n"/>
      <c r="K387" s="425" t="n"/>
      <c r="L387" s="425" t="n"/>
    </row>
    <row r="388"/>
    <row r="389"/>
    <row r="390"/>
    <row r="391"/>
    <row r="392">
      <c r="A392" s="344" t="n"/>
      <c r="B392" s="406" t="n"/>
      <c r="C392" s="406" t="n"/>
      <c r="D392" s="406" t="inlineStr">
        <is>
          <t>Main AFFCT</t>
        </is>
      </c>
      <c r="E392" s="406" t="inlineStr">
        <is>
          <t>Total AFFCT</t>
        </is>
      </c>
      <c r="F392" s="406" t="inlineStr">
        <is>
          <t>Medal Output</t>
        </is>
      </c>
      <c r="G392" s="406" t="inlineStr">
        <is>
          <t>Wish Coin Cost</t>
        </is>
      </c>
      <c r="H392" s="406" t="inlineStr">
        <is>
          <t>Btad Output</t>
        </is>
      </c>
      <c r="I392" s="406" t="inlineStr">
        <is>
          <t>AFFCT Boost</t>
        </is>
      </c>
      <c r="J392" s="406" t="inlineStr">
        <is>
          <t>Effective AFFCT</t>
        </is>
      </c>
      <c r="K392" s="406" t="inlineStr">
        <is>
          <t>Total Effective AFFCT</t>
        </is>
      </c>
      <c r="L392" s="129" t="n"/>
    </row>
    <row r="393">
      <c r="A393" s="357" t="inlineStr">
        <is>
          <t>HELLAS</t>
        </is>
      </c>
      <c r="B393" s="425" t="n"/>
      <c r="C393" s="425" t="n"/>
      <c r="D393" s="425" t="n"/>
      <c r="E393" s="425" t="n"/>
      <c r="F393" s="425" t="n"/>
      <c r="G393" s="425" t="n"/>
      <c r="H393" s="425" t="n"/>
      <c r="I393" s="425" t="n"/>
      <c r="J393" s="425" t="n"/>
      <c r="K393" s="425" t="n"/>
      <c r="L393" s="418" t="n"/>
    </row>
    <row r="394">
      <c r="A394" s="434" t="inlineStr">
        <is>
          <t>INDIVIDUAL RELICS</t>
        </is>
      </c>
      <c r="B394" s="425" t="n"/>
      <c r="C394" s="425" t="n"/>
      <c r="D394" s="425" t="n"/>
      <c r="E394" s="425" t="n"/>
      <c r="F394" s="425" t="n"/>
      <c r="G394" s="425" t="n"/>
      <c r="H394" s="425" t="n"/>
      <c r="I394" s="425" t="n"/>
      <c r="J394" s="425" t="n"/>
      <c r="K394" s="425" t="n"/>
      <c r="L394" s="418" t="n"/>
    </row>
    <row r="395">
      <c r="A395" s="434" t="inlineStr">
        <is>
          <t>Trojan Horse</t>
        </is>
      </c>
      <c r="B395" s="425" t="inlineStr">
        <is>
          <t>SSS</t>
        </is>
      </c>
      <c r="C395" s="425" t="inlineStr">
        <is>
          <t>FAME</t>
        </is>
      </c>
      <c r="D395" s="371" t="n">
        <v>106</v>
      </c>
      <c r="E395" s="371" t="n">
        <v>362</v>
      </c>
      <c r="F395" s="425" t="n"/>
      <c r="G395" s="425" t="n"/>
      <c r="H395" s="425" t="n"/>
      <c r="I395" s="371" t="n"/>
      <c r="J395" s="371">
        <f>D395+I395</f>
        <v/>
      </c>
      <c r="K395" s="371">
        <f>E395+I395</f>
        <v/>
      </c>
      <c r="L395" s="418" t="inlineStr">
        <is>
          <t>Lottery Machine #1 (0.09%), Wishing (0.09%), Grandmaster Scrolls (0.81%), Relic Forge (120 Relic RF)</t>
        </is>
      </c>
    </row>
    <row r="396">
      <c r="A396" s="434" t="inlineStr">
        <is>
          <t>Archimedes Lever</t>
        </is>
      </c>
      <c r="B396" s="425" t="inlineStr">
        <is>
          <t>SSS</t>
        </is>
      </c>
      <c r="C396" s="425" t="inlineStr">
        <is>
          <t>FAME</t>
        </is>
      </c>
      <c r="D396" s="371" t="n">
        <v>106</v>
      </c>
      <c r="E396" s="371" t="n">
        <v>362</v>
      </c>
      <c r="F396" s="425" t="n"/>
      <c r="G396" s="425" t="n"/>
      <c r="H396" s="425" t="n"/>
      <c r="I396" s="371" t="n"/>
      <c r="J396" s="371">
        <f>D396+I396</f>
        <v/>
      </c>
      <c r="K396" s="371">
        <f>E396+I396</f>
        <v/>
      </c>
      <c r="L396" s="418" t="inlineStr">
        <is>
          <t>Lottery Machine #1 (0.09%), Wishing (0.09%), Grandmaster Scrolls (0.81%), Relic Forge (120 Relic RF)</t>
        </is>
      </c>
    </row>
    <row r="397">
      <c r="A397" s="434" t="inlineStr">
        <is>
          <t>Galileo's Ball</t>
        </is>
      </c>
      <c r="B397" s="425" t="inlineStr">
        <is>
          <t>AAA</t>
        </is>
      </c>
      <c r="C397" s="425" t="inlineStr">
        <is>
          <t>FAME</t>
        </is>
      </c>
      <c r="D397" s="371" t="n">
        <v>72</v>
      </c>
      <c r="E397" s="371" t="n"/>
      <c r="F397" s="425" t="n"/>
      <c r="G397" s="425" t="n"/>
      <c r="H397" s="425" t="n"/>
      <c r="I397" s="425" t="n"/>
      <c r="J397" s="371">
        <f>D397+I397</f>
        <v/>
      </c>
      <c r="K397" s="371" t="n"/>
      <c r="L397" s="418" t="inlineStr">
        <is>
          <t>Fragment Crafting (1.6%), Lottery Machine #1 (0.03%), Wishing (0.14%), Relic Forge (80 Relic RF)</t>
        </is>
      </c>
    </row>
    <row r="398">
      <c r="A398" s="434" t="inlineStr">
        <is>
          <t>Bellum Gallicum</t>
        </is>
      </c>
      <c r="B398" s="425" t="inlineStr">
        <is>
          <t>Blue</t>
        </is>
      </c>
      <c r="C398" s="425" t="inlineStr">
        <is>
          <t>FAME</t>
        </is>
      </c>
      <c r="D398" s="371" t="n">
        <v>44</v>
      </c>
      <c r="E398" s="371" t="n"/>
      <c r="F398" s="425" t="n"/>
      <c r="G398" s="425" t="n"/>
      <c r="H398" s="425" t="n"/>
      <c r="I398" s="425" t="n"/>
      <c r="J398" s="371">
        <f>D398+I398</f>
        <v/>
      </c>
      <c r="K398" s="371" t="n"/>
      <c r="L398" s="418" t="inlineStr">
        <is>
          <t>Lottery Machine #1 (0.03%), Wishing (1.2%)</t>
        </is>
      </c>
    </row>
    <row r="399">
      <c r="A399" s="434" t="inlineStr">
        <is>
          <t>Ansidei Madonna</t>
        </is>
      </c>
      <c r="B399" s="425" t="inlineStr">
        <is>
          <t>SSS</t>
        </is>
      </c>
      <c r="C399" s="425" t="inlineStr">
        <is>
          <t>ART</t>
        </is>
      </c>
      <c r="D399" s="371" t="n">
        <v>108</v>
      </c>
      <c r="E399" s="425" t="n">
        <v>362</v>
      </c>
      <c r="F399" s="425" t="n"/>
      <c r="G399" s="425" t="n"/>
      <c r="H399" s="425" t="n"/>
      <c r="I399" s="425" t="n">
        <v>15</v>
      </c>
      <c r="J399" s="371">
        <f>D399+I399</f>
        <v/>
      </c>
      <c r="K399" s="371">
        <f>E399+I399</f>
        <v/>
      </c>
      <c r="L399" s="418" t="inlineStr">
        <is>
          <t>Lottery Machine #1 (0.09%), Wishing (0.08%), Grandmaster Scrolls (0.8%)</t>
        </is>
      </c>
    </row>
    <row r="400">
      <c r="A400" s="434" t="inlineStr">
        <is>
          <t>Caesar Statue</t>
        </is>
      </c>
      <c r="B400" s="425" t="inlineStr">
        <is>
          <t>SSS</t>
        </is>
      </c>
      <c r="C400" s="425" t="inlineStr">
        <is>
          <t>ART</t>
        </is>
      </c>
      <c r="D400" s="371" t="n">
        <v>108</v>
      </c>
      <c r="E400" s="425" t="n">
        <v>362</v>
      </c>
      <c r="F400" s="425" t="n"/>
      <c r="G400" s="425" t="n"/>
      <c r="H400" s="425" t="n"/>
      <c r="I400" s="425" t="n">
        <v>15</v>
      </c>
      <c r="J400" s="371">
        <f>D400+I400</f>
        <v/>
      </c>
      <c r="K400" s="371">
        <f>E400+I400</f>
        <v/>
      </c>
      <c r="L400" s="418" t="inlineStr">
        <is>
          <t>Daily Silver Pack Relic #2</t>
        </is>
      </c>
    </row>
    <row r="401">
      <c r="A401" s="434" t="inlineStr">
        <is>
          <t>Parthenon Marbles</t>
        </is>
      </c>
      <c r="B401" s="425" t="inlineStr">
        <is>
          <t>SS</t>
        </is>
      </c>
      <c r="C401" s="425" t="inlineStr">
        <is>
          <t>ART</t>
        </is>
      </c>
      <c r="D401" s="371" t="n">
        <v>103</v>
      </c>
      <c r="E401" s="425">
        <f>56+103+55+68+65</f>
        <v/>
      </c>
      <c r="F401" s="425" t="n"/>
      <c r="G401" s="425" t="n"/>
      <c r="H401" s="425" t="n"/>
      <c r="I401" s="425" t="n">
        <v>15</v>
      </c>
      <c r="J401" s="371">
        <f>D401+I401</f>
        <v/>
      </c>
      <c r="K401" s="371">
        <f>E401+I401</f>
        <v/>
      </c>
      <c r="L401" s="418" t="inlineStr">
        <is>
          <t>Hellas Costume Lottery</t>
        </is>
      </c>
    </row>
    <row r="402">
      <c r="A402" s="434" t="inlineStr">
        <is>
          <t>Lyre of Hermes</t>
        </is>
      </c>
      <c r="B402" s="425" t="inlineStr">
        <is>
          <t>SSS</t>
        </is>
      </c>
      <c r="C402" s="425" t="inlineStr">
        <is>
          <t>ART</t>
        </is>
      </c>
      <c r="D402" s="371" t="n">
        <v>108</v>
      </c>
      <c r="E402" s="425" t="n">
        <v>362</v>
      </c>
      <c r="F402" s="425" t="n"/>
      <c r="G402" s="425" t="n"/>
      <c r="H402" s="425" t="n"/>
      <c r="I402" s="425" t="n"/>
      <c r="J402" s="371">
        <f>D402+I402</f>
        <v/>
      </c>
      <c r="K402" s="371">
        <f>E402+I402</f>
        <v/>
      </c>
      <c r="L402" s="418" t="inlineStr">
        <is>
          <t>Lottery Machine #1 (0.09%), Wishing (0.08%), Grandmaster Scrolls (0.81%), Relic Forge (120 Relic RF)</t>
        </is>
      </c>
    </row>
    <row r="403">
      <c r="A403" s="434" t="inlineStr">
        <is>
          <t>The School of Athens</t>
        </is>
      </c>
      <c r="B403" s="425" t="inlineStr">
        <is>
          <t>SS</t>
        </is>
      </c>
      <c r="C403" s="425" t="inlineStr">
        <is>
          <t>ART</t>
        </is>
      </c>
      <c r="D403" s="371" t="n">
        <v>104</v>
      </c>
      <c r="E403" s="425" t="n">
        <v>347</v>
      </c>
      <c r="F403" s="425" t="n"/>
      <c r="G403" s="425" t="n"/>
      <c r="H403" s="425" t="n"/>
      <c r="I403" s="425" t="n"/>
      <c r="J403" s="371">
        <f>D403+I403</f>
        <v/>
      </c>
      <c r="K403" s="371">
        <f>E403+I403</f>
        <v/>
      </c>
      <c r="L403" s="418" t="inlineStr">
        <is>
          <t>Fragment Crafting (5.3%), Lottery Machine #1 (0.24%), Wishing (0.2%), Super Treasure Maps (5%), Master Scrolls (1.9%), Grandmaster Scrolls (2.1%), ART Master Scrolls (10.2%)</t>
        </is>
      </c>
    </row>
    <row r="404">
      <c r="A404" s="434" t="inlineStr">
        <is>
          <t>Venus de Milo</t>
        </is>
      </c>
      <c r="B404" s="425" t="inlineStr">
        <is>
          <t>SS</t>
        </is>
      </c>
      <c r="C404" s="425" t="inlineStr">
        <is>
          <t>ART</t>
        </is>
      </c>
      <c r="D404" s="371" t="n">
        <v>102</v>
      </c>
      <c r="E404" s="425" t="n">
        <v>347</v>
      </c>
      <c r="F404" s="425" t="n"/>
      <c r="G404" s="425" t="n"/>
      <c r="H404" s="425" t="n"/>
      <c r="I404" s="425" t="n"/>
      <c r="J404" s="371">
        <f>D404+I404</f>
        <v/>
      </c>
      <c r="K404" s="371">
        <f>E404+I404</f>
        <v/>
      </c>
      <c r="L404" s="418" t="inlineStr">
        <is>
          <t>T7.5 Angel Research</t>
        </is>
      </c>
    </row>
    <row r="405">
      <c r="A405" s="434" t="inlineStr">
        <is>
          <t>Figaro Marriage</t>
        </is>
      </c>
      <c r="B405" s="425" t="inlineStr">
        <is>
          <t>AAA</t>
        </is>
      </c>
      <c r="C405" s="425" t="inlineStr">
        <is>
          <t>ART</t>
        </is>
      </c>
      <c r="D405" s="371" t="n">
        <v>75</v>
      </c>
      <c r="E405" s="425" t="n"/>
      <c r="F405" s="425" t="n"/>
      <c r="G405" s="425" t="n"/>
      <c r="H405" s="425" t="n"/>
      <c r="I405" s="425" t="n"/>
      <c r="J405" s="371">
        <f>D405+I405</f>
        <v/>
      </c>
      <c r="K405" s="371" t="n"/>
      <c r="L405" s="418" t="inlineStr">
        <is>
          <t>Fragment Crafting (1.6%), Lottery Machine #1 (0.03%), Wishing (0.14%), Relic Forge (80 Relic RF)</t>
        </is>
      </c>
    </row>
    <row r="406">
      <c r="A406" s="434" t="inlineStr">
        <is>
          <t>Portland Vase</t>
        </is>
      </c>
      <c r="B406" s="425" t="inlineStr">
        <is>
          <t>Blue</t>
        </is>
      </c>
      <c r="C406" s="425" t="inlineStr">
        <is>
          <t>ART</t>
        </is>
      </c>
      <c r="D406" s="371" t="n">
        <v>48</v>
      </c>
      <c r="E406" s="425" t="n"/>
      <c r="F406" s="425" t="n"/>
      <c r="G406" s="425" t="n"/>
      <c r="H406" s="425" t="n"/>
      <c r="I406" s="425" t="n"/>
      <c r="J406" s="371">
        <f>D406+I406</f>
        <v/>
      </c>
      <c r="K406" s="371" t="n"/>
      <c r="L406" s="418" t="inlineStr">
        <is>
          <t>Lottery Machine #1 (0.03%), Wishing (1.2%), Fungus Chest (2%)</t>
        </is>
      </c>
    </row>
    <row r="407">
      <c r="A407" s="434" t="inlineStr">
        <is>
          <t>Marsellies Statue</t>
        </is>
      </c>
      <c r="B407" s="425" t="inlineStr">
        <is>
          <t>Blue</t>
        </is>
      </c>
      <c r="C407" s="425" t="inlineStr">
        <is>
          <t>ART</t>
        </is>
      </c>
      <c r="D407" s="371" t="n">
        <v>46</v>
      </c>
      <c r="E407" s="425" t="n"/>
      <c r="F407" s="425" t="n"/>
      <c r="G407" s="425" t="n"/>
      <c r="H407" s="425" t="n"/>
      <c r="I407" s="425" t="n"/>
      <c r="J407" s="371">
        <f>D407+I407</f>
        <v/>
      </c>
      <c r="K407" s="371" t="n"/>
      <c r="L407" s="418" t="inlineStr">
        <is>
          <t>Lottery Machine #1 (0.03%), Wishing (1.2%), Hellas Treasure Map (%)</t>
        </is>
      </c>
    </row>
    <row r="408">
      <c r="A408" s="434" t="inlineStr">
        <is>
          <t>Blood of Cain</t>
        </is>
      </c>
      <c r="B408" s="425" t="inlineStr">
        <is>
          <t>SSS</t>
        </is>
      </c>
      <c r="C408" s="425" t="inlineStr">
        <is>
          <t>FTH</t>
        </is>
      </c>
      <c r="D408" s="371" t="n">
        <v>109</v>
      </c>
      <c r="E408" s="371" t="n">
        <v>362</v>
      </c>
      <c r="F408" s="425" t="n"/>
      <c r="G408" s="425" t="n"/>
      <c r="H408" s="425" t="n"/>
      <c r="I408" s="425" t="n">
        <v>15</v>
      </c>
      <c r="J408" s="371">
        <f>D408+I408</f>
        <v/>
      </c>
      <c r="K408" s="371">
        <f>E408+I408</f>
        <v/>
      </c>
      <c r="L408" s="418" t="inlineStr">
        <is>
          <t>Apocalypse Hall (Demon God Cabin) Reward</t>
        </is>
      </c>
    </row>
    <row r="409">
      <c r="A409" s="434" t="inlineStr">
        <is>
          <t>Wheel of Fortune</t>
        </is>
      </c>
      <c r="B409" s="425" t="inlineStr">
        <is>
          <t>SSS</t>
        </is>
      </c>
      <c r="C409" s="425" t="inlineStr">
        <is>
          <t>FTH</t>
        </is>
      </c>
      <c r="D409" s="371" t="n">
        <v>107</v>
      </c>
      <c r="E409" s="371" t="n">
        <v>362</v>
      </c>
      <c r="F409" s="425" t="n"/>
      <c r="G409" s="425" t="n"/>
      <c r="H409" s="425" t="n"/>
      <c r="I409" s="425" t="n">
        <v>15</v>
      </c>
      <c r="J409" s="371">
        <f>D409+I409</f>
        <v/>
      </c>
      <c r="K409" s="371">
        <f>E409+I409</f>
        <v/>
      </c>
      <c r="L409" s="386" t="inlineStr">
        <is>
          <t>Daily Pack Relic #5</t>
        </is>
      </c>
    </row>
    <row r="410">
      <c r="A410" s="434" t="inlineStr">
        <is>
          <t>Royal Celtic Harp</t>
        </is>
      </c>
      <c r="B410" s="425" t="inlineStr">
        <is>
          <t>SSS</t>
        </is>
      </c>
      <c r="C410" s="425" t="inlineStr">
        <is>
          <t>FTH</t>
        </is>
      </c>
      <c r="D410" s="371" t="n">
        <v>109</v>
      </c>
      <c r="E410" s="425" t="n">
        <v>362</v>
      </c>
      <c r="F410" s="425" t="n"/>
      <c r="G410" s="425" t="n"/>
      <c r="H410" s="425" t="n"/>
      <c r="I410" s="425" t="n"/>
      <c r="J410" s="371">
        <f>D410+I410</f>
        <v/>
      </c>
      <c r="K410" s="371">
        <f>E410+I410</f>
        <v/>
      </c>
      <c r="L410" s="386" t="inlineStr">
        <is>
          <t>Lottery Machine #1 (0.09%), Wishing (0.06%), Grandmaster Scrolls (0.76%)</t>
        </is>
      </c>
    </row>
    <row r="411">
      <c r="A411" s="434" t="inlineStr">
        <is>
          <t>Golden Chariot</t>
        </is>
      </c>
      <c r="B411" s="425" t="inlineStr">
        <is>
          <t>SS</t>
        </is>
      </c>
      <c r="C411" s="425" t="inlineStr">
        <is>
          <t>FTH</t>
        </is>
      </c>
      <c r="D411" s="371" t="n">
        <v>103</v>
      </c>
      <c r="E411" s="371" t="n">
        <v>347</v>
      </c>
      <c r="F411" s="425" t="n"/>
      <c r="G411" s="425" t="n"/>
      <c r="H411" s="425" t="n"/>
      <c r="I411" s="425" t="n"/>
      <c r="J411" s="371">
        <f>D411+I411</f>
        <v/>
      </c>
      <c r="K411" s="371">
        <f>E411+I411</f>
        <v/>
      </c>
      <c r="L411" s="386" t="inlineStr">
        <is>
          <t>Fragment Crafting (3.3%), Lottery Machine #1 (0.18%), Wishing (0.12%), Hellas Treasure Maps (%), Grandmaster Scrolls (1.5%)</t>
        </is>
      </c>
    </row>
    <row r="412">
      <c r="A412" s="434" t="inlineStr">
        <is>
          <t>Lamassu Statue</t>
        </is>
      </c>
      <c r="B412" s="425" t="inlineStr">
        <is>
          <t>S</t>
        </is>
      </c>
      <c r="C412" s="425" t="inlineStr">
        <is>
          <t>FTH</t>
        </is>
      </c>
      <c r="D412" s="371" t="n">
        <v>97</v>
      </c>
      <c r="E412" s="425">
        <f>57+67+97+49+62</f>
        <v/>
      </c>
      <c r="F412" s="425" t="n"/>
      <c r="G412" s="425" t="n"/>
      <c r="H412" s="425" t="n"/>
      <c r="I412" s="425" t="n"/>
      <c r="J412" s="371">
        <f>D412+I412</f>
        <v/>
      </c>
      <c r="K412" s="371">
        <f>E412+I412</f>
        <v/>
      </c>
      <c r="L412" s="386" t="inlineStr">
        <is>
          <t>Lottery Machine #2 (1.59%), Indigent Nobleman (570k B-tads)</t>
        </is>
      </c>
    </row>
    <row r="413">
      <c r="A413" s="434" t="inlineStr">
        <is>
          <t>Azoth</t>
        </is>
      </c>
      <c r="B413" s="425" t="inlineStr">
        <is>
          <t>AAA</t>
        </is>
      </c>
      <c r="C413" s="425" t="inlineStr">
        <is>
          <t>FTH</t>
        </is>
      </c>
      <c r="D413" s="371" t="n">
        <v>73</v>
      </c>
      <c r="E413" s="425" t="n"/>
      <c r="F413" s="425" t="n"/>
      <c r="G413" s="425" t="n"/>
      <c r="H413" s="425" t="n"/>
      <c r="I413" s="425" t="n">
        <v>10</v>
      </c>
      <c r="J413" s="371">
        <f>D413+I413</f>
        <v/>
      </c>
      <c r="K413" s="371" t="n"/>
      <c r="L413" s="386" t="inlineStr">
        <is>
          <t>Domain Exploration Reward</t>
        </is>
      </c>
    </row>
    <row r="414">
      <c r="A414" s="434" t="inlineStr">
        <is>
          <t>Zoroaster's Torch</t>
        </is>
      </c>
      <c r="B414" s="425" t="inlineStr">
        <is>
          <t>AA</t>
        </is>
      </c>
      <c r="C414" s="425" t="inlineStr">
        <is>
          <t>FTH</t>
        </is>
      </c>
      <c r="D414" s="371" t="n">
        <v>70</v>
      </c>
      <c r="E414" s="425" t="n"/>
      <c r="F414" s="425" t="n"/>
      <c r="G414" s="425" t="n"/>
      <c r="H414" s="425" t="n"/>
      <c r="I414" s="425" t="n">
        <v>10</v>
      </c>
      <c r="J414" s="371">
        <f>D414+I414</f>
        <v/>
      </c>
      <c r="K414" s="371" t="n"/>
      <c r="L414" s="386" t="inlineStr">
        <is>
          <t>Fragment Crafting (3.8%), Lottery Machine #1 (0.08%), Wishing (0.35%), Hellas Treasure Maps (%), Expert Scrolls (0.95%)</t>
        </is>
      </c>
    </row>
    <row r="415">
      <c r="A415" s="434" t="inlineStr">
        <is>
          <t>Bowl of Hygieia</t>
        </is>
      </c>
      <c r="B415" s="425" t="inlineStr">
        <is>
          <t>A</t>
        </is>
      </c>
      <c r="C415" s="425" t="inlineStr">
        <is>
          <t>FTH</t>
        </is>
      </c>
      <c r="D415" s="371" t="n">
        <v>65</v>
      </c>
      <c r="E415" s="425" t="n"/>
      <c r="F415" s="425" t="n"/>
      <c r="G415" s="425" t="n"/>
      <c r="H415" s="425" t="n"/>
      <c r="I415" s="425" t="n"/>
      <c r="J415" s="371">
        <f>D415+I415</f>
        <v/>
      </c>
      <c r="K415" s="371" t="n"/>
      <c r="L415" s="386" t="inlineStr">
        <is>
          <t>Lottery Machine #2 (0.55%)</t>
        </is>
      </c>
    </row>
    <row r="416">
      <c r="A416" s="434" t="inlineStr">
        <is>
          <t>Tetrabiblos</t>
        </is>
      </c>
      <c r="B416" s="425" t="inlineStr">
        <is>
          <t>Blue</t>
        </is>
      </c>
      <c r="C416" s="425" t="inlineStr">
        <is>
          <t>FTH</t>
        </is>
      </c>
      <c r="D416" s="371" t="n">
        <v>48</v>
      </c>
      <c r="E416" s="425" t="n"/>
      <c r="F416" s="425" t="n"/>
      <c r="G416" s="425" t="n"/>
      <c r="H416" s="425" t="n"/>
      <c r="I416" s="425" t="n"/>
      <c r="J416" s="371">
        <f>D416+I416</f>
        <v/>
      </c>
      <c r="K416" s="371" t="n"/>
      <c r="L416" s="386" t="inlineStr">
        <is>
          <t>Lottery Machine #1 (0.03%), Wishing (0.85%), Nebula Chest (2%)</t>
        </is>
      </c>
    </row>
    <row r="417">
      <c r="A417" s="434" t="inlineStr">
        <is>
          <t>Eye of Medusa</t>
        </is>
      </c>
      <c r="B417" s="425" t="inlineStr">
        <is>
          <t>Blue</t>
        </is>
      </c>
      <c r="C417" s="425" t="inlineStr">
        <is>
          <t>FTH</t>
        </is>
      </c>
      <c r="D417" s="371" t="n">
        <v>48</v>
      </c>
      <c r="E417" s="425" t="n"/>
      <c r="F417" s="425" t="n"/>
      <c r="G417" s="425" t="n"/>
      <c r="H417" s="425" t="n"/>
      <c r="I417" s="425" t="n"/>
      <c r="J417" s="371">
        <f>D417+I417</f>
        <v/>
      </c>
      <c r="K417" s="371" t="n"/>
      <c r="L417" s="386" t="inlineStr">
        <is>
          <t>Defeat Medusa, Mutant Gene Research T2</t>
        </is>
      </c>
    </row>
    <row r="418">
      <c r="A418" s="434" t="inlineStr">
        <is>
          <t>Golden Fleece</t>
        </is>
      </c>
      <c r="B418" s="425" t="inlineStr">
        <is>
          <t>Blue</t>
        </is>
      </c>
      <c r="C418" s="425" t="inlineStr">
        <is>
          <t>FTH</t>
        </is>
      </c>
      <c r="D418" s="371" t="n">
        <v>47</v>
      </c>
      <c r="E418" s="371" t="n"/>
      <c r="F418" s="371" t="n"/>
      <c r="G418" s="425" t="n"/>
      <c r="H418" s="425" t="n"/>
      <c r="I418" s="425" t="n"/>
      <c r="J418" s="371">
        <f>D418+I418</f>
        <v/>
      </c>
      <c r="K418" s="371" t="n"/>
      <c r="L418" s="386" t="inlineStr">
        <is>
          <t>Lottery Machine #1 (0.03%), Wishing (0.85%)</t>
        </is>
      </c>
    </row>
    <row r="419">
      <c r="A419" s="434" t="inlineStr">
        <is>
          <t>Aesop's Fables</t>
        </is>
      </c>
      <c r="B419" s="425" t="inlineStr">
        <is>
          <t>SSS</t>
        </is>
      </c>
      <c r="C419" s="425" t="inlineStr">
        <is>
          <t>CIV</t>
        </is>
      </c>
      <c r="D419" s="371" t="n">
        <v>107</v>
      </c>
      <c r="E419" s="371">
        <f>76+60+70+107+49</f>
        <v/>
      </c>
      <c r="F419" s="371" t="n"/>
      <c r="G419" s="425" t="n"/>
      <c r="H419" s="425" t="n"/>
      <c r="I419" s="425" t="n">
        <v>15</v>
      </c>
      <c r="J419" s="371">
        <f>D419+I419</f>
        <v/>
      </c>
      <c r="K419" s="371">
        <f>E419+I419</f>
        <v/>
      </c>
      <c r="L419" s="386" t="inlineStr">
        <is>
          <t>Lottery Machine #2 (0.12%), Indigent Nobelman (810k B-tads)</t>
        </is>
      </c>
    </row>
    <row r="420">
      <c r="A420" s="434" t="inlineStr">
        <is>
          <t>Iliad &amp; Odyssey</t>
        </is>
      </c>
      <c r="B420" s="425" t="inlineStr">
        <is>
          <t>SSS</t>
        </is>
      </c>
      <c r="C420" s="425" t="inlineStr">
        <is>
          <t>CIV</t>
        </is>
      </c>
      <c r="D420" s="371" t="n">
        <v>108</v>
      </c>
      <c r="E420" s="371">
        <f>68+60+68+108+58</f>
        <v/>
      </c>
      <c r="F420" s="371" t="n">
        <v>30</v>
      </c>
      <c r="G420" s="425" t="n"/>
      <c r="H420" s="371" t="n"/>
      <c r="I420" s="371" t="n"/>
      <c r="J420" s="371">
        <f>D420+I420</f>
        <v/>
      </c>
      <c r="K420" s="371">
        <f>E420+I420</f>
        <v/>
      </c>
      <c r="L420" s="386" t="inlineStr">
        <is>
          <t>Daily Pack Relic #6</t>
        </is>
      </c>
    </row>
    <row r="421">
      <c r="A421" s="434" t="inlineStr">
        <is>
          <t>Kepler Telescope</t>
        </is>
      </c>
      <c r="B421" s="425" t="inlineStr">
        <is>
          <t>SSS</t>
        </is>
      </c>
      <c r="C421" s="425" t="inlineStr">
        <is>
          <t>TECH</t>
        </is>
      </c>
      <c r="D421" s="371" t="n">
        <v>109</v>
      </c>
      <c r="E421" s="371" t="n">
        <v>362</v>
      </c>
      <c r="F421" s="425" t="n"/>
      <c r="G421" s="425" t="n"/>
      <c r="H421" s="425" t="n"/>
      <c r="I421" s="425" t="n">
        <v>15</v>
      </c>
      <c r="J421" s="371">
        <f>D421+I421</f>
        <v/>
      </c>
      <c r="K421" s="371">
        <f>E421+I421</f>
        <v/>
      </c>
      <c r="L421" s="386" t="inlineStr">
        <is>
          <t>Weekly Special Reward Relic #1</t>
        </is>
      </c>
    </row>
    <row r="422">
      <c r="A422" s="434" t="inlineStr">
        <is>
          <t>Libra</t>
        </is>
      </c>
      <c r="B422" s="425" t="inlineStr">
        <is>
          <t>SSS</t>
        </is>
      </c>
      <c r="C422" s="425" t="inlineStr">
        <is>
          <t>TECH</t>
        </is>
      </c>
      <c r="D422" s="371" t="n">
        <v>110</v>
      </c>
      <c r="E422" s="371" t="n">
        <v>362</v>
      </c>
      <c r="F422" s="425" t="n"/>
      <c r="G422" s="425" t="n"/>
      <c r="H422" s="425" t="n"/>
      <c r="I422" s="425" t="n"/>
      <c r="J422" s="371">
        <f>D422+I422</f>
        <v/>
      </c>
      <c r="K422" s="371">
        <f>E422+I422</f>
        <v/>
      </c>
      <c r="L422" s="418" t="inlineStr">
        <is>
          <t>Supreme Relic</t>
        </is>
      </c>
    </row>
    <row r="423">
      <c r="A423" s="434" t="inlineStr">
        <is>
          <t>Edison's Phonograph</t>
        </is>
      </c>
      <c r="B423" s="425" t="inlineStr">
        <is>
          <t>AAA</t>
        </is>
      </c>
      <c r="C423" s="425" t="inlineStr">
        <is>
          <t>TECH</t>
        </is>
      </c>
      <c r="D423" s="371" t="n">
        <v>75</v>
      </c>
      <c r="E423" s="425" t="n"/>
      <c r="F423" s="425" t="n"/>
      <c r="G423" s="425" t="n"/>
      <c r="H423" s="425" t="n"/>
      <c r="I423" s="425" t="n">
        <v>10</v>
      </c>
      <c r="J423" s="371">
        <f>D423+I423</f>
        <v/>
      </c>
      <c r="K423" s="371" t="n"/>
      <c r="L423" s="418" t="inlineStr">
        <is>
          <t>Fragment Crafting (1.6%), Lottery Machine #1 (0.03%), Wishing (0.14%), Relic Forge (80 Relic RF)</t>
        </is>
      </c>
    </row>
    <row r="424">
      <c r="A424" s="434" t="inlineStr">
        <is>
          <t>Euclid's Elements</t>
        </is>
      </c>
      <c r="B424" s="425" t="inlineStr">
        <is>
          <t>Blue</t>
        </is>
      </c>
      <c r="C424" s="425" t="inlineStr">
        <is>
          <t>TECH</t>
        </is>
      </c>
      <c r="D424" s="371" t="n">
        <v>45</v>
      </c>
      <c r="E424" s="425" t="n"/>
      <c r="F424" s="425" t="n"/>
      <c r="G424" s="425" t="n"/>
      <c r="H424" s="425" t="n"/>
      <c r="I424" s="425" t="n"/>
      <c r="J424" s="371">
        <f>D424+I424</f>
        <v/>
      </c>
      <c r="K424" s="371" t="n"/>
      <c r="L424" s="418" t="inlineStr">
        <is>
          <t>Lottery Machine #1 (0.03%), Wishing (1.1%), Hellenic Treasure Map (%)</t>
        </is>
      </c>
    </row>
    <row r="425">
      <c r="A425" s="362" t="inlineStr">
        <is>
          <t>Kilogram Prototype</t>
        </is>
      </c>
      <c r="B425" s="411" t="inlineStr">
        <is>
          <t>Blue</t>
        </is>
      </c>
      <c r="C425" s="411" t="inlineStr">
        <is>
          <t>TECH</t>
        </is>
      </c>
      <c r="D425" s="364" t="n">
        <v>44</v>
      </c>
      <c r="E425" s="411" t="n"/>
      <c r="F425" s="411" t="n"/>
      <c r="G425" s="411" t="n"/>
      <c r="H425" s="411" t="n"/>
      <c r="I425" s="411" t="n"/>
      <c r="J425" s="364">
        <f>D425+I425</f>
        <v/>
      </c>
      <c r="K425" s="364" t="n"/>
      <c r="L425" s="426" t="inlineStr">
        <is>
          <t>Lottery Machine #1 (0.03%), Wishing (1.1%), Fungus Chest (2%)</t>
        </is>
      </c>
    </row>
    <row r="426"/>
    <row r="427"/>
    <row r="428"/>
    <row r="429"/>
    <row r="430">
      <c r="A430" s="344" t="inlineStr">
        <is>
          <t>MUSEUM LAYOUT</t>
        </is>
      </c>
      <c r="B430" s="406" t="n"/>
      <c r="C430" s="406" t="inlineStr">
        <is>
          <t>Restriction</t>
        </is>
      </c>
      <c r="D430" s="406" t="inlineStr">
        <is>
          <t>Used</t>
        </is>
      </c>
      <c r="E430" s="406" t="inlineStr">
        <is>
          <t>Museum Score</t>
        </is>
      </c>
      <c r="F430" s="406" t="inlineStr">
        <is>
          <t>Medal Output</t>
        </is>
      </c>
      <c r="G430" s="406" t="inlineStr">
        <is>
          <t>Wish Coin Cost</t>
        </is>
      </c>
      <c r="H430" s="129" t="inlineStr">
        <is>
          <t>Btad Output</t>
        </is>
      </c>
      <c r="I430" s="425" t="n"/>
    </row>
    <row r="431">
      <c r="A431" s="126" t="n">
        <v>1</v>
      </c>
      <c r="B431" s="425" t="inlineStr">
        <is>
          <t>ALL</t>
        </is>
      </c>
      <c r="C431" s="425" t="n"/>
      <c r="D431" s="425">
        <f>A402</f>
        <v/>
      </c>
      <c r="E431" s="371">
        <f>K402</f>
        <v/>
      </c>
      <c r="F431" s="371" t="n"/>
      <c r="G431" s="425" t="n"/>
      <c r="H431" s="127" t="n"/>
      <c r="I431" s="371" t="n"/>
    </row>
    <row r="432">
      <c r="A432" s="126" t="n">
        <v>2</v>
      </c>
      <c r="B432" s="425" t="inlineStr">
        <is>
          <t>ART</t>
        </is>
      </c>
      <c r="C432" s="425">
        <f>A403</f>
        <v/>
      </c>
      <c r="D432" s="669">
        <f>A403</f>
        <v/>
      </c>
      <c r="E432" s="669">
        <f>J403</f>
        <v/>
      </c>
      <c r="F432" s="425">
        <f>F402</f>
        <v/>
      </c>
      <c r="G432" s="425" t="n"/>
      <c r="H432" s="418" t="n"/>
      <c r="I432" s="425" t="n"/>
    </row>
    <row r="433">
      <c r="A433" s="126" t="n">
        <v>3</v>
      </c>
      <c r="B433" s="425" t="inlineStr">
        <is>
          <t>FTH</t>
        </is>
      </c>
      <c r="C433" s="425">
        <f>A414</f>
        <v/>
      </c>
      <c r="D433" s="425">
        <f>A414</f>
        <v/>
      </c>
      <c r="E433" s="371">
        <f>J414</f>
        <v/>
      </c>
      <c r="F433" s="425" t="n"/>
      <c r="G433" s="425" t="n"/>
      <c r="H433" s="418" t="n"/>
      <c r="I433" s="425" t="n"/>
    </row>
    <row r="434">
      <c r="A434" s="126" t="n">
        <v>4</v>
      </c>
      <c r="B434" s="669" t="inlineStr">
        <is>
          <t>TECH</t>
        </is>
      </c>
      <c r="C434" s="425">
        <f>A424</f>
        <v/>
      </c>
      <c r="D434" s="425">
        <f>A424</f>
        <v/>
      </c>
      <c r="E434" s="371">
        <f>J424</f>
        <v/>
      </c>
      <c r="F434" s="425" t="n"/>
      <c r="G434" s="425" t="n"/>
      <c r="H434" s="418" t="n"/>
      <c r="I434" s="425" t="n"/>
      <c r="L434" s="425" t="n"/>
    </row>
    <row r="435">
      <c r="A435" s="126" t="n">
        <v>5</v>
      </c>
      <c r="B435" s="425" t="inlineStr">
        <is>
          <t>FAME</t>
        </is>
      </c>
      <c r="C435" s="669" t="n"/>
      <c r="D435" s="425">
        <f>A395</f>
        <v/>
      </c>
      <c r="E435" s="371">
        <f>J395</f>
        <v/>
      </c>
      <c r="F435" s="425" t="n"/>
      <c r="G435" s="425" t="n"/>
      <c r="H435" s="418" t="n"/>
      <c r="I435" s="425" t="n"/>
      <c r="J435" s="425" t="n"/>
      <c r="L435" s="425" t="n"/>
    </row>
    <row r="436">
      <c r="A436" s="126" t="n">
        <v>6</v>
      </c>
      <c r="B436" s="425" t="inlineStr">
        <is>
          <t>FAME</t>
        </is>
      </c>
      <c r="C436" s="425" t="n"/>
      <c r="D436" s="425">
        <f>A396</f>
        <v/>
      </c>
      <c r="E436" s="371">
        <f>J396</f>
        <v/>
      </c>
      <c r="F436" s="425" t="n"/>
      <c r="G436" s="425" t="n"/>
      <c r="H436" s="418" t="n"/>
      <c r="I436" s="425" t="n"/>
      <c r="J436" s="425" t="n"/>
      <c r="L436" s="425" t="n"/>
    </row>
    <row r="437">
      <c r="A437" s="126" t="n">
        <v>7</v>
      </c>
      <c r="B437" s="425" t="inlineStr">
        <is>
          <t>ART</t>
        </is>
      </c>
      <c r="C437" s="425" t="n"/>
      <c r="D437" s="425">
        <f>A399</f>
        <v/>
      </c>
      <c r="E437" s="371">
        <f>J399</f>
        <v/>
      </c>
      <c r="F437" s="425" t="n"/>
      <c r="G437" s="425" t="n"/>
      <c r="H437" s="418" t="n"/>
      <c r="I437" s="425" t="n"/>
      <c r="L437" s="425" t="n"/>
    </row>
    <row r="438">
      <c r="A438" s="126" t="n">
        <v>8</v>
      </c>
      <c r="B438" s="425" t="inlineStr">
        <is>
          <t>ART</t>
        </is>
      </c>
      <c r="C438" s="425" t="n"/>
      <c r="D438" s="425">
        <f>A400</f>
        <v/>
      </c>
      <c r="E438" s="371">
        <f>J400</f>
        <v/>
      </c>
      <c r="F438" s="669" t="n"/>
      <c r="G438" s="669" t="n"/>
      <c r="H438" s="1095" t="n"/>
      <c r="I438" s="425" t="n"/>
      <c r="J438" s="425" t="n"/>
      <c r="L438" s="425" t="n"/>
    </row>
    <row r="439">
      <c r="A439" s="126" t="n">
        <v>9</v>
      </c>
      <c r="B439" s="425" t="inlineStr">
        <is>
          <t>ART</t>
        </is>
      </c>
      <c r="C439" s="669" t="n"/>
      <c r="D439" s="669">
        <f>A401</f>
        <v/>
      </c>
      <c r="E439" s="669">
        <f>J401</f>
        <v/>
      </c>
      <c r="F439" s="425" t="n"/>
      <c r="G439" s="425" t="n"/>
      <c r="H439" s="418" t="n"/>
      <c r="I439" s="425" t="n"/>
      <c r="J439" s="425" t="n"/>
      <c r="L439" s="425" t="n"/>
    </row>
    <row r="440">
      <c r="A440" s="126" t="n">
        <v>10</v>
      </c>
      <c r="B440" s="425" t="inlineStr">
        <is>
          <t>FTH</t>
        </is>
      </c>
      <c r="C440" s="425" t="n"/>
      <c r="D440" s="425">
        <f>A408</f>
        <v/>
      </c>
      <c r="E440" s="371">
        <f>J408</f>
        <v/>
      </c>
      <c r="F440" s="425" t="n"/>
      <c r="G440" s="425" t="n"/>
      <c r="H440" s="418" t="n"/>
      <c r="I440" s="425" t="n"/>
      <c r="J440" s="425" t="n"/>
      <c r="L440" s="425" t="n"/>
    </row>
    <row r="441">
      <c r="A441" s="126" t="n">
        <v>11</v>
      </c>
      <c r="B441" s="425" t="inlineStr">
        <is>
          <t>FTH</t>
        </is>
      </c>
      <c r="C441" s="425" t="n"/>
      <c r="D441" s="425">
        <f>A409</f>
        <v/>
      </c>
      <c r="E441" s="371">
        <f>J409</f>
        <v/>
      </c>
      <c r="F441" s="669" t="n"/>
      <c r="G441" s="669" t="n"/>
      <c r="H441" s="1095" t="n"/>
      <c r="I441" s="425" t="n"/>
      <c r="J441" s="425" t="n"/>
      <c r="L441" s="425" t="n"/>
    </row>
    <row r="442">
      <c r="A442" s="126" t="n">
        <v>12</v>
      </c>
      <c r="B442" s="425" t="inlineStr">
        <is>
          <t>FTH</t>
        </is>
      </c>
      <c r="C442" s="425" t="n"/>
      <c r="D442" s="669">
        <f>A410</f>
        <v/>
      </c>
      <c r="E442" s="669">
        <f>J410</f>
        <v/>
      </c>
      <c r="F442" s="669" t="n"/>
      <c r="G442" s="425" t="n"/>
      <c r="H442" s="418" t="n"/>
      <c r="I442" s="425" t="n"/>
      <c r="J442" s="425" t="n"/>
      <c r="L442" s="425" t="n"/>
    </row>
    <row r="443">
      <c r="A443" s="126" t="n">
        <v>13</v>
      </c>
      <c r="B443" s="425" t="inlineStr">
        <is>
          <t>CIV</t>
        </is>
      </c>
      <c r="C443" s="425" t="n"/>
      <c r="D443" s="425">
        <f>A419</f>
        <v/>
      </c>
      <c r="E443" s="371">
        <f>J419</f>
        <v/>
      </c>
      <c r="F443" s="425" t="n"/>
      <c r="G443" s="425" t="n"/>
      <c r="H443" s="418" t="n"/>
      <c r="I443" s="425" t="n"/>
      <c r="J443" s="425" t="n"/>
      <c r="L443" s="425" t="n"/>
    </row>
    <row r="444">
      <c r="A444" s="126" t="n">
        <v>14</v>
      </c>
      <c r="B444" s="425" t="inlineStr">
        <is>
          <t>CIV</t>
        </is>
      </c>
      <c r="C444" s="425" t="n"/>
      <c r="D444" s="425">
        <f>A420</f>
        <v/>
      </c>
      <c r="E444" s="371">
        <f>J420</f>
        <v/>
      </c>
      <c r="F444" s="371">
        <f>F420</f>
        <v/>
      </c>
      <c r="G444" s="425" t="n"/>
      <c r="H444" s="418" t="n"/>
      <c r="I444" s="425" t="n"/>
      <c r="J444" s="425" t="n"/>
      <c r="L444" s="425" t="n"/>
    </row>
    <row r="445">
      <c r="A445" s="126" t="n">
        <v>15</v>
      </c>
      <c r="B445" s="425" t="inlineStr">
        <is>
          <t>TECH</t>
        </is>
      </c>
      <c r="C445" s="425" t="n"/>
      <c r="D445" s="425">
        <f>A421</f>
        <v/>
      </c>
      <c r="E445" s="371">
        <f>J421</f>
        <v/>
      </c>
      <c r="F445" s="425" t="n"/>
      <c r="G445" s="425" t="n"/>
      <c r="H445" s="418">
        <f>H419</f>
        <v/>
      </c>
      <c r="I445" s="425" t="n"/>
      <c r="J445" s="425" t="n"/>
      <c r="L445" s="425" t="n"/>
    </row>
    <row r="446">
      <c r="A446" s="126" t="n">
        <v>16</v>
      </c>
      <c r="B446" s="425" t="inlineStr">
        <is>
          <t>TECH</t>
        </is>
      </c>
      <c r="C446" s="425" t="n"/>
      <c r="D446" s="141">
        <f>A422</f>
        <v/>
      </c>
      <c r="E446" s="371">
        <f>J422</f>
        <v/>
      </c>
      <c r="F446" s="425" t="n"/>
      <c r="G446" s="425" t="n"/>
      <c r="H446" s="418" t="n"/>
      <c r="I446" s="425" t="n"/>
      <c r="J446" s="425" t="n"/>
      <c r="L446" s="425" t="n"/>
    </row>
    <row r="447">
      <c r="A447" s="362" t="n"/>
      <c r="B447" s="1093" t="n"/>
      <c r="C447" s="411" t="n"/>
      <c r="D447" s="411" t="inlineStr">
        <is>
          <t>TOTAL</t>
        </is>
      </c>
      <c r="E447" s="364">
        <f>SUM(E431:E446)</f>
        <v/>
      </c>
      <c r="F447" s="364">
        <f>SUM(F431:F446)</f>
        <v/>
      </c>
      <c r="G447" s="364">
        <f>SUM(G431:G446)</f>
        <v/>
      </c>
      <c r="H447" s="115">
        <f>SUM(H431:H446)</f>
        <v/>
      </c>
      <c r="I447" s="371" t="n"/>
      <c r="J447" s="425" t="n"/>
      <c r="K447" s="425" t="n"/>
      <c r="L447" s="425" t="n"/>
    </row>
    <row r="448"/>
    <row r="449"/>
    <row r="450"/>
    <row r="451">
      <c r="A451" s="344" t="n"/>
      <c r="B451" s="406" t="n"/>
      <c r="C451" s="406" t="n"/>
      <c r="D451" s="406" t="inlineStr">
        <is>
          <t>Main AFFCT</t>
        </is>
      </c>
      <c r="E451" s="406" t="inlineStr">
        <is>
          <t>Total AFFCT</t>
        </is>
      </c>
      <c r="F451" s="406" t="inlineStr">
        <is>
          <t>Medal Output</t>
        </is>
      </c>
      <c r="G451" s="406" t="inlineStr">
        <is>
          <t>Wish Coin Cost</t>
        </is>
      </c>
      <c r="H451" s="406" t="inlineStr">
        <is>
          <t>Btad Output</t>
        </is>
      </c>
      <c r="I451" s="406" t="inlineStr">
        <is>
          <t>AFFCT Boost</t>
        </is>
      </c>
      <c r="J451" s="406" t="inlineStr">
        <is>
          <t>Effective AFFCT</t>
        </is>
      </c>
      <c r="K451" s="406" t="inlineStr">
        <is>
          <t>Total Effective AFFCT</t>
        </is>
      </c>
      <c r="L451" s="129" t="n"/>
    </row>
    <row r="452">
      <c r="A452" s="357" t="inlineStr">
        <is>
          <t>BHARATA</t>
        </is>
      </c>
      <c r="B452" s="425" t="n"/>
      <c r="C452" s="425" t="n"/>
      <c r="D452" s="425" t="n"/>
      <c r="E452" s="425" t="n"/>
      <c r="F452" s="425" t="n"/>
      <c r="G452" s="425" t="n"/>
      <c r="H452" s="425" t="n"/>
      <c r="I452" s="425" t="n"/>
      <c r="J452" s="425" t="n"/>
      <c r="K452" s="425" t="n"/>
      <c r="L452" s="418" t="n"/>
    </row>
    <row r="453">
      <c r="A453" s="434" t="inlineStr">
        <is>
          <t>INDIVIDUAL RELICS</t>
        </is>
      </c>
      <c r="B453" s="425" t="n"/>
      <c r="C453" s="425" t="n"/>
      <c r="D453" s="425" t="n"/>
      <c r="E453" s="425" t="n"/>
      <c r="F453" s="425" t="n"/>
      <c r="G453" s="425" t="n"/>
      <c r="H453" s="425" t="n"/>
      <c r="I453" s="425" t="n"/>
      <c r="J453" s="425" t="n"/>
      <c r="K453" s="425" t="n"/>
      <c r="L453" s="418" t="n"/>
    </row>
    <row r="454">
      <c r="A454" s="434" t="inlineStr">
        <is>
          <t>Cytopathology</t>
        </is>
      </c>
      <c r="B454" s="425" t="inlineStr">
        <is>
          <t>SSS</t>
        </is>
      </c>
      <c r="C454" s="425" t="inlineStr">
        <is>
          <t>FAME</t>
        </is>
      </c>
      <c r="D454" s="371" t="n">
        <v>106</v>
      </c>
      <c r="E454" s="371" t="n">
        <v>362</v>
      </c>
      <c r="F454" s="425" t="n"/>
      <c r="G454" s="425" t="n"/>
      <c r="H454" s="425" t="n"/>
      <c r="I454" s="425" t="n">
        <v>15</v>
      </c>
      <c r="J454" s="371">
        <f>D454+I454</f>
        <v/>
      </c>
      <c r="K454" s="371">
        <f>E454+I454</f>
        <v/>
      </c>
      <c r="L454" s="386" t="inlineStr">
        <is>
          <t>Lottery Machine #2 (?%)</t>
        </is>
      </c>
    </row>
    <row r="455">
      <c r="A455" s="434" t="inlineStr">
        <is>
          <t>Golden Trophy</t>
        </is>
      </c>
      <c r="B455" s="425" t="inlineStr">
        <is>
          <t>SS</t>
        </is>
      </c>
      <c r="C455" s="425" t="inlineStr">
        <is>
          <t>FAME</t>
        </is>
      </c>
      <c r="D455" s="371" t="n">
        <v>109</v>
      </c>
      <c r="E455" s="371" t="n">
        <v>347</v>
      </c>
      <c r="F455" s="425" t="n"/>
      <c r="G455" s="425" t="n"/>
      <c r="H455" s="425" t="n"/>
      <c r="I455" s="425" t="n"/>
      <c r="J455" s="371">
        <f>D455+I455</f>
        <v/>
      </c>
      <c r="K455" s="371">
        <f>E455+I455</f>
        <v/>
      </c>
      <c r="L455" s="386" t="inlineStr">
        <is>
          <t>Lottery Machine #1 (0.12%), Wishing (0.11%), Grandmaster Scrolls (1%), Relic Forge (100 Relic RF)</t>
        </is>
      </c>
    </row>
    <row r="456">
      <c r="A456" s="434" t="inlineStr">
        <is>
          <t>SDI</t>
        </is>
      </c>
      <c r="B456" s="425" t="inlineStr">
        <is>
          <t>SS</t>
        </is>
      </c>
      <c r="C456" s="425" t="inlineStr">
        <is>
          <t>FAME</t>
        </is>
      </c>
      <c r="D456" s="371" t="n">
        <v>103</v>
      </c>
      <c r="E456" s="371" t="n">
        <v>347</v>
      </c>
      <c r="F456" s="425" t="n"/>
      <c r="G456" s="425" t="n"/>
      <c r="H456" s="425" t="n"/>
      <c r="I456" s="425" t="n"/>
      <c r="J456" s="371">
        <f>D456+I456</f>
        <v/>
      </c>
      <c r="K456" s="371">
        <f>E456+I456</f>
        <v/>
      </c>
      <c r="L456" s="386" t="inlineStr">
        <is>
          <t>Fragment Crafting (6.1%), Lottery Machine #1 (0.24%), Wishing (0.22%), Master Scrolls (1.9%), Grandmaster Scrolls (2.1%), FAME Master Scrolls (9.2%), Nebula Chest (1%), Super Species Chest (5.5%)</t>
        </is>
      </c>
    </row>
    <row r="457">
      <c r="A457" s="434" t="inlineStr">
        <is>
          <t>Spirit of Laws</t>
        </is>
      </c>
      <c r="B457" s="425" t="inlineStr">
        <is>
          <t>AA</t>
        </is>
      </c>
      <c r="C457" s="425" t="inlineStr">
        <is>
          <t>FAME</t>
        </is>
      </c>
      <c r="D457" s="371" t="n">
        <v>70</v>
      </c>
      <c r="E457" s="371" t="n"/>
      <c r="F457" s="425" t="n"/>
      <c r="G457" s="425" t="n"/>
      <c r="H457" s="425" t="n"/>
      <c r="I457" s="425" t="n">
        <v>10</v>
      </c>
      <c r="J457" s="371">
        <f>D457+I457</f>
        <v/>
      </c>
      <c r="K457" s="371">
        <f>E457+I457</f>
        <v/>
      </c>
      <c r="L457" s="386" t="inlineStr">
        <is>
          <t>Fragment Crafting (3.9%), Lottery Machine #1 (0.08%), Wishing (0.35%), Expert Scrolls (0.95%)</t>
        </is>
      </c>
    </row>
    <row r="458">
      <c r="A458" s="434" t="inlineStr">
        <is>
          <t>Mordan Bullet</t>
        </is>
      </c>
      <c r="B458" s="425" t="inlineStr">
        <is>
          <t>Blue</t>
        </is>
      </c>
      <c r="C458" s="425" t="inlineStr">
        <is>
          <t>FAME</t>
        </is>
      </c>
      <c r="D458" s="371" t="n">
        <v>44</v>
      </c>
      <c r="E458" s="371" t="n"/>
      <c r="F458" s="425" t="n"/>
      <c r="G458" s="425" t="n"/>
      <c r="H458" s="425" t="n"/>
      <c r="I458" s="425" t="n"/>
      <c r="J458" s="371">
        <f>D458+I458</f>
        <v/>
      </c>
      <c r="K458" s="371">
        <f>E458+I458</f>
        <v/>
      </c>
      <c r="L458" s="386" t="inlineStr">
        <is>
          <t>Lottery Machine #1 (0.07%), Wish (3.1%), Novice Scrolls (1%)</t>
        </is>
      </c>
    </row>
    <row r="459">
      <c r="A459" s="434" t="inlineStr">
        <is>
          <t>Bronze Shiva Statue</t>
        </is>
      </c>
      <c r="B459" s="425" t="inlineStr">
        <is>
          <t>SSS</t>
        </is>
      </c>
      <c r="C459" s="425" t="inlineStr">
        <is>
          <t>ART</t>
        </is>
      </c>
      <c r="D459" s="371" t="n">
        <v>109</v>
      </c>
      <c r="E459" s="425">
        <f>71+109+65+61+56</f>
        <v/>
      </c>
      <c r="F459" s="425" t="n">
        <v>30</v>
      </c>
      <c r="G459" s="425" t="n"/>
      <c r="H459" s="425" t="n"/>
      <c r="I459" s="425" t="n"/>
      <c r="J459" s="371">
        <f>D459+I459</f>
        <v/>
      </c>
      <c r="K459" s="371">
        <f>E459+I459</f>
        <v/>
      </c>
      <c r="L459" s="386" t="inlineStr">
        <is>
          <t>Silver Daily Pack Relic #3</t>
        </is>
      </c>
    </row>
    <row r="460">
      <c r="A460" s="434" t="inlineStr">
        <is>
          <t>GIlded Buddha</t>
        </is>
      </c>
      <c r="B460" s="425" t="inlineStr">
        <is>
          <t>SSS</t>
        </is>
      </c>
      <c r="C460" s="425" t="inlineStr">
        <is>
          <t>ART</t>
        </is>
      </c>
      <c r="D460" s="371" t="n">
        <v>108</v>
      </c>
      <c r="E460" s="425" t="n">
        <v>362</v>
      </c>
      <c r="F460" s="425" t="n"/>
      <c r="G460" s="425" t="n"/>
      <c r="H460" s="425" t="n"/>
      <c r="I460" s="425" t="n"/>
      <c r="J460" s="371">
        <f>D460+I460</f>
        <v/>
      </c>
      <c r="K460" s="371">
        <f>E460+I460</f>
        <v/>
      </c>
      <c r="L460" s="386" t="inlineStr">
        <is>
          <t>Wish Box, Lottery Machine No.1 (0.09%), Alchemy Furnace (0.06%), Grandmaster Scrolls (0.75%)</t>
        </is>
      </c>
    </row>
    <row r="461">
      <c r="A461" s="434" t="inlineStr">
        <is>
          <t>Head of Sargon</t>
        </is>
      </c>
      <c r="B461" s="425" t="inlineStr">
        <is>
          <t>S</t>
        </is>
      </c>
      <c r="C461" s="425" t="inlineStr">
        <is>
          <t>ART</t>
        </is>
      </c>
      <c r="D461" s="371" t="n">
        <v>96</v>
      </c>
      <c r="E461" s="425">
        <f>48+96+65+64+59</f>
        <v/>
      </c>
      <c r="F461" s="425" t="n"/>
      <c r="G461" s="425" t="n"/>
      <c r="H461" s="425" t="n"/>
      <c r="I461" s="425" t="n"/>
      <c r="J461" s="371">
        <f>D461+I461</f>
        <v/>
      </c>
      <c r="K461" s="371">
        <f>E461+I461</f>
        <v/>
      </c>
      <c r="L461" s="386" t="inlineStr">
        <is>
          <t>Lottery Machine #2 (1.59%)</t>
        </is>
      </c>
    </row>
    <row r="462">
      <c r="A462" s="434" t="inlineStr">
        <is>
          <t>Guernica</t>
        </is>
      </c>
      <c r="B462" s="425" t="inlineStr">
        <is>
          <t>AAA</t>
        </is>
      </c>
      <c r="C462" s="425" t="inlineStr">
        <is>
          <t>ART</t>
        </is>
      </c>
      <c r="D462" s="371" t="n">
        <v>71</v>
      </c>
      <c r="E462" s="425" t="n"/>
      <c r="F462" s="425" t="n"/>
      <c r="G462" s="425" t="n"/>
      <c r="H462" s="425" t="n"/>
      <c r="I462" s="425" t="n"/>
      <c r="J462" s="371">
        <f>D462+I462</f>
        <v/>
      </c>
      <c r="K462" s="371">
        <f>E462+I462</f>
        <v/>
      </c>
      <c r="L462" s="386" t="inlineStr">
        <is>
          <t>Fragment Crafting (1.6%), Lottery Machine #1 (0.03%), Wishing (0.14%), Bharata Treasure Maps (%), Relic Forge (Relic RF 80)</t>
        </is>
      </c>
    </row>
    <row r="463">
      <c r="A463" s="434" t="inlineStr">
        <is>
          <t>Peacock Clock</t>
        </is>
      </c>
      <c r="B463" s="425" t="inlineStr">
        <is>
          <t>Blue</t>
        </is>
      </c>
      <c r="C463" s="425" t="inlineStr">
        <is>
          <t>ART</t>
        </is>
      </c>
      <c r="D463" s="371" t="n">
        <v>44</v>
      </c>
      <c r="E463" s="425" t="n"/>
      <c r="F463" s="425" t="n"/>
      <c r="G463" s="425" t="n"/>
      <c r="H463" s="425" t="n"/>
      <c r="I463" s="425" t="n"/>
      <c r="J463" s="371">
        <f>D463+I463</f>
        <v/>
      </c>
      <c r="K463" s="371">
        <f>E463+I463</f>
        <v/>
      </c>
      <c r="L463" s="386" t="inlineStr">
        <is>
          <t>Lottery Machine #1 (0.03%), Wishing (1.2%), Bharata Treasure Maps (20%), Time Chest (2%)</t>
        </is>
      </c>
    </row>
    <row r="464">
      <c r="A464" s="434" t="inlineStr">
        <is>
          <t>Maya Slate</t>
        </is>
      </c>
      <c r="B464" s="425" t="inlineStr">
        <is>
          <t>SSS</t>
        </is>
      </c>
      <c r="C464" s="425" t="inlineStr">
        <is>
          <t>FTH</t>
        </is>
      </c>
      <c r="D464" s="371" t="n">
        <v>109</v>
      </c>
      <c r="E464" s="371" t="n">
        <v>362</v>
      </c>
      <c r="F464" s="425" t="n">
        <v>30</v>
      </c>
      <c r="G464" s="425" t="n"/>
      <c r="H464" s="425" t="n"/>
      <c r="I464" s="425" t="n"/>
      <c r="J464" s="371">
        <f>D464+I464</f>
        <v/>
      </c>
      <c r="K464" s="371">
        <f>E464+I464</f>
        <v/>
      </c>
      <c r="L464" s="386" t="inlineStr">
        <is>
          <t>Wish Box, Lottery Machine #1 (0.09%), Wishing (0.06%), Dragon Chest (0.1%), Grandmaster Scrolls (0.81%), Relic Forge (120 Relic RF)</t>
        </is>
      </c>
    </row>
    <row r="465">
      <c r="A465" s="434" t="inlineStr">
        <is>
          <t>Ashoka Tower</t>
        </is>
      </c>
      <c r="B465" s="425" t="inlineStr">
        <is>
          <t>SSS</t>
        </is>
      </c>
      <c r="C465" s="425" t="inlineStr">
        <is>
          <t>FTH</t>
        </is>
      </c>
      <c r="D465" s="371" t="n">
        <v>107</v>
      </c>
      <c r="E465" s="425" t="n">
        <v>362</v>
      </c>
      <c r="F465" s="425" t="n"/>
      <c r="G465" s="425" t="n"/>
      <c r="H465" s="425" t="n"/>
      <c r="I465" s="425" t="n"/>
      <c r="J465" s="371">
        <f>D465+I465</f>
        <v/>
      </c>
      <c r="K465" s="371">
        <f>E465+I465</f>
        <v/>
      </c>
      <c r="L465" s="386" t="inlineStr">
        <is>
          <t>Wish Box, Lottery Machine No.1 (0.09%), Alchemy Furnace (0.06%), Grandmaster Scrolls (0.75%)</t>
        </is>
      </c>
    </row>
    <row r="466">
      <c r="A466" s="434" t="inlineStr">
        <is>
          <t>Hera's Peacock Fan</t>
        </is>
      </c>
      <c r="B466" s="425" t="inlineStr">
        <is>
          <t>SSS</t>
        </is>
      </c>
      <c r="C466" s="425" t="inlineStr">
        <is>
          <t>FTH</t>
        </is>
      </c>
      <c r="D466" s="371" t="n">
        <v>106</v>
      </c>
      <c r="E466" s="425" t="n">
        <v>362</v>
      </c>
      <c r="F466" s="425" t="n"/>
      <c r="G466" s="425" t="n"/>
      <c r="H466" s="425" t="n"/>
      <c r="I466" s="425" t="n"/>
      <c r="J466" s="371">
        <f>D466+I466</f>
        <v/>
      </c>
      <c r="K466" s="371">
        <f>E466+I466</f>
        <v/>
      </c>
      <c r="L466" s="386" t="inlineStr">
        <is>
          <t>Wish Box, Lottery Machine #1 (0.09%), Wishing (0.06%), Grandmaster Scrolls (0.81%), Relic Forge (120 Relic RF)</t>
        </is>
      </c>
    </row>
    <row r="467">
      <c r="A467" s="434" t="inlineStr">
        <is>
          <t>Aladdin Lamp</t>
        </is>
      </c>
      <c r="B467" s="425" t="inlineStr">
        <is>
          <t>SS</t>
        </is>
      </c>
      <c r="C467" s="425" t="inlineStr">
        <is>
          <t>FTH</t>
        </is>
      </c>
      <c r="D467" s="371" t="n">
        <v>104</v>
      </c>
      <c r="E467" s="425" t="n">
        <v>347</v>
      </c>
      <c r="F467" s="425" t="n"/>
      <c r="G467" s="425" t="n"/>
      <c r="H467" s="425" t="n"/>
      <c r="I467" s="425" t="n"/>
      <c r="J467" s="371">
        <f>D467+I467</f>
        <v/>
      </c>
      <c r="K467" s="371">
        <f>E467+I467</f>
        <v/>
      </c>
      <c r="L467" s="386" t="inlineStr">
        <is>
          <t>Lottery Machine #1 (0.12%), Wishing (0.08%), Grandmaster Scrolls (1%), Relic Forge (100 Relic RF)</t>
        </is>
      </c>
    </row>
    <row r="468">
      <c r="A468" s="434" t="inlineStr">
        <is>
          <t>3-Faced Statue</t>
        </is>
      </c>
      <c r="B468" s="425" t="inlineStr">
        <is>
          <t>SS</t>
        </is>
      </c>
      <c r="C468" s="425" t="inlineStr">
        <is>
          <t>FTH</t>
        </is>
      </c>
      <c r="D468" s="371" t="n">
        <v>103</v>
      </c>
      <c r="E468" s="371" t="n">
        <v>347</v>
      </c>
      <c r="F468" s="425" t="n"/>
      <c r="G468" s="425" t="n"/>
      <c r="H468" s="425" t="n"/>
      <c r="I468" s="425" t="n"/>
      <c r="J468" s="371">
        <f>D468+I468</f>
        <v/>
      </c>
      <c r="K468" s="371">
        <f>E468+I468</f>
        <v/>
      </c>
      <c r="L468" s="386" t="inlineStr">
        <is>
          <t>Fragment Crafting (4.4%), Lottery Machine #1 (0.24%), Wishing (0.16%), Demon God Chest (5%), Master Scrolls (1.9%), Grandmaster Scrolls (2.1%), FTH Master Scrolls (9.2%)</t>
        </is>
      </c>
    </row>
    <row r="469">
      <c r="A469" s="434" t="inlineStr">
        <is>
          <t>Buddha Skull Sarira</t>
        </is>
      </c>
      <c r="B469" s="425" t="inlineStr">
        <is>
          <t>SS</t>
        </is>
      </c>
      <c r="C469" s="425" t="inlineStr">
        <is>
          <t>FTH</t>
        </is>
      </c>
      <c r="D469" s="371" t="n">
        <v>101</v>
      </c>
      <c r="E469" s="371" t="n">
        <v>347</v>
      </c>
      <c r="F469" s="425" t="n"/>
      <c r="G469" s="425" t="n"/>
      <c r="H469" s="425" t="n"/>
      <c r="I469" s="425" t="n"/>
      <c r="J469" s="371">
        <f>D469+I469</f>
        <v/>
      </c>
      <c r="K469" s="371">
        <f>E469+I469</f>
        <v/>
      </c>
      <c r="L469" s="386" t="inlineStr">
        <is>
          <t>Fragment Crafting (4.4%), Lottery Machine #1 (0.24%), Wishing (0.16%), Dragon Chest (5%), Master Scrolls(1.9%), Grandmaster Scrolls (2.1%), FTH Master Scrolls (9.2%)</t>
        </is>
      </c>
    </row>
    <row r="470">
      <c r="A470" s="434" t="inlineStr">
        <is>
          <t>Leaf Manuscript</t>
        </is>
      </c>
      <c r="B470" s="425" t="inlineStr">
        <is>
          <t>AAA</t>
        </is>
      </c>
      <c r="C470" s="425" t="inlineStr">
        <is>
          <t>FTH</t>
        </is>
      </c>
      <c r="D470" s="371" t="n">
        <v>75</v>
      </c>
      <c r="E470" s="425" t="n"/>
      <c r="F470" s="425" t="n"/>
      <c r="G470" s="425" t="n"/>
      <c r="H470" s="425" t="n"/>
      <c r="I470" s="425" t="n">
        <v>10</v>
      </c>
      <c r="J470" s="371">
        <f>D470+I470</f>
        <v/>
      </c>
      <c r="K470" s="371" t="n"/>
      <c r="L470" s="386" t="inlineStr">
        <is>
          <t>Fragment Crafting (1.5%), Lottery Machine #1 (0.03%), Wishing (0.14%), Bharata Treasure Maps (%), Relic Forge (80 Relic RF)</t>
        </is>
      </c>
    </row>
    <row r="471">
      <c r="A471" s="434" t="inlineStr">
        <is>
          <t>Cintamani</t>
        </is>
      </c>
      <c r="B471" s="425" t="inlineStr">
        <is>
          <t>AAA</t>
        </is>
      </c>
      <c r="C471" s="425" t="inlineStr">
        <is>
          <t>FTH</t>
        </is>
      </c>
      <c r="D471" s="371" t="n">
        <v>71</v>
      </c>
      <c r="E471" s="425" t="n"/>
      <c r="F471" s="425" t="n"/>
      <c r="G471" s="425" t="n"/>
      <c r="H471" s="425" t="n"/>
      <c r="I471" s="425" t="n">
        <v>10</v>
      </c>
      <c r="J471" s="371">
        <f>D471+I471</f>
        <v/>
      </c>
      <c r="K471" s="371" t="n"/>
      <c r="L471" s="386" t="inlineStr">
        <is>
          <t>Indigent Nobleman (210K B-tads)</t>
        </is>
      </c>
    </row>
    <row r="472">
      <c r="A472" s="434" t="inlineStr">
        <is>
          <t>Deity Quetzalcoatl</t>
        </is>
      </c>
      <c r="B472" s="425" t="inlineStr">
        <is>
          <t>AAA</t>
        </is>
      </c>
      <c r="C472" s="425" t="inlineStr">
        <is>
          <t>FTH</t>
        </is>
      </c>
      <c r="D472" s="371" t="n">
        <v>72</v>
      </c>
      <c r="E472" s="425" t="n"/>
      <c r="F472" s="425" t="n"/>
      <c r="G472" s="425" t="n"/>
      <c r="H472" s="425" t="n"/>
      <c r="I472" s="425" t="n"/>
      <c r="J472" s="371">
        <f>D472+I472</f>
        <v/>
      </c>
      <c r="K472" s="371" t="n"/>
      <c r="L472" s="386" t="inlineStr">
        <is>
          <t>Fragment Crafting (1.5%), Lottery Machine #1 (0.03%), Wishing (0.14%), Relic Forge (80 Relic RF)</t>
        </is>
      </c>
    </row>
    <row r="473">
      <c r="A473" s="434" t="inlineStr">
        <is>
          <t>Buddha Tooth Sarira</t>
        </is>
      </c>
      <c r="B473" s="425" t="inlineStr">
        <is>
          <t>Blue</t>
        </is>
      </c>
      <c r="C473" s="425" t="inlineStr">
        <is>
          <t>FTH</t>
        </is>
      </c>
      <c r="D473" s="371" t="n">
        <v>45</v>
      </c>
      <c r="E473" s="425" t="n"/>
      <c r="F473" s="425" t="n"/>
      <c r="G473" s="425" t="n"/>
      <c r="H473" s="425" t="n"/>
      <c r="I473" s="425" t="n"/>
      <c r="J473" s="371">
        <f>D473+I473</f>
        <v/>
      </c>
      <c r="K473" s="371" t="n"/>
      <c r="L473" s="386" t="inlineStr">
        <is>
          <t>Lottery Machine #1 (0.03%), Wishing (0.85%), Bharata Treasure Maps (%)</t>
        </is>
      </c>
    </row>
    <row r="474">
      <c r="A474" s="434" t="inlineStr">
        <is>
          <t>Ancient Block</t>
        </is>
      </c>
      <c r="B474" s="425" t="inlineStr">
        <is>
          <t>Blue</t>
        </is>
      </c>
      <c r="C474" s="425" t="inlineStr">
        <is>
          <t>FTH</t>
        </is>
      </c>
      <c r="D474" s="371" t="n">
        <v>46</v>
      </c>
      <c r="E474" s="371" t="n"/>
      <c r="F474" s="371" t="n"/>
      <c r="G474" s="425" t="n"/>
      <c r="H474" s="425" t="n"/>
      <c r="I474" s="425" t="n"/>
      <c r="J474" s="371">
        <f>D474+I474</f>
        <v/>
      </c>
      <c r="K474" s="371">
        <f>E474+I474</f>
        <v/>
      </c>
      <c r="L474" s="386" t="inlineStr">
        <is>
          <t>Lottery Machine #1 (0.07%), Wishing (2.1%), Soul Chest (2%), Novice Scrolls (1%)</t>
        </is>
      </c>
    </row>
    <row r="475">
      <c r="A475" s="434" t="inlineStr">
        <is>
          <t>Scorpio</t>
        </is>
      </c>
      <c r="B475" s="425" t="inlineStr">
        <is>
          <t>SSS</t>
        </is>
      </c>
      <c r="C475" s="425" t="inlineStr">
        <is>
          <t>CIV</t>
        </is>
      </c>
      <c r="D475" s="371" t="n">
        <v>110</v>
      </c>
      <c r="E475" s="371" t="n">
        <v>362</v>
      </c>
      <c r="F475" s="371" t="n"/>
      <c r="G475" s="425" t="n"/>
      <c r="H475" s="371" t="n"/>
      <c r="I475" s="371" t="n"/>
      <c r="J475" s="371">
        <f>D475+I475</f>
        <v/>
      </c>
      <c r="K475" s="371">
        <f>E475+I475</f>
        <v/>
      </c>
      <c r="L475" s="386" t="inlineStr">
        <is>
          <t>Supreme Relic</t>
        </is>
      </c>
    </row>
    <row r="476">
      <c r="A476" s="434" t="inlineStr">
        <is>
          <t>Shahnameh</t>
        </is>
      </c>
      <c r="B476" s="425" t="inlineStr">
        <is>
          <t>SSS</t>
        </is>
      </c>
      <c r="C476" s="425" t="inlineStr">
        <is>
          <t>CIV</t>
        </is>
      </c>
      <c r="D476" s="371" t="n">
        <v>108</v>
      </c>
      <c r="E476" s="371" t="n">
        <v>362</v>
      </c>
      <c r="F476" s="371" t="n"/>
      <c r="G476" s="425" t="n"/>
      <c r="H476" s="425" t="n"/>
      <c r="I476" s="425" t="n"/>
      <c r="J476" s="371">
        <f>D476+I476</f>
        <v/>
      </c>
      <c r="K476" s="371">
        <f>E476+I476</f>
        <v/>
      </c>
      <c r="L476" s="386" t="inlineStr">
        <is>
          <t>Lottery Machine #2 (0.12%)</t>
        </is>
      </c>
    </row>
    <row r="477">
      <c r="A477" s="434" t="inlineStr">
        <is>
          <t>Indus Seal</t>
        </is>
      </c>
      <c r="B477" s="425" t="inlineStr">
        <is>
          <t>AAA</t>
        </is>
      </c>
      <c r="C477" s="425" t="inlineStr">
        <is>
          <t>CIV</t>
        </is>
      </c>
      <c r="D477" s="371" t="n">
        <v>74</v>
      </c>
      <c r="E477" s="371" t="n"/>
      <c r="F477" s="425" t="n"/>
      <c r="G477" s="425" t="n"/>
      <c r="H477" s="425" t="n"/>
      <c r="I477" s="425" t="n">
        <v>10</v>
      </c>
      <c r="J477" s="371">
        <f>D477+I477</f>
        <v/>
      </c>
      <c r="K477" s="371" t="n"/>
      <c r="L477" s="386" t="inlineStr">
        <is>
          <t>Indigent Nobleman (210K B-tads)</t>
        </is>
      </c>
    </row>
    <row r="478">
      <c r="A478" s="434" t="inlineStr">
        <is>
          <t>Maya Codices</t>
        </is>
      </c>
      <c r="B478" s="425" t="inlineStr">
        <is>
          <t>AAA</t>
        </is>
      </c>
      <c r="C478" s="425" t="inlineStr">
        <is>
          <t>CIV</t>
        </is>
      </c>
      <c r="D478" s="371" t="n">
        <v>74</v>
      </c>
      <c r="E478" s="371" t="n"/>
      <c r="F478" s="425" t="n"/>
      <c r="G478" s="425" t="n"/>
      <c r="H478" s="425" t="n"/>
      <c r="I478" s="425" t="n"/>
      <c r="J478" s="371">
        <f>D478+I478</f>
        <v/>
      </c>
      <c r="K478" s="371" t="n"/>
      <c r="L478" s="386" t="inlineStr">
        <is>
          <t>Fragment Crafting (1.5%), Lottery Machine #1 (0.03%), Wishing (0.14%), Relic Forge (80 Relic RF)</t>
        </is>
      </c>
    </row>
    <row r="479">
      <c r="A479" s="434" t="inlineStr">
        <is>
          <t>Musketeer Mask</t>
        </is>
      </c>
      <c r="B479" s="425" t="inlineStr">
        <is>
          <t>Blue</t>
        </is>
      </c>
      <c r="C479" s="425" t="inlineStr">
        <is>
          <t>CIV</t>
        </is>
      </c>
      <c r="D479" s="371" t="n">
        <v>47</v>
      </c>
      <c r="E479" s="371" t="n"/>
      <c r="F479" s="425" t="n"/>
      <c r="G479" s="425" t="n"/>
      <c r="H479" s="425" t="n"/>
      <c r="I479" s="425" t="n"/>
      <c r="J479" s="371">
        <f>D479+I479</f>
        <v/>
      </c>
      <c r="K479" s="371" t="n"/>
      <c r="L479" s="386" t="inlineStr">
        <is>
          <t>Lottery Machine #1 (0.36%), Wishing (10.3%), Novice Scroll (5%)</t>
        </is>
      </c>
    </row>
    <row r="480">
      <c r="A480" s="434" t="inlineStr">
        <is>
          <t>No. 1 Majesty</t>
        </is>
      </c>
      <c r="B480" s="425" t="inlineStr">
        <is>
          <t>Blue</t>
        </is>
      </c>
      <c r="C480" s="425" t="inlineStr">
        <is>
          <t>CIV</t>
        </is>
      </c>
      <c r="D480" s="371" t="n">
        <v>47</v>
      </c>
      <c r="E480" s="371" t="n"/>
      <c r="F480" s="425" t="n"/>
      <c r="G480" s="425" t="n"/>
      <c r="H480" s="425" t="n"/>
      <c r="I480" s="425" t="n"/>
      <c r="J480" s="371">
        <f>D480+I480</f>
        <v/>
      </c>
      <c r="K480" s="371" t="n"/>
      <c r="L480" s="386" t="inlineStr">
        <is>
          <t>Lottery Machine #1 (0.03%), Wishing (0.82%)</t>
        </is>
      </c>
    </row>
    <row r="481">
      <c r="A481" s="434" t="inlineStr">
        <is>
          <t>Nautilus</t>
        </is>
      </c>
      <c r="B481" s="425" t="inlineStr">
        <is>
          <t>SSS</t>
        </is>
      </c>
      <c r="C481" s="425" t="inlineStr">
        <is>
          <t>TECH</t>
        </is>
      </c>
      <c r="D481" s="371" t="n">
        <v>107</v>
      </c>
      <c r="E481" s="371" t="n">
        <v>362</v>
      </c>
      <c r="F481" s="425" t="n"/>
      <c r="G481" s="425" t="n"/>
      <c r="H481" s="425" t="n"/>
      <c r="I481" s="425" t="n">
        <v>15</v>
      </c>
      <c r="J481" s="371">
        <f>D481+I481</f>
        <v/>
      </c>
      <c r="K481" s="371">
        <f>E481+I481</f>
        <v/>
      </c>
      <c r="L481" s="386" t="inlineStr">
        <is>
          <t>Daily Pack Relic #8</t>
        </is>
      </c>
    </row>
    <row r="482">
      <c r="A482" s="434" t="inlineStr">
        <is>
          <t>Matrix System</t>
        </is>
      </c>
      <c r="B482" s="425" t="inlineStr">
        <is>
          <t>SS</t>
        </is>
      </c>
      <c r="C482" s="425" t="inlineStr">
        <is>
          <t>TECH</t>
        </is>
      </c>
      <c r="D482" s="371" t="n">
        <v>102</v>
      </c>
      <c r="E482" s="425" t="n">
        <v>347</v>
      </c>
      <c r="F482" s="425" t="n"/>
      <c r="G482" s="425" t="n"/>
      <c r="H482" s="425" t="n"/>
      <c r="I482" s="425" t="n"/>
      <c r="J482" s="371">
        <f>D482+I482</f>
        <v/>
      </c>
      <c r="K482" s="371">
        <f>E482+I482</f>
        <v/>
      </c>
      <c r="L482" s="386" t="inlineStr">
        <is>
          <t>T7.5 Mecha Research</t>
        </is>
      </c>
    </row>
    <row r="483">
      <c r="A483" s="362" t="inlineStr">
        <is>
          <t>BetaGo</t>
        </is>
      </c>
      <c r="B483" s="411" t="inlineStr">
        <is>
          <t>AAA</t>
        </is>
      </c>
      <c r="C483" s="411" t="inlineStr">
        <is>
          <t>TECH</t>
        </is>
      </c>
      <c r="D483" s="364" t="n">
        <v>71</v>
      </c>
      <c r="E483" s="411" t="n"/>
      <c r="F483" s="411" t="n"/>
      <c r="G483" s="411" t="n"/>
      <c r="H483" s="411" t="n"/>
      <c r="I483" s="411" t="n"/>
      <c r="J483" s="364">
        <f>D483+I483</f>
        <v/>
      </c>
      <c r="K483" s="364">
        <f>E483+I483</f>
        <v/>
      </c>
      <c r="L483" s="970" t="inlineStr">
        <is>
          <t>Fragment Crafting (1.6%), Lottery Machine #1 (0.03%), Wishing (0.14%), Evolution Chest (1.5%), Relic Forge (80 Relic RF)</t>
        </is>
      </c>
    </row>
    <row r="484"/>
    <row r="485"/>
    <row r="486"/>
    <row r="487"/>
    <row r="488">
      <c r="A488" s="344" t="inlineStr">
        <is>
          <t>MUSEUM LAYOUT</t>
        </is>
      </c>
      <c r="B488" s="406" t="n"/>
      <c r="C488" s="406" t="inlineStr">
        <is>
          <t>Restriction</t>
        </is>
      </c>
      <c r="D488" s="406" t="inlineStr">
        <is>
          <t>Used</t>
        </is>
      </c>
      <c r="E488" s="406" t="inlineStr">
        <is>
          <t>Museum Score</t>
        </is>
      </c>
      <c r="F488" s="406" t="inlineStr">
        <is>
          <t>Medal Output</t>
        </is>
      </c>
      <c r="G488" s="406" t="inlineStr">
        <is>
          <t>Wish Coin Cost</t>
        </is>
      </c>
      <c r="H488" s="129" t="inlineStr">
        <is>
          <t>Btad Output</t>
        </is>
      </c>
      <c r="I488" s="425" t="n"/>
    </row>
    <row r="489">
      <c r="A489" s="126" t="n">
        <v>1</v>
      </c>
      <c r="B489" s="425" t="inlineStr">
        <is>
          <t>ALL</t>
        </is>
      </c>
      <c r="C489" s="425" t="n"/>
      <c r="D489" s="425">
        <f>A464</f>
        <v/>
      </c>
      <c r="E489" s="371">
        <f>K464</f>
        <v/>
      </c>
      <c r="F489" s="425">
        <f>F464</f>
        <v/>
      </c>
      <c r="G489" s="425" t="n"/>
      <c r="H489" s="127" t="n"/>
      <c r="I489" s="371" t="n"/>
    </row>
    <row r="490">
      <c r="A490" s="126" t="n">
        <v>2</v>
      </c>
      <c r="B490" s="425" t="inlineStr">
        <is>
          <t>FTH</t>
        </is>
      </c>
      <c r="C490" s="425">
        <f>A468</f>
        <v/>
      </c>
      <c r="D490" s="425">
        <f>A468</f>
        <v/>
      </c>
      <c r="E490" s="371">
        <f>J468</f>
        <v/>
      </c>
      <c r="F490" s="425" t="n"/>
      <c r="G490" s="425" t="n"/>
      <c r="H490" s="418" t="n"/>
      <c r="I490" s="425" t="n"/>
    </row>
    <row r="491">
      <c r="A491" s="126" t="n">
        <v>3</v>
      </c>
      <c r="B491" s="425" t="inlineStr">
        <is>
          <t>FTH</t>
        </is>
      </c>
      <c r="C491" s="425">
        <f>A470</f>
        <v/>
      </c>
      <c r="D491" s="425">
        <f>A470</f>
        <v/>
      </c>
      <c r="E491" s="371">
        <f>J470</f>
        <v/>
      </c>
      <c r="F491" s="425" t="n"/>
      <c r="G491" s="425" t="n"/>
      <c r="H491" s="418" t="n"/>
      <c r="L491" s="425" t="n"/>
    </row>
    <row r="492">
      <c r="A492" s="126" t="n">
        <v>4</v>
      </c>
      <c r="B492" s="425" t="inlineStr">
        <is>
          <t>FTH</t>
        </is>
      </c>
      <c r="C492" s="425">
        <f>A473</f>
        <v/>
      </c>
      <c r="D492" s="425">
        <f>A473</f>
        <v/>
      </c>
      <c r="E492" s="371">
        <f>J473</f>
        <v/>
      </c>
      <c r="F492" s="425" t="n"/>
      <c r="G492" s="425" t="n"/>
      <c r="H492" s="418" t="n"/>
      <c r="I492" s="425" t="n"/>
      <c r="L492" s="425" t="n"/>
    </row>
    <row r="493">
      <c r="A493" s="126" t="n">
        <v>5</v>
      </c>
      <c r="B493" s="425" t="inlineStr">
        <is>
          <t>FAME</t>
        </is>
      </c>
      <c r="C493" s="669" t="n"/>
      <c r="D493" s="669">
        <f>A454</f>
        <v/>
      </c>
      <c r="E493" s="669">
        <f>J454</f>
        <v/>
      </c>
      <c r="F493" s="425" t="n"/>
      <c r="G493" s="425" t="n"/>
      <c r="H493" s="418" t="n"/>
      <c r="J493" s="425" t="n"/>
      <c r="L493" s="425" t="n"/>
    </row>
    <row r="494">
      <c r="A494" s="126" t="n">
        <v>6</v>
      </c>
      <c r="B494" s="425" t="inlineStr">
        <is>
          <t>FAME</t>
        </is>
      </c>
      <c r="C494" s="425" t="n"/>
      <c r="D494" s="425">
        <f>A455</f>
        <v/>
      </c>
      <c r="E494" s="371">
        <f>J455</f>
        <v/>
      </c>
      <c r="F494" s="425" t="n"/>
      <c r="G494" s="425" t="n"/>
      <c r="H494" s="418" t="n"/>
      <c r="I494" s="425" t="n"/>
      <c r="J494" s="425" t="n"/>
      <c r="L494" s="425" t="n"/>
    </row>
    <row r="495">
      <c r="A495" s="126" t="n">
        <v>7</v>
      </c>
      <c r="B495" s="425" t="inlineStr">
        <is>
          <t>ART</t>
        </is>
      </c>
      <c r="C495" s="425" t="n"/>
      <c r="D495" s="425">
        <f>A459</f>
        <v/>
      </c>
      <c r="E495" s="371">
        <f>J459</f>
        <v/>
      </c>
      <c r="F495" s="425">
        <f>F459</f>
        <v/>
      </c>
      <c r="G495" s="425" t="n"/>
      <c r="H495" s="418" t="n"/>
      <c r="I495" s="425" t="n"/>
      <c r="J495" s="425" t="n"/>
      <c r="L495" s="425" t="n"/>
    </row>
    <row r="496">
      <c r="A496" s="126" t="n">
        <v>8</v>
      </c>
      <c r="B496" s="425" t="inlineStr">
        <is>
          <t>ART</t>
        </is>
      </c>
      <c r="C496" s="425" t="n"/>
      <c r="D496" s="669" t="inlineStr">
        <is>
          <t>Gilded Buddha</t>
        </is>
      </c>
      <c r="E496" s="669">
        <f>J460</f>
        <v/>
      </c>
      <c r="F496" s="425" t="n"/>
      <c r="G496" s="425" t="n"/>
      <c r="H496" s="418" t="n"/>
      <c r="I496" s="425" t="n"/>
      <c r="J496" s="425" t="n"/>
      <c r="L496" s="425" t="n"/>
    </row>
    <row r="497">
      <c r="A497" s="126" t="n">
        <v>9</v>
      </c>
      <c r="B497" s="425" t="inlineStr">
        <is>
          <t>ART</t>
        </is>
      </c>
      <c r="C497" s="425" t="n"/>
      <c r="D497" s="669" t="inlineStr">
        <is>
          <t>FILLER</t>
        </is>
      </c>
      <c r="E497" s="669" t="n">
        <v>100</v>
      </c>
      <c r="F497" s="425" t="n"/>
      <c r="G497" s="425" t="n"/>
      <c r="H497" s="418" t="n"/>
      <c r="I497" s="425" t="n"/>
      <c r="J497" s="425" t="n"/>
      <c r="L497" s="425" t="n"/>
    </row>
    <row r="498">
      <c r="A498" s="126" t="n">
        <v>10</v>
      </c>
      <c r="B498" s="425" t="inlineStr">
        <is>
          <t>FTH</t>
        </is>
      </c>
      <c r="C498" s="425" t="n"/>
      <c r="D498" s="425">
        <f>A465</f>
        <v/>
      </c>
      <c r="E498" s="371">
        <f>J465</f>
        <v/>
      </c>
      <c r="G498" s="425" t="n"/>
      <c r="H498" s="418" t="n"/>
      <c r="L498" s="425" t="n"/>
    </row>
    <row r="499">
      <c r="A499" s="126" t="n">
        <v>11</v>
      </c>
      <c r="B499" s="425" t="inlineStr">
        <is>
          <t>FTH</t>
        </is>
      </c>
      <c r="C499" s="425" t="n"/>
      <c r="D499" s="425">
        <f>A466</f>
        <v/>
      </c>
      <c r="E499" s="371">
        <f>J466</f>
        <v/>
      </c>
      <c r="F499" s="425" t="n"/>
      <c r="G499" s="425" t="n"/>
      <c r="H499" s="418" t="n"/>
      <c r="I499" s="425" t="inlineStr">
        <is>
          <t>Note: Aladdin Lamp used in quarry</t>
        </is>
      </c>
      <c r="J499" s="425" t="n"/>
      <c r="L499" s="425" t="n"/>
    </row>
    <row r="500">
      <c r="A500" s="126" t="n">
        <v>12</v>
      </c>
      <c r="B500" s="425" t="inlineStr">
        <is>
          <t>FTH</t>
        </is>
      </c>
      <c r="C500" s="425" t="n"/>
      <c r="D500" s="669">
        <f>A469</f>
        <v/>
      </c>
      <c r="E500" s="669">
        <f>J469</f>
        <v/>
      </c>
      <c r="G500" s="425" t="n"/>
      <c r="H500" s="418" t="n"/>
      <c r="I500" s="425" t="n"/>
      <c r="J500" s="425" t="n"/>
      <c r="L500" s="425" t="n"/>
    </row>
    <row r="501">
      <c r="A501" s="126" t="n">
        <v>13</v>
      </c>
      <c r="B501" s="425" t="inlineStr">
        <is>
          <t>CIV</t>
        </is>
      </c>
      <c r="C501" s="425" t="n"/>
      <c r="D501" s="425">
        <f>A475</f>
        <v/>
      </c>
      <c r="E501" s="371">
        <f>J475</f>
        <v/>
      </c>
      <c r="F501" s="425" t="n"/>
      <c r="G501" s="425" t="n"/>
      <c r="H501" s="418" t="n"/>
      <c r="I501" s="425" t="n"/>
      <c r="J501" s="425" t="n"/>
      <c r="L501" s="425" t="n"/>
    </row>
    <row r="502">
      <c r="A502" s="126" t="n">
        <v>14</v>
      </c>
      <c r="B502" s="425" t="inlineStr">
        <is>
          <t>CIV</t>
        </is>
      </c>
      <c r="C502" s="425" t="n"/>
      <c r="D502" s="669">
        <f>A476</f>
        <v/>
      </c>
      <c r="E502" s="669">
        <f>J476</f>
        <v/>
      </c>
      <c r="F502" s="371">
        <f>F475</f>
        <v/>
      </c>
      <c r="G502" s="425" t="n"/>
      <c r="H502" s="418" t="n"/>
      <c r="I502" s="425" t="n"/>
      <c r="J502" s="425" t="n"/>
      <c r="L502" s="425" t="n"/>
    </row>
    <row r="503">
      <c r="A503" s="126" t="n">
        <v>15</v>
      </c>
      <c r="B503" s="425" t="inlineStr">
        <is>
          <t>TECH</t>
        </is>
      </c>
      <c r="C503" s="425" t="n"/>
      <c r="D503" s="425">
        <f>A481</f>
        <v/>
      </c>
      <c r="E503" s="371">
        <f>J481</f>
        <v/>
      </c>
      <c r="F503" s="425" t="n"/>
      <c r="G503" s="425" t="n"/>
      <c r="H503" s="418">
        <f>H476</f>
        <v/>
      </c>
      <c r="I503" s="425" t="n"/>
      <c r="J503" s="425" t="n"/>
      <c r="L503" s="425" t="n"/>
    </row>
    <row r="504">
      <c r="A504" s="126" t="n">
        <v>16</v>
      </c>
      <c r="B504" s="425" t="inlineStr">
        <is>
          <t>TECH</t>
        </is>
      </c>
      <c r="C504" s="425" t="n"/>
      <c r="D504" s="141">
        <f>A482</f>
        <v/>
      </c>
      <c r="E504" s="371">
        <f>J482</f>
        <v/>
      </c>
      <c r="F504" s="425" t="n"/>
      <c r="G504" s="425" t="n"/>
      <c r="H504" s="418" t="n"/>
      <c r="I504" s="425" t="n"/>
      <c r="J504" s="425" t="n"/>
      <c r="K504" s="425" t="n"/>
      <c r="L504" s="425" t="n"/>
    </row>
    <row r="505">
      <c r="A505" s="362" t="n"/>
      <c r="B505" s="1093" t="n"/>
      <c r="C505" s="411" t="n"/>
      <c r="D505" s="411" t="inlineStr">
        <is>
          <t>TOTAL</t>
        </is>
      </c>
      <c r="E505" s="364">
        <f>SUM(E489:E504)</f>
        <v/>
      </c>
      <c r="F505" s="364">
        <f>SUM(F489:F504)</f>
        <v/>
      </c>
      <c r="G505" s="364">
        <f>SUM(G489:G504)</f>
        <v/>
      </c>
      <c r="H505" s="115">
        <f>SUM(H489:H504)</f>
        <v/>
      </c>
      <c r="I505" s="371" t="n"/>
      <c r="J505" s="425" t="n"/>
      <c r="K505" s="425" t="n"/>
      <c r="L505" s="425" t="n"/>
    </row>
  </sheetData>
  <dataValidations count="2">
    <dataValidation sqref="B4:B28 B65:B99 B132:B165 B195:B240 B268:B309 B337:B367 B395:B425 B454:B483" showDropDown="0" showInputMessage="0" showErrorMessage="1" allowBlank="1" type="list">
      <formula1>"SSS,SS,S,AAA,AA,A,Blue,Green"</formula1>
    </dataValidation>
    <dataValidation sqref="B33:B47 B104:B118 B173:B187 B246:B260 B314:B328 B372:B386 B432:B446 B490:B504 C4:C28 C65:C99 C132:C165 C195:C240 C268:C309 C337:C367 C395:C425 C454:C483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1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27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26.36" customWidth="1" style="1128" min="1" max="1"/>
    <col width="8.91" customWidth="1" style="1128" min="2" max="2"/>
    <col width="14.55" customWidth="1" style="1128" min="5" max="5"/>
    <col width="42.09" customWidth="1" style="1128" min="6" max="6"/>
  </cols>
  <sheetData>
    <row r="1">
      <c r="A1" s="344" t="n"/>
      <c r="B1" s="406" t="inlineStr">
        <is>
          <t>Rarity</t>
        </is>
      </c>
      <c r="C1" s="406" t="inlineStr">
        <is>
          <t>Type</t>
        </is>
      </c>
      <c r="D1" s="406" t="inlineStr">
        <is>
          <t>Base Effect</t>
        </is>
      </c>
      <c r="E1" s="406" t="inlineStr">
        <is>
          <t>Base Effect (Awakened)</t>
        </is>
      </c>
      <c r="F1" s="129" t="inlineStr">
        <is>
          <t>Source</t>
        </is>
      </c>
    </row>
    <row r="2">
      <c r="A2" s="425" t="n"/>
      <c r="B2" s="425" t="n"/>
      <c r="C2" s="425" t="n"/>
      <c r="D2" s="371" t="n"/>
      <c r="E2" s="371" t="n"/>
      <c r="F2" s="415" t="n"/>
    </row>
    <row r="3">
      <c r="A3" s="411" t="n"/>
      <c r="B3" s="411" t="n"/>
      <c r="C3" s="411" t="n"/>
      <c r="D3" s="364" t="n"/>
      <c r="E3" s="364" t="n"/>
      <c r="F3" s="154" t="n"/>
    </row>
    <row r="4">
      <c r="A4" s="434" t="inlineStr">
        <is>
          <t>REBEL CABIN</t>
        </is>
      </c>
      <c r="B4" s="425" t="n"/>
      <c r="C4" s="425" t="n"/>
      <c r="D4" s="371" t="n"/>
      <c r="E4" s="371" t="n"/>
      <c r="F4" s="390" t="n"/>
    </row>
    <row r="5">
      <c r="A5" s="434" t="inlineStr">
        <is>
          <t>Jiuzhang</t>
        </is>
      </c>
      <c r="B5" s="425" t="inlineStr">
        <is>
          <t>SSS</t>
        </is>
      </c>
      <c r="C5" s="425" t="inlineStr">
        <is>
          <t>TECH</t>
        </is>
      </c>
      <c r="D5" s="371" t="n">
        <v>12</v>
      </c>
      <c r="E5" s="371" t="n"/>
      <c r="F5" s="386" t="inlineStr">
        <is>
          <t>Lottery Machine #2 (0.12%)</t>
        </is>
      </c>
    </row>
    <row r="6">
      <c r="A6" s="434" t="n"/>
      <c r="B6" s="425" t="n"/>
      <c r="C6" s="425" t="n"/>
      <c r="D6" s="371" t="n"/>
      <c r="E6" s="425" t="n"/>
      <c r="F6" s="386" t="n"/>
    </row>
    <row r="7">
      <c r="A7" s="434" t="inlineStr">
        <is>
          <t>Resonance: Orange</t>
        </is>
      </c>
      <c r="B7" s="425" t="n"/>
      <c r="C7" s="425" t="n"/>
      <c r="D7" s="425" t="n">
        <v>10</v>
      </c>
      <c r="E7" s="425" t="n"/>
      <c r="F7" s="386" t="n"/>
    </row>
    <row r="8">
      <c r="A8" s="434" t="inlineStr">
        <is>
          <t xml:space="preserve">  Mysterious Relic</t>
        </is>
      </c>
      <c r="B8" s="425" t="inlineStr">
        <is>
          <t>SSS</t>
        </is>
      </c>
      <c r="C8" s="425" t="n"/>
      <c r="D8" s="425" t="n"/>
      <c r="E8" s="425" t="n"/>
      <c r="F8" s="386" t="inlineStr">
        <is>
          <t>Unknown</t>
        </is>
      </c>
    </row>
    <row r="9">
      <c r="A9" s="434" t="inlineStr">
        <is>
          <t xml:space="preserve">  Atlantis Crystal</t>
        </is>
      </c>
      <c r="B9" s="425" t="inlineStr">
        <is>
          <t>SSS</t>
        </is>
      </c>
      <c r="C9" s="425" t="inlineStr">
        <is>
          <t>FTH</t>
        </is>
      </c>
      <c r="D9" s="425" t="n"/>
      <c r="E9" s="425" t="n"/>
      <c r="F9" s="386" t="inlineStr">
        <is>
          <t>Lottery Machine #2 (0.12%), Relic Forge (120 RF)</t>
        </is>
      </c>
    </row>
    <row r="10">
      <c r="A10" s="434" t="inlineStr">
        <is>
          <t xml:space="preserve">  Lawrence's Cyclotron</t>
        </is>
      </c>
      <c r="B10" s="425" t="inlineStr">
        <is>
          <t>SSS</t>
        </is>
      </c>
      <c r="C10" s="425" t="inlineStr">
        <is>
          <t>TECH</t>
        </is>
      </c>
      <c r="D10" s="425" t="n"/>
      <c r="E10" s="425" t="n"/>
      <c r="F10" s="386" t="inlineStr">
        <is>
          <t>Lottery Machine #2 (0.12%)</t>
        </is>
      </c>
    </row>
    <row r="11">
      <c r="A11" s="434" t="inlineStr">
        <is>
          <t xml:space="preserve">  Science Magazine Vol.1</t>
        </is>
      </c>
      <c r="B11" s="425" t="inlineStr">
        <is>
          <t>SSS</t>
        </is>
      </c>
      <c r="C11" s="425" t="inlineStr">
        <is>
          <t>FAME</t>
        </is>
      </c>
      <c r="D11" s="425" t="n"/>
      <c r="E11" s="425" t="n"/>
      <c r="F11" s="386" t="inlineStr">
        <is>
          <t>Lottery Machine #2 (0.12%)</t>
        </is>
      </c>
    </row>
    <row r="12">
      <c r="A12" s="434" t="inlineStr">
        <is>
          <t xml:space="preserve">  Phaistos Disc</t>
        </is>
      </c>
      <c r="B12" s="425" t="inlineStr">
        <is>
          <t>SSS</t>
        </is>
      </c>
      <c r="C12" s="425" t="inlineStr">
        <is>
          <t>CIV</t>
        </is>
      </c>
      <c r="D12" s="425" t="n"/>
      <c r="E12" s="425" t="n"/>
      <c r="F12" s="386" t="inlineStr">
        <is>
          <t>Lottery Machine #2 (0.12%), Relic Forge (120 RF)</t>
        </is>
      </c>
    </row>
    <row r="13">
      <c r="A13" s="362" t="inlineStr">
        <is>
          <t>MAX REBEL CABIN</t>
        </is>
      </c>
      <c r="B13" s="411" t="n"/>
      <c r="C13" s="411" t="n"/>
      <c r="D13" s="364">
        <f>sum(D5:E12)</f>
        <v/>
      </c>
      <c r="E13" s="411" t="n"/>
      <c r="F13" s="970" t="n"/>
    </row>
    <row r="14">
      <c r="A14" s="434" t="n"/>
      <c r="B14" s="425" t="n"/>
      <c r="C14" s="425" t="n"/>
      <c r="D14" s="425" t="n"/>
      <c r="E14" s="425" t="n"/>
      <c r="F14" s="386" t="n"/>
    </row>
    <row r="15">
      <c r="A15" s="434" t="n"/>
      <c r="B15" s="425" t="n"/>
      <c r="C15" s="425" t="n"/>
      <c r="D15" s="425" t="n"/>
      <c r="E15" s="425" t="n"/>
      <c r="F15" s="386" t="n"/>
    </row>
    <row r="16">
      <c r="A16" s="344" t="inlineStr">
        <is>
          <t>Photonic Communicator (Angel)</t>
        </is>
      </c>
      <c r="B16" s="406" t="n"/>
      <c r="C16" s="406" t="n"/>
      <c r="D16" s="406" t="n"/>
      <c r="E16" s="406" t="n"/>
      <c r="F16" s="786" t="n"/>
    </row>
    <row r="17">
      <c r="A17" s="434" t="inlineStr">
        <is>
          <t>Cross of Lorraine</t>
        </is>
      </c>
      <c r="B17" s="425" t="inlineStr">
        <is>
          <t>SS</t>
        </is>
      </c>
      <c r="C17" s="425" t="inlineStr">
        <is>
          <t>FAME</t>
        </is>
      </c>
      <c r="D17" s="371" t="n">
        <v>88</v>
      </c>
      <c r="E17" s="371" t="n"/>
      <c r="F17" s="386" t="inlineStr">
        <is>
          <t>Lottery Machine #2 (?%)</t>
        </is>
      </c>
    </row>
    <row r="18">
      <c r="A18" s="434" t="inlineStr">
        <is>
          <t>Akebono</t>
        </is>
      </c>
      <c r="B18" s="425" t="inlineStr">
        <is>
          <t>Blue</t>
        </is>
      </c>
      <c r="C18" s="425" t="inlineStr">
        <is>
          <t>TECH</t>
        </is>
      </c>
      <c r="D18" s="371" t="n">
        <v>40</v>
      </c>
      <c r="E18" s="371" t="n">
        <v>40</v>
      </c>
      <c r="F18" s="386" t="inlineStr">
        <is>
          <t>Lottery Machine #2 (?%)</t>
        </is>
      </c>
    </row>
    <row r="19">
      <c r="A19" s="434" t="n"/>
      <c r="B19" s="425" t="n"/>
      <c r="C19" s="425" t="n"/>
      <c r="D19" s="371" t="n"/>
      <c r="E19" s="425" t="n"/>
      <c r="F19" s="386" t="n"/>
    </row>
    <row r="20">
      <c r="A20" s="434" t="inlineStr">
        <is>
          <t>Resonance: Orange</t>
        </is>
      </c>
      <c r="B20" s="425" t="n"/>
      <c r="C20" s="425" t="n"/>
      <c r="D20" s="425" t="n">
        <v>56</v>
      </c>
      <c r="E20" s="425" t="n"/>
      <c r="F20" s="386" t="n"/>
    </row>
    <row r="21">
      <c r="A21" s="434" t="inlineStr">
        <is>
          <t xml:space="preserve">  Rutherford Model</t>
        </is>
      </c>
      <c r="B21" s="425" t="inlineStr">
        <is>
          <t>SS</t>
        </is>
      </c>
      <c r="C21" s="425" t="inlineStr">
        <is>
          <t>TECH</t>
        </is>
      </c>
      <c r="D21" s="425" t="n"/>
      <c r="E21" s="425" t="n"/>
      <c r="F21" s="386" t="inlineStr">
        <is>
          <t>Lottery Machine #2 (0.23%)</t>
        </is>
      </c>
    </row>
    <row r="22">
      <c r="A22" s="434" t="inlineStr">
        <is>
          <t xml:space="preserve">  SC Energy Storage Unit</t>
        </is>
      </c>
      <c r="B22" s="425" t="inlineStr">
        <is>
          <t>SS</t>
        </is>
      </c>
      <c r="C22" s="425" t="inlineStr">
        <is>
          <t>TECH</t>
        </is>
      </c>
      <c r="D22" s="425" t="n"/>
      <c r="E22" s="425" t="n"/>
      <c r="F22" s="386" t="inlineStr">
        <is>
          <t>Lottery Machine #2 (0.47%)</t>
        </is>
      </c>
    </row>
    <row r="23">
      <c r="A23" s="362" t="inlineStr">
        <is>
          <t>MAX PHOTONIC COMMUNICATOR</t>
        </is>
      </c>
      <c r="B23" s="411" t="n"/>
      <c r="C23" s="411" t="n"/>
      <c r="D23" s="364">
        <f>sum(D17:E22)</f>
        <v/>
      </c>
      <c r="E23" s="411" t="n"/>
      <c r="F23" s="970" t="n"/>
    </row>
    <row r="24">
      <c r="A24" s="434" t="n"/>
      <c r="B24" s="425" t="n"/>
      <c r="C24" s="425" t="n"/>
      <c r="D24" s="425" t="n"/>
      <c r="E24" s="425" t="n"/>
      <c r="F24" s="386" t="n"/>
    </row>
    <row r="25">
      <c r="A25" s="702" t="n"/>
      <c r="F25" s="907" t="n"/>
    </row>
    <row r="26">
      <c r="A26" s="161" t="inlineStr">
        <is>
          <t>Prismatic Armor (Mecha)</t>
        </is>
      </c>
      <c r="B26" s="162" t="n"/>
      <c r="C26" s="162" t="n"/>
      <c r="D26" s="162" t="n"/>
      <c r="E26" s="162" t="n"/>
      <c r="F26" s="786" t="n"/>
    </row>
    <row r="27">
      <c r="A27" s="434" t="inlineStr">
        <is>
          <t>Eight Proposals</t>
        </is>
      </c>
      <c r="B27" s="425" t="inlineStr">
        <is>
          <t>SS</t>
        </is>
      </c>
      <c r="C27" s="425" t="inlineStr">
        <is>
          <t>CIV</t>
        </is>
      </c>
      <c r="D27" s="371" t="n">
        <v>88</v>
      </c>
      <c r="E27" s="371" t="n"/>
      <c r="F27" s="386" t="inlineStr">
        <is>
          <t>Lottery Machine #2 (0.23%)</t>
        </is>
      </c>
    </row>
    <row r="28">
      <c r="A28" s="434" t="inlineStr">
        <is>
          <t>Model G Loom</t>
        </is>
      </c>
      <c r="B28" s="425" t="inlineStr">
        <is>
          <t>Blue</t>
        </is>
      </c>
      <c r="C28" s="425" t="inlineStr">
        <is>
          <t>FAME</t>
        </is>
      </c>
      <c r="D28" s="371" t="n">
        <v>40</v>
      </c>
      <c r="E28" s="371" t="n">
        <v>40</v>
      </c>
      <c r="F28" s="386" t="inlineStr">
        <is>
          <t>Lottery Machine #2 (0.03%)</t>
        </is>
      </c>
    </row>
    <row r="29">
      <c r="A29" s="434" t="n"/>
      <c r="B29" s="425" t="n"/>
      <c r="C29" s="425" t="n"/>
      <c r="D29" s="371" t="n"/>
      <c r="E29" s="425" t="n"/>
      <c r="F29" s="386" t="n"/>
    </row>
    <row r="30">
      <c r="A30" s="434" t="inlineStr">
        <is>
          <t>Resonance: Orange</t>
        </is>
      </c>
      <c r="B30" s="425" t="n"/>
      <c r="C30" s="425" t="n"/>
      <c r="D30" s="425" t="n">
        <v>56</v>
      </c>
      <c r="E30" s="425" t="n"/>
      <c r="F30" s="386" t="n"/>
    </row>
    <row r="31">
      <c r="A31" s="434" t="inlineStr">
        <is>
          <t xml:space="preserve">  Crime and Punishment</t>
        </is>
      </c>
      <c r="B31" s="425" t="inlineStr">
        <is>
          <t>SSS</t>
        </is>
      </c>
      <c r="C31" s="425" t="inlineStr">
        <is>
          <t>CIV</t>
        </is>
      </c>
      <c r="D31" s="425" t="n"/>
      <c r="E31" s="425" t="n"/>
      <c r="F31" s="386" t="inlineStr">
        <is>
          <t>Lottery Machine #2 (0.12%)</t>
        </is>
      </c>
    </row>
    <row r="32">
      <c r="A32" s="434" t="inlineStr">
        <is>
          <t xml:space="preserve">  Palermo Stone</t>
        </is>
      </c>
      <c r="B32" s="425" t="inlineStr">
        <is>
          <t>SSS</t>
        </is>
      </c>
      <c r="C32" s="425" t="inlineStr">
        <is>
          <t>TECH</t>
        </is>
      </c>
      <c r="D32" s="425" t="n"/>
      <c r="E32" s="425" t="n"/>
      <c r="F32" s="386" t="inlineStr">
        <is>
          <t>Lottery Machine #2 (1.59%), Rift Treasure Maps (5%)</t>
        </is>
      </c>
    </row>
    <row r="33">
      <c r="A33" s="362" t="inlineStr">
        <is>
          <t>MAX PRISMATIC ARMOR</t>
        </is>
      </c>
      <c r="B33" s="411" t="n"/>
      <c r="C33" s="411" t="n"/>
      <c r="D33" s="364">
        <f>sum(D27:E32)</f>
        <v/>
      </c>
      <c r="E33" s="411" t="n"/>
      <c r="F33" s="970" t="n"/>
    </row>
    <row r="34">
      <c r="A34" s="434" t="n"/>
      <c r="B34" s="425" t="n"/>
      <c r="C34" s="425" t="n"/>
      <c r="D34" s="425" t="n"/>
      <c r="E34" s="425" t="n"/>
      <c r="F34" s="386" t="n"/>
    </row>
    <row r="35">
      <c r="A35" s="702" t="n"/>
      <c r="F35" s="907" t="n"/>
    </row>
    <row r="36">
      <c r="A36" s="161" t="inlineStr">
        <is>
          <t>Auto-reload Device (Demon)</t>
        </is>
      </c>
      <c r="B36" s="162" t="n"/>
      <c r="C36" s="162" t="n"/>
      <c r="D36" s="162" t="n"/>
      <c r="E36" s="162" t="n"/>
      <c r="F36" s="786" t="n"/>
    </row>
    <row r="37">
      <c r="A37" s="434" t="inlineStr">
        <is>
          <t>Eight Proposals</t>
        </is>
      </c>
      <c r="B37" s="425" t="inlineStr">
        <is>
          <t>SS</t>
        </is>
      </c>
      <c r="C37" s="425" t="inlineStr">
        <is>
          <t>CIV</t>
        </is>
      </c>
      <c r="D37" s="371" t="n">
        <v>88</v>
      </c>
      <c r="E37" s="371" t="n"/>
      <c r="F37" s="386" t="inlineStr">
        <is>
          <t>Lottery Machine #2 (0.23%)</t>
        </is>
      </c>
    </row>
    <row r="38">
      <c r="A38" s="434" t="inlineStr">
        <is>
          <t>The Knotted Pistol</t>
        </is>
      </c>
      <c r="B38" s="425" t="inlineStr">
        <is>
          <t>Blue</t>
        </is>
      </c>
      <c r="C38" s="425" t="inlineStr">
        <is>
          <t>FAME</t>
        </is>
      </c>
      <c r="D38" s="371" t="n">
        <v>40</v>
      </c>
      <c r="E38" s="371" t="n">
        <v>40</v>
      </c>
      <c r="F38" s="386" t="inlineStr">
        <is>
          <t>Lottery Machine #2 (0.03%)</t>
        </is>
      </c>
    </row>
    <row r="39">
      <c r="A39" s="362" t="inlineStr">
        <is>
          <t>MAX AUTO-RELOAD DEVICE</t>
        </is>
      </c>
      <c r="B39" s="411" t="n"/>
      <c r="C39" s="411" t="n"/>
      <c r="D39" s="364">
        <f>sum(D37:E38)</f>
        <v/>
      </c>
      <c r="E39" s="411" t="n"/>
      <c r="F39" s="970" t="n"/>
    </row>
    <row r="40">
      <c r="A40" s="434" t="n"/>
      <c r="B40" s="425" t="n"/>
      <c r="C40" s="425" t="n"/>
      <c r="D40" s="425" t="n"/>
      <c r="E40" s="425" t="n"/>
      <c r="F40" s="386" t="n"/>
    </row>
    <row r="41">
      <c r="A41" s="702" t="n"/>
      <c r="F41" s="907" t="n"/>
    </row>
    <row r="42">
      <c r="A42" s="344" t="inlineStr">
        <is>
          <t>Biochemical MOD Module (Zombie)</t>
        </is>
      </c>
      <c r="B42" s="406" t="n"/>
      <c r="C42" s="406" t="n"/>
      <c r="D42" s="406" t="n"/>
      <c r="E42" s="406" t="n"/>
      <c r="F42" s="786" t="n"/>
    </row>
    <row r="43">
      <c r="A43" s="434" t="inlineStr">
        <is>
          <t>Swimming Reindeer</t>
        </is>
      </c>
      <c r="B43" s="425" t="inlineStr">
        <is>
          <t>SS</t>
        </is>
      </c>
      <c r="C43" s="425" t="inlineStr">
        <is>
          <t>ART</t>
        </is>
      </c>
      <c r="D43" s="371" t="n">
        <v>88</v>
      </c>
      <c r="E43" s="371" t="n"/>
      <c r="F43" s="386" t="inlineStr">
        <is>
          <t>Lottery Machine #2 (0.35%)</t>
        </is>
      </c>
    </row>
    <row r="44">
      <c r="A44" s="434" t="inlineStr">
        <is>
          <t>Bastet Bronze Statue</t>
        </is>
      </c>
      <c r="B44" s="425" t="inlineStr">
        <is>
          <t>Blue</t>
        </is>
      </c>
      <c r="C44" s="425" t="inlineStr">
        <is>
          <t>FTH</t>
        </is>
      </c>
      <c r="D44" s="371" t="n">
        <v>40</v>
      </c>
      <c r="E44" s="371" t="n">
        <v>40</v>
      </c>
      <c r="F44" s="386" t="inlineStr">
        <is>
          <t>Lottery Machine #2 (0.03%), Indigent Nobleman (72K B-tads)</t>
        </is>
      </c>
    </row>
    <row r="45">
      <c r="A45" s="362" t="inlineStr">
        <is>
          <t>MAX BIOCHEMICAL MOD MODULE</t>
        </is>
      </c>
      <c r="B45" s="411" t="n"/>
      <c r="C45" s="411" t="n"/>
      <c r="D45" s="364">
        <f>sum(D43:E44)</f>
        <v/>
      </c>
      <c r="E45" s="411" t="n"/>
      <c r="F45" s="970" t="n"/>
    </row>
    <row r="46">
      <c r="A46" s="434" t="n"/>
      <c r="B46" s="425" t="n"/>
      <c r="C46" s="425" t="n"/>
      <c r="D46" s="425" t="n"/>
      <c r="E46" s="425" t="n"/>
      <c r="F46" s="386" t="n"/>
    </row>
    <row r="47">
      <c r="A47" s="702" t="n"/>
      <c r="F47" s="907" t="n"/>
    </row>
    <row r="48">
      <c r="A48" s="161" t="inlineStr">
        <is>
          <t>Anti-gravity Device (Mecha)</t>
        </is>
      </c>
      <c r="B48" s="406" t="n"/>
      <c r="C48" s="406" t="n"/>
      <c r="D48" s="406" t="n"/>
      <c r="E48" s="406" t="n"/>
      <c r="F48" s="786" t="n"/>
    </row>
    <row r="49">
      <c r="A49" s="434" t="inlineStr">
        <is>
          <t>Oxus Treasure</t>
        </is>
      </c>
      <c r="B49" s="425" t="inlineStr">
        <is>
          <t>SSS</t>
        </is>
      </c>
      <c r="C49" s="425" t="inlineStr">
        <is>
          <t>ART</t>
        </is>
      </c>
      <c r="D49" s="371" t="n">
        <v>96</v>
      </c>
      <c r="E49" s="371" t="n"/>
      <c r="F49" s="386" t="inlineStr">
        <is>
          <t>Lottery Machine #2 (0.12%), Relic Forge (120 RF)</t>
        </is>
      </c>
    </row>
    <row r="50">
      <c r="A50" s="434" t="inlineStr">
        <is>
          <t>DNA Microarray</t>
        </is>
      </c>
      <c r="B50" s="425" t="inlineStr">
        <is>
          <t>AA</t>
        </is>
      </c>
      <c r="C50" s="425" t="inlineStr">
        <is>
          <t>TECH</t>
        </is>
      </c>
      <c r="D50" s="371" t="n">
        <v>64</v>
      </c>
      <c r="E50" s="371" t="n">
        <v>56</v>
      </c>
      <c r="F50" s="386" t="inlineStr">
        <is>
          <t>Lottery Machine #2 (0.12%)</t>
        </is>
      </c>
    </row>
    <row r="51">
      <c r="A51" s="434" t="n"/>
      <c r="B51" s="425" t="n"/>
      <c r="C51" s="425" t="n"/>
      <c r="D51" s="371" t="n"/>
      <c r="E51" s="425" t="n"/>
      <c r="F51" s="386" t="n"/>
    </row>
    <row r="52">
      <c r="A52" s="434" t="inlineStr">
        <is>
          <t>Resonance: Orange</t>
        </is>
      </c>
      <c r="B52" s="425" t="n"/>
      <c r="C52" s="425" t="n"/>
      <c r="D52" s="425" t="n">
        <v>64</v>
      </c>
      <c r="E52" s="425" t="n"/>
      <c r="F52" s="386" t="n"/>
    </row>
    <row r="53">
      <c r="A53" s="434" t="inlineStr">
        <is>
          <t xml:space="preserve">  Hevelius Chart</t>
        </is>
      </c>
      <c r="B53" s="425" t="inlineStr">
        <is>
          <t>SSS</t>
        </is>
      </c>
      <c r="C53" s="425" t="inlineStr">
        <is>
          <t>CIV</t>
        </is>
      </c>
      <c r="D53" s="425" t="n"/>
      <c r="E53" s="425" t="n"/>
      <c r="F53" s="386" t="inlineStr">
        <is>
          <t>Star Chart Shop</t>
        </is>
      </c>
    </row>
    <row r="54">
      <c r="A54" s="434" t="inlineStr">
        <is>
          <t xml:space="preserve">  Veiled Lady</t>
        </is>
      </c>
      <c r="B54" s="425" t="inlineStr">
        <is>
          <t>SS</t>
        </is>
      </c>
      <c r="C54" s="425" t="inlineStr">
        <is>
          <t>ART</t>
        </is>
      </c>
      <c r="D54" s="425" t="n"/>
      <c r="E54" s="425" t="n"/>
      <c r="F54" s="386" t="inlineStr">
        <is>
          <t>Lottery Machine #2 (0.47%), Indigent Nobleman (570K B-tads)</t>
        </is>
      </c>
    </row>
    <row r="55">
      <c r="A55" s="434" t="inlineStr">
        <is>
          <t xml:space="preserve">  The Kiss</t>
        </is>
      </c>
      <c r="B55" s="425" t="inlineStr">
        <is>
          <t>S</t>
        </is>
      </c>
      <c r="C55" s="425" t="inlineStr">
        <is>
          <t>FAME</t>
        </is>
      </c>
      <c r="D55" s="425" t="n"/>
      <c r="E55" s="425" t="n"/>
      <c r="F55" s="386" t="inlineStr">
        <is>
          <t>Lottery Machine #2 (1.59%)</t>
        </is>
      </c>
    </row>
    <row r="56">
      <c r="A56" s="362" t="inlineStr">
        <is>
          <t>MAX ANTI-GRAVITY DEVICE</t>
        </is>
      </c>
      <c r="B56" s="411" t="n"/>
      <c r="C56" s="411" t="n"/>
      <c r="D56" s="364">
        <f>sum(D49:E55)</f>
        <v/>
      </c>
      <c r="E56" s="411" t="n"/>
      <c r="F56" s="970" t="n"/>
    </row>
    <row r="57">
      <c r="A57" s="434" t="n"/>
      <c r="B57" s="425" t="n"/>
      <c r="C57" s="425" t="n"/>
      <c r="D57" s="425" t="n"/>
      <c r="E57" s="425" t="n"/>
      <c r="F57" s="386" t="n"/>
    </row>
    <row r="58">
      <c r="A58" s="702" t="n"/>
      <c r="F58" s="907" t="n"/>
    </row>
    <row r="59">
      <c r="A59" s="344" t="inlineStr">
        <is>
          <t>Dark Matter Reactor (Zombie)</t>
        </is>
      </c>
      <c r="B59" s="406" t="n"/>
      <c r="C59" s="406" t="n"/>
      <c r="D59" s="406" t="n"/>
      <c r="E59" s="406" t="n"/>
      <c r="F59" s="786" t="n"/>
    </row>
    <row r="60">
      <c r="A60" s="434" t="inlineStr">
        <is>
          <t>Black Body</t>
        </is>
      </c>
      <c r="B60" s="425" t="inlineStr">
        <is>
          <t>SSS</t>
        </is>
      </c>
      <c r="C60" s="425" t="inlineStr">
        <is>
          <t>TECH</t>
        </is>
      </c>
      <c r="D60" s="371" t="n">
        <v>96</v>
      </c>
      <c r="E60" s="371" t="n"/>
      <c r="F60" s="386" t="inlineStr">
        <is>
          <t>Lottery Machine #2 (0.12%)</t>
        </is>
      </c>
    </row>
    <row r="61">
      <c r="A61" s="434" t="inlineStr">
        <is>
          <t>Mother and Daughter</t>
        </is>
      </c>
      <c r="B61" s="425" t="inlineStr">
        <is>
          <t>AA</t>
        </is>
      </c>
      <c r="C61" s="425" t="inlineStr">
        <is>
          <t>ART</t>
        </is>
      </c>
      <c r="D61" s="371" t="n">
        <v>64</v>
      </c>
      <c r="E61" s="371" t="n">
        <v>56</v>
      </c>
      <c r="F61" s="386" t="inlineStr">
        <is>
          <t>Lottery Machine #2 (0.12%)</t>
        </is>
      </c>
    </row>
    <row r="62">
      <c r="A62" s="434" t="n"/>
      <c r="B62" s="425" t="n"/>
      <c r="C62" s="425" t="n"/>
      <c r="D62" s="371" t="n"/>
      <c r="E62" s="425" t="n"/>
      <c r="F62" s="386" t="n"/>
    </row>
    <row r="63">
      <c r="A63" s="434" t="inlineStr">
        <is>
          <t>Resonance: Orange</t>
        </is>
      </c>
      <c r="B63" s="425" t="n"/>
      <c r="C63" s="425" t="n"/>
      <c r="D63" s="425" t="n">
        <v>64</v>
      </c>
      <c r="E63" s="425" t="n"/>
      <c r="F63" s="386" t="n"/>
    </row>
    <row r="64">
      <c r="A64" s="434" t="inlineStr">
        <is>
          <t xml:space="preserve">  Stockholm Declaration</t>
        </is>
      </c>
      <c r="B64" s="425" t="inlineStr">
        <is>
          <t>SS</t>
        </is>
      </c>
      <c r="C64" s="425" t="inlineStr">
        <is>
          <t>FAME</t>
        </is>
      </c>
      <c r="D64" s="425" t="n"/>
      <c r="E64" s="425" t="n"/>
      <c r="F64" s="386" t="inlineStr">
        <is>
          <t>Lottery Machine #2 (0.47%), Indigent Nobleman (570K B-tads)</t>
        </is>
      </c>
    </row>
    <row r="65">
      <c r="A65" s="434" t="inlineStr">
        <is>
          <t xml:space="preserve">  Last Self Portrait</t>
        </is>
      </c>
      <c r="B65" s="425" t="inlineStr">
        <is>
          <t>SSS</t>
        </is>
      </c>
      <c r="C65" s="425" t="inlineStr">
        <is>
          <t>ART</t>
        </is>
      </c>
      <c r="D65" s="425" t="n"/>
      <c r="E65" s="425" t="n"/>
      <c r="F65" s="386" t="inlineStr">
        <is>
          <t>Daily Pack Relic #15</t>
        </is>
      </c>
    </row>
    <row r="66">
      <c r="A66" s="434" t="inlineStr">
        <is>
          <t xml:space="preserve">  Tao Te Ching</t>
        </is>
      </c>
      <c r="B66" s="425" t="inlineStr">
        <is>
          <t>SSS</t>
        </is>
      </c>
      <c r="C66" s="425" t="inlineStr">
        <is>
          <t>CIV</t>
        </is>
      </c>
      <c r="D66" s="425" t="n"/>
      <c r="E66" s="425" t="n"/>
      <c r="F66" s="386" t="inlineStr">
        <is>
          <t>Lottery Machine #2 (0.12%)</t>
        </is>
      </c>
    </row>
    <row r="67">
      <c r="A67" s="362" t="inlineStr">
        <is>
          <t>MAX DARK MATTER REACTOR</t>
        </is>
      </c>
      <c r="B67" s="411" t="n"/>
      <c r="C67" s="411" t="n"/>
      <c r="D67" s="364">
        <f>sum(D60:E66)</f>
        <v/>
      </c>
      <c r="E67" s="411" t="n"/>
      <c r="F67" s="970" t="n"/>
    </row>
    <row r="68">
      <c r="A68" s="434" t="n"/>
      <c r="B68" s="425" t="n"/>
      <c r="C68" s="425" t="n"/>
      <c r="D68" s="425" t="n"/>
      <c r="E68" s="425" t="n"/>
      <c r="F68" s="386" t="n"/>
    </row>
    <row r="69">
      <c r="A69" s="702" t="n"/>
      <c r="F69" s="907" t="n"/>
    </row>
    <row r="70">
      <c r="A70" s="344" t="inlineStr">
        <is>
          <t>Steel Hall (All)</t>
        </is>
      </c>
      <c r="B70" s="406" t="n"/>
      <c r="C70" s="406" t="n"/>
      <c r="D70" s="406" t="n"/>
      <c r="E70" s="406" t="n"/>
      <c r="F70" s="786" t="n"/>
    </row>
    <row r="71">
      <c r="A71" s="434" t="inlineStr">
        <is>
          <t>Atlantis Crystal</t>
        </is>
      </c>
      <c r="B71" s="425" t="inlineStr">
        <is>
          <t>SSS</t>
        </is>
      </c>
      <c r="C71" s="425" t="inlineStr">
        <is>
          <t>FTH</t>
        </is>
      </c>
      <c r="D71" s="371" t="n">
        <v>96</v>
      </c>
      <c r="E71" s="371" t="n"/>
      <c r="F71" s="386" t="inlineStr">
        <is>
          <t>Lottery Machine #2 (0.12%), Relic Forge (120 RF)</t>
        </is>
      </c>
    </row>
    <row r="72">
      <c r="A72" s="434" t="inlineStr">
        <is>
          <t>Le Verrier's Scripts</t>
        </is>
      </c>
      <c r="B72" s="425" t="inlineStr">
        <is>
          <t>AAA</t>
        </is>
      </c>
      <c r="C72" s="425" t="inlineStr">
        <is>
          <t>TECH</t>
        </is>
      </c>
      <c r="D72" s="371" t="n">
        <v>72</v>
      </c>
      <c r="E72" s="371" t="n">
        <v>56</v>
      </c>
      <c r="F72" s="386" t="inlineStr">
        <is>
          <t>Lottery Machine #2 (0.06%)</t>
        </is>
      </c>
    </row>
    <row r="73">
      <c r="A73" s="362" t="inlineStr">
        <is>
          <t>MAX STEEL HALL</t>
        </is>
      </c>
      <c r="B73" s="411" t="n"/>
      <c r="C73" s="411" t="n"/>
      <c r="D73" s="364">
        <f>sum(D71:E72)</f>
        <v/>
      </c>
      <c r="E73" s="411" t="n"/>
      <c r="F73" s="426" t="n"/>
    </row>
    <row r="74">
      <c r="A74" s="434" t="n"/>
      <c r="B74" s="425" t="n"/>
      <c r="C74" s="425" t="n"/>
      <c r="D74" s="425" t="n"/>
      <c r="E74" s="425" t="n"/>
      <c r="F74" s="418" t="n"/>
    </row>
    <row r="75">
      <c r="A75" s="702" t="n"/>
      <c r="F75" s="907" t="n"/>
    </row>
    <row r="76">
      <c r="A76" s="344" t="inlineStr">
        <is>
          <t>Silence Hall (All)</t>
        </is>
      </c>
      <c r="B76" s="406" t="n"/>
      <c r="C76" s="406" t="n"/>
      <c r="D76" s="406" t="n"/>
      <c r="E76" s="406" t="n"/>
      <c r="F76" s="786" t="n"/>
    </row>
    <row r="77">
      <c r="A77" s="434" t="inlineStr">
        <is>
          <t>Atlantis Crystal</t>
        </is>
      </c>
      <c r="B77" s="425" t="inlineStr">
        <is>
          <t>SSS</t>
        </is>
      </c>
      <c r="C77" s="425" t="inlineStr">
        <is>
          <t>FTH</t>
        </is>
      </c>
      <c r="D77" s="371" t="n">
        <v>96</v>
      </c>
      <c r="E77" s="371" t="n"/>
      <c r="F77" s="386" t="inlineStr">
        <is>
          <t>Lottery Machine #2 (0.12%), Relic Forge (120 RF)</t>
        </is>
      </c>
    </row>
    <row r="78">
      <c r="A78" s="434" t="inlineStr">
        <is>
          <t>Solar Sail</t>
        </is>
      </c>
      <c r="B78" s="425" t="inlineStr">
        <is>
          <t>AAA</t>
        </is>
      </c>
      <c r="C78" s="425" t="inlineStr">
        <is>
          <t>TECH</t>
        </is>
      </c>
      <c r="D78" s="371" t="n">
        <v>72</v>
      </c>
      <c r="E78" s="371" t="n">
        <v>56</v>
      </c>
      <c r="F78" s="386" t="inlineStr">
        <is>
          <t>Lottery Machine #2 (0.06%), Rift Treasure Maps (10%)</t>
        </is>
      </c>
    </row>
    <row r="79">
      <c r="A79" s="362" t="inlineStr">
        <is>
          <t>MAX SILENCE HALL</t>
        </is>
      </c>
      <c r="B79" s="411" t="n"/>
      <c r="C79" s="411" t="n"/>
      <c r="D79" s="364">
        <f>sum(D77:E78)</f>
        <v/>
      </c>
      <c r="E79" s="411" t="n"/>
      <c r="F79" s="970" t="n"/>
    </row>
    <row r="80">
      <c r="A80" s="434" t="n"/>
      <c r="B80" s="425" t="n"/>
      <c r="C80" s="425" t="n"/>
      <c r="D80" s="425" t="n"/>
      <c r="E80" s="425" t="n"/>
      <c r="F80" s="386" t="n"/>
    </row>
    <row r="81">
      <c r="A81" s="702" t="n"/>
      <c r="F81" s="907" t="n"/>
    </row>
    <row r="82">
      <c r="A82" s="853" t="n"/>
      <c r="B82" s="685" t="inlineStr">
        <is>
          <t>Base Effect</t>
        </is>
      </c>
      <c r="F82" s="907" t="n"/>
    </row>
    <row r="83">
      <c r="A83" s="23">
        <f>A16</f>
        <v/>
      </c>
      <c r="B83" s="30">
        <f>D23+D13</f>
        <v/>
      </c>
      <c r="F83" s="907" t="n"/>
    </row>
    <row r="84">
      <c r="A84" s="23">
        <f>A26</f>
        <v/>
      </c>
      <c r="B84" s="30">
        <f>D33+D13</f>
        <v/>
      </c>
      <c r="F84" s="907" t="n"/>
    </row>
    <row r="85">
      <c r="A85" s="23">
        <f>A36</f>
        <v/>
      </c>
      <c r="B85" s="30">
        <f>D39+D13</f>
        <v/>
      </c>
      <c r="F85" s="907" t="n"/>
    </row>
    <row r="86">
      <c r="A86" s="23">
        <f>A42</f>
        <v/>
      </c>
      <c r="B86" s="30">
        <f>D45+D13</f>
        <v/>
      </c>
      <c r="F86" s="907" t="n"/>
    </row>
    <row r="87">
      <c r="A87" s="23">
        <f>A48</f>
        <v/>
      </c>
      <c r="B87" s="30">
        <f>D56+D13</f>
        <v/>
      </c>
      <c r="F87" s="907" t="n"/>
    </row>
    <row r="88">
      <c r="A88" s="23">
        <f>A59</f>
        <v/>
      </c>
      <c r="B88" s="30">
        <f>D67+D13</f>
        <v/>
      </c>
      <c r="F88" s="907" t="n"/>
    </row>
    <row r="89">
      <c r="A89" s="23">
        <f>A70</f>
        <v/>
      </c>
      <c r="B89" s="30">
        <f>D73+D13</f>
        <v/>
      </c>
      <c r="F89" s="907" t="n"/>
    </row>
    <row r="90">
      <c r="A90" s="22">
        <f>A76</f>
        <v/>
      </c>
      <c r="B90" s="51">
        <f>D79+D13</f>
        <v/>
      </c>
      <c r="C90" s="706" t="n"/>
      <c r="D90" s="706" t="n"/>
      <c r="E90" s="706" t="n"/>
      <c r="F90" s="909" t="n"/>
    </row>
    <row r="91"/>
    <row r="92"/>
    <row r="93"/>
    <row r="94"/>
    <row r="95"/>
    <row r="96">
      <c r="A96" s="344" t="inlineStr">
        <is>
          <t>DEMON GOD CABIN</t>
        </is>
      </c>
      <c r="B96" s="406" t="n"/>
      <c r="C96" s="406" t="n"/>
      <c r="D96" s="167" t="n"/>
      <c r="E96" s="167" t="n"/>
      <c r="F96" s="786" t="n"/>
    </row>
    <row r="97">
      <c r="A97" s="434" t="n"/>
      <c r="B97" s="425" t="n"/>
      <c r="C97" s="425" t="n"/>
      <c r="D97" s="371" t="n"/>
      <c r="E97" s="425" t="n"/>
      <c r="F97" s="386" t="n"/>
    </row>
    <row r="98">
      <c r="A98" s="434" t="inlineStr">
        <is>
          <t>Resonance: Orange</t>
        </is>
      </c>
      <c r="B98" s="425" t="n"/>
      <c r="C98" s="425" t="n"/>
      <c r="D98" s="425" t="n">
        <v>10</v>
      </c>
      <c r="E98" s="425" t="n"/>
      <c r="F98" s="386" t="n"/>
    </row>
    <row r="99">
      <c r="A99" s="434" t="inlineStr">
        <is>
          <t xml:space="preserve">  Mysterious Relic</t>
        </is>
      </c>
      <c r="B99" s="425" t="inlineStr">
        <is>
          <t>SSS</t>
        </is>
      </c>
      <c r="C99" s="425" t="n"/>
      <c r="D99" s="425" t="n"/>
      <c r="E99" s="425" t="n"/>
      <c r="F99" s="386" t="inlineStr">
        <is>
          <t>Unknown</t>
        </is>
      </c>
    </row>
    <row r="100">
      <c r="A100" s="434" t="inlineStr">
        <is>
          <t xml:space="preserve">  Orphic Egg</t>
        </is>
      </c>
      <c r="B100" s="425" t="inlineStr">
        <is>
          <t>SSS</t>
        </is>
      </c>
      <c r="C100" s="425" t="inlineStr">
        <is>
          <t>FTH</t>
        </is>
      </c>
      <c r="D100" s="425" t="n"/>
      <c r="E100" s="425" t="n"/>
      <c r="F100" s="386" t="inlineStr">
        <is>
          <t>Lottery Machine #2 (0.12%), Relic Forge (120 RF)</t>
        </is>
      </c>
    </row>
    <row r="101">
      <c r="A101" s="434" t="inlineStr">
        <is>
          <t xml:space="preserve">  Two-headed Serpent</t>
        </is>
      </c>
      <c r="B101" s="425" t="inlineStr">
        <is>
          <t>SSS</t>
        </is>
      </c>
      <c r="C101" s="425" t="inlineStr">
        <is>
          <t>ART</t>
        </is>
      </c>
      <c r="D101" s="425" t="n"/>
      <c r="E101" s="425" t="n"/>
      <c r="F101" s="386" t="inlineStr">
        <is>
          <t>Lottery Machine #2 (0.12%), Relic Forge (120 RF)</t>
        </is>
      </c>
    </row>
    <row r="102">
      <c r="A102" s="434" t="inlineStr">
        <is>
          <t xml:space="preserve">  Antarctic Treaty</t>
        </is>
      </c>
      <c r="B102" s="425" t="inlineStr">
        <is>
          <t>SSS</t>
        </is>
      </c>
      <c r="C102" s="425" t="inlineStr">
        <is>
          <t>FAME</t>
        </is>
      </c>
      <c r="D102" s="425" t="n"/>
      <c r="E102" s="425" t="n"/>
      <c r="F102" s="386" t="inlineStr">
        <is>
          <t>Lottery Machine #2 (0.12%)</t>
        </is>
      </c>
    </row>
    <row r="103">
      <c r="A103" s="434" t="inlineStr">
        <is>
          <t xml:space="preserve">  Black Body</t>
        </is>
      </c>
      <c r="B103" s="425" t="inlineStr">
        <is>
          <t>SSS</t>
        </is>
      </c>
      <c r="C103" s="425" t="inlineStr">
        <is>
          <t>TECH</t>
        </is>
      </c>
      <c r="D103" s="425" t="n"/>
      <c r="E103" s="425" t="n"/>
      <c r="F103" s="386" t="inlineStr">
        <is>
          <t>Lottery Machine #2 (0.12%)</t>
        </is>
      </c>
    </row>
    <row r="104">
      <c r="A104" s="362" t="inlineStr">
        <is>
          <t>MAX DEMON GOD CABIN</t>
        </is>
      </c>
      <c r="B104" s="411" t="n"/>
      <c r="C104" s="411" t="n"/>
      <c r="D104" s="364">
        <f>sum(D97:E103)</f>
        <v/>
      </c>
      <c r="E104" s="411" t="n"/>
      <c r="F104" s="970" t="n"/>
    </row>
    <row r="105">
      <c r="A105" s="434" t="n"/>
      <c r="B105" s="425" t="n"/>
      <c r="C105" s="425" t="n"/>
      <c r="D105" s="425" t="n"/>
      <c r="E105" s="425" t="n"/>
      <c r="F105" s="386" t="n"/>
    </row>
    <row r="106">
      <c r="A106" s="434" t="n"/>
      <c r="B106" s="425" t="n"/>
      <c r="C106" s="425" t="n"/>
      <c r="D106" s="425" t="n"/>
      <c r="E106" s="425" t="n"/>
      <c r="F106" s="386" t="n"/>
    </row>
    <row r="107">
      <c r="A107" s="161" t="inlineStr">
        <is>
          <t>Particle Accelerator (Demon)</t>
        </is>
      </c>
      <c r="B107" s="406" t="n"/>
      <c r="C107" s="406" t="n"/>
      <c r="D107" s="406" t="n"/>
      <c r="E107" s="406" t="n"/>
      <c r="F107" s="786" t="n"/>
    </row>
    <row r="108">
      <c r="A108" s="434" t="inlineStr">
        <is>
          <t>Rutherford Model</t>
        </is>
      </c>
      <c r="B108" s="425" t="inlineStr">
        <is>
          <t>SS</t>
        </is>
      </c>
      <c r="C108" s="425" t="inlineStr">
        <is>
          <t>TECH</t>
        </is>
      </c>
      <c r="D108" s="371" t="n">
        <v>88</v>
      </c>
      <c r="E108" s="371" t="n"/>
      <c r="F108" s="386" t="inlineStr">
        <is>
          <t>Lottery Machine #2 (0.23%)</t>
        </is>
      </c>
    </row>
    <row r="109">
      <c r="A109" s="434" t="inlineStr">
        <is>
          <t>Lissajous Figure</t>
        </is>
      </c>
      <c r="B109" s="425" t="inlineStr">
        <is>
          <t>Blue</t>
        </is>
      </c>
      <c r="C109" s="425" t="inlineStr">
        <is>
          <t>TECH</t>
        </is>
      </c>
      <c r="D109" s="371" t="n">
        <v>40</v>
      </c>
      <c r="E109" s="371" t="n">
        <v>40</v>
      </c>
      <c r="F109" s="386" t="inlineStr">
        <is>
          <t>Lottery Machine #2 (0.03%)</t>
        </is>
      </c>
    </row>
    <row r="110">
      <c r="A110" s="434" t="n"/>
      <c r="B110" s="425" t="n"/>
      <c r="C110" s="425" t="n"/>
      <c r="D110" s="371" t="n"/>
      <c r="E110" s="425" t="n"/>
      <c r="F110" s="386" t="n"/>
    </row>
    <row r="111">
      <c r="A111" s="434" t="inlineStr">
        <is>
          <t>Resonance: Orange</t>
        </is>
      </c>
      <c r="B111" s="425" t="n"/>
      <c r="C111" s="425" t="n"/>
      <c r="D111" s="425" t="n">
        <v>56</v>
      </c>
      <c r="E111" s="425" t="n"/>
      <c r="F111" s="386" t="n"/>
    </row>
    <row r="112">
      <c r="A112" s="434" t="inlineStr">
        <is>
          <t xml:space="preserve">  Lawrence's Cyclotron</t>
        </is>
      </c>
      <c r="B112" s="425" t="inlineStr">
        <is>
          <t>SSS</t>
        </is>
      </c>
      <c r="C112" s="425" t="inlineStr">
        <is>
          <t>TECH</t>
        </is>
      </c>
      <c r="D112" s="425" t="n"/>
      <c r="E112" s="425" t="n"/>
      <c r="F112" s="386" t="inlineStr">
        <is>
          <t>Lottery Machine #2 (0.12%)</t>
        </is>
      </c>
    </row>
    <row r="113">
      <c r="A113" s="434" t="inlineStr">
        <is>
          <t xml:space="preserve">  AMS</t>
        </is>
      </c>
      <c r="B113" s="425" t="inlineStr">
        <is>
          <t>SS</t>
        </is>
      </c>
      <c r="C113" s="425" t="inlineStr">
        <is>
          <t>TECH</t>
        </is>
      </c>
      <c r="D113" s="425" t="n"/>
      <c r="E113" s="425" t="n"/>
      <c r="F113" s="386" t="inlineStr">
        <is>
          <t>Lottery Machine #2 (0.47%), Indigent Nobleman (570K B-tads)</t>
        </is>
      </c>
    </row>
    <row r="114">
      <c r="A114" s="362" t="inlineStr">
        <is>
          <t>MAX PARTICLE ACCELERATOR</t>
        </is>
      </c>
      <c r="B114" s="411" t="n"/>
      <c r="C114" s="411" t="n"/>
      <c r="D114" s="364">
        <f>sum(D108:E113)</f>
        <v/>
      </c>
      <c r="E114" s="411" t="n"/>
      <c r="F114" s="970" t="n"/>
    </row>
    <row r="115">
      <c r="A115" s="434" t="n"/>
      <c r="B115" s="425" t="n"/>
      <c r="C115" s="425" t="n"/>
      <c r="D115" s="425" t="n"/>
      <c r="E115" s="425" t="n"/>
      <c r="F115" s="386" t="n"/>
    </row>
    <row r="116">
      <c r="A116" s="702" t="n"/>
      <c r="F116" s="907" t="n"/>
    </row>
    <row r="117">
      <c r="A117" s="168" t="inlineStr">
        <is>
          <t>Assist System (Dragon)</t>
        </is>
      </c>
      <c r="B117" s="162" t="n"/>
      <c r="C117" s="162" t="n"/>
      <c r="D117" s="162" t="n"/>
      <c r="E117" s="162" t="n"/>
      <c r="F117" s="786" t="n"/>
    </row>
    <row r="118">
      <c r="A118" s="434" t="inlineStr">
        <is>
          <t>Grimmy Award</t>
        </is>
      </c>
      <c r="B118" s="425" t="inlineStr">
        <is>
          <t>SS</t>
        </is>
      </c>
      <c r="C118" s="425" t="inlineStr">
        <is>
          <t>FAME</t>
        </is>
      </c>
      <c r="D118" s="371" t="n">
        <v>88</v>
      </c>
      <c r="E118" s="371" t="n"/>
      <c r="F118" s="386" t="inlineStr">
        <is>
          <t>Lottery Machine #2 (0.35%)</t>
        </is>
      </c>
    </row>
    <row r="119">
      <c r="A119" s="434" t="inlineStr">
        <is>
          <t>The Prayer</t>
        </is>
      </c>
      <c r="B119" s="425" t="inlineStr">
        <is>
          <t>Blue</t>
        </is>
      </c>
      <c r="C119" s="425" t="inlineStr">
        <is>
          <t>ART</t>
        </is>
      </c>
      <c r="D119" s="371" t="n">
        <v>40</v>
      </c>
      <c r="E119" s="371" t="n">
        <v>40</v>
      </c>
      <c r="F119" s="386" t="inlineStr">
        <is>
          <t>Lottery Machine #2 (0.03%)</t>
        </is>
      </c>
    </row>
    <row r="120">
      <c r="A120" s="434" t="n"/>
      <c r="B120" s="425" t="n"/>
      <c r="C120" s="425" t="n"/>
      <c r="D120" s="371" t="n"/>
      <c r="E120" s="425" t="n"/>
      <c r="F120" s="386" t="n"/>
    </row>
    <row r="121">
      <c r="A121" s="434" t="inlineStr">
        <is>
          <t>Resonance: Orange</t>
        </is>
      </c>
      <c r="B121" s="425" t="n"/>
      <c r="C121" s="425" t="n"/>
      <c r="D121" s="425" t="n">
        <v>56</v>
      </c>
      <c r="E121" s="425" t="n"/>
      <c r="F121" s="386" t="n"/>
    </row>
    <row r="122">
      <c r="A122" s="434" t="inlineStr">
        <is>
          <t xml:space="preserve">  Pride &amp; Prejudice</t>
        </is>
      </c>
      <c r="B122" s="425" t="inlineStr">
        <is>
          <t>S</t>
        </is>
      </c>
      <c r="C122" s="425" t="inlineStr">
        <is>
          <t>CIV</t>
        </is>
      </c>
      <c r="D122" s="425" t="n"/>
      <c r="E122" s="425" t="n"/>
      <c r="F122" s="386" t="inlineStr">
        <is>
          <t>Lottery Machine #2 (1.59%)</t>
        </is>
      </c>
    </row>
    <row r="123">
      <c r="A123" s="434" t="inlineStr">
        <is>
          <t xml:space="preserve">  Grimmy Award</t>
        </is>
      </c>
      <c r="B123" s="425" t="inlineStr">
        <is>
          <t>SS</t>
        </is>
      </c>
      <c r="C123" s="425" t="inlineStr">
        <is>
          <t>FAME</t>
        </is>
      </c>
      <c r="D123" s="425" t="n"/>
      <c r="E123" s="425" t="n"/>
      <c r="F123" s="386" t="inlineStr">
        <is>
          <t>Lottery Machine #2 (0.35%)</t>
        </is>
      </c>
    </row>
    <row r="124">
      <c r="A124" s="362" t="inlineStr">
        <is>
          <t>MAX ASSIST SYSTEM</t>
        </is>
      </c>
      <c r="B124" s="411" t="n"/>
      <c r="C124" s="411" t="n"/>
      <c r="D124" s="364">
        <f>sum(D118:E123)</f>
        <v/>
      </c>
      <c r="E124" s="411" t="n"/>
      <c r="F124" s="970" t="n"/>
    </row>
    <row r="125">
      <c r="A125" s="434" t="n"/>
      <c r="B125" s="425" t="n"/>
      <c r="C125" s="425" t="n"/>
      <c r="D125" s="425" t="n"/>
      <c r="E125" s="425" t="n"/>
      <c r="F125" s="386" t="n"/>
    </row>
    <row r="126">
      <c r="A126" s="702" t="n"/>
      <c r="F126" s="907" t="n"/>
    </row>
    <row r="127">
      <c r="A127" s="161" t="inlineStr">
        <is>
          <t>Orbit Assimilator (Mecha)</t>
        </is>
      </c>
      <c r="B127" s="162" t="n"/>
      <c r="C127" s="162" t="n"/>
      <c r="D127" s="162" t="n"/>
      <c r="E127" s="162" t="n"/>
      <c r="F127" s="786" t="n"/>
    </row>
    <row r="128">
      <c r="A128" s="434" t="inlineStr">
        <is>
          <t>Ruska's Microscope</t>
        </is>
      </c>
      <c r="B128" s="425" t="inlineStr">
        <is>
          <t>SS</t>
        </is>
      </c>
      <c r="C128" s="425" t="inlineStr">
        <is>
          <t>TECH</t>
        </is>
      </c>
      <c r="D128" s="371" t="n">
        <v>88</v>
      </c>
      <c r="E128" s="371" t="n"/>
      <c r="F128" s="386" t="inlineStr">
        <is>
          <t>Lottery Machine #2 (0.35%)</t>
        </is>
      </c>
    </row>
    <row r="129">
      <c r="A129" s="434" t="inlineStr">
        <is>
          <t>Montgolfier Balloon</t>
        </is>
      </c>
      <c r="B129" s="425" t="inlineStr">
        <is>
          <t>Blue</t>
        </is>
      </c>
      <c r="C129" s="425" t="inlineStr">
        <is>
          <t>FAME</t>
        </is>
      </c>
      <c r="D129" s="371" t="n">
        <v>40</v>
      </c>
      <c r="E129" s="371" t="n">
        <v>40</v>
      </c>
      <c r="F129" s="386" t="inlineStr">
        <is>
          <t>Lottery Machine #2 (0.03%)</t>
        </is>
      </c>
    </row>
    <row r="130">
      <c r="A130" s="362" t="inlineStr">
        <is>
          <t>MAX ORBIT ASSIMILATOR</t>
        </is>
      </c>
      <c r="B130" s="411" t="n"/>
      <c r="C130" s="411" t="n"/>
      <c r="D130" s="364">
        <f>sum(D128:E129)</f>
        <v/>
      </c>
      <c r="E130" s="411" t="n"/>
      <c r="F130" s="970" t="n"/>
    </row>
    <row r="131">
      <c r="A131" s="434" t="n"/>
      <c r="B131" s="425" t="n"/>
      <c r="C131" s="425" t="n"/>
      <c r="D131" s="425" t="n"/>
      <c r="E131" s="425" t="n"/>
      <c r="F131" s="386" t="n"/>
    </row>
    <row r="132">
      <c r="A132" s="702" t="n"/>
      <c r="F132" s="907" t="n"/>
    </row>
    <row r="133">
      <c r="A133" s="161" t="inlineStr">
        <is>
          <t>Gravity Propeller (Mutant)</t>
        </is>
      </c>
      <c r="B133" s="406" t="n"/>
      <c r="C133" s="406" t="n"/>
      <c r="D133" s="406" t="n"/>
      <c r="E133" s="406" t="n"/>
      <c r="F133" s="786" t="n"/>
    </row>
    <row r="134">
      <c r="A134" s="434" t="inlineStr">
        <is>
          <t>Zircon of Jack Hills</t>
        </is>
      </c>
      <c r="B134" s="425" t="inlineStr">
        <is>
          <t>SS</t>
        </is>
      </c>
      <c r="C134" s="425" t="inlineStr">
        <is>
          <t>FAME</t>
        </is>
      </c>
      <c r="D134" s="371" t="n">
        <v>88</v>
      </c>
      <c r="E134" s="371" t="n"/>
      <c r="F134" s="386" t="inlineStr">
        <is>
          <t>Lottery Machine #2 (0.47%)</t>
        </is>
      </c>
    </row>
    <row r="135">
      <c r="A135" s="434" t="inlineStr">
        <is>
          <t>The Fall of Phaethon</t>
        </is>
      </c>
      <c r="B135" s="425" t="inlineStr">
        <is>
          <t>Blue</t>
        </is>
      </c>
      <c r="C135" s="425" t="inlineStr">
        <is>
          <t>ART</t>
        </is>
      </c>
      <c r="D135" s="371" t="n">
        <v>40</v>
      </c>
      <c r="E135" s="371" t="n">
        <v>40</v>
      </c>
      <c r="F135" s="386" t="inlineStr">
        <is>
          <t>Lottery Machine #2 (0.03%), Indigent Nobleman (72K B-tads)</t>
        </is>
      </c>
    </row>
    <row r="136">
      <c r="A136" s="362" t="inlineStr">
        <is>
          <t>MAX GRAVITY PROPELLER</t>
        </is>
      </c>
      <c r="B136" s="411" t="n"/>
      <c r="C136" s="411" t="n"/>
      <c r="D136" s="364">
        <f>sum(D134:E135)</f>
        <v/>
      </c>
      <c r="E136" s="411" t="n"/>
      <c r="F136" s="426" t="n"/>
    </row>
    <row r="137">
      <c r="A137" s="434" t="n"/>
      <c r="B137" s="425" t="n"/>
      <c r="C137" s="425" t="n"/>
      <c r="D137" s="425" t="n"/>
      <c r="E137" s="425" t="n"/>
      <c r="F137" s="418" t="n"/>
    </row>
    <row r="138">
      <c r="A138" s="702" t="n"/>
      <c r="F138" s="907" t="n"/>
    </row>
    <row r="139">
      <c r="A139" s="161" t="inlineStr">
        <is>
          <t>Demon God Matrix (Demon)</t>
        </is>
      </c>
      <c r="B139" s="406" t="n"/>
      <c r="C139" s="406" t="n"/>
      <c r="D139" s="406" t="n"/>
      <c r="E139" s="406" t="n"/>
      <c r="F139" s="129" t="n"/>
    </row>
    <row r="140">
      <c r="A140" s="434" t="inlineStr">
        <is>
          <t>The Silver Key</t>
        </is>
      </c>
      <c r="B140" s="425" t="inlineStr">
        <is>
          <t>SSS</t>
        </is>
      </c>
      <c r="C140" s="425" t="inlineStr">
        <is>
          <t>FTH</t>
        </is>
      </c>
      <c r="D140" s="371" t="n">
        <v>96</v>
      </c>
      <c r="E140" s="371" t="n"/>
      <c r="F140" s="418" t="inlineStr">
        <is>
          <t>Rift Treasure Maps (0.01%), Lottery Machine #2 (0.12%)</t>
        </is>
      </c>
    </row>
    <row r="141">
      <c r="A141" s="434" t="inlineStr">
        <is>
          <t>Celaeno Fragments</t>
        </is>
      </c>
      <c r="B141" s="425" t="inlineStr">
        <is>
          <t>AA</t>
        </is>
      </c>
      <c r="C141" s="425" t="inlineStr">
        <is>
          <t>FTH</t>
        </is>
      </c>
      <c r="D141" s="371" t="n">
        <v>64</v>
      </c>
      <c r="E141" s="371" t="n">
        <v>56</v>
      </c>
      <c r="F141" s="386" t="inlineStr">
        <is>
          <t>Lottery Machine #2 (0.12%)</t>
        </is>
      </c>
    </row>
    <row r="142">
      <c r="A142" s="434" t="n"/>
      <c r="B142" s="425" t="n"/>
      <c r="C142" s="425" t="n"/>
      <c r="D142" s="371" t="n"/>
      <c r="E142" s="425" t="n"/>
      <c r="F142" s="418" t="n"/>
    </row>
    <row r="143">
      <c r="A143" s="434" t="inlineStr">
        <is>
          <t>Resonance: Orange</t>
        </is>
      </c>
      <c r="B143" s="425" t="n"/>
      <c r="C143" s="425" t="n"/>
      <c r="D143" s="425" t="n">
        <v>64</v>
      </c>
      <c r="E143" s="425" t="n"/>
      <c r="F143" s="418" t="n"/>
    </row>
    <row r="144">
      <c r="A144" s="434" t="inlineStr">
        <is>
          <t xml:space="preserve">  L'Art de la Guerre</t>
        </is>
      </c>
      <c r="B144" s="425" t="inlineStr">
        <is>
          <t>SSS</t>
        </is>
      </c>
      <c r="C144" s="425" t="inlineStr">
        <is>
          <t>FAME</t>
        </is>
      </c>
      <c r="D144" s="425" t="n"/>
      <c r="E144" s="425" t="n"/>
      <c r="F144" s="418" t="inlineStr">
        <is>
          <t>Star Chart Shop</t>
        </is>
      </c>
    </row>
    <row r="145">
      <c r="A145" s="434" t="inlineStr">
        <is>
          <t xml:space="preserve">  Bronze Longhu Cup</t>
        </is>
      </c>
      <c r="B145" s="425" t="inlineStr">
        <is>
          <t>SSS</t>
        </is>
      </c>
      <c r="C145" s="425" t="n"/>
      <c r="D145" s="425" t="n"/>
      <c r="E145" s="425" t="n"/>
      <c r="F145" s="390" t="inlineStr">
        <is>
          <t>Lottery Machine #2 (?%), Relic Forge (120 RF)</t>
        </is>
      </c>
    </row>
    <row r="146">
      <c r="A146" s="434" t="inlineStr">
        <is>
          <t xml:space="preserve">  Ludovisi Ares</t>
        </is>
      </c>
      <c r="B146" s="425" t="inlineStr">
        <is>
          <t>SSS</t>
        </is>
      </c>
      <c r="C146" s="425" t="inlineStr">
        <is>
          <t>FAME</t>
        </is>
      </c>
      <c r="D146" s="425" t="n"/>
      <c r="E146" s="425" t="n"/>
      <c r="F146" s="386" t="inlineStr">
        <is>
          <t>Star Chart Shop</t>
        </is>
      </c>
    </row>
    <row r="147">
      <c r="A147" s="362" t="inlineStr">
        <is>
          <t>MAX DEMON GOD MATRIX</t>
        </is>
      </c>
      <c r="B147" s="411" t="n"/>
      <c r="C147" s="411" t="n"/>
      <c r="D147" s="364">
        <f>sum(D140:E146)</f>
        <v/>
      </c>
      <c r="E147" s="411" t="n"/>
      <c r="F147" s="426" t="n"/>
    </row>
    <row r="148">
      <c r="A148" s="434" t="n"/>
      <c r="B148" s="425" t="n"/>
      <c r="C148" s="425" t="n"/>
      <c r="D148" s="425" t="n"/>
      <c r="E148" s="425" t="n"/>
      <c r="F148" s="418" t="n"/>
    </row>
    <row r="149">
      <c r="A149" s="702" t="n"/>
      <c r="F149" s="907" t="n"/>
    </row>
    <row r="150">
      <c r="A150" s="344" t="inlineStr">
        <is>
          <t>Curvature Engine (Dragon)</t>
        </is>
      </c>
      <c r="B150" s="406" t="n"/>
      <c r="C150" s="406" t="n"/>
      <c r="D150" s="406" t="n"/>
      <c r="E150" s="406" t="n"/>
      <c r="F150" s="129" t="n"/>
    </row>
    <row r="151">
      <c r="A151" s="434" t="inlineStr">
        <is>
          <t>Wilford's Engine</t>
        </is>
      </c>
      <c r="B151" s="425" t="inlineStr">
        <is>
          <t>SSS</t>
        </is>
      </c>
      <c r="C151" s="425" t="inlineStr">
        <is>
          <t>TECH</t>
        </is>
      </c>
      <c r="D151" s="371" t="n">
        <v>96</v>
      </c>
      <c r="E151" s="371" t="n"/>
      <c r="F151" s="386" t="inlineStr">
        <is>
          <t>Lottery Machine #2 (0.12%), Relic Forge (120 RF)</t>
        </is>
      </c>
    </row>
    <row r="152">
      <c r="A152" s="434" t="inlineStr">
        <is>
          <t>Newton's Prism</t>
        </is>
      </c>
      <c r="B152" s="425" t="inlineStr">
        <is>
          <t>AA</t>
        </is>
      </c>
      <c r="C152" s="425" t="inlineStr">
        <is>
          <t>TECH</t>
        </is>
      </c>
      <c r="D152" s="371" t="n">
        <v>64</v>
      </c>
      <c r="E152" s="371" t="n">
        <v>56</v>
      </c>
      <c r="F152" s="386" t="inlineStr">
        <is>
          <t>Lottery Machine #2 (?%)</t>
        </is>
      </c>
    </row>
    <row r="153">
      <c r="A153" s="434" t="n"/>
      <c r="B153" s="425" t="n"/>
      <c r="C153" s="425" t="n"/>
      <c r="D153" s="371" t="n"/>
      <c r="E153" s="425" t="n"/>
      <c r="F153" s="418" t="n"/>
    </row>
    <row r="154">
      <c r="A154" s="434" t="inlineStr">
        <is>
          <t>Resonance: Orange</t>
        </is>
      </c>
      <c r="B154" s="425" t="n"/>
      <c r="C154" s="425" t="n"/>
      <c r="D154" s="425" t="n">
        <v>64</v>
      </c>
      <c r="E154" s="425" t="n"/>
      <c r="F154" s="418" t="n"/>
    </row>
    <row r="155">
      <c r="A155" s="434" t="inlineStr">
        <is>
          <t xml:space="preserve">  Great Mogul Diamond</t>
        </is>
      </c>
      <c r="B155" s="425" t="inlineStr">
        <is>
          <t>SSS</t>
        </is>
      </c>
      <c r="C155" s="425" t="inlineStr">
        <is>
          <t>ART</t>
        </is>
      </c>
      <c r="D155" s="425" t="n"/>
      <c r="E155" s="425" t="n"/>
      <c r="F155" s="386" t="inlineStr">
        <is>
          <t>Badge Shop</t>
        </is>
      </c>
    </row>
    <row r="156">
      <c r="A156" s="434" t="inlineStr">
        <is>
          <t xml:space="preserve">  Columbus Chart</t>
        </is>
      </c>
      <c r="B156" s="425" t="inlineStr">
        <is>
          <t>SSS</t>
        </is>
      </c>
      <c r="C156" s="425" t="inlineStr">
        <is>
          <t>FAME</t>
        </is>
      </c>
      <c r="D156" s="425" t="n"/>
      <c r="E156" s="425" t="n"/>
      <c r="F156" s="386" t="inlineStr">
        <is>
          <t>Daily Relic Pack Relic #24</t>
        </is>
      </c>
    </row>
    <row r="157">
      <c r="A157" s="434" t="inlineStr">
        <is>
          <t xml:space="preserve">  Ancient Dragon Crystal</t>
        </is>
      </c>
      <c r="B157" s="425" t="inlineStr">
        <is>
          <t>SSS</t>
        </is>
      </c>
      <c r="C157" s="425" t="inlineStr">
        <is>
          <t>FTH</t>
        </is>
      </c>
      <c r="D157" s="425" t="n"/>
      <c r="E157" s="425" t="n"/>
      <c r="F157" s="386" t="inlineStr">
        <is>
          <t>Ultimate Divine Dragon Reward</t>
        </is>
      </c>
    </row>
    <row r="158">
      <c r="A158" s="362" t="inlineStr">
        <is>
          <t>MAX CURVATURE ENGINE</t>
        </is>
      </c>
      <c r="B158" s="411" t="n"/>
      <c r="C158" s="411" t="n"/>
      <c r="D158" s="364">
        <f>sum(D151:E157)</f>
        <v/>
      </c>
      <c r="E158" s="411" t="n"/>
      <c r="F158" s="426" t="n"/>
    </row>
    <row r="159">
      <c r="A159" s="434" t="n"/>
      <c r="B159" s="425" t="n"/>
      <c r="C159" s="425" t="n"/>
      <c r="D159" s="425" t="n"/>
      <c r="E159" s="425" t="n"/>
      <c r="F159" s="418" t="n"/>
    </row>
    <row r="160">
      <c r="A160" s="702" t="n"/>
      <c r="F160" s="907" t="n"/>
    </row>
    <row r="161">
      <c r="A161" s="344" t="inlineStr">
        <is>
          <t>Apocalypse Hall (All)</t>
        </is>
      </c>
      <c r="B161" s="406" t="n"/>
      <c r="C161" s="406" t="n"/>
      <c r="D161" s="406" t="n"/>
      <c r="E161" s="406" t="n"/>
      <c r="F161" s="129" t="n"/>
    </row>
    <row r="162">
      <c r="A162" s="434" t="inlineStr">
        <is>
          <t>Crime and Punishment</t>
        </is>
      </c>
      <c r="B162" s="425" t="inlineStr">
        <is>
          <t>SSS</t>
        </is>
      </c>
      <c r="C162" s="425" t="inlineStr">
        <is>
          <t>CIV</t>
        </is>
      </c>
      <c r="D162" s="371" t="n">
        <v>96</v>
      </c>
      <c r="E162" s="371" t="n"/>
      <c r="F162" s="386" t="inlineStr">
        <is>
          <t>Lottery Machine #2 (0.12%)</t>
        </is>
      </c>
    </row>
    <row r="163">
      <c r="A163" s="434" t="inlineStr">
        <is>
          <t>CAL 9000</t>
        </is>
      </c>
      <c r="B163" s="425" t="inlineStr">
        <is>
          <t>AAA</t>
        </is>
      </c>
      <c r="C163" s="425" t="inlineStr">
        <is>
          <t>TECH</t>
        </is>
      </c>
      <c r="D163" s="371" t="n">
        <v>72</v>
      </c>
      <c r="E163" s="371" t="n">
        <v>56</v>
      </c>
      <c r="F163" s="386" t="inlineStr">
        <is>
          <t>Lottery Machine #2 (0.06%), Indigent Nobleman (210K B-tads)</t>
        </is>
      </c>
    </row>
    <row r="164">
      <c r="A164" s="362" t="inlineStr">
        <is>
          <t>MAX APOCALYPSE HALL</t>
        </is>
      </c>
      <c r="B164" s="411" t="n"/>
      <c r="C164" s="411" t="n"/>
      <c r="D164" s="364">
        <f>sum(D162:E163)</f>
        <v/>
      </c>
      <c r="E164" s="411" t="n"/>
      <c r="F164" s="970" t="n"/>
    </row>
    <row r="165">
      <c r="A165" s="434" t="n"/>
      <c r="B165" s="425" t="n"/>
      <c r="C165" s="425" t="n"/>
      <c r="D165" s="425" t="n"/>
      <c r="E165" s="425" t="n"/>
      <c r="F165" s="386" t="n"/>
    </row>
    <row r="166">
      <c r="A166" s="702" t="n"/>
      <c r="F166" s="907" t="n"/>
    </row>
    <row r="167">
      <c r="A167" s="344" t="inlineStr">
        <is>
          <t>Eternal Hall (All)</t>
        </is>
      </c>
      <c r="B167" s="406" t="n"/>
      <c r="C167" s="406" t="n"/>
      <c r="D167" s="406" t="n"/>
      <c r="E167" s="406" t="n"/>
      <c r="F167" s="786" t="n"/>
    </row>
    <row r="168">
      <c r="A168" s="434" t="inlineStr">
        <is>
          <t>Enuma Elish</t>
        </is>
      </c>
      <c r="B168" s="425" t="inlineStr">
        <is>
          <t>SSS</t>
        </is>
      </c>
      <c r="C168" s="425" t="inlineStr">
        <is>
          <t>FTH</t>
        </is>
      </c>
      <c r="D168" s="371" t="n">
        <v>96</v>
      </c>
      <c r="E168" s="371" t="n"/>
      <c r="F168" s="386" t="inlineStr">
        <is>
          <t>Lottery Machine #2 (0.12%), Indigent Nobelman (810k B-tads)</t>
        </is>
      </c>
    </row>
    <row r="169">
      <c r="A169" s="434" t="inlineStr">
        <is>
          <t>Theory of Population</t>
        </is>
      </c>
      <c r="B169" s="425" t="inlineStr">
        <is>
          <t>AAA</t>
        </is>
      </c>
      <c r="C169" s="425" t="inlineStr">
        <is>
          <t>FAME</t>
        </is>
      </c>
      <c r="D169" s="371" t="n">
        <v>72</v>
      </c>
      <c r="E169" s="371" t="n">
        <v>56</v>
      </c>
      <c r="F169" s="386" t="inlineStr">
        <is>
          <t>Lottery Machine #2 (0.06%)</t>
        </is>
      </c>
    </row>
    <row r="170">
      <c r="A170" s="362" t="inlineStr">
        <is>
          <t>MAX ETERNAL HALL</t>
        </is>
      </c>
      <c r="B170" s="411" t="n"/>
      <c r="C170" s="411" t="n"/>
      <c r="D170" s="364">
        <f>sum(D168:E169)</f>
        <v/>
      </c>
      <c r="E170" s="411" t="n"/>
      <c r="F170" s="426" t="n"/>
    </row>
    <row r="171">
      <c r="A171" s="434" t="n"/>
      <c r="B171" s="425" t="n"/>
      <c r="C171" s="425" t="n"/>
      <c r="D171" s="425" t="n"/>
      <c r="E171" s="425" t="n"/>
      <c r="F171" s="418" t="n"/>
    </row>
    <row r="172">
      <c r="A172" s="702" t="n"/>
      <c r="F172" s="907" t="n"/>
    </row>
    <row r="173">
      <c r="A173" s="853" t="n"/>
      <c r="B173" s="685" t="inlineStr">
        <is>
          <t>Base Effect</t>
        </is>
      </c>
      <c r="F173" s="907" t="n"/>
    </row>
    <row r="174">
      <c r="A174" s="23">
        <f>A107</f>
        <v/>
      </c>
      <c r="B174" s="30">
        <f>D114+D104</f>
        <v/>
      </c>
      <c r="F174" s="907" t="n"/>
    </row>
    <row r="175">
      <c r="A175" s="23">
        <f>A117</f>
        <v/>
      </c>
      <c r="B175" s="30">
        <f>D124+D104</f>
        <v/>
      </c>
      <c r="F175" s="907" t="n"/>
    </row>
    <row r="176">
      <c r="A176" s="23">
        <f>A127</f>
        <v/>
      </c>
      <c r="B176" s="30">
        <f>D130+D104</f>
        <v/>
      </c>
      <c r="F176" s="907" t="n"/>
    </row>
    <row r="177">
      <c r="A177" s="23">
        <f>A133</f>
        <v/>
      </c>
      <c r="B177" s="30">
        <f>D136+D104</f>
        <v/>
      </c>
      <c r="F177" s="907" t="n"/>
    </row>
    <row r="178">
      <c r="A178" s="23">
        <f>A139</f>
        <v/>
      </c>
      <c r="B178" s="30">
        <f>D147+D104</f>
        <v/>
      </c>
      <c r="F178" s="907" t="n"/>
    </row>
    <row r="179">
      <c r="A179" s="23">
        <f>A150</f>
        <v/>
      </c>
      <c r="B179" s="30">
        <f>D158+D104</f>
        <v/>
      </c>
      <c r="F179" s="907" t="n"/>
    </row>
    <row r="180">
      <c r="A180" s="23">
        <f>A161</f>
        <v/>
      </c>
      <c r="B180" s="30">
        <f>D164+D104</f>
        <v/>
      </c>
      <c r="F180" s="907" t="n"/>
    </row>
    <row r="181">
      <c r="A181" s="22">
        <f>A167</f>
        <v/>
      </c>
      <c r="B181" s="51">
        <f>D170+D104</f>
        <v/>
      </c>
      <c r="C181" s="706" t="n"/>
      <c r="D181" s="706" t="n"/>
      <c r="E181" s="706" t="n"/>
      <c r="F181" s="909" t="n"/>
    </row>
    <row r="182"/>
    <row r="183"/>
    <row r="184"/>
    <row r="185"/>
    <row r="186"/>
    <row r="187">
      <c r="A187" s="344" t="inlineStr">
        <is>
          <t>GAIA CABIN</t>
        </is>
      </c>
      <c r="B187" s="406" t="n"/>
      <c r="C187" s="406" t="n"/>
      <c r="D187" s="167" t="n"/>
      <c r="E187" s="167" t="n"/>
      <c r="F187" s="169" t="n"/>
    </row>
    <row r="188">
      <c r="A188" s="434" t="inlineStr">
        <is>
          <t>Parker Solar Probe</t>
        </is>
      </c>
      <c r="B188" s="425" t="inlineStr">
        <is>
          <t>SSS</t>
        </is>
      </c>
      <c r="C188" s="425" t="inlineStr">
        <is>
          <t>TECH</t>
        </is>
      </c>
      <c r="D188" s="371" t="n">
        <v>12</v>
      </c>
      <c r="E188" s="371" t="n"/>
      <c r="F188" s="386" t="inlineStr">
        <is>
          <t>Indigent Nobleman (810K B-tads), Lottery Machine #2 (0.11%)</t>
        </is>
      </c>
    </row>
    <row r="189">
      <c r="A189" s="434" t="n"/>
      <c r="B189" s="425" t="n"/>
      <c r="C189" s="425" t="n"/>
      <c r="D189" s="371" t="n"/>
      <c r="E189" s="425" t="n"/>
      <c r="F189" s="386" t="n"/>
    </row>
    <row r="190">
      <c r="A190" s="434" t="inlineStr">
        <is>
          <t>Resonance: Orange</t>
        </is>
      </c>
      <c r="B190" s="425" t="n"/>
      <c r="C190" s="425" t="n"/>
      <c r="D190" s="425" t="n">
        <v>10</v>
      </c>
      <c r="E190" s="425" t="n"/>
      <c r="F190" s="386" t="n"/>
    </row>
    <row r="191">
      <c r="A191" s="434" t="inlineStr">
        <is>
          <t xml:space="preserve">  Mysterious Relic</t>
        </is>
      </c>
      <c r="B191" s="425" t="inlineStr">
        <is>
          <t>SSS</t>
        </is>
      </c>
      <c r="C191" s="425" t="n"/>
      <c r="D191" s="425" t="n"/>
      <c r="E191" s="425" t="n"/>
      <c r="F191" s="386" t="inlineStr">
        <is>
          <t>Unknown</t>
        </is>
      </c>
    </row>
    <row r="192">
      <c r="A192" s="434" t="inlineStr">
        <is>
          <t xml:space="preserve">  Holy Grail</t>
        </is>
      </c>
      <c r="B192" s="425" t="inlineStr">
        <is>
          <t>SSS</t>
        </is>
      </c>
      <c r="C192" s="425" t="inlineStr">
        <is>
          <t>FTH</t>
        </is>
      </c>
      <c r="D192" s="425" t="n"/>
      <c r="E192" s="425" t="n"/>
      <c r="F192" s="386" t="inlineStr">
        <is>
          <t>Lottery Machine #2 (0.12%)</t>
        </is>
      </c>
    </row>
    <row r="193">
      <c r="A193" s="434" t="inlineStr">
        <is>
          <t xml:space="preserve">  Ansidei Madonna</t>
        </is>
      </c>
      <c r="B193" s="425" t="inlineStr">
        <is>
          <t>SSS</t>
        </is>
      </c>
      <c r="C193" s="425" t="inlineStr">
        <is>
          <t>ART</t>
        </is>
      </c>
      <c r="D193" s="425" t="n"/>
      <c r="E193" s="425" t="n"/>
      <c r="F193" s="386" t="inlineStr">
        <is>
          <t>Lottery Machine #1 (0.09%), Wishing (0.08%), Grandmaster Scrolls (0.8%)</t>
        </is>
      </c>
    </row>
    <row r="194">
      <c r="A194" s="434" t="inlineStr">
        <is>
          <t xml:space="preserve">  Nightingale Medal</t>
        </is>
      </c>
      <c r="B194" s="425" t="inlineStr">
        <is>
          <t>SSS</t>
        </is>
      </c>
      <c r="C194" s="425" t="inlineStr">
        <is>
          <t>FAME</t>
        </is>
      </c>
      <c r="D194" s="425" t="n"/>
      <c r="E194" s="425" t="n"/>
      <c r="F194" s="386" t="inlineStr">
        <is>
          <t>Lottery Machine #2 (0.12%)</t>
        </is>
      </c>
    </row>
    <row r="195">
      <c r="A195" s="434" t="inlineStr">
        <is>
          <t xml:space="preserve">  Boat of Serenity</t>
        </is>
      </c>
      <c r="B195" s="425" t="inlineStr">
        <is>
          <t>SSS</t>
        </is>
      </c>
      <c r="C195" s="425" t="inlineStr">
        <is>
          <t>CIV</t>
        </is>
      </c>
      <c r="D195" s="425" t="n"/>
      <c r="E195" s="425" t="n"/>
      <c r="F195" s="386" t="inlineStr">
        <is>
          <t>Lucky Stars Reward</t>
        </is>
      </c>
    </row>
    <row r="196">
      <c r="A196" s="362" t="inlineStr">
        <is>
          <t>MAX GAIA CABIN</t>
        </is>
      </c>
      <c r="B196" s="411" t="n"/>
      <c r="C196" s="411" t="n"/>
      <c r="D196" s="364">
        <f>sum(D188:E195)</f>
        <v/>
      </c>
      <c r="E196" s="411" t="n"/>
      <c r="F196" s="970" t="n"/>
    </row>
    <row r="197">
      <c r="A197" s="434" t="n"/>
      <c r="B197" s="425" t="n"/>
      <c r="C197" s="425" t="n"/>
      <c r="D197" s="425" t="n"/>
      <c r="E197" s="425" t="n"/>
      <c r="F197" s="386" t="n"/>
    </row>
    <row r="198">
      <c r="A198" s="434" t="n"/>
      <c r="B198" s="425" t="n"/>
      <c r="C198" s="425" t="n"/>
      <c r="D198" s="425" t="n"/>
      <c r="E198" s="425" t="n"/>
      <c r="F198" s="386" t="n"/>
    </row>
    <row r="199">
      <c r="A199" s="168" t="inlineStr">
        <is>
          <t>Rainbow Generator (Angel)</t>
        </is>
      </c>
      <c r="B199" s="406" t="n"/>
      <c r="C199" s="406" t="n"/>
      <c r="D199" s="406" t="n"/>
      <c r="E199" s="406" t="n"/>
      <c r="F199" s="786" t="n"/>
    </row>
    <row r="200">
      <c r="A200" s="434" t="inlineStr">
        <is>
          <t>Panther Brooch</t>
        </is>
      </c>
      <c r="B200" s="425" t="inlineStr">
        <is>
          <t>SS</t>
        </is>
      </c>
      <c r="C200" s="425" t="inlineStr">
        <is>
          <t>ART</t>
        </is>
      </c>
      <c r="D200" s="371" t="n">
        <v>88</v>
      </c>
      <c r="E200" s="371" t="n"/>
      <c r="F200" s="386" t="inlineStr">
        <is>
          <t>Lottery Machine #2 (0.35%)</t>
        </is>
      </c>
    </row>
    <row r="201">
      <c r="A201" s="434" t="inlineStr">
        <is>
          <t>Susan's Horn</t>
        </is>
      </c>
      <c r="B201" s="425" t="inlineStr">
        <is>
          <t>Blue</t>
        </is>
      </c>
      <c r="C201" s="425" t="inlineStr">
        <is>
          <t>FTH</t>
        </is>
      </c>
      <c r="D201" s="371" t="n">
        <v>40</v>
      </c>
      <c r="E201" s="371" t="n">
        <v>40</v>
      </c>
      <c r="F201" s="386" t="inlineStr">
        <is>
          <t>Lottery Machine #2 (0.03%)</t>
        </is>
      </c>
    </row>
    <row r="202">
      <c r="A202" s="362" t="inlineStr">
        <is>
          <t>MAX RAINBOW GENERATOR</t>
        </is>
      </c>
      <c r="B202" s="411" t="n"/>
      <c r="C202" s="411" t="n"/>
      <c r="D202" s="364">
        <f>sum(D200:E201)</f>
        <v/>
      </c>
      <c r="E202" s="411" t="n"/>
      <c r="F202" s="970" t="n"/>
    </row>
    <row r="203">
      <c r="A203" s="434" t="n"/>
      <c r="B203" s="425" t="n"/>
      <c r="C203" s="425" t="n"/>
      <c r="D203" s="425" t="n"/>
      <c r="E203" s="425" t="n"/>
      <c r="F203" s="386" t="n"/>
    </row>
    <row r="204">
      <c r="A204" s="702" t="n"/>
      <c r="F204" s="907" t="n"/>
    </row>
    <row r="205">
      <c r="A205" s="161" t="inlineStr">
        <is>
          <t>Gamma Ray (Mutant)</t>
        </is>
      </c>
      <c r="B205" s="162" t="n"/>
      <c r="C205" s="162" t="n"/>
      <c r="D205" s="162" t="n"/>
      <c r="E205" s="162" t="n"/>
      <c r="F205" s="786" t="n"/>
    </row>
    <row r="206">
      <c r="A206" s="434" t="inlineStr">
        <is>
          <t>Rutherford Model</t>
        </is>
      </c>
      <c r="B206" s="425" t="inlineStr">
        <is>
          <t>SS</t>
        </is>
      </c>
      <c r="C206" s="425" t="inlineStr">
        <is>
          <t>TECH</t>
        </is>
      </c>
      <c r="D206" s="371" t="n">
        <v>88</v>
      </c>
      <c r="E206" s="371" t="n"/>
      <c r="F206" s="386" t="inlineStr">
        <is>
          <t>Lottery Machine #2 (0.23%)</t>
        </is>
      </c>
    </row>
    <row r="207">
      <c r="A207" s="434" t="inlineStr">
        <is>
          <t>Grignard Reagent</t>
        </is>
      </c>
      <c r="B207" s="425" t="inlineStr">
        <is>
          <t>Blue</t>
        </is>
      </c>
      <c r="C207" s="425" t="inlineStr">
        <is>
          <t>TECH</t>
        </is>
      </c>
      <c r="D207" s="371" t="n">
        <v>40</v>
      </c>
      <c r="E207" s="371" t="n">
        <v>40</v>
      </c>
      <c r="F207" s="386" t="inlineStr">
        <is>
          <t>Lottery Machine #2 (0.03%)</t>
        </is>
      </c>
    </row>
    <row r="208">
      <c r="A208" s="434" t="n"/>
      <c r="B208" s="425" t="n"/>
      <c r="C208" s="425" t="n"/>
      <c r="D208" s="371" t="n"/>
      <c r="E208" s="425" t="n"/>
      <c r="F208" s="418" t="n"/>
    </row>
    <row r="209">
      <c r="A209" s="434" t="inlineStr">
        <is>
          <t>Resonance: Orange</t>
        </is>
      </c>
      <c r="B209" s="425" t="n"/>
      <c r="C209" s="425" t="n"/>
      <c r="D209" s="425" t="n">
        <v>56</v>
      </c>
      <c r="E209" s="425" t="n"/>
      <c r="F209" s="418" t="n"/>
    </row>
    <row r="210">
      <c r="A210" s="434" t="inlineStr">
        <is>
          <t xml:space="preserve">  R'lyeh Text</t>
        </is>
      </c>
      <c r="B210" s="425" t="inlineStr">
        <is>
          <t>SS</t>
        </is>
      </c>
      <c r="C210" s="425" t="inlineStr">
        <is>
          <t>FTH</t>
        </is>
      </c>
      <c r="D210" s="425" t="n"/>
      <c r="E210" s="425" t="n"/>
      <c r="F210" s="386" t="inlineStr">
        <is>
          <t>Lottery Machine #2 (0.23%)</t>
        </is>
      </c>
    </row>
    <row r="211">
      <c r="A211" s="434" t="inlineStr">
        <is>
          <t xml:space="preserve">  The Silver Key</t>
        </is>
      </c>
      <c r="B211" s="425" t="inlineStr">
        <is>
          <t>SSS</t>
        </is>
      </c>
      <c r="C211" s="425" t="inlineStr">
        <is>
          <t>FTH</t>
        </is>
      </c>
      <c r="D211" s="425" t="n"/>
      <c r="E211" s="425" t="n"/>
      <c r="F211" s="386" t="inlineStr">
        <is>
          <t>Rift Treasure Maps (0.01%), Lottery Machine #2 (0.12%)</t>
        </is>
      </c>
    </row>
    <row r="212">
      <c r="A212" s="362" t="inlineStr">
        <is>
          <t>MAX GAMMA RAY</t>
        </is>
      </c>
      <c r="B212" s="411" t="n"/>
      <c r="C212" s="411" t="n"/>
      <c r="D212" s="364">
        <f>sum(D206:E211)</f>
        <v/>
      </c>
      <c r="E212" s="411" t="n"/>
      <c r="F212" s="970" t="n"/>
    </row>
    <row r="213">
      <c r="A213" s="434" t="n"/>
      <c r="B213" s="425" t="n"/>
      <c r="C213" s="425" t="n"/>
      <c r="D213" s="425" t="n"/>
      <c r="E213" s="425" t="n"/>
      <c r="F213" s="386" t="n"/>
    </row>
    <row r="214">
      <c r="A214" s="702" t="n"/>
      <c r="F214" s="907" t="n"/>
    </row>
    <row r="215">
      <c r="A215" s="168" t="inlineStr">
        <is>
          <t>EMP (Zombie)</t>
        </is>
      </c>
      <c r="B215" s="162" t="n"/>
      <c r="C215" s="162" t="n"/>
      <c r="D215" s="162" t="n"/>
      <c r="E215" s="162" t="n"/>
      <c r="F215" s="786" t="n"/>
    </row>
    <row r="216">
      <c r="A216" s="434" t="inlineStr">
        <is>
          <t>SC Energy Storage Unit</t>
        </is>
      </c>
      <c r="B216" s="425" t="inlineStr">
        <is>
          <t>SS</t>
        </is>
      </c>
      <c r="C216" s="425" t="inlineStr">
        <is>
          <t>TECH</t>
        </is>
      </c>
      <c r="D216" s="371" t="n">
        <v>88</v>
      </c>
      <c r="E216" s="371" t="n"/>
      <c r="F216" s="386" t="inlineStr">
        <is>
          <t>Lottery Machine #2 (0.47%)</t>
        </is>
      </c>
    </row>
    <row r="217">
      <c r="A217" s="434" t="inlineStr">
        <is>
          <t>Oersted's Compass</t>
        </is>
      </c>
      <c r="B217" s="425" t="inlineStr">
        <is>
          <t>Blue</t>
        </is>
      </c>
      <c r="C217" s="425" t="inlineStr">
        <is>
          <t>TECH</t>
        </is>
      </c>
      <c r="D217" s="371" t="n">
        <v>40</v>
      </c>
      <c r="E217" s="371" t="n">
        <v>40</v>
      </c>
      <c r="F217" s="386" t="inlineStr">
        <is>
          <t>Lottery Machine #2 (0.03%)</t>
        </is>
      </c>
    </row>
    <row r="218">
      <c r="A218" s="434" t="n"/>
      <c r="B218" s="425" t="n"/>
      <c r="C218" s="425" t="n"/>
      <c r="D218" s="371" t="n"/>
      <c r="E218" s="425" t="n"/>
      <c r="F218" s="386" t="n"/>
    </row>
    <row r="219">
      <c r="A219" s="434" t="inlineStr">
        <is>
          <t>Resonance: Orange</t>
        </is>
      </c>
      <c r="B219" s="425" t="n"/>
      <c r="C219" s="425" t="n"/>
      <c r="D219" s="425" t="n">
        <v>56</v>
      </c>
      <c r="E219" s="425" t="n"/>
      <c r="F219" s="386" t="n"/>
    </row>
    <row r="220">
      <c r="A220" s="434" t="inlineStr">
        <is>
          <t xml:space="preserve">  CRISPR</t>
        </is>
      </c>
      <c r="B220" s="425" t="inlineStr">
        <is>
          <t>S</t>
        </is>
      </c>
      <c r="C220" s="425" t="inlineStr">
        <is>
          <t>TECH</t>
        </is>
      </c>
      <c r="D220" s="425" t="n"/>
      <c r="E220" s="425" t="n"/>
      <c r="F220" s="386" t="inlineStr">
        <is>
          <t>Lottery Machine #2 (1.59%)</t>
        </is>
      </c>
    </row>
    <row r="221">
      <c r="A221" s="434" t="inlineStr">
        <is>
          <t xml:space="preserve">  Ruska's Microscope</t>
        </is>
      </c>
      <c r="B221" s="425" t="inlineStr">
        <is>
          <t>SS</t>
        </is>
      </c>
      <c r="C221" s="425" t="inlineStr">
        <is>
          <t>TECH</t>
        </is>
      </c>
      <c r="D221" s="425" t="n"/>
      <c r="E221" s="425" t="n"/>
      <c r="F221" s="386" t="inlineStr">
        <is>
          <t>Lottery Machine #2 (0.35%)</t>
        </is>
      </c>
    </row>
    <row r="222">
      <c r="A222" s="362" t="inlineStr">
        <is>
          <t>MAX EMP</t>
        </is>
      </c>
      <c r="B222" s="411" t="n"/>
      <c r="C222" s="411" t="n"/>
      <c r="D222" s="364">
        <f>sum(D216:E221)</f>
        <v/>
      </c>
      <c r="E222" s="411" t="n"/>
      <c r="F222" s="970" t="n"/>
    </row>
    <row r="223">
      <c r="A223" s="434" t="n"/>
      <c r="B223" s="425" t="n"/>
      <c r="C223" s="425" t="n"/>
      <c r="D223" s="425" t="n"/>
      <c r="E223" s="425" t="n"/>
      <c r="F223" s="386" t="n"/>
    </row>
    <row r="224">
      <c r="A224" s="702" t="n"/>
      <c r="F224" s="907" t="n"/>
    </row>
    <row r="225">
      <c r="A225" s="168" t="inlineStr">
        <is>
          <t>Space-sensing Radar (Dragon)</t>
        </is>
      </c>
      <c r="B225" s="406" t="n"/>
      <c r="C225" s="406" t="n"/>
      <c r="D225" s="406" t="n"/>
      <c r="E225" s="406" t="n"/>
      <c r="F225" s="786" t="n"/>
    </row>
    <row r="226">
      <c r="A226" s="434" t="inlineStr">
        <is>
          <t>Silmarils</t>
        </is>
      </c>
      <c r="B226" s="425" t="inlineStr">
        <is>
          <t>SS</t>
        </is>
      </c>
      <c r="C226" s="425" t="inlineStr">
        <is>
          <t>FTH</t>
        </is>
      </c>
      <c r="D226" s="371" t="n">
        <v>88</v>
      </c>
      <c r="E226" s="371" t="n"/>
      <c r="F226" s="386" t="inlineStr">
        <is>
          <t>Lottery Machine #2 (0.35%)</t>
        </is>
      </c>
    </row>
    <row r="227">
      <c r="A227" s="434" t="inlineStr">
        <is>
          <t>Nebra Sky Disc</t>
        </is>
      </c>
      <c r="B227" s="425" t="inlineStr">
        <is>
          <t>Blue</t>
        </is>
      </c>
      <c r="C227" s="425" t="inlineStr">
        <is>
          <t>FTH</t>
        </is>
      </c>
      <c r="D227" s="371" t="n">
        <v>40</v>
      </c>
      <c r="E227" s="371" t="n">
        <v>40</v>
      </c>
      <c r="F227" s="386" t="inlineStr">
        <is>
          <t>Rift Treasure Maps (20%), Lottery Machine #2 (0.03%)</t>
        </is>
      </c>
    </row>
    <row r="228">
      <c r="A228" s="362" t="inlineStr">
        <is>
          <t>MAX SPACE-SENSING RADAR</t>
        </is>
      </c>
      <c r="B228" s="411" t="n"/>
      <c r="C228" s="411" t="n"/>
      <c r="D228" s="364">
        <f>sum(D226:E227)</f>
        <v/>
      </c>
      <c r="E228" s="411" t="n"/>
      <c r="F228" s="426" t="n"/>
    </row>
    <row r="229">
      <c r="A229" s="434" t="n"/>
      <c r="B229" s="425" t="n"/>
      <c r="C229" s="425" t="n"/>
      <c r="D229" s="425" t="n"/>
      <c r="E229" s="425" t="n"/>
      <c r="F229" s="418" t="n"/>
    </row>
    <row r="230">
      <c r="A230" s="702" t="n"/>
      <c r="F230" s="907" t="n"/>
    </row>
    <row r="231">
      <c r="A231" s="168" t="inlineStr">
        <is>
          <t>Garden of Eden (Angel)</t>
        </is>
      </c>
      <c r="B231" s="406" t="n"/>
      <c r="C231" s="406" t="n"/>
      <c r="D231" s="406" t="n"/>
      <c r="E231" s="406" t="n"/>
      <c r="F231" s="129" t="n"/>
    </row>
    <row r="232">
      <c r="A232" s="434" t="inlineStr">
        <is>
          <t>Two-headed Serpent</t>
        </is>
      </c>
      <c r="B232" s="425" t="inlineStr">
        <is>
          <t>SSS</t>
        </is>
      </c>
      <c r="C232" s="425" t="inlineStr">
        <is>
          <t>ART</t>
        </is>
      </c>
      <c r="D232" s="371" t="n">
        <v>96</v>
      </c>
      <c r="E232" s="371" t="n"/>
      <c r="F232" s="386" t="inlineStr">
        <is>
          <t>Lottery Machine #2 (0.12%), Relic Forge (120 Relic RF)</t>
        </is>
      </c>
    </row>
    <row r="233">
      <c r="A233" s="434" t="inlineStr">
        <is>
          <t>Gold Croeseid</t>
        </is>
      </c>
      <c r="B233" s="425" t="inlineStr">
        <is>
          <t>AA</t>
        </is>
      </c>
      <c r="C233" s="425" t="inlineStr">
        <is>
          <t>FAME</t>
        </is>
      </c>
      <c r="D233" s="371" t="n">
        <v>64</v>
      </c>
      <c r="E233" s="371" t="n">
        <v>56</v>
      </c>
      <c r="F233" s="386" t="inlineStr">
        <is>
          <t>Lottery Machine #2 (0.12%)</t>
        </is>
      </c>
    </row>
    <row r="234">
      <c r="A234" s="434" t="n"/>
      <c r="B234" s="425" t="n"/>
      <c r="C234" s="425" t="n"/>
      <c r="D234" s="371" t="n"/>
      <c r="E234" s="425" t="n"/>
      <c r="F234" s="386" t="n"/>
    </row>
    <row r="235">
      <c r="A235" s="434" t="inlineStr">
        <is>
          <t>Resonance: Orange</t>
        </is>
      </c>
      <c r="B235" s="425" t="n"/>
      <c r="C235" s="425" t="n"/>
      <c r="D235" s="425" t="n">
        <v>64</v>
      </c>
      <c r="E235" s="425" t="n"/>
      <c r="F235" s="386" t="n"/>
    </row>
    <row r="236">
      <c r="A236" s="434" t="inlineStr">
        <is>
          <t xml:space="preserve">  Hermes &amp; Dionysus</t>
        </is>
      </c>
      <c r="B236" s="425" t="inlineStr">
        <is>
          <t>SS</t>
        </is>
      </c>
      <c r="C236" s="425" t="inlineStr">
        <is>
          <t>ART</t>
        </is>
      </c>
      <c r="D236" s="425" t="n"/>
      <c r="E236" s="425" t="n"/>
      <c r="F236" s="386" t="inlineStr">
        <is>
          <t>Lottery Machine #2 (0.23%)</t>
        </is>
      </c>
    </row>
    <row r="237">
      <c r="A237" s="434" t="inlineStr">
        <is>
          <t xml:space="preserve">  AMS</t>
        </is>
      </c>
      <c r="B237" s="425" t="inlineStr">
        <is>
          <t>SS</t>
        </is>
      </c>
      <c r="C237" s="425" t="inlineStr">
        <is>
          <t>TECH</t>
        </is>
      </c>
      <c r="D237" s="425" t="n"/>
      <c r="E237" s="425" t="n"/>
      <c r="F237" s="386" t="inlineStr">
        <is>
          <t>Lottery Machine #2 (0.47%), Indigent Nobleman (570K B-tads)</t>
        </is>
      </c>
    </row>
    <row r="238">
      <c r="A238" s="434" t="inlineStr">
        <is>
          <t xml:space="preserve">  The Champa Flower</t>
        </is>
      </c>
      <c r="B238" s="425" t="inlineStr">
        <is>
          <t>SSS</t>
        </is>
      </c>
      <c r="C238" s="425" t="inlineStr">
        <is>
          <t>CIV</t>
        </is>
      </c>
      <c r="D238" s="425" t="n"/>
      <c r="E238" s="425" t="n"/>
      <c r="F238" s="386" t="inlineStr">
        <is>
          <t>Star Chart Shop</t>
        </is>
      </c>
    </row>
    <row r="239">
      <c r="A239" s="362" t="inlineStr">
        <is>
          <t>MAX GARDEN OF EDEN</t>
        </is>
      </c>
      <c r="B239" s="411" t="n"/>
      <c r="C239" s="411" t="n"/>
      <c r="D239" s="364">
        <f>sum(D232:E238)</f>
        <v/>
      </c>
      <c r="E239" s="411" t="n"/>
      <c r="F239" s="426" t="n"/>
    </row>
    <row r="240">
      <c r="A240" s="434" t="n"/>
      <c r="B240" s="425" t="n"/>
      <c r="C240" s="425" t="n"/>
      <c r="D240" s="425" t="n"/>
      <c r="E240" s="425" t="n"/>
      <c r="F240" s="418" t="n"/>
    </row>
    <row r="241">
      <c r="A241" s="702" t="n"/>
      <c r="F241" s="907" t="n"/>
    </row>
    <row r="242">
      <c r="A242" s="161" t="inlineStr">
        <is>
          <t>Domain Holograph (Mutant)</t>
        </is>
      </c>
      <c r="B242" s="406" t="n"/>
      <c r="C242" s="406" t="n"/>
      <c r="D242" s="406" t="n"/>
      <c r="E242" s="406" t="n"/>
      <c r="F242" s="129" t="n"/>
    </row>
    <row r="243">
      <c r="A243" s="434" t="inlineStr">
        <is>
          <t>Aeneid</t>
        </is>
      </c>
      <c r="B243" s="425" t="inlineStr">
        <is>
          <t>SSS</t>
        </is>
      </c>
      <c r="C243" s="425" t="inlineStr">
        <is>
          <t>CIV</t>
        </is>
      </c>
      <c r="D243" s="371" t="n">
        <v>96</v>
      </c>
      <c r="E243" s="371" t="n"/>
      <c r="F243" s="201" t="inlineStr">
        <is>
          <t>Lottery Machine #2 (?%)</t>
        </is>
      </c>
    </row>
    <row r="244">
      <c r="A244" s="434" t="inlineStr">
        <is>
          <t>Boy with Apple</t>
        </is>
      </c>
      <c r="B244" s="425" t="inlineStr">
        <is>
          <t>AA</t>
        </is>
      </c>
      <c r="C244" s="425" t="inlineStr">
        <is>
          <t>CIV</t>
        </is>
      </c>
      <c r="D244" s="371" t="n">
        <v>64</v>
      </c>
      <c r="E244" s="371" t="n">
        <v>56</v>
      </c>
      <c r="F244" s="386" t="inlineStr">
        <is>
          <t>Lottery Machine #2 (0.12%)</t>
        </is>
      </c>
    </row>
    <row r="245">
      <c r="A245" s="434" t="n"/>
      <c r="B245" s="425" t="n"/>
      <c r="C245" s="425" t="n"/>
      <c r="D245" s="371" t="n"/>
      <c r="E245" s="425" t="n"/>
      <c r="F245" s="418" t="n"/>
    </row>
    <row r="246">
      <c r="A246" s="434" t="inlineStr">
        <is>
          <t>Resonance: Orange</t>
        </is>
      </c>
      <c r="B246" s="425" t="n"/>
      <c r="C246" s="425" t="n"/>
      <c r="D246" s="425" t="n">
        <v>64</v>
      </c>
      <c r="E246" s="425" t="n"/>
      <c r="F246" s="418" t="n"/>
    </row>
    <row r="247">
      <c r="A247" s="434" t="inlineStr">
        <is>
          <t xml:space="preserve">  Scales of Astraea</t>
        </is>
      </c>
      <c r="B247" s="425" t="inlineStr">
        <is>
          <t>SSS</t>
        </is>
      </c>
      <c r="C247" s="425" t="inlineStr">
        <is>
          <t>FTH</t>
        </is>
      </c>
      <c r="D247" s="425" t="n"/>
      <c r="E247" s="425" t="n"/>
      <c r="F247" s="386" t="inlineStr">
        <is>
          <t>Star Chart Shop</t>
        </is>
      </c>
    </row>
    <row r="248">
      <c r="A248" s="434" t="inlineStr">
        <is>
          <t xml:space="preserve">  Book of the Dead</t>
        </is>
      </c>
      <c r="B248" s="425" t="inlineStr">
        <is>
          <t>SSS</t>
        </is>
      </c>
      <c r="C248" s="425" t="inlineStr">
        <is>
          <t>FTH</t>
        </is>
      </c>
      <c r="D248" s="425" t="n"/>
      <c r="E248" s="425" t="n"/>
      <c r="F248" s="386" t="inlineStr">
        <is>
          <t>Traveler Pack Relic #1</t>
        </is>
      </c>
    </row>
    <row r="249">
      <c r="A249" s="434" t="inlineStr">
        <is>
          <t xml:space="preserve">  Manga Manuscript</t>
        </is>
      </c>
      <c r="B249" s="425" t="inlineStr">
        <is>
          <t>SSS</t>
        </is>
      </c>
      <c r="C249" s="425" t="inlineStr">
        <is>
          <t>FAME</t>
        </is>
      </c>
      <c r="D249" s="425" t="n"/>
      <c r="E249" s="425" t="n"/>
      <c r="F249" s="386" t="inlineStr">
        <is>
          <t>Daily Pack Relic #20</t>
        </is>
      </c>
    </row>
    <row r="250">
      <c r="A250" s="362" t="inlineStr">
        <is>
          <t>MAX DOMAIN HOLOGRAPH</t>
        </is>
      </c>
      <c r="B250" s="411" t="n"/>
      <c r="C250" s="411" t="n"/>
      <c r="D250" s="364">
        <f>sum(D243:E249)</f>
        <v/>
      </c>
      <c r="E250" s="411" t="n"/>
      <c r="F250" s="426" t="n"/>
    </row>
    <row r="251">
      <c r="A251" s="434" t="n"/>
      <c r="B251" s="425" t="n"/>
      <c r="C251" s="425" t="n"/>
      <c r="D251" s="425" t="n"/>
      <c r="E251" s="425" t="n"/>
      <c r="F251" s="418" t="n"/>
    </row>
    <row r="252">
      <c r="A252" s="702" t="n"/>
      <c r="F252" s="907" t="n"/>
    </row>
    <row r="253">
      <c r="A253" s="344" t="inlineStr">
        <is>
          <t>Oracle Hall (All)</t>
        </is>
      </c>
      <c r="B253" s="406" t="n"/>
      <c r="C253" s="406" t="n"/>
      <c r="D253" s="406" t="n"/>
      <c r="E253" s="406" t="n"/>
      <c r="F253" s="129" t="n"/>
    </row>
    <row r="254">
      <c r="A254" s="434" t="inlineStr">
        <is>
          <t>Holy Grail</t>
        </is>
      </c>
      <c r="B254" s="425" t="inlineStr">
        <is>
          <t>SSS</t>
        </is>
      </c>
      <c r="C254" s="425" t="inlineStr">
        <is>
          <t>FTH</t>
        </is>
      </c>
      <c r="D254" s="371" t="n">
        <v>96</v>
      </c>
      <c r="E254" s="371" t="n"/>
      <c r="F254" s="386" t="inlineStr">
        <is>
          <t>Lottery Machine #2 (0.12%)</t>
        </is>
      </c>
    </row>
    <row r="255">
      <c r="A255" s="434" t="inlineStr">
        <is>
          <t>Portrait of Innocent X</t>
        </is>
      </c>
      <c r="B255" s="425" t="inlineStr">
        <is>
          <t>AAA</t>
        </is>
      </c>
      <c r="C255" s="425" t="inlineStr">
        <is>
          <t>ART</t>
        </is>
      </c>
      <c r="D255" s="371" t="n">
        <v>72</v>
      </c>
      <c r="E255" s="371" t="n">
        <v>56</v>
      </c>
      <c r="F255" s="386" t="inlineStr">
        <is>
          <t>Lottery Machine #2 (0.06%)</t>
        </is>
      </c>
    </row>
    <row r="256">
      <c r="A256" s="362" t="inlineStr">
        <is>
          <t>MAX ORACLE HALL</t>
        </is>
      </c>
      <c r="B256" s="411" t="n"/>
      <c r="C256" s="411" t="n"/>
      <c r="D256" s="364">
        <f>sum(D254:E255)</f>
        <v/>
      </c>
      <c r="E256" s="411" t="n"/>
      <c r="F256" s="970" t="n"/>
    </row>
    <row r="257">
      <c r="A257" s="434" t="n"/>
      <c r="B257" s="425" t="n"/>
      <c r="C257" s="425" t="n"/>
      <c r="D257" s="425" t="n"/>
      <c r="E257" s="425" t="n"/>
      <c r="F257" s="386" t="n"/>
    </row>
    <row r="258">
      <c r="A258" s="702" t="n"/>
      <c r="F258" s="907" t="n"/>
    </row>
    <row r="259">
      <c r="A259" s="344" t="inlineStr">
        <is>
          <t>Revelation Hall (All)</t>
        </is>
      </c>
      <c r="B259" s="406" t="n"/>
      <c r="C259" s="406" t="n"/>
      <c r="D259" s="406" t="n"/>
      <c r="E259" s="406" t="n"/>
      <c r="F259" s="786" t="n"/>
    </row>
    <row r="260">
      <c r="A260" s="434" t="inlineStr">
        <is>
          <t>Holy Grail</t>
        </is>
      </c>
      <c r="B260" s="425" t="inlineStr">
        <is>
          <t>SSS</t>
        </is>
      </c>
      <c r="C260" s="425" t="inlineStr">
        <is>
          <t>FTH</t>
        </is>
      </c>
      <c r="D260" s="371" t="n">
        <v>96</v>
      </c>
      <c r="E260" s="371" t="n"/>
      <c r="F260" s="386" t="inlineStr">
        <is>
          <t>Lottery Machine #2 (0.12%)</t>
        </is>
      </c>
    </row>
    <row r="261">
      <c r="A261" s="434" t="inlineStr">
        <is>
          <t>Annunciation</t>
        </is>
      </c>
      <c r="B261" s="425" t="inlineStr">
        <is>
          <t>AAA</t>
        </is>
      </c>
      <c r="C261" s="425" t="inlineStr">
        <is>
          <t>ART</t>
        </is>
      </c>
      <c r="D261" s="371" t="n">
        <v>72</v>
      </c>
      <c r="E261" s="371" t="n">
        <v>56</v>
      </c>
      <c r="F261" s="386" t="inlineStr">
        <is>
          <t>Lottery Machine #2 (0.06%)</t>
        </is>
      </c>
    </row>
    <row r="262">
      <c r="A262" s="362" t="inlineStr">
        <is>
          <t>MAX REVELATION HALL</t>
        </is>
      </c>
      <c r="B262" s="411" t="n"/>
      <c r="C262" s="411" t="n"/>
      <c r="D262" s="364">
        <f>sum(D260:E261)</f>
        <v/>
      </c>
      <c r="E262" s="411" t="n"/>
      <c r="F262" s="426" t="n"/>
    </row>
    <row r="263">
      <c r="A263" s="434" t="n"/>
      <c r="B263" s="425" t="n"/>
      <c r="C263" s="425" t="n"/>
      <c r="D263" s="425" t="n"/>
      <c r="E263" s="425" t="n"/>
      <c r="F263" s="418" t="n"/>
    </row>
    <row r="264">
      <c r="A264" s="702" t="n"/>
      <c r="F264" s="907" t="n"/>
    </row>
    <row r="265">
      <c r="A265" s="853" t="n"/>
      <c r="B265" s="685" t="inlineStr">
        <is>
          <t>Base Effect</t>
        </is>
      </c>
      <c r="F265" s="907" t="n"/>
    </row>
    <row r="266">
      <c r="A266" s="23">
        <f>A199</f>
        <v/>
      </c>
      <c r="B266" s="30">
        <f>D202+D196</f>
        <v/>
      </c>
      <c r="F266" s="907" t="n"/>
    </row>
    <row r="267">
      <c r="A267" s="23">
        <f>A205</f>
        <v/>
      </c>
      <c r="B267" s="30">
        <f>D212+D196</f>
        <v/>
      </c>
      <c r="F267" s="907" t="n"/>
    </row>
    <row r="268">
      <c r="A268" s="23">
        <f>A215</f>
        <v/>
      </c>
      <c r="B268" s="30">
        <f>D222+D196</f>
        <v/>
      </c>
      <c r="F268" s="907" t="n"/>
    </row>
    <row r="269">
      <c r="A269" s="23">
        <f>A225</f>
        <v/>
      </c>
      <c r="B269" s="30">
        <f>D228+D196</f>
        <v/>
      </c>
      <c r="F269" s="907" t="n"/>
    </row>
    <row r="270">
      <c r="A270" s="23">
        <f>A231</f>
        <v/>
      </c>
      <c r="B270" s="30">
        <f>D239+D196</f>
        <v/>
      </c>
      <c r="F270" s="907" t="n"/>
    </row>
    <row r="271">
      <c r="A271" s="23">
        <f>A242</f>
        <v/>
      </c>
      <c r="B271" s="30">
        <f>D250+D196</f>
        <v/>
      </c>
      <c r="F271" s="907" t="n"/>
    </row>
    <row r="272">
      <c r="A272" s="23">
        <f>A253</f>
        <v/>
      </c>
      <c r="B272" s="30">
        <f>D256+D196</f>
        <v/>
      </c>
      <c r="F272" s="907" t="n"/>
    </row>
    <row r="273">
      <c r="A273" s="22">
        <f>A259</f>
        <v/>
      </c>
      <c r="B273" s="51">
        <f>D262+D196</f>
        <v/>
      </c>
      <c r="C273" s="706" t="n"/>
      <c r="D273" s="706" t="n"/>
      <c r="E273" s="706" t="n"/>
      <c r="F273" s="909" t="n"/>
    </row>
  </sheetData>
  <dataValidations count="2">
    <dataValidation sqref="B5 B8:B12 B17:B18 B21:B22 B27:B28 B31:B32 B37:B38 B43:B44 B49:B50 B53:B55 B60:B61 B64:B66 B71:B72 B77:B78 B99:B103 B108:B109 B112:B113 B118:B119 B122:B123 B128:B129 B134:B135 B140:B141 B144:B146 B151:B152 B155:B157 B162:B163 B168:B169 B188 B191:B195 B200:B201 B206:B207 B210:B211 B216:B217 B220:B221 B226:B227 B232:B233 B236:B238 B243:B244 B247:B249 B254:B255 B260:B261" showDropDown="0" showInputMessage="0" showErrorMessage="1" allowBlank="1" type="list">
      <formula1>"SSS,SS,S,AAA,AA,A,Blue,Green"</formula1>
    </dataValidation>
    <dataValidation sqref="C2:C5 C9:C12 C17:C18 C21:C22 C27:C28 C31:C32 C37:C38 C43:C44 C49:C50 C53:C55 C60:C61 C64:C66 C71:C72 C77:C78 C96 C100:C103 C108:C109 C112:C113 C118:C119 C122:C123 C128:C129 C134:C135 C140:C141 C144:C146 C151:C152 C155:C157 C162:C163 C168:C169 C187:C188 C192:C195 C200:C201 C206:C207 C210:C211 C216:C217 C220:C221 C226:C227 C232:C233 C236:C238 C243:C244 C247:C249 C254:C255 C260:C261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3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867"/>
  <sheetViews>
    <sheetView workbookViewId="0">
      <selection activeCell="A1" sqref="A1"/>
    </sheetView>
  </sheetViews>
  <sheetFormatPr baseColWidth="8" defaultColWidth="9.18" defaultRowHeight="15" customHeight="1"/>
  <cols>
    <col width="15.73" customWidth="1" style="1128" min="1" max="1"/>
    <col width="8.09" customWidth="1" style="1128" min="2" max="2"/>
    <col width="5.91" customWidth="1" style="1128" min="3" max="3"/>
    <col width="3.55" customWidth="1" style="1128" min="4" max="4"/>
    <col width="10.27" customWidth="1" style="1128" min="5" max="5"/>
    <col width="7.27" customWidth="1" style="1128" min="6" max="6"/>
    <col width="14.09" customWidth="1" style="1128" min="7" max="7"/>
    <col width="7.18" customWidth="1" style="1128" min="8" max="8"/>
    <col width="10.91" customWidth="1" style="1128" min="9" max="9"/>
    <col width="60.91" customWidth="1" style="1128" min="10" max="10"/>
    <col width="10.09" customWidth="1" style="1128" min="15" max="15"/>
    <col width="4.64" customWidth="1" style="1128" min="16" max="16"/>
    <col width="10.64" customWidth="1" style="1128" min="17" max="17"/>
    <col width="5.18" customWidth="1" style="1128" min="18" max="18"/>
    <col width="11.73" customWidth="1" style="1128" min="19" max="19"/>
    <col width="6.27" customWidth="1" style="1128" min="20" max="20"/>
    <col width="10.73" customWidth="1" style="1128" min="21" max="21"/>
    <col width="5.27" customWidth="1" style="1128" min="22" max="22"/>
    <col width="11.82" customWidth="1" style="1128" min="23" max="23"/>
    <col width="6.45" customWidth="1" style="1128" min="24" max="24"/>
  </cols>
  <sheetData>
    <row r="1">
      <c r="A1" s="170" t="inlineStr">
        <is>
          <t>GENERAL</t>
        </is>
      </c>
      <c r="B1" s="557" t="n"/>
      <c r="C1" s="557" t="n"/>
      <c r="D1" s="557" t="n"/>
      <c r="E1" s="557" t="n"/>
      <c r="F1" s="557" t="n"/>
      <c r="G1" s="557" t="n"/>
      <c r="H1" s="557" t="n"/>
      <c r="I1" s="557" t="n"/>
      <c r="J1" s="172" t="n"/>
      <c r="K1" s="669" t="n"/>
      <c r="L1" s="669" t="n"/>
      <c r="M1" s="669" t="n"/>
      <c r="N1" s="669" t="n"/>
      <c r="O1" s="669" t="n"/>
      <c r="P1" s="669" t="n"/>
      <c r="Q1" s="669" t="n"/>
      <c r="R1" s="669" t="n"/>
      <c r="S1" s="669" t="n"/>
      <c r="T1" s="669" t="n"/>
      <c r="U1" s="669" t="n"/>
      <c r="V1" s="669" t="n"/>
      <c r="W1" s="669" t="n"/>
      <c r="X1" s="669" t="n"/>
      <c r="Y1" s="669" t="n"/>
      <c r="Z1" s="669" t="n"/>
    </row>
    <row r="2">
      <c r="A2" s="344" t="inlineStr">
        <is>
          <t>HP</t>
        </is>
      </c>
      <c r="B2" s="406" t="inlineStr">
        <is>
          <t>Rarity</t>
        </is>
      </c>
      <c r="C2" s="406" t="inlineStr">
        <is>
          <t>Type</t>
        </is>
      </c>
      <c r="D2" s="406" t="inlineStr">
        <is>
          <t>Base</t>
        </is>
      </c>
      <c r="E2" s="406" t="inlineStr">
        <is>
          <t>Awakening Base</t>
        </is>
      </c>
      <c r="F2" s="406" t="inlineStr">
        <is>
          <t>Percentage</t>
        </is>
      </c>
      <c r="G2" s="406" t="inlineStr">
        <is>
          <t>Awakening Percentage</t>
        </is>
      </c>
      <c r="H2" s="406" t="inlineStr">
        <is>
          <t>Per Minion</t>
        </is>
      </c>
      <c r="I2" s="406" t="inlineStr">
        <is>
          <t>Per Minion Boost</t>
        </is>
      </c>
      <c r="J2" s="129" t="inlineStr">
        <is>
          <t>Source</t>
        </is>
      </c>
      <c r="K2" s="669" t="n"/>
      <c r="L2" s="669" t="n"/>
      <c r="M2" s="669" t="n"/>
      <c r="N2" s="677" t="n"/>
      <c r="O2" s="1089" t="inlineStr">
        <is>
          <t>HP (Per Minion)</t>
        </is>
      </c>
      <c r="P2" s="1089" t="inlineStr">
        <is>
          <t>HP (%)</t>
        </is>
      </c>
      <c r="Q2" s="1089" t="inlineStr">
        <is>
          <t>ATK (Per Minion)</t>
        </is>
      </c>
      <c r="R2" s="1089" t="inlineStr">
        <is>
          <t>ATK (%)</t>
        </is>
      </c>
      <c r="S2" s="1089" t="inlineStr">
        <is>
          <t>RUSH (Per Minion)</t>
        </is>
      </c>
      <c r="T2" s="1089" t="inlineStr">
        <is>
          <t>RUSH (%)</t>
        </is>
      </c>
      <c r="U2" s="1089" t="inlineStr">
        <is>
          <t>DEF (Per Minion)</t>
        </is>
      </c>
      <c r="V2" s="1089" t="inlineStr">
        <is>
          <t>DEF (%)</t>
        </is>
      </c>
      <c r="W2" s="1089" t="inlineStr">
        <is>
          <t>HARD (Per Minion)</t>
        </is>
      </c>
      <c r="X2" s="1090" t="inlineStr">
        <is>
          <t>HARD (%)</t>
        </is>
      </c>
      <c r="Y2" s="669" t="n"/>
      <c r="Z2" s="669" t="n"/>
    </row>
    <row r="3">
      <c r="A3" s="246" t="inlineStr">
        <is>
          <t>Last Self Portrait</t>
        </is>
      </c>
      <c r="B3" s="1037" t="inlineStr">
        <is>
          <t>SSS</t>
        </is>
      </c>
      <c r="C3" s="1037" t="inlineStr">
        <is>
          <t>ART</t>
        </is>
      </c>
      <c r="D3" s="209" t="n">
        <v>900</v>
      </c>
      <c r="E3" s="209" t="n">
        <v>900</v>
      </c>
      <c r="F3" s="209" t="n"/>
      <c r="G3" s="209" t="n"/>
      <c r="H3" s="209" t="n">
        <v>60</v>
      </c>
      <c r="I3" s="371">
        <f>(D3+E3)/H3</f>
        <v/>
      </c>
      <c r="J3" s="386" t="inlineStr">
        <is>
          <t>Daily Pack Relic #15</t>
        </is>
      </c>
      <c r="K3" s="669" t="n"/>
      <c r="L3" s="669" t="n"/>
      <c r="M3" s="669" t="n"/>
      <c r="N3" s="1091" t="inlineStr">
        <is>
          <t>General</t>
        </is>
      </c>
      <c r="O3" s="181">
        <f>I37</f>
        <v/>
      </c>
      <c r="P3" s="669">
        <f>F37</f>
        <v/>
      </c>
      <c r="Q3" s="181">
        <f>I91</f>
        <v/>
      </c>
      <c r="R3" s="669">
        <f>F91</f>
        <v/>
      </c>
      <c r="S3" s="669">
        <f>I131</f>
        <v/>
      </c>
      <c r="T3" s="669">
        <f>F131</f>
        <v/>
      </c>
      <c r="U3" s="181">
        <f>I167</f>
        <v/>
      </c>
      <c r="V3" s="669">
        <f>F167</f>
        <v/>
      </c>
      <c r="W3" s="181">
        <f>I201</f>
        <v/>
      </c>
      <c r="X3" s="1095">
        <f>F201</f>
        <v/>
      </c>
      <c r="Y3" s="669" t="n"/>
      <c r="Z3" s="669" t="n"/>
    </row>
    <row r="4">
      <c r="A4" s="507" t="inlineStr">
        <is>
          <t>Wild Pansy's Juice</t>
        </is>
      </c>
      <c r="B4" s="1037" t="inlineStr">
        <is>
          <t>AAA</t>
        </is>
      </c>
      <c r="C4" s="1037" t="inlineStr">
        <is>
          <t>FTH</t>
        </is>
      </c>
      <c r="D4" s="479" t="n">
        <v>360</v>
      </c>
      <c r="E4" s="934" t="n">
        <v>280</v>
      </c>
      <c r="F4" s="934" t="n"/>
      <c r="G4" s="934" t="n"/>
      <c r="H4" s="479" t="n">
        <v>30</v>
      </c>
      <c r="I4" s="187">
        <f>(D4+E4)/H4</f>
        <v/>
      </c>
      <c r="J4" s="935" t="inlineStr">
        <is>
          <t>Gastric Pouch</t>
        </is>
      </c>
      <c r="K4" s="669" t="n"/>
      <c r="L4" s="669" t="n"/>
      <c r="M4" s="669" t="n"/>
      <c r="N4" s="1091" t="inlineStr">
        <is>
          <t>Zombie</t>
        </is>
      </c>
      <c r="O4" s="669">
        <f>I227</f>
        <v/>
      </c>
      <c r="P4" s="669">
        <f>F227</f>
        <v/>
      </c>
      <c r="Q4" s="181">
        <f>I254</f>
        <v/>
      </c>
      <c r="R4" s="669">
        <f>F254</f>
        <v/>
      </c>
      <c r="S4" s="669">
        <f>I275</f>
        <v/>
      </c>
      <c r="T4" s="669">
        <f>F275</f>
        <v/>
      </c>
      <c r="U4" s="181">
        <f>I294</f>
        <v/>
      </c>
      <c r="V4" s="669">
        <f>F294</f>
        <v/>
      </c>
      <c r="W4" s="181">
        <f>I308</f>
        <v/>
      </c>
      <c r="X4" s="1095">
        <f>F308</f>
        <v/>
      </c>
      <c r="Y4" s="669" t="n"/>
      <c r="Z4" s="669" t="n"/>
    </row>
    <row r="5">
      <c r="A5" s="507" t="inlineStr">
        <is>
          <t>Arianrhod's Wheel</t>
        </is>
      </c>
      <c r="B5" s="1037" t="inlineStr">
        <is>
          <t>SSS</t>
        </is>
      </c>
      <c r="C5" s="1037" t="inlineStr">
        <is>
          <t>FTH</t>
        </is>
      </c>
      <c r="D5" s="479" t="n">
        <v>1200</v>
      </c>
      <c r="E5" s="934" t="n"/>
      <c r="F5" s="934" t="n"/>
      <c r="G5" s="934" t="n"/>
      <c r="H5" s="479" t="n">
        <v>60</v>
      </c>
      <c r="I5" s="479">
        <f>(D5+E5)/H5</f>
        <v/>
      </c>
      <c r="J5" s="190" t="inlineStr">
        <is>
          <t>Daily Pack Relic #47</t>
        </is>
      </c>
      <c r="K5" s="669" t="n"/>
      <c r="L5" s="669" t="n"/>
      <c r="M5" s="669" t="n"/>
      <c r="N5" s="1091" t="n"/>
      <c r="O5" s="669" t="n"/>
      <c r="P5" s="669" t="n"/>
      <c r="Q5" s="669" t="n"/>
      <c r="R5" s="669" t="n"/>
      <c r="S5" s="669" t="n"/>
      <c r="T5" s="669" t="n"/>
      <c r="U5" s="669" t="n"/>
      <c r="V5" s="669" t="n"/>
      <c r="W5" s="669" t="n"/>
      <c r="X5" s="1095" t="n"/>
      <c r="Y5" s="669" t="n"/>
      <c r="Z5" s="669" t="n"/>
    </row>
    <row r="6">
      <c r="A6" s="507" t="inlineStr">
        <is>
          <t>Treasure Island</t>
        </is>
      </c>
      <c r="B6" s="1037" t="inlineStr">
        <is>
          <t>AAA</t>
        </is>
      </c>
      <c r="C6" s="1037" t="inlineStr">
        <is>
          <t>CIV</t>
        </is>
      </c>
      <c r="D6" s="479" t="n">
        <v>320</v>
      </c>
      <c r="E6" s="934" t="n">
        <v>280</v>
      </c>
      <c r="F6" s="934" t="n"/>
      <c r="G6" s="934" t="n"/>
      <c r="H6" s="479" t="n">
        <v>30</v>
      </c>
      <c r="I6" s="479">
        <f>(D6+E6)/H6</f>
        <v/>
      </c>
      <c r="J6" s="935" t="inlineStr">
        <is>
          <t>Time Beacon Reward</t>
        </is>
      </c>
      <c r="K6" s="669" t="n"/>
      <c r="L6" s="669" t="n"/>
      <c r="M6" s="669" t="n"/>
      <c r="N6" s="1091" t="inlineStr">
        <is>
          <t>Demon</t>
        </is>
      </c>
      <c r="O6" s="181">
        <f>I332</f>
        <v/>
      </c>
      <c r="P6" s="669">
        <f>F332</f>
        <v/>
      </c>
      <c r="Q6" s="181">
        <f>I358</f>
        <v/>
      </c>
      <c r="R6" s="669">
        <f>F358</f>
        <v/>
      </c>
      <c r="S6" s="669">
        <f>I380</f>
        <v/>
      </c>
      <c r="T6" s="669">
        <f>F380</f>
        <v/>
      </c>
      <c r="U6" s="181">
        <f>I399</f>
        <v/>
      </c>
      <c r="V6" s="669">
        <f>F399</f>
        <v/>
      </c>
      <c r="W6" s="181">
        <f>I414</f>
        <v/>
      </c>
      <c r="X6" s="1095">
        <f>F414</f>
        <v/>
      </c>
      <c r="Y6" s="669" t="n"/>
      <c r="Z6" s="669" t="n"/>
    </row>
    <row r="7">
      <c r="A7" s="507" t="inlineStr">
        <is>
          <t>Cancer</t>
        </is>
      </c>
      <c r="B7" s="1037" t="inlineStr">
        <is>
          <t>SSS</t>
        </is>
      </c>
      <c r="C7" s="1037" t="inlineStr">
        <is>
          <t>ART</t>
        </is>
      </c>
      <c r="D7" s="479" t="n">
        <v>1600</v>
      </c>
      <c r="E7" s="934" t="n"/>
      <c r="F7" s="934" t="n"/>
      <c r="G7" s="934" t="n"/>
      <c r="H7" s="479" t="n">
        <v>100</v>
      </c>
      <c r="I7" s="479">
        <f>(D7+E7)/H7</f>
        <v/>
      </c>
      <c r="J7" s="935" t="inlineStr">
        <is>
          <t>Supreme Relic #12</t>
        </is>
      </c>
      <c r="K7" s="669" t="n"/>
      <c r="L7" s="669" t="n"/>
      <c r="M7" s="669" t="n"/>
      <c r="N7" s="1091" t="inlineStr">
        <is>
          <t>Angel</t>
        </is>
      </c>
      <c r="O7" s="181">
        <f>I439</f>
        <v/>
      </c>
      <c r="P7" s="669">
        <f>F439</f>
        <v/>
      </c>
      <c r="Q7" s="181">
        <f>I467</f>
        <v/>
      </c>
      <c r="R7" s="669">
        <f>F467</f>
        <v/>
      </c>
      <c r="S7" s="181">
        <f>I487</f>
        <v/>
      </c>
      <c r="T7" s="669">
        <f>F487</f>
        <v/>
      </c>
      <c r="U7" s="181">
        <f>I507</f>
        <v/>
      </c>
      <c r="V7" s="669">
        <f>F507</f>
        <v/>
      </c>
      <c r="W7" s="181">
        <f>I522</f>
        <v/>
      </c>
      <c r="X7" s="1095">
        <f>F522</f>
        <v/>
      </c>
      <c r="Y7" s="669" t="n"/>
      <c r="Z7" s="669" t="n"/>
    </row>
    <row r="8">
      <c r="A8" s="246" t="inlineStr">
        <is>
          <t xml:space="preserve">Pisces </t>
        </is>
      </c>
      <c r="B8" s="425" t="inlineStr">
        <is>
          <t>SSS</t>
        </is>
      </c>
      <c r="C8" s="425" t="inlineStr">
        <is>
          <t>FAME</t>
        </is>
      </c>
      <c r="D8" s="210" t="n">
        <v>1600</v>
      </c>
      <c r="E8" s="209" t="n"/>
      <c r="F8" s="210" t="n"/>
      <c r="G8" s="209" t="n"/>
      <c r="H8" s="210" t="n">
        <v>100</v>
      </c>
      <c r="I8" s="371">
        <f>(D8+E8)/H8</f>
        <v/>
      </c>
      <c r="J8" s="256" t="inlineStr">
        <is>
          <t>Supreme Relic #20</t>
        </is>
      </c>
      <c r="K8" s="669" t="n"/>
      <c r="L8" s="669" t="n"/>
      <c r="M8" s="669" t="n"/>
      <c r="N8" s="1091" t="inlineStr">
        <is>
          <t>Mutant</t>
        </is>
      </c>
      <c r="O8" s="181">
        <f>I546</f>
        <v/>
      </c>
      <c r="P8" s="669">
        <f>F546</f>
        <v/>
      </c>
      <c r="Q8" s="181">
        <f>I572</f>
        <v/>
      </c>
      <c r="R8" s="669">
        <f>F572</f>
        <v/>
      </c>
      <c r="S8" s="669">
        <f>I590</f>
        <v/>
      </c>
      <c r="T8" s="669">
        <f>F590</f>
        <v/>
      </c>
      <c r="U8" s="181">
        <f>I610</f>
        <v/>
      </c>
      <c r="V8" s="669">
        <f>F610</f>
        <v/>
      </c>
      <c r="W8" s="181">
        <f>I624</f>
        <v/>
      </c>
      <c r="X8" s="1095">
        <f>F624</f>
        <v/>
      </c>
      <c r="Y8" s="669" t="n"/>
      <c r="Z8" s="669" t="n"/>
    </row>
    <row r="9">
      <c r="A9" s="246" t="inlineStr">
        <is>
          <t>Scorpio</t>
        </is>
      </c>
      <c r="B9" s="425" t="inlineStr">
        <is>
          <t>SSS</t>
        </is>
      </c>
      <c r="C9" s="425" t="inlineStr">
        <is>
          <t>CIV</t>
        </is>
      </c>
      <c r="D9" s="210" t="n">
        <v>1600</v>
      </c>
      <c r="E9" s="209" t="n"/>
      <c r="F9" s="210" t="n"/>
      <c r="G9" s="209" t="n"/>
      <c r="H9" s="210" t="n">
        <v>100</v>
      </c>
      <c r="I9" s="371">
        <f>(D9+E9)/H9</f>
        <v/>
      </c>
      <c r="J9" s="256" t="inlineStr">
        <is>
          <t>Supreme Relic #16</t>
        </is>
      </c>
      <c r="K9" s="669" t="n"/>
      <c r="L9" s="669" t="n"/>
      <c r="M9" s="669" t="n"/>
      <c r="N9" s="1091" t="inlineStr">
        <is>
          <t>Mecha</t>
        </is>
      </c>
      <c r="O9" s="181">
        <f>I649</f>
        <v/>
      </c>
      <c r="P9" s="669">
        <f>F649</f>
        <v/>
      </c>
      <c r="Q9" s="181">
        <f>I675</f>
        <v/>
      </c>
      <c r="R9" s="669">
        <f>F675</f>
        <v/>
      </c>
      <c r="S9" s="181">
        <f>I697</f>
        <v/>
      </c>
      <c r="T9" s="669">
        <f>F697</f>
        <v/>
      </c>
      <c r="U9" s="181">
        <f>I715</f>
        <v/>
      </c>
      <c r="V9" s="669">
        <f>F610</f>
        <v/>
      </c>
      <c r="W9" s="181">
        <f>I733</f>
        <v/>
      </c>
      <c r="X9" s="1095">
        <f>F733</f>
        <v/>
      </c>
      <c r="Y9" s="669" t="n"/>
      <c r="Z9" s="669" t="n"/>
    </row>
    <row r="10">
      <c r="A10" s="357" t="inlineStr">
        <is>
          <t>Ludovisi Ares</t>
        </is>
      </c>
      <c r="B10" s="425" t="inlineStr">
        <is>
          <t>SSS</t>
        </is>
      </c>
      <c r="C10" s="425" t="inlineStr">
        <is>
          <t>FTH</t>
        </is>
      </c>
      <c r="D10" s="371" t="n">
        <v>900</v>
      </c>
      <c r="E10" s="425" t="n"/>
      <c r="F10" s="425" t="n"/>
      <c r="G10" s="425" t="n"/>
      <c r="H10" s="425" t="n">
        <v>60</v>
      </c>
      <c r="I10" s="371">
        <f>(D10+E10)/H10</f>
        <v/>
      </c>
      <c r="J10" s="386" t="inlineStr">
        <is>
          <t>Star Chart Shop</t>
        </is>
      </c>
      <c r="K10" s="669" t="n"/>
      <c r="L10" s="669" t="n"/>
      <c r="M10" s="669" t="n"/>
      <c r="N10" s="670" t="inlineStr">
        <is>
          <t>Dragon</t>
        </is>
      </c>
      <c r="O10" s="198">
        <f>I762</f>
        <v/>
      </c>
      <c r="P10" s="1093">
        <f>F762</f>
        <v/>
      </c>
      <c r="Q10" s="198">
        <f>I792</f>
        <v/>
      </c>
      <c r="R10" s="1093">
        <f>F792</f>
        <v/>
      </c>
      <c r="S10" s="198">
        <f>I819</f>
        <v/>
      </c>
      <c r="T10" s="1093">
        <f>F819</f>
        <v/>
      </c>
      <c r="U10" s="198">
        <f>I842</f>
        <v/>
      </c>
      <c r="V10" s="1093">
        <f>F842</f>
        <v/>
      </c>
      <c r="W10" s="198">
        <f>I867</f>
        <v/>
      </c>
      <c r="X10" s="965">
        <f>F867</f>
        <v/>
      </c>
      <c r="Y10" s="669" t="n"/>
      <c r="Z10" s="669" t="n"/>
    </row>
    <row r="11">
      <c r="A11" s="246" t="inlineStr">
        <is>
          <t>Scales of Astraea</t>
        </is>
      </c>
      <c r="B11" s="425" t="inlineStr">
        <is>
          <t>SSS</t>
        </is>
      </c>
      <c r="C11" s="425" t="inlineStr">
        <is>
          <t>FTH</t>
        </is>
      </c>
      <c r="D11" s="210" t="n">
        <v>900</v>
      </c>
      <c r="E11" s="209" t="n"/>
      <c r="F11" s="210" t="n"/>
      <c r="G11" s="209" t="n"/>
      <c r="H11" s="425" t="n">
        <v>60</v>
      </c>
      <c r="I11" s="371">
        <f>(D11+E11)/H11</f>
        <v/>
      </c>
      <c r="J11" s="386" t="inlineStr">
        <is>
          <t>Star Chart Shop</t>
        </is>
      </c>
      <c r="K11" s="669" t="n"/>
      <c r="L11" s="669" t="n"/>
      <c r="M11" s="669" t="n"/>
      <c r="N11" s="669" t="n"/>
      <c r="O11" s="669" t="n"/>
      <c r="P11" s="669" t="n"/>
      <c r="Q11" s="669" t="n"/>
      <c r="R11" s="669" t="n"/>
      <c r="S11" s="669" t="n"/>
      <c r="T11" s="669" t="n"/>
      <c r="U11" s="669" t="n"/>
      <c r="V11" s="669" t="n"/>
      <c r="W11" s="669" t="n"/>
      <c r="X11" s="669" t="n"/>
      <c r="Y11" s="669" t="n"/>
      <c r="Z11" s="669" t="n"/>
    </row>
    <row r="12">
      <c r="A12" s="246" t="inlineStr">
        <is>
          <t>Trojan Horse</t>
        </is>
      </c>
      <c r="B12" s="425" t="inlineStr">
        <is>
          <t>SSS</t>
        </is>
      </c>
      <c r="C12" s="425" t="inlineStr">
        <is>
          <t>FAME</t>
        </is>
      </c>
      <c r="D12" s="210" t="n">
        <v>900</v>
      </c>
      <c r="E12" s="209" t="n"/>
      <c r="F12" s="210" t="n"/>
      <c r="G12" s="209" t="n"/>
      <c r="H12" s="425" t="n">
        <v>60</v>
      </c>
      <c r="I12" s="371">
        <f>(D12+E12)/H12</f>
        <v/>
      </c>
      <c r="J12" s="256" t="inlineStr">
        <is>
          <t>Lottery Machine #1 (0.09%), Wishing (0.09%), Grandmaster Scrolls (0.81%), Relic Forge (120 Relic RF)</t>
        </is>
      </c>
      <c r="K12" s="669" t="n"/>
      <c r="L12" s="669" t="n"/>
      <c r="M12" s="669" t="n"/>
      <c r="N12" s="669" t="n"/>
      <c r="O12" s="669" t="n"/>
      <c r="P12" s="669" t="n"/>
      <c r="Q12" s="669" t="n"/>
      <c r="R12" s="669" t="n"/>
      <c r="S12" s="669" t="n"/>
      <c r="T12" s="669" t="n"/>
      <c r="U12" s="669" t="n"/>
      <c r="V12" s="669" t="n"/>
      <c r="W12" s="669" t="n"/>
      <c r="X12" s="669" t="n"/>
      <c r="Y12" s="669" t="n"/>
      <c r="Z12" s="669" t="n"/>
    </row>
    <row r="13">
      <c r="A13" s="246" t="inlineStr">
        <is>
          <t>Ebers Papyrus</t>
        </is>
      </c>
      <c r="B13" s="425" t="inlineStr">
        <is>
          <t>SSS</t>
        </is>
      </c>
      <c r="C13" s="425" t="inlineStr">
        <is>
          <t>TECH</t>
        </is>
      </c>
      <c r="D13" s="210" t="n"/>
      <c r="E13" s="209" t="n"/>
      <c r="F13" s="210" t="n">
        <v>2.4</v>
      </c>
      <c r="G13" s="209" t="n">
        <v>2</v>
      </c>
      <c r="H13" s="209" t="n"/>
      <c r="I13" s="200" t="n"/>
      <c r="J13" s="386" t="inlineStr">
        <is>
          <t>Wish Box Album Relic #2</t>
        </is>
      </c>
      <c r="K13" s="669" t="n"/>
      <c r="L13" s="669" t="n"/>
      <c r="M13" s="669" t="n"/>
      <c r="N13" s="669" t="n"/>
      <c r="O13" s="669" t="n"/>
      <c r="P13" s="669" t="n"/>
      <c r="Q13" s="669" t="n"/>
      <c r="R13" s="669" t="n"/>
      <c r="S13" s="669" t="n"/>
      <c r="T13" s="669" t="n"/>
      <c r="U13" s="669" t="n"/>
      <c r="V13" s="669" t="n"/>
      <c r="W13" s="669" t="n"/>
      <c r="X13" s="669" t="n"/>
      <c r="Y13" s="669" t="n"/>
      <c r="Z13" s="669" t="n"/>
    </row>
    <row r="14">
      <c r="A14" s="246" t="inlineStr">
        <is>
          <t>Ink Chrysanths</t>
        </is>
      </c>
      <c r="B14" s="425" t="inlineStr">
        <is>
          <t>SSS</t>
        </is>
      </c>
      <c r="C14" s="425" t="inlineStr">
        <is>
          <t>ART</t>
        </is>
      </c>
      <c r="D14" s="210" t="n"/>
      <c r="E14" s="209" t="n"/>
      <c r="F14" s="210" t="n">
        <v>2.4</v>
      </c>
      <c r="G14" s="209" t="n">
        <v>2</v>
      </c>
      <c r="H14" s="209" t="n"/>
      <c r="I14" s="200" t="n"/>
      <c r="J14" s="386" t="inlineStr">
        <is>
          <t>Lottery Machine #2 (0.11%)</t>
        </is>
      </c>
      <c r="K14" s="669" t="n"/>
      <c r="L14" s="669" t="n"/>
      <c r="M14" s="669" t="n"/>
      <c r="N14" s="669" t="n"/>
      <c r="O14" s="669" t="n"/>
      <c r="P14" s="669" t="n"/>
      <c r="Q14" s="669" t="n"/>
      <c r="R14" s="669" t="n"/>
      <c r="S14" s="669" t="n"/>
      <c r="T14" s="669" t="n"/>
      <c r="U14" s="669" t="n"/>
      <c r="V14" s="669" t="n"/>
      <c r="W14" s="669" t="n"/>
      <c r="X14" s="669" t="n"/>
      <c r="Y14" s="669" t="n"/>
      <c r="Z14" s="669" t="n"/>
    </row>
    <row r="15">
      <c r="A15" s="246" t="inlineStr">
        <is>
          <t>La Marseillaise</t>
        </is>
      </c>
      <c r="B15" s="425" t="inlineStr">
        <is>
          <t>SSS</t>
        </is>
      </c>
      <c r="C15" s="425" t="inlineStr">
        <is>
          <t>ART</t>
        </is>
      </c>
      <c r="D15" s="210" t="n"/>
      <c r="E15" s="209" t="n"/>
      <c r="F15" s="210" t="n">
        <v>2.4</v>
      </c>
      <c r="G15" s="209" t="n">
        <v>2</v>
      </c>
      <c r="H15" s="209" t="n"/>
      <c r="I15" s="200" t="n"/>
      <c r="J15" s="256" t="inlineStr">
        <is>
          <t>Star Chart Shop</t>
        </is>
      </c>
      <c r="K15" s="669" t="n"/>
      <c r="L15" s="669" t="n"/>
      <c r="M15" s="669" t="n"/>
      <c r="N15" s="669" t="n"/>
      <c r="O15" s="669" t="n"/>
      <c r="P15" s="669" t="n"/>
      <c r="Q15" s="669" t="n"/>
      <c r="R15" s="669" t="n"/>
      <c r="S15" s="669" t="n"/>
      <c r="T15" s="669" t="n"/>
      <c r="U15" s="669" t="n"/>
      <c r="V15" s="669" t="n"/>
      <c r="W15" s="669" t="n"/>
      <c r="X15" s="669" t="n"/>
      <c r="Y15" s="669" t="n"/>
      <c r="Z15" s="669" t="n"/>
    </row>
    <row r="16">
      <c r="A16" s="357" t="inlineStr">
        <is>
          <t>Discobolus</t>
        </is>
      </c>
      <c r="B16" s="425" t="inlineStr">
        <is>
          <t>SSS</t>
        </is>
      </c>
      <c r="C16" s="425" t="inlineStr">
        <is>
          <t>ART</t>
        </is>
      </c>
      <c r="D16" s="371" t="n"/>
      <c r="E16" s="371" t="n"/>
      <c r="F16" s="371" t="n">
        <v>2.4</v>
      </c>
      <c r="G16" s="425" t="n"/>
      <c r="H16" s="425" t="n"/>
      <c r="I16" s="371" t="n"/>
      <c r="J16" s="201" t="inlineStr">
        <is>
          <t>Lottery Machine #2 (?%)</t>
        </is>
      </c>
      <c r="K16" s="669" t="n"/>
      <c r="L16" s="669" t="n"/>
      <c r="M16" s="669" t="n"/>
      <c r="N16" s="669" t="n"/>
      <c r="O16" s="669" t="n"/>
      <c r="P16" s="669" t="n"/>
      <c r="Q16" s="669" t="n"/>
      <c r="R16" s="669" t="n"/>
      <c r="S16" s="669" t="n"/>
      <c r="T16" s="669" t="n"/>
      <c r="U16" s="669" t="n"/>
      <c r="V16" s="669" t="n"/>
      <c r="W16" s="669" t="n"/>
      <c r="X16" s="669" t="n"/>
      <c r="Y16" s="669" t="n"/>
      <c r="Z16" s="669" t="n"/>
    </row>
    <row r="17">
      <c r="A17" s="357" t="inlineStr">
        <is>
          <t>Orphic Egg</t>
        </is>
      </c>
      <c r="B17" s="425" t="inlineStr">
        <is>
          <t>SSS</t>
        </is>
      </c>
      <c r="C17" s="425" t="inlineStr">
        <is>
          <t>FTH</t>
        </is>
      </c>
      <c r="D17" s="371" t="n"/>
      <c r="E17" s="371" t="n"/>
      <c r="F17" s="371" t="n">
        <v>2.4</v>
      </c>
      <c r="G17" s="425" t="n"/>
      <c r="H17" s="425" t="n"/>
      <c r="I17" s="371" t="n"/>
      <c r="J17" s="386" t="inlineStr">
        <is>
          <t>Lottery Machine #2 (0.12%), Relic Forge (120 RF)</t>
        </is>
      </c>
      <c r="K17" s="669" t="n"/>
      <c r="L17" s="669" t="n"/>
      <c r="M17" s="669" t="n"/>
      <c r="N17" s="669" t="n"/>
      <c r="O17" s="669" t="n"/>
      <c r="P17" s="669" t="n"/>
      <c r="Q17" s="669" t="n"/>
      <c r="R17" s="669" t="n"/>
      <c r="S17" s="669" t="n"/>
      <c r="T17" s="669" t="n"/>
      <c r="U17" s="669" t="n"/>
      <c r="V17" s="669" t="n"/>
      <c r="W17" s="669" t="n"/>
      <c r="X17" s="669" t="n"/>
      <c r="Y17" s="669" t="n"/>
      <c r="Z17" s="669" t="n"/>
    </row>
    <row r="18">
      <c r="A18" s="357" t="n"/>
      <c r="B18" s="425" t="n"/>
      <c r="C18" s="934" t="n"/>
      <c r="D18" s="371" t="n"/>
      <c r="E18" s="371" t="n"/>
      <c r="F18" s="371" t="n"/>
      <c r="G18" s="425" t="n"/>
      <c r="H18" s="425" t="n"/>
      <c r="I18" s="371" t="n"/>
      <c r="J18" s="386" t="n"/>
      <c r="K18" s="669" t="n"/>
      <c r="L18" s="669" t="n"/>
      <c r="M18" s="669" t="n"/>
      <c r="N18" s="669" t="n"/>
      <c r="O18" s="669" t="n"/>
      <c r="P18" s="669" t="n"/>
      <c r="Q18" s="669" t="n"/>
      <c r="R18" s="669" t="n"/>
      <c r="S18" s="669" t="n"/>
      <c r="T18" s="669" t="n"/>
      <c r="U18" s="669" t="n"/>
      <c r="V18" s="669" t="n"/>
      <c r="W18" s="669" t="n"/>
      <c r="X18" s="669" t="n"/>
      <c r="Y18" s="669" t="n"/>
      <c r="Z18" s="669" t="n"/>
    </row>
    <row r="19">
      <c r="A19" s="357" t="inlineStr">
        <is>
          <t>Resonance: Orange</t>
        </is>
      </c>
      <c r="B19" s="425" t="n"/>
      <c r="C19" s="934" t="n"/>
      <c r="D19" s="371" t="n">
        <v>630</v>
      </c>
      <c r="E19" s="371" t="n"/>
      <c r="F19" s="371" t="n"/>
      <c r="G19" s="425" t="n"/>
      <c r="H19" s="425" t="n">
        <v>60</v>
      </c>
      <c r="I19" s="371">
        <f>(D19+E19)/H19</f>
        <v/>
      </c>
      <c r="J19" s="386" t="n"/>
      <c r="K19" s="669" t="n"/>
      <c r="L19" s="669" t="n"/>
      <c r="M19" s="669" t="n"/>
      <c r="N19" s="669" t="n"/>
      <c r="O19" s="669" t="n"/>
      <c r="P19" s="669" t="n"/>
      <c r="Q19" s="669" t="n"/>
      <c r="R19" s="669" t="n"/>
      <c r="S19" s="669" t="n"/>
      <c r="T19" s="669" t="n"/>
      <c r="U19" s="669" t="n"/>
      <c r="V19" s="669" t="n"/>
      <c r="W19" s="669" t="n"/>
      <c r="X19" s="669" t="n"/>
      <c r="Y19" s="669" t="n"/>
      <c r="Z19" s="669" t="n"/>
    </row>
    <row r="20">
      <c r="A20" s="357" t="inlineStr">
        <is>
          <t xml:space="preserve">  Shahnameh</t>
        </is>
      </c>
      <c r="B20" s="425" t="inlineStr">
        <is>
          <t>SSS</t>
        </is>
      </c>
      <c r="C20" s="425" t="inlineStr">
        <is>
          <t>CIV</t>
        </is>
      </c>
      <c r="D20" s="371" t="n"/>
      <c r="E20" s="371" t="n"/>
      <c r="F20" s="371" t="n"/>
      <c r="G20" s="425" t="n"/>
      <c r="H20" s="425" t="n"/>
      <c r="I20" s="425" t="n"/>
      <c r="J20" s="386" t="inlineStr">
        <is>
          <t>Lottery Machine #2 (0.12%)</t>
        </is>
      </c>
      <c r="K20" s="669" t="n"/>
      <c r="L20" s="669" t="n"/>
      <c r="M20" s="669" t="n"/>
      <c r="N20" s="669" t="n"/>
      <c r="O20" s="669" t="n"/>
      <c r="P20" s="669" t="n"/>
      <c r="Q20" s="669" t="n"/>
      <c r="R20" s="669" t="n"/>
      <c r="S20" s="669" t="n"/>
      <c r="T20" s="669" t="n"/>
      <c r="U20" s="669" t="n"/>
      <c r="V20" s="669" t="n"/>
      <c r="W20" s="669" t="n"/>
      <c r="X20" s="669" t="n"/>
      <c r="Y20" s="669" t="n"/>
      <c r="Z20" s="669" t="n"/>
    </row>
    <row r="21">
      <c r="A21" s="357" t="inlineStr">
        <is>
          <t xml:space="preserve">  The Art of War</t>
        </is>
      </c>
      <c r="B21" s="425" t="inlineStr">
        <is>
          <t>SSS</t>
        </is>
      </c>
      <c r="C21" s="425" t="inlineStr">
        <is>
          <t>CIV</t>
        </is>
      </c>
      <c r="D21" s="371" t="n"/>
      <c r="E21" s="371" t="n"/>
      <c r="F21" s="371" t="n"/>
      <c r="G21" s="425" t="n"/>
      <c r="H21" s="425" t="n"/>
      <c r="I21" s="425" t="n"/>
      <c r="J21" s="386" t="inlineStr">
        <is>
          <t>Wish Box, Lottery Machine #1 (0.09%), Wishing (0.08%), Grandmaster Scrolls (0.81%), Relic Forge (120 Relic RF)</t>
        </is>
      </c>
      <c r="K21" s="669" t="n"/>
      <c r="L21" s="669" t="n"/>
      <c r="M21" s="669" t="n"/>
      <c r="N21" s="669" t="n"/>
      <c r="O21" s="669" t="n"/>
      <c r="P21" s="669" t="n"/>
      <c r="Q21" s="669" t="n"/>
      <c r="R21" s="669" t="n"/>
      <c r="S21" s="669" t="n"/>
      <c r="T21" s="669" t="n"/>
      <c r="U21" s="669" t="n"/>
      <c r="V21" s="669" t="n"/>
      <c r="W21" s="669" t="n"/>
      <c r="X21" s="669" t="n"/>
      <c r="Y21" s="669" t="n"/>
      <c r="Z21" s="669" t="n"/>
    </row>
    <row r="22">
      <c r="A22" s="357" t="inlineStr">
        <is>
          <t>Resonance: Orange</t>
        </is>
      </c>
      <c r="B22" s="425" t="n"/>
      <c r="C22" s="934" t="n"/>
      <c r="D22" s="371" t="n">
        <v>630</v>
      </c>
      <c r="E22" s="371" t="n"/>
      <c r="F22" s="371" t="n"/>
      <c r="G22" s="425" t="n"/>
      <c r="H22" s="425" t="n">
        <v>60</v>
      </c>
      <c r="I22" s="371">
        <f>(D22+E22)/H22</f>
        <v/>
      </c>
      <c r="J22" s="386" t="n"/>
      <c r="K22" s="669" t="n"/>
      <c r="L22" s="669" t="n"/>
      <c r="M22" s="669" t="n"/>
      <c r="N22" s="669" t="n"/>
      <c r="O22" s="669" t="n"/>
      <c r="P22" s="669" t="n"/>
      <c r="Q22" s="669" t="n"/>
      <c r="R22" s="669" t="n"/>
      <c r="S22" s="669" t="n"/>
      <c r="T22" s="669" t="n"/>
      <c r="U22" s="669" t="n"/>
      <c r="V22" s="669" t="n"/>
      <c r="W22" s="669" t="n"/>
      <c r="X22" s="669" t="n"/>
      <c r="Y22" s="669" t="n"/>
      <c r="Z22" s="669" t="n"/>
    </row>
    <row r="23">
      <c r="A23" s="357" t="inlineStr">
        <is>
          <t xml:space="preserve">  Smug's Chalice</t>
        </is>
      </c>
      <c r="B23" s="425" t="inlineStr">
        <is>
          <t>SS</t>
        </is>
      </c>
      <c r="C23" s="425" t="inlineStr">
        <is>
          <t>FAME</t>
        </is>
      </c>
      <c r="D23" s="371" t="n"/>
      <c r="E23" s="371" t="n"/>
      <c r="F23" s="371" t="n"/>
      <c r="G23" s="425" t="n"/>
      <c r="H23" s="425" t="n"/>
      <c r="I23" s="425" t="n"/>
      <c r="J23" s="386" t="inlineStr">
        <is>
          <t>T7.5 Dragon Gene Research</t>
        </is>
      </c>
      <c r="K23" s="669" t="n"/>
      <c r="L23" s="669" t="n"/>
      <c r="M23" s="669" t="n"/>
      <c r="N23" s="669" t="n"/>
      <c r="O23" s="669" t="n"/>
      <c r="P23" s="669" t="n"/>
      <c r="Q23" s="669" t="n"/>
      <c r="R23" s="669" t="n"/>
      <c r="S23" s="669" t="n"/>
      <c r="T23" s="669" t="n"/>
      <c r="U23" s="669" t="n"/>
      <c r="V23" s="669" t="n"/>
      <c r="W23" s="669" t="n"/>
      <c r="X23" s="669" t="n"/>
      <c r="Y23" s="669" t="n"/>
      <c r="Z23" s="669" t="n"/>
    </row>
    <row r="24">
      <c r="A24" s="357" t="inlineStr">
        <is>
          <t xml:space="preserve">  Imperial Jade</t>
        </is>
      </c>
      <c r="B24" s="425" t="inlineStr">
        <is>
          <t>S</t>
        </is>
      </c>
      <c r="C24" s="425" t="inlineStr">
        <is>
          <t>FAME</t>
        </is>
      </c>
      <c r="D24" s="371" t="n"/>
      <c r="E24" s="371" t="n"/>
      <c r="F24" s="371" t="n"/>
      <c r="G24" s="425" t="n"/>
      <c r="H24" s="425" t="n"/>
      <c r="I24" s="425" t="n"/>
      <c r="J24" s="386" t="inlineStr">
        <is>
          <t>Fragment Crafting (20.7%), Lottery Machine #1 (0.81%), Wishing (0.75%), Cathay Treasure Maps (5%), Relic Forge (90 Relic RF)</t>
        </is>
      </c>
      <c r="K24" s="669" t="n"/>
      <c r="L24" s="669" t="n"/>
      <c r="M24" s="669" t="n"/>
      <c r="N24" s="669" t="n"/>
      <c r="O24" s="669" t="n"/>
      <c r="P24" s="669" t="n"/>
      <c r="Q24" s="669" t="n"/>
      <c r="R24" s="669" t="n"/>
      <c r="S24" s="669" t="n"/>
      <c r="T24" s="669" t="n"/>
      <c r="U24" s="669" t="n"/>
      <c r="V24" s="669" t="n"/>
      <c r="W24" s="669" t="n"/>
      <c r="X24" s="669" t="n"/>
      <c r="Y24" s="669" t="n"/>
      <c r="Z24" s="669" t="n"/>
    </row>
    <row r="25">
      <c r="A25" s="357" t="inlineStr">
        <is>
          <t>Resonance: Purple</t>
        </is>
      </c>
      <c r="B25" s="425" t="n"/>
      <c r="C25" s="934" t="n"/>
      <c r="D25" s="371" t="n">
        <v>240</v>
      </c>
      <c r="E25" s="371" t="n"/>
      <c r="F25" s="371" t="n"/>
      <c r="G25" s="425" t="n"/>
      <c r="H25" s="425" t="n">
        <v>30</v>
      </c>
      <c r="I25" s="371">
        <f>(D25+E25)/H25</f>
        <v/>
      </c>
      <c r="J25" s="386" t="n"/>
      <c r="K25" s="669" t="n"/>
      <c r="L25" s="669" t="n"/>
      <c r="M25" s="669" t="n"/>
      <c r="N25" s="669" t="n"/>
      <c r="O25" s="669" t="n"/>
      <c r="P25" s="669" t="n"/>
      <c r="Q25" s="669" t="n"/>
      <c r="R25" s="669" t="n"/>
      <c r="S25" s="669" t="n"/>
      <c r="T25" s="669" t="n"/>
      <c r="U25" s="669" t="n"/>
      <c r="V25" s="669" t="n"/>
      <c r="W25" s="669" t="n"/>
      <c r="X25" s="669" t="n"/>
      <c r="Y25" s="669" t="n"/>
      <c r="Z25" s="669" t="n"/>
    </row>
    <row r="26">
      <c r="A26" s="357" t="inlineStr">
        <is>
          <t xml:space="preserve">  Prehistoric Fossil</t>
        </is>
      </c>
      <c r="B26" s="425" t="inlineStr">
        <is>
          <t>AAA</t>
        </is>
      </c>
      <c r="C26" s="425" t="inlineStr">
        <is>
          <t>CIV</t>
        </is>
      </c>
      <c r="D26" s="371" t="n"/>
      <c r="E26" s="371" t="n"/>
      <c r="F26" s="371" t="n"/>
      <c r="G26" s="425" t="n"/>
      <c r="H26" s="425" t="n"/>
      <c r="I26" s="425" t="n"/>
      <c r="J26" s="386" t="inlineStr">
        <is>
          <t>Fragment Crafting (1.5%), Lottery Machine #1 (0.03%), Wishing (0.14%), Time Chest (1.5%), Relic Forge (80 Relic RF)</t>
        </is>
      </c>
      <c r="K26" s="669" t="n"/>
      <c r="L26" s="669" t="n"/>
      <c r="M26" s="669" t="n"/>
      <c r="N26" s="669" t="n"/>
      <c r="O26" s="669" t="n"/>
      <c r="P26" s="669" t="n"/>
      <c r="Q26" s="669" t="n"/>
      <c r="R26" s="669" t="n"/>
      <c r="S26" s="669" t="n"/>
      <c r="T26" s="669" t="n"/>
      <c r="U26" s="669" t="n"/>
      <c r="V26" s="669" t="n"/>
      <c r="W26" s="669" t="n"/>
      <c r="X26" s="669" t="n"/>
      <c r="Y26" s="669" t="n"/>
      <c r="Z26" s="669" t="n"/>
    </row>
    <row r="27">
      <c r="A27" s="357" t="inlineStr">
        <is>
          <t xml:space="preserve">  Koryeon Sutra</t>
        </is>
      </c>
      <c r="B27" s="425" t="inlineStr">
        <is>
          <t>AAA</t>
        </is>
      </c>
      <c r="C27" s="425" t="inlineStr">
        <is>
          <t>CIV</t>
        </is>
      </c>
      <c r="D27" s="371" t="n"/>
      <c r="E27" s="371" t="n"/>
      <c r="F27" s="371" t="n"/>
      <c r="G27" s="425" t="n"/>
      <c r="H27" s="425" t="n"/>
      <c r="I27" s="425" t="n"/>
      <c r="J27" s="386" t="inlineStr">
        <is>
          <t>Fragment Crafting (1.5%), Lottery Machine #1 (0.03%), Wishing (0.14%), Koryeon Treasure Maps (10%), Relic Forge (80 Relic RF)</t>
        </is>
      </c>
      <c r="K27" s="669" t="n"/>
      <c r="L27" s="669" t="n"/>
      <c r="M27" s="669" t="n"/>
      <c r="N27" s="669" t="n"/>
      <c r="O27" s="669" t="n"/>
      <c r="P27" s="669" t="n"/>
      <c r="Q27" s="669" t="n"/>
      <c r="R27" s="669" t="n"/>
      <c r="S27" s="669" t="n"/>
      <c r="T27" s="669" t="n"/>
      <c r="U27" s="669" t="n"/>
      <c r="V27" s="669" t="n"/>
      <c r="W27" s="669" t="n"/>
      <c r="X27" s="669" t="n"/>
      <c r="Y27" s="669" t="n"/>
      <c r="Z27" s="669" t="n"/>
    </row>
    <row r="28">
      <c r="A28" s="357" t="inlineStr">
        <is>
          <t>Resonance: Blue</t>
        </is>
      </c>
      <c r="B28" s="425" t="n"/>
      <c r="C28" s="934" t="n"/>
      <c r="D28" s="371" t="n">
        <v>60</v>
      </c>
      <c r="E28" s="371" t="n"/>
      <c r="F28" s="371" t="n"/>
      <c r="G28" s="425" t="n"/>
      <c r="H28" s="425" t="n">
        <v>10</v>
      </c>
      <c r="I28" s="371">
        <f>(D28+E28)/H28</f>
        <v/>
      </c>
      <c r="J28" s="386" t="n"/>
      <c r="K28" s="669" t="n"/>
      <c r="L28" s="669" t="n"/>
      <c r="M28" s="669" t="n"/>
      <c r="N28" s="669" t="n"/>
      <c r="O28" s="669" t="n"/>
      <c r="P28" s="669" t="n"/>
      <c r="Q28" s="669" t="n"/>
      <c r="R28" s="669" t="n"/>
      <c r="S28" s="669" t="n"/>
      <c r="T28" s="669" t="n"/>
      <c r="U28" s="669" t="n"/>
      <c r="V28" s="669" t="n"/>
      <c r="W28" s="669" t="n"/>
      <c r="X28" s="669" t="n"/>
      <c r="Y28" s="669" t="n"/>
      <c r="Z28" s="669" t="n"/>
    </row>
    <row r="29">
      <c r="A29" s="357" t="inlineStr">
        <is>
          <t xml:space="preserve">  Matsushima Pot</t>
        </is>
      </c>
      <c r="B29" s="425" t="inlineStr">
        <is>
          <t>Blue</t>
        </is>
      </c>
      <c r="C29" s="425" t="inlineStr">
        <is>
          <t>CIV</t>
        </is>
      </c>
      <c r="D29" s="371" t="n"/>
      <c r="E29" s="371" t="n"/>
      <c r="F29" s="371" t="n"/>
      <c r="G29" s="425" t="n"/>
      <c r="H29" s="425" t="n"/>
      <c r="I29" s="425" t="n"/>
      <c r="J29" s="386" t="inlineStr">
        <is>
          <t>Lottery Machine #2 (0.07%)</t>
        </is>
      </c>
      <c r="K29" s="669" t="n"/>
      <c r="L29" s="669" t="n"/>
      <c r="M29" s="669" t="n"/>
      <c r="N29" s="669" t="n"/>
      <c r="O29" s="669" t="n"/>
      <c r="P29" s="669" t="n"/>
      <c r="Q29" s="669" t="n"/>
      <c r="R29" s="669" t="n"/>
      <c r="S29" s="669" t="n"/>
      <c r="T29" s="669" t="n"/>
      <c r="U29" s="669" t="n"/>
      <c r="V29" s="669" t="n"/>
      <c r="W29" s="669" t="n"/>
      <c r="X29" s="669" t="n"/>
      <c r="Y29" s="669" t="n"/>
      <c r="Z29" s="669" t="n"/>
    </row>
    <row r="30">
      <c r="A30" s="357" t="inlineStr">
        <is>
          <t xml:space="preserve">  Pompeii</t>
        </is>
      </c>
      <c r="B30" s="425" t="inlineStr">
        <is>
          <t>Blue</t>
        </is>
      </c>
      <c r="C30" s="425" t="inlineStr">
        <is>
          <t>ART</t>
        </is>
      </c>
      <c r="D30" s="371" t="n"/>
      <c r="E30" s="371" t="n"/>
      <c r="F30" s="371" t="n"/>
      <c r="G30" s="425" t="n"/>
      <c r="H30" s="425" t="n"/>
      <c r="I30" s="425" t="n"/>
      <c r="J30" s="386" t="inlineStr">
        <is>
          <t>Lottery Machine #2 (0.03%)</t>
        </is>
      </c>
      <c r="K30" s="669" t="n"/>
      <c r="L30" s="669" t="n"/>
      <c r="M30" s="669" t="n"/>
      <c r="N30" s="669" t="n"/>
      <c r="O30" s="669" t="n"/>
      <c r="P30" s="669" t="n"/>
      <c r="Q30" s="669" t="n"/>
      <c r="R30" s="669" t="n"/>
      <c r="S30" s="669" t="n"/>
      <c r="T30" s="669" t="n"/>
      <c r="U30" s="669" t="n"/>
      <c r="V30" s="669" t="n"/>
      <c r="W30" s="669" t="n"/>
      <c r="X30" s="669" t="n"/>
      <c r="Y30" s="669" t="n"/>
      <c r="Z30" s="669" t="n"/>
    </row>
    <row r="31">
      <c r="A31" s="357" t="inlineStr">
        <is>
          <t xml:space="preserve">  The Moon and Sixpence</t>
        </is>
      </c>
      <c r="B31" s="425" t="inlineStr">
        <is>
          <t>Blue</t>
        </is>
      </c>
      <c r="C31" s="425" t="inlineStr">
        <is>
          <t>CIV</t>
        </is>
      </c>
      <c r="D31" s="371" t="n"/>
      <c r="E31" s="371" t="n"/>
      <c r="F31" s="371" t="n"/>
      <c r="G31" s="425" t="n"/>
      <c r="H31" s="425" t="n"/>
      <c r="I31" s="425" t="n"/>
      <c r="J31" s="386" t="inlineStr">
        <is>
          <t>Lottery Machine #2 (0.03%)</t>
        </is>
      </c>
      <c r="K31" s="669" t="n"/>
      <c r="L31" s="669" t="n"/>
      <c r="M31" s="669" t="n"/>
      <c r="N31" s="669" t="n"/>
      <c r="O31" s="669" t="n"/>
      <c r="P31" s="669" t="n"/>
      <c r="Q31" s="669" t="n"/>
      <c r="R31" s="669" t="n"/>
      <c r="S31" s="669" t="n"/>
      <c r="T31" s="669" t="n"/>
      <c r="U31" s="669" t="n"/>
      <c r="V31" s="669" t="n"/>
      <c r="W31" s="669" t="n"/>
      <c r="X31" s="669" t="n"/>
      <c r="Y31" s="669" t="n"/>
      <c r="Z31" s="669" t="n"/>
    </row>
    <row r="32">
      <c r="A32" s="357" t="inlineStr">
        <is>
          <t>Resonance: Orange</t>
        </is>
      </c>
      <c r="B32" s="425" t="n"/>
      <c r="C32" s="425" t="n"/>
      <c r="D32" s="371" t="n"/>
      <c r="E32" s="425" t="n"/>
      <c r="F32" s="371" t="n">
        <v>1.8</v>
      </c>
      <c r="G32" s="425" t="n"/>
      <c r="H32" s="371" t="n"/>
      <c r="I32" s="425" t="n"/>
      <c r="J32" s="386" t="n"/>
      <c r="K32" s="669" t="n"/>
      <c r="L32" s="669" t="n"/>
      <c r="M32" s="669" t="n"/>
      <c r="N32" s="669" t="n"/>
      <c r="O32" s="669" t="n"/>
      <c r="P32" s="669" t="n"/>
      <c r="Q32" s="669" t="n"/>
      <c r="R32" s="669" t="n"/>
      <c r="S32" s="669" t="n"/>
      <c r="T32" s="669" t="n"/>
      <c r="U32" s="669" t="n"/>
      <c r="V32" s="669" t="n"/>
      <c r="W32" s="669" t="n"/>
      <c r="X32" s="669" t="n"/>
      <c r="Y32" s="669" t="n"/>
      <c r="Z32" s="669" t="n"/>
    </row>
    <row r="33">
      <c r="A33" s="357" t="inlineStr">
        <is>
          <t xml:space="preserve">  Grimmy Award</t>
        </is>
      </c>
      <c r="B33" s="425" t="inlineStr">
        <is>
          <t>SS</t>
        </is>
      </c>
      <c r="C33" s="425" t="inlineStr">
        <is>
          <t>FAME</t>
        </is>
      </c>
      <c r="D33" s="371" t="n"/>
      <c r="E33" s="425" t="n"/>
      <c r="F33" s="371" t="n"/>
      <c r="G33" s="425" t="n"/>
      <c r="H33" s="371" t="n"/>
      <c r="I33" s="425" t="n"/>
      <c r="J33" s="386" t="inlineStr">
        <is>
          <t>Lottery Machine #2 (0.35%)</t>
        </is>
      </c>
      <c r="K33" s="669" t="n"/>
      <c r="L33" s="669" t="n"/>
      <c r="M33" s="669" t="n"/>
      <c r="N33" s="669" t="n"/>
      <c r="O33" s="669" t="n"/>
      <c r="P33" s="669" t="n"/>
      <c r="Q33" s="669" t="n"/>
      <c r="R33" s="669" t="n"/>
      <c r="S33" s="669" t="n"/>
      <c r="T33" s="669" t="n"/>
      <c r="U33" s="669" t="n"/>
      <c r="V33" s="669" t="n"/>
      <c r="W33" s="669" t="n"/>
      <c r="X33" s="669" t="n"/>
      <c r="Y33" s="669" t="n"/>
      <c r="Z33" s="669" t="n"/>
    </row>
    <row r="34">
      <c r="A34" s="357" t="inlineStr">
        <is>
          <t xml:space="preserve">  Mysterious Relic</t>
        </is>
      </c>
      <c r="B34" s="425" t="inlineStr">
        <is>
          <t>SSS</t>
        </is>
      </c>
      <c r="C34" s="425" t="n"/>
      <c r="D34" s="371" t="n"/>
      <c r="E34" s="425" t="n"/>
      <c r="F34" s="371" t="n"/>
      <c r="G34" s="425" t="n"/>
      <c r="H34" s="371" t="n"/>
      <c r="I34" s="425" t="n"/>
      <c r="J34" s="386" t="inlineStr">
        <is>
          <t>Unknown</t>
        </is>
      </c>
      <c r="K34" s="669" t="n"/>
      <c r="L34" s="669" t="n"/>
      <c r="M34" s="669" t="n"/>
      <c r="N34" s="669" t="n"/>
      <c r="O34" s="669" t="n"/>
      <c r="P34" s="669" t="n"/>
      <c r="Q34" s="669" t="n"/>
      <c r="R34" s="669" t="n"/>
      <c r="S34" s="669" t="n"/>
      <c r="T34" s="669" t="n"/>
      <c r="U34" s="669" t="n"/>
      <c r="V34" s="669" t="n"/>
      <c r="W34" s="669" t="n"/>
      <c r="X34" s="669" t="n"/>
      <c r="Y34" s="669" t="n"/>
      <c r="Z34" s="669" t="n"/>
    </row>
    <row r="35">
      <c r="A35" s="357" t="inlineStr">
        <is>
          <t xml:space="preserve">  Mysterious Relic</t>
        </is>
      </c>
      <c r="B35" s="425" t="inlineStr">
        <is>
          <t>SSS</t>
        </is>
      </c>
      <c r="C35" s="425" t="n"/>
      <c r="D35" s="371" t="n"/>
      <c r="E35" s="425" t="n"/>
      <c r="F35" s="371" t="n"/>
      <c r="G35" s="425" t="n"/>
      <c r="H35" s="371" t="n"/>
      <c r="I35" s="425" t="n"/>
      <c r="J35" s="386" t="inlineStr">
        <is>
          <t>Unknown</t>
        </is>
      </c>
      <c r="K35" s="669" t="n"/>
      <c r="L35" s="669" t="n"/>
      <c r="M35" s="669" t="n"/>
      <c r="N35" s="669" t="n"/>
      <c r="O35" s="669" t="n"/>
      <c r="P35" s="669" t="n"/>
      <c r="Q35" s="669" t="n"/>
      <c r="R35" s="669" t="n"/>
      <c r="S35" s="669" t="n"/>
      <c r="T35" s="669" t="n"/>
      <c r="U35" s="669" t="n"/>
      <c r="V35" s="669" t="n"/>
      <c r="W35" s="669" t="n"/>
      <c r="X35" s="669" t="n"/>
      <c r="Y35" s="669" t="n"/>
      <c r="Z35" s="669" t="n"/>
    </row>
    <row r="36">
      <c r="A36" s="357" t="inlineStr">
        <is>
          <t xml:space="preserve">  Species Plantarum</t>
        </is>
      </c>
      <c r="B36" s="425" t="inlineStr">
        <is>
          <t>SSS</t>
        </is>
      </c>
      <c r="C36" s="425" t="inlineStr">
        <is>
          <t>TECH</t>
        </is>
      </c>
      <c r="D36" s="371" t="n"/>
      <c r="E36" s="425" t="n"/>
      <c r="F36" s="371" t="n"/>
      <c r="G36" s="425" t="n"/>
      <c r="H36" s="371" t="n"/>
      <c r="I36" s="425" t="n"/>
      <c r="J36" s="386" t="inlineStr">
        <is>
          <t>Star Chart Shop</t>
        </is>
      </c>
      <c r="K36" s="669" t="n"/>
      <c r="L36" s="669" t="n"/>
      <c r="M36" s="669" t="n"/>
      <c r="N36" s="669" t="n"/>
      <c r="O36" s="669" t="n"/>
      <c r="P36" s="669" t="n"/>
      <c r="Q36" s="669" t="n"/>
      <c r="R36" s="669" t="n"/>
      <c r="S36" s="669" t="n"/>
      <c r="T36" s="669" t="n"/>
      <c r="U36" s="669" t="n"/>
      <c r="V36" s="669" t="n"/>
      <c r="W36" s="669" t="n"/>
      <c r="X36" s="669" t="n"/>
      <c r="Y36" s="669" t="n"/>
      <c r="Z36" s="669" t="n"/>
    </row>
    <row r="37">
      <c r="A37" s="362" t="inlineStr">
        <is>
          <t>TOTAL HP</t>
        </is>
      </c>
      <c r="B37" s="411" t="n"/>
      <c r="C37" s="411" t="n"/>
      <c r="D37" s="364" t="n"/>
      <c r="E37" s="411" t="n"/>
      <c r="F37" s="364">
        <f>sum(F3:G36)</f>
        <v/>
      </c>
      <c r="G37" s="411" t="n"/>
      <c r="H37" s="364" t="n"/>
      <c r="I37" s="203">
        <f>sum(I3:I36)</f>
        <v/>
      </c>
      <c r="J37" s="970" t="n"/>
      <c r="K37" s="669" t="n"/>
      <c r="L37" s="669" t="n"/>
      <c r="M37" s="669" t="n"/>
      <c r="N37" s="669" t="n"/>
      <c r="O37" s="669" t="n"/>
      <c r="P37" s="669" t="n"/>
      <c r="Q37" s="669" t="n"/>
      <c r="R37" s="669" t="n"/>
      <c r="S37" s="669" t="n"/>
      <c r="T37" s="669" t="n"/>
      <c r="U37" s="669" t="n"/>
      <c r="V37" s="669" t="n"/>
      <c r="W37" s="669" t="n"/>
      <c r="X37" s="669" t="n"/>
      <c r="Y37" s="669" t="n"/>
      <c r="Z37" s="669" t="n"/>
    </row>
    <row r="38">
      <c r="A38" s="1091" t="n"/>
      <c r="B38" s="669" t="n"/>
      <c r="C38" s="669" t="n"/>
      <c r="D38" s="669" t="n"/>
      <c r="E38" s="669" t="n"/>
      <c r="F38" s="669" t="n"/>
      <c r="G38" s="669" t="n"/>
      <c r="H38" s="669" t="n"/>
      <c r="I38" s="669" t="n"/>
      <c r="J38" s="1095" t="n"/>
      <c r="K38" s="669" t="n"/>
      <c r="L38" s="669" t="n"/>
      <c r="M38" s="669" t="n"/>
      <c r="N38" s="669" t="n"/>
      <c r="O38" s="669" t="n"/>
      <c r="P38" s="669" t="n"/>
      <c r="Q38" s="669" t="n"/>
      <c r="R38" s="669" t="n"/>
      <c r="S38" s="669" t="n"/>
      <c r="T38" s="669" t="n"/>
      <c r="U38" s="669" t="n"/>
      <c r="V38" s="669" t="n"/>
      <c r="W38" s="669" t="n"/>
      <c r="X38" s="669" t="n"/>
      <c r="Y38" s="669" t="n"/>
      <c r="Z38" s="669" t="n"/>
    </row>
    <row r="39">
      <c r="A39" s="1091" t="n"/>
      <c r="B39" s="669" t="n"/>
      <c r="C39" s="669" t="n"/>
      <c r="D39" s="669" t="n"/>
      <c r="E39" s="669" t="n"/>
      <c r="F39" s="669" t="n"/>
      <c r="G39" s="669" t="n"/>
      <c r="H39" s="669" t="n"/>
      <c r="I39" s="669" t="n"/>
      <c r="J39" s="1095" t="n"/>
      <c r="K39" s="669" t="n"/>
      <c r="L39" s="669" t="n"/>
      <c r="M39" s="669" t="n"/>
      <c r="N39" s="669" t="n"/>
      <c r="O39" s="669" t="n"/>
      <c r="P39" s="669" t="n"/>
      <c r="Q39" s="669" t="n"/>
      <c r="R39" s="669" t="n"/>
      <c r="S39" s="669" t="n"/>
      <c r="T39" s="669" t="n"/>
      <c r="U39" s="669" t="n"/>
      <c r="V39" s="669" t="n"/>
      <c r="W39" s="669" t="n"/>
      <c r="X39" s="669" t="n"/>
      <c r="Y39" s="669" t="n"/>
      <c r="Z39" s="669" t="n"/>
    </row>
    <row r="40">
      <c r="A40" s="344" t="inlineStr">
        <is>
          <t>ATK</t>
        </is>
      </c>
      <c r="B40" s="406" t="inlineStr">
        <is>
          <t>Rarity</t>
        </is>
      </c>
      <c r="C40" s="406" t="inlineStr">
        <is>
          <t>Type</t>
        </is>
      </c>
      <c r="D40" s="406" t="inlineStr">
        <is>
          <t>Base</t>
        </is>
      </c>
      <c r="E40" s="406" t="inlineStr">
        <is>
          <t>Awakening Base</t>
        </is>
      </c>
      <c r="F40" s="406" t="inlineStr">
        <is>
          <t>Percentage</t>
        </is>
      </c>
      <c r="G40" s="406" t="inlineStr">
        <is>
          <t>Awakening Percentage</t>
        </is>
      </c>
      <c r="H40" s="406" t="inlineStr">
        <is>
          <t>Per Minion</t>
        </is>
      </c>
      <c r="I40" s="406" t="inlineStr">
        <is>
          <t>Per Minion Boost</t>
        </is>
      </c>
      <c r="J40" s="786" t="inlineStr">
        <is>
          <t>Source</t>
        </is>
      </c>
      <c r="K40" s="669" t="n"/>
      <c r="L40" s="669" t="n"/>
      <c r="M40" s="669" t="n"/>
      <c r="N40" s="669" t="n"/>
      <c r="O40" s="669" t="n"/>
      <c r="P40" s="669" t="n"/>
      <c r="Q40" s="669" t="n"/>
      <c r="R40" s="669" t="n"/>
      <c r="S40" s="669" t="n"/>
      <c r="T40" s="669" t="n"/>
      <c r="U40" s="669" t="n"/>
      <c r="V40" s="669" t="n"/>
      <c r="W40" s="669" t="n"/>
      <c r="X40" s="669" t="n"/>
      <c r="Y40" s="669" t="n"/>
      <c r="Z40" s="669" t="n"/>
    </row>
    <row r="41">
      <c r="A41" s="246" t="inlineStr">
        <is>
          <t>EPR Paradox</t>
        </is>
      </c>
      <c r="B41" s="1037" t="inlineStr">
        <is>
          <t>SSS</t>
        </is>
      </c>
      <c r="C41" s="1037" t="inlineStr">
        <is>
          <t>TECH</t>
        </is>
      </c>
      <c r="D41" s="209" t="n">
        <v>120</v>
      </c>
      <c r="E41" s="209" t="n">
        <v>100</v>
      </c>
      <c r="F41" s="209" t="n"/>
      <c r="G41" s="209" t="n"/>
      <c r="H41" s="209" t="n">
        <v>60</v>
      </c>
      <c r="I41" s="187">
        <f>(D41+E41)/H41</f>
        <v/>
      </c>
      <c r="J41" s="390" t="inlineStr">
        <is>
          <t>Wish Box Relic #8</t>
        </is>
      </c>
      <c r="K41" s="669" t="n"/>
      <c r="L41" s="669" t="n"/>
      <c r="M41" s="669" t="n"/>
      <c r="N41" s="669" t="n"/>
      <c r="O41" s="669" t="n"/>
      <c r="P41" s="669" t="n"/>
      <c r="Q41" s="669" t="n"/>
      <c r="R41" s="669" t="n"/>
      <c r="S41" s="669" t="n"/>
      <c r="T41" s="669" t="n"/>
      <c r="U41" s="669" t="n"/>
      <c r="V41" s="669" t="n"/>
      <c r="W41" s="669" t="n"/>
      <c r="X41" s="669" t="n"/>
      <c r="Y41" s="669" t="n"/>
      <c r="Z41" s="669" t="n"/>
    </row>
    <row r="42">
      <c r="A42" s="246" t="inlineStr">
        <is>
          <t>Infin. Improb. Eng.</t>
        </is>
      </c>
      <c r="B42" s="425" t="inlineStr">
        <is>
          <t>SSS</t>
        </is>
      </c>
      <c r="C42" s="425" t="inlineStr">
        <is>
          <t>TECH</t>
        </is>
      </c>
      <c r="D42" s="210" t="n">
        <v>120</v>
      </c>
      <c r="E42" s="209" t="n">
        <v>100</v>
      </c>
      <c r="F42" s="210" t="n"/>
      <c r="G42" s="209" t="n"/>
      <c r="H42" s="209" t="n">
        <v>60</v>
      </c>
      <c r="I42" s="187">
        <f>(D42+E42)/H42</f>
        <v/>
      </c>
      <c r="J42" s="281" t="inlineStr">
        <is>
          <t>Daily Pack Relic #51</t>
        </is>
      </c>
      <c r="K42" s="669" t="n"/>
      <c r="L42" s="669" t="n"/>
      <c r="M42" s="669" t="n"/>
      <c r="N42" s="669" t="n"/>
      <c r="O42" s="669" t="n"/>
      <c r="P42" s="669" t="n"/>
      <c r="Q42" s="669" t="n"/>
      <c r="R42" s="669" t="n"/>
      <c r="S42" s="669" t="n"/>
      <c r="T42" s="669" t="n"/>
      <c r="U42" s="669" t="n"/>
      <c r="V42" s="669" t="n"/>
      <c r="W42" s="669" t="n"/>
      <c r="X42" s="669" t="n"/>
      <c r="Y42" s="669" t="n"/>
      <c r="Z42" s="669" t="n"/>
    </row>
    <row r="43">
      <c r="A43" s="246" t="inlineStr">
        <is>
          <t>Capricorn</t>
        </is>
      </c>
      <c r="B43" s="1037" t="inlineStr">
        <is>
          <t>SSS</t>
        </is>
      </c>
      <c r="C43" s="1037" t="inlineStr">
        <is>
          <t>TECH</t>
        </is>
      </c>
      <c r="D43" s="209" t="n">
        <v>160</v>
      </c>
      <c r="E43" s="209" t="n"/>
      <c r="F43" s="209" t="n"/>
      <c r="G43" s="209" t="n"/>
      <c r="H43" s="209" t="n">
        <v>100</v>
      </c>
      <c r="I43" s="371">
        <f>(D43+E43)/H43</f>
        <v/>
      </c>
      <c r="J43" s="386" t="inlineStr">
        <is>
          <t>Supreme Relic #18</t>
        </is>
      </c>
      <c r="K43" s="669" t="n"/>
      <c r="L43" s="669" t="n"/>
      <c r="M43" s="669" t="n"/>
      <c r="N43" s="669" t="n"/>
      <c r="O43" s="669" t="n"/>
      <c r="P43" s="669" t="n"/>
      <c r="Q43" s="669" t="n"/>
      <c r="R43" s="669" t="n"/>
      <c r="S43" s="669" t="n"/>
      <c r="T43" s="669" t="n"/>
      <c r="U43" s="669" t="n"/>
      <c r="V43" s="669" t="n"/>
      <c r="W43" s="669" t="n"/>
      <c r="X43" s="669" t="n"/>
      <c r="Y43" s="669" t="n"/>
      <c r="Z43" s="669" t="n"/>
    </row>
    <row r="44">
      <c r="A44" s="246" t="inlineStr">
        <is>
          <t>Virgo</t>
        </is>
      </c>
      <c r="B44" s="1037" t="inlineStr">
        <is>
          <t>SSS</t>
        </is>
      </c>
      <c r="C44" s="1037" t="inlineStr">
        <is>
          <t>FTH</t>
        </is>
      </c>
      <c r="D44" s="209" t="n">
        <v>160</v>
      </c>
      <c r="E44" s="209" t="n"/>
      <c r="F44" s="209" t="n"/>
      <c r="G44" s="209" t="n"/>
      <c r="H44" s="209" t="n">
        <v>100</v>
      </c>
      <c r="I44" s="371">
        <f>(D44+E44)/H44</f>
        <v/>
      </c>
      <c r="J44" s="386" t="inlineStr">
        <is>
          <t>Supreme Relic #14</t>
        </is>
      </c>
      <c r="K44" s="669" t="n"/>
      <c r="L44" s="669" t="n"/>
      <c r="M44" s="669" t="n"/>
      <c r="N44" s="669" t="n"/>
      <c r="O44" s="669" t="n"/>
      <c r="P44" s="669" t="n"/>
      <c r="Q44" s="669" t="n"/>
      <c r="R44" s="669" t="n"/>
      <c r="S44" s="669" t="n"/>
      <c r="T44" s="669" t="n"/>
      <c r="U44" s="669" t="n"/>
      <c r="V44" s="669" t="n"/>
      <c r="W44" s="669" t="n"/>
      <c r="X44" s="669" t="n"/>
      <c r="Y44" s="669" t="n"/>
      <c r="Z44" s="669" t="n"/>
    </row>
    <row r="45">
      <c r="A45" s="246" t="inlineStr">
        <is>
          <t>Taurus</t>
        </is>
      </c>
      <c r="B45" s="425" t="inlineStr">
        <is>
          <t>SSS</t>
        </is>
      </c>
      <c r="C45" s="425" t="inlineStr">
        <is>
          <t>ART</t>
        </is>
      </c>
      <c r="D45" s="210" t="n">
        <v>160</v>
      </c>
      <c r="E45" s="209" t="n"/>
      <c r="F45" s="210" t="n"/>
      <c r="G45" s="209" t="n"/>
      <c r="H45" s="209" t="n">
        <v>100</v>
      </c>
      <c r="I45" s="371">
        <f>(D45+E45)/H45</f>
        <v/>
      </c>
      <c r="J45" s="256" t="inlineStr">
        <is>
          <t>Supreme Relic #10</t>
        </is>
      </c>
      <c r="K45" s="669" t="n"/>
      <c r="L45" s="669" t="n"/>
      <c r="M45" s="669" t="n"/>
      <c r="N45" s="669" t="n"/>
      <c r="O45" s="669" t="n"/>
      <c r="P45" s="669" t="n"/>
      <c r="Q45" s="669" t="n"/>
      <c r="R45" s="669" t="n"/>
      <c r="S45" s="669" t="n"/>
      <c r="T45" s="669" t="n"/>
      <c r="U45" s="669" t="n"/>
      <c r="V45" s="669" t="n"/>
      <c r="W45" s="669" t="n"/>
      <c r="X45" s="669" t="n"/>
      <c r="Y45" s="669" t="n"/>
      <c r="Z45" s="669" t="n"/>
    </row>
    <row r="46">
      <c r="A46" s="246" t="inlineStr">
        <is>
          <t>Dead Sea Scrolls</t>
        </is>
      </c>
      <c r="B46" s="425" t="inlineStr">
        <is>
          <t>SSS</t>
        </is>
      </c>
      <c r="C46" s="425" t="inlineStr">
        <is>
          <t>CIV</t>
        </is>
      </c>
      <c r="D46" s="210" t="n">
        <v>90</v>
      </c>
      <c r="E46" s="209" t="n"/>
      <c r="F46" s="210" t="n"/>
      <c r="G46" s="209" t="n"/>
      <c r="H46" s="210" t="n">
        <v>60</v>
      </c>
      <c r="I46" s="371">
        <f>(D46+E46)/H46</f>
        <v/>
      </c>
      <c r="J46" s="256" t="inlineStr">
        <is>
          <t>Daily Pack Relic #13</t>
        </is>
      </c>
      <c r="K46" s="669" t="n"/>
      <c r="L46" s="669" t="n"/>
      <c r="M46" s="669" t="n"/>
      <c r="N46" s="669" t="n"/>
      <c r="O46" s="669" t="n"/>
      <c r="P46" s="669" t="n"/>
      <c r="Q46" s="669" t="n"/>
      <c r="R46" s="669" t="n"/>
      <c r="S46" s="669" t="n"/>
      <c r="T46" s="669" t="n"/>
      <c r="U46" s="669" t="n"/>
      <c r="V46" s="669" t="n"/>
      <c r="W46" s="669" t="n"/>
      <c r="X46" s="669" t="n"/>
      <c r="Y46" s="669" t="n"/>
      <c r="Z46" s="669" t="n"/>
    </row>
    <row r="47">
      <c r="A47" s="246" t="inlineStr">
        <is>
          <t>Gutenberg Press</t>
        </is>
      </c>
      <c r="B47" s="425" t="inlineStr">
        <is>
          <t>SSS</t>
        </is>
      </c>
      <c r="C47" s="425" t="inlineStr">
        <is>
          <t>CIV</t>
        </is>
      </c>
      <c r="D47" s="210" t="n">
        <v>90</v>
      </c>
      <c r="E47" s="209" t="n"/>
      <c r="F47" s="210" t="n"/>
      <c r="G47" s="209" t="n"/>
      <c r="H47" s="210" t="n">
        <v>60</v>
      </c>
      <c r="I47" s="371">
        <f>(D47+E47)/H47</f>
        <v/>
      </c>
      <c r="J47" s="256" t="inlineStr">
        <is>
          <t>Daily Pack Relic #9</t>
        </is>
      </c>
      <c r="K47" s="669" t="n"/>
      <c r="L47" s="669" t="n"/>
      <c r="M47" s="669" t="n"/>
      <c r="N47" s="669" t="n"/>
      <c r="O47" s="669" t="n"/>
      <c r="P47" s="669" t="n"/>
      <c r="Q47" s="669" t="n"/>
      <c r="R47" s="669" t="n"/>
      <c r="S47" s="669" t="n"/>
      <c r="T47" s="669" t="n"/>
      <c r="U47" s="669" t="n"/>
      <c r="V47" s="669" t="n"/>
      <c r="W47" s="669" t="n"/>
      <c r="X47" s="669" t="n"/>
      <c r="Y47" s="669" t="n"/>
      <c r="Z47" s="669" t="n"/>
    </row>
    <row r="48">
      <c r="A48" s="507" t="inlineStr">
        <is>
          <t>Modern Times</t>
        </is>
      </c>
      <c r="B48" s="1037" t="inlineStr">
        <is>
          <t>SSS</t>
        </is>
      </c>
      <c r="C48" s="1037" t="inlineStr">
        <is>
          <t>FAME</t>
        </is>
      </c>
      <c r="D48" s="934" t="n">
        <v>90</v>
      </c>
      <c r="E48" s="934" t="n"/>
      <c r="F48" s="934" t="n"/>
      <c r="G48" s="934" t="n"/>
      <c r="H48" s="934" t="n">
        <v>60</v>
      </c>
      <c r="I48" s="371">
        <f>(D48+E48)/H48</f>
        <v/>
      </c>
      <c r="J48" s="386" t="inlineStr">
        <is>
          <t>Badge Shop</t>
        </is>
      </c>
      <c r="K48" s="669" t="n"/>
      <c r="L48" s="669" t="n"/>
      <c r="M48" s="669" t="n"/>
      <c r="N48" s="669" t="n"/>
      <c r="O48" s="669" t="n"/>
      <c r="P48" s="669" t="n"/>
      <c r="Q48" s="669" t="n"/>
      <c r="R48" s="669" t="n"/>
      <c r="S48" s="669" t="n"/>
      <c r="T48" s="669" t="n"/>
      <c r="U48" s="669" t="n"/>
      <c r="V48" s="669" t="n"/>
      <c r="W48" s="669" t="n"/>
      <c r="X48" s="669" t="n"/>
      <c r="Y48" s="669" t="n"/>
      <c r="Z48" s="669" t="n"/>
    </row>
    <row r="49">
      <c r="A49" s="507" t="inlineStr">
        <is>
          <t>King's Gayageum</t>
        </is>
      </c>
      <c r="B49" s="1037" t="inlineStr">
        <is>
          <t>SSS</t>
        </is>
      </c>
      <c r="C49" s="1037" t="inlineStr">
        <is>
          <t>ART</t>
        </is>
      </c>
      <c r="D49" s="934" t="n">
        <v>90</v>
      </c>
      <c r="E49" s="934" t="n"/>
      <c r="F49" s="934" t="n"/>
      <c r="G49" s="934" t="n"/>
      <c r="H49" s="934" t="n">
        <v>60</v>
      </c>
      <c r="I49" s="371">
        <f>(D49+E49)/H49</f>
        <v/>
      </c>
      <c r="J49" s="386" t="inlineStr">
        <is>
          <t>Daily Pack Relic #7</t>
        </is>
      </c>
      <c r="K49" s="669" t="n"/>
      <c r="L49" s="669" t="n"/>
      <c r="M49" s="669" t="n"/>
      <c r="N49" s="669" t="n"/>
      <c r="O49" s="669" t="n"/>
      <c r="P49" s="669" t="n"/>
      <c r="Q49" s="669" t="n"/>
      <c r="R49" s="669" t="n"/>
      <c r="S49" s="669" t="n"/>
      <c r="T49" s="669" t="n"/>
      <c r="U49" s="669" t="n"/>
      <c r="V49" s="669" t="n"/>
      <c r="W49" s="669" t="n"/>
      <c r="X49" s="669" t="n"/>
      <c r="Y49" s="669" t="n"/>
      <c r="Z49" s="669" t="n"/>
    </row>
    <row r="50">
      <c r="A50" s="246" t="inlineStr">
        <is>
          <t>Terracotta Warrior</t>
        </is>
      </c>
      <c r="B50" s="425" t="inlineStr">
        <is>
          <t>SSS</t>
        </is>
      </c>
      <c r="C50" s="425" t="inlineStr">
        <is>
          <t>FAME</t>
        </is>
      </c>
      <c r="D50" s="210" t="n">
        <v>90</v>
      </c>
      <c r="E50" s="209" t="n"/>
      <c r="F50" s="210" t="n"/>
      <c r="G50" s="209" t="n"/>
      <c r="H50" s="210" t="n">
        <v>60</v>
      </c>
      <c r="I50" s="371">
        <f>(D50+E50)/H50</f>
        <v/>
      </c>
      <c r="J50" s="386" t="inlineStr">
        <is>
          <t>Lottery Machine #2 (0.12%), Relic Forge (120 RF)</t>
        </is>
      </c>
      <c r="K50" s="669" t="n"/>
      <c r="L50" s="669" t="n"/>
      <c r="M50" s="669" t="n"/>
      <c r="N50" s="669" t="n"/>
      <c r="O50" s="669" t="n"/>
      <c r="P50" s="669" t="n"/>
      <c r="Q50" s="669" t="n"/>
      <c r="R50" s="669" t="n"/>
      <c r="S50" s="669" t="n"/>
      <c r="T50" s="669" t="n"/>
      <c r="U50" s="669" t="n"/>
      <c r="V50" s="669" t="n"/>
      <c r="W50" s="669" t="n"/>
      <c r="X50" s="669" t="n"/>
      <c r="Y50" s="669" t="n"/>
      <c r="Z50" s="669" t="n"/>
    </row>
    <row r="51">
      <c r="A51" s="246" t="inlineStr">
        <is>
          <t>Trojan Horse</t>
        </is>
      </c>
      <c r="B51" s="425" t="inlineStr">
        <is>
          <t>SSS</t>
        </is>
      </c>
      <c r="C51" s="425" t="inlineStr">
        <is>
          <t>FAME</t>
        </is>
      </c>
      <c r="D51" s="210" t="n">
        <v>90</v>
      </c>
      <c r="E51" s="209" t="n"/>
      <c r="F51" s="210" t="n"/>
      <c r="G51" s="209" t="n"/>
      <c r="H51" s="425" t="n">
        <v>60</v>
      </c>
      <c r="I51" s="371">
        <f>(D51+E51)/H51</f>
        <v/>
      </c>
      <c r="J51" s="256" t="inlineStr">
        <is>
          <t>Lottery Machine #1 (0.09%), Wishing (0.09%), Grandmaster Scrolls (0.81%), Relic Forge (120 Relic RF)</t>
        </is>
      </c>
      <c r="K51" s="669" t="n"/>
      <c r="L51" s="669" t="n"/>
      <c r="M51" s="669" t="n"/>
      <c r="N51" s="669" t="n"/>
      <c r="O51" s="669" t="n"/>
      <c r="P51" s="669" t="n"/>
      <c r="Q51" s="669" t="n"/>
      <c r="R51" s="669" t="n"/>
      <c r="S51" s="669" t="n"/>
      <c r="T51" s="669" t="n"/>
      <c r="U51" s="669" t="n"/>
      <c r="V51" s="669" t="n"/>
      <c r="W51" s="669" t="n"/>
      <c r="X51" s="669" t="n"/>
      <c r="Y51" s="669" t="n"/>
      <c r="Z51" s="669" t="n"/>
    </row>
    <row r="52">
      <c r="A52" s="246" t="inlineStr">
        <is>
          <t>Scales of Astraea</t>
        </is>
      </c>
      <c r="B52" s="425" t="inlineStr">
        <is>
          <t>SSS</t>
        </is>
      </c>
      <c r="C52" s="425" t="inlineStr">
        <is>
          <t>FTH</t>
        </is>
      </c>
      <c r="D52" s="210" t="n">
        <v>90</v>
      </c>
      <c r="E52" s="209" t="n"/>
      <c r="F52" s="210" t="n"/>
      <c r="G52" s="209" t="n"/>
      <c r="H52" s="425" t="n">
        <v>60</v>
      </c>
      <c r="I52" s="371">
        <f>(D52+E52)/H52</f>
        <v/>
      </c>
      <c r="J52" s="386" t="inlineStr">
        <is>
          <t>Star Chart Shop</t>
        </is>
      </c>
      <c r="K52" s="669" t="n"/>
      <c r="L52" s="669" t="n"/>
      <c r="M52" s="669" t="n"/>
      <c r="N52" s="669" t="n"/>
      <c r="O52" s="669" t="n"/>
      <c r="P52" s="669" t="n"/>
      <c r="Q52" s="669" t="n"/>
      <c r="R52" s="669" t="n"/>
      <c r="S52" s="669" t="n"/>
      <c r="T52" s="669" t="n"/>
      <c r="U52" s="669" t="n"/>
      <c r="V52" s="669" t="n"/>
      <c r="W52" s="669" t="n"/>
      <c r="X52" s="669" t="n"/>
      <c r="Y52" s="669" t="n"/>
      <c r="Z52" s="669" t="n"/>
    </row>
    <row r="53">
      <c r="A53" s="357" t="inlineStr">
        <is>
          <t>Ludovisi Ares</t>
        </is>
      </c>
      <c r="B53" s="425" t="inlineStr">
        <is>
          <t>SSS</t>
        </is>
      </c>
      <c r="C53" s="425" t="inlineStr">
        <is>
          <t>FTH</t>
        </is>
      </c>
      <c r="D53" s="371" t="n">
        <v>90</v>
      </c>
      <c r="E53" s="425" t="n"/>
      <c r="F53" s="425" t="n">
        <v>2.4</v>
      </c>
      <c r="G53" s="425" t="n">
        <v>2</v>
      </c>
      <c r="H53" s="425" t="n">
        <v>60</v>
      </c>
      <c r="I53" s="371">
        <f>(D53+E53)/H53</f>
        <v/>
      </c>
      <c r="J53" s="386" t="inlineStr">
        <is>
          <t>Star Chart Shop</t>
        </is>
      </c>
      <c r="K53" s="669" t="n"/>
      <c r="L53" s="669" t="n"/>
      <c r="M53" s="669" t="n"/>
      <c r="N53" s="669" t="n"/>
      <c r="O53" s="669" t="n"/>
      <c r="P53" s="669" t="n"/>
      <c r="Q53" s="669" t="n"/>
      <c r="R53" s="669" t="n"/>
      <c r="S53" s="669" t="n"/>
      <c r="T53" s="669" t="n"/>
      <c r="U53" s="669" t="n"/>
      <c r="V53" s="669" t="n"/>
      <c r="W53" s="669" t="n"/>
      <c r="X53" s="669" t="n"/>
      <c r="Y53" s="669" t="n"/>
      <c r="Z53" s="669" t="n"/>
    </row>
    <row r="54">
      <c r="A54" s="246" t="inlineStr">
        <is>
          <t>War and Peace</t>
        </is>
      </c>
      <c r="B54" s="425" t="inlineStr">
        <is>
          <t>SSS</t>
        </is>
      </c>
      <c r="C54" s="425" t="inlineStr">
        <is>
          <t>FTH</t>
        </is>
      </c>
      <c r="D54" s="210" t="n"/>
      <c r="E54" s="209" t="n"/>
      <c r="F54" s="210" t="n">
        <v>3.6</v>
      </c>
      <c r="G54" s="209" t="n"/>
      <c r="H54" s="210" t="n"/>
      <c r="I54" s="371" t="n"/>
      <c r="J54" s="256" t="inlineStr">
        <is>
          <t>Daily Silver Pack Relic #5</t>
        </is>
      </c>
      <c r="K54" s="669" t="n"/>
      <c r="L54" s="669" t="n"/>
      <c r="M54" s="669" t="n"/>
      <c r="N54" s="669" t="n"/>
      <c r="O54" s="669" t="n"/>
      <c r="P54" s="669" t="n"/>
      <c r="Q54" s="669" t="n"/>
      <c r="R54" s="669" t="n"/>
      <c r="S54" s="669" t="n"/>
      <c r="T54" s="669" t="n"/>
      <c r="U54" s="669" t="n"/>
      <c r="V54" s="669" t="n"/>
      <c r="W54" s="669" t="n"/>
      <c r="X54" s="669" t="n"/>
      <c r="Y54" s="669" t="n"/>
      <c r="Z54" s="669" t="n"/>
    </row>
    <row r="55">
      <c r="A55" s="246" t="inlineStr">
        <is>
          <t>Olympic Torch</t>
        </is>
      </c>
      <c r="B55" s="425" t="inlineStr">
        <is>
          <t>SSS</t>
        </is>
      </c>
      <c r="C55" s="425" t="inlineStr">
        <is>
          <t>FAME</t>
        </is>
      </c>
      <c r="D55" s="210" t="n"/>
      <c r="E55" s="209" t="n"/>
      <c r="F55" s="210" t="n">
        <v>2.4</v>
      </c>
      <c r="G55" s="209" t="n"/>
      <c r="H55" s="210" t="n"/>
      <c r="I55" s="371" t="n"/>
      <c r="J55" s="256" t="inlineStr">
        <is>
          <t>Wish Box Relic #3</t>
        </is>
      </c>
      <c r="K55" s="669" t="n"/>
      <c r="L55" s="669" t="n"/>
      <c r="M55" s="669" t="n"/>
      <c r="N55" s="669" t="n"/>
      <c r="O55" s="669" t="n"/>
      <c r="P55" s="669" t="n"/>
      <c r="Q55" s="669" t="n"/>
      <c r="R55" s="669" t="n"/>
      <c r="S55" s="669" t="n"/>
      <c r="T55" s="669" t="n"/>
      <c r="U55" s="669" t="n"/>
      <c r="V55" s="669" t="n"/>
      <c r="W55" s="669" t="n"/>
      <c r="X55" s="669" t="n"/>
      <c r="Y55" s="669" t="n"/>
      <c r="Z55" s="669" t="n"/>
    </row>
    <row r="56">
      <c r="A56" s="246" t="inlineStr">
        <is>
          <t>Beowulf</t>
        </is>
      </c>
      <c r="B56" s="1037" t="inlineStr">
        <is>
          <t>SSS</t>
        </is>
      </c>
      <c r="C56" s="1037" t="inlineStr">
        <is>
          <t>CIV</t>
        </is>
      </c>
      <c r="D56" s="209" t="n"/>
      <c r="E56" s="209" t="n"/>
      <c r="F56" s="209" t="n">
        <v>2.4</v>
      </c>
      <c r="G56" s="209" t="n"/>
      <c r="H56" s="209" t="n"/>
      <c r="I56" s="200" t="n"/>
      <c r="J56" s="386" t="inlineStr">
        <is>
          <t>Lottery Machine #2 (0.12%)</t>
        </is>
      </c>
      <c r="K56" s="669" t="n"/>
      <c r="L56" s="669" t="n"/>
      <c r="M56" s="669" t="n"/>
      <c r="N56" s="669" t="n"/>
      <c r="O56" s="669" t="n"/>
      <c r="P56" s="669" t="n"/>
      <c r="Q56" s="669" t="n"/>
      <c r="R56" s="669" t="n"/>
      <c r="S56" s="669" t="n"/>
      <c r="T56" s="669" t="n"/>
      <c r="U56" s="669" t="n"/>
      <c r="V56" s="669" t="n"/>
      <c r="W56" s="669" t="n"/>
      <c r="X56" s="669" t="n"/>
      <c r="Y56" s="669" t="n"/>
      <c r="Z56" s="669" t="n"/>
    </row>
    <row r="57">
      <c r="A57" s="246" t="n"/>
      <c r="B57" s="1037" t="n"/>
      <c r="C57" s="934" t="n"/>
      <c r="D57" s="209" t="n"/>
      <c r="E57" s="209" t="n"/>
      <c r="F57" s="209" t="n"/>
      <c r="G57" s="209" t="n"/>
      <c r="H57" s="210" t="n"/>
      <c r="I57" s="371" t="n"/>
      <c r="J57" s="386" t="n"/>
      <c r="K57" s="669" t="n"/>
      <c r="L57" s="669" t="n"/>
      <c r="M57" s="669" t="n"/>
      <c r="N57" s="669" t="n"/>
      <c r="O57" s="669" t="n"/>
      <c r="P57" s="669" t="n"/>
      <c r="Q57" s="669" t="n"/>
      <c r="R57" s="669" t="n"/>
      <c r="S57" s="669" t="n"/>
      <c r="T57" s="669" t="n"/>
      <c r="U57" s="669" t="n"/>
      <c r="V57" s="669" t="n"/>
      <c r="W57" s="669" t="n"/>
      <c r="X57" s="669" t="n"/>
      <c r="Y57" s="669" t="n"/>
      <c r="Z57" s="669" t="n"/>
    </row>
    <row r="58">
      <c r="A58" s="246" t="inlineStr">
        <is>
          <t>Resonance: Orange</t>
        </is>
      </c>
      <c r="B58" s="1037" t="n"/>
      <c r="C58" s="934" t="n"/>
      <c r="D58" s="209" t="n">
        <v>63</v>
      </c>
      <c r="E58" s="209" t="n"/>
      <c r="F58" s="209" t="n"/>
      <c r="G58" s="209" t="n"/>
      <c r="H58" s="210" t="n">
        <v>60</v>
      </c>
      <c r="I58" s="371">
        <f>(D58+E58)/H58</f>
        <v/>
      </c>
      <c r="J58" s="386" t="n"/>
      <c r="K58" s="669" t="n"/>
      <c r="L58" s="669" t="n"/>
      <c r="M58" s="669" t="n"/>
      <c r="N58" s="669" t="n"/>
      <c r="O58" s="669" t="n"/>
      <c r="P58" s="669" t="n"/>
      <c r="Q58" s="669" t="n"/>
      <c r="R58" s="669" t="n"/>
      <c r="S58" s="669" t="n"/>
      <c r="T58" s="669" t="n"/>
      <c r="U58" s="669" t="n"/>
      <c r="V58" s="669" t="n"/>
      <c r="W58" s="669" t="n"/>
      <c r="X58" s="669" t="n"/>
      <c r="Y58" s="669" t="n"/>
      <c r="Z58" s="669" t="n"/>
    </row>
    <row r="59">
      <c r="A59" s="357" t="inlineStr">
        <is>
          <t xml:space="preserve">  Pillars of Creation</t>
        </is>
      </c>
      <c r="B59" s="425" t="inlineStr">
        <is>
          <t>SSS</t>
        </is>
      </c>
      <c r="C59" s="425" t="inlineStr">
        <is>
          <t>FAME</t>
        </is>
      </c>
      <c r="D59" s="371" t="n"/>
      <c r="E59" s="371" t="n"/>
      <c r="F59" s="371" t="n"/>
      <c r="G59" s="425" t="n"/>
      <c r="H59" s="425" t="n"/>
      <c r="I59" s="425" t="n"/>
      <c r="J59" s="386" t="inlineStr">
        <is>
          <t>Lottery Machine #2 (0.12%)</t>
        </is>
      </c>
      <c r="K59" s="669" t="n"/>
      <c r="L59" s="669" t="n"/>
      <c r="M59" s="669" t="n"/>
      <c r="N59" s="669" t="n"/>
      <c r="O59" s="669" t="n"/>
      <c r="P59" s="669" t="n"/>
      <c r="Q59" s="669" t="n"/>
      <c r="R59" s="669" t="n"/>
      <c r="S59" s="669" t="n"/>
      <c r="T59" s="669" t="n"/>
      <c r="U59" s="669" t="n"/>
      <c r="V59" s="669" t="n"/>
      <c r="W59" s="669" t="n"/>
      <c r="X59" s="669" t="n"/>
      <c r="Y59" s="669" t="n"/>
      <c r="Z59" s="669" t="n"/>
    </row>
    <row r="60">
      <c r="A60" s="357" t="inlineStr">
        <is>
          <t xml:space="preserve">  Mysterious Relic</t>
        </is>
      </c>
      <c r="B60" s="425" t="inlineStr">
        <is>
          <t>SSS</t>
        </is>
      </c>
      <c r="C60" s="425" t="n"/>
      <c r="D60" s="371" t="n"/>
      <c r="E60" s="371" t="n"/>
      <c r="F60" s="371" t="n"/>
      <c r="G60" s="425" t="n"/>
      <c r="H60" s="425" t="n"/>
      <c r="I60" s="425" t="n"/>
      <c r="J60" s="386" t="inlineStr">
        <is>
          <t>Unknown</t>
        </is>
      </c>
      <c r="K60" s="669" t="n"/>
      <c r="L60" s="669" t="n"/>
      <c r="M60" s="669" t="n"/>
      <c r="N60" s="669" t="n"/>
      <c r="O60" s="669" t="n"/>
      <c r="P60" s="669" t="n"/>
      <c r="Q60" s="669" t="n"/>
      <c r="R60" s="669" t="n"/>
      <c r="S60" s="669" t="n"/>
      <c r="T60" s="669" t="n"/>
      <c r="U60" s="669" t="n"/>
      <c r="V60" s="669" t="n"/>
      <c r="W60" s="669" t="n"/>
      <c r="X60" s="669" t="n"/>
      <c r="Y60" s="669" t="n"/>
      <c r="Z60" s="669" t="n"/>
    </row>
    <row r="61">
      <c r="A61" s="246" t="inlineStr">
        <is>
          <t>Resonance: Orange</t>
        </is>
      </c>
      <c r="B61" s="1037" t="n"/>
      <c r="C61" s="934" t="n"/>
      <c r="D61" s="209" t="n">
        <v>63</v>
      </c>
      <c r="E61" s="209" t="n"/>
      <c r="F61" s="209" t="n"/>
      <c r="G61" s="209" t="n"/>
      <c r="H61" s="210" t="n">
        <v>60</v>
      </c>
      <c r="I61" s="371">
        <f>(D61+E61)/H61</f>
        <v/>
      </c>
      <c r="J61" s="386" t="n"/>
      <c r="K61" s="669" t="n"/>
      <c r="L61" s="669" t="n"/>
      <c r="M61" s="669" t="n"/>
      <c r="N61" s="669" t="n"/>
      <c r="O61" s="669" t="n"/>
      <c r="P61" s="669" t="n"/>
      <c r="Q61" s="669" t="n"/>
      <c r="R61" s="669" t="n"/>
      <c r="S61" s="669" t="n"/>
      <c r="T61" s="669" t="n"/>
      <c r="U61" s="669" t="n"/>
      <c r="V61" s="669" t="n"/>
      <c r="W61" s="669" t="n"/>
      <c r="X61" s="669" t="n"/>
      <c r="Y61" s="669" t="n"/>
      <c r="Z61" s="669" t="n"/>
    </row>
    <row r="62">
      <c r="A62" s="357" t="inlineStr">
        <is>
          <t xml:space="preserve">  Energy Missile</t>
        </is>
      </c>
      <c r="B62" s="425" t="inlineStr">
        <is>
          <t>SSS</t>
        </is>
      </c>
      <c r="C62" s="425" t="inlineStr">
        <is>
          <t>TECH</t>
        </is>
      </c>
      <c r="D62" s="371" t="n"/>
      <c r="E62" s="371" t="n"/>
      <c r="F62" s="371" t="n"/>
      <c r="G62" s="425" t="n"/>
      <c r="H62" s="425" t="n"/>
      <c r="I62" s="425" t="n"/>
      <c r="J62" s="386" t="inlineStr">
        <is>
          <t>Lucky Box Reward Batch no. 1-7</t>
        </is>
      </c>
      <c r="K62" s="669" t="n"/>
      <c r="L62" s="669" t="n"/>
      <c r="M62" s="669" t="n"/>
      <c r="N62" s="669" t="n"/>
      <c r="O62" s="669" t="n"/>
      <c r="P62" s="669" t="n"/>
      <c r="Q62" s="669" t="n"/>
      <c r="R62" s="669" t="n"/>
      <c r="S62" s="669" t="n"/>
      <c r="T62" s="669" t="n"/>
      <c r="U62" s="669" t="n"/>
      <c r="V62" s="669" t="n"/>
      <c r="W62" s="669" t="n"/>
      <c r="X62" s="669" t="n"/>
      <c r="Y62" s="669" t="n"/>
      <c r="Z62" s="669" t="n"/>
    </row>
    <row r="63">
      <c r="A63" s="357" t="inlineStr">
        <is>
          <t xml:space="preserve">  Parker Solar Probe</t>
        </is>
      </c>
      <c r="B63" s="425" t="inlineStr">
        <is>
          <t>SSS</t>
        </is>
      </c>
      <c r="C63" s="425" t="inlineStr">
        <is>
          <t>TECH</t>
        </is>
      </c>
      <c r="D63" s="371" t="n"/>
      <c r="E63" s="371" t="n"/>
      <c r="F63" s="371" t="n"/>
      <c r="G63" s="425" t="n"/>
      <c r="H63" s="425" t="n"/>
      <c r="I63" s="425" t="n"/>
      <c r="J63" s="386" t="inlineStr">
        <is>
          <t>Indigent Nobleman (810K B-tads), Lottery Machine #2 (0.11%)</t>
        </is>
      </c>
      <c r="K63" s="669" t="n"/>
      <c r="L63" s="669" t="n"/>
      <c r="M63" s="669" t="n"/>
      <c r="N63" s="669" t="n"/>
      <c r="O63" s="669" t="n"/>
      <c r="P63" s="669" t="n"/>
      <c r="Q63" s="669" t="n"/>
      <c r="R63" s="669" t="n"/>
      <c r="S63" s="669" t="n"/>
      <c r="T63" s="669" t="n"/>
      <c r="U63" s="669" t="n"/>
      <c r="V63" s="669" t="n"/>
      <c r="W63" s="669" t="n"/>
      <c r="X63" s="669" t="n"/>
      <c r="Y63" s="669" t="n"/>
      <c r="Z63" s="669" t="n"/>
    </row>
    <row r="64">
      <c r="A64" s="246" t="inlineStr">
        <is>
          <t>Resonance: Orange</t>
        </is>
      </c>
      <c r="B64" s="1037" t="n"/>
      <c r="C64" s="934" t="n"/>
      <c r="D64" s="209" t="n">
        <v>63</v>
      </c>
      <c r="E64" s="209" t="n"/>
      <c r="F64" s="209" t="n"/>
      <c r="G64" s="209" t="n"/>
      <c r="H64" s="210" t="n">
        <v>60</v>
      </c>
      <c r="I64" s="371">
        <f>(D64+E64)/H64</f>
        <v/>
      </c>
      <c r="J64" s="386" t="n"/>
      <c r="K64" s="669" t="n"/>
      <c r="L64" s="669" t="n"/>
      <c r="M64" s="669" t="n"/>
      <c r="N64" s="669" t="n"/>
      <c r="O64" s="669" t="n"/>
      <c r="P64" s="669" t="n"/>
      <c r="Q64" s="669" t="n"/>
      <c r="R64" s="669" t="n"/>
      <c r="S64" s="669" t="n"/>
      <c r="T64" s="669" t="n"/>
      <c r="U64" s="669" t="n"/>
      <c r="V64" s="669" t="n"/>
      <c r="W64" s="669" t="n"/>
      <c r="X64" s="669" t="n"/>
      <c r="Y64" s="669" t="n"/>
      <c r="Z64" s="669" t="n"/>
    </row>
    <row r="65">
      <c r="A65" s="357" t="inlineStr">
        <is>
          <t xml:space="preserve">  Bronze Shiva Statue</t>
        </is>
      </c>
      <c r="B65" s="425" t="inlineStr">
        <is>
          <t>SSS</t>
        </is>
      </c>
      <c r="C65" s="425" t="inlineStr">
        <is>
          <t>ART</t>
        </is>
      </c>
      <c r="D65" s="371" t="n"/>
      <c r="E65" s="371" t="n"/>
      <c r="F65" s="371" t="n"/>
      <c r="G65" s="425" t="n"/>
      <c r="H65" s="425" t="n"/>
      <c r="I65" s="425" t="n"/>
      <c r="J65" s="386" t="inlineStr">
        <is>
          <t>Daily Silver Pack Relic #3</t>
        </is>
      </c>
      <c r="K65" s="669" t="n"/>
      <c r="L65" s="669" t="n"/>
      <c r="M65" s="669" t="n"/>
      <c r="N65" s="669" t="n"/>
      <c r="O65" s="669" t="n"/>
      <c r="P65" s="669" t="n"/>
      <c r="Q65" s="669" t="n"/>
      <c r="R65" s="669" t="n"/>
      <c r="S65" s="669" t="n"/>
      <c r="T65" s="669" t="n"/>
      <c r="U65" s="669" t="n"/>
      <c r="V65" s="669" t="n"/>
      <c r="W65" s="669" t="n"/>
      <c r="X65" s="669" t="n"/>
      <c r="Y65" s="669" t="n"/>
      <c r="Z65" s="669" t="n"/>
    </row>
    <row r="66">
      <c r="A66" s="357" t="inlineStr">
        <is>
          <t xml:space="preserve">  Creation of Adam</t>
        </is>
      </c>
      <c r="B66" s="425" t="inlineStr">
        <is>
          <t>SSS</t>
        </is>
      </c>
      <c r="C66" s="425" t="inlineStr">
        <is>
          <t>CIV</t>
        </is>
      </c>
      <c r="D66" s="371" t="n"/>
      <c r="E66" s="371" t="n"/>
      <c r="F66" s="371" t="n"/>
      <c r="G66" s="425" t="n"/>
      <c r="H66" s="425" t="n"/>
      <c r="I66" s="425" t="n"/>
      <c r="J66" s="386" t="inlineStr">
        <is>
          <t>Lottery Machine #1 (0.09%), Wishing (0.08%), Grandmaster Scrolls (0.77%)</t>
        </is>
      </c>
      <c r="K66" s="669" t="n"/>
      <c r="L66" s="669" t="n"/>
      <c r="M66" s="669" t="n"/>
      <c r="N66" s="669" t="n"/>
      <c r="O66" s="669" t="n"/>
      <c r="P66" s="669" t="n"/>
      <c r="Q66" s="669" t="n"/>
      <c r="R66" s="669" t="n"/>
      <c r="S66" s="669" t="n"/>
      <c r="T66" s="669" t="n"/>
      <c r="U66" s="669" t="n"/>
      <c r="V66" s="669" t="n"/>
      <c r="W66" s="669" t="n"/>
      <c r="X66" s="669" t="n"/>
      <c r="Y66" s="669" t="n"/>
      <c r="Z66" s="669" t="n"/>
    </row>
    <row r="67">
      <c r="A67" s="246" t="inlineStr">
        <is>
          <t>Resonance: Orange</t>
        </is>
      </c>
      <c r="B67" s="1037" t="n"/>
      <c r="C67" s="934" t="n"/>
      <c r="D67" s="209" t="n">
        <v>63</v>
      </c>
      <c r="E67" s="209" t="n"/>
      <c r="F67" s="209" t="n"/>
      <c r="G67" s="209" t="n"/>
      <c r="H67" s="210" t="n">
        <v>60</v>
      </c>
      <c r="I67" s="371">
        <f>(D67+E67)/H67</f>
        <v/>
      </c>
      <c r="J67" s="386" t="n"/>
      <c r="K67" s="669" t="n"/>
      <c r="L67" s="669" t="n"/>
      <c r="M67" s="669" t="n"/>
      <c r="N67" s="669" t="n"/>
      <c r="O67" s="669" t="n"/>
      <c r="P67" s="669" t="n"/>
      <c r="Q67" s="669" t="n"/>
      <c r="R67" s="669" t="n"/>
      <c r="S67" s="669" t="n"/>
      <c r="T67" s="669" t="n"/>
      <c r="U67" s="669" t="n"/>
      <c r="V67" s="669" t="n"/>
      <c r="W67" s="669" t="n"/>
      <c r="X67" s="669" t="n"/>
      <c r="Y67" s="669" t="n"/>
      <c r="Z67" s="669" t="n"/>
    </row>
    <row r="68">
      <c r="A68" s="357" t="inlineStr">
        <is>
          <t xml:space="preserve">  War and Peace</t>
        </is>
      </c>
      <c r="B68" s="425" t="inlineStr">
        <is>
          <t>SSS</t>
        </is>
      </c>
      <c r="C68" s="425" t="inlineStr">
        <is>
          <t>FTH</t>
        </is>
      </c>
      <c r="D68" s="371" t="n"/>
      <c r="E68" s="371" t="n"/>
      <c r="F68" s="371" t="n"/>
      <c r="G68" s="425" t="n"/>
      <c r="H68" s="425" t="n"/>
      <c r="I68" s="425" t="n"/>
      <c r="J68" s="386" t="inlineStr">
        <is>
          <t>Daily Silver Pack Relic #5</t>
        </is>
      </c>
      <c r="K68" s="669" t="n"/>
      <c r="L68" s="669" t="n"/>
      <c r="M68" s="669" t="n"/>
      <c r="N68" s="669" t="n"/>
      <c r="O68" s="669" t="n"/>
      <c r="P68" s="669" t="n"/>
      <c r="Q68" s="669" t="n"/>
      <c r="R68" s="669" t="n"/>
      <c r="S68" s="669" t="n"/>
      <c r="T68" s="669" t="n"/>
      <c r="U68" s="669" t="n"/>
      <c r="V68" s="669" t="n"/>
      <c r="W68" s="669" t="n"/>
      <c r="X68" s="669" t="n"/>
      <c r="Y68" s="669" t="n"/>
      <c r="Z68" s="669" t="n"/>
    </row>
    <row r="69">
      <c r="A69" s="357" t="inlineStr">
        <is>
          <t xml:space="preserve">  1001 Nights</t>
        </is>
      </c>
      <c r="B69" s="425" t="inlineStr">
        <is>
          <t>SSS</t>
        </is>
      </c>
      <c r="C69" s="425" t="inlineStr">
        <is>
          <t>CIV</t>
        </is>
      </c>
      <c r="D69" s="371" t="n"/>
      <c r="E69" s="371" t="n"/>
      <c r="F69" s="371" t="n"/>
      <c r="G69" s="425" t="n"/>
      <c r="H69" s="425" t="n"/>
      <c r="I69" s="425" t="n"/>
      <c r="J69" s="386" t="inlineStr">
        <is>
          <t>Wish Box, Lottery Machine #1 (0.09%), Wishing (0.08%), Bharata Treasure Maps(%), Grandmaster Scrolls (0.81%), Relic Forge (120 Relic RF)</t>
        </is>
      </c>
      <c r="K69" s="669" t="n"/>
      <c r="L69" s="669" t="n"/>
      <c r="M69" s="669" t="n"/>
      <c r="N69" s="669" t="n"/>
      <c r="O69" s="669" t="n"/>
      <c r="P69" s="669" t="n"/>
      <c r="Q69" s="669" t="n"/>
      <c r="R69" s="669" t="n"/>
      <c r="S69" s="669" t="n"/>
      <c r="T69" s="669" t="n"/>
      <c r="U69" s="669" t="n"/>
      <c r="V69" s="669" t="n"/>
      <c r="W69" s="669" t="n"/>
      <c r="X69" s="669" t="n"/>
      <c r="Y69" s="669" t="n"/>
      <c r="Z69" s="669" t="n"/>
    </row>
    <row r="70">
      <c r="A70" s="246" t="inlineStr">
        <is>
          <t>Resonance: Orange</t>
        </is>
      </c>
      <c r="B70" s="1037" t="n"/>
      <c r="C70" s="934" t="n"/>
      <c r="D70" s="209" t="n">
        <v>63</v>
      </c>
      <c r="E70" s="209" t="n"/>
      <c r="F70" s="209" t="n"/>
      <c r="G70" s="209" t="n"/>
      <c r="H70" s="210" t="n">
        <v>60</v>
      </c>
      <c r="I70" s="371">
        <f>(D70+E70)/H70</f>
        <v/>
      </c>
      <c r="J70" s="386" t="n"/>
      <c r="K70" s="669" t="n"/>
      <c r="L70" s="669" t="n"/>
      <c r="M70" s="669" t="n"/>
      <c r="N70" s="669" t="n"/>
      <c r="O70" s="669" t="n"/>
      <c r="P70" s="669" t="n"/>
      <c r="Q70" s="669" t="n"/>
      <c r="R70" s="669" t="n"/>
      <c r="S70" s="669" t="n"/>
      <c r="T70" s="669" t="n"/>
      <c r="U70" s="669" t="n"/>
      <c r="V70" s="669" t="n"/>
      <c r="W70" s="669" t="n"/>
      <c r="X70" s="669" t="n"/>
      <c r="Y70" s="669" t="n"/>
      <c r="Z70" s="669" t="n"/>
    </row>
    <row r="71">
      <c r="A71" s="357" t="inlineStr">
        <is>
          <t xml:space="preserve">  The Augustus Statue</t>
        </is>
      </c>
      <c r="B71" s="425" t="inlineStr">
        <is>
          <t>SSS</t>
        </is>
      </c>
      <c r="C71" s="425" t="inlineStr">
        <is>
          <t>CIV</t>
        </is>
      </c>
      <c r="D71" s="371" t="n"/>
      <c r="E71" s="371" t="n"/>
      <c r="F71" s="371" t="n"/>
      <c r="G71" s="425" t="n"/>
      <c r="H71" s="425" t="n"/>
      <c r="I71" s="425" t="n"/>
      <c r="J71" s="386" t="inlineStr">
        <is>
          <t>Lucky Stars Reward</t>
        </is>
      </c>
      <c r="K71" s="669" t="n"/>
      <c r="L71" s="669" t="n"/>
      <c r="M71" s="669" t="n"/>
      <c r="N71" s="669" t="n"/>
      <c r="O71" s="669" t="n"/>
      <c r="P71" s="669" t="n"/>
      <c r="Q71" s="669" t="n"/>
      <c r="R71" s="669" t="n"/>
      <c r="S71" s="669" t="n"/>
      <c r="T71" s="669" t="n"/>
      <c r="U71" s="669" t="n"/>
      <c r="V71" s="669" t="n"/>
      <c r="W71" s="669" t="n"/>
      <c r="X71" s="669" t="n"/>
      <c r="Y71" s="669" t="n"/>
      <c r="Z71" s="669" t="n"/>
    </row>
    <row r="72">
      <c r="A72" s="357" t="inlineStr">
        <is>
          <t xml:space="preserve">  Alexander the Great</t>
        </is>
      </c>
      <c r="B72" s="425" t="inlineStr">
        <is>
          <t>SSS</t>
        </is>
      </c>
      <c r="C72" s="425" t="inlineStr">
        <is>
          <t>ART</t>
        </is>
      </c>
      <c r="D72" s="371" t="n"/>
      <c r="E72" s="371" t="n"/>
      <c r="F72" s="371" t="n"/>
      <c r="G72" s="425" t="n"/>
      <c r="H72" s="425" t="n"/>
      <c r="I72" s="425" t="n"/>
      <c r="J72" s="386" t="inlineStr">
        <is>
          <t>Lucky Stars Reward</t>
        </is>
      </c>
      <c r="K72" s="669" t="n"/>
      <c r="L72" s="669" t="n"/>
      <c r="M72" s="669" t="n"/>
      <c r="N72" s="669" t="n"/>
      <c r="O72" s="669" t="n"/>
      <c r="P72" s="669" t="n"/>
      <c r="Q72" s="669" t="n"/>
      <c r="R72" s="669" t="n"/>
      <c r="S72" s="669" t="n"/>
      <c r="T72" s="669" t="n"/>
      <c r="U72" s="669" t="n"/>
      <c r="V72" s="669" t="n"/>
      <c r="W72" s="669" t="n"/>
      <c r="X72" s="669" t="n"/>
      <c r="Y72" s="669" t="n"/>
      <c r="Z72" s="669" t="n"/>
    </row>
    <row r="73">
      <c r="A73" s="357" t="inlineStr">
        <is>
          <t>Resonance: Purple</t>
        </is>
      </c>
      <c r="B73" s="425" t="n"/>
      <c r="C73" s="934" t="n"/>
      <c r="D73" s="371" t="n">
        <v>24</v>
      </c>
      <c r="E73" s="371" t="n"/>
      <c r="F73" s="371" t="n"/>
      <c r="G73" s="425" t="n"/>
      <c r="H73" s="425" t="n">
        <v>30</v>
      </c>
      <c r="I73" s="371">
        <f>(D73+E73)/H73</f>
        <v/>
      </c>
      <c r="J73" s="386" t="n"/>
      <c r="K73" s="669" t="n"/>
      <c r="L73" s="669" t="n"/>
      <c r="M73" s="669" t="n"/>
      <c r="N73" s="669" t="n"/>
      <c r="O73" s="669" t="n"/>
      <c r="P73" s="669" t="n"/>
      <c r="Q73" s="669" t="n"/>
      <c r="R73" s="669" t="n"/>
      <c r="S73" s="669" t="n"/>
      <c r="T73" s="669" t="n"/>
      <c r="U73" s="669" t="n"/>
      <c r="V73" s="669" t="n"/>
      <c r="W73" s="669" t="n"/>
      <c r="X73" s="669" t="n"/>
      <c r="Y73" s="669" t="n"/>
      <c r="Z73" s="669" t="n"/>
    </row>
    <row r="74">
      <c r="A74" s="357" t="inlineStr">
        <is>
          <t xml:space="preserve">  Turing Machine</t>
        </is>
      </c>
      <c r="B74" s="425" t="inlineStr">
        <is>
          <t>AA</t>
        </is>
      </c>
      <c r="C74" s="425" t="inlineStr">
        <is>
          <t>TECH</t>
        </is>
      </c>
      <c r="D74" s="371" t="n"/>
      <c r="E74" s="371" t="n"/>
      <c r="F74" s="371" t="n"/>
      <c r="G74" s="425" t="n"/>
      <c r="H74" s="425" t="n"/>
      <c r="I74" s="371" t="n"/>
      <c r="J74" s="386" t="inlineStr">
        <is>
          <t>Fragment Crafting (3.9%), Lottery Machine #1 (0.08%), Wishing (0.36%), Tool Chest (1.5%), Expert Scrolls (0.95%)</t>
        </is>
      </c>
      <c r="K74" s="669" t="n"/>
      <c r="L74" s="669" t="n"/>
      <c r="M74" s="669" t="n"/>
      <c r="N74" s="669" t="n"/>
      <c r="O74" s="669" t="n"/>
      <c r="P74" s="669" t="n"/>
      <c r="Q74" s="669" t="n"/>
      <c r="R74" s="669" t="n"/>
      <c r="S74" s="669" t="n"/>
      <c r="T74" s="669" t="n"/>
      <c r="U74" s="669" t="n"/>
      <c r="V74" s="669" t="n"/>
      <c r="W74" s="669" t="n"/>
      <c r="X74" s="669" t="n"/>
      <c r="Y74" s="669" t="n"/>
      <c r="Z74" s="669" t="n"/>
    </row>
    <row r="75">
      <c r="A75" s="357" t="inlineStr">
        <is>
          <t xml:space="preserve">  Tree of Life</t>
        </is>
      </c>
      <c r="B75" s="425" t="inlineStr">
        <is>
          <t>AAA</t>
        </is>
      </c>
      <c r="C75" s="425" t="inlineStr">
        <is>
          <t>FTH</t>
        </is>
      </c>
      <c r="D75" s="371" t="n"/>
      <c r="E75" s="371" t="n"/>
      <c r="F75" s="371" t="n"/>
      <c r="G75" s="425" t="n"/>
      <c r="H75" s="425" t="n"/>
      <c r="I75" s="425" t="n"/>
      <c r="J75" s="386" t="inlineStr">
        <is>
          <t>Fragment Crafting (1.5%), Wishing (0.03%), Lottery Machine #1 (0.14%), Fungus chest (1.5%), Relic Forge (80 Relic RF), Home Value Pack II ($4.99)</t>
        </is>
      </c>
      <c r="K75" s="669" t="n"/>
      <c r="L75" s="669" t="n"/>
      <c r="M75" s="669" t="n"/>
      <c r="N75" s="669" t="n"/>
      <c r="O75" s="669" t="n"/>
      <c r="P75" s="669" t="n"/>
      <c r="Q75" s="669" t="n"/>
      <c r="R75" s="669" t="n"/>
      <c r="S75" s="669" t="n"/>
      <c r="T75" s="669" t="n"/>
      <c r="U75" s="669" t="n"/>
      <c r="V75" s="669" t="n"/>
      <c r="W75" s="669" t="n"/>
      <c r="X75" s="669" t="n"/>
      <c r="Y75" s="669" t="n"/>
      <c r="Z75" s="669" t="n"/>
    </row>
    <row r="76">
      <c r="A76" s="357" t="inlineStr">
        <is>
          <t>Resonance: Purple</t>
        </is>
      </c>
      <c r="B76" s="425" t="n"/>
      <c r="C76" s="934" t="n"/>
      <c r="D76" s="371" t="n">
        <v>24</v>
      </c>
      <c r="E76" s="371" t="n"/>
      <c r="F76" s="371" t="n"/>
      <c r="G76" s="425" t="n"/>
      <c r="H76" s="425" t="n">
        <v>30</v>
      </c>
      <c r="I76" s="371">
        <f>(D76+E76)/H76</f>
        <v/>
      </c>
      <c r="J76" s="386" t="n"/>
      <c r="K76" s="669" t="n"/>
      <c r="L76" s="669" t="n"/>
      <c r="M76" s="669" t="n"/>
      <c r="N76" s="669" t="n"/>
      <c r="O76" s="669" t="n"/>
      <c r="P76" s="669" t="n"/>
      <c r="Q76" s="669" t="n"/>
      <c r="R76" s="669" t="n"/>
      <c r="S76" s="669" t="n"/>
      <c r="T76" s="669" t="n"/>
      <c r="U76" s="669" t="n"/>
      <c r="V76" s="669" t="n"/>
      <c r="W76" s="669" t="n"/>
      <c r="X76" s="669" t="n"/>
      <c r="Y76" s="669" t="n"/>
      <c r="Z76" s="669" t="n"/>
    </row>
    <row r="77">
      <c r="A77" s="357" t="inlineStr">
        <is>
          <t xml:space="preserve">  Figaro Marriage</t>
        </is>
      </c>
      <c r="B77" s="425" t="inlineStr">
        <is>
          <t>AAA</t>
        </is>
      </c>
      <c r="C77" s="425" t="inlineStr">
        <is>
          <t>ART</t>
        </is>
      </c>
      <c r="D77" s="371" t="n"/>
      <c r="E77" s="371" t="n"/>
      <c r="F77" s="371" t="n"/>
      <c r="G77" s="425" t="n"/>
      <c r="H77" s="425" t="n"/>
      <c r="I77" s="371" t="n"/>
      <c r="J77" s="386" t="inlineStr">
        <is>
          <t>Fragment Crafting (1.6%), Lottery Machine #1 (0.03%), Wishing (0.14%), Relic Forge (80 Relic RF)</t>
        </is>
      </c>
      <c r="K77" s="669" t="n"/>
      <c r="L77" s="669" t="n"/>
      <c r="M77" s="669" t="n"/>
      <c r="N77" s="669" t="n"/>
      <c r="O77" s="669" t="n"/>
      <c r="P77" s="669" t="n"/>
      <c r="Q77" s="669" t="n"/>
      <c r="R77" s="669" t="n"/>
      <c r="S77" s="669" t="n"/>
      <c r="T77" s="669" t="n"/>
      <c r="U77" s="669" t="n"/>
      <c r="V77" s="669" t="n"/>
      <c r="W77" s="669" t="n"/>
      <c r="X77" s="669" t="n"/>
      <c r="Y77" s="669" t="n"/>
      <c r="Z77" s="669" t="n"/>
    </row>
    <row r="78">
      <c r="A78" s="357" t="inlineStr">
        <is>
          <t xml:space="preserve">  Mermaid Statue</t>
        </is>
      </c>
      <c r="B78" s="425" t="inlineStr">
        <is>
          <t>AAA</t>
        </is>
      </c>
      <c r="C78" s="425" t="inlineStr">
        <is>
          <t>ART</t>
        </is>
      </c>
      <c r="D78" s="371" t="n"/>
      <c r="E78" s="371" t="n"/>
      <c r="F78" s="371" t="n"/>
      <c r="G78" s="425" t="n"/>
      <c r="H78" s="425" t="n"/>
      <c r="I78" s="425" t="n"/>
      <c r="J78" s="386" t="inlineStr">
        <is>
          <t>Fragment Crafting (1.6%), Lottery Machine #1 (0.03%), Wishing (0.14%), Relic Forge (80 Relic RF)</t>
        </is>
      </c>
      <c r="K78" s="669" t="n"/>
      <c r="L78" s="669" t="n"/>
      <c r="M78" s="669" t="n"/>
      <c r="N78" s="669" t="n"/>
      <c r="O78" s="669" t="n"/>
      <c r="P78" s="669" t="n"/>
      <c r="Q78" s="669" t="n"/>
      <c r="R78" s="669" t="n"/>
      <c r="S78" s="669" t="n"/>
      <c r="T78" s="669" t="n"/>
      <c r="U78" s="669" t="n"/>
      <c r="V78" s="669" t="n"/>
      <c r="W78" s="669" t="n"/>
      <c r="X78" s="669" t="n"/>
      <c r="Y78" s="669" t="n"/>
      <c r="Z78" s="669" t="n"/>
    </row>
    <row r="79">
      <c r="A79" s="357" t="inlineStr">
        <is>
          <t>Resonance: Blue</t>
        </is>
      </c>
      <c r="B79" s="425" t="n"/>
      <c r="C79" s="934" t="n"/>
      <c r="D79" s="371" t="n">
        <v>8</v>
      </c>
      <c r="E79" s="371" t="n"/>
      <c r="F79" s="371" t="n"/>
      <c r="G79" s="425" t="n"/>
      <c r="H79" s="425" t="n">
        <v>10</v>
      </c>
      <c r="I79" s="371">
        <f>(D79+E79)/H79</f>
        <v/>
      </c>
      <c r="J79" s="386" t="n"/>
      <c r="K79" s="669" t="n"/>
      <c r="L79" s="669" t="n"/>
      <c r="M79" s="669" t="n"/>
      <c r="N79" s="669" t="n"/>
      <c r="O79" s="669" t="n"/>
      <c r="P79" s="669" t="n"/>
      <c r="Q79" s="669" t="n"/>
      <c r="R79" s="669" t="n"/>
      <c r="S79" s="669" t="n"/>
      <c r="T79" s="669" t="n"/>
      <c r="U79" s="669" t="n"/>
      <c r="V79" s="669" t="n"/>
      <c r="W79" s="669" t="n"/>
      <c r="X79" s="669" t="n"/>
      <c r="Y79" s="669" t="n"/>
      <c r="Z79" s="669" t="n"/>
    </row>
    <row r="80">
      <c r="A80" s="357" t="inlineStr">
        <is>
          <t xml:space="preserve">  Statue of Gudea</t>
        </is>
      </c>
      <c r="B80" s="425" t="inlineStr">
        <is>
          <t>Blue</t>
        </is>
      </c>
      <c r="C80" s="425" t="inlineStr">
        <is>
          <t>ART</t>
        </is>
      </c>
      <c r="D80" s="371" t="n"/>
      <c r="E80" s="371" t="n"/>
      <c r="F80" s="371" t="n"/>
      <c r="G80" s="425" t="n"/>
      <c r="H80" s="425" t="n"/>
      <c r="I80" s="371" t="n"/>
      <c r="J80" s="386" t="inlineStr">
        <is>
          <t>Lottery Machine #2 (0.03%)</t>
        </is>
      </c>
      <c r="K80" s="669" t="n"/>
      <c r="L80" s="669" t="n"/>
      <c r="M80" s="669" t="n"/>
      <c r="N80" s="669" t="n"/>
      <c r="O80" s="669" t="n"/>
      <c r="P80" s="669" t="n"/>
      <c r="Q80" s="669" t="n"/>
      <c r="R80" s="669" t="n"/>
      <c r="S80" s="669" t="n"/>
      <c r="T80" s="669" t="n"/>
      <c r="U80" s="669" t="n"/>
      <c r="V80" s="669" t="n"/>
      <c r="W80" s="669" t="n"/>
      <c r="X80" s="669" t="n"/>
      <c r="Y80" s="669" t="n"/>
      <c r="Z80" s="669" t="n"/>
    </row>
    <row r="81">
      <c r="A81" s="357" t="inlineStr">
        <is>
          <t xml:space="preserve">  Diesel Engine</t>
        </is>
      </c>
      <c r="B81" s="425" t="inlineStr">
        <is>
          <t>Blue</t>
        </is>
      </c>
      <c r="C81" s="425" t="inlineStr">
        <is>
          <t>FAME</t>
        </is>
      </c>
      <c r="D81" s="371" t="n"/>
      <c r="E81" s="371" t="n"/>
      <c r="F81" s="371" t="n"/>
      <c r="G81" s="425" t="n"/>
      <c r="H81" s="425" t="n"/>
      <c r="I81" s="425" t="n"/>
      <c r="J81" s="386" t="inlineStr">
        <is>
          <t>Lottery Machine #2 (0.03%)</t>
        </is>
      </c>
      <c r="K81" s="669" t="n"/>
      <c r="L81" s="669" t="n"/>
      <c r="M81" s="669" t="n"/>
      <c r="N81" s="669" t="n"/>
      <c r="O81" s="669" t="n"/>
      <c r="P81" s="669" t="n"/>
      <c r="Q81" s="669" t="n"/>
      <c r="R81" s="669" t="n"/>
      <c r="S81" s="669" t="n"/>
      <c r="T81" s="669" t="n"/>
      <c r="U81" s="669" t="n"/>
      <c r="V81" s="669" t="n"/>
      <c r="W81" s="669" t="n"/>
      <c r="X81" s="669" t="n"/>
      <c r="Y81" s="669" t="n"/>
      <c r="Z81" s="669" t="n"/>
    </row>
    <row r="82">
      <c r="A82" s="357" t="inlineStr">
        <is>
          <t xml:space="preserve">  Warren Cup</t>
        </is>
      </c>
      <c r="B82" s="425" t="inlineStr">
        <is>
          <t>Blue</t>
        </is>
      </c>
      <c r="C82" s="425" t="inlineStr">
        <is>
          <t>FTH</t>
        </is>
      </c>
      <c r="D82" s="371" t="n"/>
      <c r="E82" s="371" t="n"/>
      <c r="F82" s="371" t="n"/>
      <c r="G82" s="425" t="n"/>
      <c r="H82" s="425" t="n"/>
      <c r="I82" s="425" t="n"/>
      <c r="J82" s="386" t="inlineStr">
        <is>
          <t>Lottery Machine #2 (0.07%)</t>
        </is>
      </c>
      <c r="K82" s="669" t="n"/>
      <c r="L82" s="669" t="n"/>
      <c r="M82" s="669" t="n"/>
      <c r="N82" s="669" t="n"/>
      <c r="O82" s="669" t="n"/>
      <c r="P82" s="669" t="n"/>
      <c r="Q82" s="669" t="n"/>
      <c r="R82" s="669" t="n"/>
      <c r="S82" s="669" t="n"/>
      <c r="T82" s="669" t="n"/>
      <c r="U82" s="669" t="n"/>
      <c r="V82" s="669" t="n"/>
      <c r="W82" s="669" t="n"/>
      <c r="X82" s="669" t="n"/>
      <c r="Y82" s="669" t="n"/>
      <c r="Z82" s="669" t="n"/>
    </row>
    <row r="83">
      <c r="A83" s="357" t="inlineStr">
        <is>
          <t xml:space="preserve">  Orichalcum</t>
        </is>
      </c>
      <c r="B83" s="425" t="inlineStr">
        <is>
          <t>Blue</t>
        </is>
      </c>
      <c r="C83" s="425" t="inlineStr">
        <is>
          <t>FTH</t>
        </is>
      </c>
      <c r="D83" s="371" t="n"/>
      <c r="E83" s="371" t="n"/>
      <c r="F83" s="371" t="n"/>
      <c r="G83" s="425" t="n"/>
      <c r="H83" s="425" t="n"/>
      <c r="I83" s="425" t="n"/>
      <c r="J83" s="386" t="inlineStr">
        <is>
          <t>Lottery Machine #2 (0.07%)</t>
        </is>
      </c>
      <c r="K83" s="669" t="n"/>
      <c r="L83" s="669" t="n"/>
      <c r="M83" s="669" t="n"/>
      <c r="N83" s="669" t="n"/>
      <c r="O83" s="669" t="n"/>
      <c r="P83" s="669" t="n"/>
      <c r="Q83" s="669" t="n"/>
      <c r="R83" s="669" t="n"/>
      <c r="S83" s="669" t="n"/>
      <c r="T83" s="669" t="n"/>
      <c r="U83" s="669" t="n"/>
      <c r="V83" s="669" t="n"/>
      <c r="W83" s="669" t="n"/>
      <c r="X83" s="669" t="n"/>
      <c r="Y83" s="669" t="n"/>
      <c r="Z83" s="669" t="n"/>
    </row>
    <row r="84">
      <c r="A84" s="357" t="inlineStr">
        <is>
          <t xml:space="preserve">  Crookes Tube</t>
        </is>
      </c>
      <c r="B84" s="425" t="inlineStr">
        <is>
          <t>Blue</t>
        </is>
      </c>
      <c r="C84" s="425" t="inlineStr">
        <is>
          <t>TECH</t>
        </is>
      </c>
      <c r="D84" s="371" t="n"/>
      <c r="E84" s="371" t="n"/>
      <c r="F84" s="371" t="n"/>
      <c r="G84" s="425" t="n"/>
      <c r="H84" s="425" t="n"/>
      <c r="I84" s="425" t="n"/>
      <c r="J84" s="386" t="inlineStr">
        <is>
          <t>Lottery Machine #2 (0.03%)</t>
        </is>
      </c>
      <c r="K84" s="669" t="n"/>
      <c r="L84" s="669" t="n"/>
      <c r="M84" s="669" t="n"/>
      <c r="N84" s="669" t="n"/>
      <c r="O84" s="669" t="n"/>
      <c r="P84" s="669" t="n"/>
      <c r="Q84" s="669" t="n"/>
      <c r="R84" s="669" t="n"/>
      <c r="S84" s="669" t="n"/>
      <c r="T84" s="669" t="n"/>
      <c r="U84" s="669" t="n"/>
      <c r="V84" s="669" t="n"/>
      <c r="W84" s="669" t="n"/>
      <c r="X84" s="669" t="n"/>
      <c r="Y84" s="669" t="n"/>
      <c r="Z84" s="669" t="n"/>
    </row>
    <row r="85">
      <c r="A85" s="246" t="inlineStr">
        <is>
          <t>Resonance: Orange</t>
        </is>
      </c>
      <c r="B85" s="209" t="n"/>
      <c r="C85" s="934" t="n"/>
      <c r="D85" s="210" t="n"/>
      <c r="E85" s="209" t="n"/>
      <c r="F85" s="209" t="n">
        <v>2</v>
      </c>
      <c r="G85" s="209" t="n"/>
      <c r="H85" s="210" t="n"/>
      <c r="I85" s="210" t="n"/>
      <c r="J85" s="256" t="n"/>
      <c r="K85" s="669" t="n"/>
      <c r="L85" s="669" t="n"/>
      <c r="M85" s="669" t="n"/>
      <c r="N85" s="669" t="n"/>
      <c r="O85" s="669" t="n"/>
      <c r="P85" s="669" t="n"/>
      <c r="Q85" s="669" t="n"/>
      <c r="R85" s="669" t="n"/>
      <c r="S85" s="669" t="n"/>
      <c r="T85" s="669" t="n"/>
      <c r="U85" s="669" t="n"/>
      <c r="V85" s="669" t="n"/>
      <c r="W85" s="669" t="n"/>
      <c r="X85" s="669" t="n"/>
      <c r="Y85" s="669" t="n"/>
      <c r="Z85" s="669" t="n"/>
    </row>
    <row r="86">
      <c r="A86" s="507" t="inlineStr">
        <is>
          <t xml:space="preserve">  The Prince</t>
        </is>
      </c>
      <c r="B86" s="1037" t="inlineStr">
        <is>
          <t>SSS</t>
        </is>
      </c>
      <c r="C86" s="1037" t="inlineStr">
        <is>
          <t>FAME</t>
        </is>
      </c>
      <c r="D86" s="934" t="n"/>
      <c r="E86" s="934" t="n"/>
      <c r="F86" s="934" t="n"/>
      <c r="G86" s="934" t="n"/>
      <c r="H86" s="934" t="n"/>
      <c r="I86" s="934" t="n"/>
      <c r="J86" s="386" t="inlineStr">
        <is>
          <t>Lottery Machine #2 (0.12%)</t>
        </is>
      </c>
      <c r="K86" s="669" t="n"/>
      <c r="L86" s="669" t="n"/>
      <c r="M86" s="669" t="n"/>
      <c r="N86" s="669" t="n"/>
      <c r="O86" s="669" t="n"/>
      <c r="P86" s="669" t="n"/>
      <c r="Q86" s="669" t="n"/>
      <c r="R86" s="669" t="n"/>
      <c r="S86" s="669" t="n"/>
      <c r="T86" s="669" t="n"/>
      <c r="U86" s="669" t="n"/>
      <c r="V86" s="669" t="n"/>
      <c r="W86" s="669" t="n"/>
      <c r="X86" s="669" t="n"/>
      <c r="Y86" s="669" t="n"/>
      <c r="Z86" s="669" t="n"/>
    </row>
    <row r="87">
      <c r="A87" s="507" t="inlineStr">
        <is>
          <t xml:space="preserve">  Beowulf</t>
        </is>
      </c>
      <c r="B87" s="1037" t="inlineStr">
        <is>
          <t>SSS</t>
        </is>
      </c>
      <c r="C87" s="1037" t="inlineStr">
        <is>
          <t>CIV</t>
        </is>
      </c>
      <c r="D87" s="934" t="n"/>
      <c r="E87" s="934" t="n"/>
      <c r="F87" s="934" t="n"/>
      <c r="G87" s="934" t="n"/>
      <c r="H87" s="934" t="n"/>
      <c r="I87" s="934" t="n"/>
      <c r="J87" s="386" t="inlineStr">
        <is>
          <t>Lottery Machine #2 (0.12%)</t>
        </is>
      </c>
      <c r="K87" s="669" t="n"/>
      <c r="L87" s="669" t="n"/>
      <c r="M87" s="669" t="n"/>
      <c r="N87" s="669" t="n"/>
      <c r="O87" s="669" t="n"/>
      <c r="P87" s="669" t="n"/>
      <c r="Q87" s="669" t="n"/>
      <c r="R87" s="669" t="n"/>
      <c r="S87" s="669" t="n"/>
      <c r="T87" s="669" t="n"/>
      <c r="U87" s="669" t="n"/>
      <c r="V87" s="669" t="n"/>
      <c r="W87" s="669" t="n"/>
      <c r="X87" s="669" t="n"/>
      <c r="Y87" s="669" t="n"/>
      <c r="Z87" s="669" t="n"/>
    </row>
    <row r="88">
      <c r="A88" s="507" t="inlineStr">
        <is>
          <t xml:space="preserve">  Enuma Elish</t>
        </is>
      </c>
      <c r="B88" s="1037" t="inlineStr">
        <is>
          <t>SSS</t>
        </is>
      </c>
      <c r="C88" s="1037" t="inlineStr">
        <is>
          <t>FTH</t>
        </is>
      </c>
      <c r="D88" s="934" t="n"/>
      <c r="E88" s="934" t="n"/>
      <c r="F88" s="934" t="n"/>
      <c r="G88" s="934" t="n"/>
      <c r="H88" s="934" t="n"/>
      <c r="I88" s="934" t="n"/>
      <c r="J88" s="386" t="inlineStr">
        <is>
          <t>Lottery Machine #2 (0.12%), Indigent Nobleman (810K B-tads)</t>
        </is>
      </c>
      <c r="K88" s="669" t="n"/>
      <c r="L88" s="669" t="n"/>
      <c r="M88" s="669" t="n"/>
      <c r="N88" s="669" t="n"/>
      <c r="O88" s="669" t="n"/>
      <c r="P88" s="669" t="n"/>
      <c r="Q88" s="669" t="n"/>
      <c r="R88" s="669" t="n"/>
      <c r="S88" s="669" t="n"/>
      <c r="T88" s="669" t="n"/>
      <c r="U88" s="669" t="n"/>
      <c r="V88" s="669" t="n"/>
      <c r="W88" s="669" t="n"/>
      <c r="X88" s="669" t="n"/>
      <c r="Y88" s="669" t="n"/>
      <c r="Z88" s="669" t="n"/>
    </row>
    <row r="89">
      <c r="A89" s="507" t="inlineStr">
        <is>
          <t xml:space="preserve">  Oxus Treasure</t>
        </is>
      </c>
      <c r="B89" s="1037" t="inlineStr">
        <is>
          <t>SSS</t>
        </is>
      </c>
      <c r="C89" s="1037" t="inlineStr">
        <is>
          <t>ART</t>
        </is>
      </c>
      <c r="D89" s="934" t="n"/>
      <c r="E89" s="934" t="n"/>
      <c r="F89" s="934" t="n"/>
      <c r="G89" s="934" t="n"/>
      <c r="H89" s="934" t="n"/>
      <c r="I89" s="934" t="n"/>
      <c r="J89" s="386" t="inlineStr">
        <is>
          <t>Lottery Machine #2 (0.12%), Relic Forge (120 RF)</t>
        </is>
      </c>
      <c r="K89" s="669" t="n"/>
      <c r="L89" s="669" t="n"/>
      <c r="M89" s="669" t="n"/>
      <c r="N89" s="669" t="n"/>
      <c r="O89" s="669" t="n"/>
      <c r="P89" s="669" t="n"/>
      <c r="Q89" s="669" t="n"/>
      <c r="R89" s="669" t="n"/>
      <c r="S89" s="669" t="n"/>
      <c r="T89" s="669" t="n"/>
      <c r="U89" s="669" t="n"/>
      <c r="V89" s="669" t="n"/>
      <c r="W89" s="669" t="n"/>
      <c r="X89" s="669" t="n"/>
      <c r="Y89" s="669" t="n"/>
      <c r="Z89" s="669" t="n"/>
    </row>
    <row r="90">
      <c r="A90" s="246" t="inlineStr">
        <is>
          <t xml:space="preserve">  Jiuzhang</t>
        </is>
      </c>
      <c r="B90" s="1037" t="inlineStr">
        <is>
          <t>SSS</t>
        </is>
      </c>
      <c r="C90" s="1037" t="inlineStr">
        <is>
          <t>TECH</t>
        </is>
      </c>
      <c r="D90" s="209" t="n"/>
      <c r="E90" s="209" t="n"/>
      <c r="F90" s="209" t="n"/>
      <c r="G90" s="209" t="n"/>
      <c r="H90" s="209" t="n"/>
      <c r="I90" s="209" t="n"/>
      <c r="J90" s="386" t="inlineStr">
        <is>
          <t>Lottery Machine #2 (0.12%)</t>
        </is>
      </c>
      <c r="K90" s="669" t="n"/>
      <c r="L90" s="669" t="n"/>
      <c r="M90" s="669" t="n"/>
      <c r="N90" s="669" t="n"/>
      <c r="O90" s="669" t="n"/>
      <c r="P90" s="669" t="n"/>
      <c r="Q90" s="669" t="n"/>
      <c r="R90" s="669" t="n"/>
      <c r="S90" s="669" t="n"/>
      <c r="T90" s="669" t="n"/>
      <c r="U90" s="669" t="n"/>
      <c r="V90" s="669" t="n"/>
      <c r="W90" s="669" t="n"/>
      <c r="X90" s="669" t="n"/>
      <c r="Y90" s="669" t="n"/>
      <c r="Z90" s="669" t="n"/>
    </row>
    <row r="91">
      <c r="A91" s="362" t="inlineStr">
        <is>
          <t>TOTAL ATK</t>
        </is>
      </c>
      <c r="B91" s="411" t="n"/>
      <c r="C91" s="411" t="n"/>
      <c r="D91" s="364" t="n"/>
      <c r="E91" s="411" t="n"/>
      <c r="F91" s="364">
        <f>sum(F41:G90)</f>
        <v/>
      </c>
      <c r="G91" s="411" t="n"/>
      <c r="H91" s="364" t="n"/>
      <c r="I91" s="203">
        <f>sum(I41:I90)</f>
        <v/>
      </c>
      <c r="J91" s="970" t="n"/>
      <c r="K91" s="669" t="n"/>
      <c r="L91" s="669" t="n"/>
      <c r="M91" s="669" t="n"/>
      <c r="N91" s="669" t="n"/>
      <c r="O91" s="669" t="n"/>
      <c r="P91" s="669" t="n"/>
      <c r="Q91" s="669" t="n"/>
      <c r="R91" s="669" t="n"/>
      <c r="S91" s="669" t="n"/>
      <c r="T91" s="669" t="n"/>
      <c r="U91" s="669" t="n"/>
      <c r="V91" s="669" t="n"/>
      <c r="W91" s="669" t="n"/>
      <c r="X91" s="669" t="n"/>
      <c r="Y91" s="669" t="n"/>
      <c r="Z91" s="669" t="n"/>
    </row>
    <row r="92">
      <c r="A92" s="1091" t="n"/>
      <c r="B92" s="669" t="n"/>
      <c r="C92" s="669" t="n"/>
      <c r="D92" s="669" t="n"/>
      <c r="E92" s="669" t="n"/>
      <c r="F92" s="669" t="n"/>
      <c r="G92" s="669" t="n"/>
      <c r="H92" s="669" t="n"/>
      <c r="I92" s="669" t="n"/>
      <c r="J92" s="1095" t="n"/>
      <c r="K92" s="669" t="n"/>
      <c r="L92" s="669" t="n"/>
      <c r="M92" s="669" t="n"/>
      <c r="N92" s="669" t="n"/>
      <c r="O92" s="669" t="n"/>
      <c r="P92" s="669" t="n"/>
      <c r="Q92" s="669" t="n"/>
      <c r="R92" s="669" t="n"/>
      <c r="S92" s="669" t="n"/>
      <c r="T92" s="669" t="n"/>
      <c r="U92" s="669" t="n"/>
      <c r="V92" s="669" t="n"/>
      <c r="W92" s="669" t="n"/>
      <c r="X92" s="669" t="n"/>
      <c r="Y92" s="669" t="n"/>
      <c r="Z92" s="669" t="n"/>
    </row>
    <row r="93">
      <c r="A93" s="1091" t="n"/>
      <c r="B93" s="669" t="n"/>
      <c r="C93" s="669" t="n"/>
      <c r="D93" s="669" t="n"/>
      <c r="E93" s="669" t="n"/>
      <c r="F93" s="669" t="n"/>
      <c r="G93" s="669" t="n"/>
      <c r="H93" s="669" t="n"/>
      <c r="I93" s="669" t="n"/>
      <c r="J93" s="1095" t="n"/>
      <c r="K93" s="669" t="n"/>
      <c r="L93" s="669" t="n"/>
      <c r="M93" s="669" t="n"/>
      <c r="N93" s="669" t="n"/>
      <c r="O93" s="669" t="n"/>
      <c r="P93" s="669" t="n"/>
      <c r="Q93" s="669" t="n"/>
      <c r="R93" s="669" t="n"/>
      <c r="S93" s="669" t="n"/>
      <c r="T93" s="669" t="n"/>
      <c r="U93" s="669" t="n"/>
      <c r="V93" s="669" t="n"/>
      <c r="W93" s="669" t="n"/>
      <c r="X93" s="669" t="n"/>
      <c r="Y93" s="669" t="n"/>
      <c r="Z93" s="669" t="n"/>
    </row>
    <row r="94">
      <c r="A94" s="212" t="inlineStr">
        <is>
          <t>RUSH</t>
        </is>
      </c>
      <c r="B94" s="406" t="inlineStr">
        <is>
          <t>Rarity</t>
        </is>
      </c>
      <c r="C94" s="406" t="inlineStr">
        <is>
          <t>Type</t>
        </is>
      </c>
      <c r="D94" s="406" t="inlineStr">
        <is>
          <t>Base</t>
        </is>
      </c>
      <c r="E94" s="406" t="inlineStr">
        <is>
          <t>Awakening Base</t>
        </is>
      </c>
      <c r="F94" s="406" t="inlineStr">
        <is>
          <t>Percentage</t>
        </is>
      </c>
      <c r="G94" s="406" t="inlineStr">
        <is>
          <t>Awakening Percentage</t>
        </is>
      </c>
      <c r="H94" s="406" t="inlineStr">
        <is>
          <t>Per Minion</t>
        </is>
      </c>
      <c r="I94" s="406" t="inlineStr">
        <is>
          <t>Per Minion Boost</t>
        </is>
      </c>
      <c r="J94" s="786" t="inlineStr">
        <is>
          <t>Source</t>
        </is>
      </c>
      <c r="K94" s="669" t="n"/>
      <c r="L94" s="669" t="n"/>
      <c r="M94" s="669" t="n"/>
      <c r="N94" s="669" t="n"/>
      <c r="O94" s="669" t="n"/>
      <c r="P94" s="669" t="n"/>
      <c r="Q94" s="669" t="n"/>
      <c r="R94" s="669" t="n"/>
      <c r="S94" s="669" t="n"/>
      <c r="T94" s="669" t="n"/>
      <c r="U94" s="669" t="n"/>
      <c r="V94" s="669" t="n"/>
      <c r="W94" s="669" t="n"/>
      <c r="X94" s="669" t="n"/>
      <c r="Y94" s="669" t="n"/>
      <c r="Z94" s="669" t="n"/>
    </row>
    <row r="95">
      <c r="A95" s="246" t="inlineStr">
        <is>
          <t>EPR Paradox</t>
        </is>
      </c>
      <c r="B95" s="1037" t="inlineStr">
        <is>
          <t>SSS</t>
        </is>
      </c>
      <c r="C95" s="1037" t="inlineStr">
        <is>
          <t>TECH</t>
        </is>
      </c>
      <c r="D95" s="209" t="n">
        <v>120</v>
      </c>
      <c r="E95" s="209" t="n"/>
      <c r="F95" s="209" t="n"/>
      <c r="G95" s="209" t="n"/>
      <c r="H95" s="209" t="n">
        <v>60</v>
      </c>
      <c r="I95" s="371">
        <f>(D95+E95)/H95</f>
        <v/>
      </c>
      <c r="J95" s="390" t="inlineStr">
        <is>
          <t>Wish Box Relic #8</t>
        </is>
      </c>
      <c r="K95" s="669" t="n"/>
      <c r="L95" s="669" t="n"/>
      <c r="M95" s="669" t="n"/>
      <c r="N95" s="669" t="n"/>
      <c r="O95" s="669" t="n"/>
      <c r="P95" s="669" t="n"/>
      <c r="Q95" s="669" t="n"/>
      <c r="R95" s="669" t="n"/>
      <c r="S95" s="669" t="n"/>
      <c r="T95" s="669" t="n"/>
      <c r="U95" s="669" t="n"/>
      <c r="V95" s="669" t="n"/>
      <c r="W95" s="669" t="n"/>
      <c r="X95" s="669" t="n"/>
      <c r="Y95" s="669" t="n"/>
      <c r="Z95" s="669" t="n"/>
    </row>
    <row r="96">
      <c r="A96" s="246" t="inlineStr">
        <is>
          <t>Cancer</t>
        </is>
      </c>
      <c r="B96" s="425" t="inlineStr">
        <is>
          <t>SSS</t>
        </is>
      </c>
      <c r="C96" s="425" t="inlineStr">
        <is>
          <t>ART</t>
        </is>
      </c>
      <c r="D96" s="210" t="n">
        <v>160</v>
      </c>
      <c r="E96" s="209" t="n"/>
      <c r="F96" s="210" t="n"/>
      <c r="G96" s="209" t="n"/>
      <c r="H96" s="210" t="n">
        <v>100</v>
      </c>
      <c r="I96" s="371">
        <f>(D96+E96)/H96</f>
        <v/>
      </c>
      <c r="J96" s="256" t="inlineStr">
        <is>
          <t>Supreme Relic #12</t>
        </is>
      </c>
      <c r="K96" s="669" t="n"/>
      <c r="L96" s="669" t="n"/>
      <c r="M96" s="669" t="n"/>
      <c r="N96" s="669" t="n"/>
      <c r="O96" s="669" t="n"/>
      <c r="P96" s="669" t="n"/>
      <c r="Q96" s="669" t="n"/>
      <c r="R96" s="669" t="n"/>
      <c r="S96" s="669" t="n"/>
      <c r="T96" s="669" t="n"/>
      <c r="U96" s="669" t="n"/>
      <c r="V96" s="669" t="n"/>
      <c r="W96" s="669" t="n"/>
      <c r="X96" s="669" t="n"/>
      <c r="Y96" s="669" t="n"/>
      <c r="Z96" s="669" t="n"/>
    </row>
    <row r="97">
      <c r="A97" s="246" t="inlineStr">
        <is>
          <t xml:space="preserve">Pisces </t>
        </is>
      </c>
      <c r="B97" s="425" t="inlineStr">
        <is>
          <t>SSS</t>
        </is>
      </c>
      <c r="C97" s="425" t="inlineStr">
        <is>
          <t>FAME</t>
        </is>
      </c>
      <c r="D97" s="210" t="n">
        <v>160</v>
      </c>
      <c r="E97" s="209" t="n"/>
      <c r="F97" s="210" t="n"/>
      <c r="G97" s="209" t="n"/>
      <c r="H97" s="210" t="n">
        <v>100</v>
      </c>
      <c r="I97" s="371">
        <f>(D97+E97)/H97</f>
        <v/>
      </c>
      <c r="J97" s="256" t="inlineStr">
        <is>
          <t>Supreme Relic #20</t>
        </is>
      </c>
      <c r="K97" s="669" t="n"/>
      <c r="L97" s="669" t="n"/>
      <c r="M97" s="669" t="n"/>
      <c r="N97" s="669" t="n"/>
      <c r="O97" s="669" t="n"/>
      <c r="P97" s="669" t="n"/>
      <c r="Q97" s="669" t="n"/>
      <c r="R97" s="669" t="n"/>
      <c r="S97" s="669" t="n"/>
      <c r="T97" s="669" t="n"/>
      <c r="U97" s="669" t="n"/>
      <c r="V97" s="669" t="n"/>
      <c r="W97" s="669" t="n"/>
      <c r="X97" s="669" t="n"/>
      <c r="Y97" s="669" t="n"/>
      <c r="Z97" s="669" t="n"/>
    </row>
    <row r="98">
      <c r="A98" s="246" t="inlineStr">
        <is>
          <t>Scorpio</t>
        </is>
      </c>
      <c r="B98" s="425" t="inlineStr">
        <is>
          <t>SSS</t>
        </is>
      </c>
      <c r="C98" s="425" t="inlineStr">
        <is>
          <t>CIV</t>
        </is>
      </c>
      <c r="D98" s="210" t="n">
        <v>160</v>
      </c>
      <c r="E98" s="209" t="n"/>
      <c r="F98" s="210" t="n"/>
      <c r="G98" s="209" t="n"/>
      <c r="H98" s="210" t="n">
        <v>100</v>
      </c>
      <c r="I98" s="371">
        <f>(D98+E98)/H98</f>
        <v/>
      </c>
      <c r="J98" s="256" t="inlineStr">
        <is>
          <t>Supreme Relic #16</t>
        </is>
      </c>
      <c r="K98" s="669" t="n"/>
      <c r="L98" s="669" t="n"/>
      <c r="M98" s="669" t="n"/>
      <c r="N98" s="669" t="n"/>
      <c r="O98" s="669" t="n"/>
      <c r="P98" s="669" t="n"/>
      <c r="Q98" s="669" t="n"/>
      <c r="R98" s="669" t="n"/>
      <c r="S98" s="669" t="n"/>
      <c r="T98" s="669" t="n"/>
      <c r="U98" s="669" t="n"/>
      <c r="V98" s="669" t="n"/>
      <c r="W98" s="669" t="n"/>
      <c r="X98" s="669" t="n"/>
      <c r="Y98" s="669" t="n"/>
      <c r="Z98" s="669" t="n"/>
    </row>
    <row r="99">
      <c r="A99" s="246" t="inlineStr">
        <is>
          <t>Maya Mural</t>
        </is>
      </c>
      <c r="B99" s="425" t="inlineStr">
        <is>
          <t>SSS</t>
        </is>
      </c>
      <c r="C99" s="425" t="inlineStr">
        <is>
          <t>CIV</t>
        </is>
      </c>
      <c r="D99" s="210" t="n">
        <v>90</v>
      </c>
      <c r="E99" s="209" t="n"/>
      <c r="F99" s="210" t="n"/>
      <c r="G99" s="209" t="n"/>
      <c r="H99" s="210" t="n">
        <v>60</v>
      </c>
      <c r="I99" s="371">
        <f>(D99+E99)/H99</f>
        <v/>
      </c>
      <c r="J99" s="256" t="inlineStr">
        <is>
          <t>Star Chart Shop</t>
        </is>
      </c>
      <c r="K99" s="669" t="n"/>
      <c r="L99" s="669" t="n"/>
      <c r="M99" s="669" t="n"/>
      <c r="N99" s="669" t="n"/>
      <c r="O99" s="669" t="n"/>
      <c r="P99" s="669" t="n"/>
      <c r="Q99" s="669" t="n"/>
      <c r="R99" s="669" t="n"/>
      <c r="S99" s="669" t="n"/>
      <c r="T99" s="669" t="n"/>
      <c r="U99" s="669" t="n"/>
      <c r="V99" s="669" t="n"/>
      <c r="W99" s="669" t="n"/>
      <c r="X99" s="669" t="n"/>
      <c r="Y99" s="669" t="n"/>
      <c r="Z99" s="669" t="n"/>
    </row>
    <row r="100">
      <c r="A100" s="246" t="inlineStr">
        <is>
          <t>Napoleonic Code</t>
        </is>
      </c>
      <c r="B100" s="425" t="inlineStr">
        <is>
          <t>SSS</t>
        </is>
      </c>
      <c r="C100" s="425" t="inlineStr">
        <is>
          <t>FAME</t>
        </is>
      </c>
      <c r="D100" s="210" t="n">
        <v>90</v>
      </c>
      <c r="E100" s="209" t="n"/>
      <c r="F100" s="210" t="n"/>
      <c r="G100" s="209" t="n"/>
      <c r="H100" s="210" t="n">
        <v>60</v>
      </c>
      <c r="I100" s="371">
        <f>(D100+E100)/H100</f>
        <v/>
      </c>
      <c r="J100" s="256" t="inlineStr">
        <is>
          <t>Daily Pack Relic #11</t>
        </is>
      </c>
      <c r="K100" s="669" t="n"/>
      <c r="L100" s="669" t="n"/>
      <c r="M100" s="669" t="n"/>
      <c r="N100" s="669" t="n"/>
      <c r="O100" s="669" t="n"/>
      <c r="P100" s="669" t="n"/>
      <c r="Q100" s="669" t="n"/>
      <c r="R100" s="669" t="n"/>
      <c r="S100" s="669" t="n"/>
      <c r="T100" s="669" t="n"/>
      <c r="U100" s="669" t="n"/>
      <c r="V100" s="669" t="n"/>
      <c r="W100" s="669" t="n"/>
      <c r="X100" s="669" t="n"/>
      <c r="Y100" s="669" t="n"/>
      <c r="Z100" s="669" t="n"/>
    </row>
    <row r="101">
      <c r="A101" s="246" t="inlineStr">
        <is>
          <t>Head of Bhairava</t>
        </is>
      </c>
      <c r="B101" s="1037" t="inlineStr">
        <is>
          <t>SSS</t>
        </is>
      </c>
      <c r="C101" s="1037" t="inlineStr">
        <is>
          <t>FTH</t>
        </is>
      </c>
      <c r="D101" s="209" t="n">
        <v>90</v>
      </c>
      <c r="E101" s="209" t="n"/>
      <c r="F101" s="209" t="n"/>
      <c r="G101" s="209" t="n"/>
      <c r="H101" s="209" t="n">
        <v>60</v>
      </c>
      <c r="I101" s="371">
        <f>(D101+E101)/H101</f>
        <v/>
      </c>
      <c r="J101" s="386" t="inlineStr">
        <is>
          <t>Daily Pack Relic #17</t>
        </is>
      </c>
      <c r="K101" s="669" t="n"/>
      <c r="L101" s="669" t="n"/>
      <c r="M101" s="669" t="n"/>
      <c r="N101" s="669" t="n"/>
      <c r="O101" s="669" t="n"/>
      <c r="P101" s="669" t="n"/>
      <c r="Q101" s="669" t="n"/>
      <c r="R101" s="669" t="n"/>
      <c r="S101" s="669" t="n"/>
      <c r="T101" s="669" t="n"/>
      <c r="U101" s="669" t="n"/>
      <c r="V101" s="669" t="n"/>
      <c r="W101" s="669" t="n"/>
      <c r="X101" s="669" t="n"/>
      <c r="Y101" s="669" t="n"/>
      <c r="Z101" s="669" t="n"/>
    </row>
    <row r="102">
      <c r="A102" s="507" t="inlineStr">
        <is>
          <t>King's Gayageum</t>
        </is>
      </c>
      <c r="B102" s="1037" t="inlineStr">
        <is>
          <t>SSS</t>
        </is>
      </c>
      <c r="C102" s="1037" t="inlineStr">
        <is>
          <t>ART</t>
        </is>
      </c>
      <c r="D102" s="934" t="n">
        <v>90</v>
      </c>
      <c r="E102" s="934" t="n"/>
      <c r="F102" s="934" t="n"/>
      <c r="G102" s="934" t="n"/>
      <c r="H102" s="934" t="n">
        <v>60</v>
      </c>
      <c r="I102" s="371">
        <f>(D102+E102)/H102</f>
        <v/>
      </c>
      <c r="J102" s="386" t="inlineStr">
        <is>
          <t>Daily Pack Relic #7</t>
        </is>
      </c>
      <c r="K102" s="669" t="n"/>
      <c r="L102" s="669" t="n"/>
      <c r="M102" s="669" t="n"/>
      <c r="N102" s="669" t="n"/>
      <c r="O102" s="669" t="n"/>
      <c r="P102" s="669" t="n"/>
      <c r="Q102" s="669" t="n"/>
      <c r="R102" s="669" t="n"/>
      <c r="S102" s="669" t="n"/>
      <c r="T102" s="669" t="n"/>
      <c r="U102" s="669" t="n"/>
      <c r="V102" s="669" t="n"/>
      <c r="W102" s="669" t="n"/>
      <c r="X102" s="669" t="n"/>
      <c r="Y102" s="669" t="n"/>
      <c r="Z102" s="669" t="n"/>
    </row>
    <row r="103">
      <c r="A103" s="246" t="inlineStr">
        <is>
          <t>Terracotta Warrior</t>
        </is>
      </c>
      <c r="B103" s="425" t="inlineStr">
        <is>
          <t>SSS</t>
        </is>
      </c>
      <c r="C103" s="425" t="inlineStr">
        <is>
          <t>FAME</t>
        </is>
      </c>
      <c r="D103" s="210" t="n">
        <v>90</v>
      </c>
      <c r="E103" s="209" t="n"/>
      <c r="F103" s="210" t="n"/>
      <c r="G103" s="209" t="n"/>
      <c r="H103" s="210" t="n">
        <v>60</v>
      </c>
      <c r="I103" s="371">
        <f>(D103+E103)/H103</f>
        <v/>
      </c>
      <c r="J103" s="386" t="inlineStr">
        <is>
          <t>Lottery Machine #2 (0.12%), Relic Forge (120 RF)</t>
        </is>
      </c>
      <c r="K103" s="669" t="n"/>
      <c r="L103" s="669" t="n"/>
      <c r="M103" s="669" t="n"/>
      <c r="N103" s="669" t="n"/>
      <c r="O103" s="669" t="n"/>
      <c r="P103" s="669" t="n"/>
      <c r="Q103" s="669" t="n"/>
      <c r="R103" s="669" t="n"/>
      <c r="S103" s="669" t="n"/>
      <c r="T103" s="669" t="n"/>
      <c r="U103" s="669" t="n"/>
      <c r="V103" s="669" t="n"/>
      <c r="W103" s="669" t="n"/>
      <c r="X103" s="669" t="n"/>
      <c r="Y103" s="669" t="n"/>
      <c r="Z103" s="669" t="n"/>
    </row>
    <row r="104">
      <c r="A104" s="246" t="inlineStr">
        <is>
          <t>War and Peace</t>
        </is>
      </c>
      <c r="B104" s="425" t="inlineStr">
        <is>
          <t>SSS</t>
        </is>
      </c>
      <c r="C104" s="425" t="inlineStr">
        <is>
          <t>FTH</t>
        </is>
      </c>
      <c r="D104" s="210" t="n"/>
      <c r="E104" s="209" t="n"/>
      <c r="F104" s="210" t="n">
        <v>3.6</v>
      </c>
      <c r="G104" s="209" t="n"/>
      <c r="H104" s="210" t="n"/>
      <c r="I104" s="371" t="n"/>
      <c r="J104" s="256" t="inlineStr">
        <is>
          <t>Daily Silver Pack Relic #5</t>
        </is>
      </c>
      <c r="K104" s="669" t="n"/>
      <c r="L104" s="669" t="n"/>
      <c r="M104" s="669" t="n"/>
      <c r="N104" s="669" t="n"/>
      <c r="O104" s="669" t="n"/>
      <c r="P104" s="669" t="n"/>
      <c r="Q104" s="669" t="n"/>
      <c r="R104" s="669" t="n"/>
      <c r="S104" s="669" t="n"/>
      <c r="T104" s="669" t="n"/>
      <c r="U104" s="669" t="n"/>
      <c r="V104" s="669" t="n"/>
      <c r="W104" s="669" t="n"/>
      <c r="X104" s="669" t="n"/>
      <c r="Y104" s="669" t="n"/>
      <c r="Z104" s="669" t="n"/>
    </row>
    <row r="105">
      <c r="A105" s="246" t="inlineStr">
        <is>
          <t>Hugo Award</t>
        </is>
      </c>
      <c r="B105" s="425" t="inlineStr">
        <is>
          <t>SSS</t>
        </is>
      </c>
      <c r="C105" s="425" t="inlineStr">
        <is>
          <t>FAME</t>
        </is>
      </c>
      <c r="D105" s="210" t="n"/>
      <c r="E105" s="209" t="n"/>
      <c r="F105" s="210" t="n">
        <v>2.4</v>
      </c>
      <c r="G105" s="209" t="n"/>
      <c r="H105" s="210" t="n"/>
      <c r="I105" s="371" t="n"/>
      <c r="J105" s="256" t="inlineStr">
        <is>
          <t>Traveler's Pack Relic #4</t>
        </is>
      </c>
      <c r="K105" s="669" t="n"/>
      <c r="L105" s="669" t="n"/>
      <c r="M105" s="669" t="n"/>
      <c r="N105" s="669" t="n"/>
      <c r="O105" s="669" t="n"/>
      <c r="P105" s="669" t="n"/>
      <c r="Q105" s="669" t="n"/>
      <c r="R105" s="669" t="n"/>
      <c r="S105" s="669" t="n"/>
      <c r="T105" s="669" t="n"/>
      <c r="U105" s="669" t="n"/>
      <c r="V105" s="669" t="n"/>
      <c r="W105" s="669" t="n"/>
      <c r="X105" s="669" t="n"/>
      <c r="Y105" s="669" t="n"/>
      <c r="Z105" s="669" t="n"/>
    </row>
    <row r="106">
      <c r="A106" s="507" t="inlineStr">
        <is>
          <t>Lawrence's Cyclotron</t>
        </is>
      </c>
      <c r="B106" s="1037" t="inlineStr">
        <is>
          <t>SSS</t>
        </is>
      </c>
      <c r="C106" s="1037" t="inlineStr">
        <is>
          <t>TECH</t>
        </is>
      </c>
      <c r="D106" s="934" t="n"/>
      <c r="E106" s="934" t="n"/>
      <c r="F106" s="934" t="n">
        <v>2.4</v>
      </c>
      <c r="G106" s="934" t="n"/>
      <c r="H106" s="934" t="n"/>
      <c r="I106" s="934" t="n"/>
      <c r="J106" s="386" t="inlineStr">
        <is>
          <t>Lottery Machine #2 (0.12%)</t>
        </is>
      </c>
      <c r="K106" s="669" t="n"/>
      <c r="L106" s="669" t="n"/>
      <c r="M106" s="669" t="n"/>
      <c r="N106" s="669" t="n"/>
      <c r="O106" s="669" t="n"/>
      <c r="P106" s="669" t="n"/>
      <c r="Q106" s="669" t="n"/>
      <c r="R106" s="669" t="n"/>
      <c r="S106" s="669" t="n"/>
      <c r="T106" s="669" t="n"/>
      <c r="U106" s="669" t="n"/>
      <c r="V106" s="669" t="n"/>
      <c r="W106" s="669" t="n"/>
      <c r="X106" s="669" t="n"/>
      <c r="Y106" s="669" t="n"/>
      <c r="Z106" s="669" t="n"/>
    </row>
    <row r="107">
      <c r="A107" s="357" t="n"/>
      <c r="B107" s="425" t="n"/>
      <c r="C107" s="934" t="n"/>
      <c r="D107" s="371" t="n"/>
      <c r="E107" s="371" t="n"/>
      <c r="F107" s="371" t="n"/>
      <c r="G107" s="425" t="n"/>
      <c r="H107" s="425" t="n"/>
      <c r="I107" s="371" t="n"/>
      <c r="J107" s="386" t="n"/>
      <c r="K107" s="669" t="n"/>
      <c r="L107" s="669" t="n"/>
      <c r="M107" s="669" t="n"/>
      <c r="N107" s="669" t="n"/>
      <c r="O107" s="669" t="n"/>
      <c r="P107" s="669" t="n"/>
      <c r="Q107" s="669" t="n"/>
      <c r="R107" s="669" t="n"/>
      <c r="S107" s="669" t="n"/>
      <c r="T107" s="669" t="n"/>
      <c r="U107" s="669" t="n"/>
      <c r="V107" s="669" t="n"/>
      <c r="W107" s="669" t="n"/>
      <c r="X107" s="669" t="n"/>
      <c r="Y107" s="669" t="n"/>
      <c r="Z107" s="669" t="n"/>
    </row>
    <row r="108">
      <c r="A108" s="357" t="inlineStr">
        <is>
          <t>Resonance: Orange</t>
        </is>
      </c>
      <c r="B108" s="425" t="n"/>
      <c r="C108" s="934" t="n"/>
      <c r="D108" s="371" t="n">
        <v>63</v>
      </c>
      <c r="E108" s="371" t="n"/>
      <c r="F108" s="371" t="n"/>
      <c r="G108" s="425" t="n"/>
      <c r="H108" s="425" t="n">
        <v>60</v>
      </c>
      <c r="I108" s="371">
        <f>(D108+E108)/H108</f>
        <v/>
      </c>
      <c r="J108" s="386" t="n"/>
      <c r="K108" s="669" t="n"/>
      <c r="L108" s="669" t="n"/>
      <c r="M108" s="669" t="n"/>
      <c r="N108" s="669" t="n"/>
      <c r="O108" s="669" t="n"/>
      <c r="P108" s="669" t="n"/>
      <c r="Q108" s="669" t="n"/>
      <c r="R108" s="669" t="n"/>
      <c r="S108" s="669" t="n"/>
      <c r="T108" s="669" t="n"/>
      <c r="U108" s="669" t="n"/>
      <c r="V108" s="669" t="n"/>
      <c r="W108" s="669" t="n"/>
      <c r="X108" s="669" t="n"/>
      <c r="Y108" s="669" t="n"/>
      <c r="Z108" s="669" t="n"/>
    </row>
    <row r="109">
      <c r="A109" s="357" t="inlineStr">
        <is>
          <t xml:space="preserve">  Buddha Finger Sarira</t>
        </is>
      </c>
      <c r="B109" s="425" t="inlineStr">
        <is>
          <t>SS</t>
        </is>
      </c>
      <c r="C109" s="425" t="inlineStr">
        <is>
          <t>FTH</t>
        </is>
      </c>
      <c r="D109" s="371" t="n"/>
      <c r="E109" s="371" t="n"/>
      <c r="F109" s="371" t="n"/>
      <c r="G109" s="425" t="n"/>
      <c r="H109" s="425" t="n"/>
      <c r="I109" s="425" t="n"/>
      <c r="J109" s="386" t="inlineStr">
        <is>
          <t>Fragment Crafting (3.3%), Lottery Machine #1 (0.18%), Wishing (0.12%), Bharata Treasure Maps (%), Grandmaster Scrolls (1.5%)</t>
        </is>
      </c>
      <c r="K109" s="669" t="n"/>
      <c r="L109" s="669" t="n"/>
      <c r="M109" s="669" t="n"/>
      <c r="N109" s="669" t="n"/>
      <c r="O109" s="669" t="n"/>
      <c r="P109" s="669" t="n"/>
      <c r="Q109" s="669" t="n"/>
      <c r="R109" s="669" t="n"/>
      <c r="S109" s="669" t="n"/>
      <c r="T109" s="669" t="n"/>
      <c r="U109" s="669" t="n"/>
      <c r="V109" s="669" t="n"/>
      <c r="W109" s="669" t="n"/>
      <c r="X109" s="669" t="n"/>
      <c r="Y109" s="669" t="n"/>
      <c r="Z109" s="669" t="n"/>
    </row>
    <row r="110">
      <c r="A110" s="357" t="inlineStr">
        <is>
          <t xml:space="preserve">  Buddha's Skull Sarira</t>
        </is>
      </c>
      <c r="B110" s="425" t="inlineStr">
        <is>
          <t>SS</t>
        </is>
      </c>
      <c r="C110" s="425" t="inlineStr">
        <is>
          <t>FTH</t>
        </is>
      </c>
      <c r="D110" s="371" t="n"/>
      <c r="E110" s="371" t="n"/>
      <c r="F110" s="371" t="n"/>
      <c r="G110" s="425" t="n"/>
      <c r="H110" s="425" t="n"/>
      <c r="I110" s="425" t="n"/>
      <c r="J110" s="386" t="inlineStr">
        <is>
          <t>Fragment Crafting (4.4%), Lottery Machine #1 (0.24%), Wishing (0.16%), Dragon Chest (5%), Master Scrolls(1.9%), Grandmaster Scrolls (2.1%), FTH Master Scrolls (9.2%)</t>
        </is>
      </c>
      <c r="K110" s="669" t="n"/>
      <c r="L110" s="669" t="n"/>
      <c r="M110" s="669" t="n"/>
      <c r="N110" s="669" t="n"/>
      <c r="O110" s="669" t="n"/>
      <c r="P110" s="669" t="n"/>
      <c r="Q110" s="669" t="n"/>
      <c r="R110" s="669" t="n"/>
      <c r="S110" s="669" t="n"/>
      <c r="T110" s="669" t="n"/>
      <c r="U110" s="669" t="n"/>
      <c r="V110" s="669" t="n"/>
      <c r="W110" s="669" t="n"/>
      <c r="X110" s="669" t="n"/>
      <c r="Y110" s="669" t="n"/>
      <c r="Z110" s="669" t="n"/>
    </row>
    <row r="111">
      <c r="A111" s="357" t="inlineStr">
        <is>
          <t>Resonance: Orange</t>
        </is>
      </c>
      <c r="B111" s="425" t="n"/>
      <c r="C111" s="934" t="n"/>
      <c r="D111" s="371" t="n">
        <v>63</v>
      </c>
      <c r="E111" s="371" t="n"/>
      <c r="F111" s="371" t="n"/>
      <c r="G111" s="425" t="n"/>
      <c r="H111" s="425" t="n">
        <v>60</v>
      </c>
      <c r="I111" s="371">
        <f>(D111+E111)/H111</f>
        <v/>
      </c>
      <c r="J111" s="386" t="n"/>
      <c r="K111" s="669" t="n"/>
      <c r="L111" s="669" t="n"/>
      <c r="M111" s="669" t="n"/>
      <c r="N111" s="669" t="n"/>
      <c r="O111" s="669" t="n"/>
      <c r="P111" s="669" t="n"/>
      <c r="Q111" s="669" t="n"/>
      <c r="R111" s="669" t="n"/>
      <c r="S111" s="669" t="n"/>
      <c r="T111" s="669" t="n"/>
      <c r="U111" s="669" t="n"/>
      <c r="V111" s="669" t="n"/>
      <c r="W111" s="669" t="n"/>
      <c r="X111" s="669" t="n"/>
      <c r="Y111" s="669" t="n"/>
      <c r="Z111" s="669" t="n"/>
    </row>
    <row r="112">
      <c r="A112" s="357" t="inlineStr">
        <is>
          <t xml:space="preserve">  Boltzmann Brain</t>
        </is>
      </c>
      <c r="B112" s="425" t="inlineStr">
        <is>
          <t>S</t>
        </is>
      </c>
      <c r="C112" s="425" t="inlineStr">
        <is>
          <t>TECH</t>
        </is>
      </c>
      <c r="D112" s="371" t="n"/>
      <c r="E112" s="371" t="n"/>
      <c r="F112" s="371" t="n"/>
      <c r="G112" s="425" t="n"/>
      <c r="H112" s="425" t="n"/>
      <c r="I112" s="425" t="n"/>
      <c r="J112" s="386" t="inlineStr">
        <is>
          <t>Fragment Crafting (17.8%), Lottery Machine #1 (0.81%), Wishing (0.65%), Master Scrolls (6.5%), TECH Master Scrolls (31.5%), Relic Forge (90 Relic RF)</t>
        </is>
      </c>
      <c r="K112" s="669" t="n"/>
      <c r="L112" s="669" t="n"/>
      <c r="M112" s="669" t="n"/>
      <c r="N112" s="669" t="n"/>
      <c r="O112" s="669" t="n"/>
      <c r="P112" s="669" t="n"/>
      <c r="Q112" s="669" t="n"/>
      <c r="R112" s="669" t="n"/>
      <c r="S112" s="669" t="n"/>
      <c r="T112" s="669" t="n"/>
      <c r="U112" s="669" t="n"/>
      <c r="V112" s="669" t="n"/>
      <c r="W112" s="669" t="n"/>
      <c r="X112" s="669" t="n"/>
      <c r="Y112" s="669" t="n"/>
      <c r="Z112" s="669" t="n"/>
    </row>
    <row r="113">
      <c r="A113" s="357" t="inlineStr">
        <is>
          <t xml:space="preserve">  Mind Controller</t>
        </is>
      </c>
      <c r="B113" s="425" t="inlineStr">
        <is>
          <t>SS</t>
        </is>
      </c>
      <c r="C113" s="425" t="inlineStr">
        <is>
          <t>TECH</t>
        </is>
      </c>
      <c r="D113" s="371" t="n"/>
      <c r="E113" s="371" t="n"/>
      <c r="F113" s="371" t="n"/>
      <c r="G113" s="425" t="n"/>
      <c r="H113" s="425" t="n"/>
      <c r="I113" s="425" t="n"/>
      <c r="J113" s="386" t="inlineStr">
        <is>
          <t>T7.5 Mutant Gene Research</t>
        </is>
      </c>
      <c r="K113" s="669" t="n"/>
      <c r="L113" s="669" t="n"/>
      <c r="M113" s="669" t="n"/>
      <c r="N113" s="669" t="n"/>
      <c r="O113" s="669" t="n"/>
      <c r="P113" s="669" t="n"/>
      <c r="Q113" s="669" t="n"/>
      <c r="R113" s="669" t="n"/>
      <c r="S113" s="669" t="n"/>
      <c r="T113" s="669" t="n"/>
      <c r="U113" s="669" t="n"/>
      <c r="V113" s="669" t="n"/>
      <c r="W113" s="669" t="n"/>
      <c r="X113" s="669" t="n"/>
      <c r="Y113" s="669" t="n"/>
      <c r="Z113" s="669" t="n"/>
    </row>
    <row r="114">
      <c r="A114" s="357" t="inlineStr">
        <is>
          <t>Resonance: Purple</t>
        </is>
      </c>
      <c r="B114" s="425" t="n"/>
      <c r="C114" s="934" t="n"/>
      <c r="D114" s="371" t="n">
        <v>24</v>
      </c>
      <c r="E114" s="371" t="n"/>
      <c r="F114" s="371" t="n"/>
      <c r="G114" s="425" t="n"/>
      <c r="H114" s="425" t="n">
        <v>30</v>
      </c>
      <c r="I114" s="371">
        <f>(D114+E114)/H114</f>
        <v/>
      </c>
      <c r="J114" s="386" t="n"/>
      <c r="K114" s="669" t="n"/>
      <c r="L114" s="669" t="n"/>
      <c r="M114" s="669" t="n"/>
      <c r="N114" s="669" t="n"/>
      <c r="O114" s="669" t="n"/>
      <c r="P114" s="669" t="n"/>
      <c r="Q114" s="669" t="n"/>
      <c r="R114" s="669" t="n"/>
      <c r="S114" s="669" t="n"/>
      <c r="T114" s="669" t="n"/>
      <c r="U114" s="669" t="n"/>
      <c r="V114" s="669" t="n"/>
      <c r="W114" s="669" t="n"/>
      <c r="X114" s="669" t="n"/>
      <c r="Y114" s="669" t="n"/>
      <c r="Z114" s="669" t="n"/>
    </row>
    <row r="115">
      <c r="A115" s="357" t="inlineStr">
        <is>
          <t xml:space="preserve">  Speech of MLK</t>
        </is>
      </c>
      <c r="B115" s="425" t="inlineStr">
        <is>
          <t>AAA</t>
        </is>
      </c>
      <c r="C115" s="425" t="inlineStr">
        <is>
          <t>FAME</t>
        </is>
      </c>
      <c r="D115" s="371" t="n"/>
      <c r="E115" s="371" t="n"/>
      <c r="F115" s="371" t="n"/>
      <c r="G115" s="425" t="n"/>
      <c r="H115" s="425" t="n"/>
      <c r="I115" s="425" t="n"/>
      <c r="J115" s="386" t="inlineStr">
        <is>
          <t>Fragment Crafting (1.6%), Lottery Machine #1 (0.03%), Wishing (0.14%), Relic Forge (80 Relic RF)</t>
        </is>
      </c>
      <c r="K115" s="669" t="n"/>
      <c r="L115" s="669" t="n"/>
      <c r="M115" s="669" t="n"/>
      <c r="N115" s="669" t="n"/>
      <c r="O115" s="669" t="n"/>
      <c r="P115" s="669" t="n"/>
      <c r="Q115" s="669" t="n"/>
      <c r="R115" s="669" t="n"/>
      <c r="S115" s="669" t="n"/>
      <c r="T115" s="669" t="n"/>
      <c r="U115" s="669" t="n"/>
      <c r="V115" s="669" t="n"/>
      <c r="W115" s="669" t="n"/>
      <c r="X115" s="669" t="n"/>
      <c r="Y115" s="669" t="n"/>
      <c r="Z115" s="669" t="n"/>
    </row>
    <row r="116">
      <c r="A116" s="357" t="inlineStr">
        <is>
          <t xml:space="preserve">  Platinum Record</t>
        </is>
      </c>
      <c r="B116" s="425" t="inlineStr">
        <is>
          <t>AA</t>
        </is>
      </c>
      <c r="C116" s="425" t="inlineStr">
        <is>
          <t>FAME</t>
        </is>
      </c>
      <c r="D116" s="371" t="n"/>
      <c r="E116" s="371" t="n"/>
      <c r="F116" s="371" t="n"/>
      <c r="G116" s="425" t="n"/>
      <c r="H116" s="425" t="n"/>
      <c r="I116" s="425" t="n"/>
      <c r="J116" s="386" t="inlineStr">
        <is>
          <t>Fragment Crafting (3.9%), Lottery Machine #1 (0.08%), Wishing (0.35%), Expert Scrolls (0.95%)</t>
        </is>
      </c>
      <c r="K116" s="669" t="n"/>
      <c r="L116" s="669" t="n"/>
      <c r="M116" s="669" t="n"/>
      <c r="N116" s="669" t="n"/>
      <c r="O116" s="669" t="n"/>
      <c r="P116" s="669" t="n"/>
      <c r="Q116" s="669" t="n"/>
      <c r="R116" s="669" t="n"/>
      <c r="S116" s="669" t="n"/>
      <c r="T116" s="669" t="n"/>
      <c r="U116" s="669" t="n"/>
      <c r="V116" s="669" t="n"/>
      <c r="W116" s="669" t="n"/>
      <c r="X116" s="669" t="n"/>
      <c r="Y116" s="669" t="n"/>
      <c r="Z116" s="669" t="n"/>
    </row>
    <row r="117">
      <c r="A117" s="357" t="inlineStr">
        <is>
          <t>Resonance: Purple</t>
        </is>
      </c>
      <c r="B117" s="425" t="n"/>
      <c r="C117" s="934" t="n"/>
      <c r="D117" s="371" t="n">
        <v>24</v>
      </c>
      <c r="E117" s="371" t="n"/>
      <c r="F117" s="371" t="n"/>
      <c r="G117" s="425" t="n"/>
      <c r="H117" s="425" t="n">
        <v>30</v>
      </c>
      <c r="I117" s="371">
        <f>(D117+E117)/H117</f>
        <v/>
      </c>
      <c r="J117" s="386" t="n"/>
      <c r="K117" s="669" t="n"/>
      <c r="L117" s="669" t="n"/>
      <c r="M117" s="669" t="n"/>
      <c r="N117" s="669" t="n"/>
      <c r="O117" s="669" t="n"/>
      <c r="P117" s="669" t="n"/>
      <c r="Q117" s="669" t="n"/>
      <c r="R117" s="669" t="n"/>
      <c r="S117" s="669" t="n"/>
      <c r="T117" s="669" t="n"/>
      <c r="U117" s="669" t="n"/>
      <c r="V117" s="669" t="n"/>
      <c r="W117" s="669" t="n"/>
      <c r="X117" s="669" t="n"/>
      <c r="Y117" s="669" t="n"/>
      <c r="Z117" s="669" t="n"/>
    </row>
    <row r="118">
      <c r="A118" s="357" t="inlineStr">
        <is>
          <t xml:space="preserve">  Haulers on Volga</t>
        </is>
      </c>
      <c r="B118" s="425" t="inlineStr">
        <is>
          <t>AAA</t>
        </is>
      </c>
      <c r="C118" s="425" t="inlineStr">
        <is>
          <t>ART</t>
        </is>
      </c>
      <c r="D118" s="371" t="n"/>
      <c r="E118" s="371" t="n"/>
      <c r="F118" s="371" t="n"/>
      <c r="G118" s="425" t="n"/>
      <c r="H118" s="425" t="n"/>
      <c r="I118" s="425" t="n"/>
      <c r="J118" s="386" t="inlineStr">
        <is>
          <t>Fragment Crafting (1.6%), Lottery Machine (0.03%), Wishing (0.14%), Relic Forge (Relic RF 80)</t>
        </is>
      </c>
      <c r="K118" s="669" t="n"/>
      <c r="L118" s="669" t="n"/>
      <c r="M118" s="669" t="n"/>
      <c r="N118" s="669" t="n"/>
      <c r="O118" s="669" t="n"/>
      <c r="P118" s="669" t="n"/>
      <c r="Q118" s="669" t="n"/>
      <c r="R118" s="669" t="n"/>
      <c r="S118" s="669" t="n"/>
      <c r="T118" s="669" t="n"/>
      <c r="U118" s="669" t="n"/>
      <c r="V118" s="669" t="n"/>
      <c r="W118" s="669" t="n"/>
      <c r="X118" s="669" t="n"/>
      <c r="Y118" s="669" t="n"/>
      <c r="Z118" s="669" t="n"/>
    </row>
    <row r="119">
      <c r="A119" s="357" t="inlineStr">
        <is>
          <t xml:space="preserve">  Peacock Suit</t>
        </is>
      </c>
      <c r="B119" s="425" t="inlineStr">
        <is>
          <t>AAA</t>
        </is>
      </c>
      <c r="C119" s="425" t="inlineStr">
        <is>
          <t>ART</t>
        </is>
      </c>
      <c r="D119" s="371" t="n"/>
      <c r="E119" s="371" t="n"/>
      <c r="F119" s="371" t="n"/>
      <c r="G119" s="425" t="n"/>
      <c r="H119" s="425" t="n"/>
      <c r="I119" s="425" t="n"/>
      <c r="J119" s="386" t="inlineStr">
        <is>
          <t>Fragment Crafting (1.6%), Lottery Machine (0.03%), Wishing (0.14%), Murikan Treasure Maps (10%), Relic Forge (80 Relic RF)</t>
        </is>
      </c>
      <c r="K119" s="669" t="n"/>
      <c r="L119" s="669" t="n"/>
      <c r="M119" s="669" t="n"/>
      <c r="N119" s="669" t="n"/>
      <c r="O119" s="669" t="n"/>
      <c r="P119" s="669" t="n"/>
      <c r="Q119" s="669" t="n"/>
      <c r="R119" s="669" t="n"/>
      <c r="S119" s="669" t="n"/>
      <c r="T119" s="669" t="n"/>
      <c r="U119" s="669" t="n"/>
      <c r="V119" s="669" t="n"/>
      <c r="W119" s="669" t="n"/>
      <c r="X119" s="669" t="n"/>
      <c r="Y119" s="669" t="n"/>
      <c r="Z119" s="669" t="n"/>
    </row>
    <row r="120">
      <c r="A120" s="357" t="inlineStr">
        <is>
          <t>Resonance: Blue</t>
        </is>
      </c>
      <c r="B120" s="425" t="n"/>
      <c r="C120" s="934" t="n"/>
      <c r="D120" s="371" t="n">
        <v>8</v>
      </c>
      <c r="E120" s="371" t="n"/>
      <c r="F120" s="371" t="n"/>
      <c r="G120" s="425" t="n"/>
      <c r="H120" s="425" t="n">
        <v>10</v>
      </c>
      <c r="I120" s="371">
        <f>(D120+E120)/H120</f>
        <v/>
      </c>
      <c r="J120" s="386" t="n"/>
      <c r="K120" s="669" t="n"/>
      <c r="L120" s="669" t="n"/>
      <c r="M120" s="669" t="n"/>
      <c r="N120" s="669" t="n"/>
      <c r="O120" s="669" t="n"/>
      <c r="P120" s="669" t="n"/>
      <c r="Q120" s="669" t="n"/>
      <c r="R120" s="669" t="n"/>
      <c r="S120" s="669" t="n"/>
      <c r="T120" s="669" t="n"/>
      <c r="U120" s="669" t="n"/>
      <c r="V120" s="669" t="n"/>
      <c r="W120" s="669" t="n"/>
      <c r="X120" s="669" t="n"/>
      <c r="Y120" s="669" t="n"/>
      <c r="Z120" s="669" t="n"/>
    </row>
    <row r="121">
      <c r="A121" s="357" t="inlineStr">
        <is>
          <t xml:space="preserve">  Tangram</t>
        </is>
      </c>
      <c r="B121" s="425" t="inlineStr">
        <is>
          <t>Blue</t>
        </is>
      </c>
      <c r="C121" s="425" t="inlineStr">
        <is>
          <t>FAME</t>
        </is>
      </c>
      <c r="D121" s="371" t="n"/>
      <c r="E121" s="371" t="n"/>
      <c r="F121" s="371" t="n"/>
      <c r="G121" s="425" t="n"/>
      <c r="H121" s="425" t="n"/>
      <c r="I121" s="425" t="n"/>
      <c r="J121" s="386" t="inlineStr">
        <is>
          <t>Lottery Machine #2 (0.03%)</t>
        </is>
      </c>
      <c r="K121" s="669" t="n"/>
      <c r="L121" s="669" t="n"/>
      <c r="M121" s="669" t="n"/>
      <c r="N121" s="669" t="n"/>
      <c r="O121" s="669" t="n"/>
      <c r="P121" s="669" t="n"/>
      <c r="Q121" s="669" t="n"/>
      <c r="R121" s="669" t="n"/>
      <c r="S121" s="669" t="n"/>
      <c r="T121" s="669" t="n"/>
      <c r="U121" s="669" t="n"/>
      <c r="V121" s="669" t="n"/>
      <c r="W121" s="669" t="n"/>
      <c r="X121" s="669" t="n"/>
      <c r="Y121" s="669" t="n"/>
      <c r="Z121" s="669" t="n"/>
    </row>
    <row r="122">
      <c r="A122" s="357" t="inlineStr">
        <is>
          <t xml:space="preserve">  Basse Yutz Flagons</t>
        </is>
      </c>
      <c r="B122" s="425" t="inlineStr">
        <is>
          <t>Blue</t>
        </is>
      </c>
      <c r="C122" s="425" t="inlineStr">
        <is>
          <t>CIV</t>
        </is>
      </c>
      <c r="D122" s="371" t="n"/>
      <c r="E122" s="371" t="n"/>
      <c r="F122" s="371" t="n"/>
      <c r="G122" s="425" t="n"/>
      <c r="H122" s="425" t="n"/>
      <c r="I122" s="425" t="n"/>
      <c r="J122" s="386" t="inlineStr">
        <is>
          <t>Lottery Machine #2 (0.03%)</t>
        </is>
      </c>
      <c r="K122" s="669" t="n"/>
      <c r="L122" s="669" t="n"/>
      <c r="M122" s="669" t="n"/>
      <c r="N122" s="669" t="n"/>
      <c r="O122" s="669" t="n"/>
      <c r="P122" s="669" t="n"/>
      <c r="Q122" s="669" t="n"/>
      <c r="R122" s="669" t="n"/>
      <c r="S122" s="669" t="n"/>
      <c r="T122" s="669" t="n"/>
      <c r="U122" s="669" t="n"/>
      <c r="V122" s="669" t="n"/>
      <c r="W122" s="669" t="n"/>
      <c r="X122" s="669" t="n"/>
      <c r="Y122" s="669" t="n"/>
      <c r="Z122" s="669" t="n"/>
    </row>
    <row r="123">
      <c r="A123" s="357" t="inlineStr">
        <is>
          <t xml:space="preserve">  Ganesha Statue</t>
        </is>
      </c>
      <c r="B123" s="425" t="inlineStr">
        <is>
          <t>Blue</t>
        </is>
      </c>
      <c r="C123" s="425" t="inlineStr">
        <is>
          <t>FTH</t>
        </is>
      </c>
      <c r="D123" s="371" t="n"/>
      <c r="E123" s="371" t="n"/>
      <c r="F123" s="371" t="n"/>
      <c r="G123" s="425" t="n"/>
      <c r="H123" s="425" t="n"/>
      <c r="I123" s="425" t="n"/>
      <c r="J123" s="386" t="inlineStr">
        <is>
          <t>Lottery Machine #2 (0.07%)</t>
        </is>
      </c>
      <c r="K123" s="669" t="n"/>
      <c r="L123" s="669" t="n"/>
      <c r="M123" s="669" t="n"/>
      <c r="N123" s="669" t="n"/>
      <c r="O123" s="669" t="n"/>
      <c r="P123" s="669" t="n"/>
      <c r="Q123" s="669" t="n"/>
      <c r="R123" s="669" t="n"/>
      <c r="S123" s="669" t="n"/>
      <c r="T123" s="669" t="n"/>
      <c r="U123" s="669" t="n"/>
      <c r="V123" s="669" t="n"/>
      <c r="W123" s="669" t="n"/>
      <c r="X123" s="669" t="n"/>
      <c r="Y123" s="669" t="n"/>
      <c r="Z123" s="669" t="n"/>
    </row>
    <row r="124">
      <c r="A124" s="357" t="inlineStr">
        <is>
          <t xml:space="preserve">  Woman in Blue</t>
        </is>
      </c>
      <c r="B124" s="425" t="inlineStr">
        <is>
          <t>Blue</t>
        </is>
      </c>
      <c r="C124" s="425" t="inlineStr">
        <is>
          <t>ART</t>
        </is>
      </c>
      <c r="D124" s="371" t="n"/>
      <c r="E124" s="371" t="n"/>
      <c r="F124" s="371" t="n"/>
      <c r="G124" s="425" t="n"/>
      <c r="H124" s="425" t="n"/>
      <c r="I124" s="425" t="n"/>
      <c r="J124" s="386" t="inlineStr">
        <is>
          <t>Lottery Machine #2 (0.26%)</t>
        </is>
      </c>
      <c r="K124" s="669" t="n"/>
      <c r="L124" s="669" t="n"/>
      <c r="M124" s="669" t="n"/>
      <c r="N124" s="669" t="n"/>
      <c r="O124" s="669" t="n"/>
      <c r="P124" s="669" t="n"/>
      <c r="Q124" s="669" t="n"/>
      <c r="R124" s="669" t="n"/>
      <c r="S124" s="669" t="n"/>
      <c r="T124" s="669" t="n"/>
      <c r="U124" s="669" t="n"/>
      <c r="V124" s="669" t="n"/>
      <c r="W124" s="669" t="n"/>
      <c r="X124" s="669" t="n"/>
      <c r="Y124" s="669" t="n"/>
      <c r="Z124" s="669" t="n"/>
    </row>
    <row r="125">
      <c r="A125" s="357" t="inlineStr">
        <is>
          <t xml:space="preserve">  Lissajous Figure</t>
        </is>
      </c>
      <c r="B125" s="425" t="inlineStr">
        <is>
          <t>Blue</t>
        </is>
      </c>
      <c r="C125" s="425" t="inlineStr">
        <is>
          <t>TECH</t>
        </is>
      </c>
      <c r="D125" s="371" t="n"/>
      <c r="E125" s="371" t="n"/>
      <c r="F125" s="371" t="n"/>
      <c r="G125" s="425" t="n"/>
      <c r="H125" s="425" t="n"/>
      <c r="I125" s="425" t="n"/>
      <c r="J125" s="386" t="inlineStr">
        <is>
          <t>Lottery Machine #2 (0.03%)</t>
        </is>
      </c>
      <c r="K125" s="669" t="n"/>
      <c r="L125" s="669" t="n"/>
      <c r="M125" s="669" t="n"/>
      <c r="N125" s="669" t="n"/>
      <c r="O125" s="669" t="n"/>
      <c r="P125" s="669" t="n"/>
      <c r="Q125" s="669" t="n"/>
      <c r="R125" s="669" t="n"/>
      <c r="S125" s="669" t="n"/>
      <c r="T125" s="669" t="n"/>
      <c r="U125" s="669" t="n"/>
      <c r="V125" s="669" t="n"/>
      <c r="W125" s="669" t="n"/>
      <c r="X125" s="669" t="n"/>
      <c r="Y125" s="669" t="n"/>
      <c r="Z125" s="669" t="n"/>
    </row>
    <row r="126">
      <c r="A126" s="357" t="inlineStr">
        <is>
          <t>Resonance: Orange</t>
        </is>
      </c>
      <c r="B126" s="425" t="n"/>
      <c r="C126" s="425" t="n"/>
      <c r="D126" s="371" t="n"/>
      <c r="E126" s="425" t="n"/>
      <c r="F126" s="371" t="n">
        <v>1.8</v>
      </c>
      <c r="G126" s="425" t="n"/>
      <c r="H126" s="371" t="n"/>
      <c r="I126" s="425" t="n"/>
      <c r="J126" s="386" t="n"/>
      <c r="K126" s="669" t="n"/>
      <c r="L126" s="669" t="n"/>
      <c r="M126" s="669" t="n"/>
      <c r="N126" s="669" t="n"/>
      <c r="O126" s="669" t="n"/>
      <c r="P126" s="669" t="n"/>
      <c r="Q126" s="669" t="n"/>
      <c r="R126" s="669" t="n"/>
      <c r="S126" s="669" t="n"/>
      <c r="T126" s="669" t="n"/>
      <c r="U126" s="669" t="n"/>
      <c r="V126" s="669" t="n"/>
      <c r="W126" s="669" t="n"/>
      <c r="X126" s="669" t="n"/>
      <c r="Y126" s="669" t="n"/>
      <c r="Z126" s="669" t="n"/>
    </row>
    <row r="127">
      <c r="A127" s="357" t="inlineStr">
        <is>
          <t xml:space="preserve">  SC Energy Storage Unit</t>
        </is>
      </c>
      <c r="B127" s="425" t="inlineStr">
        <is>
          <t>SS</t>
        </is>
      </c>
      <c r="C127" s="425" t="inlineStr">
        <is>
          <t>TECH</t>
        </is>
      </c>
      <c r="D127" s="371" t="n"/>
      <c r="E127" s="425" t="n"/>
      <c r="F127" s="371" t="n"/>
      <c r="G127" s="425" t="n"/>
      <c r="H127" s="371" t="n"/>
      <c r="I127" s="425" t="n"/>
      <c r="J127" s="386" t="inlineStr">
        <is>
          <t>Lottery Machine #2 (0.47%)</t>
        </is>
      </c>
      <c r="K127" s="669" t="n"/>
      <c r="L127" s="669" t="n"/>
      <c r="M127" s="669" t="n"/>
      <c r="N127" s="669" t="n"/>
      <c r="O127" s="669" t="n"/>
      <c r="P127" s="669" t="n"/>
      <c r="Q127" s="669" t="n"/>
      <c r="R127" s="669" t="n"/>
      <c r="S127" s="669" t="n"/>
      <c r="T127" s="669" t="n"/>
      <c r="U127" s="669" t="n"/>
      <c r="V127" s="669" t="n"/>
      <c r="W127" s="669" t="n"/>
      <c r="X127" s="669" t="n"/>
      <c r="Y127" s="669" t="n"/>
      <c r="Z127" s="669" t="n"/>
    </row>
    <row r="128">
      <c r="A128" s="357" t="inlineStr">
        <is>
          <t xml:space="preserve">  Chang'e and Laurel</t>
        </is>
      </c>
      <c r="B128" s="425" t="inlineStr">
        <is>
          <t>SSS</t>
        </is>
      </c>
      <c r="C128" s="425" t="inlineStr">
        <is>
          <t>ART</t>
        </is>
      </c>
      <c r="D128" s="371" t="n"/>
      <c r="E128" s="425" t="n"/>
      <c r="F128" s="371" t="n"/>
      <c r="G128" s="425" t="n"/>
      <c r="H128" s="371" t="n"/>
      <c r="I128" s="425" t="n"/>
      <c r="J128" s="386" t="inlineStr">
        <is>
          <t>Lottery Machine #2 (0.11%)</t>
        </is>
      </c>
      <c r="K128" s="669" t="n"/>
      <c r="L128" s="669" t="n"/>
      <c r="M128" s="669" t="n"/>
      <c r="N128" s="669" t="n"/>
      <c r="O128" s="669" t="n"/>
      <c r="P128" s="669" t="n"/>
      <c r="Q128" s="669" t="n"/>
      <c r="R128" s="669" t="n"/>
      <c r="S128" s="669" t="n"/>
      <c r="T128" s="669" t="n"/>
      <c r="U128" s="669" t="n"/>
      <c r="V128" s="669" t="n"/>
      <c r="W128" s="669" t="n"/>
      <c r="X128" s="669" t="n"/>
      <c r="Y128" s="669" t="n"/>
      <c r="Z128" s="669" t="n"/>
    </row>
    <row r="129">
      <c r="A129" s="357" t="inlineStr">
        <is>
          <t xml:space="preserve">  Mysterious Relic</t>
        </is>
      </c>
      <c r="B129" s="425" t="inlineStr">
        <is>
          <t>SSS</t>
        </is>
      </c>
      <c r="C129" s="425" t="n"/>
      <c r="D129" s="371" t="n"/>
      <c r="E129" s="425" t="n"/>
      <c r="F129" s="371" t="n"/>
      <c r="G129" s="425" t="n"/>
      <c r="H129" s="371" t="n"/>
      <c r="I129" s="425" t="n"/>
      <c r="J129" s="386" t="inlineStr">
        <is>
          <t>Unknown</t>
        </is>
      </c>
      <c r="K129" s="669" t="n"/>
      <c r="L129" s="669" t="n"/>
      <c r="M129" s="669" t="n"/>
      <c r="N129" s="669" t="n"/>
      <c r="O129" s="669" t="n"/>
      <c r="P129" s="669" t="n"/>
      <c r="Q129" s="669" t="n"/>
      <c r="R129" s="669" t="n"/>
      <c r="S129" s="669" t="n"/>
      <c r="T129" s="669" t="n"/>
      <c r="U129" s="669" t="n"/>
      <c r="V129" s="669" t="n"/>
      <c r="W129" s="669" t="n"/>
      <c r="X129" s="669" t="n"/>
      <c r="Y129" s="669" t="n"/>
      <c r="Z129" s="669" t="n"/>
    </row>
    <row r="130">
      <c r="A130" s="357" t="inlineStr">
        <is>
          <t xml:space="preserve">  Narmer Palette</t>
        </is>
      </c>
      <c r="B130" s="425" t="inlineStr">
        <is>
          <t>SSS</t>
        </is>
      </c>
      <c r="C130" s="425" t="inlineStr">
        <is>
          <t>CIV</t>
        </is>
      </c>
      <c r="D130" s="371" t="n"/>
      <c r="E130" s="425" t="n"/>
      <c r="F130" s="371" t="n"/>
      <c r="G130" s="425" t="n"/>
      <c r="H130" s="371" t="n"/>
      <c r="I130" s="425" t="n"/>
      <c r="J130" s="386" t="inlineStr">
        <is>
          <t>Traveler's Pack Relic #3</t>
        </is>
      </c>
      <c r="K130" s="669" t="n"/>
      <c r="L130" s="669" t="n"/>
      <c r="M130" s="669" t="n"/>
      <c r="N130" s="669" t="n"/>
      <c r="O130" s="669" t="n"/>
      <c r="P130" s="669" t="n"/>
      <c r="Q130" s="669" t="n"/>
      <c r="R130" s="669" t="n"/>
      <c r="S130" s="669" t="n"/>
      <c r="T130" s="669" t="n"/>
      <c r="U130" s="669" t="n"/>
      <c r="V130" s="669" t="n"/>
      <c r="W130" s="669" t="n"/>
      <c r="X130" s="669" t="n"/>
      <c r="Y130" s="669" t="n"/>
      <c r="Z130" s="669" t="n"/>
    </row>
    <row r="131">
      <c r="A131" s="272" t="inlineStr">
        <is>
          <t>TOTAL RUSH</t>
        </is>
      </c>
      <c r="B131" s="214" t="n"/>
      <c r="C131" s="214" t="n"/>
      <c r="D131" s="215" t="n"/>
      <c r="E131" s="214" t="n"/>
      <c r="F131" s="215">
        <f>sum(F95:G130)</f>
        <v/>
      </c>
      <c r="G131" s="214" t="n"/>
      <c r="H131" s="214" t="n"/>
      <c r="I131" s="215">
        <f>sum(I95:I130)</f>
        <v/>
      </c>
      <c r="J131" s="216" t="n"/>
      <c r="K131" s="669" t="n"/>
      <c r="L131" s="669" t="n"/>
      <c r="M131" s="669" t="n"/>
      <c r="N131" s="669" t="n"/>
      <c r="O131" s="669" t="n"/>
      <c r="P131" s="669" t="n"/>
      <c r="Q131" s="669" t="n"/>
      <c r="R131" s="669" t="n"/>
      <c r="S131" s="669" t="n"/>
      <c r="T131" s="669" t="n"/>
      <c r="U131" s="669" t="n"/>
      <c r="V131" s="669" t="n"/>
      <c r="W131" s="669" t="n"/>
      <c r="X131" s="669" t="n"/>
      <c r="Y131" s="669" t="n"/>
      <c r="Z131" s="669" t="n"/>
    </row>
    <row r="132">
      <c r="A132" s="1091" t="n"/>
      <c r="B132" s="669" t="n"/>
      <c r="C132" s="669" t="n"/>
      <c r="D132" s="669" t="n"/>
      <c r="E132" s="669" t="n"/>
      <c r="F132" s="669" t="n"/>
      <c r="G132" s="669" t="n"/>
      <c r="H132" s="669" t="n"/>
      <c r="I132" s="669" t="n"/>
      <c r="J132" s="1095" t="n"/>
      <c r="K132" s="669" t="n"/>
      <c r="L132" s="669" t="n"/>
      <c r="M132" s="669" t="n"/>
      <c r="N132" s="669" t="n"/>
      <c r="O132" s="669" t="n"/>
      <c r="P132" s="669" t="n"/>
      <c r="Q132" s="669" t="n"/>
      <c r="R132" s="669" t="n"/>
      <c r="S132" s="669" t="n"/>
      <c r="T132" s="669" t="n"/>
      <c r="U132" s="669" t="n"/>
      <c r="V132" s="669" t="n"/>
      <c r="W132" s="669" t="n"/>
      <c r="X132" s="669" t="n"/>
      <c r="Y132" s="669" t="n"/>
      <c r="Z132" s="669" t="n"/>
    </row>
    <row r="133">
      <c r="A133" s="1091" t="n"/>
      <c r="B133" s="669" t="n"/>
      <c r="C133" s="669" t="n"/>
      <c r="D133" s="669" t="n"/>
      <c r="E133" s="669" t="n"/>
      <c r="F133" s="669" t="n"/>
      <c r="G133" s="669" t="n"/>
      <c r="H133" s="669" t="n"/>
      <c r="I133" s="669" t="n"/>
      <c r="J133" s="1095" t="n"/>
      <c r="K133" s="669" t="n"/>
      <c r="L133" s="669" t="n"/>
      <c r="M133" s="669" t="n"/>
      <c r="N133" s="669" t="n"/>
      <c r="O133" s="669" t="n"/>
      <c r="P133" s="669" t="n"/>
      <c r="Q133" s="669" t="n"/>
      <c r="R133" s="669" t="n"/>
      <c r="S133" s="669" t="n"/>
      <c r="T133" s="669" t="n"/>
      <c r="U133" s="669" t="n"/>
      <c r="V133" s="669" t="n"/>
      <c r="W133" s="669" t="n"/>
      <c r="X133" s="669" t="n"/>
      <c r="Y133" s="669" t="n"/>
      <c r="Z133" s="669" t="n"/>
    </row>
    <row r="134">
      <c r="A134" s="212" t="inlineStr">
        <is>
          <t>DEF</t>
        </is>
      </c>
      <c r="B134" s="406" t="inlineStr">
        <is>
          <t>Rarity</t>
        </is>
      </c>
      <c r="C134" s="406" t="inlineStr">
        <is>
          <t>Type</t>
        </is>
      </c>
      <c r="D134" s="406" t="inlineStr">
        <is>
          <t>Base</t>
        </is>
      </c>
      <c r="E134" s="406" t="inlineStr">
        <is>
          <t>Awakening Base</t>
        </is>
      </c>
      <c r="F134" s="406" t="inlineStr">
        <is>
          <t>Percentage</t>
        </is>
      </c>
      <c r="G134" s="406" t="inlineStr">
        <is>
          <t>Awakening Percentage</t>
        </is>
      </c>
      <c r="H134" s="406" t="inlineStr">
        <is>
          <t>Per Minion</t>
        </is>
      </c>
      <c r="I134" s="406" t="inlineStr">
        <is>
          <t>Per Minion Boost</t>
        </is>
      </c>
      <c r="J134" s="129" t="inlineStr">
        <is>
          <t>Source</t>
        </is>
      </c>
      <c r="K134" s="669" t="n"/>
      <c r="L134" s="669" t="n"/>
      <c r="M134" s="669" t="n"/>
      <c r="N134" s="669" t="n"/>
      <c r="O134" s="669" t="n"/>
      <c r="P134" s="669" t="n"/>
      <c r="Q134" s="669" t="n"/>
      <c r="R134" s="669" t="n"/>
      <c r="S134" s="669" t="n"/>
      <c r="T134" s="669" t="n"/>
      <c r="U134" s="669" t="n"/>
      <c r="V134" s="669" t="n"/>
      <c r="W134" s="669" t="n"/>
      <c r="X134" s="669" t="n"/>
      <c r="Y134" s="669" t="n"/>
      <c r="Z134" s="669" t="n"/>
    </row>
    <row r="135">
      <c r="A135" s="246" t="inlineStr">
        <is>
          <t>Draupnir</t>
        </is>
      </c>
      <c r="B135" s="1037" t="inlineStr">
        <is>
          <t>SSS</t>
        </is>
      </c>
      <c r="C135" s="1037" t="inlineStr">
        <is>
          <t>FTH</t>
        </is>
      </c>
      <c r="D135" s="209" t="n">
        <v>120</v>
      </c>
      <c r="E135" s="209" t="n">
        <v>100</v>
      </c>
      <c r="F135" s="209" t="n"/>
      <c r="G135" s="209" t="n"/>
      <c r="H135" s="209" t="n">
        <v>60</v>
      </c>
      <c r="I135" s="187">
        <f>(D135+E135)/H135</f>
        <v/>
      </c>
      <c r="J135" s="390" t="inlineStr">
        <is>
          <t>Daily Pack Relic #42</t>
        </is>
      </c>
      <c r="K135" s="669" t="n"/>
      <c r="L135" s="669" t="n"/>
      <c r="M135" s="669" t="n"/>
      <c r="N135" s="669" t="n"/>
      <c r="O135" s="669" t="n"/>
      <c r="P135" s="669" t="n"/>
      <c r="Q135" s="669" t="n"/>
      <c r="R135" s="669" t="n"/>
      <c r="S135" s="669" t="n"/>
      <c r="T135" s="669" t="n"/>
      <c r="U135" s="669" t="n"/>
      <c r="V135" s="669" t="n"/>
      <c r="W135" s="669" t="n"/>
      <c r="X135" s="669" t="n"/>
      <c r="Y135" s="669" t="n"/>
      <c r="Z135" s="669" t="n"/>
    </row>
    <row r="136">
      <c r="A136" s="246" t="inlineStr">
        <is>
          <t>Capricorn</t>
        </is>
      </c>
      <c r="B136" s="1037" t="inlineStr">
        <is>
          <t>SSS</t>
        </is>
      </c>
      <c r="C136" s="1037" t="inlineStr">
        <is>
          <t>TECH</t>
        </is>
      </c>
      <c r="D136" s="209" t="n">
        <v>160</v>
      </c>
      <c r="E136" s="209" t="n"/>
      <c r="F136" s="209" t="n"/>
      <c r="G136" s="209" t="n"/>
      <c r="H136" s="209" t="n">
        <v>100</v>
      </c>
      <c r="I136" s="371">
        <f>(D136+E136)/H136</f>
        <v/>
      </c>
      <c r="J136" s="386" t="inlineStr">
        <is>
          <t>Supreme Relic #18</t>
        </is>
      </c>
      <c r="K136" s="669" t="n"/>
      <c r="L136" s="669" t="n"/>
      <c r="M136" s="669" t="n"/>
      <c r="N136" s="669" t="n"/>
      <c r="O136" s="669" t="n"/>
      <c r="P136" s="669" t="n"/>
      <c r="Q136" s="669" t="n"/>
      <c r="R136" s="669" t="n"/>
      <c r="S136" s="669" t="n"/>
      <c r="T136" s="669" t="n"/>
      <c r="U136" s="669" t="n"/>
      <c r="V136" s="669" t="n"/>
      <c r="W136" s="669" t="n"/>
      <c r="X136" s="669" t="n"/>
      <c r="Y136" s="669" t="n"/>
      <c r="Z136" s="669" t="n"/>
    </row>
    <row r="137">
      <c r="A137" s="246" t="inlineStr">
        <is>
          <t>Virgo</t>
        </is>
      </c>
      <c r="B137" s="1037" t="inlineStr">
        <is>
          <t>SSS</t>
        </is>
      </c>
      <c r="C137" s="1037" t="inlineStr">
        <is>
          <t>FTH</t>
        </is>
      </c>
      <c r="D137" s="209" t="n">
        <v>160</v>
      </c>
      <c r="E137" s="209" t="n"/>
      <c r="F137" s="209" t="n"/>
      <c r="G137" s="209" t="n"/>
      <c r="H137" s="209" t="n">
        <v>100</v>
      </c>
      <c r="I137" s="371">
        <f>(D137+E137)/H137</f>
        <v/>
      </c>
      <c r="J137" s="386" t="inlineStr">
        <is>
          <t>Supreme Relic #14</t>
        </is>
      </c>
      <c r="K137" s="669" t="n"/>
      <c r="L137" s="669" t="n"/>
      <c r="M137" s="669" t="n"/>
      <c r="N137" s="669" t="n"/>
      <c r="O137" s="669" t="n"/>
      <c r="P137" s="669" t="n"/>
      <c r="Q137" s="669" t="n"/>
      <c r="R137" s="669" t="n"/>
      <c r="S137" s="669" t="n"/>
      <c r="T137" s="669" t="n"/>
      <c r="U137" s="669" t="n"/>
      <c r="V137" s="669" t="n"/>
      <c r="W137" s="669" t="n"/>
      <c r="X137" s="669" t="n"/>
      <c r="Y137" s="669" t="n"/>
      <c r="Z137" s="669" t="n"/>
    </row>
    <row r="138">
      <c r="A138" s="246" t="inlineStr">
        <is>
          <t>Taurus</t>
        </is>
      </c>
      <c r="B138" s="425" t="inlineStr">
        <is>
          <t>SSS</t>
        </is>
      </c>
      <c r="C138" s="425" t="inlineStr">
        <is>
          <t>ART</t>
        </is>
      </c>
      <c r="D138" s="210" t="n">
        <v>160</v>
      </c>
      <c r="E138" s="209" t="n"/>
      <c r="F138" s="210" t="n"/>
      <c r="G138" s="209" t="n"/>
      <c r="H138" s="209" t="n">
        <v>100</v>
      </c>
      <c r="I138" s="371">
        <f>(D138+E138)/H138</f>
        <v/>
      </c>
      <c r="J138" s="256" t="inlineStr">
        <is>
          <t>Supreme Relic #10</t>
        </is>
      </c>
      <c r="K138" s="669" t="n"/>
      <c r="L138" s="669" t="n"/>
      <c r="M138" s="669" t="n"/>
      <c r="N138" s="669" t="n"/>
      <c r="O138" s="669" t="n"/>
      <c r="P138" s="669" t="n"/>
      <c r="Q138" s="669" t="n"/>
      <c r="R138" s="669" t="n"/>
      <c r="S138" s="669" t="n"/>
      <c r="T138" s="669" t="n"/>
      <c r="U138" s="669" t="n"/>
      <c r="V138" s="669" t="n"/>
      <c r="W138" s="669" t="n"/>
      <c r="X138" s="669" t="n"/>
      <c r="Y138" s="669" t="n"/>
      <c r="Z138" s="669" t="n"/>
    </row>
    <row r="139">
      <c r="A139" s="246" t="inlineStr">
        <is>
          <t>Maya Mural</t>
        </is>
      </c>
      <c r="B139" s="425" t="inlineStr">
        <is>
          <t>SSS</t>
        </is>
      </c>
      <c r="C139" s="425" t="inlineStr">
        <is>
          <t>CIV</t>
        </is>
      </c>
      <c r="D139" s="210" t="n">
        <v>90</v>
      </c>
      <c r="E139" s="209" t="n"/>
      <c r="F139" s="210" t="n"/>
      <c r="G139" s="209" t="n"/>
      <c r="H139" s="210" t="n">
        <v>60</v>
      </c>
      <c r="I139" s="371">
        <f>(D139+E139)/H139</f>
        <v/>
      </c>
      <c r="J139" s="256" t="inlineStr">
        <is>
          <t>Star Chart Shop</t>
        </is>
      </c>
      <c r="K139" s="669" t="n"/>
      <c r="L139" s="669" t="n"/>
      <c r="M139" s="669" t="n"/>
      <c r="N139" s="669" t="n"/>
      <c r="O139" s="669" t="n"/>
      <c r="P139" s="669" t="n"/>
      <c r="Q139" s="669" t="n"/>
      <c r="R139" s="669" t="n"/>
      <c r="S139" s="669" t="n"/>
      <c r="T139" s="669" t="n"/>
      <c r="U139" s="669" t="n"/>
      <c r="V139" s="669" t="n"/>
      <c r="W139" s="669" t="n"/>
      <c r="X139" s="669" t="n"/>
      <c r="Y139" s="669" t="n"/>
      <c r="Z139" s="669" t="n"/>
    </row>
    <row r="140">
      <c r="A140" s="246" t="inlineStr">
        <is>
          <t>Last Self Portrait</t>
        </is>
      </c>
      <c r="B140" s="1037" t="inlineStr">
        <is>
          <t>SSS</t>
        </is>
      </c>
      <c r="C140" s="1037" t="inlineStr">
        <is>
          <t>ART</t>
        </is>
      </c>
      <c r="D140" s="209" t="n">
        <v>90</v>
      </c>
      <c r="E140" s="209" t="n"/>
      <c r="F140" s="209" t="n"/>
      <c r="G140" s="209" t="n"/>
      <c r="H140" s="209" t="n">
        <v>60</v>
      </c>
      <c r="I140" s="371">
        <f>(D140+E140)/H140</f>
        <v/>
      </c>
      <c r="J140" s="386" t="inlineStr">
        <is>
          <t>Daily Pack Relic #15</t>
        </is>
      </c>
      <c r="K140" s="669" t="n"/>
      <c r="L140" s="669" t="n"/>
      <c r="M140" s="669" t="n"/>
      <c r="N140" s="669" t="n"/>
      <c r="O140" s="669" t="n"/>
      <c r="P140" s="669" t="n"/>
      <c r="Q140" s="669" t="n"/>
      <c r="R140" s="669" t="n"/>
      <c r="S140" s="669" t="n"/>
      <c r="T140" s="669" t="n"/>
      <c r="U140" s="669" t="n"/>
      <c r="V140" s="669" t="n"/>
      <c r="W140" s="669" t="n"/>
      <c r="X140" s="669" t="n"/>
      <c r="Y140" s="669" t="n"/>
      <c r="Z140" s="669" t="n"/>
    </row>
    <row r="141">
      <c r="A141" s="507" t="inlineStr">
        <is>
          <t>Modern Times</t>
        </is>
      </c>
      <c r="B141" s="1037" t="inlineStr">
        <is>
          <t>SSS</t>
        </is>
      </c>
      <c r="C141" s="1037" t="inlineStr">
        <is>
          <t>FAME</t>
        </is>
      </c>
      <c r="D141" s="934" t="n">
        <v>90</v>
      </c>
      <c r="E141" s="934" t="n"/>
      <c r="F141" s="934" t="n"/>
      <c r="G141" s="934" t="n"/>
      <c r="H141" s="934" t="n">
        <v>60</v>
      </c>
      <c r="I141" s="371">
        <f>(D141+E141)/H141</f>
        <v/>
      </c>
      <c r="J141" s="386" t="inlineStr">
        <is>
          <t>Badge Shop</t>
        </is>
      </c>
      <c r="K141" s="669" t="n"/>
      <c r="L141" s="669" t="n"/>
      <c r="M141" s="669" t="n"/>
      <c r="N141" s="669" t="n"/>
      <c r="O141" s="669" t="n"/>
      <c r="P141" s="669" t="n"/>
      <c r="Q141" s="669" t="n"/>
      <c r="R141" s="669" t="n"/>
      <c r="S141" s="669" t="n"/>
      <c r="T141" s="669" t="n"/>
      <c r="U141" s="669" t="n"/>
      <c r="V141" s="669" t="n"/>
      <c r="W141" s="669" t="n"/>
      <c r="X141" s="669" t="n"/>
      <c r="Y141" s="669" t="n"/>
      <c r="Z141" s="669" t="n"/>
    </row>
    <row r="142">
      <c r="A142" s="507" t="inlineStr">
        <is>
          <t>Status of Isis</t>
        </is>
      </c>
      <c r="B142" s="1037" t="inlineStr">
        <is>
          <t>SSS</t>
        </is>
      </c>
      <c r="C142" s="1037" t="inlineStr">
        <is>
          <t>FTH</t>
        </is>
      </c>
      <c r="D142" s="934" t="n"/>
      <c r="E142" s="934" t="n"/>
      <c r="F142" s="934" t="n">
        <v>2.4</v>
      </c>
      <c r="G142" s="934" t="n"/>
      <c r="H142" s="934" t="n"/>
      <c r="I142" s="934" t="n"/>
      <c r="J142" s="386" t="inlineStr">
        <is>
          <t>Lottery Machine #2 (0.11%)</t>
        </is>
      </c>
      <c r="K142" s="669" t="n"/>
      <c r="L142" s="669" t="n"/>
      <c r="M142" s="669" t="n"/>
      <c r="N142" s="669" t="n"/>
      <c r="O142" s="669" t="n"/>
      <c r="P142" s="669" t="n"/>
      <c r="Q142" s="669" t="n"/>
      <c r="R142" s="669" t="n"/>
      <c r="S142" s="669" t="n"/>
      <c r="T142" s="669" t="n"/>
      <c r="U142" s="669" t="n"/>
      <c r="V142" s="669" t="n"/>
      <c r="W142" s="669" t="n"/>
      <c r="X142" s="669" t="n"/>
      <c r="Y142" s="669" t="n"/>
      <c r="Z142" s="669" t="n"/>
    </row>
    <row r="143">
      <c r="A143" s="507" t="inlineStr">
        <is>
          <t>MoCA</t>
        </is>
      </c>
      <c r="B143" s="1037" t="inlineStr">
        <is>
          <t>SSS</t>
        </is>
      </c>
      <c r="C143" s="1037" t="inlineStr">
        <is>
          <t>TECH</t>
        </is>
      </c>
      <c r="D143" s="934" t="n"/>
      <c r="E143" s="934" t="n"/>
      <c r="F143" s="934" t="n">
        <v>2.4</v>
      </c>
      <c r="G143" s="934" t="n"/>
      <c r="H143" s="934" t="n"/>
      <c r="I143" s="934" t="n"/>
      <c r="J143" s="386" t="inlineStr">
        <is>
          <t>Lucky Box Reward Batch no. 15-21</t>
        </is>
      </c>
      <c r="K143" s="669" t="n"/>
      <c r="L143" s="669" t="n"/>
      <c r="M143" s="669" t="n"/>
      <c r="N143" s="669" t="n"/>
      <c r="O143" s="669" t="n"/>
      <c r="P143" s="669" t="n"/>
      <c r="Q143" s="669" t="n"/>
      <c r="R143" s="669" t="n"/>
      <c r="S143" s="669" t="n"/>
      <c r="T143" s="669" t="n"/>
      <c r="U143" s="669" t="n"/>
      <c r="V143" s="669" t="n"/>
      <c r="W143" s="669" t="n"/>
      <c r="X143" s="669" t="n"/>
      <c r="Y143" s="669" t="n"/>
      <c r="Z143" s="669" t="n"/>
    </row>
    <row r="144">
      <c r="A144" s="507" t="inlineStr">
        <is>
          <t>Night Watch</t>
        </is>
      </c>
      <c r="B144" s="1037" t="inlineStr">
        <is>
          <t>SSS</t>
        </is>
      </c>
      <c r="C144" s="1037" t="inlineStr">
        <is>
          <t>ART</t>
        </is>
      </c>
      <c r="D144" s="934" t="n"/>
      <c r="E144" s="934" t="n"/>
      <c r="F144" s="934" t="n">
        <v>2.4</v>
      </c>
      <c r="G144" s="934" t="n"/>
      <c r="H144" s="934" t="n"/>
      <c r="I144" s="934" t="n"/>
      <c r="J144" s="944" t="inlineStr">
        <is>
          <t>Lottery Machine #2 (0.12%)</t>
        </is>
      </c>
      <c r="K144" s="669" t="n"/>
      <c r="L144" s="669" t="n"/>
      <c r="M144" s="669" t="n"/>
      <c r="N144" s="669" t="n"/>
      <c r="O144" s="669" t="n"/>
      <c r="P144" s="669" t="n"/>
      <c r="Q144" s="669" t="n"/>
      <c r="R144" s="669" t="n"/>
      <c r="S144" s="669" t="n"/>
      <c r="T144" s="669" t="n"/>
      <c r="U144" s="669" t="n"/>
      <c r="V144" s="669" t="n"/>
      <c r="W144" s="669" t="n"/>
      <c r="X144" s="669" t="n"/>
      <c r="Y144" s="669" t="n"/>
      <c r="Z144" s="669" t="n"/>
    </row>
    <row r="145">
      <c r="A145" s="507" t="n"/>
      <c r="B145" s="1037" t="n"/>
      <c r="C145" s="934" t="n"/>
      <c r="D145" s="934" t="n"/>
      <c r="E145" s="934" t="n"/>
      <c r="F145" s="934" t="n"/>
      <c r="G145" s="934" t="n"/>
      <c r="H145" s="934" t="n"/>
      <c r="I145" s="934" t="n"/>
      <c r="J145" s="935" t="n"/>
      <c r="K145" s="669" t="n"/>
      <c r="L145" s="669" t="n"/>
      <c r="M145" s="669" t="n"/>
      <c r="N145" s="669" t="n"/>
      <c r="O145" s="669" t="n"/>
      <c r="P145" s="669" t="n"/>
      <c r="Q145" s="669" t="n"/>
      <c r="R145" s="669" t="n"/>
      <c r="S145" s="669" t="n"/>
      <c r="T145" s="669" t="n"/>
      <c r="U145" s="669" t="n"/>
      <c r="V145" s="669" t="n"/>
      <c r="W145" s="669" t="n"/>
      <c r="X145" s="669" t="n"/>
      <c r="Y145" s="669" t="n"/>
      <c r="Z145" s="669" t="n"/>
    </row>
    <row r="146">
      <c r="A146" s="507" t="inlineStr">
        <is>
          <t>Resonance: Orange</t>
        </is>
      </c>
      <c r="B146" s="934" t="n"/>
      <c r="C146" s="934" t="n"/>
      <c r="D146" s="479" t="n">
        <v>63</v>
      </c>
      <c r="E146" s="934" t="n"/>
      <c r="F146" s="934" t="n"/>
      <c r="G146" s="934" t="n"/>
      <c r="H146" s="479" t="n">
        <v>60</v>
      </c>
      <c r="I146" s="479">
        <f>(D146+E146)/H146</f>
        <v/>
      </c>
      <c r="J146" s="935" t="n"/>
      <c r="K146" s="669" t="n"/>
      <c r="L146" s="669" t="n"/>
      <c r="M146" s="669" t="n"/>
      <c r="N146" s="669" t="n"/>
      <c r="O146" s="669" t="n"/>
      <c r="P146" s="669" t="n"/>
      <c r="Q146" s="669" t="n"/>
      <c r="R146" s="669" t="n"/>
      <c r="S146" s="669" t="n"/>
      <c r="T146" s="669" t="n"/>
      <c r="U146" s="669" t="n"/>
      <c r="V146" s="669" t="n"/>
      <c r="W146" s="669" t="n"/>
      <c r="X146" s="669" t="n"/>
      <c r="Y146" s="669" t="n"/>
      <c r="Z146" s="669" t="n"/>
    </row>
    <row r="147">
      <c r="A147" s="224" t="inlineStr">
        <is>
          <t xml:space="preserve">  Receiving the Envoy</t>
        </is>
      </c>
      <c r="B147" s="1037" t="inlineStr">
        <is>
          <t>SSS</t>
        </is>
      </c>
      <c r="C147" s="1037" t="inlineStr">
        <is>
          <t>ART</t>
        </is>
      </c>
      <c r="D147" s="941" t="n"/>
      <c r="E147" s="941" t="n"/>
      <c r="F147" s="941" t="n"/>
      <c r="G147" s="941" t="n"/>
      <c r="H147" s="941" t="n"/>
      <c r="I147" s="941" t="n"/>
      <c r="J147" s="944" t="inlineStr">
        <is>
          <t>Badge Shop</t>
        </is>
      </c>
      <c r="K147" s="669" t="n"/>
      <c r="L147" s="669" t="n"/>
      <c r="M147" s="669" t="n"/>
      <c r="N147" s="669" t="n"/>
      <c r="O147" s="669" t="n"/>
      <c r="P147" s="669" t="n"/>
      <c r="Q147" s="669" t="n"/>
      <c r="R147" s="669" t="n"/>
      <c r="S147" s="669" t="n"/>
      <c r="T147" s="669" t="n"/>
      <c r="U147" s="669" t="n"/>
      <c r="V147" s="669" t="n"/>
      <c r="W147" s="669" t="n"/>
      <c r="X147" s="669" t="n"/>
      <c r="Y147" s="669" t="n"/>
      <c r="Z147" s="669" t="n"/>
    </row>
    <row r="148">
      <c r="A148" s="507" t="inlineStr">
        <is>
          <t xml:space="preserve">  Mysterious Relic</t>
        </is>
      </c>
      <c r="B148" s="1037" t="inlineStr">
        <is>
          <t>SSS</t>
        </is>
      </c>
      <c r="C148" s="1037" t="n"/>
      <c r="D148" s="934" t="n"/>
      <c r="E148" s="934" t="n"/>
      <c r="F148" s="934" t="n"/>
      <c r="G148" s="934" t="n"/>
      <c r="H148" s="934" t="n"/>
      <c r="I148" s="934" t="n"/>
      <c r="J148" s="935" t="inlineStr">
        <is>
          <t>Unknown</t>
        </is>
      </c>
      <c r="K148" s="669" t="n"/>
      <c r="L148" s="669" t="n"/>
      <c r="M148" s="669" t="n"/>
      <c r="N148" s="669" t="n"/>
      <c r="O148" s="669" t="n"/>
      <c r="P148" s="669" t="n"/>
      <c r="Q148" s="669" t="n"/>
      <c r="R148" s="669" t="n"/>
      <c r="S148" s="669" t="n"/>
      <c r="T148" s="669" t="n"/>
      <c r="U148" s="669" t="n"/>
      <c r="V148" s="669" t="n"/>
      <c r="W148" s="669" t="n"/>
      <c r="X148" s="669" t="n"/>
      <c r="Y148" s="669" t="n"/>
      <c r="Z148" s="669" t="n"/>
    </row>
    <row r="149">
      <c r="A149" s="507" t="inlineStr">
        <is>
          <t>Resonance: Orange</t>
        </is>
      </c>
      <c r="B149" s="934" t="n"/>
      <c r="C149" s="934" t="n"/>
      <c r="D149" s="479" t="n">
        <v>63</v>
      </c>
      <c r="E149" s="934" t="n"/>
      <c r="F149" s="934" t="n"/>
      <c r="G149" s="934" t="n"/>
      <c r="H149" s="479" t="n">
        <v>60</v>
      </c>
      <c r="I149" s="479">
        <f>(D149+E149)/H149</f>
        <v/>
      </c>
      <c r="J149" s="935" t="n"/>
      <c r="K149" s="669" t="n"/>
      <c r="L149" s="669" t="n"/>
      <c r="M149" s="669" t="n"/>
      <c r="N149" s="669" t="n"/>
      <c r="O149" s="669" t="n"/>
      <c r="P149" s="669" t="n"/>
      <c r="Q149" s="669" t="n"/>
      <c r="R149" s="669" t="n"/>
      <c r="S149" s="669" t="n"/>
      <c r="T149" s="669" t="n"/>
      <c r="U149" s="669" t="n"/>
      <c r="V149" s="669" t="n"/>
      <c r="W149" s="669" t="n"/>
      <c r="X149" s="669" t="n"/>
      <c r="Y149" s="669" t="n"/>
      <c r="Z149" s="669" t="n"/>
    </row>
    <row r="150">
      <c r="A150" s="224" t="inlineStr">
        <is>
          <t xml:space="preserve">  Cuneiform Tablet</t>
        </is>
      </c>
      <c r="B150" s="1037" t="inlineStr">
        <is>
          <t>SS</t>
        </is>
      </c>
      <c r="C150" s="1037" t="inlineStr">
        <is>
          <t>CIV</t>
        </is>
      </c>
      <c r="D150" s="941" t="n"/>
      <c r="E150" s="941" t="n"/>
      <c r="F150" s="941" t="n"/>
      <c r="G150" s="941" t="n"/>
      <c r="H150" s="941" t="n"/>
      <c r="I150" s="941" t="n"/>
      <c r="J150" s="944" t="inlineStr">
        <is>
          <t>Fragment Crafting (5.5%), Lottery Machine #1 (0.24%), Wishing (0.2%), Master Scrolls (1.9%), Grandmaster Scrolls (2.1%), CIV Master Scrolls (10.2%), Super Species Chest (5.5%)</t>
        </is>
      </c>
      <c r="K150" s="669" t="n"/>
      <c r="L150" s="669" t="n"/>
      <c r="M150" s="669" t="n"/>
      <c r="N150" s="669" t="n"/>
      <c r="O150" s="669" t="n"/>
      <c r="P150" s="669" t="n"/>
      <c r="Q150" s="669" t="n"/>
      <c r="R150" s="669" t="n"/>
      <c r="S150" s="669" t="n"/>
      <c r="T150" s="669" t="n"/>
      <c r="U150" s="669" t="n"/>
      <c r="V150" s="669" t="n"/>
      <c r="W150" s="669" t="n"/>
      <c r="X150" s="669" t="n"/>
      <c r="Y150" s="669" t="n"/>
      <c r="Z150" s="669" t="n"/>
    </row>
    <row r="151">
      <c r="A151" s="507" t="inlineStr">
        <is>
          <t xml:space="preserve">  Fu Hao Scripts</t>
        </is>
      </c>
      <c r="B151" s="1037" t="inlineStr">
        <is>
          <t>SS</t>
        </is>
      </c>
      <c r="C151" s="1037" t="inlineStr">
        <is>
          <t>CIV</t>
        </is>
      </c>
      <c r="D151" s="934" t="n"/>
      <c r="E151" s="934" t="n"/>
      <c r="F151" s="934" t="n"/>
      <c r="G151" s="934" t="n"/>
      <c r="H151" s="934" t="n"/>
      <c r="I151" s="934" t="n"/>
      <c r="J151" s="935" t="inlineStr">
        <is>
          <t>Fragment Crafting (4.1%), Lottery Machine #1 (0.18%), Wishing (0.15%), Grandmaster Scrolls (1.5%)</t>
        </is>
      </c>
      <c r="K151" s="669" t="n"/>
      <c r="L151" s="669" t="n"/>
      <c r="M151" s="669" t="n"/>
      <c r="N151" s="669" t="n"/>
      <c r="O151" s="669" t="n"/>
      <c r="P151" s="669" t="n"/>
      <c r="Q151" s="669" t="n"/>
      <c r="R151" s="669" t="n"/>
      <c r="S151" s="669" t="n"/>
      <c r="T151" s="669" t="n"/>
      <c r="U151" s="669" t="n"/>
      <c r="V151" s="669" t="n"/>
      <c r="W151" s="669" t="n"/>
      <c r="X151" s="669" t="n"/>
      <c r="Y151" s="669" t="n"/>
      <c r="Z151" s="669" t="n"/>
    </row>
    <row r="152">
      <c r="A152" s="224" t="inlineStr">
        <is>
          <t>Resonance: Orange</t>
        </is>
      </c>
      <c r="B152" s="941" t="n"/>
      <c r="C152" s="934" t="n"/>
      <c r="D152" s="225" t="n">
        <v>63</v>
      </c>
      <c r="E152" s="941" t="n"/>
      <c r="F152" s="941" t="n"/>
      <c r="G152" s="941" t="n"/>
      <c r="H152" s="225" t="n">
        <v>60</v>
      </c>
      <c r="I152" s="479">
        <f>(D152+E152)/H152</f>
        <v/>
      </c>
      <c r="J152" s="944" t="n"/>
      <c r="K152" s="669" t="n"/>
      <c r="L152" s="669" t="n"/>
      <c r="M152" s="669" t="n"/>
      <c r="N152" s="669" t="n"/>
      <c r="O152" s="669" t="n"/>
      <c r="P152" s="669" t="n"/>
      <c r="Q152" s="669" t="n"/>
      <c r="R152" s="669" t="n"/>
      <c r="S152" s="669" t="n"/>
      <c r="T152" s="669" t="n"/>
      <c r="U152" s="669" t="n"/>
      <c r="V152" s="669" t="n"/>
      <c r="W152" s="669" t="n"/>
      <c r="X152" s="669" t="n"/>
      <c r="Y152" s="669" t="n"/>
      <c r="Z152" s="669" t="n"/>
    </row>
    <row r="153">
      <c r="A153" s="507" t="inlineStr">
        <is>
          <t xml:space="preserve">  Sputnik 1</t>
        </is>
      </c>
      <c r="B153" s="1037" t="inlineStr">
        <is>
          <t>SS</t>
        </is>
      </c>
      <c r="C153" s="1037" t="inlineStr">
        <is>
          <t>TECH</t>
        </is>
      </c>
      <c r="D153" s="934" t="n"/>
      <c r="E153" s="934" t="n"/>
      <c r="F153" s="934" t="n"/>
      <c r="G153" s="934" t="n"/>
      <c r="H153" s="934" t="n"/>
      <c r="I153" s="934" t="n"/>
      <c r="J153" s="935" t="inlineStr">
        <is>
          <t>Fragment Crafting (3.9%), Lottery Machine #1 (0.18%), Wishing (0.14%), Club Chest (1%), Grandmaster Scrolls (1.5%)</t>
        </is>
      </c>
      <c r="K153" s="669" t="n"/>
      <c r="L153" s="669" t="n"/>
      <c r="M153" s="669" t="n"/>
      <c r="N153" s="669" t="n"/>
      <c r="O153" s="669" t="n"/>
      <c r="P153" s="669" t="n"/>
      <c r="Q153" s="669" t="n"/>
      <c r="R153" s="669" t="n"/>
      <c r="S153" s="669" t="n"/>
      <c r="T153" s="669" t="n"/>
      <c r="U153" s="669" t="n"/>
      <c r="V153" s="669" t="n"/>
      <c r="W153" s="669" t="n"/>
      <c r="X153" s="669" t="n"/>
      <c r="Y153" s="669" t="n"/>
      <c r="Z153" s="669" t="n"/>
    </row>
    <row r="154">
      <c r="A154" s="224" t="inlineStr">
        <is>
          <t xml:space="preserve">  Quantum Radio</t>
        </is>
      </c>
      <c r="B154" s="1037" t="inlineStr">
        <is>
          <t>SSS</t>
        </is>
      </c>
      <c r="C154" s="1037" t="inlineStr">
        <is>
          <t>TECH</t>
        </is>
      </c>
      <c r="D154" s="941" t="n"/>
      <c r="E154" s="941" t="n"/>
      <c r="F154" s="941" t="n"/>
      <c r="G154" s="941" t="n"/>
      <c r="H154" s="941" t="n"/>
      <c r="I154" s="941" t="n"/>
      <c r="J154" s="944" t="inlineStr">
        <is>
          <t>Super Species Chest (0.03%)</t>
        </is>
      </c>
      <c r="K154" s="669" t="n"/>
      <c r="L154" s="669" t="n"/>
      <c r="M154" s="669" t="n"/>
      <c r="N154" s="669" t="n"/>
      <c r="O154" s="669" t="n"/>
      <c r="P154" s="669" t="n"/>
      <c r="Q154" s="669" t="n"/>
      <c r="R154" s="669" t="n"/>
      <c r="S154" s="669" t="n"/>
      <c r="T154" s="669" t="n"/>
      <c r="U154" s="669" t="n"/>
      <c r="V154" s="669" t="n"/>
      <c r="W154" s="669" t="n"/>
      <c r="X154" s="669" t="n"/>
      <c r="Y154" s="669" t="n"/>
      <c r="Z154" s="669" t="n"/>
    </row>
    <row r="155">
      <c r="A155" s="224" t="inlineStr">
        <is>
          <t>Resonance: Purple</t>
        </is>
      </c>
      <c r="B155" s="941" t="n"/>
      <c r="C155" s="934" t="n"/>
      <c r="D155" s="225" t="n">
        <v>24</v>
      </c>
      <c r="E155" s="941" t="n"/>
      <c r="F155" s="941" t="n"/>
      <c r="G155" s="941" t="n"/>
      <c r="H155" s="225" t="n">
        <v>30</v>
      </c>
      <c r="I155" s="225">
        <f>(D155+E155)/H155</f>
        <v/>
      </c>
      <c r="J155" s="944" t="n"/>
      <c r="K155" s="669" t="n"/>
      <c r="L155" s="669" t="n"/>
      <c r="M155" s="669" t="n"/>
      <c r="N155" s="669" t="n"/>
      <c r="O155" s="669" t="n"/>
      <c r="P155" s="669" t="n"/>
      <c r="Q155" s="669" t="n"/>
      <c r="R155" s="669" t="n"/>
      <c r="S155" s="669" t="n"/>
      <c r="T155" s="669" t="n"/>
      <c r="U155" s="669" t="n"/>
      <c r="V155" s="669" t="n"/>
      <c r="W155" s="669" t="n"/>
      <c r="X155" s="669" t="n"/>
      <c r="Y155" s="669" t="n"/>
      <c r="Z155" s="669" t="n"/>
    </row>
    <row r="156">
      <c r="A156" s="507" t="inlineStr">
        <is>
          <t xml:space="preserve">  Moonlight Sonata</t>
        </is>
      </c>
      <c r="B156" s="1037" t="inlineStr">
        <is>
          <t>AAA</t>
        </is>
      </c>
      <c r="C156" s="1037" t="inlineStr">
        <is>
          <t>ART</t>
        </is>
      </c>
      <c r="D156" s="934" t="n"/>
      <c r="E156" s="934" t="n"/>
      <c r="F156" s="934" t="n"/>
      <c r="G156" s="934" t="n"/>
      <c r="H156" s="934" t="n"/>
      <c r="I156" s="934" t="n"/>
      <c r="J156" s="935" t="inlineStr">
        <is>
          <t>Fragment Crafting (1.6%), Lottery Machine #1 (0.03%), Wishing (0.14%), Relic Forge (80 Relic RF), Nebula Chest (1.5%)</t>
        </is>
      </c>
      <c r="K156" s="669" t="n"/>
      <c r="L156" s="669" t="n"/>
      <c r="M156" s="669" t="n"/>
      <c r="N156" s="669" t="n"/>
      <c r="O156" s="669" t="n"/>
      <c r="P156" s="669" t="n"/>
      <c r="Q156" s="669" t="n"/>
      <c r="R156" s="669" t="n"/>
      <c r="S156" s="669" t="n"/>
      <c r="T156" s="669" t="n"/>
      <c r="U156" s="669" t="n"/>
      <c r="V156" s="669" t="n"/>
      <c r="W156" s="669" t="n"/>
      <c r="X156" s="669" t="n"/>
      <c r="Y156" s="669" t="n"/>
      <c r="Z156" s="669" t="n"/>
    </row>
    <row r="157">
      <c r="A157" s="224" t="inlineStr">
        <is>
          <t xml:space="preserve">  Crystal Piano</t>
        </is>
      </c>
      <c r="B157" s="1037" t="inlineStr">
        <is>
          <t>AAA</t>
        </is>
      </c>
      <c r="C157" s="1037" t="inlineStr">
        <is>
          <t>CIV</t>
        </is>
      </c>
      <c r="D157" s="941" t="n"/>
      <c r="E157" s="941" t="n"/>
      <c r="F157" s="941" t="n"/>
      <c r="G157" s="941" t="n"/>
      <c r="H157" s="941" t="n"/>
      <c r="I157" s="941" t="n"/>
      <c r="J157" s="944" t="inlineStr">
        <is>
          <t>Fragment Crafting (1.5%), Lottery Machine #1 (0.03%), Wishing (0.14%), Relic Forge (80 Relic RF)</t>
        </is>
      </c>
      <c r="K157" s="669" t="n"/>
      <c r="L157" s="669" t="n"/>
      <c r="M157" s="669" t="n"/>
      <c r="N157" s="669" t="n"/>
      <c r="O157" s="669" t="n"/>
      <c r="P157" s="669" t="n"/>
      <c r="Q157" s="669" t="n"/>
      <c r="R157" s="669" t="n"/>
      <c r="S157" s="669" t="n"/>
      <c r="T157" s="669" t="n"/>
      <c r="U157" s="669" t="n"/>
      <c r="V157" s="669" t="n"/>
      <c r="W157" s="669" t="n"/>
      <c r="X157" s="669" t="n"/>
      <c r="Y157" s="669" t="n"/>
      <c r="Z157" s="669" t="n"/>
    </row>
    <row r="158">
      <c r="A158" s="507" t="inlineStr">
        <is>
          <t>Resonance: Blue</t>
        </is>
      </c>
      <c r="B158" s="934" t="n"/>
      <c r="C158" s="934" t="n"/>
      <c r="D158" s="479" t="n">
        <v>6</v>
      </c>
      <c r="E158" s="934" t="n"/>
      <c r="F158" s="934" t="n"/>
      <c r="G158" s="934" t="n"/>
      <c r="H158" s="479" t="n">
        <v>10</v>
      </c>
      <c r="I158" s="479">
        <f>(D158+E158)/H158</f>
        <v/>
      </c>
      <c r="J158" s="935" t="n"/>
      <c r="K158" s="669" t="n"/>
      <c r="L158" s="669" t="n"/>
      <c r="M158" s="669" t="n"/>
      <c r="N158" s="669" t="n"/>
      <c r="O158" s="669" t="n"/>
      <c r="P158" s="669" t="n"/>
      <c r="Q158" s="669" t="n"/>
      <c r="R158" s="669" t="n"/>
      <c r="S158" s="669" t="n"/>
      <c r="T158" s="669" t="n"/>
      <c r="U158" s="669" t="n"/>
      <c r="V158" s="669" t="n"/>
      <c r="W158" s="669" t="n"/>
      <c r="X158" s="669" t="n"/>
      <c r="Y158" s="669" t="n"/>
      <c r="Z158" s="669" t="n"/>
    </row>
    <row r="159">
      <c r="A159" s="224" t="inlineStr">
        <is>
          <t xml:space="preserve">  Innsmouth Statue</t>
        </is>
      </c>
      <c r="B159" s="1037" t="inlineStr">
        <is>
          <t>Blue</t>
        </is>
      </c>
      <c r="C159" s="1037" t="inlineStr">
        <is>
          <t>FTH</t>
        </is>
      </c>
      <c r="D159" s="941" t="n"/>
      <c r="E159" s="941" t="n"/>
      <c r="F159" s="941" t="n"/>
      <c r="G159" s="941" t="n"/>
      <c r="H159" s="941" t="n"/>
      <c r="I159" s="941" t="n"/>
      <c r="J159" s="944" t="inlineStr">
        <is>
          <t>Lottery Machine #2 (0.03%)</t>
        </is>
      </c>
      <c r="K159" s="669" t="n"/>
      <c r="L159" s="669" t="n"/>
      <c r="M159" s="669" t="n"/>
      <c r="N159" s="669" t="n"/>
      <c r="O159" s="669" t="n"/>
      <c r="P159" s="669" t="n"/>
      <c r="Q159" s="669" t="n"/>
      <c r="R159" s="669" t="n"/>
      <c r="S159" s="669" t="n"/>
      <c r="T159" s="669" t="n"/>
      <c r="U159" s="669" t="n"/>
      <c r="V159" s="669" t="n"/>
      <c r="W159" s="669" t="n"/>
      <c r="X159" s="669" t="n"/>
      <c r="Y159" s="669" t="n"/>
      <c r="Z159" s="669" t="n"/>
    </row>
    <row r="160">
      <c r="A160" s="507" t="inlineStr">
        <is>
          <t xml:space="preserve">  Broken Queen Statue</t>
        </is>
      </c>
      <c r="B160" s="1037" t="inlineStr">
        <is>
          <t>Blue</t>
        </is>
      </c>
      <c r="C160" s="1037" t="inlineStr">
        <is>
          <t>ART</t>
        </is>
      </c>
      <c r="D160" s="934" t="n"/>
      <c r="E160" s="934" t="n"/>
      <c r="F160" s="934" t="n"/>
      <c r="G160" s="934" t="n"/>
      <c r="H160" s="934" t="n"/>
      <c r="I160" s="934" t="n"/>
      <c r="J160" s="944" t="inlineStr">
        <is>
          <t>Lottery Machine #2 (0.07%)</t>
        </is>
      </c>
      <c r="K160" s="669" t="n"/>
      <c r="L160" s="669" t="n"/>
      <c r="M160" s="669" t="n"/>
      <c r="N160" s="669" t="n"/>
      <c r="O160" s="669" t="n"/>
      <c r="P160" s="669" t="n"/>
      <c r="Q160" s="669" t="n"/>
      <c r="R160" s="669" t="n"/>
      <c r="S160" s="669" t="n"/>
      <c r="T160" s="669" t="n"/>
      <c r="U160" s="669" t="n"/>
      <c r="V160" s="669" t="n"/>
      <c r="W160" s="669" t="n"/>
      <c r="X160" s="669" t="n"/>
      <c r="Y160" s="669" t="n"/>
      <c r="Z160" s="669" t="n"/>
    </row>
    <row r="161">
      <c r="A161" s="224" t="inlineStr">
        <is>
          <t xml:space="preserve">  Camellias Lady</t>
        </is>
      </c>
      <c r="B161" s="1037" t="inlineStr">
        <is>
          <t>Blue</t>
        </is>
      </c>
      <c r="C161" s="1037" t="inlineStr">
        <is>
          <t>CIV</t>
        </is>
      </c>
      <c r="D161" s="941" t="n"/>
      <c r="E161" s="941" t="n"/>
      <c r="F161" s="941" t="n"/>
      <c r="G161" s="941" t="n"/>
      <c r="H161" s="941" t="n"/>
      <c r="I161" s="941" t="n"/>
      <c r="J161" s="944" t="inlineStr">
        <is>
          <t>Lottery Machine #2 (0.03%)</t>
        </is>
      </c>
      <c r="K161" s="669" t="n"/>
      <c r="L161" s="669" t="n"/>
      <c r="M161" s="669" t="n"/>
      <c r="N161" s="669" t="n"/>
      <c r="O161" s="669" t="n"/>
      <c r="P161" s="669" t="n"/>
      <c r="Q161" s="669" t="n"/>
      <c r="R161" s="669" t="n"/>
      <c r="S161" s="669" t="n"/>
      <c r="T161" s="669" t="n"/>
      <c r="U161" s="669" t="n"/>
      <c r="V161" s="669" t="n"/>
      <c r="W161" s="669" t="n"/>
      <c r="X161" s="669" t="n"/>
      <c r="Y161" s="669" t="n"/>
      <c r="Z161" s="669" t="n"/>
    </row>
    <row r="162">
      <c r="A162" s="357" t="inlineStr">
        <is>
          <t>Resonance: Orange</t>
        </is>
      </c>
      <c r="B162" s="425" t="n"/>
      <c r="C162" s="425" t="n"/>
      <c r="D162" s="371" t="n"/>
      <c r="E162" s="425" t="n"/>
      <c r="F162" s="371" t="n">
        <v>1.8</v>
      </c>
      <c r="G162" s="425" t="n"/>
      <c r="H162" s="371" t="n"/>
      <c r="I162" s="425" t="n"/>
      <c r="J162" s="386" t="n"/>
      <c r="K162" s="669" t="n"/>
      <c r="L162" s="669" t="n"/>
      <c r="M162" s="669" t="n"/>
      <c r="N162" s="669" t="n"/>
      <c r="O162" s="669" t="n"/>
      <c r="P162" s="669" t="n"/>
      <c r="Q162" s="669" t="n"/>
      <c r="R162" s="669" t="n"/>
      <c r="S162" s="669" t="n"/>
      <c r="T162" s="669" t="n"/>
      <c r="U162" s="669" t="n"/>
      <c r="V162" s="669" t="n"/>
      <c r="W162" s="669" t="n"/>
      <c r="X162" s="669" t="n"/>
      <c r="Y162" s="669" t="n"/>
      <c r="Z162" s="669" t="n"/>
    </row>
    <row r="163">
      <c r="A163" s="357" t="inlineStr">
        <is>
          <t xml:space="preserve">  Messier Catalogue</t>
        </is>
      </c>
      <c r="B163" s="425" t="inlineStr">
        <is>
          <t>SSS</t>
        </is>
      </c>
      <c r="C163" s="425" t="inlineStr">
        <is>
          <t>TECH</t>
        </is>
      </c>
      <c r="D163" s="371" t="n"/>
      <c r="E163" s="425" t="n"/>
      <c r="F163" s="371" t="n"/>
      <c r="G163" s="425" t="n"/>
      <c r="H163" s="371" t="n"/>
      <c r="I163" s="425" t="n"/>
      <c r="J163" s="386" t="inlineStr">
        <is>
          <t>Star Chart Shop</t>
        </is>
      </c>
      <c r="K163" s="669" t="n"/>
      <c r="L163" s="669" t="n"/>
      <c r="M163" s="669" t="n"/>
      <c r="N163" s="669" t="n"/>
      <c r="O163" s="669" t="n"/>
      <c r="P163" s="669" t="n"/>
      <c r="Q163" s="669" t="n"/>
      <c r="R163" s="669" t="n"/>
      <c r="S163" s="669" t="n"/>
      <c r="T163" s="669" t="n"/>
      <c r="U163" s="669" t="n"/>
      <c r="V163" s="669" t="n"/>
      <c r="W163" s="669" t="n"/>
      <c r="X163" s="669" t="n"/>
      <c r="Y163" s="669" t="n"/>
      <c r="Z163" s="669" t="n"/>
    </row>
    <row r="164">
      <c r="A164" s="357" t="inlineStr">
        <is>
          <t xml:space="preserve">  Ink Chrysanths</t>
        </is>
      </c>
      <c r="B164" s="425" t="inlineStr">
        <is>
          <t>SSS</t>
        </is>
      </c>
      <c r="C164" s="425" t="inlineStr">
        <is>
          <t>ART</t>
        </is>
      </c>
      <c r="D164" s="371" t="n"/>
      <c r="E164" s="425" t="n"/>
      <c r="F164" s="371" t="n"/>
      <c r="G164" s="425" t="n"/>
      <c r="H164" s="371" t="n"/>
      <c r="I164" s="425" t="n"/>
      <c r="J164" s="386" t="inlineStr">
        <is>
          <t>Lottery Machine #2 (0.11%)</t>
        </is>
      </c>
      <c r="K164" s="669" t="n"/>
      <c r="L164" s="669" t="n"/>
      <c r="M164" s="669" t="n"/>
      <c r="N164" s="669" t="n"/>
      <c r="O164" s="669" t="n"/>
      <c r="P164" s="669" t="n"/>
      <c r="Q164" s="669" t="n"/>
      <c r="R164" s="669" t="n"/>
      <c r="S164" s="669" t="n"/>
      <c r="T164" s="669" t="n"/>
      <c r="U164" s="669" t="n"/>
      <c r="V164" s="669" t="n"/>
      <c r="W164" s="669" t="n"/>
      <c r="X164" s="669" t="n"/>
      <c r="Y164" s="669" t="n"/>
      <c r="Z164" s="669" t="n"/>
    </row>
    <row r="165">
      <c r="A165" s="357" t="inlineStr">
        <is>
          <t xml:space="preserve">  Mysterious Relic</t>
        </is>
      </c>
      <c r="B165" s="425" t="inlineStr">
        <is>
          <t>SSS</t>
        </is>
      </c>
      <c r="C165" s="425" t="n"/>
      <c r="D165" s="371" t="n"/>
      <c r="E165" s="425" t="n"/>
      <c r="F165" s="371" t="n"/>
      <c r="G165" s="425" t="n"/>
      <c r="H165" s="371" t="n"/>
      <c r="I165" s="425" t="n"/>
      <c r="J165" s="386" t="inlineStr">
        <is>
          <t>Unknown</t>
        </is>
      </c>
      <c r="K165" s="669" t="n"/>
      <c r="L165" s="669" t="n"/>
      <c r="M165" s="669" t="n"/>
      <c r="N165" s="669" t="n"/>
      <c r="O165" s="669" t="n"/>
      <c r="P165" s="669" t="n"/>
      <c r="Q165" s="669" t="n"/>
      <c r="R165" s="669" t="n"/>
      <c r="S165" s="669" t="n"/>
      <c r="T165" s="669" t="n"/>
      <c r="U165" s="669" t="n"/>
      <c r="V165" s="669" t="n"/>
      <c r="W165" s="669" t="n"/>
      <c r="X165" s="669" t="n"/>
      <c r="Y165" s="669" t="n"/>
      <c r="Z165" s="669" t="n"/>
    </row>
    <row r="166">
      <c r="A166" s="357" t="inlineStr">
        <is>
          <t xml:space="preserve">  Mysterious Relic</t>
        </is>
      </c>
      <c r="B166" s="425" t="inlineStr">
        <is>
          <t>SSS</t>
        </is>
      </c>
      <c r="C166" s="425" t="n"/>
      <c r="D166" s="371" t="n"/>
      <c r="E166" s="425" t="n"/>
      <c r="F166" s="371" t="n"/>
      <c r="G166" s="425" t="n"/>
      <c r="H166" s="371" t="n"/>
      <c r="I166" s="425" t="n"/>
      <c r="J166" s="386" t="inlineStr">
        <is>
          <t>Unknown</t>
        </is>
      </c>
      <c r="K166" s="669" t="n"/>
      <c r="L166" s="669" t="n"/>
      <c r="M166" s="669" t="n"/>
      <c r="N166" s="669" t="n"/>
      <c r="O166" s="669" t="n"/>
      <c r="P166" s="669" t="n"/>
      <c r="Q166" s="669" t="n"/>
      <c r="R166" s="669" t="n"/>
      <c r="S166" s="669" t="n"/>
      <c r="T166" s="669" t="n"/>
      <c r="U166" s="669" t="n"/>
      <c r="V166" s="669" t="n"/>
      <c r="W166" s="669" t="n"/>
      <c r="X166" s="669" t="n"/>
      <c r="Y166" s="669" t="n"/>
      <c r="Z166" s="669" t="n"/>
    </row>
    <row r="167">
      <c r="A167" s="272" t="inlineStr">
        <is>
          <t>TOTAL DEF</t>
        </is>
      </c>
      <c r="B167" s="214" t="n"/>
      <c r="C167" s="214" t="n"/>
      <c r="D167" s="215" t="n"/>
      <c r="E167" s="214" t="n"/>
      <c r="F167" s="215">
        <f>sum(F135:G166)</f>
        <v/>
      </c>
      <c r="G167" s="214" t="n"/>
      <c r="H167" s="214" t="n"/>
      <c r="I167" s="228">
        <f>sum(I135:I166)</f>
        <v/>
      </c>
      <c r="J167" s="216" t="n"/>
      <c r="K167" s="669" t="n"/>
      <c r="L167" s="669" t="n"/>
      <c r="M167" s="669" t="n"/>
      <c r="N167" s="669" t="n"/>
      <c r="O167" s="669" t="n"/>
      <c r="P167" s="669" t="n"/>
      <c r="Q167" s="669" t="n"/>
      <c r="R167" s="669" t="n"/>
      <c r="S167" s="669" t="n"/>
      <c r="T167" s="669" t="n"/>
      <c r="U167" s="669" t="n"/>
      <c r="V167" s="669" t="n"/>
      <c r="W167" s="669" t="n"/>
      <c r="X167" s="669" t="n"/>
      <c r="Y167" s="669" t="n"/>
      <c r="Z167" s="669" t="n"/>
    </row>
    <row r="168">
      <c r="A168" s="1091" t="n"/>
      <c r="B168" s="669" t="n"/>
      <c r="C168" s="669" t="n"/>
      <c r="D168" s="669" t="n"/>
      <c r="E168" s="669" t="n"/>
      <c r="F168" s="669" t="n"/>
      <c r="G168" s="669" t="n"/>
      <c r="H168" s="669" t="n"/>
      <c r="I168" s="669" t="n"/>
      <c r="J168" s="1095" t="n"/>
      <c r="K168" s="669" t="n"/>
      <c r="L168" s="669" t="n"/>
      <c r="M168" s="669" t="n"/>
      <c r="N168" s="669" t="n"/>
      <c r="O168" s="669" t="n"/>
      <c r="P168" s="669" t="n"/>
      <c r="Q168" s="669" t="n"/>
      <c r="R168" s="669" t="n"/>
      <c r="S168" s="669" t="n"/>
      <c r="T168" s="669" t="n"/>
      <c r="U168" s="669" t="n"/>
      <c r="V168" s="669" t="n"/>
      <c r="W168" s="669" t="n"/>
      <c r="X168" s="669" t="n"/>
      <c r="Y168" s="669" t="n"/>
      <c r="Z168" s="669" t="n"/>
    </row>
    <row r="169">
      <c r="A169" s="1091" t="n"/>
      <c r="B169" s="669" t="n"/>
      <c r="C169" s="669" t="n"/>
      <c r="D169" s="669" t="n"/>
      <c r="E169" s="669" t="n"/>
      <c r="F169" s="669" t="n"/>
      <c r="G169" s="669" t="n"/>
      <c r="H169" s="669" t="n"/>
      <c r="I169" s="669" t="n"/>
      <c r="J169" s="1095" t="n"/>
      <c r="K169" s="669" t="n"/>
      <c r="L169" s="669" t="n"/>
      <c r="M169" s="669" t="n"/>
      <c r="N169" s="669" t="n"/>
      <c r="O169" s="669" t="n"/>
      <c r="P169" s="669" t="n"/>
      <c r="Q169" s="669" t="n"/>
      <c r="R169" s="669" t="n"/>
      <c r="S169" s="669" t="n"/>
      <c r="T169" s="669" t="n"/>
      <c r="U169" s="669" t="n"/>
      <c r="V169" s="669" t="n"/>
      <c r="W169" s="669" t="n"/>
      <c r="X169" s="669" t="n"/>
      <c r="Y169" s="669" t="n"/>
      <c r="Z169" s="669" t="n"/>
    </row>
    <row r="170">
      <c r="A170" s="212" t="inlineStr">
        <is>
          <t>HARD</t>
        </is>
      </c>
      <c r="B170" s="406" t="inlineStr">
        <is>
          <t>Rarity</t>
        </is>
      </c>
      <c r="C170" s="406" t="inlineStr">
        <is>
          <t>Type</t>
        </is>
      </c>
      <c r="D170" s="406" t="inlineStr">
        <is>
          <t>Base</t>
        </is>
      </c>
      <c r="E170" s="406" t="inlineStr">
        <is>
          <t>Awakening Base</t>
        </is>
      </c>
      <c r="F170" s="406" t="inlineStr">
        <is>
          <t>Percentage</t>
        </is>
      </c>
      <c r="G170" s="406" t="inlineStr">
        <is>
          <t>Awakening Percentage</t>
        </is>
      </c>
      <c r="H170" s="406" t="inlineStr">
        <is>
          <t>Per Minion</t>
        </is>
      </c>
      <c r="I170" s="406" t="inlineStr">
        <is>
          <t>Per Minion Boost</t>
        </is>
      </c>
      <c r="J170" s="129" t="inlineStr">
        <is>
          <t>Source</t>
        </is>
      </c>
      <c r="K170" s="669" t="n"/>
      <c r="L170" s="669" t="n"/>
      <c r="M170" s="669" t="n"/>
      <c r="N170" s="669" t="n"/>
      <c r="O170" s="669" t="n"/>
      <c r="P170" s="669" t="n"/>
      <c r="Q170" s="669" t="n"/>
      <c r="R170" s="669" t="n"/>
      <c r="S170" s="669" t="n"/>
      <c r="T170" s="669" t="n"/>
      <c r="U170" s="669" t="n"/>
      <c r="V170" s="669" t="n"/>
      <c r="W170" s="669" t="n"/>
      <c r="X170" s="669" t="n"/>
      <c r="Y170" s="669" t="n"/>
      <c r="Z170" s="669" t="n"/>
    </row>
    <row r="171">
      <c r="A171" s="224" t="inlineStr">
        <is>
          <t>Chemical Bond Theory</t>
        </is>
      </c>
      <c r="B171" s="1037" t="inlineStr">
        <is>
          <t>SSS</t>
        </is>
      </c>
      <c r="C171" s="1037" t="inlineStr">
        <is>
          <t>TECH</t>
        </is>
      </c>
      <c r="D171" s="233" t="n">
        <v>48</v>
      </c>
      <c r="E171" s="233" t="n">
        <v>40</v>
      </c>
      <c r="F171" s="941" t="n"/>
      <c r="G171" s="941" t="n"/>
      <c r="H171" s="233" t="n">
        <v>60</v>
      </c>
      <c r="I171" s="231">
        <f>(D171+E171)/H171</f>
        <v/>
      </c>
      <c r="J171" s="232" t="inlineStr">
        <is>
          <t>Daily Silver Pack Relic #12</t>
        </is>
      </c>
      <c r="K171" s="669" t="n"/>
      <c r="L171" s="669" t="n"/>
      <c r="M171" s="669" t="n"/>
      <c r="N171" s="669" t="n"/>
      <c r="O171" s="669" t="n"/>
      <c r="P171" s="669" t="n"/>
      <c r="Q171" s="669" t="n"/>
      <c r="R171" s="669" t="n"/>
      <c r="S171" s="669" t="n"/>
      <c r="T171" s="669" t="n"/>
      <c r="U171" s="669" t="n"/>
      <c r="V171" s="669" t="n"/>
      <c r="W171" s="669" t="n"/>
      <c r="X171" s="669" t="n"/>
      <c r="Y171" s="669" t="n"/>
      <c r="Z171" s="669" t="n"/>
    </row>
    <row r="172">
      <c r="A172" s="224" t="inlineStr">
        <is>
          <t>Mischief Map</t>
        </is>
      </c>
      <c r="B172" s="1037" t="inlineStr">
        <is>
          <t>AAA</t>
        </is>
      </c>
      <c r="C172" s="1037" t="inlineStr">
        <is>
          <t>FAME</t>
        </is>
      </c>
      <c r="D172" s="233" t="n">
        <v>18</v>
      </c>
      <c r="E172" s="233" t="n">
        <v>14</v>
      </c>
      <c r="F172" s="941" t="n"/>
      <c r="G172" s="941" t="n"/>
      <c r="H172" s="233" t="n">
        <v>30</v>
      </c>
      <c r="I172" s="231">
        <f>(D172+E172)/H172</f>
        <v/>
      </c>
      <c r="J172" s="944" t="inlineStr">
        <is>
          <t>Domain Exploration Reward</t>
        </is>
      </c>
      <c r="K172" s="669" t="n"/>
      <c r="L172" s="669" t="n"/>
      <c r="M172" s="669" t="n"/>
      <c r="N172" s="669" t="n"/>
      <c r="O172" s="669" t="n"/>
      <c r="P172" s="669" t="n"/>
      <c r="Q172" s="669" t="n"/>
      <c r="R172" s="669" t="n"/>
      <c r="S172" s="669" t="n"/>
      <c r="T172" s="669" t="n"/>
      <c r="U172" s="669" t="n"/>
      <c r="V172" s="669" t="n"/>
      <c r="W172" s="669" t="n"/>
      <c r="X172" s="669" t="n"/>
      <c r="Y172" s="669" t="n"/>
      <c r="Z172" s="669" t="n"/>
    </row>
    <row r="173">
      <c r="A173" s="507" t="inlineStr">
        <is>
          <t>Lion-dogs Statue</t>
        </is>
      </c>
      <c r="B173" s="1037" t="inlineStr">
        <is>
          <t>AA</t>
        </is>
      </c>
      <c r="C173" s="1037" t="inlineStr">
        <is>
          <t>FTH</t>
        </is>
      </c>
      <c r="D173" s="267" t="n">
        <v>16</v>
      </c>
      <c r="E173" s="267" t="n">
        <v>14</v>
      </c>
      <c r="F173" s="934" t="n"/>
      <c r="G173" s="934" t="n"/>
      <c r="H173" s="267" t="n">
        <v>30</v>
      </c>
      <c r="I173" s="479">
        <f>(D173+E173)/H173</f>
        <v/>
      </c>
      <c r="J173" s="935" t="inlineStr">
        <is>
          <t>Museum Operation Reward</t>
        </is>
      </c>
      <c r="K173" s="669" t="n"/>
      <c r="L173" s="669" t="n"/>
      <c r="M173" s="669" t="n"/>
      <c r="N173" s="669" t="n"/>
      <c r="O173" s="669" t="n"/>
      <c r="P173" s="669" t="n"/>
      <c r="Q173" s="669" t="n"/>
      <c r="R173" s="669" t="n"/>
      <c r="S173" s="669" t="n"/>
      <c r="T173" s="669" t="n"/>
      <c r="U173" s="669" t="n"/>
      <c r="V173" s="669" t="n"/>
      <c r="W173" s="669" t="n"/>
      <c r="X173" s="669" t="n"/>
      <c r="Y173" s="669" t="n"/>
      <c r="Z173" s="669" t="n"/>
    </row>
    <row r="174">
      <c r="A174" s="246" t="inlineStr">
        <is>
          <t>Avesta</t>
        </is>
      </c>
      <c r="B174" s="1037" t="inlineStr">
        <is>
          <t>SSS</t>
        </is>
      </c>
      <c r="C174" s="1037" t="inlineStr">
        <is>
          <t>FTH</t>
        </is>
      </c>
      <c r="D174" s="210" t="n">
        <v>30</v>
      </c>
      <c r="E174" s="209" t="n">
        <v>30</v>
      </c>
      <c r="F174" s="209" t="n"/>
      <c r="G174" s="209" t="n"/>
      <c r="H174" s="210" t="n">
        <v>60</v>
      </c>
      <c r="I174" s="371">
        <f>(D174+E174)/H174</f>
        <v/>
      </c>
      <c r="J174" s="235" t="inlineStr">
        <is>
          <t>Daily Silver Pack Relic #7</t>
        </is>
      </c>
      <c r="K174" s="669" t="n"/>
      <c r="L174" s="669" t="n"/>
      <c r="M174" s="669" t="n"/>
      <c r="N174" s="669" t="n"/>
      <c r="O174" s="669" t="n"/>
      <c r="P174" s="669" t="n"/>
      <c r="Q174" s="669" t="n"/>
      <c r="R174" s="669" t="n"/>
      <c r="S174" s="669" t="n"/>
      <c r="T174" s="669" t="n"/>
      <c r="U174" s="669" t="n"/>
      <c r="V174" s="669" t="n"/>
      <c r="W174" s="669" t="n"/>
      <c r="X174" s="669" t="n"/>
      <c r="Y174" s="669" t="n"/>
      <c r="Z174" s="669" t="n"/>
    </row>
    <row r="175">
      <c r="A175" s="246" t="inlineStr">
        <is>
          <t>Brave New World</t>
        </is>
      </c>
      <c r="B175" s="425" t="inlineStr">
        <is>
          <t>SSS</t>
        </is>
      </c>
      <c r="C175" s="425" t="inlineStr">
        <is>
          <t>CIV</t>
        </is>
      </c>
      <c r="D175" s="210" t="n">
        <v>30</v>
      </c>
      <c r="E175" s="209" t="n">
        <v>30</v>
      </c>
      <c r="F175" s="210" t="n"/>
      <c r="G175" s="209" t="n"/>
      <c r="H175" s="210" t="n">
        <v>60</v>
      </c>
      <c r="I175" s="371">
        <f>(D175+E175)/H175</f>
        <v/>
      </c>
      <c r="J175" s="256" t="inlineStr">
        <is>
          <t>Daily Pack Relic #16</t>
        </is>
      </c>
      <c r="K175" s="669" t="n"/>
      <c r="L175" s="669" t="n"/>
      <c r="M175" s="669" t="n"/>
      <c r="N175" s="669" t="n"/>
      <c r="O175" s="669" t="n"/>
      <c r="P175" s="669" t="n"/>
      <c r="Q175" s="669" t="n"/>
      <c r="R175" s="669" t="n"/>
      <c r="S175" s="669" t="n"/>
      <c r="T175" s="669" t="n"/>
      <c r="U175" s="669" t="n"/>
      <c r="V175" s="669" t="n"/>
      <c r="W175" s="669" t="n"/>
      <c r="X175" s="669" t="n"/>
      <c r="Y175" s="669" t="n"/>
      <c r="Z175" s="669" t="n"/>
    </row>
    <row r="176">
      <c r="A176" s="246" t="inlineStr">
        <is>
          <t>Dead Sea Scrolls</t>
        </is>
      </c>
      <c r="B176" s="425" t="inlineStr">
        <is>
          <t>SSS</t>
        </is>
      </c>
      <c r="C176" s="425" t="inlineStr">
        <is>
          <t>CIV</t>
        </is>
      </c>
      <c r="D176" s="210" t="n">
        <v>30</v>
      </c>
      <c r="E176" s="209" t="n">
        <v>30</v>
      </c>
      <c r="F176" s="210" t="n"/>
      <c r="G176" s="209" t="n"/>
      <c r="H176" s="210" t="n">
        <v>60</v>
      </c>
      <c r="I176" s="371">
        <f>(D176+E176)/H176</f>
        <v/>
      </c>
      <c r="J176" s="256" t="inlineStr">
        <is>
          <t>Daily Pack Relic #13</t>
        </is>
      </c>
      <c r="K176" s="669" t="n"/>
      <c r="L176" s="669" t="n"/>
      <c r="M176" s="669" t="n"/>
      <c r="N176" s="669" t="n"/>
      <c r="O176" s="669" t="n"/>
      <c r="P176" s="669" t="n"/>
      <c r="Q176" s="669" t="n"/>
      <c r="R176" s="669" t="n"/>
      <c r="S176" s="669" t="n"/>
      <c r="T176" s="669" t="n"/>
      <c r="U176" s="669" t="n"/>
      <c r="V176" s="669" t="n"/>
      <c r="W176" s="669" t="n"/>
      <c r="X176" s="669" t="n"/>
      <c r="Y176" s="669" t="n"/>
      <c r="Z176" s="669" t="n"/>
    </row>
    <row r="177">
      <c r="A177" s="246" t="inlineStr">
        <is>
          <t>MUSE Award</t>
        </is>
      </c>
      <c r="B177" s="425" t="inlineStr">
        <is>
          <t>SSS</t>
        </is>
      </c>
      <c r="C177" s="425" t="inlineStr">
        <is>
          <t>CIV</t>
        </is>
      </c>
      <c r="D177" s="210" t="n">
        <v>30</v>
      </c>
      <c r="E177" s="209" t="n">
        <v>30</v>
      </c>
      <c r="F177" s="210" t="n"/>
      <c r="G177" s="209" t="n"/>
      <c r="H177" s="210" t="n">
        <v>60</v>
      </c>
      <c r="I177" s="371">
        <f>(D177+E177)/H177</f>
        <v/>
      </c>
      <c r="J177" s="256" t="inlineStr">
        <is>
          <t>Decor Award Relic #4</t>
        </is>
      </c>
      <c r="K177" s="669" t="n"/>
      <c r="L177" s="669" t="n"/>
      <c r="M177" s="669" t="n"/>
      <c r="N177" s="669" t="n"/>
      <c r="O177" s="669" t="n"/>
      <c r="P177" s="669" t="n"/>
      <c r="Q177" s="669" t="n"/>
      <c r="R177" s="669" t="n"/>
      <c r="S177" s="669" t="n"/>
      <c r="T177" s="669" t="n"/>
      <c r="U177" s="669" t="n"/>
      <c r="V177" s="669" t="n"/>
      <c r="W177" s="669" t="n"/>
      <c r="X177" s="669" t="n"/>
      <c r="Y177" s="669" t="n"/>
      <c r="Z177" s="669" t="n"/>
    </row>
    <row r="178">
      <c r="A178" s="246" t="inlineStr">
        <is>
          <t>Maya Mural</t>
        </is>
      </c>
      <c r="B178" s="425" t="inlineStr">
        <is>
          <t>SSS</t>
        </is>
      </c>
      <c r="C178" s="425" t="inlineStr">
        <is>
          <t>CIV</t>
        </is>
      </c>
      <c r="D178" s="210" t="n">
        <v>30</v>
      </c>
      <c r="E178" s="209" t="n">
        <v>30</v>
      </c>
      <c r="F178" s="210" t="n"/>
      <c r="G178" s="209" t="n"/>
      <c r="H178" s="210" t="n">
        <v>60</v>
      </c>
      <c r="I178" s="371">
        <f>(D178+E178)/H178</f>
        <v/>
      </c>
      <c r="J178" s="256" t="inlineStr">
        <is>
          <t>Star Chart Shop</t>
        </is>
      </c>
      <c r="K178" s="669" t="n"/>
      <c r="L178" s="669" t="n"/>
      <c r="M178" s="669" t="n"/>
      <c r="N178" s="669" t="n"/>
      <c r="O178" s="669" t="n"/>
      <c r="P178" s="669" t="n"/>
      <c r="Q178" s="669" t="n"/>
      <c r="R178" s="669" t="n"/>
      <c r="S178" s="669" t="n"/>
      <c r="T178" s="669" t="n"/>
      <c r="U178" s="669" t="n"/>
      <c r="V178" s="669" t="n"/>
      <c r="W178" s="669" t="n"/>
      <c r="X178" s="669" t="n"/>
      <c r="Y178" s="669" t="n"/>
      <c r="Z178" s="669" t="n"/>
    </row>
    <row r="179">
      <c r="A179" s="246" t="inlineStr">
        <is>
          <t>Quark Model</t>
        </is>
      </c>
      <c r="B179" s="425" t="inlineStr">
        <is>
          <t>SSS</t>
        </is>
      </c>
      <c r="C179" s="425" t="inlineStr">
        <is>
          <t>TECH</t>
        </is>
      </c>
      <c r="D179" s="210" t="n">
        <v>30</v>
      </c>
      <c r="E179" s="209" t="n">
        <v>30</v>
      </c>
      <c r="F179" s="210" t="n"/>
      <c r="G179" s="209" t="n"/>
      <c r="H179" s="210" t="n">
        <v>60</v>
      </c>
      <c r="I179" s="371">
        <f>(D179+E179)/H179</f>
        <v/>
      </c>
      <c r="J179" s="256" t="inlineStr">
        <is>
          <t>Lucky Box Reward Batch no. 8-14</t>
        </is>
      </c>
      <c r="K179" s="669" t="n"/>
      <c r="L179" s="669" t="n"/>
      <c r="M179" s="669" t="n"/>
      <c r="N179" s="669" t="n"/>
      <c r="O179" s="669" t="n"/>
      <c r="P179" s="669" t="n"/>
      <c r="Q179" s="669" t="n"/>
      <c r="R179" s="669" t="n"/>
      <c r="S179" s="669" t="n"/>
      <c r="T179" s="669" t="n"/>
      <c r="U179" s="669" t="n"/>
      <c r="V179" s="669" t="n"/>
      <c r="W179" s="669" t="n"/>
      <c r="X179" s="669" t="n"/>
      <c r="Y179" s="669" t="n"/>
      <c r="Z179" s="669" t="n"/>
    </row>
    <row r="180">
      <c r="A180" s="246" t="inlineStr">
        <is>
          <t>Napoleonic Code</t>
        </is>
      </c>
      <c r="B180" s="425" t="inlineStr">
        <is>
          <t>SSS</t>
        </is>
      </c>
      <c r="C180" s="425" t="inlineStr">
        <is>
          <t>FAME</t>
        </is>
      </c>
      <c r="D180" s="210" t="n">
        <v>30</v>
      </c>
      <c r="E180" s="209" t="n"/>
      <c r="F180" s="210" t="n"/>
      <c r="G180" s="209" t="n"/>
      <c r="H180" s="210" t="n">
        <v>60</v>
      </c>
      <c r="I180" s="371">
        <f>(D180+E180)/H180</f>
        <v/>
      </c>
      <c r="J180" s="256" t="inlineStr">
        <is>
          <t>Daily Pack Relic #11</t>
        </is>
      </c>
      <c r="K180" s="669" t="n"/>
      <c r="L180" s="669" t="n"/>
      <c r="M180" s="669" t="n"/>
      <c r="N180" s="669" t="n"/>
      <c r="O180" s="669" t="n"/>
      <c r="P180" s="669" t="n"/>
      <c r="Q180" s="669" t="n"/>
      <c r="R180" s="669" t="n"/>
      <c r="S180" s="669" t="n"/>
      <c r="T180" s="669" t="n"/>
      <c r="U180" s="669" t="n"/>
      <c r="V180" s="669" t="n"/>
      <c r="W180" s="669" t="n"/>
      <c r="X180" s="669" t="n"/>
      <c r="Y180" s="669" t="n"/>
      <c r="Z180" s="669" t="n"/>
    </row>
    <row r="181">
      <c r="A181" s="246" t="inlineStr">
        <is>
          <t>Olympic Torch</t>
        </is>
      </c>
      <c r="B181" s="425" t="inlineStr">
        <is>
          <t>SSS</t>
        </is>
      </c>
      <c r="C181" s="425" t="inlineStr">
        <is>
          <t>FAME</t>
        </is>
      </c>
      <c r="D181" s="210" t="n">
        <v>30</v>
      </c>
      <c r="E181" s="209" t="n"/>
      <c r="F181" s="210" t="n"/>
      <c r="G181" s="209" t="n"/>
      <c r="H181" s="210" t="n">
        <v>60</v>
      </c>
      <c r="I181" s="371">
        <f>(D181+E181)/H181</f>
        <v/>
      </c>
      <c r="J181" s="256" t="inlineStr">
        <is>
          <t>Wish Box Album Relic #3</t>
        </is>
      </c>
      <c r="K181" s="669" t="n"/>
      <c r="L181" s="669" t="n"/>
      <c r="M181" s="669" t="n"/>
      <c r="N181" s="669" t="n"/>
      <c r="O181" s="669" t="n"/>
      <c r="P181" s="669" t="n"/>
      <c r="Q181" s="669" t="n"/>
      <c r="R181" s="669" t="n"/>
      <c r="S181" s="669" t="n"/>
      <c r="T181" s="669" t="n"/>
      <c r="U181" s="669" t="n"/>
      <c r="V181" s="669" t="n"/>
      <c r="W181" s="669" t="n"/>
      <c r="X181" s="669" t="n"/>
      <c r="Y181" s="669" t="n"/>
      <c r="Z181" s="669" t="n"/>
    </row>
    <row r="182">
      <c r="A182" s="246" t="inlineStr">
        <is>
          <t>Gutenberg Press</t>
        </is>
      </c>
      <c r="B182" s="425" t="inlineStr">
        <is>
          <t>SSS</t>
        </is>
      </c>
      <c r="C182" s="425" t="inlineStr">
        <is>
          <t>CIV</t>
        </is>
      </c>
      <c r="D182" s="210" t="n">
        <v>30</v>
      </c>
      <c r="E182" s="209" t="n"/>
      <c r="F182" s="210" t="n"/>
      <c r="G182" s="209" t="n"/>
      <c r="H182" s="210" t="n">
        <v>60</v>
      </c>
      <c r="I182" s="371">
        <f>(D182+E182)/H182</f>
        <v/>
      </c>
      <c r="J182" s="256" t="inlineStr">
        <is>
          <t>Daily Pack Relic #9</t>
        </is>
      </c>
      <c r="K182" s="669" t="n"/>
      <c r="L182" s="669" t="n"/>
      <c r="M182" s="669" t="n"/>
      <c r="N182" s="669" t="n"/>
      <c r="O182" s="669" t="n"/>
      <c r="P182" s="669" t="n"/>
      <c r="Q182" s="669" t="n"/>
      <c r="R182" s="669" t="n"/>
      <c r="S182" s="669" t="n"/>
      <c r="T182" s="669" t="n"/>
      <c r="U182" s="669" t="n"/>
      <c r="V182" s="669" t="n"/>
      <c r="W182" s="669" t="n"/>
      <c r="X182" s="669" t="n"/>
      <c r="Y182" s="669" t="n"/>
      <c r="Z182" s="669" t="n"/>
    </row>
    <row r="183">
      <c r="A183" s="246" t="inlineStr">
        <is>
          <t>Hugo Award</t>
        </is>
      </c>
      <c r="B183" s="425" t="inlineStr">
        <is>
          <t>SSS</t>
        </is>
      </c>
      <c r="C183" s="425" t="inlineStr">
        <is>
          <t>FAME</t>
        </is>
      </c>
      <c r="D183" s="210" t="n">
        <v>30</v>
      </c>
      <c r="E183" s="209" t="n"/>
      <c r="F183" s="210" t="n"/>
      <c r="G183" s="209" t="n"/>
      <c r="H183" s="210" t="n">
        <v>60</v>
      </c>
      <c r="I183" s="371">
        <f>(D183+E183)/H183</f>
        <v/>
      </c>
      <c r="J183" s="256" t="inlineStr">
        <is>
          <t>Traveler's Pack Relic #4</t>
        </is>
      </c>
      <c r="K183" s="669" t="n"/>
      <c r="L183" s="669" t="n"/>
      <c r="M183" s="669" t="n"/>
      <c r="N183" s="669" t="n"/>
      <c r="O183" s="669" t="n"/>
      <c r="P183" s="669" t="n"/>
      <c r="Q183" s="669" t="n"/>
      <c r="R183" s="669" t="n"/>
      <c r="S183" s="669" t="n"/>
      <c r="T183" s="669" t="n"/>
      <c r="U183" s="669" t="n"/>
      <c r="V183" s="669" t="n"/>
      <c r="W183" s="669" t="n"/>
      <c r="X183" s="669" t="n"/>
      <c r="Y183" s="669" t="n"/>
      <c r="Z183" s="669" t="n"/>
    </row>
    <row r="184">
      <c r="A184" s="507" t="inlineStr">
        <is>
          <t>Britland Academy Award</t>
        </is>
      </c>
      <c r="B184" s="1037" t="inlineStr">
        <is>
          <t>Green</t>
        </is>
      </c>
      <c r="C184" s="1037" t="inlineStr">
        <is>
          <t>CIV</t>
        </is>
      </c>
      <c r="D184" s="934" t="n">
        <v>3</v>
      </c>
      <c r="E184" s="934" t="n"/>
      <c r="F184" s="934" t="n"/>
      <c r="G184" s="934" t="n"/>
      <c r="H184" s="934" t="n">
        <v>10</v>
      </c>
      <c r="I184" s="371">
        <f>(D184+E184)/H184</f>
        <v/>
      </c>
      <c r="J184" s="256" t="inlineStr">
        <is>
          <t>Relic Avatar Category S+ Reward</t>
        </is>
      </c>
      <c r="K184" s="669" t="n"/>
      <c r="L184" s="669" t="n"/>
      <c r="M184" s="669" t="n"/>
      <c r="N184" s="669" t="n"/>
      <c r="O184" s="669" t="n"/>
      <c r="P184" s="669" t="n"/>
      <c r="Q184" s="669" t="n"/>
      <c r="R184" s="669" t="n"/>
      <c r="S184" s="669" t="n"/>
      <c r="T184" s="669" t="n"/>
      <c r="U184" s="669" t="n"/>
      <c r="V184" s="669" t="n"/>
      <c r="W184" s="669" t="n"/>
      <c r="X184" s="669" t="n"/>
      <c r="Y184" s="669" t="n"/>
      <c r="Z184" s="669" t="n"/>
    </row>
    <row r="185">
      <c r="A185" s="357" t="n"/>
      <c r="B185" s="425" t="n"/>
      <c r="C185" s="934" t="n"/>
      <c r="D185" s="371" t="n"/>
      <c r="E185" s="371" t="n"/>
      <c r="F185" s="371" t="n"/>
      <c r="G185" s="425" t="n"/>
      <c r="H185" s="425" t="n"/>
      <c r="I185" s="371" t="n"/>
      <c r="J185" s="390" t="n"/>
      <c r="K185" s="669" t="n"/>
      <c r="L185" s="669" t="n"/>
      <c r="M185" s="669" t="n"/>
      <c r="N185" s="669" t="n"/>
      <c r="O185" s="669" t="n"/>
      <c r="P185" s="669" t="n"/>
      <c r="Q185" s="669" t="n"/>
      <c r="R185" s="669" t="n"/>
      <c r="S185" s="669" t="n"/>
      <c r="T185" s="669" t="n"/>
      <c r="U185" s="669" t="n"/>
      <c r="V185" s="669" t="n"/>
      <c r="W185" s="669" t="n"/>
      <c r="X185" s="669" t="n"/>
      <c r="Y185" s="669" t="n"/>
      <c r="Z185" s="669" t="n"/>
    </row>
    <row r="186">
      <c r="A186" s="357" t="inlineStr">
        <is>
          <t>Resonance: Orange</t>
        </is>
      </c>
      <c r="B186" s="425" t="n"/>
      <c r="C186" s="934" t="n"/>
      <c r="D186" s="371" t="n">
        <v>24</v>
      </c>
      <c r="E186" s="371" t="n"/>
      <c r="F186" s="371" t="n"/>
      <c r="G186" s="425" t="n"/>
      <c r="H186" s="425" t="n">
        <v>60</v>
      </c>
      <c r="I186" s="371">
        <f>(D186+E186)/H186</f>
        <v/>
      </c>
      <c r="J186" s="390" t="n"/>
      <c r="K186" s="669" t="n"/>
      <c r="L186" s="669" t="n"/>
      <c r="M186" s="669" t="n"/>
      <c r="N186" s="669" t="n"/>
      <c r="O186" s="669" t="n"/>
      <c r="P186" s="669" t="n"/>
      <c r="Q186" s="669" t="n"/>
      <c r="R186" s="669" t="n"/>
      <c r="S186" s="669" t="n"/>
      <c r="T186" s="669" t="n"/>
      <c r="U186" s="669" t="n"/>
      <c r="V186" s="669" t="n"/>
      <c r="W186" s="669" t="n"/>
      <c r="X186" s="669" t="n"/>
      <c r="Y186" s="669" t="n"/>
      <c r="Z186" s="669" t="n"/>
    </row>
    <row r="187">
      <c r="A187" s="357" t="inlineStr">
        <is>
          <t xml:space="preserve">  Napoleonic Code</t>
        </is>
      </c>
      <c r="B187" s="425" t="inlineStr">
        <is>
          <t>SSS</t>
        </is>
      </c>
      <c r="C187" s="425" t="inlineStr">
        <is>
          <t>FAME</t>
        </is>
      </c>
      <c r="D187" s="371" t="n"/>
      <c r="E187" s="371" t="n"/>
      <c r="F187" s="371" t="n"/>
      <c r="G187" s="425" t="n"/>
      <c r="H187" s="425" t="n"/>
      <c r="I187" s="425" t="n"/>
      <c r="J187" s="256" t="inlineStr">
        <is>
          <t>Daily Pack Relic #11</t>
        </is>
      </c>
      <c r="K187" s="669" t="n"/>
      <c r="L187" s="669" t="n"/>
      <c r="M187" s="669" t="n"/>
      <c r="N187" s="669" t="n"/>
      <c r="O187" s="669" t="n"/>
      <c r="P187" s="669" t="n"/>
      <c r="Q187" s="669" t="n"/>
      <c r="R187" s="669" t="n"/>
      <c r="S187" s="669" t="n"/>
      <c r="T187" s="669" t="n"/>
      <c r="U187" s="669" t="n"/>
      <c r="V187" s="669" t="n"/>
      <c r="W187" s="669" t="n"/>
      <c r="X187" s="669" t="n"/>
      <c r="Y187" s="669" t="n"/>
      <c r="Z187" s="669" t="n"/>
    </row>
    <row r="188">
      <c r="A188" s="357" t="inlineStr">
        <is>
          <t xml:space="preserve">  Encyclopedia</t>
        </is>
      </c>
      <c r="B188" s="425" t="inlineStr">
        <is>
          <t>SSS</t>
        </is>
      </c>
      <c r="C188" s="425" t="inlineStr">
        <is>
          <t>FAME</t>
        </is>
      </c>
      <c r="D188" s="371" t="n"/>
      <c r="E188" s="371" t="n"/>
      <c r="F188" s="371" t="n"/>
      <c r="G188" s="425" t="n"/>
      <c r="H188" s="425" t="n"/>
      <c r="I188" s="425" t="n"/>
      <c r="J188" s="235" t="inlineStr">
        <is>
          <t>Wish Box, Lottery Machine #1 (0.09%), Wishing (0.09%), Grandmaster Scrolls (0.81%), Relic Forge (120 Relic RF)</t>
        </is>
      </c>
      <c r="K188" s="669" t="n"/>
      <c r="L188" s="669" t="n"/>
      <c r="M188" s="669" t="n"/>
      <c r="N188" s="669" t="n"/>
      <c r="O188" s="669" t="n"/>
      <c r="P188" s="669" t="n"/>
      <c r="Q188" s="669" t="n"/>
      <c r="R188" s="669" t="n"/>
      <c r="S188" s="669" t="n"/>
      <c r="T188" s="669" t="n"/>
      <c r="U188" s="669" t="n"/>
      <c r="V188" s="669" t="n"/>
      <c r="W188" s="669" t="n"/>
      <c r="X188" s="669" t="n"/>
      <c r="Y188" s="669" t="n"/>
      <c r="Z188" s="669" t="n"/>
    </row>
    <row r="189">
      <c r="A189" s="246" t="inlineStr">
        <is>
          <t xml:space="preserve">  Divine Comedy</t>
        </is>
      </c>
      <c r="B189" s="425" t="inlineStr">
        <is>
          <t>SSS</t>
        </is>
      </c>
      <c r="C189" s="425" t="inlineStr">
        <is>
          <t>CIV</t>
        </is>
      </c>
      <c r="D189" s="210" t="n"/>
      <c r="E189" s="209" t="n"/>
      <c r="F189" s="210" t="n"/>
      <c r="G189" s="209" t="n"/>
      <c r="H189" s="209" t="n"/>
      <c r="I189" s="200" t="n"/>
      <c r="J189" s="256" t="inlineStr">
        <is>
          <t>Lottery Machine #1 (0.09%), Wishing (0.08%), Grandmaster Scrolls (0.81%), Relic Forge (120 Relic RF)</t>
        </is>
      </c>
      <c r="K189" s="669" t="n"/>
      <c r="L189" s="669" t="n"/>
      <c r="M189" s="669" t="n"/>
      <c r="N189" s="669" t="n"/>
      <c r="O189" s="669" t="n"/>
      <c r="P189" s="669" t="n"/>
      <c r="Q189" s="669" t="n"/>
      <c r="R189" s="669" t="n"/>
      <c r="S189" s="669" t="n"/>
      <c r="T189" s="669" t="n"/>
      <c r="U189" s="669" t="n"/>
      <c r="V189" s="669" t="n"/>
      <c r="W189" s="669" t="n"/>
      <c r="X189" s="669" t="n"/>
      <c r="Y189" s="669" t="n"/>
      <c r="Z189" s="669" t="n"/>
    </row>
    <row r="190">
      <c r="A190" s="357" t="inlineStr">
        <is>
          <t>Resonance: Purple</t>
        </is>
      </c>
      <c r="B190" s="425" t="n"/>
      <c r="C190" s="934" t="n"/>
      <c r="D190" s="371" t="n">
        <v>9</v>
      </c>
      <c r="E190" s="371" t="n"/>
      <c r="F190" s="371" t="n"/>
      <c r="G190" s="425" t="n"/>
      <c r="H190" s="425" t="n">
        <v>30</v>
      </c>
      <c r="I190" s="371">
        <f>(D190+E190)/H190</f>
        <v/>
      </c>
      <c r="J190" s="390" t="n"/>
      <c r="K190" s="669" t="n"/>
      <c r="L190" s="669" t="n"/>
      <c r="M190" s="669" t="n"/>
      <c r="N190" s="669" t="n"/>
      <c r="O190" s="669" t="n"/>
      <c r="P190" s="669" t="n"/>
      <c r="Q190" s="669" t="n"/>
      <c r="R190" s="669" t="n"/>
      <c r="S190" s="669" t="n"/>
      <c r="T190" s="669" t="n"/>
      <c r="U190" s="669" t="n"/>
      <c r="V190" s="669" t="n"/>
      <c r="W190" s="669" t="n"/>
      <c r="X190" s="669" t="n"/>
      <c r="Y190" s="669" t="n"/>
      <c r="Z190" s="669" t="n"/>
    </row>
    <row r="191">
      <c r="A191" s="357" t="inlineStr">
        <is>
          <t xml:space="preserve">  Hope Diamond</t>
        </is>
      </c>
      <c r="B191" s="425" t="inlineStr">
        <is>
          <t>AAA</t>
        </is>
      </c>
      <c r="C191" s="425" t="inlineStr">
        <is>
          <t>ART</t>
        </is>
      </c>
      <c r="D191" s="371" t="n"/>
      <c r="E191" s="371" t="n"/>
      <c r="F191" s="371" t="n"/>
      <c r="G191" s="425" t="n"/>
      <c r="H191" s="425" t="n"/>
      <c r="I191" s="425" t="n"/>
      <c r="J191" s="386" t="inlineStr">
        <is>
          <t>Fragment Crafting (1.6%), Lottery Machine #1 (0.03%), Wishing (0.14%), Club Chest (1.5%), Relic Forge (80 Relic RF)</t>
        </is>
      </c>
      <c r="K191" s="669" t="n"/>
      <c r="L191" s="669" t="n"/>
      <c r="M191" s="669" t="n"/>
      <c r="N191" s="669" t="n"/>
      <c r="O191" s="669" t="n"/>
      <c r="P191" s="669" t="n"/>
      <c r="Q191" s="669" t="n"/>
      <c r="R191" s="669" t="n"/>
      <c r="S191" s="669" t="n"/>
      <c r="T191" s="669" t="n"/>
      <c r="U191" s="669" t="n"/>
      <c r="V191" s="669" t="n"/>
      <c r="W191" s="669" t="n"/>
      <c r="X191" s="669" t="n"/>
      <c r="Y191" s="669" t="n"/>
      <c r="Z191" s="669" t="n"/>
    </row>
    <row r="192">
      <c r="A192" s="357" t="inlineStr">
        <is>
          <t xml:space="preserve">  Koryeon Sutra</t>
        </is>
      </c>
      <c r="B192" s="425" t="inlineStr">
        <is>
          <t>AAA</t>
        </is>
      </c>
      <c r="C192" s="425" t="inlineStr">
        <is>
          <t>CIV</t>
        </is>
      </c>
      <c r="D192" s="371" t="n"/>
      <c r="E192" s="371" t="n"/>
      <c r="F192" s="371" t="n"/>
      <c r="G192" s="425" t="n"/>
      <c r="H192" s="425" t="n"/>
      <c r="I192" s="425" t="n"/>
      <c r="J192" s="235" t="inlineStr">
        <is>
          <t>Fragment Crafting (1.5%), Lottery Machine #1 (0.03%), Wishing (0.14%), Koryeon Treasure Maps (10%), Relic Forge (80 Relic RF)</t>
        </is>
      </c>
      <c r="K192" s="669" t="n"/>
      <c r="L192" s="669" t="n"/>
      <c r="M192" s="669" t="n"/>
      <c r="N192" s="669" t="n"/>
      <c r="O192" s="669" t="n"/>
      <c r="P192" s="669" t="n"/>
      <c r="Q192" s="669" t="n"/>
      <c r="R192" s="669" t="n"/>
      <c r="S192" s="669" t="n"/>
      <c r="T192" s="669" t="n"/>
      <c r="U192" s="669" t="n"/>
      <c r="V192" s="669" t="n"/>
      <c r="W192" s="669" t="n"/>
      <c r="X192" s="669" t="n"/>
      <c r="Y192" s="669" t="n"/>
      <c r="Z192" s="669" t="n"/>
    </row>
    <row r="193">
      <c r="A193" s="246" t="inlineStr">
        <is>
          <t xml:space="preserve">  Otto Engine</t>
        </is>
      </c>
      <c r="B193" s="425" t="inlineStr">
        <is>
          <t>AAA</t>
        </is>
      </c>
      <c r="C193" s="425" t="inlineStr">
        <is>
          <t>TECH</t>
        </is>
      </c>
      <c r="D193" s="210" t="n"/>
      <c r="E193" s="209" t="n"/>
      <c r="F193" s="210" t="n"/>
      <c r="G193" s="209" t="n"/>
      <c r="H193" s="209" t="n"/>
      <c r="I193" s="200" t="n"/>
      <c r="J193" s="256" t="inlineStr">
        <is>
          <t>Fragment Crafting (1.6%), Lottery Machine #1 (0.03%), Wishing (0.14%), Tool Chest (1.5%), Relic Forge (80 Relic RF)</t>
        </is>
      </c>
      <c r="K193" s="669" t="n"/>
      <c r="L193" s="669" t="n"/>
      <c r="M193" s="669" t="n"/>
      <c r="N193" s="669" t="n"/>
      <c r="O193" s="669" t="n"/>
      <c r="P193" s="669" t="n"/>
      <c r="Q193" s="669" t="n"/>
      <c r="R193" s="669" t="n"/>
      <c r="S193" s="669" t="n"/>
      <c r="T193" s="669" t="n"/>
      <c r="U193" s="669" t="n"/>
      <c r="V193" s="669" t="n"/>
      <c r="W193" s="669" t="n"/>
      <c r="X193" s="669" t="n"/>
      <c r="Y193" s="669" t="n"/>
      <c r="Z193" s="669" t="n"/>
    </row>
    <row r="194">
      <c r="A194" s="357" t="inlineStr">
        <is>
          <t>Resonance: Orange</t>
        </is>
      </c>
      <c r="B194" s="425" t="n"/>
      <c r="C194" s="934" t="n"/>
      <c r="D194" s="371" t="n"/>
      <c r="E194" s="371" t="n"/>
      <c r="F194" s="371" t="n">
        <v>1.2</v>
      </c>
      <c r="G194" s="425" t="n"/>
      <c r="H194" s="425" t="n"/>
      <c r="I194" s="371" t="n"/>
      <c r="J194" s="390" t="n"/>
      <c r="K194" s="669" t="n"/>
      <c r="L194" s="669" t="n"/>
      <c r="M194" s="669" t="n"/>
      <c r="N194" s="669" t="n"/>
      <c r="O194" s="669" t="n"/>
      <c r="P194" s="669" t="n"/>
      <c r="Q194" s="669" t="n"/>
      <c r="R194" s="669" t="n"/>
      <c r="S194" s="669" t="n"/>
      <c r="T194" s="669" t="n"/>
      <c r="U194" s="669" t="n"/>
      <c r="V194" s="669" t="n"/>
      <c r="W194" s="669" t="n"/>
      <c r="X194" s="669" t="n"/>
      <c r="Y194" s="669" t="n"/>
      <c r="Z194" s="669" t="n"/>
    </row>
    <row r="195">
      <c r="A195" s="357" t="inlineStr">
        <is>
          <t xml:space="preserve">  Rutherford Model</t>
        </is>
      </c>
      <c r="B195" s="425" t="inlineStr">
        <is>
          <t>SS</t>
        </is>
      </c>
      <c r="C195" s="425" t="inlineStr">
        <is>
          <t>TECH</t>
        </is>
      </c>
      <c r="D195" s="371" t="n"/>
      <c r="E195" s="371" t="n"/>
      <c r="F195" s="371" t="n"/>
      <c r="G195" s="425" t="n"/>
      <c r="H195" s="425" t="n"/>
      <c r="I195" s="425" t="n"/>
      <c r="J195" s="386" t="inlineStr">
        <is>
          <t>Lottery Machine #2 (0.23%)</t>
        </is>
      </c>
      <c r="K195" s="669" t="n"/>
      <c r="L195" s="669" t="n"/>
      <c r="M195" s="669" t="n"/>
      <c r="N195" s="669" t="n"/>
      <c r="O195" s="669" t="n"/>
      <c r="P195" s="669" t="n"/>
      <c r="Q195" s="669" t="n"/>
      <c r="R195" s="669" t="n"/>
      <c r="S195" s="669" t="n"/>
      <c r="T195" s="669" t="n"/>
      <c r="U195" s="669" t="n"/>
      <c r="V195" s="669" t="n"/>
      <c r="W195" s="669" t="n"/>
      <c r="X195" s="669" t="n"/>
      <c r="Y195" s="669" t="n"/>
      <c r="Z195" s="669" t="n"/>
    </row>
    <row r="196">
      <c r="A196" s="357" t="inlineStr">
        <is>
          <t xml:space="preserve">  Avesta</t>
        </is>
      </c>
      <c r="B196" s="425" t="inlineStr">
        <is>
          <t>SSS</t>
        </is>
      </c>
      <c r="C196" s="425" t="inlineStr">
        <is>
          <t>FTH</t>
        </is>
      </c>
      <c r="D196" s="371" t="n"/>
      <c r="E196" s="371" t="n"/>
      <c r="F196" s="371" t="n"/>
      <c r="G196" s="425" t="n"/>
      <c r="H196" s="425" t="n"/>
      <c r="I196" s="425" t="n"/>
      <c r="J196" s="235" t="inlineStr">
        <is>
          <t>Daily Silver Pack Relic #7</t>
        </is>
      </c>
      <c r="K196" s="669" t="n"/>
      <c r="L196" s="669" t="n"/>
      <c r="M196" s="669" t="n"/>
      <c r="N196" s="669" t="n"/>
      <c r="O196" s="669" t="n"/>
      <c r="P196" s="669" t="n"/>
      <c r="Q196" s="669" t="n"/>
      <c r="R196" s="669" t="n"/>
      <c r="S196" s="669" t="n"/>
      <c r="T196" s="669" t="n"/>
      <c r="U196" s="669" t="n"/>
      <c r="V196" s="669" t="n"/>
      <c r="W196" s="669" t="n"/>
      <c r="X196" s="669" t="n"/>
      <c r="Y196" s="669" t="n"/>
      <c r="Z196" s="669" t="n"/>
    </row>
    <row r="197">
      <c r="A197" s="246" t="inlineStr">
        <is>
          <t xml:space="preserve">  Don Quixote</t>
        </is>
      </c>
      <c r="B197" s="425" t="inlineStr">
        <is>
          <t>SSS</t>
        </is>
      </c>
      <c r="C197" s="425" t="inlineStr">
        <is>
          <t>CIV</t>
        </is>
      </c>
      <c r="D197" s="210" t="n"/>
      <c r="E197" s="209" t="n"/>
      <c r="F197" s="210" t="n"/>
      <c r="G197" s="209" t="n"/>
      <c r="H197" s="209" t="n"/>
      <c r="I197" s="200" t="n"/>
      <c r="J197" s="256" t="inlineStr">
        <is>
          <t>Badge Shop</t>
        </is>
      </c>
      <c r="K197" s="669" t="n"/>
      <c r="L197" s="669" t="n"/>
      <c r="M197" s="669" t="n"/>
      <c r="N197" s="669" t="n"/>
      <c r="O197" s="669" t="n"/>
      <c r="P197" s="669" t="n"/>
      <c r="Q197" s="669" t="n"/>
      <c r="R197" s="669" t="n"/>
      <c r="S197" s="669" t="n"/>
      <c r="T197" s="669" t="n"/>
      <c r="U197" s="669" t="n"/>
      <c r="V197" s="669" t="n"/>
      <c r="W197" s="669" t="n"/>
      <c r="X197" s="669" t="n"/>
      <c r="Y197" s="669" t="n"/>
      <c r="Z197" s="669" t="n"/>
    </row>
    <row r="198">
      <c r="A198" s="246" t="inlineStr">
        <is>
          <t xml:space="preserve">  La Marseillaise</t>
        </is>
      </c>
      <c r="B198" s="425" t="inlineStr">
        <is>
          <t>SSS</t>
        </is>
      </c>
      <c r="C198" s="425" t="inlineStr">
        <is>
          <t>ART</t>
        </is>
      </c>
      <c r="D198" s="210" t="n"/>
      <c r="E198" s="209" t="n"/>
      <c r="F198" s="210" t="n"/>
      <c r="G198" s="209" t="n"/>
      <c r="H198" s="209" t="n"/>
      <c r="I198" s="200" t="n"/>
      <c r="J198" s="256" t="inlineStr">
        <is>
          <t>Star Chart Shop</t>
        </is>
      </c>
      <c r="K198" s="669" t="n"/>
      <c r="L198" s="669" t="n"/>
      <c r="M198" s="669" t="n"/>
      <c r="N198" s="669" t="n"/>
      <c r="O198" s="669" t="n"/>
      <c r="P198" s="669" t="n"/>
      <c r="Q198" s="669" t="n"/>
      <c r="R198" s="669" t="n"/>
      <c r="S198" s="669" t="n"/>
      <c r="T198" s="669" t="n"/>
      <c r="U198" s="669" t="n"/>
      <c r="V198" s="669" t="n"/>
      <c r="W198" s="669" t="n"/>
      <c r="X198" s="669" t="n"/>
      <c r="Y198" s="669" t="n"/>
      <c r="Z198" s="669" t="n"/>
    </row>
    <row r="199">
      <c r="A199" s="246" t="inlineStr">
        <is>
          <t xml:space="preserve">  Olympic Torch</t>
        </is>
      </c>
      <c r="B199" s="425" t="inlineStr">
        <is>
          <t>SSS</t>
        </is>
      </c>
      <c r="C199" s="425" t="inlineStr">
        <is>
          <t>FAME</t>
        </is>
      </c>
      <c r="D199" s="210" t="n"/>
      <c r="E199" s="209" t="n"/>
      <c r="F199" s="210" t="n"/>
      <c r="G199" s="209" t="n"/>
      <c r="H199" s="209" t="n"/>
      <c r="I199" s="200" t="n"/>
      <c r="J199" s="256" t="inlineStr">
        <is>
          <t>Wish Box Album Relic #3</t>
        </is>
      </c>
      <c r="K199" s="669" t="n"/>
      <c r="L199" s="669" t="n"/>
      <c r="M199" s="669" t="n"/>
      <c r="N199" s="669" t="n"/>
      <c r="O199" s="669" t="n"/>
      <c r="P199" s="669" t="n"/>
      <c r="Q199" s="669" t="n"/>
      <c r="R199" s="669" t="n"/>
      <c r="S199" s="669" t="n"/>
      <c r="T199" s="669" t="n"/>
      <c r="U199" s="669" t="n"/>
      <c r="V199" s="669" t="n"/>
      <c r="W199" s="669" t="n"/>
      <c r="X199" s="669" t="n"/>
      <c r="Y199" s="669" t="n"/>
      <c r="Z199" s="669" t="n"/>
    </row>
    <row r="200">
      <c r="A200" s="246" t="inlineStr">
        <is>
          <t xml:space="preserve">  Parker Solar Probe</t>
        </is>
      </c>
      <c r="B200" s="425" t="inlineStr">
        <is>
          <t>SSS</t>
        </is>
      </c>
      <c r="C200" s="425" t="inlineStr">
        <is>
          <t>TECH</t>
        </is>
      </c>
      <c r="D200" s="210" t="n"/>
      <c r="E200" s="209" t="n"/>
      <c r="F200" s="210" t="n"/>
      <c r="G200" s="209" t="n"/>
      <c r="H200" s="209" t="n"/>
      <c r="I200" s="200" t="n"/>
      <c r="J200" s="386" t="inlineStr">
        <is>
          <t>Indigent Nobleman (810K B-tads), Lottery Machine #2 (0.11%)</t>
        </is>
      </c>
      <c r="K200" s="669" t="n"/>
      <c r="L200" s="669" t="n"/>
      <c r="M200" s="669" t="n"/>
      <c r="N200" s="669" t="n"/>
      <c r="O200" s="669" t="n"/>
      <c r="P200" s="669" t="n"/>
      <c r="Q200" s="669" t="n"/>
      <c r="R200" s="669" t="n"/>
      <c r="S200" s="669" t="n"/>
      <c r="T200" s="669" t="n"/>
      <c r="U200" s="669" t="n"/>
      <c r="V200" s="669" t="n"/>
      <c r="W200" s="669" t="n"/>
      <c r="X200" s="669" t="n"/>
      <c r="Y200" s="669" t="n"/>
      <c r="Z200" s="669" t="n"/>
    </row>
    <row r="201">
      <c r="A201" s="272" t="inlineStr">
        <is>
          <t>TOTAL HARD</t>
        </is>
      </c>
      <c r="B201" s="214" t="n"/>
      <c r="C201" s="214" t="n"/>
      <c r="D201" s="215" t="n"/>
      <c r="E201" s="214" t="n"/>
      <c r="F201" s="215">
        <f>sum(F171:G200)</f>
        <v/>
      </c>
      <c r="G201" s="214" t="n"/>
      <c r="H201" s="214" t="n"/>
      <c r="I201" s="228">
        <f>sum(I171:I200)</f>
        <v/>
      </c>
      <c r="J201" s="216" t="n"/>
      <c r="K201" s="669" t="n"/>
      <c r="L201" s="669" t="n"/>
      <c r="M201" s="669" t="n"/>
      <c r="N201" s="669" t="n"/>
      <c r="O201" s="669" t="n"/>
      <c r="P201" s="669" t="n"/>
      <c r="Q201" s="669" t="n"/>
      <c r="R201" s="669" t="n"/>
      <c r="S201" s="669" t="n"/>
      <c r="T201" s="669" t="n"/>
      <c r="U201" s="669" t="n"/>
      <c r="V201" s="669" t="n"/>
      <c r="W201" s="669" t="n"/>
      <c r="X201" s="669" t="n"/>
      <c r="Y201" s="669" t="n"/>
      <c r="Z201" s="669" t="n"/>
    </row>
    <row r="202">
      <c r="A202" s="669" t="n"/>
      <c r="B202" s="669" t="n"/>
      <c r="C202" s="669" t="n"/>
      <c r="D202" s="669" t="n"/>
      <c r="E202" s="669" t="n"/>
      <c r="F202" s="669" t="n"/>
      <c r="G202" s="669" t="n"/>
      <c r="H202" s="669" t="n"/>
      <c r="I202" s="669" t="n"/>
      <c r="J202" s="669" t="n"/>
      <c r="K202" s="669" t="n"/>
      <c r="L202" s="669" t="n"/>
      <c r="M202" s="669" t="n"/>
      <c r="N202" s="669" t="n"/>
      <c r="O202" s="669" t="n"/>
      <c r="P202" s="669" t="n"/>
      <c r="Q202" s="669" t="n"/>
      <c r="R202" s="669" t="n"/>
      <c r="S202" s="669" t="n"/>
      <c r="T202" s="669" t="n"/>
      <c r="U202" s="669" t="n"/>
      <c r="V202" s="669" t="n"/>
      <c r="W202" s="669" t="n"/>
      <c r="X202" s="669" t="n"/>
      <c r="Y202" s="669" t="n"/>
      <c r="Z202" s="669" t="n"/>
    </row>
    <row r="203">
      <c r="A203" s="669" t="n"/>
      <c r="B203" s="669" t="n"/>
      <c r="C203" s="669" t="n"/>
      <c r="D203" s="669" t="n"/>
      <c r="E203" s="669" t="n"/>
      <c r="F203" s="669" t="n"/>
      <c r="G203" s="669" t="n"/>
      <c r="H203" s="669" t="n"/>
      <c r="I203" s="669" t="n"/>
      <c r="J203" s="669" t="n"/>
      <c r="K203" s="669" t="n"/>
      <c r="L203" s="669" t="n"/>
      <c r="M203" s="669" t="n"/>
      <c r="N203" s="669" t="n"/>
      <c r="O203" s="669" t="n"/>
      <c r="P203" s="669" t="n"/>
      <c r="Q203" s="669" t="n"/>
      <c r="R203" s="669" t="n"/>
      <c r="S203" s="669" t="n"/>
      <c r="T203" s="669" t="n"/>
      <c r="U203" s="669" t="n"/>
      <c r="V203" s="669" t="n"/>
      <c r="W203" s="669" t="n"/>
      <c r="X203" s="669" t="n"/>
      <c r="Y203" s="669" t="n"/>
      <c r="Z203" s="669" t="n"/>
    </row>
    <row r="204">
      <c r="A204" s="669" t="n"/>
      <c r="B204" s="669" t="n"/>
      <c r="C204" s="669" t="n"/>
      <c r="D204" s="669" t="n"/>
      <c r="E204" s="669" t="n"/>
      <c r="F204" s="669" t="n"/>
      <c r="G204" s="669" t="n"/>
      <c r="H204" s="669" t="n"/>
      <c r="I204" s="669" t="n"/>
      <c r="J204" s="669" t="n"/>
      <c r="K204" s="669" t="n"/>
      <c r="L204" s="669" t="n"/>
      <c r="M204" s="669" t="n"/>
      <c r="N204" s="669" t="n"/>
      <c r="O204" s="669" t="n"/>
      <c r="P204" s="669" t="n"/>
      <c r="Q204" s="669" t="n"/>
      <c r="R204" s="669" t="n"/>
      <c r="S204" s="669" t="n"/>
      <c r="T204" s="669" t="n"/>
      <c r="U204" s="669" t="n"/>
      <c r="V204" s="669" t="n"/>
      <c r="W204" s="669" t="n"/>
      <c r="X204" s="669" t="n"/>
      <c r="Y204" s="669" t="n"/>
      <c r="Z204" s="669" t="n"/>
    </row>
    <row r="205">
      <c r="A205" s="669" t="n"/>
      <c r="B205" s="669" t="n"/>
      <c r="C205" s="669" t="n"/>
      <c r="D205" s="669" t="n"/>
      <c r="E205" s="669" t="n"/>
      <c r="F205" s="669" t="n"/>
      <c r="G205" s="669" t="n"/>
      <c r="H205" s="669" t="n"/>
      <c r="I205" s="669" t="n"/>
      <c r="J205" s="669" t="n"/>
      <c r="K205" s="669" t="n"/>
      <c r="L205" s="669" t="n"/>
      <c r="M205" s="669" t="n"/>
      <c r="N205" s="669" t="n"/>
      <c r="O205" s="669" t="n"/>
      <c r="P205" s="669" t="n"/>
      <c r="Q205" s="669" t="n"/>
      <c r="R205" s="669" t="n"/>
      <c r="S205" s="669" t="n"/>
      <c r="T205" s="669" t="n"/>
      <c r="U205" s="669" t="n"/>
      <c r="V205" s="669" t="n"/>
      <c r="W205" s="669" t="n"/>
      <c r="X205" s="669" t="n"/>
      <c r="Y205" s="669" t="n"/>
      <c r="Z205" s="669" t="n"/>
    </row>
    <row r="206">
      <c r="A206" s="236" t="inlineStr">
        <is>
          <t>ZOMBIE</t>
        </is>
      </c>
      <c r="B206" s="237" t="n"/>
      <c r="C206" s="237" t="n"/>
      <c r="D206" s="237" t="n"/>
      <c r="E206" s="237" t="n"/>
      <c r="F206" s="237" t="n"/>
      <c r="G206" s="237" t="n"/>
      <c r="H206" s="237" t="n"/>
      <c r="I206" s="237" t="n"/>
      <c r="J206" s="238" t="n"/>
      <c r="K206" s="669" t="n"/>
      <c r="L206" s="669" t="n"/>
      <c r="M206" s="669" t="n"/>
      <c r="N206" s="669" t="n"/>
      <c r="O206" s="669" t="n"/>
      <c r="P206" s="669" t="n"/>
      <c r="Q206" s="669" t="n"/>
      <c r="R206" s="669" t="n"/>
      <c r="S206" s="669" t="n"/>
      <c r="T206" s="669" t="n"/>
      <c r="U206" s="669" t="n"/>
      <c r="V206" s="669" t="n"/>
      <c r="W206" s="669" t="n"/>
      <c r="X206" s="669" t="n"/>
      <c r="Y206" s="669" t="n"/>
      <c r="Z206" s="669" t="n"/>
    </row>
    <row r="207">
      <c r="A207" s="344" t="inlineStr">
        <is>
          <t>HP</t>
        </is>
      </c>
      <c r="B207" s="406" t="inlineStr">
        <is>
          <t>Rarity</t>
        </is>
      </c>
      <c r="C207" s="406" t="inlineStr">
        <is>
          <t>Type</t>
        </is>
      </c>
      <c r="D207" s="406" t="inlineStr">
        <is>
          <t>Base</t>
        </is>
      </c>
      <c r="E207" s="406" t="inlineStr">
        <is>
          <t>Awakening Base</t>
        </is>
      </c>
      <c r="F207" s="406" t="inlineStr">
        <is>
          <t>Percentage</t>
        </is>
      </c>
      <c r="G207" s="406" t="inlineStr">
        <is>
          <t>Awakening Percentage</t>
        </is>
      </c>
      <c r="H207" s="406" t="inlineStr">
        <is>
          <t>Per Minion</t>
        </is>
      </c>
      <c r="I207" s="406" t="inlineStr">
        <is>
          <t>Per Minion Boost</t>
        </is>
      </c>
      <c r="J207" s="129" t="inlineStr">
        <is>
          <t>Source</t>
        </is>
      </c>
      <c r="K207" s="669" t="n"/>
      <c r="L207" s="669" t="n"/>
      <c r="M207" s="669" t="n"/>
      <c r="N207" s="669" t="n"/>
      <c r="O207" s="669" t="n"/>
      <c r="P207" s="669" t="n"/>
      <c r="Q207" s="669" t="n"/>
      <c r="R207" s="669" t="n"/>
      <c r="S207" s="669" t="n"/>
      <c r="T207" s="669" t="n"/>
      <c r="U207" s="669" t="n"/>
      <c r="V207" s="669" t="n"/>
      <c r="W207" s="669" t="n"/>
      <c r="X207" s="669" t="n"/>
      <c r="Y207" s="669" t="n"/>
      <c r="Z207" s="669" t="n"/>
    </row>
    <row r="208">
      <c r="A208" s="357" t="inlineStr">
        <is>
          <t>Pakal's Sarcophagus</t>
        </is>
      </c>
      <c r="B208" s="425" t="inlineStr">
        <is>
          <t>AAA</t>
        </is>
      </c>
      <c r="C208" s="425" t="inlineStr">
        <is>
          <t>CIV</t>
        </is>
      </c>
      <c r="D208" s="371" t="n">
        <v>360</v>
      </c>
      <c r="E208" s="425" t="n">
        <v>280</v>
      </c>
      <c r="F208" s="425" t="n"/>
      <c r="G208" s="425" t="n"/>
      <c r="H208" s="425" t="n">
        <v>30</v>
      </c>
      <c r="I208" s="187">
        <f>(D208+E208)/H208</f>
        <v/>
      </c>
      <c r="J208" s="386" t="inlineStr">
        <is>
          <t>Gastic Pouch</t>
        </is>
      </c>
      <c r="K208" s="669" t="n"/>
      <c r="L208" s="669" t="n"/>
      <c r="M208" s="669" t="n"/>
      <c r="N208" s="669" t="n"/>
      <c r="O208" s="669" t="n"/>
      <c r="P208" s="669" t="n"/>
      <c r="Q208" s="669" t="n"/>
      <c r="R208" s="669" t="n"/>
      <c r="S208" s="669" t="n"/>
      <c r="T208" s="669" t="n"/>
      <c r="U208" s="669" t="n"/>
      <c r="V208" s="669" t="n"/>
      <c r="W208" s="669" t="n"/>
      <c r="X208" s="669" t="n"/>
      <c r="Y208" s="669" t="n"/>
      <c r="Z208" s="669" t="n"/>
    </row>
    <row r="209">
      <c r="A209" s="357" t="inlineStr">
        <is>
          <t>Gee Virus</t>
        </is>
      </c>
      <c r="B209" s="425" t="inlineStr">
        <is>
          <t>AA</t>
        </is>
      </c>
      <c r="C209" s="425" t="inlineStr">
        <is>
          <t>TECH</t>
        </is>
      </c>
      <c r="D209" s="371" t="n">
        <v>280</v>
      </c>
      <c r="E209" s="425" t="n">
        <v>280</v>
      </c>
      <c r="F209" s="425" t="n"/>
      <c r="G209" s="425" t="n"/>
      <c r="H209" s="425" t="n">
        <v>30</v>
      </c>
      <c r="I209" s="187">
        <f>(D209+E209)/H209</f>
        <v/>
      </c>
      <c r="J209" s="386" t="inlineStr">
        <is>
          <t>T6.5 Zombie Gene Research</t>
        </is>
      </c>
      <c r="K209" s="669" t="n"/>
      <c r="L209" s="669" t="n"/>
      <c r="M209" s="669" t="n"/>
      <c r="N209" s="669" t="n"/>
      <c r="O209" s="669" t="n"/>
      <c r="P209" s="669" t="n"/>
      <c r="Q209" s="669" t="n"/>
      <c r="R209" s="669" t="n"/>
      <c r="S209" s="669" t="n"/>
      <c r="T209" s="669" t="n"/>
      <c r="U209" s="669" t="n"/>
      <c r="V209" s="669" t="n"/>
      <c r="W209" s="669" t="n"/>
      <c r="X209" s="669" t="n"/>
      <c r="Y209" s="669" t="n"/>
      <c r="Z209" s="669" t="n"/>
    </row>
    <row r="210">
      <c r="A210" s="357" t="inlineStr">
        <is>
          <t>Stockholm Declaration</t>
        </is>
      </c>
      <c r="B210" s="425" t="inlineStr">
        <is>
          <t>SS</t>
        </is>
      </c>
      <c r="C210" s="425" t="inlineStr">
        <is>
          <t>FAME</t>
        </is>
      </c>
      <c r="D210" s="371" t="n">
        <v>990</v>
      </c>
      <c r="E210" s="371" t="n"/>
      <c r="F210" s="371" t="n"/>
      <c r="G210" s="425" t="n"/>
      <c r="H210" s="425" t="n">
        <v>60</v>
      </c>
      <c r="I210" s="371">
        <f>(D210+E210)/H210</f>
        <v/>
      </c>
      <c r="J210" s="386" t="inlineStr">
        <is>
          <t>Lottery Machine #2 (0.47%), Indigent Nobleman (570K B-tads)</t>
        </is>
      </c>
      <c r="K210" s="669" t="n"/>
      <c r="L210" s="669" t="n"/>
      <c r="M210" s="669" t="n"/>
      <c r="N210" s="669" t="n"/>
      <c r="O210" s="669" t="n"/>
      <c r="P210" s="669" t="n"/>
      <c r="Q210" s="669" t="n"/>
      <c r="R210" s="669" t="n"/>
      <c r="S210" s="669" t="n"/>
      <c r="T210" s="669" t="n"/>
      <c r="U210" s="669" t="n"/>
      <c r="V210" s="669" t="n"/>
      <c r="W210" s="669" t="n"/>
      <c r="X210" s="669" t="n"/>
      <c r="Y210" s="669" t="n"/>
      <c r="Z210" s="669" t="n"/>
    </row>
    <row r="211">
      <c r="A211" s="357" t="inlineStr">
        <is>
          <t>Mummy of Ramses</t>
        </is>
      </c>
      <c r="B211" s="425" t="inlineStr">
        <is>
          <t>SS</t>
        </is>
      </c>
      <c r="C211" s="425" t="inlineStr">
        <is>
          <t>FTH</t>
        </is>
      </c>
      <c r="D211" s="371" t="n">
        <v>900</v>
      </c>
      <c r="E211" s="425" t="n"/>
      <c r="F211" s="371" t="n"/>
      <c r="G211" s="425" t="n"/>
      <c r="H211" s="371" t="n">
        <v>60</v>
      </c>
      <c r="I211" s="371">
        <f>(D211+E211)/H211</f>
        <v/>
      </c>
      <c r="J211" s="386" t="inlineStr">
        <is>
          <t>T7.5 Zombie Gene Research</t>
        </is>
      </c>
      <c r="K211" s="669" t="n"/>
      <c r="L211" s="669" t="n"/>
      <c r="M211" s="669" t="n"/>
      <c r="N211" s="669" t="n"/>
      <c r="O211" s="669" t="n"/>
      <c r="P211" s="669" t="n"/>
      <c r="Q211" s="669" t="n"/>
      <c r="R211" s="669" t="n"/>
      <c r="S211" s="669" t="n"/>
      <c r="T211" s="669" t="n"/>
      <c r="U211" s="669" t="n"/>
      <c r="V211" s="669" t="n"/>
      <c r="W211" s="669" t="n"/>
      <c r="X211" s="669" t="n"/>
      <c r="Y211" s="669" t="n"/>
      <c r="Z211" s="669" t="n"/>
    </row>
    <row r="212">
      <c r="A212" s="357" t="inlineStr">
        <is>
          <t>Control Unit</t>
        </is>
      </c>
      <c r="B212" s="425" t="inlineStr">
        <is>
          <t>AAA</t>
        </is>
      </c>
      <c r="C212" s="425" t="inlineStr">
        <is>
          <t>TECH</t>
        </is>
      </c>
      <c r="D212" s="371" t="n">
        <v>360</v>
      </c>
      <c r="E212" s="425" t="n"/>
      <c r="F212" s="425" t="n"/>
      <c r="G212" s="425" t="n"/>
      <c r="H212" s="425" t="n">
        <v>30</v>
      </c>
      <c r="I212" s="371">
        <f>(D212+E212)/H212</f>
        <v/>
      </c>
      <c r="J212" s="386" t="inlineStr">
        <is>
          <t>Lottery Machine #2 (0.06%)</t>
        </is>
      </c>
      <c r="K212" s="669" t="n"/>
      <c r="L212" s="669" t="n"/>
      <c r="M212" s="669" t="n"/>
      <c r="N212" s="669" t="n"/>
      <c r="O212" s="669" t="n"/>
      <c r="P212" s="669" t="n"/>
      <c r="Q212" s="669" t="n"/>
      <c r="R212" s="669" t="n"/>
      <c r="S212" s="669" t="n"/>
      <c r="T212" s="669" t="n"/>
      <c r="U212" s="669" t="n"/>
      <c r="V212" s="669" t="n"/>
      <c r="W212" s="669" t="n"/>
      <c r="X212" s="669" t="n"/>
      <c r="Y212" s="669" t="n"/>
      <c r="Z212" s="669" t="n"/>
    </row>
    <row r="213">
      <c r="A213" s="357" t="inlineStr">
        <is>
          <t>Hamilton's Washer</t>
        </is>
      </c>
      <c r="B213" s="425" t="inlineStr">
        <is>
          <t>Blue</t>
        </is>
      </c>
      <c r="C213" s="425" t="inlineStr">
        <is>
          <t>TECH</t>
        </is>
      </c>
      <c r="D213" s="371" t="n">
        <v>50</v>
      </c>
      <c r="E213" s="371" t="n">
        <v>50</v>
      </c>
      <c r="F213" s="371" t="n"/>
      <c r="G213" s="425" t="n"/>
      <c r="H213" s="425" t="n">
        <v>10</v>
      </c>
      <c r="I213" s="371">
        <f>(D213+E213)/H213</f>
        <v/>
      </c>
      <c r="J213" s="386" t="inlineStr">
        <is>
          <t>Lottery Machine #2 (0.07%)</t>
        </is>
      </c>
      <c r="K213" s="669" t="n"/>
      <c r="L213" s="669" t="n"/>
      <c r="M213" s="669" t="n"/>
      <c r="N213" s="669" t="n"/>
      <c r="O213" s="669" t="n"/>
      <c r="P213" s="669" t="n"/>
      <c r="Q213" s="669" t="n"/>
      <c r="R213" s="669" t="n"/>
      <c r="S213" s="669" t="n"/>
      <c r="T213" s="669" t="n"/>
      <c r="U213" s="669" t="n"/>
      <c r="V213" s="669" t="n"/>
      <c r="W213" s="669" t="n"/>
      <c r="X213" s="669" t="n"/>
      <c r="Y213" s="669" t="n"/>
      <c r="Z213" s="669" t="n"/>
    </row>
    <row r="214">
      <c r="A214" s="357" t="inlineStr">
        <is>
          <t>Albucasis Medical Book</t>
        </is>
      </c>
      <c r="B214" s="425" t="inlineStr">
        <is>
          <t>SSS</t>
        </is>
      </c>
      <c r="C214" s="425" t="inlineStr">
        <is>
          <t>FAME</t>
        </is>
      </c>
      <c r="D214" s="371" t="n"/>
      <c r="E214" s="371" t="n"/>
      <c r="F214" s="371" t="n">
        <v>12</v>
      </c>
      <c r="G214" s="425" t="n"/>
      <c r="H214" s="425" t="n"/>
      <c r="I214" s="425" t="n"/>
      <c r="J214" s="386" t="inlineStr">
        <is>
          <t>Lottery Machine #2 (0.11%)</t>
        </is>
      </c>
      <c r="K214" s="669" t="n"/>
      <c r="L214" s="669" t="n"/>
      <c r="M214" s="669" t="n"/>
      <c r="N214" s="669" t="n"/>
      <c r="O214" s="669" t="n"/>
      <c r="P214" s="669" t="n"/>
      <c r="Q214" s="669" t="n"/>
      <c r="R214" s="669" t="n"/>
      <c r="S214" s="669" t="n"/>
      <c r="T214" s="669" t="n"/>
      <c r="U214" s="669" t="n"/>
      <c r="V214" s="669" t="n"/>
      <c r="W214" s="669" t="n"/>
      <c r="X214" s="669" t="n"/>
      <c r="Y214" s="669" t="n"/>
      <c r="Z214" s="669" t="n"/>
    </row>
    <row r="215">
      <c r="A215" s="357" t="inlineStr">
        <is>
          <t>Swimming Reindeer</t>
        </is>
      </c>
      <c r="B215" s="425" t="inlineStr">
        <is>
          <t>SS</t>
        </is>
      </c>
      <c r="C215" s="425" t="inlineStr">
        <is>
          <t>ART</t>
        </is>
      </c>
      <c r="D215" s="371" t="n"/>
      <c r="E215" s="371" t="n"/>
      <c r="F215" s="371" t="n">
        <v>11</v>
      </c>
      <c r="G215" s="425" t="n"/>
      <c r="H215" s="425" t="n"/>
      <c r="I215" s="425" t="n"/>
      <c r="J215" s="386" t="inlineStr">
        <is>
          <t>Lottery Machine #2 (0.35%)</t>
        </is>
      </c>
      <c r="K215" s="669" t="n"/>
      <c r="L215" s="669" t="n"/>
      <c r="M215" s="669" t="n"/>
      <c r="N215" s="669" t="n"/>
      <c r="O215" s="669" t="n"/>
      <c r="P215" s="669" t="n"/>
      <c r="Q215" s="669" t="n"/>
      <c r="R215" s="669" t="n"/>
      <c r="S215" s="669" t="n"/>
      <c r="T215" s="669" t="n"/>
      <c r="U215" s="669" t="n"/>
      <c r="V215" s="669" t="n"/>
      <c r="W215" s="669" t="n"/>
      <c r="X215" s="669" t="n"/>
      <c r="Y215" s="669" t="n"/>
      <c r="Z215" s="669" t="n"/>
    </row>
    <row r="216">
      <c r="A216" s="357" t="inlineStr">
        <is>
          <t>Lasker Medical Research Award</t>
        </is>
      </c>
      <c r="B216" s="425" t="inlineStr">
        <is>
          <t>S</t>
        </is>
      </c>
      <c r="C216" s="425" t="inlineStr">
        <is>
          <t>FAME</t>
        </is>
      </c>
      <c r="D216" s="371" t="n"/>
      <c r="E216" s="371" t="n"/>
      <c r="F216" s="371" t="n">
        <v>10</v>
      </c>
      <c r="G216" s="425" t="n"/>
      <c r="H216" s="425" t="n"/>
      <c r="I216" s="425" t="n"/>
      <c r="J216" s="390" t="inlineStr">
        <is>
          <t>Lottery Machine #3 (?%)</t>
        </is>
      </c>
      <c r="K216" s="669" t="n"/>
      <c r="L216" s="669" t="n"/>
      <c r="M216" s="669" t="n"/>
      <c r="N216" s="669" t="n"/>
      <c r="O216" s="669" t="n"/>
      <c r="P216" s="669" t="n"/>
      <c r="Q216" s="669" t="n"/>
      <c r="R216" s="669" t="n"/>
      <c r="S216" s="669" t="n"/>
      <c r="T216" s="669" t="n"/>
      <c r="U216" s="669" t="n"/>
      <c r="V216" s="669" t="n"/>
      <c r="W216" s="669" t="n"/>
      <c r="X216" s="669" t="n"/>
      <c r="Y216" s="669" t="n"/>
      <c r="Z216" s="669" t="n"/>
    </row>
    <row r="217">
      <c r="A217" s="357" t="inlineStr">
        <is>
          <t>Theory of Population</t>
        </is>
      </c>
      <c r="B217" s="425" t="inlineStr">
        <is>
          <t>AAA</t>
        </is>
      </c>
      <c r="C217" s="425" t="inlineStr">
        <is>
          <t>FAME</t>
        </is>
      </c>
      <c r="D217" s="371" t="n"/>
      <c r="E217" s="371" t="n"/>
      <c r="F217" s="371" t="n">
        <v>9</v>
      </c>
      <c r="G217" s="425" t="n"/>
      <c r="H217" s="425" t="n"/>
      <c r="I217" s="425" t="n"/>
      <c r="J217" s="386" t="inlineStr">
        <is>
          <t>Lottery Machine #2 (0.6%)</t>
        </is>
      </c>
      <c r="K217" s="669" t="n"/>
      <c r="L217" s="669" t="n"/>
      <c r="M217" s="669" t="n"/>
      <c r="N217" s="669" t="n"/>
      <c r="O217" s="669" t="n"/>
      <c r="P217" s="669" t="n"/>
      <c r="Q217" s="669" t="n"/>
      <c r="R217" s="669" t="n"/>
      <c r="S217" s="669" t="n"/>
      <c r="T217" s="669" t="n"/>
      <c r="U217" s="669" t="n"/>
      <c r="V217" s="669" t="n"/>
      <c r="W217" s="669" t="n"/>
      <c r="X217" s="669" t="n"/>
      <c r="Y217" s="669" t="n"/>
      <c r="Z217" s="669" t="n"/>
    </row>
    <row r="218">
      <c r="A218" s="357" t="inlineStr">
        <is>
          <t>Moon Faucet</t>
        </is>
      </c>
      <c r="B218" s="425" t="inlineStr">
        <is>
          <t>Blue</t>
        </is>
      </c>
      <c r="C218" s="425" t="inlineStr">
        <is>
          <t>FAME</t>
        </is>
      </c>
      <c r="D218" s="371" t="n"/>
      <c r="E218" s="371" t="n"/>
      <c r="F218" s="371" t="n">
        <v>5</v>
      </c>
      <c r="G218" s="425" t="n">
        <v>5</v>
      </c>
      <c r="H218" s="425" t="n"/>
      <c r="I218" s="425" t="n"/>
      <c r="J218" s="390" t="inlineStr">
        <is>
          <t>Lottery Machine #3 (?%)</t>
        </is>
      </c>
      <c r="K218" s="669" t="n"/>
      <c r="L218" s="669" t="n"/>
      <c r="M218" s="669" t="n"/>
      <c r="N218" s="669" t="n"/>
      <c r="O218" s="669" t="n"/>
      <c r="P218" s="669" t="n"/>
      <c r="Q218" s="669" t="n"/>
      <c r="R218" s="669" t="n"/>
      <c r="S218" s="669" t="n"/>
      <c r="T218" s="669" t="n"/>
      <c r="U218" s="669" t="n"/>
      <c r="V218" s="669" t="n"/>
      <c r="W218" s="669" t="n"/>
      <c r="X218" s="669" t="n"/>
      <c r="Y218" s="669" t="n"/>
      <c r="Z218" s="669" t="n"/>
    </row>
    <row r="219">
      <c r="A219" s="357" t="inlineStr">
        <is>
          <t>Einthoven's ECG</t>
        </is>
      </c>
      <c r="B219" s="425" t="inlineStr">
        <is>
          <t>Blue</t>
        </is>
      </c>
      <c r="C219" s="425" t="inlineStr">
        <is>
          <t>TECH</t>
        </is>
      </c>
      <c r="D219" s="371" t="n"/>
      <c r="E219" s="371" t="n"/>
      <c r="F219" s="371" t="n">
        <v>5</v>
      </c>
      <c r="G219" s="425" t="n">
        <v>5</v>
      </c>
      <c r="H219" s="425" t="n"/>
      <c r="I219" s="425" t="n"/>
      <c r="J219" s="386" t="inlineStr">
        <is>
          <t>Lottery Machine #2 (0.03%)</t>
        </is>
      </c>
      <c r="K219" s="669" t="n"/>
      <c r="L219" s="669" t="n"/>
      <c r="M219" s="669" t="n"/>
      <c r="N219" s="669" t="n"/>
      <c r="O219" s="669" t="n"/>
      <c r="P219" s="669" t="n"/>
      <c r="Q219" s="669" t="n"/>
      <c r="R219" s="669" t="n"/>
      <c r="S219" s="669" t="n"/>
      <c r="T219" s="669" t="n"/>
      <c r="U219" s="669" t="n"/>
      <c r="V219" s="669" t="n"/>
      <c r="W219" s="669" t="n"/>
      <c r="X219" s="669" t="n"/>
      <c r="Y219" s="669" t="n"/>
      <c r="Z219" s="669" t="n"/>
    </row>
    <row r="220">
      <c r="A220" s="357" t="n"/>
      <c r="B220" s="425" t="n"/>
      <c r="C220" s="934" t="n"/>
      <c r="D220" s="371" t="n"/>
      <c r="E220" s="371" t="n"/>
      <c r="F220" s="371" t="n"/>
      <c r="G220" s="425" t="n"/>
      <c r="H220" s="425" t="n"/>
      <c r="I220" s="371" t="n"/>
      <c r="J220" s="386" t="n"/>
      <c r="K220" s="669" t="n"/>
      <c r="L220" s="669" t="n"/>
      <c r="M220" s="669" t="n"/>
      <c r="N220" s="669" t="n"/>
      <c r="O220" s="669" t="n"/>
      <c r="P220" s="669" t="n"/>
      <c r="Q220" s="669" t="n"/>
      <c r="R220" s="669" t="n"/>
      <c r="S220" s="669" t="n"/>
      <c r="T220" s="669" t="n"/>
      <c r="U220" s="669" t="n"/>
      <c r="V220" s="669" t="n"/>
      <c r="W220" s="669" t="n"/>
      <c r="X220" s="669" t="n"/>
      <c r="Y220" s="669" t="n"/>
      <c r="Z220" s="669" t="n"/>
    </row>
    <row r="221">
      <c r="A221" s="357" t="inlineStr">
        <is>
          <t>Resonance: Blue</t>
        </is>
      </c>
      <c r="B221" s="425" t="n"/>
      <c r="C221" s="934" t="n"/>
      <c r="D221" s="371" t="n">
        <v>50</v>
      </c>
      <c r="E221" s="371" t="n"/>
      <c r="F221" s="371" t="n"/>
      <c r="G221" s="425" t="n"/>
      <c r="H221" s="425" t="n">
        <v>10</v>
      </c>
      <c r="I221" s="371">
        <f>(D221+E221)/H221</f>
        <v/>
      </c>
      <c r="J221" s="386" t="n"/>
      <c r="K221" s="669" t="n"/>
      <c r="L221" s="669" t="n"/>
      <c r="M221" s="669" t="n"/>
      <c r="N221" s="669" t="n"/>
      <c r="O221" s="669" t="n"/>
      <c r="P221" s="669" t="n"/>
      <c r="Q221" s="669" t="n"/>
      <c r="R221" s="669" t="n"/>
      <c r="S221" s="669" t="n"/>
      <c r="T221" s="669" t="n"/>
      <c r="U221" s="669" t="n"/>
      <c r="V221" s="669" t="n"/>
      <c r="W221" s="669" t="n"/>
      <c r="X221" s="669" t="n"/>
      <c r="Y221" s="669" t="n"/>
      <c r="Z221" s="669" t="n"/>
    </row>
    <row r="222">
      <c r="A222" s="357" t="inlineStr">
        <is>
          <t xml:space="preserve">  Broken Queen Statue</t>
        </is>
      </c>
      <c r="B222" s="425" t="inlineStr">
        <is>
          <t>Blue</t>
        </is>
      </c>
      <c r="C222" s="425" t="inlineStr">
        <is>
          <t>ART</t>
        </is>
      </c>
      <c r="D222" s="371" t="n"/>
      <c r="E222" s="371" t="n"/>
      <c r="F222" s="371" t="n"/>
      <c r="G222" s="425" t="n"/>
      <c r="H222" s="425" t="n"/>
      <c r="I222" s="425" t="n"/>
      <c r="J222" s="386" t="inlineStr">
        <is>
          <t>Lottery Machine #2 (0.07%)</t>
        </is>
      </c>
      <c r="K222" s="669" t="n"/>
      <c r="L222" s="669" t="n"/>
      <c r="M222" s="669" t="n"/>
      <c r="N222" s="669" t="n"/>
      <c r="O222" s="669" t="n"/>
      <c r="P222" s="669" t="n"/>
      <c r="Q222" s="669" t="n"/>
      <c r="R222" s="669" t="n"/>
      <c r="S222" s="669" t="n"/>
      <c r="T222" s="669" t="n"/>
      <c r="U222" s="669" t="n"/>
      <c r="V222" s="669" t="n"/>
      <c r="W222" s="669" t="n"/>
      <c r="X222" s="669" t="n"/>
      <c r="Y222" s="669" t="n"/>
      <c r="Z222" s="669" t="n"/>
    </row>
    <row r="223">
      <c r="A223" s="357" t="inlineStr">
        <is>
          <t xml:space="preserve">  Woman in Blue</t>
        </is>
      </c>
      <c r="B223" s="425" t="inlineStr">
        <is>
          <t>Blue</t>
        </is>
      </c>
      <c r="C223" s="425" t="inlineStr">
        <is>
          <t>ART</t>
        </is>
      </c>
      <c r="D223" s="371" t="n"/>
      <c r="E223" s="371" t="n"/>
      <c r="F223" s="371" t="n"/>
      <c r="G223" s="425" t="n"/>
      <c r="H223" s="425" t="n"/>
      <c r="I223" s="425" t="n"/>
      <c r="J223" s="386" t="inlineStr">
        <is>
          <t>Lottery Machine #2 (0.26%)</t>
        </is>
      </c>
      <c r="K223" s="669" t="n"/>
      <c r="L223" s="669" t="n"/>
      <c r="M223" s="669" t="n"/>
      <c r="N223" s="669" t="n"/>
      <c r="O223" s="669" t="n"/>
      <c r="P223" s="669" t="n"/>
      <c r="Q223" s="669" t="n"/>
      <c r="R223" s="669" t="n"/>
      <c r="S223" s="669" t="n"/>
      <c r="T223" s="669" t="n"/>
      <c r="U223" s="669" t="n"/>
      <c r="V223" s="669" t="n"/>
      <c r="W223" s="669" t="n"/>
      <c r="X223" s="669" t="n"/>
      <c r="Y223" s="669" t="n"/>
      <c r="Z223" s="669" t="n"/>
    </row>
    <row r="224">
      <c r="A224" s="357" t="inlineStr">
        <is>
          <t>Resonance: Purple</t>
        </is>
      </c>
      <c r="B224" s="425" t="n"/>
      <c r="C224" s="425" t="n"/>
      <c r="D224" s="371" t="n"/>
      <c r="E224" s="425" t="n"/>
      <c r="F224" s="371" t="n">
        <v>6</v>
      </c>
      <c r="G224" s="425" t="n"/>
      <c r="H224" s="371" t="n"/>
      <c r="I224" s="425" t="n"/>
      <c r="J224" s="386" t="n"/>
      <c r="K224" s="669" t="n"/>
      <c r="L224" s="669" t="n"/>
      <c r="M224" s="669" t="n"/>
      <c r="N224" s="669" t="n"/>
      <c r="O224" s="669" t="n"/>
      <c r="P224" s="669" t="n"/>
      <c r="Q224" s="669" t="n"/>
      <c r="R224" s="669" t="n"/>
      <c r="S224" s="669" t="n"/>
      <c r="T224" s="669" t="n"/>
      <c r="U224" s="669" t="n"/>
      <c r="V224" s="669" t="n"/>
      <c r="W224" s="669" t="n"/>
      <c r="X224" s="669" t="n"/>
      <c r="Y224" s="669" t="n"/>
      <c r="Z224" s="669" t="n"/>
    </row>
    <row r="225">
      <c r="A225" s="357" t="inlineStr">
        <is>
          <t xml:space="preserve">  Arabian Bronze Hand</t>
        </is>
      </c>
      <c r="B225" s="425" t="inlineStr">
        <is>
          <t>AAA</t>
        </is>
      </c>
      <c r="C225" s="425" t="inlineStr">
        <is>
          <t>FTH</t>
        </is>
      </c>
      <c r="D225" s="371" t="n"/>
      <c r="E225" s="425" t="n"/>
      <c r="F225" s="371" t="n"/>
      <c r="G225" s="425" t="n"/>
      <c r="H225" s="371" t="n"/>
      <c r="I225" s="425" t="n"/>
      <c r="J225" s="386" t="inlineStr">
        <is>
          <t>Lottery Machine #2 (0.06%)</t>
        </is>
      </c>
      <c r="K225" s="669" t="n"/>
      <c r="L225" s="669" t="n"/>
      <c r="M225" s="669" t="n"/>
      <c r="N225" s="669" t="n"/>
      <c r="O225" s="669" t="n"/>
      <c r="P225" s="669" t="n"/>
      <c r="Q225" s="669" t="n"/>
      <c r="R225" s="669" t="n"/>
      <c r="S225" s="669" t="n"/>
      <c r="T225" s="669" t="n"/>
      <c r="U225" s="669" t="n"/>
      <c r="V225" s="669" t="n"/>
      <c r="W225" s="669" t="n"/>
      <c r="X225" s="669" t="n"/>
      <c r="Y225" s="669" t="n"/>
      <c r="Z225" s="669" t="n"/>
    </row>
    <row r="226">
      <c r="A226" s="357" t="inlineStr">
        <is>
          <t xml:space="preserve">  Xiuhtecuhtli Mask</t>
        </is>
      </c>
      <c r="B226" s="425" t="inlineStr">
        <is>
          <t>AAA</t>
        </is>
      </c>
      <c r="C226" s="425" t="inlineStr">
        <is>
          <t>FTH</t>
        </is>
      </c>
      <c r="D226" s="371" t="n"/>
      <c r="E226" s="425" t="n"/>
      <c r="F226" s="371" t="n"/>
      <c r="G226" s="425" t="n"/>
      <c r="H226" s="371" t="n"/>
      <c r="I226" s="425" t="n"/>
      <c r="J226" s="386" t="inlineStr">
        <is>
          <t>Lottery Machine #2 (0.06%)</t>
        </is>
      </c>
      <c r="K226" s="669" t="n"/>
      <c r="L226" s="669" t="n"/>
      <c r="M226" s="669" t="n"/>
      <c r="N226" s="669" t="n"/>
      <c r="O226" s="669" t="n"/>
      <c r="P226" s="669" t="n"/>
      <c r="Q226" s="669" t="n"/>
      <c r="R226" s="669" t="n"/>
      <c r="S226" s="669" t="n"/>
      <c r="T226" s="669" t="n"/>
      <c r="U226" s="669" t="n"/>
      <c r="V226" s="669" t="n"/>
      <c r="W226" s="669" t="n"/>
      <c r="X226" s="669" t="n"/>
      <c r="Y226" s="669" t="n"/>
      <c r="Z226" s="669" t="n"/>
    </row>
    <row r="227">
      <c r="A227" s="362" t="inlineStr">
        <is>
          <t>TOTAL HP</t>
        </is>
      </c>
      <c r="B227" s="411" t="n"/>
      <c r="C227" s="411" t="n"/>
      <c r="D227" s="364" t="n"/>
      <c r="E227" s="411" t="n"/>
      <c r="F227" s="364">
        <f>sum(F210:G226)</f>
        <v/>
      </c>
      <c r="G227" s="411" t="n"/>
      <c r="H227" s="364" t="n"/>
      <c r="I227" s="411">
        <f>sum(I210:I226)</f>
        <v/>
      </c>
      <c r="J227" s="970" t="n"/>
      <c r="K227" s="669" t="n"/>
      <c r="L227" s="669" t="n"/>
      <c r="M227" s="669" t="n"/>
      <c r="N227" s="669" t="n"/>
      <c r="O227" s="669" t="n"/>
      <c r="P227" s="669" t="n"/>
      <c r="Q227" s="669" t="n"/>
      <c r="R227" s="669" t="n"/>
      <c r="S227" s="669" t="n"/>
      <c r="T227" s="669" t="n"/>
      <c r="U227" s="669" t="n"/>
      <c r="V227" s="669" t="n"/>
      <c r="W227" s="669" t="n"/>
      <c r="X227" s="669" t="n"/>
      <c r="Y227" s="669" t="n"/>
      <c r="Z227" s="669" t="n"/>
    </row>
    <row r="228">
      <c r="A228" s="1091" t="n"/>
      <c r="B228" s="669" t="n"/>
      <c r="C228" s="669" t="n"/>
      <c r="D228" s="669" t="n"/>
      <c r="E228" s="669" t="n"/>
      <c r="F228" s="669" t="n"/>
      <c r="G228" s="669" t="n"/>
      <c r="H228" s="669" t="n"/>
      <c r="I228" s="669" t="n"/>
      <c r="J228" s="1095" t="n"/>
      <c r="K228" s="669" t="n"/>
      <c r="L228" s="669" t="n"/>
      <c r="M228" s="669" t="n"/>
      <c r="N228" s="669" t="n"/>
      <c r="O228" s="669" t="n"/>
      <c r="P228" s="669" t="n"/>
      <c r="Q228" s="669" t="n"/>
      <c r="R228" s="669" t="n"/>
      <c r="S228" s="669" t="n"/>
      <c r="T228" s="669" t="n"/>
      <c r="U228" s="669" t="n"/>
      <c r="V228" s="669" t="n"/>
      <c r="W228" s="669" t="n"/>
      <c r="X228" s="669" t="n"/>
      <c r="Y228" s="669" t="n"/>
      <c r="Z228" s="669" t="n"/>
    </row>
    <row r="229">
      <c r="A229" s="1091" t="n"/>
      <c r="B229" s="669" t="n"/>
      <c r="C229" s="669" t="n"/>
      <c r="D229" s="669" t="n"/>
      <c r="E229" s="669" t="n"/>
      <c r="F229" s="669" t="n"/>
      <c r="G229" s="669" t="n"/>
      <c r="H229" s="669" t="n"/>
      <c r="I229" s="669" t="n"/>
      <c r="J229" s="1095" t="n"/>
      <c r="K229" s="669" t="n"/>
      <c r="L229" s="669" t="n"/>
      <c r="M229" s="669" t="n"/>
      <c r="N229" s="669" t="n"/>
      <c r="O229" s="669" t="n"/>
      <c r="P229" s="669" t="n"/>
      <c r="Q229" s="669" t="n"/>
      <c r="R229" s="669" t="n"/>
      <c r="S229" s="669" t="n"/>
      <c r="T229" s="669" t="n"/>
      <c r="U229" s="669" t="n"/>
      <c r="V229" s="669" t="n"/>
      <c r="W229" s="669" t="n"/>
      <c r="X229" s="669" t="n"/>
      <c r="Y229" s="669" t="n"/>
      <c r="Z229" s="669" t="n"/>
    </row>
    <row r="230">
      <c r="A230" s="344" t="inlineStr">
        <is>
          <t>ATK</t>
        </is>
      </c>
      <c r="B230" s="406" t="inlineStr">
        <is>
          <t>Rarity</t>
        </is>
      </c>
      <c r="C230" s="406" t="inlineStr">
        <is>
          <t>Type</t>
        </is>
      </c>
      <c r="D230" s="406" t="inlineStr">
        <is>
          <t>Base</t>
        </is>
      </c>
      <c r="E230" s="406" t="inlineStr">
        <is>
          <t>Awakening Base</t>
        </is>
      </c>
      <c r="F230" s="406" t="inlineStr">
        <is>
          <t>Percentage</t>
        </is>
      </c>
      <c r="G230" s="406" t="inlineStr">
        <is>
          <t>Awakening Percentage</t>
        </is>
      </c>
      <c r="H230" s="406" t="inlineStr">
        <is>
          <t>Per Minion</t>
        </is>
      </c>
      <c r="I230" s="406" t="inlineStr">
        <is>
          <t>Per Minion Boost</t>
        </is>
      </c>
      <c r="J230" s="786" t="inlineStr">
        <is>
          <t>Source</t>
        </is>
      </c>
      <c r="K230" s="669" t="n"/>
      <c r="L230" s="669" t="n"/>
      <c r="M230" s="669" t="n"/>
      <c r="N230" s="669" t="n"/>
      <c r="O230" s="669" t="n"/>
      <c r="P230" s="669" t="n"/>
      <c r="Q230" s="669" t="n"/>
      <c r="R230" s="669" t="n"/>
      <c r="S230" s="669" t="n"/>
      <c r="T230" s="669" t="n"/>
      <c r="U230" s="669" t="n"/>
      <c r="V230" s="669" t="n"/>
      <c r="W230" s="669" t="n"/>
      <c r="X230" s="669" t="n"/>
      <c r="Y230" s="669" t="n"/>
      <c r="Z230" s="669" t="n"/>
    </row>
    <row r="231">
      <c r="A231" s="246" t="inlineStr">
        <is>
          <t>Nobel's Will</t>
        </is>
      </c>
      <c r="B231" s="1037" t="inlineStr">
        <is>
          <t>SSS</t>
        </is>
      </c>
      <c r="C231" s="1037" t="inlineStr">
        <is>
          <t>FAME</t>
        </is>
      </c>
      <c r="D231" s="268" t="n">
        <v>90</v>
      </c>
      <c r="E231" s="209" t="n">
        <v>90</v>
      </c>
      <c r="F231" s="209" t="n"/>
      <c r="G231" s="209" t="n"/>
      <c r="H231" s="268" t="n">
        <v>60</v>
      </c>
      <c r="I231" s="210">
        <f>(D231+E231)/H231</f>
        <v/>
      </c>
      <c r="J231" s="256" t="inlineStr">
        <is>
          <t>Lottery Machine #1 (0.09%), Wishing (0.08%), Grandmaster Scrolls (0.79%)</t>
        </is>
      </c>
      <c r="K231" s="669" t="n"/>
      <c r="L231" s="669" t="n"/>
      <c r="M231" s="669" t="n"/>
      <c r="N231" s="669" t="n"/>
      <c r="O231" s="669" t="n"/>
      <c r="P231" s="669" t="n"/>
      <c r="Q231" s="669" t="n"/>
      <c r="R231" s="669" t="n"/>
      <c r="S231" s="669" t="n"/>
      <c r="T231" s="669" t="n"/>
      <c r="U231" s="669" t="n"/>
      <c r="V231" s="669" t="n"/>
      <c r="W231" s="669" t="n"/>
      <c r="X231" s="669" t="n"/>
      <c r="Y231" s="669" t="n"/>
      <c r="Z231" s="669" t="n"/>
    </row>
    <row r="232">
      <c r="A232" s="357" t="inlineStr">
        <is>
          <t>Control Unit</t>
        </is>
      </c>
      <c r="B232" s="425" t="inlineStr">
        <is>
          <t>AAA</t>
        </is>
      </c>
      <c r="C232" s="425" t="inlineStr">
        <is>
          <t>TECH</t>
        </is>
      </c>
      <c r="D232" s="371" t="n">
        <v>36</v>
      </c>
      <c r="E232" s="425" t="n">
        <v>28</v>
      </c>
      <c r="F232" s="425" t="n"/>
      <c r="G232" s="425" t="n"/>
      <c r="H232" s="425" t="n">
        <v>30</v>
      </c>
      <c r="I232" s="187">
        <f>(D232+E232)/H232</f>
        <v/>
      </c>
      <c r="J232" s="386" t="inlineStr">
        <is>
          <t>Lottery Machine #2 (0.06%)</t>
        </is>
      </c>
      <c r="K232" s="669" t="n"/>
      <c r="L232" s="669" t="n"/>
      <c r="M232" s="669" t="n"/>
      <c r="N232" s="669" t="n"/>
      <c r="O232" s="669" t="n"/>
      <c r="P232" s="669" t="n"/>
      <c r="Q232" s="669" t="n"/>
      <c r="R232" s="669" t="n"/>
      <c r="S232" s="669" t="n"/>
      <c r="T232" s="669" t="n"/>
      <c r="U232" s="669" t="n"/>
      <c r="V232" s="669" t="n"/>
      <c r="W232" s="669" t="n"/>
      <c r="X232" s="669" t="n"/>
      <c r="Y232" s="669" t="n"/>
      <c r="Z232" s="669" t="n"/>
    </row>
    <row r="233">
      <c r="A233" s="357" t="inlineStr">
        <is>
          <t>Stockholm Declaration</t>
        </is>
      </c>
      <c r="B233" s="425" t="inlineStr">
        <is>
          <t>SS</t>
        </is>
      </c>
      <c r="C233" s="425" t="inlineStr">
        <is>
          <t>FAME</t>
        </is>
      </c>
      <c r="D233" s="371" t="n">
        <v>99</v>
      </c>
      <c r="E233" s="371" t="n"/>
      <c r="F233" s="371" t="n"/>
      <c r="G233" s="425" t="n"/>
      <c r="H233" s="425" t="n">
        <v>60</v>
      </c>
      <c r="I233" s="371">
        <f>(D233+E233)/H233</f>
        <v/>
      </c>
      <c r="J233" s="386" t="inlineStr">
        <is>
          <t>Lottery Machine #2 (0.47%), Indigent Nobleman (570K B-tads)</t>
        </is>
      </c>
      <c r="K233" s="669" t="n"/>
      <c r="L233" s="669" t="n"/>
      <c r="M233" s="669" t="n"/>
      <c r="N233" s="669" t="n"/>
      <c r="O233" s="669" t="n"/>
      <c r="P233" s="669" t="n"/>
      <c r="Q233" s="669" t="n"/>
      <c r="R233" s="669" t="n"/>
      <c r="S233" s="669" t="n"/>
      <c r="T233" s="669" t="n"/>
      <c r="U233" s="669" t="n"/>
      <c r="V233" s="669" t="n"/>
      <c r="W233" s="669" t="n"/>
      <c r="X233" s="669" t="n"/>
      <c r="Y233" s="669" t="n"/>
      <c r="Z233" s="669" t="n"/>
    </row>
    <row r="234">
      <c r="A234" s="357" t="inlineStr">
        <is>
          <t>Mummy of Ramses</t>
        </is>
      </c>
      <c r="B234" s="425" t="inlineStr">
        <is>
          <t>SS</t>
        </is>
      </c>
      <c r="C234" s="425" t="inlineStr">
        <is>
          <t>FTH</t>
        </is>
      </c>
      <c r="D234" s="371" t="n">
        <v>90</v>
      </c>
      <c r="E234" s="425" t="n"/>
      <c r="F234" s="371" t="n"/>
      <c r="G234" s="425" t="n"/>
      <c r="H234" s="371" t="n">
        <v>60</v>
      </c>
      <c r="I234" s="371">
        <f>(D234+E234)/H234</f>
        <v/>
      </c>
      <c r="J234" s="418" t="inlineStr">
        <is>
          <t>T7.5 Zombie Gene Research</t>
        </is>
      </c>
      <c r="K234" s="669" t="n"/>
      <c r="L234" s="669" t="n"/>
      <c r="M234" s="669" t="n"/>
      <c r="N234" s="669" t="n"/>
      <c r="O234" s="669" t="n"/>
      <c r="P234" s="669" t="n"/>
      <c r="Q234" s="669" t="n"/>
      <c r="R234" s="669" t="n"/>
      <c r="S234" s="669" t="n"/>
      <c r="T234" s="669" t="n"/>
      <c r="U234" s="669" t="n"/>
      <c r="V234" s="669" t="n"/>
      <c r="W234" s="669" t="n"/>
      <c r="X234" s="669" t="n"/>
      <c r="Y234" s="669" t="n"/>
      <c r="Z234" s="669" t="n"/>
    </row>
    <row r="235">
      <c r="A235" s="357" t="inlineStr">
        <is>
          <t>Pakal's Sarcophagus</t>
        </is>
      </c>
      <c r="B235" s="425" t="inlineStr">
        <is>
          <t>AAA</t>
        </is>
      </c>
      <c r="C235" s="425" t="inlineStr">
        <is>
          <t>CIV</t>
        </is>
      </c>
      <c r="D235" s="371" t="n">
        <v>36</v>
      </c>
      <c r="E235" s="425" t="n"/>
      <c r="F235" s="425" t="n"/>
      <c r="G235" s="425" t="n"/>
      <c r="H235" s="425" t="n">
        <v>30</v>
      </c>
      <c r="I235" s="371">
        <f>(D235+E235)/H235</f>
        <v/>
      </c>
      <c r="J235" s="386" t="inlineStr">
        <is>
          <t>Gastric Pouch</t>
        </is>
      </c>
      <c r="K235" s="669" t="n"/>
      <c r="L235" s="669" t="n"/>
      <c r="M235" s="669" t="n"/>
      <c r="N235" s="669" t="n"/>
      <c r="O235" s="669" t="n"/>
      <c r="P235" s="669" t="n"/>
      <c r="Q235" s="669" t="n"/>
      <c r="R235" s="669" t="n"/>
      <c r="S235" s="669" t="n"/>
      <c r="T235" s="669" t="n"/>
      <c r="U235" s="669" t="n"/>
      <c r="V235" s="669" t="n"/>
      <c r="W235" s="669" t="n"/>
      <c r="X235" s="669" t="n"/>
      <c r="Y235" s="669" t="n"/>
      <c r="Z235" s="669" t="n"/>
    </row>
    <row r="236">
      <c r="A236" s="246" t="inlineStr">
        <is>
          <t>Dewar Flask</t>
        </is>
      </c>
      <c r="B236" s="1037" t="inlineStr">
        <is>
          <t>Blue</t>
        </is>
      </c>
      <c r="C236" s="1037" t="inlineStr">
        <is>
          <t>FAME</t>
        </is>
      </c>
      <c r="D236" s="209" t="n">
        <v>5</v>
      </c>
      <c r="E236" s="209" t="n">
        <v>5</v>
      </c>
      <c r="F236" s="209" t="n"/>
      <c r="G236" s="209" t="n"/>
      <c r="H236" s="209" t="n">
        <v>10</v>
      </c>
      <c r="I236" s="210">
        <f>(D236+E236)/H236</f>
        <v/>
      </c>
      <c r="J236" s="386" t="inlineStr">
        <is>
          <t>Lottery Machine #2 (0.07%)</t>
        </is>
      </c>
      <c r="K236" s="669" t="n"/>
      <c r="L236" s="669" t="n"/>
      <c r="M236" s="669" t="n"/>
      <c r="N236" s="669" t="n"/>
      <c r="O236" s="669" t="n"/>
      <c r="P236" s="669" t="n"/>
      <c r="Q236" s="669" t="n"/>
      <c r="R236" s="669" t="n"/>
      <c r="S236" s="669" t="n"/>
      <c r="T236" s="669" t="n"/>
      <c r="U236" s="669" t="n"/>
      <c r="V236" s="669" t="n"/>
      <c r="W236" s="669" t="n"/>
      <c r="X236" s="669" t="n"/>
      <c r="Y236" s="669" t="n"/>
      <c r="Z236" s="669" t="n"/>
    </row>
    <row r="237">
      <c r="A237" s="357" t="inlineStr">
        <is>
          <t>Gee Virus</t>
        </is>
      </c>
      <c r="B237" s="425" t="inlineStr">
        <is>
          <t>AA</t>
        </is>
      </c>
      <c r="C237" s="425" t="inlineStr">
        <is>
          <t>TECH</t>
        </is>
      </c>
      <c r="D237" s="371" t="n">
        <v>28</v>
      </c>
      <c r="E237" s="425" t="n"/>
      <c r="F237" s="425" t="n"/>
      <c r="G237" s="425" t="n"/>
      <c r="H237" s="425" t="n">
        <v>30</v>
      </c>
      <c r="I237" s="187">
        <f>(D237+E237)/H237</f>
        <v/>
      </c>
      <c r="J237" s="386" t="inlineStr">
        <is>
          <t>T6.5 Zombie Gene Research</t>
        </is>
      </c>
      <c r="K237" s="669" t="n"/>
      <c r="L237" s="669" t="n"/>
      <c r="M237" s="669" t="n"/>
      <c r="N237" s="669" t="n"/>
      <c r="O237" s="669" t="n"/>
      <c r="P237" s="669" t="n"/>
      <c r="Q237" s="669" t="n"/>
      <c r="R237" s="669" t="n"/>
      <c r="S237" s="669" t="n"/>
      <c r="T237" s="669" t="n"/>
      <c r="U237" s="669" t="n"/>
      <c r="V237" s="669" t="n"/>
      <c r="W237" s="669" t="n"/>
      <c r="X237" s="669" t="n"/>
      <c r="Y237" s="669" t="n"/>
      <c r="Z237" s="669" t="n"/>
    </row>
    <row r="238">
      <c r="A238" s="246" t="inlineStr">
        <is>
          <t>Night Watch</t>
        </is>
      </c>
      <c r="B238" s="1037" t="inlineStr">
        <is>
          <t>SSS</t>
        </is>
      </c>
      <c r="C238" s="1037" t="inlineStr">
        <is>
          <t>ART</t>
        </is>
      </c>
      <c r="D238" s="209" t="n"/>
      <c r="E238" s="209" t="n"/>
      <c r="F238" s="209" t="n">
        <v>12</v>
      </c>
      <c r="G238" s="209" t="n"/>
      <c r="H238" s="209" t="n"/>
      <c r="I238" s="200" t="n"/>
      <c r="J238" s="386" t="inlineStr">
        <is>
          <t>Lottery Machine #2 (0.12%)</t>
        </is>
      </c>
      <c r="K238" s="669" t="n"/>
      <c r="L238" s="669" t="n"/>
      <c r="M238" s="669" t="n"/>
      <c r="N238" s="669" t="n"/>
      <c r="O238" s="669" t="n"/>
      <c r="P238" s="669" t="n"/>
      <c r="Q238" s="669" t="n"/>
      <c r="R238" s="669" t="n"/>
      <c r="S238" s="669" t="n"/>
      <c r="T238" s="669" t="n"/>
      <c r="U238" s="669" t="n"/>
      <c r="V238" s="669" t="n"/>
      <c r="W238" s="669" t="n"/>
      <c r="X238" s="669" t="n"/>
      <c r="Y238" s="669" t="n"/>
      <c r="Z238" s="669" t="n"/>
    </row>
    <row r="239">
      <c r="A239" s="246" t="inlineStr">
        <is>
          <t>Last Self Portrait</t>
        </is>
      </c>
      <c r="B239" s="1037" t="inlineStr">
        <is>
          <t>SSS</t>
        </is>
      </c>
      <c r="C239" s="1037" t="inlineStr">
        <is>
          <t>ART</t>
        </is>
      </c>
      <c r="D239" s="209" t="n"/>
      <c r="E239" s="209" t="n"/>
      <c r="F239" s="209" t="n">
        <v>12</v>
      </c>
      <c r="G239" s="209" t="n"/>
      <c r="H239" s="209" t="n"/>
      <c r="I239" s="200" t="n"/>
      <c r="J239" s="386" t="inlineStr">
        <is>
          <t>Daily Pack Relic #15</t>
        </is>
      </c>
      <c r="K239" s="669" t="n"/>
      <c r="L239" s="669" t="n"/>
      <c r="M239" s="669" t="n"/>
      <c r="N239" s="669" t="n"/>
      <c r="O239" s="669" t="n"/>
      <c r="P239" s="669" t="n"/>
      <c r="Q239" s="669" t="n"/>
      <c r="R239" s="669" t="n"/>
      <c r="S239" s="669" t="n"/>
      <c r="T239" s="669" t="n"/>
      <c r="U239" s="669" t="n"/>
      <c r="V239" s="669" t="n"/>
      <c r="W239" s="669" t="n"/>
      <c r="X239" s="669" t="n"/>
      <c r="Y239" s="669" t="n"/>
      <c r="Z239" s="669" t="n"/>
    </row>
    <row r="240">
      <c r="A240" s="357" t="inlineStr">
        <is>
          <t>Treaty of Lorcano</t>
        </is>
      </c>
      <c r="B240" s="425" t="inlineStr">
        <is>
          <t>SS</t>
        </is>
      </c>
      <c r="C240" s="425" t="inlineStr">
        <is>
          <t>FAME</t>
        </is>
      </c>
      <c r="D240" s="371" t="n"/>
      <c r="E240" s="371" t="n"/>
      <c r="F240" s="371" t="n">
        <v>11</v>
      </c>
      <c r="G240" s="425" t="n"/>
      <c r="H240" s="425" t="n"/>
      <c r="I240" s="425" t="n"/>
      <c r="J240" s="390" t="inlineStr">
        <is>
          <t>Lottery Machine #3 (?%)</t>
        </is>
      </c>
      <c r="K240" s="669" t="n"/>
      <c r="L240" s="669" t="n"/>
      <c r="M240" s="669" t="n"/>
      <c r="N240" s="669" t="n"/>
      <c r="O240" s="669" t="n"/>
      <c r="P240" s="669" t="n"/>
      <c r="Q240" s="669" t="n"/>
      <c r="R240" s="669" t="n"/>
      <c r="S240" s="669" t="n"/>
      <c r="T240" s="669" t="n"/>
      <c r="U240" s="669" t="n"/>
      <c r="V240" s="669" t="n"/>
      <c r="W240" s="669" t="n"/>
      <c r="X240" s="669" t="n"/>
      <c r="Y240" s="669" t="n"/>
      <c r="Z240" s="669" t="n"/>
    </row>
    <row r="241">
      <c r="A241" s="246" t="inlineStr">
        <is>
          <t>Hurrian Songs</t>
        </is>
      </c>
      <c r="B241" s="1037" t="inlineStr">
        <is>
          <t>AAA</t>
        </is>
      </c>
      <c r="C241" s="1037" t="inlineStr">
        <is>
          <t>CIV</t>
        </is>
      </c>
      <c r="D241" s="209" t="n"/>
      <c r="E241" s="209" t="n"/>
      <c r="F241" s="209" t="n">
        <v>9</v>
      </c>
      <c r="G241" s="209" t="n"/>
      <c r="H241" s="209" t="n"/>
      <c r="I241" s="200" t="n"/>
      <c r="J241" s="386" t="inlineStr">
        <is>
          <t>Lottery Machine #2 (0.06%)</t>
        </is>
      </c>
      <c r="K241" s="669" t="n"/>
      <c r="L241" s="669" t="n"/>
      <c r="M241" s="669" t="n"/>
      <c r="N241" s="669" t="n"/>
      <c r="O241" s="669" t="n"/>
      <c r="P241" s="669" t="n"/>
      <c r="Q241" s="669" t="n"/>
      <c r="R241" s="669" t="n"/>
      <c r="S241" s="669" t="n"/>
      <c r="T241" s="669" t="n"/>
      <c r="U241" s="669" t="n"/>
      <c r="V241" s="669" t="n"/>
      <c r="W241" s="669" t="n"/>
      <c r="X241" s="669" t="n"/>
      <c r="Y241" s="669" t="n"/>
      <c r="Z241" s="669" t="n"/>
    </row>
    <row r="242">
      <c r="A242" s="357" t="inlineStr">
        <is>
          <t>Theremin</t>
        </is>
      </c>
      <c r="B242" s="425" t="inlineStr">
        <is>
          <t>Blue</t>
        </is>
      </c>
      <c r="C242" s="425" t="inlineStr">
        <is>
          <t>FAME</t>
        </is>
      </c>
      <c r="D242" s="371" t="n"/>
      <c r="E242" s="371" t="n"/>
      <c r="F242" s="371" t="n">
        <v>5</v>
      </c>
      <c r="G242" s="425" t="n">
        <v>5</v>
      </c>
      <c r="H242" s="425" t="n"/>
      <c r="I242" s="425" t="n"/>
      <c r="J242" s="386" t="n"/>
      <c r="K242" s="669" t="n"/>
      <c r="L242" s="669" t="n"/>
      <c r="M242" s="669" t="n"/>
      <c r="N242" s="669" t="n"/>
      <c r="O242" s="669" t="n"/>
      <c r="P242" s="669" t="n"/>
      <c r="Q242" s="669" t="n"/>
      <c r="R242" s="669" t="n"/>
      <c r="S242" s="669" t="n"/>
      <c r="T242" s="669" t="n"/>
      <c r="U242" s="669" t="n"/>
      <c r="V242" s="669" t="n"/>
      <c r="W242" s="669" t="n"/>
      <c r="X242" s="669" t="n"/>
      <c r="Y242" s="669" t="n"/>
      <c r="Z242" s="669" t="n"/>
    </row>
    <row r="243">
      <c r="A243" s="357" t="n"/>
      <c r="B243" s="934" t="n"/>
      <c r="C243" s="934" t="n"/>
      <c r="D243" s="371" t="n"/>
      <c r="E243" s="371" t="n"/>
      <c r="F243" s="371" t="n"/>
      <c r="G243" s="425" t="n"/>
      <c r="H243" s="425" t="n"/>
      <c r="I243" s="425" t="n"/>
      <c r="J243" s="386" t="n"/>
      <c r="K243" s="669" t="n"/>
      <c r="L243" s="669" t="n"/>
      <c r="M243" s="669" t="n"/>
      <c r="N243" s="669" t="n"/>
      <c r="O243" s="669" t="n"/>
      <c r="P243" s="669" t="n"/>
      <c r="Q243" s="669" t="n"/>
      <c r="R243" s="669" t="n"/>
      <c r="S243" s="669" t="n"/>
      <c r="T243" s="669" t="n"/>
      <c r="U243" s="669" t="n"/>
      <c r="V243" s="669" t="n"/>
      <c r="W243" s="669" t="n"/>
      <c r="X243" s="669" t="n"/>
      <c r="Y243" s="669" t="n"/>
      <c r="Z243" s="669" t="n"/>
    </row>
    <row r="244">
      <c r="A244" s="357" t="inlineStr">
        <is>
          <t>Resonance: Blue</t>
        </is>
      </c>
      <c r="B244" s="934" t="n"/>
      <c r="C244" s="934" t="n"/>
      <c r="D244" s="371" t="n">
        <v>6</v>
      </c>
      <c r="E244" s="371" t="n"/>
      <c r="F244" s="371" t="n"/>
      <c r="G244" s="425" t="n"/>
      <c r="H244" s="425" t="n">
        <v>10</v>
      </c>
      <c r="I244" s="371">
        <f>(D244+E244)/H244</f>
        <v/>
      </c>
      <c r="J244" s="386" t="n"/>
      <c r="K244" s="669" t="n"/>
      <c r="L244" s="669" t="n"/>
      <c r="M244" s="669" t="n"/>
      <c r="N244" s="669" t="n"/>
      <c r="O244" s="669" t="n"/>
      <c r="P244" s="669" t="n"/>
      <c r="Q244" s="669" t="n"/>
      <c r="R244" s="669" t="n"/>
      <c r="S244" s="669" t="n"/>
      <c r="T244" s="669" t="n"/>
      <c r="U244" s="669" t="n"/>
      <c r="V244" s="669" t="n"/>
      <c r="W244" s="669" t="n"/>
      <c r="X244" s="669" t="n"/>
      <c r="Y244" s="669" t="n"/>
      <c r="Z244" s="669" t="n"/>
    </row>
    <row r="245">
      <c r="A245" s="357" t="inlineStr">
        <is>
          <t xml:space="preserve">  Euclid's Elements</t>
        </is>
      </c>
      <c r="B245" s="425" t="inlineStr">
        <is>
          <t>Blue</t>
        </is>
      </c>
      <c r="C245" s="425" t="inlineStr">
        <is>
          <t>TECH</t>
        </is>
      </c>
      <c r="D245" s="371" t="n"/>
      <c r="E245" s="371" t="n"/>
      <c r="F245" s="371" t="n"/>
      <c r="G245" s="425" t="n"/>
      <c r="H245" s="425" t="n"/>
      <c r="I245" s="425" t="n"/>
      <c r="J245" s="386" t="inlineStr">
        <is>
          <t>Lottery Machine #1 (0.03%), Wishing (1.1%), Hellenic Treasure Map (20%)</t>
        </is>
      </c>
      <c r="K245" s="669" t="n"/>
      <c r="L245" s="669" t="n"/>
      <c r="M245" s="669" t="n"/>
      <c r="N245" s="669" t="n"/>
      <c r="O245" s="669" t="n"/>
      <c r="P245" s="669" t="n"/>
      <c r="Q245" s="669" t="n"/>
      <c r="R245" s="669" t="n"/>
      <c r="S245" s="669" t="n"/>
      <c r="T245" s="669" t="n"/>
      <c r="U245" s="669" t="n"/>
      <c r="V245" s="669" t="n"/>
      <c r="W245" s="669" t="n"/>
      <c r="X245" s="669" t="n"/>
      <c r="Y245" s="669" t="n"/>
      <c r="Z245" s="669" t="n"/>
    </row>
    <row r="246">
      <c r="A246" s="357" t="inlineStr">
        <is>
          <t xml:space="preserve">  Eye of Medusa</t>
        </is>
      </c>
      <c r="B246" s="425" t="inlineStr">
        <is>
          <t>Blue</t>
        </is>
      </c>
      <c r="C246" s="425" t="inlineStr">
        <is>
          <t>FTH</t>
        </is>
      </c>
      <c r="D246" s="371" t="n"/>
      <c r="E246" s="371" t="n"/>
      <c r="F246" s="371" t="n"/>
      <c r="G246" s="425" t="n"/>
      <c r="H246" s="425" t="n"/>
      <c r="I246" s="425" t="n"/>
      <c r="J246" s="386" t="inlineStr">
        <is>
          <t>Mutant Gene Research T2</t>
        </is>
      </c>
      <c r="K246" s="669" t="n"/>
      <c r="L246" s="669" t="n"/>
      <c r="M246" s="669" t="n"/>
      <c r="N246" s="669" t="n"/>
      <c r="O246" s="669" t="n"/>
      <c r="P246" s="669" t="n"/>
      <c r="Q246" s="669" t="n"/>
      <c r="R246" s="669" t="n"/>
      <c r="S246" s="669" t="n"/>
      <c r="T246" s="669" t="n"/>
      <c r="U246" s="669" t="n"/>
      <c r="V246" s="669" t="n"/>
      <c r="W246" s="669" t="n"/>
      <c r="X246" s="669" t="n"/>
      <c r="Y246" s="669" t="n"/>
      <c r="Z246" s="669" t="n"/>
    </row>
    <row r="247">
      <c r="A247" s="357" t="inlineStr">
        <is>
          <t xml:space="preserve">  Franklin's Kite</t>
        </is>
      </c>
      <c r="B247" s="425" t="inlineStr">
        <is>
          <t>Blue</t>
        </is>
      </c>
      <c r="C247" s="425" t="inlineStr">
        <is>
          <t>FAME</t>
        </is>
      </c>
      <c r="D247" s="371" t="n"/>
      <c r="E247" s="371" t="n"/>
      <c r="F247" s="371" t="n"/>
      <c r="G247" s="425" t="n"/>
      <c r="H247" s="425" t="n"/>
      <c r="I247" s="425" t="n"/>
      <c r="J247" s="386" t="inlineStr">
        <is>
          <t>Lottery Machine #1 (0.07%), Wishing (3.1%), Murikan Treasure Map (20%), Novice Scrolls (1%)</t>
        </is>
      </c>
      <c r="K247" s="669" t="n"/>
      <c r="L247" s="669" t="n"/>
      <c r="M247" s="669" t="n"/>
      <c r="N247" s="669" t="n"/>
      <c r="O247" s="669" t="n"/>
      <c r="P247" s="669" t="n"/>
      <c r="Q247" s="669" t="n"/>
      <c r="R247" s="669" t="n"/>
      <c r="S247" s="669" t="n"/>
      <c r="T247" s="669" t="n"/>
      <c r="U247" s="669" t="n"/>
      <c r="V247" s="669" t="n"/>
      <c r="W247" s="669" t="n"/>
      <c r="X247" s="669" t="n"/>
      <c r="Y247" s="669" t="n"/>
      <c r="Z247" s="669" t="n"/>
    </row>
    <row r="248">
      <c r="A248" s="357" t="inlineStr">
        <is>
          <t>Resonance: Blue</t>
        </is>
      </c>
      <c r="B248" s="425" t="n"/>
      <c r="C248" s="934" t="n"/>
      <c r="D248" s="371" t="n">
        <v>5</v>
      </c>
      <c r="E248" s="371" t="n"/>
      <c r="F248" s="371" t="n"/>
      <c r="G248" s="425" t="n"/>
      <c r="H248" s="425" t="n">
        <v>10</v>
      </c>
      <c r="I248" s="371">
        <f>(D248+E248)/H248</f>
        <v/>
      </c>
      <c r="J248" s="386" t="n"/>
      <c r="K248" s="669" t="n"/>
      <c r="L248" s="669" t="n"/>
      <c r="M248" s="669" t="n"/>
      <c r="N248" s="669" t="n"/>
      <c r="O248" s="669" t="n"/>
      <c r="P248" s="669" t="n"/>
      <c r="Q248" s="669" t="n"/>
      <c r="R248" s="669" t="n"/>
      <c r="S248" s="669" t="n"/>
      <c r="T248" s="669" t="n"/>
      <c r="U248" s="669" t="n"/>
      <c r="V248" s="669" t="n"/>
      <c r="W248" s="669" t="n"/>
      <c r="X248" s="669" t="n"/>
      <c r="Y248" s="669" t="n"/>
      <c r="Z248" s="669" t="n"/>
    </row>
    <row r="249">
      <c r="A249" s="357" t="inlineStr">
        <is>
          <t xml:space="preserve">  The Rose Garden</t>
        </is>
      </c>
      <c r="B249" s="425" t="inlineStr">
        <is>
          <t>Blue</t>
        </is>
      </c>
      <c r="C249" s="425" t="inlineStr">
        <is>
          <t>FTH</t>
        </is>
      </c>
      <c r="D249" s="371" t="n"/>
      <c r="E249" s="371" t="n"/>
      <c r="F249" s="371" t="n"/>
      <c r="G249" s="425" t="n"/>
      <c r="H249" s="425" t="n"/>
      <c r="I249" s="425" t="n"/>
      <c r="J249" s="386" t="inlineStr">
        <is>
          <t>Lottery Machine #2 (0.03%)</t>
        </is>
      </c>
      <c r="K249" s="669" t="n"/>
      <c r="L249" s="669" t="n"/>
      <c r="M249" s="669" t="n"/>
      <c r="N249" s="669" t="n"/>
      <c r="O249" s="669" t="n"/>
      <c r="P249" s="669" t="n"/>
      <c r="Q249" s="669" t="n"/>
      <c r="R249" s="669" t="n"/>
      <c r="S249" s="669" t="n"/>
      <c r="T249" s="669" t="n"/>
      <c r="U249" s="669" t="n"/>
      <c r="V249" s="669" t="n"/>
      <c r="W249" s="669" t="n"/>
      <c r="X249" s="669" t="n"/>
      <c r="Y249" s="669" t="n"/>
      <c r="Z249" s="669" t="n"/>
    </row>
    <row r="250">
      <c r="A250" s="357" t="inlineStr">
        <is>
          <t xml:space="preserve">  Rose Cross</t>
        </is>
      </c>
      <c r="B250" s="425" t="inlineStr">
        <is>
          <t>Blue</t>
        </is>
      </c>
      <c r="C250" s="425" t="inlineStr">
        <is>
          <t>FTH</t>
        </is>
      </c>
      <c r="D250" s="371" t="n"/>
      <c r="E250" s="371" t="n"/>
      <c r="F250" s="371" t="n"/>
      <c r="G250" s="425" t="n"/>
      <c r="H250" s="425" t="n"/>
      <c r="I250" s="425" t="n"/>
      <c r="J250" s="386" t="inlineStr">
        <is>
          <t>Lottery Machine #2 (0.26%)</t>
        </is>
      </c>
      <c r="K250" s="669" t="n"/>
      <c r="L250" s="669" t="n"/>
      <c r="M250" s="669" t="n"/>
      <c r="N250" s="669" t="n"/>
      <c r="O250" s="669" t="n"/>
      <c r="P250" s="669" t="n"/>
      <c r="Q250" s="669" t="n"/>
      <c r="R250" s="669" t="n"/>
      <c r="S250" s="669" t="n"/>
      <c r="T250" s="669" t="n"/>
      <c r="U250" s="669" t="n"/>
      <c r="V250" s="669" t="n"/>
      <c r="W250" s="669" t="n"/>
      <c r="X250" s="669" t="n"/>
      <c r="Y250" s="669" t="n"/>
      <c r="Z250" s="669" t="n"/>
    </row>
    <row r="251">
      <c r="A251" s="246" t="inlineStr">
        <is>
          <t>Resonance: Purple</t>
        </is>
      </c>
      <c r="B251" s="934" t="n"/>
      <c r="C251" s="934" t="n"/>
      <c r="D251" s="210" t="n"/>
      <c r="E251" s="209" t="n"/>
      <c r="F251" s="209" t="n">
        <v>6</v>
      </c>
      <c r="G251" s="209" t="n"/>
      <c r="H251" s="210" t="n"/>
      <c r="I251" s="210" t="n"/>
      <c r="J251" s="256" t="n"/>
      <c r="K251" s="669" t="n"/>
      <c r="L251" s="669" t="n"/>
      <c r="M251" s="669" t="n"/>
      <c r="N251" s="669" t="n"/>
      <c r="O251" s="669" t="n"/>
      <c r="P251" s="669" t="n"/>
      <c r="Q251" s="669" t="n"/>
      <c r="R251" s="669" t="n"/>
      <c r="S251" s="669" t="n"/>
      <c r="T251" s="669" t="n"/>
      <c r="U251" s="669" t="n"/>
      <c r="V251" s="669" t="n"/>
      <c r="W251" s="669" t="n"/>
      <c r="X251" s="669" t="n"/>
      <c r="Y251" s="669" t="n"/>
      <c r="Z251" s="669" t="n"/>
    </row>
    <row r="252">
      <c r="A252" s="507" t="inlineStr">
        <is>
          <t xml:space="preserve">  Miss Universe Crown</t>
        </is>
      </c>
      <c r="B252" s="1037" t="inlineStr">
        <is>
          <t>AA</t>
        </is>
      </c>
      <c r="C252" s="1037" t="inlineStr">
        <is>
          <t>FAME</t>
        </is>
      </c>
      <c r="D252" s="934" t="n"/>
      <c r="E252" s="934" t="n"/>
      <c r="F252" s="934" t="n"/>
      <c r="G252" s="934" t="n"/>
      <c r="H252" s="934" t="n"/>
      <c r="I252" s="934" t="n"/>
      <c r="J252" s="935" t="inlineStr">
        <is>
          <t>Lottery Machine #2 (0.12%)</t>
        </is>
      </c>
      <c r="K252" s="669" t="n"/>
      <c r="L252" s="669" t="n"/>
      <c r="M252" s="669" t="n"/>
      <c r="N252" s="669" t="n"/>
      <c r="O252" s="669" t="n"/>
      <c r="P252" s="669" t="n"/>
      <c r="Q252" s="669" t="n"/>
      <c r="R252" s="669" t="n"/>
      <c r="S252" s="669" t="n"/>
      <c r="T252" s="669" t="n"/>
      <c r="U252" s="669" t="n"/>
      <c r="V252" s="669" t="n"/>
      <c r="W252" s="669" t="n"/>
      <c r="X252" s="669" t="n"/>
      <c r="Y252" s="669" t="n"/>
      <c r="Z252" s="669" t="n"/>
    </row>
    <row r="253">
      <c r="A253" s="246" t="inlineStr">
        <is>
          <t xml:space="preserve">  Theory of Population</t>
        </is>
      </c>
      <c r="B253" s="1037" t="inlineStr">
        <is>
          <t>AAA</t>
        </is>
      </c>
      <c r="C253" s="1037" t="inlineStr">
        <is>
          <t>FAME</t>
        </is>
      </c>
      <c r="D253" s="209" t="n"/>
      <c r="E253" s="209" t="n"/>
      <c r="F253" s="209" t="n"/>
      <c r="G253" s="209" t="n"/>
      <c r="H253" s="209" t="n"/>
      <c r="I253" s="209" t="n"/>
      <c r="J253" s="256" t="inlineStr">
        <is>
          <t>Lottery Machine #2 (0.06%)</t>
        </is>
      </c>
      <c r="K253" s="669" t="n"/>
      <c r="L253" s="669" t="n"/>
      <c r="M253" s="669" t="n"/>
      <c r="N253" s="669" t="n"/>
      <c r="O253" s="669" t="n"/>
      <c r="P253" s="669" t="n"/>
      <c r="Q253" s="669" t="n"/>
      <c r="R253" s="669" t="n"/>
      <c r="S253" s="669" t="n"/>
      <c r="T253" s="669" t="n"/>
      <c r="U253" s="669" t="n"/>
      <c r="V253" s="669" t="n"/>
      <c r="W253" s="669" t="n"/>
      <c r="X253" s="669" t="n"/>
      <c r="Y253" s="669" t="n"/>
      <c r="Z253" s="669" t="n"/>
    </row>
    <row r="254">
      <c r="A254" s="362" t="inlineStr">
        <is>
          <t>TOTAL ATK</t>
        </is>
      </c>
      <c r="B254" s="411" t="n"/>
      <c r="C254" s="411" t="n"/>
      <c r="D254" s="364" t="n"/>
      <c r="E254" s="411" t="n"/>
      <c r="F254" s="364">
        <f>sum(F231:G253)</f>
        <v/>
      </c>
      <c r="G254" s="411" t="n"/>
      <c r="H254" s="364" t="n"/>
      <c r="I254" s="203">
        <f>sum(I231:I253)</f>
        <v/>
      </c>
      <c r="J254" s="970" t="n"/>
      <c r="K254" s="669" t="n"/>
      <c r="L254" s="669" t="n"/>
      <c r="M254" s="669" t="n"/>
      <c r="N254" s="669" t="n"/>
      <c r="O254" s="669" t="n"/>
      <c r="P254" s="669" t="n"/>
      <c r="Q254" s="669" t="n"/>
      <c r="R254" s="669" t="n"/>
      <c r="S254" s="669" t="n"/>
      <c r="T254" s="669" t="n"/>
      <c r="U254" s="669" t="n"/>
      <c r="V254" s="669" t="n"/>
      <c r="W254" s="669" t="n"/>
      <c r="X254" s="669" t="n"/>
      <c r="Y254" s="669" t="n"/>
      <c r="Z254" s="669" t="n"/>
    </row>
    <row r="255">
      <c r="A255" s="1091" t="n"/>
      <c r="B255" s="669" t="n"/>
      <c r="C255" s="669" t="n"/>
      <c r="D255" s="669" t="n"/>
      <c r="E255" s="669" t="n"/>
      <c r="F255" s="669" t="n"/>
      <c r="G255" s="669" t="n"/>
      <c r="H255" s="669" t="n"/>
      <c r="I255" s="669" t="n"/>
      <c r="J255" s="1095" t="n"/>
      <c r="K255" s="669" t="n"/>
      <c r="L255" s="669" t="n"/>
      <c r="M255" s="669" t="n"/>
      <c r="N255" s="669" t="n"/>
      <c r="O255" s="669" t="n"/>
      <c r="P255" s="669" t="n"/>
      <c r="Q255" s="669" t="n"/>
      <c r="R255" s="669" t="n"/>
      <c r="S255" s="669" t="n"/>
      <c r="T255" s="669" t="n"/>
      <c r="U255" s="669" t="n"/>
      <c r="V255" s="669" t="n"/>
      <c r="W255" s="669" t="n"/>
      <c r="X255" s="669" t="n"/>
      <c r="Y255" s="669" t="n"/>
      <c r="Z255" s="669" t="n"/>
    </row>
    <row r="256">
      <c r="A256" s="1091" t="n"/>
      <c r="B256" s="669" t="n"/>
      <c r="C256" s="669" t="n"/>
      <c r="D256" s="669" t="n"/>
      <c r="E256" s="669" t="n"/>
      <c r="F256" s="669" t="n"/>
      <c r="G256" s="669" t="n"/>
      <c r="H256" s="669" t="n"/>
      <c r="I256" s="669" t="n"/>
      <c r="J256" s="1095" t="n"/>
      <c r="K256" s="669" t="n"/>
      <c r="L256" s="669" t="n"/>
      <c r="M256" s="669" t="n"/>
      <c r="N256" s="669" t="n"/>
      <c r="O256" s="669" t="n"/>
      <c r="P256" s="669" t="n"/>
      <c r="Q256" s="669" t="n"/>
      <c r="R256" s="669" t="n"/>
      <c r="S256" s="669" t="n"/>
      <c r="T256" s="669" t="n"/>
      <c r="U256" s="669" t="n"/>
      <c r="V256" s="669" t="n"/>
      <c r="W256" s="669" t="n"/>
      <c r="X256" s="669" t="n"/>
      <c r="Y256" s="669" t="n"/>
      <c r="Z256" s="669" t="n"/>
    </row>
    <row r="257">
      <c r="A257" s="212" t="inlineStr">
        <is>
          <t>RUSH</t>
        </is>
      </c>
      <c r="B257" s="406" t="inlineStr">
        <is>
          <t>Rarity</t>
        </is>
      </c>
      <c r="C257" s="406" t="inlineStr">
        <is>
          <t>Type</t>
        </is>
      </c>
      <c r="D257" s="406" t="inlineStr">
        <is>
          <t>Base</t>
        </is>
      </c>
      <c r="E257" s="406" t="inlineStr">
        <is>
          <t>Awakening Base</t>
        </is>
      </c>
      <c r="F257" s="406" t="inlineStr">
        <is>
          <t>Percentage</t>
        </is>
      </c>
      <c r="G257" s="406" t="inlineStr">
        <is>
          <t>Awakening Percentage</t>
        </is>
      </c>
      <c r="H257" s="406" t="inlineStr">
        <is>
          <t>Per Minion</t>
        </is>
      </c>
      <c r="I257" s="406" t="inlineStr">
        <is>
          <t>Per Minion Boost</t>
        </is>
      </c>
      <c r="J257" s="786" t="inlineStr">
        <is>
          <t>Source</t>
        </is>
      </c>
      <c r="K257" s="669" t="n"/>
      <c r="L257" s="669" t="n"/>
      <c r="M257" s="669" t="n"/>
      <c r="N257" s="669" t="n"/>
      <c r="O257" s="669" t="n"/>
      <c r="P257" s="669" t="n"/>
      <c r="Q257" s="669" t="n"/>
      <c r="R257" s="669" t="n"/>
      <c r="S257" s="669" t="n"/>
      <c r="T257" s="669" t="n"/>
      <c r="U257" s="669" t="n"/>
      <c r="V257" s="669" t="n"/>
      <c r="W257" s="669" t="n"/>
      <c r="X257" s="669" t="n"/>
      <c r="Y257" s="669" t="n"/>
      <c r="Z257" s="669" t="n"/>
    </row>
    <row r="258">
      <c r="A258" s="246" t="inlineStr">
        <is>
          <t>The Black Book</t>
        </is>
      </c>
      <c r="B258" s="1037" t="inlineStr">
        <is>
          <t>SSS</t>
        </is>
      </c>
      <c r="C258" s="1037" t="inlineStr">
        <is>
          <t>FTH</t>
        </is>
      </c>
      <c r="D258" s="210" t="n">
        <v>90</v>
      </c>
      <c r="E258" s="209" t="n"/>
      <c r="F258" s="209" t="n"/>
      <c r="G258" s="209" t="n"/>
      <c r="H258" s="210" t="n">
        <v>60</v>
      </c>
      <c r="I258" s="210">
        <f>(D258+E258)/H258</f>
        <v/>
      </c>
      <c r="J258" s="256" t="inlineStr">
        <is>
          <t>Silence Hall (Rebel Cabin) Reward</t>
        </is>
      </c>
      <c r="K258" s="669" t="n"/>
      <c r="L258" s="669" t="n"/>
      <c r="M258" s="669" t="n"/>
      <c r="N258" s="669" t="n"/>
      <c r="O258" s="669" t="n"/>
      <c r="P258" s="669" t="n"/>
      <c r="Q258" s="669" t="n"/>
      <c r="R258" s="669" t="n"/>
      <c r="S258" s="669" t="n"/>
      <c r="T258" s="669" t="n"/>
      <c r="U258" s="669" t="n"/>
      <c r="V258" s="669" t="n"/>
      <c r="W258" s="669" t="n"/>
      <c r="X258" s="669" t="n"/>
      <c r="Y258" s="669" t="n"/>
      <c r="Z258" s="669" t="n"/>
    </row>
    <row r="259">
      <c r="A259" s="507" t="inlineStr">
        <is>
          <t>Nobel's Will</t>
        </is>
      </c>
      <c r="B259" s="1037" t="inlineStr">
        <is>
          <t>SSS</t>
        </is>
      </c>
      <c r="C259" s="1037" t="inlineStr">
        <is>
          <t>FAME</t>
        </is>
      </c>
      <c r="D259" s="934" t="n">
        <v>90</v>
      </c>
      <c r="E259" s="934" t="n"/>
      <c r="F259" s="934" t="n"/>
      <c r="G259" s="934" t="n"/>
      <c r="H259" s="934" t="n">
        <v>60</v>
      </c>
      <c r="I259" s="210">
        <f>(D259+E259)/H259</f>
        <v/>
      </c>
      <c r="J259" s="935" t="inlineStr">
        <is>
          <t>Lottery Machine #1 (0.09%), Wishing (0.08%), Grandmaster Scrolls (0.79%)</t>
        </is>
      </c>
      <c r="K259" s="669" t="n"/>
      <c r="L259" s="669" t="n"/>
      <c r="M259" s="669" t="n"/>
      <c r="N259" s="669" t="n"/>
      <c r="O259" s="669" t="n"/>
      <c r="P259" s="669" t="n"/>
      <c r="Q259" s="669" t="n"/>
      <c r="R259" s="669" t="n"/>
      <c r="S259" s="669" t="n"/>
      <c r="T259" s="669" t="n"/>
      <c r="U259" s="669" t="n"/>
      <c r="V259" s="669" t="n"/>
      <c r="W259" s="669" t="n"/>
      <c r="X259" s="669" t="n"/>
      <c r="Y259" s="669" t="n"/>
      <c r="Z259" s="669" t="n"/>
    </row>
    <row r="260">
      <c r="A260" s="246" t="inlineStr">
        <is>
          <t>Burgundian Laws</t>
        </is>
      </c>
      <c r="B260" s="1037" t="inlineStr">
        <is>
          <t>AAA</t>
        </is>
      </c>
      <c r="C260" s="1037" t="inlineStr">
        <is>
          <t>FAME</t>
        </is>
      </c>
      <c r="D260" s="209" t="n">
        <v>36</v>
      </c>
      <c r="E260" s="209" t="n"/>
      <c r="F260" s="209" t="n"/>
      <c r="G260" s="209" t="n"/>
      <c r="H260" s="209" t="n">
        <v>30</v>
      </c>
      <c r="I260" s="200">
        <f>(D260+E260)/H260</f>
        <v/>
      </c>
      <c r="J260" s="386" t="inlineStr">
        <is>
          <t>Lottery Machine #2 (?%)</t>
        </is>
      </c>
      <c r="K260" s="669" t="n"/>
      <c r="L260" s="669" t="n"/>
      <c r="M260" s="669" t="n"/>
      <c r="N260" s="669" t="n"/>
      <c r="O260" s="669" t="n"/>
      <c r="P260" s="669" t="n"/>
      <c r="Q260" s="669" t="n"/>
      <c r="R260" s="669" t="n"/>
      <c r="S260" s="669" t="n"/>
      <c r="T260" s="669" t="n"/>
      <c r="U260" s="669" t="n"/>
      <c r="V260" s="669" t="n"/>
      <c r="W260" s="669" t="n"/>
      <c r="X260" s="669" t="n"/>
      <c r="Y260" s="669" t="n"/>
      <c r="Z260" s="669" t="n"/>
    </row>
    <row r="261">
      <c r="A261" s="507" t="inlineStr">
        <is>
          <t>Constantine Statue</t>
        </is>
      </c>
      <c r="B261" s="1037" t="inlineStr">
        <is>
          <t>SSS</t>
        </is>
      </c>
      <c r="C261" s="1037" t="inlineStr">
        <is>
          <t>FAME</t>
        </is>
      </c>
      <c r="D261" s="934" t="n"/>
      <c r="E261" s="934" t="n"/>
      <c r="F261" s="934" t="n">
        <v>12</v>
      </c>
      <c r="G261" s="934" t="n"/>
      <c r="H261" s="934" t="n"/>
      <c r="I261" s="934" t="n"/>
      <c r="J261" s="190" t="inlineStr">
        <is>
          <t>Unknown</t>
        </is>
      </c>
      <c r="K261" s="669" t="n"/>
      <c r="L261" s="669" t="n"/>
      <c r="M261" s="669" t="n"/>
      <c r="N261" s="669" t="n"/>
      <c r="O261" s="669" t="n"/>
      <c r="P261" s="669" t="n"/>
      <c r="Q261" s="669" t="n"/>
      <c r="R261" s="669" t="n"/>
      <c r="S261" s="669" t="n"/>
      <c r="T261" s="669" t="n"/>
      <c r="U261" s="669" t="n"/>
      <c r="V261" s="669" t="n"/>
      <c r="W261" s="669" t="n"/>
      <c r="X261" s="669" t="n"/>
      <c r="Y261" s="669" t="n"/>
      <c r="Z261" s="669" t="n"/>
    </row>
    <row r="262">
      <c r="A262" s="507" t="inlineStr">
        <is>
          <t>Convention on the Laws of the Sea</t>
        </is>
      </c>
      <c r="B262" s="1037" t="inlineStr">
        <is>
          <t>SSS</t>
        </is>
      </c>
      <c r="C262" s="1037" t="inlineStr">
        <is>
          <t>FAME</t>
        </is>
      </c>
      <c r="D262" s="934" t="n"/>
      <c r="E262" s="934" t="n"/>
      <c r="F262" s="934" t="n">
        <v>12</v>
      </c>
      <c r="G262" s="934" t="n"/>
      <c r="H262" s="934" t="n"/>
      <c r="I262" s="934" t="n"/>
      <c r="J262" s="190" t="inlineStr">
        <is>
          <t>Lottery Machine #2 (?%)</t>
        </is>
      </c>
      <c r="K262" s="669" t="n"/>
      <c r="L262" s="669" t="n"/>
      <c r="M262" s="669" t="n"/>
      <c r="N262" s="669" t="n"/>
      <c r="O262" s="669" t="n"/>
      <c r="P262" s="669" t="n"/>
      <c r="Q262" s="669" t="n"/>
      <c r="R262" s="669" t="n"/>
      <c r="S262" s="669" t="n"/>
      <c r="T262" s="669" t="n"/>
      <c r="U262" s="669" t="n"/>
      <c r="V262" s="669" t="n"/>
      <c r="W262" s="669" t="n"/>
      <c r="X262" s="669" t="n"/>
      <c r="Y262" s="669" t="n"/>
      <c r="Z262" s="669" t="n"/>
    </row>
    <row r="263">
      <c r="A263" s="507" t="inlineStr">
        <is>
          <t>The Prince</t>
        </is>
      </c>
      <c r="B263" s="1037" t="inlineStr">
        <is>
          <t>SSS</t>
        </is>
      </c>
      <c r="C263" s="1037" t="inlineStr">
        <is>
          <t>FAME</t>
        </is>
      </c>
      <c r="D263" s="934" t="n"/>
      <c r="E263" s="934" t="n"/>
      <c r="F263" s="934" t="n">
        <v>12</v>
      </c>
      <c r="G263" s="934" t="n"/>
      <c r="H263" s="934" t="n"/>
      <c r="I263" s="934" t="n"/>
      <c r="J263" s="935" t="inlineStr">
        <is>
          <t>Lottery Machine #2 (0.12%)</t>
        </is>
      </c>
      <c r="K263" s="669" t="n"/>
      <c r="L263" s="669" t="n"/>
      <c r="M263" s="669" t="n"/>
      <c r="N263" s="669" t="n"/>
      <c r="O263" s="669" t="n"/>
      <c r="P263" s="669" t="n"/>
      <c r="Q263" s="669" t="n"/>
      <c r="R263" s="669" t="n"/>
      <c r="S263" s="669" t="n"/>
      <c r="T263" s="669" t="n"/>
      <c r="U263" s="669" t="n"/>
      <c r="V263" s="669" t="n"/>
      <c r="W263" s="669" t="n"/>
      <c r="X263" s="669" t="n"/>
      <c r="Y263" s="669" t="n"/>
      <c r="Z263" s="669" t="n"/>
    </row>
    <row r="264">
      <c r="A264" s="507" t="inlineStr">
        <is>
          <t>Actor Training</t>
        </is>
      </c>
      <c r="B264" s="1037" t="inlineStr">
        <is>
          <t>SS</t>
        </is>
      </c>
      <c r="C264" s="1037" t="inlineStr">
        <is>
          <t>FAME</t>
        </is>
      </c>
      <c r="D264" s="934" t="n"/>
      <c r="E264" s="934" t="n"/>
      <c r="F264" s="934" t="n">
        <v>11</v>
      </c>
      <c r="G264" s="934" t="n"/>
      <c r="H264" s="934" t="n"/>
      <c r="I264" s="934" t="n"/>
      <c r="J264" s="390" t="inlineStr">
        <is>
          <t>Lottery Machine #3 (?%)</t>
        </is>
      </c>
      <c r="K264" s="669" t="n"/>
      <c r="L264" s="669" t="n"/>
      <c r="M264" s="669" t="n"/>
      <c r="N264" s="669" t="n"/>
      <c r="O264" s="669" t="n"/>
      <c r="P264" s="669" t="n"/>
      <c r="Q264" s="669" t="n"/>
      <c r="R264" s="669" t="n"/>
      <c r="S264" s="669" t="n"/>
      <c r="T264" s="669" t="n"/>
      <c r="U264" s="669" t="n"/>
      <c r="V264" s="669" t="n"/>
      <c r="W264" s="669" t="n"/>
      <c r="X264" s="669" t="n"/>
      <c r="Y264" s="669" t="n"/>
      <c r="Z264" s="669" t="n"/>
    </row>
    <row r="265">
      <c r="A265" s="507" t="inlineStr">
        <is>
          <t>Economy World Vol.1</t>
        </is>
      </c>
      <c r="B265" s="1037" t="inlineStr">
        <is>
          <t>AAA</t>
        </is>
      </c>
      <c r="C265" s="1037" t="inlineStr">
        <is>
          <t>FAME</t>
        </is>
      </c>
      <c r="D265" s="934" t="n"/>
      <c r="E265" s="934" t="n"/>
      <c r="F265" s="934" t="n">
        <v>9</v>
      </c>
      <c r="G265" s="934" t="n"/>
      <c r="H265" s="934" t="n"/>
      <c r="I265" s="934" t="n"/>
      <c r="J265" s="386" t="inlineStr">
        <is>
          <t>Lottery Machine #2 (?%)</t>
        </is>
      </c>
      <c r="K265" s="669" t="n"/>
      <c r="L265" s="669" t="n"/>
      <c r="M265" s="669" t="n"/>
      <c r="N265" s="669" t="n"/>
      <c r="O265" s="669" t="n"/>
      <c r="P265" s="669" t="n"/>
      <c r="Q265" s="669" t="n"/>
      <c r="R265" s="669" t="n"/>
      <c r="S265" s="669" t="n"/>
      <c r="T265" s="669" t="n"/>
      <c r="U265" s="669" t="n"/>
      <c r="V265" s="669" t="n"/>
      <c r="W265" s="669" t="n"/>
      <c r="X265" s="669" t="n"/>
      <c r="Y265" s="669" t="n"/>
      <c r="Z265" s="669" t="n"/>
    </row>
    <row r="266">
      <c r="A266" s="507" t="inlineStr">
        <is>
          <t>Dicycle</t>
        </is>
      </c>
      <c r="B266" s="1037" t="inlineStr">
        <is>
          <t>Blue</t>
        </is>
      </c>
      <c r="C266" s="1037" t="inlineStr">
        <is>
          <t>FAME</t>
        </is>
      </c>
      <c r="D266" s="934" t="n"/>
      <c r="E266" s="934" t="n"/>
      <c r="F266" s="934" t="n">
        <v>5</v>
      </c>
      <c r="G266" s="934" t="n">
        <v>5</v>
      </c>
      <c r="H266" s="934" t="n"/>
      <c r="I266" s="934" t="n"/>
      <c r="J266" s="390" t="inlineStr">
        <is>
          <t>Lottery Machine #3 (?%)</t>
        </is>
      </c>
      <c r="K266" s="669" t="n"/>
      <c r="L266" s="669" t="n"/>
      <c r="M266" s="669" t="n"/>
      <c r="N266" s="669" t="n"/>
      <c r="O266" s="669" t="n"/>
      <c r="P266" s="669" t="n"/>
      <c r="Q266" s="669" t="n"/>
      <c r="R266" s="669" t="n"/>
      <c r="S266" s="669" t="n"/>
      <c r="T266" s="669" t="n"/>
      <c r="U266" s="669" t="n"/>
      <c r="V266" s="669" t="n"/>
      <c r="W266" s="669" t="n"/>
      <c r="X266" s="669" t="n"/>
      <c r="Y266" s="669" t="n"/>
      <c r="Z266" s="669" t="n"/>
    </row>
    <row r="267">
      <c r="A267" s="507" t="inlineStr">
        <is>
          <t>The Walking Man</t>
        </is>
      </c>
      <c r="B267" s="1037" t="inlineStr">
        <is>
          <t>Blue</t>
        </is>
      </c>
      <c r="C267" s="1037" t="inlineStr">
        <is>
          <t>ART</t>
        </is>
      </c>
      <c r="D267" s="934" t="n"/>
      <c r="E267" s="934" t="n"/>
      <c r="F267" s="934" t="n">
        <v>5</v>
      </c>
      <c r="G267" s="934" t="n">
        <v>5</v>
      </c>
      <c r="H267" s="934" t="n"/>
      <c r="I267" s="934" t="n"/>
      <c r="J267" s="386" t="inlineStr">
        <is>
          <t>Lottery Machine #2 (?%)</t>
        </is>
      </c>
      <c r="K267" s="669" t="n"/>
      <c r="L267" s="669" t="n"/>
      <c r="M267" s="669" t="n"/>
      <c r="N267" s="669" t="n"/>
      <c r="O267" s="669" t="n"/>
      <c r="P267" s="669" t="n"/>
      <c r="Q267" s="669" t="n"/>
      <c r="R267" s="669" t="n"/>
      <c r="S267" s="669" t="n"/>
      <c r="T267" s="669" t="n"/>
      <c r="U267" s="669" t="n"/>
      <c r="V267" s="669" t="n"/>
      <c r="W267" s="669" t="n"/>
      <c r="X267" s="669" t="n"/>
      <c r="Y267" s="669" t="n"/>
      <c r="Z267" s="669" t="n"/>
    </row>
    <row r="268">
      <c r="A268" s="507" t="n"/>
      <c r="B268" s="934" t="n"/>
      <c r="C268" s="934" t="n"/>
      <c r="D268" s="934" t="n"/>
      <c r="E268" s="934" t="n"/>
      <c r="F268" s="934" t="n"/>
      <c r="G268" s="934" t="n"/>
      <c r="H268" s="934" t="n"/>
      <c r="I268" s="934" t="n"/>
      <c r="J268" s="935" t="n"/>
      <c r="K268" s="669" t="n"/>
      <c r="L268" s="669" t="n"/>
      <c r="M268" s="669" t="n"/>
      <c r="N268" s="669" t="n"/>
      <c r="O268" s="669" t="n"/>
      <c r="P268" s="669" t="n"/>
      <c r="Q268" s="669" t="n"/>
      <c r="R268" s="669" t="n"/>
      <c r="S268" s="669" t="n"/>
      <c r="T268" s="669" t="n"/>
      <c r="U268" s="669" t="n"/>
      <c r="V268" s="669" t="n"/>
      <c r="W268" s="669" t="n"/>
      <c r="X268" s="669" t="n"/>
      <c r="Y268" s="669" t="n"/>
      <c r="Z268" s="669" t="n"/>
    </row>
    <row r="269">
      <c r="A269" s="357" t="inlineStr">
        <is>
          <t>Resonance: Blue</t>
        </is>
      </c>
      <c r="B269" s="934" t="n"/>
      <c r="C269" s="934" t="n"/>
      <c r="D269" s="371" t="n">
        <v>5</v>
      </c>
      <c r="E269" s="371" t="n"/>
      <c r="F269" s="371" t="n"/>
      <c r="G269" s="425" t="n"/>
      <c r="H269" s="425" t="n">
        <v>10</v>
      </c>
      <c r="I269" s="371">
        <f>(D269+E269)/H269</f>
        <v/>
      </c>
      <c r="J269" s="386" t="n"/>
      <c r="K269" s="669" t="n"/>
      <c r="L269" s="669" t="n"/>
      <c r="M269" s="669" t="n"/>
      <c r="N269" s="669" t="n"/>
      <c r="O269" s="669" t="n"/>
      <c r="P269" s="669" t="n"/>
      <c r="Q269" s="669" t="n"/>
      <c r="R269" s="669" t="n"/>
      <c r="S269" s="669" t="n"/>
      <c r="T269" s="669" t="n"/>
      <c r="U269" s="669" t="n"/>
      <c r="V269" s="669" t="n"/>
      <c r="W269" s="669" t="n"/>
      <c r="X269" s="669" t="n"/>
      <c r="Y269" s="669" t="n"/>
      <c r="Z269" s="669" t="n"/>
    </row>
    <row r="270">
      <c r="A270" s="357" t="inlineStr">
        <is>
          <t xml:space="preserve">  Ghanta</t>
        </is>
      </c>
      <c r="B270" s="425" t="inlineStr">
        <is>
          <t>Blue</t>
        </is>
      </c>
      <c r="C270" s="425" t="inlineStr">
        <is>
          <t>FTH</t>
        </is>
      </c>
      <c r="D270" s="371" t="n"/>
      <c r="E270" s="371" t="n"/>
      <c r="F270" s="371" t="n"/>
      <c r="G270" s="425" t="n"/>
      <c r="H270" s="425" t="n"/>
      <c r="I270" s="425" t="n"/>
      <c r="J270" s="386" t="inlineStr">
        <is>
          <t>Lottery Machine #2 (?%)</t>
        </is>
      </c>
      <c r="K270" s="669" t="n"/>
      <c r="L270" s="669" t="n"/>
      <c r="M270" s="669" t="n"/>
      <c r="N270" s="669" t="n"/>
      <c r="O270" s="669" t="n"/>
      <c r="P270" s="669" t="n"/>
      <c r="Q270" s="669" t="n"/>
      <c r="R270" s="669" t="n"/>
      <c r="S270" s="669" t="n"/>
      <c r="T270" s="669" t="n"/>
      <c r="U270" s="669" t="n"/>
      <c r="V270" s="669" t="n"/>
      <c r="W270" s="669" t="n"/>
      <c r="X270" s="669" t="n"/>
      <c r="Y270" s="669" t="n"/>
      <c r="Z270" s="669" t="n"/>
    </row>
    <row r="271">
      <c r="A271" s="357" t="inlineStr">
        <is>
          <t xml:space="preserve">  Warren Cup</t>
        </is>
      </c>
      <c r="B271" s="425" t="inlineStr">
        <is>
          <t>Blue</t>
        </is>
      </c>
      <c r="C271" s="425" t="inlineStr">
        <is>
          <t>CIV</t>
        </is>
      </c>
      <c r="D271" s="371" t="n"/>
      <c r="E271" s="371" t="n"/>
      <c r="F271" s="371" t="n"/>
      <c r="G271" s="425" t="n"/>
      <c r="H271" s="425" t="n"/>
      <c r="I271" s="425" t="n"/>
      <c r="J271" s="386" t="inlineStr">
        <is>
          <t>Lottery Machine #2 (?%)</t>
        </is>
      </c>
      <c r="K271" s="669" t="n"/>
      <c r="L271" s="669" t="n"/>
      <c r="M271" s="669" t="n"/>
      <c r="N271" s="669" t="n"/>
      <c r="O271" s="669" t="n"/>
      <c r="P271" s="669" t="n"/>
      <c r="Q271" s="669" t="n"/>
      <c r="R271" s="669" t="n"/>
      <c r="S271" s="669" t="n"/>
      <c r="T271" s="669" t="n"/>
      <c r="U271" s="669" t="n"/>
      <c r="V271" s="669" t="n"/>
      <c r="W271" s="669" t="n"/>
      <c r="X271" s="669" t="n"/>
      <c r="Y271" s="669" t="n"/>
      <c r="Z271" s="669" t="n"/>
    </row>
    <row r="272">
      <c r="A272" s="357" t="inlineStr">
        <is>
          <t>Resonance: Purple</t>
        </is>
      </c>
      <c r="B272" s="425" t="n"/>
      <c r="C272" s="425" t="n"/>
      <c r="D272" s="371" t="n"/>
      <c r="E272" s="425" t="n"/>
      <c r="F272" s="371" t="n">
        <v>6</v>
      </c>
      <c r="G272" s="425" t="n"/>
      <c r="H272" s="371" t="n"/>
      <c r="I272" s="425" t="n"/>
      <c r="J272" s="386" t="n"/>
      <c r="K272" s="669" t="n"/>
      <c r="L272" s="669" t="n"/>
      <c r="M272" s="669" t="n"/>
      <c r="N272" s="669" t="n"/>
      <c r="O272" s="669" t="n"/>
      <c r="P272" s="669" t="n"/>
      <c r="Q272" s="669" t="n"/>
      <c r="R272" s="669" t="n"/>
      <c r="S272" s="669" t="n"/>
      <c r="T272" s="669" t="n"/>
      <c r="U272" s="669" t="n"/>
      <c r="V272" s="669" t="n"/>
      <c r="W272" s="669" t="n"/>
      <c r="X272" s="669" t="n"/>
      <c r="Y272" s="669" t="n"/>
      <c r="Z272" s="669" t="n"/>
    </row>
    <row r="273">
      <c r="A273" s="357" t="inlineStr">
        <is>
          <t xml:space="preserve">  Nemean Lion's Hide</t>
        </is>
      </c>
      <c r="B273" s="425" t="inlineStr">
        <is>
          <t>AAA</t>
        </is>
      </c>
      <c r="C273" s="425" t="inlineStr">
        <is>
          <t>FTH</t>
        </is>
      </c>
      <c r="D273" s="371" t="n"/>
      <c r="E273" s="425" t="n"/>
      <c r="F273" s="371" t="n"/>
      <c r="G273" s="425" t="n"/>
      <c r="H273" s="371" t="n"/>
      <c r="I273" s="425" t="n"/>
      <c r="J273" s="386" t="inlineStr">
        <is>
          <t>Lottery Machine #2 (?%)</t>
        </is>
      </c>
      <c r="K273" s="669" t="n"/>
      <c r="L273" s="669" t="n"/>
      <c r="M273" s="669" t="n"/>
      <c r="N273" s="669" t="n"/>
      <c r="O273" s="669" t="n"/>
      <c r="P273" s="669" t="n"/>
      <c r="Q273" s="669" t="n"/>
      <c r="R273" s="669" t="n"/>
      <c r="S273" s="669" t="n"/>
      <c r="T273" s="669" t="n"/>
      <c r="U273" s="669" t="n"/>
      <c r="V273" s="669" t="n"/>
      <c r="W273" s="669" t="n"/>
      <c r="X273" s="669" t="n"/>
      <c r="Y273" s="669" t="n"/>
      <c r="Z273" s="669" t="n"/>
    </row>
    <row r="274">
      <c r="A274" s="357" t="inlineStr">
        <is>
          <t xml:space="preserve">  De Motu Cordis Model</t>
        </is>
      </c>
      <c r="B274" s="425" t="inlineStr">
        <is>
          <t>AAA</t>
        </is>
      </c>
      <c r="C274" s="425" t="inlineStr">
        <is>
          <t>TECH</t>
        </is>
      </c>
      <c r="D274" s="371" t="n"/>
      <c r="E274" s="425" t="n"/>
      <c r="F274" s="371" t="n"/>
      <c r="G274" s="425" t="n"/>
      <c r="H274" s="371" t="n"/>
      <c r="I274" s="425" t="n"/>
      <c r="J274" s="386" t="inlineStr">
        <is>
          <t>Lottery Machine #2 (?%)</t>
        </is>
      </c>
      <c r="K274" s="669" t="n"/>
      <c r="L274" s="669" t="n"/>
      <c r="M274" s="669" t="n"/>
      <c r="N274" s="669" t="n"/>
      <c r="O274" s="669" t="n"/>
      <c r="P274" s="669" t="n"/>
      <c r="Q274" s="669" t="n"/>
      <c r="R274" s="669" t="n"/>
      <c r="S274" s="669" t="n"/>
      <c r="T274" s="669" t="n"/>
      <c r="U274" s="669" t="n"/>
      <c r="V274" s="669" t="n"/>
      <c r="W274" s="669" t="n"/>
      <c r="X274" s="669" t="n"/>
      <c r="Y274" s="669" t="n"/>
      <c r="Z274" s="669" t="n"/>
    </row>
    <row r="275">
      <c r="A275" s="272" t="inlineStr">
        <is>
          <t>TOTAL RUSH</t>
        </is>
      </c>
      <c r="B275" s="214" t="n"/>
      <c r="C275" s="214" t="n"/>
      <c r="D275" s="215" t="n"/>
      <c r="E275" s="214" t="n"/>
      <c r="F275" s="215">
        <f>sum(F258:G274)</f>
        <v/>
      </c>
      <c r="G275" s="214" t="n"/>
      <c r="H275" s="214" t="n"/>
      <c r="I275" s="215">
        <f>sum(I258:I274)</f>
        <v/>
      </c>
      <c r="J275" s="216" t="n"/>
      <c r="K275" s="669" t="n"/>
      <c r="L275" s="669" t="n"/>
      <c r="M275" s="669" t="n"/>
      <c r="N275" s="669" t="n"/>
      <c r="O275" s="669" t="n"/>
      <c r="P275" s="669" t="n"/>
      <c r="Q275" s="669" t="n"/>
      <c r="R275" s="669" t="n"/>
      <c r="S275" s="669" t="n"/>
      <c r="T275" s="669" t="n"/>
      <c r="U275" s="669" t="n"/>
      <c r="V275" s="669" t="n"/>
      <c r="W275" s="669" t="n"/>
      <c r="X275" s="669" t="n"/>
      <c r="Y275" s="669" t="n"/>
      <c r="Z275" s="669" t="n"/>
    </row>
    <row r="276">
      <c r="A276" s="1091" t="n"/>
      <c r="B276" s="669" t="n"/>
      <c r="C276" s="669" t="n"/>
      <c r="D276" s="669" t="n"/>
      <c r="E276" s="669" t="n"/>
      <c r="F276" s="669" t="n"/>
      <c r="G276" s="669" t="n"/>
      <c r="H276" s="669" t="n"/>
      <c r="I276" s="669" t="n"/>
      <c r="J276" s="1095" t="n"/>
      <c r="K276" s="669" t="n"/>
      <c r="L276" s="669" t="n"/>
      <c r="M276" s="669" t="n"/>
      <c r="N276" s="669" t="n"/>
      <c r="O276" s="669" t="n"/>
      <c r="P276" s="669" t="n"/>
      <c r="Q276" s="669" t="n"/>
      <c r="R276" s="669" t="n"/>
      <c r="S276" s="669" t="n"/>
      <c r="T276" s="669" t="n"/>
      <c r="U276" s="669" t="n"/>
      <c r="V276" s="669" t="n"/>
      <c r="W276" s="669" t="n"/>
      <c r="X276" s="669" t="n"/>
      <c r="Y276" s="669" t="n"/>
      <c r="Z276" s="669" t="n"/>
    </row>
    <row r="277">
      <c r="A277" s="1091" t="n"/>
      <c r="B277" s="669" t="n"/>
      <c r="C277" s="669" t="n"/>
      <c r="D277" s="669" t="n"/>
      <c r="E277" s="669" t="n"/>
      <c r="F277" s="669" t="n"/>
      <c r="G277" s="669" t="n"/>
      <c r="H277" s="669" t="n"/>
      <c r="I277" s="669" t="n"/>
      <c r="J277" s="1095" t="n"/>
      <c r="K277" s="669" t="n"/>
      <c r="L277" s="669" t="n"/>
      <c r="M277" s="669" t="n"/>
      <c r="N277" s="669" t="n"/>
      <c r="O277" s="669" t="n"/>
      <c r="P277" s="669" t="n"/>
      <c r="Q277" s="669" t="n"/>
      <c r="R277" s="669" t="n"/>
      <c r="S277" s="669" t="n"/>
      <c r="T277" s="669" t="n"/>
      <c r="U277" s="669" t="n"/>
      <c r="V277" s="669" t="n"/>
      <c r="W277" s="669" t="n"/>
      <c r="X277" s="669" t="n"/>
      <c r="Y277" s="669" t="n"/>
      <c r="Z277" s="669" t="n"/>
    </row>
    <row r="278">
      <c r="A278" s="212" t="inlineStr">
        <is>
          <t>DEF</t>
        </is>
      </c>
      <c r="B278" s="406" t="inlineStr">
        <is>
          <t>Rarity</t>
        </is>
      </c>
      <c r="C278" s="406" t="inlineStr">
        <is>
          <t>Type</t>
        </is>
      </c>
      <c r="D278" s="406" t="inlineStr">
        <is>
          <t>Base</t>
        </is>
      </c>
      <c r="E278" s="406" t="inlineStr">
        <is>
          <t>Awakening Base</t>
        </is>
      </c>
      <c r="F278" s="406" t="inlineStr">
        <is>
          <t>Percentage</t>
        </is>
      </c>
      <c r="G278" s="406" t="inlineStr">
        <is>
          <t>Awakening Percentage</t>
        </is>
      </c>
      <c r="H278" s="406" t="inlineStr">
        <is>
          <t>Per Minion</t>
        </is>
      </c>
      <c r="I278" s="406" t="inlineStr">
        <is>
          <t>Per Minion Boost</t>
        </is>
      </c>
      <c r="J278" s="786" t="inlineStr">
        <is>
          <t>Source</t>
        </is>
      </c>
      <c r="K278" s="669" t="n"/>
      <c r="L278" s="669" t="n"/>
      <c r="M278" s="669" t="n"/>
      <c r="N278" s="669" t="n"/>
      <c r="O278" s="669" t="n"/>
      <c r="P278" s="669" t="n"/>
      <c r="Q278" s="669" t="n"/>
      <c r="R278" s="669" t="n"/>
      <c r="S278" s="669" t="n"/>
      <c r="T278" s="669" t="n"/>
      <c r="U278" s="669" t="n"/>
      <c r="V278" s="669" t="n"/>
      <c r="W278" s="669" t="n"/>
      <c r="X278" s="669" t="n"/>
      <c r="Y278" s="669" t="n"/>
      <c r="Z278" s="669" t="n"/>
    </row>
    <row r="279">
      <c r="A279" s="241" t="inlineStr">
        <is>
          <t>Burgundian Laws</t>
        </is>
      </c>
      <c r="B279" s="784" t="inlineStr">
        <is>
          <t>AAA</t>
        </is>
      </c>
      <c r="C279" s="784" t="inlineStr">
        <is>
          <t>FAME</t>
        </is>
      </c>
      <c r="D279" s="244" t="n">
        <v>36</v>
      </c>
      <c r="E279" s="244" t="n">
        <v>28</v>
      </c>
      <c r="F279" s="244" t="n"/>
      <c r="G279" s="244" t="n"/>
      <c r="H279" s="244" t="n">
        <v>30</v>
      </c>
      <c r="I279" s="245">
        <f>(D279+E279)/H279</f>
        <v/>
      </c>
      <c r="J279" s="786" t="inlineStr">
        <is>
          <t>Lottery Machine #2 (?%)</t>
        </is>
      </c>
      <c r="K279" s="669" t="n"/>
      <c r="L279" s="669" t="n"/>
      <c r="M279" s="669" t="n"/>
      <c r="N279" s="669" t="n"/>
      <c r="O279" s="669" t="n"/>
      <c r="P279" s="669" t="n"/>
      <c r="Q279" s="669" t="n"/>
      <c r="R279" s="669" t="n"/>
      <c r="S279" s="669" t="n"/>
      <c r="T279" s="669" t="n"/>
      <c r="U279" s="669" t="n"/>
      <c r="V279" s="669" t="n"/>
      <c r="W279" s="669" t="n"/>
      <c r="X279" s="669" t="n"/>
      <c r="Y279" s="669" t="n"/>
      <c r="Z279" s="669" t="n"/>
    </row>
    <row r="280">
      <c r="A280" s="246" t="inlineStr">
        <is>
          <t>The Black Book</t>
        </is>
      </c>
      <c r="B280" s="1037" t="inlineStr">
        <is>
          <t>SSS</t>
        </is>
      </c>
      <c r="C280" s="1037" t="inlineStr">
        <is>
          <t>FTH</t>
        </is>
      </c>
      <c r="D280" s="210" t="n">
        <v>90</v>
      </c>
      <c r="E280" s="209" t="n"/>
      <c r="F280" s="209" t="n"/>
      <c r="G280" s="209" t="n"/>
      <c r="H280" s="210" t="n">
        <v>60</v>
      </c>
      <c r="I280" s="210">
        <f>(D280+E280)/H280</f>
        <v/>
      </c>
      <c r="J280" s="256" t="inlineStr">
        <is>
          <t>Silence Hall (Rebel Cabin) Reward</t>
        </is>
      </c>
      <c r="K280" s="669" t="n"/>
      <c r="L280" s="669" t="n"/>
      <c r="M280" s="669" t="n"/>
      <c r="N280" s="669" t="n"/>
      <c r="O280" s="669" t="n"/>
      <c r="P280" s="669" t="n"/>
      <c r="Q280" s="669" t="n"/>
      <c r="R280" s="669" t="n"/>
      <c r="S280" s="669" t="n"/>
      <c r="T280" s="669" t="n"/>
      <c r="U280" s="669" t="n"/>
      <c r="V280" s="669" t="n"/>
      <c r="W280" s="669" t="n"/>
      <c r="X280" s="669" t="n"/>
      <c r="Y280" s="669" t="n"/>
      <c r="Z280" s="669" t="n"/>
    </row>
    <row r="281">
      <c r="A281" s="507" t="inlineStr">
        <is>
          <t>Chinchorro Mummy</t>
        </is>
      </c>
      <c r="B281" s="1037" t="inlineStr">
        <is>
          <t>AA</t>
        </is>
      </c>
      <c r="C281" s="1037" t="inlineStr">
        <is>
          <t>FTH</t>
        </is>
      </c>
      <c r="D281" s="934" t="n">
        <v>28</v>
      </c>
      <c r="E281" s="934" t="n"/>
      <c r="F281" s="934" t="n"/>
      <c r="G281" s="934" t="n"/>
      <c r="H281" s="934" t="n">
        <v>30</v>
      </c>
      <c r="I281" s="200">
        <f>(D281+E281)/H281</f>
        <v/>
      </c>
      <c r="J281" s="935" t="inlineStr">
        <is>
          <t>Fragment Crafting (3.8%), Lottery Machine #1 (0.08%), Wishing (0.36%), Soul Chest (1.5%), Expert Scrolls (0.95%)</t>
        </is>
      </c>
      <c r="K281" s="669" t="n"/>
      <c r="L281" s="669" t="n"/>
      <c r="M281" s="669" t="n"/>
      <c r="N281" s="669" t="n"/>
      <c r="O281" s="669" t="n"/>
      <c r="P281" s="669" t="n"/>
      <c r="Q281" s="669" t="n"/>
      <c r="R281" s="669" t="n"/>
      <c r="S281" s="669" t="n"/>
      <c r="T281" s="669" t="n"/>
      <c r="U281" s="669" t="n"/>
      <c r="V281" s="669" t="n"/>
      <c r="W281" s="669" t="n"/>
      <c r="X281" s="669" t="n"/>
      <c r="Y281" s="669" t="n"/>
      <c r="Z281" s="669" t="n"/>
    </row>
    <row r="282">
      <c r="A282" s="507" t="inlineStr">
        <is>
          <t>Lomekwi Stoneware</t>
        </is>
      </c>
      <c r="B282" s="1037" t="inlineStr">
        <is>
          <t>SS</t>
        </is>
      </c>
      <c r="C282" s="1037" t="inlineStr">
        <is>
          <t>FAME</t>
        </is>
      </c>
      <c r="D282" s="934" t="n">
        <v>90</v>
      </c>
      <c r="E282" s="934" t="n"/>
      <c r="F282" s="934" t="n">
        <v>11</v>
      </c>
      <c r="G282" s="934" t="n"/>
      <c r="H282" s="934" t="n">
        <v>60</v>
      </c>
      <c r="I282" s="200">
        <f>(D282+E282)/H282</f>
        <v/>
      </c>
      <c r="J282" s="386" t="inlineStr">
        <is>
          <t>Gastic Pouch F17+</t>
        </is>
      </c>
      <c r="K282" s="669" t="n"/>
      <c r="L282" s="669" t="n"/>
      <c r="M282" s="669" t="n"/>
      <c r="N282" s="669" t="n"/>
      <c r="O282" s="669" t="n"/>
      <c r="P282" s="669" t="n"/>
      <c r="Q282" s="669" t="n"/>
      <c r="R282" s="669" t="n"/>
      <c r="S282" s="669" t="n"/>
      <c r="T282" s="669" t="n"/>
      <c r="U282" s="669" t="n"/>
      <c r="V282" s="669" t="n"/>
      <c r="W282" s="669" t="n"/>
      <c r="X282" s="669" t="n"/>
      <c r="Y282" s="669" t="n"/>
      <c r="Z282" s="669" t="n"/>
    </row>
    <row r="283">
      <c r="A283" s="507" t="inlineStr">
        <is>
          <t>Cross of Lorraine</t>
        </is>
      </c>
      <c r="B283" s="1037" t="inlineStr">
        <is>
          <t>SS</t>
        </is>
      </c>
      <c r="C283" s="1037" t="inlineStr">
        <is>
          <t>FAME</t>
        </is>
      </c>
      <c r="D283" s="934" t="n"/>
      <c r="E283" s="934" t="n"/>
      <c r="F283" s="934" t="n">
        <v>11</v>
      </c>
      <c r="G283" s="934" t="n"/>
      <c r="H283" s="934" t="n"/>
      <c r="I283" s="934" t="n"/>
      <c r="J283" s="386" t="inlineStr">
        <is>
          <t>Lottery Machine #2 (?%)</t>
        </is>
      </c>
      <c r="K283" s="669" t="n"/>
      <c r="L283" s="669" t="n"/>
      <c r="M283" s="669" t="n"/>
      <c r="N283" s="669" t="n"/>
      <c r="O283" s="669" t="n"/>
      <c r="P283" s="669" t="n"/>
      <c r="Q283" s="669" t="n"/>
      <c r="R283" s="669" t="n"/>
      <c r="S283" s="669" t="n"/>
      <c r="T283" s="669" t="n"/>
      <c r="U283" s="669" t="n"/>
      <c r="V283" s="669" t="n"/>
      <c r="W283" s="669" t="n"/>
      <c r="X283" s="669" t="n"/>
      <c r="Y283" s="669" t="n"/>
      <c r="Z283" s="669" t="n"/>
    </row>
    <row r="284">
      <c r="A284" s="507" t="inlineStr">
        <is>
          <t>Celaeno Fragments</t>
        </is>
      </c>
      <c r="B284" s="1037" t="inlineStr">
        <is>
          <t>AA</t>
        </is>
      </c>
      <c r="C284" s="1037" t="inlineStr">
        <is>
          <t>FTH</t>
        </is>
      </c>
      <c r="D284" s="934" t="n"/>
      <c r="E284" s="934" t="n"/>
      <c r="F284" s="934" t="n">
        <v>8</v>
      </c>
      <c r="G284" s="934" t="n"/>
      <c r="H284" s="934" t="n"/>
      <c r="I284" s="934" t="n"/>
      <c r="J284" s="386" t="inlineStr">
        <is>
          <t>Lottery Machine #2 (?%)</t>
        </is>
      </c>
      <c r="K284" s="669" t="n"/>
      <c r="L284" s="669" t="n"/>
      <c r="M284" s="669" t="n"/>
      <c r="N284" s="669" t="n"/>
      <c r="O284" s="669" t="n"/>
      <c r="P284" s="669" t="n"/>
      <c r="Q284" s="669" t="n"/>
      <c r="R284" s="669" t="n"/>
      <c r="S284" s="669" t="n"/>
      <c r="T284" s="669" t="n"/>
      <c r="U284" s="669" t="n"/>
      <c r="V284" s="669" t="n"/>
      <c r="W284" s="669" t="n"/>
      <c r="X284" s="669" t="n"/>
      <c r="Y284" s="669" t="n"/>
      <c r="Z284" s="669" t="n"/>
    </row>
    <row r="285">
      <c r="A285" s="507" t="inlineStr">
        <is>
          <t>Appert's Glass Bottle</t>
        </is>
      </c>
      <c r="B285" s="1037" t="inlineStr">
        <is>
          <t>Blue</t>
        </is>
      </c>
      <c r="C285" s="1037" t="inlineStr">
        <is>
          <t>FAME</t>
        </is>
      </c>
      <c r="D285" s="934" t="n"/>
      <c r="E285" s="934" t="n"/>
      <c r="F285" s="934" t="n">
        <v>5</v>
      </c>
      <c r="G285" s="934" t="n">
        <v>5</v>
      </c>
      <c r="H285" s="934" t="n"/>
      <c r="I285" s="934" t="n"/>
      <c r="J285" s="386" t="inlineStr">
        <is>
          <t>Lottery Machine #2 (?%)</t>
        </is>
      </c>
      <c r="K285" s="669" t="n"/>
      <c r="L285" s="669" t="n"/>
      <c r="M285" s="669" t="n"/>
      <c r="N285" s="669" t="n"/>
      <c r="O285" s="669" t="n"/>
      <c r="P285" s="669" t="n"/>
      <c r="Q285" s="669" t="n"/>
      <c r="R285" s="669" t="n"/>
      <c r="S285" s="669" t="n"/>
      <c r="T285" s="669" t="n"/>
      <c r="U285" s="669" t="n"/>
      <c r="V285" s="669" t="n"/>
      <c r="W285" s="669" t="n"/>
      <c r="X285" s="669" t="n"/>
      <c r="Y285" s="669" t="n"/>
      <c r="Z285" s="669" t="n"/>
    </row>
    <row r="286">
      <c r="A286" s="507" t="inlineStr">
        <is>
          <t>Carothers Nylon</t>
        </is>
      </c>
      <c r="B286" s="1037" t="inlineStr">
        <is>
          <t>Blue</t>
        </is>
      </c>
      <c r="C286" s="1037" t="inlineStr">
        <is>
          <t>FAME</t>
        </is>
      </c>
      <c r="D286" s="934" t="n"/>
      <c r="E286" s="934" t="n"/>
      <c r="F286" s="934" t="n">
        <v>5</v>
      </c>
      <c r="G286" s="934" t="n">
        <v>5</v>
      </c>
      <c r="H286" s="934" t="n"/>
      <c r="I286" s="934" t="n"/>
      <c r="J286" s="390" t="inlineStr">
        <is>
          <t>Lottery Machine #3 (?%)</t>
        </is>
      </c>
      <c r="K286" s="669" t="n"/>
      <c r="L286" s="669" t="n"/>
      <c r="M286" s="669" t="n"/>
      <c r="N286" s="669" t="n"/>
      <c r="O286" s="669" t="n"/>
      <c r="P286" s="669" t="n"/>
      <c r="Q286" s="669" t="n"/>
      <c r="R286" s="669" t="n"/>
      <c r="S286" s="669" t="n"/>
      <c r="T286" s="669" t="n"/>
      <c r="U286" s="669" t="n"/>
      <c r="V286" s="669" t="n"/>
      <c r="W286" s="669" t="n"/>
      <c r="X286" s="669" t="n"/>
      <c r="Y286" s="669" t="n"/>
      <c r="Z286" s="669" t="n"/>
    </row>
    <row r="287">
      <c r="A287" s="507" t="n"/>
      <c r="B287" s="1037" t="n"/>
      <c r="C287" s="934" t="n"/>
      <c r="D287" s="934" t="n"/>
      <c r="E287" s="934" t="n"/>
      <c r="F287" s="934" t="n"/>
      <c r="G287" s="934" t="n"/>
      <c r="H287" s="934" t="n"/>
      <c r="I287" s="934" t="n"/>
      <c r="J287" s="935" t="n"/>
      <c r="K287" s="669" t="n"/>
      <c r="L287" s="669" t="n"/>
      <c r="M287" s="669" t="n"/>
      <c r="N287" s="669" t="n"/>
      <c r="O287" s="669" t="n"/>
      <c r="P287" s="669" t="n"/>
      <c r="Q287" s="669" t="n"/>
      <c r="R287" s="669" t="n"/>
      <c r="S287" s="669" t="n"/>
      <c r="T287" s="669" t="n"/>
      <c r="U287" s="669" t="n"/>
      <c r="V287" s="669" t="n"/>
      <c r="W287" s="669" t="n"/>
      <c r="X287" s="669" t="n"/>
      <c r="Y287" s="669" t="n"/>
      <c r="Z287" s="669" t="n"/>
    </row>
    <row r="288">
      <c r="A288" s="357" t="inlineStr">
        <is>
          <t>Resonance: Blue</t>
        </is>
      </c>
      <c r="B288" s="425" t="n"/>
      <c r="C288" s="934" t="n"/>
      <c r="D288" s="371" t="n">
        <v>5</v>
      </c>
      <c r="E288" s="371" t="n"/>
      <c r="F288" s="371" t="n"/>
      <c r="G288" s="425" t="n"/>
      <c r="H288" s="425" t="n">
        <v>10</v>
      </c>
      <c r="I288" s="371">
        <f>(D288+E288)/H288</f>
        <v/>
      </c>
      <c r="J288" s="386" t="n"/>
      <c r="K288" s="669" t="n"/>
      <c r="L288" s="669" t="n"/>
      <c r="M288" s="669" t="n"/>
      <c r="N288" s="669" t="n"/>
      <c r="O288" s="669" t="n"/>
      <c r="P288" s="669" t="n"/>
      <c r="Q288" s="669" t="n"/>
      <c r="R288" s="669" t="n"/>
      <c r="S288" s="669" t="n"/>
      <c r="T288" s="669" t="n"/>
      <c r="U288" s="669" t="n"/>
      <c r="V288" s="669" t="n"/>
      <c r="W288" s="669" t="n"/>
      <c r="X288" s="669" t="n"/>
      <c r="Y288" s="669" t="n"/>
      <c r="Z288" s="669" t="n"/>
    </row>
    <row r="289">
      <c r="A289" s="357" t="inlineStr">
        <is>
          <t xml:space="preserve">  Bobby's Golf Club</t>
        </is>
      </c>
      <c r="B289" s="425" t="inlineStr">
        <is>
          <t>Blue</t>
        </is>
      </c>
      <c r="C289" s="425" t="inlineStr">
        <is>
          <t>FAME</t>
        </is>
      </c>
      <c r="D289" s="371" t="n"/>
      <c r="E289" s="371" t="n"/>
      <c r="F289" s="371" t="n"/>
      <c r="G289" s="425" t="n"/>
      <c r="H289" s="425" t="n"/>
      <c r="I289" s="425" t="n"/>
      <c r="J289" s="386" t="inlineStr">
        <is>
          <t>Lottery Machine #2 (?%)</t>
        </is>
      </c>
      <c r="K289" s="669" t="n"/>
      <c r="L289" s="669" t="n"/>
      <c r="M289" s="669" t="n"/>
      <c r="N289" s="669" t="n"/>
      <c r="O289" s="669" t="n"/>
      <c r="P289" s="669" t="n"/>
      <c r="Q289" s="669" t="n"/>
      <c r="R289" s="669" t="n"/>
      <c r="S289" s="669" t="n"/>
      <c r="T289" s="669" t="n"/>
      <c r="U289" s="669" t="n"/>
      <c r="V289" s="669" t="n"/>
      <c r="W289" s="669" t="n"/>
      <c r="X289" s="669" t="n"/>
      <c r="Y289" s="669" t="n"/>
      <c r="Z289" s="669" t="n"/>
    </row>
    <row r="290">
      <c r="A290" s="357" t="inlineStr">
        <is>
          <t xml:space="preserve">  Montgolfier Balloon</t>
        </is>
      </c>
      <c r="B290" s="425" t="inlineStr">
        <is>
          <t>Blue</t>
        </is>
      </c>
      <c r="C290" s="425" t="inlineStr">
        <is>
          <t>FAME</t>
        </is>
      </c>
      <c r="D290" s="371" t="n"/>
      <c r="E290" s="371" t="n"/>
      <c r="F290" s="371" t="n"/>
      <c r="G290" s="425" t="n"/>
      <c r="H290" s="425" t="n"/>
      <c r="I290" s="425" t="n"/>
      <c r="J290" s="386" t="inlineStr">
        <is>
          <t>Lottery Machine #2 (?%)</t>
        </is>
      </c>
      <c r="K290" s="669" t="n"/>
      <c r="L290" s="669" t="n"/>
      <c r="M290" s="669" t="n"/>
      <c r="N290" s="669" t="n"/>
      <c r="O290" s="669" t="n"/>
      <c r="P290" s="669" t="n"/>
      <c r="Q290" s="669" t="n"/>
      <c r="R290" s="669" t="n"/>
      <c r="S290" s="669" t="n"/>
      <c r="T290" s="669" t="n"/>
      <c r="U290" s="669" t="n"/>
      <c r="V290" s="669" t="n"/>
      <c r="W290" s="669" t="n"/>
      <c r="X290" s="669" t="n"/>
      <c r="Y290" s="669" t="n"/>
      <c r="Z290" s="669" t="n"/>
    </row>
    <row r="291">
      <c r="A291" s="357" t="inlineStr">
        <is>
          <t>Resonance: Purple</t>
        </is>
      </c>
      <c r="B291" s="425" t="n"/>
      <c r="C291" s="425" t="n"/>
      <c r="D291" s="371" t="n"/>
      <c r="E291" s="425" t="n"/>
      <c r="F291" s="371" t="n">
        <v>6</v>
      </c>
      <c r="G291" s="425" t="n"/>
      <c r="H291" s="371" t="n"/>
      <c r="I291" s="425" t="n"/>
      <c r="J291" s="386" t="n"/>
      <c r="K291" s="669" t="n"/>
      <c r="L291" s="669" t="n"/>
      <c r="M291" s="669" t="n"/>
      <c r="N291" s="669" t="n"/>
      <c r="O291" s="669" t="n"/>
      <c r="P291" s="669" t="n"/>
      <c r="Q291" s="669" t="n"/>
      <c r="R291" s="669" t="n"/>
      <c r="S291" s="669" t="n"/>
      <c r="T291" s="669" t="n"/>
      <c r="U291" s="669" t="n"/>
      <c r="V291" s="669" t="n"/>
      <c r="W291" s="669" t="n"/>
      <c r="X291" s="669" t="n"/>
      <c r="Y291" s="669" t="n"/>
      <c r="Z291" s="669" t="n"/>
    </row>
    <row r="292">
      <c r="A292" s="357" t="inlineStr">
        <is>
          <t xml:space="preserve">  Taketori Tale</t>
        </is>
      </c>
      <c r="B292" s="425" t="inlineStr">
        <is>
          <t>AAA</t>
        </is>
      </c>
      <c r="C292" s="425" t="inlineStr">
        <is>
          <t>CIV</t>
        </is>
      </c>
      <c r="D292" s="371" t="n"/>
      <c r="E292" s="425" t="n"/>
      <c r="F292" s="371" t="n"/>
      <c r="G292" s="425" t="n"/>
      <c r="H292" s="371" t="n"/>
      <c r="I292" s="425" t="n"/>
      <c r="J292" s="386" t="inlineStr">
        <is>
          <t>Lottery Machine #2 (?%)</t>
        </is>
      </c>
      <c r="K292" s="669" t="n"/>
      <c r="L292" s="669" t="n"/>
      <c r="M292" s="669" t="n"/>
      <c r="N292" s="669" t="n"/>
      <c r="O292" s="669" t="n"/>
      <c r="P292" s="669" t="n"/>
      <c r="Q292" s="669" t="n"/>
      <c r="R292" s="669" t="n"/>
      <c r="S292" s="669" t="n"/>
      <c r="T292" s="669" t="n"/>
      <c r="U292" s="669" t="n"/>
      <c r="V292" s="669" t="n"/>
      <c r="W292" s="669" t="n"/>
      <c r="X292" s="669" t="n"/>
      <c r="Y292" s="669" t="n"/>
      <c r="Z292" s="669" t="n"/>
    </row>
    <row r="293">
      <c r="A293" s="357" t="inlineStr">
        <is>
          <t xml:space="preserve">  Jane Eyre</t>
        </is>
      </c>
      <c r="B293" s="425" t="inlineStr">
        <is>
          <t>A</t>
        </is>
      </c>
      <c r="C293" s="425" t="inlineStr">
        <is>
          <t>CIV</t>
        </is>
      </c>
      <c r="D293" s="371" t="n"/>
      <c r="E293" s="425" t="n"/>
      <c r="F293" s="371" t="n"/>
      <c r="G293" s="425" t="n"/>
      <c r="H293" s="371" t="n"/>
      <c r="I293" s="425" t="n"/>
      <c r="J293" s="386" t="inlineStr">
        <is>
          <t>Lottery Machine #2 (?%)</t>
        </is>
      </c>
      <c r="K293" s="669" t="n"/>
      <c r="L293" s="669" t="n"/>
      <c r="M293" s="669" t="n"/>
      <c r="N293" s="669" t="n"/>
      <c r="O293" s="669" t="n"/>
      <c r="P293" s="669" t="n"/>
      <c r="Q293" s="669" t="n"/>
      <c r="R293" s="669" t="n"/>
      <c r="S293" s="669" t="n"/>
      <c r="T293" s="669" t="n"/>
      <c r="U293" s="669" t="n"/>
      <c r="V293" s="669" t="n"/>
      <c r="W293" s="669" t="n"/>
      <c r="X293" s="669" t="n"/>
      <c r="Y293" s="669" t="n"/>
      <c r="Z293" s="669" t="n"/>
    </row>
    <row r="294">
      <c r="A294" s="272" t="inlineStr">
        <is>
          <t>TOTAL DEF</t>
        </is>
      </c>
      <c r="B294" s="214" t="n"/>
      <c r="C294" s="214" t="n"/>
      <c r="D294" s="215" t="n"/>
      <c r="E294" s="214" t="n"/>
      <c r="F294" s="215">
        <f>sum(F279:G293)</f>
        <v/>
      </c>
      <c r="G294" s="214" t="n"/>
      <c r="H294" s="214" t="n"/>
      <c r="I294" s="228">
        <f>sum(I279:I293)</f>
        <v/>
      </c>
      <c r="J294" s="216" t="n"/>
      <c r="K294" s="669" t="n"/>
      <c r="L294" s="669" t="n"/>
      <c r="M294" s="669" t="n"/>
      <c r="N294" s="669" t="n"/>
      <c r="O294" s="669" t="n"/>
      <c r="P294" s="669" t="n"/>
      <c r="Q294" s="669" t="n"/>
      <c r="R294" s="669" t="n"/>
      <c r="S294" s="669" t="n"/>
      <c r="T294" s="669" t="n"/>
      <c r="U294" s="669" t="n"/>
      <c r="V294" s="669" t="n"/>
      <c r="W294" s="669" t="n"/>
      <c r="X294" s="669" t="n"/>
      <c r="Y294" s="669" t="n"/>
      <c r="Z294" s="669" t="n"/>
    </row>
    <row r="295">
      <c r="A295" s="1091" t="n"/>
      <c r="B295" s="669" t="n"/>
      <c r="C295" s="669" t="n"/>
      <c r="D295" s="669" t="n"/>
      <c r="E295" s="669" t="n"/>
      <c r="F295" s="669" t="n"/>
      <c r="G295" s="669" t="n"/>
      <c r="H295" s="669" t="n"/>
      <c r="I295" s="669" t="n"/>
      <c r="J295" s="1095" t="n"/>
      <c r="K295" s="669" t="n"/>
      <c r="L295" s="669" t="n"/>
      <c r="M295" s="669" t="n"/>
      <c r="N295" s="669" t="n"/>
      <c r="O295" s="669" t="n"/>
      <c r="P295" s="669" t="n"/>
      <c r="Q295" s="669" t="n"/>
      <c r="R295" s="669" t="n"/>
      <c r="S295" s="669" t="n"/>
      <c r="T295" s="669" t="n"/>
      <c r="U295" s="669" t="n"/>
      <c r="V295" s="669" t="n"/>
      <c r="W295" s="669" t="n"/>
      <c r="X295" s="669" t="n"/>
      <c r="Y295" s="669" t="n"/>
      <c r="Z295" s="669" t="n"/>
    </row>
    <row r="296">
      <c r="A296" s="1091" t="n"/>
      <c r="B296" s="669" t="n"/>
      <c r="C296" s="669" t="n"/>
      <c r="D296" s="669" t="n"/>
      <c r="E296" s="669" t="n"/>
      <c r="F296" s="669" t="n"/>
      <c r="G296" s="669" t="n"/>
      <c r="H296" s="669" t="n"/>
      <c r="I296" s="669" t="n"/>
      <c r="J296" s="1095" t="n"/>
      <c r="K296" s="669" t="n"/>
      <c r="L296" s="669" t="n"/>
      <c r="M296" s="669" t="n"/>
      <c r="N296" s="669" t="n"/>
      <c r="O296" s="669" t="n"/>
      <c r="P296" s="669" t="n"/>
      <c r="Q296" s="669" t="n"/>
      <c r="R296" s="669" t="n"/>
      <c r="S296" s="669" t="n"/>
      <c r="T296" s="669" t="n"/>
      <c r="U296" s="669" t="n"/>
      <c r="V296" s="669" t="n"/>
      <c r="W296" s="669" t="n"/>
      <c r="X296" s="669" t="n"/>
      <c r="Y296" s="669" t="n"/>
      <c r="Z296" s="669" t="n"/>
    </row>
    <row r="297">
      <c r="A297" s="212" t="inlineStr">
        <is>
          <t>HARD</t>
        </is>
      </c>
      <c r="B297" s="406" t="inlineStr">
        <is>
          <t>Rarity</t>
        </is>
      </c>
      <c r="C297" s="406" t="inlineStr">
        <is>
          <t>Type</t>
        </is>
      </c>
      <c r="D297" s="406" t="inlineStr">
        <is>
          <t>Base</t>
        </is>
      </c>
      <c r="E297" s="406" t="inlineStr">
        <is>
          <t>Awakening Base</t>
        </is>
      </c>
      <c r="F297" s="406" t="inlineStr">
        <is>
          <t>Percentage</t>
        </is>
      </c>
      <c r="G297" s="406" t="inlineStr">
        <is>
          <t>Awakening Percentage</t>
        </is>
      </c>
      <c r="H297" s="406" t="inlineStr">
        <is>
          <t>Per Minion</t>
        </is>
      </c>
      <c r="I297" s="406" t="inlineStr">
        <is>
          <t>Per Minion Boost</t>
        </is>
      </c>
      <c r="J297" s="786" t="inlineStr">
        <is>
          <t>Source</t>
        </is>
      </c>
      <c r="K297" s="669" t="n"/>
      <c r="L297" s="669" t="n"/>
      <c r="M297" s="669" t="n"/>
      <c r="N297" s="669" t="n"/>
      <c r="O297" s="669" t="n"/>
      <c r="P297" s="669" t="n"/>
      <c r="Q297" s="669" t="n"/>
      <c r="R297" s="669" t="n"/>
      <c r="S297" s="669" t="n"/>
      <c r="T297" s="669" t="n"/>
      <c r="U297" s="669" t="n"/>
      <c r="V297" s="669" t="n"/>
      <c r="W297" s="669" t="n"/>
      <c r="X297" s="669" t="n"/>
      <c r="Y297" s="669" t="n"/>
      <c r="Z297" s="669" t="n"/>
    </row>
    <row r="298">
      <c r="A298" s="246" t="inlineStr">
        <is>
          <t>Hurrian Songs</t>
        </is>
      </c>
      <c r="B298" s="1037" t="inlineStr">
        <is>
          <t>AAA</t>
        </is>
      </c>
      <c r="C298" s="1037" t="inlineStr">
        <is>
          <t>CIV</t>
        </is>
      </c>
      <c r="D298" s="209" t="n">
        <v>18</v>
      </c>
      <c r="E298" s="209" t="n">
        <v>14</v>
      </c>
      <c r="F298" s="209" t="n"/>
      <c r="G298" s="209" t="n"/>
      <c r="H298" s="209" t="n">
        <v>30</v>
      </c>
      <c r="I298" s="200">
        <f>(D298+E298)/H298</f>
        <v/>
      </c>
      <c r="J298" s="386" t="inlineStr">
        <is>
          <t>Lottery Machine #2 (?%)</t>
        </is>
      </c>
      <c r="K298" s="669" t="n"/>
      <c r="L298" s="669" t="n"/>
      <c r="M298" s="669" t="n"/>
      <c r="N298" s="669" t="n"/>
      <c r="O298" s="669" t="n"/>
      <c r="P298" s="669" t="n"/>
      <c r="Q298" s="669" t="n"/>
      <c r="R298" s="669" t="n"/>
      <c r="S298" s="669" t="n"/>
      <c r="T298" s="669" t="n"/>
      <c r="U298" s="669" t="n"/>
      <c r="V298" s="669" t="n"/>
      <c r="W298" s="669" t="n"/>
      <c r="X298" s="669" t="n"/>
      <c r="Y298" s="669" t="n"/>
      <c r="Z298" s="669" t="n"/>
    </row>
    <row r="299">
      <c r="A299" s="246" t="inlineStr">
        <is>
          <t>The Black Book</t>
        </is>
      </c>
      <c r="B299" s="1037" t="inlineStr">
        <is>
          <t>SSS</t>
        </is>
      </c>
      <c r="C299" s="1037" t="inlineStr">
        <is>
          <t>FTH</t>
        </is>
      </c>
      <c r="D299" s="210" t="n">
        <v>30</v>
      </c>
      <c r="E299" s="209" t="n">
        <v>30</v>
      </c>
      <c r="F299" s="209" t="n"/>
      <c r="G299" s="209" t="n"/>
      <c r="H299" s="210" t="n">
        <v>60</v>
      </c>
      <c r="I299" s="210">
        <f>(D299+E299)/H299</f>
        <v/>
      </c>
      <c r="J299" s="256" t="inlineStr">
        <is>
          <t>Silence Hall (Rebel Cabin) Reward</t>
        </is>
      </c>
      <c r="K299" s="669" t="n"/>
      <c r="L299" s="669" t="n"/>
      <c r="M299" s="669" t="n"/>
      <c r="N299" s="669" t="n"/>
      <c r="O299" s="669" t="n"/>
      <c r="P299" s="669" t="n"/>
      <c r="Q299" s="669" t="n"/>
      <c r="R299" s="669" t="n"/>
      <c r="S299" s="669" t="n"/>
      <c r="T299" s="669" t="n"/>
      <c r="U299" s="669" t="n"/>
      <c r="V299" s="669" t="n"/>
      <c r="W299" s="669" t="n"/>
      <c r="X299" s="669" t="n"/>
      <c r="Y299" s="669" t="n"/>
      <c r="Z299" s="669" t="n"/>
    </row>
    <row r="300">
      <c r="A300" s="246" t="inlineStr">
        <is>
          <t>Mummy of Ramses</t>
        </is>
      </c>
      <c r="B300" s="1037" t="inlineStr">
        <is>
          <t>SS</t>
        </is>
      </c>
      <c r="C300" s="1037" t="inlineStr">
        <is>
          <t>FTH</t>
        </is>
      </c>
      <c r="D300" s="210" t="n">
        <v>30</v>
      </c>
      <c r="E300" s="209" t="n">
        <v>30</v>
      </c>
      <c r="F300" s="209" t="n"/>
      <c r="G300" s="209" t="n"/>
      <c r="H300" s="210" t="n">
        <v>60</v>
      </c>
      <c r="I300" s="210">
        <f>(D300+E300)/H300</f>
        <v/>
      </c>
      <c r="J300" s="256" t="inlineStr">
        <is>
          <t>T7.5 Zombie Gene Research</t>
        </is>
      </c>
      <c r="K300" s="669" t="n"/>
      <c r="L300" s="669" t="n"/>
      <c r="M300" s="669" t="n"/>
      <c r="N300" s="669" t="n"/>
      <c r="O300" s="669" t="n"/>
      <c r="P300" s="669" t="n"/>
      <c r="Q300" s="669" t="n"/>
      <c r="R300" s="669" t="n"/>
      <c r="S300" s="669" t="n"/>
      <c r="T300" s="669" t="n"/>
      <c r="U300" s="669" t="n"/>
      <c r="V300" s="669" t="n"/>
      <c r="W300" s="669" t="n"/>
      <c r="X300" s="669" t="n"/>
      <c r="Y300" s="669" t="n"/>
      <c r="Z300" s="669" t="n"/>
    </row>
    <row r="301">
      <c r="A301" s="247" t="inlineStr">
        <is>
          <t>Maitreya in Meditation</t>
        </is>
      </c>
      <c r="B301" s="1037" t="inlineStr">
        <is>
          <t>Blue</t>
        </is>
      </c>
      <c r="C301" s="1037" t="inlineStr">
        <is>
          <t>ART</t>
        </is>
      </c>
      <c r="D301" s="934" t="n">
        <v>5</v>
      </c>
      <c r="E301" s="934" t="n">
        <v>5</v>
      </c>
      <c r="F301" s="934" t="n"/>
      <c r="G301" s="934" t="n"/>
      <c r="H301" s="934" t="n">
        <v>10</v>
      </c>
      <c r="I301" s="210">
        <f>(D301+E301)/H301</f>
        <v/>
      </c>
      <c r="J301" s="386" t="inlineStr">
        <is>
          <t>Lottery Machine #2 (?%)</t>
        </is>
      </c>
      <c r="K301" s="669" t="n"/>
      <c r="L301" s="669" t="n"/>
      <c r="M301" s="669" t="n"/>
      <c r="N301" s="669" t="n"/>
      <c r="O301" s="669" t="n"/>
      <c r="P301" s="669" t="n"/>
      <c r="Q301" s="669" t="n"/>
      <c r="R301" s="669" t="n"/>
      <c r="S301" s="669" t="n"/>
      <c r="T301" s="669" t="n"/>
      <c r="U301" s="669" t="n"/>
      <c r="V301" s="669" t="n"/>
      <c r="W301" s="669" t="n"/>
      <c r="X301" s="669" t="n"/>
      <c r="Y301" s="669" t="n"/>
      <c r="Z301" s="669" t="n"/>
    </row>
    <row r="302">
      <c r="A302" s="246" t="inlineStr">
        <is>
          <t>Benin Statue</t>
        </is>
      </c>
      <c r="B302" s="1037" t="inlineStr">
        <is>
          <t>Blue</t>
        </is>
      </c>
      <c r="C302" s="1037" t="inlineStr">
        <is>
          <t>ART</t>
        </is>
      </c>
      <c r="D302" s="209" t="n">
        <v>5</v>
      </c>
      <c r="E302" s="209" t="n">
        <v>3</v>
      </c>
      <c r="F302" s="209" t="n"/>
      <c r="G302" s="209" t="n"/>
      <c r="H302" s="209" t="n">
        <v>10</v>
      </c>
      <c r="I302" s="210">
        <f>(D302+E302)/H302</f>
        <v/>
      </c>
      <c r="J302" s="256" t="inlineStr">
        <is>
          <t>Lottery Machine #1 (0.03%), Wishing (1.2%)</t>
        </is>
      </c>
      <c r="K302" s="669" t="n"/>
      <c r="L302" s="669" t="n"/>
      <c r="M302" s="669" t="n"/>
      <c r="N302" s="669" t="n"/>
      <c r="O302" s="669" t="n"/>
      <c r="P302" s="669" t="n"/>
      <c r="Q302" s="669" t="n"/>
      <c r="R302" s="669" t="n"/>
      <c r="S302" s="669" t="n"/>
      <c r="T302" s="669" t="n"/>
      <c r="U302" s="669" t="n"/>
      <c r="V302" s="669" t="n"/>
      <c r="W302" s="669" t="n"/>
      <c r="X302" s="669" t="n"/>
      <c r="Y302" s="669" t="n"/>
      <c r="Z302" s="669" t="n"/>
    </row>
    <row r="303">
      <c r="A303" s="507" t="inlineStr">
        <is>
          <t>Economy World Vol.1</t>
        </is>
      </c>
      <c r="B303" s="1037" t="inlineStr">
        <is>
          <t>AAA</t>
        </is>
      </c>
      <c r="C303" s="1037" t="inlineStr">
        <is>
          <t>FAME</t>
        </is>
      </c>
      <c r="D303" s="934" t="n"/>
      <c r="E303" s="934" t="n"/>
      <c r="F303" s="934" t="n">
        <v>2.7</v>
      </c>
      <c r="G303" s="934" t="n">
        <v>2.1</v>
      </c>
      <c r="H303" s="934" t="n"/>
      <c r="I303" s="934" t="n"/>
      <c r="J303" s="386" t="inlineStr">
        <is>
          <t>Lottery Machine #2 (?%)</t>
        </is>
      </c>
      <c r="K303" s="669" t="n"/>
      <c r="L303" s="669" t="n"/>
      <c r="M303" s="669" t="n"/>
      <c r="N303" s="669" t="n"/>
      <c r="O303" s="669" t="n"/>
      <c r="P303" s="669" t="n"/>
      <c r="Q303" s="669" t="n"/>
      <c r="R303" s="669" t="n"/>
      <c r="S303" s="669" t="n"/>
      <c r="T303" s="669" t="n"/>
      <c r="U303" s="669" t="n"/>
      <c r="V303" s="669" t="n"/>
      <c r="W303" s="669" t="n"/>
      <c r="X303" s="669" t="n"/>
      <c r="Y303" s="669" t="n"/>
      <c r="Z303" s="669" t="n"/>
    </row>
    <row r="304">
      <c r="A304" s="357" t="n"/>
      <c r="B304" s="425" t="n"/>
      <c r="C304" s="934" t="n"/>
      <c r="D304" s="371" t="n"/>
      <c r="E304" s="371" t="n"/>
      <c r="F304" s="371" t="n"/>
      <c r="G304" s="425" t="n"/>
      <c r="H304" s="425" t="n"/>
      <c r="I304" s="371" t="n"/>
      <c r="J304" s="386" t="n"/>
      <c r="K304" s="669" t="n"/>
      <c r="L304" s="669" t="n"/>
      <c r="M304" s="669" t="n"/>
      <c r="N304" s="669" t="n"/>
      <c r="O304" s="669" t="n"/>
      <c r="P304" s="669" t="n"/>
      <c r="Q304" s="669" t="n"/>
      <c r="R304" s="669" t="n"/>
      <c r="S304" s="669" t="n"/>
      <c r="T304" s="669" t="n"/>
      <c r="U304" s="669" t="n"/>
      <c r="V304" s="669" t="n"/>
      <c r="W304" s="669" t="n"/>
      <c r="X304" s="669" t="n"/>
      <c r="Y304" s="669" t="n"/>
      <c r="Z304" s="669" t="n"/>
    </row>
    <row r="305">
      <c r="A305" s="357" t="inlineStr">
        <is>
          <t>Resonance: Orange</t>
        </is>
      </c>
      <c r="B305" s="425" t="n"/>
      <c r="C305" s="934" t="n"/>
      <c r="D305" s="371" t="n">
        <v>21</v>
      </c>
      <c r="E305" s="371" t="n"/>
      <c r="F305" s="371" t="n"/>
      <c r="G305" s="425" t="n"/>
      <c r="H305" s="425" t="n">
        <v>60</v>
      </c>
      <c r="I305" s="371">
        <f>(D305+E305)/H305</f>
        <v/>
      </c>
      <c r="J305" s="386" t="n"/>
      <c r="K305" s="669" t="n"/>
      <c r="L305" s="669" t="n"/>
      <c r="M305" s="669" t="n"/>
      <c r="N305" s="669" t="n"/>
      <c r="O305" s="669" t="n"/>
      <c r="P305" s="669" t="n"/>
      <c r="Q305" s="669" t="n"/>
      <c r="R305" s="669" t="n"/>
      <c r="S305" s="669" t="n"/>
      <c r="T305" s="669" t="n"/>
      <c r="U305" s="669" t="n"/>
      <c r="V305" s="669" t="n"/>
      <c r="W305" s="669" t="n"/>
      <c r="X305" s="669" t="n"/>
      <c r="Y305" s="669" t="n"/>
      <c r="Z305" s="669" t="n"/>
    </row>
    <row r="306">
      <c r="A306" s="357" t="inlineStr">
        <is>
          <t xml:space="preserve">  L'Art de la Guerre</t>
        </is>
      </c>
      <c r="B306" s="425" t="inlineStr">
        <is>
          <t>SSS</t>
        </is>
      </c>
      <c r="C306" s="425" t="inlineStr">
        <is>
          <t>FAME</t>
        </is>
      </c>
      <c r="D306" s="371" t="n"/>
      <c r="E306" s="371" t="n"/>
      <c r="F306" s="371" t="n"/>
      <c r="G306" s="425" t="n"/>
      <c r="H306" s="425" t="n"/>
      <c r="I306" s="425" t="n"/>
      <c r="J306" s="386" t="inlineStr">
        <is>
          <t>Lottery Machine #2 (?%)</t>
        </is>
      </c>
      <c r="K306" s="669" t="n"/>
      <c r="L306" s="669" t="n"/>
      <c r="M306" s="669" t="n"/>
      <c r="N306" s="669" t="n"/>
      <c r="O306" s="669" t="n"/>
      <c r="P306" s="669" t="n"/>
      <c r="Q306" s="669" t="n"/>
      <c r="R306" s="669" t="n"/>
      <c r="S306" s="669" t="n"/>
      <c r="T306" s="669" t="n"/>
      <c r="U306" s="669" t="n"/>
      <c r="V306" s="669" t="n"/>
      <c r="W306" s="669" t="n"/>
      <c r="X306" s="669" t="n"/>
      <c r="Y306" s="669" t="n"/>
      <c r="Z306" s="669" t="n"/>
    </row>
    <row r="307">
      <c r="A307" s="357" t="inlineStr">
        <is>
          <t xml:space="preserve">  Mysterious Relic</t>
        </is>
      </c>
      <c r="B307" s="425" t="inlineStr">
        <is>
          <t>SSS</t>
        </is>
      </c>
      <c r="C307" s="425" t="n"/>
      <c r="D307" s="371" t="n"/>
      <c r="E307" s="371" t="n"/>
      <c r="F307" s="371" t="n"/>
      <c r="G307" s="425" t="n"/>
      <c r="H307" s="425" t="n"/>
      <c r="I307" s="425" t="n"/>
      <c r="J307" s="390" t="inlineStr">
        <is>
          <t>Unknown</t>
        </is>
      </c>
      <c r="K307" s="669" t="n"/>
      <c r="L307" s="669" t="n"/>
      <c r="M307" s="669" t="n"/>
      <c r="N307" s="669" t="n"/>
      <c r="O307" s="669" t="n"/>
      <c r="P307" s="669" t="n"/>
      <c r="Q307" s="669" t="n"/>
      <c r="R307" s="669" t="n"/>
      <c r="S307" s="669" t="n"/>
      <c r="T307" s="669" t="n"/>
      <c r="U307" s="669" t="n"/>
      <c r="V307" s="669" t="n"/>
      <c r="W307" s="669" t="n"/>
      <c r="X307" s="669" t="n"/>
      <c r="Y307" s="669" t="n"/>
      <c r="Z307" s="669" t="n"/>
    </row>
    <row r="308">
      <c r="A308" s="272" t="inlineStr">
        <is>
          <t>TOTAL HARD</t>
        </is>
      </c>
      <c r="B308" s="214" t="n"/>
      <c r="C308" s="214" t="n"/>
      <c r="D308" s="215" t="n"/>
      <c r="E308" s="214" t="n"/>
      <c r="F308" s="215">
        <f>sum(F298:G307)</f>
        <v/>
      </c>
      <c r="G308" s="214" t="n"/>
      <c r="H308" s="214" t="n"/>
      <c r="I308" s="228">
        <f>sum(I298:I307)</f>
        <v/>
      </c>
      <c r="J308" s="216" t="n"/>
      <c r="K308" s="669" t="n"/>
      <c r="L308" s="669" t="n"/>
      <c r="M308" s="669" t="n"/>
      <c r="N308" s="669" t="n"/>
      <c r="O308" s="669" t="n"/>
      <c r="P308" s="669" t="n"/>
      <c r="Q308" s="669" t="n"/>
      <c r="R308" s="669" t="n"/>
      <c r="S308" s="669" t="n"/>
      <c r="T308" s="669" t="n"/>
      <c r="U308" s="669" t="n"/>
      <c r="V308" s="669" t="n"/>
      <c r="W308" s="669" t="n"/>
      <c r="X308" s="669" t="n"/>
      <c r="Y308" s="669" t="n"/>
      <c r="Z308" s="669" t="n"/>
    </row>
    <row r="309">
      <c r="A309" s="669" t="n"/>
      <c r="B309" s="669" t="n"/>
      <c r="C309" s="669" t="n"/>
      <c r="D309" s="669" t="n"/>
      <c r="E309" s="669" t="n"/>
      <c r="F309" s="669" t="n"/>
      <c r="G309" s="669" t="n"/>
      <c r="H309" s="669" t="n"/>
      <c r="I309" s="669" t="n"/>
      <c r="J309" s="669" t="n"/>
      <c r="K309" s="669" t="n"/>
      <c r="L309" s="669" t="n"/>
      <c r="M309" s="669" t="n"/>
      <c r="N309" s="669" t="n"/>
      <c r="O309" s="669" t="n"/>
      <c r="P309" s="669" t="n"/>
      <c r="Q309" s="669" t="n"/>
      <c r="R309" s="669" t="n"/>
      <c r="S309" s="669" t="n"/>
      <c r="T309" s="669" t="n"/>
      <c r="U309" s="669" t="n"/>
      <c r="V309" s="669" t="n"/>
      <c r="W309" s="669" t="n"/>
      <c r="X309" s="669" t="n"/>
      <c r="Y309" s="669" t="n"/>
      <c r="Z309" s="669" t="n"/>
    </row>
    <row r="310">
      <c r="A310" s="669" t="n"/>
      <c r="B310" s="669" t="n"/>
      <c r="C310" s="669" t="n"/>
      <c r="D310" s="669" t="n"/>
      <c r="E310" s="669" t="n"/>
      <c r="F310" s="669" t="n"/>
      <c r="G310" s="669" t="n"/>
      <c r="H310" s="669" t="n"/>
      <c r="I310" s="669" t="n"/>
      <c r="J310" s="669" t="n"/>
      <c r="K310" s="669" t="n"/>
      <c r="L310" s="669" t="n"/>
      <c r="M310" s="669" t="n"/>
      <c r="N310" s="669" t="n"/>
      <c r="O310" s="669" t="n"/>
      <c r="P310" s="669" t="n"/>
      <c r="Q310" s="669" t="n"/>
      <c r="R310" s="669" t="n"/>
      <c r="S310" s="669" t="n"/>
      <c r="T310" s="669" t="n"/>
      <c r="U310" s="669" t="n"/>
      <c r="V310" s="669" t="n"/>
      <c r="W310" s="669" t="n"/>
      <c r="X310" s="669" t="n"/>
      <c r="Y310" s="669" t="n"/>
      <c r="Z310" s="669" t="n"/>
    </row>
    <row r="311">
      <c r="A311" s="669" t="n"/>
      <c r="B311" s="669" t="n"/>
      <c r="C311" s="669" t="n"/>
      <c r="D311" s="669" t="n"/>
      <c r="E311" s="669" t="n"/>
      <c r="F311" s="669" t="n"/>
      <c r="G311" s="669" t="n"/>
      <c r="H311" s="669" t="n"/>
      <c r="I311" s="669" t="n"/>
      <c r="J311" s="669" t="n"/>
      <c r="K311" s="669" t="n"/>
      <c r="L311" s="669" t="n"/>
      <c r="M311" s="669" t="n"/>
      <c r="N311" s="669" t="n"/>
      <c r="O311" s="669" t="n"/>
      <c r="P311" s="669" t="n"/>
      <c r="Q311" s="669" t="n"/>
      <c r="R311" s="669" t="n"/>
      <c r="S311" s="669" t="n"/>
      <c r="T311" s="669" t="n"/>
      <c r="U311" s="669" t="n"/>
      <c r="V311" s="669" t="n"/>
      <c r="W311" s="669" t="n"/>
      <c r="X311" s="669" t="n"/>
      <c r="Y311" s="669" t="n"/>
      <c r="Z311" s="669" t="n"/>
    </row>
    <row r="312">
      <c r="A312" s="669" t="n"/>
      <c r="B312" s="669" t="n"/>
      <c r="C312" s="669" t="n"/>
      <c r="D312" s="669" t="n"/>
      <c r="E312" s="669" t="n"/>
      <c r="F312" s="669" t="n"/>
      <c r="G312" s="669" t="n"/>
      <c r="H312" s="669" t="n"/>
      <c r="I312" s="669" t="n"/>
      <c r="J312" s="669" t="n"/>
      <c r="K312" s="669" t="n"/>
      <c r="L312" s="669" t="n"/>
      <c r="M312" s="669" t="n"/>
      <c r="N312" s="669" t="n"/>
      <c r="O312" s="669" t="n"/>
      <c r="P312" s="669" t="n"/>
      <c r="Q312" s="669" t="n"/>
      <c r="R312" s="669" t="n"/>
      <c r="S312" s="669" t="n"/>
      <c r="T312" s="669" t="n"/>
      <c r="U312" s="669" t="n"/>
      <c r="V312" s="669" t="n"/>
      <c r="W312" s="669" t="n"/>
      <c r="X312" s="669" t="n"/>
      <c r="Y312" s="669" t="n"/>
      <c r="Z312" s="669" t="n"/>
    </row>
    <row r="313">
      <c r="A313" s="1075" t="inlineStr">
        <is>
          <t>DEMON</t>
        </is>
      </c>
      <c r="B313" s="373" t="n"/>
      <c r="C313" s="373" t="n"/>
      <c r="D313" s="373" t="n"/>
      <c r="E313" s="373" t="n"/>
      <c r="F313" s="373" t="n"/>
      <c r="G313" s="373" t="n"/>
      <c r="H313" s="373" t="n"/>
      <c r="I313" s="373" t="n"/>
      <c r="J313" s="391" t="n"/>
      <c r="K313" s="669" t="n"/>
      <c r="L313" s="669" t="n"/>
      <c r="M313" s="669" t="n"/>
      <c r="N313" s="669" t="n"/>
      <c r="O313" s="669" t="n"/>
      <c r="P313" s="669" t="n"/>
      <c r="Q313" s="669" t="n"/>
      <c r="R313" s="669" t="n"/>
      <c r="S313" s="669" t="n"/>
      <c r="T313" s="669" t="n"/>
      <c r="U313" s="669" t="n"/>
      <c r="V313" s="669" t="n"/>
      <c r="W313" s="669" t="n"/>
      <c r="X313" s="669" t="n"/>
      <c r="Y313" s="669" t="n"/>
      <c r="Z313" s="669" t="n"/>
    </row>
    <row r="314">
      <c r="A314" s="251" t="inlineStr">
        <is>
          <t>HP</t>
        </is>
      </c>
      <c r="B314" s="252" t="inlineStr">
        <is>
          <t>Rarity</t>
        </is>
      </c>
      <c r="C314" s="252" t="inlineStr">
        <is>
          <t>Type</t>
        </is>
      </c>
      <c r="D314" s="252" t="inlineStr">
        <is>
          <t>Base</t>
        </is>
      </c>
      <c r="E314" s="252" t="inlineStr">
        <is>
          <t>Awakening Base</t>
        </is>
      </c>
      <c r="F314" s="252" t="inlineStr">
        <is>
          <t>Percentage</t>
        </is>
      </c>
      <c r="G314" s="252" t="inlineStr">
        <is>
          <t>Awakening Percentage</t>
        </is>
      </c>
      <c r="H314" s="252" t="inlineStr">
        <is>
          <t>Per Minion</t>
        </is>
      </c>
      <c r="I314" s="252" t="inlineStr">
        <is>
          <t>Per Minion Boost</t>
        </is>
      </c>
      <c r="J314" s="253" t="inlineStr">
        <is>
          <t>Source</t>
        </is>
      </c>
      <c r="K314" s="669" t="n"/>
      <c r="L314" s="669" t="n"/>
      <c r="M314" s="669" t="n"/>
      <c r="N314" s="669" t="n"/>
      <c r="O314" s="669" t="n"/>
      <c r="P314" s="669" t="n"/>
      <c r="Q314" s="669" t="n"/>
      <c r="R314" s="669" t="n"/>
      <c r="S314" s="669" t="n"/>
      <c r="T314" s="669" t="n"/>
      <c r="U314" s="669" t="n"/>
      <c r="V314" s="669" t="n"/>
      <c r="W314" s="669" t="n"/>
      <c r="X314" s="669" t="n"/>
      <c r="Y314" s="669" t="n"/>
      <c r="Z314" s="669" t="n"/>
    </row>
    <row r="315">
      <c r="A315" s="507" t="inlineStr">
        <is>
          <t>Night Bloom II</t>
        </is>
      </c>
      <c r="B315" s="1037" t="inlineStr">
        <is>
          <t>AA</t>
        </is>
      </c>
      <c r="C315" s="1037" t="inlineStr">
        <is>
          <t>ART</t>
        </is>
      </c>
      <c r="D315" s="479" t="n">
        <v>360</v>
      </c>
      <c r="E315" s="479" t="n">
        <v>280</v>
      </c>
      <c r="F315" s="934" t="n"/>
      <c r="G315" s="934" t="n"/>
      <c r="H315" s="479" t="n">
        <v>30</v>
      </c>
      <c r="I315" s="255">
        <f>(D315+E315)/H315</f>
        <v/>
      </c>
      <c r="J315" s="935" t="inlineStr">
        <is>
          <t>Lottery Machine #2 (?%)</t>
        </is>
      </c>
      <c r="K315" s="669" t="n"/>
      <c r="L315" s="669" t="n"/>
      <c r="M315" s="669" t="n"/>
      <c r="N315" s="669" t="n"/>
      <c r="O315" s="669" t="n"/>
      <c r="P315" s="669" t="n"/>
      <c r="Q315" s="669" t="n"/>
      <c r="R315" s="669" t="n"/>
      <c r="S315" s="669" t="n"/>
      <c r="T315" s="669" t="n"/>
      <c r="U315" s="669" t="n"/>
      <c r="V315" s="669" t="n"/>
      <c r="W315" s="669" t="n"/>
      <c r="X315" s="669" t="n"/>
      <c r="Y315" s="669" t="n"/>
      <c r="Z315" s="669" t="n"/>
    </row>
    <row r="316">
      <c r="A316" s="507" t="inlineStr">
        <is>
          <t>Capitoline Wolf</t>
        </is>
      </c>
      <c r="B316" s="1037" t="inlineStr">
        <is>
          <t>SSS</t>
        </is>
      </c>
      <c r="C316" s="1037" t="inlineStr">
        <is>
          <t>ART</t>
        </is>
      </c>
      <c r="D316" s="479" t="n">
        <v>1080</v>
      </c>
      <c r="E316" s="934" t="n"/>
      <c r="F316" s="934" t="n"/>
      <c r="G316" s="934" t="n"/>
      <c r="H316" s="479" t="n">
        <v>60</v>
      </c>
      <c r="I316" s="479">
        <f>(D316+E316)/H316</f>
        <v/>
      </c>
      <c r="J316" s="935" t="inlineStr">
        <is>
          <t>Lottery Machine #2 (0.12%)</t>
        </is>
      </c>
      <c r="K316" s="669" t="n"/>
      <c r="L316" s="669" t="n"/>
      <c r="M316" s="669" t="n"/>
      <c r="N316" s="669" t="n"/>
      <c r="O316" s="669" t="n"/>
      <c r="P316" s="669" t="n"/>
      <c r="Q316" s="669" t="n"/>
      <c r="R316" s="669" t="n"/>
      <c r="S316" s="669" t="n"/>
      <c r="T316" s="669" t="n"/>
      <c r="U316" s="669" t="n"/>
      <c r="V316" s="669" t="n"/>
      <c r="W316" s="669" t="n"/>
      <c r="X316" s="669" t="n"/>
      <c r="Y316" s="669" t="n"/>
      <c r="Z316" s="669" t="n"/>
    </row>
    <row r="317">
      <c r="A317" s="507" t="inlineStr">
        <is>
          <t>Blood of Cain</t>
        </is>
      </c>
      <c r="B317" s="1037" t="inlineStr">
        <is>
          <t>SSS</t>
        </is>
      </c>
      <c r="C317" s="1037" t="inlineStr">
        <is>
          <t>FTH</t>
        </is>
      </c>
      <c r="D317" s="210" t="n">
        <v>900</v>
      </c>
      <c r="E317" s="209" t="n"/>
      <c r="F317" s="209" t="n"/>
      <c r="G317" s="209" t="n"/>
      <c r="H317" s="210" t="n">
        <v>60</v>
      </c>
      <c r="I317" s="210">
        <f>(D317+E317)/H317</f>
        <v/>
      </c>
      <c r="J317" s="418" t="inlineStr">
        <is>
          <t>Apocalypse Hall (Demon God Cabin) Reward</t>
        </is>
      </c>
      <c r="K317" s="669" t="n"/>
      <c r="L317" s="669" t="n"/>
      <c r="M317" s="669" t="n"/>
      <c r="N317" s="669" t="n"/>
      <c r="O317" s="669" t="n"/>
      <c r="P317" s="669" t="n"/>
      <c r="Q317" s="669" t="n"/>
      <c r="R317" s="669" t="n"/>
      <c r="S317" s="669" t="n"/>
      <c r="T317" s="669" t="n"/>
      <c r="U317" s="669" t="n"/>
      <c r="V317" s="669" t="n"/>
      <c r="W317" s="669" t="n"/>
      <c r="X317" s="669" t="n"/>
      <c r="Y317" s="669" t="n"/>
      <c r="Z317" s="669" t="n"/>
    </row>
    <row r="318">
      <c r="A318" s="507" t="inlineStr">
        <is>
          <t>Glass Coffin</t>
        </is>
      </c>
      <c r="B318" s="1037" t="inlineStr">
        <is>
          <t>AAA</t>
        </is>
      </c>
      <c r="C318" s="1037" t="inlineStr">
        <is>
          <t>FTH</t>
        </is>
      </c>
      <c r="D318" s="479" t="n">
        <v>280</v>
      </c>
      <c r="E318" s="934" t="n"/>
      <c r="F318" s="934" t="n"/>
      <c r="G318" s="934" t="n"/>
      <c r="H318" s="479" t="n">
        <v>30</v>
      </c>
      <c r="I318" s="255">
        <f>(D318+E318)/H318</f>
        <v/>
      </c>
      <c r="J318" s="935" t="inlineStr">
        <is>
          <t>Fragment Crafting (3.8%), Lottery Machine #1 (0.08%), Wishing (0.35%), Soul Chest (1.5%), Expert Scrolls (0.95%)</t>
        </is>
      </c>
      <c r="K318" s="669" t="n"/>
      <c r="L318" s="669" t="n"/>
      <c r="M318" s="669" t="n"/>
      <c r="N318" s="669" t="n"/>
      <c r="O318" s="669" t="n"/>
      <c r="P318" s="669" t="n"/>
      <c r="Q318" s="669" t="n"/>
      <c r="R318" s="669" t="n"/>
      <c r="S318" s="669" t="n"/>
      <c r="T318" s="669" t="n"/>
      <c r="U318" s="669" t="n"/>
      <c r="V318" s="669" t="n"/>
      <c r="W318" s="669" t="n"/>
      <c r="X318" s="669" t="n"/>
      <c r="Y318" s="669" t="n"/>
      <c r="Z318" s="669" t="n"/>
    </row>
    <row r="319">
      <c r="A319" s="246" t="inlineStr">
        <is>
          <t>Hedwig Glass</t>
        </is>
      </c>
      <c r="B319" s="1037" t="inlineStr">
        <is>
          <t>Blue</t>
        </is>
      </c>
      <c r="C319" s="1037" t="inlineStr">
        <is>
          <t>ART</t>
        </is>
      </c>
      <c r="D319" s="210" t="n">
        <v>50</v>
      </c>
      <c r="E319" s="210" t="n">
        <v>50</v>
      </c>
      <c r="F319" s="209" t="n"/>
      <c r="G319" s="209" t="n"/>
      <c r="H319" s="210" t="n">
        <v>10</v>
      </c>
      <c r="I319" s="210">
        <f>(D319+E319)/H319</f>
        <v/>
      </c>
      <c r="J319" s="256" t="inlineStr">
        <is>
          <t>Lottery Machine #2 (?%)</t>
        </is>
      </c>
      <c r="K319" s="669" t="n"/>
      <c r="L319" s="669" t="n"/>
      <c r="M319" s="669" t="n"/>
      <c r="N319" s="669" t="n"/>
      <c r="O319" s="669" t="n"/>
      <c r="P319" s="669" t="n"/>
      <c r="Q319" s="669" t="n"/>
      <c r="R319" s="669" t="n"/>
      <c r="S319" s="669" t="n"/>
      <c r="T319" s="669" t="n"/>
      <c r="U319" s="669" t="n"/>
      <c r="V319" s="669" t="n"/>
      <c r="W319" s="669" t="n"/>
      <c r="X319" s="669" t="n"/>
      <c r="Y319" s="669" t="n"/>
      <c r="Z319" s="669" t="n"/>
    </row>
    <row r="320">
      <c r="A320" s="507" t="inlineStr">
        <is>
          <t>Tucket Award</t>
        </is>
      </c>
      <c r="B320" s="1037" t="inlineStr">
        <is>
          <t>SSS</t>
        </is>
      </c>
      <c r="C320" s="1037" t="inlineStr">
        <is>
          <t>ART</t>
        </is>
      </c>
      <c r="D320" s="934" t="n"/>
      <c r="E320" s="934" t="n"/>
      <c r="F320" s="479" t="n">
        <v>12</v>
      </c>
      <c r="G320" s="934" t="n"/>
      <c r="H320" s="934" t="n"/>
      <c r="I320" s="934" t="n"/>
      <c r="J320" s="935" t="inlineStr">
        <is>
          <t>Decor Bonus</t>
        </is>
      </c>
      <c r="K320" s="669" t="n"/>
      <c r="L320" s="669" t="n"/>
      <c r="M320" s="669" t="n"/>
      <c r="N320" s="669" t="n"/>
      <c r="O320" s="669" t="n"/>
      <c r="P320" s="669" t="n"/>
      <c r="Q320" s="669" t="n"/>
      <c r="R320" s="669" t="n"/>
      <c r="S320" s="669" t="n"/>
      <c r="T320" s="669" t="n"/>
      <c r="U320" s="669" t="n"/>
      <c r="V320" s="669" t="n"/>
      <c r="W320" s="669" t="n"/>
      <c r="X320" s="669" t="n"/>
      <c r="Y320" s="669" t="n"/>
      <c r="Z320" s="669" t="n"/>
    </row>
    <row r="321">
      <c r="A321" s="507" t="inlineStr">
        <is>
          <t>Kojiki</t>
        </is>
      </c>
      <c r="B321" s="1037" t="inlineStr">
        <is>
          <t>SS</t>
        </is>
      </c>
      <c r="C321" s="1037" t="inlineStr">
        <is>
          <t>CIV</t>
        </is>
      </c>
      <c r="D321" s="934" t="n"/>
      <c r="E321" s="934" t="n"/>
      <c r="F321" s="479" t="n">
        <v>11</v>
      </c>
      <c r="G321" s="934" t="n"/>
      <c r="H321" s="934" t="n"/>
      <c r="I321" s="934" t="n"/>
      <c r="J321" s="935" t="inlineStr">
        <is>
          <t>Lottery Machine #2 (?%)</t>
        </is>
      </c>
      <c r="K321" s="669" t="n"/>
      <c r="L321" s="669" t="n"/>
      <c r="M321" s="669" t="n"/>
      <c r="N321" s="669" t="n"/>
      <c r="O321" s="669" t="n"/>
      <c r="P321" s="669" t="n"/>
      <c r="Q321" s="669" t="n"/>
      <c r="R321" s="669" t="n"/>
      <c r="S321" s="669" t="n"/>
      <c r="T321" s="669" t="n"/>
      <c r="U321" s="669" t="n"/>
      <c r="V321" s="669" t="n"/>
      <c r="W321" s="669" t="n"/>
      <c r="X321" s="669" t="n"/>
      <c r="Y321" s="669" t="n"/>
      <c r="Z321" s="669" t="n"/>
    </row>
    <row r="322">
      <c r="A322" s="246" t="inlineStr">
        <is>
          <t>Pharaoh and Hist Wife</t>
        </is>
      </c>
      <c r="B322" s="1037" t="inlineStr">
        <is>
          <t>S</t>
        </is>
      </c>
      <c r="C322" s="1037" t="inlineStr">
        <is>
          <t>ART</t>
        </is>
      </c>
      <c r="D322" s="209" t="n"/>
      <c r="E322" s="209" t="n"/>
      <c r="F322" s="210" t="n">
        <v>10</v>
      </c>
      <c r="G322" s="209" t="n"/>
      <c r="H322" s="209" t="n"/>
      <c r="I322" s="209" t="n"/>
      <c r="J322" s="390" t="inlineStr">
        <is>
          <t>Lottery Machine #3 (?%)</t>
        </is>
      </c>
      <c r="K322" s="669" t="n"/>
      <c r="L322" s="669" t="n"/>
      <c r="M322" s="669" t="n"/>
      <c r="N322" s="669" t="n"/>
      <c r="O322" s="669" t="n"/>
      <c r="P322" s="669" t="n"/>
      <c r="Q322" s="669" t="n"/>
      <c r="R322" s="669" t="n"/>
      <c r="S322" s="669" t="n"/>
      <c r="T322" s="669" t="n"/>
      <c r="U322" s="669" t="n"/>
      <c r="V322" s="669" t="n"/>
      <c r="W322" s="669" t="n"/>
      <c r="X322" s="669" t="n"/>
      <c r="Y322" s="669" t="n"/>
      <c r="Z322" s="669" t="n"/>
    </row>
    <row r="323">
      <c r="A323" s="246" t="inlineStr">
        <is>
          <t>Divination Book</t>
        </is>
      </c>
      <c r="B323" s="1037" t="inlineStr">
        <is>
          <t>AAA</t>
        </is>
      </c>
      <c r="C323" s="1037" t="inlineStr">
        <is>
          <t>FTH</t>
        </is>
      </c>
      <c r="D323" s="209" t="n"/>
      <c r="E323" s="209" t="n"/>
      <c r="F323" s="210" t="n">
        <v>9</v>
      </c>
      <c r="G323" s="209" t="n"/>
      <c r="H323" s="209" t="n"/>
      <c r="I323" s="209" t="n"/>
      <c r="J323" s="256" t="inlineStr">
        <is>
          <t>Lottery Machine #2 (?%)</t>
        </is>
      </c>
      <c r="K323" s="669" t="n"/>
      <c r="L323" s="669" t="n"/>
      <c r="M323" s="669" t="n"/>
      <c r="N323" s="669" t="n"/>
      <c r="O323" s="669" t="n"/>
      <c r="P323" s="669" t="n"/>
      <c r="Q323" s="669" t="n"/>
      <c r="R323" s="669" t="n"/>
      <c r="S323" s="669" t="n"/>
      <c r="T323" s="669" t="n"/>
      <c r="U323" s="669" t="n"/>
      <c r="V323" s="669" t="n"/>
      <c r="W323" s="669" t="n"/>
      <c r="X323" s="669" t="n"/>
      <c r="Y323" s="669" t="n"/>
      <c r="Z323" s="669" t="n"/>
    </row>
    <row r="324">
      <c r="A324" s="507" t="inlineStr">
        <is>
          <t>Innsmouth Statue</t>
        </is>
      </c>
      <c r="B324" s="1037" t="inlineStr">
        <is>
          <t>Blue</t>
        </is>
      </c>
      <c r="C324" s="1037" t="inlineStr">
        <is>
          <t>FTH</t>
        </is>
      </c>
      <c r="D324" s="934" t="n"/>
      <c r="E324" s="934" t="n"/>
      <c r="F324" s="479" t="n">
        <v>5</v>
      </c>
      <c r="G324" s="479" t="n">
        <v>5</v>
      </c>
      <c r="H324" s="934" t="n"/>
      <c r="I324" s="934" t="n"/>
      <c r="J324" s="935" t="inlineStr">
        <is>
          <t>Lottery Machine #2 (?%)</t>
        </is>
      </c>
      <c r="K324" s="669" t="n"/>
      <c r="L324" s="669" t="n"/>
      <c r="M324" s="669" t="n"/>
      <c r="N324" s="669" t="n"/>
      <c r="O324" s="669" t="n"/>
      <c r="P324" s="669" t="n"/>
      <c r="Q324" s="669" t="n"/>
      <c r="R324" s="669" t="n"/>
      <c r="S324" s="669" t="n"/>
      <c r="T324" s="669" t="n"/>
      <c r="U324" s="669" t="n"/>
      <c r="V324" s="669" t="n"/>
      <c r="W324" s="669" t="n"/>
      <c r="X324" s="669" t="n"/>
      <c r="Y324" s="669" t="n"/>
      <c r="Z324" s="669" t="n"/>
    </row>
    <row r="325">
      <c r="A325" s="257" t="n"/>
      <c r="B325" s="209" t="n"/>
      <c r="C325" s="934" t="n"/>
      <c r="D325" s="209" t="n"/>
      <c r="E325" s="209" t="n"/>
      <c r="F325" s="209" t="n"/>
      <c r="G325" s="209" t="n"/>
      <c r="H325" s="209" t="n"/>
      <c r="I325" s="209" t="n"/>
      <c r="J325" s="256" t="n"/>
      <c r="K325" s="669" t="n"/>
      <c r="L325" s="669" t="n"/>
      <c r="M325" s="669" t="n"/>
      <c r="N325" s="669" t="n"/>
      <c r="O325" s="669" t="n"/>
      <c r="P325" s="669" t="n"/>
      <c r="Q325" s="669" t="n"/>
      <c r="R325" s="669" t="n"/>
      <c r="S325" s="669" t="n"/>
      <c r="T325" s="669" t="n"/>
      <c r="U325" s="669" t="n"/>
      <c r="V325" s="669" t="n"/>
      <c r="W325" s="669" t="n"/>
      <c r="X325" s="669" t="n"/>
      <c r="Y325" s="669" t="n"/>
      <c r="Z325" s="669" t="n"/>
    </row>
    <row r="326">
      <c r="A326" s="507" t="inlineStr">
        <is>
          <t>Resonance: Blue</t>
        </is>
      </c>
      <c r="B326" s="934" t="n"/>
      <c r="C326" s="934" t="n"/>
      <c r="D326" s="479" t="n">
        <v>50</v>
      </c>
      <c r="E326" s="934" t="n"/>
      <c r="F326" s="934" t="n"/>
      <c r="G326" s="934" t="n"/>
      <c r="H326" s="479" t="n">
        <v>10</v>
      </c>
      <c r="I326" s="479">
        <f>(D326+E326)/H326</f>
        <v/>
      </c>
      <c r="J326" s="935" t="n"/>
      <c r="K326" s="669" t="n"/>
      <c r="L326" s="669" t="n"/>
      <c r="M326" s="669" t="n"/>
      <c r="N326" s="669" t="n"/>
      <c r="O326" s="669" t="n"/>
      <c r="P326" s="669" t="n"/>
      <c r="Q326" s="669" t="n"/>
      <c r="R326" s="669" t="n"/>
      <c r="S326" s="669" t="n"/>
      <c r="T326" s="669" t="n"/>
      <c r="U326" s="669" t="n"/>
      <c r="V326" s="669" t="n"/>
      <c r="W326" s="669" t="n"/>
      <c r="X326" s="669" t="n"/>
      <c r="Y326" s="669" t="n"/>
      <c r="Z326" s="669" t="n"/>
    </row>
    <row r="327">
      <c r="A327" s="246" t="inlineStr">
        <is>
          <t xml:space="preserve">  Lavosier's Bell Jar</t>
        </is>
      </c>
      <c r="B327" s="1037" t="inlineStr">
        <is>
          <t>Blue</t>
        </is>
      </c>
      <c r="C327" s="1037" t="inlineStr">
        <is>
          <t>TECH</t>
        </is>
      </c>
      <c r="D327" s="209" t="n"/>
      <c r="E327" s="209" t="n"/>
      <c r="F327" s="209" t="n"/>
      <c r="G327" s="209" t="n"/>
      <c r="H327" s="209" t="n"/>
      <c r="I327" s="209" t="n"/>
      <c r="J327" s="256" t="inlineStr">
        <is>
          <t>Lottery Machine #2 (?%)</t>
        </is>
      </c>
      <c r="K327" s="669" t="n"/>
      <c r="L327" s="669" t="n"/>
      <c r="M327" s="669" t="n"/>
      <c r="N327" s="669" t="n"/>
      <c r="O327" s="669" t="n"/>
      <c r="P327" s="669" t="n"/>
      <c r="Q327" s="669" t="n"/>
      <c r="R327" s="669" t="n"/>
      <c r="S327" s="669" t="n"/>
      <c r="T327" s="669" t="n"/>
      <c r="U327" s="669" t="n"/>
      <c r="V327" s="669" t="n"/>
      <c r="W327" s="669" t="n"/>
      <c r="X327" s="669" t="n"/>
      <c r="Y327" s="669" t="n"/>
      <c r="Z327" s="669" t="n"/>
    </row>
    <row r="328">
      <c r="A328" s="507" t="inlineStr">
        <is>
          <t xml:space="preserve">  Pavlov's Bell</t>
        </is>
      </c>
      <c r="B328" s="1037" t="inlineStr">
        <is>
          <t>Blue</t>
        </is>
      </c>
      <c r="C328" s="1037" t="inlineStr">
        <is>
          <t>TECH</t>
        </is>
      </c>
      <c r="D328" s="934" t="n"/>
      <c r="E328" s="934" t="n"/>
      <c r="F328" s="934" t="n"/>
      <c r="G328" s="934" t="n"/>
      <c r="H328" s="934" t="n"/>
      <c r="I328" s="934" t="n"/>
      <c r="J328" s="935" t="inlineStr">
        <is>
          <t>Lottery Machine #2 (?%)</t>
        </is>
      </c>
      <c r="K328" s="669" t="n"/>
      <c r="L328" s="669" t="n"/>
      <c r="M328" s="669" t="n"/>
      <c r="N328" s="669" t="n"/>
      <c r="O328" s="669" t="n"/>
      <c r="P328" s="669" t="n"/>
      <c r="Q328" s="669" t="n"/>
      <c r="R328" s="669" t="n"/>
      <c r="S328" s="669" t="n"/>
      <c r="T328" s="669" t="n"/>
      <c r="U328" s="669" t="n"/>
      <c r="V328" s="669" t="n"/>
      <c r="W328" s="669" t="n"/>
      <c r="X328" s="669" t="n"/>
      <c r="Y328" s="669" t="n"/>
      <c r="Z328" s="669" t="n"/>
    </row>
    <row r="329">
      <c r="A329" s="246" t="inlineStr">
        <is>
          <t>Resonance: Purple</t>
        </is>
      </c>
      <c r="B329" s="209" t="n"/>
      <c r="C329" s="209" t="n"/>
      <c r="D329" s="209" t="n"/>
      <c r="E329" s="209" t="n"/>
      <c r="F329" s="210" t="n">
        <v>6</v>
      </c>
      <c r="G329" s="209" t="n"/>
      <c r="H329" s="209" t="n"/>
      <c r="I329" s="209" t="n"/>
      <c r="J329" s="256" t="n"/>
      <c r="K329" s="669" t="n"/>
      <c r="L329" s="669" t="n"/>
      <c r="M329" s="669" t="n"/>
      <c r="N329" s="669" t="n"/>
      <c r="O329" s="669" t="n"/>
      <c r="P329" s="669" t="n"/>
      <c r="Q329" s="669" t="n"/>
      <c r="R329" s="669" t="n"/>
      <c r="S329" s="669" t="n"/>
      <c r="T329" s="669" t="n"/>
      <c r="U329" s="669" t="n"/>
      <c r="V329" s="669" t="n"/>
      <c r="W329" s="669" t="n"/>
      <c r="X329" s="669" t="n"/>
      <c r="Y329" s="669" t="n"/>
      <c r="Z329" s="669" t="n"/>
    </row>
    <row r="330">
      <c r="A330" s="507" t="inlineStr">
        <is>
          <t xml:space="preserve">  The Count of Monti Christi</t>
        </is>
      </c>
      <c r="B330" s="1037" t="inlineStr">
        <is>
          <t>AAA</t>
        </is>
      </c>
      <c r="C330" s="1037" t="inlineStr">
        <is>
          <t>CIV</t>
        </is>
      </c>
      <c r="D330" s="934" t="n"/>
      <c r="E330" s="934" t="n"/>
      <c r="F330" s="934" t="n"/>
      <c r="G330" s="934" t="n"/>
      <c r="H330" s="934" t="n"/>
      <c r="I330" s="934" t="n"/>
      <c r="J330" s="935" t="inlineStr">
        <is>
          <t>Lottery Machine #2 (?%)</t>
        </is>
      </c>
      <c r="K330" s="669" t="n"/>
      <c r="L330" s="669" t="n"/>
      <c r="M330" s="669" t="n"/>
      <c r="N330" s="669" t="n"/>
      <c r="O330" s="669" t="n"/>
      <c r="P330" s="669" t="n"/>
      <c r="Q330" s="669" t="n"/>
      <c r="R330" s="669" t="n"/>
      <c r="S330" s="669" t="n"/>
      <c r="T330" s="669" t="n"/>
      <c r="U330" s="669" t="n"/>
      <c r="V330" s="669" t="n"/>
      <c r="W330" s="669" t="n"/>
      <c r="X330" s="669" t="n"/>
      <c r="Y330" s="669" t="n"/>
      <c r="Z330" s="669" t="n"/>
    </row>
    <row r="331">
      <c r="A331" s="246" t="inlineStr">
        <is>
          <t xml:space="preserve">  No Longer Human</t>
        </is>
      </c>
      <c r="B331" s="1037" t="inlineStr">
        <is>
          <t>AAA</t>
        </is>
      </c>
      <c r="C331" s="1037" t="inlineStr">
        <is>
          <t>CIV</t>
        </is>
      </c>
      <c r="D331" s="209" t="n"/>
      <c r="E331" s="209" t="n"/>
      <c r="F331" s="209" t="n"/>
      <c r="G331" s="209" t="n"/>
      <c r="H331" s="209" t="n"/>
      <c r="I331" s="209" t="n"/>
      <c r="J331" s="256" t="inlineStr">
        <is>
          <t>Lottery Machine #2 (?%)</t>
        </is>
      </c>
      <c r="K331" s="669" t="n"/>
      <c r="L331" s="669" t="n"/>
      <c r="M331" s="669" t="n"/>
      <c r="N331" s="669" t="n"/>
      <c r="O331" s="669" t="n"/>
      <c r="P331" s="669" t="n"/>
      <c r="Q331" s="669" t="n"/>
      <c r="R331" s="669" t="n"/>
      <c r="S331" s="669" t="n"/>
      <c r="T331" s="669" t="n"/>
      <c r="U331" s="669" t="n"/>
      <c r="V331" s="669" t="n"/>
      <c r="W331" s="669" t="n"/>
      <c r="X331" s="669" t="n"/>
      <c r="Y331" s="669" t="n"/>
      <c r="Z331" s="669" t="n"/>
    </row>
    <row r="332">
      <c r="A332" s="955" t="inlineStr">
        <is>
          <t>TOTAL HP</t>
        </is>
      </c>
      <c r="B332" s="946" t="n"/>
      <c r="C332" s="946" t="n"/>
      <c r="D332" s="946" t="n"/>
      <c r="E332" s="946" t="n"/>
      <c r="F332" s="260">
        <f>sum(F316:G331)</f>
        <v/>
      </c>
      <c r="G332" s="946" t="n"/>
      <c r="H332" s="946" t="n"/>
      <c r="I332" s="261">
        <f>sum(I316:I331)</f>
        <v/>
      </c>
      <c r="J332" s="947" t="n"/>
      <c r="K332" s="669" t="n"/>
      <c r="L332" s="669" t="n"/>
      <c r="M332" s="669" t="n"/>
      <c r="N332" s="669" t="n"/>
      <c r="O332" s="669" t="n"/>
      <c r="P332" s="669" t="n"/>
      <c r="Q332" s="669" t="n"/>
      <c r="R332" s="669" t="n"/>
      <c r="S332" s="669" t="n"/>
      <c r="T332" s="669" t="n"/>
      <c r="U332" s="669" t="n"/>
      <c r="V332" s="669" t="n"/>
      <c r="W332" s="669" t="n"/>
      <c r="X332" s="669" t="n"/>
      <c r="Y332" s="669" t="n"/>
      <c r="Z332" s="669" t="n"/>
    </row>
    <row r="333">
      <c r="A333" s="1037" t="n"/>
      <c r="B333" s="1037" t="n"/>
      <c r="C333" s="1037" t="n"/>
      <c r="D333" s="1037" t="n"/>
      <c r="E333" s="1037" t="n"/>
      <c r="F333" s="1037" t="n"/>
      <c r="G333" s="1037" t="n"/>
      <c r="H333" s="1037" t="n"/>
      <c r="I333" s="1037" t="n"/>
      <c r="J333" s="1037" t="n"/>
      <c r="K333" s="669" t="n"/>
      <c r="L333" s="669" t="n"/>
      <c r="M333" s="669" t="n"/>
      <c r="N333" s="669" t="n"/>
      <c r="O333" s="669" t="n"/>
      <c r="P333" s="669" t="n"/>
      <c r="Q333" s="669" t="n"/>
      <c r="R333" s="669" t="n"/>
      <c r="S333" s="669" t="n"/>
      <c r="T333" s="669" t="n"/>
      <c r="U333" s="669" t="n"/>
      <c r="V333" s="669" t="n"/>
      <c r="W333" s="669" t="n"/>
      <c r="X333" s="669" t="n"/>
      <c r="Y333" s="669" t="n"/>
      <c r="Z333" s="669" t="n"/>
    </row>
    <row r="334">
      <c r="A334" s="1079" t="n"/>
      <c r="B334" s="1079" t="n"/>
      <c r="C334" s="1079" t="n"/>
      <c r="D334" s="1079" t="n"/>
      <c r="E334" s="1079" t="n"/>
      <c r="F334" s="1079" t="n"/>
      <c r="G334" s="1079" t="n"/>
      <c r="H334" s="1079" t="n"/>
      <c r="I334" s="1079" t="n"/>
      <c r="J334" s="1079" t="n"/>
      <c r="K334" s="669" t="n"/>
      <c r="L334" s="669" t="n"/>
      <c r="M334" s="669" t="n"/>
      <c r="N334" s="669" t="n"/>
      <c r="O334" s="669" t="n"/>
      <c r="P334" s="669" t="n"/>
      <c r="Q334" s="669" t="n"/>
      <c r="R334" s="669" t="n"/>
      <c r="S334" s="669" t="n"/>
      <c r="T334" s="669" t="n"/>
      <c r="U334" s="669" t="n"/>
      <c r="V334" s="669" t="n"/>
      <c r="W334" s="669" t="n"/>
      <c r="X334" s="669" t="n"/>
      <c r="Y334" s="669" t="n"/>
      <c r="Z334" s="669" t="n"/>
    </row>
    <row r="335">
      <c r="A335" s="251" t="inlineStr">
        <is>
          <t>ATK</t>
        </is>
      </c>
      <c r="B335" s="252" t="inlineStr">
        <is>
          <t>Rarity</t>
        </is>
      </c>
      <c r="C335" s="252" t="inlineStr">
        <is>
          <t>Type</t>
        </is>
      </c>
      <c r="D335" s="252" t="inlineStr">
        <is>
          <t>Base</t>
        </is>
      </c>
      <c r="E335" s="252" t="inlineStr">
        <is>
          <t>Awakening Base</t>
        </is>
      </c>
      <c r="F335" s="252" t="inlineStr">
        <is>
          <t>Percentage</t>
        </is>
      </c>
      <c r="G335" s="252" t="inlineStr">
        <is>
          <t>Awakening Percentage</t>
        </is>
      </c>
      <c r="H335" s="252" t="inlineStr">
        <is>
          <t>Per Minion</t>
        </is>
      </c>
      <c r="I335" s="252" t="inlineStr">
        <is>
          <t>Per Minion Boost</t>
        </is>
      </c>
      <c r="J335" s="253" t="inlineStr">
        <is>
          <t>Source</t>
        </is>
      </c>
      <c r="K335" s="669" t="n"/>
      <c r="L335" s="669" t="n"/>
      <c r="M335" s="669" t="n"/>
      <c r="N335" s="669" t="n"/>
      <c r="O335" s="669" t="n"/>
      <c r="P335" s="669" t="n"/>
      <c r="Q335" s="669" t="n"/>
      <c r="R335" s="669" t="n"/>
      <c r="S335" s="669" t="n"/>
      <c r="T335" s="669" t="n"/>
      <c r="U335" s="669" t="n"/>
      <c r="V335" s="669" t="n"/>
      <c r="W335" s="669" t="n"/>
      <c r="X335" s="669" t="n"/>
      <c r="Y335" s="669" t="n"/>
      <c r="Z335" s="669" t="n"/>
    </row>
    <row r="336">
      <c r="A336" s="507" t="inlineStr">
        <is>
          <t>St. Louisa Goblet</t>
        </is>
      </c>
      <c r="B336" s="1037" t="inlineStr">
        <is>
          <t>SSS</t>
        </is>
      </c>
      <c r="C336" s="1037" t="inlineStr">
        <is>
          <t>ART</t>
        </is>
      </c>
      <c r="D336" s="267" t="n">
        <v>90</v>
      </c>
      <c r="E336" s="267" t="n">
        <v>90</v>
      </c>
      <c r="F336" s="934" t="n"/>
      <c r="G336" s="934" t="n"/>
      <c r="H336" s="267" t="n">
        <v>60</v>
      </c>
      <c r="I336" s="479">
        <f>(D336+E336)/H336</f>
        <v/>
      </c>
      <c r="J336" s="935" t="inlineStr">
        <is>
          <t>Weekly Special Reward #2</t>
        </is>
      </c>
      <c r="K336" s="669" t="n"/>
      <c r="L336" s="669" t="n"/>
      <c r="M336" s="669" t="n"/>
      <c r="N336" s="669" t="n"/>
      <c r="O336" s="669" t="n"/>
      <c r="P336" s="669" t="n"/>
      <c r="Q336" s="669" t="n"/>
      <c r="R336" s="669" t="n"/>
      <c r="S336" s="669" t="n"/>
      <c r="T336" s="669" t="n"/>
      <c r="U336" s="669" t="n"/>
      <c r="V336" s="669" t="n"/>
      <c r="W336" s="669" t="n"/>
      <c r="X336" s="669" t="n"/>
      <c r="Y336" s="669" t="n"/>
      <c r="Z336" s="669" t="n"/>
    </row>
    <row r="337">
      <c r="A337" s="246" t="inlineStr">
        <is>
          <t>Giant Book</t>
        </is>
      </c>
      <c r="B337" s="1037" t="inlineStr">
        <is>
          <t>AAA</t>
        </is>
      </c>
      <c r="C337" s="1037" t="inlineStr">
        <is>
          <t>TECH</t>
        </is>
      </c>
      <c r="D337" s="210" t="n">
        <v>32</v>
      </c>
      <c r="E337" s="210" t="n">
        <v>28</v>
      </c>
      <c r="F337" s="209" t="n"/>
      <c r="G337" s="209" t="n"/>
      <c r="H337" s="210" t="n">
        <v>30</v>
      </c>
      <c r="I337" s="200">
        <f>(D337+E337)/H337</f>
        <v/>
      </c>
      <c r="J337" s="256" t="inlineStr">
        <is>
          <t>Lottery Machine #2 (?%)</t>
        </is>
      </c>
      <c r="K337" s="669" t="n"/>
      <c r="L337" s="669" t="n"/>
      <c r="M337" s="669" t="n"/>
      <c r="N337" s="669" t="n"/>
      <c r="O337" s="669" t="n"/>
      <c r="P337" s="669" t="n"/>
      <c r="Q337" s="669" t="n"/>
      <c r="R337" s="669" t="n"/>
      <c r="S337" s="669" t="n"/>
      <c r="T337" s="669" t="n"/>
      <c r="U337" s="669" t="n"/>
      <c r="V337" s="669" t="n"/>
      <c r="W337" s="669" t="n"/>
      <c r="X337" s="669" t="n"/>
      <c r="Y337" s="669" t="n"/>
      <c r="Z337" s="669" t="n"/>
    </row>
    <row r="338">
      <c r="A338" s="507" t="inlineStr">
        <is>
          <t>Capitoline Wolf</t>
        </is>
      </c>
      <c r="B338" s="1037" t="inlineStr">
        <is>
          <t>SSS</t>
        </is>
      </c>
      <c r="C338" s="1037" t="inlineStr">
        <is>
          <t>ART</t>
        </is>
      </c>
      <c r="D338" s="479" t="n">
        <v>108</v>
      </c>
      <c r="E338" s="934" t="n"/>
      <c r="F338" s="934" t="n"/>
      <c r="G338" s="934" t="n"/>
      <c r="H338" s="210" t="n">
        <v>60</v>
      </c>
      <c r="I338" s="200">
        <f>(D338+E338)/H338</f>
        <v/>
      </c>
      <c r="J338" s="935" t="inlineStr">
        <is>
          <t>Lottery Machine #2 (0.12%)</t>
        </is>
      </c>
      <c r="K338" s="669" t="n"/>
      <c r="L338" s="669" t="n"/>
      <c r="M338" s="669" t="n"/>
      <c r="N338" s="669" t="n"/>
      <c r="O338" s="669" t="n"/>
      <c r="P338" s="669" t="n"/>
      <c r="Q338" s="669" t="n"/>
      <c r="R338" s="669" t="n"/>
      <c r="S338" s="669" t="n"/>
      <c r="T338" s="669" t="n"/>
      <c r="U338" s="669" t="n"/>
      <c r="V338" s="669" t="n"/>
      <c r="W338" s="669" t="n"/>
      <c r="X338" s="669" t="n"/>
      <c r="Y338" s="669" t="n"/>
      <c r="Z338" s="669" t="n"/>
    </row>
    <row r="339">
      <c r="A339" s="507" t="inlineStr">
        <is>
          <t>The Key of Solomon</t>
        </is>
      </c>
      <c r="B339" s="1037" t="inlineStr">
        <is>
          <t>SS</t>
        </is>
      </c>
      <c r="C339" s="1037" t="inlineStr">
        <is>
          <t>FTH</t>
        </is>
      </c>
      <c r="D339" s="479" t="n">
        <v>90</v>
      </c>
      <c r="E339" s="934" t="n"/>
      <c r="F339" s="934" t="n"/>
      <c r="G339" s="934" t="n"/>
      <c r="H339" s="479" t="n">
        <v>60</v>
      </c>
      <c r="I339" s="479">
        <f>(D339+E339)/H339</f>
        <v/>
      </c>
      <c r="J339" s="935" t="inlineStr">
        <is>
          <t>T7.5 Demon Gene Research</t>
        </is>
      </c>
      <c r="K339" s="669" t="n"/>
      <c r="L339" s="669" t="n"/>
      <c r="M339" s="669" t="n"/>
      <c r="N339" s="669" t="n"/>
      <c r="O339" s="669" t="n"/>
      <c r="P339" s="669" t="n"/>
      <c r="Q339" s="669" t="n"/>
      <c r="R339" s="669" t="n"/>
      <c r="S339" s="669" t="n"/>
      <c r="T339" s="669" t="n"/>
      <c r="U339" s="669" t="n"/>
      <c r="V339" s="669" t="n"/>
      <c r="W339" s="669" t="n"/>
      <c r="X339" s="669" t="n"/>
      <c r="Y339" s="669" t="n"/>
      <c r="Z339" s="669" t="n"/>
    </row>
    <row r="340">
      <c r="A340" s="246" t="inlineStr">
        <is>
          <t>Ape's Footprint Fossil</t>
        </is>
      </c>
      <c r="B340" s="1037" t="inlineStr">
        <is>
          <t>SS</t>
        </is>
      </c>
      <c r="C340" s="1037" t="inlineStr">
        <is>
          <t>FAME</t>
        </is>
      </c>
      <c r="D340" s="210" t="n">
        <v>90</v>
      </c>
      <c r="E340" s="209" t="n"/>
      <c r="F340" s="209" t="n"/>
      <c r="G340" s="209" t="n"/>
      <c r="H340" s="210" t="n">
        <v>60</v>
      </c>
      <c r="I340" s="210">
        <f>(D340+E340)/H340</f>
        <v/>
      </c>
      <c r="J340" s="256" t="inlineStr">
        <is>
          <t>Super Species Chest (2.4%)</t>
        </is>
      </c>
      <c r="K340" s="669" t="n"/>
      <c r="L340" s="669" t="n"/>
      <c r="M340" s="669" t="n"/>
      <c r="N340" s="669" t="n"/>
      <c r="O340" s="669" t="n"/>
      <c r="P340" s="669" t="n"/>
      <c r="Q340" s="669" t="n"/>
      <c r="R340" s="669" t="n"/>
      <c r="S340" s="669" t="n"/>
      <c r="T340" s="669" t="n"/>
      <c r="U340" s="669" t="n"/>
      <c r="V340" s="669" t="n"/>
      <c r="W340" s="669" t="n"/>
      <c r="X340" s="669" t="n"/>
      <c r="Y340" s="669" t="n"/>
      <c r="Z340" s="669" t="n"/>
    </row>
    <row r="341">
      <c r="A341" s="246" t="inlineStr">
        <is>
          <t>Peacock Ceramic Plate</t>
        </is>
      </c>
      <c r="B341" s="1037" t="inlineStr">
        <is>
          <t>Blue</t>
        </is>
      </c>
      <c r="C341" s="1037" t="inlineStr">
        <is>
          <t>FAME</t>
        </is>
      </c>
      <c r="D341" s="268" t="n">
        <v>5</v>
      </c>
      <c r="E341" s="268" t="n">
        <v>5</v>
      </c>
      <c r="F341" s="209" t="n"/>
      <c r="G341" s="209" t="n"/>
      <c r="H341" s="268" t="n">
        <v>10</v>
      </c>
      <c r="I341" s="210">
        <f>(D341+E341)/H341</f>
        <v/>
      </c>
      <c r="J341" s="256" t="inlineStr">
        <is>
          <t>Lottery Machine #2 (?%)</t>
        </is>
      </c>
      <c r="K341" s="669" t="n"/>
      <c r="L341" s="669" t="n"/>
      <c r="M341" s="669" t="n"/>
      <c r="N341" s="669" t="n"/>
      <c r="O341" s="669" t="n"/>
      <c r="P341" s="669" t="n"/>
      <c r="Q341" s="669" t="n"/>
      <c r="R341" s="669" t="n"/>
      <c r="S341" s="669" t="n"/>
      <c r="T341" s="669" t="n"/>
      <c r="U341" s="669" t="n"/>
      <c r="V341" s="669" t="n"/>
      <c r="W341" s="669" t="n"/>
      <c r="X341" s="669" t="n"/>
      <c r="Y341" s="669" t="n"/>
      <c r="Z341" s="669" t="n"/>
    </row>
    <row r="342">
      <c r="A342" s="507" t="inlineStr">
        <is>
          <t>Fallen Lucifer</t>
        </is>
      </c>
      <c r="B342" s="1037" t="inlineStr">
        <is>
          <t>AAA</t>
        </is>
      </c>
      <c r="C342" s="1037" t="inlineStr">
        <is>
          <t>FTH</t>
        </is>
      </c>
      <c r="D342" s="267" t="n">
        <v>28</v>
      </c>
      <c r="E342" s="267" t="n"/>
      <c r="F342" s="934" t="n"/>
      <c r="G342" s="934" t="n"/>
      <c r="H342" s="267" t="n">
        <v>30</v>
      </c>
      <c r="I342" s="255">
        <f>(D342+E342)/H342</f>
        <v/>
      </c>
      <c r="J342" s="935" t="inlineStr">
        <is>
          <t>T6.5 Demon Gene Research</t>
        </is>
      </c>
      <c r="K342" s="669" t="n"/>
      <c r="L342" s="669" t="n"/>
      <c r="M342" s="669" t="n"/>
      <c r="N342" s="669" t="n"/>
      <c r="O342" s="669" t="n"/>
      <c r="P342" s="669" t="n"/>
      <c r="Q342" s="669" t="n"/>
      <c r="R342" s="669" t="n"/>
      <c r="S342" s="669" t="n"/>
      <c r="T342" s="669" t="n"/>
      <c r="U342" s="669" t="n"/>
      <c r="V342" s="669" t="n"/>
      <c r="W342" s="669" t="n"/>
      <c r="X342" s="669" t="n"/>
      <c r="Y342" s="669" t="n"/>
      <c r="Z342" s="669" t="n"/>
    </row>
    <row r="343">
      <c r="A343" s="246" t="inlineStr">
        <is>
          <t>Isabella I Portrait</t>
        </is>
      </c>
      <c r="B343" s="1037" t="inlineStr">
        <is>
          <t>SSS</t>
        </is>
      </c>
      <c r="C343" s="1037" t="inlineStr">
        <is>
          <t>CIV</t>
        </is>
      </c>
      <c r="D343" s="209" t="n"/>
      <c r="E343" s="209" t="n"/>
      <c r="F343" s="268" t="n">
        <v>12</v>
      </c>
      <c r="G343" s="209" t="n"/>
      <c r="H343" s="209" t="n"/>
      <c r="I343" s="269" t="n"/>
      <c r="J343" s="190" t="inlineStr">
        <is>
          <t>Unknown</t>
        </is>
      </c>
      <c r="K343" s="669" t="n"/>
      <c r="L343" s="669" t="n"/>
      <c r="M343" s="669" t="n"/>
      <c r="N343" s="669" t="n"/>
      <c r="O343" s="669" t="n"/>
      <c r="P343" s="669" t="n"/>
      <c r="Q343" s="669" t="n"/>
      <c r="R343" s="669" t="n"/>
      <c r="S343" s="669" t="n"/>
      <c r="T343" s="669" t="n"/>
      <c r="U343" s="669" t="n"/>
      <c r="V343" s="669" t="n"/>
      <c r="W343" s="669" t="n"/>
      <c r="X343" s="669" t="n"/>
      <c r="Y343" s="669" t="n"/>
      <c r="Z343" s="669" t="n"/>
    </row>
    <row r="344">
      <c r="A344" s="246" t="inlineStr">
        <is>
          <t>The Prince</t>
        </is>
      </c>
      <c r="B344" s="1037" t="inlineStr">
        <is>
          <t>SSS</t>
        </is>
      </c>
      <c r="C344" s="1037" t="inlineStr">
        <is>
          <t>FAME</t>
        </is>
      </c>
      <c r="D344" s="209" t="n"/>
      <c r="E344" s="209" t="n"/>
      <c r="F344" s="268" t="n">
        <v>12</v>
      </c>
      <c r="G344" s="209" t="n"/>
      <c r="H344" s="209" t="n"/>
      <c r="I344" s="269" t="n"/>
      <c r="J344" s="935" t="inlineStr">
        <is>
          <t>Lottery Machine #2 (0.12%)</t>
        </is>
      </c>
      <c r="K344" s="669" t="n"/>
      <c r="L344" s="669" t="n"/>
      <c r="M344" s="669" t="n"/>
      <c r="N344" s="669" t="n"/>
      <c r="O344" s="669" t="n"/>
      <c r="P344" s="669" t="n"/>
      <c r="Q344" s="669" t="n"/>
      <c r="R344" s="669" t="n"/>
      <c r="S344" s="669" t="n"/>
      <c r="T344" s="669" t="n"/>
      <c r="U344" s="669" t="n"/>
      <c r="V344" s="669" t="n"/>
      <c r="W344" s="669" t="n"/>
      <c r="X344" s="669" t="n"/>
      <c r="Y344" s="669" t="n"/>
      <c r="Z344" s="669" t="n"/>
    </row>
    <row r="345">
      <c r="A345" s="507" t="inlineStr">
        <is>
          <t>Bill of Rights</t>
        </is>
      </c>
      <c r="B345" s="1037" t="inlineStr">
        <is>
          <t>SSS</t>
        </is>
      </c>
      <c r="C345" s="1037" t="inlineStr">
        <is>
          <t>FAME</t>
        </is>
      </c>
      <c r="D345" s="934" t="n"/>
      <c r="E345" s="934" t="n"/>
      <c r="F345" s="267" t="n">
        <v>12</v>
      </c>
      <c r="G345" s="934" t="n"/>
      <c r="H345" s="934" t="n"/>
      <c r="I345" s="270" t="n"/>
      <c r="J345" s="935" t="inlineStr">
        <is>
          <t>Daily Silver Pack Relic #8</t>
        </is>
      </c>
      <c r="K345" s="669" t="n"/>
      <c r="L345" s="669" t="n"/>
      <c r="M345" s="669" t="n"/>
      <c r="N345" s="669" t="n"/>
      <c r="O345" s="669" t="n"/>
      <c r="P345" s="669" t="n"/>
      <c r="Q345" s="669" t="n"/>
      <c r="R345" s="669" t="n"/>
      <c r="S345" s="669" t="n"/>
      <c r="T345" s="669" t="n"/>
      <c r="U345" s="669" t="n"/>
      <c r="V345" s="669" t="n"/>
      <c r="W345" s="669" t="n"/>
      <c r="X345" s="669" t="n"/>
      <c r="Y345" s="669" t="n"/>
      <c r="Z345" s="669" t="n"/>
    </row>
    <row r="346">
      <c r="A346" s="246" t="inlineStr">
        <is>
          <t>Le Verrier's Scripts</t>
        </is>
      </c>
      <c r="B346" s="1037" t="inlineStr">
        <is>
          <t>AAA</t>
        </is>
      </c>
      <c r="C346" s="1037" t="inlineStr">
        <is>
          <t>TECH</t>
        </is>
      </c>
      <c r="D346" s="209" t="n"/>
      <c r="E346" s="209" t="n"/>
      <c r="F346" s="268" t="n">
        <v>9</v>
      </c>
      <c r="G346" s="209" t="n"/>
      <c r="H346" s="209" t="n"/>
      <c r="I346" s="269" t="n"/>
      <c r="J346" s="256" t="inlineStr">
        <is>
          <t>Lottery Machine #2 (?%)</t>
        </is>
      </c>
      <c r="K346" s="669" t="n"/>
      <c r="L346" s="669" t="n"/>
      <c r="M346" s="669" t="n"/>
      <c r="N346" s="669" t="n"/>
      <c r="O346" s="669" t="n"/>
      <c r="P346" s="669" t="n"/>
      <c r="Q346" s="669" t="n"/>
      <c r="R346" s="669" t="n"/>
      <c r="S346" s="669" t="n"/>
      <c r="T346" s="669" t="n"/>
      <c r="U346" s="669" t="n"/>
      <c r="V346" s="669" t="n"/>
      <c r="W346" s="669" t="n"/>
      <c r="X346" s="669" t="n"/>
      <c r="Y346" s="669" t="n"/>
      <c r="Z346" s="669" t="n"/>
    </row>
    <row r="347">
      <c r="A347" s="507" t="inlineStr">
        <is>
          <t>Murders in Rue Morgue</t>
        </is>
      </c>
      <c r="B347" s="1037" t="inlineStr">
        <is>
          <t>Blue</t>
        </is>
      </c>
      <c r="C347" s="1037" t="inlineStr">
        <is>
          <t>FAME</t>
        </is>
      </c>
      <c r="D347" s="934" t="n"/>
      <c r="E347" s="934" t="n"/>
      <c r="F347" s="479" t="n">
        <v>5</v>
      </c>
      <c r="G347" s="479" t="n">
        <v>5</v>
      </c>
      <c r="H347" s="934" t="n"/>
      <c r="I347" s="934" t="n"/>
      <c r="J347" s="935" t="n"/>
      <c r="K347" s="669" t="n"/>
      <c r="L347" s="669" t="n"/>
      <c r="M347" s="669" t="n"/>
      <c r="N347" s="669" t="n"/>
      <c r="O347" s="669" t="n"/>
      <c r="P347" s="669" t="n"/>
      <c r="Q347" s="669" t="n"/>
      <c r="R347" s="669" t="n"/>
      <c r="S347" s="669" t="n"/>
      <c r="T347" s="669" t="n"/>
      <c r="U347" s="669" t="n"/>
      <c r="V347" s="669" t="n"/>
      <c r="W347" s="669" t="n"/>
      <c r="X347" s="669" t="n"/>
      <c r="Y347" s="669" t="n"/>
      <c r="Z347" s="669" t="n"/>
    </row>
    <row r="348">
      <c r="A348" s="257" t="n"/>
      <c r="B348" s="934" t="n"/>
      <c r="C348" s="934" t="n"/>
      <c r="D348" s="209" t="n"/>
      <c r="E348" s="209" t="n"/>
      <c r="F348" s="209" t="n"/>
      <c r="G348" s="209" t="n"/>
      <c r="H348" s="209" t="n"/>
      <c r="I348" s="209" t="n"/>
      <c r="J348" s="256" t="n"/>
      <c r="K348" s="669" t="n"/>
      <c r="L348" s="669" t="n"/>
      <c r="M348" s="669" t="n"/>
      <c r="N348" s="669" t="n"/>
      <c r="O348" s="669" t="n"/>
      <c r="P348" s="669" t="n"/>
      <c r="Q348" s="669" t="n"/>
      <c r="R348" s="669" t="n"/>
      <c r="S348" s="669" t="n"/>
      <c r="T348" s="669" t="n"/>
      <c r="U348" s="669" t="n"/>
      <c r="V348" s="669" t="n"/>
      <c r="W348" s="669" t="n"/>
      <c r="X348" s="669" t="n"/>
      <c r="Y348" s="669" t="n"/>
      <c r="Z348" s="669" t="n"/>
    </row>
    <row r="349">
      <c r="A349" s="507" t="inlineStr">
        <is>
          <t>Resonance: Blue</t>
        </is>
      </c>
      <c r="B349" s="934" t="n"/>
      <c r="C349" s="934" t="n"/>
      <c r="D349" s="479" t="n">
        <v>5</v>
      </c>
      <c r="E349" s="934" t="n"/>
      <c r="F349" s="934" t="n"/>
      <c r="G349" s="934" t="n"/>
      <c r="H349" s="479" t="n">
        <v>10</v>
      </c>
      <c r="I349" s="479">
        <f>(D349+E349)/H349</f>
        <v/>
      </c>
      <c r="J349" s="935" t="n"/>
      <c r="K349" s="669" t="n"/>
      <c r="L349" s="669" t="n"/>
      <c r="M349" s="669" t="n"/>
      <c r="N349" s="669" t="n"/>
      <c r="O349" s="669" t="n"/>
      <c r="P349" s="669" t="n"/>
      <c r="Q349" s="669" t="n"/>
      <c r="R349" s="669" t="n"/>
      <c r="S349" s="669" t="n"/>
      <c r="T349" s="669" t="n"/>
      <c r="U349" s="669" t="n"/>
      <c r="V349" s="669" t="n"/>
      <c r="W349" s="669" t="n"/>
      <c r="X349" s="669" t="n"/>
      <c r="Y349" s="669" t="n"/>
      <c r="Z349" s="669" t="n"/>
    </row>
    <row r="350">
      <c r="A350" s="246" t="inlineStr">
        <is>
          <t xml:space="preserve">  Churchill's Cigar</t>
        </is>
      </c>
      <c r="B350" s="1037" t="inlineStr">
        <is>
          <t>Blue</t>
        </is>
      </c>
      <c r="C350" s="1037" t="inlineStr">
        <is>
          <t>FAME</t>
        </is>
      </c>
      <c r="D350" s="209" t="n"/>
      <c r="E350" s="209" t="n"/>
      <c r="F350" s="209" t="n"/>
      <c r="G350" s="209" t="n"/>
      <c r="H350" s="209" t="n"/>
      <c r="I350" s="209" t="n"/>
      <c r="J350" s="256" t="inlineStr">
        <is>
          <t>Lottery Machine #1 (0.07%), Wishing (3.1%), Novice Scrolls (1%)</t>
        </is>
      </c>
      <c r="K350" s="669" t="n"/>
      <c r="L350" s="669" t="n"/>
      <c r="M350" s="669" t="n"/>
      <c r="N350" s="669" t="n"/>
      <c r="O350" s="669" t="n"/>
      <c r="P350" s="669" t="n"/>
      <c r="Q350" s="669" t="n"/>
      <c r="R350" s="669" t="n"/>
      <c r="S350" s="669" t="n"/>
      <c r="T350" s="669" t="n"/>
      <c r="U350" s="669" t="n"/>
      <c r="V350" s="669" t="n"/>
      <c r="W350" s="669" t="n"/>
      <c r="X350" s="669" t="n"/>
      <c r="Y350" s="669" t="n"/>
      <c r="Z350" s="669" t="n"/>
    </row>
    <row r="351">
      <c r="A351" s="246" t="inlineStr">
        <is>
          <t xml:space="preserve">  Franklin's Kite</t>
        </is>
      </c>
      <c r="B351" s="1037" t="inlineStr">
        <is>
          <t>Blue</t>
        </is>
      </c>
      <c r="C351" s="1037" t="inlineStr">
        <is>
          <t>FAME</t>
        </is>
      </c>
      <c r="D351" s="209" t="n"/>
      <c r="E351" s="209" t="n"/>
      <c r="F351" s="209" t="n"/>
      <c r="G351" s="209" t="n"/>
      <c r="H351" s="209" t="n"/>
      <c r="I351" s="209" t="n"/>
      <c r="J351" s="256" t="inlineStr">
        <is>
          <t>Lottery Machine #1 (0.07%), Wishing (3.1%), Murikan Treasure Map (20%), Novice Scrolls (1%)</t>
        </is>
      </c>
      <c r="K351" s="669" t="n"/>
      <c r="L351" s="669" t="n"/>
      <c r="M351" s="669" t="n"/>
      <c r="N351" s="669" t="n"/>
      <c r="O351" s="669" t="n"/>
      <c r="P351" s="669" t="n"/>
      <c r="Q351" s="669" t="n"/>
      <c r="R351" s="669" t="n"/>
      <c r="S351" s="669" t="n"/>
      <c r="T351" s="669" t="n"/>
      <c r="U351" s="669" t="n"/>
      <c r="V351" s="669" t="n"/>
      <c r="W351" s="669" t="n"/>
      <c r="X351" s="669" t="n"/>
      <c r="Y351" s="669" t="n"/>
      <c r="Z351" s="669" t="n"/>
    </row>
    <row r="352">
      <c r="A352" s="507" t="inlineStr">
        <is>
          <t>Resonance: Blue</t>
        </is>
      </c>
      <c r="B352" s="934" t="n"/>
      <c r="C352" s="934" t="n"/>
      <c r="D352" s="479" t="n">
        <v>5</v>
      </c>
      <c r="E352" s="934" t="n"/>
      <c r="F352" s="934" t="n"/>
      <c r="G352" s="934" t="n"/>
      <c r="H352" s="479" t="n">
        <v>10</v>
      </c>
      <c r="I352" s="479">
        <f>(D352+E352)/H352</f>
        <v/>
      </c>
      <c r="J352" s="935" t="n"/>
      <c r="K352" s="669" t="n"/>
      <c r="L352" s="669" t="n"/>
      <c r="M352" s="669" t="n"/>
      <c r="N352" s="669" t="n"/>
      <c r="O352" s="669" t="n"/>
      <c r="P352" s="669" t="n"/>
      <c r="Q352" s="669" t="n"/>
      <c r="R352" s="669" t="n"/>
      <c r="S352" s="669" t="n"/>
      <c r="T352" s="669" t="n"/>
      <c r="U352" s="669" t="n"/>
      <c r="V352" s="669" t="n"/>
      <c r="W352" s="669" t="n"/>
      <c r="X352" s="669" t="n"/>
      <c r="Y352" s="669" t="n"/>
      <c r="Z352" s="669" t="n"/>
    </row>
    <row r="353">
      <c r="A353" s="246" t="inlineStr">
        <is>
          <t xml:space="preserve">  San Damiano Cross</t>
        </is>
      </c>
      <c r="B353" s="1037" t="inlineStr">
        <is>
          <t>Blue</t>
        </is>
      </c>
      <c r="C353" s="1037" t="inlineStr">
        <is>
          <t>FTH</t>
        </is>
      </c>
      <c r="D353" s="209" t="n"/>
      <c r="E353" s="209" t="n"/>
      <c r="F353" s="209" t="n"/>
      <c r="G353" s="209" t="n"/>
      <c r="H353" s="209" t="n"/>
      <c r="I353" s="209" t="n"/>
      <c r="J353" s="256" t="inlineStr">
        <is>
          <t>Lottery Machine #2 (?%)</t>
        </is>
      </c>
      <c r="K353" s="669" t="n"/>
      <c r="L353" s="669" t="n"/>
      <c r="M353" s="669" t="n"/>
      <c r="N353" s="669" t="n"/>
      <c r="O353" s="669" t="n"/>
      <c r="P353" s="669" t="n"/>
      <c r="Q353" s="669" t="n"/>
      <c r="R353" s="669" t="n"/>
      <c r="S353" s="669" t="n"/>
      <c r="T353" s="669" t="n"/>
      <c r="U353" s="669" t="n"/>
      <c r="V353" s="669" t="n"/>
      <c r="W353" s="669" t="n"/>
      <c r="X353" s="669" t="n"/>
      <c r="Y353" s="669" t="n"/>
      <c r="Z353" s="669" t="n"/>
    </row>
    <row r="354">
      <c r="A354" s="507" t="inlineStr">
        <is>
          <t xml:space="preserve">  Innsmouth Statue</t>
        </is>
      </c>
      <c r="B354" s="1037" t="inlineStr">
        <is>
          <t>Blue</t>
        </is>
      </c>
      <c r="C354" s="1037" t="inlineStr">
        <is>
          <t>FTH</t>
        </is>
      </c>
      <c r="D354" s="934" t="n"/>
      <c r="E354" s="934" t="n"/>
      <c r="F354" s="934" t="n"/>
      <c r="G354" s="934" t="n"/>
      <c r="H354" s="934" t="n"/>
      <c r="I354" s="934" t="n"/>
      <c r="J354" s="935" t="inlineStr">
        <is>
          <t>Lottery Machine #2 (?%)</t>
        </is>
      </c>
      <c r="K354" s="669" t="n"/>
      <c r="L354" s="669" t="n"/>
      <c r="M354" s="669" t="n"/>
      <c r="N354" s="669" t="n"/>
      <c r="O354" s="669" t="n"/>
      <c r="P354" s="669" t="n"/>
      <c r="Q354" s="669" t="n"/>
      <c r="R354" s="669" t="n"/>
      <c r="S354" s="669" t="n"/>
      <c r="T354" s="669" t="n"/>
      <c r="U354" s="669" t="n"/>
      <c r="V354" s="669" t="n"/>
      <c r="W354" s="669" t="n"/>
      <c r="X354" s="669" t="n"/>
      <c r="Y354" s="669" t="n"/>
      <c r="Z354" s="669" t="n"/>
    </row>
    <row r="355">
      <c r="A355" s="246" t="inlineStr">
        <is>
          <t>Resonance: Purple</t>
        </is>
      </c>
      <c r="B355" s="934" t="n"/>
      <c r="C355" s="934" t="n"/>
      <c r="D355" s="209" t="n"/>
      <c r="E355" s="209" t="n"/>
      <c r="F355" s="268" t="n">
        <v>6</v>
      </c>
      <c r="G355" s="209" t="n"/>
      <c r="H355" s="209" t="n"/>
      <c r="I355" s="209" t="n"/>
      <c r="J355" s="256" t="n"/>
      <c r="K355" s="669" t="n"/>
      <c r="L355" s="669" t="n"/>
      <c r="M355" s="669" t="n"/>
      <c r="N355" s="669" t="n"/>
      <c r="O355" s="669" t="n"/>
      <c r="P355" s="669" t="n"/>
      <c r="Q355" s="669" t="n"/>
      <c r="R355" s="669" t="n"/>
      <c r="S355" s="669" t="n"/>
      <c r="T355" s="669" t="n"/>
      <c r="U355" s="669" t="n"/>
      <c r="V355" s="669" t="n"/>
      <c r="W355" s="669" t="n"/>
      <c r="X355" s="669" t="n"/>
      <c r="Y355" s="669" t="n"/>
      <c r="Z355" s="669" t="n"/>
    </row>
    <row r="356">
      <c r="A356" s="507" t="inlineStr">
        <is>
          <t xml:space="preserve">  Mother and Daughter</t>
        </is>
      </c>
      <c r="B356" s="1037" t="inlineStr">
        <is>
          <t>AA</t>
        </is>
      </c>
      <c r="C356" s="1037" t="inlineStr">
        <is>
          <t>ART</t>
        </is>
      </c>
      <c r="D356" s="934" t="n"/>
      <c r="E356" s="934" t="n"/>
      <c r="F356" s="934" t="n"/>
      <c r="G356" s="934" t="n"/>
      <c r="H356" s="934" t="n"/>
      <c r="I356" s="934" t="n"/>
      <c r="J356" s="935" t="inlineStr">
        <is>
          <t>Lottery Machine #2 (?%)</t>
        </is>
      </c>
      <c r="K356" s="669" t="n"/>
      <c r="L356" s="669" t="n"/>
      <c r="M356" s="669" t="n"/>
      <c r="N356" s="669" t="n"/>
      <c r="O356" s="669" t="n"/>
      <c r="P356" s="669" t="n"/>
      <c r="Q356" s="669" t="n"/>
      <c r="R356" s="669" t="n"/>
      <c r="S356" s="669" t="n"/>
      <c r="T356" s="669" t="n"/>
      <c r="U356" s="669" t="n"/>
      <c r="V356" s="669" t="n"/>
      <c r="W356" s="669" t="n"/>
      <c r="X356" s="669" t="n"/>
      <c r="Y356" s="669" t="n"/>
      <c r="Z356" s="669" t="n"/>
    </row>
    <row r="357">
      <c r="A357" s="246" t="inlineStr">
        <is>
          <t xml:space="preserve">  Night Bloom II</t>
        </is>
      </c>
      <c r="B357" s="1037" t="inlineStr">
        <is>
          <t>AA</t>
        </is>
      </c>
      <c r="C357" s="1037" t="inlineStr">
        <is>
          <t>ART</t>
        </is>
      </c>
      <c r="D357" s="209" t="n"/>
      <c r="E357" s="209" t="n"/>
      <c r="F357" s="209" t="n"/>
      <c r="G357" s="209" t="n"/>
      <c r="H357" s="209" t="n"/>
      <c r="I357" s="209" t="n"/>
      <c r="J357" s="256" t="inlineStr">
        <is>
          <t>Lottery Machine #2 (?%)</t>
        </is>
      </c>
      <c r="K357" s="669" t="n"/>
      <c r="L357" s="669" t="n"/>
      <c r="M357" s="669" t="n"/>
      <c r="N357" s="669" t="n"/>
      <c r="O357" s="669" t="n"/>
      <c r="P357" s="669" t="n"/>
      <c r="Q357" s="669" t="n"/>
      <c r="R357" s="669" t="n"/>
      <c r="S357" s="669" t="n"/>
      <c r="T357" s="669" t="n"/>
      <c r="U357" s="669" t="n"/>
      <c r="V357" s="669" t="n"/>
      <c r="W357" s="669" t="n"/>
      <c r="X357" s="669" t="n"/>
      <c r="Y357" s="669" t="n"/>
      <c r="Z357" s="669" t="n"/>
    </row>
    <row r="358">
      <c r="A358" s="955" t="inlineStr">
        <is>
          <t>TOTAL ATK</t>
        </is>
      </c>
      <c r="B358" s="946" t="n"/>
      <c r="C358" s="946" t="n"/>
      <c r="D358" s="946" t="n"/>
      <c r="E358" s="946" t="n"/>
      <c r="F358" s="260">
        <f>sum(F336:G357)</f>
        <v/>
      </c>
      <c r="G358" s="946" t="n"/>
      <c r="H358" s="946" t="n"/>
      <c r="I358" s="261">
        <f>sum(I336:I357)</f>
        <v/>
      </c>
      <c r="J358" s="947" t="n"/>
      <c r="K358" s="669" t="n"/>
      <c r="L358" s="669" t="n"/>
      <c r="M358" s="669" t="n"/>
      <c r="N358" s="669" t="n"/>
      <c r="O358" s="669" t="n"/>
      <c r="P358" s="669" t="n"/>
      <c r="Q358" s="669" t="n"/>
      <c r="R358" s="669" t="n"/>
      <c r="S358" s="669" t="n"/>
      <c r="T358" s="669" t="n"/>
      <c r="U358" s="669" t="n"/>
      <c r="V358" s="669" t="n"/>
      <c r="W358" s="669" t="n"/>
      <c r="X358" s="669" t="n"/>
      <c r="Y358" s="669" t="n"/>
      <c r="Z358" s="669" t="n"/>
    </row>
    <row r="359">
      <c r="A359" s="1037" t="n"/>
      <c r="B359" s="1037" t="n"/>
      <c r="C359" s="1037" t="n"/>
      <c r="D359" s="1037" t="n"/>
      <c r="E359" s="1037" t="n"/>
      <c r="F359" s="1037" t="n"/>
      <c r="G359" s="1037" t="n"/>
      <c r="H359" s="1037" t="n"/>
      <c r="I359" s="1037" t="n"/>
      <c r="J359" s="1037" t="n"/>
      <c r="K359" s="669" t="n"/>
      <c r="L359" s="669" t="n"/>
      <c r="M359" s="669" t="n"/>
      <c r="N359" s="669" t="n"/>
      <c r="O359" s="669" t="n"/>
      <c r="P359" s="669" t="n"/>
      <c r="Q359" s="669" t="n"/>
      <c r="R359" s="669" t="n"/>
      <c r="S359" s="669" t="n"/>
      <c r="T359" s="669" t="n"/>
      <c r="U359" s="669" t="n"/>
      <c r="V359" s="669" t="n"/>
      <c r="W359" s="669" t="n"/>
      <c r="X359" s="669" t="n"/>
      <c r="Y359" s="669" t="n"/>
      <c r="Z359" s="669" t="n"/>
    </row>
    <row r="360">
      <c r="A360" s="1079" t="n"/>
      <c r="B360" s="1079" t="n"/>
      <c r="C360" s="1079" t="n"/>
      <c r="D360" s="1079" t="n"/>
      <c r="E360" s="1079" t="n"/>
      <c r="F360" s="1079" t="n"/>
      <c r="G360" s="1079" t="n"/>
      <c r="H360" s="1079" t="n"/>
      <c r="I360" s="1079" t="n"/>
      <c r="J360" s="1079" t="n"/>
      <c r="K360" s="669" t="n"/>
      <c r="L360" s="669" t="n"/>
      <c r="M360" s="669" t="n"/>
      <c r="N360" s="669" t="n"/>
      <c r="O360" s="669" t="n"/>
      <c r="P360" s="669" t="n"/>
      <c r="Q360" s="669" t="n"/>
      <c r="R360" s="669" t="n"/>
      <c r="S360" s="669" t="n"/>
      <c r="T360" s="669" t="n"/>
      <c r="U360" s="669" t="n"/>
      <c r="V360" s="669" t="n"/>
      <c r="W360" s="669" t="n"/>
      <c r="X360" s="669" t="n"/>
      <c r="Y360" s="669" t="n"/>
      <c r="Z360" s="669" t="n"/>
    </row>
    <row r="361">
      <c r="A361" s="251" t="inlineStr">
        <is>
          <t>RUSH</t>
        </is>
      </c>
      <c r="B361" s="252" t="inlineStr">
        <is>
          <t>Rarity</t>
        </is>
      </c>
      <c r="C361" s="252" t="inlineStr">
        <is>
          <t>Type</t>
        </is>
      </c>
      <c r="D361" s="252" t="inlineStr">
        <is>
          <t>Base</t>
        </is>
      </c>
      <c r="E361" s="252" t="inlineStr">
        <is>
          <t>Awakening Base</t>
        </is>
      </c>
      <c r="F361" s="252" t="inlineStr">
        <is>
          <t>Percentage</t>
        </is>
      </c>
      <c r="G361" s="252" t="inlineStr">
        <is>
          <t>Awakening Percentage</t>
        </is>
      </c>
      <c r="H361" s="252" t="inlineStr">
        <is>
          <t>Per Minion</t>
        </is>
      </c>
      <c r="I361" s="252" t="inlineStr">
        <is>
          <t>Per Minion Boost</t>
        </is>
      </c>
      <c r="J361" s="253" t="inlineStr">
        <is>
          <t>Source</t>
        </is>
      </c>
      <c r="K361" s="669" t="n"/>
      <c r="L361" s="669" t="n"/>
      <c r="M361" s="669" t="n"/>
      <c r="N361" s="669" t="n"/>
      <c r="O361" s="669" t="n"/>
      <c r="P361" s="669" t="n"/>
      <c r="Q361" s="669" t="n"/>
      <c r="R361" s="669" t="n"/>
      <c r="S361" s="669" t="n"/>
      <c r="T361" s="669" t="n"/>
      <c r="U361" s="669" t="n"/>
      <c r="V361" s="669" t="n"/>
      <c r="W361" s="669" t="n"/>
      <c r="X361" s="669" t="n"/>
      <c r="Y361" s="669" t="n"/>
      <c r="Z361" s="669" t="n"/>
    </row>
    <row r="362">
      <c r="A362" s="507" t="inlineStr">
        <is>
          <t>Blood of Cain</t>
        </is>
      </c>
      <c r="B362" s="1037" t="inlineStr">
        <is>
          <t>SSS</t>
        </is>
      </c>
      <c r="C362" s="1037" t="inlineStr">
        <is>
          <t>FTH</t>
        </is>
      </c>
      <c r="D362" s="479" t="n">
        <v>90</v>
      </c>
      <c r="E362" s="934" t="n"/>
      <c r="F362" s="934" t="n"/>
      <c r="G362" s="934" t="n"/>
      <c r="H362" s="479" t="n">
        <v>60</v>
      </c>
      <c r="I362" s="479">
        <f>(D362+E362)/H362</f>
        <v/>
      </c>
      <c r="J362" s="418" t="inlineStr">
        <is>
          <t>Apocalypse Hall (Demon God Cabin) Reward</t>
        </is>
      </c>
      <c r="K362" s="669" t="n"/>
      <c r="L362" s="669" t="n"/>
      <c r="M362" s="669" t="n"/>
      <c r="N362" s="669" t="n"/>
      <c r="O362" s="669" t="n"/>
      <c r="P362" s="669" t="n"/>
      <c r="Q362" s="669" t="n"/>
      <c r="R362" s="669" t="n"/>
      <c r="S362" s="669" t="n"/>
      <c r="T362" s="669" t="n"/>
      <c r="U362" s="669" t="n"/>
      <c r="V362" s="669" t="n"/>
      <c r="W362" s="669" t="n"/>
      <c r="X362" s="669" t="n"/>
      <c r="Y362" s="669" t="n"/>
      <c r="Z362" s="669" t="n"/>
    </row>
    <row r="363">
      <c r="A363" s="246" t="inlineStr">
        <is>
          <t>St. Louisa Goblet</t>
        </is>
      </c>
      <c r="B363" s="1037" t="inlineStr">
        <is>
          <t>SSS</t>
        </is>
      </c>
      <c r="C363" s="1037" t="inlineStr">
        <is>
          <t>ART</t>
        </is>
      </c>
      <c r="D363" s="268" t="n">
        <v>90</v>
      </c>
      <c r="E363" s="209" t="n"/>
      <c r="F363" s="209" t="n"/>
      <c r="G363" s="209" t="n"/>
      <c r="H363" s="268" t="n">
        <v>60</v>
      </c>
      <c r="I363" s="210">
        <f>(D363+E363)/H363</f>
        <v/>
      </c>
      <c r="J363" s="256" t="inlineStr">
        <is>
          <t>Weekly Special Reward #2</t>
        </is>
      </c>
      <c r="K363" s="669" t="n"/>
      <c r="L363" s="669" t="n"/>
      <c r="M363" s="669" t="n"/>
      <c r="N363" s="669" t="n"/>
      <c r="O363" s="669" t="n"/>
      <c r="P363" s="669" t="n"/>
      <c r="Q363" s="669" t="n"/>
      <c r="R363" s="669" t="n"/>
      <c r="S363" s="669" t="n"/>
      <c r="T363" s="669" t="n"/>
      <c r="U363" s="669" t="n"/>
      <c r="V363" s="669" t="n"/>
      <c r="W363" s="669" t="n"/>
      <c r="X363" s="669" t="n"/>
      <c r="Y363" s="669" t="n"/>
      <c r="Z363" s="669" t="n"/>
    </row>
    <row r="364">
      <c r="A364" s="507" t="inlineStr">
        <is>
          <t>Giant Book</t>
        </is>
      </c>
      <c r="B364" s="1037" t="inlineStr">
        <is>
          <t>AAA</t>
        </is>
      </c>
      <c r="C364" s="1037" t="inlineStr">
        <is>
          <t>FAME</t>
        </is>
      </c>
      <c r="D364" s="267" t="n">
        <v>32</v>
      </c>
      <c r="E364" s="934" t="n"/>
      <c r="F364" s="934" t="n"/>
      <c r="G364" s="934" t="n"/>
      <c r="H364" s="267" t="n">
        <v>30</v>
      </c>
      <c r="I364" s="255">
        <f>(D364+E364)/H364</f>
        <v/>
      </c>
      <c r="J364" s="935" t="inlineStr">
        <is>
          <t>Lottery Machine #2 (?%)</t>
        </is>
      </c>
      <c r="K364" s="669" t="n"/>
      <c r="L364" s="669" t="n"/>
      <c r="M364" s="669" t="n"/>
      <c r="N364" s="669" t="n"/>
      <c r="O364" s="669" t="n"/>
      <c r="P364" s="669" t="n"/>
      <c r="Q364" s="669" t="n"/>
      <c r="R364" s="669" t="n"/>
      <c r="S364" s="669" t="n"/>
      <c r="T364" s="669" t="n"/>
      <c r="U364" s="669" t="n"/>
      <c r="V364" s="669" t="n"/>
      <c r="W364" s="669" t="n"/>
      <c r="X364" s="669" t="n"/>
      <c r="Y364" s="669" t="n"/>
      <c r="Z364" s="669" t="n"/>
    </row>
    <row r="365">
      <c r="A365" s="246" t="inlineStr">
        <is>
          <t>Dream Top</t>
        </is>
      </c>
      <c r="B365" s="1037" t="inlineStr">
        <is>
          <t>AAA</t>
        </is>
      </c>
      <c r="C365" s="1037" t="inlineStr">
        <is>
          <t>CIV</t>
        </is>
      </c>
      <c r="D365" s="209" t="n">
        <v>28</v>
      </c>
      <c r="E365" s="209" t="n"/>
      <c r="F365" s="268" t="n"/>
      <c r="G365" s="209" t="n"/>
      <c r="H365" s="267" t="n">
        <v>30</v>
      </c>
      <c r="I365" s="255">
        <f>(D365+E365)/H365</f>
        <v/>
      </c>
      <c r="J365" s="256" t="inlineStr">
        <is>
          <t>Fragment Crafting (1.5%), Lottery Machine #1 (0.03%), Wishing (0.14%), Time Chest (1.5%), Relic Forge (80 Relic RF)</t>
        </is>
      </c>
      <c r="K365" s="669" t="n"/>
      <c r="L365" s="669" t="n"/>
      <c r="M365" s="669" t="n"/>
      <c r="N365" s="669" t="n"/>
      <c r="O365" s="669" t="n"/>
      <c r="P365" s="669" t="n"/>
      <c r="Q365" s="669" t="n"/>
      <c r="R365" s="669" t="n"/>
      <c r="S365" s="669" t="n"/>
      <c r="T365" s="669" t="n"/>
      <c r="U365" s="669" t="n"/>
      <c r="V365" s="669" t="n"/>
      <c r="W365" s="669" t="n"/>
      <c r="X365" s="669" t="n"/>
      <c r="Y365" s="669" t="n"/>
      <c r="Z365" s="669" t="n"/>
    </row>
    <row r="366">
      <c r="A366" s="246" t="inlineStr">
        <is>
          <t>Aurelius on Horse</t>
        </is>
      </c>
      <c r="B366" s="1037" t="inlineStr">
        <is>
          <t>SSS</t>
        </is>
      </c>
      <c r="C366" s="1037" t="inlineStr">
        <is>
          <t>ART</t>
        </is>
      </c>
      <c r="D366" s="209" t="n"/>
      <c r="E366" s="209" t="n"/>
      <c r="F366" s="268" t="n">
        <v>12</v>
      </c>
      <c r="G366" s="268" t="n"/>
      <c r="H366" s="209" t="n"/>
      <c r="I366" s="209" t="n"/>
      <c r="J366" s="390" t="inlineStr">
        <is>
          <t>Unknown</t>
        </is>
      </c>
      <c r="K366" s="669" t="n"/>
      <c r="L366" s="669" t="n"/>
      <c r="M366" s="669" t="n"/>
      <c r="N366" s="669" t="n"/>
      <c r="O366" s="669" t="n"/>
      <c r="P366" s="669" t="n"/>
      <c r="Q366" s="669" t="n"/>
      <c r="R366" s="669" t="n"/>
      <c r="S366" s="669" t="n"/>
      <c r="T366" s="669" t="n"/>
      <c r="U366" s="669" t="n"/>
      <c r="V366" s="669" t="n"/>
      <c r="W366" s="669" t="n"/>
      <c r="X366" s="669" t="n"/>
      <c r="Y366" s="669" t="n"/>
      <c r="Z366" s="669" t="n"/>
    </row>
    <row r="367">
      <c r="A367" s="246" t="inlineStr">
        <is>
          <t>The Yellow Christ</t>
        </is>
      </c>
      <c r="B367" s="1037" t="inlineStr">
        <is>
          <t>SSS</t>
        </is>
      </c>
      <c r="C367" s="1037" t="inlineStr">
        <is>
          <t>ART</t>
        </is>
      </c>
      <c r="D367" s="209" t="n"/>
      <c r="E367" s="209" t="n"/>
      <c r="F367" s="268" t="n">
        <v>12</v>
      </c>
      <c r="G367" s="268" t="n"/>
      <c r="H367" s="209" t="n"/>
      <c r="I367" s="209" t="n"/>
      <c r="J367" s="390" t="inlineStr">
        <is>
          <t>Traveler's Pack Relic #12</t>
        </is>
      </c>
      <c r="K367" s="669" t="n"/>
      <c r="L367" s="669" t="n"/>
      <c r="M367" s="669" t="n"/>
      <c r="N367" s="669" t="n"/>
      <c r="O367" s="669" t="n"/>
      <c r="P367" s="669" t="n"/>
      <c r="Q367" s="669" t="n"/>
      <c r="R367" s="669" t="n"/>
      <c r="S367" s="669" t="n"/>
      <c r="T367" s="669" t="n"/>
      <c r="U367" s="669" t="n"/>
      <c r="V367" s="669" t="n"/>
      <c r="W367" s="669" t="n"/>
      <c r="X367" s="669" t="n"/>
      <c r="Y367" s="669" t="n"/>
      <c r="Z367" s="669" t="n"/>
    </row>
    <row r="368">
      <c r="A368" s="246" t="inlineStr">
        <is>
          <t>The Birth of Venus</t>
        </is>
      </c>
      <c r="B368" s="1037" t="inlineStr">
        <is>
          <t>SSS</t>
        </is>
      </c>
      <c r="C368" s="1037" t="inlineStr">
        <is>
          <t>ART</t>
        </is>
      </c>
      <c r="D368" s="209" t="n"/>
      <c r="E368" s="209" t="n"/>
      <c r="F368" s="268" t="n">
        <v>12</v>
      </c>
      <c r="G368" s="209" t="n"/>
      <c r="H368" s="209" t="n"/>
      <c r="I368" s="209" t="n"/>
      <c r="J368" s="256" t="inlineStr">
        <is>
          <t>Arbor Day Event, Lottery Machine #2 (0.11%)</t>
        </is>
      </c>
      <c r="K368" s="669" t="n"/>
      <c r="L368" s="669" t="n"/>
      <c r="M368" s="669" t="n"/>
      <c r="N368" s="669" t="n"/>
      <c r="O368" s="669" t="n"/>
      <c r="P368" s="669" t="n"/>
      <c r="Q368" s="669" t="n"/>
      <c r="R368" s="669" t="n"/>
      <c r="S368" s="669" t="n"/>
      <c r="T368" s="669" t="n"/>
      <c r="U368" s="669" t="n"/>
      <c r="V368" s="669" t="n"/>
      <c r="W368" s="669" t="n"/>
      <c r="X368" s="669" t="n"/>
      <c r="Y368" s="669" t="n"/>
      <c r="Z368" s="669" t="n"/>
    </row>
    <row r="369">
      <c r="A369" s="246" t="inlineStr">
        <is>
          <t>The Silver Key</t>
        </is>
      </c>
      <c r="B369" s="1037" t="inlineStr">
        <is>
          <t>SSS</t>
        </is>
      </c>
      <c r="C369" s="1037" t="inlineStr">
        <is>
          <t>FTH</t>
        </is>
      </c>
      <c r="D369" s="209" t="n"/>
      <c r="E369" s="209" t="n"/>
      <c r="F369" s="268" t="n">
        <v>12</v>
      </c>
      <c r="G369" s="209" t="n"/>
      <c r="H369" s="209" t="n"/>
      <c r="I369" s="209" t="n"/>
      <c r="J369" s="256" t="inlineStr">
        <is>
          <t>Rift Treasure Maps (0.01%), Lottery Machine #2 (0.12%)</t>
        </is>
      </c>
      <c r="K369" s="669" t="n"/>
      <c r="L369" s="669" t="n"/>
      <c r="M369" s="669" t="n"/>
      <c r="N369" s="669" t="n"/>
      <c r="O369" s="669" t="n"/>
      <c r="P369" s="669" t="n"/>
      <c r="Q369" s="669" t="n"/>
      <c r="R369" s="669" t="n"/>
      <c r="S369" s="669" t="n"/>
      <c r="T369" s="669" t="n"/>
      <c r="U369" s="669" t="n"/>
      <c r="V369" s="669" t="n"/>
      <c r="W369" s="669" t="n"/>
      <c r="X369" s="669" t="n"/>
      <c r="Y369" s="669" t="n"/>
      <c r="Z369" s="669" t="n"/>
    </row>
    <row r="370">
      <c r="A370" s="246" t="inlineStr">
        <is>
          <t>Premonition of Civil War</t>
        </is>
      </c>
      <c r="B370" s="1037" t="inlineStr">
        <is>
          <t>SS</t>
        </is>
      </c>
      <c r="C370" s="1037" t="inlineStr">
        <is>
          <t>ART</t>
        </is>
      </c>
      <c r="D370" s="209" t="n"/>
      <c r="E370" s="209" t="n"/>
      <c r="F370" s="268" t="n">
        <v>11</v>
      </c>
      <c r="G370" s="268" t="n"/>
      <c r="H370" s="209" t="n"/>
      <c r="I370" s="209" t="n"/>
      <c r="J370" s="390" t="inlineStr">
        <is>
          <t>Lottery Machine #3 (?%)</t>
        </is>
      </c>
      <c r="K370" s="669" t="n"/>
      <c r="L370" s="669" t="n"/>
      <c r="M370" s="669" t="n"/>
      <c r="N370" s="669" t="n"/>
      <c r="O370" s="669" t="n"/>
      <c r="P370" s="669" t="n"/>
      <c r="Q370" s="669" t="n"/>
      <c r="R370" s="669" t="n"/>
      <c r="S370" s="669" t="n"/>
      <c r="T370" s="669" t="n"/>
      <c r="U370" s="669" t="n"/>
      <c r="V370" s="669" t="n"/>
      <c r="W370" s="669" t="n"/>
      <c r="X370" s="669" t="n"/>
      <c r="Y370" s="669" t="n"/>
      <c r="Z370" s="669" t="n"/>
    </row>
    <row r="371">
      <c r="A371" s="246" t="inlineStr">
        <is>
          <t>Agamemnon Ambdassadors</t>
        </is>
      </c>
      <c r="B371" s="1037" t="inlineStr">
        <is>
          <t>Blue</t>
        </is>
      </c>
      <c r="C371" s="1037" t="inlineStr">
        <is>
          <t>ART</t>
        </is>
      </c>
      <c r="D371" s="209" t="n"/>
      <c r="E371" s="209" t="n"/>
      <c r="F371" s="268" t="n">
        <v>5</v>
      </c>
      <c r="G371" s="268" t="n">
        <v>5</v>
      </c>
      <c r="H371" s="209" t="n"/>
      <c r="I371" s="209" t="n"/>
      <c r="J371" s="390" t="inlineStr">
        <is>
          <t>Lottery Machine #3 (?%)</t>
        </is>
      </c>
      <c r="K371" s="669" t="n"/>
      <c r="L371" s="669" t="n"/>
      <c r="M371" s="669" t="n"/>
      <c r="N371" s="669" t="n"/>
      <c r="O371" s="669" t="n"/>
      <c r="P371" s="669" t="n"/>
      <c r="Q371" s="669" t="n"/>
      <c r="R371" s="669" t="n"/>
      <c r="S371" s="669" t="n"/>
      <c r="T371" s="669" t="n"/>
      <c r="U371" s="669" t="n"/>
      <c r="V371" s="669" t="n"/>
      <c r="W371" s="669" t="n"/>
      <c r="X371" s="669" t="n"/>
      <c r="Y371" s="669" t="n"/>
      <c r="Z371" s="669" t="n"/>
    </row>
    <row r="372">
      <c r="A372" s="246" t="inlineStr">
        <is>
          <t>Silver Stag Vessel</t>
        </is>
      </c>
      <c r="B372" s="1037" t="inlineStr">
        <is>
          <t>Blue</t>
        </is>
      </c>
      <c r="C372" s="1037" t="inlineStr">
        <is>
          <t>ART</t>
        </is>
      </c>
      <c r="D372" s="209" t="n"/>
      <c r="E372" s="209" t="n"/>
      <c r="F372" s="268" t="n">
        <v>5</v>
      </c>
      <c r="G372" s="268" t="n">
        <v>5</v>
      </c>
      <c r="H372" s="209" t="n"/>
      <c r="I372" s="209" t="n"/>
      <c r="J372" s="256" t="inlineStr">
        <is>
          <t>Lottery Machine #2 (?%)</t>
        </is>
      </c>
      <c r="K372" s="669" t="n"/>
      <c r="L372" s="669" t="n"/>
      <c r="M372" s="669" t="n"/>
      <c r="N372" s="669" t="n"/>
      <c r="O372" s="669" t="n"/>
      <c r="P372" s="669" t="n"/>
      <c r="Q372" s="669" t="n"/>
      <c r="R372" s="669" t="n"/>
      <c r="S372" s="669" t="n"/>
      <c r="T372" s="669" t="n"/>
      <c r="U372" s="669" t="n"/>
      <c r="V372" s="669" t="n"/>
      <c r="W372" s="669" t="n"/>
      <c r="X372" s="669" t="n"/>
      <c r="Y372" s="669" t="n"/>
      <c r="Z372" s="669" t="n"/>
    </row>
    <row r="373">
      <c r="A373" s="933" t="n"/>
      <c r="B373" s="1037" t="n"/>
      <c r="C373" s="934" t="n"/>
      <c r="D373" s="934" t="n"/>
      <c r="E373" s="934" t="n"/>
      <c r="F373" s="934" t="n"/>
      <c r="G373" s="934" t="n"/>
      <c r="H373" s="934" t="n"/>
      <c r="I373" s="934" t="n"/>
      <c r="J373" s="935" t="n"/>
      <c r="K373" s="669" t="n"/>
      <c r="L373" s="669" t="n"/>
      <c r="M373" s="669" t="n"/>
      <c r="N373" s="669" t="n"/>
      <c r="O373" s="669" t="n"/>
      <c r="P373" s="669" t="n"/>
      <c r="Q373" s="669" t="n"/>
      <c r="R373" s="669" t="n"/>
      <c r="S373" s="669" t="n"/>
      <c r="T373" s="669" t="n"/>
      <c r="U373" s="669" t="n"/>
      <c r="V373" s="669" t="n"/>
      <c r="W373" s="669" t="n"/>
      <c r="X373" s="669" t="n"/>
      <c r="Y373" s="669" t="n"/>
      <c r="Z373" s="669" t="n"/>
    </row>
    <row r="374">
      <c r="A374" s="246" t="inlineStr">
        <is>
          <t>Resonance: Blue</t>
        </is>
      </c>
      <c r="B374" s="209" t="n"/>
      <c r="C374" s="934" t="n"/>
      <c r="D374" s="210" t="n">
        <v>5</v>
      </c>
      <c r="E374" s="209" t="n"/>
      <c r="F374" s="209" t="n"/>
      <c r="G374" s="209" t="n"/>
      <c r="H374" s="210" t="n">
        <v>10</v>
      </c>
      <c r="I374" s="210">
        <f>(D374+E374)/H374</f>
        <v/>
      </c>
      <c r="J374" s="256" t="n"/>
      <c r="K374" s="669" t="n"/>
      <c r="L374" s="669" t="n"/>
      <c r="M374" s="669" t="n"/>
      <c r="N374" s="669" t="n"/>
      <c r="O374" s="669" t="n"/>
      <c r="P374" s="669" t="n"/>
      <c r="Q374" s="669" t="n"/>
      <c r="R374" s="669" t="n"/>
      <c r="S374" s="669" t="n"/>
      <c r="T374" s="669" t="n"/>
      <c r="U374" s="669" t="n"/>
      <c r="V374" s="669" t="n"/>
      <c r="W374" s="669" t="n"/>
      <c r="X374" s="669" t="n"/>
      <c r="Y374" s="669" t="n"/>
      <c r="Z374" s="669" t="n"/>
    </row>
    <row r="375">
      <c r="A375" s="507" t="inlineStr">
        <is>
          <t xml:space="preserve">  Hunter's Suitcase</t>
        </is>
      </c>
      <c r="B375" s="1037" t="inlineStr">
        <is>
          <t>Blue</t>
        </is>
      </c>
      <c r="C375" s="1037" t="inlineStr">
        <is>
          <t>CIV</t>
        </is>
      </c>
      <c r="D375" s="934" t="n"/>
      <c r="E375" s="934" t="n"/>
      <c r="F375" s="934" t="n"/>
      <c r="G375" s="934" t="n"/>
      <c r="H375" s="934" t="n"/>
      <c r="I375" s="934" t="n"/>
      <c r="J375" s="935" t="inlineStr">
        <is>
          <t>Lottery Machine #2 (?%)</t>
        </is>
      </c>
      <c r="K375" s="669" t="n"/>
      <c r="L375" s="669" t="n"/>
      <c r="M375" s="669" t="n"/>
      <c r="N375" s="669" t="n"/>
      <c r="O375" s="669" t="n"/>
      <c r="P375" s="669" t="n"/>
      <c r="Q375" s="669" t="n"/>
      <c r="R375" s="669" t="n"/>
      <c r="S375" s="669" t="n"/>
      <c r="T375" s="669" t="n"/>
      <c r="U375" s="669" t="n"/>
      <c r="V375" s="669" t="n"/>
      <c r="W375" s="669" t="n"/>
      <c r="X375" s="669" t="n"/>
      <c r="Y375" s="669" t="n"/>
      <c r="Z375" s="669" t="n"/>
    </row>
    <row r="376">
      <c r="A376" s="246" t="inlineStr">
        <is>
          <t xml:space="preserve">  1900's Vinyl Record</t>
        </is>
      </c>
      <c r="B376" s="1037" t="inlineStr">
        <is>
          <t>Blue</t>
        </is>
      </c>
      <c r="C376" s="1037" t="inlineStr">
        <is>
          <t>CIV</t>
        </is>
      </c>
      <c r="D376" s="209" t="n"/>
      <c r="E376" s="209" t="n"/>
      <c r="F376" s="209" t="n"/>
      <c r="G376" s="209" t="n"/>
      <c r="H376" s="209" t="n"/>
      <c r="I376" s="209" t="n"/>
      <c r="J376" s="256" t="inlineStr">
        <is>
          <t>Lottery Machine #2 (?%)</t>
        </is>
      </c>
      <c r="K376" s="669" t="n"/>
      <c r="L376" s="669" t="n"/>
      <c r="M376" s="669" t="n"/>
      <c r="N376" s="669" t="n"/>
      <c r="O376" s="669" t="n"/>
      <c r="P376" s="669" t="n"/>
      <c r="Q376" s="669" t="n"/>
      <c r="R376" s="669" t="n"/>
      <c r="S376" s="669" t="n"/>
      <c r="T376" s="669" t="n"/>
      <c r="U376" s="669" t="n"/>
      <c r="V376" s="669" t="n"/>
      <c r="W376" s="669" t="n"/>
      <c r="X376" s="669" t="n"/>
      <c r="Y376" s="669" t="n"/>
      <c r="Z376" s="669" t="n"/>
    </row>
    <row r="377">
      <c r="A377" s="507" t="inlineStr">
        <is>
          <t>Resonance: Purple</t>
        </is>
      </c>
      <c r="B377" s="934" t="n"/>
      <c r="C377" s="934" t="n"/>
      <c r="D377" s="934" t="n"/>
      <c r="E377" s="934" t="n"/>
      <c r="F377" s="479" t="n">
        <v>6</v>
      </c>
      <c r="G377" s="934" t="n"/>
      <c r="H377" s="934" t="n"/>
      <c r="I377" s="934" t="n"/>
      <c r="J377" s="935" t="n"/>
      <c r="K377" s="669" t="n"/>
      <c r="L377" s="669" t="n"/>
      <c r="M377" s="669" t="n"/>
      <c r="N377" s="669" t="n"/>
      <c r="O377" s="669" t="n"/>
      <c r="P377" s="669" t="n"/>
      <c r="Q377" s="669" t="n"/>
      <c r="R377" s="669" t="n"/>
      <c r="S377" s="669" t="n"/>
      <c r="T377" s="669" t="n"/>
      <c r="U377" s="669" t="n"/>
      <c r="V377" s="669" t="n"/>
      <c r="W377" s="669" t="n"/>
      <c r="X377" s="669" t="n"/>
      <c r="Y377" s="669" t="n"/>
      <c r="Z377" s="669" t="n"/>
    </row>
    <row r="378">
      <c r="A378" s="246" t="inlineStr">
        <is>
          <t xml:space="preserve">  Book of Shadows</t>
        </is>
      </c>
      <c r="B378" s="1037" t="inlineStr">
        <is>
          <t>AAA</t>
        </is>
      </c>
      <c r="C378" s="1037" t="inlineStr">
        <is>
          <t>FTH</t>
        </is>
      </c>
      <c r="D378" s="209" t="n"/>
      <c r="E378" s="209" t="n"/>
      <c r="F378" s="209" t="n"/>
      <c r="G378" s="209" t="n"/>
      <c r="H378" s="209" t="n"/>
      <c r="I378" s="209" t="n"/>
      <c r="J378" s="256" t="inlineStr">
        <is>
          <t>Lottery Machine #2 (?%)</t>
        </is>
      </c>
      <c r="K378" s="669" t="n"/>
      <c r="L378" s="669" t="n"/>
      <c r="M378" s="669" t="n"/>
      <c r="N378" s="669" t="n"/>
      <c r="O378" s="669" t="n"/>
      <c r="P378" s="669" t="n"/>
      <c r="Q378" s="669" t="n"/>
      <c r="R378" s="669" t="n"/>
      <c r="S378" s="669" t="n"/>
      <c r="T378" s="669" t="n"/>
      <c r="U378" s="669" t="n"/>
      <c r="V378" s="669" t="n"/>
      <c r="W378" s="669" t="n"/>
      <c r="X378" s="669" t="n"/>
      <c r="Y378" s="669" t="n"/>
      <c r="Z378" s="669" t="n"/>
    </row>
    <row r="379">
      <c r="A379" s="507" t="inlineStr">
        <is>
          <t xml:space="preserve">  Giant Book</t>
        </is>
      </c>
      <c r="B379" s="1037" t="inlineStr">
        <is>
          <t>AAA</t>
        </is>
      </c>
      <c r="C379" s="1037" t="inlineStr">
        <is>
          <t>FTH</t>
        </is>
      </c>
      <c r="D379" s="934" t="n"/>
      <c r="E379" s="934" t="n"/>
      <c r="F379" s="934" t="n"/>
      <c r="G379" s="934" t="n"/>
      <c r="H379" s="934" t="n"/>
      <c r="I379" s="934" t="n"/>
      <c r="J379" s="935" t="inlineStr">
        <is>
          <t>Lottery Machine #2 (?%)</t>
        </is>
      </c>
      <c r="K379" s="669" t="n"/>
      <c r="L379" s="669" t="n"/>
      <c r="M379" s="669" t="n"/>
      <c r="N379" s="669" t="n"/>
      <c r="O379" s="669" t="n"/>
      <c r="P379" s="669" t="n"/>
      <c r="Q379" s="669" t="n"/>
      <c r="R379" s="669" t="n"/>
      <c r="S379" s="669" t="n"/>
      <c r="T379" s="669" t="n"/>
      <c r="U379" s="669" t="n"/>
      <c r="V379" s="669" t="n"/>
      <c r="W379" s="669" t="n"/>
      <c r="X379" s="669" t="n"/>
      <c r="Y379" s="669" t="n"/>
      <c r="Z379" s="669" t="n"/>
    </row>
    <row r="380">
      <c r="A380" s="272" t="inlineStr">
        <is>
          <t>TOTAL RUSH</t>
        </is>
      </c>
      <c r="B380" s="214" t="n"/>
      <c r="C380" s="214" t="n"/>
      <c r="D380" s="214" t="n"/>
      <c r="E380" s="214" t="n"/>
      <c r="F380" s="215">
        <f>sum(F362:G379)</f>
        <v/>
      </c>
      <c r="G380" s="214" t="n"/>
      <c r="H380" s="214" t="n"/>
      <c r="I380" s="215">
        <f>sum(I362:I379)</f>
        <v/>
      </c>
      <c r="J380" s="216" t="n"/>
      <c r="K380" s="669" t="n"/>
      <c r="L380" s="669" t="n"/>
      <c r="M380" s="669" t="n"/>
      <c r="N380" s="669" t="n"/>
      <c r="O380" s="669" t="n"/>
      <c r="P380" s="669" t="n"/>
      <c r="Q380" s="669" t="n"/>
      <c r="R380" s="669" t="n"/>
      <c r="S380" s="669" t="n"/>
      <c r="T380" s="669" t="n"/>
      <c r="U380" s="669" t="n"/>
      <c r="V380" s="669" t="n"/>
      <c r="W380" s="669" t="n"/>
      <c r="X380" s="669" t="n"/>
      <c r="Y380" s="669" t="n"/>
      <c r="Z380" s="669" t="n"/>
    </row>
    <row r="381">
      <c r="A381" s="1037" t="n"/>
      <c r="B381" s="1037" t="n"/>
      <c r="C381" s="1037" t="n"/>
      <c r="D381" s="1037" t="n"/>
      <c r="E381" s="1037" t="n"/>
      <c r="F381" s="1037" t="n"/>
      <c r="G381" s="1037" t="n"/>
      <c r="H381" s="1037" t="n"/>
      <c r="I381" s="1037" t="n"/>
      <c r="J381" s="1037" t="n"/>
      <c r="K381" s="669" t="n"/>
      <c r="L381" s="669" t="n"/>
      <c r="M381" s="669" t="n"/>
      <c r="N381" s="669" t="n"/>
      <c r="O381" s="669" t="n"/>
      <c r="P381" s="669" t="n"/>
      <c r="Q381" s="669" t="n"/>
      <c r="R381" s="669" t="n"/>
      <c r="S381" s="669" t="n"/>
      <c r="T381" s="669" t="n"/>
      <c r="U381" s="669" t="n"/>
      <c r="V381" s="669" t="n"/>
      <c r="W381" s="669" t="n"/>
      <c r="X381" s="669" t="n"/>
      <c r="Y381" s="669" t="n"/>
      <c r="Z381" s="669" t="n"/>
    </row>
    <row r="382">
      <c r="A382" s="1079" t="n"/>
      <c r="B382" s="1079" t="n"/>
      <c r="C382" s="1079" t="n"/>
      <c r="D382" s="1079" t="n"/>
      <c r="E382" s="1079" t="n"/>
      <c r="F382" s="1079" t="n"/>
      <c r="G382" s="1079" t="n"/>
      <c r="H382" s="1079" t="n"/>
      <c r="I382" s="1079" t="n"/>
      <c r="J382" s="1079" t="n"/>
      <c r="K382" s="669" t="n"/>
      <c r="L382" s="669" t="n"/>
      <c r="M382" s="669" t="n"/>
      <c r="N382" s="669" t="n"/>
      <c r="O382" s="669" t="n"/>
      <c r="P382" s="669" t="n"/>
      <c r="Q382" s="669" t="n"/>
      <c r="R382" s="669" t="n"/>
      <c r="S382" s="669" t="n"/>
      <c r="T382" s="669" t="n"/>
      <c r="U382" s="669" t="n"/>
      <c r="V382" s="669" t="n"/>
      <c r="W382" s="669" t="n"/>
      <c r="X382" s="669" t="n"/>
      <c r="Y382" s="669" t="n"/>
      <c r="Z382" s="669" t="n"/>
    </row>
    <row r="383">
      <c r="A383" s="273" t="inlineStr">
        <is>
          <t>DEF</t>
        </is>
      </c>
      <c r="B383" s="274" t="inlineStr">
        <is>
          <t>Rarity</t>
        </is>
      </c>
      <c r="C383" s="274" t="inlineStr">
        <is>
          <t>Type</t>
        </is>
      </c>
      <c r="D383" s="274" t="inlineStr">
        <is>
          <t>Base</t>
        </is>
      </c>
      <c r="E383" s="274" t="inlineStr">
        <is>
          <t>Awakening Base</t>
        </is>
      </c>
      <c r="F383" s="274" t="inlineStr">
        <is>
          <t>Percentage</t>
        </is>
      </c>
      <c r="G383" s="274" t="inlineStr">
        <is>
          <t>Awakening Percentage</t>
        </is>
      </c>
      <c r="H383" s="274" t="inlineStr">
        <is>
          <t>Per Minion</t>
        </is>
      </c>
      <c r="I383" s="274" t="inlineStr">
        <is>
          <t>Per Minion Boost</t>
        </is>
      </c>
      <c r="J383" s="275" t="inlineStr">
        <is>
          <t>Source</t>
        </is>
      </c>
      <c r="K383" s="669" t="n"/>
      <c r="L383" s="669" t="n"/>
      <c r="M383" s="669" t="n"/>
      <c r="N383" s="669" t="n"/>
      <c r="O383" s="669" t="n"/>
      <c r="P383" s="669" t="n"/>
      <c r="Q383" s="669" t="n"/>
      <c r="R383" s="669" t="n"/>
      <c r="S383" s="669" t="n"/>
      <c r="T383" s="669" t="n"/>
      <c r="U383" s="669" t="n"/>
      <c r="V383" s="669" t="n"/>
      <c r="W383" s="669" t="n"/>
      <c r="X383" s="669" t="n"/>
      <c r="Y383" s="669" t="n"/>
      <c r="Z383" s="669" t="n"/>
    </row>
    <row r="384">
      <c r="A384" s="507" t="inlineStr">
        <is>
          <t>Fallen Lucifer</t>
        </is>
      </c>
      <c r="B384" s="1037" t="inlineStr">
        <is>
          <t>AAA</t>
        </is>
      </c>
      <c r="C384" s="1037" t="inlineStr">
        <is>
          <t>FTH</t>
        </is>
      </c>
      <c r="D384" s="267" t="n">
        <v>28</v>
      </c>
      <c r="E384" s="267" t="n">
        <v>28</v>
      </c>
      <c r="F384" s="934" t="n"/>
      <c r="G384" s="934" t="n"/>
      <c r="H384" s="267" t="n">
        <v>30</v>
      </c>
      <c r="I384" s="255">
        <f>(D384+E384)/H384</f>
        <v/>
      </c>
      <c r="J384" s="935" t="inlineStr">
        <is>
          <t>T6.5 Demon Gene Research</t>
        </is>
      </c>
      <c r="K384" s="669" t="n"/>
      <c r="L384" s="669" t="n"/>
      <c r="M384" s="669" t="n"/>
      <c r="N384" s="669" t="n"/>
      <c r="O384" s="669" t="n"/>
      <c r="P384" s="669" t="n"/>
      <c r="Q384" s="669" t="n"/>
      <c r="R384" s="669" t="n"/>
      <c r="S384" s="669" t="n"/>
      <c r="T384" s="669" t="n"/>
      <c r="U384" s="669" t="n"/>
      <c r="V384" s="669" t="n"/>
      <c r="W384" s="669" t="n"/>
      <c r="X384" s="669" t="n"/>
      <c r="Y384" s="669" t="n"/>
      <c r="Z384" s="669" t="n"/>
    </row>
    <row r="385">
      <c r="A385" s="246" t="inlineStr">
        <is>
          <t>The Key of Solomon</t>
        </is>
      </c>
      <c r="B385" s="1037" t="inlineStr">
        <is>
          <t>SSS</t>
        </is>
      </c>
      <c r="C385" s="1037" t="inlineStr">
        <is>
          <t>FTH</t>
        </is>
      </c>
      <c r="D385" s="210" t="n">
        <v>90</v>
      </c>
      <c r="E385" s="209" t="n"/>
      <c r="F385" s="209" t="n"/>
      <c r="G385" s="209" t="n"/>
      <c r="H385" s="210" t="n">
        <v>60</v>
      </c>
      <c r="I385" s="210">
        <f>(D385+E385)/H385</f>
        <v/>
      </c>
      <c r="J385" s="256" t="inlineStr">
        <is>
          <t>T7.5 Demon Gene Research</t>
        </is>
      </c>
      <c r="K385" s="669" t="n"/>
      <c r="L385" s="669" t="n"/>
      <c r="M385" s="669" t="n"/>
      <c r="N385" s="669" t="n"/>
      <c r="O385" s="669" t="n"/>
      <c r="P385" s="669" t="n"/>
      <c r="Q385" s="669" t="n"/>
      <c r="R385" s="669" t="n"/>
      <c r="S385" s="669" t="n"/>
      <c r="T385" s="669" t="n"/>
      <c r="U385" s="669" t="n"/>
      <c r="V385" s="669" t="n"/>
      <c r="W385" s="669" t="n"/>
      <c r="X385" s="669" t="n"/>
      <c r="Y385" s="669" t="n"/>
      <c r="Z385" s="669" t="n"/>
    </row>
    <row r="386">
      <c r="A386" s="246" t="inlineStr">
        <is>
          <t>Night Bloom II</t>
        </is>
      </c>
      <c r="B386" s="1037" t="inlineStr">
        <is>
          <t>AA</t>
        </is>
      </c>
      <c r="C386" s="1037" t="inlineStr">
        <is>
          <t>ART</t>
        </is>
      </c>
      <c r="D386" s="209" t="n">
        <v>32</v>
      </c>
      <c r="E386" s="209" t="n"/>
      <c r="F386" s="268" t="n"/>
      <c r="G386" s="209" t="n"/>
      <c r="H386" s="267" t="n">
        <v>30</v>
      </c>
      <c r="I386" s="255">
        <f>(D386+E386)/H386</f>
        <v/>
      </c>
      <c r="J386" s="256" t="inlineStr">
        <is>
          <t>Lottery Machine #2 (?%)</t>
        </is>
      </c>
      <c r="K386" s="669" t="n"/>
      <c r="L386" s="669" t="n"/>
      <c r="M386" s="669" t="n"/>
      <c r="N386" s="669" t="n"/>
      <c r="O386" s="669" t="n"/>
      <c r="P386" s="669" t="n"/>
      <c r="Q386" s="669" t="n"/>
      <c r="R386" s="669" t="n"/>
      <c r="S386" s="669" t="n"/>
      <c r="T386" s="669" t="n"/>
      <c r="U386" s="669" t="n"/>
      <c r="V386" s="669" t="n"/>
      <c r="W386" s="669" t="n"/>
      <c r="X386" s="669" t="n"/>
      <c r="Y386" s="669" t="n"/>
      <c r="Z386" s="669" t="n"/>
    </row>
    <row r="387">
      <c r="A387" s="246" t="inlineStr">
        <is>
          <t>Persistence of Memory</t>
        </is>
      </c>
      <c r="B387" s="1037" t="inlineStr">
        <is>
          <t>SS</t>
        </is>
      </c>
      <c r="C387" s="1037" t="inlineStr">
        <is>
          <t>ART</t>
        </is>
      </c>
      <c r="D387" s="209" t="n"/>
      <c r="E387" s="209" t="n"/>
      <c r="F387" s="268" t="n">
        <v>11</v>
      </c>
      <c r="G387" s="209" t="n"/>
      <c r="H387" s="209" t="n"/>
      <c r="I387" s="209" t="n"/>
      <c r="J387" s="390" t="inlineStr">
        <is>
          <t>Lottery Machine #3 (?%)</t>
        </is>
      </c>
      <c r="K387" s="669" t="n"/>
      <c r="L387" s="669" t="n"/>
      <c r="M387" s="669" t="n"/>
      <c r="N387" s="669" t="n"/>
      <c r="O387" s="669" t="n"/>
      <c r="P387" s="669" t="n"/>
      <c r="Q387" s="669" t="n"/>
      <c r="R387" s="669" t="n"/>
      <c r="S387" s="669" t="n"/>
      <c r="T387" s="669" t="n"/>
      <c r="U387" s="669" t="n"/>
      <c r="V387" s="669" t="n"/>
      <c r="W387" s="669" t="n"/>
      <c r="X387" s="669" t="n"/>
      <c r="Y387" s="669" t="n"/>
      <c r="Z387" s="669" t="n"/>
    </row>
    <row r="388">
      <c r="A388" s="246" t="inlineStr">
        <is>
          <t>Kojiki</t>
        </is>
      </c>
      <c r="B388" s="1037" t="inlineStr">
        <is>
          <t>SS</t>
        </is>
      </c>
      <c r="C388" s="1037" t="inlineStr">
        <is>
          <t>CIV</t>
        </is>
      </c>
      <c r="D388" s="209" t="n"/>
      <c r="E388" s="209" t="n"/>
      <c r="F388" s="268" t="n">
        <v>11</v>
      </c>
      <c r="G388" s="209" t="n"/>
      <c r="H388" s="209" t="n"/>
      <c r="I388" s="209" t="n"/>
      <c r="J388" s="256" t="inlineStr">
        <is>
          <t>Lottery Machine #2 (?%)</t>
        </is>
      </c>
      <c r="K388" s="669" t="n"/>
      <c r="L388" s="669" t="n"/>
      <c r="M388" s="669" t="n"/>
      <c r="N388" s="669" t="n"/>
      <c r="O388" s="669" t="n"/>
      <c r="P388" s="669" t="n"/>
      <c r="Q388" s="669" t="n"/>
      <c r="R388" s="669" t="n"/>
      <c r="S388" s="669" t="n"/>
      <c r="T388" s="669" t="n"/>
      <c r="U388" s="669" t="n"/>
      <c r="V388" s="669" t="n"/>
      <c r="W388" s="669" t="n"/>
      <c r="X388" s="669" t="n"/>
      <c r="Y388" s="669" t="n"/>
      <c r="Z388" s="669" t="n"/>
    </row>
    <row r="389">
      <c r="A389" s="507" t="inlineStr">
        <is>
          <t>Newton's Prism</t>
        </is>
      </c>
      <c r="B389" s="1037" t="inlineStr">
        <is>
          <t>AA</t>
        </is>
      </c>
      <c r="C389" s="1037" t="inlineStr">
        <is>
          <t>TECH</t>
        </is>
      </c>
      <c r="D389" s="934" t="n"/>
      <c r="E389" s="934" t="n"/>
      <c r="F389" s="267" t="n">
        <v>8</v>
      </c>
      <c r="G389" s="934" t="n"/>
      <c r="H389" s="934" t="n"/>
      <c r="I389" s="934" t="n"/>
      <c r="J389" s="935" t="inlineStr">
        <is>
          <t>Lottery Machine #2 (?%)</t>
        </is>
      </c>
      <c r="K389" s="669" t="n"/>
      <c r="L389" s="669" t="n"/>
      <c r="M389" s="669" t="n"/>
      <c r="N389" s="669" t="n"/>
      <c r="O389" s="669" t="n"/>
      <c r="P389" s="669" t="n"/>
      <c r="Q389" s="669" t="n"/>
      <c r="R389" s="669" t="n"/>
      <c r="S389" s="669" t="n"/>
      <c r="T389" s="669" t="n"/>
      <c r="U389" s="669" t="n"/>
      <c r="V389" s="669" t="n"/>
      <c r="W389" s="669" t="n"/>
      <c r="X389" s="669" t="n"/>
      <c r="Y389" s="669" t="n"/>
      <c r="Z389" s="669" t="n"/>
    </row>
    <row r="390">
      <c r="A390" s="246" t="inlineStr">
        <is>
          <t>Moses' Well</t>
        </is>
      </c>
      <c r="B390" s="1037" t="inlineStr">
        <is>
          <t>Blue</t>
        </is>
      </c>
      <c r="C390" s="1037" t="inlineStr">
        <is>
          <t>ART</t>
        </is>
      </c>
      <c r="D390" s="209" t="n"/>
      <c r="E390" s="209" t="n"/>
      <c r="F390" s="268" t="n">
        <v>5</v>
      </c>
      <c r="G390" s="268" t="n">
        <v>5</v>
      </c>
      <c r="H390" s="209" t="n"/>
      <c r="I390" s="209" t="n"/>
      <c r="J390" s="390" t="inlineStr">
        <is>
          <t>Lottery Machine #3 (?%)</t>
        </is>
      </c>
      <c r="K390" s="669" t="n"/>
      <c r="L390" s="669" t="n"/>
      <c r="M390" s="669" t="n"/>
      <c r="N390" s="669" t="n"/>
      <c r="O390" s="669" t="n"/>
      <c r="P390" s="669" t="n"/>
      <c r="Q390" s="669" t="n"/>
      <c r="R390" s="669" t="n"/>
      <c r="S390" s="669" t="n"/>
      <c r="T390" s="669" t="n"/>
      <c r="U390" s="669" t="n"/>
      <c r="V390" s="669" t="n"/>
      <c r="W390" s="669" t="n"/>
      <c r="X390" s="669" t="n"/>
      <c r="Y390" s="669" t="n"/>
      <c r="Z390" s="669" t="n"/>
    </row>
    <row r="391">
      <c r="A391" s="246" t="inlineStr">
        <is>
          <t>San Damiano Cross</t>
        </is>
      </c>
      <c r="B391" s="1037" t="inlineStr">
        <is>
          <t>Blue</t>
        </is>
      </c>
      <c r="C391" s="1037" t="inlineStr">
        <is>
          <t>FTH</t>
        </is>
      </c>
      <c r="D391" s="209" t="n"/>
      <c r="E391" s="209" t="n"/>
      <c r="F391" s="268" t="n">
        <v>5</v>
      </c>
      <c r="G391" s="268" t="n">
        <v>5</v>
      </c>
      <c r="H391" s="209" t="n"/>
      <c r="I391" s="209" t="n"/>
      <c r="J391" s="256" t="inlineStr">
        <is>
          <t>Lottery Machine #2 (?%)</t>
        </is>
      </c>
      <c r="K391" s="669" t="n"/>
      <c r="L391" s="669" t="n"/>
      <c r="M391" s="669" t="n"/>
      <c r="N391" s="669" t="n"/>
      <c r="O391" s="669" t="n"/>
      <c r="P391" s="669" t="n"/>
      <c r="Q391" s="669" t="n"/>
      <c r="R391" s="669" t="n"/>
      <c r="S391" s="669" t="n"/>
      <c r="T391" s="669" t="n"/>
      <c r="U391" s="669" t="n"/>
      <c r="V391" s="669" t="n"/>
      <c r="W391" s="669" t="n"/>
      <c r="X391" s="669" t="n"/>
      <c r="Y391" s="669" t="n"/>
      <c r="Z391" s="669" t="n"/>
    </row>
    <row r="392">
      <c r="A392" s="257" t="n"/>
      <c r="B392" s="209" t="n"/>
      <c r="C392" s="934" t="n"/>
      <c r="D392" s="209" t="n"/>
      <c r="E392" s="209" t="n"/>
      <c r="F392" s="209" t="n"/>
      <c r="G392" s="209" t="n"/>
      <c r="H392" s="209" t="n"/>
      <c r="I392" s="209" t="n"/>
      <c r="J392" s="256" t="n"/>
      <c r="K392" s="669" t="n"/>
      <c r="L392" s="669" t="n"/>
      <c r="M392" s="669" t="n"/>
      <c r="N392" s="669" t="n"/>
      <c r="O392" s="669" t="n"/>
      <c r="P392" s="669" t="n"/>
      <c r="Q392" s="669" t="n"/>
      <c r="R392" s="669" t="n"/>
      <c r="S392" s="669" t="n"/>
      <c r="T392" s="669" t="n"/>
      <c r="U392" s="669" t="n"/>
      <c r="V392" s="669" t="n"/>
      <c r="W392" s="669" t="n"/>
      <c r="X392" s="669" t="n"/>
      <c r="Y392" s="669" t="n"/>
      <c r="Z392" s="669" t="n"/>
    </row>
    <row r="393">
      <c r="A393" s="507" t="inlineStr">
        <is>
          <t>Resonance: Blue</t>
        </is>
      </c>
      <c r="B393" s="934" t="n"/>
      <c r="C393" s="934" t="n"/>
      <c r="D393" s="479" t="n">
        <v>5</v>
      </c>
      <c r="E393" s="934" t="n"/>
      <c r="F393" s="934" t="n"/>
      <c r="G393" s="934" t="n"/>
      <c r="H393" s="479" t="n">
        <v>10</v>
      </c>
      <c r="I393" s="479">
        <f>(D393+E393)/H393</f>
        <v/>
      </c>
      <c r="J393" s="935" t="n"/>
      <c r="K393" s="669" t="n"/>
      <c r="L393" s="669" t="n"/>
      <c r="M393" s="669" t="n"/>
      <c r="N393" s="669" t="n"/>
      <c r="O393" s="669" t="n"/>
      <c r="P393" s="669" t="n"/>
      <c r="Q393" s="669" t="n"/>
      <c r="R393" s="669" t="n"/>
      <c r="S393" s="669" t="n"/>
      <c r="T393" s="669" t="n"/>
      <c r="U393" s="669" t="n"/>
      <c r="V393" s="669" t="n"/>
      <c r="W393" s="669" t="n"/>
      <c r="X393" s="669" t="n"/>
      <c r="Y393" s="669" t="n"/>
      <c r="Z393" s="669" t="n"/>
    </row>
    <row r="394">
      <c r="A394" s="246" t="inlineStr">
        <is>
          <t xml:space="preserve">  Cupid and Psyche</t>
        </is>
      </c>
      <c r="B394" s="1037" t="inlineStr">
        <is>
          <t>Blue</t>
        </is>
      </c>
      <c r="C394" s="1037" t="inlineStr">
        <is>
          <t>ART</t>
        </is>
      </c>
      <c r="D394" s="209" t="n"/>
      <c r="E394" s="209" t="n"/>
      <c r="F394" s="209" t="n"/>
      <c r="G394" s="209" t="n"/>
      <c r="H394" s="209" t="n"/>
      <c r="I394" s="209" t="n"/>
      <c r="J394" s="256" t="inlineStr">
        <is>
          <t>Lottery Machine #2 (?%)</t>
        </is>
      </c>
      <c r="K394" s="669" t="n"/>
      <c r="L394" s="669" t="n"/>
      <c r="M394" s="669" t="n"/>
      <c r="N394" s="669" t="n"/>
      <c r="O394" s="669" t="n"/>
      <c r="P394" s="669" t="n"/>
      <c r="Q394" s="669" t="n"/>
      <c r="R394" s="669" t="n"/>
      <c r="S394" s="669" t="n"/>
      <c r="T394" s="669" t="n"/>
      <c r="U394" s="669" t="n"/>
      <c r="V394" s="669" t="n"/>
      <c r="W394" s="669" t="n"/>
      <c r="X394" s="669" t="n"/>
      <c r="Y394" s="669" t="n"/>
      <c r="Z394" s="669" t="n"/>
    </row>
    <row r="395">
      <c r="A395" s="507" t="inlineStr">
        <is>
          <t xml:space="preserve">  Maitreya in Meditation</t>
        </is>
      </c>
      <c r="B395" s="1037" t="inlineStr">
        <is>
          <t>Blue</t>
        </is>
      </c>
      <c r="C395" s="1037" t="inlineStr">
        <is>
          <t>ART</t>
        </is>
      </c>
      <c r="D395" s="934" t="n"/>
      <c r="E395" s="934" t="n"/>
      <c r="F395" s="934" t="n"/>
      <c r="G395" s="934" t="n"/>
      <c r="H395" s="934" t="n"/>
      <c r="I395" s="934" t="n"/>
      <c r="J395" s="935" t="inlineStr">
        <is>
          <t>Lottery Machine #2 (?%)</t>
        </is>
      </c>
      <c r="K395" s="669" t="n"/>
      <c r="L395" s="669" t="n"/>
      <c r="M395" s="669" t="n"/>
      <c r="N395" s="669" t="n"/>
      <c r="O395" s="669" t="n"/>
      <c r="P395" s="669" t="n"/>
      <c r="Q395" s="669" t="n"/>
      <c r="R395" s="669" t="n"/>
      <c r="S395" s="669" t="n"/>
      <c r="T395" s="669" t="n"/>
      <c r="U395" s="669" t="n"/>
      <c r="V395" s="669" t="n"/>
      <c r="W395" s="669" t="n"/>
      <c r="X395" s="669" t="n"/>
      <c r="Y395" s="669" t="n"/>
      <c r="Z395" s="669" t="n"/>
    </row>
    <row r="396">
      <c r="A396" s="246" t="inlineStr">
        <is>
          <t>Resonance: Purple</t>
        </is>
      </c>
      <c r="B396" s="209" t="n"/>
      <c r="C396" s="209" t="n"/>
      <c r="D396" s="209" t="n"/>
      <c r="E396" s="209" t="n"/>
      <c r="F396" s="210" t="n">
        <v>6</v>
      </c>
      <c r="G396" s="209" t="n"/>
      <c r="H396" s="209" t="n"/>
      <c r="I396" s="209" t="n"/>
      <c r="J396" s="256" t="n"/>
      <c r="K396" s="669" t="n"/>
      <c r="L396" s="669" t="n"/>
      <c r="M396" s="669" t="n"/>
      <c r="N396" s="669" t="n"/>
      <c r="O396" s="669" t="n"/>
      <c r="P396" s="669" t="n"/>
      <c r="Q396" s="669" t="n"/>
      <c r="R396" s="669" t="n"/>
      <c r="S396" s="669" t="n"/>
      <c r="T396" s="669" t="n"/>
      <c r="U396" s="669" t="n"/>
      <c r="V396" s="669" t="n"/>
      <c r="W396" s="669" t="n"/>
      <c r="X396" s="669" t="n"/>
      <c r="Y396" s="669" t="n"/>
      <c r="Z396" s="669" t="n"/>
    </row>
    <row r="397">
      <c r="A397" s="507" t="inlineStr">
        <is>
          <t xml:space="preserve">  Letters for Josephine</t>
        </is>
      </c>
      <c r="B397" s="1037" t="inlineStr">
        <is>
          <t>AAA</t>
        </is>
      </c>
      <c r="C397" s="1037" t="inlineStr">
        <is>
          <t>CIV</t>
        </is>
      </c>
      <c r="D397" s="934" t="n"/>
      <c r="E397" s="934" t="n"/>
      <c r="F397" s="934" t="n"/>
      <c r="G397" s="934" t="n"/>
      <c r="H397" s="934" t="n"/>
      <c r="I397" s="934" t="n"/>
      <c r="J397" s="935" t="inlineStr">
        <is>
          <t>Lottery Machine #2 (?%)</t>
        </is>
      </c>
      <c r="K397" s="669" t="n"/>
      <c r="L397" s="669" t="n"/>
      <c r="M397" s="669" t="n"/>
      <c r="N397" s="669" t="n"/>
      <c r="O397" s="669" t="n"/>
      <c r="P397" s="669" t="n"/>
      <c r="Q397" s="669" t="n"/>
      <c r="R397" s="669" t="n"/>
      <c r="S397" s="669" t="n"/>
      <c r="T397" s="669" t="n"/>
      <c r="U397" s="669" t="n"/>
      <c r="V397" s="669" t="n"/>
      <c r="W397" s="669" t="n"/>
      <c r="X397" s="669" t="n"/>
      <c r="Y397" s="669" t="n"/>
      <c r="Z397" s="669" t="n"/>
    </row>
    <row r="398">
      <c r="A398" s="246" t="inlineStr">
        <is>
          <t xml:space="preserve">  Rashomon</t>
        </is>
      </c>
      <c r="B398" s="1037" t="inlineStr">
        <is>
          <t>AAA</t>
        </is>
      </c>
      <c r="C398" s="1037" t="inlineStr">
        <is>
          <t>CIV</t>
        </is>
      </c>
      <c r="D398" s="209" t="n"/>
      <c r="E398" s="209" t="n"/>
      <c r="F398" s="209" t="n"/>
      <c r="G398" s="209" t="n"/>
      <c r="H398" s="209" t="n"/>
      <c r="I398" s="209" t="n"/>
      <c r="J398" s="256" t="inlineStr">
        <is>
          <t>Gastric Pouch</t>
        </is>
      </c>
      <c r="K398" s="669" t="n"/>
      <c r="L398" s="669" t="n"/>
      <c r="M398" s="669" t="n"/>
      <c r="N398" s="669" t="n"/>
      <c r="O398" s="669" t="n"/>
      <c r="P398" s="669" t="n"/>
      <c r="Q398" s="669" t="n"/>
      <c r="R398" s="669" t="n"/>
      <c r="S398" s="669" t="n"/>
      <c r="T398" s="669" t="n"/>
      <c r="U398" s="669" t="n"/>
      <c r="V398" s="669" t="n"/>
      <c r="W398" s="669" t="n"/>
      <c r="X398" s="669" t="n"/>
      <c r="Y398" s="669" t="n"/>
      <c r="Z398" s="669" t="n"/>
    </row>
    <row r="399">
      <c r="A399" s="955" t="inlineStr">
        <is>
          <t>TOTAL DEF</t>
        </is>
      </c>
      <c r="B399" s="946" t="n"/>
      <c r="C399" s="946" t="n"/>
      <c r="D399" s="946" t="n"/>
      <c r="E399" s="946" t="n"/>
      <c r="F399" s="260">
        <f>sum(F384:G398)</f>
        <v/>
      </c>
      <c r="G399" s="946" t="n"/>
      <c r="H399" s="946" t="n"/>
      <c r="I399" s="261">
        <f>sum(I384:I398)</f>
        <v/>
      </c>
      <c r="J399" s="947" t="n"/>
      <c r="K399" s="669" t="n"/>
      <c r="L399" s="669" t="n"/>
      <c r="M399" s="669" t="n"/>
      <c r="N399" s="669" t="n"/>
      <c r="O399" s="669" t="n"/>
      <c r="P399" s="669" t="n"/>
      <c r="Q399" s="669" t="n"/>
      <c r="R399" s="669" t="n"/>
      <c r="S399" s="669" t="n"/>
      <c r="T399" s="669" t="n"/>
      <c r="U399" s="669" t="n"/>
      <c r="V399" s="669" t="n"/>
      <c r="W399" s="669" t="n"/>
      <c r="X399" s="669" t="n"/>
      <c r="Y399" s="669" t="n"/>
      <c r="Z399" s="669" t="n"/>
    </row>
    <row r="400">
      <c r="A400" s="1037" t="n"/>
      <c r="B400" s="1037" t="n"/>
      <c r="C400" s="1037" t="n"/>
      <c r="D400" s="1037" t="n"/>
      <c r="E400" s="1037" t="n"/>
      <c r="F400" s="1037" t="n"/>
      <c r="G400" s="1037" t="n"/>
      <c r="H400" s="1037" t="n"/>
      <c r="I400" s="1037" t="n"/>
      <c r="J400" s="1037" t="n"/>
      <c r="K400" s="669" t="n"/>
      <c r="L400" s="669" t="n"/>
      <c r="M400" s="669" t="n"/>
      <c r="N400" s="669" t="n"/>
      <c r="O400" s="669" t="n"/>
      <c r="P400" s="669" t="n"/>
      <c r="Q400" s="669" t="n"/>
      <c r="R400" s="669" t="n"/>
      <c r="S400" s="669" t="n"/>
      <c r="T400" s="669" t="n"/>
      <c r="U400" s="669" t="n"/>
      <c r="V400" s="669" t="n"/>
      <c r="W400" s="669" t="n"/>
      <c r="X400" s="669" t="n"/>
      <c r="Y400" s="669" t="n"/>
      <c r="Z400" s="669" t="n"/>
    </row>
    <row r="401">
      <c r="A401" s="1079" t="n"/>
      <c r="B401" s="1079" t="n"/>
      <c r="C401" s="1079" t="n"/>
      <c r="D401" s="1079" t="n"/>
      <c r="E401" s="1079" t="n"/>
      <c r="F401" s="1079" t="n"/>
      <c r="G401" s="1079" t="n"/>
      <c r="H401" s="1079" t="n"/>
      <c r="I401" s="1079" t="n"/>
      <c r="J401" s="1079" t="n"/>
      <c r="K401" s="669" t="n"/>
      <c r="L401" s="669" t="n"/>
      <c r="M401" s="669" t="n"/>
      <c r="N401" s="669" t="n"/>
      <c r="O401" s="669" t="n"/>
      <c r="P401" s="669" t="n"/>
      <c r="Q401" s="669" t="n"/>
      <c r="R401" s="669" t="n"/>
      <c r="S401" s="669" t="n"/>
      <c r="T401" s="669" t="n"/>
      <c r="U401" s="669" t="n"/>
      <c r="V401" s="669" t="n"/>
      <c r="W401" s="669" t="n"/>
      <c r="X401" s="669" t="n"/>
      <c r="Y401" s="669" t="n"/>
      <c r="Z401" s="669" t="n"/>
    </row>
    <row r="402">
      <c r="A402" s="251" t="inlineStr">
        <is>
          <t>HARD</t>
        </is>
      </c>
      <c r="B402" s="252" t="inlineStr">
        <is>
          <t>Rarity</t>
        </is>
      </c>
      <c r="C402" s="252" t="inlineStr">
        <is>
          <t>Type</t>
        </is>
      </c>
      <c r="D402" s="252" t="inlineStr">
        <is>
          <t>Base</t>
        </is>
      </c>
      <c r="E402" s="252" t="inlineStr">
        <is>
          <t>Awakening Base</t>
        </is>
      </c>
      <c r="F402" s="252" t="inlineStr">
        <is>
          <t>Percentage</t>
        </is>
      </c>
      <c r="G402" s="252" t="inlineStr">
        <is>
          <t>Awakening Percentage</t>
        </is>
      </c>
      <c r="H402" s="252" t="inlineStr">
        <is>
          <t>Per Minion</t>
        </is>
      </c>
      <c r="I402" s="252" t="inlineStr">
        <is>
          <t>Per Minion Boost</t>
        </is>
      </c>
      <c r="J402" s="253" t="inlineStr">
        <is>
          <t>Source</t>
        </is>
      </c>
      <c r="K402" s="669" t="n"/>
      <c r="L402" s="669" t="n"/>
      <c r="M402" s="669" t="n"/>
      <c r="N402" s="669" t="n"/>
      <c r="O402" s="669" t="n"/>
      <c r="P402" s="669" t="n"/>
      <c r="Q402" s="669" t="n"/>
      <c r="R402" s="669" t="n"/>
      <c r="S402" s="669" t="n"/>
      <c r="T402" s="669" t="n"/>
      <c r="U402" s="669" t="n"/>
      <c r="V402" s="669" t="n"/>
      <c r="W402" s="669" t="n"/>
      <c r="X402" s="669" t="n"/>
      <c r="Y402" s="669" t="n"/>
      <c r="Z402" s="669" t="n"/>
    </row>
    <row r="403">
      <c r="A403" s="507" t="inlineStr">
        <is>
          <t>Divination Book</t>
        </is>
      </c>
      <c r="B403" s="1037" t="inlineStr">
        <is>
          <t>AAA</t>
        </is>
      </c>
      <c r="C403" s="1037" t="inlineStr">
        <is>
          <t>FTH</t>
        </is>
      </c>
      <c r="D403" s="267" t="n">
        <v>18</v>
      </c>
      <c r="E403" s="267" t="n">
        <v>14</v>
      </c>
      <c r="F403" s="934" t="n"/>
      <c r="G403" s="934" t="n"/>
      <c r="H403" s="267" t="n">
        <v>30</v>
      </c>
      <c r="I403" s="255">
        <f>(D403+E403)/H403</f>
        <v/>
      </c>
      <c r="J403" s="935" t="inlineStr">
        <is>
          <t>Lottery Machine #2 (?%)</t>
        </is>
      </c>
      <c r="K403" s="669" t="n"/>
      <c r="L403" s="669" t="n"/>
      <c r="M403" s="669" t="n"/>
      <c r="N403" s="669" t="n"/>
      <c r="O403" s="669" t="n"/>
      <c r="P403" s="669" t="n"/>
      <c r="Q403" s="669" t="n"/>
      <c r="R403" s="669" t="n"/>
      <c r="S403" s="669" t="n"/>
      <c r="T403" s="669" t="n"/>
      <c r="U403" s="669" t="n"/>
      <c r="V403" s="669" t="n"/>
      <c r="W403" s="669" t="n"/>
      <c r="X403" s="669" t="n"/>
      <c r="Y403" s="669" t="n"/>
      <c r="Z403" s="669" t="n"/>
    </row>
    <row r="404">
      <c r="A404" s="246" t="inlineStr">
        <is>
          <t>Blood of Cain</t>
        </is>
      </c>
      <c r="B404" s="1037" t="inlineStr">
        <is>
          <t>SSS</t>
        </is>
      </c>
      <c r="C404" s="1037" t="inlineStr">
        <is>
          <t>FTH</t>
        </is>
      </c>
      <c r="D404" s="210" t="n">
        <v>30</v>
      </c>
      <c r="E404" s="268" t="n">
        <v>30</v>
      </c>
      <c r="F404" s="209" t="n"/>
      <c r="G404" s="209" t="n"/>
      <c r="H404" s="210" t="n">
        <v>60</v>
      </c>
      <c r="I404" s="210">
        <f>(D404+E404)/H404</f>
        <v/>
      </c>
      <c r="J404" s="418" t="inlineStr">
        <is>
          <t>Apocalypse Hall (Demon God Cabin) Reward</t>
        </is>
      </c>
      <c r="K404" s="669" t="n"/>
      <c r="L404" s="669" t="n"/>
      <c r="M404" s="669" t="n"/>
      <c r="N404" s="669" t="n"/>
      <c r="O404" s="669" t="n"/>
      <c r="P404" s="669" t="n"/>
      <c r="Q404" s="669" t="n"/>
      <c r="R404" s="669" t="n"/>
      <c r="S404" s="669" t="n"/>
      <c r="T404" s="669" t="n"/>
      <c r="U404" s="669" t="n"/>
      <c r="V404" s="669" t="n"/>
      <c r="W404" s="669" t="n"/>
      <c r="X404" s="669" t="n"/>
      <c r="Y404" s="669" t="n"/>
      <c r="Z404" s="669" t="n"/>
    </row>
    <row r="405">
      <c r="A405" s="507" t="inlineStr">
        <is>
          <t>The Key of Solomon</t>
        </is>
      </c>
      <c r="B405" s="1037" t="inlineStr">
        <is>
          <t>SS</t>
        </is>
      </c>
      <c r="C405" s="1037" t="inlineStr">
        <is>
          <t>FTH</t>
        </is>
      </c>
      <c r="D405" s="479" t="n">
        <v>30</v>
      </c>
      <c r="E405" s="267" t="n">
        <v>30</v>
      </c>
      <c r="F405" s="934" t="n"/>
      <c r="G405" s="934" t="n"/>
      <c r="H405" s="479" t="n">
        <v>60</v>
      </c>
      <c r="I405" s="479">
        <f>(D405+E405)/H405</f>
        <v/>
      </c>
      <c r="J405" s="935" t="inlineStr">
        <is>
          <t>Demon Gene Research T7</t>
        </is>
      </c>
      <c r="K405" s="669" t="n"/>
      <c r="L405" s="669" t="n"/>
      <c r="M405" s="669" t="n"/>
      <c r="N405" s="669" t="n"/>
      <c r="O405" s="669" t="n"/>
      <c r="P405" s="669" t="n"/>
      <c r="Q405" s="669" t="n"/>
      <c r="R405" s="669" t="n"/>
      <c r="S405" s="669" t="n"/>
      <c r="T405" s="669" t="n"/>
      <c r="U405" s="669" t="n"/>
      <c r="V405" s="669" t="n"/>
      <c r="W405" s="669" t="n"/>
      <c r="X405" s="669" t="n"/>
      <c r="Y405" s="669" t="n"/>
      <c r="Z405" s="669" t="n"/>
    </row>
    <row r="406">
      <c r="A406" s="276" t="inlineStr">
        <is>
          <t>Book of Soyga</t>
        </is>
      </c>
      <c r="B406" s="1037" t="inlineStr">
        <is>
          <t>Blue</t>
        </is>
      </c>
      <c r="C406" s="1037" t="inlineStr">
        <is>
          <t>FTH</t>
        </is>
      </c>
      <c r="D406" s="268" t="n">
        <v>5</v>
      </c>
      <c r="E406" s="268" t="n">
        <v>5</v>
      </c>
      <c r="F406" s="209" t="n"/>
      <c r="G406" s="209" t="n"/>
      <c r="H406" s="268" t="n">
        <v>10</v>
      </c>
      <c r="I406" s="210">
        <f>(D406+E406)/H406</f>
        <v/>
      </c>
      <c r="J406" s="256" t="inlineStr">
        <is>
          <t>Lottery Machine #2 (?%)</t>
        </is>
      </c>
      <c r="K406" s="669" t="n"/>
      <c r="L406" s="669" t="n"/>
      <c r="M406" s="669" t="n"/>
      <c r="N406" s="669" t="n"/>
      <c r="O406" s="669" t="n"/>
      <c r="P406" s="669" t="n"/>
      <c r="Q406" s="669" t="n"/>
      <c r="R406" s="669" t="n"/>
      <c r="S406" s="669" t="n"/>
      <c r="T406" s="669" t="n"/>
      <c r="U406" s="669" t="n"/>
      <c r="V406" s="669" t="n"/>
      <c r="W406" s="669" t="n"/>
      <c r="X406" s="669" t="n"/>
      <c r="Y406" s="669" t="n"/>
      <c r="Z406" s="669" t="n"/>
    </row>
    <row r="407">
      <c r="A407" s="507" t="inlineStr">
        <is>
          <t>Marseilles Statue</t>
        </is>
      </c>
      <c r="B407" s="1037" t="inlineStr">
        <is>
          <t>Blue</t>
        </is>
      </c>
      <c r="C407" s="1037" t="inlineStr">
        <is>
          <t>ART</t>
        </is>
      </c>
      <c r="D407" s="267" t="n">
        <v>5</v>
      </c>
      <c r="E407" s="267" t="n">
        <v>3</v>
      </c>
      <c r="F407" s="934" t="n"/>
      <c r="G407" s="934" t="n"/>
      <c r="H407" s="267" t="n">
        <v>10</v>
      </c>
      <c r="I407" s="479">
        <f>(D407+E407)/H407</f>
        <v/>
      </c>
      <c r="J407" s="935" t="inlineStr">
        <is>
          <t>Lottery Machine #1 (0.03%), Wishing (1.2%), Hellas Treasure Map (20%)</t>
        </is>
      </c>
      <c r="K407" s="669" t="n"/>
      <c r="L407" s="669" t="n"/>
      <c r="M407" s="669" t="n"/>
      <c r="N407" s="669" t="n"/>
      <c r="O407" s="669" t="n"/>
      <c r="P407" s="669" t="n"/>
      <c r="Q407" s="669" t="n"/>
      <c r="R407" s="669" t="n"/>
      <c r="S407" s="669" t="n"/>
      <c r="T407" s="669" t="n"/>
      <c r="U407" s="669" t="n"/>
      <c r="V407" s="669" t="n"/>
      <c r="W407" s="669" t="n"/>
      <c r="X407" s="669" t="n"/>
      <c r="Y407" s="669" t="n"/>
      <c r="Z407" s="669" t="n"/>
    </row>
    <row r="408">
      <c r="A408" s="246" t="inlineStr">
        <is>
          <t>Ape's Footprint Fossil</t>
        </is>
      </c>
      <c r="B408" s="1037" t="inlineStr">
        <is>
          <t>SS</t>
        </is>
      </c>
      <c r="C408" s="1037" t="inlineStr">
        <is>
          <t>FAME</t>
        </is>
      </c>
      <c r="D408" s="209" t="n">
        <v>30</v>
      </c>
      <c r="E408" s="209" t="n"/>
      <c r="F408" s="268" t="n"/>
      <c r="G408" s="268" t="n"/>
      <c r="H408" s="267" t="n">
        <v>10</v>
      </c>
      <c r="I408" s="479">
        <f>(D408+E408)/H408</f>
        <v/>
      </c>
      <c r="J408" s="256" t="inlineStr">
        <is>
          <t>Super Species Chest (2.4%)</t>
        </is>
      </c>
      <c r="K408" s="669" t="n"/>
      <c r="L408" s="669" t="n"/>
      <c r="M408" s="669" t="n"/>
      <c r="N408" s="669" t="n"/>
      <c r="O408" s="669" t="n"/>
      <c r="P408" s="669" t="n"/>
      <c r="Q408" s="669" t="n"/>
      <c r="R408" s="669" t="n"/>
      <c r="S408" s="669" t="n"/>
      <c r="T408" s="669" t="n"/>
      <c r="U408" s="669" t="n"/>
      <c r="V408" s="669" t="n"/>
      <c r="W408" s="669" t="n"/>
      <c r="X408" s="669" t="n"/>
      <c r="Y408" s="669" t="n"/>
      <c r="Z408" s="669" t="n"/>
    </row>
    <row r="409">
      <c r="A409" s="246" t="inlineStr">
        <is>
          <t>Moon Plum Teapot</t>
        </is>
      </c>
      <c r="B409" s="425" t="inlineStr">
        <is>
          <t>AAA</t>
        </is>
      </c>
      <c r="C409" s="425" t="inlineStr">
        <is>
          <t>ART</t>
        </is>
      </c>
      <c r="D409" s="279" t="n"/>
      <c r="E409" s="279" t="n"/>
      <c r="F409" s="210" t="n">
        <v>2.7</v>
      </c>
      <c r="G409" s="210" t="n">
        <v>2.1</v>
      </c>
      <c r="H409" s="479" t="n"/>
      <c r="I409" s="479" t="n"/>
      <c r="J409" s="935" t="inlineStr">
        <is>
          <t>Lottery Machine #2 (?%)</t>
        </is>
      </c>
      <c r="K409" s="669" t="n"/>
      <c r="L409" s="669" t="n"/>
      <c r="M409" s="669" t="n"/>
      <c r="N409" s="669" t="n"/>
      <c r="O409" s="669" t="n"/>
      <c r="P409" s="669" t="n"/>
      <c r="Q409" s="669" t="n"/>
      <c r="R409" s="669" t="n"/>
      <c r="S409" s="669" t="n"/>
      <c r="T409" s="669" t="n"/>
      <c r="U409" s="669" t="n"/>
      <c r="V409" s="669" t="n"/>
      <c r="W409" s="669" t="n"/>
      <c r="X409" s="669" t="n"/>
      <c r="Y409" s="669" t="n"/>
      <c r="Z409" s="669" t="n"/>
    </row>
    <row r="410">
      <c r="A410" s="933" t="n"/>
      <c r="B410" s="934" t="n"/>
      <c r="C410" s="934" t="n"/>
      <c r="D410" s="934" t="n"/>
      <c r="E410" s="934" t="n"/>
      <c r="F410" s="934" t="n"/>
      <c r="G410" s="934" t="n"/>
      <c r="H410" s="934" t="n"/>
      <c r="I410" s="934" t="n"/>
      <c r="J410" s="935" t="n"/>
      <c r="K410" s="669" t="n"/>
      <c r="L410" s="669" t="n"/>
      <c r="M410" s="669" t="n"/>
      <c r="N410" s="669" t="n"/>
      <c r="O410" s="669" t="n"/>
      <c r="P410" s="669" t="n"/>
      <c r="Q410" s="669" t="n"/>
      <c r="R410" s="669" t="n"/>
      <c r="S410" s="669" t="n"/>
      <c r="T410" s="669" t="n"/>
      <c r="U410" s="669" t="n"/>
      <c r="V410" s="669" t="n"/>
      <c r="W410" s="669" t="n"/>
      <c r="X410" s="669" t="n"/>
      <c r="Y410" s="669" t="n"/>
      <c r="Z410" s="669" t="n"/>
    </row>
    <row r="411">
      <c r="A411" s="246" t="inlineStr">
        <is>
          <t>Resonance: Orange</t>
        </is>
      </c>
      <c r="B411" s="209" t="n"/>
      <c r="C411" s="934" t="n"/>
      <c r="D411" s="210" t="n">
        <v>21</v>
      </c>
      <c r="E411" s="209" t="n"/>
      <c r="F411" s="209" t="n"/>
      <c r="G411" s="209" t="n"/>
      <c r="H411" s="210" t="n">
        <v>60</v>
      </c>
      <c r="I411" s="210">
        <f>(D411+E411)/H411</f>
        <v/>
      </c>
      <c r="J411" s="256" t="n"/>
      <c r="K411" s="669" t="n"/>
      <c r="L411" s="669" t="n"/>
      <c r="M411" s="669" t="n"/>
      <c r="N411" s="669" t="n"/>
      <c r="O411" s="669" t="n"/>
      <c r="P411" s="669" t="n"/>
      <c r="Q411" s="669" t="n"/>
      <c r="R411" s="669" t="n"/>
      <c r="S411" s="669" t="n"/>
      <c r="T411" s="669" t="n"/>
      <c r="U411" s="669" t="n"/>
      <c r="V411" s="669" t="n"/>
      <c r="W411" s="669" t="n"/>
      <c r="X411" s="669" t="n"/>
      <c r="Y411" s="669" t="n"/>
      <c r="Z411" s="669" t="n"/>
    </row>
    <row r="412">
      <c r="A412" s="507" t="inlineStr">
        <is>
          <t xml:space="preserve">  Emerald Tablet</t>
        </is>
      </c>
      <c r="B412" s="1037" t="inlineStr">
        <is>
          <t>SSS</t>
        </is>
      </c>
      <c r="C412" s="1037" t="inlineStr">
        <is>
          <t>FTH</t>
        </is>
      </c>
      <c r="D412" s="934" t="n"/>
      <c r="E412" s="934" t="n"/>
      <c r="F412" s="934" t="n"/>
      <c r="G412" s="934" t="n"/>
      <c r="H412" s="934" t="n"/>
      <c r="I412" s="934" t="n"/>
      <c r="J412" s="280" t="inlineStr">
        <is>
          <t>Daily Pack Relic #24</t>
        </is>
      </c>
      <c r="K412" s="669" t="n"/>
      <c r="L412" s="669" t="n"/>
      <c r="M412" s="669" t="n"/>
      <c r="N412" s="669" t="n"/>
      <c r="O412" s="669" t="n"/>
      <c r="P412" s="669" t="n"/>
      <c r="Q412" s="669" t="n"/>
      <c r="R412" s="669" t="n"/>
      <c r="S412" s="669" t="n"/>
      <c r="T412" s="669" t="n"/>
      <c r="U412" s="669" t="n"/>
      <c r="V412" s="669" t="n"/>
      <c r="W412" s="669" t="n"/>
      <c r="X412" s="669" t="n"/>
      <c r="Y412" s="669" t="n"/>
      <c r="Z412" s="669" t="n"/>
    </row>
    <row r="413">
      <c r="A413" s="246" t="inlineStr">
        <is>
          <t xml:space="preserve">  Mysterious Relic</t>
        </is>
      </c>
      <c r="B413" s="1037" t="inlineStr">
        <is>
          <t>SSS</t>
        </is>
      </c>
      <c r="C413" s="1037" t="n"/>
      <c r="D413" s="209" t="n"/>
      <c r="E413" s="209" t="n"/>
      <c r="F413" s="209" t="n"/>
      <c r="G413" s="209" t="n"/>
      <c r="H413" s="209" t="n"/>
      <c r="I413" s="209" t="n"/>
      <c r="J413" s="281" t="inlineStr">
        <is>
          <t>Unknown</t>
        </is>
      </c>
      <c r="K413" s="669" t="n"/>
      <c r="L413" s="669" t="n"/>
      <c r="M413" s="669" t="n"/>
      <c r="N413" s="669" t="n"/>
      <c r="O413" s="669" t="n"/>
      <c r="P413" s="669" t="n"/>
      <c r="Q413" s="669" t="n"/>
      <c r="R413" s="669" t="n"/>
      <c r="S413" s="669" t="n"/>
      <c r="T413" s="669" t="n"/>
      <c r="U413" s="669" t="n"/>
      <c r="V413" s="669" t="n"/>
      <c r="W413" s="669" t="n"/>
      <c r="X413" s="669" t="n"/>
      <c r="Y413" s="669" t="n"/>
      <c r="Z413" s="669" t="n"/>
    </row>
    <row r="414">
      <c r="A414" s="955" t="inlineStr">
        <is>
          <t>TOTAL HARD</t>
        </is>
      </c>
      <c r="B414" s="946" t="n"/>
      <c r="C414" s="946" t="n"/>
      <c r="D414" s="946" t="n"/>
      <c r="E414" s="946" t="n"/>
      <c r="F414" s="260">
        <f>sum(F403:G413)</f>
        <v/>
      </c>
      <c r="G414" s="946" t="n"/>
      <c r="H414" s="946" t="n"/>
      <c r="I414" s="261">
        <f>sum(I403:I413)</f>
        <v/>
      </c>
      <c r="J414" s="947" t="n"/>
      <c r="K414" s="669" t="n"/>
      <c r="L414" s="669" t="n"/>
      <c r="M414" s="669" t="n"/>
      <c r="N414" s="669" t="n"/>
      <c r="O414" s="669" t="n"/>
      <c r="P414" s="669" t="n"/>
      <c r="Q414" s="669" t="n"/>
      <c r="R414" s="669" t="n"/>
      <c r="S414" s="669" t="n"/>
      <c r="T414" s="669" t="n"/>
      <c r="U414" s="669" t="n"/>
      <c r="V414" s="669" t="n"/>
      <c r="W414" s="669" t="n"/>
      <c r="X414" s="669" t="n"/>
      <c r="Y414" s="669" t="n"/>
      <c r="Z414" s="669" t="n"/>
    </row>
    <row r="415">
      <c r="A415" s="669" t="n"/>
      <c r="B415" s="669" t="n"/>
      <c r="C415" s="669" t="n"/>
      <c r="D415" s="669" t="n"/>
      <c r="E415" s="669" t="n"/>
      <c r="F415" s="669" t="n"/>
      <c r="G415" s="669" t="n"/>
      <c r="H415" s="669" t="n"/>
      <c r="I415" s="669" t="n"/>
      <c r="J415" s="669" t="n"/>
      <c r="K415" s="669" t="n"/>
      <c r="L415" s="669" t="n"/>
      <c r="M415" s="669" t="n"/>
      <c r="N415" s="669" t="n"/>
      <c r="O415" s="669" t="n"/>
      <c r="P415" s="669" t="n"/>
      <c r="Q415" s="669" t="n"/>
      <c r="R415" s="669" t="n"/>
      <c r="S415" s="669" t="n"/>
      <c r="T415" s="669" t="n"/>
      <c r="U415" s="669" t="n"/>
      <c r="V415" s="669" t="n"/>
      <c r="W415" s="669" t="n"/>
      <c r="X415" s="669" t="n"/>
      <c r="Y415" s="669" t="n"/>
      <c r="Z415" s="669" t="n"/>
    </row>
    <row r="416">
      <c r="A416" s="669" t="n"/>
      <c r="B416" s="669" t="n"/>
      <c r="C416" s="669" t="n"/>
      <c r="D416" s="669" t="n"/>
      <c r="E416" s="669" t="n"/>
      <c r="F416" s="669" t="n"/>
      <c r="G416" s="669" t="n"/>
      <c r="H416" s="669" t="n"/>
      <c r="I416" s="669" t="n"/>
      <c r="J416" s="669" t="n"/>
      <c r="K416" s="669" t="n"/>
      <c r="L416" s="669" t="n"/>
      <c r="M416" s="669" t="n"/>
      <c r="N416" s="669" t="n"/>
      <c r="O416" s="669" t="n"/>
      <c r="P416" s="669" t="n"/>
      <c r="Q416" s="669" t="n"/>
      <c r="R416" s="669" t="n"/>
      <c r="S416" s="669" t="n"/>
      <c r="T416" s="669" t="n"/>
      <c r="U416" s="669" t="n"/>
      <c r="V416" s="669" t="n"/>
      <c r="W416" s="669" t="n"/>
      <c r="X416" s="669" t="n"/>
      <c r="Y416" s="669" t="n"/>
      <c r="Z416" s="669" t="n"/>
    </row>
    <row r="417">
      <c r="A417" s="669" t="n"/>
      <c r="B417" s="669" t="n"/>
      <c r="C417" s="669" t="n"/>
      <c r="D417" s="669" t="n"/>
      <c r="E417" s="669" t="n"/>
      <c r="F417" s="669" t="n"/>
      <c r="G417" s="669" t="n"/>
      <c r="H417" s="669" t="n"/>
      <c r="I417" s="669" t="n"/>
      <c r="J417" s="669" t="n"/>
      <c r="K417" s="669" t="n"/>
      <c r="L417" s="669" t="n"/>
      <c r="M417" s="669" t="n"/>
      <c r="N417" s="669" t="n"/>
      <c r="O417" s="669" t="n"/>
      <c r="P417" s="669" t="n"/>
      <c r="Q417" s="669" t="n"/>
      <c r="R417" s="669" t="n"/>
      <c r="S417" s="669" t="n"/>
      <c r="T417" s="669" t="n"/>
      <c r="U417" s="669" t="n"/>
      <c r="V417" s="669" t="n"/>
      <c r="W417" s="669" t="n"/>
      <c r="X417" s="669" t="n"/>
      <c r="Y417" s="669" t="n"/>
      <c r="Z417" s="669" t="n"/>
    </row>
    <row r="418">
      <c r="A418" s="669" t="n"/>
      <c r="B418" s="669" t="n"/>
      <c r="C418" s="669" t="n"/>
      <c r="D418" s="669" t="n"/>
      <c r="E418" s="669" t="n"/>
      <c r="F418" s="669" t="n"/>
      <c r="G418" s="669" t="n"/>
      <c r="H418" s="669" t="n"/>
      <c r="I418" s="669" t="n"/>
      <c r="J418" s="669" t="n"/>
      <c r="K418" s="669" t="n"/>
      <c r="L418" s="669" t="n"/>
      <c r="M418" s="669" t="n"/>
      <c r="N418" s="669" t="n"/>
      <c r="O418" s="669" t="n"/>
      <c r="P418" s="669" t="n"/>
      <c r="Q418" s="669" t="n"/>
      <c r="R418" s="669" t="n"/>
      <c r="S418" s="669" t="n"/>
      <c r="T418" s="669" t="n"/>
      <c r="U418" s="669" t="n"/>
      <c r="V418" s="669" t="n"/>
      <c r="W418" s="669" t="n"/>
      <c r="X418" s="669" t="n"/>
      <c r="Y418" s="669" t="n"/>
      <c r="Z418" s="669" t="n"/>
    </row>
    <row r="419">
      <c r="A419" s="1075" t="inlineStr">
        <is>
          <t>ANGEL</t>
        </is>
      </c>
      <c r="B419" s="373" t="n"/>
      <c r="C419" s="373" t="n"/>
      <c r="D419" s="373" t="n"/>
      <c r="E419" s="373" t="n"/>
      <c r="F419" s="373" t="n"/>
      <c r="G419" s="373" t="n"/>
      <c r="H419" s="373" t="n"/>
      <c r="I419" s="373" t="n"/>
      <c r="J419" s="391" t="n"/>
      <c r="K419" s="669" t="n"/>
      <c r="L419" s="669" t="n"/>
      <c r="M419" s="669" t="n"/>
      <c r="N419" s="669" t="n"/>
      <c r="O419" s="669" t="n"/>
      <c r="P419" s="669" t="n"/>
      <c r="Q419" s="669" t="n"/>
      <c r="R419" s="669" t="n"/>
      <c r="S419" s="669" t="n"/>
      <c r="T419" s="669" t="n"/>
      <c r="U419" s="669" t="n"/>
      <c r="V419" s="669" t="n"/>
      <c r="W419" s="669" t="n"/>
      <c r="X419" s="669" t="n"/>
      <c r="Y419" s="669" t="n"/>
      <c r="Z419" s="669" t="n"/>
    </row>
    <row r="420">
      <c r="A420" s="282" t="inlineStr">
        <is>
          <t>HP</t>
        </is>
      </c>
      <c r="B420" s="283" t="inlineStr">
        <is>
          <t>Rarity</t>
        </is>
      </c>
      <c r="C420" s="283" t="inlineStr">
        <is>
          <t>Type</t>
        </is>
      </c>
      <c r="D420" s="283" t="inlineStr">
        <is>
          <t>Base</t>
        </is>
      </c>
      <c r="E420" s="283" t="inlineStr">
        <is>
          <t>Awakening Base</t>
        </is>
      </c>
      <c r="F420" s="283" t="inlineStr">
        <is>
          <t>Percentage</t>
        </is>
      </c>
      <c r="G420" s="283" t="inlineStr">
        <is>
          <t>Awakening Percentage</t>
        </is>
      </c>
      <c r="H420" s="283" t="inlineStr">
        <is>
          <t>Per Minion</t>
        </is>
      </c>
      <c r="I420" s="283" t="inlineStr">
        <is>
          <t>Per Minion Boost</t>
        </is>
      </c>
      <c r="J420" s="253" t="inlineStr">
        <is>
          <t>Source</t>
        </is>
      </c>
      <c r="K420" s="669" t="n"/>
      <c r="L420" s="669" t="n"/>
      <c r="M420" s="669" t="n"/>
      <c r="N420" s="669" t="n"/>
      <c r="O420" s="669" t="n"/>
      <c r="P420" s="669" t="n"/>
      <c r="Q420" s="669" t="n"/>
      <c r="R420" s="669" t="n"/>
      <c r="S420" s="669" t="n"/>
      <c r="T420" s="669" t="n"/>
      <c r="U420" s="669" t="n"/>
      <c r="V420" s="669" t="n"/>
      <c r="W420" s="669" t="n"/>
      <c r="X420" s="669" t="n"/>
      <c r="Y420" s="669" t="n"/>
      <c r="Z420" s="669" t="n"/>
    </row>
    <row r="421">
      <c r="A421" s="507" t="inlineStr">
        <is>
          <t>Holy Nail</t>
        </is>
      </c>
      <c r="B421" s="1037" t="inlineStr">
        <is>
          <t>AAA</t>
        </is>
      </c>
      <c r="C421" s="1037" t="inlineStr">
        <is>
          <t>FTH</t>
        </is>
      </c>
      <c r="D421" s="479" t="n">
        <v>280</v>
      </c>
      <c r="E421" s="479" t="n">
        <v>280</v>
      </c>
      <c r="F421" s="934" t="n"/>
      <c r="G421" s="934" t="n"/>
      <c r="H421" s="479" t="n">
        <v>30</v>
      </c>
      <c r="I421" s="255">
        <f>(D421+E421)/H421</f>
        <v/>
      </c>
      <c r="J421" s="256" t="inlineStr">
        <is>
          <t>T6.5 Angel Gene Research</t>
        </is>
      </c>
      <c r="K421" s="669" t="n"/>
      <c r="L421" s="669" t="n"/>
      <c r="M421" s="669" t="n"/>
      <c r="N421" s="669" t="n"/>
      <c r="O421" s="669" t="n"/>
      <c r="P421" s="669" t="n"/>
      <c r="Q421" s="669" t="n"/>
      <c r="R421" s="669" t="n"/>
      <c r="S421" s="669" t="n"/>
      <c r="T421" s="669" t="n"/>
      <c r="U421" s="669" t="n"/>
      <c r="V421" s="669" t="n"/>
      <c r="W421" s="669" t="n"/>
      <c r="X421" s="669" t="n"/>
      <c r="Y421" s="669" t="n"/>
      <c r="Z421" s="669" t="n"/>
    </row>
    <row r="422">
      <c r="A422" s="507" t="inlineStr">
        <is>
          <t>Vedas</t>
        </is>
      </c>
      <c r="B422" s="1037" t="inlineStr">
        <is>
          <t>SSS</t>
        </is>
      </c>
      <c r="C422" s="1037" t="inlineStr">
        <is>
          <t>FTH</t>
        </is>
      </c>
      <c r="D422" s="479" t="n">
        <v>1080</v>
      </c>
      <c r="E422" s="934" t="n"/>
      <c r="F422" s="934" t="n"/>
      <c r="G422" s="934" t="n"/>
      <c r="H422" s="479" t="n">
        <v>60</v>
      </c>
      <c r="I422" s="479">
        <f>(D422+E422)/H422</f>
        <v/>
      </c>
      <c r="J422" s="935" t="inlineStr">
        <is>
          <t>Lottery Machine #2 (0.12%)</t>
        </is>
      </c>
      <c r="K422" s="669" t="n"/>
      <c r="L422" s="669" t="n"/>
      <c r="M422" s="669" t="n"/>
      <c r="N422" s="669" t="n"/>
      <c r="O422" s="669" t="n"/>
      <c r="P422" s="669" t="n"/>
      <c r="Q422" s="669" t="n"/>
      <c r="R422" s="669" t="n"/>
      <c r="S422" s="669" t="n"/>
      <c r="T422" s="669" t="n"/>
      <c r="U422" s="669" t="n"/>
      <c r="V422" s="669" t="n"/>
      <c r="W422" s="669" t="n"/>
      <c r="X422" s="669" t="n"/>
      <c r="Y422" s="669" t="n"/>
      <c r="Z422" s="669" t="n"/>
    </row>
    <row r="423">
      <c r="A423" s="507" t="inlineStr">
        <is>
          <t>Venus de Milo</t>
        </is>
      </c>
      <c r="B423" s="1037" t="inlineStr">
        <is>
          <t>SS</t>
        </is>
      </c>
      <c r="C423" s="1037" t="inlineStr">
        <is>
          <t>FTH</t>
        </is>
      </c>
      <c r="D423" s="210" t="n">
        <v>900</v>
      </c>
      <c r="E423" s="209" t="n"/>
      <c r="F423" s="209" t="n"/>
      <c r="G423" s="209" t="n"/>
      <c r="H423" s="210" t="n">
        <v>60</v>
      </c>
      <c r="I423" s="210">
        <f>(D423+E423)/H423</f>
        <v/>
      </c>
      <c r="J423" s="256" t="inlineStr">
        <is>
          <t>T7.5 Angel Gene Research</t>
        </is>
      </c>
      <c r="K423" s="669" t="n"/>
      <c r="L423" s="669" t="n"/>
      <c r="M423" s="669" t="n"/>
      <c r="N423" s="669" t="n"/>
      <c r="O423" s="669" t="n"/>
      <c r="P423" s="669" t="n"/>
      <c r="Q423" s="669" t="n"/>
      <c r="R423" s="669" t="n"/>
      <c r="S423" s="669" t="n"/>
      <c r="T423" s="669" t="n"/>
      <c r="U423" s="669" t="n"/>
      <c r="V423" s="669" t="n"/>
      <c r="W423" s="669" t="n"/>
      <c r="X423" s="669" t="n"/>
      <c r="Y423" s="669" t="n"/>
      <c r="Z423" s="669" t="n"/>
    </row>
    <row r="424">
      <c r="A424" s="507" t="inlineStr">
        <is>
          <t>Theogony</t>
        </is>
      </c>
      <c r="B424" s="1037" t="inlineStr">
        <is>
          <t>AAA</t>
        </is>
      </c>
      <c r="C424" s="1037" t="inlineStr">
        <is>
          <t>FTH</t>
        </is>
      </c>
      <c r="D424" s="479" t="n">
        <v>360</v>
      </c>
      <c r="E424" s="934" t="n"/>
      <c r="F424" s="934" t="n"/>
      <c r="G424" s="934" t="n"/>
      <c r="H424" s="479" t="n">
        <v>30</v>
      </c>
      <c r="I424" s="255">
        <f>(D424+E424)/H424</f>
        <v/>
      </c>
      <c r="J424" s="256" t="inlineStr">
        <is>
          <t>Lottery Machine #2 (?%)</t>
        </is>
      </c>
      <c r="K424" s="669" t="n"/>
      <c r="L424" s="669" t="n"/>
      <c r="M424" s="669" t="n"/>
      <c r="N424" s="669" t="n"/>
      <c r="O424" s="669" t="n"/>
      <c r="P424" s="669" t="n"/>
      <c r="Q424" s="669" t="n"/>
      <c r="R424" s="669" t="n"/>
      <c r="S424" s="669" t="n"/>
      <c r="T424" s="669" t="n"/>
      <c r="U424" s="669" t="n"/>
      <c r="V424" s="669" t="n"/>
      <c r="W424" s="669" t="n"/>
      <c r="X424" s="669" t="n"/>
      <c r="Y424" s="669" t="n"/>
      <c r="Z424" s="669" t="n"/>
    </row>
    <row r="425">
      <c r="A425" s="246" t="inlineStr">
        <is>
          <t>Aeschylus Statue</t>
        </is>
      </c>
      <c r="B425" s="1037" t="inlineStr">
        <is>
          <t>Blue</t>
        </is>
      </c>
      <c r="C425" s="1037" t="inlineStr">
        <is>
          <t>ART</t>
        </is>
      </c>
      <c r="D425" s="210" t="n">
        <v>50</v>
      </c>
      <c r="E425" s="210" t="n">
        <v>50</v>
      </c>
      <c r="F425" s="209" t="n"/>
      <c r="G425" s="209" t="n"/>
      <c r="H425" s="210" t="n">
        <v>10</v>
      </c>
      <c r="I425" s="210">
        <f>(D425+E425)/H425</f>
        <v/>
      </c>
      <c r="J425" s="256" t="inlineStr">
        <is>
          <t>Lottery Machine #2 (?%)</t>
        </is>
      </c>
      <c r="K425" s="669" t="n"/>
      <c r="L425" s="669" t="n"/>
      <c r="M425" s="669" t="n"/>
      <c r="N425" s="669" t="n"/>
      <c r="O425" s="669" t="n"/>
      <c r="P425" s="669" t="n"/>
      <c r="Q425" s="669" t="n"/>
      <c r="R425" s="669" t="n"/>
      <c r="S425" s="669" t="n"/>
      <c r="T425" s="669" t="n"/>
      <c r="U425" s="669" t="n"/>
      <c r="V425" s="669" t="n"/>
      <c r="W425" s="669" t="n"/>
      <c r="X425" s="669" t="n"/>
      <c r="Y425" s="669" t="n"/>
      <c r="Z425" s="669" t="n"/>
    </row>
    <row r="426">
      <c r="A426" s="507" t="inlineStr">
        <is>
          <t>Eden Scepter</t>
        </is>
      </c>
      <c r="B426" s="1037" t="inlineStr">
        <is>
          <t>SSS</t>
        </is>
      </c>
      <c r="C426" s="1037" t="inlineStr">
        <is>
          <t>FTH</t>
        </is>
      </c>
      <c r="D426" s="934" t="n"/>
      <c r="E426" s="934" t="n"/>
      <c r="F426" s="479" t="n">
        <v>12</v>
      </c>
      <c r="G426" s="934" t="n"/>
      <c r="H426" s="934" t="n"/>
      <c r="I426" s="934" t="n"/>
      <c r="J426" s="390" t="inlineStr">
        <is>
          <t>Wish Box Relic #10</t>
        </is>
      </c>
      <c r="K426" s="669" t="n"/>
      <c r="L426" s="669" t="n"/>
      <c r="M426" s="669" t="n"/>
      <c r="N426" s="669" t="n"/>
      <c r="O426" s="669" t="n"/>
      <c r="P426" s="669" t="n"/>
      <c r="Q426" s="669" t="n"/>
      <c r="R426" s="669" t="n"/>
      <c r="S426" s="669" t="n"/>
      <c r="T426" s="669" t="n"/>
      <c r="U426" s="669" t="n"/>
      <c r="V426" s="669" t="n"/>
      <c r="W426" s="669" t="n"/>
      <c r="X426" s="669" t="n"/>
      <c r="Y426" s="669" t="n"/>
      <c r="Z426" s="669" t="n"/>
    </row>
    <row r="427">
      <c r="A427" s="507" t="inlineStr">
        <is>
          <t>Book of Vespa</t>
        </is>
      </c>
      <c r="B427" s="1037" t="inlineStr">
        <is>
          <t>SS</t>
        </is>
      </c>
      <c r="C427" s="1037" t="inlineStr">
        <is>
          <t>FTH</t>
        </is>
      </c>
      <c r="D427" s="934" t="n"/>
      <c r="E427" s="934" t="n"/>
      <c r="F427" s="479" t="n">
        <v>11</v>
      </c>
      <c r="G427" s="934" t="n"/>
      <c r="H427" s="934" t="n"/>
      <c r="I427" s="934" t="n"/>
      <c r="J427" s="390" t="inlineStr">
        <is>
          <t>Lottery Machine #3 (?%)</t>
        </is>
      </c>
      <c r="K427" s="669" t="n"/>
      <c r="L427" s="669" t="n"/>
      <c r="M427" s="669" t="n"/>
      <c r="N427" s="669" t="n"/>
      <c r="O427" s="669" t="n"/>
      <c r="P427" s="669" t="n"/>
      <c r="Q427" s="669" t="n"/>
      <c r="R427" s="669" t="n"/>
      <c r="S427" s="669" t="n"/>
      <c r="T427" s="669" t="n"/>
      <c r="U427" s="669" t="n"/>
      <c r="V427" s="669" t="n"/>
      <c r="W427" s="669" t="n"/>
      <c r="X427" s="669" t="n"/>
      <c r="Y427" s="669" t="n"/>
      <c r="Z427" s="669" t="n"/>
    </row>
    <row r="428">
      <c r="A428" s="507" t="inlineStr">
        <is>
          <t>Panther Brooch</t>
        </is>
      </c>
      <c r="B428" s="1037" t="inlineStr">
        <is>
          <t>SS</t>
        </is>
      </c>
      <c r="C428" s="1037" t="inlineStr">
        <is>
          <t>ART</t>
        </is>
      </c>
      <c r="D428" s="934" t="n"/>
      <c r="E428" s="934" t="n"/>
      <c r="F428" s="479" t="n">
        <v>11</v>
      </c>
      <c r="G428" s="934" t="n"/>
      <c r="H428" s="934" t="n"/>
      <c r="I428" s="934" t="n"/>
      <c r="J428" s="935" t="inlineStr">
        <is>
          <t>Lottery Machine #2 (?%)</t>
        </is>
      </c>
      <c r="K428" s="669" t="n"/>
      <c r="L428" s="669" t="n"/>
      <c r="M428" s="669" t="n"/>
      <c r="N428" s="669" t="n"/>
      <c r="O428" s="669" t="n"/>
      <c r="P428" s="669" t="n"/>
      <c r="Q428" s="669" t="n"/>
      <c r="R428" s="669" t="n"/>
      <c r="S428" s="669" t="n"/>
      <c r="T428" s="669" t="n"/>
      <c r="U428" s="669" t="n"/>
      <c r="V428" s="669" t="n"/>
      <c r="W428" s="669" t="n"/>
      <c r="X428" s="669" t="n"/>
      <c r="Y428" s="669" t="n"/>
      <c r="Z428" s="669" t="n"/>
    </row>
    <row r="429">
      <c r="A429" s="246" t="inlineStr">
        <is>
          <t>The Bell at St. Mura</t>
        </is>
      </c>
      <c r="B429" s="1037" t="inlineStr">
        <is>
          <t>AAA</t>
        </is>
      </c>
      <c r="C429" s="1037" t="inlineStr">
        <is>
          <t>FTH</t>
        </is>
      </c>
      <c r="D429" s="209" t="n"/>
      <c r="E429" s="209" t="n"/>
      <c r="F429" s="210" t="n">
        <v>9</v>
      </c>
      <c r="G429" s="209" t="n"/>
      <c r="H429" s="209" t="n"/>
      <c r="I429" s="209" t="n"/>
      <c r="J429" s="256" t="inlineStr">
        <is>
          <t>Rift Treasure Maps (10%)</t>
        </is>
      </c>
      <c r="K429" s="669" t="n"/>
      <c r="L429" s="669" t="n"/>
      <c r="M429" s="669" t="n"/>
      <c r="N429" s="669" t="n"/>
      <c r="O429" s="669" t="n"/>
      <c r="P429" s="669" t="n"/>
      <c r="Q429" s="669" t="n"/>
      <c r="R429" s="669" t="n"/>
      <c r="S429" s="669" t="n"/>
      <c r="T429" s="669" t="n"/>
      <c r="U429" s="669" t="n"/>
      <c r="V429" s="669" t="n"/>
      <c r="W429" s="669" t="n"/>
      <c r="X429" s="669" t="n"/>
      <c r="Y429" s="669" t="n"/>
      <c r="Z429" s="669" t="n"/>
    </row>
    <row r="430">
      <c r="A430" s="507" t="inlineStr">
        <is>
          <t>Stone of Destiny</t>
        </is>
      </c>
      <c r="B430" s="1037" t="inlineStr">
        <is>
          <t>Blue</t>
        </is>
      </c>
      <c r="C430" s="1037" t="inlineStr">
        <is>
          <t>FTH</t>
        </is>
      </c>
      <c r="D430" s="934" t="n"/>
      <c r="E430" s="934" t="n"/>
      <c r="F430" s="479" t="n">
        <v>5</v>
      </c>
      <c r="G430" s="479" t="n">
        <v>5</v>
      </c>
      <c r="H430" s="934" t="n"/>
      <c r="I430" s="934" t="n"/>
      <c r="J430" s="390" t="inlineStr">
        <is>
          <t>Lottery Machine #3 (?%)</t>
        </is>
      </c>
      <c r="K430" s="669" t="n"/>
      <c r="L430" s="669" t="n"/>
      <c r="M430" s="669" t="n"/>
      <c r="N430" s="669" t="n"/>
      <c r="O430" s="669" t="n"/>
      <c r="P430" s="669" t="n"/>
      <c r="Q430" s="669" t="n"/>
      <c r="R430" s="669" t="n"/>
      <c r="S430" s="669" t="n"/>
      <c r="T430" s="669" t="n"/>
      <c r="U430" s="669" t="n"/>
      <c r="V430" s="669" t="n"/>
      <c r="W430" s="669" t="n"/>
      <c r="X430" s="669" t="n"/>
      <c r="Y430" s="669" t="n"/>
      <c r="Z430" s="669" t="n"/>
    </row>
    <row r="431">
      <c r="A431" s="507" t="inlineStr">
        <is>
          <t>Earthly Delight Garden</t>
        </is>
      </c>
      <c r="B431" s="1037" t="inlineStr">
        <is>
          <t>Blue</t>
        </is>
      </c>
      <c r="C431" s="1037" t="inlineStr">
        <is>
          <t>ART</t>
        </is>
      </c>
      <c r="D431" s="934" t="n"/>
      <c r="E431" s="934" t="n"/>
      <c r="F431" s="479" t="n">
        <v>5</v>
      </c>
      <c r="G431" s="479" t="n">
        <v>5</v>
      </c>
      <c r="H431" s="934" t="n"/>
      <c r="I431" s="934" t="n"/>
      <c r="J431" s="935" t="inlineStr">
        <is>
          <t>Lottery Machine #2 (?%)</t>
        </is>
      </c>
      <c r="K431" s="669" t="n"/>
      <c r="L431" s="669" t="n"/>
      <c r="M431" s="669" t="n"/>
      <c r="N431" s="669" t="n"/>
      <c r="O431" s="669" t="n"/>
      <c r="P431" s="669" t="n"/>
      <c r="Q431" s="669" t="n"/>
      <c r="R431" s="669" t="n"/>
      <c r="S431" s="669" t="n"/>
      <c r="T431" s="669" t="n"/>
      <c r="U431" s="669" t="n"/>
      <c r="V431" s="669" t="n"/>
      <c r="W431" s="669" t="n"/>
      <c r="X431" s="669" t="n"/>
      <c r="Y431" s="669" t="n"/>
      <c r="Z431" s="669" t="n"/>
    </row>
    <row r="432">
      <c r="A432" s="257" t="n"/>
      <c r="B432" s="209" t="n"/>
      <c r="C432" s="934" t="n"/>
      <c r="D432" s="209" t="n"/>
      <c r="E432" s="209" t="n"/>
      <c r="F432" s="209" t="n"/>
      <c r="G432" s="209" t="n"/>
      <c r="H432" s="209" t="n"/>
      <c r="I432" s="209" t="n"/>
      <c r="J432" s="256" t="n"/>
      <c r="K432" s="669" t="n"/>
      <c r="L432" s="669" t="n"/>
      <c r="M432" s="669" t="n"/>
      <c r="N432" s="669" t="n"/>
      <c r="O432" s="669" t="n"/>
      <c r="P432" s="669" t="n"/>
      <c r="Q432" s="669" t="n"/>
      <c r="R432" s="669" t="n"/>
      <c r="S432" s="669" t="n"/>
      <c r="T432" s="669" t="n"/>
      <c r="U432" s="669" t="n"/>
      <c r="V432" s="669" t="n"/>
      <c r="W432" s="669" t="n"/>
      <c r="X432" s="669" t="n"/>
      <c r="Y432" s="669" t="n"/>
      <c r="Z432" s="669" t="n"/>
    </row>
    <row r="433">
      <c r="A433" s="507" t="inlineStr">
        <is>
          <t>Resonance: Blue</t>
        </is>
      </c>
      <c r="B433" s="934" t="n"/>
      <c r="C433" s="934" t="n"/>
      <c r="D433" s="479" t="n">
        <v>50</v>
      </c>
      <c r="E433" s="934" t="n"/>
      <c r="F433" s="934" t="n"/>
      <c r="G433" s="934" t="n"/>
      <c r="H433" s="479" t="n">
        <v>10</v>
      </c>
      <c r="I433" s="479">
        <f>(D433+E433)/H433</f>
        <v/>
      </c>
      <c r="J433" s="935" t="n"/>
      <c r="K433" s="669" t="n"/>
      <c r="L433" s="669" t="n"/>
      <c r="M433" s="669" t="n"/>
      <c r="N433" s="669" t="n"/>
      <c r="O433" s="669" t="n"/>
      <c r="P433" s="669" t="n"/>
      <c r="Q433" s="669" t="n"/>
      <c r="R433" s="669" t="n"/>
      <c r="S433" s="669" t="n"/>
      <c r="T433" s="669" t="n"/>
      <c r="U433" s="669" t="n"/>
      <c r="V433" s="669" t="n"/>
      <c r="W433" s="669" t="n"/>
      <c r="X433" s="669" t="n"/>
      <c r="Y433" s="669" t="n"/>
      <c r="Z433" s="669" t="n"/>
    </row>
    <row r="434">
      <c r="A434" s="246" t="inlineStr">
        <is>
          <t xml:space="preserve">  The Knotted Pistol</t>
        </is>
      </c>
      <c r="B434" s="1037" t="inlineStr">
        <is>
          <t>Blue</t>
        </is>
      </c>
      <c r="C434" s="1037" t="inlineStr">
        <is>
          <t>FAME</t>
        </is>
      </c>
      <c r="D434" s="209" t="n"/>
      <c r="E434" s="209" t="n"/>
      <c r="F434" s="209" t="n"/>
      <c r="G434" s="209" t="n"/>
      <c r="H434" s="209" t="n"/>
      <c r="I434" s="209" t="n"/>
      <c r="J434" s="256" t="inlineStr">
        <is>
          <t>Lottery Machine #2 (?%)</t>
        </is>
      </c>
      <c r="K434" s="669" t="n"/>
      <c r="L434" s="669" t="n"/>
      <c r="M434" s="669" t="n"/>
      <c r="N434" s="669" t="n"/>
      <c r="O434" s="669" t="n"/>
      <c r="P434" s="669" t="n"/>
      <c r="Q434" s="669" t="n"/>
      <c r="R434" s="669" t="n"/>
      <c r="S434" s="669" t="n"/>
      <c r="T434" s="669" t="n"/>
      <c r="U434" s="669" t="n"/>
      <c r="V434" s="669" t="n"/>
      <c r="W434" s="669" t="n"/>
      <c r="X434" s="669" t="n"/>
      <c r="Y434" s="669" t="n"/>
      <c r="Z434" s="669" t="n"/>
    </row>
    <row r="435">
      <c r="A435" s="507" t="inlineStr">
        <is>
          <t xml:space="preserve">  The Final Communique</t>
        </is>
      </c>
      <c r="B435" s="1037" t="inlineStr">
        <is>
          <t>Blue</t>
        </is>
      </c>
      <c r="C435" s="1037" t="inlineStr">
        <is>
          <t>FAME</t>
        </is>
      </c>
      <c r="D435" s="934" t="n"/>
      <c r="E435" s="934" t="n"/>
      <c r="F435" s="934" t="n"/>
      <c r="G435" s="934" t="n"/>
      <c r="H435" s="934" t="n"/>
      <c r="I435" s="934" t="n"/>
      <c r="J435" s="935" t="inlineStr">
        <is>
          <t>Lottery Machine #2 (?%)</t>
        </is>
      </c>
      <c r="K435" s="669" t="n"/>
      <c r="L435" s="669" t="n"/>
      <c r="M435" s="669" t="n"/>
      <c r="N435" s="669" t="n"/>
      <c r="O435" s="669" t="n"/>
      <c r="P435" s="669" t="n"/>
      <c r="Q435" s="669" t="n"/>
      <c r="R435" s="669" t="n"/>
      <c r="S435" s="669" t="n"/>
      <c r="T435" s="669" t="n"/>
      <c r="U435" s="669" t="n"/>
      <c r="V435" s="669" t="n"/>
      <c r="W435" s="669" t="n"/>
      <c r="X435" s="669" t="n"/>
      <c r="Y435" s="669" t="n"/>
      <c r="Z435" s="669" t="n"/>
    </row>
    <row r="436">
      <c r="A436" s="246" t="inlineStr">
        <is>
          <t>Resonance: Purple</t>
        </is>
      </c>
      <c r="B436" s="209" t="n"/>
      <c r="C436" s="209" t="n"/>
      <c r="D436" s="209" t="n"/>
      <c r="E436" s="209" t="n"/>
      <c r="F436" s="210" t="n">
        <v>6</v>
      </c>
      <c r="G436" s="209" t="n"/>
      <c r="H436" s="209" t="n"/>
      <c r="I436" s="209" t="n"/>
      <c r="J436" s="256" t="n"/>
      <c r="K436" s="669" t="n"/>
      <c r="L436" s="669" t="n"/>
      <c r="M436" s="669" t="n"/>
      <c r="N436" s="669" t="n"/>
      <c r="O436" s="669" t="n"/>
      <c r="P436" s="669" t="n"/>
      <c r="Q436" s="669" t="n"/>
      <c r="R436" s="669" t="n"/>
      <c r="S436" s="669" t="n"/>
      <c r="T436" s="669" t="n"/>
      <c r="U436" s="669" t="n"/>
      <c r="V436" s="669" t="n"/>
      <c r="W436" s="669" t="n"/>
      <c r="X436" s="669" t="n"/>
      <c r="Y436" s="669" t="n"/>
      <c r="Z436" s="669" t="n"/>
    </row>
    <row r="437">
      <c r="A437" s="507" t="inlineStr">
        <is>
          <t xml:space="preserve">  The Bell at St. Mura</t>
        </is>
      </c>
      <c r="B437" s="1037" t="inlineStr">
        <is>
          <t>AAA</t>
        </is>
      </c>
      <c r="C437" s="1037" t="inlineStr">
        <is>
          <t>FTH</t>
        </is>
      </c>
      <c r="D437" s="934" t="n"/>
      <c r="E437" s="934" t="n"/>
      <c r="F437" s="934" t="n"/>
      <c r="G437" s="934" t="n"/>
      <c r="H437" s="934" t="n"/>
      <c r="I437" s="934" t="n"/>
      <c r="J437" s="935" t="inlineStr">
        <is>
          <t>Rift Treasure Maps (10%)</t>
        </is>
      </c>
      <c r="K437" s="669" t="n"/>
      <c r="L437" s="669" t="n"/>
      <c r="M437" s="669" t="n"/>
      <c r="N437" s="669" t="n"/>
      <c r="O437" s="669" t="n"/>
      <c r="P437" s="669" t="n"/>
      <c r="Q437" s="669" t="n"/>
      <c r="R437" s="669" t="n"/>
      <c r="S437" s="669" t="n"/>
      <c r="T437" s="669" t="n"/>
      <c r="U437" s="669" t="n"/>
      <c r="V437" s="669" t="n"/>
      <c r="W437" s="669" t="n"/>
      <c r="X437" s="669" t="n"/>
      <c r="Y437" s="669" t="n"/>
      <c r="Z437" s="669" t="n"/>
    </row>
    <row r="438">
      <c r="A438" s="246" t="inlineStr">
        <is>
          <t xml:space="preserve">  Divination Book</t>
        </is>
      </c>
      <c r="B438" s="1037" t="inlineStr">
        <is>
          <t>AAA</t>
        </is>
      </c>
      <c r="C438" s="1037" t="inlineStr">
        <is>
          <t>FTH</t>
        </is>
      </c>
      <c r="D438" s="209" t="n"/>
      <c r="E438" s="209" t="n"/>
      <c r="F438" s="209" t="n"/>
      <c r="G438" s="209" t="n"/>
      <c r="H438" s="209" t="n"/>
      <c r="I438" s="209" t="n"/>
      <c r="J438" s="256" t="inlineStr">
        <is>
          <t>Lottery Machine #2 (?%)</t>
        </is>
      </c>
      <c r="K438" s="669" t="n"/>
      <c r="L438" s="669" t="n"/>
      <c r="M438" s="669" t="n"/>
      <c r="N438" s="669" t="n"/>
      <c r="O438" s="669" t="n"/>
      <c r="P438" s="669" t="n"/>
      <c r="Q438" s="669" t="n"/>
      <c r="R438" s="669" t="n"/>
      <c r="S438" s="669" t="n"/>
      <c r="T438" s="669" t="n"/>
      <c r="U438" s="669" t="n"/>
      <c r="V438" s="669" t="n"/>
      <c r="W438" s="669" t="n"/>
      <c r="X438" s="669" t="n"/>
      <c r="Y438" s="669" t="n"/>
      <c r="Z438" s="669" t="n"/>
    </row>
    <row r="439">
      <c r="A439" s="955" t="inlineStr">
        <is>
          <t>TOTAL HP</t>
        </is>
      </c>
      <c r="B439" s="946" t="n"/>
      <c r="C439" s="946" t="n"/>
      <c r="D439" s="946" t="n"/>
      <c r="E439" s="946" t="n"/>
      <c r="F439" s="260">
        <f>sum(F422:G438)</f>
        <v/>
      </c>
      <c r="G439" s="946" t="n"/>
      <c r="H439" s="946" t="n"/>
      <c r="I439" s="261">
        <f>sum(I422:I438)</f>
        <v/>
      </c>
      <c r="J439" s="947" t="n"/>
      <c r="K439" s="669" t="n"/>
      <c r="L439" s="669" t="n"/>
      <c r="M439" s="669" t="n"/>
      <c r="N439" s="669" t="n"/>
      <c r="O439" s="669" t="n"/>
      <c r="P439" s="669" t="n"/>
      <c r="Q439" s="669" t="n"/>
      <c r="R439" s="669" t="n"/>
      <c r="S439" s="669" t="n"/>
      <c r="T439" s="669" t="n"/>
      <c r="U439" s="669" t="n"/>
      <c r="V439" s="669" t="n"/>
      <c r="W439" s="669" t="n"/>
      <c r="X439" s="669" t="n"/>
      <c r="Y439" s="669" t="n"/>
      <c r="Z439" s="669" t="n"/>
    </row>
    <row r="440">
      <c r="A440" s="825" t="n"/>
      <c r="B440" s="1037" t="n"/>
      <c r="C440" s="1037" t="n"/>
      <c r="D440" s="1037" t="n"/>
      <c r="E440" s="1037" t="n"/>
      <c r="F440" s="1037" t="n"/>
      <c r="G440" s="1037" t="n"/>
      <c r="H440" s="1037" t="n"/>
      <c r="I440" s="1037" t="n"/>
      <c r="J440" s="386" t="n"/>
      <c r="K440" s="669" t="n"/>
      <c r="L440" s="669" t="n"/>
      <c r="M440" s="669" t="n"/>
      <c r="N440" s="669" t="n"/>
      <c r="O440" s="669" t="n"/>
      <c r="P440" s="669" t="n"/>
      <c r="Q440" s="669" t="n"/>
      <c r="R440" s="669" t="n"/>
      <c r="S440" s="669" t="n"/>
      <c r="T440" s="669" t="n"/>
      <c r="U440" s="669" t="n"/>
      <c r="V440" s="669" t="n"/>
      <c r="W440" s="669" t="n"/>
      <c r="X440" s="669" t="n"/>
      <c r="Y440" s="669" t="n"/>
      <c r="Z440" s="669" t="n"/>
    </row>
    <row r="441">
      <c r="A441" s="383" t="n"/>
      <c r="B441" s="1079" t="n"/>
      <c r="C441" s="1079" t="n"/>
      <c r="D441" s="1079" t="n"/>
      <c r="E441" s="1079" t="n"/>
      <c r="F441" s="1079" t="n"/>
      <c r="G441" s="1079" t="n"/>
      <c r="H441" s="1079" t="n"/>
      <c r="I441" s="1079" t="n"/>
      <c r="J441" s="970" t="n"/>
      <c r="K441" s="669" t="n"/>
      <c r="L441" s="669" t="n"/>
      <c r="M441" s="669" t="n"/>
      <c r="N441" s="669" t="n"/>
      <c r="O441" s="669" t="n"/>
      <c r="P441" s="669" t="n"/>
      <c r="Q441" s="669" t="n"/>
      <c r="R441" s="669" t="n"/>
      <c r="S441" s="669" t="n"/>
      <c r="T441" s="669" t="n"/>
      <c r="U441" s="669" t="n"/>
      <c r="V441" s="669" t="n"/>
      <c r="W441" s="669" t="n"/>
      <c r="X441" s="669" t="n"/>
      <c r="Y441" s="669" t="n"/>
      <c r="Z441" s="669" t="n"/>
    </row>
    <row r="442">
      <c r="A442" s="282" t="inlineStr">
        <is>
          <t>ATK</t>
        </is>
      </c>
      <c r="B442" s="283" t="inlineStr">
        <is>
          <t>Rarity</t>
        </is>
      </c>
      <c r="C442" s="283" t="inlineStr">
        <is>
          <t>Type</t>
        </is>
      </c>
      <c r="D442" s="283" t="inlineStr">
        <is>
          <t>Base</t>
        </is>
      </c>
      <c r="E442" s="283" t="inlineStr">
        <is>
          <t>Awakening Base</t>
        </is>
      </c>
      <c r="F442" s="283" t="inlineStr">
        <is>
          <t>Percentage</t>
        </is>
      </c>
      <c r="G442" s="283" t="inlineStr">
        <is>
          <t>Awakening Percentage</t>
        </is>
      </c>
      <c r="H442" s="283" t="inlineStr">
        <is>
          <t>Per Minion</t>
        </is>
      </c>
      <c r="I442" s="283" t="inlineStr">
        <is>
          <t>Per Minion Boost</t>
        </is>
      </c>
      <c r="J442" s="253" t="inlineStr">
        <is>
          <t>Source</t>
        </is>
      </c>
      <c r="K442" s="669" t="n"/>
      <c r="L442" s="669" t="n"/>
      <c r="M442" s="669" t="n"/>
      <c r="N442" s="669" t="n"/>
      <c r="O442" s="669" t="n"/>
      <c r="P442" s="669" t="n"/>
      <c r="Q442" s="669" t="n"/>
      <c r="R442" s="669" t="n"/>
      <c r="S442" s="669" t="n"/>
      <c r="T442" s="669" t="n"/>
      <c r="U442" s="669" t="n"/>
      <c r="V442" s="669" t="n"/>
      <c r="W442" s="669" t="n"/>
      <c r="X442" s="669" t="n"/>
      <c r="Y442" s="669" t="n"/>
      <c r="Z442" s="669" t="n"/>
    </row>
    <row r="443">
      <c r="A443" s="507" t="inlineStr">
        <is>
          <t>Creation of Adam</t>
        </is>
      </c>
      <c r="B443" s="1037" t="inlineStr">
        <is>
          <t>SSS</t>
        </is>
      </c>
      <c r="C443" s="1037" t="inlineStr">
        <is>
          <t>CIV</t>
        </is>
      </c>
      <c r="D443" s="267" t="n">
        <v>90</v>
      </c>
      <c r="E443" s="267" t="n">
        <v>90</v>
      </c>
      <c r="F443" s="934" t="n"/>
      <c r="G443" s="934" t="n"/>
      <c r="H443" s="267" t="n">
        <v>60</v>
      </c>
      <c r="I443" s="479">
        <f>(D443+E443)/H443</f>
        <v/>
      </c>
      <c r="J443" s="935" t="inlineStr">
        <is>
          <t>Lottery Machine #1 (0.09%), Wishing (0.08%), Grandmaster Scrolls (0.77%)</t>
        </is>
      </c>
      <c r="K443" s="669" t="n"/>
      <c r="L443" s="669" t="n"/>
      <c r="M443" s="669" t="n"/>
      <c r="N443" s="669" t="n"/>
      <c r="O443" s="669" t="n"/>
      <c r="P443" s="669" t="n"/>
      <c r="Q443" s="669" t="n"/>
      <c r="R443" s="669" t="n"/>
      <c r="S443" s="669" t="n"/>
      <c r="T443" s="669" t="n"/>
      <c r="U443" s="669" t="n"/>
      <c r="V443" s="669" t="n"/>
      <c r="W443" s="669" t="n"/>
      <c r="X443" s="669" t="n"/>
      <c r="Y443" s="669" t="n"/>
      <c r="Z443" s="669" t="n"/>
    </row>
    <row r="444">
      <c r="A444" s="246" t="inlineStr">
        <is>
          <t>Theogony</t>
        </is>
      </c>
      <c r="B444" s="1037" t="inlineStr">
        <is>
          <t>AAA</t>
        </is>
      </c>
      <c r="C444" s="1037" t="inlineStr">
        <is>
          <t>FTH</t>
        </is>
      </c>
      <c r="D444" s="210" t="n">
        <v>36</v>
      </c>
      <c r="E444" s="210" t="n">
        <v>28</v>
      </c>
      <c r="F444" s="209" t="n"/>
      <c r="G444" s="209" t="n"/>
      <c r="H444" s="210" t="n">
        <v>30</v>
      </c>
      <c r="I444" s="200">
        <f>(D444+E444)/H444</f>
        <v/>
      </c>
      <c r="J444" s="256" t="inlineStr">
        <is>
          <t>Lottery Machine #2 (?%)</t>
        </is>
      </c>
      <c r="K444" s="669" t="n"/>
      <c r="L444" s="669" t="n"/>
      <c r="M444" s="669" t="n"/>
      <c r="N444" s="669" t="n"/>
      <c r="O444" s="669" t="n"/>
      <c r="P444" s="669" t="n"/>
      <c r="Q444" s="669" t="n"/>
      <c r="R444" s="669" t="n"/>
      <c r="S444" s="669" t="n"/>
      <c r="T444" s="669" t="n"/>
      <c r="U444" s="669" t="n"/>
      <c r="V444" s="669" t="n"/>
      <c r="W444" s="669" t="n"/>
      <c r="X444" s="669" t="n"/>
      <c r="Y444" s="669" t="n"/>
      <c r="Z444" s="669" t="n"/>
    </row>
    <row r="445">
      <c r="A445" s="507" t="inlineStr">
        <is>
          <t>Vedas</t>
        </is>
      </c>
      <c r="B445" s="1037" t="inlineStr">
        <is>
          <t>SSS</t>
        </is>
      </c>
      <c r="C445" s="1037" t="inlineStr">
        <is>
          <t>ART</t>
        </is>
      </c>
      <c r="D445" s="479" t="n">
        <v>108</v>
      </c>
      <c r="E445" s="934" t="n"/>
      <c r="F445" s="934" t="n"/>
      <c r="G445" s="934" t="n"/>
      <c r="H445" s="210" t="n">
        <v>60</v>
      </c>
      <c r="I445" s="200">
        <f>(D445+E445)/H445</f>
        <v/>
      </c>
      <c r="J445" s="935" t="inlineStr">
        <is>
          <t>Lottery Machine #2 (0.12%)</t>
        </is>
      </c>
      <c r="K445" s="669" t="n"/>
      <c r="L445" s="669" t="n"/>
      <c r="M445" s="669" t="n"/>
      <c r="N445" s="669" t="n"/>
      <c r="O445" s="669" t="n"/>
      <c r="P445" s="669" t="n"/>
      <c r="Q445" s="669" t="n"/>
      <c r="R445" s="669" t="n"/>
      <c r="S445" s="669" t="n"/>
      <c r="T445" s="669" t="n"/>
      <c r="U445" s="669" t="n"/>
      <c r="V445" s="669" t="n"/>
      <c r="W445" s="669" t="n"/>
      <c r="X445" s="669" t="n"/>
      <c r="Y445" s="669" t="n"/>
      <c r="Z445" s="669" t="n"/>
    </row>
    <row r="446">
      <c r="A446" s="507" t="inlineStr">
        <is>
          <t>True Cross</t>
        </is>
      </c>
      <c r="B446" s="1037" t="inlineStr">
        <is>
          <t>SSS</t>
        </is>
      </c>
      <c r="C446" s="1037" t="inlineStr">
        <is>
          <t>FTH</t>
        </is>
      </c>
      <c r="D446" s="479" t="n">
        <v>90</v>
      </c>
      <c r="E446" s="934" t="n"/>
      <c r="F446" s="934" t="n"/>
      <c r="G446" s="934" t="n"/>
      <c r="H446" s="479" t="n">
        <v>60</v>
      </c>
      <c r="I446" s="479">
        <f>(D446+E446)/H446</f>
        <v/>
      </c>
      <c r="J446" s="1095" t="inlineStr">
        <is>
          <t>Oracle Hall (Earth's Will Cabin) Reward</t>
        </is>
      </c>
      <c r="K446" s="669" t="n"/>
      <c r="L446" s="669" t="n"/>
      <c r="M446" s="669" t="n"/>
      <c r="N446" s="669" t="n"/>
      <c r="O446" s="669" t="n"/>
      <c r="P446" s="669" t="n"/>
      <c r="Q446" s="669" t="n"/>
      <c r="R446" s="669" t="n"/>
      <c r="S446" s="669" t="n"/>
      <c r="T446" s="669" t="n"/>
      <c r="U446" s="669" t="n"/>
      <c r="V446" s="669" t="n"/>
      <c r="W446" s="669" t="n"/>
      <c r="X446" s="669" t="n"/>
      <c r="Y446" s="669" t="n"/>
      <c r="Z446" s="669" t="n"/>
    </row>
    <row r="447">
      <c r="A447" s="507" t="inlineStr">
        <is>
          <t>Jade Cup</t>
        </is>
      </c>
      <c r="B447" s="1037" t="inlineStr">
        <is>
          <t>AAA</t>
        </is>
      </c>
      <c r="C447" s="1037" t="inlineStr">
        <is>
          <t>ART</t>
        </is>
      </c>
      <c r="D447" s="267" t="n">
        <v>28</v>
      </c>
      <c r="E447" s="267" t="n"/>
      <c r="F447" s="934" t="n"/>
      <c r="G447" s="934" t="n"/>
      <c r="H447" s="267" t="n">
        <v>30</v>
      </c>
      <c r="I447" s="255">
        <f>(D447+E447)/H447</f>
        <v/>
      </c>
      <c r="J447" s="935" t="inlineStr">
        <is>
          <t>Fragment Crafting (1.6%), Lottery Machine #1 (0.03%), Wishing (0.14%), Relic Forge (80 Relic RF)</t>
        </is>
      </c>
      <c r="K447" s="669" t="n"/>
      <c r="L447" s="669" t="n"/>
      <c r="M447" s="669" t="n"/>
      <c r="N447" s="669" t="n"/>
      <c r="O447" s="669" t="n"/>
      <c r="P447" s="669" t="n"/>
      <c r="Q447" s="669" t="n"/>
      <c r="R447" s="669" t="n"/>
      <c r="S447" s="669" t="n"/>
      <c r="T447" s="669" t="n"/>
      <c r="U447" s="669" t="n"/>
      <c r="V447" s="669" t="n"/>
      <c r="W447" s="669" t="n"/>
      <c r="X447" s="669" t="n"/>
      <c r="Y447" s="669" t="n"/>
      <c r="Z447" s="669" t="n"/>
    </row>
    <row r="448">
      <c r="A448" s="507" t="inlineStr">
        <is>
          <t>Draupnir</t>
        </is>
      </c>
      <c r="B448" s="1037" t="inlineStr">
        <is>
          <t>SSS</t>
        </is>
      </c>
      <c r="C448" s="1037" t="inlineStr">
        <is>
          <t>FTH</t>
        </is>
      </c>
      <c r="D448" s="934" t="n"/>
      <c r="E448" s="934" t="n"/>
      <c r="F448" s="267" t="n">
        <v>12</v>
      </c>
      <c r="G448" s="934" t="n"/>
      <c r="H448" s="934" t="n"/>
      <c r="I448" s="270" t="n"/>
      <c r="J448" s="390" t="inlineStr">
        <is>
          <t>Daily Pack Relic #42</t>
        </is>
      </c>
      <c r="K448" s="669" t="n"/>
      <c r="L448" s="669" t="n"/>
      <c r="M448" s="669" t="n"/>
      <c r="N448" s="669" t="n"/>
      <c r="O448" s="669" t="n"/>
      <c r="P448" s="669" t="n"/>
      <c r="Q448" s="669" t="n"/>
      <c r="R448" s="669" t="n"/>
      <c r="S448" s="669" t="n"/>
      <c r="T448" s="669" t="n"/>
      <c r="U448" s="669" t="n"/>
      <c r="V448" s="669" t="n"/>
      <c r="W448" s="669" t="n"/>
      <c r="X448" s="669" t="n"/>
      <c r="Y448" s="669" t="n"/>
      <c r="Z448" s="669" t="n"/>
    </row>
    <row r="449">
      <c r="A449" s="507" t="inlineStr">
        <is>
          <t>Kanner's Report</t>
        </is>
      </c>
      <c r="B449" s="1037" t="inlineStr">
        <is>
          <t>SSS</t>
        </is>
      </c>
      <c r="C449" s="1037" t="inlineStr">
        <is>
          <t>FAME</t>
        </is>
      </c>
      <c r="D449" s="934" t="n"/>
      <c r="E449" s="934" t="n"/>
      <c r="F449" s="267" t="n">
        <v>12</v>
      </c>
      <c r="G449" s="934" t="n"/>
      <c r="H449" s="934" t="n"/>
      <c r="I449" s="270" t="n"/>
      <c r="J449" s="386" t="inlineStr">
        <is>
          <t>Lottery Machine #2 (0.11%)</t>
        </is>
      </c>
      <c r="K449" s="669" t="n"/>
      <c r="L449" s="669" t="n"/>
      <c r="M449" s="669" t="n"/>
      <c r="N449" s="669" t="n"/>
      <c r="O449" s="669" t="n"/>
      <c r="P449" s="669" t="n"/>
      <c r="Q449" s="669" t="n"/>
      <c r="R449" s="669" t="n"/>
      <c r="S449" s="669" t="n"/>
      <c r="T449" s="669" t="n"/>
      <c r="U449" s="669" t="n"/>
      <c r="V449" s="669" t="n"/>
      <c r="W449" s="669" t="n"/>
      <c r="X449" s="669" t="n"/>
      <c r="Y449" s="669" t="n"/>
      <c r="Z449" s="669" t="n"/>
    </row>
    <row r="450">
      <c r="A450" s="507" t="inlineStr">
        <is>
          <t>Nightingale Medal</t>
        </is>
      </c>
      <c r="B450" s="1037" t="inlineStr">
        <is>
          <t>SSS</t>
        </is>
      </c>
      <c r="C450" s="1037" t="inlineStr">
        <is>
          <t>FAME</t>
        </is>
      </c>
      <c r="D450" s="934" t="n"/>
      <c r="E450" s="934" t="n"/>
      <c r="F450" s="267" t="n">
        <v>12</v>
      </c>
      <c r="G450" s="934" t="n"/>
      <c r="H450" s="934" t="n"/>
      <c r="I450" s="270" t="n"/>
      <c r="J450" s="935" t="inlineStr">
        <is>
          <t>Lottery Machine #2 (0.12%)</t>
        </is>
      </c>
      <c r="K450" s="669" t="n"/>
      <c r="L450" s="669" t="n"/>
      <c r="M450" s="669" t="n"/>
      <c r="N450" s="669" t="n"/>
      <c r="O450" s="669" t="n"/>
      <c r="P450" s="669" t="n"/>
      <c r="Q450" s="669" t="n"/>
      <c r="R450" s="669" t="n"/>
      <c r="S450" s="669" t="n"/>
      <c r="T450" s="669" t="n"/>
      <c r="U450" s="669" t="n"/>
      <c r="V450" s="669" t="n"/>
      <c r="W450" s="669" t="n"/>
      <c r="X450" s="669" t="n"/>
      <c r="Y450" s="669" t="n"/>
      <c r="Z450" s="669" t="n"/>
    </row>
    <row r="451">
      <c r="A451" s="246" t="inlineStr">
        <is>
          <t>Etana Story</t>
        </is>
      </c>
      <c r="B451" s="1037" t="inlineStr">
        <is>
          <t>S</t>
        </is>
      </c>
      <c r="C451" s="1037" t="inlineStr">
        <is>
          <t>FTH</t>
        </is>
      </c>
      <c r="D451" s="209" t="n"/>
      <c r="E451" s="209" t="n"/>
      <c r="F451" s="268" t="n">
        <v>10</v>
      </c>
      <c r="G451" s="209" t="n"/>
      <c r="H451" s="209" t="n"/>
      <c r="I451" s="269" t="n"/>
      <c r="J451" s="390" t="inlineStr">
        <is>
          <t>Lottery Machine #3 (?%)</t>
        </is>
      </c>
      <c r="K451" s="669" t="n"/>
      <c r="L451" s="669" t="n"/>
      <c r="M451" s="669" t="n"/>
      <c r="N451" s="669" t="n"/>
      <c r="O451" s="669" t="n"/>
      <c r="P451" s="669" t="n"/>
      <c r="Q451" s="669" t="n"/>
      <c r="R451" s="669" t="n"/>
      <c r="S451" s="669" t="n"/>
      <c r="T451" s="669" t="n"/>
      <c r="U451" s="669" t="n"/>
      <c r="V451" s="669" t="n"/>
      <c r="W451" s="669" t="n"/>
      <c r="X451" s="669" t="n"/>
      <c r="Y451" s="669" t="n"/>
      <c r="Z451" s="669" t="n"/>
    </row>
    <row r="452">
      <c r="A452" s="246" t="inlineStr">
        <is>
          <t>Portrait of Innocent X</t>
        </is>
      </c>
      <c r="B452" s="1037" t="inlineStr">
        <is>
          <t>AAA</t>
        </is>
      </c>
      <c r="C452" s="1037" t="inlineStr">
        <is>
          <t>ART</t>
        </is>
      </c>
      <c r="D452" s="209" t="n"/>
      <c r="E452" s="209" t="n"/>
      <c r="F452" s="268" t="n">
        <v>9</v>
      </c>
      <c r="G452" s="209" t="n"/>
      <c r="H452" s="209" t="n"/>
      <c r="I452" s="269" t="n"/>
      <c r="J452" s="256" t="inlineStr">
        <is>
          <t>Lottery Machine #2 (?%)</t>
        </is>
      </c>
      <c r="K452" s="669" t="n"/>
      <c r="L452" s="669" t="n"/>
      <c r="M452" s="669" t="n"/>
      <c r="N452" s="669" t="n"/>
      <c r="O452" s="669" t="n"/>
      <c r="P452" s="669" t="n"/>
      <c r="Q452" s="669" t="n"/>
      <c r="R452" s="669" t="n"/>
      <c r="S452" s="669" t="n"/>
      <c r="T452" s="669" t="n"/>
      <c r="U452" s="669" t="n"/>
      <c r="V452" s="669" t="n"/>
      <c r="W452" s="669" t="n"/>
      <c r="X452" s="669" t="n"/>
      <c r="Y452" s="669" t="n"/>
      <c r="Z452" s="669" t="n"/>
    </row>
    <row r="453">
      <c r="A453" s="246" t="inlineStr">
        <is>
          <t>Valaroma</t>
        </is>
      </c>
      <c r="B453" s="1037" t="inlineStr">
        <is>
          <t>AAA</t>
        </is>
      </c>
      <c r="C453" s="1037" t="inlineStr">
        <is>
          <t>FTH</t>
        </is>
      </c>
      <c r="D453" s="209" t="n"/>
      <c r="E453" s="209" t="n"/>
      <c r="F453" s="268" t="n">
        <v>9</v>
      </c>
      <c r="G453" s="209" t="n"/>
      <c r="H453" s="209" t="n"/>
      <c r="I453" s="269" t="n"/>
      <c r="J453" s="281" t="inlineStr">
        <is>
          <t>Lottery Box Relic #3</t>
        </is>
      </c>
      <c r="K453" s="669" t="n"/>
      <c r="L453" s="669" t="n"/>
      <c r="M453" s="669" t="n"/>
      <c r="N453" s="669" t="n"/>
      <c r="O453" s="669" t="n"/>
      <c r="P453" s="669" t="n"/>
      <c r="Q453" s="669" t="n"/>
      <c r="R453" s="669" t="n"/>
      <c r="S453" s="669" t="n"/>
      <c r="T453" s="669" t="n"/>
      <c r="U453" s="669" t="n"/>
      <c r="V453" s="669" t="n"/>
      <c r="W453" s="669" t="n"/>
      <c r="X453" s="669" t="n"/>
      <c r="Y453" s="669" t="n"/>
      <c r="Z453" s="669" t="n"/>
    </row>
    <row r="454">
      <c r="A454" s="507" t="inlineStr">
        <is>
          <t>Luthor Rose</t>
        </is>
      </c>
      <c r="B454" s="1037" t="inlineStr">
        <is>
          <t>Blue</t>
        </is>
      </c>
      <c r="C454" s="1037" t="inlineStr">
        <is>
          <t>FTH</t>
        </is>
      </c>
      <c r="D454" s="934" t="n"/>
      <c r="E454" s="934" t="n"/>
      <c r="F454" s="479" t="n">
        <v>5</v>
      </c>
      <c r="G454" s="479" t="n">
        <v>5</v>
      </c>
      <c r="H454" s="934" t="n"/>
      <c r="I454" s="934" t="n"/>
      <c r="J454" s="256" t="n"/>
      <c r="K454" s="669" t="n"/>
      <c r="L454" s="669" t="n"/>
      <c r="M454" s="669" t="n"/>
      <c r="N454" s="669" t="n"/>
      <c r="O454" s="669" t="n"/>
      <c r="P454" s="669" t="n"/>
      <c r="Q454" s="669" t="n"/>
      <c r="R454" s="669" t="n"/>
      <c r="S454" s="669" t="n"/>
      <c r="T454" s="669" t="n"/>
      <c r="U454" s="669" t="n"/>
      <c r="V454" s="669" t="n"/>
      <c r="W454" s="669" t="n"/>
      <c r="X454" s="669" t="n"/>
      <c r="Y454" s="669" t="n"/>
      <c r="Z454" s="669" t="n"/>
    </row>
    <row r="455">
      <c r="A455" s="507" t="inlineStr">
        <is>
          <t>Neptune the Sea God</t>
        </is>
      </c>
      <c r="B455" s="1037" t="inlineStr">
        <is>
          <t>Blue</t>
        </is>
      </c>
      <c r="C455" s="1037" t="inlineStr">
        <is>
          <t>ART</t>
        </is>
      </c>
      <c r="D455" s="934" t="n"/>
      <c r="E455" s="934" t="n"/>
      <c r="F455" s="479" t="n">
        <v>5</v>
      </c>
      <c r="G455" s="479" t="n">
        <v>5</v>
      </c>
      <c r="H455" s="934" t="n"/>
      <c r="I455" s="934" t="n"/>
      <c r="J455" s="256" t="inlineStr">
        <is>
          <t>Lottery Machine #2 (?%)</t>
        </is>
      </c>
      <c r="K455" s="669" t="n"/>
      <c r="L455" s="669" t="n"/>
      <c r="M455" s="669" t="n"/>
      <c r="N455" s="669" t="n"/>
      <c r="O455" s="669" t="n"/>
      <c r="P455" s="669" t="n"/>
      <c r="Q455" s="669" t="n"/>
      <c r="R455" s="669" t="n"/>
      <c r="S455" s="669" t="n"/>
      <c r="T455" s="669" t="n"/>
      <c r="U455" s="669" t="n"/>
      <c r="V455" s="669" t="n"/>
      <c r="W455" s="669" t="n"/>
      <c r="X455" s="669" t="n"/>
      <c r="Y455" s="669" t="n"/>
      <c r="Z455" s="669" t="n"/>
    </row>
    <row r="456">
      <c r="A456" s="507" t="inlineStr">
        <is>
          <t>Acta Apostolicae Sedis</t>
        </is>
      </c>
      <c r="B456" s="1037" t="inlineStr">
        <is>
          <t>Blue</t>
        </is>
      </c>
      <c r="C456" s="1037" t="inlineStr">
        <is>
          <t>FTH</t>
        </is>
      </c>
      <c r="D456" s="934" t="n"/>
      <c r="E456" s="934" t="n"/>
      <c r="F456" s="479" t="n">
        <v>5</v>
      </c>
      <c r="G456" s="479" t="n">
        <v>5</v>
      </c>
      <c r="H456" s="934" t="n"/>
      <c r="I456" s="934" t="n"/>
      <c r="J456" s="256" t="inlineStr">
        <is>
          <t>Lottery Machine #2 (?%)</t>
        </is>
      </c>
      <c r="K456" s="669" t="n"/>
      <c r="L456" s="669" t="n"/>
      <c r="M456" s="669" t="n"/>
      <c r="N456" s="669" t="n"/>
      <c r="O456" s="669" t="n"/>
      <c r="P456" s="669" t="n"/>
      <c r="Q456" s="669" t="n"/>
      <c r="R456" s="669" t="n"/>
      <c r="S456" s="669" t="n"/>
      <c r="T456" s="669" t="n"/>
      <c r="U456" s="669" t="n"/>
      <c r="V456" s="669" t="n"/>
      <c r="W456" s="669" t="n"/>
      <c r="X456" s="669" t="n"/>
      <c r="Y456" s="669" t="n"/>
      <c r="Z456" s="669" t="n"/>
    </row>
    <row r="457">
      <c r="A457" s="257" t="n"/>
      <c r="B457" s="934" t="n"/>
      <c r="C457" s="934" t="n"/>
      <c r="D457" s="209" t="n"/>
      <c r="E457" s="209" t="n"/>
      <c r="F457" s="209" t="n"/>
      <c r="G457" s="209" t="n"/>
      <c r="H457" s="209" t="n"/>
      <c r="I457" s="209" t="n"/>
      <c r="J457" s="256" t="n"/>
      <c r="K457" s="669" t="n"/>
      <c r="L457" s="669" t="n"/>
      <c r="M457" s="669" t="n"/>
      <c r="N457" s="669" t="n"/>
      <c r="O457" s="669" t="n"/>
      <c r="P457" s="669" t="n"/>
      <c r="Q457" s="669" t="n"/>
      <c r="R457" s="669" t="n"/>
      <c r="S457" s="669" t="n"/>
      <c r="T457" s="669" t="n"/>
      <c r="U457" s="669" t="n"/>
      <c r="V457" s="669" t="n"/>
      <c r="W457" s="669" t="n"/>
      <c r="X457" s="669" t="n"/>
      <c r="Y457" s="669" t="n"/>
      <c r="Z457" s="669" t="n"/>
    </row>
    <row r="458">
      <c r="A458" s="507" t="inlineStr">
        <is>
          <t>Resonance: Blue</t>
        </is>
      </c>
      <c r="B458" s="934" t="n"/>
      <c r="C458" s="934" t="n"/>
      <c r="D458" s="479" t="n">
        <v>5</v>
      </c>
      <c r="E458" s="934" t="n"/>
      <c r="F458" s="934" t="n"/>
      <c r="G458" s="934" t="n"/>
      <c r="H458" s="479" t="n">
        <v>10</v>
      </c>
      <c r="I458" s="479">
        <f>(D458+E458)/H458</f>
        <v/>
      </c>
      <c r="J458" s="935" t="n"/>
      <c r="K458" s="669" t="n"/>
      <c r="L458" s="669" t="n"/>
      <c r="M458" s="669" t="n"/>
      <c r="N458" s="669" t="n"/>
      <c r="O458" s="669" t="n"/>
      <c r="P458" s="669" t="n"/>
      <c r="Q458" s="669" t="n"/>
      <c r="R458" s="669" t="n"/>
      <c r="S458" s="669" t="n"/>
      <c r="T458" s="669" t="n"/>
      <c r="U458" s="669" t="n"/>
      <c r="V458" s="669" t="n"/>
      <c r="W458" s="669" t="n"/>
      <c r="X458" s="669" t="n"/>
      <c r="Y458" s="669" t="n"/>
      <c r="Z458" s="669" t="n"/>
    </row>
    <row r="459">
      <c r="A459" s="246" t="inlineStr">
        <is>
          <t xml:space="preserve">  Mask of Zorro</t>
        </is>
      </c>
      <c r="B459" s="1037" t="inlineStr">
        <is>
          <t>Blue</t>
        </is>
      </c>
      <c r="C459" s="1037" t="inlineStr">
        <is>
          <t>FAME</t>
        </is>
      </c>
      <c r="D459" s="209" t="n"/>
      <c r="E459" s="209" t="n"/>
      <c r="F459" s="209" t="n"/>
      <c r="G459" s="209" t="n"/>
      <c r="H459" s="209" t="n"/>
      <c r="I459" s="209" t="n"/>
      <c r="J459" s="256" t="inlineStr">
        <is>
          <t>Lottery Machine #1 (0.03%), Wish (1.2%), Zorro (B+B Reward)</t>
        </is>
      </c>
      <c r="K459" s="669" t="n"/>
      <c r="L459" s="669" t="n"/>
      <c r="M459" s="669" t="n"/>
      <c r="N459" s="669" t="n"/>
      <c r="O459" s="669" t="n"/>
      <c r="P459" s="669" t="n"/>
      <c r="Q459" s="669" t="n"/>
      <c r="R459" s="669" t="n"/>
      <c r="S459" s="669" t="n"/>
      <c r="T459" s="669" t="n"/>
      <c r="U459" s="669" t="n"/>
      <c r="V459" s="669" t="n"/>
      <c r="W459" s="669" t="n"/>
      <c r="X459" s="669" t="n"/>
      <c r="Y459" s="669" t="n"/>
      <c r="Z459" s="669" t="n"/>
    </row>
    <row r="460">
      <c r="A460" s="246" t="inlineStr">
        <is>
          <t xml:space="preserve">  Musketeer Mask</t>
        </is>
      </c>
      <c r="B460" s="1037" t="inlineStr">
        <is>
          <t>Blue</t>
        </is>
      </c>
      <c r="C460" s="1037" t="inlineStr">
        <is>
          <t>CIV</t>
        </is>
      </c>
      <c r="D460" s="209" t="n"/>
      <c r="E460" s="209" t="n"/>
      <c r="F460" s="209" t="n"/>
      <c r="G460" s="209" t="n"/>
      <c r="H460" s="209" t="n"/>
      <c r="I460" s="209" t="n"/>
      <c r="J460" s="256" t="inlineStr">
        <is>
          <t>Lottery Machine #1 (0.36%), Wishing (10.3%), Novice Scroll (5%)</t>
        </is>
      </c>
      <c r="K460" s="669" t="n"/>
      <c r="L460" s="669" t="n"/>
      <c r="M460" s="669" t="n"/>
      <c r="N460" s="669" t="n"/>
      <c r="O460" s="669" t="n"/>
      <c r="P460" s="669" t="n"/>
      <c r="Q460" s="669" t="n"/>
      <c r="R460" s="669" t="n"/>
      <c r="S460" s="669" t="n"/>
      <c r="T460" s="669" t="n"/>
      <c r="U460" s="669" t="n"/>
      <c r="V460" s="669" t="n"/>
      <c r="W460" s="669" t="n"/>
      <c r="X460" s="669" t="n"/>
      <c r="Y460" s="669" t="n"/>
      <c r="Z460" s="669" t="n"/>
    </row>
    <row r="461">
      <c r="A461" s="507" t="inlineStr">
        <is>
          <t>Resonance: Blue</t>
        </is>
      </c>
      <c r="B461" s="934" t="n"/>
      <c r="C461" s="934" t="n"/>
      <c r="D461" s="479" t="n">
        <v>5</v>
      </c>
      <c r="E461" s="934" t="n"/>
      <c r="F461" s="934" t="n"/>
      <c r="G461" s="934" t="n"/>
      <c r="H461" s="479" t="n">
        <v>10</v>
      </c>
      <c r="I461" s="479">
        <f>(D461+E461)/H461</f>
        <v/>
      </c>
      <c r="J461" s="935" t="n"/>
      <c r="K461" s="669" t="n"/>
      <c r="L461" s="669" t="n"/>
      <c r="M461" s="669" t="n"/>
      <c r="N461" s="669" t="n"/>
      <c r="O461" s="669" t="n"/>
      <c r="P461" s="669" t="n"/>
      <c r="Q461" s="669" t="n"/>
      <c r="R461" s="669" t="n"/>
      <c r="S461" s="669" t="n"/>
      <c r="T461" s="669" t="n"/>
      <c r="U461" s="669" t="n"/>
      <c r="V461" s="669" t="n"/>
      <c r="W461" s="669" t="n"/>
      <c r="X461" s="669" t="n"/>
      <c r="Y461" s="669" t="n"/>
      <c r="Z461" s="669" t="n"/>
    </row>
    <row r="462">
      <c r="A462" s="246" t="inlineStr">
        <is>
          <t xml:space="preserve">  Neptune the Sea God</t>
        </is>
      </c>
      <c r="B462" s="1037" t="inlineStr">
        <is>
          <t>Blue</t>
        </is>
      </c>
      <c r="C462" s="1037" t="inlineStr">
        <is>
          <t>ART</t>
        </is>
      </c>
      <c r="D462" s="209" t="n"/>
      <c r="E462" s="209" t="n"/>
      <c r="F462" s="209" t="n"/>
      <c r="G462" s="209" t="n"/>
      <c r="H462" s="209" t="n"/>
      <c r="I462" s="209" t="n"/>
      <c r="J462" s="256" t="inlineStr">
        <is>
          <t>Lottery Machine #2 (?%)</t>
        </is>
      </c>
      <c r="K462" s="669" t="n"/>
      <c r="L462" s="669" t="n"/>
      <c r="M462" s="669" t="n"/>
      <c r="N462" s="669" t="n"/>
      <c r="O462" s="669" t="n"/>
      <c r="P462" s="669" t="n"/>
      <c r="Q462" s="669" t="n"/>
      <c r="R462" s="669" t="n"/>
      <c r="S462" s="669" t="n"/>
      <c r="T462" s="669" t="n"/>
      <c r="U462" s="669" t="n"/>
      <c r="V462" s="669" t="n"/>
      <c r="W462" s="669" t="n"/>
      <c r="X462" s="669" t="n"/>
      <c r="Y462" s="669" t="n"/>
      <c r="Z462" s="669" t="n"/>
    </row>
    <row r="463">
      <c r="A463" s="507" t="inlineStr">
        <is>
          <t xml:space="preserve">  Nestor's Cup</t>
        </is>
      </c>
      <c r="B463" s="1037" t="inlineStr">
        <is>
          <t>Blue</t>
        </is>
      </c>
      <c r="C463" s="1037" t="inlineStr">
        <is>
          <t>ART</t>
        </is>
      </c>
      <c r="D463" s="934" t="n"/>
      <c r="E463" s="934" t="n"/>
      <c r="F463" s="934" t="n"/>
      <c r="G463" s="934" t="n"/>
      <c r="H463" s="934" t="n"/>
      <c r="I463" s="934" t="n"/>
      <c r="J463" s="935" t="inlineStr">
        <is>
          <t>Lottery Machine #2 (?%)</t>
        </is>
      </c>
      <c r="K463" s="669" t="n"/>
      <c r="L463" s="669" t="n"/>
      <c r="M463" s="669" t="n"/>
      <c r="N463" s="669" t="n"/>
      <c r="O463" s="669" t="n"/>
      <c r="P463" s="669" t="n"/>
      <c r="Q463" s="669" t="n"/>
      <c r="R463" s="669" t="n"/>
      <c r="S463" s="669" t="n"/>
      <c r="T463" s="669" t="n"/>
      <c r="U463" s="669" t="n"/>
      <c r="V463" s="669" t="n"/>
      <c r="W463" s="669" t="n"/>
      <c r="X463" s="669" t="n"/>
      <c r="Y463" s="669" t="n"/>
      <c r="Z463" s="669" t="n"/>
    </row>
    <row r="464">
      <c r="A464" s="246" t="inlineStr">
        <is>
          <t>Resonance: Purple</t>
        </is>
      </c>
      <c r="B464" s="934" t="n"/>
      <c r="C464" s="934" t="n"/>
      <c r="D464" s="209" t="n"/>
      <c r="E464" s="209" t="n"/>
      <c r="F464" s="268" t="n">
        <v>6</v>
      </c>
      <c r="G464" s="209" t="n"/>
      <c r="H464" s="209" t="n"/>
      <c r="I464" s="209" t="n"/>
      <c r="J464" s="256" t="n"/>
      <c r="K464" s="669" t="n"/>
      <c r="L464" s="669" t="n"/>
      <c r="M464" s="669" t="n"/>
      <c r="N464" s="669" t="n"/>
      <c r="O464" s="669" t="n"/>
      <c r="P464" s="669" t="n"/>
      <c r="Q464" s="669" t="n"/>
      <c r="R464" s="669" t="n"/>
      <c r="S464" s="669" t="n"/>
      <c r="T464" s="669" t="n"/>
      <c r="U464" s="669" t="n"/>
      <c r="V464" s="669" t="n"/>
      <c r="W464" s="669" t="n"/>
      <c r="X464" s="669" t="n"/>
      <c r="Y464" s="669" t="n"/>
      <c r="Z464" s="669" t="n"/>
    </row>
    <row r="465">
      <c r="A465" s="507" t="inlineStr">
        <is>
          <t xml:space="preserve">  Portrait of Innocent X</t>
        </is>
      </c>
      <c r="B465" s="1037" t="inlineStr">
        <is>
          <t>AAA</t>
        </is>
      </c>
      <c r="C465" s="1037" t="inlineStr">
        <is>
          <t>ART</t>
        </is>
      </c>
      <c r="D465" s="934" t="n"/>
      <c r="E465" s="934" t="n"/>
      <c r="F465" s="934" t="n"/>
      <c r="G465" s="934" t="n"/>
      <c r="H465" s="934" t="n"/>
      <c r="I465" s="934" t="n"/>
      <c r="J465" s="935" t="inlineStr">
        <is>
          <t>Lottery Machine #2 (?%)</t>
        </is>
      </c>
      <c r="K465" s="669" t="n"/>
      <c r="L465" s="669" t="n"/>
      <c r="M465" s="669" t="n"/>
      <c r="N465" s="669" t="n"/>
      <c r="O465" s="669" t="n"/>
      <c r="P465" s="669" t="n"/>
      <c r="Q465" s="669" t="n"/>
      <c r="R465" s="669" t="n"/>
      <c r="S465" s="669" t="n"/>
      <c r="T465" s="669" t="n"/>
      <c r="U465" s="669" t="n"/>
      <c r="V465" s="669" t="n"/>
      <c r="W465" s="669" t="n"/>
      <c r="X465" s="669" t="n"/>
      <c r="Y465" s="669" t="n"/>
      <c r="Z465" s="669" t="n"/>
    </row>
    <row r="466">
      <c r="A466" s="246" t="inlineStr">
        <is>
          <t xml:space="preserve">  Annunciation</t>
        </is>
      </c>
      <c r="B466" s="1037" t="inlineStr">
        <is>
          <t>AAA</t>
        </is>
      </c>
      <c r="C466" s="1037" t="inlineStr">
        <is>
          <t>ART</t>
        </is>
      </c>
      <c r="D466" s="209" t="n"/>
      <c r="E466" s="209" t="n"/>
      <c r="F466" s="209" t="n"/>
      <c r="G466" s="209" t="n"/>
      <c r="H466" s="209" t="n"/>
      <c r="I466" s="209" t="n"/>
      <c r="J466" s="256" t="inlineStr">
        <is>
          <t>Lottery Machine #2 (?%)</t>
        </is>
      </c>
      <c r="K466" s="669" t="n"/>
      <c r="L466" s="669" t="n"/>
      <c r="M466" s="669" t="n"/>
      <c r="N466" s="669" t="n"/>
      <c r="O466" s="669" t="n"/>
      <c r="P466" s="669" t="n"/>
      <c r="Q466" s="669" t="n"/>
      <c r="R466" s="669" t="n"/>
      <c r="S466" s="669" t="n"/>
      <c r="T466" s="669" t="n"/>
      <c r="U466" s="669" t="n"/>
      <c r="V466" s="669" t="n"/>
      <c r="W466" s="669" t="n"/>
      <c r="X466" s="669" t="n"/>
      <c r="Y466" s="669" t="n"/>
      <c r="Z466" s="669" t="n"/>
    </row>
    <row r="467">
      <c r="A467" s="955" t="inlineStr">
        <is>
          <t>TOTAL ATK</t>
        </is>
      </c>
      <c r="B467" s="946" t="n"/>
      <c r="C467" s="946" t="n"/>
      <c r="D467" s="946" t="n"/>
      <c r="E467" s="946" t="n"/>
      <c r="F467" s="260">
        <f>sum(F443:G466)</f>
        <v/>
      </c>
      <c r="G467" s="946" t="n"/>
      <c r="H467" s="946" t="n"/>
      <c r="I467" s="261">
        <f>sum(I443:I466)</f>
        <v/>
      </c>
      <c r="J467" s="947" t="n"/>
      <c r="K467" s="669" t="n"/>
      <c r="L467" s="669" t="n"/>
      <c r="M467" s="669" t="n"/>
      <c r="N467" s="669" t="n"/>
      <c r="O467" s="669" t="n"/>
      <c r="P467" s="669" t="n"/>
      <c r="Q467" s="669" t="n"/>
      <c r="R467" s="669" t="n"/>
      <c r="S467" s="669" t="n"/>
      <c r="T467" s="669" t="n"/>
      <c r="U467" s="669" t="n"/>
      <c r="V467" s="669" t="n"/>
      <c r="W467" s="669" t="n"/>
      <c r="X467" s="669" t="n"/>
      <c r="Y467" s="669" t="n"/>
      <c r="Z467" s="669" t="n"/>
    </row>
    <row r="468">
      <c r="A468" s="825" t="n"/>
      <c r="B468" s="1037" t="n"/>
      <c r="C468" s="1037" t="n"/>
      <c r="D468" s="1037" t="n"/>
      <c r="E468" s="1037" t="n"/>
      <c r="F468" s="1037" t="n"/>
      <c r="G468" s="1037" t="n"/>
      <c r="H468" s="1037" t="n"/>
      <c r="I468" s="1037" t="n"/>
      <c r="J468" s="386" t="n"/>
      <c r="K468" s="669" t="n"/>
      <c r="L468" s="669" t="n"/>
      <c r="M468" s="669" t="n"/>
      <c r="N468" s="669" t="n"/>
      <c r="O468" s="669" t="n"/>
      <c r="P468" s="669" t="n"/>
      <c r="Q468" s="669" t="n"/>
      <c r="R468" s="669" t="n"/>
      <c r="S468" s="669" t="n"/>
      <c r="T468" s="669" t="n"/>
      <c r="U468" s="669" t="n"/>
      <c r="V468" s="669" t="n"/>
      <c r="W468" s="669" t="n"/>
      <c r="X468" s="669" t="n"/>
      <c r="Y468" s="669" t="n"/>
      <c r="Z468" s="669" t="n"/>
    </row>
    <row r="469">
      <c r="A469" s="383" t="n"/>
      <c r="B469" s="1079" t="n"/>
      <c r="C469" s="1079" t="n"/>
      <c r="D469" s="1079" t="n"/>
      <c r="E469" s="1079" t="n"/>
      <c r="F469" s="1079" t="n"/>
      <c r="G469" s="1079" t="n"/>
      <c r="H469" s="1079" t="n"/>
      <c r="I469" s="1079" t="n"/>
      <c r="J469" s="970" t="n"/>
      <c r="K469" s="669" t="n"/>
      <c r="L469" s="669" t="n"/>
      <c r="M469" s="669" t="n"/>
      <c r="N469" s="669" t="n"/>
      <c r="O469" s="669" t="n"/>
      <c r="P469" s="669" t="n"/>
      <c r="Q469" s="669" t="n"/>
      <c r="R469" s="669" t="n"/>
      <c r="S469" s="669" t="n"/>
      <c r="T469" s="669" t="n"/>
      <c r="U469" s="669" t="n"/>
      <c r="V469" s="669" t="n"/>
      <c r="W469" s="669" t="n"/>
      <c r="X469" s="669" t="n"/>
      <c r="Y469" s="669" t="n"/>
      <c r="Z469" s="669" t="n"/>
    </row>
    <row r="470">
      <c r="A470" s="282" t="inlineStr">
        <is>
          <t>RUSH</t>
        </is>
      </c>
      <c r="B470" s="283" t="inlineStr">
        <is>
          <t>Rarity</t>
        </is>
      </c>
      <c r="C470" s="283" t="inlineStr">
        <is>
          <t>Type</t>
        </is>
      </c>
      <c r="D470" s="283" t="inlineStr">
        <is>
          <t>Base</t>
        </is>
      </c>
      <c r="E470" s="283" t="inlineStr">
        <is>
          <t>Awakening Base</t>
        </is>
      </c>
      <c r="F470" s="283" t="inlineStr">
        <is>
          <t>Percentage</t>
        </is>
      </c>
      <c r="G470" s="283" t="inlineStr">
        <is>
          <t>Awakening Percentage</t>
        </is>
      </c>
      <c r="H470" s="283" t="inlineStr">
        <is>
          <t>Per Minion</t>
        </is>
      </c>
      <c r="I470" s="283" t="inlineStr">
        <is>
          <t>Per Minion Boost</t>
        </is>
      </c>
      <c r="J470" s="253" t="inlineStr">
        <is>
          <t>Source</t>
        </is>
      </c>
      <c r="K470" s="669" t="n"/>
      <c r="L470" s="669" t="n"/>
      <c r="M470" s="669" t="n"/>
      <c r="N470" s="669" t="n"/>
      <c r="O470" s="669" t="n"/>
      <c r="P470" s="669" t="n"/>
      <c r="Q470" s="669" t="n"/>
      <c r="R470" s="669" t="n"/>
      <c r="S470" s="669" t="n"/>
      <c r="T470" s="669" t="n"/>
      <c r="U470" s="669" t="n"/>
      <c r="V470" s="669" t="n"/>
      <c r="W470" s="669" t="n"/>
      <c r="X470" s="669" t="n"/>
      <c r="Y470" s="669" t="n"/>
      <c r="Z470" s="669" t="n"/>
    </row>
    <row r="471">
      <c r="A471" s="507" t="inlineStr">
        <is>
          <t>Venus de Milo</t>
        </is>
      </c>
      <c r="B471" s="1037" t="inlineStr">
        <is>
          <t>SS</t>
        </is>
      </c>
      <c r="C471" s="1037" t="inlineStr">
        <is>
          <t>ART</t>
        </is>
      </c>
      <c r="D471" s="479" t="n">
        <v>90</v>
      </c>
      <c r="E471" s="934" t="n"/>
      <c r="F471" s="934" t="n"/>
      <c r="G471" s="934" t="n"/>
      <c r="H471" s="479" t="n">
        <v>60</v>
      </c>
      <c r="I471" s="479">
        <f>(D471+E471)/H471</f>
        <v/>
      </c>
      <c r="J471" s="935" t="inlineStr">
        <is>
          <t>T7.5 Angel Gene Research</t>
        </is>
      </c>
      <c r="K471" s="669" t="n"/>
      <c r="L471" s="669" t="n"/>
      <c r="M471" s="669" t="n"/>
      <c r="N471" s="669" t="n"/>
      <c r="O471" s="669" t="n"/>
      <c r="P471" s="669" t="n"/>
      <c r="Q471" s="669" t="n"/>
      <c r="R471" s="669" t="n"/>
      <c r="S471" s="669" t="n"/>
      <c r="T471" s="669" t="n"/>
      <c r="U471" s="669" t="n"/>
      <c r="V471" s="669" t="n"/>
      <c r="W471" s="669" t="n"/>
      <c r="X471" s="669" t="n"/>
      <c r="Y471" s="669" t="n"/>
      <c r="Z471" s="669" t="n"/>
    </row>
    <row r="472">
      <c r="A472" s="246" t="inlineStr">
        <is>
          <t>Creation of Adam</t>
        </is>
      </c>
      <c r="B472" s="1037" t="inlineStr">
        <is>
          <t>SSS</t>
        </is>
      </c>
      <c r="C472" s="1037" t="inlineStr">
        <is>
          <t>CIV</t>
        </is>
      </c>
      <c r="D472" s="268" t="n">
        <v>90</v>
      </c>
      <c r="E472" s="209" t="n"/>
      <c r="F472" s="209" t="n"/>
      <c r="G472" s="209" t="n"/>
      <c r="H472" s="268" t="n">
        <v>60</v>
      </c>
      <c r="I472" s="210">
        <f>(D472+E472)/H472</f>
        <v/>
      </c>
      <c r="J472" s="256" t="inlineStr">
        <is>
          <t>Lottery Machine #1 (0.09%), Wishing (0.08%), Grandmaster Scrolls (0.77%)</t>
        </is>
      </c>
      <c r="K472" s="669" t="n"/>
      <c r="L472" s="669" t="n"/>
      <c r="M472" s="669" t="n"/>
      <c r="N472" s="669" t="n"/>
      <c r="O472" s="669" t="n"/>
      <c r="P472" s="669" t="n"/>
      <c r="Q472" s="669" t="n"/>
      <c r="R472" s="669" t="n"/>
      <c r="S472" s="669" t="n"/>
      <c r="T472" s="669" t="n"/>
      <c r="U472" s="669" t="n"/>
      <c r="V472" s="669" t="n"/>
      <c r="W472" s="669" t="n"/>
      <c r="X472" s="669" t="n"/>
      <c r="Y472" s="669" t="n"/>
      <c r="Z472" s="669" t="n"/>
    </row>
    <row r="473">
      <c r="A473" s="246" t="inlineStr">
        <is>
          <t>Popol Vuh</t>
        </is>
      </c>
      <c r="B473" s="1037" t="inlineStr">
        <is>
          <t>AAA</t>
        </is>
      </c>
      <c r="C473" s="1037" t="inlineStr">
        <is>
          <t>FTH</t>
        </is>
      </c>
      <c r="D473" s="209" t="n">
        <v>36</v>
      </c>
      <c r="E473" s="209" t="n"/>
      <c r="F473" s="268" t="n"/>
      <c r="G473" s="209" t="n"/>
      <c r="H473" s="267" t="n">
        <v>30</v>
      </c>
      <c r="I473" s="255">
        <f>(D473+E473)/H473</f>
        <v/>
      </c>
      <c r="J473" s="935" t="inlineStr">
        <is>
          <t>Lottery Machine #2 (?%)</t>
        </is>
      </c>
      <c r="K473" s="669" t="n"/>
      <c r="L473" s="669" t="n"/>
      <c r="M473" s="669" t="n"/>
      <c r="N473" s="669" t="n"/>
      <c r="O473" s="669" t="n"/>
      <c r="P473" s="669" t="n"/>
      <c r="Q473" s="669" t="n"/>
      <c r="R473" s="669" t="n"/>
      <c r="S473" s="669" t="n"/>
      <c r="T473" s="669" t="n"/>
      <c r="U473" s="669" t="n"/>
      <c r="V473" s="669" t="n"/>
      <c r="W473" s="669" t="n"/>
      <c r="X473" s="669" t="n"/>
      <c r="Y473" s="669" t="n"/>
      <c r="Z473" s="669" t="n"/>
    </row>
    <row r="474">
      <c r="A474" s="246" t="inlineStr">
        <is>
          <t>Holy Nail</t>
        </is>
      </c>
      <c r="B474" s="1037" t="inlineStr">
        <is>
          <t>AAA</t>
        </is>
      </c>
      <c r="C474" s="1037" t="inlineStr">
        <is>
          <t>FTH</t>
        </is>
      </c>
      <c r="D474" s="209" t="n">
        <v>28</v>
      </c>
      <c r="E474" s="209" t="n"/>
      <c r="F474" s="268" t="n"/>
      <c r="G474" s="209" t="n"/>
      <c r="H474" s="267" t="n">
        <v>30</v>
      </c>
      <c r="I474" s="255">
        <f>(D474+E474)/H474</f>
        <v/>
      </c>
      <c r="J474" s="935" t="inlineStr">
        <is>
          <t>T6.5 Angel Gene Research</t>
        </is>
      </c>
      <c r="K474" s="669" t="n"/>
      <c r="L474" s="669" t="n"/>
      <c r="M474" s="669" t="n"/>
      <c r="N474" s="669" t="n"/>
      <c r="O474" s="669" t="n"/>
      <c r="P474" s="669" t="n"/>
      <c r="Q474" s="669" t="n"/>
      <c r="R474" s="669" t="n"/>
      <c r="S474" s="669" t="n"/>
      <c r="T474" s="669" t="n"/>
      <c r="U474" s="669" t="n"/>
      <c r="V474" s="669" t="n"/>
      <c r="W474" s="669" t="n"/>
      <c r="X474" s="669" t="n"/>
      <c r="Y474" s="669" t="n"/>
      <c r="Z474" s="669" t="n"/>
    </row>
    <row r="475">
      <c r="A475" s="246" t="inlineStr">
        <is>
          <t>Catherine II Portrait</t>
        </is>
      </c>
      <c r="B475" s="1037" t="inlineStr">
        <is>
          <t>SSS</t>
        </is>
      </c>
      <c r="C475" s="1037" t="inlineStr">
        <is>
          <t>FTH</t>
        </is>
      </c>
      <c r="D475" s="209" t="n"/>
      <c r="E475" s="209" t="n"/>
      <c r="F475" s="268" t="n">
        <v>12</v>
      </c>
      <c r="G475" s="209" t="n"/>
      <c r="H475" s="209" t="n"/>
      <c r="I475" s="209" t="n"/>
      <c r="J475" s="190" t="inlineStr">
        <is>
          <t>Unknown</t>
        </is>
      </c>
      <c r="K475" s="669" t="n"/>
      <c r="L475" s="669" t="n"/>
      <c r="M475" s="669" t="n"/>
      <c r="N475" s="669" t="n"/>
      <c r="O475" s="669" t="n"/>
      <c r="P475" s="669" t="n"/>
      <c r="Q475" s="669" t="n"/>
      <c r="R475" s="669" t="n"/>
      <c r="S475" s="669" t="n"/>
      <c r="T475" s="669" t="n"/>
      <c r="U475" s="669" t="n"/>
      <c r="V475" s="669" t="n"/>
      <c r="W475" s="669" t="n"/>
      <c r="X475" s="669" t="n"/>
      <c r="Y475" s="669" t="n"/>
      <c r="Z475" s="669" t="n"/>
    </row>
    <row r="476">
      <c r="A476" s="246" t="inlineStr">
        <is>
          <t>Crime and Punishment</t>
        </is>
      </c>
      <c r="B476" s="1037" t="inlineStr">
        <is>
          <t>SSS</t>
        </is>
      </c>
      <c r="C476" s="1037" t="inlineStr">
        <is>
          <t>CIV</t>
        </is>
      </c>
      <c r="D476" s="209" t="n"/>
      <c r="E476" s="209" t="n"/>
      <c r="F476" s="268" t="n">
        <v>12</v>
      </c>
      <c r="G476" s="209" t="n"/>
      <c r="H476" s="209" t="n"/>
      <c r="I476" s="209" t="n"/>
      <c r="J476" s="935" t="inlineStr">
        <is>
          <t>Lottery Machine #2 (0.12%)</t>
        </is>
      </c>
      <c r="K476" s="669" t="n"/>
      <c r="L476" s="669" t="n"/>
      <c r="M476" s="669" t="n"/>
      <c r="N476" s="669" t="n"/>
      <c r="O476" s="669" t="n"/>
      <c r="P476" s="669" t="n"/>
      <c r="Q476" s="669" t="n"/>
      <c r="R476" s="669" t="n"/>
      <c r="S476" s="669" t="n"/>
      <c r="T476" s="669" t="n"/>
      <c r="U476" s="669" t="n"/>
      <c r="V476" s="669" t="n"/>
      <c r="W476" s="669" t="n"/>
      <c r="X476" s="669" t="n"/>
      <c r="Y476" s="669" t="n"/>
      <c r="Z476" s="669" t="n"/>
    </row>
    <row r="477">
      <c r="A477" s="246" t="inlineStr">
        <is>
          <t>Silver-armed Nadua</t>
        </is>
      </c>
      <c r="B477" s="1037" t="inlineStr">
        <is>
          <t>SS</t>
        </is>
      </c>
      <c r="C477" s="1037" t="inlineStr">
        <is>
          <t>FTH</t>
        </is>
      </c>
      <c r="D477" s="209" t="n"/>
      <c r="E477" s="209" t="n"/>
      <c r="F477" s="268" t="n">
        <v>11</v>
      </c>
      <c r="G477" s="268" t="n"/>
      <c r="H477" s="209" t="n"/>
      <c r="I477" s="209" t="n"/>
      <c r="J477" s="390" t="inlineStr">
        <is>
          <t>Lottery Machine #3 (?%)</t>
        </is>
      </c>
      <c r="K477" s="669" t="n"/>
      <c r="L477" s="669" t="n"/>
      <c r="M477" s="669" t="n"/>
      <c r="N477" s="669" t="n"/>
      <c r="O477" s="669" t="n"/>
      <c r="P477" s="669" t="n"/>
      <c r="Q477" s="669" t="n"/>
      <c r="R477" s="669" t="n"/>
      <c r="S477" s="669" t="n"/>
      <c r="T477" s="669" t="n"/>
      <c r="U477" s="669" t="n"/>
      <c r="V477" s="669" t="n"/>
      <c r="W477" s="669" t="n"/>
      <c r="X477" s="669" t="n"/>
      <c r="Y477" s="669" t="n"/>
      <c r="Z477" s="669" t="n"/>
    </row>
    <row r="478">
      <c r="A478" s="246" t="inlineStr">
        <is>
          <t>Annunciation</t>
        </is>
      </c>
      <c r="B478" s="1037" t="inlineStr">
        <is>
          <t>AAA</t>
        </is>
      </c>
      <c r="C478" s="1037" t="inlineStr">
        <is>
          <t>ART</t>
        </is>
      </c>
      <c r="D478" s="209" t="n"/>
      <c r="E478" s="209" t="n"/>
      <c r="F478" s="268" t="n">
        <v>9</v>
      </c>
      <c r="G478" s="268" t="n"/>
      <c r="H478" s="209" t="n"/>
      <c r="I478" s="209" t="n"/>
      <c r="J478" s="256" t="inlineStr">
        <is>
          <t>Lottery Machine #2 (?%)</t>
        </is>
      </c>
      <c r="K478" s="669" t="n"/>
      <c r="L478" s="669" t="n"/>
      <c r="M478" s="669" t="n"/>
      <c r="N478" s="669" t="n"/>
      <c r="O478" s="669" t="n"/>
      <c r="P478" s="669" t="n"/>
      <c r="Q478" s="669" t="n"/>
      <c r="R478" s="669" t="n"/>
      <c r="S478" s="669" t="n"/>
      <c r="T478" s="669" t="n"/>
      <c r="U478" s="669" t="n"/>
      <c r="V478" s="669" t="n"/>
      <c r="W478" s="669" t="n"/>
      <c r="X478" s="669" t="n"/>
      <c r="Y478" s="669" t="n"/>
      <c r="Z478" s="669" t="n"/>
    </row>
    <row r="479">
      <c r="A479" s="246" t="inlineStr">
        <is>
          <t>Brisingamen</t>
        </is>
      </c>
      <c r="B479" s="1037" t="inlineStr">
        <is>
          <t>Blue</t>
        </is>
      </c>
      <c r="C479" s="1037" t="inlineStr">
        <is>
          <t>ART</t>
        </is>
      </c>
      <c r="D479" s="209" t="n"/>
      <c r="E479" s="209" t="n"/>
      <c r="F479" s="268" t="n">
        <v>5</v>
      </c>
      <c r="G479" s="268" t="n">
        <v>5</v>
      </c>
      <c r="H479" s="209" t="n"/>
      <c r="I479" s="209" t="n"/>
      <c r="J479" s="256" t="inlineStr">
        <is>
          <t>Lottery Machine #2 (?%)</t>
        </is>
      </c>
      <c r="K479" s="669" t="n"/>
      <c r="L479" s="669" t="n"/>
      <c r="M479" s="669" t="n"/>
      <c r="N479" s="669" t="n"/>
      <c r="O479" s="669" t="n"/>
      <c r="P479" s="669" t="n"/>
      <c r="Q479" s="669" t="n"/>
      <c r="R479" s="669" t="n"/>
      <c r="S479" s="669" t="n"/>
      <c r="T479" s="669" t="n"/>
      <c r="U479" s="669" t="n"/>
      <c r="V479" s="669" t="n"/>
      <c r="W479" s="669" t="n"/>
      <c r="X479" s="669" t="n"/>
      <c r="Y479" s="669" t="n"/>
      <c r="Z479" s="669" t="n"/>
    </row>
    <row r="480">
      <c r="A480" s="933" t="n"/>
      <c r="B480" s="1037" t="n"/>
      <c r="C480" s="934" t="n"/>
      <c r="D480" s="934" t="n"/>
      <c r="E480" s="934" t="n"/>
      <c r="F480" s="934" t="n"/>
      <c r="G480" s="934" t="n"/>
      <c r="H480" s="934" t="n"/>
      <c r="I480" s="934" t="n"/>
      <c r="J480" s="935" t="n"/>
      <c r="K480" s="669" t="n"/>
      <c r="L480" s="669" t="n"/>
      <c r="M480" s="669" t="n"/>
      <c r="N480" s="669" t="n"/>
      <c r="O480" s="669" t="n"/>
      <c r="P480" s="669" t="n"/>
      <c r="Q480" s="669" t="n"/>
      <c r="R480" s="669" t="n"/>
      <c r="S480" s="669" t="n"/>
      <c r="T480" s="669" t="n"/>
      <c r="U480" s="669" t="n"/>
      <c r="V480" s="669" t="n"/>
      <c r="W480" s="669" t="n"/>
      <c r="X480" s="669" t="n"/>
      <c r="Y480" s="669" t="n"/>
      <c r="Z480" s="669" t="n"/>
    </row>
    <row r="481">
      <c r="A481" s="246" t="inlineStr">
        <is>
          <t>Resonance: Blue</t>
        </is>
      </c>
      <c r="B481" s="209" t="n"/>
      <c r="C481" s="934" t="n"/>
      <c r="D481" s="210" t="n">
        <v>5</v>
      </c>
      <c r="E481" s="209" t="n"/>
      <c r="F481" s="209" t="n"/>
      <c r="G481" s="209" t="n"/>
      <c r="H481" s="210" t="n">
        <v>10</v>
      </c>
      <c r="I481" s="210">
        <f>(D481+E481)/H481</f>
        <v/>
      </c>
      <c r="J481" s="256" t="n"/>
      <c r="K481" s="669" t="n"/>
      <c r="L481" s="669" t="n"/>
      <c r="M481" s="669" t="n"/>
      <c r="N481" s="669" t="n"/>
      <c r="O481" s="669" t="n"/>
      <c r="P481" s="669" t="n"/>
      <c r="Q481" s="669" t="n"/>
      <c r="R481" s="669" t="n"/>
      <c r="S481" s="669" t="n"/>
      <c r="T481" s="669" t="n"/>
      <c r="U481" s="669" t="n"/>
      <c r="V481" s="669" t="n"/>
      <c r="W481" s="669" t="n"/>
      <c r="X481" s="669" t="n"/>
      <c r="Y481" s="669" t="n"/>
      <c r="Z481" s="669" t="n"/>
    </row>
    <row r="482">
      <c r="A482" s="507" t="inlineStr">
        <is>
          <t xml:space="preserve">  George VI's Speech</t>
        </is>
      </c>
      <c r="B482" s="1037" t="inlineStr">
        <is>
          <t>Blue</t>
        </is>
      </c>
      <c r="C482" s="1037" t="inlineStr">
        <is>
          <t>CIV</t>
        </is>
      </c>
      <c r="D482" s="934" t="n"/>
      <c r="E482" s="934" t="n"/>
      <c r="F482" s="934" t="n"/>
      <c r="G482" s="934" t="n"/>
      <c r="H482" s="934" t="n"/>
      <c r="I482" s="934" t="n"/>
      <c r="J482" s="935" t="inlineStr">
        <is>
          <t>Lottery Machine #2 (?%)</t>
        </is>
      </c>
      <c r="K482" s="669" t="n"/>
      <c r="L482" s="669" t="n"/>
      <c r="M482" s="669" t="n"/>
      <c r="N482" s="669" t="n"/>
      <c r="O482" s="669" t="n"/>
      <c r="P482" s="669" t="n"/>
      <c r="Q482" s="669" t="n"/>
      <c r="R482" s="669" t="n"/>
      <c r="S482" s="669" t="n"/>
      <c r="T482" s="669" t="n"/>
      <c r="U482" s="669" t="n"/>
      <c r="V482" s="669" t="n"/>
      <c r="W482" s="669" t="n"/>
      <c r="X482" s="669" t="n"/>
      <c r="Y482" s="669" t="n"/>
      <c r="Z482" s="669" t="n"/>
    </row>
    <row r="483">
      <c r="A483" s="246" t="inlineStr">
        <is>
          <t xml:space="preserve">  Ariadne's Thread</t>
        </is>
      </c>
      <c r="B483" s="1037" t="inlineStr">
        <is>
          <t>Blue</t>
        </is>
      </c>
      <c r="C483" s="1037" t="inlineStr">
        <is>
          <t>CIV</t>
        </is>
      </c>
      <c r="D483" s="209" t="n"/>
      <c r="E483" s="209" t="n"/>
      <c r="F483" s="209" t="n"/>
      <c r="G483" s="209" t="n"/>
      <c r="H483" s="209" t="n"/>
      <c r="I483" s="209" t="n"/>
      <c r="J483" s="256" t="inlineStr">
        <is>
          <t>Lottery Machine #2 (?%)</t>
        </is>
      </c>
      <c r="K483" s="669" t="n"/>
      <c r="L483" s="669" t="n"/>
      <c r="M483" s="669" t="n"/>
      <c r="N483" s="669" t="n"/>
      <c r="O483" s="669" t="n"/>
      <c r="P483" s="669" t="n"/>
      <c r="Q483" s="669" t="n"/>
      <c r="R483" s="669" t="n"/>
      <c r="S483" s="669" t="n"/>
      <c r="T483" s="669" t="n"/>
      <c r="U483" s="669" t="n"/>
      <c r="V483" s="669" t="n"/>
      <c r="W483" s="669" t="n"/>
      <c r="X483" s="669" t="n"/>
      <c r="Y483" s="669" t="n"/>
      <c r="Z483" s="669" t="n"/>
    </row>
    <row r="484">
      <c r="A484" s="507" t="inlineStr">
        <is>
          <t>Resonance: Purple</t>
        </is>
      </c>
      <c r="B484" s="934" t="n"/>
      <c r="C484" s="934" t="n"/>
      <c r="D484" s="934" t="n"/>
      <c r="E484" s="934" t="n"/>
      <c r="F484" s="479" t="n">
        <v>6</v>
      </c>
      <c r="G484" s="934" t="n"/>
      <c r="H484" s="934" t="n"/>
      <c r="I484" s="934" t="n"/>
      <c r="J484" s="935" t="n"/>
      <c r="K484" s="669" t="n"/>
      <c r="L484" s="669" t="n"/>
      <c r="M484" s="669" t="n"/>
      <c r="N484" s="669" t="n"/>
      <c r="O484" s="669" t="n"/>
      <c r="P484" s="669" t="n"/>
      <c r="Q484" s="669" t="n"/>
      <c r="R484" s="669" t="n"/>
      <c r="S484" s="669" t="n"/>
      <c r="T484" s="669" t="n"/>
      <c r="U484" s="669" t="n"/>
      <c r="V484" s="669" t="n"/>
      <c r="W484" s="669" t="n"/>
      <c r="X484" s="669" t="n"/>
      <c r="Y484" s="669" t="n"/>
      <c r="Z484" s="669" t="n"/>
    </row>
    <row r="485">
      <c r="A485" s="246" t="inlineStr">
        <is>
          <t xml:space="preserve">  Carmen Lucia's Ring</t>
        </is>
      </c>
      <c r="B485" s="1037" t="inlineStr">
        <is>
          <t>AA</t>
        </is>
      </c>
      <c r="C485" s="1037" t="inlineStr">
        <is>
          <t>ART</t>
        </is>
      </c>
      <c r="D485" s="209" t="n"/>
      <c r="E485" s="209" t="n"/>
      <c r="F485" s="209" t="n"/>
      <c r="G485" s="209" t="n"/>
      <c r="H485" s="209" t="n"/>
      <c r="I485" s="209" t="n"/>
      <c r="J485" s="256" t="inlineStr">
        <is>
          <t>Lottery Machine #2 (?%)</t>
        </is>
      </c>
      <c r="K485" s="669" t="n"/>
      <c r="L485" s="669" t="n"/>
      <c r="M485" s="669" t="n"/>
      <c r="N485" s="669" t="n"/>
      <c r="O485" s="669" t="n"/>
      <c r="P485" s="669" t="n"/>
      <c r="Q485" s="669" t="n"/>
      <c r="R485" s="669" t="n"/>
      <c r="S485" s="669" t="n"/>
      <c r="T485" s="669" t="n"/>
      <c r="U485" s="669" t="n"/>
      <c r="V485" s="669" t="n"/>
      <c r="W485" s="669" t="n"/>
      <c r="X485" s="669" t="n"/>
      <c r="Y485" s="669" t="n"/>
      <c r="Z485" s="669" t="n"/>
    </row>
    <row r="486">
      <c r="A486" s="507" t="inlineStr">
        <is>
          <t xml:space="preserve">  Isabella</t>
        </is>
      </c>
      <c r="B486" s="1037" t="inlineStr">
        <is>
          <t>AAA</t>
        </is>
      </c>
      <c r="C486" s="1037" t="inlineStr">
        <is>
          <t>ART</t>
        </is>
      </c>
      <c r="D486" s="934" t="n"/>
      <c r="E486" s="934" t="n"/>
      <c r="F486" s="934" t="n"/>
      <c r="G486" s="934" t="n"/>
      <c r="H486" s="934" t="n"/>
      <c r="I486" s="934" t="n"/>
      <c r="J486" s="935" t="inlineStr">
        <is>
          <t>Lottery Machine #2 (?%)</t>
        </is>
      </c>
      <c r="K486" s="669" t="n"/>
      <c r="L486" s="669" t="n"/>
      <c r="M486" s="669" t="n"/>
      <c r="N486" s="669" t="n"/>
      <c r="O486" s="669" t="n"/>
      <c r="P486" s="669" t="n"/>
      <c r="Q486" s="669" t="n"/>
      <c r="R486" s="669" t="n"/>
      <c r="S486" s="669" t="n"/>
      <c r="T486" s="669" t="n"/>
      <c r="U486" s="669" t="n"/>
      <c r="V486" s="669" t="n"/>
      <c r="W486" s="669" t="n"/>
      <c r="X486" s="669" t="n"/>
      <c r="Y486" s="669" t="n"/>
      <c r="Z486" s="669" t="n"/>
    </row>
    <row r="487">
      <c r="A487" s="272" t="inlineStr">
        <is>
          <t>TOTAL RUSH</t>
        </is>
      </c>
      <c r="B487" s="214" t="n"/>
      <c r="C487" s="214" t="n"/>
      <c r="D487" s="214" t="n"/>
      <c r="E487" s="214" t="n"/>
      <c r="F487" s="215">
        <f>sum(F471:G486)</f>
        <v/>
      </c>
      <c r="G487" s="214" t="n"/>
      <c r="H487" s="214" t="n"/>
      <c r="I487" s="228">
        <f>sum(I471:I486)</f>
        <v/>
      </c>
      <c r="J487" s="216" t="n"/>
      <c r="K487" s="669" t="n"/>
      <c r="L487" s="669" t="n"/>
      <c r="M487" s="669" t="n"/>
      <c r="N487" s="669" t="n"/>
      <c r="O487" s="669" t="n"/>
      <c r="P487" s="669" t="n"/>
      <c r="Q487" s="669" t="n"/>
      <c r="R487" s="669" t="n"/>
      <c r="S487" s="669" t="n"/>
      <c r="T487" s="669" t="n"/>
      <c r="U487" s="669" t="n"/>
      <c r="V487" s="669" t="n"/>
      <c r="W487" s="669" t="n"/>
      <c r="X487" s="669" t="n"/>
      <c r="Y487" s="669" t="n"/>
      <c r="Z487" s="669" t="n"/>
    </row>
    <row r="488">
      <c r="A488" s="825" t="n"/>
      <c r="B488" s="1037" t="n"/>
      <c r="C488" s="1037" t="n"/>
      <c r="D488" s="1037" t="n"/>
      <c r="E488" s="1037" t="n"/>
      <c r="F488" s="1037" t="n"/>
      <c r="G488" s="1037" t="n"/>
      <c r="H488" s="1037" t="n"/>
      <c r="I488" s="1037" t="n"/>
      <c r="J488" s="386" t="n"/>
      <c r="K488" s="669" t="n"/>
      <c r="L488" s="669" t="n"/>
      <c r="M488" s="669" t="n"/>
      <c r="N488" s="669" t="n"/>
      <c r="O488" s="669" t="n"/>
      <c r="P488" s="669" t="n"/>
      <c r="Q488" s="669" t="n"/>
      <c r="R488" s="669" t="n"/>
      <c r="S488" s="669" t="n"/>
      <c r="T488" s="669" t="n"/>
      <c r="U488" s="669" t="n"/>
      <c r="V488" s="669" t="n"/>
      <c r="W488" s="669" t="n"/>
      <c r="X488" s="669" t="n"/>
      <c r="Y488" s="669" t="n"/>
      <c r="Z488" s="669" t="n"/>
    </row>
    <row r="489">
      <c r="A489" s="383" t="n"/>
      <c r="B489" s="1079" t="n"/>
      <c r="C489" s="1079" t="n"/>
      <c r="D489" s="1079" t="n"/>
      <c r="E489" s="1079" t="n"/>
      <c r="F489" s="1079" t="n"/>
      <c r="G489" s="1079" t="n"/>
      <c r="H489" s="1079" t="n"/>
      <c r="I489" s="1079" t="n"/>
      <c r="J489" s="970" t="n"/>
      <c r="K489" s="669" t="n"/>
      <c r="L489" s="669" t="n"/>
      <c r="M489" s="669" t="n"/>
      <c r="N489" s="669" t="n"/>
      <c r="O489" s="669" t="n"/>
      <c r="P489" s="669" t="n"/>
      <c r="Q489" s="669" t="n"/>
      <c r="R489" s="669" t="n"/>
      <c r="S489" s="669" t="n"/>
      <c r="T489" s="669" t="n"/>
      <c r="U489" s="669" t="n"/>
      <c r="V489" s="669" t="n"/>
      <c r="W489" s="669" t="n"/>
      <c r="X489" s="669" t="n"/>
      <c r="Y489" s="669" t="n"/>
      <c r="Z489" s="669" t="n"/>
    </row>
    <row r="490">
      <c r="A490" s="288" t="inlineStr">
        <is>
          <t>DEF</t>
        </is>
      </c>
      <c r="B490" s="289" t="inlineStr">
        <is>
          <t>Rarity</t>
        </is>
      </c>
      <c r="C490" s="289" t="inlineStr">
        <is>
          <t>Type</t>
        </is>
      </c>
      <c r="D490" s="289" t="inlineStr">
        <is>
          <t>Base</t>
        </is>
      </c>
      <c r="E490" s="289" t="inlineStr">
        <is>
          <t>Awakening Base</t>
        </is>
      </c>
      <c r="F490" s="289" t="inlineStr">
        <is>
          <t>Percentage</t>
        </is>
      </c>
      <c r="G490" s="289" t="inlineStr">
        <is>
          <t>Awakening Percentage</t>
        </is>
      </c>
      <c r="H490" s="289" t="inlineStr">
        <is>
          <t>Per Minion</t>
        </is>
      </c>
      <c r="I490" s="289" t="inlineStr">
        <is>
          <t>Per Minion Boost</t>
        </is>
      </c>
      <c r="J490" s="275" t="inlineStr">
        <is>
          <t>Source</t>
        </is>
      </c>
      <c r="K490" s="669" t="n"/>
      <c r="L490" s="669" t="n"/>
      <c r="M490" s="669" t="n"/>
      <c r="N490" s="669" t="n"/>
      <c r="O490" s="669" t="n"/>
      <c r="P490" s="669" t="n"/>
      <c r="Q490" s="669" t="n"/>
      <c r="R490" s="669" t="n"/>
      <c r="S490" s="669" t="n"/>
      <c r="T490" s="669" t="n"/>
      <c r="U490" s="669" t="n"/>
      <c r="V490" s="669" t="n"/>
      <c r="W490" s="669" t="n"/>
      <c r="X490" s="669" t="n"/>
      <c r="Y490" s="669" t="n"/>
      <c r="Z490" s="669" t="n"/>
    </row>
    <row r="491">
      <c r="A491" s="507" t="inlineStr">
        <is>
          <t>Popol Vuh</t>
        </is>
      </c>
      <c r="B491" s="1037" t="inlineStr">
        <is>
          <t>AAA</t>
        </is>
      </c>
      <c r="C491" s="1037" t="inlineStr">
        <is>
          <t>FTH</t>
        </is>
      </c>
      <c r="D491" s="267" t="n">
        <v>36</v>
      </c>
      <c r="E491" s="267" t="n">
        <v>28</v>
      </c>
      <c r="F491" s="934" t="n"/>
      <c r="G491" s="934" t="n"/>
      <c r="H491" s="267" t="n">
        <v>30</v>
      </c>
      <c r="I491" s="255">
        <f>(D491+E491)/H491</f>
        <v/>
      </c>
      <c r="J491" s="935" t="inlineStr">
        <is>
          <t>Lottery Machine #2 (?%)</t>
        </is>
      </c>
      <c r="K491" s="669" t="n"/>
      <c r="L491" s="669" t="n"/>
      <c r="M491" s="669" t="n"/>
      <c r="N491" s="669" t="n"/>
      <c r="O491" s="669" t="n"/>
      <c r="P491" s="669" t="n"/>
      <c r="Q491" s="669" t="n"/>
      <c r="R491" s="669" t="n"/>
      <c r="S491" s="669" t="n"/>
      <c r="T491" s="669" t="n"/>
      <c r="U491" s="669" t="n"/>
      <c r="V491" s="669" t="n"/>
      <c r="W491" s="669" t="n"/>
      <c r="X491" s="669" t="n"/>
      <c r="Y491" s="669" t="n"/>
      <c r="Z491" s="669" t="n"/>
    </row>
    <row r="492">
      <c r="A492" s="246" t="inlineStr">
        <is>
          <t>True Cross</t>
        </is>
      </c>
      <c r="B492" s="1037" t="inlineStr">
        <is>
          <t>SSS</t>
        </is>
      </c>
      <c r="C492" s="1037" t="inlineStr">
        <is>
          <t>FTH</t>
        </is>
      </c>
      <c r="D492" s="210" t="n">
        <v>90</v>
      </c>
      <c r="E492" s="209" t="n"/>
      <c r="F492" s="209" t="n"/>
      <c r="G492" s="209" t="n"/>
      <c r="H492" s="210" t="n">
        <v>60</v>
      </c>
      <c r="I492" s="210">
        <f>(D492+E492)/H492</f>
        <v/>
      </c>
      <c r="J492" s="1095" t="inlineStr">
        <is>
          <t>Oracle Hall (Earth's Will Cabin) Reward</t>
        </is>
      </c>
      <c r="K492" s="669" t="n"/>
      <c r="L492" s="669" t="n"/>
      <c r="M492" s="669" t="n"/>
      <c r="N492" s="669" t="n"/>
      <c r="O492" s="669" t="n"/>
      <c r="P492" s="669" t="n"/>
      <c r="Q492" s="669" t="n"/>
      <c r="R492" s="669" t="n"/>
      <c r="S492" s="669" t="n"/>
      <c r="T492" s="669" t="n"/>
      <c r="U492" s="669" t="n"/>
      <c r="V492" s="669" t="n"/>
      <c r="W492" s="669" t="n"/>
      <c r="X492" s="669" t="n"/>
      <c r="Y492" s="669" t="n"/>
      <c r="Z492" s="669" t="n"/>
    </row>
    <row r="493">
      <c r="A493" s="246" t="inlineStr">
        <is>
          <t>Pine Trees Screen</t>
        </is>
      </c>
      <c r="B493" s="1037" t="inlineStr">
        <is>
          <t>AA</t>
        </is>
      </c>
      <c r="C493" s="1037" t="inlineStr">
        <is>
          <t>ART</t>
        </is>
      </c>
      <c r="D493" s="209" t="n">
        <v>28</v>
      </c>
      <c r="E493" s="209" t="n"/>
      <c r="F493" s="268" t="n"/>
      <c r="G493" s="209" t="n"/>
      <c r="H493" s="267" t="n">
        <v>30</v>
      </c>
      <c r="I493" s="255">
        <f>(D493+E493)/H493</f>
        <v/>
      </c>
      <c r="J493" s="256" t="inlineStr">
        <is>
          <t>Fragment Crafting (3.9%), Lottery Machine #1 (0.08%), Wishing (0.36%), Yamato Treasure Maps (10%), Expert Scrolls (0.95%)</t>
        </is>
      </c>
      <c r="K493" s="669" t="n"/>
      <c r="L493" s="669" t="n"/>
      <c r="M493" s="669" t="n"/>
      <c r="N493" s="669" t="n"/>
      <c r="O493" s="669" t="n"/>
      <c r="P493" s="669" t="n"/>
      <c r="Q493" s="669" t="n"/>
      <c r="R493" s="669" t="n"/>
      <c r="S493" s="669" t="n"/>
      <c r="T493" s="669" t="n"/>
      <c r="U493" s="669" t="n"/>
      <c r="V493" s="669" t="n"/>
      <c r="W493" s="669" t="n"/>
      <c r="X493" s="669" t="n"/>
      <c r="Y493" s="669" t="n"/>
      <c r="Z493" s="669" t="n"/>
    </row>
    <row r="494">
      <c r="A494" s="507" t="inlineStr">
        <is>
          <t>Feather of Justice</t>
        </is>
      </c>
      <c r="B494" s="1037" t="inlineStr">
        <is>
          <t>SSS</t>
        </is>
      </c>
      <c r="C494" s="1037" t="inlineStr">
        <is>
          <t>FTH</t>
        </is>
      </c>
      <c r="D494" s="934" t="n"/>
      <c r="E494" s="934" t="n"/>
      <c r="F494" s="267" t="n">
        <v>12</v>
      </c>
      <c r="G494" s="934" t="n"/>
      <c r="H494" s="934" t="n"/>
      <c r="I494" s="934" t="n"/>
      <c r="J494" s="390" t="inlineStr">
        <is>
          <t>Daily Pack Relic #52</t>
        </is>
      </c>
      <c r="K494" s="669" t="n"/>
      <c r="L494" s="669" t="n"/>
      <c r="M494" s="669" t="n"/>
      <c r="N494" s="669" t="n"/>
      <c r="O494" s="669" t="n"/>
      <c r="P494" s="669" t="n"/>
      <c r="Q494" s="669" t="n"/>
      <c r="R494" s="669" t="n"/>
      <c r="S494" s="669" t="n"/>
      <c r="T494" s="669" t="n"/>
      <c r="U494" s="669" t="n"/>
      <c r="V494" s="669" t="n"/>
      <c r="W494" s="669" t="n"/>
      <c r="X494" s="669" t="n"/>
      <c r="Y494" s="669" t="n"/>
      <c r="Z494" s="669" t="n"/>
    </row>
    <row r="495">
      <c r="A495" s="246" t="inlineStr">
        <is>
          <t>Veiled Lady</t>
        </is>
      </c>
      <c r="B495" s="1037" t="inlineStr">
        <is>
          <t>SS</t>
        </is>
      </c>
      <c r="C495" s="1037" t="inlineStr">
        <is>
          <t>ART</t>
        </is>
      </c>
      <c r="D495" s="209" t="n"/>
      <c r="E495" s="209" t="n"/>
      <c r="F495" s="268" t="n">
        <v>11</v>
      </c>
      <c r="G495" s="209" t="n"/>
      <c r="H495" s="209" t="n"/>
      <c r="I495" s="209" t="n"/>
      <c r="J495" s="256" t="inlineStr">
        <is>
          <t>Lottery Machine #2 (?%)</t>
        </is>
      </c>
      <c r="K495" s="669" t="n"/>
      <c r="L495" s="669" t="n"/>
      <c r="M495" s="669" t="n"/>
      <c r="N495" s="669" t="n"/>
      <c r="O495" s="669" t="n"/>
      <c r="P495" s="669" t="n"/>
      <c r="Q495" s="669" t="n"/>
      <c r="R495" s="669" t="n"/>
      <c r="S495" s="669" t="n"/>
      <c r="T495" s="669" t="n"/>
      <c r="U495" s="669" t="n"/>
      <c r="V495" s="669" t="n"/>
      <c r="W495" s="669" t="n"/>
      <c r="X495" s="669" t="n"/>
      <c r="Y495" s="669" t="n"/>
      <c r="Z495" s="669" t="n"/>
    </row>
    <row r="496">
      <c r="A496" s="507" t="inlineStr">
        <is>
          <t>Mead Poetry</t>
        </is>
      </c>
      <c r="B496" s="1037" t="inlineStr">
        <is>
          <t>AAA</t>
        </is>
      </c>
      <c r="C496" s="1037" t="inlineStr">
        <is>
          <t>FTH</t>
        </is>
      </c>
      <c r="D496" s="934" t="n"/>
      <c r="E496" s="934" t="n"/>
      <c r="F496" s="267" t="n">
        <v>9</v>
      </c>
      <c r="G496" s="934" t="n"/>
      <c r="H496" s="934" t="n"/>
      <c r="I496" s="934" t="n"/>
      <c r="J496" s="390" t="inlineStr">
        <is>
          <t>Lottery Machine #3 (?%)</t>
        </is>
      </c>
      <c r="K496" s="669" t="n"/>
      <c r="L496" s="669" t="n"/>
      <c r="M496" s="669" t="n"/>
      <c r="N496" s="669" t="n"/>
      <c r="O496" s="669" t="n"/>
      <c r="P496" s="669" t="n"/>
      <c r="Q496" s="669" t="n"/>
      <c r="R496" s="669" t="n"/>
      <c r="S496" s="669" t="n"/>
      <c r="T496" s="669" t="n"/>
      <c r="U496" s="669" t="n"/>
      <c r="V496" s="669" t="n"/>
      <c r="W496" s="669" t="n"/>
      <c r="X496" s="669" t="n"/>
      <c r="Y496" s="669" t="n"/>
      <c r="Z496" s="669" t="n"/>
    </row>
    <row r="497">
      <c r="A497" s="507" t="inlineStr">
        <is>
          <t>Boy with Apple</t>
        </is>
      </c>
      <c r="B497" s="1037" t="inlineStr">
        <is>
          <t>AA</t>
        </is>
      </c>
      <c r="C497" s="1037" t="inlineStr">
        <is>
          <t>CIV</t>
        </is>
      </c>
      <c r="D497" s="934" t="n"/>
      <c r="E497" s="934" t="n"/>
      <c r="F497" s="267" t="n">
        <v>8</v>
      </c>
      <c r="G497" s="934" t="n"/>
      <c r="H497" s="934" t="n"/>
      <c r="I497" s="934" t="n"/>
      <c r="J497" s="935" t="inlineStr">
        <is>
          <t>Lottery Machine #2 (?%)</t>
        </is>
      </c>
      <c r="K497" s="669" t="n"/>
      <c r="L497" s="669" t="n"/>
      <c r="M497" s="669" t="n"/>
      <c r="N497" s="669" t="n"/>
      <c r="O497" s="669" t="n"/>
      <c r="P497" s="669" t="n"/>
      <c r="Q497" s="669" t="n"/>
      <c r="R497" s="669" t="n"/>
      <c r="S497" s="669" t="n"/>
      <c r="T497" s="669" t="n"/>
      <c r="U497" s="669" t="n"/>
      <c r="V497" s="669" t="n"/>
      <c r="W497" s="669" t="n"/>
      <c r="X497" s="669" t="n"/>
      <c r="Y497" s="669" t="n"/>
      <c r="Z497" s="669" t="n"/>
    </row>
    <row r="498">
      <c r="A498" s="246" t="inlineStr">
        <is>
          <t>St. Patrick's Trefoil</t>
        </is>
      </c>
      <c r="B498" s="1037" t="inlineStr">
        <is>
          <t>Blue</t>
        </is>
      </c>
      <c r="C498" s="1037" t="inlineStr">
        <is>
          <t>FTH</t>
        </is>
      </c>
      <c r="D498" s="209" t="n"/>
      <c r="E498" s="209" t="n"/>
      <c r="F498" s="268" t="n">
        <v>5</v>
      </c>
      <c r="G498" s="268" t="n">
        <v>5</v>
      </c>
      <c r="H498" s="209" t="n"/>
      <c r="I498" s="209" t="n"/>
      <c r="J498" s="390" t="inlineStr">
        <is>
          <t>Lottery Machine #3 (?%)</t>
        </is>
      </c>
      <c r="K498" s="669" t="n"/>
      <c r="L498" s="669" t="n"/>
      <c r="M498" s="669" t="n"/>
      <c r="N498" s="669" t="n"/>
      <c r="O498" s="669" t="n"/>
      <c r="P498" s="669" t="n"/>
      <c r="Q498" s="669" t="n"/>
      <c r="R498" s="669" t="n"/>
      <c r="S498" s="669" t="n"/>
      <c r="T498" s="669" t="n"/>
      <c r="U498" s="669" t="n"/>
      <c r="V498" s="669" t="n"/>
      <c r="W498" s="669" t="n"/>
      <c r="X498" s="669" t="n"/>
      <c r="Y498" s="669" t="n"/>
      <c r="Z498" s="669" t="n"/>
    </row>
    <row r="499">
      <c r="A499" s="246" t="inlineStr">
        <is>
          <t>Charlotte's Web</t>
        </is>
      </c>
      <c r="B499" s="1037" t="inlineStr">
        <is>
          <t>Blue</t>
        </is>
      </c>
      <c r="C499" s="1037" t="inlineStr">
        <is>
          <t>CIV</t>
        </is>
      </c>
      <c r="D499" s="209" t="n"/>
      <c r="E499" s="209" t="n"/>
      <c r="F499" s="268" t="n">
        <v>5</v>
      </c>
      <c r="G499" s="268" t="n">
        <v>5</v>
      </c>
      <c r="H499" s="209" t="n"/>
      <c r="I499" s="209" t="n"/>
      <c r="J499" s="256" t="inlineStr">
        <is>
          <t>Lottery Machine #2 (?%)</t>
        </is>
      </c>
      <c r="K499" s="669" t="n"/>
      <c r="L499" s="669" t="n"/>
      <c r="M499" s="669" t="n"/>
      <c r="N499" s="669" t="n"/>
      <c r="O499" s="669" t="n"/>
      <c r="P499" s="669" t="n"/>
      <c r="Q499" s="669" t="n"/>
      <c r="R499" s="669" t="n"/>
      <c r="S499" s="669" t="n"/>
      <c r="T499" s="669" t="n"/>
      <c r="U499" s="669" t="n"/>
      <c r="V499" s="669" t="n"/>
      <c r="W499" s="669" t="n"/>
      <c r="X499" s="669" t="n"/>
      <c r="Y499" s="669" t="n"/>
      <c r="Z499" s="669" t="n"/>
    </row>
    <row r="500">
      <c r="A500" s="257" t="n"/>
      <c r="B500" s="209" t="n"/>
      <c r="C500" s="934" t="n"/>
      <c r="D500" s="209" t="n"/>
      <c r="E500" s="209" t="n"/>
      <c r="F500" s="209" t="n"/>
      <c r="G500" s="209" t="n"/>
      <c r="H500" s="209" t="n"/>
      <c r="I500" s="209" t="n"/>
      <c r="J500" s="256" t="n"/>
      <c r="K500" s="669" t="n"/>
      <c r="L500" s="669" t="n"/>
      <c r="M500" s="669" t="n"/>
      <c r="N500" s="669" t="n"/>
      <c r="O500" s="669" t="n"/>
      <c r="P500" s="669" t="n"/>
      <c r="Q500" s="669" t="n"/>
      <c r="R500" s="669" t="n"/>
      <c r="S500" s="669" t="n"/>
      <c r="T500" s="669" t="n"/>
      <c r="U500" s="669" t="n"/>
      <c r="V500" s="669" t="n"/>
      <c r="W500" s="669" t="n"/>
      <c r="X500" s="669" t="n"/>
      <c r="Y500" s="669" t="n"/>
      <c r="Z500" s="669" t="n"/>
    </row>
    <row r="501">
      <c r="A501" s="507" t="inlineStr">
        <is>
          <t>Resonance: Blue</t>
        </is>
      </c>
      <c r="B501" s="934" t="n"/>
      <c r="C501" s="934" t="n"/>
      <c r="D501" s="479" t="n">
        <v>5</v>
      </c>
      <c r="E501" s="934" t="n"/>
      <c r="F501" s="934" t="n"/>
      <c r="G501" s="934" t="n"/>
      <c r="H501" s="479" t="n">
        <v>10</v>
      </c>
      <c r="I501" s="479">
        <f>(D501+E501)/H501</f>
        <v/>
      </c>
      <c r="J501" s="935" t="n"/>
      <c r="K501" s="669" t="n"/>
      <c r="L501" s="669" t="n"/>
      <c r="M501" s="669" t="n"/>
      <c r="N501" s="669" t="n"/>
      <c r="O501" s="669" t="n"/>
      <c r="P501" s="669" t="n"/>
      <c r="Q501" s="669" t="n"/>
      <c r="R501" s="669" t="n"/>
      <c r="S501" s="669" t="n"/>
      <c r="T501" s="669" t="n"/>
      <c r="U501" s="669" t="n"/>
      <c r="V501" s="669" t="n"/>
      <c r="W501" s="669" t="n"/>
      <c r="X501" s="669" t="n"/>
      <c r="Y501" s="669" t="n"/>
      <c r="Z501" s="669" t="n"/>
    </row>
    <row r="502">
      <c r="A502" s="246" t="inlineStr">
        <is>
          <t xml:space="preserve">  Earthly Delight Garden</t>
        </is>
      </c>
      <c r="B502" s="1037" t="inlineStr">
        <is>
          <t>Blue</t>
        </is>
      </c>
      <c r="C502" s="1037" t="inlineStr">
        <is>
          <t>ART</t>
        </is>
      </c>
      <c r="D502" s="209" t="n"/>
      <c r="E502" s="209" t="n"/>
      <c r="F502" s="209" t="n"/>
      <c r="G502" s="209" t="n"/>
      <c r="H502" s="209" t="n"/>
      <c r="I502" s="209" t="n"/>
      <c r="J502" s="256" t="inlineStr">
        <is>
          <t>Lottery Machine #2 (?%)</t>
        </is>
      </c>
      <c r="K502" s="669" t="n"/>
      <c r="L502" s="669" t="n"/>
      <c r="M502" s="669" t="n"/>
      <c r="N502" s="669" t="n"/>
      <c r="O502" s="669" t="n"/>
      <c r="P502" s="669" t="n"/>
      <c r="Q502" s="669" t="n"/>
      <c r="R502" s="669" t="n"/>
      <c r="S502" s="669" t="n"/>
      <c r="T502" s="669" t="n"/>
      <c r="U502" s="669" t="n"/>
      <c r="V502" s="669" t="n"/>
      <c r="W502" s="669" t="n"/>
      <c r="X502" s="669" t="n"/>
      <c r="Y502" s="669" t="n"/>
      <c r="Z502" s="669" t="n"/>
    </row>
    <row r="503">
      <c r="A503" s="507" t="inlineStr">
        <is>
          <t xml:space="preserve">  The Blue Marble</t>
        </is>
      </c>
      <c r="B503" s="1037" t="inlineStr">
        <is>
          <t>Blue</t>
        </is>
      </c>
      <c r="C503" s="1037" t="inlineStr">
        <is>
          <t>ART</t>
        </is>
      </c>
      <c r="D503" s="934" t="n"/>
      <c r="E503" s="934" t="n"/>
      <c r="F503" s="934" t="n"/>
      <c r="G503" s="934" t="n"/>
      <c r="H503" s="934" t="n"/>
      <c r="I503" s="934" t="n"/>
      <c r="J503" s="935" t="inlineStr">
        <is>
          <t>Lottery Machine #2 (?%)</t>
        </is>
      </c>
      <c r="K503" s="669" t="n"/>
      <c r="L503" s="669" t="n"/>
      <c r="M503" s="669" t="n"/>
      <c r="N503" s="669" t="n"/>
      <c r="O503" s="669" t="n"/>
      <c r="P503" s="669" t="n"/>
      <c r="Q503" s="669" t="n"/>
      <c r="R503" s="669" t="n"/>
      <c r="S503" s="669" t="n"/>
      <c r="T503" s="669" t="n"/>
      <c r="U503" s="669" t="n"/>
      <c r="V503" s="669" t="n"/>
      <c r="W503" s="669" t="n"/>
      <c r="X503" s="669" t="n"/>
      <c r="Y503" s="669" t="n"/>
      <c r="Z503" s="669" t="n"/>
    </row>
    <row r="504">
      <c r="A504" s="246" t="inlineStr">
        <is>
          <t>Resonance: Purple</t>
        </is>
      </c>
      <c r="B504" s="209" t="n"/>
      <c r="C504" s="209" t="n"/>
      <c r="D504" s="209" t="n"/>
      <c r="E504" s="209" t="n"/>
      <c r="F504" s="210" t="n">
        <v>6</v>
      </c>
      <c r="G504" s="209" t="n"/>
      <c r="H504" s="209" t="n"/>
      <c r="I504" s="209" t="n"/>
      <c r="J504" s="256" t="n"/>
      <c r="K504" s="669" t="n"/>
      <c r="L504" s="669" t="n"/>
      <c r="M504" s="669" t="n"/>
      <c r="N504" s="669" t="n"/>
      <c r="O504" s="669" t="n"/>
      <c r="P504" s="669" t="n"/>
      <c r="Q504" s="669" t="n"/>
      <c r="R504" s="669" t="n"/>
      <c r="S504" s="669" t="n"/>
      <c r="T504" s="669" t="n"/>
      <c r="U504" s="669" t="n"/>
      <c r="V504" s="669" t="n"/>
      <c r="W504" s="669" t="n"/>
      <c r="X504" s="669" t="n"/>
      <c r="Y504" s="669" t="n"/>
      <c r="Z504" s="669" t="n"/>
    </row>
    <row r="505">
      <c r="A505" s="507" t="inlineStr">
        <is>
          <t xml:space="preserve">  Cintamani</t>
        </is>
      </c>
      <c r="B505" s="1037" t="inlineStr">
        <is>
          <t>AAA</t>
        </is>
      </c>
      <c r="C505" s="1037" t="inlineStr">
        <is>
          <t>FTH</t>
        </is>
      </c>
      <c r="D505" s="934" t="n"/>
      <c r="E505" s="934" t="n"/>
      <c r="F505" s="934" t="n"/>
      <c r="G505" s="934" t="n"/>
      <c r="H505" s="934" t="n"/>
      <c r="I505" s="934" t="n"/>
      <c r="J505" s="935" t="inlineStr">
        <is>
          <t>Lottery Machine #2 (?%)</t>
        </is>
      </c>
      <c r="K505" s="669" t="n"/>
      <c r="L505" s="669" t="n"/>
      <c r="M505" s="669" t="n"/>
      <c r="N505" s="669" t="n"/>
      <c r="O505" s="669" t="n"/>
      <c r="P505" s="669" t="n"/>
      <c r="Q505" s="669" t="n"/>
      <c r="R505" s="669" t="n"/>
      <c r="S505" s="669" t="n"/>
      <c r="T505" s="669" t="n"/>
      <c r="U505" s="669" t="n"/>
      <c r="V505" s="669" t="n"/>
      <c r="W505" s="669" t="n"/>
      <c r="X505" s="669" t="n"/>
      <c r="Y505" s="669" t="n"/>
      <c r="Z505" s="669" t="n"/>
    </row>
    <row r="506">
      <c r="A506" s="246" t="inlineStr">
        <is>
          <t xml:space="preserve">  Nishijin Fabric</t>
        </is>
      </c>
      <c r="B506" s="1037" t="inlineStr">
        <is>
          <t>AAA</t>
        </is>
      </c>
      <c r="C506" s="1037" t="inlineStr">
        <is>
          <t>ART</t>
        </is>
      </c>
      <c r="D506" s="209" t="n"/>
      <c r="E506" s="209" t="n"/>
      <c r="F506" s="209" t="n"/>
      <c r="G506" s="209" t="n"/>
      <c r="H506" s="209" t="n"/>
      <c r="I506" s="209" t="n"/>
      <c r="J506" s="935" t="inlineStr">
        <is>
          <t>Lottery Machine #2 (?%)</t>
        </is>
      </c>
      <c r="K506" s="669" t="n"/>
      <c r="L506" s="669" t="n"/>
      <c r="M506" s="669" t="n"/>
      <c r="N506" s="669" t="n"/>
      <c r="O506" s="669" t="n"/>
      <c r="P506" s="669" t="n"/>
      <c r="Q506" s="669" t="n"/>
      <c r="R506" s="669" t="n"/>
      <c r="S506" s="669" t="n"/>
      <c r="T506" s="669" t="n"/>
      <c r="U506" s="669" t="n"/>
      <c r="V506" s="669" t="n"/>
      <c r="W506" s="669" t="n"/>
      <c r="X506" s="669" t="n"/>
      <c r="Y506" s="669" t="n"/>
      <c r="Z506" s="669" t="n"/>
    </row>
    <row r="507">
      <c r="A507" s="955" t="inlineStr">
        <is>
          <t>TOTAL DEF</t>
        </is>
      </c>
      <c r="B507" s="946" t="n"/>
      <c r="C507" s="946" t="n"/>
      <c r="D507" s="946" t="n"/>
      <c r="E507" s="946" t="n"/>
      <c r="F507" s="260">
        <f>sum(F491:G506)</f>
        <v/>
      </c>
      <c r="G507" s="946" t="n"/>
      <c r="H507" s="946" t="n"/>
      <c r="I507" s="261">
        <f>sum(I491:I506)</f>
        <v/>
      </c>
      <c r="J507" s="947" t="n"/>
      <c r="K507" s="669" t="n"/>
      <c r="L507" s="669" t="n"/>
      <c r="M507" s="669" t="n"/>
      <c r="N507" s="669" t="n"/>
      <c r="O507" s="669" t="n"/>
      <c r="P507" s="669" t="n"/>
      <c r="Q507" s="669" t="n"/>
      <c r="R507" s="669" t="n"/>
      <c r="S507" s="669" t="n"/>
      <c r="T507" s="669" t="n"/>
      <c r="U507" s="669" t="n"/>
      <c r="V507" s="669" t="n"/>
      <c r="W507" s="669" t="n"/>
      <c r="X507" s="669" t="n"/>
      <c r="Y507" s="669" t="n"/>
      <c r="Z507" s="669" t="n"/>
    </row>
    <row r="508">
      <c r="A508" s="825" t="n"/>
      <c r="B508" s="1037" t="n"/>
      <c r="C508" s="1037" t="n"/>
      <c r="D508" s="1037" t="n"/>
      <c r="E508" s="1037" t="n"/>
      <c r="F508" s="1037" t="n"/>
      <c r="G508" s="1037" t="n"/>
      <c r="H508" s="1037" t="n"/>
      <c r="I508" s="1037" t="n"/>
      <c r="J508" s="386" t="n"/>
      <c r="K508" s="669" t="n"/>
      <c r="L508" s="669" t="n"/>
      <c r="M508" s="669" t="n"/>
      <c r="N508" s="669" t="n"/>
      <c r="O508" s="669" t="n"/>
      <c r="P508" s="669" t="n"/>
      <c r="Q508" s="669" t="n"/>
      <c r="R508" s="669" t="n"/>
      <c r="S508" s="669" t="n"/>
      <c r="T508" s="669" t="n"/>
      <c r="U508" s="669" t="n"/>
      <c r="V508" s="669" t="n"/>
      <c r="W508" s="669" t="n"/>
      <c r="X508" s="669" t="n"/>
      <c r="Y508" s="669" t="n"/>
      <c r="Z508" s="669" t="n"/>
    </row>
    <row r="509">
      <c r="A509" s="383" t="n"/>
      <c r="B509" s="1079" t="n"/>
      <c r="C509" s="1079" t="n"/>
      <c r="D509" s="1079" t="n"/>
      <c r="E509" s="1079" t="n"/>
      <c r="F509" s="1079" t="n"/>
      <c r="G509" s="1079" t="n"/>
      <c r="H509" s="1079" t="n"/>
      <c r="I509" s="1079" t="n"/>
      <c r="J509" s="970" t="n"/>
      <c r="K509" s="669" t="n"/>
      <c r="L509" s="669" t="n"/>
      <c r="M509" s="669" t="n"/>
      <c r="N509" s="669" t="n"/>
      <c r="O509" s="669" t="n"/>
      <c r="P509" s="669" t="n"/>
      <c r="Q509" s="669" t="n"/>
      <c r="R509" s="669" t="n"/>
      <c r="S509" s="669" t="n"/>
      <c r="T509" s="669" t="n"/>
      <c r="U509" s="669" t="n"/>
      <c r="V509" s="669" t="n"/>
      <c r="W509" s="669" t="n"/>
      <c r="X509" s="669" t="n"/>
      <c r="Y509" s="669" t="n"/>
      <c r="Z509" s="669" t="n"/>
    </row>
    <row r="510">
      <c r="A510" s="282" t="inlineStr">
        <is>
          <t>HARD</t>
        </is>
      </c>
      <c r="B510" s="283" t="inlineStr">
        <is>
          <t>Rarity</t>
        </is>
      </c>
      <c r="C510" s="283" t="inlineStr">
        <is>
          <t>Type</t>
        </is>
      </c>
      <c r="D510" s="283" t="inlineStr">
        <is>
          <t>Base</t>
        </is>
      </c>
      <c r="E510" s="283" t="inlineStr">
        <is>
          <t>Awakening Base</t>
        </is>
      </c>
      <c r="F510" s="283" t="inlineStr">
        <is>
          <t>Percentage</t>
        </is>
      </c>
      <c r="G510" s="283" t="inlineStr">
        <is>
          <t>Awakening Percentage</t>
        </is>
      </c>
      <c r="H510" s="283" t="inlineStr">
        <is>
          <t>Per Minion</t>
        </is>
      </c>
      <c r="I510" s="283" t="inlineStr">
        <is>
          <t>Per Minion Boost</t>
        </is>
      </c>
      <c r="J510" s="253" t="inlineStr">
        <is>
          <t>Source</t>
        </is>
      </c>
      <c r="K510" s="669" t="n"/>
      <c r="L510" s="669" t="n"/>
      <c r="M510" s="669" t="n"/>
      <c r="N510" s="669" t="n"/>
      <c r="O510" s="669" t="n"/>
      <c r="P510" s="669" t="n"/>
      <c r="Q510" s="669" t="n"/>
      <c r="R510" s="669" t="n"/>
      <c r="S510" s="669" t="n"/>
      <c r="T510" s="669" t="n"/>
      <c r="U510" s="669" t="n"/>
      <c r="V510" s="669" t="n"/>
      <c r="W510" s="669" t="n"/>
      <c r="X510" s="669" t="n"/>
      <c r="Y510" s="669" t="n"/>
      <c r="Z510" s="669" t="n"/>
    </row>
    <row r="511">
      <c r="A511" s="507" t="inlineStr">
        <is>
          <t>The Bell of St Mura</t>
        </is>
      </c>
      <c r="B511" s="425" t="inlineStr">
        <is>
          <t>AAA</t>
        </is>
      </c>
      <c r="C511" s="425" t="inlineStr">
        <is>
          <t>FTH</t>
        </is>
      </c>
      <c r="D511" s="479" t="n">
        <v>18</v>
      </c>
      <c r="E511" s="479" t="n">
        <v>14</v>
      </c>
      <c r="F511" s="930" t="n"/>
      <c r="G511" s="930" t="n"/>
      <c r="H511" s="479" t="n">
        <v>30</v>
      </c>
      <c r="I511" s="255">
        <f>(D511+E511)/H511</f>
        <v/>
      </c>
      <c r="J511" s="935" t="inlineStr">
        <is>
          <t>Rift Treasure Maps (10%)</t>
        </is>
      </c>
      <c r="K511" s="669" t="n"/>
      <c r="L511" s="669" t="n"/>
      <c r="M511" s="669" t="n"/>
      <c r="N511" s="669" t="n"/>
      <c r="O511" s="669" t="n"/>
      <c r="P511" s="669" t="n"/>
      <c r="Q511" s="669" t="n"/>
      <c r="R511" s="669" t="n"/>
      <c r="S511" s="669" t="n"/>
      <c r="T511" s="669" t="n"/>
      <c r="U511" s="669" t="n"/>
      <c r="V511" s="669" t="n"/>
      <c r="W511" s="669" t="n"/>
      <c r="X511" s="669" t="n"/>
      <c r="Y511" s="669" t="n"/>
      <c r="Z511" s="669" t="n"/>
    </row>
    <row r="512">
      <c r="A512" s="246" t="inlineStr">
        <is>
          <t>Valaroma</t>
        </is>
      </c>
      <c r="B512" s="425" t="inlineStr">
        <is>
          <t>AAA</t>
        </is>
      </c>
      <c r="C512" s="425" t="inlineStr">
        <is>
          <t>FTH</t>
        </is>
      </c>
      <c r="D512" s="210" t="n">
        <v>18</v>
      </c>
      <c r="E512" s="210" t="n">
        <v>14</v>
      </c>
      <c r="F512" s="279" t="n"/>
      <c r="G512" s="279" t="n"/>
      <c r="H512" s="479" t="n">
        <v>30</v>
      </c>
      <c r="I512" s="255">
        <f>(D512+E512)/H512</f>
        <v/>
      </c>
      <c r="J512" s="281" t="inlineStr">
        <is>
          <t>Lottery Box Relic #3</t>
        </is>
      </c>
      <c r="K512" s="669" t="n"/>
      <c r="L512" s="669" t="n"/>
      <c r="M512" s="669" t="n"/>
      <c r="N512" s="669" t="n"/>
      <c r="O512" s="669" t="n"/>
      <c r="P512" s="669" t="n"/>
      <c r="Q512" s="669" t="n"/>
      <c r="R512" s="669" t="n"/>
      <c r="S512" s="669" t="n"/>
      <c r="T512" s="669" t="n"/>
      <c r="U512" s="669" t="n"/>
      <c r="V512" s="669" t="n"/>
      <c r="W512" s="669" t="n"/>
      <c r="X512" s="669" t="n"/>
      <c r="Y512" s="669" t="n"/>
      <c r="Z512" s="669" t="n"/>
    </row>
    <row r="513">
      <c r="A513" s="246" t="inlineStr">
        <is>
          <t>True Cross</t>
        </is>
      </c>
      <c r="B513" s="425" t="inlineStr">
        <is>
          <t>SSS</t>
        </is>
      </c>
      <c r="C513" s="425" t="inlineStr">
        <is>
          <t>FTH</t>
        </is>
      </c>
      <c r="D513" s="210" t="n">
        <v>30</v>
      </c>
      <c r="E513" s="210" t="n">
        <v>30</v>
      </c>
      <c r="F513" s="279" t="n"/>
      <c r="G513" s="279" t="n"/>
      <c r="H513" s="210" t="n">
        <v>60</v>
      </c>
      <c r="I513" s="210">
        <f>(D513+E513)/H513</f>
        <v/>
      </c>
      <c r="J513" s="1095" t="inlineStr">
        <is>
          <t>Oracle Hall (Earth's Will Cabin) Reward</t>
        </is>
      </c>
      <c r="K513" s="669" t="n"/>
      <c r="L513" s="669" t="n"/>
      <c r="M513" s="669" t="n"/>
      <c r="N513" s="669" t="n"/>
      <c r="O513" s="669" t="n"/>
      <c r="P513" s="669" t="n"/>
      <c r="Q513" s="669" t="n"/>
      <c r="R513" s="669" t="n"/>
      <c r="S513" s="669" t="n"/>
      <c r="T513" s="669" t="n"/>
      <c r="U513" s="669" t="n"/>
      <c r="V513" s="669" t="n"/>
      <c r="W513" s="669" t="n"/>
      <c r="X513" s="669" t="n"/>
      <c r="Y513" s="669" t="n"/>
      <c r="Z513" s="669" t="n"/>
    </row>
    <row r="514">
      <c r="A514" s="507" t="inlineStr">
        <is>
          <t>Venus de Milo</t>
        </is>
      </c>
      <c r="B514" s="425" t="inlineStr">
        <is>
          <t>SS</t>
        </is>
      </c>
      <c r="C514" s="425" t="inlineStr">
        <is>
          <t>ART</t>
        </is>
      </c>
      <c r="D514" s="479" t="n">
        <v>30</v>
      </c>
      <c r="E514" s="479" t="n">
        <v>30</v>
      </c>
      <c r="F514" s="930" t="n"/>
      <c r="G514" s="930" t="n"/>
      <c r="H514" s="479" t="n">
        <v>60</v>
      </c>
      <c r="I514" s="479">
        <f>(D514+E514)/H514</f>
        <v/>
      </c>
      <c r="J514" s="935" t="inlineStr">
        <is>
          <t>T7.5 Angel Gene Research</t>
        </is>
      </c>
      <c r="K514" s="669" t="n"/>
      <c r="L514" s="669" t="n"/>
      <c r="M514" s="669" t="n"/>
      <c r="N514" s="669" t="n"/>
      <c r="O514" s="669" t="n"/>
      <c r="P514" s="669" t="n"/>
      <c r="Q514" s="669" t="n"/>
      <c r="R514" s="669" t="n"/>
      <c r="S514" s="669" t="n"/>
      <c r="T514" s="669" t="n"/>
      <c r="U514" s="669" t="n"/>
      <c r="V514" s="669" t="n"/>
      <c r="W514" s="669" t="n"/>
      <c r="X514" s="669" t="n"/>
      <c r="Y514" s="669" t="n"/>
      <c r="Z514" s="669" t="n"/>
    </row>
    <row r="515">
      <c r="A515" s="246" t="inlineStr">
        <is>
          <t>Ganesha Statue</t>
        </is>
      </c>
      <c r="B515" s="425" t="inlineStr">
        <is>
          <t>Blue</t>
        </is>
      </c>
      <c r="C515" s="425" t="inlineStr">
        <is>
          <t>FTH</t>
        </is>
      </c>
      <c r="D515" s="210" t="n">
        <v>5</v>
      </c>
      <c r="E515" s="210" t="n">
        <v>5</v>
      </c>
      <c r="F515" s="279" t="n"/>
      <c r="G515" s="279" t="n"/>
      <c r="H515" s="210" t="n">
        <v>10</v>
      </c>
      <c r="I515" s="210">
        <f>(D515+E515)/H515</f>
        <v/>
      </c>
      <c r="J515" s="935" t="inlineStr">
        <is>
          <t>Lottery Machine #2 (?%)</t>
        </is>
      </c>
      <c r="K515" s="669" t="n"/>
      <c r="L515" s="669" t="n"/>
      <c r="M515" s="669" t="n"/>
      <c r="N515" s="669" t="n"/>
      <c r="O515" s="669" t="n"/>
      <c r="P515" s="669" t="n"/>
      <c r="Q515" s="669" t="n"/>
      <c r="R515" s="669" t="n"/>
      <c r="S515" s="669" t="n"/>
      <c r="T515" s="669" t="n"/>
      <c r="U515" s="669" t="n"/>
      <c r="V515" s="669" t="n"/>
      <c r="W515" s="669" t="n"/>
      <c r="X515" s="669" t="n"/>
      <c r="Y515" s="669" t="n"/>
      <c r="Z515" s="669" t="n"/>
    </row>
    <row r="516">
      <c r="A516" s="507" t="inlineStr">
        <is>
          <t>Royal Doll</t>
        </is>
      </c>
      <c r="B516" s="425" t="inlineStr">
        <is>
          <t>Blue</t>
        </is>
      </c>
      <c r="C516" s="425" t="inlineStr">
        <is>
          <t>CIV</t>
        </is>
      </c>
      <c r="D516" s="479" t="n">
        <v>5</v>
      </c>
      <c r="E516" s="479" t="n">
        <v>3</v>
      </c>
      <c r="F516" s="930" t="n"/>
      <c r="G516" s="930" t="n"/>
      <c r="H516" s="479" t="n">
        <v>10</v>
      </c>
      <c r="I516" s="479">
        <f>(D516+E516)/H516</f>
        <v/>
      </c>
      <c r="J516" s="935" t="inlineStr">
        <is>
          <t>Lottery Machine #1 (0.03%), Wishing (0.82%)</t>
        </is>
      </c>
      <c r="K516" s="669" t="n"/>
      <c r="L516" s="669" t="n"/>
      <c r="M516" s="669" t="n"/>
      <c r="N516" s="669" t="n"/>
      <c r="O516" s="669" t="n"/>
      <c r="P516" s="669" t="n"/>
      <c r="Q516" s="669" t="n"/>
      <c r="R516" s="669" t="n"/>
      <c r="S516" s="669" t="n"/>
      <c r="T516" s="669" t="n"/>
      <c r="U516" s="669" t="n"/>
      <c r="V516" s="669" t="n"/>
      <c r="W516" s="669" t="n"/>
      <c r="X516" s="669" t="n"/>
      <c r="Y516" s="669" t="n"/>
      <c r="Z516" s="669" t="n"/>
    </row>
    <row r="517">
      <c r="A517" s="246" t="inlineStr">
        <is>
          <t>Benben</t>
        </is>
      </c>
      <c r="B517" s="425" t="inlineStr">
        <is>
          <t>AAA</t>
        </is>
      </c>
      <c r="C517" s="425" t="inlineStr">
        <is>
          <t>FTH</t>
        </is>
      </c>
      <c r="D517" s="279" t="n"/>
      <c r="E517" s="279" t="n"/>
      <c r="F517" s="210" t="n">
        <v>2.7</v>
      </c>
      <c r="G517" s="210" t="n">
        <v>2.1</v>
      </c>
      <c r="H517" s="479" t="n"/>
      <c r="I517" s="479" t="n"/>
      <c r="J517" s="935" t="inlineStr">
        <is>
          <t>Lottery Machine #2 (?%)</t>
        </is>
      </c>
      <c r="K517" s="669" t="n"/>
      <c r="L517" s="669" t="n"/>
      <c r="M517" s="669" t="n"/>
      <c r="N517" s="669" t="n"/>
      <c r="O517" s="669" t="n"/>
      <c r="P517" s="669" t="n"/>
      <c r="Q517" s="669" t="n"/>
      <c r="R517" s="669" t="n"/>
      <c r="S517" s="669" t="n"/>
      <c r="T517" s="669" t="n"/>
      <c r="U517" s="669" t="n"/>
      <c r="V517" s="669" t="n"/>
      <c r="W517" s="669" t="n"/>
      <c r="X517" s="669" t="n"/>
      <c r="Y517" s="669" t="n"/>
      <c r="Z517" s="669" t="n"/>
    </row>
    <row r="518">
      <c r="A518" s="932" t="n"/>
      <c r="B518" s="930" t="n"/>
      <c r="C518" s="934" t="n"/>
      <c r="D518" s="930" t="n"/>
      <c r="E518" s="930" t="n"/>
      <c r="F518" s="930" t="n"/>
      <c r="G518" s="930" t="n"/>
      <c r="H518" s="930" t="n"/>
      <c r="I518" s="930" t="n"/>
      <c r="J518" s="935" t="n"/>
      <c r="K518" s="669" t="n"/>
      <c r="L518" s="669" t="n"/>
      <c r="M518" s="669" t="n"/>
      <c r="N518" s="669" t="n"/>
      <c r="O518" s="669" t="n"/>
      <c r="P518" s="669" t="n"/>
      <c r="Q518" s="669" t="n"/>
      <c r="R518" s="669" t="n"/>
      <c r="S518" s="669" t="n"/>
      <c r="T518" s="669" t="n"/>
      <c r="U518" s="669" t="n"/>
      <c r="V518" s="669" t="n"/>
      <c r="W518" s="669" t="n"/>
      <c r="X518" s="669" t="n"/>
      <c r="Y518" s="669" t="n"/>
      <c r="Z518" s="669" t="n"/>
    </row>
    <row r="519">
      <c r="A519" s="246" t="inlineStr">
        <is>
          <t>Resonance: Orange</t>
        </is>
      </c>
      <c r="B519" s="279" t="n"/>
      <c r="C519" s="934" t="n"/>
      <c r="D519" s="210" t="n">
        <v>21</v>
      </c>
      <c r="E519" s="279" t="n"/>
      <c r="F519" s="279" t="n"/>
      <c r="G519" s="279" t="n"/>
      <c r="H519" s="210" t="n">
        <v>60</v>
      </c>
      <c r="I519" s="210">
        <f>(D519+E519)/H519</f>
        <v/>
      </c>
      <c r="J519" s="256" t="n"/>
      <c r="K519" s="669" t="n"/>
      <c r="L519" s="669" t="n"/>
      <c r="M519" s="669" t="n"/>
      <c r="N519" s="669" t="n"/>
      <c r="O519" s="669" t="n"/>
      <c r="P519" s="669" t="n"/>
      <c r="Q519" s="669" t="n"/>
      <c r="R519" s="669" t="n"/>
      <c r="S519" s="669" t="n"/>
      <c r="T519" s="669" t="n"/>
      <c r="U519" s="669" t="n"/>
      <c r="V519" s="669" t="n"/>
      <c r="W519" s="669" t="n"/>
      <c r="X519" s="669" t="n"/>
      <c r="Y519" s="669" t="n"/>
      <c r="Z519" s="669" t="n"/>
    </row>
    <row r="520">
      <c r="A520" s="507" t="inlineStr">
        <is>
          <t xml:space="preserve">  Head of Bhairava</t>
        </is>
      </c>
      <c r="B520" s="425" t="inlineStr">
        <is>
          <t>SSS</t>
        </is>
      </c>
      <c r="C520" s="425" t="inlineStr">
        <is>
          <t>FTH</t>
        </is>
      </c>
      <c r="D520" s="930" t="n"/>
      <c r="E520" s="930" t="n"/>
      <c r="F520" s="930" t="n"/>
      <c r="G520" s="930" t="n"/>
      <c r="H520" s="930" t="n"/>
      <c r="I520" s="930" t="n"/>
      <c r="J520" s="935" t="inlineStr">
        <is>
          <t>Daily Pack Relic #17</t>
        </is>
      </c>
      <c r="K520" s="669" t="n"/>
      <c r="L520" s="669" t="n"/>
      <c r="M520" s="669" t="n"/>
      <c r="N520" s="669" t="n"/>
      <c r="O520" s="669" t="n"/>
      <c r="P520" s="669" t="n"/>
      <c r="Q520" s="669" t="n"/>
      <c r="R520" s="669" t="n"/>
      <c r="S520" s="669" t="n"/>
      <c r="T520" s="669" t="n"/>
      <c r="U520" s="669" t="n"/>
      <c r="V520" s="669" t="n"/>
      <c r="W520" s="669" t="n"/>
      <c r="X520" s="669" t="n"/>
      <c r="Y520" s="669" t="n"/>
      <c r="Z520" s="669" t="n"/>
    </row>
    <row r="521">
      <c r="A521" s="246" t="inlineStr">
        <is>
          <t xml:space="preserve">  Mysterious Relic</t>
        </is>
      </c>
      <c r="B521" s="425" t="inlineStr">
        <is>
          <t>SSS</t>
        </is>
      </c>
      <c r="C521" s="425" t="n"/>
      <c r="D521" s="279" t="n"/>
      <c r="E521" s="279" t="n"/>
      <c r="F521" s="279" t="n"/>
      <c r="G521" s="279" t="n"/>
      <c r="H521" s="279" t="n"/>
      <c r="I521" s="279" t="n"/>
      <c r="J521" s="256" t="inlineStr">
        <is>
          <t>Unknown</t>
        </is>
      </c>
      <c r="K521" s="669" t="n"/>
      <c r="L521" s="669" t="n"/>
      <c r="M521" s="669" t="n"/>
      <c r="N521" s="669" t="n"/>
      <c r="O521" s="669" t="n"/>
      <c r="P521" s="669" t="n"/>
      <c r="Q521" s="669" t="n"/>
      <c r="R521" s="669" t="n"/>
      <c r="S521" s="669" t="n"/>
      <c r="T521" s="669" t="n"/>
      <c r="U521" s="669" t="n"/>
      <c r="V521" s="669" t="n"/>
      <c r="W521" s="669" t="n"/>
      <c r="X521" s="669" t="n"/>
      <c r="Y521" s="669" t="n"/>
      <c r="Z521" s="669" t="n"/>
    </row>
    <row r="522">
      <c r="A522" s="955" t="inlineStr">
        <is>
          <t>TOTAL HARD</t>
        </is>
      </c>
      <c r="B522" s="956" t="n"/>
      <c r="C522" s="956" t="n"/>
      <c r="D522" s="956" t="n"/>
      <c r="E522" s="956" t="n"/>
      <c r="F522" s="260">
        <f>sum(F511:G521)</f>
        <v/>
      </c>
      <c r="G522" s="956" t="n"/>
      <c r="H522" s="956" t="n"/>
      <c r="I522" s="261">
        <f>sum(I511:I521)</f>
        <v/>
      </c>
      <c r="J522" s="947" t="n"/>
      <c r="K522" s="669" t="n"/>
      <c r="L522" s="669" t="n"/>
      <c r="M522" s="669" t="n"/>
      <c r="N522" s="669" t="n"/>
      <c r="O522" s="669" t="n"/>
      <c r="P522" s="669" t="n"/>
      <c r="Q522" s="669" t="n"/>
      <c r="R522" s="669" t="n"/>
      <c r="S522" s="669" t="n"/>
      <c r="T522" s="669" t="n"/>
      <c r="U522" s="669" t="n"/>
      <c r="V522" s="669" t="n"/>
      <c r="W522" s="669" t="n"/>
      <c r="X522" s="669" t="n"/>
      <c r="Y522" s="669" t="n"/>
      <c r="Z522" s="669" t="n"/>
    </row>
    <row r="523">
      <c r="A523" s="669" t="n"/>
      <c r="B523" s="669" t="n"/>
      <c r="C523" s="669" t="n"/>
      <c r="D523" s="669" t="n"/>
      <c r="E523" s="669" t="n"/>
      <c r="F523" s="669" t="n"/>
      <c r="G523" s="669" t="n"/>
      <c r="H523" s="669" t="n"/>
      <c r="I523" s="669" t="n"/>
      <c r="J523" s="669" t="n"/>
      <c r="K523" s="669" t="n"/>
      <c r="L523" s="669" t="n"/>
      <c r="M523" s="669" t="n"/>
      <c r="N523" s="669" t="n"/>
      <c r="O523" s="669" t="n"/>
      <c r="P523" s="669" t="n"/>
      <c r="Q523" s="669" t="n"/>
      <c r="R523" s="669" t="n"/>
      <c r="S523" s="669" t="n"/>
      <c r="T523" s="669" t="n"/>
      <c r="U523" s="669" t="n"/>
      <c r="V523" s="669" t="n"/>
      <c r="W523" s="669" t="n"/>
      <c r="X523" s="669" t="n"/>
      <c r="Y523" s="669" t="n"/>
      <c r="Z523" s="669" t="n"/>
    </row>
    <row r="524">
      <c r="A524" s="669" t="n"/>
      <c r="B524" s="669" t="n"/>
      <c r="C524" s="669" t="n"/>
      <c r="D524" s="669" t="n"/>
      <c r="E524" s="669" t="n"/>
      <c r="F524" s="669" t="n"/>
      <c r="G524" s="669" t="n"/>
      <c r="H524" s="669" t="n"/>
      <c r="I524" s="669" t="n"/>
      <c r="J524" s="669" t="n"/>
      <c r="K524" s="669" t="n"/>
      <c r="L524" s="669" t="n"/>
      <c r="M524" s="669" t="n"/>
      <c r="N524" s="669" t="n"/>
      <c r="O524" s="669" t="n"/>
      <c r="P524" s="669" t="n"/>
      <c r="Q524" s="669" t="n"/>
      <c r="R524" s="669" t="n"/>
      <c r="S524" s="669" t="n"/>
      <c r="T524" s="669" t="n"/>
      <c r="U524" s="669" t="n"/>
      <c r="V524" s="669" t="n"/>
      <c r="W524" s="669" t="n"/>
      <c r="X524" s="669" t="n"/>
      <c r="Y524" s="669" t="n"/>
      <c r="Z524" s="669" t="n"/>
    </row>
    <row r="525">
      <c r="A525" s="669" t="n"/>
      <c r="B525" s="669" t="n"/>
      <c r="C525" s="669" t="n"/>
      <c r="D525" s="669" t="n"/>
      <c r="E525" s="669" t="n"/>
      <c r="F525" s="669" t="n"/>
      <c r="G525" s="669" t="n"/>
      <c r="H525" s="669" t="n"/>
      <c r="I525" s="669" t="n"/>
      <c r="J525" s="669" t="n"/>
      <c r="K525" s="669" t="n"/>
      <c r="L525" s="669" t="n"/>
      <c r="M525" s="669" t="n"/>
      <c r="N525" s="669" t="n"/>
      <c r="O525" s="669" t="n"/>
      <c r="P525" s="669" t="n"/>
      <c r="Q525" s="669" t="n"/>
      <c r="R525" s="669" t="n"/>
      <c r="S525" s="669" t="n"/>
      <c r="T525" s="669" t="n"/>
      <c r="U525" s="669" t="n"/>
      <c r="V525" s="669" t="n"/>
      <c r="W525" s="669" t="n"/>
      <c r="X525" s="669" t="n"/>
      <c r="Y525" s="669" t="n"/>
      <c r="Z525" s="669" t="n"/>
    </row>
    <row r="526">
      <c r="A526" s="669" t="n"/>
      <c r="B526" s="669" t="n"/>
      <c r="C526" s="669" t="n"/>
      <c r="D526" s="669" t="n"/>
      <c r="E526" s="669" t="n"/>
      <c r="F526" s="669" t="n"/>
      <c r="G526" s="669" t="n"/>
      <c r="H526" s="669" t="n"/>
      <c r="I526" s="669" t="n"/>
      <c r="J526" s="669" t="n"/>
      <c r="K526" s="669" t="n"/>
      <c r="L526" s="669" t="n"/>
      <c r="M526" s="669" t="n"/>
      <c r="N526" s="669" t="n"/>
      <c r="O526" s="669" t="n"/>
      <c r="P526" s="669" t="n"/>
      <c r="Q526" s="669" t="n"/>
      <c r="R526" s="669" t="n"/>
      <c r="S526" s="669" t="n"/>
      <c r="T526" s="669" t="n"/>
      <c r="U526" s="669" t="n"/>
      <c r="V526" s="669" t="n"/>
      <c r="W526" s="669" t="n"/>
      <c r="X526" s="669" t="n"/>
      <c r="Y526" s="669" t="n"/>
      <c r="Z526" s="669" t="n"/>
    </row>
    <row r="527">
      <c r="A527" s="1075" t="inlineStr">
        <is>
          <t>MUTANT</t>
        </is>
      </c>
      <c r="B527" s="373" t="n"/>
      <c r="C527" s="373" t="n"/>
      <c r="D527" s="373" t="n"/>
      <c r="E527" s="373" t="n"/>
      <c r="F527" s="373" t="n"/>
      <c r="G527" s="373" t="n"/>
      <c r="H527" s="373" t="n"/>
      <c r="I527" s="373" t="n"/>
      <c r="J527" s="391" t="n"/>
      <c r="K527" s="669" t="n"/>
      <c r="L527" s="669" t="n"/>
      <c r="M527" s="669" t="n"/>
      <c r="N527" s="669" t="n"/>
      <c r="O527" s="669" t="n"/>
      <c r="P527" s="669" t="n"/>
      <c r="Q527" s="669" t="n"/>
      <c r="R527" s="669" t="n"/>
      <c r="S527" s="669" t="n"/>
      <c r="T527" s="669" t="n"/>
      <c r="U527" s="669" t="n"/>
      <c r="V527" s="669" t="n"/>
      <c r="W527" s="669" t="n"/>
      <c r="X527" s="669" t="n"/>
      <c r="Y527" s="669" t="n"/>
      <c r="Z527" s="669" t="n"/>
    </row>
    <row r="528">
      <c r="A528" s="251" t="inlineStr">
        <is>
          <t>HP</t>
        </is>
      </c>
      <c r="B528" s="252" t="inlineStr">
        <is>
          <t>Rarity</t>
        </is>
      </c>
      <c r="C528" s="252" t="inlineStr">
        <is>
          <t>Type</t>
        </is>
      </c>
      <c r="D528" s="252" t="inlineStr">
        <is>
          <t>Base</t>
        </is>
      </c>
      <c r="E528" s="252" t="inlineStr">
        <is>
          <t>Awakening Base</t>
        </is>
      </c>
      <c r="F528" s="252" t="inlineStr">
        <is>
          <t>Percentage</t>
        </is>
      </c>
      <c r="G528" s="252" t="inlineStr">
        <is>
          <t>Awakening Percentage</t>
        </is>
      </c>
      <c r="H528" s="252" t="inlineStr">
        <is>
          <t>Per Minion</t>
        </is>
      </c>
      <c r="I528" s="252" t="inlineStr">
        <is>
          <t>Per Minion Boost</t>
        </is>
      </c>
      <c r="J528" s="253" t="inlineStr">
        <is>
          <t>Source</t>
        </is>
      </c>
      <c r="K528" s="669" t="n"/>
      <c r="L528" s="669" t="n"/>
      <c r="M528" s="669" t="n"/>
      <c r="N528" s="669" t="n"/>
      <c r="O528" s="669" t="n"/>
      <c r="P528" s="669" t="n"/>
      <c r="Q528" s="669" t="n"/>
      <c r="R528" s="669" t="n"/>
      <c r="S528" s="669" t="n"/>
      <c r="T528" s="669" t="n"/>
      <c r="U528" s="669" t="n"/>
      <c r="V528" s="669" t="n"/>
      <c r="W528" s="669" t="n"/>
      <c r="X528" s="669" t="n"/>
      <c r="Y528" s="669" t="n"/>
      <c r="Z528" s="669" t="n"/>
    </row>
    <row r="529">
      <c r="A529" s="507" t="inlineStr">
        <is>
          <t>Dragonfly-woman</t>
        </is>
      </c>
      <c r="B529" s="1037" t="inlineStr">
        <is>
          <t>AAA</t>
        </is>
      </c>
      <c r="C529" s="1037" t="inlineStr">
        <is>
          <t>ART</t>
        </is>
      </c>
      <c r="D529" s="479" t="n">
        <v>360</v>
      </c>
      <c r="E529" s="479" t="n">
        <v>280</v>
      </c>
      <c r="F529" s="934" t="n"/>
      <c r="G529" s="934" t="n"/>
      <c r="H529" s="479" t="n">
        <v>30</v>
      </c>
      <c r="I529" s="255">
        <f>(D529+E529)/H529</f>
        <v/>
      </c>
      <c r="J529" s="935" t="inlineStr">
        <is>
          <t>Lottery Machine #2 (?%)</t>
        </is>
      </c>
      <c r="K529" s="669" t="n"/>
      <c r="L529" s="669" t="n"/>
      <c r="M529" s="669" t="n"/>
      <c r="N529" s="669" t="n"/>
      <c r="O529" s="669" t="n"/>
      <c r="P529" s="669" t="n"/>
      <c r="Q529" s="669" t="n"/>
      <c r="R529" s="669" t="n"/>
      <c r="S529" s="669" t="n"/>
      <c r="T529" s="669" t="n"/>
      <c r="U529" s="669" t="n"/>
      <c r="V529" s="669" t="n"/>
      <c r="W529" s="669" t="n"/>
      <c r="X529" s="669" t="n"/>
      <c r="Y529" s="669" t="n"/>
      <c r="Z529" s="669" t="n"/>
    </row>
    <row r="530">
      <c r="A530" s="507" t="inlineStr">
        <is>
          <t>Mars Rover</t>
        </is>
      </c>
      <c r="B530" s="1037" t="inlineStr">
        <is>
          <t>AAA</t>
        </is>
      </c>
      <c r="C530" s="1037" t="inlineStr">
        <is>
          <t>TECH</t>
        </is>
      </c>
      <c r="D530" s="479" t="n">
        <v>280</v>
      </c>
      <c r="E530" s="934" t="n">
        <v>280</v>
      </c>
      <c r="F530" s="934" t="n"/>
      <c r="G530" s="934" t="n"/>
      <c r="H530" s="479" t="n">
        <v>30</v>
      </c>
      <c r="I530" s="255">
        <f>(D530+E530)/H530</f>
        <v/>
      </c>
      <c r="J530" s="935" t="inlineStr">
        <is>
          <t>Fragment Crafting (1.6%), Lottery Machine #1 (0.03%), Wishing (0.14%), Evolution Chest (1.5%), Relic Forge (80 Relic RF)</t>
        </is>
      </c>
      <c r="K530" s="669" t="n"/>
      <c r="L530" s="669" t="n"/>
      <c r="M530" s="669" t="n"/>
      <c r="N530" s="669" t="n"/>
      <c r="O530" s="669" t="n"/>
      <c r="P530" s="669" t="n"/>
      <c r="Q530" s="669" t="n"/>
      <c r="R530" s="669" t="n"/>
      <c r="S530" s="669" t="n"/>
      <c r="T530" s="669" t="n"/>
      <c r="U530" s="669" t="n"/>
      <c r="V530" s="669" t="n"/>
      <c r="W530" s="669" t="n"/>
      <c r="X530" s="669" t="n"/>
      <c r="Y530" s="669" t="n"/>
      <c r="Z530" s="669" t="n"/>
    </row>
    <row r="531">
      <c r="A531" s="507" t="inlineStr">
        <is>
          <t>Palermo Stone</t>
        </is>
      </c>
      <c r="B531" s="1037" t="inlineStr">
        <is>
          <t>S</t>
        </is>
      </c>
      <c r="C531" s="1037" t="inlineStr">
        <is>
          <t>CIV</t>
        </is>
      </c>
      <c r="D531" s="479" t="n">
        <v>900</v>
      </c>
      <c r="E531" s="934" t="n"/>
      <c r="F531" s="934" t="n"/>
      <c r="G531" s="934" t="n"/>
      <c r="H531" s="479" t="n">
        <v>60</v>
      </c>
      <c r="I531" s="479">
        <f>(D531+E531)/H531</f>
        <v/>
      </c>
      <c r="J531" s="935" t="inlineStr">
        <is>
          <t>Rift Treasure Maps (5%)</t>
        </is>
      </c>
      <c r="K531" s="669" t="n"/>
      <c r="L531" s="669" t="n"/>
      <c r="M531" s="669" t="n"/>
      <c r="N531" s="669" t="n"/>
      <c r="O531" s="669" t="n"/>
      <c r="P531" s="669" t="n"/>
      <c r="Q531" s="669" t="n"/>
      <c r="R531" s="669" t="n"/>
      <c r="S531" s="669" t="n"/>
      <c r="T531" s="669" t="n"/>
      <c r="U531" s="669" t="n"/>
      <c r="V531" s="669" t="n"/>
      <c r="W531" s="669" t="n"/>
      <c r="X531" s="669" t="n"/>
      <c r="Y531" s="669" t="n"/>
      <c r="Z531" s="669" t="n"/>
    </row>
    <row r="532">
      <c r="A532" s="507" t="inlineStr">
        <is>
          <t>Periodic Table Scripts</t>
        </is>
      </c>
      <c r="B532" s="1037" t="inlineStr">
        <is>
          <t>SSS</t>
        </is>
      </c>
      <c r="C532" s="1037" t="inlineStr">
        <is>
          <t>TECH</t>
        </is>
      </c>
      <c r="D532" s="210" t="n">
        <v>900</v>
      </c>
      <c r="E532" s="209" t="n"/>
      <c r="F532" s="209" t="n"/>
      <c r="G532" s="209" t="n"/>
      <c r="H532" s="210" t="n">
        <v>60</v>
      </c>
      <c r="I532" s="210">
        <f>(D532+E532)/H532</f>
        <v/>
      </c>
      <c r="J532" s="386" t="inlineStr">
        <is>
          <t>Revelation Hall (Earth's Will Cabin) Reward</t>
        </is>
      </c>
      <c r="K532" s="669" t="n"/>
      <c r="L532" s="669" t="n"/>
      <c r="M532" s="669" t="n"/>
      <c r="N532" s="669" t="n"/>
      <c r="O532" s="669" t="n"/>
      <c r="P532" s="669" t="n"/>
      <c r="Q532" s="669" t="n"/>
      <c r="R532" s="669" t="n"/>
      <c r="S532" s="669" t="n"/>
      <c r="T532" s="669" t="n"/>
      <c r="U532" s="669" t="n"/>
      <c r="V532" s="669" t="n"/>
      <c r="W532" s="669" t="n"/>
      <c r="X532" s="669" t="n"/>
      <c r="Y532" s="669" t="n"/>
      <c r="Z532" s="669" t="n"/>
    </row>
    <row r="533">
      <c r="A533" s="507" t="inlineStr">
        <is>
          <t>Butterball</t>
        </is>
      </c>
      <c r="B533" s="1037" t="inlineStr">
        <is>
          <t>Blue</t>
        </is>
      </c>
      <c r="C533" s="1037" t="inlineStr">
        <is>
          <t>CIV</t>
        </is>
      </c>
      <c r="D533" s="210" t="n">
        <v>50</v>
      </c>
      <c r="E533" s="210" t="n">
        <v>50</v>
      </c>
      <c r="F533" s="209" t="n"/>
      <c r="G533" s="209" t="n"/>
      <c r="H533" s="210" t="n">
        <v>10</v>
      </c>
      <c r="I533" s="210">
        <f>(D533+E533)/H533</f>
        <v/>
      </c>
      <c r="J533" s="256" t="inlineStr">
        <is>
          <t>Lottery Machine #2 (?%)</t>
        </is>
      </c>
      <c r="K533" s="669" t="n"/>
      <c r="L533" s="669" t="n"/>
      <c r="M533" s="669" t="n"/>
      <c r="N533" s="669" t="n"/>
      <c r="O533" s="669" t="n"/>
      <c r="P533" s="669" t="n"/>
      <c r="Q533" s="669" t="n"/>
      <c r="R533" s="669" t="n"/>
      <c r="S533" s="669" t="n"/>
      <c r="T533" s="669" t="n"/>
      <c r="U533" s="669" t="n"/>
      <c r="V533" s="669" t="n"/>
      <c r="W533" s="669" t="n"/>
      <c r="X533" s="669" t="n"/>
      <c r="Y533" s="669" t="n"/>
      <c r="Z533" s="669" t="n"/>
    </row>
    <row r="534">
      <c r="A534" s="507" t="inlineStr">
        <is>
          <t>Ulysses</t>
        </is>
      </c>
      <c r="B534" s="1037" t="inlineStr">
        <is>
          <t>SSS</t>
        </is>
      </c>
      <c r="C534" s="1037" t="inlineStr">
        <is>
          <t>CIV</t>
        </is>
      </c>
      <c r="D534" s="934" t="n"/>
      <c r="E534" s="934" t="n"/>
      <c r="F534" s="479" t="n">
        <v>12</v>
      </c>
      <c r="G534" s="934" t="n"/>
      <c r="H534" s="934" t="n"/>
      <c r="I534" s="934" t="n"/>
      <c r="J534" s="190" t="inlineStr">
        <is>
          <t>Lottery Machine #2 (?%)</t>
        </is>
      </c>
      <c r="K534" s="669" t="n"/>
      <c r="L534" s="669" t="n"/>
      <c r="M534" s="669" t="n"/>
      <c r="N534" s="669" t="n"/>
      <c r="O534" s="669" t="n"/>
      <c r="P534" s="669" t="n"/>
      <c r="Q534" s="669" t="n"/>
      <c r="R534" s="669" t="n"/>
      <c r="S534" s="669" t="n"/>
      <c r="T534" s="669" t="n"/>
      <c r="U534" s="669" t="n"/>
      <c r="V534" s="669" t="n"/>
      <c r="W534" s="669" t="n"/>
      <c r="X534" s="669" t="n"/>
      <c r="Y534" s="669" t="n"/>
      <c r="Z534" s="669" t="n"/>
    </row>
    <row r="535">
      <c r="A535" s="507" t="inlineStr">
        <is>
          <t>R'lyeh Text</t>
        </is>
      </c>
      <c r="B535" s="1037" t="inlineStr">
        <is>
          <t>SS</t>
        </is>
      </c>
      <c r="C535" s="1037" t="inlineStr">
        <is>
          <t>FTH</t>
        </is>
      </c>
      <c r="D535" s="934" t="n"/>
      <c r="E535" s="934" t="n"/>
      <c r="F535" s="479" t="n">
        <v>11</v>
      </c>
      <c r="G535" s="934" t="n"/>
      <c r="H535" s="934" t="n"/>
      <c r="I535" s="934" t="n"/>
      <c r="J535" s="935" t="inlineStr">
        <is>
          <t>Lottery Machine #2 (?%)</t>
        </is>
      </c>
      <c r="K535" s="669" t="n"/>
      <c r="L535" s="669" t="n"/>
      <c r="M535" s="669" t="n"/>
      <c r="N535" s="669" t="n"/>
      <c r="O535" s="669" t="n"/>
      <c r="P535" s="669" t="n"/>
      <c r="Q535" s="669" t="n"/>
      <c r="R535" s="669" t="n"/>
      <c r="S535" s="669" t="n"/>
      <c r="T535" s="669" t="n"/>
      <c r="U535" s="669" t="n"/>
      <c r="V535" s="669" t="n"/>
      <c r="W535" s="669" t="n"/>
      <c r="X535" s="669" t="n"/>
      <c r="Y535" s="669" t="n"/>
      <c r="Z535" s="669" t="n"/>
    </row>
    <row r="536">
      <c r="A536" s="246" t="inlineStr">
        <is>
          <t>Meidum Goose</t>
        </is>
      </c>
      <c r="B536" s="1037" t="inlineStr">
        <is>
          <t>SS</t>
        </is>
      </c>
      <c r="C536" s="1037" t="inlineStr">
        <is>
          <t>CIV</t>
        </is>
      </c>
      <c r="D536" s="209" t="n"/>
      <c r="E536" s="209" t="n"/>
      <c r="F536" s="210" t="n">
        <v>10</v>
      </c>
      <c r="G536" s="209" t="n"/>
      <c r="H536" s="209" t="n"/>
      <c r="I536" s="209" t="n"/>
      <c r="J536" s="390" t="inlineStr">
        <is>
          <t>Lottery Machine #3 (?%)</t>
        </is>
      </c>
      <c r="K536" s="669" t="n"/>
      <c r="L536" s="669" t="n"/>
      <c r="M536" s="669" t="n"/>
      <c r="N536" s="669" t="n"/>
      <c r="O536" s="669" t="n"/>
      <c r="P536" s="669" t="n"/>
      <c r="Q536" s="669" t="n"/>
      <c r="R536" s="669" t="n"/>
      <c r="S536" s="669" t="n"/>
      <c r="T536" s="669" t="n"/>
      <c r="U536" s="669" t="n"/>
      <c r="V536" s="669" t="n"/>
      <c r="W536" s="669" t="n"/>
      <c r="X536" s="669" t="n"/>
      <c r="Y536" s="669" t="n"/>
      <c r="Z536" s="669" t="n"/>
    </row>
    <row r="537">
      <c r="A537" s="246" t="inlineStr">
        <is>
          <t>A Tale of Two Cities</t>
        </is>
      </c>
      <c r="B537" s="1037" t="inlineStr">
        <is>
          <t>AAA</t>
        </is>
      </c>
      <c r="C537" s="1037" t="inlineStr">
        <is>
          <t>CIV</t>
        </is>
      </c>
      <c r="D537" s="209" t="n"/>
      <c r="E537" s="209" t="n"/>
      <c r="F537" s="210" t="n">
        <v>9</v>
      </c>
      <c r="G537" s="209" t="n"/>
      <c r="H537" s="209" t="n"/>
      <c r="I537" s="209" t="n"/>
      <c r="J537" s="935" t="inlineStr">
        <is>
          <t>Lottery Machine #2 (?%)</t>
        </is>
      </c>
      <c r="K537" s="669" t="n"/>
      <c r="L537" s="669" t="n"/>
      <c r="M537" s="669" t="n"/>
      <c r="N537" s="669" t="n"/>
      <c r="O537" s="669" t="n"/>
      <c r="P537" s="669" t="n"/>
      <c r="Q537" s="669" t="n"/>
      <c r="R537" s="669" t="n"/>
      <c r="S537" s="669" t="n"/>
      <c r="T537" s="669" t="n"/>
      <c r="U537" s="669" t="n"/>
      <c r="V537" s="669" t="n"/>
      <c r="W537" s="669" t="n"/>
      <c r="X537" s="669" t="n"/>
      <c r="Y537" s="669" t="n"/>
      <c r="Z537" s="669" t="n"/>
    </row>
    <row r="538">
      <c r="A538" s="507" t="inlineStr">
        <is>
          <t>Pavlov's Bell</t>
        </is>
      </c>
      <c r="B538" s="1037" t="inlineStr">
        <is>
          <t>Blue</t>
        </is>
      </c>
      <c r="C538" s="1037" t="inlineStr">
        <is>
          <t>TECH</t>
        </is>
      </c>
      <c r="D538" s="934" t="n"/>
      <c r="E538" s="934" t="n"/>
      <c r="F538" s="479" t="n">
        <v>5</v>
      </c>
      <c r="G538" s="479" t="n">
        <v>5</v>
      </c>
      <c r="H538" s="934" t="n"/>
      <c r="I538" s="934" t="n"/>
      <c r="J538" s="935" t="inlineStr">
        <is>
          <t>Lottery Machine #2 (?%)</t>
        </is>
      </c>
      <c r="K538" s="669" t="n"/>
      <c r="L538" s="669" t="n"/>
      <c r="M538" s="669" t="n"/>
      <c r="N538" s="669" t="n"/>
      <c r="O538" s="669" t="n"/>
      <c r="P538" s="669" t="n"/>
      <c r="Q538" s="669" t="n"/>
      <c r="R538" s="669" t="n"/>
      <c r="S538" s="669" t="n"/>
      <c r="T538" s="669" t="n"/>
      <c r="U538" s="669" t="n"/>
      <c r="V538" s="669" t="n"/>
      <c r="W538" s="669" t="n"/>
      <c r="X538" s="669" t="n"/>
      <c r="Y538" s="669" t="n"/>
      <c r="Z538" s="669" t="n"/>
    </row>
    <row r="539">
      <c r="A539" s="257" t="n"/>
      <c r="B539" s="209" t="n"/>
      <c r="C539" s="934" t="n"/>
      <c r="D539" s="209" t="n"/>
      <c r="E539" s="209" t="n"/>
      <c r="F539" s="209" t="n"/>
      <c r="G539" s="209" t="n"/>
      <c r="H539" s="209" t="n"/>
      <c r="I539" s="209" t="n"/>
      <c r="J539" s="256" t="n"/>
      <c r="K539" s="669" t="n"/>
      <c r="L539" s="669" t="n"/>
      <c r="M539" s="669" t="n"/>
      <c r="N539" s="669" t="n"/>
      <c r="O539" s="669" t="n"/>
      <c r="P539" s="669" t="n"/>
      <c r="Q539" s="669" t="n"/>
      <c r="R539" s="669" t="n"/>
      <c r="S539" s="669" t="n"/>
      <c r="T539" s="669" t="n"/>
      <c r="U539" s="669" t="n"/>
      <c r="V539" s="669" t="n"/>
      <c r="W539" s="669" t="n"/>
      <c r="X539" s="669" t="n"/>
      <c r="Y539" s="669" t="n"/>
      <c r="Z539" s="669" t="n"/>
    </row>
    <row r="540">
      <c r="A540" s="507" t="inlineStr">
        <is>
          <t>Resonance: Blue</t>
        </is>
      </c>
      <c r="B540" s="934" t="n"/>
      <c r="C540" s="934" t="n"/>
      <c r="D540" s="479" t="n">
        <v>50</v>
      </c>
      <c r="E540" s="934" t="n"/>
      <c r="F540" s="934" t="n"/>
      <c r="G540" s="934" t="n"/>
      <c r="H540" s="479" t="n">
        <v>10</v>
      </c>
      <c r="I540" s="479">
        <f>(D540+E540)/H540</f>
        <v/>
      </c>
      <c r="J540" s="935" t="n"/>
      <c r="K540" s="669" t="n"/>
      <c r="L540" s="669" t="n"/>
      <c r="M540" s="669" t="n"/>
      <c r="N540" s="669" t="n"/>
      <c r="O540" s="669" t="n"/>
      <c r="P540" s="669" t="n"/>
      <c r="Q540" s="669" t="n"/>
      <c r="R540" s="669" t="n"/>
      <c r="S540" s="669" t="n"/>
      <c r="T540" s="669" t="n"/>
      <c r="U540" s="669" t="n"/>
      <c r="V540" s="669" t="n"/>
      <c r="W540" s="669" t="n"/>
      <c r="X540" s="669" t="n"/>
      <c r="Y540" s="669" t="n"/>
      <c r="Z540" s="669" t="n"/>
    </row>
    <row r="541">
      <c r="A541" s="246" t="inlineStr">
        <is>
          <t xml:space="preserve">  Omphalos</t>
        </is>
      </c>
      <c r="B541" s="1037" t="inlineStr">
        <is>
          <t>Blue</t>
        </is>
      </c>
      <c r="C541" s="1037" t="inlineStr">
        <is>
          <t>FTH</t>
        </is>
      </c>
      <c r="D541" s="209" t="n"/>
      <c r="E541" s="209" t="n"/>
      <c r="F541" s="209" t="n"/>
      <c r="G541" s="209" t="n"/>
      <c r="H541" s="209" t="n"/>
      <c r="I541" s="209" t="n"/>
      <c r="J541" s="256" t="inlineStr">
        <is>
          <t>Lottery Machine #2 (?%)</t>
        </is>
      </c>
      <c r="K541" s="669" t="n"/>
      <c r="L541" s="669" t="n"/>
      <c r="M541" s="669" t="n"/>
      <c r="N541" s="669" t="n"/>
      <c r="O541" s="669" t="n"/>
      <c r="P541" s="669" t="n"/>
      <c r="Q541" s="669" t="n"/>
      <c r="R541" s="669" t="n"/>
      <c r="S541" s="669" t="n"/>
      <c r="T541" s="669" t="n"/>
      <c r="U541" s="669" t="n"/>
      <c r="V541" s="669" t="n"/>
      <c r="W541" s="669" t="n"/>
      <c r="X541" s="669" t="n"/>
      <c r="Y541" s="669" t="n"/>
      <c r="Z541" s="669" t="n"/>
    </row>
    <row r="542">
      <c r="A542" s="507" t="inlineStr">
        <is>
          <t xml:space="preserve">  Ouroboros Mark</t>
        </is>
      </c>
      <c r="B542" s="1037" t="inlineStr">
        <is>
          <t>Blue</t>
        </is>
      </c>
      <c r="C542" s="1037" t="inlineStr">
        <is>
          <t>FTH</t>
        </is>
      </c>
      <c r="D542" s="934" t="n"/>
      <c r="E542" s="934" t="n"/>
      <c r="F542" s="934" t="n"/>
      <c r="G542" s="934" t="n"/>
      <c r="H542" s="934" t="n"/>
      <c r="I542" s="934" t="n"/>
      <c r="J542" s="935" t="inlineStr">
        <is>
          <t>Lottery Machine #2 (?%)</t>
        </is>
      </c>
      <c r="K542" s="669" t="n"/>
      <c r="L542" s="669" t="n"/>
      <c r="M542" s="669" t="n"/>
      <c r="N542" s="669" t="n"/>
      <c r="O542" s="669" t="n"/>
      <c r="P542" s="669" t="n"/>
      <c r="Q542" s="669" t="n"/>
      <c r="R542" s="669" t="n"/>
      <c r="S542" s="669" t="n"/>
      <c r="T542" s="669" t="n"/>
      <c r="U542" s="669" t="n"/>
      <c r="V542" s="669" t="n"/>
      <c r="W542" s="669" t="n"/>
      <c r="X542" s="669" t="n"/>
      <c r="Y542" s="669" t="n"/>
      <c r="Z542" s="669" t="n"/>
    </row>
    <row r="543">
      <c r="A543" s="246" t="inlineStr">
        <is>
          <t>Resonance: Purple</t>
        </is>
      </c>
      <c r="B543" s="209" t="n"/>
      <c r="C543" s="209" t="n"/>
      <c r="D543" s="209" t="n"/>
      <c r="E543" s="209" t="n"/>
      <c r="F543" s="210" t="n">
        <v>6</v>
      </c>
      <c r="G543" s="209" t="n"/>
      <c r="H543" s="209" t="n"/>
      <c r="I543" s="209" t="n"/>
      <c r="J543" s="256" t="n"/>
      <c r="K543" s="669" t="n"/>
      <c r="L543" s="669" t="n"/>
      <c r="M543" s="669" t="n"/>
      <c r="N543" s="669" t="n"/>
      <c r="O543" s="669" t="n"/>
      <c r="P543" s="669" t="n"/>
      <c r="Q543" s="669" t="n"/>
      <c r="R543" s="669" t="n"/>
      <c r="S543" s="669" t="n"/>
      <c r="T543" s="669" t="n"/>
      <c r="U543" s="669" t="n"/>
      <c r="V543" s="669" t="n"/>
      <c r="W543" s="669" t="n"/>
      <c r="X543" s="669" t="n"/>
      <c r="Y543" s="669" t="n"/>
      <c r="Z543" s="669" t="n"/>
    </row>
    <row r="544">
      <c r="A544" s="507" t="inlineStr">
        <is>
          <t xml:space="preserve">  Bird on a Rock</t>
        </is>
      </c>
      <c r="B544" s="1037" t="inlineStr">
        <is>
          <t>A</t>
        </is>
      </c>
      <c r="C544" s="1037" t="inlineStr">
        <is>
          <t>ART</t>
        </is>
      </c>
      <c r="D544" s="934" t="n"/>
      <c r="E544" s="934" t="n"/>
      <c r="F544" s="934" t="n"/>
      <c r="G544" s="934" t="n"/>
      <c r="H544" s="934" t="n"/>
      <c r="I544" s="934" t="n"/>
      <c r="J544" s="256" t="inlineStr">
        <is>
          <t>Lottery Machine #2 (?%)</t>
        </is>
      </c>
      <c r="K544" s="669" t="n"/>
      <c r="L544" s="669" t="n"/>
      <c r="M544" s="669" t="n"/>
      <c r="N544" s="669" t="n"/>
      <c r="O544" s="669" t="n"/>
      <c r="P544" s="669" t="n"/>
      <c r="Q544" s="669" t="n"/>
      <c r="R544" s="669" t="n"/>
      <c r="S544" s="669" t="n"/>
      <c r="T544" s="669" t="n"/>
      <c r="U544" s="669" t="n"/>
      <c r="V544" s="669" t="n"/>
      <c r="W544" s="669" t="n"/>
      <c r="X544" s="669" t="n"/>
      <c r="Y544" s="669" t="n"/>
      <c r="Z544" s="669" t="n"/>
    </row>
    <row r="545">
      <c r="A545" s="246" t="inlineStr">
        <is>
          <t xml:space="preserve">  La Peregrina</t>
        </is>
      </c>
      <c r="B545" s="1037" t="inlineStr">
        <is>
          <t>AAA</t>
        </is>
      </c>
      <c r="C545" s="1037" t="inlineStr">
        <is>
          <t>ART</t>
        </is>
      </c>
      <c r="D545" s="209" t="n"/>
      <c r="E545" s="209" t="n"/>
      <c r="F545" s="209" t="n"/>
      <c r="G545" s="209" t="n"/>
      <c r="H545" s="209" t="n"/>
      <c r="I545" s="209" t="n"/>
      <c r="J545" s="256" t="inlineStr">
        <is>
          <t>Lottery Machine #2 (?%)</t>
        </is>
      </c>
      <c r="K545" s="669" t="n"/>
      <c r="L545" s="669" t="n"/>
      <c r="M545" s="669" t="n"/>
      <c r="N545" s="669" t="n"/>
      <c r="O545" s="669" t="n"/>
      <c r="P545" s="669" t="n"/>
      <c r="Q545" s="669" t="n"/>
      <c r="R545" s="669" t="n"/>
      <c r="S545" s="669" t="n"/>
      <c r="T545" s="669" t="n"/>
      <c r="U545" s="669" t="n"/>
      <c r="V545" s="669" t="n"/>
      <c r="W545" s="669" t="n"/>
      <c r="X545" s="669" t="n"/>
      <c r="Y545" s="669" t="n"/>
      <c r="Z545" s="669" t="n"/>
    </row>
    <row r="546">
      <c r="A546" s="955" t="inlineStr">
        <is>
          <t>TOTAL HP</t>
        </is>
      </c>
      <c r="B546" s="946" t="n"/>
      <c r="C546" s="946" t="n"/>
      <c r="D546" s="946" t="n"/>
      <c r="E546" s="946" t="n"/>
      <c r="F546" s="260">
        <f>sum(F531:G545)</f>
        <v/>
      </c>
      <c r="G546" s="946" t="n"/>
      <c r="H546" s="946" t="n"/>
      <c r="I546" s="261">
        <f>sum(I531:I545)</f>
        <v/>
      </c>
      <c r="J546" s="947" t="n"/>
      <c r="K546" s="669" t="n"/>
      <c r="L546" s="669" t="n"/>
      <c r="M546" s="669" t="n"/>
      <c r="N546" s="669" t="n"/>
      <c r="O546" s="669" t="n"/>
      <c r="P546" s="669" t="n"/>
      <c r="Q546" s="669" t="n"/>
      <c r="R546" s="669" t="n"/>
      <c r="S546" s="669" t="n"/>
      <c r="T546" s="669" t="n"/>
      <c r="U546" s="669" t="n"/>
      <c r="V546" s="669" t="n"/>
      <c r="W546" s="669" t="n"/>
      <c r="X546" s="669" t="n"/>
      <c r="Y546" s="669" t="n"/>
      <c r="Z546" s="669" t="n"/>
    </row>
    <row r="547">
      <c r="A547" s="825" t="n"/>
      <c r="B547" s="1037" t="n"/>
      <c r="C547" s="1037" t="n"/>
      <c r="D547" s="1037" t="n"/>
      <c r="E547" s="1037" t="n"/>
      <c r="F547" s="1037" t="n"/>
      <c r="G547" s="1037" t="n"/>
      <c r="H547" s="1037" t="n"/>
      <c r="I547" s="1037" t="n"/>
      <c r="J547" s="386" t="n"/>
      <c r="K547" s="669" t="n"/>
      <c r="L547" s="669" t="n"/>
      <c r="M547" s="669" t="n"/>
      <c r="N547" s="669" t="n"/>
      <c r="O547" s="669" t="n"/>
      <c r="P547" s="669" t="n"/>
      <c r="Q547" s="669" t="n"/>
      <c r="R547" s="669" t="n"/>
      <c r="S547" s="669" t="n"/>
      <c r="T547" s="669" t="n"/>
      <c r="U547" s="669" t="n"/>
      <c r="V547" s="669" t="n"/>
      <c r="W547" s="669" t="n"/>
      <c r="X547" s="669" t="n"/>
      <c r="Y547" s="669" t="n"/>
      <c r="Z547" s="669" t="n"/>
    </row>
    <row r="548">
      <c r="A548" s="383" t="n"/>
      <c r="B548" s="1079" t="n"/>
      <c r="C548" s="1079" t="n"/>
      <c r="D548" s="1079" t="n"/>
      <c r="E548" s="1079" t="n"/>
      <c r="F548" s="1079" t="n"/>
      <c r="G548" s="1079" t="n"/>
      <c r="H548" s="1079" t="n"/>
      <c r="I548" s="1079" t="n"/>
      <c r="J548" s="970" t="n"/>
      <c r="K548" s="669" t="n"/>
      <c r="L548" s="669" t="n"/>
      <c r="M548" s="669" t="n"/>
      <c r="N548" s="669" t="n"/>
      <c r="O548" s="669" t="n"/>
      <c r="P548" s="669" t="n"/>
      <c r="Q548" s="669" t="n"/>
      <c r="R548" s="669" t="n"/>
      <c r="S548" s="669" t="n"/>
      <c r="T548" s="669" t="n"/>
      <c r="U548" s="669" t="n"/>
      <c r="V548" s="669" t="n"/>
      <c r="W548" s="669" t="n"/>
      <c r="X548" s="669" t="n"/>
      <c r="Y548" s="669" t="n"/>
      <c r="Z548" s="669" t="n"/>
    </row>
    <row r="549">
      <c r="A549" s="251" t="inlineStr">
        <is>
          <t>ATK</t>
        </is>
      </c>
      <c r="B549" s="252" t="inlineStr">
        <is>
          <t>Rarity</t>
        </is>
      </c>
      <c r="C549" s="252" t="inlineStr">
        <is>
          <t>Type</t>
        </is>
      </c>
      <c r="D549" s="252" t="inlineStr">
        <is>
          <t>Base</t>
        </is>
      </c>
      <c r="E549" s="252" t="inlineStr">
        <is>
          <t>Awakening Base</t>
        </is>
      </c>
      <c r="F549" s="252" t="inlineStr">
        <is>
          <t>Percentage</t>
        </is>
      </c>
      <c r="G549" s="252" t="inlineStr">
        <is>
          <t>Awakening Percentage</t>
        </is>
      </c>
      <c r="H549" s="252" t="inlineStr">
        <is>
          <t>Per Minion</t>
        </is>
      </c>
      <c r="I549" s="252" t="inlineStr">
        <is>
          <t>Per Minion Boost</t>
        </is>
      </c>
      <c r="J549" s="253" t="inlineStr">
        <is>
          <t>Source</t>
        </is>
      </c>
      <c r="K549" s="669" t="n"/>
      <c r="L549" s="669" t="n"/>
      <c r="M549" s="669" t="n"/>
      <c r="N549" s="669" t="n"/>
      <c r="O549" s="669" t="n"/>
      <c r="P549" s="669" t="n"/>
      <c r="Q549" s="669" t="n"/>
      <c r="R549" s="669" t="n"/>
      <c r="S549" s="669" t="n"/>
      <c r="T549" s="669" t="n"/>
      <c r="U549" s="669" t="n"/>
      <c r="V549" s="669" t="n"/>
      <c r="W549" s="669" t="n"/>
      <c r="X549" s="669" t="n"/>
      <c r="Y549" s="669" t="n"/>
      <c r="Z549" s="669" t="n"/>
    </row>
    <row r="550">
      <c r="A550" s="246" t="inlineStr">
        <is>
          <t>Hunting Heraldry</t>
        </is>
      </c>
      <c r="B550" s="1037" t="inlineStr">
        <is>
          <t>AA</t>
        </is>
      </c>
      <c r="C550" s="1037" t="inlineStr">
        <is>
          <t>CIV</t>
        </is>
      </c>
      <c r="D550" s="210" t="n">
        <v>32</v>
      </c>
      <c r="E550" s="210" t="n">
        <v>28</v>
      </c>
      <c r="F550" s="209" t="n"/>
      <c r="G550" s="209" t="n"/>
      <c r="H550" s="210" t="n">
        <v>30</v>
      </c>
      <c r="I550" s="200">
        <f>(D550+E550)/H550</f>
        <v/>
      </c>
      <c r="J550" s="256" t="inlineStr">
        <is>
          <t>Lottery Machine #2 (?%)</t>
        </is>
      </c>
      <c r="K550" s="669" t="n"/>
      <c r="L550" s="669" t="n"/>
      <c r="M550" s="669" t="n"/>
      <c r="N550" s="669" t="n"/>
      <c r="O550" s="669" t="n"/>
      <c r="P550" s="669" t="n"/>
      <c r="Q550" s="669" t="n"/>
      <c r="R550" s="669" t="n"/>
      <c r="S550" s="669" t="n"/>
      <c r="T550" s="669" t="n"/>
      <c r="U550" s="669" t="n"/>
      <c r="V550" s="669" t="n"/>
      <c r="W550" s="669" t="n"/>
      <c r="X550" s="669" t="n"/>
      <c r="Y550" s="669" t="n"/>
      <c r="Z550" s="669" t="n"/>
    </row>
    <row r="551">
      <c r="A551" s="507" t="inlineStr">
        <is>
          <t>Sorron's Eye</t>
        </is>
      </c>
      <c r="B551" s="1037" t="inlineStr">
        <is>
          <t>AA</t>
        </is>
      </c>
      <c r="C551" s="1037" t="inlineStr">
        <is>
          <t>FTH</t>
        </is>
      </c>
      <c r="D551" s="479" t="n">
        <v>28</v>
      </c>
      <c r="E551" s="934" t="n">
        <v>28</v>
      </c>
      <c r="F551" s="934" t="n"/>
      <c r="G551" s="934" t="n"/>
      <c r="H551" s="210" t="n">
        <v>30</v>
      </c>
      <c r="I551" s="200">
        <f>(D551+E551)/H551</f>
        <v/>
      </c>
      <c r="J551" s="935" t="inlineStr">
        <is>
          <t>T6.5 Mutant Gene Research</t>
        </is>
      </c>
      <c r="K551" s="669" t="n"/>
      <c r="L551" s="669" t="n"/>
      <c r="M551" s="669" t="n"/>
      <c r="N551" s="669" t="n"/>
      <c r="O551" s="669" t="n"/>
      <c r="P551" s="669" t="n"/>
      <c r="Q551" s="669" t="n"/>
      <c r="R551" s="669" t="n"/>
      <c r="S551" s="669" t="n"/>
      <c r="T551" s="669" t="n"/>
      <c r="U551" s="669" t="n"/>
      <c r="V551" s="669" t="n"/>
      <c r="W551" s="669" t="n"/>
      <c r="X551" s="669" t="n"/>
      <c r="Y551" s="669" t="n"/>
      <c r="Z551" s="669" t="n"/>
    </row>
    <row r="552">
      <c r="A552" s="507" t="inlineStr">
        <is>
          <t>Palermo Stone</t>
        </is>
      </c>
      <c r="B552" s="1037" t="inlineStr">
        <is>
          <t>S</t>
        </is>
      </c>
      <c r="C552" s="1037" t="inlineStr">
        <is>
          <t>CIV</t>
        </is>
      </c>
      <c r="D552" s="479" t="n">
        <v>90</v>
      </c>
      <c r="E552" s="934" t="n"/>
      <c r="F552" s="934" t="n"/>
      <c r="G552" s="934" t="n"/>
      <c r="H552" s="479" t="n">
        <v>60</v>
      </c>
      <c r="I552" s="479">
        <f>(D552+E552)/H552</f>
        <v/>
      </c>
      <c r="J552" s="935" t="inlineStr">
        <is>
          <t>Rift Treasure Maps (5%)</t>
        </is>
      </c>
      <c r="K552" s="669" t="n"/>
      <c r="L552" s="669" t="n"/>
      <c r="M552" s="669" t="n"/>
      <c r="N552" s="669" t="n"/>
      <c r="O552" s="669" t="n"/>
      <c r="P552" s="669" t="n"/>
      <c r="Q552" s="669" t="n"/>
      <c r="R552" s="669" t="n"/>
      <c r="S552" s="669" t="n"/>
      <c r="T552" s="669" t="n"/>
      <c r="U552" s="669" t="n"/>
      <c r="V552" s="669" t="n"/>
      <c r="W552" s="669" t="n"/>
      <c r="X552" s="669" t="n"/>
      <c r="Y552" s="669" t="n"/>
      <c r="Z552" s="669" t="n"/>
    </row>
    <row r="553">
      <c r="A553" s="507" t="inlineStr">
        <is>
          <t>Mind Controller</t>
        </is>
      </c>
      <c r="B553" s="1037" t="inlineStr">
        <is>
          <t>SS</t>
        </is>
      </c>
      <c r="C553" s="1037" t="inlineStr">
        <is>
          <t>TECH</t>
        </is>
      </c>
      <c r="D553" s="479" t="n">
        <v>90</v>
      </c>
      <c r="E553" s="934" t="n"/>
      <c r="F553" s="934" t="n"/>
      <c r="G553" s="934" t="n"/>
      <c r="H553" s="479" t="n">
        <v>60</v>
      </c>
      <c r="I553" s="479">
        <f>(D553+E553)/H553</f>
        <v/>
      </c>
      <c r="J553" s="935" t="inlineStr">
        <is>
          <t>T7.5 Mutant Gene Research</t>
        </is>
      </c>
      <c r="K553" s="669" t="n"/>
      <c r="L553" s="669" t="n"/>
      <c r="M553" s="669" t="n"/>
      <c r="N553" s="669" t="n"/>
      <c r="O553" s="669" t="n"/>
      <c r="P553" s="669" t="n"/>
      <c r="Q553" s="669" t="n"/>
      <c r="R553" s="669" t="n"/>
      <c r="S553" s="669" t="n"/>
      <c r="T553" s="669" t="n"/>
      <c r="U553" s="669" t="n"/>
      <c r="V553" s="669" t="n"/>
      <c r="W553" s="669" t="n"/>
      <c r="X553" s="669" t="n"/>
      <c r="Y553" s="669" t="n"/>
      <c r="Z553" s="669" t="n"/>
    </row>
    <row r="554">
      <c r="A554" s="507" t="inlineStr">
        <is>
          <t>George VI's Speech</t>
        </is>
      </c>
      <c r="B554" s="1037" t="inlineStr">
        <is>
          <t>Blue</t>
        </is>
      </c>
      <c r="C554" s="1037" t="inlineStr">
        <is>
          <t>CIV</t>
        </is>
      </c>
      <c r="D554" s="934" t="n">
        <v>5</v>
      </c>
      <c r="E554" s="934" t="n">
        <v>5</v>
      </c>
      <c r="F554" s="267" t="n"/>
      <c r="G554" s="934" t="n"/>
      <c r="H554" s="267" t="n">
        <v>10</v>
      </c>
      <c r="I554" s="255">
        <f>(D554+E554)/H554</f>
        <v/>
      </c>
      <c r="J554" s="256" t="inlineStr">
        <is>
          <t>Lottery Machine #2 (?%)</t>
        </is>
      </c>
      <c r="K554" s="669" t="n"/>
      <c r="L554" s="669" t="n"/>
      <c r="M554" s="669" t="n"/>
      <c r="N554" s="669" t="n"/>
      <c r="O554" s="669" t="n"/>
      <c r="P554" s="669" t="n"/>
      <c r="Q554" s="669" t="n"/>
      <c r="R554" s="669" t="n"/>
      <c r="S554" s="669" t="n"/>
      <c r="T554" s="669" t="n"/>
      <c r="U554" s="669" t="n"/>
      <c r="V554" s="669" t="n"/>
      <c r="W554" s="669" t="n"/>
      <c r="X554" s="669" t="n"/>
      <c r="Y554" s="669" t="n"/>
      <c r="Z554" s="669" t="n"/>
    </row>
    <row r="555">
      <c r="A555" s="246" t="inlineStr">
        <is>
          <t>Poetics-Aristotle</t>
        </is>
      </c>
      <c r="B555" s="1037" t="inlineStr">
        <is>
          <t>SSS</t>
        </is>
      </c>
      <c r="C555" s="1037" t="inlineStr">
        <is>
          <t>CIV</t>
        </is>
      </c>
      <c r="D555" s="209" t="n"/>
      <c r="E555" s="209" t="n"/>
      <c r="F555" s="268" t="n">
        <v>12</v>
      </c>
      <c r="G555" s="209" t="n"/>
      <c r="H555" s="209" t="n"/>
      <c r="I555" s="269" t="n"/>
      <c r="J555" s="390" t="inlineStr">
        <is>
          <t>Daily Pack Relic #54</t>
        </is>
      </c>
      <c r="K555" s="669" t="n"/>
      <c r="L555" s="669" t="n"/>
      <c r="M555" s="669" t="n"/>
      <c r="N555" s="669" t="n"/>
      <c r="O555" s="669" t="n"/>
      <c r="P555" s="669" t="n"/>
      <c r="Q555" s="669" t="n"/>
      <c r="R555" s="669" t="n"/>
      <c r="S555" s="669" t="n"/>
      <c r="T555" s="669" t="n"/>
      <c r="U555" s="669" t="n"/>
      <c r="V555" s="669" t="n"/>
      <c r="W555" s="669" t="n"/>
      <c r="X555" s="669" t="n"/>
      <c r="Y555" s="669" t="n"/>
      <c r="Z555" s="669" t="n"/>
    </row>
    <row r="556">
      <c r="A556" s="507" t="inlineStr">
        <is>
          <t>Two-headed Serpent</t>
        </is>
      </c>
      <c r="B556" s="1037" t="inlineStr">
        <is>
          <t>SSS</t>
        </is>
      </c>
      <c r="C556" s="1037" t="inlineStr">
        <is>
          <t>ART</t>
        </is>
      </c>
      <c r="D556" s="934" t="n"/>
      <c r="E556" s="934" t="n"/>
      <c r="F556" s="267" t="n">
        <v>12</v>
      </c>
      <c r="G556" s="934" t="n"/>
      <c r="H556" s="934" t="n"/>
      <c r="I556" s="270" t="n"/>
      <c r="J556" s="935" t="inlineStr">
        <is>
          <t>Lottery Machine #2 (0.12%), Relic Forge (120 RF)</t>
        </is>
      </c>
      <c r="K556" s="669" t="n"/>
      <c r="L556" s="669" t="n"/>
      <c r="M556" s="669" t="n"/>
      <c r="N556" s="669" t="n"/>
      <c r="O556" s="669" t="n"/>
      <c r="P556" s="669" t="n"/>
      <c r="Q556" s="669" t="n"/>
      <c r="R556" s="669" t="n"/>
      <c r="S556" s="669" t="n"/>
      <c r="T556" s="669" t="n"/>
      <c r="U556" s="669" t="n"/>
      <c r="V556" s="669" t="n"/>
      <c r="W556" s="669" t="n"/>
      <c r="X556" s="669" t="n"/>
      <c r="Y556" s="669" t="n"/>
      <c r="Z556" s="669" t="n"/>
    </row>
    <row r="557">
      <c r="A557" s="246" t="inlineStr">
        <is>
          <t>Avesta</t>
        </is>
      </c>
      <c r="B557" s="1037" t="inlineStr">
        <is>
          <t>AAA</t>
        </is>
      </c>
      <c r="C557" s="1037" t="inlineStr">
        <is>
          <t>FTH</t>
        </is>
      </c>
      <c r="D557" s="209" t="n"/>
      <c r="E557" s="209" t="n"/>
      <c r="F557" s="268" t="n">
        <v>12</v>
      </c>
      <c r="G557" s="209" t="n"/>
      <c r="H557" s="209" t="n"/>
      <c r="I557" s="269" t="n"/>
      <c r="J557" s="256" t="inlineStr">
        <is>
          <t>Daily Silver Pack Relic #7</t>
        </is>
      </c>
      <c r="K557" s="669" t="n"/>
      <c r="L557" s="669" t="n"/>
      <c r="M557" s="669" t="n"/>
      <c r="N557" s="669" t="n"/>
      <c r="O557" s="669" t="n"/>
      <c r="P557" s="669" t="n"/>
      <c r="Q557" s="669" t="n"/>
      <c r="R557" s="669" t="n"/>
      <c r="S557" s="669" t="n"/>
      <c r="T557" s="669" t="n"/>
      <c r="U557" s="669" t="n"/>
      <c r="V557" s="669" t="n"/>
      <c r="W557" s="669" t="n"/>
      <c r="X557" s="669" t="n"/>
      <c r="Y557" s="669" t="n"/>
      <c r="Z557" s="669" t="n"/>
    </row>
    <row r="558">
      <c r="A558" s="246" t="inlineStr">
        <is>
          <t>Young Werther's Troubles</t>
        </is>
      </c>
      <c r="B558" s="1037" t="inlineStr">
        <is>
          <t>SS</t>
        </is>
      </c>
      <c r="C558" s="1037" t="inlineStr">
        <is>
          <t>CIV</t>
        </is>
      </c>
      <c r="D558" s="209" t="n"/>
      <c r="E558" s="209" t="n"/>
      <c r="F558" s="268" t="n">
        <v>11</v>
      </c>
      <c r="G558" s="209" t="n"/>
      <c r="H558" s="209" t="n"/>
      <c r="I558" s="269" t="n"/>
      <c r="J558" s="390" t="inlineStr">
        <is>
          <t>Lottery Machine #3 (?%)</t>
        </is>
      </c>
      <c r="K558" s="669" t="n"/>
      <c r="L558" s="669" t="n"/>
      <c r="M558" s="669" t="n"/>
      <c r="N558" s="669" t="n"/>
      <c r="O558" s="669" t="n"/>
      <c r="P558" s="669" t="n"/>
      <c r="Q558" s="669" t="n"/>
      <c r="R558" s="669" t="n"/>
      <c r="S558" s="669" t="n"/>
      <c r="T558" s="669" t="n"/>
      <c r="U558" s="669" t="n"/>
      <c r="V558" s="669" t="n"/>
      <c r="W558" s="669" t="n"/>
      <c r="X558" s="669" t="n"/>
      <c r="Y558" s="669" t="n"/>
      <c r="Z558" s="669" t="n"/>
    </row>
    <row r="559">
      <c r="A559" s="246" t="inlineStr">
        <is>
          <t>Thus Spoke Zarathustra</t>
        </is>
      </c>
      <c r="B559" s="1037" t="inlineStr">
        <is>
          <t>AAA</t>
        </is>
      </c>
      <c r="C559" s="1037" t="inlineStr">
        <is>
          <t>CIV</t>
        </is>
      </c>
      <c r="D559" s="209" t="n"/>
      <c r="E559" s="209" t="n"/>
      <c r="F559" s="268" t="n">
        <v>9</v>
      </c>
      <c r="G559" s="209" t="n"/>
      <c r="H559" s="209" t="n"/>
      <c r="I559" s="269" t="n"/>
      <c r="J559" s="281" t="inlineStr">
        <is>
          <t>Lottery Box Relic #23</t>
        </is>
      </c>
      <c r="K559" s="669" t="n"/>
      <c r="L559" s="669" t="n"/>
      <c r="M559" s="669" t="n"/>
      <c r="N559" s="669" t="n"/>
      <c r="O559" s="669" t="n"/>
      <c r="P559" s="669" t="n"/>
      <c r="Q559" s="669" t="n"/>
      <c r="R559" s="669" t="n"/>
      <c r="S559" s="669" t="n"/>
      <c r="T559" s="669" t="n"/>
      <c r="U559" s="669" t="n"/>
      <c r="V559" s="669" t="n"/>
      <c r="W559" s="669" t="n"/>
      <c r="X559" s="669" t="n"/>
      <c r="Y559" s="669" t="n"/>
      <c r="Z559" s="669" t="n"/>
    </row>
    <row r="560">
      <c r="A560" s="246" t="inlineStr">
        <is>
          <t>Hinderson's Letter</t>
        </is>
      </c>
      <c r="B560" s="1037" t="inlineStr">
        <is>
          <t>AAA</t>
        </is>
      </c>
      <c r="C560" s="1037" t="inlineStr">
        <is>
          <t>FAME</t>
        </is>
      </c>
      <c r="D560" s="209" t="n"/>
      <c r="E560" s="209" t="n"/>
      <c r="F560" s="268" t="n">
        <v>9</v>
      </c>
      <c r="G560" s="209" t="n"/>
      <c r="H560" s="209" t="n"/>
      <c r="I560" s="269" t="n"/>
      <c r="J560" s="256" t="inlineStr">
        <is>
          <t>Lottery Machine #2 (?%)</t>
        </is>
      </c>
      <c r="K560" s="669" t="n"/>
      <c r="L560" s="669" t="n"/>
      <c r="M560" s="669" t="n"/>
      <c r="N560" s="669" t="n"/>
      <c r="O560" s="669" t="n"/>
      <c r="P560" s="669" t="n"/>
      <c r="Q560" s="669" t="n"/>
      <c r="R560" s="669" t="n"/>
      <c r="S560" s="669" t="n"/>
      <c r="T560" s="669" t="n"/>
      <c r="U560" s="669" t="n"/>
      <c r="V560" s="669" t="n"/>
      <c r="W560" s="669" t="n"/>
      <c r="X560" s="669" t="n"/>
      <c r="Y560" s="669" t="n"/>
      <c r="Z560" s="669" t="n"/>
    </row>
    <row r="561">
      <c r="A561" s="507" t="inlineStr">
        <is>
          <t>Gulliver's Travels</t>
        </is>
      </c>
      <c r="B561" s="1037" t="inlineStr">
        <is>
          <t>Blue</t>
        </is>
      </c>
      <c r="C561" s="1037" t="inlineStr">
        <is>
          <t>CIV</t>
        </is>
      </c>
      <c r="D561" s="934" t="n"/>
      <c r="E561" s="934" t="n"/>
      <c r="F561" s="479" t="n">
        <v>5</v>
      </c>
      <c r="G561" s="479" t="n">
        <v>5</v>
      </c>
      <c r="H561" s="934" t="n"/>
      <c r="I561" s="934" t="n"/>
      <c r="J561" s="256" t="inlineStr">
        <is>
          <t>Lottery Machine #2 (?%)</t>
        </is>
      </c>
      <c r="K561" s="669" t="n"/>
      <c r="L561" s="669" t="n"/>
      <c r="M561" s="669" t="n"/>
      <c r="N561" s="669" t="n"/>
      <c r="O561" s="669" t="n"/>
      <c r="P561" s="669" t="n"/>
      <c r="Q561" s="669" t="n"/>
      <c r="R561" s="669" t="n"/>
      <c r="S561" s="669" t="n"/>
      <c r="T561" s="669" t="n"/>
      <c r="U561" s="669" t="n"/>
      <c r="V561" s="669" t="n"/>
      <c r="W561" s="669" t="n"/>
      <c r="X561" s="669" t="n"/>
      <c r="Y561" s="669" t="n"/>
      <c r="Z561" s="669" t="n"/>
    </row>
    <row r="562">
      <c r="A562" s="257" t="n"/>
      <c r="B562" s="1037" t="n"/>
      <c r="C562" s="934" t="n"/>
      <c r="D562" s="209" t="n"/>
      <c r="E562" s="209" t="n"/>
      <c r="F562" s="209" t="n"/>
      <c r="G562" s="209" t="n"/>
      <c r="H562" s="209" t="n"/>
      <c r="I562" s="209" t="n"/>
      <c r="J562" s="256" t="n"/>
      <c r="K562" s="669" t="n"/>
      <c r="L562" s="669" t="n"/>
      <c r="M562" s="669" t="n"/>
      <c r="N562" s="669" t="n"/>
      <c r="O562" s="669" t="n"/>
      <c r="P562" s="669" t="n"/>
      <c r="Q562" s="669" t="n"/>
      <c r="R562" s="669" t="n"/>
      <c r="S562" s="669" t="n"/>
      <c r="T562" s="669" t="n"/>
      <c r="U562" s="669" t="n"/>
      <c r="V562" s="669" t="n"/>
      <c r="W562" s="669" t="n"/>
      <c r="X562" s="669" t="n"/>
      <c r="Y562" s="669" t="n"/>
      <c r="Z562" s="669" t="n"/>
    </row>
    <row r="563">
      <c r="A563" s="507" t="inlineStr">
        <is>
          <t>Resonance: Blue</t>
        </is>
      </c>
      <c r="B563" s="934" t="n"/>
      <c r="C563" s="934" t="n"/>
      <c r="D563" s="479" t="n">
        <v>5</v>
      </c>
      <c r="E563" s="934" t="n"/>
      <c r="F563" s="934" t="n"/>
      <c r="G563" s="934" t="n"/>
      <c r="H563" s="479" t="n">
        <v>10</v>
      </c>
      <c r="I563" s="479">
        <f>(D563+E563)/H563</f>
        <v/>
      </c>
      <c r="J563" s="935" t="n"/>
      <c r="K563" s="669" t="n"/>
      <c r="L563" s="669" t="n"/>
      <c r="M563" s="669" t="n"/>
      <c r="N563" s="669" t="n"/>
      <c r="O563" s="669" t="n"/>
      <c r="P563" s="669" t="n"/>
      <c r="Q563" s="669" t="n"/>
      <c r="R563" s="669" t="n"/>
      <c r="S563" s="669" t="n"/>
      <c r="T563" s="669" t="n"/>
      <c r="U563" s="669" t="n"/>
      <c r="V563" s="669" t="n"/>
      <c r="W563" s="669" t="n"/>
      <c r="X563" s="669" t="n"/>
      <c r="Y563" s="669" t="n"/>
      <c r="Z563" s="669" t="n"/>
    </row>
    <row r="564">
      <c r="A564" s="246" t="inlineStr">
        <is>
          <t xml:space="preserve">  Gregor Specimen</t>
        </is>
      </c>
      <c r="B564" s="1037" t="inlineStr">
        <is>
          <t>Blue</t>
        </is>
      </c>
      <c r="C564" s="1037" t="inlineStr">
        <is>
          <t>ART</t>
        </is>
      </c>
      <c r="D564" s="209" t="n"/>
      <c r="E564" s="209" t="n"/>
      <c r="F564" s="209" t="n"/>
      <c r="G564" s="209" t="n"/>
      <c r="H564" s="209" t="n"/>
      <c r="I564" s="209" t="n"/>
      <c r="J564" s="256" t="inlineStr">
        <is>
          <t>Lottery Machine #1 (0.03%), Wishing (1.2%), Evolution Chest (2%)</t>
        </is>
      </c>
      <c r="K564" s="669" t="n"/>
      <c r="L564" s="669" t="n"/>
      <c r="M564" s="669" t="n"/>
      <c r="N564" s="669" t="n"/>
      <c r="O564" s="669" t="n"/>
      <c r="P564" s="669" t="n"/>
      <c r="Q564" s="669" t="n"/>
      <c r="R564" s="669" t="n"/>
      <c r="S564" s="669" t="n"/>
      <c r="T564" s="669" t="n"/>
      <c r="U564" s="669" t="n"/>
      <c r="V564" s="669" t="n"/>
      <c r="W564" s="669" t="n"/>
      <c r="X564" s="669" t="n"/>
      <c r="Y564" s="669" t="n"/>
      <c r="Z564" s="669" t="n"/>
    </row>
    <row r="565">
      <c r="A565" s="246" t="inlineStr">
        <is>
          <t xml:space="preserve">  Moai</t>
        </is>
      </c>
      <c r="B565" s="1037" t="inlineStr">
        <is>
          <t>Blue</t>
        </is>
      </c>
      <c r="C565" s="1037" t="inlineStr">
        <is>
          <t>FTH</t>
        </is>
      </c>
      <c r="D565" s="209" t="n"/>
      <c r="E565" s="209" t="n"/>
      <c r="F565" s="209" t="n"/>
      <c r="G565" s="209" t="n"/>
      <c r="H565" s="209" t="n"/>
      <c r="I565" s="209" t="n"/>
      <c r="J565" s="256" t="inlineStr">
        <is>
          <t>Lottery Machine #1 (0.36%), Wishing (10.6%), Soul Chest (2%), Novice Scrolls (5%)</t>
        </is>
      </c>
      <c r="K565" s="669" t="n"/>
      <c r="L565" s="669" t="n"/>
      <c r="M565" s="669" t="n"/>
      <c r="N565" s="669" t="n"/>
      <c r="O565" s="669" t="n"/>
      <c r="P565" s="669" t="n"/>
      <c r="Q565" s="669" t="n"/>
      <c r="R565" s="669" t="n"/>
      <c r="S565" s="669" t="n"/>
      <c r="T565" s="669" t="n"/>
      <c r="U565" s="669" t="n"/>
      <c r="V565" s="669" t="n"/>
      <c r="W565" s="669" t="n"/>
      <c r="X565" s="669" t="n"/>
      <c r="Y565" s="669" t="n"/>
      <c r="Z565" s="669" t="n"/>
    </row>
    <row r="566">
      <c r="A566" s="507" t="inlineStr">
        <is>
          <t>Resonance: Blue</t>
        </is>
      </c>
      <c r="B566" s="934" t="n"/>
      <c r="C566" s="934" t="n"/>
      <c r="D566" s="479" t="n">
        <v>5</v>
      </c>
      <c r="E566" s="934" t="n"/>
      <c r="F566" s="934" t="n"/>
      <c r="G566" s="934" t="n"/>
      <c r="H566" s="479" t="n">
        <v>10</v>
      </c>
      <c r="I566" s="479">
        <f>(D566+E566)/H566</f>
        <v/>
      </c>
      <c r="J566" s="935" t="n"/>
      <c r="K566" s="669" t="n"/>
      <c r="L566" s="669" t="n"/>
      <c r="M566" s="669" t="n"/>
      <c r="N566" s="669" t="n"/>
      <c r="O566" s="669" t="n"/>
      <c r="P566" s="669" t="n"/>
      <c r="Q566" s="669" t="n"/>
      <c r="R566" s="669" t="n"/>
      <c r="S566" s="669" t="n"/>
      <c r="T566" s="669" t="n"/>
      <c r="U566" s="669" t="n"/>
      <c r="V566" s="669" t="n"/>
      <c r="W566" s="669" t="n"/>
      <c r="X566" s="669" t="n"/>
      <c r="Y566" s="669" t="n"/>
      <c r="Z566" s="669" t="n"/>
    </row>
    <row r="567">
      <c r="A567" s="246" t="inlineStr">
        <is>
          <t xml:space="preserve">  The Prayer</t>
        </is>
      </c>
      <c r="B567" s="1037" t="inlineStr">
        <is>
          <t>Blue</t>
        </is>
      </c>
      <c r="C567" s="1037" t="inlineStr">
        <is>
          <t>ART</t>
        </is>
      </c>
      <c r="D567" s="209" t="n"/>
      <c r="E567" s="209" t="n"/>
      <c r="F567" s="209" t="n"/>
      <c r="G567" s="209" t="n"/>
      <c r="H567" s="209" t="n"/>
      <c r="I567" s="209" t="n"/>
      <c r="J567" s="256" t="inlineStr">
        <is>
          <t>Lottery Machine #2 (?%)</t>
        </is>
      </c>
      <c r="K567" s="669" t="n"/>
      <c r="L567" s="669" t="n"/>
      <c r="M567" s="669" t="n"/>
      <c r="N567" s="669" t="n"/>
      <c r="O567" s="669" t="n"/>
      <c r="P567" s="669" t="n"/>
      <c r="Q567" s="669" t="n"/>
      <c r="R567" s="669" t="n"/>
      <c r="S567" s="669" t="n"/>
      <c r="T567" s="669" t="n"/>
      <c r="U567" s="669" t="n"/>
      <c r="V567" s="669" t="n"/>
      <c r="W567" s="669" t="n"/>
      <c r="X567" s="669" t="n"/>
      <c r="Y567" s="669" t="n"/>
      <c r="Z567" s="669" t="n"/>
    </row>
    <row r="568">
      <c r="A568" s="246" t="inlineStr">
        <is>
          <t xml:space="preserve">  Clytie Bust Sculpture</t>
        </is>
      </c>
      <c r="B568" s="1037" t="inlineStr">
        <is>
          <t>Blue</t>
        </is>
      </c>
      <c r="C568" s="1037" t="inlineStr">
        <is>
          <t>ART</t>
        </is>
      </c>
      <c r="D568" s="934" t="n"/>
      <c r="E568" s="934" t="n"/>
      <c r="F568" s="934" t="n"/>
      <c r="G568" s="934" t="n"/>
      <c r="H568" s="934" t="n"/>
      <c r="I568" s="934" t="n"/>
      <c r="J568" s="935" t="inlineStr">
        <is>
          <t>Lottery Machine #2 (?%)</t>
        </is>
      </c>
      <c r="K568" s="669" t="n"/>
      <c r="L568" s="669" t="n"/>
      <c r="M568" s="669" t="n"/>
      <c r="N568" s="669" t="n"/>
      <c r="O568" s="669" t="n"/>
      <c r="P568" s="669" t="n"/>
      <c r="Q568" s="669" t="n"/>
      <c r="R568" s="669" t="n"/>
      <c r="S568" s="669" t="n"/>
      <c r="T568" s="669" t="n"/>
      <c r="U568" s="669" t="n"/>
      <c r="V568" s="669" t="n"/>
      <c r="W568" s="669" t="n"/>
      <c r="X568" s="669" t="n"/>
      <c r="Y568" s="669" t="n"/>
      <c r="Z568" s="669" t="n"/>
    </row>
    <row r="569">
      <c r="A569" s="246" t="inlineStr">
        <is>
          <t>Resonance: Purple</t>
        </is>
      </c>
      <c r="B569" s="1037" t="n"/>
      <c r="C569" s="934" t="n"/>
      <c r="D569" s="209" t="n"/>
      <c r="E569" s="209" t="n"/>
      <c r="F569" s="268" t="n">
        <v>6</v>
      </c>
      <c r="G569" s="209" t="n"/>
      <c r="H569" s="209" t="n"/>
      <c r="I569" s="209" t="n"/>
      <c r="J569" s="256" t="n"/>
      <c r="K569" s="669" t="n"/>
      <c r="L569" s="669" t="n"/>
      <c r="M569" s="669" t="n"/>
      <c r="N569" s="669" t="n"/>
      <c r="O569" s="669" t="n"/>
      <c r="P569" s="669" t="n"/>
      <c r="Q569" s="669" t="n"/>
      <c r="R569" s="669" t="n"/>
      <c r="S569" s="669" t="n"/>
      <c r="T569" s="669" t="n"/>
      <c r="U569" s="669" t="n"/>
      <c r="V569" s="669" t="n"/>
      <c r="W569" s="669" t="n"/>
      <c r="X569" s="669" t="n"/>
      <c r="Y569" s="669" t="n"/>
      <c r="Z569" s="669" t="n"/>
    </row>
    <row r="570">
      <c r="A570" s="507" t="inlineStr">
        <is>
          <t xml:space="preserve">  Hinderson's Letter</t>
        </is>
      </c>
      <c r="B570" s="1037" t="inlineStr">
        <is>
          <t>AAA</t>
        </is>
      </c>
      <c r="C570" s="1037" t="inlineStr">
        <is>
          <t>FAME</t>
        </is>
      </c>
      <c r="D570" s="934" t="n"/>
      <c r="E570" s="934" t="n"/>
      <c r="F570" s="934" t="n"/>
      <c r="G570" s="934" t="n"/>
      <c r="H570" s="934" t="n"/>
      <c r="I570" s="934" t="n"/>
      <c r="J570" s="935" t="inlineStr">
        <is>
          <t>Lottery Machine #2 (?%)</t>
        </is>
      </c>
      <c r="K570" s="669" t="n"/>
      <c r="L570" s="669" t="n"/>
      <c r="M570" s="669" t="n"/>
      <c r="N570" s="669" t="n"/>
      <c r="O570" s="669" t="n"/>
      <c r="P570" s="669" t="n"/>
      <c r="Q570" s="669" t="n"/>
      <c r="R570" s="669" t="n"/>
      <c r="S570" s="669" t="n"/>
      <c r="T570" s="669" t="n"/>
      <c r="U570" s="669" t="n"/>
      <c r="V570" s="669" t="n"/>
      <c r="W570" s="669" t="n"/>
      <c r="X570" s="669" t="n"/>
      <c r="Y570" s="669" t="n"/>
      <c r="Z570" s="669" t="n"/>
    </row>
    <row r="571">
      <c r="A571" s="246" t="inlineStr">
        <is>
          <t xml:space="preserve">  Konjaku Tale</t>
        </is>
      </c>
      <c r="B571" s="1037" t="inlineStr">
        <is>
          <t>AAA</t>
        </is>
      </c>
      <c r="C571" s="1037" t="inlineStr">
        <is>
          <t>CIV</t>
        </is>
      </c>
      <c r="D571" s="209" t="n"/>
      <c r="E571" s="209" t="n"/>
      <c r="F571" s="209" t="n"/>
      <c r="G571" s="209" t="n"/>
      <c r="H571" s="209" t="n"/>
      <c r="I571" s="209" t="n"/>
      <c r="J571" s="256" t="inlineStr">
        <is>
          <t>Lottery Machine #2 (?%)</t>
        </is>
      </c>
      <c r="K571" s="669" t="n"/>
      <c r="L571" s="669" t="n"/>
      <c r="M571" s="669" t="n"/>
      <c r="N571" s="669" t="n"/>
      <c r="O571" s="669" t="n"/>
      <c r="P571" s="669" t="n"/>
      <c r="Q571" s="669" t="n"/>
      <c r="R571" s="669" t="n"/>
      <c r="S571" s="669" t="n"/>
      <c r="T571" s="669" t="n"/>
      <c r="U571" s="669" t="n"/>
      <c r="V571" s="669" t="n"/>
      <c r="W571" s="669" t="n"/>
      <c r="X571" s="669" t="n"/>
      <c r="Y571" s="669" t="n"/>
      <c r="Z571" s="669" t="n"/>
    </row>
    <row r="572">
      <c r="A572" s="955" t="inlineStr">
        <is>
          <t>TOTAL ATK</t>
        </is>
      </c>
      <c r="B572" s="946" t="n"/>
      <c r="C572" s="946" t="n"/>
      <c r="D572" s="946" t="n"/>
      <c r="E572" s="946" t="n"/>
      <c r="F572" s="260">
        <f>sum(F550:G571)</f>
        <v/>
      </c>
      <c r="G572" s="946" t="n"/>
      <c r="H572" s="946" t="n"/>
      <c r="I572" s="261">
        <f>sum(I550:I571)</f>
        <v/>
      </c>
      <c r="J572" s="947" t="n"/>
      <c r="K572" s="669" t="n"/>
      <c r="L572" s="669" t="n"/>
      <c r="M572" s="669" t="n"/>
      <c r="N572" s="669" t="n"/>
      <c r="O572" s="669" t="n"/>
      <c r="P572" s="669" t="n"/>
      <c r="Q572" s="669" t="n"/>
      <c r="R572" s="669" t="n"/>
      <c r="S572" s="669" t="n"/>
      <c r="T572" s="669" t="n"/>
      <c r="U572" s="669" t="n"/>
      <c r="V572" s="669" t="n"/>
      <c r="W572" s="669" t="n"/>
      <c r="X572" s="669" t="n"/>
      <c r="Y572" s="669" t="n"/>
      <c r="Z572" s="669" t="n"/>
    </row>
    <row r="573">
      <c r="A573" s="825" t="n"/>
      <c r="B573" s="1037" t="n"/>
      <c r="C573" s="1037" t="n"/>
      <c r="D573" s="1037" t="n"/>
      <c r="E573" s="1037" t="n"/>
      <c r="F573" s="1037" t="n"/>
      <c r="G573" s="1037" t="n"/>
      <c r="H573" s="1037" t="n"/>
      <c r="I573" s="1037" t="n"/>
      <c r="J573" s="386" t="n"/>
      <c r="K573" s="669" t="n"/>
      <c r="L573" s="669" t="n"/>
      <c r="M573" s="669" t="n"/>
      <c r="N573" s="669" t="n"/>
      <c r="O573" s="669" t="n"/>
      <c r="P573" s="669" t="n"/>
      <c r="Q573" s="669" t="n"/>
      <c r="R573" s="669" t="n"/>
      <c r="S573" s="669" t="n"/>
      <c r="T573" s="669" t="n"/>
      <c r="U573" s="669" t="n"/>
      <c r="V573" s="669" t="n"/>
      <c r="W573" s="669" t="n"/>
      <c r="X573" s="669" t="n"/>
      <c r="Y573" s="669" t="n"/>
      <c r="Z573" s="669" t="n"/>
    </row>
    <row r="574">
      <c r="A574" s="383" t="n"/>
      <c r="B574" s="1079" t="n"/>
      <c r="C574" s="1079" t="n"/>
      <c r="D574" s="1079" t="n"/>
      <c r="E574" s="1079" t="n"/>
      <c r="F574" s="1079" t="n"/>
      <c r="G574" s="1079" t="n"/>
      <c r="H574" s="1079" t="n"/>
      <c r="I574" s="1079" t="n"/>
      <c r="J574" s="970" t="n"/>
      <c r="K574" s="669" t="n"/>
      <c r="L574" s="669" t="n"/>
      <c r="M574" s="669" t="n"/>
      <c r="N574" s="669" t="n"/>
      <c r="O574" s="669" t="n"/>
      <c r="P574" s="669" t="n"/>
      <c r="Q574" s="669" t="n"/>
      <c r="R574" s="669" t="n"/>
      <c r="S574" s="669" t="n"/>
      <c r="T574" s="669" t="n"/>
      <c r="U574" s="669" t="n"/>
      <c r="V574" s="669" t="n"/>
      <c r="W574" s="669" t="n"/>
      <c r="X574" s="669" t="n"/>
      <c r="Y574" s="669" t="n"/>
      <c r="Z574" s="669" t="n"/>
    </row>
    <row r="575">
      <c r="A575" s="251" t="inlineStr">
        <is>
          <t>RUSH</t>
        </is>
      </c>
      <c r="B575" s="252" t="inlineStr">
        <is>
          <t>Rarity</t>
        </is>
      </c>
      <c r="C575" s="252" t="inlineStr">
        <is>
          <t>Type</t>
        </is>
      </c>
      <c r="D575" s="252" t="inlineStr">
        <is>
          <t>Base</t>
        </is>
      </c>
      <c r="E575" s="252" t="inlineStr">
        <is>
          <t>Awakening Base</t>
        </is>
      </c>
      <c r="F575" s="252" t="inlineStr">
        <is>
          <t>Percentage</t>
        </is>
      </c>
      <c r="G575" s="252" t="inlineStr">
        <is>
          <t>Awakening Percentage</t>
        </is>
      </c>
      <c r="H575" s="252" t="inlineStr">
        <is>
          <t>Per Minion</t>
        </is>
      </c>
      <c r="I575" s="252" t="inlineStr">
        <is>
          <t>Per Minion Boost</t>
        </is>
      </c>
      <c r="J575" s="253" t="inlineStr">
        <is>
          <t>Source</t>
        </is>
      </c>
      <c r="K575" s="669" t="n"/>
      <c r="L575" s="669" t="n"/>
      <c r="M575" s="669" t="n"/>
      <c r="N575" s="669" t="n"/>
      <c r="O575" s="669" t="n"/>
      <c r="P575" s="669" t="n"/>
      <c r="Q575" s="669" t="n"/>
      <c r="R575" s="669" t="n"/>
      <c r="S575" s="669" t="n"/>
      <c r="T575" s="669" t="n"/>
      <c r="U575" s="669" t="n"/>
      <c r="V575" s="669" t="n"/>
      <c r="W575" s="669" t="n"/>
      <c r="X575" s="669" t="n"/>
      <c r="Y575" s="669" t="n"/>
      <c r="Z575" s="669" t="n"/>
    </row>
    <row r="576">
      <c r="A576" s="507" t="inlineStr">
        <is>
          <t>Mind Controller</t>
        </is>
      </c>
      <c r="B576" s="1037" t="inlineStr">
        <is>
          <t>SS</t>
        </is>
      </c>
      <c r="C576" s="1037" t="inlineStr">
        <is>
          <t>TECH</t>
        </is>
      </c>
      <c r="D576" s="479" t="n">
        <v>90</v>
      </c>
      <c r="E576" s="934" t="n"/>
      <c r="F576" s="934" t="n"/>
      <c r="G576" s="934" t="n"/>
      <c r="H576" s="479" t="n">
        <v>60</v>
      </c>
      <c r="I576" s="479">
        <f>(D576+E576)/H576</f>
        <v/>
      </c>
      <c r="J576" s="935" t="inlineStr">
        <is>
          <t>T7.5 Mutant Gene Research</t>
        </is>
      </c>
      <c r="K576" s="669" t="n"/>
      <c r="L576" s="669" t="n"/>
      <c r="M576" s="669" t="n"/>
      <c r="N576" s="669" t="n"/>
      <c r="O576" s="669" t="n"/>
      <c r="P576" s="669" t="n"/>
      <c r="Q576" s="669" t="n"/>
      <c r="R576" s="669" t="n"/>
      <c r="S576" s="669" t="n"/>
      <c r="T576" s="669" t="n"/>
      <c r="U576" s="669" t="n"/>
      <c r="V576" s="669" t="n"/>
      <c r="W576" s="669" t="n"/>
      <c r="X576" s="669" t="n"/>
      <c r="Y576" s="669" t="n"/>
      <c r="Z576" s="669" t="n"/>
    </row>
    <row r="577">
      <c r="A577" s="246" t="inlineStr">
        <is>
          <t>Hunting Heraldry</t>
        </is>
      </c>
      <c r="B577" s="1037" t="inlineStr">
        <is>
          <t>AA</t>
        </is>
      </c>
      <c r="C577" s="1037" t="inlineStr">
        <is>
          <t>CIV</t>
        </is>
      </c>
      <c r="D577" s="209" t="n">
        <v>32</v>
      </c>
      <c r="E577" s="209" t="n"/>
      <c r="F577" s="268" t="n"/>
      <c r="G577" s="209" t="n"/>
      <c r="H577" s="267" t="n">
        <v>30</v>
      </c>
      <c r="I577" s="255">
        <f>(D577+E577)/H577</f>
        <v/>
      </c>
      <c r="J577" s="935" t="inlineStr">
        <is>
          <t>Lottery Machine #2 (?%)</t>
        </is>
      </c>
      <c r="K577" s="669" t="n"/>
      <c r="L577" s="669" t="n"/>
      <c r="M577" s="669" t="n"/>
      <c r="N577" s="669" t="n"/>
      <c r="O577" s="669" t="n"/>
      <c r="P577" s="669" t="n"/>
      <c r="Q577" s="669" t="n"/>
      <c r="R577" s="669" t="n"/>
      <c r="S577" s="669" t="n"/>
      <c r="T577" s="669" t="n"/>
      <c r="U577" s="669" t="n"/>
      <c r="V577" s="669" t="n"/>
      <c r="W577" s="669" t="n"/>
      <c r="X577" s="669" t="n"/>
      <c r="Y577" s="669" t="n"/>
      <c r="Z577" s="669" t="n"/>
    </row>
    <row r="578">
      <c r="A578" s="246" t="inlineStr">
        <is>
          <t>Sorron's Eye</t>
        </is>
      </c>
      <c r="B578" s="1037" t="inlineStr">
        <is>
          <t>AA</t>
        </is>
      </c>
      <c r="C578" s="1037" t="inlineStr">
        <is>
          <t>FTH</t>
        </is>
      </c>
      <c r="D578" s="209" t="n">
        <v>28</v>
      </c>
      <c r="E578" s="209" t="n"/>
      <c r="F578" s="268" t="n"/>
      <c r="G578" s="209" t="n"/>
      <c r="H578" s="267" t="n">
        <v>30</v>
      </c>
      <c r="I578" s="255">
        <f>(D578+E578)/H578</f>
        <v/>
      </c>
      <c r="J578" s="935" t="inlineStr">
        <is>
          <t>T6.5 Mutant Gene Research</t>
        </is>
      </c>
      <c r="K578" s="669" t="n"/>
      <c r="L578" s="669" t="n"/>
      <c r="M578" s="669" t="n"/>
      <c r="N578" s="669" t="n"/>
      <c r="O578" s="669" t="n"/>
      <c r="P578" s="669" t="n"/>
      <c r="Q578" s="669" t="n"/>
      <c r="R578" s="669" t="n"/>
      <c r="S578" s="669" t="n"/>
      <c r="T578" s="669" t="n"/>
      <c r="U578" s="669" t="n"/>
      <c r="V578" s="669" t="n"/>
      <c r="W578" s="669" t="n"/>
      <c r="X578" s="669" t="n"/>
      <c r="Y578" s="669" t="n"/>
      <c r="Z578" s="669" t="n"/>
    </row>
    <row r="579">
      <c r="A579" s="246" t="inlineStr">
        <is>
          <t>Old Edda</t>
        </is>
      </c>
      <c r="B579" s="1037" t="inlineStr">
        <is>
          <t>SSS</t>
        </is>
      </c>
      <c r="C579" s="1037" t="inlineStr">
        <is>
          <t>CIV</t>
        </is>
      </c>
      <c r="D579" s="209" t="n"/>
      <c r="E579" s="209" t="n"/>
      <c r="F579" s="268" t="n">
        <v>12</v>
      </c>
      <c r="G579" s="209" t="n"/>
      <c r="H579" s="209" t="n"/>
      <c r="I579" s="209" t="n"/>
      <c r="J579" s="390" t="inlineStr">
        <is>
          <t>Lottery Machine #3 (?%)</t>
        </is>
      </c>
      <c r="K579" s="669" t="n"/>
      <c r="L579" s="669" t="n"/>
      <c r="M579" s="669" t="n"/>
      <c r="N579" s="669" t="n"/>
      <c r="O579" s="669" t="n"/>
      <c r="P579" s="669" t="n"/>
      <c r="Q579" s="669" t="n"/>
      <c r="R579" s="669" t="n"/>
      <c r="S579" s="669" t="n"/>
      <c r="T579" s="669" t="n"/>
      <c r="U579" s="669" t="n"/>
      <c r="V579" s="669" t="n"/>
      <c r="W579" s="669" t="n"/>
      <c r="X579" s="669" t="n"/>
      <c r="Y579" s="669" t="n"/>
      <c r="Z579" s="669" t="n"/>
    </row>
    <row r="580">
      <c r="A580" s="246" t="inlineStr">
        <is>
          <t>Black Body</t>
        </is>
      </c>
      <c r="B580" s="1037" t="inlineStr">
        <is>
          <t>SSS</t>
        </is>
      </c>
      <c r="C580" s="1037" t="inlineStr">
        <is>
          <t>TECH</t>
        </is>
      </c>
      <c r="D580" s="209" t="n"/>
      <c r="E580" s="209" t="n"/>
      <c r="F580" s="268" t="n">
        <v>12</v>
      </c>
      <c r="G580" s="209" t="n"/>
      <c r="H580" s="209" t="n"/>
      <c r="I580" s="209" t="n"/>
      <c r="J580" s="935" t="inlineStr">
        <is>
          <t>Lottery Machine #2 (0.12%)</t>
        </is>
      </c>
      <c r="K580" s="669" t="n"/>
      <c r="L580" s="669" t="n"/>
      <c r="M580" s="669" t="n"/>
      <c r="N580" s="669" t="n"/>
      <c r="O580" s="669" t="n"/>
      <c r="P580" s="669" t="n"/>
      <c r="Q580" s="669" t="n"/>
      <c r="R580" s="669" t="n"/>
      <c r="S580" s="669" t="n"/>
      <c r="T580" s="669" t="n"/>
      <c r="U580" s="669" t="n"/>
      <c r="V580" s="669" t="n"/>
      <c r="W580" s="669" t="n"/>
      <c r="X580" s="669" t="n"/>
      <c r="Y580" s="669" t="n"/>
      <c r="Z580" s="669" t="n"/>
    </row>
    <row r="581">
      <c r="A581" s="246" t="inlineStr">
        <is>
          <t>Taketori Tale</t>
        </is>
      </c>
      <c r="B581" s="1037" t="inlineStr">
        <is>
          <t>AAA</t>
        </is>
      </c>
      <c r="C581" s="1037" t="inlineStr">
        <is>
          <t>CIV</t>
        </is>
      </c>
      <c r="D581" s="209" t="n"/>
      <c r="E581" s="209" t="n"/>
      <c r="F581" s="268" t="n">
        <v>9</v>
      </c>
      <c r="G581" s="268" t="n"/>
      <c r="H581" s="209" t="n"/>
      <c r="I581" s="209" t="n"/>
      <c r="J581" s="256" t="inlineStr">
        <is>
          <t>Lottery Machine #2 (?%)</t>
        </is>
      </c>
      <c r="K581" s="669" t="n"/>
      <c r="L581" s="669" t="n"/>
      <c r="M581" s="669" t="n"/>
      <c r="N581" s="669" t="n"/>
      <c r="O581" s="669" t="n"/>
      <c r="P581" s="669" t="n"/>
      <c r="Q581" s="669" t="n"/>
      <c r="R581" s="669" t="n"/>
      <c r="S581" s="669" t="n"/>
      <c r="T581" s="669" t="n"/>
      <c r="U581" s="669" t="n"/>
      <c r="V581" s="669" t="n"/>
      <c r="W581" s="669" t="n"/>
      <c r="X581" s="669" t="n"/>
      <c r="Y581" s="669" t="n"/>
      <c r="Z581" s="669" t="n"/>
    </row>
    <row r="582">
      <c r="A582" s="246" t="inlineStr">
        <is>
          <t>Tom Sawyer Adventures</t>
        </is>
      </c>
      <c r="B582" s="1037" t="inlineStr">
        <is>
          <t>Blue</t>
        </is>
      </c>
      <c r="C582" s="1037" t="inlineStr">
        <is>
          <t>CIV</t>
        </is>
      </c>
      <c r="D582" s="209" t="n"/>
      <c r="E582" s="209" t="n"/>
      <c r="F582" s="268" t="n">
        <v>5</v>
      </c>
      <c r="G582" s="268" t="n">
        <v>5</v>
      </c>
      <c r="H582" s="209" t="n"/>
      <c r="I582" s="209" t="n"/>
      <c r="J582" s="256" t="inlineStr">
        <is>
          <t>Lottery Machine #2 (?%)</t>
        </is>
      </c>
      <c r="K582" s="669" t="n"/>
      <c r="L582" s="669" t="n"/>
      <c r="M582" s="669" t="n"/>
      <c r="N582" s="669" t="n"/>
      <c r="O582" s="669" t="n"/>
      <c r="P582" s="669" t="n"/>
      <c r="Q582" s="669" t="n"/>
      <c r="R582" s="669" t="n"/>
      <c r="S582" s="669" t="n"/>
      <c r="T582" s="669" t="n"/>
      <c r="U582" s="669" t="n"/>
      <c r="V582" s="669" t="n"/>
      <c r="W582" s="669" t="n"/>
      <c r="X582" s="669" t="n"/>
      <c r="Y582" s="669" t="n"/>
      <c r="Z582" s="669" t="n"/>
    </row>
    <row r="583">
      <c r="A583" s="933" t="n"/>
      <c r="B583" s="1037" t="n"/>
      <c r="C583" s="934" t="n"/>
      <c r="D583" s="934" t="n"/>
      <c r="E583" s="934" t="n"/>
      <c r="F583" s="934" t="n"/>
      <c r="G583" s="934" t="n"/>
      <c r="H583" s="934" t="n"/>
      <c r="I583" s="934" t="n"/>
      <c r="J583" s="935" t="n"/>
      <c r="K583" s="669" t="n"/>
      <c r="L583" s="669" t="n"/>
      <c r="M583" s="669" t="n"/>
      <c r="N583" s="669" t="n"/>
      <c r="O583" s="669" t="n"/>
      <c r="P583" s="669" t="n"/>
      <c r="Q583" s="669" t="n"/>
      <c r="R583" s="669" t="n"/>
      <c r="S583" s="669" t="n"/>
      <c r="T583" s="669" t="n"/>
      <c r="U583" s="669" t="n"/>
      <c r="V583" s="669" t="n"/>
      <c r="W583" s="669" t="n"/>
      <c r="X583" s="669" t="n"/>
      <c r="Y583" s="669" t="n"/>
      <c r="Z583" s="669" t="n"/>
    </row>
    <row r="584">
      <c r="A584" s="246" t="inlineStr">
        <is>
          <t>Resonance: Blue</t>
        </is>
      </c>
      <c r="B584" s="209" t="n"/>
      <c r="C584" s="934" t="n"/>
      <c r="D584" s="210" t="n">
        <v>5</v>
      </c>
      <c r="E584" s="209" t="n"/>
      <c r="F584" s="209" t="n"/>
      <c r="G584" s="209" t="n"/>
      <c r="H584" s="210" t="n">
        <v>10</v>
      </c>
      <c r="I584" s="210">
        <f>(D584+E584)/H584</f>
        <v/>
      </c>
      <c r="J584" s="256" t="n"/>
      <c r="K584" s="669" t="n"/>
      <c r="L584" s="669" t="n"/>
      <c r="M584" s="669" t="n"/>
      <c r="N584" s="669" t="n"/>
      <c r="O584" s="669" t="n"/>
      <c r="P584" s="669" t="n"/>
      <c r="Q584" s="669" t="n"/>
      <c r="R584" s="669" t="n"/>
      <c r="S584" s="669" t="n"/>
      <c r="T584" s="669" t="n"/>
      <c r="U584" s="669" t="n"/>
      <c r="V584" s="669" t="n"/>
      <c r="W584" s="669" t="n"/>
      <c r="X584" s="669" t="n"/>
      <c r="Y584" s="669" t="n"/>
      <c r="Z584" s="669" t="n"/>
    </row>
    <row r="585">
      <c r="A585" s="507" t="inlineStr">
        <is>
          <t xml:space="preserve">  Walking Man Statue</t>
        </is>
      </c>
      <c r="B585" s="1037" t="inlineStr">
        <is>
          <t>Blue</t>
        </is>
      </c>
      <c r="C585" s="1037" t="inlineStr">
        <is>
          <t>CIV</t>
        </is>
      </c>
      <c r="D585" s="934" t="n"/>
      <c r="E585" s="934" t="n"/>
      <c r="F585" s="934" t="n"/>
      <c r="G585" s="934" t="n"/>
      <c r="H585" s="934" t="n"/>
      <c r="I585" s="934" t="n"/>
      <c r="J585" s="935" t="inlineStr">
        <is>
          <t>Lottery Machine #2 (?%)</t>
        </is>
      </c>
      <c r="K585" s="669" t="n"/>
      <c r="L585" s="669" t="n"/>
      <c r="M585" s="669" t="n"/>
      <c r="N585" s="669" t="n"/>
      <c r="O585" s="669" t="n"/>
      <c r="P585" s="669" t="n"/>
      <c r="Q585" s="669" t="n"/>
      <c r="R585" s="669" t="n"/>
      <c r="S585" s="669" t="n"/>
      <c r="T585" s="669" t="n"/>
      <c r="U585" s="669" t="n"/>
      <c r="V585" s="669" t="n"/>
      <c r="W585" s="669" t="n"/>
      <c r="X585" s="669" t="n"/>
      <c r="Y585" s="669" t="n"/>
      <c r="Z585" s="669" t="n"/>
    </row>
    <row r="586">
      <c r="A586" s="246" t="inlineStr">
        <is>
          <t xml:space="preserve">  The Walking Man</t>
        </is>
      </c>
      <c r="B586" s="1037" t="inlineStr">
        <is>
          <t>Blue</t>
        </is>
      </c>
      <c r="C586" s="1037" t="inlineStr">
        <is>
          <t>ART</t>
        </is>
      </c>
      <c r="D586" s="209" t="n"/>
      <c r="E586" s="209" t="n"/>
      <c r="F586" s="209" t="n"/>
      <c r="G586" s="209" t="n"/>
      <c r="H586" s="209" t="n"/>
      <c r="I586" s="209" t="n"/>
      <c r="J586" s="256" t="inlineStr">
        <is>
          <t>Lottery Machine #2 (?%)</t>
        </is>
      </c>
      <c r="K586" s="669" t="n"/>
      <c r="L586" s="669" t="n"/>
      <c r="M586" s="669" t="n"/>
      <c r="N586" s="669" t="n"/>
      <c r="O586" s="669" t="n"/>
      <c r="P586" s="669" t="n"/>
      <c r="Q586" s="669" t="n"/>
      <c r="R586" s="669" t="n"/>
      <c r="S586" s="669" t="n"/>
      <c r="T586" s="669" t="n"/>
      <c r="U586" s="669" t="n"/>
      <c r="V586" s="669" t="n"/>
      <c r="W586" s="669" t="n"/>
      <c r="X586" s="669" t="n"/>
      <c r="Y586" s="669" t="n"/>
      <c r="Z586" s="669" t="n"/>
    </row>
    <row r="587">
      <c r="A587" s="507" t="inlineStr">
        <is>
          <t>Resonance: Purple</t>
        </is>
      </c>
      <c r="B587" s="934" t="n"/>
      <c r="C587" s="934" t="n"/>
      <c r="D587" s="934" t="n"/>
      <c r="E587" s="934" t="n"/>
      <c r="F587" s="479" t="n">
        <v>6</v>
      </c>
      <c r="G587" s="934" t="n"/>
      <c r="H587" s="934" t="n"/>
      <c r="I587" s="934" t="n"/>
      <c r="J587" s="935" t="n"/>
      <c r="K587" s="669" t="n"/>
      <c r="L587" s="669" t="n"/>
      <c r="M587" s="669" t="n"/>
      <c r="N587" s="669" t="n"/>
      <c r="O587" s="669" t="n"/>
      <c r="P587" s="669" t="n"/>
      <c r="Q587" s="669" t="n"/>
      <c r="R587" s="669" t="n"/>
      <c r="S587" s="669" t="n"/>
      <c r="T587" s="669" t="n"/>
      <c r="U587" s="669" t="n"/>
      <c r="V587" s="669" t="n"/>
      <c r="W587" s="669" t="n"/>
      <c r="X587" s="669" t="n"/>
      <c r="Y587" s="669" t="n"/>
      <c r="Z587" s="669" t="n"/>
    </row>
    <row r="588">
      <c r="A588" s="246" t="inlineStr">
        <is>
          <t xml:space="preserve">  Chidori Incense Burner</t>
        </is>
      </c>
      <c r="B588" s="1037" t="inlineStr">
        <is>
          <t>AAA</t>
        </is>
      </c>
      <c r="C588" s="1037" t="inlineStr">
        <is>
          <t>CIV</t>
        </is>
      </c>
      <c r="D588" s="209" t="n"/>
      <c r="E588" s="209" t="n"/>
      <c r="F588" s="209" t="n"/>
      <c r="G588" s="209" t="n"/>
      <c r="H588" s="209" t="n"/>
      <c r="I588" s="209" t="n"/>
      <c r="J588" s="256" t="inlineStr">
        <is>
          <t>Lottery Machine #2 (?%)</t>
        </is>
      </c>
      <c r="K588" s="669" t="n"/>
      <c r="L588" s="669" t="n"/>
      <c r="M588" s="669" t="n"/>
      <c r="N588" s="669" t="n"/>
      <c r="O588" s="669" t="n"/>
      <c r="P588" s="669" t="n"/>
      <c r="Q588" s="669" t="n"/>
      <c r="R588" s="669" t="n"/>
      <c r="S588" s="669" t="n"/>
      <c r="T588" s="669" t="n"/>
      <c r="U588" s="669" t="n"/>
      <c r="V588" s="669" t="n"/>
      <c r="W588" s="669" t="n"/>
      <c r="X588" s="669" t="n"/>
      <c r="Y588" s="669" t="n"/>
      <c r="Z588" s="669" t="n"/>
    </row>
    <row r="589">
      <c r="A589" s="507" t="inlineStr">
        <is>
          <t xml:space="preserve">  Hurian Songs</t>
        </is>
      </c>
      <c r="B589" s="1037" t="inlineStr">
        <is>
          <t>AAA</t>
        </is>
      </c>
      <c r="C589" s="1037" t="inlineStr">
        <is>
          <t>CIV</t>
        </is>
      </c>
      <c r="D589" s="934" t="n"/>
      <c r="E589" s="934" t="n"/>
      <c r="F589" s="934" t="n"/>
      <c r="G589" s="934" t="n"/>
      <c r="H589" s="934" t="n"/>
      <c r="I589" s="934" t="n"/>
      <c r="J589" s="935" t="inlineStr">
        <is>
          <t>Lottery Machine #2 (?%)</t>
        </is>
      </c>
      <c r="K589" s="669" t="n"/>
      <c r="L589" s="669" t="n"/>
      <c r="M589" s="669" t="n"/>
      <c r="N589" s="669" t="n"/>
      <c r="O589" s="669" t="n"/>
      <c r="P589" s="669" t="n"/>
      <c r="Q589" s="669" t="n"/>
      <c r="R589" s="669" t="n"/>
      <c r="S589" s="669" t="n"/>
      <c r="T589" s="669" t="n"/>
      <c r="U589" s="669" t="n"/>
      <c r="V589" s="669" t="n"/>
      <c r="W589" s="669" t="n"/>
      <c r="X589" s="669" t="n"/>
      <c r="Y589" s="669" t="n"/>
      <c r="Z589" s="669" t="n"/>
    </row>
    <row r="590">
      <c r="A590" s="272" t="inlineStr">
        <is>
          <t>TOTAL RUSH</t>
        </is>
      </c>
      <c r="B590" s="214" t="n"/>
      <c r="C590" s="214" t="n"/>
      <c r="D590" s="214" t="n"/>
      <c r="E590" s="214" t="n"/>
      <c r="F590" s="215">
        <f>sum(F576:G589)</f>
        <v/>
      </c>
      <c r="G590" s="214" t="n"/>
      <c r="H590" s="214" t="n"/>
      <c r="I590" s="215">
        <f>sum(I576:I589)</f>
        <v/>
      </c>
      <c r="J590" s="216" t="n"/>
      <c r="K590" s="669" t="n"/>
      <c r="L590" s="669" t="n"/>
      <c r="M590" s="669" t="n"/>
      <c r="N590" s="669" t="n"/>
      <c r="O590" s="669" t="n"/>
      <c r="P590" s="669" t="n"/>
      <c r="Q590" s="669" t="n"/>
      <c r="R590" s="669" t="n"/>
      <c r="S590" s="669" t="n"/>
      <c r="T590" s="669" t="n"/>
      <c r="U590" s="669" t="n"/>
      <c r="V590" s="669" t="n"/>
      <c r="W590" s="669" t="n"/>
      <c r="X590" s="669" t="n"/>
      <c r="Y590" s="669" t="n"/>
      <c r="Z590" s="669" t="n"/>
    </row>
    <row r="591">
      <c r="A591" s="825" t="n"/>
      <c r="B591" s="1037" t="n"/>
      <c r="C591" s="1037" t="n"/>
      <c r="D591" s="1037" t="n"/>
      <c r="E591" s="1037" t="n"/>
      <c r="F591" s="1037" t="n"/>
      <c r="G591" s="1037" t="n"/>
      <c r="H591" s="1037" t="n"/>
      <c r="I591" s="1037" t="n"/>
      <c r="J591" s="386" t="n"/>
      <c r="K591" s="669" t="n"/>
      <c r="L591" s="669" t="n"/>
      <c r="M591" s="669" t="n"/>
      <c r="N591" s="669" t="n"/>
      <c r="O591" s="669" t="n"/>
      <c r="P591" s="669" t="n"/>
      <c r="Q591" s="669" t="n"/>
      <c r="R591" s="669" t="n"/>
      <c r="S591" s="669" t="n"/>
      <c r="T591" s="669" t="n"/>
      <c r="U591" s="669" t="n"/>
      <c r="V591" s="669" t="n"/>
      <c r="W591" s="669" t="n"/>
      <c r="X591" s="669" t="n"/>
      <c r="Y591" s="669" t="n"/>
      <c r="Z591" s="669" t="n"/>
    </row>
    <row r="592">
      <c r="A592" s="383" t="n"/>
      <c r="B592" s="1079" t="n"/>
      <c r="C592" s="1079" t="n"/>
      <c r="D592" s="1079" t="n"/>
      <c r="E592" s="1079" t="n"/>
      <c r="F592" s="1079" t="n"/>
      <c r="G592" s="1079" t="n"/>
      <c r="H592" s="1079" t="n"/>
      <c r="I592" s="1079" t="n"/>
      <c r="J592" s="970" t="n"/>
      <c r="K592" s="669" t="n"/>
      <c r="L592" s="669" t="n"/>
      <c r="M592" s="669" t="n"/>
      <c r="N592" s="669" t="n"/>
      <c r="O592" s="669" t="n"/>
      <c r="P592" s="669" t="n"/>
      <c r="Q592" s="669" t="n"/>
      <c r="R592" s="669" t="n"/>
      <c r="S592" s="669" t="n"/>
      <c r="T592" s="669" t="n"/>
      <c r="U592" s="669" t="n"/>
      <c r="V592" s="669" t="n"/>
      <c r="W592" s="669" t="n"/>
      <c r="X592" s="669" t="n"/>
      <c r="Y592" s="669" t="n"/>
      <c r="Z592" s="669" t="n"/>
    </row>
    <row r="593">
      <c r="A593" s="273" t="inlineStr">
        <is>
          <t>DEF</t>
        </is>
      </c>
      <c r="B593" s="274" t="inlineStr">
        <is>
          <t>Rarity</t>
        </is>
      </c>
      <c r="C593" s="274" t="inlineStr">
        <is>
          <t>Type</t>
        </is>
      </c>
      <c r="D593" s="274" t="inlineStr">
        <is>
          <t>Base</t>
        </is>
      </c>
      <c r="E593" s="274" t="inlineStr">
        <is>
          <t>Awakening Base</t>
        </is>
      </c>
      <c r="F593" s="274" t="inlineStr">
        <is>
          <t>Percentage</t>
        </is>
      </c>
      <c r="G593" s="274" t="inlineStr">
        <is>
          <t>Awakening Percentage</t>
        </is>
      </c>
      <c r="H593" s="274" t="inlineStr">
        <is>
          <t>Per Minion</t>
        </is>
      </c>
      <c r="I593" s="274" t="inlineStr">
        <is>
          <t>Per Minion Boost</t>
        </is>
      </c>
      <c r="J593" s="275" t="inlineStr">
        <is>
          <t>Source</t>
        </is>
      </c>
      <c r="K593" s="669" t="n"/>
      <c r="L593" s="669" t="n"/>
      <c r="M593" s="669" t="n"/>
      <c r="N593" s="669" t="n"/>
      <c r="O593" s="669" t="n"/>
      <c r="P593" s="669" t="n"/>
      <c r="Q593" s="669" t="n"/>
      <c r="R593" s="669" t="n"/>
      <c r="S593" s="669" t="n"/>
      <c r="T593" s="669" t="n"/>
      <c r="U593" s="669" t="n"/>
      <c r="V593" s="669" t="n"/>
      <c r="W593" s="669" t="n"/>
      <c r="X593" s="669" t="n"/>
      <c r="Y593" s="669" t="n"/>
      <c r="Z593" s="669" t="n"/>
    </row>
    <row r="594">
      <c r="A594" s="246" t="inlineStr">
        <is>
          <t>Periodic Table Scripts</t>
        </is>
      </c>
      <c r="B594" s="1037" t="inlineStr">
        <is>
          <t>SSS</t>
        </is>
      </c>
      <c r="C594" s="1037" t="inlineStr">
        <is>
          <t>TECH</t>
        </is>
      </c>
      <c r="D594" s="210" t="n">
        <v>90</v>
      </c>
      <c r="E594" s="209" t="n"/>
      <c r="F594" s="209" t="n"/>
      <c r="G594" s="209" t="n"/>
      <c r="H594" s="210" t="n">
        <v>60</v>
      </c>
      <c r="I594" s="210">
        <f>(D594+E594)/H594</f>
        <v/>
      </c>
      <c r="J594" s="386" t="inlineStr">
        <is>
          <t>Revelation Hall (Earth's Will Cabin) Reward</t>
        </is>
      </c>
      <c r="K594" s="669" t="n"/>
      <c r="L594" s="669" t="n"/>
      <c r="M594" s="669" t="n"/>
      <c r="N594" s="669" t="n"/>
      <c r="O594" s="669" t="n"/>
      <c r="P594" s="669" t="n"/>
      <c r="Q594" s="669" t="n"/>
      <c r="R594" s="669" t="n"/>
      <c r="S594" s="669" t="n"/>
      <c r="T594" s="669" t="n"/>
      <c r="U594" s="669" t="n"/>
      <c r="V594" s="669" t="n"/>
      <c r="W594" s="669" t="n"/>
      <c r="X594" s="669" t="n"/>
      <c r="Y594" s="669" t="n"/>
      <c r="Z594" s="669" t="n"/>
    </row>
    <row r="595">
      <c r="A595" s="246" t="inlineStr">
        <is>
          <t>Dragonfly-woman</t>
        </is>
      </c>
      <c r="B595" s="1037" t="inlineStr">
        <is>
          <t>AAA</t>
        </is>
      </c>
      <c r="C595" s="1037" t="inlineStr">
        <is>
          <t>ART</t>
        </is>
      </c>
      <c r="D595" s="209" t="n">
        <v>36</v>
      </c>
      <c r="E595" s="209" t="n"/>
      <c r="F595" s="268" t="n"/>
      <c r="G595" s="209" t="n"/>
      <c r="H595" s="267" t="n">
        <v>30</v>
      </c>
      <c r="I595" s="255">
        <f>(D595+E595)/H595</f>
        <v/>
      </c>
      <c r="J595" s="256" t="inlineStr">
        <is>
          <t>Lottery Machine #2 (?%)</t>
        </is>
      </c>
      <c r="K595" s="669" t="n"/>
      <c r="L595" s="669" t="n"/>
      <c r="M595" s="669" t="n"/>
      <c r="N595" s="669" t="n"/>
      <c r="O595" s="669" t="n"/>
      <c r="P595" s="669" t="n"/>
      <c r="Q595" s="669" t="n"/>
      <c r="R595" s="669" t="n"/>
      <c r="S595" s="669" t="n"/>
      <c r="T595" s="669" t="n"/>
      <c r="U595" s="669" t="n"/>
      <c r="V595" s="669" t="n"/>
      <c r="W595" s="669" t="n"/>
      <c r="X595" s="669" t="n"/>
      <c r="Y595" s="669" t="n"/>
      <c r="Z595" s="669" t="n"/>
    </row>
    <row r="596">
      <c r="A596" s="246" t="inlineStr">
        <is>
          <t>Supersoldier Serum</t>
        </is>
      </c>
      <c r="B596" s="1037" t="inlineStr">
        <is>
          <t>AAA</t>
        </is>
      </c>
      <c r="C596" s="1037" t="inlineStr">
        <is>
          <t>TECH</t>
        </is>
      </c>
      <c r="D596" s="209" t="n">
        <v>28</v>
      </c>
      <c r="E596" s="209" t="n"/>
      <c r="F596" s="268" t="n"/>
      <c r="G596" s="209" t="n"/>
      <c r="H596" s="209" t="n">
        <v>30</v>
      </c>
      <c r="I596" s="209" t="n"/>
      <c r="J596" s="256" t="inlineStr">
        <is>
          <t>Fragment Crafting (1.6%), Lottery Machine #1 (0.03%), Wishing (0.14%), Evolution Chest (1.5%), Relic Forge (80 Relic RF)</t>
        </is>
      </c>
      <c r="K596" s="669" t="n"/>
      <c r="L596" s="669" t="n"/>
      <c r="M596" s="669" t="n"/>
      <c r="N596" s="669" t="n"/>
      <c r="O596" s="669" t="n"/>
      <c r="P596" s="669" t="n"/>
      <c r="Q596" s="669" t="n"/>
      <c r="R596" s="669" t="n"/>
      <c r="S596" s="669" t="n"/>
      <c r="T596" s="669" t="n"/>
      <c r="U596" s="669" t="n"/>
      <c r="V596" s="669" t="n"/>
      <c r="W596" s="669" t="n"/>
      <c r="X596" s="669" t="n"/>
      <c r="Y596" s="669" t="n"/>
      <c r="Z596" s="669" t="n"/>
    </row>
    <row r="597">
      <c r="A597" s="507" t="inlineStr">
        <is>
          <t>Xi Ping Stele Script</t>
        </is>
      </c>
      <c r="B597" s="1037" t="inlineStr">
        <is>
          <t>SSS</t>
        </is>
      </c>
      <c r="C597" s="1037" t="inlineStr">
        <is>
          <t>CIV</t>
        </is>
      </c>
      <c r="D597" s="934" t="n"/>
      <c r="E597" s="934" t="n"/>
      <c r="F597" s="479" t="n">
        <v>12</v>
      </c>
      <c r="G597" s="934" t="n"/>
      <c r="H597" s="934" t="n"/>
      <c r="I597" s="934" t="n"/>
      <c r="J597" s="190" t="inlineStr">
        <is>
          <t>Wish Box Relic #9</t>
        </is>
      </c>
      <c r="K597" s="669" t="n"/>
      <c r="L597" s="669" t="n"/>
      <c r="M597" s="669" t="n"/>
      <c r="N597" s="669" t="n"/>
      <c r="O597" s="669" t="n"/>
      <c r="P597" s="669" t="n"/>
      <c r="Q597" s="669" t="n"/>
      <c r="R597" s="669" t="n"/>
      <c r="S597" s="669" t="n"/>
      <c r="T597" s="669" t="n"/>
      <c r="U597" s="669" t="n"/>
      <c r="V597" s="669" t="n"/>
      <c r="W597" s="669" t="n"/>
      <c r="X597" s="669" t="n"/>
      <c r="Y597" s="669" t="n"/>
      <c r="Z597" s="669" t="n"/>
    </row>
    <row r="598">
      <c r="A598" s="507" t="inlineStr">
        <is>
          <t>Ulysses</t>
        </is>
      </c>
      <c r="B598" s="1037" t="inlineStr">
        <is>
          <t>SSS</t>
        </is>
      </c>
      <c r="C598" s="1037" t="inlineStr">
        <is>
          <t>CIV</t>
        </is>
      </c>
      <c r="D598" s="934" t="n"/>
      <c r="E598" s="934" t="n"/>
      <c r="F598" s="479" t="n">
        <v>12</v>
      </c>
      <c r="G598" s="934" t="n"/>
      <c r="H598" s="934" t="n"/>
      <c r="I598" s="934" t="n"/>
      <c r="J598" s="190" t="inlineStr">
        <is>
          <t>Lottery Machine #2 (?%)</t>
        </is>
      </c>
      <c r="K598" s="669" t="n"/>
      <c r="L598" s="669" t="n"/>
      <c r="M598" s="669" t="n"/>
      <c r="N598" s="669" t="n"/>
      <c r="O598" s="669" t="n"/>
      <c r="P598" s="669" t="n"/>
      <c r="Q598" s="669" t="n"/>
      <c r="R598" s="669" t="n"/>
      <c r="S598" s="669" t="n"/>
      <c r="T598" s="669" t="n"/>
      <c r="U598" s="669" t="n"/>
      <c r="V598" s="669" t="n"/>
      <c r="W598" s="669" t="n"/>
      <c r="X598" s="669" t="n"/>
      <c r="Y598" s="669" t="n"/>
      <c r="Z598" s="669" t="n"/>
    </row>
    <row r="599">
      <c r="A599" s="246" t="inlineStr">
        <is>
          <t>Bhagavata Purana</t>
        </is>
      </c>
      <c r="B599" s="1037" t="inlineStr">
        <is>
          <t>SS</t>
        </is>
      </c>
      <c r="C599" s="1037" t="inlineStr">
        <is>
          <t>FTH</t>
        </is>
      </c>
      <c r="D599" s="209" t="n"/>
      <c r="E599" s="209" t="n"/>
      <c r="F599" s="268" t="n">
        <v>11</v>
      </c>
      <c r="G599" s="209" t="n"/>
      <c r="H599" s="209" t="n"/>
      <c r="I599" s="209" t="n"/>
      <c r="J599" s="256" t="inlineStr">
        <is>
          <t>Lottery Machine #2 (?%)</t>
        </is>
      </c>
      <c r="K599" s="669" t="n"/>
      <c r="L599" s="669" t="n"/>
      <c r="M599" s="669" t="n"/>
      <c r="N599" s="669" t="n"/>
      <c r="O599" s="669" t="n"/>
      <c r="P599" s="669" t="n"/>
      <c r="Q599" s="669" t="n"/>
      <c r="R599" s="669" t="n"/>
      <c r="S599" s="669" t="n"/>
      <c r="T599" s="669" t="n"/>
      <c r="U599" s="669" t="n"/>
      <c r="V599" s="669" t="n"/>
      <c r="W599" s="669" t="n"/>
      <c r="X599" s="669" t="n"/>
      <c r="Y599" s="669" t="n"/>
      <c r="Z599" s="669" t="n"/>
    </row>
    <row r="600">
      <c r="A600" s="507" t="inlineStr">
        <is>
          <t>Dying Lioness</t>
        </is>
      </c>
      <c r="B600" s="1037" t="inlineStr">
        <is>
          <t>S</t>
        </is>
      </c>
      <c r="C600" s="1037" t="inlineStr">
        <is>
          <t>CIV</t>
        </is>
      </c>
      <c r="D600" s="934" t="n"/>
      <c r="E600" s="934" t="n"/>
      <c r="F600" s="267" t="n">
        <v>10</v>
      </c>
      <c r="G600" s="934" t="n"/>
      <c r="H600" s="934" t="n"/>
      <c r="I600" s="934" t="n"/>
      <c r="J600" s="390" t="inlineStr">
        <is>
          <t>Lottery Machine #3 (?%)</t>
        </is>
      </c>
      <c r="K600" s="669" t="n"/>
      <c r="L600" s="669" t="n"/>
      <c r="M600" s="669" t="n"/>
      <c r="N600" s="669" t="n"/>
      <c r="O600" s="669" t="n"/>
      <c r="P600" s="669" t="n"/>
      <c r="Q600" s="669" t="n"/>
      <c r="R600" s="669" t="n"/>
      <c r="S600" s="669" t="n"/>
      <c r="T600" s="669" t="n"/>
      <c r="U600" s="669" t="n"/>
      <c r="V600" s="669" t="n"/>
      <c r="W600" s="669" t="n"/>
      <c r="X600" s="669" t="n"/>
      <c r="Y600" s="669" t="n"/>
      <c r="Z600" s="669" t="n"/>
    </row>
    <row r="601">
      <c r="A601" s="507" t="inlineStr">
        <is>
          <t>Mother and Daughter</t>
        </is>
      </c>
      <c r="B601" s="1037" t="inlineStr">
        <is>
          <t>AA</t>
        </is>
      </c>
      <c r="C601" s="1037" t="inlineStr">
        <is>
          <t>ART</t>
        </is>
      </c>
      <c r="D601" s="934" t="n"/>
      <c r="E601" s="934" t="n"/>
      <c r="F601" s="267" t="n">
        <v>8</v>
      </c>
      <c r="G601" s="934" t="n"/>
      <c r="H601" s="934" t="n"/>
      <c r="I601" s="934" t="n"/>
      <c r="J601" s="935" t="inlineStr">
        <is>
          <t>Lottery Machine #2 (?%)</t>
        </is>
      </c>
      <c r="K601" s="669" t="n"/>
      <c r="L601" s="669" t="n"/>
      <c r="M601" s="669" t="n"/>
      <c r="N601" s="669" t="n"/>
      <c r="O601" s="669" t="n"/>
      <c r="P601" s="669" t="n"/>
      <c r="Q601" s="669" t="n"/>
      <c r="R601" s="669" t="n"/>
      <c r="S601" s="669" t="n"/>
      <c r="T601" s="669" t="n"/>
      <c r="U601" s="669" t="n"/>
      <c r="V601" s="669" t="n"/>
      <c r="W601" s="669" t="n"/>
      <c r="X601" s="669" t="n"/>
      <c r="Y601" s="669" t="n"/>
      <c r="Z601" s="669" t="n"/>
    </row>
    <row r="602">
      <c r="A602" s="246" t="inlineStr">
        <is>
          <t>Herbal Anesthetic</t>
        </is>
      </c>
      <c r="B602" s="1037" t="inlineStr">
        <is>
          <t>Blue</t>
        </is>
      </c>
      <c r="C602" s="1037" t="inlineStr">
        <is>
          <t>FAME</t>
        </is>
      </c>
      <c r="D602" s="209" t="n"/>
      <c r="E602" s="209" t="n"/>
      <c r="F602" s="268" t="n">
        <v>5</v>
      </c>
      <c r="G602" s="268" t="n">
        <v>5</v>
      </c>
      <c r="H602" s="209" t="n"/>
      <c r="I602" s="209" t="n"/>
      <c r="J602" s="256" t="inlineStr">
        <is>
          <t>Lottery Machine #2 (?%)</t>
        </is>
      </c>
      <c r="K602" s="669" t="n"/>
      <c r="L602" s="669" t="n"/>
      <c r="M602" s="669" t="n"/>
      <c r="N602" s="669" t="n"/>
      <c r="O602" s="669" t="n"/>
      <c r="P602" s="669" t="n"/>
      <c r="Q602" s="669" t="n"/>
      <c r="R602" s="669" t="n"/>
      <c r="S602" s="669" t="n"/>
      <c r="T602" s="669" t="n"/>
      <c r="U602" s="669" t="n"/>
      <c r="V602" s="669" t="n"/>
      <c r="W602" s="669" t="n"/>
      <c r="X602" s="669" t="n"/>
      <c r="Y602" s="669" t="n"/>
      <c r="Z602" s="669" t="n"/>
    </row>
    <row r="603">
      <c r="A603" s="257" t="n"/>
      <c r="B603" s="209" t="n"/>
      <c r="C603" s="934" t="n"/>
      <c r="D603" s="209" t="n"/>
      <c r="E603" s="209" t="n"/>
      <c r="F603" s="209" t="n"/>
      <c r="G603" s="209" t="n"/>
      <c r="H603" s="209" t="n"/>
      <c r="I603" s="209" t="n"/>
      <c r="J603" s="256" t="n"/>
      <c r="K603" s="669" t="n"/>
      <c r="L603" s="669" t="n"/>
      <c r="M603" s="669" t="n"/>
      <c r="N603" s="669" t="n"/>
      <c r="O603" s="669" t="n"/>
      <c r="P603" s="669" t="n"/>
      <c r="Q603" s="669" t="n"/>
      <c r="R603" s="669" t="n"/>
      <c r="S603" s="669" t="n"/>
      <c r="T603" s="669" t="n"/>
      <c r="U603" s="669" t="n"/>
      <c r="V603" s="669" t="n"/>
      <c r="W603" s="669" t="n"/>
      <c r="X603" s="669" t="n"/>
      <c r="Y603" s="669" t="n"/>
      <c r="Z603" s="669" t="n"/>
    </row>
    <row r="604">
      <c r="A604" s="507" t="inlineStr">
        <is>
          <t>Resonance: Blue</t>
        </is>
      </c>
      <c r="B604" s="934" t="n"/>
      <c r="C604" s="934" t="n"/>
      <c r="D604" s="479" t="n">
        <v>5</v>
      </c>
      <c r="E604" s="934" t="n"/>
      <c r="F604" s="934" t="n"/>
      <c r="G604" s="934" t="n"/>
      <c r="H604" s="479" t="n">
        <v>10</v>
      </c>
      <c r="I604" s="479">
        <f>(D604+E604)/H604</f>
        <v/>
      </c>
      <c r="J604" s="935" t="n"/>
      <c r="K604" s="669" t="n"/>
      <c r="L604" s="669" t="n"/>
      <c r="M604" s="669" t="n"/>
      <c r="N604" s="669" t="n"/>
      <c r="O604" s="669" t="n"/>
      <c r="P604" s="669" t="n"/>
      <c r="Q604" s="669" t="n"/>
      <c r="R604" s="669" t="n"/>
      <c r="S604" s="669" t="n"/>
      <c r="T604" s="669" t="n"/>
      <c r="U604" s="669" t="n"/>
      <c r="V604" s="669" t="n"/>
      <c r="W604" s="669" t="n"/>
      <c r="X604" s="669" t="n"/>
      <c r="Y604" s="669" t="n"/>
      <c r="Z604" s="669" t="n"/>
    </row>
    <row r="605">
      <c r="A605" s="246" t="inlineStr">
        <is>
          <t xml:space="preserve">  Statue of Gudea</t>
        </is>
      </c>
      <c r="B605" s="1037" t="inlineStr">
        <is>
          <t>Blue</t>
        </is>
      </c>
      <c r="C605" s="1037" t="inlineStr">
        <is>
          <t>ART</t>
        </is>
      </c>
      <c r="D605" s="209" t="n"/>
      <c r="E605" s="209" t="n"/>
      <c r="F605" s="209" t="n"/>
      <c r="G605" s="209" t="n"/>
      <c r="H605" s="209" t="n"/>
      <c r="I605" s="209" t="n"/>
      <c r="J605" s="256" t="inlineStr">
        <is>
          <t>Lottery Machine #2 (?%)</t>
        </is>
      </c>
      <c r="K605" s="669" t="n"/>
      <c r="L605" s="669" t="n"/>
      <c r="M605" s="669" t="n"/>
      <c r="N605" s="669" t="n"/>
      <c r="O605" s="669" t="n"/>
      <c r="P605" s="669" t="n"/>
      <c r="Q605" s="669" t="n"/>
      <c r="R605" s="669" t="n"/>
      <c r="S605" s="669" t="n"/>
      <c r="T605" s="669" t="n"/>
      <c r="U605" s="669" t="n"/>
      <c r="V605" s="669" t="n"/>
      <c r="W605" s="669" t="n"/>
      <c r="X605" s="669" t="n"/>
      <c r="Y605" s="669" t="n"/>
      <c r="Z605" s="669" t="n"/>
    </row>
    <row r="606">
      <c r="A606" s="507" t="inlineStr">
        <is>
          <t xml:space="preserve">  Peacock Ceramic Plate</t>
        </is>
      </c>
      <c r="B606" s="1037" t="inlineStr">
        <is>
          <t>Blue</t>
        </is>
      </c>
      <c r="C606" s="1037" t="inlineStr">
        <is>
          <t>ART</t>
        </is>
      </c>
      <c r="D606" s="934" t="n"/>
      <c r="E606" s="934" t="n"/>
      <c r="F606" s="934" t="n"/>
      <c r="G606" s="934" t="n"/>
      <c r="H606" s="934" t="n"/>
      <c r="I606" s="934" t="n"/>
      <c r="J606" s="935" t="inlineStr">
        <is>
          <t>Lottery Machine #2 (?%)</t>
        </is>
      </c>
      <c r="K606" s="669" t="n"/>
      <c r="L606" s="669" t="n"/>
      <c r="M606" s="669" t="n"/>
      <c r="N606" s="669" t="n"/>
      <c r="O606" s="669" t="n"/>
      <c r="P606" s="669" t="n"/>
      <c r="Q606" s="669" t="n"/>
      <c r="R606" s="669" t="n"/>
      <c r="S606" s="669" t="n"/>
      <c r="T606" s="669" t="n"/>
      <c r="U606" s="669" t="n"/>
      <c r="V606" s="669" t="n"/>
      <c r="W606" s="669" t="n"/>
      <c r="X606" s="669" t="n"/>
      <c r="Y606" s="669" t="n"/>
      <c r="Z606" s="669" t="n"/>
    </row>
    <row r="607">
      <c r="A607" s="246" t="inlineStr">
        <is>
          <t>Resonance: Purple</t>
        </is>
      </c>
      <c r="B607" s="209" t="n"/>
      <c r="C607" s="209" t="n"/>
      <c r="D607" s="209" t="n"/>
      <c r="E607" s="209" t="n"/>
      <c r="F607" s="210" t="n">
        <v>6</v>
      </c>
      <c r="G607" s="209" t="n"/>
      <c r="H607" s="209" t="n"/>
      <c r="I607" s="209" t="n"/>
      <c r="J607" s="256" t="n"/>
      <c r="K607" s="669" t="n"/>
      <c r="L607" s="669" t="n"/>
      <c r="M607" s="669" t="n"/>
      <c r="N607" s="669" t="n"/>
      <c r="O607" s="669" t="n"/>
      <c r="P607" s="669" t="n"/>
      <c r="Q607" s="669" t="n"/>
      <c r="R607" s="669" t="n"/>
      <c r="S607" s="669" t="n"/>
      <c r="T607" s="669" t="n"/>
      <c r="U607" s="669" t="n"/>
      <c r="V607" s="669" t="n"/>
      <c r="W607" s="669" t="n"/>
      <c r="X607" s="669" t="n"/>
      <c r="Y607" s="669" t="n"/>
      <c r="Z607" s="669" t="n"/>
    </row>
    <row r="608">
      <c r="A608" s="246" t="inlineStr">
        <is>
          <t xml:space="preserve">  The Goodbye Kiss</t>
        </is>
      </c>
      <c r="B608" s="1037" t="inlineStr">
        <is>
          <t>AAA</t>
        </is>
      </c>
      <c r="C608" s="1037" t="inlineStr">
        <is>
          <t>ART</t>
        </is>
      </c>
      <c r="D608" s="934" t="n"/>
      <c r="E608" s="934" t="n"/>
      <c r="F608" s="934" t="n"/>
      <c r="G608" s="934" t="n"/>
      <c r="H608" s="934" t="n"/>
      <c r="I608" s="934" t="n"/>
      <c r="J608" s="935" t="inlineStr">
        <is>
          <t>Lottery Machine #2 (?%)</t>
        </is>
      </c>
      <c r="K608" s="669" t="n"/>
      <c r="L608" s="669" t="n"/>
      <c r="M608" s="669" t="n"/>
      <c r="N608" s="669" t="n"/>
      <c r="O608" s="669" t="n"/>
      <c r="P608" s="669" t="n"/>
      <c r="Q608" s="669" t="n"/>
      <c r="R608" s="669" t="n"/>
      <c r="S608" s="669" t="n"/>
      <c r="T608" s="669" t="n"/>
      <c r="U608" s="669" t="n"/>
      <c r="V608" s="669" t="n"/>
      <c r="W608" s="669" t="n"/>
      <c r="X608" s="669" t="n"/>
      <c r="Y608" s="669" t="n"/>
      <c r="Z608" s="669" t="n"/>
    </row>
    <row r="609">
      <c r="A609" s="246" t="inlineStr">
        <is>
          <t xml:space="preserve">  The Fifer</t>
        </is>
      </c>
      <c r="B609" s="1037" t="inlineStr">
        <is>
          <t>AAA</t>
        </is>
      </c>
      <c r="C609" s="1037" t="inlineStr">
        <is>
          <t>ART</t>
        </is>
      </c>
      <c r="D609" s="209" t="n"/>
      <c r="E609" s="209" t="n"/>
      <c r="F609" s="209" t="n"/>
      <c r="G609" s="209" t="n"/>
      <c r="H609" s="209" t="n"/>
      <c r="I609" s="209" t="n"/>
      <c r="J609" s="935" t="inlineStr">
        <is>
          <t>Lottery Machine #2 (?%)</t>
        </is>
      </c>
      <c r="K609" s="669" t="n"/>
      <c r="L609" s="669" t="n"/>
      <c r="M609" s="669" t="n"/>
      <c r="N609" s="669" t="n"/>
      <c r="O609" s="669" t="n"/>
      <c r="P609" s="669" t="n"/>
      <c r="Q609" s="669" t="n"/>
      <c r="R609" s="669" t="n"/>
      <c r="S609" s="669" t="n"/>
      <c r="T609" s="669" t="n"/>
      <c r="U609" s="669" t="n"/>
      <c r="V609" s="669" t="n"/>
      <c r="W609" s="669" t="n"/>
      <c r="X609" s="669" t="n"/>
      <c r="Y609" s="669" t="n"/>
      <c r="Z609" s="669" t="n"/>
    </row>
    <row r="610">
      <c r="A610" s="955" t="inlineStr">
        <is>
          <t>TOTAL DEF</t>
        </is>
      </c>
      <c r="B610" s="946" t="n"/>
      <c r="C610" s="946" t="n"/>
      <c r="D610" s="946" t="n"/>
      <c r="E610" s="946" t="n"/>
      <c r="F610" s="260">
        <f>sum(F594:G609)</f>
        <v/>
      </c>
      <c r="G610" s="946" t="n"/>
      <c r="H610" s="946" t="n"/>
      <c r="I610" s="261">
        <f>sum(I594:I609)</f>
        <v/>
      </c>
      <c r="J610" s="947" t="n"/>
      <c r="K610" s="669" t="n"/>
      <c r="L610" s="669" t="n"/>
      <c r="M610" s="669" t="n"/>
      <c r="N610" s="669" t="n"/>
      <c r="O610" s="669" t="n"/>
      <c r="P610" s="669" t="n"/>
      <c r="Q610" s="669" t="n"/>
      <c r="R610" s="669" t="n"/>
      <c r="S610" s="669" t="n"/>
      <c r="T610" s="669" t="n"/>
      <c r="U610" s="669" t="n"/>
      <c r="V610" s="669" t="n"/>
      <c r="W610" s="669" t="n"/>
      <c r="X610" s="669" t="n"/>
      <c r="Y610" s="669" t="n"/>
      <c r="Z610" s="669" t="n"/>
    </row>
    <row r="611">
      <c r="A611" s="825" t="n"/>
      <c r="B611" s="1037" t="n"/>
      <c r="C611" s="1037" t="n"/>
      <c r="D611" s="1037" t="n"/>
      <c r="E611" s="1037" t="n"/>
      <c r="F611" s="1037" t="n"/>
      <c r="G611" s="1037" t="n"/>
      <c r="H611" s="1037" t="n"/>
      <c r="I611" s="1037" t="n"/>
      <c r="J611" s="386" t="n"/>
      <c r="K611" s="669" t="n"/>
      <c r="L611" s="669" t="n"/>
      <c r="M611" s="669" t="n"/>
      <c r="N611" s="669" t="n"/>
      <c r="O611" s="669" t="n"/>
      <c r="P611" s="669" t="n"/>
      <c r="Q611" s="669" t="n"/>
      <c r="R611" s="669" t="n"/>
      <c r="S611" s="669" t="n"/>
      <c r="T611" s="669" t="n"/>
      <c r="U611" s="669" t="n"/>
      <c r="V611" s="669" t="n"/>
      <c r="W611" s="669" t="n"/>
      <c r="X611" s="669" t="n"/>
      <c r="Y611" s="669" t="n"/>
      <c r="Z611" s="669" t="n"/>
    </row>
    <row r="612">
      <c r="A612" s="383" t="n"/>
      <c r="B612" s="1079" t="n"/>
      <c r="C612" s="1079" t="n"/>
      <c r="D612" s="1079" t="n"/>
      <c r="E612" s="1079" t="n"/>
      <c r="F612" s="1079" t="n"/>
      <c r="G612" s="1079" t="n"/>
      <c r="H612" s="1079" t="n"/>
      <c r="I612" s="1079" t="n"/>
      <c r="J612" s="970" t="n"/>
      <c r="K612" s="669" t="n"/>
      <c r="L612" s="669" t="n"/>
      <c r="M612" s="669" t="n"/>
      <c r="N612" s="669" t="n"/>
      <c r="O612" s="669" t="n"/>
      <c r="P612" s="669" t="n"/>
      <c r="Q612" s="669" t="n"/>
      <c r="R612" s="669" t="n"/>
      <c r="S612" s="669" t="n"/>
      <c r="T612" s="669" t="n"/>
      <c r="U612" s="669" t="n"/>
      <c r="V612" s="669" t="n"/>
      <c r="W612" s="669" t="n"/>
      <c r="X612" s="669" t="n"/>
      <c r="Y612" s="669" t="n"/>
      <c r="Z612" s="669" t="n"/>
    </row>
    <row r="613">
      <c r="A613" s="251" t="inlineStr">
        <is>
          <t>HARD</t>
        </is>
      </c>
      <c r="B613" s="252" t="inlineStr">
        <is>
          <t>Rarity</t>
        </is>
      </c>
      <c r="C613" s="252" t="inlineStr">
        <is>
          <t>Type</t>
        </is>
      </c>
      <c r="D613" s="252" t="inlineStr">
        <is>
          <t>Base</t>
        </is>
      </c>
      <c r="E613" s="252" t="inlineStr">
        <is>
          <t>Awakening Base</t>
        </is>
      </c>
      <c r="F613" s="252" t="inlineStr">
        <is>
          <t>Percentage</t>
        </is>
      </c>
      <c r="G613" s="252" t="inlineStr">
        <is>
          <t>Awakening Percentage</t>
        </is>
      </c>
      <c r="H613" s="252" t="inlineStr">
        <is>
          <t>Per Minion</t>
        </is>
      </c>
      <c r="I613" s="252" t="inlineStr">
        <is>
          <t>Per Minion Boost</t>
        </is>
      </c>
      <c r="J613" s="253" t="inlineStr">
        <is>
          <t>Source</t>
        </is>
      </c>
      <c r="K613" s="669" t="n"/>
      <c r="L613" s="669" t="n"/>
      <c r="M613" s="669" t="n"/>
      <c r="N613" s="669" t="n"/>
      <c r="O613" s="669" t="n"/>
      <c r="P613" s="669" t="n"/>
      <c r="Q613" s="669" t="n"/>
      <c r="R613" s="669" t="n"/>
      <c r="S613" s="669" t="n"/>
      <c r="T613" s="669" t="n"/>
      <c r="U613" s="669" t="n"/>
      <c r="V613" s="669" t="n"/>
      <c r="W613" s="669" t="n"/>
      <c r="X613" s="669" t="n"/>
      <c r="Y613" s="669" t="n"/>
      <c r="Z613" s="669" t="n"/>
    </row>
    <row r="614">
      <c r="A614" s="507" t="inlineStr">
        <is>
          <t>A Tale of Two Cities</t>
        </is>
      </c>
      <c r="B614" s="425" t="inlineStr">
        <is>
          <t>AAA</t>
        </is>
      </c>
      <c r="C614" s="425" t="inlineStr">
        <is>
          <t>CIV</t>
        </is>
      </c>
      <c r="D614" s="479" t="n">
        <v>18</v>
      </c>
      <c r="E614" s="479" t="n">
        <v>14</v>
      </c>
      <c r="F614" s="930" t="n"/>
      <c r="G614" s="930" t="n"/>
      <c r="H614" s="479" t="n">
        <v>30</v>
      </c>
      <c r="I614" s="255">
        <f>(D614+E614)/H614</f>
        <v/>
      </c>
      <c r="J614" s="935" t="inlineStr">
        <is>
          <t>Lottery Machine #2 (?%)</t>
        </is>
      </c>
      <c r="K614" s="669" t="n"/>
      <c r="L614" s="669" t="n"/>
      <c r="M614" s="669" t="n"/>
      <c r="N614" s="669" t="n"/>
      <c r="O614" s="669" t="n"/>
      <c r="P614" s="669" t="n"/>
      <c r="Q614" s="669" t="n"/>
      <c r="R614" s="669" t="n"/>
      <c r="S614" s="669" t="n"/>
      <c r="T614" s="669" t="n"/>
      <c r="U614" s="669" t="n"/>
      <c r="V614" s="669" t="n"/>
      <c r="W614" s="669" t="n"/>
      <c r="X614" s="669" t="n"/>
      <c r="Y614" s="669" t="n"/>
      <c r="Z614" s="669" t="n"/>
    </row>
    <row r="615">
      <c r="A615" s="246" t="inlineStr">
        <is>
          <t>Mind Controller</t>
        </is>
      </c>
      <c r="B615" s="425" t="inlineStr">
        <is>
          <t>SS</t>
        </is>
      </c>
      <c r="C615" s="425" t="inlineStr">
        <is>
          <t>TECH</t>
        </is>
      </c>
      <c r="D615" s="210" t="n">
        <v>30</v>
      </c>
      <c r="E615" s="210" t="n">
        <v>30</v>
      </c>
      <c r="F615" s="279" t="n"/>
      <c r="G615" s="279" t="n"/>
      <c r="H615" s="210" t="n">
        <v>60</v>
      </c>
      <c r="I615" s="210">
        <f>(D615+E615)/H615</f>
        <v/>
      </c>
      <c r="J615" s="935" t="inlineStr">
        <is>
          <t>T7.5 Mutant Gene Research</t>
        </is>
      </c>
      <c r="K615" s="669" t="n"/>
      <c r="L615" s="669" t="n"/>
      <c r="M615" s="669" t="n"/>
      <c r="N615" s="669" t="n"/>
      <c r="O615" s="669" t="n"/>
      <c r="P615" s="669" t="n"/>
      <c r="Q615" s="669" t="n"/>
      <c r="R615" s="669" t="n"/>
      <c r="S615" s="669" t="n"/>
      <c r="T615" s="669" t="n"/>
      <c r="U615" s="669" t="n"/>
      <c r="V615" s="669" t="n"/>
      <c r="W615" s="669" t="n"/>
      <c r="X615" s="669" t="n"/>
      <c r="Y615" s="669" t="n"/>
      <c r="Z615" s="669" t="n"/>
    </row>
    <row r="616">
      <c r="A616" s="507" t="inlineStr">
        <is>
          <t>Periodic Table Scripts</t>
        </is>
      </c>
      <c r="B616" s="425" t="inlineStr">
        <is>
          <t>SSS</t>
        </is>
      </c>
      <c r="C616" s="425" t="inlineStr">
        <is>
          <t>TECH</t>
        </is>
      </c>
      <c r="D616" s="479" t="n">
        <v>30</v>
      </c>
      <c r="E616" s="479" t="n">
        <v>30</v>
      </c>
      <c r="F616" s="930" t="n"/>
      <c r="G616" s="930" t="n"/>
      <c r="H616" s="479" t="n">
        <v>60</v>
      </c>
      <c r="I616" s="479">
        <f>(D616+E616)/H616</f>
        <v/>
      </c>
      <c r="J616" s="386" t="inlineStr">
        <is>
          <t>Revelation Hall (Earth's Will Cabin) Reward</t>
        </is>
      </c>
      <c r="K616" s="669" t="n"/>
      <c r="L616" s="669" t="n"/>
      <c r="M616" s="669" t="n"/>
      <c r="N616" s="669" t="n"/>
      <c r="O616" s="669" t="n"/>
      <c r="P616" s="669" t="n"/>
      <c r="Q616" s="669" t="n"/>
      <c r="R616" s="669" t="n"/>
      <c r="S616" s="669" t="n"/>
      <c r="T616" s="669" t="n"/>
      <c r="U616" s="669" t="n"/>
      <c r="V616" s="669" t="n"/>
      <c r="W616" s="669" t="n"/>
      <c r="X616" s="669" t="n"/>
      <c r="Y616" s="669" t="n"/>
      <c r="Z616" s="669" t="n"/>
    </row>
    <row r="617">
      <c r="A617" s="246" t="inlineStr">
        <is>
          <t>Nestor's Cup</t>
        </is>
      </c>
      <c r="B617" s="425" t="inlineStr">
        <is>
          <t>Blue</t>
        </is>
      </c>
      <c r="C617" s="425" t="inlineStr">
        <is>
          <t>ART</t>
        </is>
      </c>
      <c r="D617" s="210" t="n">
        <v>5</v>
      </c>
      <c r="E617" s="210" t="n">
        <v>5</v>
      </c>
      <c r="F617" s="279" t="n"/>
      <c r="G617" s="279" t="n"/>
      <c r="H617" s="210" t="n">
        <v>10</v>
      </c>
      <c r="I617" s="210">
        <f>(D617+E617)/H617</f>
        <v/>
      </c>
      <c r="J617" s="935" t="inlineStr">
        <is>
          <t>Lottery Machine #2 (?%)</t>
        </is>
      </c>
      <c r="K617" s="669" t="n"/>
      <c r="L617" s="669" t="n"/>
      <c r="M617" s="669" t="n"/>
      <c r="N617" s="669" t="n"/>
      <c r="O617" s="669" t="n"/>
      <c r="P617" s="669" t="n"/>
      <c r="Q617" s="669" t="n"/>
      <c r="R617" s="669" t="n"/>
      <c r="S617" s="669" t="n"/>
      <c r="T617" s="669" t="n"/>
      <c r="U617" s="669" t="n"/>
      <c r="V617" s="669" t="n"/>
      <c r="W617" s="669" t="n"/>
      <c r="X617" s="669" t="n"/>
      <c r="Y617" s="669" t="n"/>
      <c r="Z617" s="669" t="n"/>
    </row>
    <row r="618">
      <c r="A618" s="507" t="inlineStr">
        <is>
          <t>Pinocchio</t>
        </is>
      </c>
      <c r="B618" s="425" t="inlineStr">
        <is>
          <t>Blue</t>
        </is>
      </c>
      <c r="C618" s="425" t="inlineStr">
        <is>
          <t>CIV</t>
        </is>
      </c>
      <c r="D618" s="479" t="n">
        <v>5</v>
      </c>
      <c r="E618" s="479" t="n">
        <v>3</v>
      </c>
      <c r="F618" s="930" t="n"/>
      <c r="G618" s="930" t="n"/>
      <c r="H618" s="479" t="n">
        <v>10</v>
      </c>
      <c r="I618" s="479">
        <f>(D618+E618)/H618</f>
        <v/>
      </c>
      <c r="J618" s="935" t="inlineStr">
        <is>
          <t>Lottery Machine #1 (0.03%), Wishing (1.2%)</t>
        </is>
      </c>
      <c r="K618" s="669" t="n"/>
      <c r="L618" s="669" t="n"/>
      <c r="M618" s="669" t="n"/>
      <c r="N618" s="669" t="n"/>
      <c r="O618" s="669" t="n"/>
      <c r="P618" s="669" t="n"/>
      <c r="Q618" s="669" t="n"/>
      <c r="R618" s="669" t="n"/>
      <c r="S618" s="669" t="n"/>
      <c r="T618" s="669" t="n"/>
      <c r="U618" s="669" t="n"/>
      <c r="V618" s="669" t="n"/>
      <c r="W618" s="669" t="n"/>
      <c r="X618" s="669" t="n"/>
      <c r="Y618" s="669" t="n"/>
      <c r="Z618" s="669" t="n"/>
    </row>
    <row r="619">
      <c r="A619" s="246" t="inlineStr">
        <is>
          <t>Hinderson's Letter</t>
        </is>
      </c>
      <c r="B619" s="425" t="inlineStr">
        <is>
          <t>AAA</t>
        </is>
      </c>
      <c r="C619" s="425" t="inlineStr">
        <is>
          <t>FAME</t>
        </is>
      </c>
      <c r="D619" s="279" t="n"/>
      <c r="E619" s="279" t="n"/>
      <c r="F619" s="210" t="n">
        <v>2.7</v>
      </c>
      <c r="G619" s="210" t="n">
        <v>2.1</v>
      </c>
      <c r="H619" s="479" t="n"/>
      <c r="I619" s="479" t="n"/>
      <c r="J619" s="935" t="inlineStr">
        <is>
          <t>Lottery Machine #2 (?%)</t>
        </is>
      </c>
      <c r="K619" s="669" t="n"/>
      <c r="L619" s="669" t="n"/>
      <c r="M619" s="669" t="n"/>
      <c r="N619" s="669" t="n"/>
      <c r="O619" s="669" t="n"/>
      <c r="P619" s="669" t="n"/>
      <c r="Q619" s="669" t="n"/>
      <c r="R619" s="669" t="n"/>
      <c r="S619" s="669" t="n"/>
      <c r="T619" s="669" t="n"/>
      <c r="U619" s="669" t="n"/>
      <c r="V619" s="669" t="n"/>
      <c r="W619" s="669" t="n"/>
      <c r="X619" s="669" t="n"/>
      <c r="Y619" s="669" t="n"/>
      <c r="Z619" s="669" t="n"/>
    </row>
    <row r="620">
      <c r="A620" s="932" t="n"/>
      <c r="B620" s="930" t="n"/>
      <c r="C620" s="934" t="n"/>
      <c r="D620" s="930" t="n"/>
      <c r="E620" s="930" t="n"/>
      <c r="F620" s="930" t="n"/>
      <c r="G620" s="930" t="n"/>
      <c r="H620" s="930" t="n"/>
      <c r="I620" s="930" t="n"/>
      <c r="J620" s="935" t="n"/>
      <c r="K620" s="669" t="n"/>
      <c r="L620" s="669" t="n"/>
      <c r="M620" s="669" t="n"/>
      <c r="N620" s="669" t="n"/>
      <c r="O620" s="669" t="n"/>
      <c r="P620" s="669" t="n"/>
      <c r="Q620" s="669" t="n"/>
      <c r="R620" s="669" t="n"/>
      <c r="S620" s="669" t="n"/>
      <c r="T620" s="669" t="n"/>
      <c r="U620" s="669" t="n"/>
      <c r="V620" s="669" t="n"/>
      <c r="W620" s="669" t="n"/>
      <c r="X620" s="669" t="n"/>
      <c r="Y620" s="669" t="n"/>
      <c r="Z620" s="669" t="n"/>
    </row>
    <row r="621">
      <c r="A621" s="246" t="inlineStr">
        <is>
          <t>Resonance: Orange</t>
        </is>
      </c>
      <c r="B621" s="279" t="n"/>
      <c r="C621" s="934" t="n"/>
      <c r="D621" s="210" t="n">
        <v>21</v>
      </c>
      <c r="E621" s="279" t="n"/>
      <c r="F621" s="279" t="n"/>
      <c r="G621" s="279" t="n"/>
      <c r="H621" s="210" t="n">
        <v>60</v>
      </c>
      <c r="I621" s="210">
        <f>(D621+E621)/H621</f>
        <v/>
      </c>
      <c r="J621" s="256" t="n"/>
      <c r="K621" s="669" t="n"/>
      <c r="L621" s="669" t="n"/>
      <c r="M621" s="669" t="n"/>
      <c r="N621" s="669" t="n"/>
      <c r="O621" s="669" t="n"/>
      <c r="P621" s="669" t="n"/>
      <c r="Q621" s="669" t="n"/>
      <c r="R621" s="669" t="n"/>
      <c r="S621" s="669" t="n"/>
      <c r="T621" s="669" t="n"/>
      <c r="U621" s="669" t="n"/>
      <c r="V621" s="669" t="n"/>
      <c r="W621" s="669" t="n"/>
      <c r="X621" s="669" t="n"/>
      <c r="Y621" s="669" t="n"/>
      <c r="Z621" s="669" t="n"/>
    </row>
    <row r="622">
      <c r="A622" s="507" t="inlineStr">
        <is>
          <t xml:space="preserve">  Last Self Portrait</t>
        </is>
      </c>
      <c r="B622" s="425" t="inlineStr">
        <is>
          <t>SSS</t>
        </is>
      </c>
      <c r="C622" s="425" t="inlineStr">
        <is>
          <t>ART</t>
        </is>
      </c>
      <c r="D622" s="930" t="n"/>
      <c r="E622" s="930" t="n"/>
      <c r="F622" s="930" t="n"/>
      <c r="G622" s="930" t="n"/>
      <c r="H622" s="930" t="n"/>
      <c r="I622" s="930" t="n"/>
      <c r="J622" s="935" t="inlineStr">
        <is>
          <t>Daily Pack Relic #15</t>
        </is>
      </c>
      <c r="K622" s="669" t="n"/>
      <c r="L622" s="669" t="n"/>
      <c r="M622" s="669" t="n"/>
      <c r="N622" s="669" t="n"/>
      <c r="O622" s="669" t="n"/>
      <c r="P622" s="669" t="n"/>
      <c r="Q622" s="669" t="n"/>
      <c r="R622" s="669" t="n"/>
      <c r="S622" s="669" t="n"/>
      <c r="T622" s="669" t="n"/>
      <c r="U622" s="669" t="n"/>
      <c r="V622" s="669" t="n"/>
      <c r="W622" s="669" t="n"/>
      <c r="X622" s="669" t="n"/>
      <c r="Y622" s="669" t="n"/>
      <c r="Z622" s="669" t="n"/>
    </row>
    <row r="623">
      <c r="A623" s="246" t="inlineStr">
        <is>
          <t xml:space="preserve">  Mysterious Relic</t>
        </is>
      </c>
      <c r="B623" s="425" t="inlineStr">
        <is>
          <t>SSS</t>
        </is>
      </c>
      <c r="C623" s="425" t="n"/>
      <c r="D623" s="279" t="n"/>
      <c r="E623" s="279" t="n"/>
      <c r="F623" s="279" t="n"/>
      <c r="G623" s="279" t="n"/>
      <c r="H623" s="279" t="n"/>
      <c r="I623" s="279" t="n"/>
      <c r="J623" s="256" t="inlineStr">
        <is>
          <t>Unknown</t>
        </is>
      </c>
      <c r="K623" s="669" t="n"/>
      <c r="L623" s="669" t="n"/>
      <c r="M623" s="669" t="n"/>
      <c r="N623" s="669" t="n"/>
      <c r="O623" s="669" t="n"/>
      <c r="P623" s="669" t="n"/>
      <c r="Q623" s="669" t="n"/>
      <c r="R623" s="669" t="n"/>
      <c r="S623" s="669" t="n"/>
      <c r="T623" s="669" t="n"/>
      <c r="U623" s="669" t="n"/>
      <c r="V623" s="669" t="n"/>
      <c r="W623" s="669" t="n"/>
      <c r="X623" s="669" t="n"/>
      <c r="Y623" s="669" t="n"/>
      <c r="Z623" s="669" t="n"/>
    </row>
    <row r="624">
      <c r="A624" s="955" t="inlineStr">
        <is>
          <t>TOTAL HARD</t>
        </is>
      </c>
      <c r="B624" s="956" t="n"/>
      <c r="C624" s="956" t="n"/>
      <c r="D624" s="956" t="n"/>
      <c r="E624" s="956" t="n"/>
      <c r="F624" s="260">
        <f>sum(F614:G623)</f>
        <v/>
      </c>
      <c r="G624" s="956" t="n"/>
      <c r="H624" s="956" t="n"/>
      <c r="I624" s="261">
        <f>sum(I614:I623)</f>
        <v/>
      </c>
      <c r="J624" s="947" t="n"/>
      <c r="K624" s="669" t="n"/>
      <c r="L624" s="669" t="n"/>
      <c r="M624" s="669" t="n"/>
      <c r="N624" s="669" t="n"/>
      <c r="O624" s="669" t="n"/>
      <c r="P624" s="669" t="n"/>
      <c r="Q624" s="669" t="n"/>
      <c r="R624" s="669" t="n"/>
      <c r="S624" s="669" t="n"/>
      <c r="T624" s="669" t="n"/>
      <c r="U624" s="669" t="n"/>
      <c r="V624" s="669" t="n"/>
      <c r="W624" s="669" t="n"/>
      <c r="X624" s="669" t="n"/>
      <c r="Y624" s="669" t="n"/>
      <c r="Z624" s="669" t="n"/>
    </row>
    <row r="625">
      <c r="A625" s="669" t="n"/>
      <c r="B625" s="669" t="n"/>
      <c r="C625" s="669" t="n"/>
      <c r="D625" s="669" t="n"/>
      <c r="E625" s="669" t="n"/>
      <c r="F625" s="669" t="n"/>
      <c r="G625" s="669" t="n"/>
      <c r="H625" s="669" t="n"/>
      <c r="I625" s="669" t="n"/>
      <c r="J625" s="669" t="n"/>
      <c r="K625" s="669" t="n"/>
      <c r="L625" s="669" t="n"/>
      <c r="M625" s="669" t="n"/>
      <c r="N625" s="669" t="n"/>
      <c r="O625" s="669" t="n"/>
      <c r="P625" s="669" t="n"/>
      <c r="Q625" s="669" t="n"/>
      <c r="R625" s="669" t="n"/>
      <c r="S625" s="669" t="n"/>
      <c r="T625" s="669" t="n"/>
      <c r="U625" s="669" t="n"/>
      <c r="V625" s="669" t="n"/>
      <c r="W625" s="669" t="n"/>
      <c r="X625" s="669" t="n"/>
      <c r="Y625" s="669" t="n"/>
      <c r="Z625" s="669" t="n"/>
    </row>
    <row r="626">
      <c r="A626" s="669" t="n"/>
      <c r="B626" s="669" t="n"/>
      <c r="C626" s="669" t="n"/>
      <c r="D626" s="669" t="n"/>
      <c r="E626" s="669" t="n"/>
      <c r="F626" s="669" t="n"/>
      <c r="G626" s="669" t="n"/>
      <c r="H626" s="669" t="n"/>
      <c r="I626" s="669" t="n"/>
      <c r="J626" s="669" t="n"/>
      <c r="K626" s="669" t="n"/>
      <c r="L626" s="669" t="n"/>
      <c r="M626" s="669" t="n"/>
      <c r="N626" s="669" t="n"/>
      <c r="O626" s="669" t="n"/>
      <c r="P626" s="669" t="n"/>
      <c r="Q626" s="669" t="n"/>
      <c r="R626" s="669" t="n"/>
      <c r="S626" s="669" t="n"/>
      <c r="T626" s="669" t="n"/>
      <c r="U626" s="669" t="n"/>
      <c r="V626" s="669" t="n"/>
      <c r="W626" s="669" t="n"/>
      <c r="X626" s="669" t="n"/>
      <c r="Y626" s="669" t="n"/>
      <c r="Z626" s="669" t="n"/>
    </row>
    <row r="627">
      <c r="A627" s="669" t="n"/>
      <c r="B627" s="669" t="n"/>
      <c r="C627" s="669" t="n"/>
      <c r="D627" s="669" t="n"/>
      <c r="E627" s="669" t="n"/>
      <c r="F627" s="669" t="n"/>
      <c r="G627" s="669" t="n"/>
      <c r="H627" s="669" t="n"/>
      <c r="I627" s="669" t="n"/>
      <c r="J627" s="669" t="n"/>
      <c r="K627" s="669" t="n"/>
      <c r="L627" s="669" t="n"/>
      <c r="M627" s="669" t="n"/>
      <c r="N627" s="669" t="n"/>
      <c r="O627" s="669" t="n"/>
      <c r="P627" s="669" t="n"/>
      <c r="Q627" s="669" t="n"/>
      <c r="R627" s="669" t="n"/>
      <c r="S627" s="669" t="n"/>
      <c r="T627" s="669" t="n"/>
      <c r="U627" s="669" t="n"/>
      <c r="V627" s="669" t="n"/>
      <c r="W627" s="669" t="n"/>
      <c r="X627" s="669" t="n"/>
      <c r="Y627" s="669" t="n"/>
      <c r="Z627" s="669" t="n"/>
    </row>
    <row r="628">
      <c r="A628" s="669" t="n"/>
      <c r="B628" s="669" t="n"/>
      <c r="C628" s="669" t="n"/>
      <c r="D628" s="669" t="n"/>
      <c r="E628" s="669" t="n"/>
      <c r="F628" s="669" t="n"/>
      <c r="G628" s="669" t="n"/>
      <c r="H628" s="669" t="n"/>
      <c r="I628" s="669" t="n"/>
      <c r="J628" s="669" t="n"/>
      <c r="K628" s="669" t="n"/>
      <c r="L628" s="669" t="n"/>
      <c r="M628" s="669" t="n"/>
      <c r="N628" s="669" t="n"/>
      <c r="O628" s="669" t="n"/>
      <c r="P628" s="669" t="n"/>
      <c r="Q628" s="669" t="n"/>
      <c r="R628" s="669" t="n"/>
      <c r="S628" s="669" t="n"/>
      <c r="T628" s="669" t="n"/>
      <c r="U628" s="669" t="n"/>
      <c r="V628" s="669" t="n"/>
      <c r="W628" s="669" t="n"/>
      <c r="X628" s="669" t="n"/>
      <c r="Y628" s="669" t="n"/>
      <c r="Z628" s="669" t="n"/>
    </row>
    <row r="629">
      <c r="A629" s="1075" t="inlineStr">
        <is>
          <t>MECHA</t>
        </is>
      </c>
      <c r="B629" s="373" t="n"/>
      <c r="C629" s="373" t="n"/>
      <c r="D629" s="373" t="n"/>
      <c r="E629" s="373" t="n"/>
      <c r="F629" s="373" t="n"/>
      <c r="G629" s="373" t="n"/>
      <c r="H629" s="373" t="n"/>
      <c r="I629" s="373" t="n"/>
      <c r="J629" s="391" t="n"/>
      <c r="K629" s="669" t="n"/>
      <c r="L629" s="669" t="n"/>
      <c r="M629" s="669" t="n"/>
      <c r="N629" s="669" t="n"/>
      <c r="O629" s="669" t="n"/>
      <c r="P629" s="669" t="n"/>
      <c r="Q629" s="669" t="n"/>
      <c r="R629" s="669" t="n"/>
      <c r="S629" s="669" t="n"/>
      <c r="T629" s="669" t="n"/>
      <c r="U629" s="669" t="n"/>
      <c r="V629" s="669" t="n"/>
      <c r="W629" s="669" t="n"/>
      <c r="X629" s="669" t="n"/>
      <c r="Y629" s="669" t="n"/>
      <c r="Z629" s="669" t="n"/>
    </row>
    <row r="630">
      <c r="A630" s="251" t="inlineStr">
        <is>
          <t>HP</t>
        </is>
      </c>
      <c r="B630" s="252" t="inlineStr">
        <is>
          <t>Rarity</t>
        </is>
      </c>
      <c r="C630" s="252" t="inlineStr">
        <is>
          <t>Type</t>
        </is>
      </c>
      <c r="D630" s="252" t="inlineStr">
        <is>
          <t>Base</t>
        </is>
      </c>
      <c r="E630" s="252" t="inlineStr">
        <is>
          <t>Awakening Base</t>
        </is>
      </c>
      <c r="F630" s="252" t="inlineStr">
        <is>
          <t>Percentage</t>
        </is>
      </c>
      <c r="G630" s="252" t="inlineStr">
        <is>
          <t>Awakening Percentage</t>
        </is>
      </c>
      <c r="H630" s="252" t="inlineStr">
        <is>
          <t>Per Minion</t>
        </is>
      </c>
      <c r="I630" s="252" t="inlineStr">
        <is>
          <t>Per Minion Boost</t>
        </is>
      </c>
      <c r="J630" s="253" t="inlineStr">
        <is>
          <t>Source</t>
        </is>
      </c>
      <c r="K630" s="669" t="n"/>
      <c r="L630" s="669" t="n"/>
      <c r="M630" s="669" t="n"/>
      <c r="N630" s="669" t="n"/>
      <c r="O630" s="669" t="n"/>
      <c r="P630" s="669" t="n"/>
      <c r="Q630" s="669" t="n"/>
      <c r="R630" s="669" t="n"/>
      <c r="S630" s="669" t="n"/>
      <c r="T630" s="669" t="n"/>
      <c r="U630" s="669" t="n"/>
      <c r="V630" s="669" t="n"/>
      <c r="W630" s="669" t="n"/>
      <c r="X630" s="669" t="n"/>
      <c r="Y630" s="669" t="n"/>
      <c r="Z630" s="669" t="n"/>
    </row>
    <row r="631">
      <c r="A631" s="246" t="inlineStr">
        <is>
          <t>Otis Elevator</t>
        </is>
      </c>
      <c r="B631" s="1037" t="inlineStr">
        <is>
          <t>AA</t>
        </is>
      </c>
      <c r="C631" s="1037" t="inlineStr">
        <is>
          <t>FAME</t>
        </is>
      </c>
      <c r="D631" s="210" t="n">
        <v>320</v>
      </c>
      <c r="E631" s="210" t="n">
        <v>280</v>
      </c>
      <c r="F631" s="209" t="n"/>
      <c r="G631" s="209" t="n"/>
      <c r="H631" s="210" t="n">
        <v>30</v>
      </c>
      <c r="I631" s="200">
        <f>(D631+E631)/H631</f>
        <v/>
      </c>
      <c r="J631" s="256" t="inlineStr">
        <is>
          <t>Lottery Machine #2 (?%)</t>
        </is>
      </c>
      <c r="K631" s="669" t="n"/>
      <c r="L631" s="669" t="n"/>
      <c r="M631" s="669" t="n"/>
      <c r="N631" s="669" t="n"/>
      <c r="O631" s="669" t="n"/>
      <c r="P631" s="669" t="n"/>
      <c r="Q631" s="669" t="n"/>
      <c r="R631" s="669" t="n"/>
      <c r="S631" s="669" t="n"/>
      <c r="T631" s="669" t="n"/>
      <c r="U631" s="669" t="n"/>
      <c r="V631" s="669" t="n"/>
      <c r="W631" s="669" t="n"/>
      <c r="X631" s="669" t="n"/>
      <c r="Y631" s="669" t="n"/>
      <c r="Z631" s="669" t="n"/>
    </row>
    <row r="632">
      <c r="A632" s="507" t="inlineStr">
        <is>
          <t>BetaGo</t>
        </is>
      </c>
      <c r="B632" s="1037" t="inlineStr">
        <is>
          <t>AAA</t>
        </is>
      </c>
      <c r="C632" s="1037" t="inlineStr">
        <is>
          <t>TECH</t>
        </is>
      </c>
      <c r="D632" s="479" t="n">
        <v>280</v>
      </c>
      <c r="E632" s="479" t="n">
        <v>280</v>
      </c>
      <c r="F632" s="934" t="n"/>
      <c r="G632" s="934" t="n"/>
      <c r="H632" s="479" t="n">
        <v>30</v>
      </c>
      <c r="I632" s="255">
        <f>(D632+E632)/H632</f>
        <v/>
      </c>
      <c r="J632" s="935" t="inlineStr">
        <is>
          <t>Fragment Crafting (1.6%), Lottery Machine #1 (0.03%), Wishing (0.14%), Evolution Chest (1.5%), Relic Forge (80 Relic RF)</t>
        </is>
      </c>
      <c r="K632" s="669" t="n"/>
      <c r="L632" s="669" t="n"/>
      <c r="M632" s="669" t="n"/>
      <c r="N632" s="669" t="n"/>
      <c r="O632" s="669" t="n"/>
      <c r="P632" s="669" t="n"/>
      <c r="Q632" s="669" t="n"/>
      <c r="R632" s="669" t="n"/>
      <c r="S632" s="669" t="n"/>
      <c r="T632" s="669" t="n"/>
      <c r="U632" s="669" t="n"/>
      <c r="V632" s="669" t="n"/>
      <c r="W632" s="669" t="n"/>
      <c r="X632" s="669" t="n"/>
      <c r="Y632" s="669" t="n"/>
      <c r="Z632" s="669" t="n"/>
    </row>
    <row r="633">
      <c r="A633" s="507" t="inlineStr">
        <is>
          <t>Aegis System</t>
        </is>
      </c>
      <c r="B633" s="1037" t="inlineStr">
        <is>
          <t>SSS</t>
        </is>
      </c>
      <c r="C633" s="1037" t="inlineStr">
        <is>
          <t>TECH</t>
        </is>
      </c>
      <c r="D633" s="210" t="n">
        <v>900</v>
      </c>
      <c r="E633" s="209" t="n"/>
      <c r="F633" s="209" t="n"/>
      <c r="G633" s="209" t="n"/>
      <c r="H633" s="210" t="n">
        <v>60</v>
      </c>
      <c r="I633" s="210">
        <f>(D633+E633)/H633</f>
        <v/>
      </c>
      <c r="J633" s="418" t="inlineStr">
        <is>
          <t>Steel Hall (Rebel Cabin) Reward</t>
        </is>
      </c>
      <c r="K633" s="669" t="n"/>
      <c r="L633" s="669" t="n"/>
      <c r="M633" s="669" t="n"/>
      <c r="N633" s="669" t="n"/>
      <c r="O633" s="669" t="n"/>
      <c r="P633" s="669" t="n"/>
      <c r="Q633" s="669" t="n"/>
      <c r="R633" s="669" t="n"/>
      <c r="S633" s="669" t="n"/>
      <c r="T633" s="669" t="n"/>
      <c r="U633" s="669" t="n"/>
      <c r="V633" s="669" t="n"/>
      <c r="W633" s="669" t="n"/>
      <c r="X633" s="669" t="n"/>
      <c r="Y633" s="669" t="n"/>
      <c r="Z633" s="669" t="n"/>
    </row>
    <row r="634">
      <c r="A634" s="507" t="inlineStr">
        <is>
          <t>Diffraction Device</t>
        </is>
      </c>
      <c r="B634" s="1037" t="inlineStr">
        <is>
          <t>S</t>
        </is>
      </c>
      <c r="C634" s="1037" t="inlineStr">
        <is>
          <t>TECH</t>
        </is>
      </c>
      <c r="D634" s="479" t="n">
        <v>900</v>
      </c>
      <c r="E634" s="934" t="n"/>
      <c r="F634" s="934" t="n"/>
      <c r="G634" s="934" t="n"/>
      <c r="H634" s="479" t="n">
        <v>60</v>
      </c>
      <c r="I634" s="255">
        <f>(D634+E634)/H634</f>
        <v/>
      </c>
      <c r="J634" s="256" t="inlineStr">
        <is>
          <t>Lottery Machine #2 (?%)</t>
        </is>
      </c>
      <c r="K634" s="669" t="n"/>
      <c r="L634" s="669" t="n"/>
      <c r="M634" s="669" t="n"/>
      <c r="N634" s="669" t="n"/>
      <c r="O634" s="669" t="n"/>
      <c r="P634" s="669" t="n"/>
      <c r="Q634" s="669" t="n"/>
      <c r="R634" s="669" t="n"/>
      <c r="S634" s="669" t="n"/>
      <c r="T634" s="669" t="n"/>
      <c r="U634" s="669" t="n"/>
      <c r="V634" s="669" t="n"/>
      <c r="W634" s="669" t="n"/>
      <c r="X634" s="669" t="n"/>
      <c r="Y634" s="669" t="n"/>
      <c r="Z634" s="669" t="n"/>
    </row>
    <row r="635">
      <c r="A635" s="246" t="inlineStr">
        <is>
          <t>Wilson Cloud Chamber</t>
        </is>
      </c>
      <c r="B635" s="1037" t="inlineStr">
        <is>
          <t>AAA</t>
        </is>
      </c>
      <c r="C635" s="1037" t="inlineStr">
        <is>
          <t>TECH</t>
        </is>
      </c>
      <c r="D635" s="210" t="n">
        <v>360</v>
      </c>
      <c r="E635" s="210" t="n"/>
      <c r="F635" s="209" t="n"/>
      <c r="G635" s="209" t="n"/>
      <c r="H635" s="479" t="n">
        <v>30</v>
      </c>
      <c r="I635" s="255">
        <f>(D635+E635)/H635</f>
        <v/>
      </c>
      <c r="J635" s="281" t="inlineStr">
        <is>
          <t>Lottery Box Relic #7</t>
        </is>
      </c>
      <c r="K635" s="669" t="n"/>
      <c r="L635" s="669" t="n"/>
      <c r="M635" s="669" t="n"/>
      <c r="N635" s="669" t="n"/>
      <c r="O635" s="669" t="n"/>
      <c r="P635" s="669" t="n"/>
      <c r="Q635" s="669" t="n"/>
      <c r="R635" s="669" t="n"/>
      <c r="S635" s="669" t="n"/>
      <c r="T635" s="669" t="n"/>
      <c r="U635" s="669" t="n"/>
      <c r="V635" s="669" t="n"/>
      <c r="W635" s="669" t="n"/>
      <c r="X635" s="669" t="n"/>
      <c r="Y635" s="669" t="n"/>
      <c r="Z635" s="669" t="n"/>
    </row>
    <row r="636">
      <c r="A636" s="246" t="inlineStr">
        <is>
          <t>Swan Neck Flask</t>
        </is>
      </c>
      <c r="B636" s="1037" t="inlineStr">
        <is>
          <t>Blue</t>
        </is>
      </c>
      <c r="C636" s="1037" t="inlineStr">
        <is>
          <t>ART</t>
        </is>
      </c>
      <c r="D636" s="210" t="n">
        <v>50</v>
      </c>
      <c r="E636" s="210" t="n">
        <v>50</v>
      </c>
      <c r="F636" s="209" t="n"/>
      <c r="G636" s="209" t="n"/>
      <c r="H636" s="210" t="n">
        <v>10</v>
      </c>
      <c r="I636" s="210">
        <f>(D636+E636)/H636</f>
        <v/>
      </c>
      <c r="J636" s="256" t="inlineStr">
        <is>
          <t>Lottery Machine #2 (?%)</t>
        </is>
      </c>
      <c r="K636" s="669" t="n"/>
      <c r="L636" s="669" t="n"/>
      <c r="M636" s="669" t="n"/>
      <c r="N636" s="669" t="n"/>
      <c r="O636" s="669" t="n"/>
      <c r="P636" s="669" t="n"/>
      <c r="Q636" s="669" t="n"/>
      <c r="R636" s="669" t="n"/>
      <c r="S636" s="669" t="n"/>
      <c r="T636" s="669" t="n"/>
      <c r="U636" s="669" t="n"/>
      <c r="V636" s="669" t="n"/>
      <c r="W636" s="669" t="n"/>
      <c r="X636" s="669" t="n"/>
      <c r="Y636" s="669" t="n"/>
      <c r="Z636" s="669" t="n"/>
    </row>
    <row r="637">
      <c r="A637" s="507" t="inlineStr">
        <is>
          <t>Top Idea Award</t>
        </is>
      </c>
      <c r="B637" s="1037" t="inlineStr">
        <is>
          <t>SSS</t>
        </is>
      </c>
      <c r="C637" s="1037" t="inlineStr">
        <is>
          <t>TECH</t>
        </is>
      </c>
      <c r="D637" s="934" t="n"/>
      <c r="E637" s="934" t="n"/>
      <c r="F637" s="479" t="n">
        <v>12</v>
      </c>
      <c r="G637" s="934" t="n"/>
      <c r="H637" s="934" t="n"/>
      <c r="I637" s="934" t="n"/>
      <c r="J637" s="935" t="inlineStr">
        <is>
          <t>Decoration Bonus Relic #4</t>
        </is>
      </c>
      <c r="K637" s="669" t="n"/>
      <c r="L637" s="669" t="n"/>
      <c r="M637" s="669" t="n"/>
      <c r="N637" s="669" t="n"/>
      <c r="O637" s="669" t="n"/>
      <c r="P637" s="669" t="n"/>
      <c r="Q637" s="669" t="n"/>
      <c r="R637" s="669" t="n"/>
      <c r="S637" s="669" t="n"/>
      <c r="T637" s="669" t="n"/>
      <c r="U637" s="669" t="n"/>
      <c r="V637" s="669" t="n"/>
      <c r="W637" s="669" t="n"/>
      <c r="X637" s="669" t="n"/>
      <c r="Y637" s="669" t="n"/>
      <c r="Z637" s="669" t="n"/>
    </row>
    <row r="638">
      <c r="A638" s="507" t="inlineStr">
        <is>
          <t>AMS</t>
        </is>
      </c>
      <c r="B638" s="1037" t="inlineStr">
        <is>
          <t>SS</t>
        </is>
      </c>
      <c r="C638" s="1037" t="inlineStr">
        <is>
          <t>TECH</t>
        </is>
      </c>
      <c r="D638" s="934" t="n"/>
      <c r="E638" s="934" t="n"/>
      <c r="F638" s="479" t="n">
        <v>11</v>
      </c>
      <c r="G638" s="934" t="n"/>
      <c r="H638" s="934" t="n"/>
      <c r="I638" s="934" t="n"/>
      <c r="J638" s="935" t="inlineStr">
        <is>
          <t>Lottery Machine #2 (?%)</t>
        </is>
      </c>
      <c r="K638" s="669" t="n"/>
      <c r="L638" s="669" t="n"/>
      <c r="M638" s="669" t="n"/>
      <c r="N638" s="669" t="n"/>
      <c r="O638" s="669" t="n"/>
      <c r="P638" s="669" t="n"/>
      <c r="Q638" s="669" t="n"/>
      <c r="R638" s="669" t="n"/>
      <c r="S638" s="669" t="n"/>
      <c r="T638" s="669" t="n"/>
      <c r="U638" s="669" t="n"/>
      <c r="V638" s="669" t="n"/>
      <c r="W638" s="669" t="n"/>
      <c r="X638" s="669" t="n"/>
      <c r="Y638" s="669" t="n"/>
      <c r="Z638" s="669" t="n"/>
    </row>
    <row r="639">
      <c r="A639" s="246" t="inlineStr">
        <is>
          <t>Pioneer 11</t>
        </is>
      </c>
      <c r="B639" s="1037" t="inlineStr">
        <is>
          <t>S</t>
        </is>
      </c>
      <c r="C639" s="1037" t="inlineStr">
        <is>
          <t>TECH</t>
        </is>
      </c>
      <c r="D639" s="209" t="n"/>
      <c r="E639" s="209" t="n"/>
      <c r="F639" s="210" t="n">
        <v>10</v>
      </c>
      <c r="G639" s="209" t="n"/>
      <c r="H639" s="209" t="n"/>
      <c r="I639" s="209" t="n"/>
      <c r="J639" s="390" t="inlineStr">
        <is>
          <t>Lottery Machine #3 (?%)</t>
        </is>
      </c>
      <c r="K639" s="669" t="n"/>
      <c r="L639" s="669" t="n"/>
      <c r="M639" s="669" t="n"/>
      <c r="N639" s="669" t="n"/>
      <c r="O639" s="669" t="n"/>
      <c r="P639" s="669" t="n"/>
      <c r="Q639" s="669" t="n"/>
      <c r="R639" s="669" t="n"/>
      <c r="S639" s="669" t="n"/>
      <c r="T639" s="669" t="n"/>
      <c r="U639" s="669" t="n"/>
      <c r="V639" s="669" t="n"/>
      <c r="W639" s="669" t="n"/>
      <c r="X639" s="669" t="n"/>
      <c r="Y639" s="669" t="n"/>
      <c r="Z639" s="669" t="n"/>
    </row>
    <row r="640">
      <c r="A640" s="246" t="inlineStr">
        <is>
          <t>Fleming's Diode</t>
        </is>
      </c>
      <c r="B640" s="1037" t="inlineStr">
        <is>
          <t>AAA</t>
        </is>
      </c>
      <c r="C640" s="1037" t="inlineStr">
        <is>
          <t>TECH</t>
        </is>
      </c>
      <c r="D640" s="209" t="n"/>
      <c r="E640" s="209" t="n"/>
      <c r="F640" s="210" t="n">
        <v>9</v>
      </c>
      <c r="G640" s="209" t="n"/>
      <c r="H640" s="209" t="n"/>
      <c r="I640" s="209" t="n"/>
      <c r="J640" s="256" t="inlineStr">
        <is>
          <t>Lottery Machine #2 (?%)</t>
        </is>
      </c>
      <c r="K640" s="669" t="n"/>
      <c r="L640" s="669" t="n"/>
      <c r="M640" s="669" t="n"/>
      <c r="N640" s="669" t="n"/>
      <c r="O640" s="669" t="n"/>
      <c r="P640" s="669" t="n"/>
      <c r="Q640" s="669" t="n"/>
      <c r="R640" s="669" t="n"/>
      <c r="S640" s="669" t="n"/>
      <c r="T640" s="669" t="n"/>
      <c r="U640" s="669" t="n"/>
      <c r="V640" s="669" t="n"/>
      <c r="W640" s="669" t="n"/>
      <c r="X640" s="669" t="n"/>
      <c r="Y640" s="669" t="n"/>
      <c r="Z640" s="669" t="n"/>
    </row>
    <row r="641">
      <c r="A641" s="507" t="inlineStr">
        <is>
          <t>Diesel Engine</t>
        </is>
      </c>
      <c r="B641" s="1037" t="inlineStr">
        <is>
          <t>Blue</t>
        </is>
      </c>
      <c r="C641" s="1037" t="inlineStr">
        <is>
          <t>FAME</t>
        </is>
      </c>
      <c r="D641" s="934" t="n"/>
      <c r="E641" s="934" t="n"/>
      <c r="F641" s="479" t="n">
        <v>5</v>
      </c>
      <c r="G641" s="479" t="n">
        <v>5</v>
      </c>
      <c r="H641" s="934" t="n"/>
      <c r="I641" s="934" t="n"/>
      <c r="J641" s="935" t="inlineStr">
        <is>
          <t>Lottery Machine #2 (?%)</t>
        </is>
      </c>
      <c r="K641" s="669" t="n"/>
      <c r="L641" s="669" t="n"/>
      <c r="M641" s="669" t="n"/>
      <c r="N641" s="669" t="n"/>
      <c r="O641" s="669" t="n"/>
      <c r="P641" s="669" t="n"/>
      <c r="Q641" s="669" t="n"/>
      <c r="R641" s="669" t="n"/>
      <c r="S641" s="669" t="n"/>
      <c r="T641" s="669" t="n"/>
      <c r="U641" s="669" t="n"/>
      <c r="V641" s="669" t="n"/>
      <c r="W641" s="669" t="n"/>
      <c r="X641" s="669" t="n"/>
      <c r="Y641" s="669" t="n"/>
      <c r="Z641" s="669" t="n"/>
    </row>
    <row r="642">
      <c r="A642" s="257" t="n"/>
      <c r="B642" s="209" t="n"/>
      <c r="C642" s="934" t="n"/>
      <c r="D642" s="209" t="n"/>
      <c r="E642" s="209" t="n"/>
      <c r="F642" s="209" t="n"/>
      <c r="G642" s="209" t="n"/>
      <c r="H642" s="209" t="n"/>
      <c r="I642" s="209" t="n"/>
      <c r="J642" s="256" t="n"/>
      <c r="K642" s="669" t="n"/>
      <c r="L642" s="669" t="n"/>
      <c r="M642" s="669" t="n"/>
      <c r="N642" s="669" t="n"/>
      <c r="O642" s="669" t="n"/>
      <c r="P642" s="669" t="n"/>
      <c r="Q642" s="669" t="n"/>
      <c r="R642" s="669" t="n"/>
      <c r="S642" s="669" t="n"/>
      <c r="T642" s="669" t="n"/>
      <c r="U642" s="669" t="n"/>
      <c r="V642" s="669" t="n"/>
      <c r="W642" s="669" t="n"/>
      <c r="X642" s="669" t="n"/>
      <c r="Y642" s="669" t="n"/>
      <c r="Z642" s="669" t="n"/>
    </row>
    <row r="643">
      <c r="A643" s="507" t="inlineStr">
        <is>
          <t>Resonance: Blue</t>
        </is>
      </c>
      <c r="B643" s="934" t="n"/>
      <c r="C643" s="934" t="n"/>
      <c r="D643" s="479" t="n">
        <v>50</v>
      </c>
      <c r="E643" s="934" t="n"/>
      <c r="F643" s="934" t="n"/>
      <c r="G643" s="934" t="n"/>
      <c r="H643" s="479" t="n">
        <v>10</v>
      </c>
      <c r="I643" s="479">
        <f>(D643+E643)/H643</f>
        <v/>
      </c>
      <c r="J643" s="935" t="n"/>
      <c r="K643" s="669" t="n"/>
      <c r="L643" s="669" t="n"/>
      <c r="M643" s="669" t="n"/>
      <c r="N643" s="669" t="n"/>
      <c r="O643" s="669" t="n"/>
      <c r="P643" s="669" t="n"/>
      <c r="Q643" s="669" t="n"/>
      <c r="R643" s="669" t="n"/>
      <c r="S643" s="669" t="n"/>
      <c r="T643" s="669" t="n"/>
      <c r="U643" s="669" t="n"/>
      <c r="V643" s="669" t="n"/>
      <c r="W643" s="669" t="n"/>
      <c r="X643" s="669" t="n"/>
      <c r="Y643" s="669" t="n"/>
      <c r="Z643" s="669" t="n"/>
    </row>
    <row r="644">
      <c r="A644" s="246" t="inlineStr">
        <is>
          <t xml:space="preserve">  Swan Neck Flask</t>
        </is>
      </c>
      <c r="B644" s="1037" t="inlineStr">
        <is>
          <t>Blue</t>
        </is>
      </c>
      <c r="C644" s="1037" t="inlineStr">
        <is>
          <t>TECH</t>
        </is>
      </c>
      <c r="D644" s="209" t="n"/>
      <c r="E644" s="209" t="n"/>
      <c r="F644" s="209" t="n"/>
      <c r="G644" s="209" t="n"/>
      <c r="H644" s="209" t="n"/>
      <c r="I644" s="209" t="n"/>
      <c r="J644" s="256" t="inlineStr">
        <is>
          <t>Lottery Machine #2 (?%)</t>
        </is>
      </c>
      <c r="K644" s="669" t="n"/>
      <c r="L644" s="669" t="n"/>
      <c r="M644" s="669" t="n"/>
      <c r="N644" s="669" t="n"/>
      <c r="O644" s="669" t="n"/>
      <c r="P644" s="669" t="n"/>
      <c r="Q644" s="669" t="n"/>
      <c r="R644" s="669" t="n"/>
      <c r="S644" s="669" t="n"/>
      <c r="T644" s="669" t="n"/>
      <c r="U644" s="669" t="n"/>
      <c r="V644" s="669" t="n"/>
      <c r="W644" s="669" t="n"/>
      <c r="X644" s="669" t="n"/>
      <c r="Y644" s="669" t="n"/>
      <c r="Z644" s="669" t="n"/>
    </row>
    <row r="645">
      <c r="A645" s="507" t="inlineStr">
        <is>
          <t xml:space="preserve">  Grignard Reagent</t>
        </is>
      </c>
      <c r="B645" s="1037" t="inlineStr">
        <is>
          <t>Blue</t>
        </is>
      </c>
      <c r="C645" s="1037" t="inlineStr">
        <is>
          <t>TECH</t>
        </is>
      </c>
      <c r="D645" s="934" t="n"/>
      <c r="E645" s="934" t="n"/>
      <c r="F645" s="934" t="n"/>
      <c r="G645" s="934" t="n"/>
      <c r="H645" s="934" t="n"/>
      <c r="I645" s="934" t="n"/>
      <c r="J645" s="935" t="inlineStr">
        <is>
          <t>Lottery Machine #2 (?%)</t>
        </is>
      </c>
      <c r="K645" s="669" t="n"/>
      <c r="L645" s="669" t="n"/>
      <c r="M645" s="669" t="n"/>
      <c r="N645" s="669" t="n"/>
      <c r="O645" s="669" t="n"/>
      <c r="P645" s="669" t="n"/>
      <c r="Q645" s="669" t="n"/>
      <c r="R645" s="669" t="n"/>
      <c r="S645" s="669" t="n"/>
      <c r="T645" s="669" t="n"/>
      <c r="U645" s="669" t="n"/>
      <c r="V645" s="669" t="n"/>
      <c r="W645" s="669" t="n"/>
      <c r="X645" s="669" t="n"/>
      <c r="Y645" s="669" t="n"/>
      <c r="Z645" s="669" t="n"/>
    </row>
    <row r="646">
      <c r="A646" s="246" t="inlineStr">
        <is>
          <t>Resonance: Purple</t>
        </is>
      </c>
      <c r="B646" s="209" t="n"/>
      <c r="C646" s="209" t="n"/>
      <c r="D646" s="209" t="n"/>
      <c r="E646" s="209" t="n"/>
      <c r="F646" s="210" t="n">
        <v>6</v>
      </c>
      <c r="G646" s="209" t="n"/>
      <c r="H646" s="209" t="n"/>
      <c r="I646" s="209" t="n"/>
      <c r="J646" s="256" t="n"/>
      <c r="K646" s="669" t="n"/>
      <c r="L646" s="669" t="n"/>
      <c r="M646" s="669" t="n"/>
      <c r="N646" s="669" t="n"/>
      <c r="O646" s="669" t="n"/>
      <c r="P646" s="669" t="n"/>
      <c r="Q646" s="669" t="n"/>
      <c r="R646" s="669" t="n"/>
      <c r="S646" s="669" t="n"/>
      <c r="T646" s="669" t="n"/>
      <c r="U646" s="669" t="n"/>
      <c r="V646" s="669" t="n"/>
      <c r="W646" s="669" t="n"/>
      <c r="X646" s="669" t="n"/>
      <c r="Y646" s="669" t="n"/>
      <c r="Z646" s="669" t="n"/>
    </row>
    <row r="647">
      <c r="A647" s="507" t="inlineStr">
        <is>
          <t xml:space="preserve">  Galton Board</t>
        </is>
      </c>
      <c r="B647" s="1037" t="inlineStr">
        <is>
          <t>AA</t>
        </is>
      </c>
      <c r="C647" s="1037" t="inlineStr">
        <is>
          <t>TECH</t>
        </is>
      </c>
      <c r="D647" s="934" t="n"/>
      <c r="E647" s="934" t="n"/>
      <c r="F647" s="934" t="n"/>
      <c r="G647" s="934" t="n"/>
      <c r="H647" s="934" t="n"/>
      <c r="I647" s="934" t="n"/>
      <c r="J647" s="935" t="inlineStr">
        <is>
          <t>Lottery Machine #2 (?%)</t>
        </is>
      </c>
      <c r="K647" s="669" t="n"/>
      <c r="L647" s="669" t="n"/>
      <c r="M647" s="669" t="n"/>
      <c r="N647" s="669" t="n"/>
      <c r="O647" s="669" t="n"/>
      <c r="P647" s="669" t="n"/>
      <c r="Q647" s="669" t="n"/>
      <c r="R647" s="669" t="n"/>
      <c r="S647" s="669" t="n"/>
      <c r="T647" s="669" t="n"/>
      <c r="U647" s="669" t="n"/>
      <c r="V647" s="669" t="n"/>
      <c r="W647" s="669" t="n"/>
      <c r="X647" s="669" t="n"/>
      <c r="Y647" s="669" t="n"/>
      <c r="Z647" s="669" t="n"/>
    </row>
    <row r="648">
      <c r="A648" s="246" t="inlineStr">
        <is>
          <t xml:space="preserve">  DNA Microarray</t>
        </is>
      </c>
      <c r="B648" s="1037" t="inlineStr">
        <is>
          <t>AA</t>
        </is>
      </c>
      <c r="C648" s="1037" t="inlineStr">
        <is>
          <t>TECH</t>
        </is>
      </c>
      <c r="D648" s="209" t="n"/>
      <c r="E648" s="209" t="n"/>
      <c r="F648" s="209" t="n"/>
      <c r="G648" s="209" t="n"/>
      <c r="H648" s="209" t="n"/>
      <c r="I648" s="209" t="n"/>
      <c r="J648" s="256" t="inlineStr">
        <is>
          <t>Lottery Machine #2 (?%)</t>
        </is>
      </c>
      <c r="K648" s="669" t="n"/>
      <c r="L648" s="669" t="n"/>
      <c r="M648" s="669" t="n"/>
      <c r="N648" s="669" t="n"/>
      <c r="O648" s="669" t="n"/>
      <c r="P648" s="669" t="n"/>
      <c r="Q648" s="669" t="n"/>
      <c r="R648" s="669" t="n"/>
      <c r="S648" s="669" t="n"/>
      <c r="T648" s="669" t="n"/>
      <c r="U648" s="669" t="n"/>
      <c r="V648" s="669" t="n"/>
      <c r="W648" s="669" t="n"/>
      <c r="X648" s="669" t="n"/>
      <c r="Y648" s="669" t="n"/>
      <c r="Z648" s="669" t="n"/>
    </row>
    <row r="649">
      <c r="A649" s="955" t="inlineStr">
        <is>
          <t>TOTAL HP</t>
        </is>
      </c>
      <c r="B649" s="946" t="n"/>
      <c r="C649" s="946" t="n"/>
      <c r="D649" s="946" t="n"/>
      <c r="E649" s="946" t="n"/>
      <c r="F649" s="260">
        <f>sum(F632:G648)</f>
        <v/>
      </c>
      <c r="G649" s="946" t="n"/>
      <c r="H649" s="946" t="n"/>
      <c r="I649" s="261">
        <f>sum(I632:I648)</f>
        <v/>
      </c>
      <c r="J649" s="947" t="n"/>
      <c r="K649" s="669" t="n"/>
      <c r="L649" s="669" t="n"/>
      <c r="M649" s="669" t="n"/>
      <c r="N649" s="669" t="n"/>
      <c r="O649" s="669" t="n"/>
      <c r="P649" s="669" t="n"/>
      <c r="Q649" s="669" t="n"/>
      <c r="R649" s="669" t="n"/>
      <c r="S649" s="669" t="n"/>
      <c r="T649" s="669" t="n"/>
      <c r="U649" s="669" t="n"/>
      <c r="V649" s="669" t="n"/>
      <c r="W649" s="669" t="n"/>
      <c r="X649" s="669" t="n"/>
      <c r="Y649" s="669" t="n"/>
      <c r="Z649" s="669" t="n"/>
    </row>
    <row r="650">
      <c r="A650" s="1037" t="n"/>
      <c r="B650" s="1037" t="n"/>
      <c r="C650" s="1037" t="n"/>
      <c r="D650" s="1037" t="n"/>
      <c r="E650" s="1037" t="n"/>
      <c r="F650" s="1037" t="n"/>
      <c r="G650" s="1037" t="n"/>
      <c r="H650" s="1037" t="n"/>
      <c r="I650" s="1037" t="n"/>
      <c r="J650" s="1037" t="n"/>
      <c r="K650" s="669" t="n"/>
      <c r="L650" s="669" t="n"/>
      <c r="M650" s="669" t="n"/>
      <c r="N650" s="669" t="n"/>
      <c r="O650" s="669" t="n"/>
      <c r="P650" s="669" t="n"/>
      <c r="Q650" s="669" t="n"/>
      <c r="R650" s="669" t="n"/>
      <c r="S650" s="669" t="n"/>
      <c r="T650" s="669" t="n"/>
      <c r="U650" s="669" t="n"/>
      <c r="V650" s="669" t="n"/>
      <c r="W650" s="669" t="n"/>
      <c r="X650" s="669" t="n"/>
      <c r="Y650" s="669" t="n"/>
      <c r="Z650" s="669" t="n"/>
    </row>
    <row r="651">
      <c r="A651" s="1079" t="n"/>
      <c r="B651" s="1079" t="n"/>
      <c r="C651" s="1079" t="n"/>
      <c r="D651" s="1079" t="n"/>
      <c r="E651" s="1079" t="n"/>
      <c r="F651" s="1079" t="n"/>
      <c r="G651" s="1079" t="n"/>
      <c r="H651" s="1079" t="n"/>
      <c r="I651" s="1079" t="n"/>
      <c r="J651" s="1079" t="n"/>
      <c r="K651" s="669" t="n"/>
      <c r="L651" s="669" t="n"/>
      <c r="M651" s="669" t="n"/>
      <c r="N651" s="669" t="n"/>
      <c r="O651" s="669" t="n"/>
      <c r="P651" s="669" t="n"/>
      <c r="Q651" s="669" t="n"/>
      <c r="R651" s="669" t="n"/>
      <c r="S651" s="669" t="n"/>
      <c r="T651" s="669" t="n"/>
      <c r="U651" s="669" t="n"/>
      <c r="V651" s="669" t="n"/>
      <c r="W651" s="669" t="n"/>
      <c r="X651" s="669" t="n"/>
      <c r="Y651" s="669" t="n"/>
      <c r="Z651" s="669" t="n"/>
    </row>
    <row r="652">
      <c r="A652" s="251" t="inlineStr">
        <is>
          <t>ATK</t>
        </is>
      </c>
      <c r="B652" s="252" t="inlineStr">
        <is>
          <t>Rarity</t>
        </is>
      </c>
      <c r="C652" s="252" t="inlineStr">
        <is>
          <t>Type</t>
        </is>
      </c>
      <c r="D652" s="252" t="inlineStr">
        <is>
          <t>Base</t>
        </is>
      </c>
      <c r="E652" s="252" t="inlineStr">
        <is>
          <t>Awakening Base</t>
        </is>
      </c>
      <c r="F652" s="252" t="inlineStr">
        <is>
          <t>Percentage</t>
        </is>
      </c>
      <c r="G652" s="252" t="inlineStr">
        <is>
          <t>Awakening Percentage</t>
        </is>
      </c>
      <c r="H652" s="252" t="inlineStr">
        <is>
          <t>Per Minion</t>
        </is>
      </c>
      <c r="I652" s="252" t="inlineStr">
        <is>
          <t>Per Minion Boost</t>
        </is>
      </c>
      <c r="J652" s="253" t="inlineStr">
        <is>
          <t>Source</t>
        </is>
      </c>
      <c r="K652" s="669" t="n"/>
      <c r="L652" s="669" t="n"/>
      <c r="M652" s="669" t="n"/>
      <c r="N652" s="669" t="n"/>
      <c r="O652" s="669" t="n"/>
      <c r="P652" s="669" t="n"/>
      <c r="Q652" s="669" t="n"/>
      <c r="R652" s="669" t="n"/>
      <c r="S652" s="669" t="n"/>
      <c r="T652" s="669" t="n"/>
      <c r="U652" s="669" t="n"/>
      <c r="V652" s="669" t="n"/>
      <c r="W652" s="669" t="n"/>
      <c r="X652" s="669" t="n"/>
      <c r="Y652" s="669" t="n"/>
      <c r="Z652" s="669" t="n"/>
    </row>
    <row r="653">
      <c r="A653" s="507" t="inlineStr">
        <is>
          <t>Von Neumann Arch.</t>
        </is>
      </c>
      <c r="B653" s="1037" t="inlineStr">
        <is>
          <t>SSS</t>
        </is>
      </c>
      <c r="C653" s="1037" t="inlineStr">
        <is>
          <t>TECH</t>
        </is>
      </c>
      <c r="D653" s="267" t="n">
        <v>90</v>
      </c>
      <c r="E653" s="267" t="n">
        <v>90</v>
      </c>
      <c r="F653" s="934" t="n">
        <v>12</v>
      </c>
      <c r="G653" s="934" t="n"/>
      <c r="H653" s="267" t="n">
        <v>60</v>
      </c>
      <c r="I653" s="479">
        <f>(D653+E653)/H653</f>
        <v/>
      </c>
      <c r="J653" s="935" t="inlineStr">
        <is>
          <t>Daily Pack Relic #21</t>
        </is>
      </c>
      <c r="K653" s="669" t="n"/>
      <c r="L653" s="669" t="n"/>
      <c r="M653" s="669" t="n"/>
      <c r="N653" s="669" t="n"/>
      <c r="O653" s="669" t="n"/>
      <c r="P653" s="669" t="n"/>
      <c r="Q653" s="669" t="n"/>
      <c r="R653" s="669" t="n"/>
      <c r="S653" s="669" t="n"/>
      <c r="T653" s="669" t="n"/>
      <c r="U653" s="669" t="n"/>
      <c r="V653" s="669" t="n"/>
      <c r="W653" s="669" t="n"/>
      <c r="X653" s="669" t="n"/>
      <c r="Y653" s="669" t="n"/>
      <c r="Z653" s="669" t="n"/>
    </row>
    <row r="654">
      <c r="A654" s="507" t="inlineStr">
        <is>
          <t>Deep Navy Computer</t>
        </is>
      </c>
      <c r="B654" s="1037" t="inlineStr">
        <is>
          <t>SSS</t>
        </is>
      </c>
      <c r="C654" s="1037" t="inlineStr">
        <is>
          <t>TECH</t>
        </is>
      </c>
      <c r="D654" s="267" t="n">
        <v>90</v>
      </c>
      <c r="E654" s="267" t="n">
        <v>90</v>
      </c>
      <c r="F654" s="934" t="n"/>
      <c r="G654" s="934" t="n"/>
      <c r="H654" s="267" t="n">
        <v>60</v>
      </c>
      <c r="I654" s="479">
        <f>(D654+E654)/H654</f>
        <v/>
      </c>
      <c r="J654" s="935" t="inlineStr">
        <is>
          <t>Lottery Machine #2 (0.12%)</t>
        </is>
      </c>
      <c r="K654" s="669" t="n"/>
      <c r="L654" s="669" t="n"/>
      <c r="M654" s="669" t="n"/>
      <c r="N654" s="669" t="n"/>
      <c r="O654" s="669" t="n"/>
      <c r="P654" s="669" t="n"/>
      <c r="Q654" s="669" t="n"/>
      <c r="R654" s="669" t="n"/>
      <c r="S654" s="669" t="n"/>
      <c r="T654" s="669" t="n"/>
      <c r="U654" s="669" t="n"/>
      <c r="V654" s="669" t="n"/>
      <c r="W654" s="669" t="n"/>
      <c r="X654" s="669" t="n"/>
      <c r="Y654" s="669" t="n"/>
      <c r="Z654" s="669" t="n"/>
    </row>
    <row r="655">
      <c r="A655" s="246" t="inlineStr">
        <is>
          <t>Voltaic Cell</t>
        </is>
      </c>
      <c r="B655" s="1037" t="inlineStr">
        <is>
          <t>AAA</t>
        </is>
      </c>
      <c r="C655" s="1037" t="inlineStr">
        <is>
          <t>FAME</t>
        </is>
      </c>
      <c r="D655" s="210" t="n">
        <v>36</v>
      </c>
      <c r="E655" s="210" t="n">
        <v>28</v>
      </c>
      <c r="F655" s="209" t="n"/>
      <c r="G655" s="209" t="n"/>
      <c r="H655" s="210" t="n">
        <v>30</v>
      </c>
      <c r="I655" s="200">
        <f>(D655+E655)/H655</f>
        <v/>
      </c>
      <c r="J655" s="256" t="inlineStr">
        <is>
          <t>Lottery Machine #2 (?%)</t>
        </is>
      </c>
      <c r="K655" s="669" t="n"/>
      <c r="L655" s="669" t="n"/>
      <c r="M655" s="669" t="n"/>
      <c r="N655" s="669" t="n"/>
      <c r="O655" s="669" t="n"/>
      <c r="P655" s="669" t="n"/>
      <c r="Q655" s="669" t="n"/>
      <c r="R655" s="669" t="n"/>
      <c r="S655" s="669" t="n"/>
      <c r="T655" s="669" t="n"/>
      <c r="U655" s="669" t="n"/>
      <c r="V655" s="669" t="n"/>
      <c r="W655" s="669" t="n"/>
      <c r="X655" s="669" t="n"/>
      <c r="Y655" s="669" t="n"/>
      <c r="Z655" s="669" t="n"/>
    </row>
    <row r="656">
      <c r="A656" s="246" t="inlineStr">
        <is>
          <t>Wilson Cloud Chamber</t>
        </is>
      </c>
      <c r="B656" s="1037" t="inlineStr">
        <is>
          <t>AAA</t>
        </is>
      </c>
      <c r="C656" s="1037" t="inlineStr">
        <is>
          <t>TECH</t>
        </is>
      </c>
      <c r="D656" s="210" t="n">
        <v>36</v>
      </c>
      <c r="E656" s="210" t="n">
        <v>28</v>
      </c>
      <c r="F656" s="209" t="n"/>
      <c r="G656" s="209" t="n"/>
      <c r="H656" s="210" t="n">
        <v>30</v>
      </c>
      <c r="I656" s="200">
        <f>(D656+E656)/H656</f>
        <v/>
      </c>
      <c r="J656" s="281" t="inlineStr">
        <is>
          <t>Lottery Box Relic #7</t>
        </is>
      </c>
      <c r="K656" s="669" t="n"/>
      <c r="L656" s="669" t="n"/>
      <c r="M656" s="669" t="n"/>
      <c r="N656" s="669" t="n"/>
      <c r="O656" s="669" t="n"/>
      <c r="P656" s="669" t="n"/>
      <c r="Q656" s="669" t="n"/>
      <c r="R656" s="669" t="n"/>
      <c r="S656" s="669" t="n"/>
      <c r="T656" s="669" t="n"/>
      <c r="U656" s="669" t="n"/>
      <c r="V656" s="669" t="n"/>
      <c r="W656" s="669" t="n"/>
      <c r="X656" s="669" t="n"/>
      <c r="Y656" s="669" t="n"/>
      <c r="Z656" s="669" t="n"/>
    </row>
    <row r="657">
      <c r="A657" s="507" t="inlineStr">
        <is>
          <t>Diffraction Device</t>
        </is>
      </c>
      <c r="B657" s="1037" t="inlineStr">
        <is>
          <t>S</t>
        </is>
      </c>
      <c r="C657" s="1037" t="inlineStr">
        <is>
          <t>TECH</t>
        </is>
      </c>
      <c r="D657" s="479" t="n">
        <v>90</v>
      </c>
      <c r="E657" s="934" t="n"/>
      <c r="F657" s="934" t="n"/>
      <c r="G657" s="934" t="n"/>
      <c r="H657" s="210" t="n">
        <v>60</v>
      </c>
      <c r="I657" s="200">
        <f>(D657+E657)/H657</f>
        <v/>
      </c>
      <c r="J657" s="256" t="inlineStr">
        <is>
          <t>Lottery Machine #2 (?%)</t>
        </is>
      </c>
      <c r="K657" s="669" t="n"/>
      <c r="L657" s="669" t="n"/>
      <c r="M657" s="669" t="n"/>
      <c r="N657" s="669" t="n"/>
      <c r="O657" s="669" t="n"/>
      <c r="P657" s="669" t="n"/>
      <c r="Q657" s="669" t="n"/>
      <c r="R657" s="669" t="n"/>
      <c r="S657" s="669" t="n"/>
      <c r="T657" s="669" t="n"/>
      <c r="U657" s="669" t="n"/>
      <c r="V657" s="669" t="n"/>
      <c r="W657" s="669" t="n"/>
      <c r="X657" s="669" t="n"/>
      <c r="Y657" s="669" t="n"/>
      <c r="Z657" s="669" t="n"/>
    </row>
    <row r="658">
      <c r="A658" s="507" t="inlineStr">
        <is>
          <t>Aegis System</t>
        </is>
      </c>
      <c r="B658" s="1037" t="inlineStr">
        <is>
          <t>SSS</t>
        </is>
      </c>
      <c r="C658" s="1037" t="inlineStr">
        <is>
          <t>TECH</t>
        </is>
      </c>
      <c r="D658" s="479" t="n">
        <v>90</v>
      </c>
      <c r="E658" s="934" t="n"/>
      <c r="F658" s="934" t="n"/>
      <c r="G658" s="934" t="n"/>
      <c r="H658" s="479" t="n">
        <v>60</v>
      </c>
      <c r="I658" s="479">
        <f>(D658+E658)/H658</f>
        <v/>
      </c>
      <c r="J658" s="418" t="inlineStr">
        <is>
          <t>Steel Hall (Rebel Cabin) Reward</t>
        </is>
      </c>
      <c r="K658" s="669" t="n"/>
      <c r="L658" s="669" t="n"/>
      <c r="M658" s="669" t="n"/>
      <c r="N658" s="669" t="n"/>
      <c r="O658" s="669" t="n"/>
      <c r="P658" s="669" t="n"/>
      <c r="Q658" s="669" t="n"/>
      <c r="R658" s="669" t="n"/>
      <c r="S658" s="669" t="n"/>
      <c r="T658" s="669" t="n"/>
      <c r="U658" s="669" t="n"/>
      <c r="V658" s="669" t="n"/>
      <c r="W658" s="669" t="n"/>
      <c r="X658" s="669" t="n"/>
      <c r="Y658" s="669" t="n"/>
      <c r="Z658" s="669" t="n"/>
    </row>
    <row r="659">
      <c r="A659" s="246" t="inlineStr">
        <is>
          <t>Quantum Radio</t>
        </is>
      </c>
      <c r="B659" s="1037" t="inlineStr">
        <is>
          <t>SSS</t>
        </is>
      </c>
      <c r="C659" s="1037" t="inlineStr">
        <is>
          <t>TECH</t>
        </is>
      </c>
      <c r="D659" s="210" t="n">
        <v>90</v>
      </c>
      <c r="E659" s="209" t="n"/>
      <c r="F659" s="209" t="n"/>
      <c r="G659" s="209" t="n"/>
      <c r="H659" s="210" t="n">
        <v>60</v>
      </c>
      <c r="I659" s="210">
        <f>(D659+E659)/H659</f>
        <v/>
      </c>
      <c r="J659" s="256" t="inlineStr">
        <is>
          <t>Super Species Chest (0.03%)</t>
        </is>
      </c>
      <c r="K659" s="669" t="n"/>
      <c r="L659" s="669" t="n"/>
      <c r="M659" s="669" t="n"/>
      <c r="N659" s="669" t="n"/>
      <c r="O659" s="669" t="n"/>
      <c r="P659" s="669" t="n"/>
      <c r="Q659" s="669" t="n"/>
      <c r="R659" s="669" t="n"/>
      <c r="S659" s="669" t="n"/>
      <c r="T659" s="669" t="n"/>
      <c r="U659" s="669" t="n"/>
      <c r="V659" s="669" t="n"/>
      <c r="W659" s="669" t="n"/>
      <c r="X659" s="669" t="n"/>
      <c r="Y659" s="669" t="n"/>
      <c r="Z659" s="669" t="n"/>
    </row>
    <row r="660">
      <c r="A660" s="507" t="inlineStr">
        <is>
          <t>Geiger Counter</t>
        </is>
      </c>
      <c r="B660" s="1037" t="inlineStr">
        <is>
          <t>Blue</t>
        </is>
      </c>
      <c r="C660" s="1037" t="inlineStr">
        <is>
          <t>TECH</t>
        </is>
      </c>
      <c r="D660" s="268" t="n">
        <v>5</v>
      </c>
      <c r="E660" s="268" t="n">
        <v>5</v>
      </c>
      <c r="F660" s="209" t="n"/>
      <c r="G660" s="209" t="n"/>
      <c r="H660" s="268" t="n">
        <v>10</v>
      </c>
      <c r="I660" s="210">
        <f>(D660+E660)/H660</f>
        <v/>
      </c>
      <c r="J660" s="256" t="inlineStr">
        <is>
          <t>Lottery Machine #2 (?%)</t>
        </is>
      </c>
      <c r="K660" s="669" t="n"/>
      <c r="L660" s="669" t="n"/>
      <c r="M660" s="669" t="n"/>
      <c r="N660" s="669" t="n"/>
      <c r="O660" s="669" t="n"/>
      <c r="P660" s="669" t="n"/>
      <c r="Q660" s="669" t="n"/>
      <c r="R660" s="669" t="n"/>
      <c r="S660" s="669" t="n"/>
      <c r="T660" s="669" t="n"/>
      <c r="U660" s="669" t="n"/>
      <c r="V660" s="669" t="n"/>
      <c r="W660" s="669" t="n"/>
      <c r="X660" s="669" t="n"/>
      <c r="Y660" s="669" t="n"/>
      <c r="Z660" s="669" t="n"/>
    </row>
    <row r="661">
      <c r="A661" s="246" t="inlineStr">
        <is>
          <t>The Gate</t>
        </is>
      </c>
      <c r="B661" s="1037" t="inlineStr">
        <is>
          <t>SSS</t>
        </is>
      </c>
      <c r="C661" s="1037" t="inlineStr">
        <is>
          <t>TECH</t>
        </is>
      </c>
      <c r="D661" s="209" t="n"/>
      <c r="E661" s="209" t="n"/>
      <c r="F661" s="268" t="n">
        <v>12</v>
      </c>
      <c r="G661" s="209" t="n"/>
      <c r="H661" s="209" t="n"/>
      <c r="I661" s="269" t="n"/>
      <c r="J661" s="390" t="inlineStr">
        <is>
          <t>Daily Pack Relic #46</t>
        </is>
      </c>
      <c r="K661" s="669" t="n"/>
      <c r="L661" s="669" t="n"/>
      <c r="M661" s="669" t="n"/>
      <c r="N661" s="669" t="n"/>
      <c r="O661" s="669" t="n"/>
      <c r="P661" s="669" t="n"/>
      <c r="Q661" s="669" t="n"/>
      <c r="R661" s="669" t="n"/>
      <c r="S661" s="669" t="n"/>
      <c r="T661" s="669" t="n"/>
      <c r="U661" s="669" t="n"/>
      <c r="V661" s="669" t="n"/>
      <c r="W661" s="669" t="n"/>
      <c r="X661" s="669" t="n"/>
      <c r="Y661" s="669" t="n"/>
      <c r="Z661" s="669" t="n"/>
    </row>
    <row r="662">
      <c r="A662" s="246" t="inlineStr">
        <is>
          <t>Antarctic Treaty</t>
        </is>
      </c>
      <c r="B662" s="1037" t="inlineStr">
        <is>
          <t>SSS</t>
        </is>
      </c>
      <c r="C662" s="1037" t="inlineStr">
        <is>
          <t>FAME</t>
        </is>
      </c>
      <c r="D662" s="209" t="n"/>
      <c r="E662" s="209" t="n"/>
      <c r="F662" s="268" t="n">
        <v>12</v>
      </c>
      <c r="G662" s="209" t="n"/>
      <c r="H662" s="209" t="n"/>
      <c r="I662" s="269" t="n"/>
      <c r="J662" s="935" t="inlineStr">
        <is>
          <t>Lottery Machine #2 (0.12%)</t>
        </is>
      </c>
      <c r="K662" s="669" t="n"/>
      <c r="L662" s="669" t="n"/>
      <c r="M662" s="669" t="n"/>
      <c r="N662" s="669" t="n"/>
      <c r="O662" s="669" t="n"/>
      <c r="P662" s="669" t="n"/>
      <c r="Q662" s="669" t="n"/>
      <c r="R662" s="669" t="n"/>
      <c r="S662" s="669" t="n"/>
      <c r="T662" s="669" t="n"/>
      <c r="U662" s="669" t="n"/>
      <c r="V662" s="669" t="n"/>
      <c r="W662" s="669" t="n"/>
      <c r="X662" s="669" t="n"/>
      <c r="Y662" s="669" t="n"/>
      <c r="Z662" s="669" t="n"/>
    </row>
    <row r="663">
      <c r="A663" s="246" t="inlineStr">
        <is>
          <t>Microscope Illustrations</t>
        </is>
      </c>
      <c r="B663" s="1037" t="inlineStr">
        <is>
          <t>AAA</t>
        </is>
      </c>
      <c r="C663" s="1037" t="inlineStr">
        <is>
          <t>TECH</t>
        </is>
      </c>
      <c r="D663" s="209" t="n"/>
      <c r="E663" s="209" t="n"/>
      <c r="F663" s="268" t="n">
        <v>9</v>
      </c>
      <c r="G663" s="209" t="n"/>
      <c r="H663" s="209" t="n"/>
      <c r="I663" s="269" t="n"/>
      <c r="J663" s="390" t="inlineStr">
        <is>
          <t>Lottery Machine #3 (?%)</t>
        </is>
      </c>
      <c r="K663" s="669" t="n"/>
      <c r="L663" s="669" t="n"/>
      <c r="M663" s="669" t="n"/>
      <c r="N663" s="669" t="n"/>
      <c r="O663" s="669" t="n"/>
      <c r="P663" s="669" t="n"/>
      <c r="Q663" s="669" t="n"/>
      <c r="R663" s="669" t="n"/>
      <c r="S663" s="669" t="n"/>
      <c r="T663" s="669" t="n"/>
      <c r="U663" s="669" t="n"/>
      <c r="V663" s="669" t="n"/>
      <c r="W663" s="669" t="n"/>
      <c r="X663" s="669" t="n"/>
      <c r="Y663" s="669" t="n"/>
      <c r="Z663" s="669" t="n"/>
    </row>
    <row r="664">
      <c r="A664" s="246" t="inlineStr">
        <is>
          <t>Foucault Pendulum</t>
        </is>
      </c>
      <c r="B664" s="1037" t="inlineStr">
        <is>
          <t>AAA</t>
        </is>
      </c>
      <c r="C664" s="1037" t="inlineStr">
        <is>
          <t>FAME</t>
        </is>
      </c>
      <c r="D664" s="209" t="n"/>
      <c r="E664" s="209" t="n"/>
      <c r="F664" s="268" t="n">
        <v>9</v>
      </c>
      <c r="G664" s="209" t="n"/>
      <c r="H664" s="209" t="n"/>
      <c r="I664" s="269" t="n"/>
      <c r="J664" s="256" t="inlineStr">
        <is>
          <t>Lottery Machine #2 (?%)</t>
        </is>
      </c>
      <c r="K664" s="669" t="n"/>
      <c r="L664" s="669" t="n"/>
      <c r="M664" s="669" t="n"/>
      <c r="N664" s="669" t="n"/>
      <c r="O664" s="669" t="n"/>
      <c r="P664" s="669" t="n"/>
      <c r="Q664" s="669" t="n"/>
      <c r="R664" s="669" t="n"/>
      <c r="S664" s="669" t="n"/>
      <c r="T664" s="669" t="n"/>
      <c r="U664" s="669" t="n"/>
      <c r="V664" s="669" t="n"/>
      <c r="W664" s="669" t="n"/>
      <c r="X664" s="669" t="n"/>
      <c r="Y664" s="669" t="n"/>
      <c r="Z664" s="669" t="n"/>
    </row>
    <row r="665">
      <c r="A665" s="257" t="n"/>
      <c r="B665" s="1037" t="n"/>
      <c r="C665" s="934" t="n"/>
      <c r="D665" s="209" t="n"/>
      <c r="E665" s="209" t="n"/>
      <c r="F665" s="209" t="n"/>
      <c r="G665" s="209" t="n"/>
      <c r="H665" s="209" t="n"/>
      <c r="I665" s="209" t="n"/>
      <c r="J665" s="256" t="n"/>
      <c r="K665" s="669" t="n"/>
      <c r="L665" s="669" t="n"/>
      <c r="M665" s="669" t="n"/>
      <c r="N665" s="669" t="n"/>
      <c r="O665" s="669" t="n"/>
      <c r="P665" s="669" t="n"/>
      <c r="Q665" s="669" t="n"/>
      <c r="R665" s="669" t="n"/>
      <c r="S665" s="669" t="n"/>
      <c r="T665" s="669" t="n"/>
      <c r="U665" s="669" t="n"/>
      <c r="V665" s="669" t="n"/>
      <c r="W665" s="669" t="n"/>
      <c r="X665" s="669" t="n"/>
      <c r="Y665" s="669" t="n"/>
      <c r="Z665" s="669" t="n"/>
    </row>
    <row r="666">
      <c r="A666" s="507" t="inlineStr">
        <is>
          <t>Resonance: Blue</t>
        </is>
      </c>
      <c r="B666" s="934" t="n"/>
      <c r="C666" s="934" t="n"/>
      <c r="D666" s="479" t="n">
        <v>5</v>
      </c>
      <c r="E666" s="934" t="n"/>
      <c r="F666" s="934" t="n"/>
      <c r="G666" s="934" t="n"/>
      <c r="H666" s="479" t="n">
        <v>10</v>
      </c>
      <c r="I666" s="479">
        <f>(D666+E666)/H666</f>
        <v/>
      </c>
      <c r="J666" s="935" t="n"/>
      <c r="K666" s="669" t="n"/>
      <c r="L666" s="669" t="n"/>
      <c r="M666" s="669" t="n"/>
      <c r="N666" s="669" t="n"/>
      <c r="O666" s="669" t="n"/>
      <c r="P666" s="669" t="n"/>
      <c r="Q666" s="669" t="n"/>
      <c r="R666" s="669" t="n"/>
      <c r="S666" s="669" t="n"/>
      <c r="T666" s="669" t="n"/>
      <c r="U666" s="669" t="n"/>
      <c r="V666" s="669" t="n"/>
      <c r="W666" s="669" t="n"/>
      <c r="X666" s="669" t="n"/>
      <c r="Y666" s="669" t="n"/>
      <c r="Z666" s="669" t="n"/>
    </row>
    <row r="667">
      <c r="A667" s="246" t="inlineStr">
        <is>
          <t xml:space="preserve">  Guillotine</t>
        </is>
      </c>
      <c r="B667" s="1037" t="inlineStr">
        <is>
          <t>Blue</t>
        </is>
      </c>
      <c r="C667" s="1037" t="inlineStr">
        <is>
          <t>FAME</t>
        </is>
      </c>
      <c r="D667" s="209" t="n"/>
      <c r="E667" s="209" t="n"/>
      <c r="F667" s="209" t="n"/>
      <c r="G667" s="209" t="n"/>
      <c r="H667" s="209" t="n"/>
      <c r="I667" s="209" t="n"/>
      <c r="J667" s="256" t="inlineStr">
        <is>
          <t>Lottery Machine #1 (0.07%), Wishing (3.1%), Soul Chest (2%), Novice Scrolls (1%)</t>
        </is>
      </c>
      <c r="K667" s="669" t="n"/>
      <c r="L667" s="669" t="n"/>
      <c r="M667" s="669" t="n"/>
      <c r="N667" s="669" t="n"/>
      <c r="O667" s="669" t="n"/>
      <c r="P667" s="669" t="n"/>
      <c r="Q667" s="669" t="n"/>
      <c r="R667" s="669" t="n"/>
      <c r="S667" s="669" t="n"/>
      <c r="T667" s="669" t="n"/>
      <c r="U667" s="669" t="n"/>
      <c r="V667" s="669" t="n"/>
      <c r="W667" s="669" t="n"/>
      <c r="X667" s="669" t="n"/>
      <c r="Y667" s="669" t="n"/>
      <c r="Z667" s="669" t="n"/>
    </row>
    <row r="668">
      <c r="A668" s="246" t="inlineStr">
        <is>
          <t xml:space="preserve">  Minnie Ball</t>
        </is>
      </c>
      <c r="B668" s="1037" t="inlineStr">
        <is>
          <t>Blue</t>
        </is>
      </c>
      <c r="C668" s="1037" t="inlineStr">
        <is>
          <t>FAME</t>
        </is>
      </c>
      <c r="D668" s="209" t="n"/>
      <c r="E668" s="209" t="n"/>
      <c r="F668" s="209" t="n"/>
      <c r="G668" s="209" t="n"/>
      <c r="H668" s="209" t="n"/>
      <c r="I668" s="209" t="n"/>
      <c r="J668" s="256" t="inlineStr">
        <is>
          <t>Koryeon Domain, Lottery Machine #1 (0.03%), Wish (1.2%)</t>
        </is>
      </c>
      <c r="K668" s="669" t="n"/>
      <c r="L668" s="669" t="n"/>
      <c r="M668" s="669" t="n"/>
      <c r="N668" s="669" t="n"/>
      <c r="O668" s="669" t="n"/>
      <c r="P668" s="669" t="n"/>
      <c r="Q668" s="669" t="n"/>
      <c r="R668" s="669" t="n"/>
      <c r="S668" s="669" t="n"/>
      <c r="T668" s="669" t="n"/>
      <c r="U668" s="669" t="n"/>
      <c r="V668" s="669" t="n"/>
      <c r="W668" s="669" t="n"/>
      <c r="X668" s="669" t="n"/>
      <c r="Y668" s="669" t="n"/>
      <c r="Z668" s="669" t="n"/>
    </row>
    <row r="669">
      <c r="A669" s="507" t="inlineStr">
        <is>
          <t>Resonance: Blue</t>
        </is>
      </c>
      <c r="B669" s="934" t="n"/>
      <c r="C669" s="934" t="n"/>
      <c r="D669" s="479" t="n">
        <v>5</v>
      </c>
      <c r="E669" s="934" t="n"/>
      <c r="F669" s="934" t="n"/>
      <c r="G669" s="934" t="n"/>
      <c r="H669" s="479" t="n">
        <v>10</v>
      </c>
      <c r="I669" s="479">
        <f>(D669+E669)/H669</f>
        <v/>
      </c>
      <c r="J669" s="935" t="n"/>
      <c r="K669" s="669" t="n"/>
      <c r="L669" s="669" t="n"/>
      <c r="M669" s="669" t="n"/>
      <c r="N669" s="669" t="n"/>
      <c r="O669" s="669" t="n"/>
      <c r="P669" s="669" t="n"/>
      <c r="Q669" s="669" t="n"/>
      <c r="R669" s="669" t="n"/>
      <c r="S669" s="669" t="n"/>
      <c r="T669" s="669" t="n"/>
      <c r="U669" s="669" t="n"/>
      <c r="V669" s="669" t="n"/>
      <c r="W669" s="669" t="n"/>
      <c r="X669" s="669" t="n"/>
      <c r="Y669" s="669" t="n"/>
      <c r="Z669" s="669" t="n"/>
    </row>
    <row r="670">
      <c r="A670" s="246" t="inlineStr">
        <is>
          <t xml:space="preserve">  Kay's Flying Shuttle</t>
        </is>
      </c>
      <c r="B670" s="1037" t="inlineStr">
        <is>
          <t>Blue</t>
        </is>
      </c>
      <c r="C670" s="1037" t="inlineStr">
        <is>
          <t>TECH</t>
        </is>
      </c>
      <c r="D670" s="209" t="n"/>
      <c r="E670" s="209" t="n"/>
      <c r="F670" s="209" t="n"/>
      <c r="G670" s="209" t="n"/>
      <c r="H670" s="209" t="n"/>
      <c r="I670" s="209" t="n"/>
      <c r="J670" s="256" t="inlineStr">
        <is>
          <t>Lottery Machine #2 (?%)</t>
        </is>
      </c>
      <c r="K670" s="669" t="n"/>
      <c r="L670" s="669" t="n"/>
      <c r="M670" s="669" t="n"/>
      <c r="N670" s="669" t="n"/>
      <c r="O670" s="669" t="n"/>
      <c r="P670" s="669" t="n"/>
      <c r="Q670" s="669" t="n"/>
      <c r="R670" s="669" t="n"/>
      <c r="S670" s="669" t="n"/>
      <c r="T670" s="669" t="n"/>
      <c r="U670" s="669" t="n"/>
      <c r="V670" s="669" t="n"/>
      <c r="W670" s="669" t="n"/>
      <c r="X670" s="669" t="n"/>
      <c r="Y670" s="669" t="n"/>
      <c r="Z670" s="669" t="n"/>
    </row>
    <row r="671">
      <c r="A671" s="507" t="inlineStr">
        <is>
          <t xml:space="preserve">  Oersted's Compass</t>
        </is>
      </c>
      <c r="B671" s="1037" t="inlineStr">
        <is>
          <t>Blue</t>
        </is>
      </c>
      <c r="C671" s="1037" t="inlineStr">
        <is>
          <t>TECH</t>
        </is>
      </c>
      <c r="D671" s="934" t="n"/>
      <c r="E671" s="934" t="n"/>
      <c r="F671" s="934" t="n"/>
      <c r="G671" s="934" t="n"/>
      <c r="H671" s="934" t="n"/>
      <c r="I671" s="934" t="n"/>
      <c r="J671" s="935" t="inlineStr">
        <is>
          <t>Lottery Machine #2 (?%)</t>
        </is>
      </c>
      <c r="K671" s="669" t="n"/>
      <c r="L671" s="669" t="n"/>
      <c r="M671" s="669" t="n"/>
      <c r="N671" s="669" t="n"/>
      <c r="O671" s="669" t="n"/>
      <c r="P671" s="669" t="n"/>
      <c r="Q671" s="669" t="n"/>
      <c r="R671" s="669" t="n"/>
      <c r="S671" s="669" t="n"/>
      <c r="T671" s="669" t="n"/>
      <c r="U671" s="669" t="n"/>
      <c r="V671" s="669" t="n"/>
      <c r="W671" s="669" t="n"/>
      <c r="X671" s="669" t="n"/>
      <c r="Y671" s="669" t="n"/>
      <c r="Z671" s="669" t="n"/>
    </row>
    <row r="672">
      <c r="A672" s="246" t="inlineStr">
        <is>
          <t>Resonance: Purple</t>
        </is>
      </c>
      <c r="B672" s="934" t="n"/>
      <c r="C672" s="934" t="n"/>
      <c r="D672" s="209" t="n"/>
      <c r="E672" s="209" t="n"/>
      <c r="F672" s="268" t="n">
        <v>6</v>
      </c>
      <c r="G672" s="209" t="n"/>
      <c r="H672" s="209" t="n"/>
      <c r="I672" s="209" t="n"/>
      <c r="J672" s="256" t="n"/>
      <c r="K672" s="669" t="n"/>
      <c r="L672" s="669" t="n"/>
      <c r="M672" s="669" t="n"/>
      <c r="N672" s="669" t="n"/>
      <c r="O672" s="669" t="n"/>
      <c r="P672" s="669" t="n"/>
      <c r="Q672" s="669" t="n"/>
      <c r="R672" s="669" t="n"/>
      <c r="S672" s="669" t="n"/>
      <c r="T672" s="669" t="n"/>
      <c r="U672" s="669" t="n"/>
      <c r="V672" s="669" t="n"/>
      <c r="W672" s="669" t="n"/>
      <c r="X672" s="669" t="n"/>
      <c r="Y672" s="669" t="n"/>
      <c r="Z672" s="669" t="n"/>
    </row>
    <row r="673">
      <c r="A673" s="507" t="inlineStr">
        <is>
          <t xml:space="preserve">  Voltaic Cell</t>
        </is>
      </c>
      <c r="B673" s="1037" t="inlineStr">
        <is>
          <t>AAA</t>
        </is>
      </c>
      <c r="C673" s="1037" t="inlineStr">
        <is>
          <t>FAME</t>
        </is>
      </c>
      <c r="D673" s="934" t="n"/>
      <c r="E673" s="934" t="n"/>
      <c r="F673" s="934" t="n"/>
      <c r="G673" s="934" t="n"/>
      <c r="H673" s="934" t="n"/>
      <c r="I673" s="934" t="n"/>
      <c r="J673" s="935" t="inlineStr">
        <is>
          <t>Lottery Machine #2 (?%)</t>
        </is>
      </c>
      <c r="K673" s="669" t="n"/>
      <c r="L673" s="669" t="n"/>
      <c r="M673" s="669" t="n"/>
      <c r="N673" s="669" t="n"/>
      <c r="O673" s="669" t="n"/>
      <c r="P673" s="669" t="n"/>
      <c r="Q673" s="669" t="n"/>
      <c r="R673" s="669" t="n"/>
      <c r="S673" s="669" t="n"/>
      <c r="T673" s="669" t="n"/>
      <c r="U673" s="669" t="n"/>
      <c r="V673" s="669" t="n"/>
      <c r="W673" s="669" t="n"/>
      <c r="X673" s="669" t="n"/>
      <c r="Y673" s="669" t="n"/>
      <c r="Z673" s="669" t="n"/>
    </row>
    <row r="674">
      <c r="A674" s="246" t="inlineStr">
        <is>
          <t xml:space="preserve">  Adari 2600</t>
        </is>
      </c>
      <c r="B674" s="1037" t="inlineStr">
        <is>
          <t>AAA</t>
        </is>
      </c>
      <c r="C674" s="1037" t="inlineStr">
        <is>
          <t>FAME</t>
        </is>
      </c>
      <c r="D674" s="209" t="n"/>
      <c r="E674" s="209" t="n"/>
      <c r="F674" s="209" t="n"/>
      <c r="G674" s="209" t="n"/>
      <c r="H674" s="209" t="n"/>
      <c r="I674" s="209" t="n"/>
      <c r="J674" s="256" t="inlineStr">
        <is>
          <t>Lottery Machine #2 (?%)</t>
        </is>
      </c>
      <c r="K674" s="669" t="n"/>
      <c r="L674" s="669" t="n"/>
      <c r="M674" s="669" t="n"/>
      <c r="N674" s="669" t="n"/>
      <c r="O674" s="669" t="n"/>
      <c r="P674" s="669" t="n"/>
      <c r="Q674" s="669" t="n"/>
      <c r="R674" s="669" t="n"/>
      <c r="S674" s="669" t="n"/>
      <c r="T674" s="669" t="n"/>
      <c r="U674" s="669" t="n"/>
      <c r="V674" s="669" t="n"/>
      <c r="W674" s="669" t="n"/>
      <c r="X674" s="669" t="n"/>
      <c r="Y674" s="669" t="n"/>
      <c r="Z674" s="669" t="n"/>
    </row>
    <row r="675">
      <c r="A675" s="955" t="inlineStr">
        <is>
          <t>TOTAL ATK</t>
        </is>
      </c>
      <c r="B675" s="946" t="n"/>
      <c r="C675" s="946" t="n"/>
      <c r="D675" s="946" t="n"/>
      <c r="E675" s="946" t="n"/>
      <c r="F675" s="260">
        <f>sum(F653:G674)</f>
        <v/>
      </c>
      <c r="G675" s="946" t="n"/>
      <c r="H675" s="946" t="n"/>
      <c r="I675" s="261">
        <f>sum(I653:I674)</f>
        <v/>
      </c>
      <c r="J675" s="947" t="n"/>
      <c r="K675" s="669" t="n"/>
      <c r="L675" s="669" t="n"/>
      <c r="M675" s="669" t="n"/>
      <c r="N675" s="669" t="n"/>
      <c r="O675" s="669" t="n"/>
      <c r="P675" s="669" t="n"/>
      <c r="Q675" s="669" t="n"/>
      <c r="R675" s="669" t="n"/>
      <c r="S675" s="669" t="n"/>
      <c r="T675" s="669" t="n"/>
      <c r="U675" s="669" t="n"/>
      <c r="V675" s="669" t="n"/>
      <c r="W675" s="669" t="n"/>
      <c r="X675" s="669" t="n"/>
      <c r="Y675" s="669" t="n"/>
      <c r="Z675" s="669" t="n"/>
    </row>
    <row r="676">
      <c r="A676" s="1037" t="n"/>
      <c r="B676" s="1037" t="n"/>
      <c r="C676" s="1037" t="n"/>
      <c r="D676" s="1037" t="n"/>
      <c r="E676" s="1037" t="n"/>
      <c r="F676" s="1037" t="n"/>
      <c r="G676" s="1037" t="n"/>
      <c r="H676" s="1037" t="n"/>
      <c r="I676" s="1037" t="n"/>
      <c r="J676" s="1037" t="n"/>
      <c r="K676" s="669" t="n"/>
      <c r="L676" s="669" t="n"/>
      <c r="M676" s="669" t="n"/>
      <c r="N676" s="669" t="n"/>
      <c r="O676" s="669" t="n"/>
      <c r="P676" s="669" t="n"/>
      <c r="Q676" s="669" t="n"/>
      <c r="R676" s="669" t="n"/>
      <c r="S676" s="669" t="n"/>
      <c r="T676" s="669" t="n"/>
      <c r="U676" s="669" t="n"/>
      <c r="V676" s="669" t="n"/>
      <c r="W676" s="669" t="n"/>
      <c r="X676" s="669" t="n"/>
      <c r="Y676" s="669" t="n"/>
      <c r="Z676" s="669" t="n"/>
    </row>
    <row r="677">
      <c r="A677" s="1079" t="n"/>
      <c r="B677" s="1079" t="n"/>
      <c r="C677" s="1079" t="n"/>
      <c r="D677" s="1079" t="n"/>
      <c r="E677" s="1079" t="n"/>
      <c r="F677" s="1079" t="n"/>
      <c r="G677" s="1079" t="n"/>
      <c r="H677" s="1079" t="n"/>
      <c r="I677" s="1079" t="n"/>
      <c r="J677" s="1079" t="n"/>
      <c r="K677" s="669" t="n"/>
      <c r="L677" s="669" t="n"/>
      <c r="M677" s="669" t="n"/>
      <c r="N677" s="669" t="n"/>
      <c r="O677" s="669" t="n"/>
      <c r="P677" s="669" t="n"/>
      <c r="Q677" s="669" t="n"/>
      <c r="R677" s="669" t="n"/>
      <c r="S677" s="669" t="n"/>
      <c r="T677" s="669" t="n"/>
      <c r="U677" s="669" t="n"/>
      <c r="V677" s="669" t="n"/>
      <c r="W677" s="669" t="n"/>
      <c r="X677" s="669" t="n"/>
      <c r="Y677" s="669" t="n"/>
      <c r="Z677" s="669" t="n"/>
    </row>
    <row r="678">
      <c r="A678" s="251" t="inlineStr">
        <is>
          <t>RUSH</t>
        </is>
      </c>
      <c r="B678" s="252" t="inlineStr">
        <is>
          <t>Rarity</t>
        </is>
      </c>
      <c r="C678" s="252" t="inlineStr">
        <is>
          <t>Type</t>
        </is>
      </c>
      <c r="D678" s="252" t="inlineStr">
        <is>
          <t>Base</t>
        </is>
      </c>
      <c r="E678" s="252" t="inlineStr">
        <is>
          <t>Awakening Base</t>
        </is>
      </c>
      <c r="F678" s="252" t="inlineStr">
        <is>
          <t>Percentage</t>
        </is>
      </c>
      <c r="G678" s="252" t="inlineStr">
        <is>
          <t>Awakening Percentage</t>
        </is>
      </c>
      <c r="H678" s="252" t="inlineStr">
        <is>
          <t>Per Minion</t>
        </is>
      </c>
      <c r="I678" s="252" t="inlineStr">
        <is>
          <t>Per Minion Boost</t>
        </is>
      </c>
      <c r="J678" s="253" t="inlineStr">
        <is>
          <t>Source</t>
        </is>
      </c>
      <c r="K678" s="669" t="n"/>
      <c r="L678" s="669" t="n"/>
      <c r="M678" s="669" t="n"/>
      <c r="N678" s="669" t="n"/>
      <c r="O678" s="669" t="n"/>
      <c r="P678" s="669" t="n"/>
      <c r="Q678" s="669" t="n"/>
      <c r="R678" s="669" t="n"/>
      <c r="S678" s="669" t="n"/>
      <c r="T678" s="669" t="n"/>
      <c r="U678" s="669" t="n"/>
      <c r="V678" s="669" t="n"/>
      <c r="W678" s="669" t="n"/>
      <c r="X678" s="669" t="n"/>
      <c r="Y678" s="669" t="n"/>
      <c r="Z678" s="669" t="n"/>
    </row>
    <row r="679">
      <c r="A679" s="507" t="inlineStr">
        <is>
          <t>Marconi Telegraph</t>
        </is>
      </c>
      <c r="B679" s="1037" t="inlineStr">
        <is>
          <t>AA</t>
        </is>
      </c>
      <c r="C679" s="1037" t="inlineStr">
        <is>
          <t>TECH</t>
        </is>
      </c>
      <c r="D679" s="479" t="n">
        <v>28</v>
      </c>
      <c r="E679" s="934" t="n">
        <v>28</v>
      </c>
      <c r="F679" s="934" t="n"/>
      <c r="G679" s="934" t="n"/>
      <c r="H679" s="479" t="n">
        <v>30</v>
      </c>
      <c r="I679" s="255">
        <f>(D679+E679)/H679</f>
        <v/>
      </c>
      <c r="J679" s="256" t="inlineStr">
        <is>
          <t>T6.5 Mecha Gene Research</t>
        </is>
      </c>
      <c r="K679" s="669" t="n"/>
      <c r="L679" s="669" t="n"/>
      <c r="M679" s="669" t="n"/>
      <c r="N679" s="669" t="n"/>
      <c r="O679" s="669" t="n"/>
      <c r="P679" s="669" t="n"/>
      <c r="Q679" s="669" t="n"/>
      <c r="R679" s="669" t="n"/>
      <c r="S679" s="669" t="n"/>
      <c r="T679" s="669" t="n"/>
      <c r="U679" s="669" t="n"/>
      <c r="V679" s="669" t="n"/>
      <c r="W679" s="669" t="n"/>
      <c r="X679" s="669" t="n"/>
      <c r="Y679" s="669" t="n"/>
      <c r="Z679" s="669" t="n"/>
    </row>
    <row r="680">
      <c r="A680" s="246" t="inlineStr">
        <is>
          <t>Deep Navy Computer</t>
        </is>
      </c>
      <c r="B680" s="1037" t="inlineStr">
        <is>
          <t>SSS</t>
        </is>
      </c>
      <c r="C680" s="1037" t="inlineStr">
        <is>
          <t>TECH</t>
        </is>
      </c>
      <c r="D680" s="268" t="n">
        <v>90</v>
      </c>
      <c r="E680" s="209" t="n"/>
      <c r="F680" s="209" t="n"/>
      <c r="G680" s="209" t="n"/>
      <c r="H680" s="479" t="n">
        <v>30</v>
      </c>
      <c r="I680" s="255">
        <f>(D680+E680)/H680</f>
        <v/>
      </c>
      <c r="J680" s="935" t="inlineStr">
        <is>
          <t>Lottery Machine #2 (0.12%)</t>
        </is>
      </c>
      <c r="K680" s="669" t="n"/>
      <c r="L680" s="669" t="n"/>
      <c r="M680" s="669" t="n"/>
      <c r="N680" s="669" t="n"/>
      <c r="O680" s="669" t="n"/>
      <c r="P680" s="669" t="n"/>
      <c r="Q680" s="669" t="n"/>
      <c r="R680" s="669" t="n"/>
      <c r="S680" s="669" t="n"/>
      <c r="T680" s="669" t="n"/>
      <c r="U680" s="669" t="n"/>
      <c r="V680" s="669" t="n"/>
      <c r="W680" s="669" t="n"/>
      <c r="X680" s="669" t="n"/>
      <c r="Y680" s="669" t="n"/>
      <c r="Z680" s="669" t="n"/>
    </row>
    <row r="681">
      <c r="A681" s="246" t="inlineStr">
        <is>
          <t>Matrix System</t>
        </is>
      </c>
      <c r="B681" s="1037" t="inlineStr">
        <is>
          <t>SS</t>
        </is>
      </c>
      <c r="C681" s="1037" t="inlineStr">
        <is>
          <t>TECH</t>
        </is>
      </c>
      <c r="D681" s="268" t="n">
        <v>90</v>
      </c>
      <c r="E681" s="209" t="n"/>
      <c r="F681" s="209" t="n"/>
      <c r="G681" s="209" t="n"/>
      <c r="H681" s="268" t="n">
        <v>60</v>
      </c>
      <c r="I681" s="210">
        <f>(D681+E681)/H681</f>
        <v/>
      </c>
      <c r="J681" s="256" t="inlineStr">
        <is>
          <t>T7.5 Mecha Gene Research</t>
        </is>
      </c>
      <c r="K681" s="669" t="n"/>
      <c r="L681" s="669" t="n"/>
      <c r="M681" s="669" t="n"/>
      <c r="N681" s="669" t="n"/>
      <c r="O681" s="669" t="n"/>
      <c r="P681" s="669" t="n"/>
      <c r="Q681" s="669" t="n"/>
      <c r="R681" s="669" t="n"/>
      <c r="S681" s="669" t="n"/>
      <c r="T681" s="669" t="n"/>
      <c r="U681" s="669" t="n"/>
      <c r="V681" s="669" t="n"/>
      <c r="W681" s="669" t="n"/>
      <c r="X681" s="669" t="n"/>
      <c r="Y681" s="669" t="n"/>
      <c r="Z681" s="669" t="n"/>
    </row>
    <row r="682">
      <c r="A682" s="246" t="inlineStr">
        <is>
          <t>Leyden Jar</t>
        </is>
      </c>
      <c r="B682" s="1037" t="inlineStr">
        <is>
          <t>A</t>
        </is>
      </c>
      <c r="C682" s="1037" t="inlineStr">
        <is>
          <t>TECH</t>
        </is>
      </c>
      <c r="D682" s="209" t="n">
        <v>28</v>
      </c>
      <c r="E682" s="209" t="n"/>
      <c r="F682" s="268" t="n"/>
      <c r="G682" s="209" t="n"/>
      <c r="H682" s="267" t="n">
        <v>30</v>
      </c>
      <c r="I682" s="255">
        <f>(D682+E682)/H682</f>
        <v/>
      </c>
      <c r="J682" s="935" t="inlineStr">
        <is>
          <t>Lottery Machine #2 (?%)</t>
        </is>
      </c>
      <c r="K682" s="669" t="n"/>
      <c r="L682" s="669" t="n"/>
      <c r="M682" s="669" t="n"/>
      <c r="N682" s="669" t="n"/>
      <c r="O682" s="669" t="n"/>
      <c r="P682" s="669" t="n"/>
      <c r="Q682" s="669" t="n"/>
      <c r="R682" s="669" t="n"/>
      <c r="S682" s="669" t="n"/>
      <c r="T682" s="669" t="n"/>
      <c r="U682" s="669" t="n"/>
      <c r="V682" s="669" t="n"/>
      <c r="W682" s="669" t="n"/>
      <c r="X682" s="669" t="n"/>
      <c r="Y682" s="669" t="n"/>
      <c r="Z682" s="669" t="n"/>
    </row>
    <row r="683">
      <c r="A683" s="246" t="inlineStr">
        <is>
          <t>EPR Paradox</t>
        </is>
      </c>
      <c r="B683" s="1037" t="inlineStr">
        <is>
          <t>SSS</t>
        </is>
      </c>
      <c r="C683" s="1037" t="inlineStr">
        <is>
          <t>TECH</t>
        </is>
      </c>
      <c r="D683" s="209" t="n"/>
      <c r="E683" s="209" t="n"/>
      <c r="F683" s="209" t="n">
        <v>12</v>
      </c>
      <c r="G683" s="209" t="n"/>
      <c r="H683" s="209" t="n"/>
      <c r="I683" s="371" t="n"/>
      <c r="J683" s="390" t="inlineStr">
        <is>
          <t>WIsh Box Relic #8</t>
        </is>
      </c>
      <c r="K683" s="669" t="n"/>
      <c r="L683" s="669" t="n"/>
      <c r="M683" s="669" t="n"/>
      <c r="N683" s="669" t="n"/>
      <c r="O683" s="669" t="n"/>
      <c r="P683" s="669" t="n"/>
      <c r="Q683" s="669" t="n"/>
      <c r="R683" s="669" t="n"/>
      <c r="S683" s="669" t="n"/>
      <c r="T683" s="669" t="n"/>
      <c r="U683" s="669" t="n"/>
      <c r="V683" s="669" t="n"/>
      <c r="W683" s="669" t="n"/>
      <c r="X683" s="669" t="n"/>
      <c r="Y683" s="669" t="n"/>
      <c r="Z683" s="669" t="n"/>
    </row>
    <row r="684">
      <c r="A684" s="246" t="inlineStr">
        <is>
          <t>Kola Peninsula Drill</t>
        </is>
      </c>
      <c r="B684" s="1037" t="inlineStr">
        <is>
          <t>SSS</t>
        </is>
      </c>
      <c r="C684" s="1037" t="inlineStr">
        <is>
          <t>TECH</t>
        </is>
      </c>
      <c r="D684" s="209" t="n"/>
      <c r="E684" s="209" t="n"/>
      <c r="F684" s="268" t="n">
        <v>12</v>
      </c>
      <c r="G684" s="209" t="n"/>
      <c r="H684" s="209" t="n"/>
      <c r="I684" s="209" t="n"/>
      <c r="J684" s="201" t="inlineStr">
        <is>
          <t>Lottery Machine #2 (?%)</t>
        </is>
      </c>
      <c r="K684" s="669" t="n"/>
      <c r="L684" s="669" t="n"/>
      <c r="M684" s="669" t="n"/>
      <c r="N684" s="669" t="n"/>
      <c r="O684" s="669" t="n"/>
      <c r="P684" s="669" t="n"/>
      <c r="Q684" s="669" t="n"/>
      <c r="R684" s="669" t="n"/>
      <c r="S684" s="669" t="n"/>
      <c r="T684" s="669" t="n"/>
      <c r="U684" s="669" t="n"/>
      <c r="V684" s="669" t="n"/>
      <c r="W684" s="669" t="n"/>
      <c r="X684" s="669" t="n"/>
      <c r="Y684" s="669" t="n"/>
      <c r="Z684" s="669" t="n"/>
    </row>
    <row r="685">
      <c r="A685" s="246" t="inlineStr">
        <is>
          <t>MoCA</t>
        </is>
      </c>
      <c r="B685" s="1037" t="inlineStr">
        <is>
          <t>SSS</t>
        </is>
      </c>
      <c r="C685" s="1037" t="inlineStr">
        <is>
          <t>TECH</t>
        </is>
      </c>
      <c r="D685" s="209" t="n"/>
      <c r="E685" s="209" t="n"/>
      <c r="F685" s="268" t="n">
        <v>12</v>
      </c>
      <c r="G685" s="209" t="n"/>
      <c r="H685" s="209" t="n"/>
      <c r="I685" s="209" t="n"/>
      <c r="J685" s="281" t="inlineStr">
        <is>
          <t>Lucky Box Reward Batch no. 15</t>
        </is>
      </c>
      <c r="K685" s="669" t="n"/>
      <c r="L685" s="669" t="n"/>
      <c r="M685" s="669" t="n"/>
      <c r="N685" s="669" t="n"/>
      <c r="O685" s="669" t="n"/>
      <c r="P685" s="669" t="n"/>
      <c r="Q685" s="669" t="n"/>
      <c r="R685" s="669" t="n"/>
      <c r="S685" s="669" t="n"/>
      <c r="T685" s="669" t="n"/>
      <c r="U685" s="669" t="n"/>
      <c r="V685" s="669" t="n"/>
      <c r="W685" s="669" t="n"/>
      <c r="X685" s="669" t="n"/>
      <c r="Y685" s="669" t="n"/>
      <c r="Z685" s="669" t="n"/>
    </row>
    <row r="686">
      <c r="A686" s="246" t="inlineStr">
        <is>
          <t>Antarctic Treaty</t>
        </is>
      </c>
      <c r="B686" s="1037" t="inlineStr">
        <is>
          <t>SSS</t>
        </is>
      </c>
      <c r="C686" s="1037" t="inlineStr">
        <is>
          <t>FAME</t>
        </is>
      </c>
      <c r="D686" s="209" t="n"/>
      <c r="E686" s="209" t="n"/>
      <c r="F686" s="268" t="n">
        <v>12</v>
      </c>
      <c r="G686" s="209" t="n"/>
      <c r="H686" s="209" t="n"/>
      <c r="I686" s="209" t="n"/>
      <c r="J686" s="935" t="inlineStr">
        <is>
          <t>Lottery Machine #2 (0.12%)</t>
        </is>
      </c>
      <c r="K686" s="669" t="n"/>
      <c r="L686" s="669" t="n"/>
      <c r="M686" s="669" t="n"/>
      <c r="N686" s="669" t="n"/>
      <c r="O686" s="669" t="n"/>
      <c r="P686" s="669" t="n"/>
      <c r="Q686" s="669" t="n"/>
      <c r="R686" s="669" t="n"/>
      <c r="S686" s="669" t="n"/>
      <c r="T686" s="669" t="n"/>
      <c r="U686" s="669" t="n"/>
      <c r="V686" s="669" t="n"/>
      <c r="W686" s="669" t="n"/>
      <c r="X686" s="669" t="n"/>
      <c r="Y686" s="669" t="n"/>
      <c r="Z686" s="669" t="n"/>
    </row>
    <row r="687">
      <c r="A687" s="246" t="inlineStr">
        <is>
          <t>Zeppelin</t>
        </is>
      </c>
      <c r="B687" s="1037" t="inlineStr">
        <is>
          <t>SS</t>
        </is>
      </c>
      <c r="C687" s="1037" t="inlineStr">
        <is>
          <t>TECH</t>
        </is>
      </c>
      <c r="D687" s="209" t="n"/>
      <c r="E687" s="209" t="n"/>
      <c r="F687" s="268" t="n">
        <v>11</v>
      </c>
      <c r="G687" s="268" t="n"/>
      <c r="H687" s="209" t="n"/>
      <c r="I687" s="209" t="n"/>
      <c r="J687" s="390" t="inlineStr">
        <is>
          <t>Lottery Machine #3 (?%)</t>
        </is>
      </c>
      <c r="K687" s="669" t="n"/>
      <c r="L687" s="669" t="n"/>
      <c r="M687" s="669" t="n"/>
      <c r="N687" s="669" t="n"/>
      <c r="O687" s="669" t="n"/>
      <c r="P687" s="669" t="n"/>
      <c r="Q687" s="669" t="n"/>
      <c r="R687" s="669" t="n"/>
      <c r="S687" s="669" t="n"/>
      <c r="T687" s="669" t="n"/>
      <c r="U687" s="669" t="n"/>
      <c r="V687" s="669" t="n"/>
      <c r="W687" s="669" t="n"/>
      <c r="X687" s="669" t="n"/>
      <c r="Y687" s="669" t="n"/>
      <c r="Z687" s="669" t="n"/>
    </row>
    <row r="688">
      <c r="A688" s="246" t="inlineStr">
        <is>
          <t>CAL 9000</t>
        </is>
      </c>
      <c r="B688" s="1037" t="inlineStr">
        <is>
          <t>AAA</t>
        </is>
      </c>
      <c r="C688" s="1037" t="inlineStr">
        <is>
          <t>TECH</t>
        </is>
      </c>
      <c r="D688" s="209" t="n"/>
      <c r="E688" s="209" t="n"/>
      <c r="F688" s="268" t="n">
        <v>9</v>
      </c>
      <c r="G688" s="268" t="n"/>
      <c r="H688" s="209" t="n"/>
      <c r="I688" s="209" t="n"/>
      <c r="J688" s="256" t="inlineStr">
        <is>
          <t>Lottery Machine #2 (?%)</t>
        </is>
      </c>
      <c r="K688" s="669" t="n"/>
      <c r="L688" s="669" t="n"/>
      <c r="M688" s="669" t="n"/>
      <c r="N688" s="669" t="n"/>
      <c r="O688" s="669" t="n"/>
      <c r="P688" s="669" t="n"/>
      <c r="Q688" s="669" t="n"/>
      <c r="R688" s="669" t="n"/>
      <c r="S688" s="669" t="n"/>
      <c r="T688" s="669" t="n"/>
      <c r="U688" s="669" t="n"/>
      <c r="V688" s="669" t="n"/>
      <c r="W688" s="669" t="n"/>
      <c r="X688" s="669" t="n"/>
      <c r="Y688" s="669" t="n"/>
      <c r="Z688" s="669" t="n"/>
    </row>
    <row r="689">
      <c r="A689" s="246" t="inlineStr">
        <is>
          <t>Daguerrotype Camera</t>
        </is>
      </c>
      <c r="B689" s="1037" t="inlineStr">
        <is>
          <t>Blue</t>
        </is>
      </c>
      <c r="C689" s="1037" t="inlineStr">
        <is>
          <t>TECH</t>
        </is>
      </c>
      <c r="D689" s="209" t="n"/>
      <c r="E689" s="209" t="n"/>
      <c r="F689" s="268" t="n">
        <v>5</v>
      </c>
      <c r="G689" s="268" t="n">
        <v>5</v>
      </c>
      <c r="H689" s="209" t="n"/>
      <c r="I689" s="209" t="n"/>
      <c r="J689" s="256" t="inlineStr">
        <is>
          <t>Lottery Machine #2 (?%)</t>
        </is>
      </c>
      <c r="K689" s="669" t="n"/>
      <c r="L689" s="669" t="n"/>
      <c r="M689" s="669" t="n"/>
      <c r="N689" s="669" t="n"/>
      <c r="O689" s="669" t="n"/>
      <c r="P689" s="669" t="n"/>
      <c r="Q689" s="669" t="n"/>
      <c r="R689" s="669" t="n"/>
      <c r="S689" s="669" t="n"/>
      <c r="T689" s="669" t="n"/>
      <c r="U689" s="669" t="n"/>
      <c r="V689" s="669" t="n"/>
      <c r="W689" s="669" t="n"/>
      <c r="X689" s="669" t="n"/>
      <c r="Y689" s="669" t="n"/>
      <c r="Z689" s="669" t="n"/>
    </row>
    <row r="690">
      <c r="A690" s="933" t="n"/>
      <c r="B690" s="1037" t="n"/>
      <c r="C690" s="934" t="n"/>
      <c r="D690" s="934" t="n"/>
      <c r="E690" s="934" t="n"/>
      <c r="F690" s="934" t="n"/>
      <c r="G690" s="934" t="n"/>
      <c r="H690" s="934" t="n"/>
      <c r="I690" s="934" t="n"/>
      <c r="J690" s="935" t="n"/>
      <c r="K690" s="669" t="n"/>
      <c r="L690" s="669" t="n"/>
      <c r="M690" s="669" t="n"/>
      <c r="N690" s="669" t="n"/>
      <c r="O690" s="669" t="n"/>
      <c r="P690" s="669" t="n"/>
      <c r="Q690" s="669" t="n"/>
      <c r="R690" s="669" t="n"/>
      <c r="S690" s="669" t="n"/>
      <c r="T690" s="669" t="n"/>
      <c r="U690" s="669" t="n"/>
      <c r="V690" s="669" t="n"/>
      <c r="W690" s="669" t="n"/>
      <c r="X690" s="669" t="n"/>
      <c r="Y690" s="669" t="n"/>
      <c r="Z690" s="669" t="n"/>
    </row>
    <row r="691">
      <c r="A691" s="246" t="inlineStr">
        <is>
          <t>Resonance: Blue</t>
        </is>
      </c>
      <c r="B691" s="209" t="n"/>
      <c r="C691" s="934" t="n"/>
      <c r="D691" s="210" t="n">
        <v>5</v>
      </c>
      <c r="E691" s="209" t="n"/>
      <c r="F691" s="209" t="n"/>
      <c r="G691" s="209" t="n"/>
      <c r="H691" s="210" t="n">
        <v>10</v>
      </c>
      <c r="I691" s="210">
        <f>(D691+E691)/H691</f>
        <v/>
      </c>
      <c r="J691" s="256" t="n"/>
      <c r="K691" s="669" t="n"/>
      <c r="L691" s="669" t="n"/>
      <c r="M691" s="669" t="n"/>
      <c r="N691" s="669" t="n"/>
      <c r="O691" s="669" t="n"/>
      <c r="P691" s="669" t="n"/>
      <c r="Q691" s="669" t="n"/>
      <c r="R691" s="669" t="n"/>
      <c r="S691" s="669" t="n"/>
      <c r="T691" s="669" t="n"/>
      <c r="U691" s="669" t="n"/>
      <c r="V691" s="669" t="n"/>
      <c r="W691" s="669" t="n"/>
      <c r="X691" s="669" t="n"/>
      <c r="Y691" s="669" t="n"/>
      <c r="Z691" s="669" t="n"/>
    </row>
    <row r="692">
      <c r="A692" s="507" t="inlineStr">
        <is>
          <t xml:space="preserve">  Hamilton's Washer</t>
        </is>
      </c>
      <c r="B692" s="1037" t="inlineStr">
        <is>
          <t>Blue</t>
        </is>
      </c>
      <c r="C692" s="1037" t="inlineStr">
        <is>
          <t>FAME</t>
        </is>
      </c>
      <c r="D692" s="934" t="n"/>
      <c r="E692" s="934" t="n"/>
      <c r="F692" s="934" t="n"/>
      <c r="G692" s="934" t="n"/>
      <c r="H692" s="934" t="n"/>
      <c r="I692" s="934" t="n"/>
      <c r="J692" s="935" t="inlineStr">
        <is>
          <t>Lottery Machine #2 (?%)</t>
        </is>
      </c>
      <c r="K692" s="669" t="n"/>
      <c r="L692" s="669" t="n"/>
      <c r="M692" s="669" t="n"/>
      <c r="N692" s="669" t="n"/>
      <c r="O692" s="669" t="n"/>
      <c r="P692" s="669" t="n"/>
      <c r="Q692" s="669" t="n"/>
      <c r="R692" s="669" t="n"/>
      <c r="S692" s="669" t="n"/>
      <c r="T692" s="669" t="n"/>
      <c r="U692" s="669" t="n"/>
      <c r="V692" s="669" t="n"/>
      <c r="W692" s="669" t="n"/>
      <c r="X692" s="669" t="n"/>
      <c r="Y692" s="669" t="n"/>
      <c r="Z692" s="669" t="n"/>
    </row>
    <row r="693">
      <c r="A693" s="246" t="inlineStr">
        <is>
          <t xml:space="preserve">  Diesel Engine</t>
        </is>
      </c>
      <c r="B693" s="1037" t="inlineStr">
        <is>
          <t>Blue</t>
        </is>
      </c>
      <c r="C693" s="1037" t="inlineStr">
        <is>
          <t>FAME</t>
        </is>
      </c>
      <c r="D693" s="209" t="n"/>
      <c r="E693" s="209" t="n"/>
      <c r="F693" s="209" t="n"/>
      <c r="G693" s="209" t="n"/>
      <c r="H693" s="209" t="n"/>
      <c r="I693" s="209" t="n"/>
      <c r="J693" s="256" t="inlineStr">
        <is>
          <t>Lottery Machine #2 (?%)</t>
        </is>
      </c>
      <c r="K693" s="669" t="n"/>
      <c r="L693" s="669" t="n"/>
      <c r="M693" s="669" t="n"/>
      <c r="N693" s="669" t="n"/>
      <c r="O693" s="669" t="n"/>
      <c r="P693" s="669" t="n"/>
      <c r="Q693" s="669" t="n"/>
      <c r="R693" s="669" t="n"/>
      <c r="S693" s="669" t="n"/>
      <c r="T693" s="669" t="n"/>
      <c r="U693" s="669" t="n"/>
      <c r="V693" s="669" t="n"/>
      <c r="W693" s="669" t="n"/>
      <c r="X693" s="669" t="n"/>
      <c r="Y693" s="669" t="n"/>
      <c r="Z693" s="669" t="n"/>
    </row>
    <row r="694">
      <c r="A694" s="507" t="inlineStr">
        <is>
          <t>Resonance: Purple</t>
        </is>
      </c>
      <c r="B694" s="934" t="n"/>
      <c r="C694" s="934" t="n"/>
      <c r="D694" s="934" t="n"/>
      <c r="E694" s="934" t="n"/>
      <c r="F694" s="479" t="n">
        <v>6</v>
      </c>
      <c r="G694" s="934" t="n"/>
      <c r="H694" s="934" t="n"/>
      <c r="I694" s="934" t="n"/>
      <c r="J694" s="935" t="n"/>
      <c r="K694" s="669" t="n"/>
      <c r="L694" s="669" t="n"/>
      <c r="M694" s="669" t="n"/>
      <c r="N694" s="669" t="n"/>
      <c r="O694" s="669" t="n"/>
      <c r="P694" s="669" t="n"/>
      <c r="Q694" s="669" t="n"/>
      <c r="R694" s="669" t="n"/>
      <c r="S694" s="669" t="n"/>
      <c r="T694" s="669" t="n"/>
      <c r="U694" s="669" t="n"/>
      <c r="V694" s="669" t="n"/>
      <c r="W694" s="669" t="n"/>
      <c r="X694" s="669" t="n"/>
      <c r="Y694" s="669" t="n"/>
      <c r="Z694" s="669" t="n"/>
    </row>
    <row r="695">
      <c r="A695" s="246" t="inlineStr">
        <is>
          <t xml:space="preserve">  M. Interferometer</t>
        </is>
      </c>
      <c r="B695" s="1037" t="inlineStr">
        <is>
          <t>AAA</t>
        </is>
      </c>
      <c r="C695" s="1037" t="inlineStr">
        <is>
          <t>TECH</t>
        </is>
      </c>
      <c r="D695" s="209" t="n"/>
      <c r="E695" s="209" t="n"/>
      <c r="F695" s="209" t="n"/>
      <c r="G695" s="209" t="n"/>
      <c r="H695" s="209" t="n"/>
      <c r="I695" s="209" t="n"/>
      <c r="J695" s="256" t="inlineStr">
        <is>
          <t>Lottery Machine #2 (?%)</t>
        </is>
      </c>
      <c r="K695" s="669" t="n"/>
      <c r="L695" s="669" t="n"/>
      <c r="M695" s="669" t="n"/>
      <c r="N695" s="669" t="n"/>
      <c r="O695" s="669" t="n"/>
      <c r="P695" s="669" t="n"/>
      <c r="Q695" s="669" t="n"/>
      <c r="R695" s="669" t="n"/>
      <c r="S695" s="669" t="n"/>
      <c r="T695" s="669" t="n"/>
      <c r="U695" s="669" t="n"/>
      <c r="V695" s="669" t="n"/>
      <c r="W695" s="669" t="n"/>
      <c r="X695" s="669" t="n"/>
      <c r="Y695" s="669" t="n"/>
      <c r="Z695" s="669" t="n"/>
    </row>
    <row r="696">
      <c r="A696" s="507" t="inlineStr">
        <is>
          <t xml:space="preserve">  Fleming's Diode</t>
        </is>
      </c>
      <c r="B696" s="1037" t="inlineStr">
        <is>
          <t>AAA</t>
        </is>
      </c>
      <c r="C696" s="1037" t="inlineStr">
        <is>
          <t>TECH</t>
        </is>
      </c>
      <c r="D696" s="934" t="n"/>
      <c r="E696" s="934" t="n"/>
      <c r="F696" s="934" t="n"/>
      <c r="G696" s="934" t="n"/>
      <c r="H696" s="934" t="n"/>
      <c r="I696" s="934" t="n"/>
      <c r="J696" s="935" t="inlineStr">
        <is>
          <t>Lottery Machine #2 (?%)</t>
        </is>
      </c>
      <c r="K696" s="669" t="n"/>
      <c r="L696" s="669" t="n"/>
      <c r="M696" s="669" t="n"/>
      <c r="N696" s="669" t="n"/>
      <c r="O696" s="669" t="n"/>
      <c r="P696" s="669" t="n"/>
      <c r="Q696" s="669" t="n"/>
      <c r="R696" s="669" t="n"/>
      <c r="S696" s="669" t="n"/>
      <c r="T696" s="669" t="n"/>
      <c r="U696" s="669" t="n"/>
      <c r="V696" s="669" t="n"/>
      <c r="W696" s="669" t="n"/>
      <c r="X696" s="669" t="n"/>
      <c r="Y696" s="669" t="n"/>
      <c r="Z696" s="669" t="n"/>
    </row>
    <row r="697">
      <c r="A697" s="272" t="inlineStr">
        <is>
          <t>TOTAL RUSH</t>
        </is>
      </c>
      <c r="B697" s="214" t="n"/>
      <c r="C697" s="214" t="n"/>
      <c r="D697" s="214" t="n"/>
      <c r="E697" s="214" t="n"/>
      <c r="F697" s="215">
        <f>sum(F679:G696)</f>
        <v/>
      </c>
      <c r="G697" s="214" t="n"/>
      <c r="H697" s="214" t="n"/>
      <c r="I697" s="228">
        <f>sum(I679:I696)</f>
        <v/>
      </c>
      <c r="J697" s="216" t="n"/>
      <c r="K697" s="669" t="n"/>
      <c r="L697" s="669" t="n"/>
      <c r="M697" s="669" t="n"/>
      <c r="N697" s="669" t="n"/>
      <c r="O697" s="669" t="n"/>
      <c r="P697" s="669" t="n"/>
      <c r="Q697" s="669" t="n"/>
      <c r="R697" s="669" t="n"/>
      <c r="S697" s="669" t="n"/>
      <c r="T697" s="669" t="n"/>
      <c r="U697" s="669" t="n"/>
      <c r="V697" s="669" t="n"/>
      <c r="W697" s="669" t="n"/>
      <c r="X697" s="669" t="n"/>
      <c r="Y697" s="669" t="n"/>
      <c r="Z697" s="669" t="n"/>
    </row>
    <row r="698">
      <c r="A698" s="1037" t="n"/>
      <c r="B698" s="1037" t="n"/>
      <c r="C698" s="1037" t="n"/>
      <c r="D698" s="1037" t="n"/>
      <c r="E698" s="1037" t="n"/>
      <c r="F698" s="1037" t="n"/>
      <c r="G698" s="1037" t="n"/>
      <c r="H698" s="1037" t="n"/>
      <c r="I698" s="1037" t="n"/>
      <c r="J698" s="1037" t="n"/>
      <c r="K698" s="669" t="n"/>
      <c r="L698" s="669" t="n"/>
      <c r="M698" s="669" t="n"/>
      <c r="N698" s="669" t="n"/>
      <c r="O698" s="669" t="n"/>
      <c r="P698" s="669" t="n"/>
      <c r="Q698" s="669" t="n"/>
      <c r="R698" s="669" t="n"/>
      <c r="S698" s="669" t="n"/>
      <c r="T698" s="669" t="n"/>
      <c r="U698" s="669" t="n"/>
      <c r="V698" s="669" t="n"/>
      <c r="W698" s="669" t="n"/>
      <c r="X698" s="669" t="n"/>
      <c r="Y698" s="669" t="n"/>
      <c r="Z698" s="669" t="n"/>
    </row>
    <row r="699">
      <c r="A699" s="1079" t="n"/>
      <c r="B699" s="1079" t="n"/>
      <c r="C699" s="1079" t="n"/>
      <c r="D699" s="1079" t="n"/>
      <c r="E699" s="1079" t="n"/>
      <c r="F699" s="1079" t="n"/>
      <c r="G699" s="1079" t="n"/>
      <c r="H699" s="1079" t="n"/>
      <c r="I699" s="1079" t="n"/>
      <c r="J699" s="1079" t="n"/>
      <c r="K699" s="669" t="n"/>
      <c r="L699" s="669" t="n"/>
      <c r="M699" s="669" t="n"/>
      <c r="N699" s="669" t="n"/>
      <c r="O699" s="669" t="n"/>
      <c r="P699" s="669" t="n"/>
      <c r="Q699" s="669" t="n"/>
      <c r="R699" s="669" t="n"/>
      <c r="S699" s="669" t="n"/>
      <c r="T699" s="669" t="n"/>
      <c r="U699" s="669" t="n"/>
      <c r="V699" s="669" t="n"/>
      <c r="W699" s="669" t="n"/>
      <c r="X699" s="669" t="n"/>
      <c r="Y699" s="669" t="n"/>
      <c r="Z699" s="669" t="n"/>
    </row>
    <row r="700">
      <c r="A700" s="273" t="inlineStr">
        <is>
          <t>DEF</t>
        </is>
      </c>
      <c r="B700" s="274" t="inlineStr">
        <is>
          <t>Rarity</t>
        </is>
      </c>
      <c r="C700" s="274" t="inlineStr">
        <is>
          <t>Type</t>
        </is>
      </c>
      <c r="D700" s="274" t="inlineStr">
        <is>
          <t>Base</t>
        </is>
      </c>
      <c r="E700" s="274" t="inlineStr">
        <is>
          <t>Awakening Base</t>
        </is>
      </c>
      <c r="F700" s="274" t="inlineStr">
        <is>
          <t>Percentage</t>
        </is>
      </c>
      <c r="G700" s="274" t="inlineStr">
        <is>
          <t>Awakening Percentage</t>
        </is>
      </c>
      <c r="H700" s="274" t="inlineStr">
        <is>
          <t>Per Minion</t>
        </is>
      </c>
      <c r="I700" s="274" t="inlineStr">
        <is>
          <t>Per Minion Boost</t>
        </is>
      </c>
      <c r="J700" s="275" t="inlineStr">
        <is>
          <t>Source</t>
        </is>
      </c>
      <c r="K700" s="669" t="n"/>
      <c r="L700" s="669" t="n"/>
      <c r="M700" s="669" t="n"/>
      <c r="N700" s="669" t="n"/>
      <c r="O700" s="669" t="n"/>
      <c r="P700" s="669" t="n"/>
      <c r="Q700" s="669" t="n"/>
      <c r="R700" s="669" t="n"/>
      <c r="S700" s="669" t="n"/>
      <c r="T700" s="669" t="n"/>
      <c r="U700" s="669" t="n"/>
      <c r="V700" s="669" t="n"/>
      <c r="W700" s="669" t="n"/>
      <c r="X700" s="669" t="n"/>
      <c r="Y700" s="669" t="n"/>
      <c r="Z700" s="669" t="n"/>
    </row>
    <row r="701">
      <c r="A701" s="246" t="inlineStr">
        <is>
          <t>Matrix System</t>
        </is>
      </c>
      <c r="B701" s="1037" t="inlineStr">
        <is>
          <t>SS</t>
        </is>
      </c>
      <c r="C701" s="1037" t="inlineStr">
        <is>
          <t>TECH</t>
        </is>
      </c>
      <c r="D701" s="210" t="n">
        <v>90</v>
      </c>
      <c r="E701" s="209" t="n"/>
      <c r="F701" s="209" t="n"/>
      <c r="G701" s="209" t="n"/>
      <c r="H701" s="210" t="n">
        <v>60</v>
      </c>
      <c r="I701" s="210">
        <f>(D701+E701)/H701</f>
        <v/>
      </c>
      <c r="J701" s="256" t="inlineStr">
        <is>
          <t>T7.5 Mecha Gene Research</t>
        </is>
      </c>
      <c r="K701" s="669" t="n"/>
      <c r="L701" s="669" t="n"/>
      <c r="M701" s="669" t="n"/>
      <c r="N701" s="669" t="n"/>
      <c r="O701" s="669" t="n"/>
      <c r="P701" s="669" t="n"/>
      <c r="Q701" s="669" t="n"/>
      <c r="R701" s="669" t="n"/>
      <c r="S701" s="669" t="n"/>
      <c r="T701" s="669" t="n"/>
      <c r="U701" s="669" t="n"/>
      <c r="V701" s="669" t="n"/>
      <c r="W701" s="669" t="n"/>
      <c r="X701" s="669" t="n"/>
      <c r="Y701" s="669" t="n"/>
      <c r="Z701" s="669" t="n"/>
    </row>
    <row r="702">
      <c r="A702" s="246" t="inlineStr">
        <is>
          <t>Otis Elevator</t>
        </is>
      </c>
      <c r="B702" s="1037" t="inlineStr">
        <is>
          <t>AA</t>
        </is>
      </c>
      <c r="C702" s="1037" t="inlineStr">
        <is>
          <t>FAME</t>
        </is>
      </c>
      <c r="D702" s="209" t="n">
        <v>32</v>
      </c>
      <c r="E702" s="209" t="n"/>
      <c r="F702" s="268" t="n"/>
      <c r="G702" s="209" t="n"/>
      <c r="H702" s="267" t="n"/>
      <c r="I702" s="255" t="n"/>
      <c r="J702" s="256" t="inlineStr">
        <is>
          <t>Lottery Machine #2 (?%)</t>
        </is>
      </c>
      <c r="K702" s="669" t="n"/>
      <c r="L702" s="669" t="n"/>
      <c r="M702" s="669" t="n"/>
      <c r="N702" s="669" t="n"/>
      <c r="O702" s="669" t="n"/>
      <c r="P702" s="669" t="n"/>
      <c r="Q702" s="669" t="n"/>
      <c r="R702" s="669" t="n"/>
      <c r="S702" s="669" t="n"/>
      <c r="T702" s="669" t="n"/>
      <c r="U702" s="669" t="n"/>
      <c r="V702" s="669" t="n"/>
      <c r="W702" s="669" t="n"/>
      <c r="X702" s="669" t="n"/>
      <c r="Y702" s="669" t="n"/>
      <c r="Z702" s="669" t="n"/>
    </row>
    <row r="703">
      <c r="A703" s="246" t="inlineStr">
        <is>
          <t>Marconi Telegraph</t>
        </is>
      </c>
      <c r="B703" s="1037" t="inlineStr">
        <is>
          <t>AA</t>
        </is>
      </c>
      <c r="C703" s="1037" t="inlineStr">
        <is>
          <t>TECH</t>
        </is>
      </c>
      <c r="D703" s="209" t="n">
        <v>28</v>
      </c>
      <c r="E703" s="209" t="n"/>
      <c r="F703" s="268" t="n"/>
      <c r="G703" s="209" t="n"/>
      <c r="H703" s="267" t="n">
        <v>30</v>
      </c>
      <c r="I703" s="255">
        <f>(D703+E703)/H703</f>
        <v/>
      </c>
      <c r="J703" s="256" t="inlineStr">
        <is>
          <t>T6.5 Mecha Gene Research</t>
        </is>
      </c>
      <c r="K703" s="669" t="n"/>
      <c r="L703" s="669" t="n"/>
      <c r="M703" s="669" t="n"/>
      <c r="N703" s="669" t="n"/>
      <c r="O703" s="669" t="n"/>
      <c r="P703" s="669" t="n"/>
      <c r="Q703" s="669" t="n"/>
      <c r="R703" s="669" t="n"/>
      <c r="S703" s="669" t="n"/>
      <c r="T703" s="669" t="n"/>
      <c r="U703" s="669" t="n"/>
      <c r="V703" s="669" t="n"/>
      <c r="W703" s="669" t="n"/>
      <c r="X703" s="669" t="n"/>
      <c r="Y703" s="669" t="n"/>
      <c r="Z703" s="669" t="n"/>
    </row>
    <row r="704">
      <c r="A704" s="246" t="inlineStr">
        <is>
          <t>Caspian Sea Monster</t>
        </is>
      </c>
      <c r="B704" s="1037" t="inlineStr">
        <is>
          <t>SS</t>
        </is>
      </c>
      <c r="C704" s="1037" t="inlineStr">
        <is>
          <t>TECH</t>
        </is>
      </c>
      <c r="D704" s="209" t="n"/>
      <c r="E704" s="209" t="n"/>
      <c r="F704" s="268" t="n">
        <v>11</v>
      </c>
      <c r="G704" s="209" t="n"/>
      <c r="H704" s="209" t="n"/>
      <c r="I704" s="209" t="n"/>
      <c r="J704" s="390" t="inlineStr">
        <is>
          <t>Lottery Machine #3 (?%)</t>
        </is>
      </c>
      <c r="K704" s="669" t="n"/>
      <c r="L704" s="669" t="n"/>
      <c r="M704" s="669" t="n"/>
      <c r="N704" s="669" t="n"/>
      <c r="O704" s="669" t="n"/>
      <c r="P704" s="669" t="n"/>
      <c r="Q704" s="669" t="n"/>
      <c r="R704" s="669" t="n"/>
      <c r="S704" s="669" t="n"/>
      <c r="T704" s="669" t="n"/>
      <c r="U704" s="669" t="n"/>
      <c r="V704" s="669" t="n"/>
      <c r="W704" s="669" t="n"/>
      <c r="X704" s="669" t="n"/>
      <c r="Y704" s="669" t="n"/>
      <c r="Z704" s="669" t="n"/>
    </row>
    <row r="705">
      <c r="A705" s="246" t="inlineStr">
        <is>
          <t>Ruska's Microscope</t>
        </is>
      </c>
      <c r="B705" s="1037" t="inlineStr">
        <is>
          <t>SS</t>
        </is>
      </c>
      <c r="C705" s="1037" t="inlineStr">
        <is>
          <t>TECH</t>
        </is>
      </c>
      <c r="D705" s="209" t="n"/>
      <c r="E705" s="209" t="n"/>
      <c r="F705" s="268" t="n">
        <v>11</v>
      </c>
      <c r="G705" s="209" t="n"/>
      <c r="H705" s="209" t="n"/>
      <c r="I705" s="209" t="n"/>
      <c r="J705" s="256" t="inlineStr">
        <is>
          <t>Lottery Machine #2 (?%)</t>
        </is>
      </c>
      <c r="K705" s="669" t="n"/>
      <c r="L705" s="669" t="n"/>
      <c r="M705" s="669" t="n"/>
      <c r="N705" s="669" t="n"/>
      <c r="O705" s="669" t="n"/>
      <c r="P705" s="669" t="n"/>
      <c r="Q705" s="669" t="n"/>
      <c r="R705" s="669" t="n"/>
      <c r="S705" s="669" t="n"/>
      <c r="T705" s="669" t="n"/>
      <c r="U705" s="669" t="n"/>
      <c r="V705" s="669" t="n"/>
      <c r="W705" s="669" t="n"/>
      <c r="X705" s="669" t="n"/>
      <c r="Y705" s="669" t="n"/>
      <c r="Z705" s="669" t="n"/>
    </row>
    <row r="706">
      <c r="A706" s="507" t="inlineStr">
        <is>
          <t>DNA Microarray</t>
        </is>
      </c>
      <c r="B706" s="1037" t="inlineStr">
        <is>
          <t>AA</t>
        </is>
      </c>
      <c r="C706" s="1037" t="inlineStr">
        <is>
          <t>TECH</t>
        </is>
      </c>
      <c r="D706" s="934" t="n"/>
      <c r="E706" s="934" t="n"/>
      <c r="F706" s="267" t="n">
        <v>8</v>
      </c>
      <c r="G706" s="934" t="n"/>
      <c r="H706" s="934" t="n"/>
      <c r="I706" s="934" t="n"/>
      <c r="J706" s="935" t="inlineStr">
        <is>
          <t>Lottery Machine #2 (?%)</t>
        </is>
      </c>
      <c r="K706" s="669" t="n"/>
      <c r="L706" s="669" t="n"/>
      <c r="M706" s="669" t="n"/>
      <c r="N706" s="669" t="n"/>
      <c r="O706" s="669" t="n"/>
      <c r="P706" s="669" t="n"/>
      <c r="Q706" s="669" t="n"/>
      <c r="R706" s="669" t="n"/>
      <c r="S706" s="669" t="n"/>
      <c r="T706" s="669" t="n"/>
      <c r="U706" s="669" t="n"/>
      <c r="V706" s="669" t="n"/>
      <c r="W706" s="669" t="n"/>
      <c r="X706" s="669" t="n"/>
      <c r="Y706" s="669" t="n"/>
      <c r="Z706" s="669" t="n"/>
    </row>
    <row r="707">
      <c r="A707" s="246" t="inlineStr">
        <is>
          <t>Lavoisier's Bell Jar</t>
        </is>
      </c>
      <c r="B707" s="1037" t="inlineStr">
        <is>
          <t>Blue</t>
        </is>
      </c>
      <c r="C707" s="1037" t="inlineStr">
        <is>
          <t>TECH</t>
        </is>
      </c>
      <c r="D707" s="209" t="n"/>
      <c r="E707" s="209" t="n"/>
      <c r="F707" s="268" t="n">
        <v>5</v>
      </c>
      <c r="G707" s="268" t="n">
        <v>5</v>
      </c>
      <c r="H707" s="209" t="n"/>
      <c r="I707" s="209" t="n"/>
      <c r="J707" s="256" t="inlineStr">
        <is>
          <t>Lottery Machine #2 (?%)</t>
        </is>
      </c>
      <c r="K707" s="669" t="n"/>
      <c r="L707" s="669" t="n"/>
      <c r="M707" s="669" t="n"/>
      <c r="N707" s="669" t="n"/>
      <c r="O707" s="669" t="n"/>
      <c r="P707" s="669" t="n"/>
      <c r="Q707" s="669" t="n"/>
      <c r="R707" s="669" t="n"/>
      <c r="S707" s="669" t="n"/>
      <c r="T707" s="669" t="n"/>
      <c r="U707" s="669" t="n"/>
      <c r="V707" s="669" t="n"/>
      <c r="W707" s="669" t="n"/>
      <c r="X707" s="669" t="n"/>
      <c r="Y707" s="669" t="n"/>
      <c r="Z707" s="669" t="n"/>
    </row>
    <row r="708">
      <c r="A708" s="257" t="n"/>
      <c r="B708" s="209" t="n"/>
      <c r="C708" s="934" t="n"/>
      <c r="D708" s="209" t="n"/>
      <c r="E708" s="209" t="n"/>
      <c r="F708" s="209" t="n"/>
      <c r="G708" s="209" t="n"/>
      <c r="H708" s="209" t="n"/>
      <c r="I708" s="209" t="n"/>
      <c r="J708" s="256" t="n"/>
      <c r="K708" s="669" t="n"/>
      <c r="L708" s="669" t="n"/>
      <c r="M708" s="669" t="n"/>
      <c r="N708" s="669" t="n"/>
      <c r="O708" s="669" t="n"/>
      <c r="P708" s="669" t="n"/>
      <c r="Q708" s="669" t="n"/>
      <c r="R708" s="669" t="n"/>
      <c r="S708" s="669" t="n"/>
      <c r="T708" s="669" t="n"/>
      <c r="U708" s="669" t="n"/>
      <c r="V708" s="669" t="n"/>
      <c r="W708" s="669" t="n"/>
      <c r="X708" s="669" t="n"/>
      <c r="Y708" s="669" t="n"/>
      <c r="Z708" s="669" t="n"/>
    </row>
    <row r="709">
      <c r="A709" s="507" t="inlineStr">
        <is>
          <t>Resonance: Blue</t>
        </is>
      </c>
      <c r="B709" s="934" t="n"/>
      <c r="C709" s="934" t="n"/>
      <c r="D709" s="479" t="n">
        <v>5</v>
      </c>
      <c r="E709" s="934" t="n"/>
      <c r="F709" s="934" t="n"/>
      <c r="G709" s="934" t="n"/>
      <c r="H709" s="479" t="n">
        <v>10</v>
      </c>
      <c r="I709" s="479">
        <f>(D709+E709)/H709</f>
        <v/>
      </c>
      <c r="J709" s="935" t="n"/>
      <c r="K709" s="669" t="n"/>
      <c r="L709" s="669" t="n"/>
      <c r="M709" s="669" t="n"/>
      <c r="N709" s="669" t="n"/>
      <c r="O709" s="669" t="n"/>
      <c r="P709" s="669" t="n"/>
      <c r="Q709" s="669" t="n"/>
      <c r="R709" s="669" t="n"/>
      <c r="S709" s="669" t="n"/>
      <c r="T709" s="669" t="n"/>
      <c r="U709" s="669" t="n"/>
      <c r="V709" s="669" t="n"/>
      <c r="W709" s="669" t="n"/>
      <c r="X709" s="669" t="n"/>
      <c r="Y709" s="669" t="n"/>
      <c r="Z709" s="669" t="n"/>
    </row>
    <row r="710">
      <c r="A710" s="246" t="inlineStr">
        <is>
          <t xml:space="preserve">  Pascal's Barrel</t>
        </is>
      </c>
      <c r="B710" s="1037" t="inlineStr">
        <is>
          <t>Blue</t>
        </is>
      </c>
      <c r="C710" s="1037" t="inlineStr">
        <is>
          <t>TECH</t>
        </is>
      </c>
      <c r="D710" s="209" t="n"/>
      <c r="E710" s="209" t="n"/>
      <c r="F710" s="209" t="n"/>
      <c r="G710" s="209" t="n"/>
      <c r="H710" s="209" t="n"/>
      <c r="I710" s="209" t="n"/>
      <c r="J710" s="256" t="inlineStr">
        <is>
          <t>Lottery Machine #2 (?%)</t>
        </is>
      </c>
      <c r="K710" s="669" t="n"/>
      <c r="L710" s="669" t="n"/>
      <c r="M710" s="669" t="n"/>
      <c r="N710" s="669" t="n"/>
      <c r="O710" s="669" t="n"/>
      <c r="P710" s="669" t="n"/>
      <c r="Q710" s="669" t="n"/>
      <c r="R710" s="669" t="n"/>
      <c r="S710" s="669" t="n"/>
      <c r="T710" s="669" t="n"/>
      <c r="U710" s="669" t="n"/>
      <c r="V710" s="669" t="n"/>
      <c r="W710" s="669" t="n"/>
      <c r="X710" s="669" t="n"/>
      <c r="Y710" s="669" t="n"/>
      <c r="Z710" s="669" t="n"/>
    </row>
    <row r="711">
      <c r="A711" s="507" t="inlineStr">
        <is>
          <t xml:space="preserve">  Geiger Counter</t>
        </is>
      </c>
      <c r="B711" s="1037" t="inlineStr">
        <is>
          <t>Blue</t>
        </is>
      </c>
      <c r="C711" s="1037" t="inlineStr">
        <is>
          <t>TECH</t>
        </is>
      </c>
      <c r="D711" s="934" t="n"/>
      <c r="E711" s="934" t="n"/>
      <c r="F711" s="934" t="n"/>
      <c r="G711" s="934" t="n"/>
      <c r="H711" s="934" t="n"/>
      <c r="I711" s="934" t="n"/>
      <c r="J711" s="935" t="inlineStr">
        <is>
          <t>Lottery Machine #2 (?%)</t>
        </is>
      </c>
      <c r="K711" s="669" t="n"/>
      <c r="L711" s="669" t="n"/>
      <c r="M711" s="669" t="n"/>
      <c r="N711" s="669" t="n"/>
      <c r="O711" s="669" t="n"/>
      <c r="P711" s="669" t="n"/>
      <c r="Q711" s="669" t="n"/>
      <c r="R711" s="669" t="n"/>
      <c r="S711" s="669" t="n"/>
      <c r="T711" s="669" t="n"/>
      <c r="U711" s="669" t="n"/>
      <c r="V711" s="669" t="n"/>
      <c r="W711" s="669" t="n"/>
      <c r="X711" s="669" t="n"/>
      <c r="Y711" s="669" t="n"/>
      <c r="Z711" s="669" t="n"/>
    </row>
    <row r="712">
      <c r="A712" s="246" t="inlineStr">
        <is>
          <t>Resonance: Purple</t>
        </is>
      </c>
      <c r="B712" s="209" t="n"/>
      <c r="C712" s="209" t="n"/>
      <c r="D712" s="209" t="n"/>
      <c r="E712" s="209" t="n"/>
      <c r="F712" s="210" t="n">
        <v>6</v>
      </c>
      <c r="G712" s="209" t="n"/>
      <c r="H712" s="209" t="n"/>
      <c r="I712" s="209" t="n"/>
      <c r="J712" s="256" t="n"/>
      <c r="K712" s="669" t="n"/>
      <c r="L712" s="669" t="n"/>
      <c r="M712" s="669" t="n"/>
      <c r="N712" s="669" t="n"/>
      <c r="O712" s="669" t="n"/>
      <c r="P712" s="669" t="n"/>
      <c r="Q712" s="669" t="n"/>
      <c r="R712" s="669" t="n"/>
      <c r="S712" s="669" t="n"/>
      <c r="T712" s="669" t="n"/>
      <c r="U712" s="669" t="n"/>
      <c r="V712" s="669" t="n"/>
      <c r="W712" s="669" t="n"/>
      <c r="X712" s="669" t="n"/>
      <c r="Y712" s="669" t="n"/>
      <c r="Z712" s="669" t="n"/>
    </row>
    <row r="713">
      <c r="A713" s="507" t="inlineStr">
        <is>
          <t xml:space="preserve">  Lion-dogs Statue</t>
        </is>
      </c>
      <c r="B713" s="1037" t="inlineStr">
        <is>
          <t>AA</t>
        </is>
      </c>
      <c r="C713" s="1037" t="inlineStr">
        <is>
          <t>FTH</t>
        </is>
      </c>
      <c r="D713" s="934" t="n"/>
      <c r="E713" s="934" t="n"/>
      <c r="F713" s="934" t="n"/>
      <c r="G713" s="934" t="n"/>
      <c r="H713" s="934" t="n"/>
      <c r="I713" s="934" t="n"/>
      <c r="J713" s="935" t="inlineStr">
        <is>
          <t>Museum Operations Reward</t>
        </is>
      </c>
      <c r="K713" s="669" t="n"/>
      <c r="L713" s="669" t="n"/>
      <c r="M713" s="669" t="n"/>
      <c r="N713" s="669" t="n"/>
      <c r="O713" s="669" t="n"/>
      <c r="P713" s="669" t="n"/>
      <c r="Q713" s="669" t="n"/>
      <c r="R713" s="669" t="n"/>
      <c r="S713" s="669" t="n"/>
      <c r="T713" s="669" t="n"/>
      <c r="U713" s="669" t="n"/>
      <c r="V713" s="669" t="n"/>
      <c r="W713" s="669" t="n"/>
      <c r="X713" s="669" t="n"/>
      <c r="Y713" s="669" t="n"/>
      <c r="Z713" s="669" t="n"/>
    </row>
    <row r="714">
      <c r="A714" s="246" t="inlineStr">
        <is>
          <t xml:space="preserve">  Azoth</t>
        </is>
      </c>
      <c r="B714" s="1037" t="inlineStr">
        <is>
          <t>AAA</t>
        </is>
      </c>
      <c r="C714" s="1037" t="inlineStr">
        <is>
          <t>FTH</t>
        </is>
      </c>
      <c r="D714" s="209" t="n"/>
      <c r="E714" s="209" t="n"/>
      <c r="F714" s="209" t="n"/>
      <c r="G714" s="209" t="n"/>
      <c r="H714" s="209" t="n"/>
      <c r="I714" s="209" t="n"/>
      <c r="J714" s="281" t="inlineStr">
        <is>
          <t>Domain Exploration Reward</t>
        </is>
      </c>
      <c r="K714" s="669" t="n"/>
      <c r="L714" s="669" t="n"/>
      <c r="M714" s="669" t="n"/>
      <c r="N714" s="669" t="n"/>
      <c r="O714" s="669" t="n"/>
      <c r="P714" s="669" t="n"/>
      <c r="Q714" s="669" t="n"/>
      <c r="R714" s="669" t="n"/>
      <c r="S714" s="669" t="n"/>
      <c r="T714" s="669" t="n"/>
      <c r="U714" s="669" t="n"/>
      <c r="V714" s="669" t="n"/>
      <c r="W714" s="669" t="n"/>
      <c r="X714" s="669" t="n"/>
      <c r="Y714" s="669" t="n"/>
      <c r="Z714" s="669" t="n"/>
    </row>
    <row r="715">
      <c r="A715" s="955" t="inlineStr">
        <is>
          <t>TOTAL DEF</t>
        </is>
      </c>
      <c r="B715" s="946" t="n"/>
      <c r="C715" s="946" t="n"/>
      <c r="D715" s="946" t="n"/>
      <c r="E715" s="946" t="n"/>
      <c r="F715" s="260">
        <f>sum(F701:G714)</f>
        <v/>
      </c>
      <c r="G715" s="946" t="n"/>
      <c r="H715" s="946" t="n"/>
      <c r="I715" s="261">
        <f>sum(I701:I714)</f>
        <v/>
      </c>
      <c r="J715" s="947" t="n"/>
      <c r="K715" s="669" t="n"/>
      <c r="L715" s="669" t="n"/>
      <c r="M715" s="669" t="n"/>
      <c r="N715" s="669" t="n"/>
      <c r="O715" s="669" t="n"/>
      <c r="P715" s="669" t="n"/>
      <c r="Q715" s="669" t="n"/>
      <c r="R715" s="669" t="n"/>
      <c r="S715" s="669" t="n"/>
      <c r="T715" s="669" t="n"/>
      <c r="U715" s="669" t="n"/>
      <c r="V715" s="669" t="n"/>
      <c r="W715" s="669" t="n"/>
      <c r="X715" s="669" t="n"/>
      <c r="Y715" s="669" t="n"/>
      <c r="Z715" s="669" t="n"/>
    </row>
    <row r="716">
      <c r="A716" s="1037" t="n"/>
      <c r="B716" s="1037" t="n"/>
      <c r="C716" s="1037" t="n"/>
      <c r="D716" s="1037" t="n"/>
      <c r="E716" s="1037" t="n"/>
      <c r="F716" s="1037" t="n"/>
      <c r="G716" s="1037" t="n"/>
      <c r="H716" s="1037" t="n"/>
      <c r="I716" s="1037" t="n"/>
      <c r="J716" s="1037" t="n"/>
      <c r="K716" s="669" t="n"/>
      <c r="L716" s="669" t="n"/>
      <c r="M716" s="669" t="n"/>
      <c r="N716" s="669" t="n"/>
      <c r="O716" s="669" t="n"/>
      <c r="P716" s="669" t="n"/>
      <c r="Q716" s="669" t="n"/>
      <c r="R716" s="669" t="n"/>
      <c r="S716" s="669" t="n"/>
      <c r="T716" s="669" t="n"/>
      <c r="U716" s="669" t="n"/>
      <c r="V716" s="669" t="n"/>
      <c r="W716" s="669" t="n"/>
      <c r="X716" s="669" t="n"/>
      <c r="Y716" s="669" t="n"/>
      <c r="Z716" s="669" t="n"/>
    </row>
    <row r="717">
      <c r="A717" s="1079" t="n"/>
      <c r="B717" s="1079" t="n"/>
      <c r="C717" s="1079" t="n"/>
      <c r="D717" s="1079" t="n"/>
      <c r="E717" s="1079" t="n"/>
      <c r="F717" s="1079" t="n"/>
      <c r="G717" s="1079" t="n"/>
      <c r="H717" s="1079" t="n"/>
      <c r="I717" s="1079" t="n"/>
      <c r="J717" s="1079" t="n"/>
      <c r="K717" s="669" t="n"/>
      <c r="L717" s="669" t="n"/>
      <c r="M717" s="669" t="n"/>
      <c r="N717" s="669" t="n"/>
      <c r="O717" s="669" t="n"/>
      <c r="P717" s="669" t="n"/>
      <c r="Q717" s="669" t="n"/>
      <c r="R717" s="669" t="n"/>
      <c r="S717" s="669" t="n"/>
      <c r="T717" s="669" t="n"/>
      <c r="U717" s="669" t="n"/>
      <c r="V717" s="669" t="n"/>
      <c r="W717" s="669" t="n"/>
      <c r="X717" s="669" t="n"/>
      <c r="Y717" s="669" t="n"/>
      <c r="Z717" s="669" t="n"/>
    </row>
    <row r="718">
      <c r="A718" s="251" t="inlineStr">
        <is>
          <t>HARD</t>
        </is>
      </c>
      <c r="B718" s="252" t="inlineStr">
        <is>
          <t>Rarity</t>
        </is>
      </c>
      <c r="C718" s="252" t="inlineStr">
        <is>
          <t>Type</t>
        </is>
      </c>
      <c r="D718" s="252" t="inlineStr">
        <is>
          <t>Base</t>
        </is>
      </c>
      <c r="E718" s="252" t="inlineStr">
        <is>
          <t>Awakening Base</t>
        </is>
      </c>
      <c r="F718" s="252" t="inlineStr">
        <is>
          <t>Percentage</t>
        </is>
      </c>
      <c r="G718" s="252" t="inlineStr">
        <is>
          <t>Awakening Percentage</t>
        </is>
      </c>
      <c r="H718" s="252" t="inlineStr">
        <is>
          <t>Per Minion</t>
        </is>
      </c>
      <c r="I718" s="252" t="inlineStr">
        <is>
          <t>Per Minion Boost</t>
        </is>
      </c>
      <c r="J718" s="294" t="inlineStr">
        <is>
          <t>Source</t>
        </is>
      </c>
      <c r="K718" s="669" t="n"/>
      <c r="L718" s="669" t="n"/>
      <c r="M718" s="669" t="n"/>
      <c r="N718" s="669" t="n"/>
      <c r="O718" s="669" t="n"/>
      <c r="P718" s="669" t="n"/>
      <c r="Q718" s="669" t="n"/>
      <c r="R718" s="669" t="n"/>
      <c r="S718" s="669" t="n"/>
      <c r="T718" s="669" t="n"/>
      <c r="U718" s="669" t="n"/>
      <c r="V718" s="669" t="n"/>
      <c r="W718" s="669" t="n"/>
      <c r="X718" s="669" t="n"/>
      <c r="Y718" s="669" t="n"/>
      <c r="Z718" s="669" t="n"/>
    </row>
    <row r="719">
      <c r="A719" s="507" t="inlineStr">
        <is>
          <t>Foucault Pendulum</t>
        </is>
      </c>
      <c r="B719" s="1037" t="inlineStr">
        <is>
          <t>AAA</t>
        </is>
      </c>
      <c r="C719" s="1037" t="inlineStr">
        <is>
          <t>FAME</t>
        </is>
      </c>
      <c r="D719" s="267" t="n">
        <v>18</v>
      </c>
      <c r="E719" s="267" t="n">
        <v>14</v>
      </c>
      <c r="F719" s="934" t="n"/>
      <c r="G719" s="934" t="n"/>
      <c r="H719" s="267" t="n">
        <v>30</v>
      </c>
      <c r="I719" s="255">
        <f>(D719+E719)/H719</f>
        <v/>
      </c>
      <c r="J719" s="935" t="inlineStr">
        <is>
          <t>Lottery Machine #2 (?%)</t>
        </is>
      </c>
      <c r="K719" s="669" t="n"/>
      <c r="L719" s="669" t="n"/>
      <c r="M719" s="669" t="n"/>
      <c r="N719" s="669" t="n"/>
      <c r="O719" s="669" t="n"/>
      <c r="P719" s="669" t="n"/>
      <c r="Q719" s="669" t="n"/>
      <c r="R719" s="669" t="n"/>
      <c r="S719" s="669" t="n"/>
      <c r="T719" s="669" t="n"/>
      <c r="U719" s="669" t="n"/>
      <c r="V719" s="669" t="n"/>
      <c r="W719" s="669" t="n"/>
      <c r="X719" s="669" t="n"/>
      <c r="Y719" s="669" t="n"/>
      <c r="Z719" s="669" t="n"/>
    </row>
    <row r="720">
      <c r="A720" s="246" t="inlineStr">
        <is>
          <t>Aegis System</t>
        </is>
      </c>
      <c r="B720" s="1037" t="inlineStr">
        <is>
          <t>SSS</t>
        </is>
      </c>
      <c r="C720" s="1037" t="inlineStr">
        <is>
          <t>TECH</t>
        </is>
      </c>
      <c r="D720" s="210" t="n">
        <v>30</v>
      </c>
      <c r="E720" s="268" t="n">
        <v>30</v>
      </c>
      <c r="F720" s="209" t="n"/>
      <c r="G720" s="209" t="n"/>
      <c r="H720" s="210" t="n">
        <v>60</v>
      </c>
      <c r="I720" s="210">
        <f>(D720+E720)/H720</f>
        <v/>
      </c>
      <c r="J720" s="418" t="inlineStr">
        <is>
          <t>Steel Hall (Rebel Cabin) Reward</t>
        </is>
      </c>
      <c r="K720" s="669" t="n"/>
      <c r="L720" s="669" t="n"/>
      <c r="M720" s="669" t="n"/>
      <c r="N720" s="669" t="n"/>
      <c r="O720" s="669" t="n"/>
      <c r="P720" s="669" t="n"/>
      <c r="Q720" s="669" t="n"/>
      <c r="R720" s="669" t="n"/>
      <c r="S720" s="669" t="n"/>
      <c r="T720" s="669" t="n"/>
      <c r="U720" s="669" t="n"/>
      <c r="V720" s="669" t="n"/>
      <c r="W720" s="669" t="n"/>
      <c r="X720" s="669" t="n"/>
      <c r="Y720" s="669" t="n"/>
      <c r="Z720" s="669" t="n"/>
    </row>
    <row r="721">
      <c r="A721" s="507" t="inlineStr">
        <is>
          <t>Matrix System</t>
        </is>
      </c>
      <c r="B721" s="1037" t="inlineStr">
        <is>
          <t>SS</t>
        </is>
      </c>
      <c r="C721" s="1037" t="inlineStr">
        <is>
          <t>TECH</t>
        </is>
      </c>
      <c r="D721" s="479" t="n">
        <v>30</v>
      </c>
      <c r="E721" s="267" t="n">
        <v>30</v>
      </c>
      <c r="F721" s="934" t="n"/>
      <c r="G721" s="934" t="n"/>
      <c r="H721" s="479" t="n">
        <v>60</v>
      </c>
      <c r="I721" s="479">
        <f>(D721+E721)/H721</f>
        <v/>
      </c>
      <c r="J721" s="935" t="inlineStr">
        <is>
          <t>T7.5 Mecha Gene Research</t>
        </is>
      </c>
      <c r="K721" s="669" t="n"/>
      <c r="L721" s="669" t="n"/>
      <c r="M721" s="669" t="n"/>
      <c r="N721" s="669" t="n"/>
      <c r="O721" s="669" t="n"/>
      <c r="P721" s="669" t="n"/>
      <c r="Q721" s="669" t="n"/>
      <c r="R721" s="669" t="n"/>
      <c r="S721" s="669" t="n"/>
      <c r="T721" s="669" t="n"/>
      <c r="U721" s="669" t="n"/>
      <c r="V721" s="669" t="n"/>
      <c r="W721" s="669" t="n"/>
      <c r="X721" s="669" t="n"/>
      <c r="Y721" s="669" t="n"/>
      <c r="Z721" s="669" t="n"/>
    </row>
    <row r="722">
      <c r="A722" s="276" t="inlineStr">
        <is>
          <t>Crookes Tube</t>
        </is>
      </c>
      <c r="B722" s="1037" t="inlineStr">
        <is>
          <t>Blue</t>
        </is>
      </c>
      <c r="C722" s="1037" t="inlineStr">
        <is>
          <t>TECH</t>
        </is>
      </c>
      <c r="D722" s="268" t="n">
        <v>5</v>
      </c>
      <c r="E722" s="268" t="n">
        <v>5</v>
      </c>
      <c r="F722" s="209" t="n"/>
      <c r="G722" s="209" t="n"/>
      <c r="H722" s="268" t="n">
        <v>10</v>
      </c>
      <c r="I722" s="210">
        <f>(D722+E722)/H722</f>
        <v/>
      </c>
      <c r="J722" s="256" t="inlineStr">
        <is>
          <t>Lottery Machine #2 (?%)</t>
        </is>
      </c>
      <c r="K722" s="669" t="n"/>
      <c r="L722" s="669" t="n"/>
      <c r="M722" s="669" t="n"/>
      <c r="N722" s="669" t="n"/>
      <c r="O722" s="669" t="n"/>
      <c r="P722" s="669" t="n"/>
      <c r="Q722" s="669" t="n"/>
      <c r="R722" s="669" t="n"/>
      <c r="S722" s="669" t="n"/>
      <c r="T722" s="669" t="n"/>
      <c r="U722" s="669" t="n"/>
      <c r="V722" s="669" t="n"/>
      <c r="W722" s="669" t="n"/>
      <c r="X722" s="669" t="n"/>
      <c r="Y722" s="669" t="n"/>
      <c r="Z722" s="669" t="n"/>
    </row>
    <row r="723">
      <c r="A723" s="507" t="inlineStr">
        <is>
          <t>Atomic Clock</t>
        </is>
      </c>
      <c r="B723" s="1037" t="inlineStr">
        <is>
          <t>Blue</t>
        </is>
      </c>
      <c r="C723" s="1037" t="inlineStr">
        <is>
          <t>TECH</t>
        </is>
      </c>
      <c r="D723" s="267" t="n">
        <v>5</v>
      </c>
      <c r="E723" s="267" t="n">
        <v>3</v>
      </c>
      <c r="F723" s="934" t="n"/>
      <c r="G723" s="934" t="n"/>
      <c r="H723" s="267" t="n">
        <v>10</v>
      </c>
      <c r="I723" s="479">
        <f>(D723+E723)/H723</f>
        <v/>
      </c>
      <c r="J723" s="935" t="inlineStr">
        <is>
          <t>Lottery Machine #1 (0.03%), Wishing (1.1%)</t>
        </is>
      </c>
      <c r="K723" s="669" t="n"/>
      <c r="L723" s="669" t="n"/>
      <c r="M723" s="669" t="n"/>
      <c r="N723" s="669" t="n"/>
      <c r="O723" s="669" t="n"/>
      <c r="P723" s="669" t="n"/>
      <c r="Q723" s="669" t="n"/>
      <c r="R723" s="669" t="n"/>
      <c r="S723" s="669" t="n"/>
      <c r="T723" s="669" t="n"/>
      <c r="U723" s="669" t="n"/>
      <c r="V723" s="669" t="n"/>
      <c r="W723" s="669" t="n"/>
      <c r="X723" s="669" t="n"/>
      <c r="Y723" s="669" t="n"/>
      <c r="Z723" s="669" t="n"/>
    </row>
    <row r="724">
      <c r="A724" s="246" t="inlineStr">
        <is>
          <t>Quantum Radio</t>
        </is>
      </c>
      <c r="B724" s="1037" t="inlineStr">
        <is>
          <t>SSS</t>
        </is>
      </c>
      <c r="C724" s="1037" t="inlineStr">
        <is>
          <t>TECH</t>
        </is>
      </c>
      <c r="D724" s="209" t="n">
        <v>30</v>
      </c>
      <c r="E724" s="209" t="n"/>
      <c r="F724" s="268" t="n"/>
      <c r="G724" s="268" t="n"/>
      <c r="H724" s="267" t="n">
        <v>60</v>
      </c>
      <c r="I724" s="479">
        <f>(D724+E724)/H724</f>
        <v/>
      </c>
      <c r="J724" s="256" t="inlineStr">
        <is>
          <t>Super Species Chest (0.03%)</t>
        </is>
      </c>
      <c r="K724" s="669" t="n"/>
      <c r="L724" s="669" t="n"/>
      <c r="M724" s="669" t="n"/>
      <c r="N724" s="669" t="n"/>
      <c r="O724" s="669" t="n"/>
      <c r="P724" s="669" t="n"/>
      <c r="Q724" s="669" t="n"/>
      <c r="R724" s="669" t="n"/>
      <c r="S724" s="669" t="n"/>
      <c r="T724" s="669" t="n"/>
      <c r="U724" s="669" t="n"/>
      <c r="V724" s="669" t="n"/>
      <c r="W724" s="669" t="n"/>
      <c r="X724" s="669" t="n"/>
      <c r="Y724" s="669" t="n"/>
      <c r="Z724" s="669" t="n"/>
    </row>
    <row r="725">
      <c r="A725" s="246" t="inlineStr">
        <is>
          <t>Fleming's Diode</t>
        </is>
      </c>
      <c r="B725" s="1037" t="inlineStr">
        <is>
          <t>AAA</t>
        </is>
      </c>
      <c r="C725" s="1037" t="inlineStr">
        <is>
          <t>TECH</t>
        </is>
      </c>
      <c r="D725" s="209" t="n"/>
      <c r="E725" s="209" t="n"/>
      <c r="F725" s="268" t="n">
        <v>2.7</v>
      </c>
      <c r="G725" s="268" t="n">
        <v>2.1</v>
      </c>
      <c r="H725" s="267" t="n"/>
      <c r="I725" s="479" t="n"/>
      <c r="J725" s="256" t="inlineStr">
        <is>
          <t>Lottery Machine #2 (?%)</t>
        </is>
      </c>
      <c r="K725" s="669" t="n"/>
      <c r="L725" s="669" t="n"/>
      <c r="M725" s="669" t="n"/>
      <c r="N725" s="669" t="n"/>
      <c r="O725" s="669" t="n"/>
      <c r="P725" s="669" t="n"/>
      <c r="Q725" s="669" t="n"/>
      <c r="R725" s="669" t="n"/>
      <c r="S725" s="669" t="n"/>
      <c r="T725" s="669" t="n"/>
      <c r="U725" s="669" t="n"/>
      <c r="V725" s="669" t="n"/>
      <c r="W725" s="669" t="n"/>
      <c r="X725" s="669" t="n"/>
      <c r="Y725" s="669" t="n"/>
      <c r="Z725" s="669" t="n"/>
    </row>
    <row r="726">
      <c r="A726" s="933" t="n"/>
      <c r="B726" s="934" t="n"/>
      <c r="C726" s="934" t="n"/>
      <c r="D726" s="934" t="n"/>
      <c r="E726" s="934" t="n"/>
      <c r="F726" s="934" t="n"/>
      <c r="G726" s="934" t="n"/>
      <c r="H726" s="934" t="n"/>
      <c r="I726" s="934" t="n"/>
      <c r="J726" s="935" t="n"/>
      <c r="K726" s="669" t="n"/>
      <c r="L726" s="669" t="n"/>
      <c r="M726" s="669" t="n"/>
      <c r="N726" s="669" t="n"/>
      <c r="O726" s="669" t="n"/>
      <c r="P726" s="669" t="n"/>
      <c r="Q726" s="669" t="n"/>
      <c r="R726" s="669" t="n"/>
      <c r="S726" s="669" t="n"/>
      <c r="T726" s="669" t="n"/>
      <c r="U726" s="669" t="n"/>
      <c r="V726" s="669" t="n"/>
      <c r="W726" s="669" t="n"/>
      <c r="X726" s="669" t="n"/>
      <c r="Y726" s="669" t="n"/>
      <c r="Z726" s="669" t="n"/>
    </row>
    <row r="727">
      <c r="A727" s="246" t="inlineStr">
        <is>
          <t>Resonance: Orange</t>
        </is>
      </c>
      <c r="B727" s="209" t="n"/>
      <c r="C727" s="934" t="n"/>
      <c r="D727" s="210" t="n">
        <v>70</v>
      </c>
      <c r="E727" s="209" t="n"/>
      <c r="F727" s="209" t="n"/>
      <c r="G727" s="209" t="n"/>
      <c r="H727" s="210" t="n">
        <v>60</v>
      </c>
      <c r="I727" s="255">
        <f>(D727+E727)/H727</f>
        <v/>
      </c>
      <c r="J727" s="256" t="n"/>
      <c r="K727" s="669" t="n"/>
      <c r="L727" s="669" t="n"/>
      <c r="M727" s="669" t="n"/>
      <c r="N727" s="669" t="n"/>
      <c r="O727" s="669" t="n"/>
      <c r="P727" s="669" t="n"/>
      <c r="Q727" s="669" t="n"/>
      <c r="R727" s="669" t="n"/>
      <c r="S727" s="669" t="n"/>
      <c r="T727" s="669" t="n"/>
      <c r="U727" s="669" t="n"/>
      <c r="V727" s="669" t="n"/>
      <c r="W727" s="669" t="n"/>
      <c r="X727" s="669" t="n"/>
      <c r="Y727" s="669" t="n"/>
      <c r="Z727" s="669" t="n"/>
    </row>
    <row r="728">
      <c r="A728" s="507" t="inlineStr">
        <is>
          <t xml:space="preserve">  WHC</t>
        </is>
      </c>
      <c r="B728" s="1037" t="inlineStr">
        <is>
          <t>SSS</t>
        </is>
      </c>
      <c r="C728" s="1037" t="inlineStr">
        <is>
          <t>FAME</t>
        </is>
      </c>
      <c r="D728" s="934" t="n"/>
      <c r="E728" s="934" t="n"/>
      <c r="F728" s="934" t="n"/>
      <c r="G728" s="934" t="n"/>
      <c r="H728" s="934" t="n"/>
      <c r="I728" s="934" t="n"/>
      <c r="J728" s="280" t="inlineStr">
        <is>
          <t>Lottery Machine #3, Museum Operation Value Pack III</t>
        </is>
      </c>
      <c r="K728" s="669" t="n"/>
      <c r="L728" s="669" t="n"/>
      <c r="M728" s="669" t="n"/>
      <c r="N728" s="669" t="n"/>
      <c r="O728" s="669" t="n"/>
      <c r="P728" s="669" t="n"/>
      <c r="Q728" s="669" t="n"/>
      <c r="R728" s="669" t="n"/>
      <c r="S728" s="669" t="n"/>
      <c r="T728" s="669" t="n"/>
      <c r="U728" s="669" t="n"/>
      <c r="V728" s="669" t="n"/>
      <c r="W728" s="669" t="n"/>
      <c r="X728" s="669" t="n"/>
      <c r="Y728" s="669" t="n"/>
      <c r="Z728" s="669" t="n"/>
    </row>
    <row r="729">
      <c r="A729" s="246" t="inlineStr">
        <is>
          <t xml:space="preserve">  Mysterious Relic</t>
        </is>
      </c>
      <c r="B729" s="1037" t="inlineStr">
        <is>
          <t>SSS</t>
        </is>
      </c>
      <c r="C729" s="1037" t="n"/>
      <c r="D729" s="209" t="n"/>
      <c r="E729" s="209" t="n"/>
      <c r="F729" s="209" t="n"/>
      <c r="G729" s="209" t="n"/>
      <c r="H729" s="209" t="n"/>
      <c r="I729" s="209" t="n"/>
      <c r="J729" s="281" t="inlineStr">
        <is>
          <t>Unknown</t>
        </is>
      </c>
      <c r="K729" s="669" t="n"/>
      <c r="L729" s="669" t="n"/>
      <c r="M729" s="669" t="n"/>
      <c r="N729" s="669" t="n"/>
      <c r="O729" s="669" t="n"/>
      <c r="P729" s="669" t="n"/>
      <c r="Q729" s="669" t="n"/>
      <c r="R729" s="669" t="n"/>
      <c r="S729" s="669" t="n"/>
      <c r="T729" s="669" t="n"/>
      <c r="U729" s="669" t="n"/>
      <c r="V729" s="669" t="n"/>
      <c r="W729" s="669" t="n"/>
      <c r="X729" s="669" t="n"/>
      <c r="Y729" s="669" t="n"/>
      <c r="Z729" s="669" t="n"/>
    </row>
    <row r="730">
      <c r="A730" s="246" t="inlineStr">
        <is>
          <t>Resonance: Orange</t>
        </is>
      </c>
      <c r="B730" s="209" t="n"/>
      <c r="C730" s="934" t="n"/>
      <c r="D730" s="210" t="n">
        <v>21</v>
      </c>
      <c r="E730" s="209" t="n"/>
      <c r="F730" s="209" t="n"/>
      <c r="G730" s="209" t="n"/>
      <c r="H730" s="210" t="n">
        <v>60</v>
      </c>
      <c r="I730" s="210">
        <f>(D730+E730)/H730</f>
        <v/>
      </c>
      <c r="J730" s="256" t="n"/>
      <c r="K730" s="669" t="n"/>
      <c r="L730" s="669" t="n"/>
      <c r="M730" s="669" t="n"/>
      <c r="N730" s="669" t="n"/>
      <c r="O730" s="669" t="n"/>
      <c r="P730" s="669" t="n"/>
      <c r="Q730" s="669" t="n"/>
      <c r="R730" s="669" t="n"/>
      <c r="S730" s="669" t="n"/>
      <c r="T730" s="669" t="n"/>
      <c r="U730" s="669" t="n"/>
      <c r="V730" s="669" t="n"/>
      <c r="W730" s="669" t="n"/>
      <c r="X730" s="669" t="n"/>
      <c r="Y730" s="669" t="n"/>
      <c r="Z730" s="669" t="n"/>
    </row>
    <row r="731">
      <c r="A731" s="507" t="inlineStr">
        <is>
          <t xml:space="preserve">  Messier Catalogue</t>
        </is>
      </c>
      <c r="B731" s="1037" t="inlineStr">
        <is>
          <t>SSS</t>
        </is>
      </c>
      <c r="C731" s="1037" t="inlineStr">
        <is>
          <t>TECH</t>
        </is>
      </c>
      <c r="D731" s="934" t="n"/>
      <c r="E731" s="934" t="n"/>
      <c r="F731" s="934" t="n"/>
      <c r="G731" s="934" t="n"/>
      <c r="H731" s="934" t="n"/>
      <c r="I731" s="934" t="n"/>
      <c r="J731" s="280" t="inlineStr">
        <is>
          <t>Star Chart Shop</t>
        </is>
      </c>
      <c r="K731" s="669" t="n"/>
      <c r="L731" s="669" t="n"/>
      <c r="M731" s="669" t="n"/>
      <c r="N731" s="669" t="n"/>
      <c r="O731" s="669" t="n"/>
      <c r="P731" s="669" t="n"/>
      <c r="Q731" s="669" t="n"/>
      <c r="R731" s="669" t="n"/>
      <c r="S731" s="669" t="n"/>
      <c r="T731" s="669" t="n"/>
      <c r="U731" s="669" t="n"/>
      <c r="V731" s="669" t="n"/>
      <c r="W731" s="669" t="n"/>
      <c r="X731" s="669" t="n"/>
      <c r="Y731" s="669" t="n"/>
      <c r="Z731" s="669" t="n"/>
    </row>
    <row r="732">
      <c r="A732" s="246" t="inlineStr">
        <is>
          <t xml:space="preserve">  Mysterious Relic</t>
        </is>
      </c>
      <c r="B732" s="1037" t="inlineStr">
        <is>
          <t>SSS</t>
        </is>
      </c>
      <c r="C732" s="1037" t="n"/>
      <c r="D732" s="209" t="n"/>
      <c r="E732" s="209" t="n"/>
      <c r="F732" s="209" t="n"/>
      <c r="G732" s="209" t="n"/>
      <c r="H732" s="209" t="n"/>
      <c r="I732" s="209" t="n"/>
      <c r="J732" s="281" t="inlineStr">
        <is>
          <t>Unknown</t>
        </is>
      </c>
      <c r="K732" s="669" t="n"/>
      <c r="L732" s="669" t="n"/>
      <c r="M732" s="669" t="n"/>
      <c r="N732" s="669" t="n"/>
      <c r="O732" s="669" t="n"/>
      <c r="P732" s="669" t="n"/>
      <c r="Q732" s="669" t="n"/>
      <c r="R732" s="669" t="n"/>
      <c r="S732" s="669" t="n"/>
      <c r="T732" s="669" t="n"/>
      <c r="U732" s="669" t="n"/>
      <c r="V732" s="669" t="n"/>
      <c r="W732" s="669" t="n"/>
      <c r="X732" s="669" t="n"/>
      <c r="Y732" s="669" t="n"/>
      <c r="Z732" s="669" t="n"/>
    </row>
    <row r="733">
      <c r="A733" s="955" t="inlineStr">
        <is>
          <t>TOTAL HARD</t>
        </is>
      </c>
      <c r="B733" s="946" t="n"/>
      <c r="C733" s="946" t="n"/>
      <c r="D733" s="946" t="n"/>
      <c r="E733" s="946" t="n"/>
      <c r="F733" s="260">
        <f>sum(F719:G732)</f>
        <v/>
      </c>
      <c r="G733" s="946" t="n"/>
      <c r="H733" s="946" t="n"/>
      <c r="I733" s="261">
        <f>sum(I719:I732)</f>
        <v/>
      </c>
      <c r="J733" s="947" t="n"/>
      <c r="K733" s="669" t="n"/>
      <c r="L733" s="669" t="n"/>
      <c r="M733" s="669" t="n"/>
      <c r="N733" s="669" t="n"/>
      <c r="O733" s="669" t="n"/>
      <c r="P733" s="669" t="n"/>
      <c r="Q733" s="669" t="n"/>
      <c r="R733" s="669" t="n"/>
      <c r="S733" s="669" t="n"/>
      <c r="T733" s="669" t="n"/>
      <c r="U733" s="669" t="n"/>
      <c r="V733" s="669" t="n"/>
      <c r="W733" s="669" t="n"/>
      <c r="X733" s="669" t="n"/>
      <c r="Y733" s="669" t="n"/>
      <c r="Z733" s="669" t="n"/>
    </row>
    <row r="734">
      <c r="A734" s="669" t="n"/>
      <c r="B734" s="669" t="n"/>
      <c r="C734" s="669" t="n"/>
      <c r="D734" s="669" t="n"/>
      <c r="E734" s="669" t="n"/>
      <c r="F734" s="669" t="n"/>
      <c r="G734" s="669" t="n"/>
      <c r="H734" s="669" t="n"/>
      <c r="I734" s="669" t="n"/>
      <c r="J734" s="669" t="n"/>
      <c r="K734" s="669" t="n"/>
      <c r="L734" s="669" t="n"/>
      <c r="M734" s="669" t="n"/>
      <c r="N734" s="669" t="n"/>
      <c r="O734" s="669" t="n"/>
      <c r="P734" s="669" t="n"/>
      <c r="Q734" s="669" t="n"/>
      <c r="R734" s="669" t="n"/>
      <c r="S734" s="669" t="n"/>
      <c r="T734" s="669" t="n"/>
      <c r="U734" s="669" t="n"/>
      <c r="V734" s="669" t="n"/>
      <c r="W734" s="669" t="n"/>
      <c r="X734" s="669" t="n"/>
      <c r="Y734" s="669" t="n"/>
      <c r="Z734" s="669" t="n"/>
    </row>
    <row r="735">
      <c r="A735" s="669" t="n"/>
      <c r="B735" s="669" t="n"/>
      <c r="C735" s="669" t="n"/>
      <c r="D735" s="669" t="n"/>
      <c r="E735" s="669" t="n"/>
      <c r="F735" s="669" t="n"/>
      <c r="G735" s="669" t="n"/>
      <c r="H735" s="669" t="n"/>
      <c r="I735" s="669" t="n"/>
      <c r="J735" s="669" t="n"/>
      <c r="K735" s="669" t="n"/>
      <c r="L735" s="669" t="n"/>
      <c r="M735" s="669" t="n"/>
      <c r="N735" s="669" t="n"/>
      <c r="O735" s="669" t="n"/>
      <c r="P735" s="669" t="n"/>
      <c r="Q735" s="669" t="n"/>
      <c r="R735" s="669" t="n"/>
      <c r="S735" s="669" t="n"/>
      <c r="T735" s="669" t="n"/>
      <c r="U735" s="669" t="n"/>
      <c r="V735" s="669" t="n"/>
      <c r="W735" s="669" t="n"/>
      <c r="X735" s="669" t="n"/>
      <c r="Y735" s="669" t="n"/>
      <c r="Z735" s="669" t="n"/>
    </row>
    <row r="736">
      <c r="A736" s="669" t="n"/>
      <c r="B736" s="669" t="n"/>
      <c r="C736" s="669" t="n"/>
      <c r="D736" s="669" t="n"/>
      <c r="E736" s="669" t="n"/>
      <c r="F736" s="669" t="n"/>
      <c r="G736" s="669" t="n"/>
      <c r="H736" s="669" t="n"/>
      <c r="I736" s="669" t="n"/>
      <c r="J736" s="669" t="n"/>
      <c r="K736" s="669" t="n"/>
      <c r="L736" s="669" t="n"/>
      <c r="M736" s="669" t="n"/>
      <c r="N736" s="669" t="n"/>
      <c r="O736" s="669" t="n"/>
      <c r="P736" s="669" t="n"/>
      <c r="Q736" s="669" t="n"/>
      <c r="R736" s="669" t="n"/>
      <c r="S736" s="669" t="n"/>
      <c r="T736" s="669" t="n"/>
      <c r="U736" s="669" t="n"/>
      <c r="V736" s="669" t="n"/>
      <c r="W736" s="669" t="n"/>
      <c r="X736" s="669" t="n"/>
      <c r="Y736" s="669" t="n"/>
      <c r="Z736" s="669" t="n"/>
    </row>
    <row r="737">
      <c r="A737" s="669" t="n"/>
      <c r="B737" s="669" t="n"/>
      <c r="C737" s="669" t="n"/>
      <c r="D737" s="669" t="n"/>
      <c r="E737" s="669" t="n"/>
      <c r="F737" s="669" t="n"/>
      <c r="G737" s="669" t="n"/>
      <c r="H737" s="669" t="n"/>
      <c r="I737" s="669" t="n"/>
      <c r="J737" s="669" t="n"/>
      <c r="K737" s="669" t="n"/>
      <c r="L737" s="669" t="n"/>
      <c r="M737" s="669" t="n"/>
      <c r="N737" s="669" t="n"/>
      <c r="O737" s="669" t="n"/>
      <c r="P737" s="669" t="n"/>
      <c r="Q737" s="669" t="n"/>
      <c r="R737" s="669" t="n"/>
      <c r="S737" s="669" t="n"/>
      <c r="T737" s="669" t="n"/>
      <c r="U737" s="669" t="n"/>
      <c r="V737" s="669" t="n"/>
      <c r="W737" s="669" t="n"/>
      <c r="X737" s="669" t="n"/>
      <c r="Y737" s="669" t="n"/>
      <c r="Z737" s="669" t="n"/>
    </row>
    <row r="738">
      <c r="A738" s="1075" t="inlineStr">
        <is>
          <t>DRAGON</t>
        </is>
      </c>
      <c r="B738" s="373" t="n"/>
      <c r="C738" s="373" t="n"/>
      <c r="D738" s="373" t="n"/>
      <c r="E738" s="373" t="n"/>
      <c r="F738" s="373" t="n"/>
      <c r="G738" s="373" t="n"/>
      <c r="H738" s="373" t="n"/>
      <c r="I738" s="373" t="n"/>
      <c r="J738" s="391" t="n"/>
      <c r="K738" s="669" t="n"/>
      <c r="L738" s="669" t="n"/>
      <c r="M738" s="669" t="n"/>
      <c r="N738" s="669" t="n"/>
      <c r="O738" s="669" t="n"/>
      <c r="P738" s="669" t="n"/>
      <c r="Q738" s="669" t="n"/>
      <c r="R738" s="669" t="n"/>
      <c r="S738" s="669" t="n"/>
      <c r="T738" s="669" t="n"/>
      <c r="U738" s="669" t="n"/>
      <c r="V738" s="669" t="n"/>
      <c r="W738" s="669" t="n"/>
      <c r="X738" s="669" t="n"/>
      <c r="Y738" s="669" t="n"/>
      <c r="Z738" s="669" t="n"/>
    </row>
    <row r="739">
      <c r="A739" s="282" t="inlineStr">
        <is>
          <t>HP</t>
        </is>
      </c>
      <c r="B739" s="283" t="inlineStr">
        <is>
          <t>Rarity</t>
        </is>
      </c>
      <c r="C739" s="283" t="inlineStr">
        <is>
          <t>Type</t>
        </is>
      </c>
      <c r="D739" s="283" t="inlineStr">
        <is>
          <t>Base</t>
        </is>
      </c>
      <c r="E739" s="283" t="inlineStr">
        <is>
          <t>Awakening Base</t>
        </is>
      </c>
      <c r="F739" s="283" t="inlineStr">
        <is>
          <t>Percentage</t>
        </is>
      </c>
      <c r="G739" s="283" t="inlineStr">
        <is>
          <t>Awakening Percentage</t>
        </is>
      </c>
      <c r="H739" s="283" t="inlineStr">
        <is>
          <t>Per Minion</t>
        </is>
      </c>
      <c r="I739" s="283" t="inlineStr">
        <is>
          <t>Per Minion Boost</t>
        </is>
      </c>
      <c r="J739" s="295" t="inlineStr">
        <is>
          <t>Source</t>
        </is>
      </c>
      <c r="K739" s="669" t="n"/>
      <c r="L739" s="669" t="n"/>
      <c r="M739" s="669" t="n"/>
      <c r="N739" s="669" t="n"/>
      <c r="O739" s="669" t="n"/>
      <c r="P739" s="669" t="n"/>
      <c r="Q739" s="669" t="n"/>
      <c r="R739" s="669" t="n"/>
      <c r="S739" s="669" t="n"/>
      <c r="T739" s="669" t="n"/>
      <c r="U739" s="669" t="n"/>
      <c r="V739" s="669" t="n"/>
      <c r="W739" s="669" t="n"/>
      <c r="X739" s="669" t="n"/>
      <c r="Y739" s="669" t="n"/>
      <c r="Z739" s="669" t="n"/>
    </row>
    <row r="740">
      <c r="A740" s="507" t="inlineStr">
        <is>
          <t>Hoxne Hoard</t>
        </is>
      </c>
      <c r="B740" s="1037" t="inlineStr">
        <is>
          <t>AAA</t>
        </is>
      </c>
      <c r="C740" s="1037" t="inlineStr">
        <is>
          <t>CIV</t>
        </is>
      </c>
      <c r="D740" s="479" t="n">
        <v>360</v>
      </c>
      <c r="E740" s="479" t="n">
        <v>280</v>
      </c>
      <c r="F740" s="934" t="n"/>
      <c r="G740" s="934" t="n"/>
      <c r="H740" s="479" t="n">
        <v>30</v>
      </c>
      <c r="I740" s="255">
        <f>(D740+E740)/H740</f>
        <v/>
      </c>
      <c r="J740" s="935" t="inlineStr">
        <is>
          <t>Lottery Machine #2 (?%)</t>
        </is>
      </c>
      <c r="K740" s="669" t="n"/>
      <c r="L740" s="669" t="n"/>
      <c r="M740" s="669" t="n"/>
      <c r="N740" s="669" t="n"/>
      <c r="O740" s="669" t="n"/>
      <c r="P740" s="669" t="n"/>
      <c r="Q740" s="669" t="n"/>
      <c r="R740" s="669" t="n"/>
      <c r="S740" s="669" t="n"/>
      <c r="T740" s="669" t="n"/>
      <c r="U740" s="669" t="n"/>
      <c r="V740" s="669" t="n"/>
      <c r="W740" s="669" t="n"/>
      <c r="X740" s="669" t="n"/>
      <c r="Y740" s="669" t="n"/>
      <c r="Z740" s="669" t="n"/>
    </row>
    <row r="741">
      <c r="A741" s="507" t="inlineStr">
        <is>
          <t>Cyrus Cylinder</t>
        </is>
      </c>
      <c r="B741" s="1037" t="inlineStr">
        <is>
          <t>SSS</t>
        </is>
      </c>
      <c r="C741" s="1037" t="inlineStr">
        <is>
          <t>CIV</t>
        </is>
      </c>
      <c r="D741" s="210" t="n">
        <v>1080</v>
      </c>
      <c r="E741" s="209" t="n"/>
      <c r="F741" s="209" t="n"/>
      <c r="G741" s="209" t="n"/>
      <c r="H741" s="210" t="n">
        <v>60</v>
      </c>
      <c r="I741" s="210">
        <f>(D741+E741)/H741</f>
        <v/>
      </c>
      <c r="J741" s="386" t="inlineStr">
        <is>
          <t>Lottery Machine #2 (0.11%)</t>
        </is>
      </c>
      <c r="K741" s="669" t="n"/>
      <c r="L741" s="669" t="n"/>
      <c r="M741" s="669" t="n"/>
      <c r="N741" s="669" t="n"/>
      <c r="O741" s="669" t="n"/>
      <c r="P741" s="669" t="n"/>
      <c r="Q741" s="669" t="n"/>
      <c r="R741" s="669" t="n"/>
      <c r="S741" s="669" t="n"/>
      <c r="T741" s="669" t="n"/>
      <c r="U741" s="669" t="n"/>
      <c r="V741" s="669" t="n"/>
      <c r="W741" s="669" t="n"/>
      <c r="X741" s="669" t="n"/>
      <c r="Y741" s="669" t="n"/>
      <c r="Z741" s="669" t="n"/>
    </row>
    <row r="742">
      <c r="A742" s="507" t="inlineStr">
        <is>
          <t>Holy Dragon Gem</t>
        </is>
      </c>
      <c r="B742" s="1037" t="inlineStr">
        <is>
          <t>SSS</t>
        </is>
      </c>
      <c r="C742" s="1037" t="inlineStr">
        <is>
          <t>FTH</t>
        </is>
      </c>
      <c r="D742" s="210" t="n">
        <v>900</v>
      </c>
      <c r="E742" s="209" t="n"/>
      <c r="F742" s="209" t="n"/>
      <c r="G742" s="209" t="n"/>
      <c r="H742" s="210" t="n">
        <v>60</v>
      </c>
      <c r="I742" s="210">
        <f>(D742+E742)/H742</f>
        <v/>
      </c>
      <c r="J742" s="296" t="inlineStr">
        <is>
          <t>Unknown</t>
        </is>
      </c>
      <c r="K742" s="669" t="n"/>
      <c r="L742" s="669" t="n"/>
      <c r="M742" s="669" t="n"/>
      <c r="N742" s="669" t="n"/>
      <c r="O742" s="669" t="n"/>
      <c r="P742" s="669" t="n"/>
      <c r="Q742" s="669" t="n"/>
      <c r="R742" s="669" t="n"/>
      <c r="S742" s="669" t="n"/>
      <c r="T742" s="669" t="n"/>
      <c r="U742" s="669" t="n"/>
      <c r="V742" s="669" t="n"/>
      <c r="W742" s="669" t="n"/>
      <c r="X742" s="669" t="n"/>
      <c r="Y742" s="669" t="n"/>
      <c r="Z742" s="669" t="n"/>
    </row>
    <row r="743">
      <c r="A743" s="507" t="inlineStr">
        <is>
          <t>Arkanrok</t>
        </is>
      </c>
      <c r="B743" s="1037" t="inlineStr">
        <is>
          <t>SSS</t>
        </is>
      </c>
      <c r="C743" s="1037" t="inlineStr">
        <is>
          <t>FAME</t>
        </is>
      </c>
      <c r="D743" s="210" t="n">
        <v>900</v>
      </c>
      <c r="E743" s="209" t="n"/>
      <c r="F743" s="209" t="n"/>
      <c r="G743" s="209" t="n"/>
      <c r="H743" s="210" t="n">
        <v>60</v>
      </c>
      <c r="I743" s="210">
        <f>(D743+E743)/H743</f>
        <v/>
      </c>
      <c r="J743" s="1095" t="inlineStr">
        <is>
          <t>Eternal Hall (Demon God Cabin) Reward</t>
        </is>
      </c>
      <c r="K743" s="669" t="n"/>
      <c r="L743" s="669" t="n"/>
      <c r="M743" s="669" t="n"/>
      <c r="N743" s="669" t="n"/>
      <c r="O743" s="669" t="n"/>
      <c r="P743" s="669" t="n"/>
      <c r="Q743" s="669" t="n"/>
      <c r="R743" s="669" t="n"/>
      <c r="S743" s="669" t="n"/>
      <c r="T743" s="669" t="n"/>
      <c r="U743" s="669" t="n"/>
      <c r="V743" s="669" t="n"/>
      <c r="W743" s="669" t="n"/>
      <c r="X743" s="669" t="n"/>
      <c r="Y743" s="669" t="n"/>
      <c r="Z743" s="669" t="n"/>
    </row>
    <row r="744">
      <c r="A744" s="246" t="inlineStr">
        <is>
          <t>Urashima Taro's Box</t>
        </is>
      </c>
      <c r="B744" s="1037" t="inlineStr">
        <is>
          <t>Blue</t>
        </is>
      </c>
      <c r="C744" s="1037" t="inlineStr">
        <is>
          <t>CIV</t>
        </is>
      </c>
      <c r="D744" s="210" t="n">
        <v>50</v>
      </c>
      <c r="E744" s="210" t="n">
        <v>50</v>
      </c>
      <c r="F744" s="209" t="n"/>
      <c r="G744" s="209" t="n"/>
      <c r="H744" s="210" t="n">
        <v>10</v>
      </c>
      <c r="I744" s="210">
        <f>(D744+E744)/H744</f>
        <v/>
      </c>
      <c r="J744" s="256" t="inlineStr">
        <is>
          <t>Lottery Machine #2 (?%)</t>
        </is>
      </c>
      <c r="K744" s="669" t="n"/>
      <c r="L744" s="669" t="n"/>
      <c r="M744" s="669" t="n"/>
      <c r="N744" s="669" t="n"/>
      <c r="O744" s="669" t="n"/>
      <c r="P744" s="669" t="n"/>
      <c r="Q744" s="669" t="n"/>
      <c r="R744" s="669" t="n"/>
      <c r="S744" s="669" t="n"/>
      <c r="T744" s="669" t="n"/>
      <c r="U744" s="669" t="n"/>
      <c r="V744" s="669" t="n"/>
      <c r="W744" s="669" t="n"/>
      <c r="X744" s="669" t="n"/>
      <c r="Y744" s="669" t="n"/>
      <c r="Z744" s="669" t="n"/>
    </row>
    <row r="745">
      <c r="A745" s="507" t="inlineStr">
        <is>
          <t>Crystal Skull</t>
        </is>
      </c>
      <c r="B745" s="1037" t="inlineStr">
        <is>
          <t>AAA</t>
        </is>
      </c>
      <c r="C745" s="1037" t="inlineStr">
        <is>
          <t>ART</t>
        </is>
      </c>
      <c r="D745" s="479" t="n">
        <v>280</v>
      </c>
      <c r="E745" s="934" t="n"/>
      <c r="F745" s="934" t="n"/>
      <c r="G745" s="934" t="n"/>
      <c r="H745" s="479" t="n">
        <v>30</v>
      </c>
      <c r="I745" s="255">
        <f>(D745+E745)/H745</f>
        <v/>
      </c>
      <c r="J745" s="256" t="inlineStr">
        <is>
          <t>Fragment Crafting (1.6%), Lottery Machine #1 (0.03%), Wishing (0.14%), Time Chest (1.5%), Relic Forge (Relic RF 80)</t>
        </is>
      </c>
      <c r="K745" s="669" t="n"/>
      <c r="L745" s="669" t="n"/>
      <c r="M745" s="669" t="n"/>
      <c r="N745" s="669" t="n"/>
      <c r="O745" s="669" t="n"/>
      <c r="P745" s="669" t="n"/>
      <c r="Q745" s="669" t="n"/>
      <c r="R745" s="669" t="n"/>
      <c r="S745" s="669" t="n"/>
      <c r="T745" s="669" t="n"/>
      <c r="U745" s="669" t="n"/>
      <c r="V745" s="669" t="n"/>
      <c r="W745" s="669" t="n"/>
      <c r="X745" s="669" t="n"/>
      <c r="Y745" s="669" t="n"/>
      <c r="Z745" s="669" t="n"/>
    </row>
    <row r="746">
      <c r="A746" s="507" t="inlineStr">
        <is>
          <t>Biography of a Master</t>
        </is>
      </c>
      <c r="B746" s="1037" t="inlineStr">
        <is>
          <t>SSS</t>
        </is>
      </c>
      <c r="C746" s="1037" t="inlineStr">
        <is>
          <t>FAME</t>
        </is>
      </c>
      <c r="D746" s="934" t="n"/>
      <c r="E746" s="934" t="n"/>
      <c r="F746" s="479" t="n">
        <v>12</v>
      </c>
      <c r="G746" s="934" t="n"/>
      <c r="H746" s="934" t="n"/>
      <c r="I746" s="934" t="n"/>
      <c r="J746" s="190" t="inlineStr">
        <is>
          <t>Lottery Machine #3 (?%)</t>
        </is>
      </c>
      <c r="K746" s="669" t="n"/>
      <c r="L746" s="669" t="n"/>
      <c r="M746" s="669" t="n"/>
      <c r="N746" s="669" t="n"/>
      <c r="O746" s="669" t="n"/>
      <c r="P746" s="669" t="n"/>
      <c r="Q746" s="669" t="n"/>
      <c r="R746" s="669" t="n"/>
      <c r="S746" s="669" t="n"/>
      <c r="T746" s="669" t="n"/>
      <c r="U746" s="669" t="n"/>
      <c r="V746" s="669" t="n"/>
      <c r="W746" s="669" t="n"/>
      <c r="X746" s="669" t="n"/>
      <c r="Y746" s="669" t="n"/>
      <c r="Z746" s="669" t="n"/>
    </row>
    <row r="747">
      <c r="A747" s="507" t="inlineStr">
        <is>
          <t>Oxus Treasure</t>
        </is>
      </c>
      <c r="B747" s="1037" t="inlineStr">
        <is>
          <t>SSS</t>
        </is>
      </c>
      <c r="C747" s="1037" t="inlineStr">
        <is>
          <t>ART</t>
        </is>
      </c>
      <c r="D747" s="934" t="n"/>
      <c r="E747" s="934" t="n"/>
      <c r="F747" s="479" t="n">
        <v>12</v>
      </c>
      <c r="G747" s="934" t="n"/>
      <c r="H747" s="934" t="n"/>
      <c r="I747" s="934" t="n"/>
      <c r="J747" s="935" t="inlineStr">
        <is>
          <t>Lottery Machine #2 (0.12%), Relic Forge (120 RF)</t>
        </is>
      </c>
      <c r="K747" s="669" t="n"/>
      <c r="L747" s="669" t="n"/>
      <c r="M747" s="669" t="n"/>
      <c r="N747" s="669" t="n"/>
      <c r="O747" s="669" t="n"/>
      <c r="P747" s="669" t="n"/>
      <c r="Q747" s="669" t="n"/>
      <c r="R747" s="669" t="n"/>
      <c r="S747" s="669" t="n"/>
      <c r="T747" s="669" t="n"/>
      <c r="U747" s="669" t="n"/>
      <c r="V747" s="669" t="n"/>
      <c r="W747" s="669" t="n"/>
      <c r="X747" s="669" t="n"/>
      <c r="Y747" s="669" t="n"/>
      <c r="Z747" s="669" t="n"/>
    </row>
    <row r="748">
      <c r="A748" s="246" t="inlineStr">
        <is>
          <t>Forsman Cardiac Catheter</t>
        </is>
      </c>
      <c r="B748" s="1037" t="inlineStr">
        <is>
          <t>AAA</t>
        </is>
      </c>
      <c r="C748" s="1037" t="inlineStr">
        <is>
          <t>FAME</t>
        </is>
      </c>
      <c r="D748" s="209" t="n"/>
      <c r="E748" s="209" t="n"/>
      <c r="F748" s="210" t="n">
        <v>9</v>
      </c>
      <c r="G748" s="209" t="n"/>
      <c r="H748" s="209" t="n"/>
      <c r="I748" s="209" t="n"/>
      <c r="J748" s="281" t="inlineStr">
        <is>
          <t>Lottery Box Relic #10</t>
        </is>
      </c>
      <c r="K748" s="669" t="n"/>
      <c r="L748" s="669" t="n"/>
      <c r="M748" s="669" t="n"/>
      <c r="N748" s="669" t="n"/>
      <c r="O748" s="669" t="n"/>
      <c r="P748" s="669" t="n"/>
      <c r="Q748" s="669" t="n"/>
      <c r="R748" s="669" t="n"/>
      <c r="S748" s="669" t="n"/>
      <c r="T748" s="669" t="n"/>
      <c r="U748" s="669" t="n"/>
      <c r="V748" s="669" t="n"/>
      <c r="W748" s="669" t="n"/>
      <c r="X748" s="669" t="n"/>
      <c r="Y748" s="669" t="n"/>
      <c r="Z748" s="669" t="n"/>
    </row>
    <row r="749">
      <c r="A749" s="246" t="inlineStr">
        <is>
          <t>Solar Sail</t>
        </is>
      </c>
      <c r="B749" s="1037" t="inlineStr">
        <is>
          <t>AAA</t>
        </is>
      </c>
      <c r="C749" s="1037" t="inlineStr">
        <is>
          <t>TECH</t>
        </is>
      </c>
      <c r="D749" s="209" t="n"/>
      <c r="E749" s="209" t="n"/>
      <c r="F749" s="210" t="n">
        <v>9</v>
      </c>
      <c r="G749" s="209" t="n"/>
      <c r="H749" s="209" t="n"/>
      <c r="I749" s="209" t="n"/>
      <c r="J749" s="256" t="inlineStr">
        <is>
          <t>Rift Treasure Maps (10%)</t>
        </is>
      </c>
      <c r="K749" s="669" t="n"/>
      <c r="L749" s="669" t="n"/>
      <c r="M749" s="669" t="n"/>
      <c r="N749" s="669" t="n"/>
      <c r="O749" s="669" t="n"/>
      <c r="P749" s="669" t="n"/>
      <c r="Q749" s="669" t="n"/>
      <c r="R749" s="669" t="n"/>
      <c r="S749" s="669" t="n"/>
      <c r="T749" s="669" t="n"/>
      <c r="U749" s="669" t="n"/>
      <c r="V749" s="669" t="n"/>
      <c r="W749" s="669" t="n"/>
      <c r="X749" s="669" t="n"/>
      <c r="Y749" s="669" t="n"/>
      <c r="Z749" s="669" t="n"/>
    </row>
    <row r="750">
      <c r="A750" s="507" t="inlineStr">
        <is>
          <t>Das Rheingold</t>
        </is>
      </c>
      <c r="B750" s="1037" t="inlineStr">
        <is>
          <t>Blue</t>
        </is>
      </c>
      <c r="C750" s="1037" t="inlineStr">
        <is>
          <t>CIV</t>
        </is>
      </c>
      <c r="D750" s="934" t="n"/>
      <c r="E750" s="934" t="n"/>
      <c r="F750" s="479" t="n">
        <v>5</v>
      </c>
      <c r="G750" s="479" t="n">
        <v>5</v>
      </c>
      <c r="H750" s="934" t="n"/>
      <c r="I750" s="934" t="n"/>
      <c r="J750" s="935" t="inlineStr">
        <is>
          <t>Lottery Machine #2 (?%)</t>
        </is>
      </c>
      <c r="K750" s="669" t="n"/>
      <c r="L750" s="669" t="n"/>
      <c r="M750" s="669" t="n"/>
      <c r="N750" s="669" t="n"/>
      <c r="O750" s="669" t="n"/>
      <c r="P750" s="669" t="n"/>
      <c r="Q750" s="669" t="n"/>
      <c r="R750" s="669" t="n"/>
      <c r="S750" s="669" t="n"/>
      <c r="T750" s="669" t="n"/>
      <c r="U750" s="669" t="n"/>
      <c r="V750" s="669" t="n"/>
      <c r="W750" s="669" t="n"/>
      <c r="X750" s="669" t="n"/>
      <c r="Y750" s="669" t="n"/>
      <c r="Z750" s="669" t="n"/>
    </row>
    <row r="751">
      <c r="A751" s="257" t="n"/>
      <c r="B751" s="209" t="n"/>
      <c r="C751" s="934" t="n"/>
      <c r="D751" s="209" t="n"/>
      <c r="E751" s="209" t="n"/>
      <c r="F751" s="209" t="n"/>
      <c r="G751" s="209" t="n"/>
      <c r="H751" s="209" t="n"/>
      <c r="I751" s="209" t="n"/>
      <c r="J751" s="256" t="n"/>
      <c r="K751" s="669" t="n"/>
      <c r="L751" s="669" t="n"/>
      <c r="M751" s="669" t="n"/>
      <c r="N751" s="669" t="n"/>
      <c r="O751" s="669" t="n"/>
      <c r="P751" s="669" t="n"/>
      <c r="Q751" s="669" t="n"/>
      <c r="R751" s="669" t="n"/>
      <c r="S751" s="669" t="n"/>
      <c r="T751" s="669" t="n"/>
      <c r="U751" s="669" t="n"/>
      <c r="V751" s="669" t="n"/>
      <c r="W751" s="669" t="n"/>
      <c r="X751" s="669" t="n"/>
      <c r="Y751" s="669" t="n"/>
      <c r="Z751" s="669" t="n"/>
    </row>
    <row r="752">
      <c r="A752" s="507" t="inlineStr">
        <is>
          <t>Resonance: Blue</t>
        </is>
      </c>
      <c r="B752" s="934" t="n"/>
      <c r="C752" s="934" t="n"/>
      <c r="D752" s="479" t="n">
        <v>70</v>
      </c>
      <c r="E752" s="934" t="n"/>
      <c r="F752" s="934" t="n"/>
      <c r="G752" s="934" t="n"/>
      <c r="H752" s="479" t="n">
        <v>10</v>
      </c>
      <c r="I752" s="479">
        <f>(D752+E752)/H752</f>
        <v/>
      </c>
      <c r="J752" s="935" t="n"/>
      <c r="K752" s="669" t="n"/>
      <c r="L752" s="669" t="n"/>
      <c r="M752" s="669" t="n"/>
      <c r="N752" s="669" t="n"/>
      <c r="O752" s="669" t="n"/>
      <c r="P752" s="669" t="n"/>
      <c r="Q752" s="669" t="n"/>
      <c r="R752" s="669" t="n"/>
      <c r="S752" s="669" t="n"/>
      <c r="T752" s="669" t="n"/>
      <c r="U752" s="669" t="n"/>
      <c r="V752" s="669" t="n"/>
      <c r="W752" s="669" t="n"/>
      <c r="X752" s="669" t="n"/>
      <c r="Y752" s="669" t="n"/>
      <c r="Z752" s="669" t="n"/>
    </row>
    <row r="753">
      <c r="A753" s="246" t="inlineStr">
        <is>
          <t xml:space="preserve">  Sampo</t>
        </is>
      </c>
      <c r="B753" s="1037" t="inlineStr">
        <is>
          <t>Blue</t>
        </is>
      </c>
      <c r="C753" s="1037" t="inlineStr">
        <is>
          <t>FTH</t>
        </is>
      </c>
      <c r="D753" s="209" t="n"/>
      <c r="E753" s="209" t="n"/>
      <c r="F753" s="209" t="n"/>
      <c r="G753" s="209" t="n"/>
      <c r="H753" s="209" t="n"/>
      <c r="I753" s="209" t="n"/>
      <c r="J753" s="256" t="inlineStr">
        <is>
          <t>Lottery Machine #2 (?%)</t>
        </is>
      </c>
      <c r="K753" s="669" t="n"/>
      <c r="L753" s="669" t="n"/>
      <c r="M753" s="669" t="n"/>
      <c r="N753" s="669" t="n"/>
      <c r="O753" s="669" t="n"/>
      <c r="P753" s="669" t="n"/>
      <c r="Q753" s="669" t="n"/>
      <c r="R753" s="669" t="n"/>
      <c r="S753" s="669" t="n"/>
      <c r="T753" s="669" t="n"/>
      <c r="U753" s="669" t="n"/>
      <c r="V753" s="669" t="n"/>
      <c r="W753" s="669" t="n"/>
      <c r="X753" s="669" t="n"/>
      <c r="Y753" s="669" t="n"/>
      <c r="Z753" s="669" t="n"/>
    </row>
    <row r="754">
      <c r="A754" s="507" t="inlineStr">
        <is>
          <t xml:space="preserve">  Aulos Pipe</t>
        </is>
      </c>
      <c r="B754" s="1037" t="inlineStr">
        <is>
          <t>Blue</t>
        </is>
      </c>
      <c r="C754" s="1037" t="inlineStr">
        <is>
          <t>FTH</t>
        </is>
      </c>
      <c r="D754" s="934" t="n"/>
      <c r="E754" s="934" t="n"/>
      <c r="F754" s="934" t="n"/>
      <c r="G754" s="934" t="n"/>
      <c r="H754" s="934" t="n"/>
      <c r="I754" s="934" t="n"/>
      <c r="J754" s="935" t="inlineStr">
        <is>
          <t>Lottery Machine #2 (?%)</t>
        </is>
      </c>
      <c r="K754" s="669" t="n"/>
      <c r="L754" s="669" t="n"/>
      <c r="M754" s="669" t="n"/>
      <c r="N754" s="669" t="n"/>
      <c r="O754" s="669" t="n"/>
      <c r="P754" s="669" t="n"/>
      <c r="Q754" s="669" t="n"/>
      <c r="R754" s="669" t="n"/>
      <c r="S754" s="669" t="n"/>
      <c r="T754" s="669" t="n"/>
      <c r="U754" s="669" t="n"/>
      <c r="V754" s="669" t="n"/>
      <c r="W754" s="669" t="n"/>
      <c r="X754" s="669" t="n"/>
      <c r="Y754" s="669" t="n"/>
      <c r="Z754" s="669" t="n"/>
    </row>
    <row r="755">
      <c r="A755" s="246" t="inlineStr">
        <is>
          <t xml:space="preserve">  First World Cup Ticket</t>
        </is>
      </c>
      <c r="B755" s="1037" t="inlineStr">
        <is>
          <t>Blue</t>
        </is>
      </c>
      <c r="C755" s="1037" t="inlineStr">
        <is>
          <t>FAME</t>
        </is>
      </c>
      <c r="D755" s="209" t="n"/>
      <c r="E755" s="209" t="n"/>
      <c r="F755" s="209" t="n"/>
      <c r="G755" s="209" t="n"/>
      <c r="H755" s="209" t="n"/>
      <c r="I755" s="209" t="n"/>
      <c r="J755" s="256" t="inlineStr">
        <is>
          <t>Lottery Machine #2 (?%)</t>
        </is>
      </c>
      <c r="K755" s="669" t="n"/>
      <c r="L755" s="669" t="n"/>
      <c r="M755" s="669" t="n"/>
      <c r="N755" s="669" t="n"/>
      <c r="O755" s="669" t="n"/>
      <c r="P755" s="669" t="n"/>
      <c r="Q755" s="669" t="n"/>
      <c r="R755" s="669" t="n"/>
      <c r="S755" s="669" t="n"/>
      <c r="T755" s="669" t="n"/>
      <c r="U755" s="669" t="n"/>
      <c r="V755" s="669" t="n"/>
      <c r="W755" s="669" t="n"/>
      <c r="X755" s="669" t="n"/>
      <c r="Y755" s="669" t="n"/>
      <c r="Z755" s="669" t="n"/>
    </row>
    <row r="756">
      <c r="A756" s="507" t="inlineStr">
        <is>
          <t xml:space="preserve">  Pavlov's Bell</t>
        </is>
      </c>
      <c r="B756" s="1037" t="inlineStr">
        <is>
          <t>Blue</t>
        </is>
      </c>
      <c r="C756" s="1037" t="inlineStr">
        <is>
          <t>FAME</t>
        </is>
      </c>
      <c r="D756" s="934" t="n"/>
      <c r="E756" s="934" t="n"/>
      <c r="F756" s="934" t="n"/>
      <c r="G756" s="934" t="n"/>
      <c r="H756" s="934" t="n"/>
      <c r="I756" s="934" t="n"/>
      <c r="J756" s="935" t="inlineStr">
        <is>
          <t>Lottery Machine #2 (?%)</t>
        </is>
      </c>
      <c r="K756" s="669" t="n"/>
      <c r="L756" s="669" t="n"/>
      <c r="M756" s="669" t="n"/>
      <c r="N756" s="669" t="n"/>
      <c r="O756" s="669" t="n"/>
      <c r="P756" s="669" t="n"/>
      <c r="Q756" s="669" t="n"/>
      <c r="R756" s="669" t="n"/>
      <c r="S756" s="669" t="n"/>
      <c r="T756" s="669" t="n"/>
      <c r="U756" s="669" t="n"/>
      <c r="V756" s="669" t="n"/>
      <c r="W756" s="669" t="n"/>
      <c r="X756" s="669" t="n"/>
      <c r="Y756" s="669" t="n"/>
      <c r="Z756" s="669" t="n"/>
    </row>
    <row r="757">
      <c r="A757" s="246" t="inlineStr">
        <is>
          <t>Resonance: Purple</t>
        </is>
      </c>
      <c r="B757" s="209" t="n"/>
      <c r="C757" s="209" t="n"/>
      <c r="D757" s="209" t="n"/>
      <c r="E757" s="209" t="n"/>
      <c r="F757" s="210" t="n">
        <v>8</v>
      </c>
      <c r="G757" s="209" t="n"/>
      <c r="H757" s="209" t="n"/>
      <c r="I757" s="209" t="n"/>
      <c r="J757" s="256" t="n"/>
      <c r="K757" s="669" t="n"/>
      <c r="L757" s="669" t="n"/>
      <c r="M757" s="669" t="n"/>
      <c r="N757" s="669" t="n"/>
      <c r="O757" s="669" t="n"/>
      <c r="P757" s="669" t="n"/>
      <c r="Q757" s="669" t="n"/>
      <c r="R757" s="669" t="n"/>
      <c r="S757" s="669" t="n"/>
      <c r="T757" s="669" t="n"/>
      <c r="U757" s="669" t="n"/>
      <c r="V757" s="669" t="n"/>
      <c r="W757" s="669" t="n"/>
      <c r="X757" s="669" t="n"/>
      <c r="Y757" s="669" t="n"/>
      <c r="Z757" s="669" t="n"/>
    </row>
    <row r="758">
      <c r="A758" s="246" t="inlineStr">
        <is>
          <t xml:space="preserve">  Gold Croeseid</t>
        </is>
      </c>
      <c r="B758" s="1037" t="inlineStr">
        <is>
          <t>AA</t>
        </is>
      </c>
      <c r="C758" s="1037" t="inlineStr">
        <is>
          <t>FAME</t>
        </is>
      </c>
      <c r="D758" s="209" t="n"/>
      <c r="E758" s="209" t="n"/>
      <c r="F758" s="209" t="n"/>
      <c r="G758" s="209" t="n"/>
      <c r="H758" s="209" t="n"/>
      <c r="I758" s="209" t="n"/>
      <c r="J758" s="256" t="inlineStr">
        <is>
          <t>Lottery Machine #2 (?%)</t>
        </is>
      </c>
      <c r="K758" s="669" t="n"/>
      <c r="L758" s="669" t="n"/>
      <c r="M758" s="669" t="n"/>
      <c r="N758" s="669" t="n"/>
      <c r="O758" s="669" t="n"/>
      <c r="P758" s="669" t="n"/>
      <c r="Q758" s="669" t="n"/>
      <c r="R758" s="669" t="n"/>
      <c r="S758" s="669" t="n"/>
      <c r="T758" s="669" t="n"/>
      <c r="U758" s="669" t="n"/>
      <c r="V758" s="669" t="n"/>
      <c r="W758" s="669" t="n"/>
      <c r="X758" s="669" t="n"/>
      <c r="Y758" s="669" t="n"/>
      <c r="Z758" s="669" t="n"/>
    </row>
    <row r="759">
      <c r="A759" s="246" t="inlineStr">
        <is>
          <t xml:space="preserve">  Erdapfel</t>
        </is>
      </c>
      <c r="B759" s="1037" t="inlineStr">
        <is>
          <t>AAA</t>
        </is>
      </c>
      <c r="C759" s="1037" t="inlineStr">
        <is>
          <t>FAME</t>
        </is>
      </c>
      <c r="D759" s="209" t="n"/>
      <c r="E759" s="209" t="n"/>
      <c r="F759" s="209" t="n"/>
      <c r="G759" s="209" t="n"/>
      <c r="H759" s="209" t="n"/>
      <c r="I759" s="209" t="n"/>
      <c r="J759" s="256" t="inlineStr">
        <is>
          <t>Lottery Machine #2 (?%)</t>
        </is>
      </c>
      <c r="K759" s="669" t="n"/>
      <c r="L759" s="669" t="n"/>
      <c r="M759" s="669" t="n"/>
      <c r="N759" s="669" t="n"/>
      <c r="O759" s="669" t="n"/>
      <c r="P759" s="669" t="n"/>
      <c r="Q759" s="669" t="n"/>
      <c r="R759" s="669" t="n"/>
      <c r="S759" s="669" t="n"/>
      <c r="T759" s="669" t="n"/>
      <c r="U759" s="669" t="n"/>
      <c r="V759" s="669" t="n"/>
      <c r="W759" s="669" t="n"/>
      <c r="X759" s="669" t="n"/>
      <c r="Y759" s="669" t="n"/>
      <c r="Z759" s="669" t="n"/>
    </row>
    <row r="760">
      <c r="A760" s="246" t="inlineStr">
        <is>
          <t xml:space="preserve">  Galton Board</t>
        </is>
      </c>
      <c r="B760" s="1037" t="inlineStr">
        <is>
          <t>AA</t>
        </is>
      </c>
      <c r="C760" s="1037" t="inlineStr">
        <is>
          <t>TECH</t>
        </is>
      </c>
      <c r="D760" s="209" t="n"/>
      <c r="E760" s="209" t="n"/>
      <c r="F760" s="209" t="n"/>
      <c r="G760" s="209" t="n"/>
      <c r="H760" s="209" t="n"/>
      <c r="I760" s="209" t="n"/>
      <c r="J760" s="256" t="inlineStr">
        <is>
          <t>Lottery Machine #2 (?%)</t>
        </is>
      </c>
      <c r="K760" s="669" t="n"/>
      <c r="L760" s="669" t="n"/>
      <c r="M760" s="669" t="n"/>
      <c r="N760" s="669" t="n"/>
      <c r="O760" s="669" t="n"/>
      <c r="P760" s="669" t="n"/>
      <c r="Q760" s="669" t="n"/>
      <c r="R760" s="669" t="n"/>
      <c r="S760" s="669" t="n"/>
      <c r="T760" s="669" t="n"/>
      <c r="U760" s="669" t="n"/>
      <c r="V760" s="669" t="n"/>
      <c r="W760" s="669" t="n"/>
      <c r="X760" s="669" t="n"/>
      <c r="Y760" s="669" t="n"/>
      <c r="Z760" s="669" t="n"/>
    </row>
    <row r="761">
      <c r="A761" s="246" t="inlineStr">
        <is>
          <t xml:space="preserve">  Kekule Structure</t>
        </is>
      </c>
      <c r="B761" s="1037" t="inlineStr">
        <is>
          <t>AAA</t>
        </is>
      </c>
      <c r="C761" s="1037" t="inlineStr">
        <is>
          <t>TECH</t>
        </is>
      </c>
      <c r="D761" s="209" t="n"/>
      <c r="E761" s="209" t="n"/>
      <c r="F761" s="209" t="n"/>
      <c r="G761" s="209" t="n"/>
      <c r="H761" s="209" t="n"/>
      <c r="I761" s="209" t="n"/>
      <c r="J761" s="256" t="inlineStr">
        <is>
          <t>Lottery Machine #2 (?%)</t>
        </is>
      </c>
      <c r="K761" s="669" t="n"/>
      <c r="L761" s="669" t="n"/>
      <c r="M761" s="669" t="n"/>
      <c r="N761" s="669" t="n"/>
      <c r="O761" s="669" t="n"/>
      <c r="P761" s="669" t="n"/>
      <c r="Q761" s="669" t="n"/>
      <c r="R761" s="669" t="n"/>
      <c r="S761" s="669" t="n"/>
      <c r="T761" s="669" t="n"/>
      <c r="U761" s="669" t="n"/>
      <c r="V761" s="669" t="n"/>
      <c r="W761" s="669" t="n"/>
      <c r="X761" s="669" t="n"/>
      <c r="Y761" s="669" t="n"/>
      <c r="Z761" s="669" t="n"/>
    </row>
    <row r="762">
      <c r="A762" s="955" t="inlineStr">
        <is>
          <t>TOTAL HP</t>
        </is>
      </c>
      <c r="B762" s="946" t="n"/>
      <c r="C762" s="946" t="n"/>
      <c r="D762" s="946" t="n"/>
      <c r="E762" s="946" t="n"/>
      <c r="F762" s="260">
        <f>sum(F743:G761)</f>
        <v/>
      </c>
      <c r="G762" s="946" t="n"/>
      <c r="H762" s="946" t="n"/>
      <c r="I762" s="261">
        <f>sum(I743:I761)</f>
        <v/>
      </c>
      <c r="J762" s="947" t="n"/>
      <c r="K762" s="669" t="n"/>
      <c r="L762" s="669" t="n"/>
      <c r="M762" s="669" t="n"/>
      <c r="N762" s="669" t="n"/>
      <c r="O762" s="669" t="n"/>
      <c r="P762" s="669" t="n"/>
      <c r="Q762" s="669" t="n"/>
      <c r="R762" s="669" t="n"/>
      <c r="S762" s="669" t="n"/>
      <c r="T762" s="669" t="n"/>
      <c r="U762" s="669" t="n"/>
      <c r="V762" s="669" t="n"/>
      <c r="W762" s="669" t="n"/>
      <c r="X762" s="669" t="n"/>
      <c r="Y762" s="669" t="n"/>
      <c r="Z762" s="669" t="n"/>
    </row>
    <row r="763">
      <c r="A763" s="825" t="n"/>
      <c r="B763" s="1037" t="n"/>
      <c r="C763" s="1037" t="n"/>
      <c r="D763" s="1037" t="n"/>
      <c r="E763" s="1037" t="n"/>
      <c r="F763" s="1037" t="n"/>
      <c r="G763" s="1037" t="n"/>
      <c r="H763" s="1037" t="n"/>
      <c r="I763" s="1037" t="n"/>
      <c r="J763" s="386" t="n"/>
      <c r="K763" s="669" t="n"/>
      <c r="L763" s="669" t="n"/>
      <c r="M763" s="669" t="n"/>
      <c r="N763" s="669" t="n"/>
      <c r="O763" s="669" t="n"/>
      <c r="P763" s="669" t="n"/>
      <c r="Q763" s="669" t="n"/>
      <c r="R763" s="669" t="n"/>
      <c r="S763" s="669" t="n"/>
      <c r="T763" s="669" t="n"/>
      <c r="U763" s="669" t="n"/>
      <c r="V763" s="669" t="n"/>
      <c r="W763" s="669" t="n"/>
      <c r="X763" s="669" t="n"/>
      <c r="Y763" s="669" t="n"/>
      <c r="Z763" s="669" t="n"/>
    </row>
    <row r="764">
      <c r="A764" s="383" t="n"/>
      <c r="B764" s="1079" t="n"/>
      <c r="C764" s="1079" t="n"/>
      <c r="D764" s="1079" t="n"/>
      <c r="E764" s="1079" t="n"/>
      <c r="F764" s="1079" t="n"/>
      <c r="G764" s="1079" t="n"/>
      <c r="H764" s="1079" t="n"/>
      <c r="I764" s="1079" t="n"/>
      <c r="J764" s="970" t="n"/>
      <c r="K764" s="669" t="n"/>
      <c r="L764" s="669" t="n"/>
      <c r="M764" s="669" t="n"/>
      <c r="N764" s="669" t="n"/>
      <c r="O764" s="669" t="n"/>
      <c r="P764" s="669" t="n"/>
      <c r="Q764" s="669" t="n"/>
      <c r="R764" s="669" t="n"/>
      <c r="S764" s="669" t="n"/>
      <c r="T764" s="669" t="n"/>
      <c r="U764" s="669" t="n"/>
      <c r="V764" s="669" t="n"/>
      <c r="W764" s="669" t="n"/>
      <c r="X764" s="669" t="n"/>
      <c r="Y764" s="669" t="n"/>
      <c r="Z764" s="669" t="n"/>
    </row>
    <row r="765">
      <c r="A765" s="282" t="inlineStr">
        <is>
          <t>ATK</t>
        </is>
      </c>
      <c r="B765" s="283" t="inlineStr">
        <is>
          <t>Rarity</t>
        </is>
      </c>
      <c r="C765" s="283" t="inlineStr">
        <is>
          <t>Type</t>
        </is>
      </c>
      <c r="D765" s="283" t="inlineStr">
        <is>
          <t>Base</t>
        </is>
      </c>
      <c r="E765" s="283" t="inlineStr">
        <is>
          <t>Awakening Base</t>
        </is>
      </c>
      <c r="F765" s="283" t="inlineStr">
        <is>
          <t>Percentage</t>
        </is>
      </c>
      <c r="G765" s="283" t="inlineStr">
        <is>
          <t>Awakening Percentage</t>
        </is>
      </c>
      <c r="H765" s="283" t="inlineStr">
        <is>
          <t>Per Minion</t>
        </is>
      </c>
      <c r="I765" s="283" t="inlineStr">
        <is>
          <t>Per Minion Boost</t>
        </is>
      </c>
      <c r="J765" s="295" t="inlineStr">
        <is>
          <t>Source</t>
        </is>
      </c>
      <c r="K765" s="669" t="n"/>
      <c r="L765" s="669" t="n"/>
      <c r="M765" s="669" t="n"/>
      <c r="N765" s="669" t="n"/>
      <c r="O765" s="669" t="n"/>
      <c r="P765" s="669" t="n"/>
      <c r="Q765" s="669" t="n"/>
      <c r="R765" s="669" t="n"/>
      <c r="S765" s="669" t="n"/>
      <c r="T765" s="669" t="n"/>
      <c r="U765" s="669" t="n"/>
      <c r="V765" s="669" t="n"/>
      <c r="W765" s="669" t="n"/>
      <c r="X765" s="669" t="n"/>
      <c r="Y765" s="669" t="n"/>
      <c r="Z765" s="669" t="n"/>
    </row>
    <row r="766">
      <c r="A766" s="507" t="inlineStr">
        <is>
          <t>Dragonspine Medal</t>
        </is>
      </c>
      <c r="B766" s="1037" t="inlineStr">
        <is>
          <t>SSS</t>
        </is>
      </c>
      <c r="C766" s="1037" t="inlineStr">
        <is>
          <t>FTH</t>
        </is>
      </c>
      <c r="D766" s="267" t="n">
        <v>90</v>
      </c>
      <c r="E766" s="267" t="n">
        <v>90</v>
      </c>
      <c r="F766" s="934" t="n"/>
      <c r="G766" s="934" t="n"/>
      <c r="H766" s="267" t="n">
        <v>60</v>
      </c>
      <c r="I766" s="479">
        <f>(D766+E766)/H766</f>
        <v/>
      </c>
      <c r="J766" s="390" t="inlineStr">
        <is>
          <t>Ultimate Divine Dragon Reward</t>
        </is>
      </c>
      <c r="K766" s="669" t="n"/>
      <c r="L766" s="669" t="n"/>
      <c r="M766" s="669" t="n"/>
      <c r="N766" s="669" t="n"/>
      <c r="O766" s="669" t="n"/>
      <c r="P766" s="669" t="n"/>
      <c r="Q766" s="669" t="n"/>
      <c r="R766" s="669" t="n"/>
      <c r="S766" s="669" t="n"/>
      <c r="T766" s="669" t="n"/>
      <c r="U766" s="669" t="n"/>
      <c r="V766" s="669" t="n"/>
      <c r="W766" s="669" t="n"/>
      <c r="X766" s="669" t="n"/>
      <c r="Y766" s="669" t="n"/>
      <c r="Z766" s="669" t="n"/>
    </row>
    <row r="767">
      <c r="A767" s="246" t="inlineStr">
        <is>
          <t>Nemean Lion's Hide</t>
        </is>
      </c>
      <c r="B767" s="1037" t="inlineStr">
        <is>
          <t>AAA</t>
        </is>
      </c>
      <c r="C767" s="1037" t="inlineStr">
        <is>
          <t>FTH</t>
        </is>
      </c>
      <c r="D767" s="209" t="n">
        <v>36</v>
      </c>
      <c r="E767" s="209" t="n">
        <v>28</v>
      </c>
      <c r="F767" s="268" t="n"/>
      <c r="G767" s="209" t="n"/>
      <c r="H767" s="267" t="n">
        <v>30</v>
      </c>
      <c r="I767" s="255">
        <f>(D767+E767)/H767</f>
        <v/>
      </c>
      <c r="J767" s="935" t="inlineStr">
        <is>
          <t>Lottery Machine #2 (0.06%)</t>
        </is>
      </c>
      <c r="K767" s="669" t="n"/>
      <c r="L767" s="669" t="n"/>
      <c r="M767" s="669" t="n"/>
      <c r="N767" s="669" t="n"/>
      <c r="O767" s="669" t="n"/>
      <c r="P767" s="669" t="n"/>
      <c r="Q767" s="669" t="n"/>
      <c r="R767" s="669" t="n"/>
      <c r="S767" s="669" t="n"/>
      <c r="T767" s="669" t="n"/>
      <c r="U767" s="669" t="n"/>
      <c r="V767" s="669" t="n"/>
      <c r="W767" s="669" t="n"/>
      <c r="X767" s="669" t="n"/>
      <c r="Y767" s="669" t="n"/>
      <c r="Z767" s="669" t="n"/>
    </row>
    <row r="768">
      <c r="A768" s="246" t="inlineStr">
        <is>
          <t>Jormungandr Scale</t>
        </is>
      </c>
      <c r="B768" s="1037" t="inlineStr">
        <is>
          <t>AA</t>
        </is>
      </c>
      <c r="C768" s="1037" t="inlineStr">
        <is>
          <t>FTH</t>
        </is>
      </c>
      <c r="D768" s="209" t="n">
        <v>28</v>
      </c>
      <c r="E768" s="209" t="n">
        <v>28</v>
      </c>
      <c r="F768" s="268" t="n"/>
      <c r="G768" s="209" t="n"/>
      <c r="H768" s="267" t="n">
        <v>30</v>
      </c>
      <c r="I768" s="255">
        <f>(D768+E768)/H768</f>
        <v/>
      </c>
      <c r="J768" s="935" t="inlineStr">
        <is>
          <t>T6.5 Dragon Gene Research</t>
        </is>
      </c>
      <c r="K768" s="669" t="n"/>
      <c r="L768" s="669" t="n"/>
      <c r="M768" s="669" t="n"/>
      <c r="N768" s="669" t="n"/>
      <c r="O768" s="669" t="n"/>
      <c r="P768" s="669" t="n"/>
      <c r="Q768" s="669" t="n"/>
      <c r="R768" s="669" t="n"/>
      <c r="S768" s="669" t="n"/>
      <c r="T768" s="669" t="n"/>
      <c r="U768" s="669" t="n"/>
      <c r="V768" s="669" t="n"/>
      <c r="W768" s="669" t="n"/>
      <c r="X768" s="669" t="n"/>
      <c r="Y768" s="669" t="n"/>
      <c r="Z768" s="669" t="n"/>
    </row>
    <row r="769">
      <c r="A769" s="246" t="inlineStr">
        <is>
          <t>Cyrus Cylinder</t>
        </is>
      </c>
      <c r="B769" s="1037" t="inlineStr">
        <is>
          <t>SSS</t>
        </is>
      </c>
      <c r="C769" s="1037" t="inlineStr">
        <is>
          <t>CIV</t>
        </is>
      </c>
      <c r="D769" s="209" t="n">
        <v>108</v>
      </c>
      <c r="E769" s="209" t="n"/>
      <c r="F769" s="268" t="n"/>
      <c r="G769" s="209" t="n"/>
      <c r="H769" s="267" t="n">
        <v>60</v>
      </c>
      <c r="I769" s="479">
        <f>(D769+E769)/H769</f>
        <v/>
      </c>
      <c r="J769" s="386" t="inlineStr">
        <is>
          <t>Lottery Machine #2 (0.11%)</t>
        </is>
      </c>
      <c r="K769" s="669" t="n"/>
      <c r="L769" s="669" t="n"/>
      <c r="M769" s="669" t="n"/>
      <c r="N769" s="669" t="n"/>
      <c r="O769" s="669" t="n"/>
      <c r="P769" s="669" t="n"/>
      <c r="Q769" s="669" t="n"/>
      <c r="R769" s="669" t="n"/>
      <c r="S769" s="669" t="n"/>
      <c r="T769" s="669" t="n"/>
      <c r="U769" s="669" t="n"/>
      <c r="V769" s="669" t="n"/>
      <c r="W769" s="669" t="n"/>
      <c r="X769" s="669" t="n"/>
      <c r="Y769" s="669" t="n"/>
      <c r="Z769" s="669" t="n"/>
    </row>
    <row r="770">
      <c r="A770" s="507" t="inlineStr">
        <is>
          <t>Arkanrok</t>
        </is>
      </c>
      <c r="B770" s="1037" t="inlineStr">
        <is>
          <t>SSS</t>
        </is>
      </c>
      <c r="C770" s="1037" t="inlineStr">
        <is>
          <t>FAME</t>
        </is>
      </c>
      <c r="D770" s="479" t="n">
        <v>90</v>
      </c>
      <c r="E770" s="934" t="n"/>
      <c r="F770" s="934" t="n"/>
      <c r="G770" s="934" t="n"/>
      <c r="H770" s="479" t="n">
        <v>60</v>
      </c>
      <c r="I770" s="479">
        <f>(D770+E770)/H770</f>
        <v/>
      </c>
      <c r="J770" s="1095" t="inlineStr">
        <is>
          <t>Eternal Hall (Demon God Cabin) Reward</t>
        </is>
      </c>
      <c r="K770" s="669" t="n"/>
      <c r="L770" s="669" t="n"/>
      <c r="M770" s="669" t="n"/>
      <c r="N770" s="669" t="n"/>
      <c r="O770" s="669" t="n"/>
      <c r="P770" s="669" t="n"/>
      <c r="Q770" s="669" t="n"/>
      <c r="R770" s="669" t="n"/>
      <c r="S770" s="669" t="n"/>
      <c r="T770" s="669" t="n"/>
      <c r="U770" s="669" t="n"/>
      <c r="V770" s="669" t="n"/>
      <c r="W770" s="669" t="n"/>
      <c r="X770" s="669" t="n"/>
      <c r="Y770" s="669" t="n"/>
      <c r="Z770" s="669" t="n"/>
    </row>
    <row r="771">
      <c r="A771" s="507" t="inlineStr">
        <is>
          <t>Gertie the Dinosaur</t>
        </is>
      </c>
      <c r="B771" s="1037" t="inlineStr">
        <is>
          <t>Blue</t>
        </is>
      </c>
      <c r="C771" s="1037" t="inlineStr">
        <is>
          <t>FAME</t>
        </is>
      </c>
      <c r="D771" s="267" t="n">
        <v>5</v>
      </c>
      <c r="E771" s="267" t="n">
        <v>5</v>
      </c>
      <c r="F771" s="934" t="n"/>
      <c r="G771" s="934" t="n"/>
      <c r="H771" s="267" t="n">
        <v>10</v>
      </c>
      <c r="I771" s="255">
        <f>(D771+E771)/H771</f>
        <v/>
      </c>
      <c r="J771" s="256" t="inlineStr">
        <is>
          <t>Lottery Machine #2 (?%)</t>
        </is>
      </c>
      <c r="K771" s="669" t="n"/>
      <c r="L771" s="669" t="n"/>
      <c r="M771" s="669" t="n"/>
      <c r="N771" s="669" t="n"/>
      <c r="O771" s="669" t="n"/>
      <c r="P771" s="669" t="n"/>
      <c r="Q771" s="669" t="n"/>
      <c r="R771" s="669" t="n"/>
      <c r="S771" s="669" t="n"/>
      <c r="T771" s="669" t="n"/>
      <c r="U771" s="669" t="n"/>
      <c r="V771" s="669" t="n"/>
      <c r="W771" s="669" t="n"/>
      <c r="X771" s="669" t="n"/>
      <c r="Y771" s="669" t="n"/>
      <c r="Z771" s="669" t="n"/>
    </row>
    <row r="772">
      <c r="A772" s="246" t="inlineStr">
        <is>
          <t>Aeneid</t>
        </is>
      </c>
      <c r="B772" s="1037" t="inlineStr">
        <is>
          <t>SSS</t>
        </is>
      </c>
      <c r="C772" s="1037" t="inlineStr">
        <is>
          <t>CIV</t>
        </is>
      </c>
      <c r="D772" s="209" t="n"/>
      <c r="E772" s="209" t="n"/>
      <c r="F772" s="268" t="n">
        <v>12</v>
      </c>
      <c r="G772" s="209" t="n"/>
      <c r="H772" s="209" t="n"/>
      <c r="I772" s="209" t="n"/>
      <c r="J772" s="201" t="inlineStr">
        <is>
          <t>Lottery Machine #2 (?%)</t>
        </is>
      </c>
      <c r="K772" s="669" t="n"/>
      <c r="L772" s="669" t="n"/>
      <c r="M772" s="669" t="n"/>
      <c r="N772" s="669" t="n"/>
      <c r="O772" s="669" t="n"/>
      <c r="P772" s="669" t="n"/>
      <c r="Q772" s="669" t="n"/>
      <c r="R772" s="669" t="n"/>
      <c r="S772" s="669" t="n"/>
      <c r="T772" s="669" t="n"/>
      <c r="U772" s="669" t="n"/>
      <c r="V772" s="669" t="n"/>
      <c r="W772" s="669" t="n"/>
      <c r="X772" s="669" t="n"/>
      <c r="Y772" s="669" t="n"/>
      <c r="Z772" s="669" t="n"/>
    </row>
    <row r="773">
      <c r="A773" s="246" t="inlineStr">
        <is>
          <t>Higgs Boson</t>
        </is>
      </c>
      <c r="B773" s="1037" t="inlineStr">
        <is>
          <t>SSS</t>
        </is>
      </c>
      <c r="C773" s="1037" t="inlineStr">
        <is>
          <t>TECH</t>
        </is>
      </c>
      <c r="D773" s="209" t="n"/>
      <c r="E773" s="209" t="n"/>
      <c r="F773" s="268" t="n">
        <v>12</v>
      </c>
      <c r="G773" s="209" t="n"/>
      <c r="H773" s="209" t="n"/>
      <c r="I773" s="209" t="n"/>
      <c r="J773" s="256" t="inlineStr">
        <is>
          <t>Daily Gold Pack Relic #3</t>
        </is>
      </c>
      <c r="K773" s="669" t="n"/>
      <c r="L773" s="669" t="n"/>
      <c r="M773" s="669" t="n"/>
      <c r="N773" s="669" t="n"/>
      <c r="O773" s="669" t="n"/>
      <c r="P773" s="669" t="n"/>
      <c r="Q773" s="669" t="n"/>
      <c r="R773" s="669" t="n"/>
      <c r="S773" s="669" t="n"/>
      <c r="T773" s="669" t="n"/>
      <c r="U773" s="669" t="n"/>
      <c r="V773" s="669" t="n"/>
      <c r="W773" s="669" t="n"/>
      <c r="X773" s="669" t="n"/>
      <c r="Y773" s="669" t="n"/>
      <c r="Z773" s="669" t="n"/>
    </row>
    <row r="774">
      <c r="A774" s="246" t="inlineStr">
        <is>
          <t>Erdapfel</t>
        </is>
      </c>
      <c r="B774" s="1037" t="inlineStr">
        <is>
          <t>AAA</t>
        </is>
      </c>
      <c r="C774" s="1037" t="inlineStr">
        <is>
          <t>FAME</t>
        </is>
      </c>
      <c r="D774" s="209" t="n"/>
      <c r="E774" s="209" t="n"/>
      <c r="F774" s="268" t="n">
        <v>9</v>
      </c>
      <c r="G774" s="209" t="n"/>
      <c r="H774" s="209" t="n"/>
      <c r="I774" s="269" t="n"/>
      <c r="J774" s="256" t="inlineStr">
        <is>
          <t>Lottery Machine #2 (?%)</t>
        </is>
      </c>
      <c r="K774" s="669" t="n"/>
      <c r="L774" s="669" t="n"/>
      <c r="M774" s="669" t="n"/>
      <c r="N774" s="669" t="n"/>
      <c r="O774" s="669" t="n"/>
      <c r="P774" s="669" t="n"/>
      <c r="Q774" s="669" t="n"/>
      <c r="R774" s="669" t="n"/>
      <c r="S774" s="669" t="n"/>
      <c r="T774" s="669" t="n"/>
      <c r="U774" s="669" t="n"/>
      <c r="V774" s="669" t="n"/>
      <c r="W774" s="669" t="n"/>
      <c r="X774" s="669" t="n"/>
      <c r="Y774" s="669" t="n"/>
      <c r="Z774" s="669" t="n"/>
    </row>
    <row r="775">
      <c r="A775" s="507" t="inlineStr">
        <is>
          <t>Venetian Mask</t>
        </is>
      </c>
      <c r="B775" s="1037" t="inlineStr">
        <is>
          <t>Blue</t>
        </is>
      </c>
      <c r="C775" s="1037" t="inlineStr">
        <is>
          <t>ART</t>
        </is>
      </c>
      <c r="D775" s="934" t="n"/>
      <c r="E775" s="934" t="n"/>
      <c r="F775" s="479" t="n">
        <v>5</v>
      </c>
      <c r="G775" s="479" t="n">
        <v>5</v>
      </c>
      <c r="H775" s="934" t="n"/>
      <c r="I775" s="934" t="n"/>
      <c r="J775" s="390" t="inlineStr">
        <is>
          <t>Lottery Machine #3 (?%)</t>
        </is>
      </c>
      <c r="K775" s="669" t="n"/>
      <c r="L775" s="669" t="n"/>
      <c r="M775" s="669" t="n"/>
      <c r="N775" s="669" t="n"/>
      <c r="O775" s="669" t="n"/>
      <c r="P775" s="669" t="n"/>
      <c r="Q775" s="669" t="n"/>
      <c r="R775" s="669" t="n"/>
      <c r="S775" s="669" t="n"/>
      <c r="T775" s="669" t="n"/>
      <c r="U775" s="669" t="n"/>
      <c r="V775" s="669" t="n"/>
      <c r="W775" s="669" t="n"/>
      <c r="X775" s="669" t="n"/>
      <c r="Y775" s="669" t="n"/>
      <c r="Z775" s="669" t="n"/>
    </row>
    <row r="776">
      <c r="A776" s="507" t="inlineStr">
        <is>
          <t>Ariadne's Thread</t>
        </is>
      </c>
      <c r="B776" s="1037" t="inlineStr">
        <is>
          <t>Blue</t>
        </is>
      </c>
      <c r="C776" s="1037" t="inlineStr">
        <is>
          <t>CIV</t>
        </is>
      </c>
      <c r="D776" s="934" t="n"/>
      <c r="E776" s="934" t="n"/>
      <c r="F776" s="479" t="n">
        <v>5</v>
      </c>
      <c r="G776" s="479" t="n">
        <v>5</v>
      </c>
      <c r="H776" s="934" t="n"/>
      <c r="I776" s="934" t="n"/>
      <c r="J776" s="256" t="inlineStr">
        <is>
          <t>Lottery Machine #2 (?%)</t>
        </is>
      </c>
      <c r="K776" s="669" t="n"/>
      <c r="L776" s="669" t="n"/>
      <c r="M776" s="669" t="n"/>
      <c r="N776" s="669" t="n"/>
      <c r="O776" s="669" t="n"/>
      <c r="P776" s="669" t="n"/>
      <c r="Q776" s="669" t="n"/>
      <c r="R776" s="669" t="n"/>
      <c r="S776" s="669" t="n"/>
      <c r="T776" s="669" t="n"/>
      <c r="U776" s="669" t="n"/>
      <c r="V776" s="669" t="n"/>
      <c r="W776" s="669" t="n"/>
      <c r="X776" s="669" t="n"/>
      <c r="Y776" s="669" t="n"/>
      <c r="Z776" s="669" t="n"/>
    </row>
    <row r="777">
      <c r="A777" s="257" t="n"/>
      <c r="B777" s="934" t="n"/>
      <c r="C777" s="934" t="n"/>
      <c r="D777" s="209" t="n"/>
      <c r="E777" s="209" t="n"/>
      <c r="F777" s="209" t="n"/>
      <c r="G777" s="209" t="n"/>
      <c r="H777" s="209" t="n"/>
      <c r="I777" s="209" t="n"/>
      <c r="J777" s="256" t="n"/>
      <c r="K777" s="669" t="n"/>
      <c r="L777" s="669" t="n"/>
      <c r="M777" s="669" t="n"/>
      <c r="N777" s="669" t="n"/>
      <c r="O777" s="669" t="n"/>
      <c r="P777" s="669" t="n"/>
      <c r="Q777" s="669" t="n"/>
      <c r="R777" s="669" t="n"/>
      <c r="S777" s="669" t="n"/>
      <c r="T777" s="669" t="n"/>
      <c r="U777" s="669" t="n"/>
      <c r="V777" s="669" t="n"/>
      <c r="W777" s="669" t="n"/>
      <c r="X777" s="669" t="n"/>
      <c r="Y777" s="669" t="n"/>
      <c r="Z777" s="669" t="n"/>
    </row>
    <row r="778">
      <c r="A778" s="507" t="inlineStr">
        <is>
          <t>Resonance: Blue</t>
        </is>
      </c>
      <c r="B778" s="934" t="n"/>
      <c r="C778" s="934" t="n"/>
      <c r="D778" s="479" t="n">
        <v>6</v>
      </c>
      <c r="E778" s="934" t="n"/>
      <c r="F778" s="934" t="n"/>
      <c r="G778" s="934" t="n"/>
      <c r="H778" s="479" t="n">
        <v>10</v>
      </c>
      <c r="I778" s="479">
        <f>(D778+E778)/H778</f>
        <v/>
      </c>
      <c r="J778" s="935" t="n"/>
      <c r="K778" s="669" t="n"/>
      <c r="L778" s="669" t="n"/>
      <c r="M778" s="669" t="n"/>
      <c r="N778" s="669" t="n"/>
      <c r="O778" s="669" t="n"/>
      <c r="P778" s="669" t="n"/>
      <c r="Q778" s="669" t="n"/>
      <c r="R778" s="669" t="n"/>
      <c r="S778" s="669" t="n"/>
      <c r="T778" s="669" t="n"/>
      <c r="U778" s="669" t="n"/>
      <c r="V778" s="669" t="n"/>
      <c r="W778" s="669" t="n"/>
      <c r="X778" s="669" t="n"/>
      <c r="Y778" s="669" t="n"/>
      <c r="Z778" s="669" t="n"/>
    </row>
    <row r="779">
      <c r="A779" s="246" t="inlineStr">
        <is>
          <t xml:space="preserve">  Haradric Cube</t>
        </is>
      </c>
      <c r="B779" s="1037" t="inlineStr">
        <is>
          <t>Blue</t>
        </is>
      </c>
      <c r="C779" s="1037" t="inlineStr">
        <is>
          <t>FTH</t>
        </is>
      </c>
      <c r="D779" s="209" t="n"/>
      <c r="E779" s="209" t="n"/>
      <c r="F779" s="209" t="n"/>
      <c r="G779" s="209" t="n"/>
      <c r="H779" s="209" t="n"/>
      <c r="I779" s="209" t="n"/>
      <c r="J779" s="256" t="inlineStr">
        <is>
          <t>Lottery Machine #1 (0.03%), Wishing (0.85%)</t>
        </is>
      </c>
      <c r="K779" s="669" t="n"/>
      <c r="L779" s="669" t="n"/>
      <c r="M779" s="669" t="n"/>
      <c r="N779" s="669" t="n"/>
      <c r="O779" s="669" t="n"/>
      <c r="P779" s="669" t="n"/>
      <c r="Q779" s="669" t="n"/>
      <c r="R779" s="669" t="n"/>
      <c r="S779" s="669" t="n"/>
      <c r="T779" s="669" t="n"/>
      <c r="U779" s="669" t="n"/>
      <c r="V779" s="669" t="n"/>
      <c r="W779" s="669" t="n"/>
      <c r="X779" s="669" t="n"/>
      <c r="Y779" s="669" t="n"/>
      <c r="Z779" s="669" t="n"/>
    </row>
    <row r="780">
      <c r="A780" s="246" t="inlineStr">
        <is>
          <t xml:space="preserve">  Im's Arrow</t>
        </is>
      </c>
      <c r="B780" s="1037" t="inlineStr">
        <is>
          <t>Blue</t>
        </is>
      </c>
      <c r="C780" s="1037" t="inlineStr">
        <is>
          <t>CIV</t>
        </is>
      </c>
      <c r="D780" s="209" t="n"/>
      <c r="E780" s="209" t="n"/>
      <c r="F780" s="209" t="n"/>
      <c r="G780" s="209" t="n"/>
      <c r="H780" s="209" t="n"/>
      <c r="I780" s="209" t="n"/>
      <c r="J780" s="256" t="inlineStr">
        <is>
          <t>Lottery Machine #1 (0.07%), Wishing (2.1%), Novice Scrolls (1%)</t>
        </is>
      </c>
      <c r="K780" s="669" t="n"/>
      <c r="L780" s="669" t="n"/>
      <c r="M780" s="669" t="n"/>
      <c r="N780" s="669" t="n"/>
      <c r="O780" s="669" t="n"/>
      <c r="P780" s="669" t="n"/>
      <c r="Q780" s="669" t="n"/>
      <c r="R780" s="669" t="n"/>
      <c r="S780" s="669" t="n"/>
      <c r="T780" s="669" t="n"/>
      <c r="U780" s="669" t="n"/>
      <c r="V780" s="669" t="n"/>
      <c r="W780" s="669" t="n"/>
      <c r="X780" s="669" t="n"/>
      <c r="Y780" s="669" t="n"/>
      <c r="Z780" s="669" t="n"/>
    </row>
    <row r="781">
      <c r="A781" s="246" t="inlineStr">
        <is>
          <t xml:space="preserve">  Peacock Clock</t>
        </is>
      </c>
      <c r="B781" s="1037" t="inlineStr">
        <is>
          <t>Blue</t>
        </is>
      </c>
      <c r="C781" s="1037" t="inlineStr">
        <is>
          <t>ART</t>
        </is>
      </c>
      <c r="D781" s="209" t="n"/>
      <c r="E781" s="209" t="n"/>
      <c r="F781" s="209" t="n"/>
      <c r="G781" s="209" t="n"/>
      <c r="H781" s="209" t="n"/>
      <c r="I781" s="209" t="n"/>
      <c r="J781" s="256" t="inlineStr">
        <is>
          <t>Lottery Machine #1 (0.03%), Wishing (1.2%), Bharata Treasure Maps (20%), Time Chest (2%)</t>
        </is>
      </c>
      <c r="K781" s="669" t="n"/>
      <c r="L781" s="669" t="n"/>
      <c r="M781" s="669" t="n"/>
      <c r="N781" s="669" t="n"/>
      <c r="O781" s="669" t="n"/>
      <c r="P781" s="669" t="n"/>
      <c r="Q781" s="669" t="n"/>
      <c r="R781" s="669" t="n"/>
      <c r="S781" s="669" t="n"/>
      <c r="T781" s="669" t="n"/>
      <c r="U781" s="669" t="n"/>
      <c r="V781" s="669" t="n"/>
      <c r="W781" s="669" t="n"/>
      <c r="X781" s="669" t="n"/>
      <c r="Y781" s="669" t="n"/>
      <c r="Z781" s="669" t="n"/>
    </row>
    <row r="782">
      <c r="A782" s="507" t="inlineStr">
        <is>
          <t>Resonance: Blue</t>
        </is>
      </c>
      <c r="B782" s="934" t="n"/>
      <c r="C782" s="934" t="n"/>
      <c r="D782" s="479" t="n">
        <v>7</v>
      </c>
      <c r="E782" s="934" t="n"/>
      <c r="F782" s="934" t="n"/>
      <c r="G782" s="934" t="n"/>
      <c r="H782" s="479" t="n">
        <v>10</v>
      </c>
      <c r="I782" s="479">
        <f>(D782+E782)/H782</f>
        <v/>
      </c>
      <c r="J782" s="935" t="n"/>
      <c r="K782" s="669" t="n"/>
      <c r="L782" s="669" t="n"/>
      <c r="M782" s="669" t="n"/>
      <c r="N782" s="669" t="n"/>
      <c r="O782" s="669" t="n"/>
      <c r="P782" s="669" t="n"/>
      <c r="Q782" s="669" t="n"/>
      <c r="R782" s="669" t="n"/>
      <c r="S782" s="669" t="n"/>
      <c r="T782" s="669" t="n"/>
      <c r="U782" s="669" t="n"/>
      <c r="V782" s="669" t="n"/>
      <c r="W782" s="669" t="n"/>
      <c r="X782" s="669" t="n"/>
      <c r="Y782" s="669" t="n"/>
      <c r="Z782" s="669" t="n"/>
    </row>
    <row r="783">
      <c r="A783" s="246" t="inlineStr">
        <is>
          <t xml:space="preserve">  Dewar Flask</t>
        </is>
      </c>
      <c r="B783" s="1037" t="inlineStr">
        <is>
          <t>Blue</t>
        </is>
      </c>
      <c r="C783" s="1037" t="inlineStr">
        <is>
          <t>FAME</t>
        </is>
      </c>
      <c r="D783" s="209" t="n"/>
      <c r="E783" s="209" t="n"/>
      <c r="F783" s="209" t="n"/>
      <c r="G783" s="209" t="n"/>
      <c r="H783" s="209" t="n"/>
      <c r="I783" s="209" t="n"/>
      <c r="J783" s="256" t="inlineStr">
        <is>
          <t>Lottery Machine #2 (?%)</t>
        </is>
      </c>
      <c r="K783" s="669" t="n"/>
      <c r="L783" s="669" t="n"/>
      <c r="M783" s="669" t="n"/>
      <c r="N783" s="669" t="n"/>
      <c r="O783" s="669" t="n"/>
      <c r="P783" s="669" t="n"/>
      <c r="Q783" s="669" t="n"/>
      <c r="R783" s="669" t="n"/>
      <c r="S783" s="669" t="n"/>
      <c r="T783" s="669" t="n"/>
      <c r="U783" s="669" t="n"/>
      <c r="V783" s="669" t="n"/>
      <c r="W783" s="669" t="n"/>
      <c r="X783" s="669" t="n"/>
      <c r="Y783" s="669" t="n"/>
      <c r="Z783" s="669" t="n"/>
    </row>
    <row r="784">
      <c r="A784" s="507" t="inlineStr">
        <is>
          <t xml:space="preserve">  Bastet Bronze Statue</t>
        </is>
      </c>
      <c r="B784" s="1037" t="inlineStr">
        <is>
          <t>Blue</t>
        </is>
      </c>
      <c r="C784" s="1037" t="inlineStr">
        <is>
          <t>FTH</t>
        </is>
      </c>
      <c r="D784" s="934" t="n"/>
      <c r="E784" s="934" t="n"/>
      <c r="F784" s="934" t="n"/>
      <c r="G784" s="934" t="n"/>
      <c r="H784" s="934" t="n"/>
      <c r="I784" s="934" t="n"/>
      <c r="J784" s="935" t="inlineStr">
        <is>
          <t>Lottery Machine #2 (?%)</t>
        </is>
      </c>
      <c r="K784" s="669" t="n"/>
      <c r="L784" s="669" t="n"/>
      <c r="M784" s="669" t="n"/>
      <c r="N784" s="669" t="n"/>
      <c r="O784" s="669" t="n"/>
      <c r="P784" s="669" t="n"/>
      <c r="Q784" s="669" t="n"/>
      <c r="R784" s="669" t="n"/>
      <c r="S784" s="669" t="n"/>
      <c r="T784" s="669" t="n"/>
      <c r="U784" s="669" t="n"/>
      <c r="V784" s="669" t="n"/>
      <c r="W784" s="669" t="n"/>
      <c r="X784" s="669" t="n"/>
      <c r="Y784" s="669" t="n"/>
      <c r="Z784" s="669" t="n"/>
    </row>
    <row r="785">
      <c r="A785" s="246" t="inlineStr">
        <is>
          <t xml:space="preserve">  Walking Man Statue</t>
        </is>
      </c>
      <c r="B785" s="1037" t="inlineStr">
        <is>
          <t>Blue</t>
        </is>
      </c>
      <c r="C785" s="1037" t="inlineStr">
        <is>
          <t>ART</t>
        </is>
      </c>
      <c r="D785" s="209" t="n"/>
      <c r="E785" s="209" t="n"/>
      <c r="F785" s="209" t="n"/>
      <c r="G785" s="209" t="n"/>
      <c r="H785" s="209" t="n"/>
      <c r="I785" s="209" t="n"/>
      <c r="J785" s="256" t="inlineStr">
        <is>
          <t>Lottery Machine #2 (?%)</t>
        </is>
      </c>
      <c r="K785" s="669" t="n"/>
      <c r="L785" s="669" t="n"/>
      <c r="M785" s="669" t="n"/>
      <c r="N785" s="669" t="n"/>
      <c r="O785" s="669" t="n"/>
      <c r="P785" s="669" t="n"/>
      <c r="Q785" s="669" t="n"/>
      <c r="R785" s="669" t="n"/>
      <c r="S785" s="669" t="n"/>
      <c r="T785" s="669" t="n"/>
      <c r="U785" s="669" t="n"/>
      <c r="V785" s="669" t="n"/>
      <c r="W785" s="669" t="n"/>
      <c r="X785" s="669" t="n"/>
      <c r="Y785" s="669" t="n"/>
      <c r="Z785" s="669" t="n"/>
    </row>
    <row r="786">
      <c r="A786" s="507" t="inlineStr">
        <is>
          <t xml:space="preserve">  Das Rheingold</t>
        </is>
      </c>
      <c r="B786" s="1037" t="inlineStr">
        <is>
          <t>Blue</t>
        </is>
      </c>
      <c r="C786" s="1037" t="inlineStr">
        <is>
          <t>CIV</t>
        </is>
      </c>
      <c r="D786" s="934" t="n"/>
      <c r="E786" s="934" t="n"/>
      <c r="F786" s="934" t="n"/>
      <c r="G786" s="934" t="n"/>
      <c r="H786" s="934" t="n"/>
      <c r="I786" s="934" t="n"/>
      <c r="J786" s="935" t="inlineStr">
        <is>
          <t>Lottery Machine #2 (?%)</t>
        </is>
      </c>
      <c r="K786" s="669" t="n"/>
      <c r="L786" s="669" t="n"/>
      <c r="M786" s="669" t="n"/>
      <c r="N786" s="669" t="n"/>
      <c r="O786" s="669" t="n"/>
      <c r="P786" s="669" t="n"/>
      <c r="Q786" s="669" t="n"/>
      <c r="R786" s="669" t="n"/>
      <c r="S786" s="669" t="n"/>
      <c r="T786" s="669" t="n"/>
      <c r="U786" s="669" t="n"/>
      <c r="V786" s="669" t="n"/>
      <c r="W786" s="669" t="n"/>
      <c r="X786" s="669" t="n"/>
      <c r="Y786" s="669" t="n"/>
      <c r="Z786" s="669" t="n"/>
    </row>
    <row r="787">
      <c r="A787" s="246" t="inlineStr">
        <is>
          <t>Resonance: Purple</t>
        </is>
      </c>
      <c r="B787" s="1037" t="n"/>
      <c r="C787" s="934" t="n"/>
      <c r="D787" s="209" t="n"/>
      <c r="E787" s="209" t="n"/>
      <c r="F787" s="268" t="n">
        <v>8</v>
      </c>
      <c r="G787" s="209" t="n"/>
      <c r="H787" s="209" t="n"/>
      <c r="I787" s="209" t="n"/>
      <c r="J787" s="256" t="n"/>
      <c r="K787" s="669" t="n"/>
      <c r="L787" s="669" t="n"/>
      <c r="M787" s="669" t="n"/>
      <c r="N787" s="669" t="n"/>
      <c r="O787" s="669" t="n"/>
      <c r="P787" s="669" t="n"/>
      <c r="Q787" s="669" t="n"/>
      <c r="R787" s="669" t="n"/>
      <c r="S787" s="669" t="n"/>
      <c r="T787" s="669" t="n"/>
      <c r="U787" s="669" t="n"/>
      <c r="V787" s="669" t="n"/>
      <c r="W787" s="669" t="n"/>
      <c r="X787" s="669" t="n"/>
      <c r="Y787" s="669" t="n"/>
      <c r="Z787" s="669" t="n"/>
    </row>
    <row r="788">
      <c r="A788" s="507" t="inlineStr">
        <is>
          <t xml:space="preserve">  Charles's Gold Ticket</t>
        </is>
      </c>
      <c r="B788" s="1037" t="inlineStr">
        <is>
          <t>AA</t>
        </is>
      </c>
      <c r="C788" s="1037" t="inlineStr">
        <is>
          <t>CIV</t>
        </is>
      </c>
      <c r="D788" s="934" t="n"/>
      <c r="E788" s="934" t="n"/>
      <c r="F788" s="934" t="n"/>
      <c r="G788" s="934" t="n"/>
      <c r="H788" s="934" t="n"/>
      <c r="I788" s="934" t="n"/>
      <c r="J788" s="935" t="inlineStr">
        <is>
          <t>Lottery Machine #2 (?%)</t>
        </is>
      </c>
      <c r="K788" s="669" t="n"/>
      <c r="L788" s="669" t="n"/>
      <c r="M788" s="669" t="n"/>
      <c r="N788" s="669" t="n"/>
      <c r="O788" s="669" t="n"/>
      <c r="P788" s="669" t="n"/>
      <c r="Q788" s="669" t="n"/>
      <c r="R788" s="669" t="n"/>
      <c r="S788" s="669" t="n"/>
      <c r="T788" s="669" t="n"/>
      <c r="U788" s="669" t="n"/>
      <c r="V788" s="669" t="n"/>
      <c r="W788" s="669" t="n"/>
      <c r="X788" s="669" t="n"/>
      <c r="Y788" s="669" t="n"/>
      <c r="Z788" s="669" t="n"/>
    </row>
    <row r="789">
      <c r="A789" s="246" t="inlineStr">
        <is>
          <t xml:space="preserve">  Twin Lions Lantern</t>
        </is>
      </c>
      <c r="B789" s="1037" t="inlineStr">
        <is>
          <t>AA</t>
        </is>
      </c>
      <c r="C789" s="1037" t="inlineStr">
        <is>
          <t>FAME</t>
        </is>
      </c>
      <c r="D789" s="209" t="n"/>
      <c r="E789" s="209" t="n"/>
      <c r="F789" s="209" t="n"/>
      <c r="G789" s="209" t="n"/>
      <c r="H789" s="209" t="n"/>
      <c r="I789" s="209" t="n"/>
      <c r="J789" s="256" t="inlineStr">
        <is>
          <t>Lottery Machine #2 (?%)</t>
        </is>
      </c>
      <c r="K789" s="669" t="n"/>
      <c r="L789" s="669" t="n"/>
      <c r="M789" s="669" t="n"/>
      <c r="N789" s="669" t="n"/>
      <c r="O789" s="669" t="n"/>
      <c r="P789" s="669" t="n"/>
      <c r="Q789" s="669" t="n"/>
      <c r="R789" s="669" t="n"/>
      <c r="S789" s="669" t="n"/>
      <c r="T789" s="669" t="n"/>
      <c r="U789" s="669" t="n"/>
      <c r="V789" s="669" t="n"/>
      <c r="W789" s="669" t="n"/>
      <c r="X789" s="669" t="n"/>
      <c r="Y789" s="669" t="n"/>
      <c r="Z789" s="669" t="n"/>
    </row>
    <row r="790">
      <c r="A790" s="507" t="inlineStr">
        <is>
          <t xml:space="preserve">  Magdeberg Hemispheres</t>
        </is>
      </c>
      <c r="B790" s="1037" t="inlineStr">
        <is>
          <t>AA</t>
        </is>
      </c>
      <c r="C790" s="1037" t="inlineStr">
        <is>
          <t>TECH</t>
        </is>
      </c>
      <c r="D790" s="934" t="n"/>
      <c r="E790" s="934" t="n"/>
      <c r="F790" s="934" t="n"/>
      <c r="G790" s="934" t="n"/>
      <c r="H790" s="934" t="n"/>
      <c r="I790" s="934" t="n"/>
      <c r="J790" s="935" t="inlineStr">
        <is>
          <t>Lottery Machine #2 (?%)</t>
        </is>
      </c>
      <c r="K790" s="669" t="n"/>
      <c r="L790" s="669" t="n"/>
      <c r="M790" s="669" t="n"/>
      <c r="N790" s="669" t="n"/>
      <c r="O790" s="669" t="n"/>
      <c r="P790" s="669" t="n"/>
      <c r="Q790" s="669" t="n"/>
      <c r="R790" s="669" t="n"/>
      <c r="S790" s="669" t="n"/>
      <c r="T790" s="669" t="n"/>
      <c r="U790" s="669" t="n"/>
      <c r="V790" s="669" t="n"/>
      <c r="W790" s="669" t="n"/>
      <c r="X790" s="669" t="n"/>
      <c r="Y790" s="669" t="n"/>
      <c r="Z790" s="669" t="n"/>
    </row>
    <row r="791">
      <c r="A791" s="246" t="inlineStr">
        <is>
          <t xml:space="preserve">  Nomad Flute Songs</t>
        </is>
      </c>
      <c r="B791" s="1037" t="inlineStr">
        <is>
          <t>AAA</t>
        </is>
      </c>
      <c r="C791" s="1037" t="inlineStr">
        <is>
          <t>ART</t>
        </is>
      </c>
      <c r="D791" s="209" t="n"/>
      <c r="E791" s="209" t="n"/>
      <c r="F791" s="209" t="n"/>
      <c r="G791" s="209" t="n"/>
      <c r="H791" s="209" t="n"/>
      <c r="I791" s="209" t="n"/>
      <c r="J791" s="256" t="inlineStr">
        <is>
          <t>Lottery Machine #2 (?%)</t>
        </is>
      </c>
      <c r="K791" s="669" t="n"/>
      <c r="L791" s="669" t="n"/>
      <c r="M791" s="669" t="n"/>
      <c r="N791" s="669" t="n"/>
      <c r="O791" s="669" t="n"/>
      <c r="P791" s="669" t="n"/>
      <c r="Q791" s="669" t="n"/>
      <c r="R791" s="669" t="n"/>
      <c r="S791" s="669" t="n"/>
      <c r="T791" s="669" t="n"/>
      <c r="U791" s="669" t="n"/>
      <c r="V791" s="669" t="n"/>
      <c r="W791" s="669" t="n"/>
      <c r="X791" s="669" t="n"/>
      <c r="Y791" s="669" t="n"/>
      <c r="Z791" s="669" t="n"/>
    </row>
    <row r="792">
      <c r="A792" s="955" t="inlineStr">
        <is>
          <t>TOTAL ATK</t>
        </is>
      </c>
      <c r="B792" s="946" t="n"/>
      <c r="C792" s="946" t="n"/>
      <c r="D792" s="946" t="n"/>
      <c r="E792" s="946" t="n"/>
      <c r="F792" s="260">
        <f>sum(F766:G791)</f>
        <v/>
      </c>
      <c r="G792" s="946" t="n"/>
      <c r="H792" s="946" t="n"/>
      <c r="I792" s="261">
        <f>sum(I766:I791)</f>
        <v/>
      </c>
      <c r="J792" s="947" t="n"/>
      <c r="K792" s="669" t="n"/>
      <c r="L792" s="669" t="n"/>
      <c r="M792" s="669" t="n"/>
      <c r="N792" s="669" t="n"/>
      <c r="O792" s="669" t="n"/>
      <c r="P792" s="669" t="n"/>
      <c r="Q792" s="669" t="n"/>
      <c r="R792" s="669" t="n"/>
      <c r="S792" s="669" t="n"/>
      <c r="T792" s="669" t="n"/>
      <c r="U792" s="669" t="n"/>
      <c r="V792" s="669" t="n"/>
      <c r="W792" s="669" t="n"/>
      <c r="X792" s="669" t="n"/>
      <c r="Y792" s="669" t="n"/>
      <c r="Z792" s="669" t="n"/>
    </row>
    <row r="793">
      <c r="A793" s="825" t="n"/>
      <c r="B793" s="1037" t="n"/>
      <c r="C793" s="1037" t="n"/>
      <c r="D793" s="1037" t="n"/>
      <c r="E793" s="1037" t="n"/>
      <c r="F793" s="1037" t="n"/>
      <c r="G793" s="1037" t="n"/>
      <c r="H793" s="1037" t="n"/>
      <c r="I793" s="1037" t="n"/>
      <c r="J793" s="386" t="n"/>
      <c r="K793" s="669" t="n"/>
      <c r="L793" s="669" t="n"/>
      <c r="M793" s="669" t="n"/>
      <c r="N793" s="669" t="n"/>
      <c r="O793" s="669" t="n"/>
      <c r="P793" s="669" t="n"/>
      <c r="Q793" s="669" t="n"/>
      <c r="R793" s="669" t="n"/>
      <c r="S793" s="669" t="n"/>
      <c r="T793" s="669" t="n"/>
      <c r="U793" s="669" t="n"/>
      <c r="V793" s="669" t="n"/>
      <c r="W793" s="669" t="n"/>
      <c r="X793" s="669" t="n"/>
      <c r="Y793" s="669" t="n"/>
      <c r="Z793" s="669" t="n"/>
    </row>
    <row r="794">
      <c r="A794" s="383" t="n"/>
      <c r="B794" s="1079" t="n"/>
      <c r="C794" s="1079" t="n"/>
      <c r="D794" s="1079" t="n"/>
      <c r="E794" s="1079" t="n"/>
      <c r="F794" s="1079" t="n"/>
      <c r="G794" s="1079" t="n"/>
      <c r="H794" s="1079" t="n"/>
      <c r="I794" s="1079" t="n"/>
      <c r="J794" s="970" t="n"/>
      <c r="K794" s="669" t="n"/>
      <c r="L794" s="669" t="n"/>
      <c r="M794" s="669" t="n"/>
      <c r="N794" s="669" t="n"/>
      <c r="O794" s="669" t="n"/>
      <c r="P794" s="669" t="n"/>
      <c r="Q794" s="669" t="n"/>
      <c r="R794" s="669" t="n"/>
      <c r="S794" s="669" t="n"/>
      <c r="T794" s="669" t="n"/>
      <c r="U794" s="669" t="n"/>
      <c r="V794" s="669" t="n"/>
      <c r="W794" s="669" t="n"/>
      <c r="X794" s="669" t="n"/>
      <c r="Y794" s="669" t="n"/>
      <c r="Z794" s="669" t="n"/>
    </row>
    <row r="795">
      <c r="A795" s="282" t="inlineStr">
        <is>
          <t>RUSH</t>
        </is>
      </c>
      <c r="B795" s="283" t="inlineStr">
        <is>
          <t>Rarity</t>
        </is>
      </c>
      <c r="C795" s="283" t="inlineStr">
        <is>
          <t>Type</t>
        </is>
      </c>
      <c r="D795" s="283" t="inlineStr">
        <is>
          <t>Base</t>
        </is>
      </c>
      <c r="E795" s="283" t="inlineStr">
        <is>
          <t>Awakening Base</t>
        </is>
      </c>
      <c r="F795" s="283" t="inlineStr">
        <is>
          <t>Percentage</t>
        </is>
      </c>
      <c r="G795" s="283" t="inlineStr">
        <is>
          <t>Awakening Percentage</t>
        </is>
      </c>
      <c r="H795" s="283" t="inlineStr">
        <is>
          <t>Per Minion</t>
        </is>
      </c>
      <c r="I795" s="283" t="inlineStr">
        <is>
          <t>Per Minion Boost</t>
        </is>
      </c>
      <c r="J795" s="253" t="inlineStr">
        <is>
          <t>Source</t>
        </is>
      </c>
      <c r="K795" s="669" t="n"/>
      <c r="L795" s="669" t="n"/>
      <c r="M795" s="669" t="n"/>
      <c r="N795" s="669" t="n"/>
      <c r="O795" s="669" t="n"/>
      <c r="P795" s="669" t="n"/>
      <c r="Q795" s="669" t="n"/>
      <c r="R795" s="669" t="n"/>
      <c r="S795" s="669" t="n"/>
      <c r="T795" s="669" t="n"/>
      <c r="U795" s="669" t="n"/>
      <c r="V795" s="669" t="n"/>
      <c r="W795" s="669" t="n"/>
      <c r="X795" s="669" t="n"/>
      <c r="Y795" s="669" t="n"/>
      <c r="Z795" s="669" t="n"/>
    </row>
    <row r="796">
      <c r="A796" s="246" t="inlineStr">
        <is>
          <t>Nugget Awards</t>
        </is>
      </c>
      <c r="B796" s="1037" t="inlineStr">
        <is>
          <t>AAA</t>
        </is>
      </c>
      <c r="C796" s="1037" t="inlineStr">
        <is>
          <t>ART</t>
        </is>
      </c>
      <c r="D796" s="209" t="n">
        <v>36</v>
      </c>
      <c r="E796" s="209" t="n">
        <v>28</v>
      </c>
      <c r="F796" s="268" t="n"/>
      <c r="G796" s="209" t="n"/>
      <c r="H796" s="267" t="n">
        <v>30</v>
      </c>
      <c r="I796" s="255">
        <f>(D796+E796)/H796</f>
        <v/>
      </c>
      <c r="J796" s="935" t="inlineStr">
        <is>
          <t>Decoration Bonus Relic #2</t>
        </is>
      </c>
      <c r="K796" s="669" t="n"/>
      <c r="L796" s="669" t="n"/>
      <c r="M796" s="669" t="n"/>
      <c r="N796" s="669" t="n"/>
      <c r="O796" s="669" t="n"/>
      <c r="P796" s="669" t="n"/>
      <c r="Q796" s="669" t="n"/>
      <c r="R796" s="669" t="n"/>
      <c r="S796" s="669" t="n"/>
      <c r="T796" s="669" t="n"/>
      <c r="U796" s="669" t="n"/>
      <c r="V796" s="669" t="n"/>
      <c r="W796" s="669" t="n"/>
      <c r="X796" s="669" t="n"/>
      <c r="Y796" s="669" t="n"/>
      <c r="Z796" s="669" t="n"/>
    </row>
    <row r="797">
      <c r="A797" s="507" t="inlineStr">
        <is>
          <t>Smug's Chalice</t>
        </is>
      </c>
      <c r="B797" s="1037" t="inlineStr">
        <is>
          <t>SS</t>
        </is>
      </c>
      <c r="C797" s="1037" t="inlineStr">
        <is>
          <t>FAME</t>
        </is>
      </c>
      <c r="D797" s="479" t="n">
        <v>90</v>
      </c>
      <c r="E797" s="934" t="n"/>
      <c r="F797" s="934" t="n"/>
      <c r="G797" s="934" t="n"/>
      <c r="H797" s="479" t="n">
        <v>60</v>
      </c>
      <c r="I797" s="479">
        <f>(D797+E797)/H797</f>
        <v/>
      </c>
      <c r="J797" s="935" t="inlineStr">
        <is>
          <t>T7.5 Dragon Gene Research</t>
        </is>
      </c>
      <c r="K797" s="669" t="n"/>
      <c r="L797" s="669" t="n"/>
      <c r="M797" s="669" t="n"/>
      <c r="N797" s="669" t="n"/>
      <c r="O797" s="669" t="n"/>
      <c r="P797" s="669" t="n"/>
      <c r="Q797" s="669" t="n"/>
      <c r="R797" s="669" t="n"/>
      <c r="S797" s="669" t="n"/>
      <c r="T797" s="669" t="n"/>
      <c r="U797" s="669" t="n"/>
      <c r="V797" s="669" t="n"/>
      <c r="W797" s="669" t="n"/>
      <c r="X797" s="669" t="n"/>
      <c r="Y797" s="669" t="n"/>
      <c r="Z797" s="669" t="n"/>
    </row>
    <row r="798">
      <c r="A798" s="246" t="inlineStr">
        <is>
          <t>Dragonspine Medal</t>
        </is>
      </c>
      <c r="B798" s="1037" t="inlineStr">
        <is>
          <t>SSS</t>
        </is>
      </c>
      <c r="C798" s="1037" t="inlineStr">
        <is>
          <t>FTH</t>
        </is>
      </c>
      <c r="D798" s="268" t="n">
        <v>90</v>
      </c>
      <c r="E798" s="209" t="n"/>
      <c r="F798" s="209" t="n"/>
      <c r="G798" s="209" t="n"/>
      <c r="H798" s="268" t="n">
        <v>60</v>
      </c>
      <c r="I798" s="210">
        <f>(D798+E798)/H798</f>
        <v/>
      </c>
      <c r="J798" s="390" t="inlineStr">
        <is>
          <t>Ultimate Divine Dragon Reward</t>
        </is>
      </c>
      <c r="K798" s="669" t="n"/>
      <c r="L798" s="669" t="n"/>
      <c r="M798" s="669" t="n"/>
      <c r="N798" s="669" t="n"/>
      <c r="O798" s="669" t="n"/>
      <c r="P798" s="669" t="n"/>
      <c r="Q798" s="669" t="n"/>
      <c r="R798" s="669" t="n"/>
      <c r="S798" s="669" t="n"/>
      <c r="T798" s="669" t="n"/>
      <c r="U798" s="669" t="n"/>
      <c r="V798" s="669" t="n"/>
      <c r="W798" s="669" t="n"/>
      <c r="X798" s="669" t="n"/>
      <c r="Y798" s="669" t="n"/>
      <c r="Z798" s="669" t="n"/>
    </row>
    <row r="799">
      <c r="A799" s="246" t="inlineStr">
        <is>
          <t>Nemean Lion's Hide</t>
        </is>
      </c>
      <c r="B799" s="1037" t="inlineStr">
        <is>
          <t>AAA</t>
        </is>
      </c>
      <c r="C799" s="1037" t="inlineStr">
        <is>
          <t>FTH</t>
        </is>
      </c>
      <c r="D799" s="209" t="n">
        <v>36</v>
      </c>
      <c r="E799" s="209" t="n"/>
      <c r="F799" s="268" t="n"/>
      <c r="G799" s="209" t="n"/>
      <c r="H799" s="267" t="n">
        <v>30</v>
      </c>
      <c r="I799" s="255">
        <f>(D799+E799)/H799</f>
        <v/>
      </c>
      <c r="J799" s="935" t="inlineStr">
        <is>
          <t>Lottery Machine #2 (?%)</t>
        </is>
      </c>
      <c r="K799" s="669" t="n"/>
      <c r="L799" s="669" t="n"/>
      <c r="M799" s="669" t="n"/>
      <c r="N799" s="669" t="n"/>
      <c r="O799" s="669" t="n"/>
      <c r="P799" s="669" t="n"/>
      <c r="Q799" s="669" t="n"/>
      <c r="R799" s="669" t="n"/>
      <c r="S799" s="669" t="n"/>
      <c r="T799" s="669" t="n"/>
      <c r="U799" s="669" t="n"/>
      <c r="V799" s="669" t="n"/>
      <c r="W799" s="669" t="n"/>
      <c r="X799" s="669" t="n"/>
      <c r="Y799" s="669" t="n"/>
      <c r="Z799" s="669" t="n"/>
    </row>
    <row r="800">
      <c r="A800" s="246" t="inlineStr">
        <is>
          <t>Diety Quetzacoatl</t>
        </is>
      </c>
      <c r="B800" s="1037" t="inlineStr">
        <is>
          <t>AAA</t>
        </is>
      </c>
      <c r="C800" s="1037" t="inlineStr">
        <is>
          <t>FTH</t>
        </is>
      </c>
      <c r="D800" s="209" t="n">
        <v>28</v>
      </c>
      <c r="E800" s="209" t="n"/>
      <c r="F800" s="268" t="n"/>
      <c r="G800" s="209" t="n"/>
      <c r="H800" s="267" t="n">
        <v>30</v>
      </c>
      <c r="I800" s="255">
        <f>(D800+E800)/H800</f>
        <v/>
      </c>
      <c r="J800" s="935" t="inlineStr">
        <is>
          <t>Fragment Crafting (1.5%), Lottery Machine #1 (0.03%), Wishing (0.14%), Relic Forge (80 Relic RF)</t>
        </is>
      </c>
      <c r="K800" s="669" t="n"/>
      <c r="L800" s="669" t="n"/>
      <c r="M800" s="669" t="n"/>
      <c r="N800" s="669" t="n"/>
      <c r="O800" s="669" t="n"/>
      <c r="P800" s="669" t="n"/>
      <c r="Q800" s="669" t="n"/>
      <c r="R800" s="669" t="n"/>
      <c r="S800" s="669" t="n"/>
      <c r="T800" s="669" t="n"/>
      <c r="U800" s="669" t="n"/>
      <c r="V800" s="669" t="n"/>
      <c r="W800" s="669" t="n"/>
      <c r="X800" s="669" t="n"/>
      <c r="Y800" s="669" t="n"/>
      <c r="Z800" s="669" t="n"/>
    </row>
    <row r="801">
      <c r="A801" s="246" t="inlineStr">
        <is>
          <t>Arianrhod's Wheel</t>
        </is>
      </c>
      <c r="B801" s="1037" t="inlineStr">
        <is>
          <t>SSS</t>
        </is>
      </c>
      <c r="C801" s="1037" t="inlineStr">
        <is>
          <t>FTH</t>
        </is>
      </c>
      <c r="D801" s="209" t="n"/>
      <c r="E801" s="209" t="n"/>
      <c r="F801" s="268" t="n">
        <v>12</v>
      </c>
      <c r="G801" s="209" t="n"/>
      <c r="H801" s="209" t="n"/>
      <c r="I801" s="209" t="n"/>
      <c r="J801" s="390" t="inlineStr">
        <is>
          <t>Daily Pack Relic #47</t>
        </is>
      </c>
      <c r="K801" s="669" t="n"/>
      <c r="L801" s="669" t="n"/>
      <c r="M801" s="669" t="n"/>
      <c r="N801" s="669" t="n"/>
      <c r="O801" s="669" t="n"/>
      <c r="P801" s="669" t="n"/>
      <c r="Q801" s="669" t="n"/>
      <c r="R801" s="669" t="n"/>
      <c r="S801" s="669" t="n"/>
      <c r="T801" s="669" t="n"/>
      <c r="U801" s="669" t="n"/>
      <c r="V801" s="669" t="n"/>
      <c r="W801" s="669" t="n"/>
      <c r="X801" s="669" t="n"/>
      <c r="Y801" s="669" t="n"/>
      <c r="Z801" s="669" t="n"/>
    </row>
    <row r="802">
      <c r="A802" s="246" t="inlineStr">
        <is>
          <t>Celestial Throne</t>
        </is>
      </c>
      <c r="B802" s="1037" t="inlineStr">
        <is>
          <t>SSS</t>
        </is>
      </c>
      <c r="C802" s="1037" t="inlineStr">
        <is>
          <t>FTH</t>
        </is>
      </c>
      <c r="D802" s="209" t="n"/>
      <c r="E802" s="209" t="n"/>
      <c r="F802" s="268" t="n">
        <v>12</v>
      </c>
      <c r="G802" s="209" t="n"/>
      <c r="H802" s="209" t="n"/>
      <c r="I802" s="209" t="n"/>
      <c r="J802" s="386" t="inlineStr">
        <is>
          <t>Lottery Machine #2 (0.11%)</t>
        </is>
      </c>
      <c r="K802" s="669" t="n"/>
      <c r="L802" s="669" t="n"/>
      <c r="M802" s="669" t="n"/>
      <c r="N802" s="669" t="n"/>
      <c r="O802" s="669" t="n"/>
      <c r="P802" s="669" t="n"/>
      <c r="Q802" s="669" t="n"/>
      <c r="R802" s="669" t="n"/>
      <c r="S802" s="669" t="n"/>
      <c r="T802" s="669" t="n"/>
      <c r="U802" s="669" t="n"/>
      <c r="V802" s="669" t="n"/>
      <c r="W802" s="669" t="n"/>
      <c r="X802" s="669" t="n"/>
      <c r="Y802" s="669" t="n"/>
      <c r="Z802" s="669" t="n"/>
    </row>
    <row r="803">
      <c r="A803" s="246" t="inlineStr">
        <is>
          <t>Bacchus</t>
        </is>
      </c>
      <c r="B803" s="1037" t="inlineStr">
        <is>
          <t>SSS</t>
        </is>
      </c>
      <c r="C803" s="1037" t="inlineStr">
        <is>
          <t>FTH</t>
        </is>
      </c>
      <c r="D803" s="209" t="n"/>
      <c r="E803" s="209" t="n"/>
      <c r="F803" s="268" t="n">
        <v>12</v>
      </c>
      <c r="G803" s="209" t="n"/>
      <c r="H803" s="209" t="n"/>
      <c r="I803" s="209" t="n"/>
      <c r="J803" s="390" t="inlineStr">
        <is>
          <t>Lottery Machine #3 (?%)</t>
        </is>
      </c>
      <c r="K803" s="669" t="n"/>
      <c r="L803" s="669" t="n"/>
      <c r="M803" s="669" t="n"/>
      <c r="N803" s="669" t="n"/>
      <c r="O803" s="669" t="n"/>
      <c r="P803" s="669" t="n"/>
      <c r="Q803" s="669" t="n"/>
      <c r="R803" s="669" t="n"/>
      <c r="S803" s="669" t="n"/>
      <c r="T803" s="669" t="n"/>
      <c r="U803" s="669" t="n"/>
      <c r="V803" s="669" t="n"/>
      <c r="W803" s="669" t="n"/>
      <c r="X803" s="669" t="n"/>
      <c r="Y803" s="669" t="n"/>
      <c r="Z803" s="669" t="n"/>
    </row>
    <row r="804">
      <c r="A804" s="246" t="inlineStr">
        <is>
          <t>Enuma Elish</t>
        </is>
      </c>
      <c r="B804" s="1037" t="inlineStr">
        <is>
          <t>SSS</t>
        </is>
      </c>
      <c r="C804" s="1037" t="inlineStr">
        <is>
          <t>FTH</t>
        </is>
      </c>
      <c r="D804" s="209" t="n"/>
      <c r="E804" s="209" t="n"/>
      <c r="F804" s="268" t="n">
        <v>12</v>
      </c>
      <c r="G804" s="209" t="n"/>
      <c r="H804" s="209" t="n"/>
      <c r="I804" s="209" t="n"/>
      <c r="J804" s="935" t="inlineStr">
        <is>
          <t>Lottery Machine #2 (0.12%)</t>
        </is>
      </c>
      <c r="K804" s="669" t="n"/>
      <c r="L804" s="669" t="n"/>
      <c r="M804" s="669" t="n"/>
      <c r="N804" s="669" t="n"/>
      <c r="O804" s="669" t="n"/>
      <c r="P804" s="669" t="n"/>
      <c r="Q804" s="669" t="n"/>
      <c r="R804" s="669" t="n"/>
      <c r="S804" s="669" t="n"/>
      <c r="T804" s="669" t="n"/>
      <c r="U804" s="669" t="n"/>
      <c r="V804" s="669" t="n"/>
      <c r="W804" s="669" t="n"/>
      <c r="X804" s="669" t="n"/>
      <c r="Y804" s="669" t="n"/>
      <c r="Z804" s="669" t="n"/>
    </row>
    <row r="805">
      <c r="A805" s="246" t="inlineStr">
        <is>
          <t>Silver Candlestick</t>
        </is>
      </c>
      <c r="B805" s="1037" t="inlineStr">
        <is>
          <t>AAA</t>
        </is>
      </c>
      <c r="C805" s="1037" t="inlineStr">
        <is>
          <t>CIV</t>
        </is>
      </c>
      <c r="D805" s="209" t="n"/>
      <c r="E805" s="209" t="n"/>
      <c r="F805" s="268" t="n">
        <v>9</v>
      </c>
      <c r="G805" s="268" t="n"/>
      <c r="H805" s="209" t="n"/>
      <c r="I805" s="209" t="n"/>
      <c r="J805" s="256" t="inlineStr">
        <is>
          <t>Lottery Machine #2 (?%)</t>
        </is>
      </c>
      <c r="K805" s="669" t="n"/>
      <c r="L805" s="669" t="n"/>
      <c r="M805" s="669" t="n"/>
      <c r="N805" s="669" t="n"/>
      <c r="O805" s="669" t="n"/>
      <c r="P805" s="669" t="n"/>
      <c r="Q805" s="669" t="n"/>
      <c r="R805" s="669" t="n"/>
      <c r="S805" s="669" t="n"/>
      <c r="T805" s="669" t="n"/>
      <c r="U805" s="669" t="n"/>
      <c r="V805" s="669" t="n"/>
      <c r="W805" s="669" t="n"/>
      <c r="X805" s="669" t="n"/>
      <c r="Y805" s="669" t="n"/>
      <c r="Z805" s="669" t="n"/>
    </row>
    <row r="806">
      <c r="A806" s="246" t="inlineStr">
        <is>
          <t>Moon Plum Teapot</t>
        </is>
      </c>
      <c r="B806" s="1037" t="inlineStr">
        <is>
          <t>AAA</t>
        </is>
      </c>
      <c r="C806" s="1037" t="inlineStr">
        <is>
          <t>ART</t>
        </is>
      </c>
      <c r="D806" s="209" t="n"/>
      <c r="E806" s="209" t="n"/>
      <c r="F806" s="268" t="n">
        <v>9</v>
      </c>
      <c r="G806" s="268" t="n"/>
      <c r="H806" s="209" t="n"/>
      <c r="I806" s="209" t="n"/>
      <c r="J806" s="256" t="inlineStr">
        <is>
          <t>Lottery Machine #2 (?%)</t>
        </is>
      </c>
      <c r="K806" s="669" t="n"/>
      <c r="L806" s="669" t="n"/>
      <c r="M806" s="669" t="n"/>
      <c r="N806" s="669" t="n"/>
      <c r="O806" s="669" t="n"/>
      <c r="P806" s="669" t="n"/>
      <c r="Q806" s="669" t="n"/>
      <c r="R806" s="669" t="n"/>
      <c r="S806" s="669" t="n"/>
      <c r="T806" s="669" t="n"/>
      <c r="U806" s="669" t="n"/>
      <c r="V806" s="669" t="n"/>
      <c r="W806" s="669" t="n"/>
      <c r="X806" s="669" t="n"/>
      <c r="Y806" s="669" t="n"/>
      <c r="Z806" s="669" t="n"/>
    </row>
    <row r="807">
      <c r="A807" s="246" t="inlineStr">
        <is>
          <t>The Moon and Sixpence</t>
        </is>
      </c>
      <c r="B807" s="1037" t="inlineStr">
        <is>
          <t>Blue</t>
        </is>
      </c>
      <c r="C807" s="1037" t="inlineStr">
        <is>
          <t>CIV</t>
        </is>
      </c>
      <c r="D807" s="209" t="n"/>
      <c r="E807" s="209" t="n"/>
      <c r="F807" s="268" t="n">
        <v>5</v>
      </c>
      <c r="G807" s="268" t="n">
        <v>5</v>
      </c>
      <c r="H807" s="209" t="n"/>
      <c r="I807" s="209" t="n"/>
      <c r="J807" s="256" t="inlineStr">
        <is>
          <t>Lottery Machine #2 (?%)</t>
        </is>
      </c>
      <c r="K807" s="669" t="n"/>
      <c r="L807" s="669" t="n"/>
      <c r="M807" s="669" t="n"/>
      <c r="N807" s="669" t="n"/>
      <c r="O807" s="669" t="n"/>
      <c r="P807" s="669" t="n"/>
      <c r="Q807" s="669" t="n"/>
      <c r="R807" s="669" t="n"/>
      <c r="S807" s="669" t="n"/>
      <c r="T807" s="669" t="n"/>
      <c r="U807" s="669" t="n"/>
      <c r="V807" s="669" t="n"/>
      <c r="W807" s="669" t="n"/>
      <c r="X807" s="669" t="n"/>
      <c r="Y807" s="669" t="n"/>
      <c r="Z807" s="669" t="n"/>
    </row>
    <row r="808">
      <c r="A808" s="933" t="n"/>
      <c r="B808" s="1037" t="n"/>
      <c r="C808" s="934" t="n"/>
      <c r="D808" s="934" t="n"/>
      <c r="E808" s="934" t="n"/>
      <c r="F808" s="934" t="n"/>
      <c r="G808" s="934" t="n"/>
      <c r="H808" s="934" t="n"/>
      <c r="I808" s="934" t="n"/>
      <c r="J808" s="935" t="n"/>
      <c r="K808" s="669" t="n"/>
      <c r="L808" s="669" t="n"/>
      <c r="M808" s="669" t="n"/>
      <c r="N808" s="669" t="n"/>
      <c r="O808" s="669" t="n"/>
      <c r="P808" s="669" t="n"/>
      <c r="Q808" s="669" t="n"/>
      <c r="R808" s="669" t="n"/>
      <c r="S808" s="669" t="n"/>
      <c r="T808" s="669" t="n"/>
      <c r="U808" s="669" t="n"/>
      <c r="V808" s="669" t="n"/>
      <c r="W808" s="669" t="n"/>
      <c r="X808" s="669" t="n"/>
      <c r="Y808" s="669" t="n"/>
      <c r="Z808" s="669" t="n"/>
    </row>
    <row r="809">
      <c r="A809" s="246" t="inlineStr">
        <is>
          <t>Resonance: Blue</t>
        </is>
      </c>
      <c r="B809" s="209" t="n"/>
      <c r="C809" s="934" t="n"/>
      <c r="D809" s="210" t="n">
        <v>7</v>
      </c>
      <c r="E809" s="209" t="n"/>
      <c r="F809" s="209" t="n"/>
      <c r="G809" s="209" t="n"/>
      <c r="H809" s="210" t="n">
        <v>10</v>
      </c>
      <c r="I809" s="210">
        <f>(D809+E809)/H809</f>
        <v/>
      </c>
      <c r="J809" s="256" t="n"/>
      <c r="K809" s="669" t="n"/>
      <c r="L809" s="669" t="n"/>
      <c r="M809" s="669" t="n"/>
      <c r="N809" s="669" t="n"/>
      <c r="O809" s="669" t="n"/>
      <c r="P809" s="669" t="n"/>
      <c r="Q809" s="669" t="n"/>
      <c r="R809" s="669" t="n"/>
      <c r="S809" s="669" t="n"/>
      <c r="T809" s="669" t="n"/>
      <c r="U809" s="669" t="n"/>
      <c r="V809" s="669" t="n"/>
      <c r="W809" s="669" t="n"/>
      <c r="X809" s="669" t="n"/>
      <c r="Y809" s="669" t="n"/>
      <c r="Z809" s="669" t="n"/>
    </row>
    <row r="810">
      <c r="A810" s="507" t="inlineStr">
        <is>
          <t xml:space="preserve">  Geiger Counter</t>
        </is>
      </c>
      <c r="B810" s="1037" t="inlineStr">
        <is>
          <t>Blue</t>
        </is>
      </c>
      <c r="C810" s="1037" t="inlineStr">
        <is>
          <t>TECH</t>
        </is>
      </c>
      <c r="D810" s="934" t="n"/>
      <c r="E810" s="934" t="n"/>
      <c r="F810" s="934" t="n"/>
      <c r="G810" s="934" t="n"/>
      <c r="H810" s="934" t="n"/>
      <c r="I810" s="934" t="n"/>
      <c r="J810" s="935" t="inlineStr">
        <is>
          <t>Lottery Machine #2 (?%)</t>
        </is>
      </c>
      <c r="K810" s="669" t="n"/>
      <c r="L810" s="669" t="n"/>
      <c r="M810" s="669" t="n"/>
      <c r="N810" s="669" t="n"/>
      <c r="O810" s="669" t="n"/>
      <c r="P810" s="669" t="n"/>
      <c r="Q810" s="669" t="n"/>
      <c r="R810" s="669" t="n"/>
      <c r="S810" s="669" t="n"/>
      <c r="T810" s="669" t="n"/>
      <c r="U810" s="669" t="n"/>
      <c r="V810" s="669" t="n"/>
      <c r="W810" s="669" t="n"/>
      <c r="X810" s="669" t="n"/>
      <c r="Y810" s="669" t="n"/>
      <c r="Z810" s="669" t="n"/>
    </row>
    <row r="811">
      <c r="A811" s="246" t="inlineStr">
        <is>
          <t xml:space="preserve">  Maitreya in Meditation</t>
        </is>
      </c>
      <c r="B811" s="1037" t="inlineStr">
        <is>
          <t>Blue</t>
        </is>
      </c>
      <c r="C811" s="1037" t="inlineStr">
        <is>
          <t>ART</t>
        </is>
      </c>
      <c r="D811" s="209" t="n"/>
      <c r="E811" s="209" t="n"/>
      <c r="F811" s="209" t="n"/>
      <c r="G811" s="209" t="n"/>
      <c r="H811" s="209" t="n"/>
      <c r="I811" s="209" t="n"/>
      <c r="J811" s="256" t="inlineStr">
        <is>
          <t>Lottery Machine #2 (?%)</t>
        </is>
      </c>
      <c r="K811" s="669" t="n"/>
      <c r="L811" s="669" t="n"/>
      <c r="M811" s="669" t="n"/>
      <c r="N811" s="669" t="n"/>
      <c r="O811" s="669" t="n"/>
      <c r="P811" s="669" t="n"/>
      <c r="Q811" s="669" t="n"/>
      <c r="R811" s="669" t="n"/>
      <c r="S811" s="669" t="n"/>
      <c r="T811" s="669" t="n"/>
      <c r="U811" s="669" t="n"/>
      <c r="V811" s="669" t="n"/>
      <c r="W811" s="669" t="n"/>
      <c r="X811" s="669" t="n"/>
      <c r="Y811" s="669" t="n"/>
      <c r="Z811" s="669" t="n"/>
    </row>
    <row r="812">
      <c r="A812" s="246" t="inlineStr">
        <is>
          <t xml:space="preserve">  Murders in Rue Morgue</t>
        </is>
      </c>
      <c r="B812" s="1037" t="inlineStr">
        <is>
          <t>Blue</t>
        </is>
      </c>
      <c r="C812" s="1037" t="inlineStr">
        <is>
          <t>FAME</t>
        </is>
      </c>
      <c r="D812" s="209" t="n"/>
      <c r="E812" s="209" t="n"/>
      <c r="F812" s="209" t="n"/>
      <c r="G812" s="209" t="n"/>
      <c r="H812" s="209" t="n"/>
      <c r="I812" s="209" t="n"/>
      <c r="J812" s="256" t="inlineStr">
        <is>
          <t>Lottery Machine #2 (?%)</t>
        </is>
      </c>
      <c r="K812" s="669" t="n"/>
      <c r="L812" s="669" t="n"/>
      <c r="M812" s="669" t="n"/>
      <c r="N812" s="669" t="n"/>
      <c r="O812" s="669" t="n"/>
      <c r="P812" s="669" t="n"/>
      <c r="Q812" s="669" t="n"/>
      <c r="R812" s="669" t="n"/>
      <c r="S812" s="669" t="n"/>
      <c r="T812" s="669" t="n"/>
      <c r="U812" s="669" t="n"/>
      <c r="V812" s="669" t="n"/>
      <c r="W812" s="669" t="n"/>
      <c r="X812" s="669" t="n"/>
      <c r="Y812" s="669" t="n"/>
      <c r="Z812" s="669" t="n"/>
    </row>
    <row r="813">
      <c r="A813" s="246" t="inlineStr">
        <is>
          <t xml:space="preserve">  Murder On The Train</t>
        </is>
      </c>
      <c r="B813" s="1037" t="inlineStr">
        <is>
          <t>Blue</t>
        </is>
      </c>
      <c r="C813" s="1037" t="inlineStr">
        <is>
          <t>CIV</t>
        </is>
      </c>
      <c r="D813" s="209" t="n"/>
      <c r="E813" s="209" t="n"/>
      <c r="F813" s="209" t="n"/>
      <c r="G813" s="209" t="n"/>
      <c r="H813" s="209" t="n"/>
      <c r="I813" s="209" t="n"/>
      <c r="J813" s="256" t="inlineStr">
        <is>
          <t>Lottery Machine #2 (?%)</t>
        </is>
      </c>
      <c r="K813" s="669" t="n"/>
      <c r="L813" s="669" t="n"/>
      <c r="M813" s="669" t="n"/>
      <c r="N813" s="669" t="n"/>
      <c r="O813" s="669" t="n"/>
      <c r="P813" s="669" t="n"/>
      <c r="Q813" s="669" t="n"/>
      <c r="R813" s="669" t="n"/>
      <c r="S813" s="669" t="n"/>
      <c r="T813" s="669" t="n"/>
      <c r="U813" s="669" t="n"/>
      <c r="V813" s="669" t="n"/>
      <c r="W813" s="669" t="n"/>
      <c r="X813" s="669" t="n"/>
      <c r="Y813" s="669" t="n"/>
      <c r="Z813" s="669" t="n"/>
    </row>
    <row r="814">
      <c r="A814" s="507" t="inlineStr">
        <is>
          <t>Resonance: Purple</t>
        </is>
      </c>
      <c r="B814" s="934" t="n"/>
      <c r="C814" s="934" t="n"/>
      <c r="D814" s="934" t="n"/>
      <c r="E814" s="934" t="n"/>
      <c r="F814" s="479" t="n">
        <v>8</v>
      </c>
      <c r="G814" s="934" t="n"/>
      <c r="H814" s="934" t="n"/>
      <c r="I814" s="934" t="n"/>
      <c r="J814" s="935" t="n"/>
      <c r="K814" s="669" t="n"/>
      <c r="L814" s="669" t="n"/>
      <c r="M814" s="669" t="n"/>
      <c r="N814" s="669" t="n"/>
      <c r="O814" s="669" t="n"/>
      <c r="P814" s="669" t="n"/>
      <c r="Q814" s="669" t="n"/>
      <c r="R814" s="669" t="n"/>
      <c r="S814" s="669" t="n"/>
      <c r="T814" s="669" t="n"/>
      <c r="U814" s="669" t="n"/>
      <c r="V814" s="669" t="n"/>
      <c r="W814" s="669" t="n"/>
      <c r="X814" s="669" t="n"/>
      <c r="Y814" s="669" t="n"/>
      <c r="Z814" s="669" t="n"/>
    </row>
    <row r="815">
      <c r="A815" s="246" t="inlineStr">
        <is>
          <t xml:space="preserve">  Hagakure</t>
        </is>
      </c>
      <c r="B815" s="1037" t="inlineStr">
        <is>
          <t>AA</t>
        </is>
      </c>
      <c r="C815" s="1037" t="inlineStr">
        <is>
          <t>FAME</t>
        </is>
      </c>
      <c r="D815" s="209" t="n"/>
      <c r="E815" s="209" t="n"/>
      <c r="F815" s="209" t="n"/>
      <c r="G815" s="209" t="n"/>
      <c r="H815" s="209" t="n"/>
      <c r="I815" s="209" t="n"/>
      <c r="J815" s="256" t="inlineStr">
        <is>
          <t>Lottery Machine #2 (?%)</t>
        </is>
      </c>
      <c r="K815" s="669" t="n"/>
      <c r="L815" s="669" t="n"/>
      <c r="M815" s="669" t="n"/>
      <c r="N815" s="669" t="n"/>
      <c r="O815" s="669" t="n"/>
      <c r="P815" s="669" t="n"/>
      <c r="Q815" s="669" t="n"/>
      <c r="R815" s="669" t="n"/>
      <c r="S815" s="669" t="n"/>
      <c r="T815" s="669" t="n"/>
      <c r="U815" s="669" t="n"/>
      <c r="V815" s="669" t="n"/>
      <c r="W815" s="669" t="n"/>
      <c r="X815" s="669" t="n"/>
      <c r="Y815" s="669" t="n"/>
      <c r="Z815" s="669" t="n"/>
    </row>
    <row r="816">
      <c r="A816" s="246" t="inlineStr">
        <is>
          <t xml:space="preserve">  Popol Vuh</t>
        </is>
      </c>
      <c r="B816" s="1037" t="inlineStr">
        <is>
          <t>AAA</t>
        </is>
      </c>
      <c r="C816" s="1037" t="inlineStr">
        <is>
          <t>FTH</t>
        </is>
      </c>
      <c r="D816" s="209" t="n"/>
      <c r="E816" s="209" t="n"/>
      <c r="F816" s="209" t="n"/>
      <c r="G816" s="209" t="n"/>
      <c r="H816" s="209" t="n"/>
      <c r="I816" s="209" t="n"/>
      <c r="J816" s="256" t="inlineStr">
        <is>
          <t>Lottery Machine #2 (?%)</t>
        </is>
      </c>
      <c r="K816" s="669" t="n"/>
      <c r="L816" s="669" t="n"/>
      <c r="M816" s="669" t="n"/>
      <c r="N816" s="669" t="n"/>
      <c r="O816" s="669" t="n"/>
      <c r="P816" s="669" t="n"/>
      <c r="Q816" s="669" t="n"/>
      <c r="R816" s="669" t="n"/>
      <c r="S816" s="669" t="n"/>
      <c r="T816" s="669" t="n"/>
      <c r="U816" s="669" t="n"/>
      <c r="V816" s="669" t="n"/>
      <c r="W816" s="669" t="n"/>
      <c r="X816" s="669" t="n"/>
      <c r="Y816" s="669" t="n"/>
      <c r="Z816" s="669" t="n"/>
    </row>
    <row r="817">
      <c r="A817" s="246" t="inlineStr">
        <is>
          <t xml:space="preserve">  Ambika Statue  </t>
        </is>
      </c>
      <c r="B817" s="1037" t="inlineStr">
        <is>
          <t>AA</t>
        </is>
      </c>
      <c r="C817" s="1037" t="inlineStr">
        <is>
          <t>ART</t>
        </is>
      </c>
      <c r="D817" s="209" t="n"/>
      <c r="E817" s="209" t="n"/>
      <c r="F817" s="209" t="n"/>
      <c r="G817" s="209" t="n"/>
      <c r="H817" s="209" t="n"/>
      <c r="I817" s="209" t="n"/>
      <c r="J817" s="256" t="inlineStr">
        <is>
          <t>Lottery Machine #2 (?%)</t>
        </is>
      </c>
      <c r="K817" s="669" t="n"/>
      <c r="L817" s="669" t="n"/>
      <c r="M817" s="669" t="n"/>
      <c r="N817" s="669" t="n"/>
      <c r="O817" s="669" t="n"/>
      <c r="P817" s="669" t="n"/>
      <c r="Q817" s="669" t="n"/>
      <c r="R817" s="669" t="n"/>
      <c r="S817" s="669" t="n"/>
      <c r="T817" s="669" t="n"/>
      <c r="U817" s="669" t="n"/>
      <c r="V817" s="669" t="n"/>
      <c r="W817" s="669" t="n"/>
      <c r="X817" s="669" t="n"/>
      <c r="Y817" s="669" t="n"/>
      <c r="Z817" s="669" t="n"/>
    </row>
    <row r="818">
      <c r="A818" s="507" t="inlineStr">
        <is>
          <t xml:space="preserve">  Moon Plum Teapot</t>
        </is>
      </c>
      <c r="B818" s="1037" t="inlineStr">
        <is>
          <t>AAA</t>
        </is>
      </c>
      <c r="C818" s="1037" t="inlineStr">
        <is>
          <t>ART</t>
        </is>
      </c>
      <c r="D818" s="934" t="n"/>
      <c r="E818" s="934" t="n"/>
      <c r="F818" s="934" t="n"/>
      <c r="G818" s="934" t="n"/>
      <c r="H818" s="934" t="n"/>
      <c r="I818" s="934" t="n"/>
      <c r="J818" s="935" t="inlineStr">
        <is>
          <t>Lottery Machine #2 (?%)</t>
        </is>
      </c>
      <c r="K818" s="669" t="n"/>
      <c r="L818" s="669" t="n"/>
      <c r="M818" s="669" t="n"/>
      <c r="N818" s="669" t="n"/>
      <c r="O818" s="669" t="n"/>
      <c r="P818" s="669" t="n"/>
      <c r="Q818" s="669" t="n"/>
      <c r="R818" s="669" t="n"/>
      <c r="S818" s="669" t="n"/>
      <c r="T818" s="669" t="n"/>
      <c r="U818" s="669" t="n"/>
      <c r="V818" s="669" t="n"/>
      <c r="W818" s="669" t="n"/>
      <c r="X818" s="669" t="n"/>
      <c r="Y818" s="669" t="n"/>
      <c r="Z818" s="669" t="n"/>
    </row>
    <row r="819">
      <c r="A819" s="272" t="inlineStr">
        <is>
          <t>TOTAL RUSH</t>
        </is>
      </c>
      <c r="B819" s="214" t="n"/>
      <c r="C819" s="214" t="n"/>
      <c r="D819" s="214" t="n"/>
      <c r="E819" s="214" t="n"/>
      <c r="F819" s="215">
        <f>sum(F796:G818)</f>
        <v/>
      </c>
      <c r="G819" s="214" t="n"/>
      <c r="H819" s="214" t="n"/>
      <c r="I819" s="228">
        <f>sum(I796:I818)</f>
        <v/>
      </c>
      <c r="J819" s="216" t="n"/>
      <c r="K819" s="669" t="n"/>
      <c r="L819" s="669" t="n"/>
      <c r="M819" s="669" t="n"/>
      <c r="N819" s="669" t="n"/>
      <c r="O819" s="669" t="n"/>
      <c r="P819" s="669" t="n"/>
      <c r="Q819" s="669" t="n"/>
      <c r="R819" s="669" t="n"/>
      <c r="S819" s="669" t="n"/>
      <c r="T819" s="669" t="n"/>
      <c r="U819" s="669" t="n"/>
      <c r="V819" s="669" t="n"/>
      <c r="W819" s="669" t="n"/>
      <c r="X819" s="669" t="n"/>
      <c r="Y819" s="669" t="n"/>
      <c r="Z819" s="669" t="n"/>
    </row>
    <row r="820">
      <c r="A820" s="825" t="n"/>
      <c r="B820" s="1037" t="n"/>
      <c r="C820" s="1037" t="n"/>
      <c r="D820" s="1037" t="n"/>
      <c r="E820" s="1037" t="n"/>
      <c r="F820" s="1037" t="n"/>
      <c r="G820" s="1037" t="n"/>
      <c r="H820" s="1037" t="n"/>
      <c r="I820" s="1037" t="n"/>
      <c r="J820" s="386" t="n"/>
      <c r="K820" s="669" t="n"/>
      <c r="L820" s="669" t="n"/>
      <c r="M820" s="669" t="n"/>
      <c r="N820" s="669" t="n"/>
      <c r="O820" s="669" t="n"/>
      <c r="P820" s="669" t="n"/>
      <c r="Q820" s="669" t="n"/>
      <c r="R820" s="669" t="n"/>
      <c r="S820" s="669" t="n"/>
      <c r="T820" s="669" t="n"/>
      <c r="U820" s="669" t="n"/>
      <c r="V820" s="669" t="n"/>
      <c r="W820" s="669" t="n"/>
      <c r="X820" s="669" t="n"/>
      <c r="Y820" s="669" t="n"/>
      <c r="Z820" s="669" t="n"/>
    </row>
    <row r="821">
      <c r="A821" s="383" t="n"/>
      <c r="B821" s="1079" t="n"/>
      <c r="C821" s="1079" t="n"/>
      <c r="D821" s="1079" t="n"/>
      <c r="E821" s="1079" t="n"/>
      <c r="F821" s="1079" t="n"/>
      <c r="G821" s="1079" t="n"/>
      <c r="H821" s="1079" t="n"/>
      <c r="I821" s="1079" t="n"/>
      <c r="J821" s="970" t="n"/>
      <c r="K821" s="669" t="n"/>
      <c r="L821" s="669" t="n"/>
      <c r="M821" s="669" t="n"/>
      <c r="N821" s="669" t="n"/>
      <c r="O821" s="669" t="n"/>
      <c r="P821" s="669" t="n"/>
      <c r="Q821" s="669" t="n"/>
      <c r="R821" s="669" t="n"/>
      <c r="S821" s="669" t="n"/>
      <c r="T821" s="669" t="n"/>
      <c r="U821" s="669" t="n"/>
      <c r="V821" s="669" t="n"/>
      <c r="W821" s="669" t="n"/>
      <c r="X821" s="669" t="n"/>
      <c r="Y821" s="669" t="n"/>
      <c r="Z821" s="669" t="n"/>
    </row>
    <row r="822">
      <c r="A822" s="288" t="inlineStr">
        <is>
          <t>DEF</t>
        </is>
      </c>
      <c r="B822" s="289" t="inlineStr">
        <is>
          <t>Rarity</t>
        </is>
      </c>
      <c r="C822" s="289" t="inlineStr">
        <is>
          <t>Type</t>
        </is>
      </c>
      <c r="D822" s="289" t="inlineStr">
        <is>
          <t>Base</t>
        </is>
      </c>
      <c r="E822" s="289" t="inlineStr">
        <is>
          <t>Awakening Base</t>
        </is>
      </c>
      <c r="F822" s="289" t="inlineStr">
        <is>
          <t>Percentage</t>
        </is>
      </c>
      <c r="G822" s="289" t="inlineStr">
        <is>
          <t>Awakening Percentage</t>
        </is>
      </c>
      <c r="H822" s="289" t="inlineStr">
        <is>
          <t>Per Minion</t>
        </is>
      </c>
      <c r="I822" s="289" t="inlineStr">
        <is>
          <t>Per Minion Boost</t>
        </is>
      </c>
      <c r="J822" s="275" t="inlineStr">
        <is>
          <t>Source</t>
        </is>
      </c>
      <c r="K822" s="669" t="n"/>
      <c r="L822" s="669" t="n"/>
      <c r="M822" s="669" t="n"/>
      <c r="N822" s="669" t="n"/>
      <c r="O822" s="669" t="n"/>
      <c r="P822" s="669" t="n"/>
      <c r="Q822" s="669" t="n"/>
      <c r="R822" s="669" t="n"/>
      <c r="S822" s="669" t="n"/>
      <c r="T822" s="669" t="n"/>
      <c r="U822" s="669" t="n"/>
      <c r="V822" s="669" t="n"/>
      <c r="W822" s="669" t="n"/>
      <c r="X822" s="669" t="n"/>
      <c r="Y822" s="669" t="n"/>
      <c r="Z822" s="669" t="n"/>
    </row>
    <row r="823">
      <c r="A823" s="246" t="inlineStr">
        <is>
          <t>Holy Dragon Gem</t>
        </is>
      </c>
      <c r="B823" s="1037" t="inlineStr">
        <is>
          <t>SSS</t>
        </is>
      </c>
      <c r="C823" s="1037" t="inlineStr">
        <is>
          <t>FTH</t>
        </is>
      </c>
      <c r="D823" s="210" t="n">
        <v>90</v>
      </c>
      <c r="E823" s="209" t="n">
        <v>90</v>
      </c>
      <c r="F823" s="209" t="n"/>
      <c r="G823" s="209" t="n"/>
      <c r="H823" s="210" t="n">
        <v>60</v>
      </c>
      <c r="I823" s="210">
        <f>(D823+E823)/H823</f>
        <v/>
      </c>
      <c r="J823" s="190" t="inlineStr">
        <is>
          <t>Unknown</t>
        </is>
      </c>
      <c r="K823" s="669" t="n"/>
      <c r="L823" s="669" t="n"/>
      <c r="M823" s="669" t="n"/>
      <c r="N823" s="669" t="n"/>
      <c r="O823" s="669" t="n"/>
      <c r="P823" s="669" t="n"/>
      <c r="Q823" s="669" t="n"/>
      <c r="R823" s="669" t="n"/>
      <c r="S823" s="669" t="n"/>
      <c r="T823" s="669" t="n"/>
      <c r="U823" s="669" t="n"/>
      <c r="V823" s="669" t="n"/>
      <c r="W823" s="669" t="n"/>
      <c r="X823" s="669" t="n"/>
      <c r="Y823" s="669" t="n"/>
      <c r="Z823" s="669" t="n"/>
    </row>
    <row r="824">
      <c r="A824" s="246" t="inlineStr">
        <is>
          <t>Smug's Chalice</t>
        </is>
      </c>
      <c r="B824" s="1037" t="inlineStr">
        <is>
          <t>SS</t>
        </is>
      </c>
      <c r="C824" s="1037" t="inlineStr">
        <is>
          <t>FAME</t>
        </is>
      </c>
      <c r="D824" s="210" t="n">
        <v>90</v>
      </c>
      <c r="E824" s="209" t="n"/>
      <c r="F824" s="209" t="n"/>
      <c r="G824" s="209" t="n"/>
      <c r="H824" s="210" t="n">
        <v>60</v>
      </c>
      <c r="I824" s="210">
        <f>(D824+E824)/H824</f>
        <v/>
      </c>
      <c r="J824" s="935" t="inlineStr">
        <is>
          <t>T7.5 Dragon Gene Research</t>
        </is>
      </c>
      <c r="K824" s="669" t="n"/>
      <c r="L824" s="669" t="n"/>
      <c r="M824" s="669" t="n"/>
      <c r="N824" s="669" t="n"/>
      <c r="O824" s="669" t="n"/>
      <c r="P824" s="669" t="n"/>
      <c r="Q824" s="669" t="n"/>
      <c r="R824" s="669" t="n"/>
      <c r="S824" s="669" t="n"/>
      <c r="T824" s="669" t="n"/>
      <c r="U824" s="669" t="n"/>
      <c r="V824" s="669" t="n"/>
      <c r="W824" s="669" t="n"/>
      <c r="X824" s="669" t="n"/>
      <c r="Y824" s="669" t="n"/>
      <c r="Z824" s="669" t="n"/>
    </row>
    <row r="825">
      <c r="A825" s="246" t="inlineStr">
        <is>
          <t>Hoxne Hoard</t>
        </is>
      </c>
      <c r="B825" s="1037" t="inlineStr">
        <is>
          <t>AAA</t>
        </is>
      </c>
      <c r="C825" s="1037" t="inlineStr">
        <is>
          <t>CIV</t>
        </is>
      </c>
      <c r="D825" s="209" t="n">
        <v>36</v>
      </c>
      <c r="E825" s="209" t="n"/>
      <c r="F825" s="268" t="n"/>
      <c r="G825" s="209" t="n"/>
      <c r="H825" s="267" t="n">
        <v>30</v>
      </c>
      <c r="I825" s="255">
        <f>(D825+E825)/H825</f>
        <v/>
      </c>
      <c r="J825" s="935" t="inlineStr">
        <is>
          <t>Lottery Machine #2 (?%)</t>
        </is>
      </c>
      <c r="K825" s="669" t="n"/>
      <c r="L825" s="669" t="n"/>
      <c r="M825" s="669" t="n"/>
      <c r="N825" s="669" t="n"/>
      <c r="O825" s="669" t="n"/>
      <c r="P825" s="669" t="n"/>
      <c r="Q825" s="669" t="n"/>
      <c r="R825" s="669" t="n"/>
      <c r="S825" s="669" t="n"/>
      <c r="T825" s="669" t="n"/>
      <c r="U825" s="669" t="n"/>
      <c r="V825" s="669" t="n"/>
      <c r="W825" s="669" t="n"/>
      <c r="X825" s="669" t="n"/>
      <c r="Y825" s="669" t="n"/>
      <c r="Z825" s="669" t="n"/>
    </row>
    <row r="826">
      <c r="A826" s="246" t="inlineStr">
        <is>
          <t>Jormungandr Scale</t>
        </is>
      </c>
      <c r="B826" s="1037" t="inlineStr">
        <is>
          <t>AA</t>
        </is>
      </c>
      <c r="C826" s="1037" t="inlineStr">
        <is>
          <t>FTH</t>
        </is>
      </c>
      <c r="D826" s="209" t="n">
        <v>28</v>
      </c>
      <c r="E826" s="209" t="n"/>
      <c r="F826" s="268" t="n"/>
      <c r="G826" s="209" t="n"/>
      <c r="H826" s="267" t="n">
        <v>30</v>
      </c>
      <c r="I826" s="255">
        <f>(D826+E826)/H826</f>
        <v/>
      </c>
      <c r="J826" s="935" t="inlineStr">
        <is>
          <t>T6.5 Dragon Gene Research</t>
        </is>
      </c>
      <c r="K826" s="669" t="n"/>
      <c r="L826" s="669" t="n"/>
      <c r="M826" s="669" t="n"/>
      <c r="N826" s="669" t="n"/>
      <c r="O826" s="669" t="n"/>
      <c r="P826" s="669" t="n"/>
      <c r="Q826" s="669" t="n"/>
      <c r="R826" s="669" t="n"/>
      <c r="S826" s="669" t="n"/>
      <c r="T826" s="669" t="n"/>
      <c r="U826" s="669" t="n"/>
      <c r="V826" s="669" t="n"/>
      <c r="W826" s="669" t="n"/>
      <c r="X826" s="669" t="n"/>
      <c r="Y826" s="669" t="n"/>
      <c r="Z826" s="669" t="n"/>
    </row>
    <row r="827">
      <c r="A827" s="246" t="inlineStr">
        <is>
          <t>Higgs Boson</t>
        </is>
      </c>
      <c r="B827" s="1037" t="inlineStr">
        <is>
          <t>SSS</t>
        </is>
      </c>
      <c r="C827" s="1037" t="inlineStr">
        <is>
          <t>TECH</t>
        </is>
      </c>
      <c r="D827" s="209" t="n"/>
      <c r="E827" s="209" t="n"/>
      <c r="F827" s="268" t="n">
        <v>12</v>
      </c>
      <c r="G827" s="209" t="n"/>
      <c r="H827" s="209" t="n"/>
      <c r="I827" s="209" t="n"/>
      <c r="J827" s="256" t="inlineStr">
        <is>
          <t>Daily Gold Pack Relic #3</t>
        </is>
      </c>
      <c r="K827" s="669" t="n"/>
      <c r="L827" s="669" t="n"/>
      <c r="M827" s="669" t="n"/>
      <c r="N827" s="669" t="n"/>
      <c r="O827" s="669" t="n"/>
      <c r="P827" s="669" t="n"/>
      <c r="Q827" s="669" t="n"/>
      <c r="R827" s="669" t="n"/>
      <c r="S827" s="669" t="n"/>
      <c r="T827" s="669" t="n"/>
      <c r="U827" s="669" t="n"/>
      <c r="V827" s="669" t="n"/>
      <c r="W827" s="669" t="n"/>
      <c r="X827" s="669" t="n"/>
      <c r="Y827" s="669" t="n"/>
      <c r="Z827" s="669" t="n"/>
    </row>
    <row r="828">
      <c r="A828" s="246" t="inlineStr">
        <is>
          <t>Tao Te Ching</t>
        </is>
      </c>
      <c r="B828" s="1037" t="inlineStr">
        <is>
          <t>SSS</t>
        </is>
      </c>
      <c r="C828" s="1037" t="inlineStr">
        <is>
          <t>CIV</t>
        </is>
      </c>
      <c r="D828" s="209" t="n"/>
      <c r="E828" s="209" t="n"/>
      <c r="F828" s="268" t="n">
        <v>12</v>
      </c>
      <c r="G828" s="209" t="n"/>
      <c r="H828" s="209" t="n"/>
      <c r="I828" s="209" t="n"/>
      <c r="J828" s="935" t="inlineStr">
        <is>
          <t>Lottery Machine #2 (0.12%)</t>
        </is>
      </c>
      <c r="K828" s="669" t="n"/>
      <c r="L828" s="669" t="n"/>
      <c r="M828" s="669" t="n"/>
      <c r="N828" s="669" t="n"/>
      <c r="O828" s="669" t="n"/>
      <c r="P828" s="669" t="n"/>
      <c r="Q828" s="669" t="n"/>
      <c r="R828" s="669" t="n"/>
      <c r="S828" s="669" t="n"/>
      <c r="T828" s="669" t="n"/>
      <c r="U828" s="669" t="n"/>
      <c r="V828" s="669" t="n"/>
      <c r="W828" s="669" t="n"/>
      <c r="X828" s="669" t="n"/>
      <c r="Y828" s="669" t="n"/>
      <c r="Z828" s="669" t="n"/>
    </row>
    <row r="829">
      <c r="A829" s="507" t="inlineStr">
        <is>
          <t>Gem Globe</t>
        </is>
      </c>
      <c r="B829" s="1037" t="inlineStr">
        <is>
          <t>AAA</t>
        </is>
      </c>
      <c r="C829" s="1037" t="inlineStr">
        <is>
          <t>ART</t>
        </is>
      </c>
      <c r="D829" s="934" t="n"/>
      <c r="E829" s="934" t="n"/>
      <c r="F829" s="267" t="n">
        <v>9</v>
      </c>
      <c r="G829" s="934" t="n"/>
      <c r="H829" s="934" t="n"/>
      <c r="I829" s="934" t="n"/>
      <c r="J829" s="935" t="inlineStr">
        <is>
          <t>Lottery Machine #2 (?%)</t>
        </is>
      </c>
      <c r="K829" s="669" t="n"/>
      <c r="L829" s="669" t="n"/>
      <c r="M829" s="669" t="n"/>
      <c r="N829" s="669" t="n"/>
      <c r="O829" s="669" t="n"/>
      <c r="P829" s="669" t="n"/>
      <c r="Q829" s="669" t="n"/>
      <c r="R829" s="669" t="n"/>
      <c r="S829" s="669" t="n"/>
      <c r="T829" s="669" t="n"/>
      <c r="U829" s="669" t="n"/>
      <c r="V829" s="669" t="n"/>
      <c r="W829" s="669" t="n"/>
      <c r="X829" s="669" t="n"/>
      <c r="Y829" s="669" t="n"/>
      <c r="Z829" s="669" t="n"/>
    </row>
    <row r="830">
      <c r="A830" s="507" t="inlineStr">
        <is>
          <t>The Rose Garden</t>
        </is>
      </c>
      <c r="B830" s="1037" t="inlineStr">
        <is>
          <t>Blue</t>
        </is>
      </c>
      <c r="C830" s="1037" t="inlineStr">
        <is>
          <t>FTH</t>
        </is>
      </c>
      <c r="D830" s="934" t="n"/>
      <c r="E830" s="934" t="n"/>
      <c r="F830" s="479" t="n">
        <v>5</v>
      </c>
      <c r="G830" s="479" t="n">
        <v>5</v>
      </c>
      <c r="H830" s="934" t="n"/>
      <c r="I830" s="934" t="n"/>
      <c r="J830" s="256" t="inlineStr">
        <is>
          <t>Lottery Machine #2 (?%)</t>
        </is>
      </c>
      <c r="K830" s="669" t="n"/>
      <c r="L830" s="669" t="n"/>
      <c r="M830" s="669" t="n"/>
      <c r="N830" s="669" t="n"/>
      <c r="O830" s="669" t="n"/>
      <c r="P830" s="669" t="n"/>
      <c r="Q830" s="669" t="n"/>
      <c r="R830" s="669" t="n"/>
      <c r="S830" s="669" t="n"/>
      <c r="T830" s="669" t="n"/>
      <c r="U830" s="669" t="n"/>
      <c r="V830" s="669" t="n"/>
      <c r="W830" s="669" t="n"/>
      <c r="X830" s="669" t="n"/>
      <c r="Y830" s="669" t="n"/>
      <c r="Z830" s="669" t="n"/>
    </row>
    <row r="831">
      <c r="A831" s="257" t="n"/>
      <c r="B831" s="209" t="n"/>
      <c r="C831" s="934" t="n"/>
      <c r="D831" s="209" t="n"/>
      <c r="E831" s="209" t="n"/>
      <c r="F831" s="209" t="n"/>
      <c r="G831" s="209" t="n"/>
      <c r="H831" s="209" t="n"/>
      <c r="I831" s="209" t="n"/>
      <c r="J831" s="256" t="n"/>
      <c r="K831" s="669" t="n"/>
      <c r="L831" s="669" t="n"/>
      <c r="M831" s="669" t="n"/>
      <c r="N831" s="669" t="n"/>
      <c r="O831" s="669" t="n"/>
      <c r="P831" s="669" t="n"/>
      <c r="Q831" s="669" t="n"/>
      <c r="R831" s="669" t="n"/>
      <c r="S831" s="669" t="n"/>
      <c r="T831" s="669" t="n"/>
      <c r="U831" s="669" t="n"/>
      <c r="V831" s="669" t="n"/>
      <c r="W831" s="669" t="n"/>
      <c r="X831" s="669" t="n"/>
      <c r="Y831" s="669" t="n"/>
      <c r="Z831" s="669" t="n"/>
    </row>
    <row r="832">
      <c r="A832" s="246" t="inlineStr">
        <is>
          <t>Resonance: Blue</t>
        </is>
      </c>
      <c r="B832" s="209" t="n"/>
      <c r="C832" s="934" t="n"/>
      <c r="D832" s="210" t="n">
        <v>7</v>
      </c>
      <c r="E832" s="209" t="n"/>
      <c r="F832" s="209" t="n"/>
      <c r="G832" s="209" t="n"/>
      <c r="H832" s="210" t="n">
        <v>10</v>
      </c>
      <c r="I832" s="210">
        <f>(D832+E832)/H832</f>
        <v/>
      </c>
      <c r="J832" s="256" t="n"/>
      <c r="K832" s="669" t="n"/>
      <c r="L832" s="669" t="n"/>
      <c r="M832" s="669" t="n"/>
      <c r="N832" s="669" t="n"/>
      <c r="O832" s="669" t="n"/>
      <c r="P832" s="669" t="n"/>
      <c r="Q832" s="669" t="n"/>
      <c r="R832" s="669" t="n"/>
      <c r="S832" s="669" t="n"/>
      <c r="T832" s="669" t="n"/>
      <c r="U832" s="669" t="n"/>
      <c r="V832" s="669" t="n"/>
      <c r="W832" s="669" t="n"/>
      <c r="X832" s="669" t="n"/>
      <c r="Y832" s="669" t="n"/>
      <c r="Z832" s="669" t="n"/>
    </row>
    <row r="833">
      <c r="A833" s="507" t="inlineStr">
        <is>
          <t xml:space="preserve">  Geiger Counter</t>
        </is>
      </c>
      <c r="B833" s="1037" t="inlineStr">
        <is>
          <t>Blue</t>
        </is>
      </c>
      <c r="C833" s="1037" t="inlineStr">
        <is>
          <t>TECH</t>
        </is>
      </c>
      <c r="D833" s="934" t="n"/>
      <c r="E833" s="934" t="n"/>
      <c r="F833" s="934" t="n"/>
      <c r="G833" s="934" t="n"/>
      <c r="H833" s="934" t="n"/>
      <c r="I833" s="934" t="n"/>
      <c r="J833" s="935" t="inlineStr">
        <is>
          <t>Lottery Machine #2 (?%)</t>
        </is>
      </c>
      <c r="K833" s="669" t="n"/>
      <c r="L833" s="669" t="n"/>
      <c r="M833" s="669" t="n"/>
      <c r="N833" s="669" t="n"/>
      <c r="O833" s="669" t="n"/>
      <c r="P833" s="669" t="n"/>
      <c r="Q833" s="669" t="n"/>
      <c r="R833" s="669" t="n"/>
      <c r="S833" s="669" t="n"/>
      <c r="T833" s="669" t="n"/>
      <c r="U833" s="669" t="n"/>
      <c r="V833" s="669" t="n"/>
      <c r="W833" s="669" t="n"/>
      <c r="X833" s="669" t="n"/>
      <c r="Y833" s="669" t="n"/>
      <c r="Z833" s="669" t="n"/>
    </row>
    <row r="834">
      <c r="A834" s="246" t="inlineStr">
        <is>
          <t xml:space="preserve">  Maitreya in Meditation</t>
        </is>
      </c>
      <c r="B834" s="1037" t="inlineStr">
        <is>
          <t>Blue</t>
        </is>
      </c>
      <c r="C834" s="1037" t="inlineStr">
        <is>
          <t>ART</t>
        </is>
      </c>
      <c r="D834" s="209" t="n"/>
      <c r="E834" s="209" t="n"/>
      <c r="F834" s="209" t="n"/>
      <c r="G834" s="209" t="n"/>
      <c r="H834" s="209" t="n"/>
      <c r="I834" s="209" t="n"/>
      <c r="J834" s="256" t="inlineStr">
        <is>
          <t>Lottery Machine #2 (?%)</t>
        </is>
      </c>
      <c r="K834" s="669" t="n"/>
      <c r="L834" s="669" t="n"/>
      <c r="M834" s="669" t="n"/>
      <c r="N834" s="669" t="n"/>
      <c r="O834" s="669" t="n"/>
      <c r="P834" s="669" t="n"/>
      <c r="Q834" s="669" t="n"/>
      <c r="R834" s="669" t="n"/>
      <c r="S834" s="669" t="n"/>
      <c r="T834" s="669" t="n"/>
      <c r="U834" s="669" t="n"/>
      <c r="V834" s="669" t="n"/>
      <c r="W834" s="669" t="n"/>
      <c r="X834" s="669" t="n"/>
      <c r="Y834" s="669" t="n"/>
      <c r="Z834" s="669" t="n"/>
    </row>
    <row r="835">
      <c r="A835" s="246" t="inlineStr">
        <is>
          <t xml:space="preserve">  Murders in Rue Morgue</t>
        </is>
      </c>
      <c r="B835" s="1037" t="inlineStr">
        <is>
          <t>Blue</t>
        </is>
      </c>
      <c r="C835" s="1037" t="inlineStr">
        <is>
          <t>FAME</t>
        </is>
      </c>
      <c r="D835" s="209" t="n"/>
      <c r="E835" s="209" t="n"/>
      <c r="F835" s="209" t="n"/>
      <c r="G835" s="209" t="n"/>
      <c r="H835" s="209" t="n"/>
      <c r="I835" s="209" t="n"/>
      <c r="J835" s="256" t="inlineStr">
        <is>
          <t>Lottery Machine #2 (?%)</t>
        </is>
      </c>
      <c r="K835" s="669" t="n"/>
      <c r="L835" s="669" t="n"/>
      <c r="M835" s="669" t="n"/>
      <c r="N835" s="669" t="n"/>
      <c r="O835" s="669" t="n"/>
      <c r="P835" s="669" t="n"/>
      <c r="Q835" s="669" t="n"/>
      <c r="R835" s="669" t="n"/>
      <c r="S835" s="669" t="n"/>
      <c r="T835" s="669" t="n"/>
      <c r="U835" s="669" t="n"/>
      <c r="V835" s="669" t="n"/>
      <c r="W835" s="669" t="n"/>
      <c r="X835" s="669" t="n"/>
      <c r="Y835" s="669" t="n"/>
      <c r="Z835" s="669" t="n"/>
    </row>
    <row r="836">
      <c r="A836" s="246" t="inlineStr">
        <is>
          <t xml:space="preserve">  Murder On The Train</t>
        </is>
      </c>
      <c r="B836" s="1037" t="inlineStr">
        <is>
          <t>Blue</t>
        </is>
      </c>
      <c r="C836" s="1037" t="inlineStr">
        <is>
          <t>CIV</t>
        </is>
      </c>
      <c r="D836" s="209" t="n"/>
      <c r="E836" s="209" t="n"/>
      <c r="F836" s="209" t="n"/>
      <c r="G836" s="209" t="n"/>
      <c r="H836" s="209" t="n"/>
      <c r="I836" s="209" t="n"/>
      <c r="J836" s="256" t="inlineStr">
        <is>
          <t>Lottery Machine #2 (?%)</t>
        </is>
      </c>
      <c r="K836" s="669" t="n"/>
      <c r="L836" s="669" t="n"/>
      <c r="M836" s="669" t="n"/>
      <c r="N836" s="669" t="n"/>
      <c r="O836" s="669" t="n"/>
      <c r="P836" s="669" t="n"/>
      <c r="Q836" s="669" t="n"/>
      <c r="R836" s="669" t="n"/>
      <c r="S836" s="669" t="n"/>
      <c r="T836" s="669" t="n"/>
      <c r="U836" s="669" t="n"/>
      <c r="V836" s="669" t="n"/>
      <c r="W836" s="669" t="n"/>
      <c r="X836" s="669" t="n"/>
      <c r="Y836" s="669" t="n"/>
      <c r="Z836" s="669" t="n"/>
    </row>
    <row r="837">
      <c r="A837" s="246" t="inlineStr">
        <is>
          <t>Resonance: Purple</t>
        </is>
      </c>
      <c r="B837" s="209" t="n"/>
      <c r="C837" s="209" t="n"/>
      <c r="D837" s="209" t="n"/>
      <c r="E837" s="209" t="n"/>
      <c r="F837" s="210" t="n">
        <v>8</v>
      </c>
      <c r="G837" s="209" t="n"/>
      <c r="H837" s="209" t="n"/>
      <c r="I837" s="209" t="n"/>
      <c r="J837" s="256" t="n"/>
      <c r="K837" s="669" t="n"/>
      <c r="L837" s="669" t="n"/>
      <c r="M837" s="669" t="n"/>
      <c r="N837" s="669" t="n"/>
      <c r="O837" s="669" t="n"/>
      <c r="P837" s="669" t="n"/>
      <c r="Q837" s="669" t="n"/>
      <c r="R837" s="669" t="n"/>
      <c r="S837" s="669" t="n"/>
      <c r="T837" s="669" t="n"/>
      <c r="U837" s="669" t="n"/>
      <c r="V837" s="669" t="n"/>
      <c r="W837" s="669" t="n"/>
      <c r="X837" s="669" t="n"/>
      <c r="Y837" s="669" t="n"/>
      <c r="Z837" s="669" t="n"/>
    </row>
    <row r="838">
      <c r="A838" s="507" t="inlineStr">
        <is>
          <t xml:space="preserve">  Celaeno Fragments</t>
        </is>
      </c>
      <c r="B838" s="1037" t="inlineStr">
        <is>
          <t>AA</t>
        </is>
      </c>
      <c r="C838" s="1037" t="inlineStr">
        <is>
          <t>FTH</t>
        </is>
      </c>
      <c r="D838" s="934" t="n"/>
      <c r="E838" s="934" t="n"/>
      <c r="F838" s="934" t="n"/>
      <c r="G838" s="934" t="n"/>
      <c r="H838" s="934" t="n"/>
      <c r="I838" s="934" t="n"/>
      <c r="J838" s="935" t="inlineStr">
        <is>
          <t>Lottery Machine #2 (?%)</t>
        </is>
      </c>
      <c r="K838" s="669" t="n"/>
      <c r="L838" s="669" t="n"/>
      <c r="M838" s="669" t="n"/>
      <c r="N838" s="669" t="n"/>
      <c r="O838" s="669" t="n"/>
      <c r="P838" s="669" t="n"/>
      <c r="Q838" s="669" t="n"/>
      <c r="R838" s="669" t="n"/>
      <c r="S838" s="669" t="n"/>
      <c r="T838" s="669" t="n"/>
      <c r="U838" s="669" t="n"/>
      <c r="V838" s="669" t="n"/>
      <c r="W838" s="669" t="n"/>
      <c r="X838" s="669" t="n"/>
      <c r="Y838" s="669" t="n"/>
      <c r="Z838" s="669" t="n"/>
    </row>
    <row r="839">
      <c r="A839" s="507" t="inlineStr">
        <is>
          <t xml:space="preserve">  Indus Seal</t>
        </is>
      </c>
      <c r="B839" s="1037" t="inlineStr">
        <is>
          <t>AAA</t>
        </is>
      </c>
      <c r="C839" s="1037" t="inlineStr">
        <is>
          <t>CIV</t>
        </is>
      </c>
      <c r="D839" s="209" t="n"/>
      <c r="E839" s="209" t="n"/>
      <c r="F839" s="209" t="n"/>
      <c r="G839" s="209" t="n"/>
      <c r="H839" s="209" t="n"/>
      <c r="I839" s="209" t="n"/>
      <c r="J839" s="935" t="inlineStr">
        <is>
          <t>Lottery Machine #2 (?%)</t>
        </is>
      </c>
      <c r="K839" s="669" t="n"/>
      <c r="L839" s="669" t="n"/>
      <c r="M839" s="669" t="n"/>
      <c r="N839" s="669" t="n"/>
      <c r="O839" s="669" t="n"/>
      <c r="P839" s="669" t="n"/>
      <c r="Q839" s="669" t="n"/>
      <c r="R839" s="669" t="n"/>
      <c r="S839" s="669" t="n"/>
      <c r="T839" s="669" t="n"/>
      <c r="U839" s="669" t="n"/>
      <c r="V839" s="669" t="n"/>
      <c r="W839" s="669" t="n"/>
      <c r="X839" s="669" t="n"/>
      <c r="Y839" s="669" t="n"/>
      <c r="Z839" s="669" t="n"/>
    </row>
    <row r="840">
      <c r="A840" s="507" t="inlineStr">
        <is>
          <t xml:space="preserve">  Silver Treaty</t>
        </is>
      </c>
      <c r="B840" s="1037" t="inlineStr">
        <is>
          <t>AAA</t>
        </is>
      </c>
      <c r="C840" s="1037" t="inlineStr">
        <is>
          <t>FAME</t>
        </is>
      </c>
      <c r="D840" s="934" t="n"/>
      <c r="E840" s="934" t="n"/>
      <c r="F840" s="934" t="n"/>
      <c r="G840" s="934" t="n"/>
      <c r="H840" s="934" t="n"/>
      <c r="I840" s="934" t="n"/>
      <c r="J840" s="935" t="inlineStr">
        <is>
          <t>Lottery Machine #2 (?%)</t>
        </is>
      </c>
      <c r="K840" s="669" t="n"/>
      <c r="L840" s="669" t="n"/>
      <c r="M840" s="669" t="n"/>
      <c r="N840" s="669" t="n"/>
      <c r="O840" s="669" t="n"/>
      <c r="P840" s="669" t="n"/>
      <c r="Q840" s="669" t="n"/>
      <c r="R840" s="669" t="n"/>
      <c r="S840" s="669" t="n"/>
      <c r="T840" s="669" t="n"/>
      <c r="U840" s="669" t="n"/>
      <c r="V840" s="669" t="n"/>
      <c r="W840" s="669" t="n"/>
      <c r="X840" s="669" t="n"/>
      <c r="Y840" s="669" t="n"/>
      <c r="Z840" s="669" t="n"/>
    </row>
    <row r="841">
      <c r="A841" s="246" t="inlineStr">
        <is>
          <t xml:space="preserve">  Dream Control System</t>
        </is>
      </c>
      <c r="B841" s="1037" t="inlineStr">
        <is>
          <t>AAA</t>
        </is>
      </c>
      <c r="C841" s="1037" t="inlineStr">
        <is>
          <t>TECH</t>
        </is>
      </c>
      <c r="D841" s="209" t="n"/>
      <c r="E841" s="209" t="n"/>
      <c r="F841" s="209" t="n"/>
      <c r="G841" s="209" t="n"/>
      <c r="H841" s="209" t="n"/>
      <c r="I841" s="209" t="n"/>
      <c r="J841" s="935" t="inlineStr">
        <is>
          <t>Lottery Machine #2 (?%)</t>
        </is>
      </c>
      <c r="K841" s="669" t="n"/>
      <c r="L841" s="669" t="n"/>
      <c r="M841" s="669" t="n"/>
      <c r="N841" s="669" t="n"/>
      <c r="O841" s="669" t="n"/>
      <c r="P841" s="669" t="n"/>
      <c r="Q841" s="669" t="n"/>
      <c r="R841" s="669" t="n"/>
      <c r="S841" s="669" t="n"/>
      <c r="T841" s="669" t="n"/>
      <c r="U841" s="669" t="n"/>
      <c r="V841" s="669" t="n"/>
      <c r="W841" s="669" t="n"/>
      <c r="X841" s="669" t="n"/>
      <c r="Y841" s="669" t="n"/>
      <c r="Z841" s="669" t="n"/>
    </row>
    <row r="842">
      <c r="A842" s="955" t="inlineStr">
        <is>
          <t>TOTAL DEF</t>
        </is>
      </c>
      <c r="B842" s="946" t="n"/>
      <c r="C842" s="946" t="n"/>
      <c r="D842" s="946" t="n"/>
      <c r="E842" s="946" t="n"/>
      <c r="F842" s="260">
        <f>sum(F823:G841)</f>
        <v/>
      </c>
      <c r="G842" s="946" t="n"/>
      <c r="H842" s="946" t="n"/>
      <c r="I842" s="261">
        <f>sum(I823:I841)</f>
        <v/>
      </c>
      <c r="J842" s="947" t="n"/>
      <c r="K842" s="669" t="n"/>
      <c r="L842" s="669" t="n"/>
      <c r="M842" s="669" t="n"/>
      <c r="N842" s="669" t="n"/>
      <c r="O842" s="669" t="n"/>
      <c r="P842" s="669" t="n"/>
      <c r="Q842" s="669" t="n"/>
      <c r="R842" s="669" t="n"/>
      <c r="S842" s="669" t="n"/>
      <c r="T842" s="669" t="n"/>
      <c r="U842" s="669" t="n"/>
      <c r="V842" s="669" t="n"/>
      <c r="W842" s="669" t="n"/>
      <c r="X842" s="669" t="n"/>
      <c r="Y842" s="669" t="n"/>
      <c r="Z842" s="669" t="n"/>
    </row>
    <row r="843">
      <c r="A843" s="825" t="n"/>
      <c r="B843" s="1037" t="n"/>
      <c r="C843" s="1037" t="n"/>
      <c r="D843" s="1037" t="n"/>
      <c r="E843" s="1037" t="n"/>
      <c r="F843" s="1037" t="n"/>
      <c r="G843" s="1037" t="n"/>
      <c r="H843" s="1037" t="n"/>
      <c r="I843" s="1037" t="n"/>
      <c r="J843" s="386" t="n"/>
      <c r="K843" s="669" t="n"/>
      <c r="L843" s="669" t="n"/>
      <c r="M843" s="669" t="n"/>
      <c r="N843" s="669" t="n"/>
      <c r="O843" s="669" t="n"/>
      <c r="P843" s="669" t="n"/>
      <c r="Q843" s="669" t="n"/>
      <c r="R843" s="669" t="n"/>
      <c r="S843" s="669" t="n"/>
      <c r="T843" s="669" t="n"/>
      <c r="U843" s="669" t="n"/>
      <c r="V843" s="669" t="n"/>
      <c r="W843" s="669" t="n"/>
      <c r="X843" s="669" t="n"/>
      <c r="Y843" s="669" t="n"/>
      <c r="Z843" s="669" t="n"/>
    </row>
    <row r="844">
      <c r="A844" s="383" t="n"/>
      <c r="B844" s="1079" t="n"/>
      <c r="C844" s="1079" t="n"/>
      <c r="D844" s="1079" t="n"/>
      <c r="E844" s="1079" t="n"/>
      <c r="F844" s="1079" t="n"/>
      <c r="G844" s="1079" t="n"/>
      <c r="H844" s="1079" t="n"/>
      <c r="I844" s="1079" t="n"/>
      <c r="J844" s="970" t="n"/>
      <c r="K844" s="669" t="n"/>
      <c r="L844" s="669" t="n"/>
      <c r="M844" s="669" t="n"/>
      <c r="N844" s="669" t="n"/>
      <c r="O844" s="669" t="n"/>
      <c r="P844" s="669" t="n"/>
      <c r="Q844" s="669" t="n"/>
      <c r="R844" s="669" t="n"/>
      <c r="S844" s="669" t="n"/>
      <c r="T844" s="669" t="n"/>
      <c r="U844" s="669" t="n"/>
      <c r="V844" s="669" t="n"/>
      <c r="W844" s="669" t="n"/>
      <c r="X844" s="669" t="n"/>
      <c r="Y844" s="669" t="n"/>
      <c r="Z844" s="669" t="n"/>
    </row>
    <row r="845">
      <c r="A845" s="282" t="inlineStr">
        <is>
          <t>HARD</t>
        </is>
      </c>
      <c r="B845" s="283" t="inlineStr">
        <is>
          <t>Rarity</t>
        </is>
      </c>
      <c r="C845" s="283" t="inlineStr">
        <is>
          <t>Type</t>
        </is>
      </c>
      <c r="D845" s="283" t="inlineStr">
        <is>
          <t>Base</t>
        </is>
      </c>
      <c r="E845" s="283" t="inlineStr">
        <is>
          <t>Awakening Base</t>
        </is>
      </c>
      <c r="F845" s="283" t="inlineStr">
        <is>
          <t>Percentage</t>
        </is>
      </c>
      <c r="G845" s="283" t="inlineStr">
        <is>
          <t>Awakening Percentage</t>
        </is>
      </c>
      <c r="H845" s="283" t="inlineStr">
        <is>
          <t>Per Minion</t>
        </is>
      </c>
      <c r="I845" s="283" t="inlineStr">
        <is>
          <t>Per Minion Boost</t>
        </is>
      </c>
      <c r="J845" s="253" t="inlineStr">
        <is>
          <t>Source</t>
        </is>
      </c>
      <c r="K845" s="669" t="n"/>
      <c r="L845" s="669" t="n"/>
      <c r="M845" s="669" t="n"/>
      <c r="N845" s="669" t="n"/>
      <c r="O845" s="669" t="n"/>
      <c r="P845" s="669" t="n"/>
      <c r="Q845" s="669" t="n"/>
      <c r="R845" s="669" t="n"/>
      <c r="S845" s="669" t="n"/>
      <c r="T845" s="669" t="n"/>
      <c r="U845" s="669" t="n"/>
      <c r="V845" s="669" t="n"/>
      <c r="W845" s="669" t="n"/>
      <c r="X845" s="669" t="n"/>
      <c r="Y845" s="669" t="n"/>
      <c r="Z845" s="669" t="n"/>
    </row>
    <row r="846">
      <c r="A846" s="507" t="inlineStr">
        <is>
          <t>Gem Globe</t>
        </is>
      </c>
      <c r="B846" s="425" t="inlineStr">
        <is>
          <t>AAA</t>
        </is>
      </c>
      <c r="C846" s="425" t="inlineStr">
        <is>
          <t>ART</t>
        </is>
      </c>
      <c r="D846" s="479" t="n">
        <v>18</v>
      </c>
      <c r="E846" s="479" t="n">
        <v>14</v>
      </c>
      <c r="F846" s="930" t="n"/>
      <c r="G846" s="930" t="n"/>
      <c r="H846" s="479" t="n">
        <v>30</v>
      </c>
      <c r="I846" s="255">
        <f>(D846+E846)/H846</f>
        <v/>
      </c>
      <c r="J846" s="935" t="inlineStr">
        <is>
          <t>Lottery Machine #2 (?%)</t>
        </is>
      </c>
      <c r="K846" s="669" t="n"/>
      <c r="L846" s="669" t="n"/>
      <c r="M846" s="669" t="n"/>
      <c r="N846" s="669" t="n"/>
      <c r="O846" s="669" t="n"/>
      <c r="P846" s="669" t="n"/>
      <c r="Q846" s="669" t="n"/>
      <c r="R846" s="669" t="n"/>
      <c r="S846" s="669" t="n"/>
      <c r="T846" s="669" t="n"/>
      <c r="U846" s="669" t="n"/>
      <c r="V846" s="669" t="n"/>
      <c r="W846" s="669" t="n"/>
      <c r="X846" s="669" t="n"/>
      <c r="Y846" s="669" t="n"/>
      <c r="Z846" s="669" t="n"/>
    </row>
    <row r="847">
      <c r="A847" s="246" t="inlineStr">
        <is>
          <t>Arkanrok</t>
        </is>
      </c>
      <c r="B847" s="425" t="inlineStr">
        <is>
          <t>SSS</t>
        </is>
      </c>
      <c r="C847" s="425" t="inlineStr">
        <is>
          <t>FAME</t>
        </is>
      </c>
      <c r="D847" s="210" t="n">
        <v>30</v>
      </c>
      <c r="E847" s="210" t="n">
        <v>30</v>
      </c>
      <c r="F847" s="279" t="n"/>
      <c r="G847" s="279" t="n"/>
      <c r="H847" s="210" t="n">
        <v>60</v>
      </c>
      <c r="I847" s="210">
        <f>(D847+E847)/H847</f>
        <v/>
      </c>
      <c r="J847" s="1095" t="inlineStr">
        <is>
          <t>Eternal Hall (Demon God Cabin) Reward</t>
        </is>
      </c>
      <c r="K847" s="669" t="n"/>
      <c r="L847" s="669" t="n"/>
      <c r="M847" s="669" t="n"/>
      <c r="N847" s="669" t="n"/>
      <c r="O847" s="669" t="n"/>
      <c r="P847" s="669" t="n"/>
      <c r="Q847" s="669" t="n"/>
      <c r="R847" s="669" t="n"/>
      <c r="S847" s="669" t="n"/>
      <c r="T847" s="669" t="n"/>
      <c r="U847" s="669" t="n"/>
      <c r="V847" s="669" t="n"/>
      <c r="W847" s="669" t="n"/>
      <c r="X847" s="669" t="n"/>
      <c r="Y847" s="669" t="n"/>
      <c r="Z847" s="669" t="n"/>
    </row>
    <row r="848">
      <c r="A848" s="507" t="inlineStr">
        <is>
          <t>Smug's Chalice</t>
        </is>
      </c>
      <c r="B848" s="425" t="inlineStr">
        <is>
          <t>SS</t>
        </is>
      </c>
      <c r="C848" s="425" t="inlineStr">
        <is>
          <t>FAME</t>
        </is>
      </c>
      <c r="D848" s="479" t="n">
        <v>30</v>
      </c>
      <c r="E848" s="479" t="n">
        <v>30</v>
      </c>
      <c r="F848" s="930" t="n"/>
      <c r="G848" s="930" t="n"/>
      <c r="H848" s="479" t="n">
        <v>60</v>
      </c>
      <c r="I848" s="479">
        <f>(D848+E848)/H848</f>
        <v/>
      </c>
      <c r="J848" s="935" t="inlineStr">
        <is>
          <t>T7.5 Dragon Gene Research</t>
        </is>
      </c>
      <c r="K848" s="669" t="n"/>
      <c r="L848" s="669" t="n"/>
      <c r="M848" s="669" t="n"/>
      <c r="N848" s="669" t="n"/>
      <c r="O848" s="669" t="n"/>
      <c r="P848" s="669" t="n"/>
      <c r="Q848" s="669" t="n"/>
      <c r="R848" s="669" t="n"/>
      <c r="S848" s="669" t="n"/>
      <c r="T848" s="669" t="n"/>
      <c r="U848" s="669" t="n"/>
      <c r="V848" s="669" t="n"/>
      <c r="W848" s="669" t="n"/>
      <c r="X848" s="669" t="n"/>
      <c r="Y848" s="669" t="n"/>
      <c r="Z848" s="669" t="n"/>
    </row>
    <row r="849">
      <c r="A849" s="246" t="inlineStr">
        <is>
          <t>Wheel of Taranis</t>
        </is>
      </c>
      <c r="B849" s="425" t="inlineStr">
        <is>
          <t>Blue</t>
        </is>
      </c>
      <c r="C849" s="425" t="inlineStr">
        <is>
          <t>FTH</t>
        </is>
      </c>
      <c r="D849" s="210" t="n">
        <v>5</v>
      </c>
      <c r="E849" s="210" t="n">
        <v>5</v>
      </c>
      <c r="F849" s="279" t="n"/>
      <c r="G849" s="279" t="n"/>
      <c r="H849" s="210" t="n">
        <v>10</v>
      </c>
      <c r="I849" s="210">
        <f>(D849+E849)/H849</f>
        <v/>
      </c>
      <c r="J849" s="935" t="inlineStr">
        <is>
          <t>Lottery Machine #2 (?%)</t>
        </is>
      </c>
      <c r="K849" s="669" t="n"/>
      <c r="L849" s="669" t="n"/>
      <c r="M849" s="669" t="n"/>
      <c r="N849" s="669" t="n"/>
      <c r="O849" s="669" t="n"/>
      <c r="P849" s="669" t="n"/>
      <c r="Q849" s="669" t="n"/>
      <c r="R849" s="669" t="n"/>
      <c r="S849" s="669" t="n"/>
      <c r="T849" s="669" t="n"/>
      <c r="U849" s="669" t="n"/>
      <c r="V849" s="669" t="n"/>
      <c r="W849" s="669" t="n"/>
      <c r="X849" s="669" t="n"/>
      <c r="Y849" s="669" t="n"/>
      <c r="Z849" s="669" t="n"/>
    </row>
    <row r="850">
      <c r="A850" s="507" t="inlineStr">
        <is>
          <t>Viking Horn</t>
        </is>
      </c>
      <c r="B850" s="425" t="inlineStr">
        <is>
          <t>Blue</t>
        </is>
      </c>
      <c r="C850" s="425" t="inlineStr">
        <is>
          <t>CIV</t>
        </is>
      </c>
      <c r="D850" s="479" t="n">
        <v>5</v>
      </c>
      <c r="E850" s="479" t="n">
        <v>3</v>
      </c>
      <c r="F850" s="930" t="n"/>
      <c r="G850" s="930" t="n"/>
      <c r="H850" s="479" t="n">
        <v>10</v>
      </c>
      <c r="I850" s="479">
        <f>(D850+E850)/H850</f>
        <v/>
      </c>
      <c r="J850" s="935" t="inlineStr">
        <is>
          <t>Lottery Machine #1 (0.03%), Wishing (0.82%)</t>
        </is>
      </c>
      <c r="K850" s="669" t="n"/>
      <c r="L850" s="669" t="n"/>
      <c r="M850" s="669" t="n"/>
      <c r="N850" s="669" t="n"/>
      <c r="O850" s="669" t="n"/>
      <c r="P850" s="669" t="n"/>
      <c r="Q850" s="669" t="n"/>
      <c r="R850" s="669" t="n"/>
      <c r="S850" s="669" t="n"/>
      <c r="T850" s="669" t="n"/>
      <c r="U850" s="669" t="n"/>
      <c r="V850" s="669" t="n"/>
      <c r="W850" s="669" t="n"/>
      <c r="X850" s="669" t="n"/>
      <c r="Y850" s="669" t="n"/>
      <c r="Z850" s="669" t="n"/>
    </row>
    <row r="851">
      <c r="A851" s="246" t="inlineStr">
        <is>
          <t>Dragon Medal</t>
        </is>
      </c>
      <c r="B851" s="425" t="inlineStr">
        <is>
          <t>Green</t>
        </is>
      </c>
      <c r="C851" s="425" t="inlineStr">
        <is>
          <t>FTH</t>
        </is>
      </c>
      <c r="D851" s="279" t="n">
        <v>6</v>
      </c>
      <c r="E851" s="279" t="n"/>
      <c r="F851" s="210" t="n"/>
      <c r="G851" s="210" t="n"/>
      <c r="H851" s="479" t="n">
        <v>10</v>
      </c>
      <c r="I851" s="479">
        <f>(D851+E851)/H851</f>
        <v/>
      </c>
      <c r="J851" s="935" t="inlineStr">
        <is>
          <t>Defeat Amelia</t>
        </is>
      </c>
      <c r="K851" s="669" t="n"/>
      <c r="L851" s="669" t="n"/>
      <c r="M851" s="669" t="n"/>
      <c r="N851" s="669" t="n"/>
      <c r="O851" s="669" t="n"/>
      <c r="P851" s="669" t="n"/>
      <c r="Q851" s="669" t="n"/>
      <c r="R851" s="669" t="n"/>
      <c r="S851" s="669" t="n"/>
      <c r="T851" s="669" t="n"/>
      <c r="U851" s="669" t="n"/>
      <c r="V851" s="669" t="n"/>
      <c r="W851" s="669" t="n"/>
      <c r="X851" s="669" t="n"/>
      <c r="Y851" s="669" t="n"/>
      <c r="Z851" s="669" t="n"/>
    </row>
    <row r="852">
      <c r="A852" s="246" t="inlineStr">
        <is>
          <t>Silver Candlestick</t>
        </is>
      </c>
      <c r="B852" s="425" t="inlineStr">
        <is>
          <t>AAA</t>
        </is>
      </c>
      <c r="C852" s="425" t="inlineStr">
        <is>
          <t>CIV</t>
        </is>
      </c>
      <c r="D852" s="279" t="n"/>
      <c r="E852" s="279" t="n"/>
      <c r="F852" s="210" t="n">
        <v>2.7</v>
      </c>
      <c r="G852" s="210" t="n">
        <v>2.1</v>
      </c>
      <c r="H852" s="479" t="n"/>
      <c r="I852" s="479" t="n"/>
      <c r="J852" s="935" t="inlineStr">
        <is>
          <t>Lottery Machine #2 (?%)</t>
        </is>
      </c>
      <c r="K852" s="669" t="n"/>
      <c r="L852" s="669" t="n"/>
      <c r="M852" s="669" t="n"/>
      <c r="N852" s="669" t="n"/>
      <c r="O852" s="669" t="n"/>
      <c r="P852" s="669" t="n"/>
      <c r="Q852" s="669" t="n"/>
      <c r="R852" s="669" t="n"/>
      <c r="S852" s="669" t="n"/>
      <c r="T852" s="669" t="n"/>
      <c r="U852" s="669" t="n"/>
      <c r="V852" s="669" t="n"/>
      <c r="W852" s="669" t="n"/>
      <c r="X852" s="669" t="n"/>
      <c r="Y852" s="669" t="n"/>
      <c r="Z852" s="669" t="n"/>
    </row>
    <row r="853">
      <c r="A853" s="932" t="n"/>
      <c r="B853" s="930" t="n"/>
      <c r="C853" s="934" t="n"/>
      <c r="D853" s="930" t="n"/>
      <c r="E853" s="930" t="n"/>
      <c r="F853" s="930" t="n"/>
      <c r="G853" s="930" t="n"/>
      <c r="H853" s="930" t="n"/>
      <c r="I853" s="930" t="n"/>
      <c r="J853" s="935" t="n"/>
      <c r="K853" s="669" t="n"/>
      <c r="L853" s="669" t="n"/>
      <c r="M853" s="669" t="n"/>
      <c r="N853" s="669" t="n"/>
      <c r="O853" s="669" t="n"/>
      <c r="P853" s="669" t="n"/>
      <c r="Q853" s="669" t="n"/>
      <c r="R853" s="669" t="n"/>
      <c r="S853" s="669" t="n"/>
      <c r="T853" s="669" t="n"/>
      <c r="U853" s="669" t="n"/>
      <c r="V853" s="669" t="n"/>
      <c r="W853" s="669" t="n"/>
      <c r="X853" s="669" t="n"/>
      <c r="Y853" s="669" t="n"/>
      <c r="Z853" s="669" t="n"/>
    </row>
    <row r="854">
      <c r="A854" s="246" t="inlineStr">
        <is>
          <t>Resonance: Blue</t>
        </is>
      </c>
      <c r="B854" s="279" t="n"/>
      <c r="C854" s="934" t="n"/>
      <c r="D854" s="210" t="n">
        <v>9</v>
      </c>
      <c r="E854" s="279" t="n"/>
      <c r="F854" s="279" t="n"/>
      <c r="G854" s="279" t="n"/>
      <c r="H854" s="210" t="n">
        <v>10</v>
      </c>
      <c r="I854" s="210">
        <f>(D854+E854)/H854</f>
        <v/>
      </c>
      <c r="J854" s="256" t="n"/>
      <c r="K854" s="669" t="n"/>
      <c r="L854" s="669" t="n"/>
      <c r="M854" s="669" t="n"/>
      <c r="N854" s="669" t="n"/>
      <c r="O854" s="669" t="n"/>
      <c r="P854" s="669" t="n"/>
      <c r="Q854" s="669" t="n"/>
      <c r="R854" s="669" t="n"/>
      <c r="S854" s="669" t="n"/>
      <c r="T854" s="669" t="n"/>
      <c r="U854" s="669" t="n"/>
      <c r="V854" s="669" t="n"/>
      <c r="W854" s="669" t="n"/>
      <c r="X854" s="669" t="n"/>
      <c r="Y854" s="669" t="n"/>
      <c r="Z854" s="669" t="n"/>
    </row>
    <row r="855">
      <c r="A855" s="507" t="inlineStr">
        <is>
          <t xml:space="preserve">  The Knotted Pistol</t>
        </is>
      </c>
      <c r="B855" s="425" t="inlineStr">
        <is>
          <t>Blue</t>
        </is>
      </c>
      <c r="C855" s="425" t="inlineStr">
        <is>
          <t>FAME</t>
        </is>
      </c>
      <c r="D855" s="930" t="n"/>
      <c r="E855" s="930" t="n"/>
      <c r="F855" s="930" t="n"/>
      <c r="G855" s="930" t="n"/>
      <c r="H855" s="930" t="n"/>
      <c r="I855" s="930" t="n"/>
      <c r="J855" s="935" t="inlineStr">
        <is>
          <t>Lottery Machine #2 (?%)</t>
        </is>
      </c>
      <c r="K855" s="669" t="n"/>
      <c r="L855" s="669" t="n"/>
      <c r="M855" s="669" t="n"/>
      <c r="N855" s="669" t="n"/>
      <c r="O855" s="669" t="n"/>
      <c r="P855" s="669" t="n"/>
      <c r="Q855" s="669" t="n"/>
      <c r="R855" s="669" t="n"/>
      <c r="S855" s="669" t="n"/>
      <c r="T855" s="669" t="n"/>
      <c r="U855" s="669" t="n"/>
      <c r="V855" s="669" t="n"/>
      <c r="W855" s="669" t="n"/>
      <c r="X855" s="669" t="n"/>
      <c r="Y855" s="669" t="n"/>
      <c r="Z855" s="669" t="n"/>
    </row>
    <row r="856">
      <c r="A856" s="246" t="inlineStr">
        <is>
          <t xml:space="preserve">  Ghanta</t>
        </is>
      </c>
      <c r="B856" s="425" t="inlineStr">
        <is>
          <t>Blue</t>
        </is>
      </c>
      <c r="C856" s="425" t="inlineStr">
        <is>
          <t>FTH</t>
        </is>
      </c>
      <c r="D856" s="279" t="n"/>
      <c r="E856" s="279" t="n"/>
      <c r="F856" s="279" t="n"/>
      <c r="G856" s="279" t="n"/>
      <c r="H856" s="279" t="n"/>
      <c r="I856" s="279" t="n"/>
      <c r="J856" s="935" t="inlineStr">
        <is>
          <t>Lottery Machine #2 (?%)</t>
        </is>
      </c>
      <c r="K856" s="669" t="n"/>
      <c r="L856" s="669" t="n"/>
      <c r="M856" s="669" t="n"/>
      <c r="N856" s="669" t="n"/>
      <c r="O856" s="669" t="n"/>
      <c r="P856" s="669" t="n"/>
      <c r="Q856" s="669" t="n"/>
      <c r="R856" s="669" t="n"/>
      <c r="S856" s="669" t="n"/>
      <c r="T856" s="669" t="n"/>
      <c r="U856" s="669" t="n"/>
      <c r="V856" s="669" t="n"/>
      <c r="W856" s="669" t="n"/>
      <c r="X856" s="669" t="n"/>
      <c r="Y856" s="669" t="n"/>
      <c r="Z856" s="669" t="n"/>
    </row>
    <row r="857">
      <c r="A857" s="246" t="inlineStr">
        <is>
          <t xml:space="preserve">  George VI's Speech</t>
        </is>
      </c>
      <c r="B857" s="425" t="inlineStr">
        <is>
          <t>Blue</t>
        </is>
      </c>
      <c r="C857" s="425" t="inlineStr">
        <is>
          <t>CIV</t>
        </is>
      </c>
      <c r="D857" s="210" t="n"/>
      <c r="E857" s="279" t="n"/>
      <c r="F857" s="279" t="n"/>
      <c r="G857" s="279" t="n"/>
      <c r="H857" s="210" t="n"/>
      <c r="I857" s="210" t="n"/>
      <c r="J857" s="935" t="inlineStr">
        <is>
          <t>Lottery Machine #2 (?%)</t>
        </is>
      </c>
      <c r="K857" s="669" t="n"/>
      <c r="L857" s="669" t="n"/>
      <c r="M857" s="669" t="n"/>
      <c r="N857" s="669" t="n"/>
      <c r="O857" s="669" t="n"/>
      <c r="P857" s="669" t="n"/>
      <c r="Q857" s="669" t="n"/>
      <c r="R857" s="669" t="n"/>
      <c r="S857" s="669" t="n"/>
      <c r="T857" s="669" t="n"/>
      <c r="U857" s="669" t="n"/>
      <c r="V857" s="669" t="n"/>
      <c r="W857" s="669" t="n"/>
      <c r="X857" s="669" t="n"/>
      <c r="Y857" s="669" t="n"/>
      <c r="Z857" s="669" t="n"/>
    </row>
    <row r="858">
      <c r="A858" s="246" t="inlineStr">
        <is>
          <t xml:space="preserve">  Cupid and Psyche</t>
        </is>
      </c>
      <c r="B858" s="425" t="inlineStr">
        <is>
          <t>Blue</t>
        </is>
      </c>
      <c r="C858" s="425" t="inlineStr">
        <is>
          <t>ART</t>
        </is>
      </c>
      <c r="D858" s="210" t="n"/>
      <c r="E858" s="279" t="n"/>
      <c r="F858" s="279" t="n"/>
      <c r="G858" s="279" t="n"/>
      <c r="H858" s="210" t="n"/>
      <c r="I858" s="210" t="n"/>
      <c r="J858" s="935" t="inlineStr">
        <is>
          <t>Lottery Machine #2 (?%)</t>
        </is>
      </c>
      <c r="K858" s="669" t="n"/>
      <c r="L858" s="669" t="n"/>
      <c r="M858" s="669" t="n"/>
      <c r="N858" s="669" t="n"/>
      <c r="O858" s="669" t="n"/>
      <c r="P858" s="669" t="n"/>
      <c r="Q858" s="669" t="n"/>
      <c r="R858" s="669" t="n"/>
      <c r="S858" s="669" t="n"/>
      <c r="T858" s="669" t="n"/>
      <c r="U858" s="669" t="n"/>
      <c r="V858" s="669" t="n"/>
      <c r="W858" s="669" t="n"/>
      <c r="X858" s="669" t="n"/>
      <c r="Y858" s="669" t="n"/>
      <c r="Z858" s="669" t="n"/>
    </row>
    <row r="859">
      <c r="A859" s="246" t="inlineStr">
        <is>
          <t xml:space="preserve">  The Final Communique</t>
        </is>
      </c>
      <c r="B859" s="425" t="inlineStr">
        <is>
          <t>Blue</t>
        </is>
      </c>
      <c r="C859" s="425" t="inlineStr">
        <is>
          <t>FAME</t>
        </is>
      </c>
      <c r="D859" s="210" t="n"/>
      <c r="E859" s="279" t="n"/>
      <c r="F859" s="279" t="n"/>
      <c r="G859" s="279" t="n"/>
      <c r="H859" s="210" t="n"/>
      <c r="I859" s="210" t="n"/>
      <c r="J859" s="935" t="inlineStr">
        <is>
          <t>Lottery Machine #2 (?%)</t>
        </is>
      </c>
      <c r="K859" s="669" t="n"/>
      <c r="L859" s="669" t="n"/>
      <c r="M859" s="669" t="n"/>
      <c r="N859" s="669" t="n"/>
      <c r="O859" s="669" t="n"/>
      <c r="P859" s="669" t="n"/>
      <c r="Q859" s="669" t="n"/>
      <c r="R859" s="669" t="n"/>
      <c r="S859" s="669" t="n"/>
      <c r="T859" s="669" t="n"/>
      <c r="U859" s="669" t="n"/>
      <c r="V859" s="669" t="n"/>
      <c r="W859" s="669" t="n"/>
      <c r="X859" s="669" t="n"/>
      <c r="Y859" s="669" t="n"/>
      <c r="Z859" s="669" t="n"/>
    </row>
    <row r="860">
      <c r="A860" s="246" t="inlineStr">
        <is>
          <t xml:space="preserve">  Earth Magnetic Field</t>
        </is>
      </c>
      <c r="B860" s="425" t="inlineStr">
        <is>
          <t>Blue</t>
        </is>
      </c>
      <c r="C860" s="425" t="inlineStr">
        <is>
          <t>TECH</t>
        </is>
      </c>
      <c r="D860" s="210" t="n"/>
      <c r="E860" s="279" t="n"/>
      <c r="F860" s="279" t="n"/>
      <c r="G860" s="279" t="n"/>
      <c r="H860" s="210" t="n"/>
      <c r="I860" s="210" t="n"/>
      <c r="J860" s="935" t="inlineStr">
        <is>
          <t>RIft Treasure Map (20%)</t>
        </is>
      </c>
      <c r="K860" s="669" t="n"/>
      <c r="L860" s="669" t="n"/>
      <c r="M860" s="669" t="n"/>
      <c r="N860" s="669" t="n"/>
      <c r="O860" s="669" t="n"/>
      <c r="P860" s="669" t="n"/>
      <c r="Q860" s="669" t="n"/>
      <c r="R860" s="669" t="n"/>
      <c r="S860" s="669" t="n"/>
      <c r="T860" s="669" t="n"/>
      <c r="U860" s="669" t="n"/>
      <c r="V860" s="669" t="n"/>
      <c r="W860" s="669" t="n"/>
      <c r="X860" s="669" t="n"/>
      <c r="Y860" s="669" t="n"/>
      <c r="Z860" s="669" t="n"/>
    </row>
    <row r="861">
      <c r="A861" s="246" t="inlineStr">
        <is>
          <t>Resonance: Orange</t>
        </is>
      </c>
      <c r="B861" s="279" t="n"/>
      <c r="C861" s="934" t="n"/>
      <c r="D861" s="210" t="n">
        <v>70</v>
      </c>
      <c r="E861" s="279" t="n"/>
      <c r="F861" s="279" t="n"/>
      <c r="G861" s="279" t="n"/>
      <c r="H861" s="210" t="n">
        <v>60</v>
      </c>
      <c r="I861" s="200">
        <f>(D861+E861)/H861</f>
        <v/>
      </c>
      <c r="J861" s="256" t="n"/>
      <c r="K861" s="669" t="n"/>
      <c r="L861" s="669" t="n"/>
      <c r="M861" s="669" t="n"/>
      <c r="N861" s="669" t="n"/>
      <c r="O861" s="669" t="n"/>
      <c r="P861" s="669" t="n"/>
      <c r="Q861" s="669" t="n"/>
      <c r="R861" s="669" t="n"/>
      <c r="S861" s="669" t="n"/>
      <c r="T861" s="669" t="n"/>
      <c r="U861" s="669" t="n"/>
      <c r="V861" s="669" t="n"/>
      <c r="W861" s="669" t="n"/>
      <c r="X861" s="669" t="n"/>
      <c r="Y861" s="669" t="n"/>
      <c r="Z861" s="669" t="n"/>
    </row>
    <row r="862">
      <c r="A862" s="246" t="inlineStr">
        <is>
          <t xml:space="preserve">  Holy Dragon Gem</t>
        </is>
      </c>
      <c r="B862" s="425" t="inlineStr">
        <is>
          <t>SSS</t>
        </is>
      </c>
      <c r="C862" s="425" t="inlineStr">
        <is>
          <t>FTH</t>
        </is>
      </c>
      <c r="D862" s="930" t="n"/>
      <c r="E862" s="930" t="n"/>
      <c r="F862" s="930" t="n"/>
      <c r="G862" s="930" t="n"/>
      <c r="H862" s="930" t="n"/>
      <c r="I862" s="930" t="n"/>
      <c r="J862" s="190" t="inlineStr">
        <is>
          <t>Unknown</t>
        </is>
      </c>
      <c r="K862" s="669" t="n"/>
      <c r="L862" s="669" t="n"/>
      <c r="M862" s="669" t="n"/>
      <c r="N862" s="669" t="n"/>
      <c r="O862" s="669" t="n"/>
      <c r="P862" s="669" t="n"/>
      <c r="Q862" s="669" t="n"/>
      <c r="R862" s="669" t="n"/>
      <c r="S862" s="669" t="n"/>
      <c r="T862" s="669" t="n"/>
      <c r="U862" s="669" t="n"/>
      <c r="V862" s="669" t="n"/>
      <c r="W862" s="669" t="n"/>
      <c r="X862" s="669" t="n"/>
      <c r="Y862" s="669" t="n"/>
      <c r="Z862" s="669" t="n"/>
    </row>
    <row r="863">
      <c r="A863" s="246" t="inlineStr">
        <is>
          <t xml:space="preserve">  Mysterious Relic</t>
        </is>
      </c>
      <c r="B863" s="425" t="inlineStr">
        <is>
          <t>SSS</t>
        </is>
      </c>
      <c r="C863" s="425" t="inlineStr">
        <is>
          <t>ART</t>
        </is>
      </c>
      <c r="D863" s="279" t="n"/>
      <c r="E863" s="279" t="n"/>
      <c r="F863" s="279" t="n"/>
      <c r="G863" s="279" t="n"/>
      <c r="H863" s="279" t="n"/>
      <c r="I863" s="279" t="n"/>
      <c r="J863" s="190" t="inlineStr">
        <is>
          <t>Unknown</t>
        </is>
      </c>
      <c r="K863" s="669" t="n"/>
      <c r="L863" s="669" t="n"/>
      <c r="M863" s="669" t="n"/>
      <c r="N863" s="669" t="n"/>
      <c r="O863" s="669" t="n"/>
      <c r="P863" s="669" t="n"/>
      <c r="Q863" s="669" t="n"/>
      <c r="R863" s="669" t="n"/>
      <c r="S863" s="669" t="n"/>
      <c r="T863" s="669" t="n"/>
      <c r="U863" s="669" t="n"/>
      <c r="V863" s="669" t="n"/>
      <c r="W863" s="669" t="n"/>
      <c r="X863" s="669" t="n"/>
      <c r="Y863" s="669" t="n"/>
      <c r="Z863" s="669" t="n"/>
    </row>
    <row r="864">
      <c r="A864" s="246" t="inlineStr">
        <is>
          <t>Resonance: Orange</t>
        </is>
      </c>
      <c r="B864" s="279" t="n"/>
      <c r="C864" s="934" t="n"/>
      <c r="D864" s="210" t="n">
        <v>21</v>
      </c>
      <c r="E864" s="279" t="n"/>
      <c r="F864" s="279" t="n"/>
      <c r="G864" s="279" t="n"/>
      <c r="H864" s="210" t="n">
        <v>60</v>
      </c>
      <c r="I864" s="210">
        <f>(D864+E864)/H864</f>
        <v/>
      </c>
      <c r="J864" s="256" t="n"/>
      <c r="K864" s="669" t="n"/>
      <c r="L864" s="669" t="n"/>
      <c r="M864" s="669" t="n"/>
      <c r="N864" s="669" t="n"/>
      <c r="O864" s="669" t="n"/>
      <c r="P864" s="669" t="n"/>
      <c r="Q864" s="669" t="n"/>
      <c r="R864" s="669" t="n"/>
      <c r="S864" s="669" t="n"/>
      <c r="T864" s="669" t="n"/>
      <c r="U864" s="669" t="n"/>
      <c r="V864" s="669" t="n"/>
      <c r="W864" s="669" t="n"/>
      <c r="X864" s="669" t="n"/>
      <c r="Y864" s="669" t="n"/>
      <c r="Z864" s="669" t="n"/>
    </row>
    <row r="865">
      <c r="A865" s="507" t="inlineStr">
        <is>
          <t xml:space="preserve">  Untitled</t>
        </is>
      </c>
      <c r="B865" s="425" t="inlineStr">
        <is>
          <t>SSS</t>
        </is>
      </c>
      <c r="C865" s="425" t="inlineStr">
        <is>
          <t>ART</t>
        </is>
      </c>
      <c r="D865" s="930" t="n"/>
      <c r="E865" s="930" t="n"/>
      <c r="F865" s="930" t="n"/>
      <c r="G865" s="930" t="n"/>
      <c r="H865" s="930" t="n"/>
      <c r="I865" s="930" t="n"/>
      <c r="J865" s="935" t="inlineStr">
        <is>
          <t>Daily Silver Pack Relic #6</t>
        </is>
      </c>
      <c r="K865" s="669" t="n"/>
      <c r="L865" s="669" t="n"/>
      <c r="M865" s="669" t="n"/>
      <c r="N865" s="669" t="n"/>
      <c r="O865" s="669" t="n"/>
      <c r="P865" s="669" t="n"/>
      <c r="Q865" s="669" t="n"/>
      <c r="R865" s="669" t="n"/>
      <c r="S865" s="669" t="n"/>
      <c r="T865" s="669" t="n"/>
      <c r="U865" s="669" t="n"/>
      <c r="V865" s="669" t="n"/>
      <c r="W865" s="669" t="n"/>
      <c r="X865" s="669" t="n"/>
      <c r="Y865" s="669" t="n"/>
      <c r="Z865" s="669" t="n"/>
    </row>
    <row r="866">
      <c r="A866" s="246" t="inlineStr">
        <is>
          <t xml:space="preserve">  Salvator Mundi</t>
        </is>
      </c>
      <c r="B866" s="425" t="inlineStr">
        <is>
          <t>SSS</t>
        </is>
      </c>
      <c r="C866" s="425" t="inlineStr">
        <is>
          <t>ART</t>
        </is>
      </c>
      <c r="D866" s="279" t="n"/>
      <c r="E866" s="279" t="n"/>
      <c r="F866" s="279" t="n"/>
      <c r="G866" s="279" t="n"/>
      <c r="H866" s="279" t="n"/>
      <c r="I866" s="279" t="n"/>
      <c r="J866" s="935" t="inlineStr">
        <is>
          <t>Daily Pack Relic #14</t>
        </is>
      </c>
      <c r="K866" s="669" t="n"/>
      <c r="L866" s="669" t="n"/>
      <c r="M866" s="669" t="n"/>
      <c r="N866" s="669" t="n"/>
      <c r="O866" s="669" t="n"/>
      <c r="P866" s="669" t="n"/>
      <c r="Q866" s="669" t="n"/>
      <c r="R866" s="669" t="n"/>
      <c r="S866" s="669" t="n"/>
      <c r="T866" s="669" t="n"/>
      <c r="U866" s="669" t="n"/>
      <c r="V866" s="669" t="n"/>
      <c r="W866" s="669" t="n"/>
      <c r="X866" s="669" t="n"/>
      <c r="Y866" s="669" t="n"/>
      <c r="Z866" s="669" t="n"/>
    </row>
    <row r="867">
      <c r="A867" s="955" t="inlineStr">
        <is>
          <t>TOTAL HARD</t>
        </is>
      </c>
      <c r="B867" s="956" t="n"/>
      <c r="C867" s="956" t="n"/>
      <c r="D867" s="956" t="n"/>
      <c r="E867" s="956" t="n"/>
      <c r="F867" s="260">
        <f>sum(F846:G866)</f>
        <v/>
      </c>
      <c r="G867" s="956" t="n"/>
      <c r="H867" s="956" t="n"/>
      <c r="I867" s="261">
        <f>sum(I846:I866)</f>
        <v/>
      </c>
      <c r="J867" s="947" t="n"/>
      <c r="K867" s="669" t="n"/>
      <c r="L867" s="669" t="n"/>
      <c r="M867" s="669" t="n"/>
      <c r="N867" s="669" t="n"/>
      <c r="O867" s="669" t="n"/>
      <c r="P867" s="669" t="n"/>
      <c r="Q867" s="669" t="n"/>
      <c r="R867" s="669" t="n"/>
      <c r="S867" s="669" t="n"/>
      <c r="T867" s="669" t="n"/>
      <c r="U867" s="669" t="n"/>
      <c r="V867" s="669" t="n"/>
      <c r="W867" s="669" t="n"/>
      <c r="X867" s="669" t="n"/>
      <c r="Y867" s="669" t="n"/>
      <c r="Z867" s="669" t="n"/>
    </row>
  </sheetData>
  <dataValidations count="2">
    <dataValidation sqref="B3:B17 B20:B21 B23:B24 B26:B27 B29:B31 B33:B36 B41:B56 B59:B60 B62:B63 B65:B66 B68:B69 B71:B72 B74:B75 B77:B78 B80:B84 B86:B90 B95:B106 B109:B110 B112:B113 B115:B116 B118:B119 B121:B125 B127:B130 B135:B144 B147:B148 B150:B151 B153:B154 B156:B157 B159:B161 B163:B166 B171:B184 B187:B189 B191:B193 B195:B200 B208:B219 B222:B223 B225:B226 B231:B242 B245:B247 B249:B250 B252:B253 B258:B267 B270:B271 B273:B274 B279:B286 B289:B290 B292:B293 B298:B303 B306:B307 B315:B324 B327:B328 B330:B331 B336:B347 B350:B351 B353:B354 B356:B357 B362:B372 B375:B376 B378:B379 B384:B391 B394:B395 B397:B398 B403:B409 B412:B413 B421:B431 B434:B435 B437:B438 B443:B456 B459:B460 B462:B463 B465:B466 B471:B479 B482:B483 B485:B486 B491:B499 B502:B503 B505:B506 B511:B517 B520:B521 B529:B538 B541:B542 B544:B545 B550:B561 B564:B565 B567:B568 B570:B571 B576:B582 B585:B586 B588:B589 B594:B602 B605:B606 B608:B609 B614:B619 B622:B623 B631:B641 B644:B645 B647:B648 B653:B664 B667:B668 B670:B671 B673:B674 B679:B689 B692:B693 B695:B696 B701:B707 B710:B711 B713:B714 B719:B725 B728:B729 B731:B732 B740:B750 B753:B756 B758:B761 B766:B776 B779:B781 B783:B786 B788:B791 B796:B807 B810:B813 B815:B818 B823:B830 B833:B836 B838:B841 B846:B852 B855:B860 B862:B863 B865:B866" showDropDown="0" showInputMessage="0" showErrorMessage="1" allowBlank="1" type="list">
      <formula1>"SSS,SS,S,AAA,AA,A,Blue,Green"</formula1>
    </dataValidation>
    <dataValidation sqref="C3:C17 C20:C21 C23:C24 C26:C27 C29:C31 C33:C36 C41:C56 C59:C60 C62:C63 C65:C66 C68:C69 C71:C72 C74:C75 C77:C78 C80:C84 C86:C90 C95:C106 C109:C110 C112:C113 C115:C116 C118:C119 C121:C125 C127:C130 C135:C144 C147:C148 C150:C151 C153:C154 C156:C157 C159:C161 C163:C166 C171:C184 C187:C189 C191:C193 C195:C200 C208:C219 C222:C223 C225:C226 C231:C242 C245:C247 C249:C250 C252:C253 C258:C267 C270:C271 C273:C274 C279:C286 C289:C290 C292:C293 C298:C303 C306:C307 C315:C324 C327:C328 C330:C331 C336:C347 C350:C351 C353:C354 C356:C357 C362:C372 C375:C376 C378:C379 C384:C391 C394:C395 C397:C398 C403:C409 C412:C413 C421:C431 C434:C435 C437:C438 C443:C456 C459:C460 C462:C463 C465:C466 C471:C479 C482:C483 C485:C486 C491:C499 C502:C503 C505:C506 C511:C517 C520:C521 C529:C538 C541:C542 C544:C545 C550:C561 C564:C565 C567:C568 C570:C571 C576:C582 C585:C586 C588:C589 C594:C602 C605:C606 C608:C609 C614:C619 C622:C623 C631:C641 C644:C645 C647:C648 C653:C664 C667:C668 C670:C671 C673:C674 C679:C689 C692:C693 C695:C696 C701:C707 C710:C711 C713:C714 C719:C725 C728:C729 C731:C732 C740:C750 C753:C756 C758:C761 C766:C776 C779:C781 C783:C786 C788:C791 C796:C807 C810:C813 C815:C818 C823:C830 C833:C836 C838:C841 C846:C852 C855:C860 C862:C863 C865:C866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3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  <tablePart xmlns:r="http://schemas.openxmlformats.org/officeDocument/2006/relationships" r:id="rId31"/>
    <tablePart xmlns:r="http://schemas.openxmlformats.org/officeDocument/2006/relationships" r:id="rId32"/>
    <tablePart xmlns:r="http://schemas.openxmlformats.org/officeDocument/2006/relationships" r:id="rId33"/>
    <tablePart xmlns:r="http://schemas.openxmlformats.org/officeDocument/2006/relationships" r:id="rId34"/>
    <tablePart xmlns:r="http://schemas.openxmlformats.org/officeDocument/2006/relationships" r:id="rId35"/>
    <tablePart xmlns:r="http://schemas.openxmlformats.org/officeDocument/2006/relationships" r:id="rId36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6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20.64" customWidth="1" style="1128" min="1" max="1"/>
    <col width="8.91" customWidth="1" style="1128" min="2" max="2"/>
    <col width="11.64" customWidth="1" style="1128" min="3" max="3"/>
    <col width="8.09" customWidth="1" style="1128" min="4" max="4"/>
    <col width="11.73" customWidth="1" style="1128" min="5" max="5"/>
    <col width="103.27" customWidth="1" style="1128" min="6" max="6"/>
    <col width="8.640000000000001" customWidth="1" style="1128" min="7" max="21"/>
  </cols>
  <sheetData>
    <row r="1" ht="15.75" customHeight="1" s="1128">
      <c r="A1" s="424" t="inlineStr">
        <is>
          <t>BASE</t>
        </is>
      </c>
      <c r="B1" s="784" t="inlineStr">
        <is>
          <t>(Credit FunFreddyBon)</t>
        </is>
      </c>
      <c r="C1" s="784" t="n"/>
      <c r="D1" s="784" t="n"/>
      <c r="E1" s="784" t="n"/>
      <c r="F1" s="786" t="n"/>
      <c r="G1" s="894" t="n"/>
      <c r="H1" s="894" t="n"/>
      <c r="I1" s="894" t="n"/>
      <c r="J1" s="894" t="n"/>
      <c r="K1" s="894" t="n"/>
      <c r="L1" s="894" t="n"/>
      <c r="M1" s="894" t="n"/>
      <c r="N1" s="894" t="n"/>
      <c r="O1" s="894" t="n"/>
      <c r="P1" s="894" t="n"/>
      <c r="Q1" s="894" t="n"/>
      <c r="R1" s="894" t="n"/>
      <c r="S1" s="894" t="n"/>
      <c r="T1" s="894" t="n"/>
      <c r="U1" s="894" t="n"/>
    </row>
    <row r="2" ht="15.75" customHeight="1" s="1128">
      <c r="A2" s="362" t="inlineStr">
        <is>
          <t>Base Leadership</t>
        </is>
      </c>
      <c r="B2" s="1079" t="n"/>
      <c r="C2" s="1079" t="n"/>
      <c r="D2" s="364" t="n">
        <v>10</v>
      </c>
      <c r="E2" s="1079" t="n"/>
      <c r="F2" s="426" t="inlineStr">
        <is>
          <t>Starter leadership</t>
        </is>
      </c>
      <c r="G2" s="894" t="n"/>
      <c r="H2" s="894" t="n"/>
      <c r="I2" s="894" t="n"/>
      <c r="J2" s="894" t="n"/>
      <c r="K2" s="894" t="n"/>
      <c r="L2" s="894" t="n"/>
      <c r="M2" s="894" t="n"/>
      <c r="N2" s="894" t="n"/>
      <c r="O2" s="894" t="n"/>
      <c r="P2" s="894" t="n"/>
      <c r="Q2" s="894" t="n"/>
      <c r="R2" s="894" t="n"/>
      <c r="S2" s="894" t="n"/>
      <c r="T2" s="894" t="n"/>
      <c r="U2" s="894" t="n"/>
    </row>
    <row r="3" ht="15.75" customHeight="1" s="1128">
      <c r="A3" s="306" t="inlineStr">
        <is>
          <t>MAX BASE LEADERSHIP</t>
        </is>
      </c>
      <c r="B3" s="1037" t="n"/>
      <c r="C3" s="1037" t="n"/>
      <c r="D3" s="371">
        <f>D2</f>
        <v/>
      </c>
      <c r="E3" s="1037" t="n"/>
      <c r="F3" s="386" t="n"/>
      <c r="G3" s="894" t="n"/>
      <c r="H3" s="894" t="n"/>
      <c r="I3" s="894" t="n"/>
      <c r="J3" s="894" t="n"/>
      <c r="K3" s="894" t="n"/>
      <c r="L3" s="894" t="n"/>
      <c r="M3" s="894" t="n"/>
      <c r="N3" s="894" t="n"/>
      <c r="O3" s="894" t="n"/>
      <c r="P3" s="894" t="n"/>
      <c r="Q3" s="894" t="n"/>
      <c r="R3" s="894" t="n"/>
      <c r="S3" s="894" t="n"/>
      <c r="T3" s="894" t="n"/>
      <c r="U3" s="894" t="n"/>
    </row>
    <row r="4" ht="15.75" customHeight="1" s="1128">
      <c r="A4" s="310" t="n"/>
      <c r="B4" s="387" t="n"/>
      <c r="C4" s="387" t="n"/>
      <c r="D4" s="387" t="n"/>
      <c r="E4" s="387" t="n"/>
      <c r="F4" s="313" t="n"/>
      <c r="G4" s="894" t="n"/>
      <c r="H4" s="894" t="n"/>
      <c r="I4" s="894" t="n"/>
      <c r="J4" s="894" t="n"/>
      <c r="K4" s="894" t="n"/>
      <c r="L4" s="894" t="n"/>
      <c r="M4" s="894" t="n"/>
      <c r="N4" s="894" t="n"/>
      <c r="O4" s="894" t="n"/>
      <c r="P4" s="894" t="n"/>
      <c r="Q4" s="894" t="n"/>
      <c r="R4" s="894" t="n"/>
      <c r="S4" s="894" t="n"/>
      <c r="T4" s="894" t="n"/>
      <c r="U4" s="894" t="n"/>
    </row>
    <row r="5" ht="15.75" customHeight="1" s="1128">
      <c r="A5" s="350" t="n"/>
      <c r="B5" s="350" t="n"/>
      <c r="C5" s="350" t="n"/>
      <c r="D5" s="350" t="n"/>
      <c r="E5" s="350" t="n"/>
      <c r="F5" s="350" t="n"/>
      <c r="G5" s="894" t="n"/>
      <c r="H5" s="894" t="n"/>
      <c r="I5" s="894" t="n"/>
      <c r="J5" s="894" t="n"/>
      <c r="K5" s="894" t="n"/>
      <c r="L5" s="894" t="n"/>
      <c r="M5" s="894" t="n"/>
      <c r="N5" s="894" t="n"/>
      <c r="O5" s="894" t="n"/>
      <c r="P5" s="894" t="n"/>
      <c r="Q5" s="894" t="n"/>
      <c r="R5" s="894" t="n"/>
      <c r="S5" s="894" t="n"/>
      <c r="T5" s="894" t="n"/>
      <c r="U5" s="894" t="n"/>
    </row>
    <row r="6" ht="15.75" customHeight="1" s="1128">
      <c r="A6" s="357" t="inlineStr">
        <is>
          <t>INDIVIDUAL RELICS</t>
        </is>
      </c>
      <c r="B6" s="1037" t="n"/>
      <c r="C6" s="1037" t="n"/>
      <c r="D6" s="1037" t="n"/>
      <c r="E6" s="1037" t="n"/>
      <c r="F6" s="386" t="n"/>
      <c r="G6" s="894" t="n"/>
      <c r="H6" s="894" t="n"/>
      <c r="I6" s="894" t="n"/>
      <c r="J6" s="894" t="n"/>
      <c r="K6" s="894" t="n"/>
      <c r="L6" s="894" t="n"/>
      <c r="M6" s="894" t="n"/>
      <c r="N6" s="894" t="n"/>
      <c r="O6" s="894" t="n"/>
      <c r="P6" s="894" t="n"/>
      <c r="Q6" s="894" t="n"/>
      <c r="R6" s="894" t="n"/>
      <c r="S6" s="894" t="n"/>
      <c r="T6" s="894" t="n"/>
      <c r="U6" s="894" t="n"/>
    </row>
    <row r="7" ht="15.75" customHeight="1" s="1128">
      <c r="A7" s="825" t="inlineStr">
        <is>
          <t>Pisces</t>
        </is>
      </c>
      <c r="B7" s="1037" t="inlineStr">
        <is>
          <t>SSS</t>
        </is>
      </c>
      <c r="C7" s="1037" t="inlineStr">
        <is>
          <t>FAME</t>
        </is>
      </c>
      <c r="D7" s="1036" t="n">
        <v>20</v>
      </c>
      <c r="E7" s="1036" t="n">
        <v>20</v>
      </c>
      <c r="F7" s="418" t="inlineStr">
        <is>
          <t>Supreme Relic #20</t>
        </is>
      </c>
      <c r="G7" s="894" t="n"/>
      <c r="H7" s="894" t="n"/>
      <c r="I7" s="894" t="n"/>
      <c r="J7" s="894" t="n"/>
      <c r="K7" s="894" t="n"/>
      <c r="L7" s="894" t="n"/>
      <c r="M7" s="894" t="n"/>
      <c r="N7" s="894" t="n"/>
      <c r="O7" s="894" t="n"/>
      <c r="P7" s="894" t="n"/>
      <c r="Q7" s="894" t="n"/>
      <c r="R7" s="894" t="n"/>
      <c r="S7" s="894" t="n"/>
      <c r="T7" s="894" t="n"/>
      <c r="U7" s="894" t="n"/>
    </row>
    <row r="8" ht="15.75" customHeight="1" s="1128">
      <c r="A8" s="825" t="inlineStr">
        <is>
          <t>Bill of Rights</t>
        </is>
      </c>
      <c r="B8" s="1037" t="inlineStr">
        <is>
          <t>SSS</t>
        </is>
      </c>
      <c r="C8" s="1037" t="inlineStr">
        <is>
          <t>FAME</t>
        </is>
      </c>
      <c r="D8" s="1036" t="n">
        <v>15</v>
      </c>
      <c r="E8" s="1036" t="n">
        <v>10</v>
      </c>
      <c r="F8" s="418" t="inlineStr">
        <is>
          <t>Daily Silver Pack #8</t>
        </is>
      </c>
      <c r="G8" s="894" t="n"/>
      <c r="H8" s="894" t="n"/>
      <c r="I8" s="894" t="n"/>
      <c r="J8" s="894" t="n"/>
      <c r="K8" s="894" t="n"/>
      <c r="L8" s="894" t="n"/>
      <c r="M8" s="894" t="n"/>
      <c r="N8" s="894" t="n"/>
      <c r="O8" s="894" t="n"/>
      <c r="P8" s="894" t="n"/>
      <c r="Q8" s="894" t="n"/>
      <c r="R8" s="894" t="n"/>
      <c r="S8" s="894" t="n"/>
      <c r="T8" s="894" t="n"/>
      <c r="U8" s="894" t="n"/>
    </row>
    <row r="9" ht="15.75" customHeight="1" s="1128">
      <c r="A9" s="825" t="inlineStr">
        <is>
          <t>Apollo Program</t>
        </is>
      </c>
      <c r="B9" s="1037" t="inlineStr">
        <is>
          <t>SSS</t>
        </is>
      </c>
      <c r="C9" s="1037" t="inlineStr">
        <is>
          <t>FAME</t>
        </is>
      </c>
      <c r="D9" s="1036" t="n">
        <v>15</v>
      </c>
      <c r="E9" s="1036" t="n">
        <v>10</v>
      </c>
      <c r="F9" s="418" t="inlineStr">
        <is>
          <t>Daily Silver Pack #11</t>
        </is>
      </c>
      <c r="G9" s="894" t="n"/>
      <c r="H9" s="894" t="n"/>
      <c r="I9" s="894" t="n"/>
      <c r="J9" s="894" t="n"/>
      <c r="K9" s="894" t="n"/>
      <c r="L9" s="894" t="n"/>
      <c r="M9" s="894" t="n"/>
      <c r="N9" s="894" t="n"/>
      <c r="O9" s="894" t="n"/>
      <c r="P9" s="894" t="n"/>
      <c r="Q9" s="894" t="n"/>
      <c r="R9" s="894" t="n"/>
      <c r="S9" s="894" t="n"/>
      <c r="T9" s="894" t="n"/>
      <c r="U9" s="894" t="n"/>
    </row>
    <row r="10" ht="15.75" customHeight="1" s="1128">
      <c r="A10" s="434" t="inlineStr">
        <is>
          <t>Trojan Horse</t>
        </is>
      </c>
      <c r="B10" s="1037" t="inlineStr">
        <is>
          <t>SSS</t>
        </is>
      </c>
      <c r="C10" s="1037" t="inlineStr">
        <is>
          <t>FAME</t>
        </is>
      </c>
      <c r="D10" s="371" t="n">
        <v>12</v>
      </c>
      <c r="E10" s="371" t="n">
        <v>5</v>
      </c>
      <c r="F10" s="418" t="inlineStr">
        <is>
          <t>Lottery Machine No.1 (0.09%), Alchemy Furnace (0.08%), Grandmaster Scrolls (0.75%), Relic Forge (120)</t>
        </is>
      </c>
      <c r="G10" s="894" t="n"/>
      <c r="H10" s="894" t="n"/>
      <c r="I10" s="894" t="n"/>
      <c r="J10" s="894" t="n"/>
      <c r="K10" s="894" t="n"/>
      <c r="L10" s="894" t="n"/>
      <c r="M10" s="894" t="n"/>
      <c r="N10" s="894" t="n"/>
      <c r="O10" s="894" t="n"/>
      <c r="P10" s="894" t="n"/>
      <c r="Q10" s="894" t="n"/>
      <c r="R10" s="894" t="n"/>
      <c r="S10" s="894" t="n"/>
      <c r="T10" s="894" t="n"/>
      <c r="U10" s="894" t="n"/>
    </row>
    <row r="11" ht="15.75" customHeight="1" s="1128">
      <c r="A11" s="434" t="inlineStr">
        <is>
          <t>Terracotta Warrior</t>
        </is>
      </c>
      <c r="B11" s="1037" t="inlineStr">
        <is>
          <t>SSS</t>
        </is>
      </c>
      <c r="C11" s="1037" t="inlineStr">
        <is>
          <t>FAME</t>
        </is>
      </c>
      <c r="D11" s="371" t="n">
        <v>12</v>
      </c>
      <c r="E11" s="371" t="n">
        <v>5</v>
      </c>
      <c r="F11" s="418" t="inlineStr">
        <is>
          <t>Lottery Machine No.2 (0.11%), Relic Forge 2 (120)</t>
        </is>
      </c>
      <c r="G11" s="894" t="n"/>
      <c r="H11" s="894" t="n"/>
      <c r="I11" s="894" t="n"/>
      <c r="J11" s="894" t="n"/>
      <c r="K11" s="894" t="n"/>
      <c r="L11" s="894" t="n"/>
      <c r="M11" s="894" t="n"/>
      <c r="N11" s="894" t="n"/>
      <c r="O11" s="894" t="n"/>
      <c r="P11" s="894" t="n"/>
      <c r="Q11" s="894" t="n"/>
      <c r="R11" s="894" t="n"/>
      <c r="S11" s="894" t="n"/>
      <c r="T11" s="894" t="n"/>
      <c r="U11" s="894" t="n"/>
    </row>
    <row r="12" ht="15.75" customHeight="1" s="1128">
      <c r="A12" s="434" t="inlineStr">
        <is>
          <t>The Prince</t>
        </is>
      </c>
      <c r="B12" s="1037" t="inlineStr">
        <is>
          <t>SSS</t>
        </is>
      </c>
      <c r="C12" s="1037" t="inlineStr">
        <is>
          <t>FAME</t>
        </is>
      </c>
      <c r="D12" s="371" t="n">
        <v>12</v>
      </c>
      <c r="E12" s="371" t="n">
        <v>5</v>
      </c>
      <c r="F12" s="418" t="inlineStr">
        <is>
          <t>Lottery Machine No.2 (0.11%)</t>
        </is>
      </c>
      <c r="G12" s="894" t="n"/>
      <c r="H12" s="894" t="n"/>
      <c r="I12" s="894" t="n"/>
      <c r="J12" s="894" t="n"/>
      <c r="K12" s="894" t="n"/>
      <c r="L12" s="894" t="n"/>
      <c r="M12" s="894" t="n"/>
      <c r="N12" s="894" t="n"/>
      <c r="O12" s="894" t="n"/>
      <c r="P12" s="894" t="n"/>
      <c r="Q12" s="894" t="n"/>
      <c r="R12" s="894" t="n"/>
      <c r="S12" s="894" t="n"/>
      <c r="T12" s="894" t="n"/>
      <c r="U12" s="894" t="n"/>
    </row>
    <row r="13" ht="15.75" customHeight="1" s="1128">
      <c r="A13" s="825" t="inlineStr">
        <is>
          <t>Nightingale Medal</t>
        </is>
      </c>
      <c r="B13" s="1037" t="inlineStr">
        <is>
          <t>SSS</t>
        </is>
      </c>
      <c r="C13" s="1037" t="inlineStr">
        <is>
          <t>FAME</t>
        </is>
      </c>
      <c r="D13" s="1036" t="n">
        <v>12</v>
      </c>
      <c r="E13" s="1036" t="n">
        <v>5</v>
      </c>
      <c r="F13" s="418" t="inlineStr">
        <is>
          <t>Lottery Machine No.2 (0.11%)</t>
        </is>
      </c>
      <c r="G13" s="894" t="n"/>
      <c r="H13" s="894" t="n"/>
      <c r="I13" s="894" t="n"/>
      <c r="J13" s="894" t="n"/>
      <c r="K13" s="894" t="n"/>
      <c r="L13" s="894" t="n"/>
      <c r="M13" s="894" t="n"/>
      <c r="N13" s="894" t="n"/>
      <c r="O13" s="894" t="n"/>
      <c r="P13" s="894" t="n"/>
      <c r="Q13" s="894" t="n"/>
      <c r="R13" s="894" t="n"/>
      <c r="S13" s="894" t="n"/>
      <c r="T13" s="894" t="n"/>
      <c r="U13" s="894" t="n"/>
    </row>
    <row r="14" ht="15.75" customHeight="1" s="1128">
      <c r="A14" s="825" t="inlineStr">
        <is>
          <t>Cross of Will</t>
        </is>
      </c>
      <c r="B14" s="1037" t="inlineStr">
        <is>
          <t>SSS</t>
        </is>
      </c>
      <c r="C14" s="1037" t="inlineStr">
        <is>
          <t>FAME</t>
        </is>
      </c>
      <c r="D14" s="1036" t="n">
        <v>12</v>
      </c>
      <c r="E14" s="1036" t="n">
        <v>5</v>
      </c>
      <c r="F14" s="418" t="inlineStr">
        <is>
          <t>Secret Mission (Bird)</t>
        </is>
      </c>
      <c r="G14" s="894" t="n"/>
      <c r="H14" s="894" t="n"/>
      <c r="I14" s="894" t="n"/>
      <c r="J14" s="894" t="n"/>
      <c r="K14" s="894" t="n"/>
      <c r="L14" s="894" t="n"/>
      <c r="M14" s="894" t="n"/>
      <c r="N14" s="894" t="n"/>
      <c r="O14" s="894" t="n"/>
      <c r="P14" s="894" t="n"/>
      <c r="Q14" s="894" t="n"/>
      <c r="R14" s="894" t="n"/>
      <c r="S14" s="894" t="n"/>
      <c r="T14" s="894" t="n"/>
      <c r="U14" s="894" t="n"/>
    </row>
    <row r="15" ht="15.75" customHeight="1" s="1128">
      <c r="A15" s="434" t="inlineStr">
        <is>
          <t>Napoleonic Code</t>
        </is>
      </c>
      <c r="B15" s="1037" t="inlineStr">
        <is>
          <t>SSS</t>
        </is>
      </c>
      <c r="C15" s="1037" t="inlineStr">
        <is>
          <t>FAME</t>
        </is>
      </c>
      <c r="D15" s="371" t="n">
        <v>12</v>
      </c>
      <c r="E15" s="371" t="n">
        <v>5</v>
      </c>
      <c r="F15" s="422" t="inlineStr">
        <is>
          <t>Daily Pack #11</t>
        </is>
      </c>
      <c r="G15" s="894" t="n"/>
      <c r="H15" s="894" t="n"/>
      <c r="I15" s="894" t="n"/>
      <c r="J15" s="894" t="n"/>
      <c r="K15" s="894" t="n"/>
      <c r="L15" s="894" t="n"/>
      <c r="M15" s="894" t="n"/>
      <c r="N15" s="894" t="n"/>
      <c r="O15" s="894" t="n"/>
      <c r="P15" s="894" t="n"/>
      <c r="Q15" s="894" t="n"/>
      <c r="R15" s="894" t="n"/>
      <c r="S15" s="894" t="n"/>
      <c r="T15" s="894" t="n"/>
      <c r="U15" s="894" t="n"/>
    </row>
    <row r="16" ht="15.75" customHeight="1" s="1128">
      <c r="A16" s="434" t="inlineStr">
        <is>
          <t>Hugo Award</t>
        </is>
      </c>
      <c r="B16" s="1037" t="inlineStr">
        <is>
          <t>SSS</t>
        </is>
      </c>
      <c r="C16" s="1037" t="inlineStr">
        <is>
          <t>FAME</t>
        </is>
      </c>
      <c r="D16" s="371" t="n">
        <v>12</v>
      </c>
      <c r="E16" s="371" t="n">
        <v>5</v>
      </c>
      <c r="F16" s="418" t="inlineStr">
        <is>
          <t>Travelers Pack #4</t>
        </is>
      </c>
      <c r="G16" s="894" t="n"/>
      <c r="H16" s="894" t="n"/>
      <c r="I16" s="894" t="n"/>
      <c r="J16" s="894" t="n"/>
      <c r="K16" s="894" t="n"/>
      <c r="L16" s="894" t="n"/>
      <c r="M16" s="894" t="n"/>
      <c r="N16" s="894" t="n"/>
      <c r="O16" s="894" t="n"/>
      <c r="P16" s="894" t="n"/>
      <c r="Q16" s="894" t="n"/>
      <c r="R16" s="894" t="n"/>
      <c r="S16" s="894" t="n"/>
      <c r="T16" s="894" t="n"/>
      <c r="U16" s="894" t="n"/>
    </row>
    <row r="17" ht="15.75" customHeight="1" s="1128">
      <c r="A17" s="825" t="inlineStr">
        <is>
          <t>Modern Times</t>
        </is>
      </c>
      <c r="B17" s="1037" t="inlineStr">
        <is>
          <t>SSS</t>
        </is>
      </c>
      <c r="C17" s="1037" t="inlineStr">
        <is>
          <t>FAME</t>
        </is>
      </c>
      <c r="D17" s="1036" t="n">
        <v>12</v>
      </c>
      <c r="E17" s="1036" t="n">
        <v>5</v>
      </c>
      <c r="F17" s="418" t="inlineStr">
        <is>
          <t>Badge Shop #4</t>
        </is>
      </c>
      <c r="G17" s="894" t="n"/>
      <c r="H17" s="894" t="n"/>
      <c r="I17" s="894" t="n"/>
      <c r="J17" s="894" t="n"/>
      <c r="K17" s="894" t="n"/>
      <c r="L17" s="894" t="n"/>
      <c r="M17" s="894" t="n"/>
      <c r="N17" s="894" t="n"/>
      <c r="O17" s="894" t="n"/>
      <c r="P17" s="894" t="n"/>
      <c r="Q17" s="894" t="n"/>
      <c r="R17" s="894" t="n"/>
      <c r="S17" s="894" t="n"/>
      <c r="T17" s="894" t="n"/>
      <c r="U17" s="894" t="n"/>
    </row>
    <row r="18" ht="15.75" customHeight="1" s="1128">
      <c r="A18" s="825" t="inlineStr">
        <is>
          <t>Bust of Hammurabi</t>
        </is>
      </c>
      <c r="B18" s="1037" t="inlineStr">
        <is>
          <t>SSS</t>
        </is>
      </c>
      <c r="C18" s="1037" t="inlineStr">
        <is>
          <t>FAME</t>
        </is>
      </c>
      <c r="D18" s="1036" t="n">
        <v>12</v>
      </c>
      <c r="E18" s="1036" t="n">
        <v>5</v>
      </c>
      <c r="F18" s="390" t="inlineStr">
        <is>
          <t>Lottery Machine No.3 (?%)</t>
        </is>
      </c>
      <c r="G18" s="894" t="n"/>
      <c r="H18" s="894" t="n"/>
      <c r="I18" s="894" t="n"/>
      <c r="J18" s="894" t="n"/>
      <c r="K18" s="894" t="n"/>
      <c r="L18" s="894" t="n"/>
      <c r="M18" s="894" t="n"/>
      <c r="N18" s="894" t="n"/>
      <c r="O18" s="894" t="n"/>
      <c r="P18" s="894" t="n"/>
      <c r="Q18" s="894" t="n"/>
      <c r="R18" s="894" t="n"/>
      <c r="S18" s="894" t="n"/>
      <c r="T18" s="894" t="n"/>
      <c r="U18" s="894" t="n"/>
    </row>
    <row r="19" ht="15.75" customHeight="1" s="1128">
      <c r="A19" s="825" t="inlineStr">
        <is>
          <t>Convention on the Rights of the Child</t>
        </is>
      </c>
      <c r="B19" s="1037" t="inlineStr">
        <is>
          <t>SSS</t>
        </is>
      </c>
      <c r="C19" s="1037" t="inlineStr">
        <is>
          <t>FAME</t>
        </is>
      </c>
      <c r="D19" s="1036" t="n">
        <v>12</v>
      </c>
      <c r="E19" s="1036" t="n"/>
      <c r="F19" s="390" t="inlineStr">
        <is>
          <t>Lottery Machine No.2 (?%)</t>
        </is>
      </c>
      <c r="G19" s="894" t="n"/>
      <c r="H19" s="894" t="n"/>
      <c r="I19" s="894" t="n"/>
      <c r="J19" s="894" t="n"/>
      <c r="K19" s="894" t="n"/>
      <c r="L19" s="894" t="n"/>
      <c r="M19" s="894" t="n"/>
      <c r="N19" s="894" t="n"/>
      <c r="O19" s="894" t="n"/>
      <c r="P19" s="894" t="n"/>
      <c r="Q19" s="894" t="n"/>
      <c r="R19" s="894" t="n"/>
      <c r="S19" s="894" t="n"/>
      <c r="T19" s="894" t="n"/>
      <c r="U19" s="894" t="n"/>
    </row>
    <row r="20" ht="15.75" customHeight="1" s="1128">
      <c r="A20" s="825" t="inlineStr">
        <is>
          <t>Woman at Her Toilette</t>
        </is>
      </c>
      <c r="B20" s="1037" t="inlineStr">
        <is>
          <t>SSS</t>
        </is>
      </c>
      <c r="C20" s="1037" t="inlineStr">
        <is>
          <t>ART</t>
        </is>
      </c>
      <c r="D20" s="1036" t="n">
        <v>20</v>
      </c>
      <c r="E20" s="1036" t="n">
        <v>20</v>
      </c>
      <c r="F20" s="418" t="inlineStr">
        <is>
          <t>Minion Skin Lottery</t>
        </is>
      </c>
      <c r="G20" s="894" t="n"/>
      <c r="H20" s="894" t="n"/>
      <c r="I20" s="894" t="n"/>
      <c r="J20" s="894" t="n"/>
      <c r="K20" s="894" t="n"/>
      <c r="L20" s="894" t="n"/>
      <c r="M20" s="894" t="n"/>
      <c r="N20" s="894" t="n"/>
      <c r="O20" s="894" t="n"/>
      <c r="P20" s="894" t="n"/>
      <c r="Q20" s="894" t="n"/>
      <c r="R20" s="894" t="n"/>
      <c r="S20" s="894" t="n"/>
      <c r="T20" s="894" t="n"/>
      <c r="U20" s="894" t="n"/>
    </row>
    <row r="21" ht="15.75" customHeight="1" s="1128">
      <c r="A21" s="434" t="inlineStr">
        <is>
          <t>Golden Chan-hee</t>
        </is>
      </c>
      <c r="B21" s="1037" t="inlineStr">
        <is>
          <t>SSS</t>
        </is>
      </c>
      <c r="C21" s="1037" t="inlineStr">
        <is>
          <t>ART</t>
        </is>
      </c>
      <c r="D21" s="1036" t="n">
        <v>15</v>
      </c>
      <c r="E21" s="1036" t="n">
        <v>10</v>
      </c>
      <c r="F21" s="390" t="inlineStr">
        <is>
          <t>4th Anniversary Event, Badge Shop (1000 medals) starting 5th year of launch</t>
        </is>
      </c>
      <c r="G21" s="894" t="n"/>
      <c r="H21" s="894" t="n"/>
      <c r="I21" s="894" t="n"/>
      <c r="J21" s="894" t="n"/>
      <c r="K21" s="894" t="n"/>
      <c r="L21" s="894" t="n"/>
      <c r="M21" s="894" t="n"/>
      <c r="N21" s="894" t="n"/>
      <c r="O21" s="894" t="n"/>
      <c r="P21" s="894" t="n"/>
      <c r="Q21" s="894" t="n"/>
      <c r="R21" s="894" t="n"/>
      <c r="S21" s="894" t="n"/>
      <c r="T21" s="894" t="n"/>
      <c r="U21" s="894" t="n"/>
    </row>
    <row r="22" ht="15.75" customHeight="1" s="1128">
      <c r="A22" s="825" t="inlineStr">
        <is>
          <t>Seated Voltaire</t>
        </is>
      </c>
      <c r="B22" s="1037" t="inlineStr">
        <is>
          <t>SSS</t>
        </is>
      </c>
      <c r="C22" s="1037" t="inlineStr">
        <is>
          <t>ART</t>
        </is>
      </c>
      <c r="D22" s="1036" t="n">
        <v>12</v>
      </c>
      <c r="E22" s="1036" t="n">
        <v>5</v>
      </c>
      <c r="F22" s="418" t="inlineStr">
        <is>
          <t>Wish Relic #1</t>
        </is>
      </c>
      <c r="G22" s="894" t="n"/>
      <c r="H22" s="894" t="n"/>
      <c r="I22" s="894" t="n"/>
      <c r="J22" s="894" t="n"/>
      <c r="K22" s="894" t="n"/>
      <c r="L22" s="894" t="n"/>
      <c r="M22" s="894" t="n"/>
      <c r="N22" s="894" t="n"/>
      <c r="O22" s="894" t="n"/>
      <c r="P22" s="894" t="n"/>
      <c r="Q22" s="894" t="n"/>
      <c r="R22" s="894" t="n"/>
      <c r="S22" s="894" t="n"/>
      <c r="T22" s="894" t="n"/>
      <c r="U22" s="894" t="n"/>
    </row>
    <row r="23" ht="15.75" customHeight="1" s="1128">
      <c r="A23" s="434" t="inlineStr">
        <is>
          <t>Capitoline Wolf</t>
        </is>
      </c>
      <c r="B23" s="1037" t="inlineStr">
        <is>
          <t>SSS</t>
        </is>
      </c>
      <c r="C23" s="1037" t="inlineStr">
        <is>
          <t>ART</t>
        </is>
      </c>
      <c r="D23" s="371" t="n">
        <v>12</v>
      </c>
      <c r="E23" s="371" t="n">
        <v>5</v>
      </c>
      <c r="F23" s="418" t="inlineStr">
        <is>
          <t>Lottery Machine No.2(0.11%)</t>
        </is>
      </c>
      <c r="G23" s="894" t="n"/>
      <c r="H23" s="894" t="n"/>
      <c r="I23" s="894" t="n"/>
      <c r="J23" s="894" t="n"/>
      <c r="K23" s="894" t="n"/>
      <c r="L23" s="894" t="n"/>
      <c r="M23" s="894" t="n"/>
      <c r="N23" s="894" t="n"/>
      <c r="O23" s="894" t="n"/>
      <c r="P23" s="894" t="n"/>
      <c r="Q23" s="894" t="n"/>
      <c r="R23" s="894" t="n"/>
      <c r="S23" s="894" t="n"/>
      <c r="T23" s="894" t="n"/>
      <c r="U23" s="894" t="n"/>
    </row>
    <row r="24" ht="15.75" customHeight="1" s="1128">
      <c r="A24" s="825" t="inlineStr">
        <is>
          <t>Woman with a Veil</t>
        </is>
      </c>
      <c r="B24" s="1037" t="inlineStr">
        <is>
          <t>SSS</t>
        </is>
      </c>
      <c r="C24" s="1037" t="inlineStr">
        <is>
          <t>ART</t>
        </is>
      </c>
      <c r="D24" s="371" t="n">
        <v>12</v>
      </c>
      <c r="E24" s="371" t="n">
        <v>5</v>
      </c>
      <c r="F24" s="390" t="inlineStr">
        <is>
          <t>Lottery Machine No.3 (?%)</t>
        </is>
      </c>
      <c r="G24" s="894" t="n"/>
      <c r="H24" s="894" t="n"/>
      <c r="I24" s="894" t="n"/>
      <c r="J24" s="894" t="n"/>
      <c r="K24" s="894" t="n"/>
      <c r="L24" s="894" t="n"/>
      <c r="M24" s="894" t="n"/>
      <c r="N24" s="894" t="n"/>
      <c r="O24" s="894" t="n"/>
      <c r="P24" s="894" t="n"/>
      <c r="Q24" s="894" t="n"/>
      <c r="R24" s="894" t="n"/>
      <c r="S24" s="894" t="n"/>
      <c r="T24" s="894" t="n"/>
      <c r="U24" s="894" t="n"/>
    </row>
    <row r="25" ht="15.75" customHeight="1" s="1128">
      <c r="A25" s="825" t="inlineStr">
        <is>
          <t>Han Hee-Jae's Night Banquet</t>
        </is>
      </c>
      <c r="B25" s="1037" t="inlineStr">
        <is>
          <t>SSS</t>
        </is>
      </c>
      <c r="C25" s="1037" t="inlineStr">
        <is>
          <t>ART</t>
        </is>
      </c>
      <c r="D25" s="371" t="n">
        <v>12</v>
      </c>
      <c r="E25" s="371" t="n">
        <v>5</v>
      </c>
      <c r="F25" s="390" t="inlineStr">
        <is>
          <t>Lottery Machine No.3 (?%)</t>
        </is>
      </c>
      <c r="G25" s="894" t="n"/>
      <c r="H25" s="894" t="n"/>
      <c r="I25" s="894" t="n"/>
      <c r="J25" s="894" t="n"/>
      <c r="K25" s="894" t="n"/>
      <c r="L25" s="894" t="n"/>
      <c r="M25" s="894" t="n"/>
      <c r="N25" s="894" t="n"/>
      <c r="O25" s="894" t="n"/>
      <c r="P25" s="894" t="n"/>
      <c r="Q25" s="894" t="n"/>
      <c r="R25" s="894" t="n"/>
      <c r="S25" s="894" t="n"/>
      <c r="T25" s="894" t="n"/>
      <c r="U25" s="894" t="n"/>
    </row>
    <row r="26" ht="15.75" customHeight="1" s="1128">
      <c r="A26" s="825" t="inlineStr">
        <is>
          <t>Apollo &amp; Daphne</t>
        </is>
      </c>
      <c r="B26" s="1037" t="inlineStr">
        <is>
          <t>SSS</t>
        </is>
      </c>
      <c r="C26" s="1037" t="inlineStr">
        <is>
          <t>ART</t>
        </is>
      </c>
      <c r="D26" s="371" t="n">
        <v>12</v>
      </c>
      <c r="E26" s="371" t="n">
        <v>5</v>
      </c>
      <c r="F26" s="386" t="inlineStr">
        <is>
          <t>Daily Pack #27</t>
        </is>
      </c>
      <c r="G26" s="894" t="n"/>
      <c r="H26" s="894" t="n"/>
      <c r="I26" s="894" t="n"/>
      <c r="J26" s="894" t="n"/>
      <c r="K26" s="894" t="n"/>
      <c r="L26" s="894" t="n"/>
      <c r="M26" s="894" t="n"/>
      <c r="N26" s="894" t="n"/>
      <c r="O26" s="894" t="n"/>
      <c r="P26" s="894" t="n"/>
      <c r="Q26" s="894" t="n"/>
      <c r="R26" s="894" t="n"/>
      <c r="S26" s="894" t="n"/>
      <c r="T26" s="894" t="n"/>
      <c r="U26" s="894" t="n"/>
    </row>
    <row r="27" ht="15.75" customHeight="1" s="1128">
      <c r="A27" s="825" t="inlineStr">
        <is>
          <t>Arnolfini Portrait</t>
        </is>
      </c>
      <c r="B27" s="1037" t="inlineStr">
        <is>
          <t>SSS</t>
        </is>
      </c>
      <c r="C27" s="1037" t="inlineStr">
        <is>
          <t>ART</t>
        </is>
      </c>
      <c r="D27" s="371" t="n">
        <v>12</v>
      </c>
      <c r="E27" s="371" t="n">
        <v>5</v>
      </c>
      <c r="F27" s="390" t="inlineStr">
        <is>
          <t>Unknown</t>
        </is>
      </c>
      <c r="G27" s="894" t="n"/>
      <c r="H27" s="894" t="n"/>
      <c r="I27" s="894" t="n"/>
      <c r="J27" s="894" t="n"/>
      <c r="K27" s="894" t="n"/>
      <c r="L27" s="894" t="n"/>
      <c r="M27" s="894" t="n"/>
      <c r="N27" s="894" t="n"/>
      <c r="O27" s="894" t="n"/>
      <c r="P27" s="894" t="n"/>
      <c r="Q27" s="894" t="n"/>
      <c r="R27" s="894" t="n"/>
      <c r="S27" s="894" t="n"/>
      <c r="T27" s="894" t="n"/>
      <c r="U27" s="894" t="n"/>
    </row>
    <row r="28" ht="15.75" customHeight="1" s="1128">
      <c r="A28" s="825" t="inlineStr">
        <is>
          <t>Grace of Divine Dragon</t>
        </is>
      </c>
      <c r="B28" s="1037" t="inlineStr">
        <is>
          <t>SSS</t>
        </is>
      </c>
      <c r="C28" s="1037" t="inlineStr">
        <is>
          <t>ART</t>
        </is>
      </c>
      <c r="D28" s="371" t="n">
        <v>12</v>
      </c>
      <c r="E28" s="371" t="n">
        <v>5</v>
      </c>
      <c r="F28" s="390" t="inlineStr">
        <is>
          <t>Unknown</t>
        </is>
      </c>
      <c r="G28" s="894" t="n"/>
      <c r="H28" s="894" t="n"/>
      <c r="I28" s="894" t="n"/>
      <c r="J28" s="894" t="n"/>
      <c r="K28" s="894" t="n"/>
      <c r="L28" s="894" t="n"/>
      <c r="M28" s="894" t="n"/>
      <c r="N28" s="894" t="n"/>
      <c r="O28" s="894" t="n"/>
      <c r="P28" s="894" t="n"/>
      <c r="Q28" s="894" t="n"/>
      <c r="R28" s="894" t="n"/>
      <c r="S28" s="894" t="n"/>
      <c r="T28" s="894" t="n"/>
      <c r="U28" s="894" t="n"/>
    </row>
    <row r="29" ht="15.75" customHeight="1" s="1128">
      <c r="A29" s="825" t="inlineStr">
        <is>
          <t>Aurelius on Horse</t>
        </is>
      </c>
      <c r="B29" s="1037" t="inlineStr">
        <is>
          <t>SSS</t>
        </is>
      </c>
      <c r="C29" s="1037" t="inlineStr">
        <is>
          <t>ART</t>
        </is>
      </c>
      <c r="D29" s="371" t="n">
        <v>12</v>
      </c>
      <c r="E29" s="371" t="n"/>
      <c r="F29" s="390" t="inlineStr">
        <is>
          <t>Unknown</t>
        </is>
      </c>
      <c r="G29" s="894" t="n"/>
      <c r="H29" s="894" t="n"/>
      <c r="I29" s="894" t="n"/>
      <c r="J29" s="894" t="n"/>
      <c r="K29" s="894" t="n"/>
      <c r="L29" s="894" t="n"/>
      <c r="M29" s="894" t="n"/>
      <c r="N29" s="894" t="n"/>
      <c r="O29" s="894" t="n"/>
      <c r="P29" s="894" t="n"/>
      <c r="Q29" s="894" t="n"/>
      <c r="R29" s="894" t="n"/>
      <c r="S29" s="894" t="n"/>
      <c r="T29" s="894" t="n"/>
      <c r="U29" s="894" t="n"/>
    </row>
    <row r="30" ht="15.75" customHeight="1" s="1128">
      <c r="A30" s="825" t="inlineStr">
        <is>
          <t>Laocoon</t>
        </is>
      </c>
      <c r="B30" s="1037" t="inlineStr">
        <is>
          <t>SSS</t>
        </is>
      </c>
      <c r="C30" s="1037" t="inlineStr">
        <is>
          <t>ART</t>
        </is>
      </c>
      <c r="D30" s="1036" t="n">
        <v>12</v>
      </c>
      <c r="E30" s="1036" t="n"/>
      <c r="F30" s="390" t="inlineStr">
        <is>
          <t>Lottery Machine No.3 (?%)</t>
        </is>
      </c>
      <c r="G30" s="894" t="n"/>
      <c r="H30" s="894" t="n"/>
      <c r="I30" s="894" t="n"/>
      <c r="J30" s="894" t="n"/>
      <c r="K30" s="894" t="n"/>
      <c r="L30" s="894" t="n"/>
      <c r="M30" s="894" t="n"/>
      <c r="N30" s="894" t="n"/>
      <c r="O30" s="894" t="n"/>
      <c r="P30" s="894" t="n"/>
      <c r="Q30" s="894" t="n"/>
      <c r="R30" s="894" t="n"/>
      <c r="S30" s="894" t="n"/>
      <c r="T30" s="894" t="n"/>
      <c r="U30" s="894" t="n"/>
    </row>
    <row r="31" ht="15.75" customHeight="1" s="1128">
      <c r="A31" s="825" t="inlineStr">
        <is>
          <t>The Bronze Age</t>
        </is>
      </c>
      <c r="B31" s="1037" t="inlineStr">
        <is>
          <t>SSS</t>
        </is>
      </c>
      <c r="C31" s="1037" t="inlineStr">
        <is>
          <t>ART</t>
        </is>
      </c>
      <c r="D31" s="1036" t="n">
        <v>12</v>
      </c>
      <c r="E31" s="1036" t="n"/>
      <c r="F31" s="418" t="inlineStr">
        <is>
          <t>Daily Pack #31</t>
        </is>
      </c>
      <c r="G31" s="894" t="n"/>
      <c r="H31" s="894" t="n"/>
      <c r="I31" s="894" t="n"/>
      <c r="J31" s="894" t="n"/>
      <c r="K31" s="894" t="n"/>
      <c r="L31" s="894" t="n"/>
      <c r="M31" s="894" t="n"/>
      <c r="N31" s="894" t="n"/>
      <c r="O31" s="894" t="n"/>
      <c r="P31" s="894" t="n"/>
      <c r="Q31" s="894" t="n"/>
      <c r="R31" s="894" t="n"/>
      <c r="S31" s="894" t="n"/>
      <c r="T31" s="894" t="n"/>
      <c r="U31" s="894" t="n"/>
    </row>
    <row r="32" ht="15.75" customHeight="1" s="1128">
      <c r="A32" s="825" t="inlineStr">
        <is>
          <t>Water Lilies</t>
        </is>
      </c>
      <c r="B32" s="1037" t="inlineStr">
        <is>
          <t>SSS</t>
        </is>
      </c>
      <c r="C32" s="1037" t="inlineStr">
        <is>
          <t>ART</t>
        </is>
      </c>
      <c r="D32" s="1036" t="n">
        <v>12</v>
      </c>
      <c r="E32" s="1036" t="n"/>
      <c r="F32" s="418" t="inlineStr">
        <is>
          <t>Travelers Relic #9</t>
        </is>
      </c>
      <c r="G32" s="894" t="n"/>
      <c r="H32" s="894" t="n"/>
      <c r="I32" s="894" t="n"/>
      <c r="J32" s="894" t="n"/>
      <c r="K32" s="894" t="n"/>
      <c r="L32" s="894" t="n"/>
      <c r="M32" s="894" t="n"/>
      <c r="N32" s="894" t="n"/>
      <c r="O32" s="894" t="n"/>
      <c r="P32" s="894" t="n"/>
      <c r="Q32" s="894" t="n"/>
      <c r="R32" s="894" t="n"/>
      <c r="S32" s="894" t="n"/>
      <c r="T32" s="894" t="n"/>
      <c r="U32" s="894" t="n"/>
    </row>
    <row r="33" ht="15.75" customHeight="1" s="1128">
      <c r="A33" s="825" t="inlineStr">
        <is>
          <t>The Yellow Christ</t>
        </is>
      </c>
      <c r="B33" s="1037" t="inlineStr">
        <is>
          <t>SSS</t>
        </is>
      </c>
      <c r="C33" s="1037" t="inlineStr">
        <is>
          <t>ART</t>
        </is>
      </c>
      <c r="D33" s="1036" t="n">
        <v>12</v>
      </c>
      <c r="E33" s="1036" t="n"/>
      <c r="F33" s="418" t="inlineStr">
        <is>
          <t>Travelers Pack #?</t>
        </is>
      </c>
      <c r="G33" s="894" t="n"/>
      <c r="H33" s="894" t="n"/>
      <c r="I33" s="894" t="n"/>
      <c r="J33" s="894" t="n"/>
      <c r="K33" s="894" t="n"/>
      <c r="L33" s="894" t="n"/>
      <c r="M33" s="894" t="n"/>
      <c r="N33" s="894" t="n"/>
      <c r="O33" s="894" t="n"/>
      <c r="P33" s="894" t="n"/>
      <c r="Q33" s="894" t="n"/>
      <c r="R33" s="894" t="n"/>
      <c r="S33" s="894" t="n"/>
      <c r="T33" s="894" t="n"/>
      <c r="U33" s="894" t="n"/>
    </row>
    <row r="34" ht="15.75" customHeight="1" s="1128">
      <c r="A34" s="434" t="inlineStr">
        <is>
          <t>Tyet</t>
        </is>
      </c>
      <c r="B34" s="1037" t="inlineStr">
        <is>
          <t>SSS</t>
        </is>
      </c>
      <c r="C34" s="1037" t="inlineStr">
        <is>
          <t>FTH</t>
        </is>
      </c>
      <c r="D34" s="371" t="n">
        <v>15</v>
      </c>
      <c r="E34" s="371" t="n">
        <v>10</v>
      </c>
      <c r="F34" s="390" t="inlineStr">
        <is>
          <t>Unknown</t>
        </is>
      </c>
      <c r="G34" s="894" t="n"/>
      <c r="H34" s="894" t="n"/>
      <c r="I34" s="894" t="n"/>
      <c r="J34" s="894" t="n"/>
      <c r="K34" s="894" t="n"/>
      <c r="L34" s="894" t="n"/>
      <c r="M34" s="894" t="n"/>
      <c r="N34" s="894" t="n"/>
      <c r="O34" s="894" t="n"/>
      <c r="P34" s="894" t="n"/>
      <c r="Q34" s="894" t="n"/>
      <c r="R34" s="894" t="n"/>
      <c r="S34" s="894" t="n"/>
      <c r="T34" s="894" t="n"/>
      <c r="U34" s="894" t="n"/>
    </row>
    <row r="35" ht="15.75" customHeight="1" s="1128">
      <c r="A35" s="434" t="inlineStr">
        <is>
          <t>Golden Snail</t>
        </is>
      </c>
      <c r="B35" s="1037" t="inlineStr">
        <is>
          <t>SSS</t>
        </is>
      </c>
      <c r="C35" s="1037" t="inlineStr">
        <is>
          <t>FTH</t>
        </is>
      </c>
      <c r="D35" s="371" t="n">
        <v>15</v>
      </c>
      <c r="E35" s="371" t="n">
        <v>10</v>
      </c>
      <c r="F35" s="418" t="inlineStr">
        <is>
          <t>1st Anniversary Event, Badge Shop (1000 medals) starting 2nd year of launch</t>
        </is>
      </c>
      <c r="G35" s="894" t="n"/>
      <c r="H35" s="894" t="n"/>
      <c r="I35" s="894" t="n"/>
      <c r="J35" s="894" t="n"/>
      <c r="K35" s="894" t="n"/>
      <c r="L35" s="894" t="n"/>
      <c r="M35" s="894" t="n"/>
      <c r="N35" s="894" t="n"/>
      <c r="O35" s="894" t="n"/>
      <c r="P35" s="894" t="n"/>
      <c r="Q35" s="894" t="n"/>
      <c r="R35" s="894" t="n"/>
      <c r="S35" s="894" t="n"/>
      <c r="T35" s="894" t="n"/>
      <c r="U35" s="894" t="n"/>
    </row>
    <row r="36" ht="15.75" customHeight="1" s="1128">
      <c r="A36" s="434" t="inlineStr">
        <is>
          <t>The Silver Key</t>
        </is>
      </c>
      <c r="B36" s="1037" t="inlineStr">
        <is>
          <t>SSS</t>
        </is>
      </c>
      <c r="C36" s="1037" t="inlineStr">
        <is>
          <t>FTH</t>
        </is>
      </c>
      <c r="D36" s="371" t="n">
        <v>12</v>
      </c>
      <c r="E36" s="371" t="n">
        <v>5</v>
      </c>
      <c r="F36" s="418" t="inlineStr">
        <is>
          <t>Lottery Machine No.2 (0.11%), Rift Treasure Maps (0.01%)</t>
        </is>
      </c>
      <c r="G36" s="894" t="n"/>
      <c r="H36" s="894" t="n"/>
      <c r="I36" s="894" t="n"/>
      <c r="J36" s="894" t="n"/>
      <c r="K36" s="894" t="n"/>
      <c r="L36" s="894" t="n"/>
      <c r="M36" s="894" t="n"/>
      <c r="N36" s="894" t="n"/>
      <c r="O36" s="894" t="n"/>
      <c r="P36" s="894" t="n"/>
      <c r="Q36" s="894" t="n"/>
      <c r="R36" s="894" t="n"/>
      <c r="S36" s="894" t="n"/>
      <c r="T36" s="894" t="n"/>
      <c r="U36" s="894" t="n"/>
    </row>
    <row r="37" ht="15.75" customHeight="1" s="1128">
      <c r="A37" s="434" t="inlineStr">
        <is>
          <t>Holy Grail</t>
        </is>
      </c>
      <c r="B37" s="1037" t="inlineStr">
        <is>
          <t>SSS</t>
        </is>
      </c>
      <c r="C37" s="1037" t="inlineStr">
        <is>
          <t>FTH</t>
        </is>
      </c>
      <c r="D37" s="371" t="n">
        <v>12</v>
      </c>
      <c r="E37" s="371" t="n">
        <v>5</v>
      </c>
      <c r="F37" s="418" t="inlineStr">
        <is>
          <t>Lottery Machine No.2 (0.11%)</t>
        </is>
      </c>
      <c r="G37" s="894" t="n"/>
      <c r="H37" s="894" t="n"/>
      <c r="I37" s="894" t="n"/>
      <c r="J37" s="894" t="n"/>
      <c r="K37" s="894" t="n"/>
      <c r="L37" s="894" t="n"/>
      <c r="M37" s="894" t="n"/>
      <c r="N37" s="894" t="n"/>
      <c r="O37" s="894" t="n"/>
      <c r="P37" s="894" t="n"/>
      <c r="Q37" s="894" t="n"/>
      <c r="R37" s="894" t="n"/>
      <c r="S37" s="894" t="n"/>
      <c r="T37" s="894" t="n"/>
      <c r="U37" s="894" t="n"/>
    </row>
    <row r="38" ht="15.75" customHeight="1" s="1128">
      <c r="A38" s="825" t="inlineStr">
        <is>
          <t>Colossus of Rhodes</t>
        </is>
      </c>
      <c r="B38" s="1037" t="inlineStr">
        <is>
          <t>SSS</t>
        </is>
      </c>
      <c r="C38" s="1037" t="inlineStr">
        <is>
          <t>FTH</t>
        </is>
      </c>
      <c r="D38" s="1036" t="n">
        <v>12</v>
      </c>
      <c r="E38" s="1036" t="n">
        <v>5</v>
      </c>
      <c r="F38" s="418" t="inlineStr">
        <is>
          <t>Badge Shop</t>
        </is>
      </c>
      <c r="G38" s="894" t="n"/>
      <c r="H38" s="894" t="n"/>
      <c r="I38" s="894" t="n"/>
      <c r="J38" s="894" t="n"/>
      <c r="K38" s="894" t="n"/>
      <c r="L38" s="894" t="n"/>
      <c r="M38" s="894" t="n"/>
      <c r="N38" s="894" t="n"/>
      <c r="O38" s="894" t="n"/>
      <c r="P38" s="894" t="n"/>
      <c r="Q38" s="894" t="n"/>
      <c r="R38" s="894" t="n"/>
      <c r="S38" s="894" t="n"/>
      <c r="T38" s="894" t="n"/>
      <c r="U38" s="894" t="n"/>
    </row>
    <row r="39" ht="15.75" customHeight="1" s="1128">
      <c r="A39" s="825" t="inlineStr">
        <is>
          <t>Emerald Tablet</t>
        </is>
      </c>
      <c r="B39" s="1037" t="inlineStr">
        <is>
          <t>SSS</t>
        </is>
      </c>
      <c r="C39" s="1037" t="inlineStr">
        <is>
          <t>FTH</t>
        </is>
      </c>
      <c r="D39" s="1036" t="n">
        <v>12</v>
      </c>
      <c r="E39" s="1036" t="n">
        <v>5</v>
      </c>
      <c r="F39" s="418" t="inlineStr">
        <is>
          <t>Daily Pack #24</t>
        </is>
      </c>
      <c r="G39" s="894" t="n"/>
      <c r="H39" s="894" t="n"/>
      <c r="I39" s="894" t="n"/>
      <c r="J39" s="894" t="n"/>
      <c r="K39" s="894" t="n"/>
      <c r="L39" s="894" t="n"/>
      <c r="M39" s="894" t="n"/>
      <c r="N39" s="894" t="n"/>
      <c r="O39" s="894" t="n"/>
      <c r="P39" s="894" t="n"/>
      <c r="Q39" s="894" t="n"/>
      <c r="R39" s="894" t="n"/>
      <c r="S39" s="894" t="n"/>
      <c r="T39" s="894" t="n"/>
      <c r="U39" s="894" t="n"/>
    </row>
    <row r="40" ht="15.75" customHeight="1" s="1128">
      <c r="A40" s="332" t="inlineStr">
        <is>
          <t>Jerusalem Walls</t>
        </is>
      </c>
      <c r="B40" s="1037" t="inlineStr">
        <is>
          <t>SSS</t>
        </is>
      </c>
      <c r="C40" s="1037" t="inlineStr">
        <is>
          <t>FTH</t>
        </is>
      </c>
      <c r="D40" s="1036" t="n">
        <v>12</v>
      </c>
      <c r="E40" s="1036" t="n">
        <v>5</v>
      </c>
      <c r="F40" s="333" t="inlineStr">
        <is>
          <t>Lottery Machine No.3 (?%)</t>
        </is>
      </c>
      <c r="G40" s="894" t="n"/>
      <c r="H40" s="894" t="n"/>
      <c r="I40" s="894" t="n"/>
      <c r="J40" s="894" t="n"/>
      <c r="K40" s="894" t="n"/>
      <c r="L40" s="894" t="n"/>
      <c r="M40" s="894" t="n"/>
      <c r="N40" s="894" t="n"/>
      <c r="O40" s="894" t="n"/>
      <c r="P40" s="894" t="n"/>
      <c r="Q40" s="894" t="n"/>
      <c r="R40" s="894" t="n"/>
      <c r="S40" s="894" t="n"/>
      <c r="T40" s="894" t="n"/>
      <c r="U40" s="894" t="n"/>
    </row>
    <row r="41" ht="15.75" customHeight="1" s="1128">
      <c r="A41" s="825" t="inlineStr">
        <is>
          <t>Ra's Solar Barque</t>
        </is>
      </c>
      <c r="B41" s="1037" t="inlineStr">
        <is>
          <t>SSS</t>
        </is>
      </c>
      <c r="C41" s="1037" t="inlineStr">
        <is>
          <t>FTH</t>
        </is>
      </c>
      <c r="D41" s="1036" t="n">
        <v>12</v>
      </c>
      <c r="E41" s="1036" t="n">
        <v>5</v>
      </c>
      <c r="F41" s="390" t="inlineStr">
        <is>
          <t>Unknown</t>
        </is>
      </c>
      <c r="G41" s="894" t="n"/>
      <c r="H41" s="894" t="n"/>
      <c r="I41" s="894" t="n"/>
      <c r="J41" s="894" t="n"/>
      <c r="K41" s="894" t="n"/>
      <c r="L41" s="894" t="n"/>
      <c r="M41" s="894" t="n"/>
      <c r="N41" s="894" t="n"/>
      <c r="O41" s="894" t="n"/>
      <c r="P41" s="894" t="n"/>
      <c r="Q41" s="894" t="n"/>
      <c r="R41" s="894" t="n"/>
      <c r="S41" s="894" t="n"/>
      <c r="T41" s="894" t="n"/>
      <c r="U41" s="894" t="n"/>
    </row>
    <row r="42" ht="15.75" customHeight="1" s="1128">
      <c r="A42" s="825" t="inlineStr">
        <is>
          <t>Atenism</t>
        </is>
      </c>
      <c r="B42" s="1037" t="inlineStr">
        <is>
          <t>SSS</t>
        </is>
      </c>
      <c r="C42" s="1037" t="inlineStr">
        <is>
          <t>FTH</t>
        </is>
      </c>
      <c r="D42" s="1036" t="n">
        <v>12</v>
      </c>
      <c r="E42" s="1036" t="n">
        <v>5</v>
      </c>
      <c r="F42" s="390" t="inlineStr">
        <is>
          <t>Unknown</t>
        </is>
      </c>
      <c r="G42" s="894" t="n"/>
      <c r="H42" s="894" t="n"/>
      <c r="I42" s="894" t="n"/>
      <c r="J42" s="894" t="n"/>
      <c r="K42" s="894" t="n"/>
      <c r="L42" s="894" t="n"/>
      <c r="M42" s="894" t="n"/>
      <c r="N42" s="894" t="n"/>
      <c r="O42" s="894" t="n"/>
      <c r="P42" s="894" t="n"/>
      <c r="Q42" s="894" t="n"/>
      <c r="R42" s="894" t="n"/>
      <c r="S42" s="894" t="n"/>
      <c r="T42" s="894" t="n"/>
      <c r="U42" s="894" t="n"/>
    </row>
    <row r="43" ht="15.75" customHeight="1" s="1128">
      <c r="A43" s="825" t="inlineStr">
        <is>
          <t>Hetu Luoshu</t>
        </is>
      </c>
      <c r="B43" s="1037" t="inlineStr">
        <is>
          <t>SSS</t>
        </is>
      </c>
      <c r="C43" s="1037" t="inlineStr">
        <is>
          <t>FTH</t>
        </is>
      </c>
      <c r="D43" s="1036" t="n">
        <v>12</v>
      </c>
      <c r="E43" s="1036" t="n">
        <v>5</v>
      </c>
      <c r="F43" s="390" t="inlineStr">
        <is>
          <t>Unknown</t>
        </is>
      </c>
      <c r="G43" s="894" t="n"/>
      <c r="H43" s="894" t="n"/>
      <c r="I43" s="894" t="n"/>
      <c r="J43" s="894" t="n"/>
      <c r="K43" s="894" t="n"/>
      <c r="L43" s="894" t="n"/>
      <c r="M43" s="894" t="n"/>
      <c r="N43" s="894" t="n"/>
      <c r="O43" s="894" t="n"/>
      <c r="P43" s="894" t="n"/>
      <c r="Q43" s="894" t="n"/>
      <c r="R43" s="894" t="n"/>
      <c r="S43" s="894" t="n"/>
      <c r="T43" s="894" t="n"/>
      <c r="U43" s="894" t="n"/>
    </row>
    <row r="44" ht="15.75" customHeight="1" s="1128">
      <c r="A44" s="825" t="inlineStr">
        <is>
          <t>Primavera</t>
        </is>
      </c>
      <c r="B44" s="1037" t="inlineStr">
        <is>
          <t>SSS</t>
        </is>
      </c>
      <c r="C44" s="1037" t="inlineStr">
        <is>
          <t>FTH</t>
        </is>
      </c>
      <c r="D44" s="1036" t="n">
        <v>12</v>
      </c>
      <c r="E44" s="1036" t="n">
        <v>5</v>
      </c>
      <c r="F44" s="390" t="inlineStr">
        <is>
          <t>Lottery Machine No.3 (?%)</t>
        </is>
      </c>
      <c r="G44" s="894" t="n"/>
      <c r="H44" s="894" t="n"/>
      <c r="I44" s="894" t="n"/>
      <c r="J44" s="894" t="n"/>
      <c r="K44" s="894" t="n"/>
      <c r="L44" s="894" t="n"/>
      <c r="M44" s="894" t="n"/>
      <c r="N44" s="894" t="n"/>
      <c r="O44" s="894" t="n"/>
      <c r="P44" s="894" t="n"/>
      <c r="Q44" s="894" t="n"/>
      <c r="R44" s="894" t="n"/>
      <c r="S44" s="894" t="n"/>
      <c r="T44" s="894" t="n"/>
      <c r="U44" s="894" t="n"/>
    </row>
    <row r="45" ht="15.75" customHeight="1" s="1128">
      <c r="A45" s="825" t="inlineStr">
        <is>
          <t>Washington Portrait</t>
        </is>
      </c>
      <c r="B45" s="1037" t="inlineStr">
        <is>
          <t>SSS</t>
        </is>
      </c>
      <c r="C45" s="1037" t="inlineStr">
        <is>
          <t>FTH</t>
        </is>
      </c>
      <c r="D45" s="1036" t="n">
        <v>12</v>
      </c>
      <c r="E45" s="1036" t="n"/>
      <c r="F45" s="390" t="inlineStr">
        <is>
          <t>Unknown</t>
        </is>
      </c>
      <c r="G45" s="894" t="n"/>
      <c r="H45" s="894" t="n"/>
      <c r="I45" s="894" t="n"/>
      <c r="J45" s="894" t="n"/>
      <c r="K45" s="894" t="n"/>
      <c r="L45" s="894" t="n"/>
      <c r="M45" s="894" t="n"/>
      <c r="N45" s="894" t="n"/>
      <c r="O45" s="894" t="n"/>
      <c r="P45" s="894" t="n"/>
      <c r="Q45" s="894" t="n"/>
      <c r="R45" s="894" t="n"/>
      <c r="S45" s="894" t="n"/>
      <c r="T45" s="894" t="n"/>
      <c r="U45" s="894" t="n"/>
    </row>
    <row r="46" ht="15.75" customHeight="1" s="1128">
      <c r="A46" s="825" t="inlineStr">
        <is>
          <t>Volsunga Saga</t>
        </is>
      </c>
      <c r="B46" s="1037" t="inlineStr">
        <is>
          <t>SSS</t>
        </is>
      </c>
      <c r="C46" s="1037" t="inlineStr">
        <is>
          <t>CIV</t>
        </is>
      </c>
      <c r="D46" s="1036" t="n">
        <v>20</v>
      </c>
      <c r="E46" s="1036" t="n">
        <v>20</v>
      </c>
      <c r="F46" s="418" t="inlineStr">
        <is>
          <t>Daily Golden Pack #6</t>
        </is>
      </c>
      <c r="G46" s="894" t="n"/>
      <c r="H46" s="894" t="n"/>
      <c r="I46" s="894" t="n"/>
      <c r="J46" s="894" t="n"/>
      <c r="K46" s="894" t="n"/>
      <c r="L46" s="894" t="n"/>
      <c r="M46" s="894" t="n"/>
      <c r="N46" s="894" t="n"/>
      <c r="O46" s="894" t="n"/>
      <c r="P46" s="894" t="n"/>
      <c r="Q46" s="894" t="n"/>
      <c r="R46" s="894" t="n"/>
      <c r="S46" s="894" t="n"/>
      <c r="T46" s="894" t="n"/>
      <c r="U46" s="894" t="n"/>
    </row>
    <row r="47" ht="15.75" customHeight="1" s="1128">
      <c r="A47" s="825" t="inlineStr">
        <is>
          <t>War and Peace</t>
        </is>
      </c>
      <c r="B47" s="1037" t="inlineStr">
        <is>
          <t>SSS</t>
        </is>
      </c>
      <c r="C47" s="1037" t="inlineStr">
        <is>
          <t>CIV</t>
        </is>
      </c>
      <c r="D47" s="1036" t="n">
        <v>15</v>
      </c>
      <c r="E47" s="1036" t="n">
        <v>10</v>
      </c>
      <c r="F47" s="418" t="inlineStr">
        <is>
          <t>Daily Silver Pack #5</t>
        </is>
      </c>
      <c r="G47" s="894" t="n"/>
      <c r="H47" s="894" t="n"/>
      <c r="I47" s="894" t="n"/>
      <c r="J47" s="894" t="n"/>
      <c r="K47" s="894" t="n"/>
      <c r="L47" s="894" t="n"/>
      <c r="M47" s="894" t="n"/>
      <c r="N47" s="894" t="n"/>
      <c r="O47" s="894" t="n"/>
      <c r="P47" s="894" t="n"/>
      <c r="Q47" s="894" t="n"/>
      <c r="R47" s="894" t="n"/>
      <c r="S47" s="894" t="n"/>
      <c r="T47" s="894" t="n"/>
      <c r="U47" s="894" t="n"/>
    </row>
    <row r="48" ht="15.75" customHeight="1" s="1128">
      <c r="A48" s="434" t="inlineStr">
        <is>
          <t>Golden Monkey</t>
        </is>
      </c>
      <c r="B48" s="1037" t="inlineStr">
        <is>
          <t>SSS</t>
        </is>
      </c>
      <c r="C48" s="1037" t="inlineStr">
        <is>
          <t>CIV</t>
        </is>
      </c>
      <c r="D48" s="1036" t="n">
        <v>15</v>
      </c>
      <c r="E48" s="1036" t="n">
        <v>10</v>
      </c>
      <c r="F48" s="390" t="inlineStr">
        <is>
          <t>3rd Anniversary Event, Badge Shop (1000 medals) starting 4th year of launch</t>
        </is>
      </c>
      <c r="G48" s="894" t="n"/>
      <c r="H48" s="894" t="n"/>
      <c r="I48" s="894" t="n"/>
      <c r="J48" s="894" t="n"/>
      <c r="K48" s="894" t="n"/>
      <c r="L48" s="894" t="n"/>
      <c r="M48" s="894" t="n"/>
      <c r="N48" s="894" t="n"/>
      <c r="O48" s="894" t="n"/>
      <c r="P48" s="894" t="n"/>
      <c r="Q48" s="894" t="n"/>
      <c r="R48" s="894" t="n"/>
      <c r="S48" s="894" t="n"/>
      <c r="T48" s="894" t="n"/>
      <c r="U48" s="894" t="n"/>
    </row>
    <row r="49" ht="15.75" customHeight="1" s="1128">
      <c r="A49" s="434" t="inlineStr">
        <is>
          <t>Gutenberg's Press</t>
        </is>
      </c>
      <c r="B49" s="1037" t="inlineStr">
        <is>
          <t>SSS</t>
        </is>
      </c>
      <c r="C49" s="1037" t="inlineStr">
        <is>
          <t>CIV</t>
        </is>
      </c>
      <c r="D49" s="371" t="n">
        <v>12</v>
      </c>
      <c r="E49" s="371" t="n">
        <v>5</v>
      </c>
      <c r="F49" s="418" t="inlineStr">
        <is>
          <t>Daily Pack #9</t>
        </is>
      </c>
      <c r="G49" s="894" t="n"/>
      <c r="H49" s="894" t="n"/>
      <c r="I49" s="894" t="n"/>
      <c r="J49" s="894" t="n"/>
      <c r="K49" s="894" t="n"/>
      <c r="L49" s="894" t="n"/>
      <c r="M49" s="894" t="n"/>
      <c r="N49" s="894" t="n"/>
      <c r="O49" s="894" t="n"/>
      <c r="P49" s="894" t="n"/>
      <c r="Q49" s="894" t="n"/>
      <c r="R49" s="894" t="n"/>
      <c r="S49" s="894" t="n"/>
      <c r="T49" s="894" t="n"/>
      <c r="U49" s="894" t="n"/>
    </row>
    <row r="50" ht="15.75" customHeight="1" s="1128">
      <c r="A50" s="434" t="inlineStr">
        <is>
          <t>Beowulf</t>
        </is>
      </c>
      <c r="B50" s="1037" t="inlineStr">
        <is>
          <t>SSS</t>
        </is>
      </c>
      <c r="C50" s="1037" t="inlineStr">
        <is>
          <t>CIV</t>
        </is>
      </c>
      <c r="D50" s="371" t="n">
        <v>12</v>
      </c>
      <c r="E50" s="371" t="n">
        <v>5</v>
      </c>
      <c r="F50" s="418" t="inlineStr">
        <is>
          <t>Lottery Machine No.2 (0.11%)</t>
        </is>
      </c>
      <c r="G50" s="894" t="n"/>
      <c r="H50" s="894" t="n"/>
      <c r="I50" s="894" t="n"/>
      <c r="J50" s="894" t="n"/>
      <c r="K50" s="894" t="n"/>
      <c r="L50" s="894" t="n"/>
      <c r="M50" s="894" t="n"/>
      <c r="N50" s="894" t="n"/>
      <c r="O50" s="894" t="n"/>
      <c r="P50" s="894" t="n"/>
      <c r="Q50" s="894" t="n"/>
      <c r="R50" s="894" t="n"/>
      <c r="S50" s="894" t="n"/>
      <c r="T50" s="894" t="n"/>
      <c r="U50" s="894" t="n"/>
    </row>
    <row r="51" ht="15.75" customHeight="1" s="1128">
      <c r="A51" s="434" t="inlineStr">
        <is>
          <t>Cyrus Cylinder</t>
        </is>
      </c>
      <c r="B51" s="1037" t="inlineStr">
        <is>
          <t>SSS</t>
        </is>
      </c>
      <c r="C51" s="1037" t="inlineStr">
        <is>
          <t>CIV</t>
        </is>
      </c>
      <c r="D51" s="371" t="n">
        <v>12</v>
      </c>
      <c r="E51" s="371" t="n">
        <v>5</v>
      </c>
      <c r="F51" s="418" t="inlineStr">
        <is>
          <t>Lottery Machine No.2 (0.11%)</t>
        </is>
      </c>
      <c r="G51" s="894" t="n"/>
      <c r="H51" s="894" t="n"/>
      <c r="I51" s="894" t="n"/>
      <c r="J51" s="894" t="n"/>
      <c r="K51" s="894" t="n"/>
      <c r="L51" s="894" t="n"/>
      <c r="M51" s="894" t="n"/>
      <c r="N51" s="894" t="n"/>
      <c r="O51" s="894" t="n"/>
      <c r="P51" s="894" t="n"/>
      <c r="Q51" s="894" t="n"/>
      <c r="R51" s="894" t="n"/>
      <c r="S51" s="894" t="n"/>
      <c r="T51" s="894" t="n"/>
      <c r="U51" s="894" t="n"/>
    </row>
    <row r="52" ht="15.75" customHeight="1" s="1128">
      <c r="A52" s="825" t="inlineStr">
        <is>
          <t>Fenian Legends</t>
        </is>
      </c>
      <c r="B52" s="1037" t="inlineStr">
        <is>
          <t>SSS</t>
        </is>
      </c>
      <c r="C52" s="1037" t="inlineStr">
        <is>
          <t>CIV</t>
        </is>
      </c>
      <c r="D52" s="371" t="n">
        <v>12</v>
      </c>
      <c r="E52" s="371" t="n">
        <v>5</v>
      </c>
      <c r="F52" s="418" t="inlineStr">
        <is>
          <t>Daily Pack #34</t>
        </is>
      </c>
      <c r="G52" s="894" t="n"/>
      <c r="H52" s="894" t="n"/>
      <c r="I52" s="894" t="n"/>
      <c r="J52" s="894" t="n"/>
      <c r="K52" s="894" t="n"/>
      <c r="L52" s="894" t="n"/>
      <c r="M52" s="894" t="n"/>
      <c r="N52" s="894" t="n"/>
      <c r="O52" s="894" t="n"/>
      <c r="P52" s="894" t="n"/>
      <c r="Q52" s="894" t="n"/>
      <c r="R52" s="894" t="n"/>
      <c r="S52" s="894" t="n"/>
      <c r="T52" s="894" t="n"/>
      <c r="U52" s="894" t="n"/>
    </row>
    <row r="53" ht="15.75" customHeight="1" s="1128">
      <c r="A53" s="825" t="inlineStr">
        <is>
          <t>Anna Karenina</t>
        </is>
      </c>
      <c r="B53" s="1037" t="inlineStr">
        <is>
          <t>SSS</t>
        </is>
      </c>
      <c r="C53" s="1037" t="inlineStr">
        <is>
          <t>CIV</t>
        </is>
      </c>
      <c r="D53" s="1036" t="n">
        <v>12</v>
      </c>
      <c r="E53" s="1036" t="n">
        <v>5</v>
      </c>
      <c r="F53" s="390" t="inlineStr">
        <is>
          <t>Unknown</t>
        </is>
      </c>
      <c r="G53" s="894" t="n"/>
      <c r="H53" s="894" t="n"/>
      <c r="I53" s="894" t="n"/>
      <c r="J53" s="894" t="n"/>
      <c r="K53" s="894" t="n"/>
      <c r="L53" s="894" t="n"/>
      <c r="M53" s="894" t="n"/>
      <c r="N53" s="894" t="n"/>
      <c r="O53" s="894" t="n"/>
      <c r="P53" s="894" t="n"/>
      <c r="Q53" s="894" t="n"/>
      <c r="R53" s="894" t="n"/>
      <c r="S53" s="894" t="n"/>
      <c r="T53" s="894" t="n"/>
      <c r="U53" s="894" t="n"/>
    </row>
    <row r="54" ht="15.75" customHeight="1" s="1128">
      <c r="A54" s="825" t="inlineStr">
        <is>
          <t>The Poetics Edda</t>
        </is>
      </c>
      <c r="B54" s="1037" t="inlineStr">
        <is>
          <t>SSS</t>
        </is>
      </c>
      <c r="C54" s="1037" t="inlineStr">
        <is>
          <t>CIV</t>
        </is>
      </c>
      <c r="D54" s="1036" t="n">
        <v>12</v>
      </c>
      <c r="E54" s="1036" t="n">
        <v>5</v>
      </c>
      <c r="F54" s="390" t="inlineStr">
        <is>
          <t>Lottery Machine No.3 (?%)</t>
        </is>
      </c>
      <c r="G54" s="894" t="n"/>
      <c r="H54" s="894" t="n"/>
      <c r="I54" s="894" t="n"/>
      <c r="J54" s="894" t="n"/>
      <c r="K54" s="894" t="n"/>
      <c r="L54" s="894" t="n"/>
      <c r="M54" s="894" t="n"/>
      <c r="N54" s="894" t="n"/>
      <c r="O54" s="894" t="n"/>
      <c r="P54" s="894" t="n"/>
      <c r="Q54" s="894" t="n"/>
      <c r="R54" s="894" t="n"/>
      <c r="S54" s="894" t="n"/>
      <c r="T54" s="894" t="n"/>
      <c r="U54" s="894" t="n"/>
    </row>
    <row r="55" ht="15.75" customHeight="1" s="1128">
      <c r="A55" s="825" t="inlineStr">
        <is>
          <t>Copper Galloping Horse</t>
        </is>
      </c>
      <c r="B55" s="1037" t="inlineStr">
        <is>
          <t>SSS</t>
        </is>
      </c>
      <c r="C55" s="1037" t="inlineStr">
        <is>
          <t>CIV</t>
        </is>
      </c>
      <c r="D55" s="1036" t="n">
        <v>12</v>
      </c>
      <c r="E55" s="1036" t="n"/>
      <c r="F55" s="390" t="inlineStr">
        <is>
          <t>Lottery Machine No.3 (?%)</t>
        </is>
      </c>
      <c r="G55" s="894" t="n"/>
      <c r="H55" s="894" t="n"/>
      <c r="I55" s="894" t="n"/>
      <c r="J55" s="894" t="n"/>
      <c r="K55" s="894" t="n"/>
      <c r="L55" s="894" t="n"/>
      <c r="M55" s="894" t="n"/>
      <c r="N55" s="894" t="n"/>
      <c r="O55" s="894" t="n"/>
      <c r="P55" s="894" t="n"/>
      <c r="Q55" s="894" t="n"/>
      <c r="R55" s="894" t="n"/>
      <c r="S55" s="894" t="n"/>
      <c r="T55" s="894" t="n"/>
      <c r="U55" s="894" t="n"/>
    </row>
    <row r="56" ht="15.75" customHeight="1" s="1128">
      <c r="A56" s="825" t="inlineStr">
        <is>
          <t>Brave New World</t>
        </is>
      </c>
      <c r="B56" s="1037" t="inlineStr">
        <is>
          <t>SSS</t>
        </is>
      </c>
      <c r="C56" s="1037" t="inlineStr">
        <is>
          <t>CIV</t>
        </is>
      </c>
      <c r="D56" s="1036" t="n">
        <v>12</v>
      </c>
      <c r="E56" s="1036" t="n"/>
      <c r="F56" s="418" t="inlineStr">
        <is>
          <t>Daily Pack #16</t>
        </is>
      </c>
      <c r="G56" s="894" t="n"/>
      <c r="H56" s="894" t="n"/>
      <c r="I56" s="894" t="n"/>
      <c r="J56" s="894" t="n"/>
      <c r="K56" s="894" t="n"/>
      <c r="L56" s="894" t="n"/>
      <c r="M56" s="894" t="n"/>
      <c r="N56" s="894" t="n"/>
      <c r="O56" s="894" t="n"/>
      <c r="P56" s="894" t="n"/>
      <c r="Q56" s="894" t="n"/>
      <c r="R56" s="894" t="n"/>
      <c r="S56" s="894" t="n"/>
      <c r="T56" s="894" t="n"/>
      <c r="U56" s="894" t="n"/>
    </row>
    <row r="57" ht="15.75" customHeight="1" s="1128">
      <c r="A57" s="825" t="inlineStr">
        <is>
          <t>The Ultimate Manual</t>
        </is>
      </c>
      <c r="B57" s="1037" t="inlineStr">
        <is>
          <t>SSS</t>
        </is>
      </c>
      <c r="C57" s="1037" t="inlineStr">
        <is>
          <t>CIV</t>
        </is>
      </c>
      <c r="D57" s="1036" t="n"/>
      <c r="E57" s="1036" t="n">
        <v>5</v>
      </c>
      <c r="F57" s="390" t="inlineStr">
        <is>
          <t>Lottery Machine No.3 Unlock Reward</t>
        </is>
      </c>
      <c r="G57" s="894" t="n"/>
      <c r="H57" s="894" t="n"/>
      <c r="I57" s="894" t="n"/>
      <c r="J57" s="894" t="n"/>
      <c r="K57" s="894" t="n"/>
      <c r="L57" s="894" t="n"/>
      <c r="M57" s="894" t="n"/>
      <c r="N57" s="894" t="n"/>
      <c r="O57" s="894" t="n"/>
      <c r="P57" s="894" t="n"/>
      <c r="Q57" s="894" t="n"/>
      <c r="R57" s="894" t="n"/>
      <c r="S57" s="894" t="n"/>
      <c r="T57" s="894" t="n"/>
      <c r="U57" s="894" t="n"/>
    </row>
    <row r="58" ht="15.75" customHeight="1" s="1128">
      <c r="A58" s="825" t="inlineStr">
        <is>
          <t>Higgs Boson</t>
        </is>
      </c>
      <c r="B58" s="1037" t="inlineStr">
        <is>
          <t>SSS</t>
        </is>
      </c>
      <c r="C58" s="1037" t="inlineStr">
        <is>
          <t>TECH</t>
        </is>
      </c>
      <c r="D58" s="1036" t="n">
        <v>20</v>
      </c>
      <c r="E58" s="1036" t="n">
        <v>20</v>
      </c>
      <c r="F58" s="418" t="inlineStr">
        <is>
          <t>Daily Gold Pack #3</t>
        </is>
      </c>
      <c r="G58" s="894" t="n"/>
      <c r="H58" s="894" t="n"/>
      <c r="I58" s="894" t="n"/>
      <c r="J58" s="894" t="n"/>
      <c r="K58" s="894" t="n"/>
      <c r="L58" s="894" t="n"/>
      <c r="M58" s="894" t="n"/>
      <c r="N58" s="894" t="n"/>
      <c r="O58" s="894" t="n"/>
      <c r="P58" s="894" t="n"/>
      <c r="Q58" s="894" t="n"/>
      <c r="R58" s="894" t="n"/>
      <c r="S58" s="894" t="n"/>
      <c r="T58" s="894" t="n"/>
      <c r="U58" s="894" t="n"/>
    </row>
    <row r="59" ht="15.75" customHeight="1" s="1128">
      <c r="A59" s="434" t="inlineStr">
        <is>
          <t>Gold-plated Bird</t>
        </is>
      </c>
      <c r="B59" s="1037" t="inlineStr">
        <is>
          <t>SSS</t>
        </is>
      </c>
      <c r="C59" s="1037" t="inlineStr">
        <is>
          <t>TECH</t>
        </is>
      </c>
      <c r="D59" s="1036" t="n">
        <v>15</v>
      </c>
      <c r="E59" s="1036" t="n">
        <v>10</v>
      </c>
      <c r="F59" s="390" t="inlineStr">
        <is>
          <t>2nd Anniversary Event, Badge Shop (1000 medals) starting 3rd year of launch</t>
        </is>
      </c>
      <c r="G59" s="894" t="n"/>
      <c r="H59" s="894" t="n"/>
      <c r="I59" s="894" t="n"/>
      <c r="J59" s="894" t="n"/>
      <c r="K59" s="894" t="n"/>
      <c r="L59" s="894" t="n"/>
      <c r="M59" s="894" t="n"/>
      <c r="N59" s="894" t="n"/>
      <c r="O59" s="894" t="n"/>
      <c r="P59" s="894" t="n"/>
      <c r="Q59" s="894" t="n"/>
      <c r="R59" s="894" t="n"/>
      <c r="S59" s="894" t="n"/>
      <c r="T59" s="894" t="n"/>
      <c r="U59" s="894" t="n"/>
    </row>
    <row r="60" ht="15.75" customHeight="1" s="1128">
      <c r="A60" s="825" t="inlineStr">
        <is>
          <t>Black Body</t>
        </is>
      </c>
      <c r="B60" s="1037" t="inlineStr">
        <is>
          <t>SSS</t>
        </is>
      </c>
      <c r="C60" s="1037" t="inlineStr">
        <is>
          <t>TECH</t>
        </is>
      </c>
      <c r="D60" s="1036" t="n">
        <v>12</v>
      </c>
      <c r="E60" s="1036" t="n">
        <v>5</v>
      </c>
      <c r="F60" s="422" t="inlineStr">
        <is>
          <t>Lottery Machine No.2(0.11%)</t>
        </is>
      </c>
      <c r="G60" s="894" t="n"/>
      <c r="H60" s="894" t="n"/>
      <c r="I60" s="894" t="n"/>
      <c r="J60" s="894" t="n"/>
      <c r="K60" s="894" t="n"/>
      <c r="L60" s="894" t="n"/>
      <c r="M60" s="894" t="n"/>
      <c r="N60" s="894" t="n"/>
      <c r="O60" s="894" t="n"/>
      <c r="P60" s="894" t="n"/>
      <c r="Q60" s="894" t="n"/>
      <c r="R60" s="894" t="n"/>
      <c r="S60" s="894" t="n"/>
      <c r="T60" s="894" t="n"/>
      <c r="U60" s="894" t="n"/>
    </row>
    <row r="61" ht="15.75" customHeight="1" s="1128">
      <c r="A61" s="825" t="inlineStr">
        <is>
          <t>Jiuzhang</t>
        </is>
      </c>
      <c r="B61" s="1037" t="inlineStr">
        <is>
          <t>SSS</t>
        </is>
      </c>
      <c r="C61" s="1037" t="inlineStr">
        <is>
          <t>TECH</t>
        </is>
      </c>
      <c r="D61" s="1036" t="n">
        <v>12</v>
      </c>
      <c r="E61" s="1036" t="n">
        <v>5</v>
      </c>
      <c r="F61" s="422" t="inlineStr">
        <is>
          <t>Lottery Machine No.2(0.11%)</t>
        </is>
      </c>
      <c r="G61" s="894" t="n"/>
      <c r="H61" s="894" t="n"/>
      <c r="I61" s="894" t="n"/>
      <c r="J61" s="894" t="n"/>
      <c r="K61" s="894" t="n"/>
      <c r="L61" s="894" t="n"/>
      <c r="M61" s="894" t="n"/>
      <c r="N61" s="894" t="n"/>
      <c r="O61" s="894" t="n"/>
      <c r="P61" s="894" t="n"/>
      <c r="Q61" s="894" t="n"/>
      <c r="R61" s="894" t="n"/>
      <c r="S61" s="894" t="n"/>
      <c r="T61" s="894" t="n"/>
      <c r="U61" s="894" t="n"/>
    </row>
    <row r="62" ht="15.75" customHeight="1" s="1128">
      <c r="A62" s="825" t="inlineStr">
        <is>
          <t>Energy Missile</t>
        </is>
      </c>
      <c r="B62" s="1037" t="inlineStr">
        <is>
          <t>SSS</t>
        </is>
      </c>
      <c r="C62" s="1037" t="inlineStr">
        <is>
          <t>TECH</t>
        </is>
      </c>
      <c r="D62" s="1036" t="n">
        <v>12</v>
      </c>
      <c r="E62" s="1036" t="n">
        <v>5</v>
      </c>
      <c r="F62" s="418" t="inlineStr">
        <is>
          <t>Lucky Clover Vendor Reward (batch 1-7)</t>
        </is>
      </c>
      <c r="G62" s="894" t="n"/>
      <c r="H62" s="894" t="n"/>
      <c r="I62" s="894" t="n"/>
      <c r="J62" s="894" t="n"/>
      <c r="K62" s="894" t="n"/>
      <c r="L62" s="894" t="n"/>
      <c r="M62" s="894" t="n"/>
      <c r="N62" s="894" t="n"/>
      <c r="O62" s="894" t="n"/>
      <c r="P62" s="894" t="n"/>
      <c r="Q62" s="894" t="n"/>
      <c r="R62" s="894" t="n"/>
      <c r="S62" s="894" t="n"/>
      <c r="T62" s="894" t="n"/>
      <c r="U62" s="894" t="n"/>
    </row>
    <row r="63" ht="15.75" customHeight="1" s="1128">
      <c r="A63" s="825" t="inlineStr">
        <is>
          <t>Species Plantarum</t>
        </is>
      </c>
      <c r="B63" s="1037" t="inlineStr">
        <is>
          <t>SSS</t>
        </is>
      </c>
      <c r="C63" s="1037" t="inlineStr">
        <is>
          <t>TECH</t>
        </is>
      </c>
      <c r="D63" s="1036" t="n">
        <v>12</v>
      </c>
      <c r="E63" s="1036" t="n">
        <v>5</v>
      </c>
      <c r="F63" s="422" t="inlineStr">
        <is>
          <t>Star Chart Shop Maneater Pack (2000 star tickets)</t>
        </is>
      </c>
      <c r="G63" s="894" t="n"/>
      <c r="H63" s="894" t="n"/>
      <c r="I63" s="894" t="n"/>
      <c r="J63" s="894" t="n"/>
      <c r="K63" s="894" t="n"/>
      <c r="L63" s="894" t="n"/>
      <c r="M63" s="894" t="n"/>
      <c r="N63" s="894" t="n"/>
      <c r="O63" s="894" t="n"/>
      <c r="P63" s="894" t="n"/>
      <c r="Q63" s="894" t="n"/>
      <c r="R63" s="894" t="n"/>
      <c r="S63" s="894" t="n"/>
      <c r="T63" s="894" t="n"/>
      <c r="U63" s="894" t="n"/>
    </row>
    <row r="64" ht="15.75" customHeight="1" s="1128">
      <c r="A64" s="825" t="inlineStr">
        <is>
          <t>Mathematical Principles of Natural Philosophy</t>
        </is>
      </c>
      <c r="B64" s="1037" t="inlineStr">
        <is>
          <t>SSS</t>
        </is>
      </c>
      <c r="C64" s="1037" t="inlineStr">
        <is>
          <t>TECH</t>
        </is>
      </c>
      <c r="D64" s="1036" t="n">
        <v>12</v>
      </c>
      <c r="E64" s="1036" t="n">
        <v>5</v>
      </c>
      <c r="F64" s="418" t="inlineStr">
        <is>
          <t>Daily Pack #38</t>
        </is>
      </c>
      <c r="G64" s="894" t="n"/>
      <c r="H64" s="894" t="n"/>
      <c r="I64" s="894" t="n"/>
      <c r="J64" s="894" t="n"/>
      <c r="K64" s="894" t="n"/>
      <c r="L64" s="894" t="n"/>
      <c r="M64" s="894" t="n"/>
      <c r="N64" s="894" t="n"/>
      <c r="O64" s="894" t="n"/>
      <c r="P64" s="894" t="n"/>
      <c r="Q64" s="894" t="n"/>
      <c r="R64" s="894" t="n"/>
      <c r="S64" s="894" t="n"/>
      <c r="T64" s="894" t="n"/>
      <c r="U64" s="894" t="n"/>
    </row>
    <row r="65" ht="15.75" customHeight="1" s="1128">
      <c r="A65" s="825" t="inlineStr">
        <is>
          <t>Philosophie Zoologique</t>
        </is>
      </c>
      <c r="B65" s="1037" t="inlineStr">
        <is>
          <t>SSS</t>
        </is>
      </c>
      <c r="C65" s="1037" t="inlineStr">
        <is>
          <t>TECH</t>
        </is>
      </c>
      <c r="D65" s="1036" t="n">
        <v>12</v>
      </c>
      <c r="E65" s="1036" t="n">
        <v>5</v>
      </c>
      <c r="F65" s="418" t="inlineStr">
        <is>
          <t>Badge Shop</t>
        </is>
      </c>
      <c r="G65" s="894" t="n"/>
      <c r="H65" s="894" t="n"/>
      <c r="I65" s="894" t="n"/>
      <c r="J65" s="894" t="n"/>
      <c r="K65" s="894" t="n"/>
      <c r="L65" s="894" t="n"/>
      <c r="M65" s="894" t="n"/>
      <c r="N65" s="894" t="n"/>
      <c r="O65" s="894" t="n"/>
      <c r="P65" s="894" t="n"/>
      <c r="Q65" s="894" t="n"/>
      <c r="R65" s="894" t="n"/>
      <c r="S65" s="894" t="n"/>
      <c r="T65" s="894" t="n"/>
      <c r="U65" s="894" t="n"/>
    </row>
    <row r="66" ht="15.75" customHeight="1" s="1128">
      <c r="A66" s="825" t="inlineStr">
        <is>
          <t>Avogadro's Law</t>
        </is>
      </c>
      <c r="B66" s="1037" t="inlineStr">
        <is>
          <t>SSS</t>
        </is>
      </c>
      <c r="C66" s="1037" t="inlineStr">
        <is>
          <t>TECH</t>
        </is>
      </c>
      <c r="D66" s="1036" t="n">
        <v>12</v>
      </c>
      <c r="E66" s="1036" t="n">
        <v>5</v>
      </c>
      <c r="F66" s="418" t="inlineStr">
        <is>
          <t>Travelers Relic #5</t>
        </is>
      </c>
      <c r="G66" s="894" t="n"/>
      <c r="H66" s="894" t="n"/>
      <c r="I66" s="894" t="n"/>
      <c r="J66" s="894" t="n"/>
      <c r="K66" s="894" t="n"/>
      <c r="L66" s="894" t="n"/>
      <c r="M66" s="894" t="n"/>
      <c r="N66" s="894" t="n"/>
      <c r="O66" s="894" t="n"/>
      <c r="P66" s="894" t="n"/>
      <c r="Q66" s="894" t="n"/>
      <c r="R66" s="894" t="n"/>
      <c r="S66" s="894" t="n"/>
      <c r="T66" s="894" t="n"/>
      <c r="U66" s="894" t="n"/>
    </row>
    <row r="67" ht="15.75" customHeight="1" s="1128">
      <c r="A67" s="434" t="inlineStr">
        <is>
          <t>Webb Space Telescope</t>
        </is>
      </c>
      <c r="B67" s="1037" t="inlineStr">
        <is>
          <t>SSS</t>
        </is>
      </c>
      <c r="C67" s="1037" t="inlineStr">
        <is>
          <t>TECH</t>
        </is>
      </c>
      <c r="D67" s="1036" t="n">
        <v>12</v>
      </c>
      <c r="E67" s="1036" t="n">
        <v>5</v>
      </c>
      <c r="F67" s="390" t="inlineStr">
        <is>
          <t>Lottery Machine No.3 (?%)</t>
        </is>
      </c>
      <c r="G67" s="894" t="n"/>
      <c r="H67" s="894" t="n"/>
      <c r="I67" s="894" t="n"/>
      <c r="J67" s="894" t="n"/>
      <c r="K67" s="894" t="n"/>
      <c r="L67" s="894" t="n"/>
      <c r="M67" s="894" t="n"/>
      <c r="N67" s="894" t="n"/>
      <c r="O67" s="894" t="n"/>
      <c r="P67" s="894" t="n"/>
      <c r="Q67" s="894" t="n"/>
      <c r="R67" s="894" t="n"/>
      <c r="S67" s="894" t="n"/>
      <c r="T67" s="894" t="n"/>
      <c r="U67" s="894" t="n"/>
    </row>
    <row r="68" ht="15.75" customHeight="1" s="1128">
      <c r="A68" s="434" t="inlineStr">
        <is>
          <t>Antimatter Thruster</t>
        </is>
      </c>
      <c r="B68" s="1037" t="inlineStr">
        <is>
          <t>SSS</t>
        </is>
      </c>
      <c r="C68" s="1037" t="inlineStr">
        <is>
          <t>TECH</t>
        </is>
      </c>
      <c r="D68" s="1036" t="n">
        <v>12</v>
      </c>
      <c r="E68" s="1036" t="n">
        <v>5</v>
      </c>
      <c r="F68" s="390" t="inlineStr">
        <is>
          <t>Lottery Machine No.3 (?%)</t>
        </is>
      </c>
      <c r="G68" s="894" t="n"/>
      <c r="H68" s="894" t="n"/>
      <c r="I68" s="894" t="n"/>
      <c r="J68" s="894" t="n"/>
      <c r="K68" s="894" t="n"/>
      <c r="L68" s="894" t="n"/>
      <c r="M68" s="894" t="n"/>
      <c r="N68" s="894" t="n"/>
      <c r="O68" s="894" t="n"/>
      <c r="P68" s="894" t="n"/>
      <c r="Q68" s="894" t="n"/>
      <c r="R68" s="894" t="n"/>
      <c r="S68" s="894" t="n"/>
      <c r="T68" s="894" t="n"/>
      <c r="U68" s="894" t="n"/>
    </row>
    <row r="69" ht="15.75" customHeight="1" s="1128">
      <c r="A69" s="434" t="inlineStr">
        <is>
          <t>General Guide to Governance</t>
        </is>
      </c>
      <c r="B69" s="1037" t="inlineStr">
        <is>
          <t>SSS</t>
        </is>
      </c>
      <c r="C69" s="1037" t="n"/>
      <c r="D69" s="1036" t="n">
        <v>12</v>
      </c>
      <c r="E69" s="1036" t="n"/>
      <c r="F69" s="418" t="inlineStr">
        <is>
          <t>Wish Box Album #5</t>
        </is>
      </c>
      <c r="G69" s="894" t="n"/>
      <c r="H69" s="894" t="n"/>
      <c r="I69" s="894" t="n"/>
      <c r="J69" s="894" t="n"/>
      <c r="K69" s="894" t="n"/>
      <c r="L69" s="894" t="n"/>
      <c r="M69" s="894" t="n"/>
      <c r="N69" s="894" t="n"/>
      <c r="O69" s="894" t="n"/>
      <c r="P69" s="894" t="n"/>
      <c r="Q69" s="894" t="n"/>
      <c r="R69" s="894" t="n"/>
      <c r="S69" s="894" t="n"/>
      <c r="T69" s="894" t="n"/>
      <c r="U69" s="894" t="n"/>
    </row>
    <row r="70" ht="15.75" customHeight="1" s="1128">
      <c r="A70" s="434" t="inlineStr">
        <is>
          <t>Alexander's Anabasis</t>
        </is>
      </c>
      <c r="B70" s="1037" t="inlineStr">
        <is>
          <t>Green</t>
        </is>
      </c>
      <c r="C70" s="1037" t="inlineStr">
        <is>
          <t>CIV</t>
        </is>
      </c>
      <c r="D70" s="1036" t="n">
        <v>15</v>
      </c>
      <c r="E70" s="1036" t="n"/>
      <c r="F70" s="418" t="inlineStr">
        <is>
          <t>Effect activates after conquering Bharata; Obtained from Hellas Exploration</t>
        </is>
      </c>
      <c r="G70" s="894" t="n"/>
      <c r="H70" s="894" t="n"/>
      <c r="I70" s="894" t="n"/>
      <c r="J70" s="894" t="n"/>
      <c r="K70" s="894" t="n"/>
      <c r="L70" s="894" t="n"/>
      <c r="M70" s="894" t="n"/>
      <c r="N70" s="894" t="n"/>
      <c r="O70" s="894" t="n"/>
      <c r="P70" s="894" t="n"/>
      <c r="Q70" s="894" t="n"/>
      <c r="R70" s="894" t="n"/>
      <c r="S70" s="894" t="n"/>
      <c r="T70" s="894" t="n"/>
      <c r="U70" s="894" t="n"/>
    </row>
    <row r="71" ht="15.75" customHeight="1" s="1128">
      <c r="A71" s="434" t="inlineStr">
        <is>
          <t>Certificate of Courage</t>
        </is>
      </c>
      <c r="B71" s="1037" t="inlineStr">
        <is>
          <t>Green</t>
        </is>
      </c>
      <c r="C71" s="1037" t="inlineStr">
        <is>
          <t>FAME</t>
        </is>
      </c>
      <c r="D71" s="1036" t="n">
        <v>3</v>
      </c>
      <c r="E71" s="1036" t="n"/>
      <c r="F71" s="418" t="inlineStr">
        <is>
          <t>Cross of Will Mirage Reward</t>
        </is>
      </c>
      <c r="G71" s="894" t="n"/>
      <c r="H71" s="894" t="n"/>
      <c r="I71" s="894" t="n"/>
      <c r="J71" s="894" t="n"/>
      <c r="K71" s="894" t="n"/>
      <c r="L71" s="894" t="n"/>
      <c r="M71" s="894" t="n"/>
      <c r="N71" s="894" t="n"/>
      <c r="O71" s="894" t="n"/>
      <c r="P71" s="894" t="n"/>
      <c r="Q71" s="894" t="n"/>
      <c r="R71" s="894" t="n"/>
      <c r="S71" s="894" t="n"/>
      <c r="T71" s="894" t="n"/>
      <c r="U71" s="894" t="n"/>
    </row>
    <row r="72" ht="15.75" customHeight="1" s="1128">
      <c r="A72" s="434" t="inlineStr">
        <is>
          <t>Dark Lord's Dairy</t>
        </is>
      </c>
      <c r="B72" s="1037" t="inlineStr">
        <is>
          <t>Green</t>
        </is>
      </c>
      <c r="C72" s="1037" t="inlineStr">
        <is>
          <t>CIV</t>
        </is>
      </c>
      <c r="D72" s="1036" t="n">
        <v>3</v>
      </c>
      <c r="E72" s="1036" t="n"/>
      <c r="F72" s="418" t="inlineStr">
        <is>
          <t>Hellenic Domain</t>
        </is>
      </c>
      <c r="G72" s="894" t="n"/>
      <c r="H72" s="894" t="n"/>
      <c r="I72" s="894" t="n"/>
      <c r="J72" s="894" t="n"/>
      <c r="K72" s="894" t="n"/>
      <c r="L72" s="894" t="n"/>
      <c r="M72" s="894" t="n"/>
      <c r="N72" s="894" t="n"/>
      <c r="O72" s="894" t="n"/>
      <c r="P72" s="894" t="n"/>
      <c r="Q72" s="894" t="n"/>
      <c r="R72" s="894" t="n"/>
      <c r="S72" s="894" t="n"/>
      <c r="T72" s="894" t="n"/>
      <c r="U72" s="894" t="n"/>
    </row>
    <row r="73" ht="15.75" customHeight="1" s="1128">
      <c r="A73" s="434" t="inlineStr">
        <is>
          <t>Father's Photo</t>
        </is>
      </c>
      <c r="B73" s="1037" t="inlineStr">
        <is>
          <t>Green</t>
        </is>
      </c>
      <c r="C73" s="1037" t="inlineStr">
        <is>
          <t>CIV</t>
        </is>
      </c>
      <c r="D73" s="1036" t="n">
        <v>3</v>
      </c>
      <c r="E73" s="1036" t="n"/>
      <c r="F73" s="418" t="inlineStr">
        <is>
          <t>Laser Pig with Incense (10 shots)</t>
        </is>
      </c>
      <c r="G73" s="894" t="n"/>
      <c r="H73" s="894" t="n"/>
      <c r="I73" s="894" t="n"/>
      <c r="J73" s="894" t="n"/>
      <c r="K73" s="894" t="n"/>
      <c r="L73" s="894" t="n"/>
      <c r="M73" s="894" t="n"/>
      <c r="N73" s="894" t="n"/>
      <c r="O73" s="894" t="n"/>
      <c r="P73" s="894" t="n"/>
      <c r="Q73" s="894" t="n"/>
      <c r="R73" s="894" t="n"/>
      <c r="S73" s="894" t="n"/>
      <c r="T73" s="894" t="n"/>
      <c r="U73" s="894" t="n"/>
    </row>
    <row r="74" ht="15.75" customHeight="1" s="1128">
      <c r="A74" s="434" t="inlineStr">
        <is>
          <t>The Astrology</t>
        </is>
      </c>
      <c r="B74" s="1037" t="inlineStr">
        <is>
          <t>Green</t>
        </is>
      </c>
      <c r="C74" s="1037" t="inlineStr">
        <is>
          <t>CIV</t>
        </is>
      </c>
      <c r="D74" s="1036" t="n">
        <v>3</v>
      </c>
      <c r="E74" s="1036" t="n"/>
      <c r="F74" s="418" t="inlineStr">
        <is>
          <t>Star Chart Shop Solo Relic #3 (1000 star tickets)</t>
        </is>
      </c>
      <c r="G74" s="894" t="n"/>
      <c r="H74" s="894" t="n"/>
      <c r="I74" s="894" t="n"/>
      <c r="J74" s="894" t="n"/>
      <c r="K74" s="894" t="n"/>
      <c r="L74" s="894" t="n"/>
      <c r="M74" s="894" t="n"/>
      <c r="N74" s="894" t="n"/>
      <c r="O74" s="894" t="n"/>
      <c r="P74" s="894" t="n"/>
      <c r="Q74" s="894" t="n"/>
      <c r="R74" s="894" t="n"/>
      <c r="S74" s="894" t="n"/>
      <c r="T74" s="894" t="n"/>
      <c r="U74" s="894" t="n"/>
    </row>
    <row r="75" ht="15.75" customHeight="1" s="1128">
      <c r="A75" s="434" t="inlineStr">
        <is>
          <t>Effective Manager</t>
        </is>
      </c>
      <c r="B75" s="1037" t="inlineStr">
        <is>
          <t>Green</t>
        </is>
      </c>
      <c r="C75" s="1037" t="inlineStr">
        <is>
          <t>CIV</t>
        </is>
      </c>
      <c r="D75" s="1036" t="n">
        <v>3</v>
      </c>
      <c r="E75" s="1036" t="n"/>
      <c r="F75" s="418" t="inlineStr">
        <is>
          <t>Hatching Room Admin</t>
        </is>
      </c>
      <c r="G75" s="894" t="n"/>
      <c r="H75" s="894" t="n"/>
      <c r="I75" s="894" t="n"/>
      <c r="J75" s="894" t="n"/>
      <c r="K75" s="894" t="n"/>
      <c r="L75" s="894" t="n"/>
      <c r="M75" s="894" t="n"/>
      <c r="N75" s="894" t="n"/>
      <c r="O75" s="894" t="n"/>
      <c r="P75" s="894" t="n"/>
      <c r="Q75" s="894" t="n"/>
      <c r="R75" s="894" t="n"/>
      <c r="S75" s="894" t="n"/>
      <c r="T75" s="894" t="n"/>
      <c r="U75" s="894" t="n"/>
    </row>
    <row r="76" ht="15.75" customHeight="1" s="1128">
      <c r="A76" s="355" t="inlineStr">
        <is>
          <t>MAX INDIVIDUAL RELICS</t>
        </is>
      </c>
      <c r="B76" s="1079" t="n"/>
      <c r="C76" s="1079" t="n"/>
      <c r="D76" s="364">
        <f>SUM(D10:E75)</f>
        <v/>
      </c>
      <c r="E76" s="1079" t="n"/>
      <c r="F76" s="339" t="n"/>
      <c r="G76" s="894" t="n"/>
      <c r="H76" s="894" t="n"/>
      <c r="I76" s="894" t="n"/>
      <c r="J76" s="894" t="n"/>
      <c r="K76" s="894" t="n"/>
      <c r="L76" s="894" t="n"/>
      <c r="M76" s="894" t="n"/>
      <c r="N76" s="894" t="n"/>
      <c r="O76" s="894" t="n"/>
      <c r="P76" s="894" t="n"/>
      <c r="Q76" s="894" t="n"/>
      <c r="R76" s="894" t="n"/>
      <c r="S76" s="894" t="n"/>
      <c r="T76" s="894" t="n"/>
      <c r="U76" s="894" t="n"/>
    </row>
    <row r="77" ht="15.75" customHeight="1" s="1128">
      <c r="A77" s="376" t="n"/>
      <c r="B77" s="894" t="n"/>
      <c r="C77" s="894" t="n"/>
      <c r="D77" s="894" t="n"/>
      <c r="E77" s="894" t="n"/>
      <c r="F77" s="368" t="n"/>
      <c r="G77" s="894" t="n"/>
      <c r="H77" s="894" t="n"/>
      <c r="I77" s="894" t="n"/>
      <c r="J77" s="894" t="n"/>
      <c r="K77" s="894" t="n"/>
      <c r="L77" s="894" t="n"/>
      <c r="M77" s="894" t="n"/>
      <c r="N77" s="894" t="n"/>
      <c r="O77" s="894" t="n"/>
      <c r="P77" s="894" t="n"/>
      <c r="Q77" s="894" t="n"/>
      <c r="R77" s="894" t="n"/>
      <c r="S77" s="894" t="n"/>
      <c r="T77" s="894" t="n"/>
      <c r="U77" s="894" t="n"/>
    </row>
    <row r="78" ht="15.75" customHeight="1" s="1128">
      <c r="A78" s="344" t="inlineStr">
        <is>
          <t>PARTNER</t>
        </is>
      </c>
      <c r="B78" s="387" t="n"/>
      <c r="C78" s="387" t="n"/>
      <c r="D78" s="387" t="n"/>
      <c r="E78" s="387" t="n"/>
      <c r="F78" s="347" t="n"/>
      <c r="G78" s="894" t="n"/>
      <c r="H78" s="894" t="n"/>
      <c r="I78" s="894" t="n"/>
      <c r="J78" s="894" t="n"/>
      <c r="K78" s="894" t="n"/>
      <c r="L78" s="894" t="n"/>
      <c r="M78" s="894" t="n"/>
      <c r="N78" s="894" t="n"/>
      <c r="O78" s="894" t="n"/>
      <c r="P78" s="894" t="n"/>
      <c r="Q78" s="894" t="n"/>
      <c r="R78" s="894" t="n"/>
      <c r="S78" s="894" t="n"/>
      <c r="T78" s="894" t="n"/>
      <c r="U78" s="894" t="n"/>
    </row>
    <row r="79" ht="15.75" customHeight="1" s="1128">
      <c r="A79" s="362" t="inlineStr">
        <is>
          <t>Athena</t>
        </is>
      </c>
      <c r="B79" s="350" t="n"/>
      <c r="C79" s="350" t="n"/>
      <c r="D79" s="364" t="n">
        <v>30</v>
      </c>
      <c r="E79" s="350" t="n"/>
      <c r="F79" s="426" t="inlineStr">
        <is>
          <t>Max LV = 30; Per level: +1 leadership</t>
        </is>
      </c>
      <c r="G79" s="894" t="n"/>
      <c r="H79" s="894" t="n"/>
      <c r="I79" s="894" t="n"/>
      <c r="J79" s="894" t="n"/>
      <c r="K79" s="894" t="n"/>
      <c r="L79" s="894" t="n"/>
      <c r="M79" s="894" t="n"/>
      <c r="N79" s="894" t="n"/>
      <c r="O79" s="894" t="n"/>
      <c r="P79" s="894" t="n"/>
      <c r="Q79" s="894" t="n"/>
      <c r="R79" s="894" t="n"/>
      <c r="S79" s="894" t="n"/>
      <c r="T79" s="894" t="n"/>
      <c r="U79" s="894" t="n"/>
    </row>
    <row r="80" ht="15.75" customHeight="1" s="1128">
      <c r="A80" s="376" t="n"/>
      <c r="B80" s="894" t="n"/>
      <c r="C80" s="894" t="n"/>
      <c r="D80" s="894" t="n"/>
      <c r="E80" s="894" t="n"/>
      <c r="F80" s="368" t="n"/>
      <c r="G80" s="894" t="n"/>
      <c r="H80" s="894" t="n"/>
      <c r="I80" s="894" t="n"/>
      <c r="J80" s="894" t="n"/>
      <c r="K80" s="894" t="n"/>
      <c r="L80" s="894" t="n"/>
      <c r="M80" s="894" t="n"/>
      <c r="N80" s="894" t="n"/>
      <c r="O80" s="894" t="n"/>
      <c r="P80" s="894" t="n"/>
      <c r="Q80" s="894" t="n"/>
      <c r="R80" s="894" t="n"/>
      <c r="S80" s="894" t="n"/>
      <c r="T80" s="894" t="n"/>
      <c r="U80" s="894" t="n"/>
    </row>
    <row r="81" ht="15.75" customHeight="1" s="1128">
      <c r="A81" s="424" t="inlineStr">
        <is>
          <t>TACTICAL LOGS</t>
        </is>
      </c>
      <c r="B81" s="784" t="n"/>
      <c r="C81" s="784" t="n"/>
      <c r="D81" s="784" t="n"/>
      <c r="E81" s="784" t="n"/>
      <c r="F81" s="353" t="n"/>
      <c r="G81" s="894" t="n"/>
      <c r="H81" s="894" t="n"/>
      <c r="I81" s="894" t="n"/>
      <c r="J81" s="894" t="n"/>
      <c r="K81" s="894" t="n"/>
      <c r="L81" s="894" t="n"/>
      <c r="M81" s="894" t="n"/>
      <c r="N81" s="894" t="n"/>
      <c r="O81" s="894" t="n"/>
      <c r="P81" s="894" t="n"/>
      <c r="Q81" s="894" t="n"/>
      <c r="R81" s="894" t="n"/>
      <c r="S81" s="894" t="n"/>
      <c r="T81" s="894" t="n"/>
      <c r="U81" s="894" t="n"/>
    </row>
    <row r="82" ht="15.75" customHeight="1" s="1128">
      <c r="A82" s="434" t="inlineStr">
        <is>
          <t>Wildhammer</t>
        </is>
      </c>
      <c r="B82" s="1037" t="inlineStr">
        <is>
          <t>Demon</t>
        </is>
      </c>
      <c r="C82" s="1037" t="inlineStr">
        <is>
          <t>Other</t>
        </is>
      </c>
      <c r="D82" s="371" t="n">
        <v>2</v>
      </c>
      <c r="E82" s="1037" t="n"/>
      <c r="F82" s="418" t="inlineStr">
        <is>
          <t>Sim Shop Special Tactical Log #1</t>
        </is>
      </c>
      <c r="G82" s="894" t="n"/>
      <c r="H82" s="894" t="n"/>
      <c r="I82" s="894" t="n"/>
      <c r="J82" s="894" t="n"/>
      <c r="K82" s="894" t="n"/>
      <c r="L82" s="894" t="n"/>
      <c r="M82" s="894" t="n"/>
      <c r="N82" s="894" t="n"/>
      <c r="O82" s="894" t="n"/>
      <c r="P82" s="894" t="n"/>
      <c r="Q82" s="894" t="n"/>
      <c r="R82" s="894" t="n"/>
      <c r="S82" s="894" t="n"/>
      <c r="T82" s="894" t="n"/>
      <c r="U82" s="894" t="n"/>
    </row>
    <row r="83" ht="15.75" customHeight="1" s="1128">
      <c r="A83" s="434" t="inlineStr">
        <is>
          <t>Chief General Witte</t>
        </is>
      </c>
      <c r="B83" s="1037" t="inlineStr">
        <is>
          <t>Dragon</t>
        </is>
      </c>
      <c r="C83" s="1037" t="inlineStr">
        <is>
          <t>Dung Beetle</t>
        </is>
      </c>
      <c r="D83" s="371" t="n">
        <v>3</v>
      </c>
      <c r="E83" s="1037" t="n"/>
      <c r="F83" s="418" t="inlineStr">
        <is>
          <t>Unknown Log (0.03%), Precious Log (0.86%)</t>
        </is>
      </c>
      <c r="G83" s="894" t="n"/>
      <c r="H83" s="894" t="n"/>
      <c r="I83" s="894" t="n"/>
      <c r="J83" s="894" t="n"/>
      <c r="K83" s="894" t="n"/>
      <c r="L83" s="894" t="n"/>
      <c r="M83" s="894" t="n"/>
      <c r="N83" s="894" t="n"/>
      <c r="O83" s="894" t="n"/>
      <c r="P83" s="894" t="n"/>
      <c r="Q83" s="894" t="n"/>
      <c r="R83" s="894" t="n"/>
      <c r="S83" s="894" t="n"/>
      <c r="T83" s="894" t="n"/>
      <c r="U83" s="894" t="n"/>
    </row>
    <row r="84" ht="15.75" customHeight="1" s="1128">
      <c r="A84" s="434" t="inlineStr">
        <is>
          <t>Sergeant Jurgen</t>
        </is>
      </c>
      <c r="B84" s="1037" t="inlineStr">
        <is>
          <t>Demon</t>
        </is>
      </c>
      <c r="C84" s="1037" t="inlineStr">
        <is>
          <t>Dung Beetle</t>
        </is>
      </c>
      <c r="D84" s="371" t="n">
        <v>3</v>
      </c>
      <c r="E84" s="1037" t="n"/>
      <c r="F84" s="418" t="inlineStr">
        <is>
          <t>Unknown Log (0.03%), Precious Log (0.86%)</t>
        </is>
      </c>
      <c r="G84" s="894" t="n"/>
      <c r="H84" s="894" t="n"/>
      <c r="I84" s="894" t="n"/>
      <c r="J84" s="894" t="n"/>
      <c r="K84" s="894" t="n"/>
      <c r="L84" s="894" t="n"/>
      <c r="M84" s="894" t="n"/>
      <c r="N84" s="894" t="n"/>
      <c r="O84" s="894" t="n"/>
      <c r="P84" s="894" t="n"/>
      <c r="Q84" s="894" t="n"/>
      <c r="R84" s="894" t="n"/>
      <c r="S84" s="894" t="n"/>
      <c r="T84" s="894" t="n"/>
      <c r="U84" s="894" t="n"/>
    </row>
    <row r="85" ht="15.75" customHeight="1" s="1128">
      <c r="A85" s="434" t="inlineStr">
        <is>
          <t>Logistics Officer Uman</t>
        </is>
      </c>
      <c r="B85" s="1037" t="inlineStr">
        <is>
          <t>Mecha</t>
        </is>
      </c>
      <c r="C85" s="1037" t="inlineStr">
        <is>
          <t>Dung Beetle</t>
        </is>
      </c>
      <c r="D85" s="371" t="n">
        <v>2</v>
      </c>
      <c r="E85" s="1037" t="n"/>
      <c r="F85" s="418" t="inlineStr">
        <is>
          <t>Unknown Log (0.05%), Precious Log (1.71%)</t>
        </is>
      </c>
      <c r="G85" s="894" t="n"/>
      <c r="H85" s="894" t="n"/>
      <c r="I85" s="894" t="n"/>
      <c r="J85" s="894" t="n"/>
      <c r="K85" s="894" t="n"/>
      <c r="L85" s="894" t="n"/>
      <c r="M85" s="894" t="n"/>
      <c r="N85" s="894" t="n"/>
      <c r="O85" s="894" t="n"/>
      <c r="P85" s="894" t="n"/>
      <c r="Q85" s="894" t="n"/>
      <c r="R85" s="894" t="n"/>
      <c r="S85" s="894" t="n"/>
      <c r="T85" s="894" t="n"/>
      <c r="U85" s="894" t="n"/>
    </row>
    <row r="86" ht="15.75" customHeight="1" s="1128">
      <c r="A86" s="434" t="inlineStr">
        <is>
          <t>Military Scientist</t>
        </is>
      </c>
      <c r="B86" s="1037" t="inlineStr">
        <is>
          <t>Demon</t>
        </is>
      </c>
      <c r="C86" s="1037" t="inlineStr">
        <is>
          <t>Dung Beetle</t>
        </is>
      </c>
      <c r="D86" s="371" t="n">
        <v>2</v>
      </c>
      <c r="E86" s="1037" t="n"/>
      <c r="F86" s="418" t="inlineStr">
        <is>
          <t>Unknown Log (0.05%), Precious Log (1.71%)</t>
        </is>
      </c>
      <c r="G86" s="894" t="n"/>
      <c r="H86" s="894" t="n"/>
      <c r="I86" s="894" t="n"/>
      <c r="J86" s="894" t="n"/>
      <c r="K86" s="894" t="n"/>
      <c r="L86" s="894" t="n"/>
      <c r="M86" s="894" t="n"/>
      <c r="N86" s="894" t="n"/>
      <c r="O86" s="894" t="n"/>
      <c r="P86" s="894" t="n"/>
      <c r="Q86" s="894" t="n"/>
      <c r="R86" s="894" t="n"/>
      <c r="S86" s="894" t="n"/>
      <c r="T86" s="894" t="n"/>
      <c r="U86" s="894" t="n"/>
    </row>
    <row r="87" ht="15.75" customHeight="1" s="1128">
      <c r="A87" s="434" t="inlineStr">
        <is>
          <t>Senator Marius</t>
        </is>
      </c>
      <c r="B87" s="1037" t="inlineStr">
        <is>
          <t>Zombie</t>
        </is>
      </c>
      <c r="C87" s="1037" t="inlineStr">
        <is>
          <t>Dung Beetle</t>
        </is>
      </c>
      <c r="D87" s="371" t="n">
        <v>2</v>
      </c>
      <c r="E87" s="1037" t="n"/>
      <c r="F87" s="418" t="inlineStr">
        <is>
          <t>Unknown Log (0.05%), Precious Log (1.71%)</t>
        </is>
      </c>
      <c r="G87" s="894" t="n"/>
      <c r="H87" s="894" t="n"/>
      <c r="I87" s="894" t="n"/>
      <c r="J87" s="894" t="n"/>
      <c r="K87" s="894" t="n"/>
      <c r="L87" s="894" t="n"/>
      <c r="M87" s="894" t="n"/>
      <c r="N87" s="894" t="n"/>
      <c r="O87" s="894" t="n"/>
      <c r="P87" s="894" t="n"/>
      <c r="Q87" s="894" t="n"/>
      <c r="R87" s="894" t="n"/>
      <c r="S87" s="894" t="n"/>
      <c r="T87" s="894" t="n"/>
      <c r="U87" s="894" t="n"/>
    </row>
    <row r="88" ht="15.75" customHeight="1" s="1128">
      <c r="A88" s="434" t="inlineStr">
        <is>
          <t>Priest School Director</t>
        </is>
      </c>
      <c r="B88" s="1037" t="inlineStr">
        <is>
          <t>Zombie</t>
        </is>
      </c>
      <c r="C88" s="1037" t="inlineStr">
        <is>
          <t>Dung Beetle</t>
        </is>
      </c>
      <c r="D88" s="371" t="n">
        <v>2</v>
      </c>
      <c r="E88" s="1037" t="n"/>
      <c r="F88" s="418" t="inlineStr">
        <is>
          <t>Unknown Log (0.05%), Precious Log (1.71%)</t>
        </is>
      </c>
      <c r="G88" s="894" t="n"/>
      <c r="H88" s="894" t="n"/>
      <c r="I88" s="894" t="n"/>
      <c r="J88" s="894" t="n"/>
      <c r="K88" s="894" t="n"/>
      <c r="L88" s="894" t="n"/>
      <c r="M88" s="894" t="n"/>
      <c r="N88" s="894" t="n"/>
      <c r="O88" s="894" t="n"/>
      <c r="P88" s="894" t="n"/>
      <c r="Q88" s="894" t="n"/>
      <c r="R88" s="894" t="n"/>
      <c r="S88" s="894" t="n"/>
      <c r="T88" s="894" t="n"/>
      <c r="U88" s="894" t="n"/>
    </row>
    <row r="89" ht="15.75" customHeight="1" s="1128">
      <c r="A89" s="434" t="inlineStr">
        <is>
          <t>Blade SWAT Team</t>
        </is>
      </c>
      <c r="B89" s="1037" t="inlineStr">
        <is>
          <t>Dragon</t>
        </is>
      </c>
      <c r="C89" s="1037" t="inlineStr">
        <is>
          <t>Dung Beetle</t>
        </is>
      </c>
      <c r="D89" s="371" t="n">
        <v>2</v>
      </c>
      <c r="E89" s="1037" t="n"/>
      <c r="F89" s="418" t="inlineStr">
        <is>
          <t>Unknown Log (0.05%), Precious Log (1.71%)</t>
        </is>
      </c>
      <c r="G89" s="894" t="n"/>
      <c r="H89" s="894" t="n"/>
      <c r="I89" s="894" t="n"/>
      <c r="J89" s="894" t="n"/>
      <c r="K89" s="894" t="n"/>
      <c r="L89" s="894" t="n"/>
      <c r="M89" s="894" t="n"/>
      <c r="N89" s="894" t="n"/>
      <c r="O89" s="894" t="n"/>
      <c r="P89" s="894" t="n"/>
      <c r="Q89" s="894" t="n"/>
      <c r="R89" s="894" t="n"/>
      <c r="S89" s="894" t="n"/>
      <c r="T89" s="894" t="n"/>
      <c r="U89" s="894" t="n"/>
    </row>
    <row r="90" ht="15.75" customHeight="1" s="1128">
      <c r="A90" s="434" t="inlineStr">
        <is>
          <t>Chief's Guard</t>
        </is>
      </c>
      <c r="B90" s="1037" t="inlineStr">
        <is>
          <t>Angel</t>
        </is>
      </c>
      <c r="C90" s="1037" t="inlineStr">
        <is>
          <t>Dung Beetle</t>
        </is>
      </c>
      <c r="D90" s="371" t="n">
        <v>2</v>
      </c>
      <c r="E90" s="1037" t="n"/>
      <c r="F90" s="418" t="inlineStr">
        <is>
          <t>Unknown Log (0.05%), Precious Log (1.71%)</t>
        </is>
      </c>
      <c r="G90" s="894" t="n"/>
      <c r="H90" s="894" t="n"/>
      <c r="I90" s="894" t="n"/>
      <c r="J90" s="894" t="n"/>
      <c r="K90" s="894" t="n"/>
      <c r="L90" s="894" t="n"/>
      <c r="M90" s="894" t="n"/>
      <c r="N90" s="894" t="n"/>
      <c r="O90" s="894" t="n"/>
      <c r="P90" s="894" t="n"/>
      <c r="Q90" s="894" t="n"/>
      <c r="R90" s="894" t="n"/>
      <c r="S90" s="894" t="n"/>
      <c r="T90" s="894" t="n"/>
      <c r="U90" s="894" t="n"/>
    </row>
    <row r="91" ht="15.75" customHeight="1" s="1128">
      <c r="A91" s="434" t="inlineStr">
        <is>
          <t>Marshal Halder</t>
        </is>
      </c>
      <c r="B91" s="1037" t="inlineStr">
        <is>
          <t>Angel</t>
        </is>
      </c>
      <c r="C91" s="1037" t="inlineStr">
        <is>
          <t>Dung Beetle</t>
        </is>
      </c>
      <c r="D91" s="371" t="n">
        <v>2</v>
      </c>
      <c r="E91" s="1037" t="n"/>
      <c r="F91" s="418" t="inlineStr">
        <is>
          <t>Unknown Log (0.05%), Precious Log (1.71%)</t>
        </is>
      </c>
      <c r="G91" s="894" t="n"/>
      <c r="H91" s="894" t="n"/>
      <c r="I91" s="894" t="n"/>
      <c r="J91" s="894" t="n"/>
      <c r="K91" s="894" t="n"/>
      <c r="L91" s="894" t="n"/>
      <c r="M91" s="894" t="n"/>
      <c r="N91" s="894" t="n"/>
      <c r="O91" s="894" t="n"/>
      <c r="P91" s="894" t="n"/>
      <c r="Q91" s="894" t="n"/>
      <c r="R91" s="894" t="n"/>
      <c r="S91" s="894" t="n"/>
      <c r="T91" s="894" t="n"/>
      <c r="U91" s="894" t="n"/>
    </row>
    <row r="92" ht="15.75" customHeight="1" s="1128">
      <c r="A92" s="434" t="inlineStr">
        <is>
          <t>Engineer CDR Reinhardt</t>
        </is>
      </c>
      <c r="B92" s="1037" t="inlineStr">
        <is>
          <t>Mutant</t>
        </is>
      </c>
      <c r="C92" s="1037" t="inlineStr">
        <is>
          <t>Dung Beetle</t>
        </is>
      </c>
      <c r="D92" s="371" t="n">
        <v>2</v>
      </c>
      <c r="E92" s="1037" t="n"/>
      <c r="F92" s="418" t="inlineStr">
        <is>
          <t>Unknown Log (0.05%), Precious Log (1.71%)</t>
        </is>
      </c>
      <c r="G92" s="894" t="n"/>
      <c r="H92" s="894" t="n"/>
      <c r="I92" s="894" t="n"/>
      <c r="J92" s="894" t="n"/>
      <c r="K92" s="894" t="n"/>
      <c r="L92" s="894" t="n"/>
      <c r="M92" s="894" t="n"/>
      <c r="N92" s="894" t="n"/>
      <c r="O92" s="894" t="n"/>
      <c r="P92" s="894" t="n"/>
      <c r="Q92" s="894" t="n"/>
      <c r="R92" s="894" t="n"/>
      <c r="S92" s="894" t="n"/>
      <c r="T92" s="894" t="n"/>
      <c r="U92" s="894" t="n"/>
    </row>
    <row r="93" ht="15.75" customHeight="1" s="1128">
      <c r="A93" s="434" t="inlineStr">
        <is>
          <t>Intel. Director Sorge</t>
        </is>
      </c>
      <c r="B93" s="1037" t="inlineStr">
        <is>
          <t>Mutant</t>
        </is>
      </c>
      <c r="C93" s="1037" t="inlineStr">
        <is>
          <t>Dung Beetle</t>
        </is>
      </c>
      <c r="D93" s="371" t="n">
        <v>2</v>
      </c>
      <c r="E93" s="1037" t="n"/>
      <c r="F93" s="418" t="inlineStr">
        <is>
          <t>Unknown Log (0.05%), Precious Log (1.71%)</t>
        </is>
      </c>
      <c r="G93" s="894" t="n"/>
      <c r="H93" s="894" t="n"/>
      <c r="I93" s="894" t="n"/>
      <c r="J93" s="894" t="n"/>
      <c r="K93" s="894" t="n"/>
      <c r="L93" s="894" t="n"/>
      <c r="M93" s="894" t="n"/>
      <c r="N93" s="894" t="n"/>
      <c r="O93" s="894" t="n"/>
      <c r="P93" s="894" t="n"/>
      <c r="Q93" s="894" t="n"/>
      <c r="R93" s="894" t="n"/>
      <c r="S93" s="894" t="n"/>
      <c r="T93" s="894" t="n"/>
      <c r="U93" s="894" t="n"/>
    </row>
    <row r="94" ht="15.75" customHeight="1" s="1128">
      <c r="A94" s="434" t="inlineStr">
        <is>
          <t>Mech Captain Schaul</t>
        </is>
      </c>
      <c r="B94" s="1037" t="inlineStr">
        <is>
          <t>Mecha</t>
        </is>
      </c>
      <c r="C94" s="1037" t="inlineStr">
        <is>
          <t>Dung Beetle</t>
        </is>
      </c>
      <c r="D94" s="371" t="n">
        <v>2</v>
      </c>
      <c r="E94" s="1037" t="n"/>
      <c r="F94" s="418" t="inlineStr">
        <is>
          <t>Unknown Log (0.05%), Precious Log (1.71%)</t>
        </is>
      </c>
      <c r="G94" s="894" t="n"/>
      <c r="H94" s="894" t="n"/>
      <c r="I94" s="894" t="n"/>
      <c r="J94" s="894" t="n"/>
      <c r="K94" s="894" t="n"/>
      <c r="L94" s="894" t="n"/>
      <c r="M94" s="894" t="n"/>
      <c r="N94" s="894" t="n"/>
      <c r="O94" s="894" t="n"/>
      <c r="P94" s="894" t="n"/>
      <c r="Q94" s="894" t="n"/>
      <c r="R94" s="894" t="n"/>
      <c r="S94" s="894" t="n"/>
      <c r="T94" s="894" t="n"/>
      <c r="U94" s="894" t="n"/>
    </row>
    <row r="95" ht="15.75" customHeight="1" s="1128">
      <c r="A95" s="434" t="inlineStr">
        <is>
          <t>Politician Kenshin</t>
        </is>
      </c>
      <c r="B95" s="1037" t="inlineStr">
        <is>
          <t>Dragon</t>
        </is>
      </c>
      <c r="C95" s="1037" t="inlineStr">
        <is>
          <t>Goldfish</t>
        </is>
      </c>
      <c r="D95" s="371" t="n">
        <v>2</v>
      </c>
      <c r="E95" s="1037" t="n"/>
      <c r="F95" s="418" t="inlineStr">
        <is>
          <t>Unknown Log (0.03%), Precious Log (0.86%)</t>
        </is>
      </c>
      <c r="G95" s="894" t="n"/>
      <c r="H95" s="894" t="n"/>
      <c r="I95" s="894" t="n"/>
      <c r="J95" s="894" t="n"/>
      <c r="K95" s="894" t="n"/>
      <c r="L95" s="894" t="n"/>
      <c r="M95" s="894" t="n"/>
      <c r="N95" s="894" t="n"/>
      <c r="O95" s="894" t="n"/>
      <c r="P95" s="894" t="n"/>
      <c r="Q95" s="894" t="n"/>
      <c r="R95" s="894" t="n"/>
      <c r="S95" s="894" t="n"/>
      <c r="T95" s="894" t="n"/>
      <c r="U95" s="894" t="n"/>
    </row>
    <row r="96" ht="15.75" customHeight="1" s="1128">
      <c r="A96" s="434" t="inlineStr">
        <is>
          <t>Samurai Gen. Kiyomasa</t>
        </is>
      </c>
      <c r="B96" s="1037" t="inlineStr">
        <is>
          <t>Zombie</t>
        </is>
      </c>
      <c r="C96" s="1037" t="inlineStr">
        <is>
          <t>Goldfish</t>
        </is>
      </c>
      <c r="D96" s="371" t="n">
        <v>2</v>
      </c>
      <c r="E96" s="1037" t="n"/>
      <c r="F96" s="418" t="inlineStr">
        <is>
          <t>Unknown Log (0.03%), Precious Log (0.86%)</t>
        </is>
      </c>
      <c r="G96" s="894" t="n"/>
      <c r="H96" s="894" t="n"/>
      <c r="I96" s="894" t="n"/>
      <c r="J96" s="894" t="n"/>
      <c r="K96" s="894" t="n"/>
      <c r="L96" s="894" t="n"/>
      <c r="M96" s="894" t="n"/>
      <c r="N96" s="894" t="n"/>
      <c r="O96" s="894" t="n"/>
      <c r="P96" s="894" t="n"/>
      <c r="Q96" s="894" t="n"/>
      <c r="R96" s="894" t="n"/>
      <c r="S96" s="894" t="n"/>
      <c r="T96" s="894" t="n"/>
      <c r="U96" s="894" t="n"/>
    </row>
    <row r="97" ht="15.75" customHeight="1" s="1128">
      <c r="A97" s="434" t="inlineStr">
        <is>
          <t>Lady Nohime</t>
        </is>
      </c>
      <c r="B97" s="1037" t="inlineStr">
        <is>
          <t>Mutant</t>
        </is>
      </c>
      <c r="C97" s="1037" t="inlineStr">
        <is>
          <t>Goldfish</t>
        </is>
      </c>
      <c r="D97" s="371" t="n">
        <v>2</v>
      </c>
      <c r="E97" s="1037" t="n"/>
      <c r="F97" s="418" t="inlineStr">
        <is>
          <t>Unknown Log (0.05%), Precious Log (1.71%)</t>
        </is>
      </c>
      <c r="G97" s="894" t="n"/>
      <c r="H97" s="894" t="n"/>
      <c r="I97" s="894" t="n"/>
      <c r="J97" s="894" t="n"/>
      <c r="K97" s="894" t="n"/>
      <c r="L97" s="894" t="n"/>
      <c r="M97" s="894" t="n"/>
      <c r="N97" s="894" t="n"/>
      <c r="O97" s="894" t="n"/>
      <c r="P97" s="894" t="n"/>
      <c r="Q97" s="894" t="n"/>
      <c r="R97" s="894" t="n"/>
      <c r="S97" s="894" t="n"/>
      <c r="T97" s="894" t="n"/>
      <c r="U97" s="894" t="n"/>
    </row>
    <row r="98" ht="15.75" customHeight="1" s="1128">
      <c r="A98" s="434" t="inlineStr">
        <is>
          <t>Shinpan Ujizane</t>
        </is>
      </c>
      <c r="B98" s="1037" t="inlineStr">
        <is>
          <t>Angel</t>
        </is>
      </c>
      <c r="C98" s="1037" t="inlineStr">
        <is>
          <t>Goldfish</t>
        </is>
      </c>
      <c r="D98" s="371" t="n">
        <v>2</v>
      </c>
      <c r="E98" s="1037" t="n"/>
      <c r="F98" s="418" t="inlineStr">
        <is>
          <t>Unknown Log (0.05%), Precious Log (1.71%)</t>
        </is>
      </c>
      <c r="G98" s="894" t="n"/>
      <c r="H98" s="894" t="n"/>
      <c r="I98" s="894" t="n"/>
      <c r="J98" s="894" t="n"/>
      <c r="K98" s="894" t="n"/>
      <c r="L98" s="894" t="n"/>
      <c r="M98" s="894" t="n"/>
      <c r="N98" s="894" t="n"/>
      <c r="O98" s="894" t="n"/>
      <c r="P98" s="894" t="n"/>
      <c r="Q98" s="894" t="n"/>
      <c r="R98" s="894" t="n"/>
      <c r="S98" s="894" t="n"/>
      <c r="T98" s="894" t="n"/>
      <c r="U98" s="894" t="n"/>
    </row>
    <row r="99" ht="15.75" customHeight="1" s="1128">
      <c r="A99" s="434" t="inlineStr">
        <is>
          <t>Fudai Keiji</t>
        </is>
      </c>
      <c r="B99" s="1037" t="inlineStr">
        <is>
          <t>Mutant</t>
        </is>
      </c>
      <c r="C99" s="1037" t="inlineStr">
        <is>
          <t>Goldfish</t>
        </is>
      </c>
      <c r="D99" s="371" t="n">
        <v>2</v>
      </c>
      <c r="E99" s="1037" t="n"/>
      <c r="F99" s="418" t="inlineStr">
        <is>
          <t>Unknown Log (0.05%), Precious Log (1.71%)</t>
        </is>
      </c>
      <c r="G99" s="894" t="n"/>
      <c r="H99" s="894" t="n"/>
      <c r="I99" s="894" t="n"/>
      <c r="J99" s="894" t="n"/>
      <c r="K99" s="894" t="n"/>
      <c r="L99" s="894" t="n"/>
      <c r="M99" s="894" t="n"/>
      <c r="N99" s="894" t="n"/>
      <c r="O99" s="894" t="n"/>
      <c r="P99" s="894" t="n"/>
      <c r="Q99" s="894" t="n"/>
      <c r="R99" s="894" t="n"/>
      <c r="S99" s="894" t="n"/>
      <c r="T99" s="894" t="n"/>
      <c r="U99" s="894" t="n"/>
    </row>
    <row r="100" ht="15.75" customHeight="1" s="1128">
      <c r="A100" s="434" t="inlineStr">
        <is>
          <t>Grand Elder Naomasa</t>
        </is>
      </c>
      <c r="B100" s="1037" t="inlineStr">
        <is>
          <t>Angel</t>
        </is>
      </c>
      <c r="C100" s="1037" t="inlineStr">
        <is>
          <t>Goldfish</t>
        </is>
      </c>
      <c r="D100" s="371" t="n">
        <v>2</v>
      </c>
      <c r="E100" s="1037" t="n"/>
      <c r="F100" s="418" t="inlineStr">
        <is>
          <t>Unknown Log (0.05%), Precious Log (1.71%)</t>
        </is>
      </c>
      <c r="G100" s="894" t="n"/>
      <c r="H100" s="894" t="n"/>
      <c r="I100" s="894" t="n"/>
      <c r="J100" s="894" t="n"/>
      <c r="K100" s="894" t="n"/>
      <c r="L100" s="894" t="n"/>
      <c r="M100" s="894" t="n"/>
      <c r="N100" s="894" t="n"/>
      <c r="O100" s="894" t="n"/>
      <c r="P100" s="894" t="n"/>
      <c r="Q100" s="894" t="n"/>
      <c r="R100" s="894" t="n"/>
      <c r="S100" s="894" t="n"/>
      <c r="T100" s="894" t="n"/>
      <c r="U100" s="894" t="n"/>
    </row>
    <row r="101" ht="15.75" customHeight="1" s="1128">
      <c r="A101" s="434" t="inlineStr">
        <is>
          <t>Iga Leader Hanzo</t>
        </is>
      </c>
      <c r="B101" s="1037" t="inlineStr">
        <is>
          <t>Zombie</t>
        </is>
      </c>
      <c r="C101" s="1037" t="inlineStr">
        <is>
          <t>Goldfish</t>
        </is>
      </c>
      <c r="D101" s="371" t="n">
        <v>2</v>
      </c>
      <c r="E101" s="1037" t="n"/>
      <c r="F101" s="418" t="inlineStr">
        <is>
          <t>Unknown Log (0.05%), Precious Log (1.71%)</t>
        </is>
      </c>
      <c r="G101" s="894" t="n"/>
      <c r="H101" s="894" t="n"/>
      <c r="I101" s="894" t="n"/>
      <c r="J101" s="894" t="n"/>
      <c r="K101" s="894" t="n"/>
      <c r="L101" s="894" t="n"/>
      <c r="M101" s="894" t="n"/>
      <c r="N101" s="894" t="n"/>
      <c r="O101" s="894" t="n"/>
      <c r="P101" s="894" t="n"/>
      <c r="Q101" s="894" t="n"/>
      <c r="R101" s="894" t="n"/>
      <c r="S101" s="894" t="n"/>
      <c r="T101" s="894" t="n"/>
      <c r="U101" s="894" t="n"/>
    </row>
    <row r="102" ht="15.75" customHeight="1" s="1128">
      <c r="A102" s="434" t="inlineStr">
        <is>
          <t>Kendo Master Jubei</t>
        </is>
      </c>
      <c r="B102" s="1037" t="inlineStr">
        <is>
          <t>Demon</t>
        </is>
      </c>
      <c r="C102" s="1037" t="inlineStr">
        <is>
          <t>Goldfish</t>
        </is>
      </c>
      <c r="D102" s="371" t="n">
        <v>2</v>
      </c>
      <c r="E102" s="1037" t="n"/>
      <c r="F102" s="418" t="inlineStr">
        <is>
          <t>Unknown Log (0.05%), Precious Log (1.71%)</t>
        </is>
      </c>
      <c r="G102" s="894" t="n"/>
      <c r="H102" s="894" t="n"/>
      <c r="I102" s="894" t="n"/>
      <c r="J102" s="894" t="n"/>
      <c r="K102" s="894" t="n"/>
      <c r="L102" s="894" t="n"/>
      <c r="M102" s="894" t="n"/>
      <c r="N102" s="894" t="n"/>
      <c r="O102" s="894" t="n"/>
      <c r="P102" s="894" t="n"/>
      <c r="Q102" s="894" t="n"/>
      <c r="R102" s="894" t="n"/>
      <c r="S102" s="894" t="n"/>
      <c r="T102" s="894" t="n"/>
      <c r="U102" s="894" t="n"/>
    </row>
    <row r="103" ht="15.75" customHeight="1" s="1128">
      <c r="A103" s="434" t="inlineStr">
        <is>
          <t>Masamune Oshu Kanrei</t>
        </is>
      </c>
      <c r="B103" s="1037" t="inlineStr">
        <is>
          <t>Dragon</t>
        </is>
      </c>
      <c r="C103" s="1037" t="inlineStr">
        <is>
          <t>Goldfish</t>
        </is>
      </c>
      <c r="D103" s="371" t="n">
        <v>2</v>
      </c>
      <c r="E103" s="1037" t="n"/>
      <c r="F103" s="418" t="inlineStr">
        <is>
          <t>Unknown Log (0.05%), Precious Log (1.71%)</t>
        </is>
      </c>
      <c r="G103" s="894" t="n"/>
      <c r="H103" s="894" t="n"/>
      <c r="I103" s="894" t="n"/>
      <c r="J103" s="894" t="n"/>
      <c r="K103" s="894" t="n"/>
      <c r="L103" s="894" t="n"/>
      <c r="M103" s="894" t="n"/>
      <c r="N103" s="894" t="n"/>
      <c r="O103" s="894" t="n"/>
      <c r="P103" s="894" t="n"/>
      <c r="Q103" s="894" t="n"/>
      <c r="R103" s="894" t="n"/>
      <c r="S103" s="894" t="n"/>
      <c r="T103" s="894" t="n"/>
      <c r="U103" s="894" t="n"/>
    </row>
    <row r="104" ht="15.75" customHeight="1" s="1128">
      <c r="A104" s="434" t="inlineStr">
        <is>
          <t>Oshu Counselor Hanbei</t>
        </is>
      </c>
      <c r="B104" s="1037" t="inlineStr">
        <is>
          <t>Mecha</t>
        </is>
      </c>
      <c r="C104" s="1037" t="inlineStr">
        <is>
          <t>Goldfish</t>
        </is>
      </c>
      <c r="D104" s="371" t="n">
        <v>2</v>
      </c>
      <c r="E104" s="1037" t="n"/>
      <c r="F104" s="418" t="inlineStr">
        <is>
          <t>Unknown Log (0.05%), Precious Log (1.71%)</t>
        </is>
      </c>
      <c r="G104" s="894" t="n"/>
      <c r="H104" s="894" t="n"/>
      <c r="I104" s="894" t="n"/>
      <c r="J104" s="894" t="n"/>
      <c r="K104" s="894" t="n"/>
      <c r="L104" s="894" t="n"/>
      <c r="M104" s="894" t="n"/>
      <c r="N104" s="894" t="n"/>
      <c r="O104" s="894" t="n"/>
      <c r="P104" s="894" t="n"/>
      <c r="Q104" s="894" t="n"/>
      <c r="R104" s="894" t="n"/>
      <c r="S104" s="894" t="n"/>
      <c r="T104" s="894" t="n"/>
      <c r="U104" s="894" t="n"/>
    </row>
    <row r="105" ht="15.75" customHeight="1" s="1128">
      <c r="A105" s="434" t="inlineStr">
        <is>
          <t>Witch-elect Osomatsu</t>
        </is>
      </c>
      <c r="B105" s="1037" t="inlineStr">
        <is>
          <t>Mecha</t>
        </is>
      </c>
      <c r="C105" s="1037" t="inlineStr">
        <is>
          <t>Goldfish</t>
        </is>
      </c>
      <c r="D105" s="371" t="n">
        <v>2</v>
      </c>
      <c r="E105" s="1037" t="n"/>
      <c r="F105" s="418" t="inlineStr">
        <is>
          <t>Unknown Log (0.05%), Precious Log (1.71%)</t>
        </is>
      </c>
      <c r="G105" s="894" t="n"/>
      <c r="H105" s="894" t="n"/>
      <c r="I105" s="894" t="n"/>
      <c r="J105" s="894" t="n"/>
      <c r="K105" s="894" t="n"/>
      <c r="L105" s="894" t="n"/>
      <c r="M105" s="894" t="n"/>
      <c r="N105" s="894" t="n"/>
      <c r="O105" s="894" t="n"/>
      <c r="P105" s="894" t="n"/>
      <c r="Q105" s="894" t="n"/>
      <c r="R105" s="894" t="n"/>
      <c r="S105" s="894" t="n"/>
      <c r="T105" s="894" t="n"/>
      <c r="U105" s="894" t="n"/>
    </row>
    <row r="106" ht="15.75" customHeight="1" s="1128">
      <c r="A106" s="434" t="inlineStr">
        <is>
          <t>Kosa the Sohei CDR</t>
        </is>
      </c>
      <c r="B106" s="1037" t="inlineStr">
        <is>
          <t>Demon</t>
        </is>
      </c>
      <c r="C106" s="1037" t="inlineStr">
        <is>
          <t>Goldfish</t>
        </is>
      </c>
      <c r="D106" s="371" t="n">
        <v>2</v>
      </c>
      <c r="E106" s="1037" t="n"/>
      <c r="F106" s="418" t="inlineStr">
        <is>
          <t>Unknown Log (0.05%), Precious Log (1.71%)</t>
        </is>
      </c>
      <c r="G106" s="894" t="n"/>
      <c r="H106" s="894" t="n"/>
      <c r="I106" s="894" t="n"/>
      <c r="J106" s="894" t="n"/>
      <c r="K106" s="894" t="n"/>
      <c r="L106" s="894" t="n"/>
      <c r="M106" s="894" t="n"/>
      <c r="N106" s="894" t="n"/>
      <c r="O106" s="894" t="n"/>
      <c r="P106" s="894" t="n"/>
      <c r="Q106" s="894" t="n"/>
      <c r="R106" s="894" t="n"/>
      <c r="S106" s="894" t="n"/>
      <c r="T106" s="894" t="n"/>
      <c r="U106" s="894" t="n"/>
    </row>
    <row r="107" ht="15.75" customHeight="1" s="1128">
      <c r="A107" s="434" t="inlineStr">
        <is>
          <t>Tozama Daimyo Takahisa</t>
        </is>
      </c>
      <c r="B107" s="1037" t="inlineStr">
        <is>
          <t>Zombie</t>
        </is>
      </c>
      <c r="C107" s="1037" t="inlineStr">
        <is>
          <t>Goldfish</t>
        </is>
      </c>
      <c r="D107" s="371" t="n">
        <v>2</v>
      </c>
      <c r="E107" s="1037" t="n"/>
      <c r="F107" s="418" t="inlineStr">
        <is>
          <t>Unknown Log (0.05%), Precious Log (1.71%)</t>
        </is>
      </c>
      <c r="G107" s="894" t="n"/>
      <c r="H107" s="894" t="n"/>
      <c r="I107" s="894" t="n"/>
      <c r="J107" s="894" t="n"/>
      <c r="K107" s="894" t="n"/>
      <c r="L107" s="894" t="n"/>
      <c r="M107" s="894" t="n"/>
      <c r="N107" s="894" t="n"/>
      <c r="O107" s="894" t="n"/>
      <c r="P107" s="894" t="n"/>
      <c r="Q107" s="894" t="n"/>
      <c r="R107" s="894" t="n"/>
      <c r="S107" s="894" t="n"/>
      <c r="T107" s="894" t="n"/>
      <c r="U107" s="894" t="n"/>
    </row>
    <row r="108" ht="15.75" customHeight="1" s="1128">
      <c r="A108" s="434" t="inlineStr">
        <is>
          <t>Spiritualist</t>
        </is>
      </c>
      <c r="B108" s="1037" t="inlineStr">
        <is>
          <t>Dragon</t>
        </is>
      </c>
      <c r="C108" s="1037" t="inlineStr">
        <is>
          <t>Surf Clam</t>
        </is>
      </c>
      <c r="D108" s="371" t="n">
        <v>2</v>
      </c>
      <c r="E108" s="1037" t="n"/>
      <c r="F108" s="418" t="inlineStr">
        <is>
          <t>Unknown Log (0.03%), Precious Log (0.86%)</t>
        </is>
      </c>
      <c r="G108" s="894" t="n"/>
      <c r="H108" s="894" t="n"/>
      <c r="I108" s="894" t="n"/>
      <c r="J108" s="894" t="n"/>
      <c r="K108" s="894" t="n"/>
      <c r="L108" s="894" t="n"/>
      <c r="M108" s="894" t="n"/>
      <c r="N108" s="894" t="n"/>
      <c r="O108" s="894" t="n"/>
      <c r="P108" s="894" t="n"/>
      <c r="Q108" s="894" t="n"/>
      <c r="R108" s="894" t="n"/>
      <c r="S108" s="894" t="n"/>
      <c r="T108" s="894" t="n"/>
      <c r="U108" s="894" t="n"/>
    </row>
    <row r="109" ht="15.75" customHeight="1" s="1128">
      <c r="A109" s="434" t="inlineStr">
        <is>
          <t>North Prophet Merlin</t>
        </is>
      </c>
      <c r="B109" s="1037" t="inlineStr">
        <is>
          <t>Zombie</t>
        </is>
      </c>
      <c r="C109" s="1037" t="inlineStr">
        <is>
          <t>Surf Clam</t>
        </is>
      </c>
      <c r="D109" s="371" t="n">
        <v>2</v>
      </c>
      <c r="E109" s="1037" t="n"/>
      <c r="F109" s="418" t="inlineStr">
        <is>
          <t>Unknown Log (0.03%), Precious Log (0.86%)</t>
        </is>
      </c>
      <c r="G109" s="894" t="n"/>
      <c r="H109" s="894" t="n"/>
      <c r="I109" s="894" t="n"/>
      <c r="J109" s="894" t="n"/>
      <c r="K109" s="894" t="n"/>
      <c r="L109" s="894" t="n"/>
      <c r="M109" s="894" t="n"/>
      <c r="N109" s="894" t="n"/>
      <c r="O109" s="894" t="n"/>
      <c r="P109" s="894" t="n"/>
      <c r="Q109" s="894" t="n"/>
      <c r="R109" s="894" t="n"/>
      <c r="S109" s="894" t="n"/>
      <c r="T109" s="894" t="n"/>
      <c r="U109" s="894" t="n"/>
    </row>
    <row r="110" ht="15.75" customHeight="1" s="1128">
      <c r="A110" s="434" t="inlineStr">
        <is>
          <t>Magic Minister</t>
        </is>
      </c>
      <c r="B110" s="1037" t="inlineStr">
        <is>
          <t>Angel</t>
        </is>
      </c>
      <c r="C110" s="1037" t="inlineStr">
        <is>
          <t>Surf Clam</t>
        </is>
      </c>
      <c r="D110" s="371" t="n">
        <v>2</v>
      </c>
      <c r="E110" s="1037" t="n"/>
      <c r="F110" s="418" t="inlineStr">
        <is>
          <t>Unknown Log (0.05%), Precious Log (1.71%)</t>
        </is>
      </c>
      <c r="G110" s="894" t="n"/>
      <c r="H110" s="894" t="n"/>
      <c r="I110" s="894" t="n"/>
      <c r="J110" s="894" t="n"/>
      <c r="K110" s="894" t="n"/>
      <c r="L110" s="894" t="n"/>
      <c r="M110" s="894" t="n"/>
      <c r="N110" s="894" t="n"/>
      <c r="O110" s="894" t="n"/>
      <c r="P110" s="894" t="n"/>
      <c r="Q110" s="894" t="n"/>
      <c r="R110" s="894" t="n"/>
      <c r="S110" s="894" t="n"/>
      <c r="T110" s="894" t="n"/>
      <c r="U110" s="894" t="n"/>
    </row>
    <row r="111" ht="15.75" customHeight="1" s="1128">
      <c r="A111" s="434" t="inlineStr">
        <is>
          <t>Black Magic Professor</t>
        </is>
      </c>
      <c r="B111" s="1037" t="inlineStr">
        <is>
          <t>Dragon</t>
        </is>
      </c>
      <c r="C111" s="1037" t="inlineStr">
        <is>
          <t>Surf Clam</t>
        </is>
      </c>
      <c r="D111" s="371" t="n">
        <v>2</v>
      </c>
      <c r="E111" s="1037" t="n"/>
      <c r="F111" s="418" t="inlineStr">
        <is>
          <t>Unknown Log (0.05%), Precious Log (1.71%)</t>
        </is>
      </c>
      <c r="G111" s="894" t="n"/>
      <c r="H111" s="894" t="n"/>
      <c r="I111" s="894" t="n"/>
      <c r="J111" s="894" t="n"/>
      <c r="K111" s="894" t="n"/>
      <c r="L111" s="894" t="n"/>
      <c r="M111" s="894" t="n"/>
      <c r="N111" s="894" t="n"/>
      <c r="O111" s="894" t="n"/>
      <c r="P111" s="894" t="n"/>
      <c r="Q111" s="894" t="n"/>
      <c r="R111" s="894" t="n"/>
      <c r="S111" s="894" t="n"/>
      <c r="T111" s="894" t="n"/>
      <c r="U111" s="894" t="n"/>
    </row>
    <row r="112" ht="15.75" customHeight="1" s="1128">
      <c r="A112" s="434" t="inlineStr">
        <is>
          <t>Bard Dandelion</t>
        </is>
      </c>
      <c r="B112" s="1037" t="inlineStr">
        <is>
          <t>Mutant</t>
        </is>
      </c>
      <c r="C112" s="1037" t="inlineStr">
        <is>
          <t>Surf Clam</t>
        </is>
      </c>
      <c r="D112" s="371" t="n">
        <v>2</v>
      </c>
      <c r="E112" s="1037" t="n"/>
      <c r="F112" s="418" t="inlineStr">
        <is>
          <t>Unknown Log (0.05%), Precious Log (1.71%)</t>
        </is>
      </c>
      <c r="G112" s="894" t="n"/>
      <c r="H112" s="894" t="n"/>
      <c r="I112" s="894" t="n"/>
      <c r="J112" s="894" t="n"/>
      <c r="K112" s="894" t="n"/>
      <c r="L112" s="894" t="n"/>
      <c r="M112" s="894" t="n"/>
      <c r="N112" s="894" t="n"/>
      <c r="O112" s="894" t="n"/>
      <c r="P112" s="894" t="n"/>
      <c r="Q112" s="894" t="n"/>
      <c r="R112" s="894" t="n"/>
      <c r="S112" s="894" t="n"/>
      <c r="T112" s="894" t="n"/>
      <c r="U112" s="894" t="n"/>
    </row>
    <row r="113" ht="15.75" customHeight="1" s="1128">
      <c r="A113" s="434" t="inlineStr">
        <is>
          <t>Sleeping Witch</t>
        </is>
      </c>
      <c r="B113" s="1037" t="inlineStr">
        <is>
          <t>Angel</t>
        </is>
      </c>
      <c r="C113" s="1037" t="inlineStr">
        <is>
          <t>Surf Clam</t>
        </is>
      </c>
      <c r="D113" s="371" t="n">
        <v>2</v>
      </c>
      <c r="E113" s="1037" t="n"/>
      <c r="F113" s="422" t="inlineStr">
        <is>
          <t>Unknown Log (0.05%), Precious Log (1.71%)</t>
        </is>
      </c>
      <c r="G113" s="894" t="n"/>
      <c r="H113" s="894" t="n"/>
      <c r="I113" s="894" t="n"/>
      <c r="J113" s="894" t="n"/>
      <c r="K113" s="894" t="n"/>
      <c r="L113" s="894" t="n"/>
      <c r="M113" s="894" t="n"/>
      <c r="N113" s="894" t="n"/>
      <c r="O113" s="894" t="n"/>
      <c r="P113" s="894" t="n"/>
      <c r="Q113" s="894" t="n"/>
      <c r="R113" s="894" t="n"/>
      <c r="S113" s="894" t="n"/>
      <c r="T113" s="894" t="n"/>
      <c r="U113" s="894" t="n"/>
    </row>
    <row r="114" ht="15.75" customHeight="1" s="1128">
      <c r="A114" s="434" t="inlineStr">
        <is>
          <t>Soulwalker</t>
        </is>
      </c>
      <c r="B114" s="1037" t="inlineStr">
        <is>
          <t>Demon</t>
        </is>
      </c>
      <c r="C114" s="1037" t="inlineStr">
        <is>
          <t>Surf Clam</t>
        </is>
      </c>
      <c r="D114" s="371" t="n">
        <v>2</v>
      </c>
      <c r="E114" s="1037" t="n"/>
      <c r="F114" s="422" t="inlineStr">
        <is>
          <t>Unknown Log (0.05%), Precious Log (1.71%)</t>
        </is>
      </c>
      <c r="G114" s="894" t="n"/>
      <c r="H114" s="894" t="n"/>
      <c r="I114" s="894" t="n"/>
      <c r="J114" s="894" t="n"/>
      <c r="K114" s="894" t="n"/>
      <c r="L114" s="894" t="n"/>
      <c r="M114" s="894" t="n"/>
      <c r="N114" s="894" t="n"/>
      <c r="O114" s="894" t="n"/>
      <c r="P114" s="894" t="n"/>
      <c r="Q114" s="894" t="n"/>
      <c r="R114" s="894" t="n"/>
      <c r="S114" s="894" t="n"/>
      <c r="T114" s="894" t="n"/>
      <c r="U114" s="894" t="n"/>
    </row>
    <row r="115" ht="15.75" customHeight="1" s="1128">
      <c r="A115" s="434" t="inlineStr">
        <is>
          <t>Alchemist</t>
        </is>
      </c>
      <c r="B115" s="1037" t="inlineStr">
        <is>
          <t>Zombie</t>
        </is>
      </c>
      <c r="C115" s="1037" t="inlineStr">
        <is>
          <t>Surf Clam</t>
        </is>
      </c>
      <c r="D115" s="371" t="n">
        <v>2</v>
      </c>
      <c r="E115" s="1037" t="n"/>
      <c r="F115" s="422" t="inlineStr">
        <is>
          <t>Unknown Log (0.05%), Precious Log (1.71%)</t>
        </is>
      </c>
      <c r="G115" s="894" t="n"/>
      <c r="H115" s="894" t="n"/>
      <c r="I115" s="894" t="n"/>
      <c r="J115" s="894" t="n"/>
      <c r="K115" s="894" t="n"/>
      <c r="L115" s="894" t="n"/>
      <c r="M115" s="894" t="n"/>
      <c r="N115" s="894" t="n"/>
      <c r="O115" s="894" t="n"/>
      <c r="P115" s="894" t="n"/>
      <c r="Q115" s="894" t="n"/>
      <c r="R115" s="894" t="n"/>
      <c r="S115" s="894" t="n"/>
      <c r="T115" s="894" t="n"/>
      <c r="U115" s="894" t="n"/>
    </row>
    <row r="116" ht="15.75" customHeight="1" s="1128">
      <c r="A116" s="434" t="inlineStr">
        <is>
          <t>Dolph the Ice Blade</t>
        </is>
      </c>
      <c r="B116" s="1037" t="inlineStr">
        <is>
          <t>Mecha</t>
        </is>
      </c>
      <c r="C116" s="1037" t="inlineStr">
        <is>
          <t>Surf Clam</t>
        </is>
      </c>
      <c r="D116" s="371" t="n">
        <v>2</v>
      </c>
      <c r="E116" s="1037" t="n"/>
      <c r="F116" s="418" t="inlineStr">
        <is>
          <t>Unknown Log (0.05%), Precious Log (1.71%)</t>
        </is>
      </c>
      <c r="G116" s="894" t="n"/>
      <c r="H116" s="894" t="n"/>
      <c r="I116" s="894" t="n"/>
      <c r="J116" s="894" t="n"/>
      <c r="K116" s="894" t="n"/>
      <c r="L116" s="894" t="n"/>
      <c r="M116" s="894" t="n"/>
      <c r="N116" s="894" t="n"/>
      <c r="O116" s="894" t="n"/>
      <c r="P116" s="894" t="n"/>
      <c r="Q116" s="894" t="n"/>
      <c r="R116" s="894" t="n"/>
      <c r="S116" s="894" t="n"/>
      <c r="T116" s="894" t="n"/>
      <c r="U116" s="894" t="n"/>
    </row>
    <row r="117" ht="15.75" customHeight="1" s="1128">
      <c r="A117" s="434" t="inlineStr">
        <is>
          <t>Ritual of Sea Creature</t>
        </is>
      </c>
      <c r="B117" s="1037" t="inlineStr">
        <is>
          <t>Mutant</t>
        </is>
      </c>
      <c r="C117" s="1037" t="inlineStr">
        <is>
          <t>Surf Clam</t>
        </is>
      </c>
      <c r="D117" s="371" t="n">
        <v>2</v>
      </c>
      <c r="E117" s="1037" t="n"/>
      <c r="F117" s="422" t="inlineStr">
        <is>
          <t>Unknown Log (0.05%), Precious Log (1.71%)</t>
        </is>
      </c>
      <c r="G117" s="894" t="n"/>
      <c r="H117" s="894" t="n"/>
      <c r="I117" s="894" t="n"/>
      <c r="J117" s="894" t="n"/>
      <c r="K117" s="894" t="n"/>
      <c r="L117" s="894" t="n"/>
      <c r="M117" s="894" t="n"/>
      <c r="N117" s="894" t="n"/>
      <c r="O117" s="894" t="n"/>
      <c r="P117" s="894" t="n"/>
      <c r="Q117" s="894" t="n"/>
      <c r="R117" s="894" t="n"/>
      <c r="S117" s="894" t="n"/>
      <c r="T117" s="894" t="n"/>
      <c r="U117" s="894" t="n"/>
    </row>
    <row r="118" ht="15.75" customHeight="1" s="1128">
      <c r="A118" s="434" t="inlineStr">
        <is>
          <t>Battle Mage</t>
        </is>
      </c>
      <c r="B118" s="1037" t="inlineStr">
        <is>
          <t>Mecha</t>
        </is>
      </c>
      <c r="C118" s="1037" t="inlineStr">
        <is>
          <t>Surf Clam</t>
        </is>
      </c>
      <c r="D118" s="371" t="n">
        <v>2</v>
      </c>
      <c r="E118" s="1037" t="n"/>
      <c r="F118" s="422" t="inlineStr">
        <is>
          <t>Unknown Log (0.05%), Precious Log (1.71%)</t>
        </is>
      </c>
      <c r="G118" s="894" t="n"/>
      <c r="H118" s="894" t="n"/>
      <c r="I118" s="894" t="n"/>
      <c r="J118" s="894" t="n"/>
      <c r="K118" s="894" t="n"/>
      <c r="L118" s="894" t="n"/>
      <c r="M118" s="894" t="n"/>
      <c r="N118" s="894" t="n"/>
      <c r="O118" s="894" t="n"/>
      <c r="P118" s="894" t="n"/>
      <c r="Q118" s="894" t="n"/>
      <c r="R118" s="894" t="n"/>
      <c r="S118" s="894" t="n"/>
      <c r="T118" s="894" t="n"/>
      <c r="U118" s="894" t="n"/>
    </row>
    <row r="119" ht="15.75" customHeight="1" s="1128">
      <c r="A119" s="434" t="inlineStr">
        <is>
          <t>Pres. of Wiz. Council</t>
        </is>
      </c>
      <c r="B119" s="1037" t="inlineStr">
        <is>
          <t>Demon</t>
        </is>
      </c>
      <c r="C119" s="1037" t="inlineStr">
        <is>
          <t>Surf Clam</t>
        </is>
      </c>
      <c r="D119" s="371" t="n">
        <v>2</v>
      </c>
      <c r="E119" s="1037" t="n"/>
      <c r="F119" s="418" t="inlineStr">
        <is>
          <t>Unknown Log (0.05%), Precious Log (1.71%)</t>
        </is>
      </c>
      <c r="G119" s="894" t="n"/>
      <c r="H119" s="894" t="n"/>
      <c r="I119" s="894" t="n"/>
      <c r="J119" s="894" t="n"/>
      <c r="K119" s="894" t="n"/>
      <c r="L119" s="894" t="n"/>
      <c r="M119" s="894" t="n"/>
      <c r="N119" s="894" t="n"/>
      <c r="O119" s="894" t="n"/>
      <c r="P119" s="894" t="n"/>
      <c r="Q119" s="894" t="n"/>
      <c r="R119" s="894" t="n"/>
      <c r="S119" s="894" t="n"/>
      <c r="T119" s="894" t="n"/>
      <c r="U119" s="894" t="n"/>
    </row>
    <row r="120" ht="15.75" customHeight="1" s="1128">
      <c r="A120" s="434" t="inlineStr">
        <is>
          <t>Michael the Big Short</t>
        </is>
      </c>
      <c r="B120" s="1037" t="inlineStr">
        <is>
          <t>Angel</t>
        </is>
      </c>
      <c r="C120" s="1037" t="inlineStr">
        <is>
          <t>Hamster</t>
        </is>
      </c>
      <c r="D120" s="371" t="n">
        <v>2</v>
      </c>
      <c r="E120" s="1037" t="n"/>
      <c r="F120" s="422" t="inlineStr">
        <is>
          <t>Unknown Log (0.03%), Precious Log (0.86%)</t>
        </is>
      </c>
      <c r="G120" s="894" t="n"/>
      <c r="H120" s="894" t="n"/>
      <c r="I120" s="894" t="n"/>
      <c r="J120" s="894" t="n"/>
      <c r="K120" s="894" t="n"/>
      <c r="L120" s="894" t="n"/>
      <c r="M120" s="894" t="n"/>
      <c r="N120" s="894" t="n"/>
      <c r="O120" s="894" t="n"/>
      <c r="P120" s="894" t="n"/>
      <c r="Q120" s="894" t="n"/>
      <c r="R120" s="894" t="n"/>
      <c r="S120" s="894" t="n"/>
      <c r="T120" s="894" t="n"/>
      <c r="U120" s="894" t="n"/>
    </row>
    <row r="121" ht="15.75" customHeight="1" s="1128">
      <c r="A121" s="434" t="inlineStr">
        <is>
          <t>Finance Expert John</t>
        </is>
      </c>
      <c r="B121" s="1037" t="inlineStr">
        <is>
          <t>Dragon</t>
        </is>
      </c>
      <c r="C121" s="1037" t="inlineStr">
        <is>
          <t>Hamster</t>
        </is>
      </c>
      <c r="D121" s="371" t="n">
        <v>2</v>
      </c>
      <c r="E121" s="1037" t="n"/>
      <c r="F121" s="422" t="inlineStr">
        <is>
          <t>Unknown Log (0.03%), Precious Log (0.86%)</t>
        </is>
      </c>
      <c r="G121" s="894" t="n"/>
      <c r="H121" s="894" t="n"/>
      <c r="I121" s="894" t="n"/>
      <c r="J121" s="894" t="n"/>
      <c r="K121" s="894" t="n"/>
      <c r="L121" s="894" t="n"/>
      <c r="M121" s="894" t="n"/>
      <c r="N121" s="894" t="n"/>
      <c r="O121" s="894" t="n"/>
      <c r="P121" s="894" t="n"/>
      <c r="Q121" s="894" t="n"/>
      <c r="R121" s="894" t="n"/>
      <c r="S121" s="894" t="n"/>
      <c r="T121" s="894" t="n"/>
      <c r="U121" s="894" t="n"/>
    </row>
    <row r="122" ht="15.75" customHeight="1" s="1128">
      <c r="A122" s="434" t="inlineStr">
        <is>
          <t>Dalio the Hedge Expert</t>
        </is>
      </c>
      <c r="B122" s="1037" t="inlineStr">
        <is>
          <t>Demon</t>
        </is>
      </c>
      <c r="C122" s="1037" t="inlineStr">
        <is>
          <t>Hamster</t>
        </is>
      </c>
      <c r="D122" s="371" t="n">
        <v>2</v>
      </c>
      <c r="E122" s="1037" t="n"/>
      <c r="F122" s="418" t="inlineStr">
        <is>
          <t>Unknown Log (0.05%), Precious Log (1.71%)</t>
        </is>
      </c>
      <c r="G122" s="894" t="n"/>
      <c r="H122" s="894" t="n"/>
      <c r="I122" s="894" t="n"/>
      <c r="J122" s="894" t="n"/>
      <c r="K122" s="894" t="n"/>
      <c r="L122" s="894" t="n"/>
      <c r="M122" s="894" t="n"/>
      <c r="N122" s="894" t="n"/>
      <c r="O122" s="894" t="n"/>
      <c r="P122" s="894" t="n"/>
      <c r="Q122" s="894" t="n"/>
      <c r="R122" s="894" t="n"/>
      <c r="S122" s="894" t="n"/>
      <c r="T122" s="894" t="n"/>
      <c r="U122" s="894" t="n"/>
    </row>
    <row r="123" ht="15.75" customHeight="1" s="1128">
      <c r="A123" s="434" t="inlineStr">
        <is>
          <t>Angel Investor Musk</t>
        </is>
      </c>
      <c r="B123" s="1037" t="inlineStr">
        <is>
          <t>Mutant</t>
        </is>
      </c>
      <c r="C123" s="1037" t="inlineStr">
        <is>
          <t>Hamster</t>
        </is>
      </c>
      <c r="D123" s="371" t="n">
        <v>2</v>
      </c>
      <c r="E123" s="1037" t="n"/>
      <c r="F123" s="422" t="inlineStr">
        <is>
          <t>Unknown Log (0.05%), Precious Log (1.71%)</t>
        </is>
      </c>
      <c r="G123" s="894" t="n"/>
      <c r="H123" s="894" t="n"/>
      <c r="I123" s="894" t="n"/>
      <c r="J123" s="894" t="n"/>
      <c r="K123" s="894" t="n"/>
      <c r="L123" s="894" t="n"/>
      <c r="M123" s="894" t="n"/>
      <c r="N123" s="894" t="n"/>
      <c r="O123" s="894" t="n"/>
      <c r="P123" s="894" t="n"/>
      <c r="Q123" s="894" t="n"/>
      <c r="R123" s="894" t="n"/>
      <c r="S123" s="894" t="n"/>
      <c r="T123" s="894" t="n"/>
      <c r="U123" s="894" t="n"/>
    </row>
    <row r="124" ht="15.75" customHeight="1" s="1128">
      <c r="A124" s="434" t="inlineStr">
        <is>
          <t>Real Estate Manager</t>
        </is>
      </c>
      <c r="B124" s="1037" t="inlineStr">
        <is>
          <t>Mutant</t>
        </is>
      </c>
      <c r="C124" s="1037" t="inlineStr">
        <is>
          <t>Hamster</t>
        </is>
      </c>
      <c r="D124" s="371" t="n">
        <v>2</v>
      </c>
      <c r="E124" s="1037" t="n"/>
      <c r="F124" s="422" t="inlineStr">
        <is>
          <t>Unknown Log (0.05%), Precious Log (1.71%)</t>
        </is>
      </c>
      <c r="G124" s="894" t="n"/>
      <c r="H124" s="894" t="n"/>
      <c r="I124" s="894" t="n"/>
      <c r="J124" s="894" t="n"/>
      <c r="K124" s="894" t="n"/>
      <c r="L124" s="894" t="n"/>
      <c r="M124" s="894" t="n"/>
      <c r="N124" s="894" t="n"/>
      <c r="O124" s="894" t="n"/>
      <c r="P124" s="894" t="n"/>
      <c r="Q124" s="894" t="n"/>
      <c r="R124" s="894" t="n"/>
      <c r="S124" s="894" t="n"/>
      <c r="T124" s="894" t="n"/>
      <c r="U124" s="894" t="n"/>
    </row>
    <row r="125" ht="15.75" customHeight="1" s="1128">
      <c r="A125" s="434" t="inlineStr">
        <is>
          <t>Container Manager</t>
        </is>
      </c>
      <c r="B125" s="1037" t="inlineStr">
        <is>
          <t>Dragon</t>
        </is>
      </c>
      <c r="C125" s="1037" t="inlineStr">
        <is>
          <t>Hamster</t>
        </is>
      </c>
      <c r="D125" s="371" t="n">
        <v>2</v>
      </c>
      <c r="E125" s="1037" t="n"/>
      <c r="F125" s="418" t="inlineStr">
        <is>
          <t>Unknown Log (0.05%), Precious Log (1.71%)</t>
        </is>
      </c>
      <c r="G125" s="894" t="n"/>
      <c r="H125" s="894" t="n"/>
      <c r="I125" s="894" t="n"/>
      <c r="J125" s="894" t="n"/>
      <c r="K125" s="894" t="n"/>
      <c r="L125" s="894" t="n"/>
      <c r="M125" s="894" t="n"/>
      <c r="N125" s="894" t="n"/>
      <c r="O125" s="894" t="n"/>
      <c r="P125" s="894" t="n"/>
      <c r="Q125" s="894" t="n"/>
      <c r="R125" s="894" t="n"/>
      <c r="S125" s="894" t="n"/>
      <c r="T125" s="894" t="n"/>
      <c r="U125" s="894" t="n"/>
    </row>
    <row r="126" ht="15.75" customHeight="1" s="1128">
      <c r="A126" s="434" t="inlineStr">
        <is>
          <t>D. P. the Chem. Giant</t>
        </is>
      </c>
      <c r="B126" s="1037" t="inlineStr">
        <is>
          <t>Mecha</t>
        </is>
      </c>
      <c r="C126" s="1037" t="inlineStr">
        <is>
          <t>Hamster</t>
        </is>
      </c>
      <c r="D126" s="371" t="n">
        <v>2</v>
      </c>
      <c r="E126" s="1037" t="n"/>
      <c r="F126" s="422" t="inlineStr">
        <is>
          <t>Unknown Log (0.05%), Precious Log (1.71%)</t>
        </is>
      </c>
      <c r="G126" s="894" t="n"/>
      <c r="H126" s="894" t="n"/>
      <c r="I126" s="894" t="n"/>
      <c r="J126" s="894" t="n"/>
      <c r="K126" s="894" t="n"/>
      <c r="L126" s="894" t="n"/>
      <c r="M126" s="894" t="n"/>
      <c r="N126" s="894" t="n"/>
      <c r="O126" s="894" t="n"/>
      <c r="P126" s="894" t="n"/>
      <c r="Q126" s="894" t="n"/>
      <c r="R126" s="894" t="n"/>
      <c r="S126" s="894" t="n"/>
      <c r="T126" s="894" t="n"/>
      <c r="U126" s="894" t="n"/>
    </row>
    <row r="127" ht="15.75" customHeight="1" s="1128">
      <c r="A127" s="434" t="inlineStr">
        <is>
          <t>Media Giant</t>
        </is>
      </c>
      <c r="B127" s="1037" t="inlineStr">
        <is>
          <t>Zombie</t>
        </is>
      </c>
      <c r="C127" s="1037" t="inlineStr">
        <is>
          <t>Hamster</t>
        </is>
      </c>
      <c r="D127" s="371" t="n">
        <v>2</v>
      </c>
      <c r="E127" s="1037" t="n"/>
      <c r="F127" s="422" t="inlineStr">
        <is>
          <t>Unknown Log (0.05%), Precious Log (1.71%)</t>
        </is>
      </c>
      <c r="G127" s="894" t="n"/>
      <c r="H127" s="894" t="n"/>
      <c r="I127" s="894" t="n"/>
      <c r="J127" s="894" t="n"/>
      <c r="K127" s="894" t="n"/>
      <c r="L127" s="894" t="n"/>
      <c r="M127" s="894" t="n"/>
      <c r="N127" s="894" t="n"/>
      <c r="O127" s="894" t="n"/>
      <c r="P127" s="894" t="n"/>
      <c r="Q127" s="894" t="n"/>
      <c r="R127" s="894" t="n"/>
      <c r="S127" s="894" t="n"/>
      <c r="T127" s="894" t="n"/>
      <c r="U127" s="894" t="n"/>
    </row>
    <row r="128" ht="15.75" customHeight="1" s="1128">
      <c r="A128" s="434" t="inlineStr">
        <is>
          <t>Night King</t>
        </is>
      </c>
      <c r="B128" s="1037" t="inlineStr">
        <is>
          <t>Angel</t>
        </is>
      </c>
      <c r="C128" s="1037" t="inlineStr">
        <is>
          <t>Hamster</t>
        </is>
      </c>
      <c r="D128" s="371" t="n">
        <v>2</v>
      </c>
      <c r="E128" s="1037" t="n"/>
      <c r="F128" s="422" t="inlineStr">
        <is>
          <t>Unknown Log (0.05%), Precious Log (1.71%)</t>
        </is>
      </c>
      <c r="G128" s="894" t="n"/>
      <c r="H128" s="894" t="n"/>
      <c r="I128" s="894" t="n"/>
      <c r="J128" s="894" t="n"/>
      <c r="K128" s="894" t="n"/>
      <c r="L128" s="894" t="n"/>
      <c r="M128" s="894" t="n"/>
      <c r="N128" s="894" t="n"/>
      <c r="O128" s="894" t="n"/>
      <c r="P128" s="894" t="n"/>
      <c r="Q128" s="894" t="n"/>
      <c r="R128" s="894" t="n"/>
      <c r="S128" s="894" t="n"/>
      <c r="T128" s="894" t="n"/>
      <c r="U128" s="894" t="n"/>
    </row>
    <row r="129" ht="15.75" customHeight="1" s="1128">
      <c r="A129" s="434" t="inlineStr">
        <is>
          <t>Steel King</t>
        </is>
      </c>
      <c r="B129" s="1037" t="inlineStr">
        <is>
          <t>Mecha</t>
        </is>
      </c>
      <c r="C129" s="1037" t="inlineStr">
        <is>
          <t>Hamster</t>
        </is>
      </c>
      <c r="D129" s="371" t="n">
        <v>2</v>
      </c>
      <c r="E129" s="1037" t="n"/>
      <c r="F129" s="422" t="inlineStr">
        <is>
          <t>Unknown Log (0.05%), Precious Log (1.71%)</t>
        </is>
      </c>
      <c r="G129" s="894" t="n"/>
      <c r="H129" s="894" t="n"/>
      <c r="I129" s="894" t="n"/>
      <c r="J129" s="894" t="n"/>
      <c r="K129" s="894" t="n"/>
      <c r="L129" s="894" t="n"/>
      <c r="M129" s="894" t="n"/>
      <c r="N129" s="894" t="n"/>
      <c r="O129" s="894" t="n"/>
      <c r="P129" s="894" t="n"/>
      <c r="Q129" s="894" t="n"/>
      <c r="R129" s="894" t="n"/>
      <c r="S129" s="894" t="n"/>
      <c r="T129" s="894" t="n"/>
      <c r="U129" s="894" t="n"/>
    </row>
    <row r="130" ht="15.75" customHeight="1" s="1128">
      <c r="A130" s="434" t="inlineStr">
        <is>
          <t>Tech Firm Founder</t>
        </is>
      </c>
      <c r="B130" s="1037" t="inlineStr">
        <is>
          <t>Zombie</t>
        </is>
      </c>
      <c r="C130" s="1037" t="inlineStr">
        <is>
          <t>Hamster</t>
        </is>
      </c>
      <c r="D130" s="371" t="n">
        <v>2</v>
      </c>
      <c r="E130" s="1037" t="n"/>
      <c r="F130" s="422" t="inlineStr">
        <is>
          <t>Unknown Log (0.05%), Precious Log (1.71%)</t>
        </is>
      </c>
      <c r="G130" s="894" t="n"/>
      <c r="H130" s="894" t="n"/>
      <c r="I130" s="894" t="n"/>
      <c r="J130" s="894" t="n"/>
      <c r="K130" s="894" t="n"/>
      <c r="L130" s="894" t="n"/>
      <c r="M130" s="894" t="n"/>
      <c r="N130" s="894" t="n"/>
      <c r="O130" s="894" t="n"/>
      <c r="P130" s="894" t="n"/>
      <c r="Q130" s="894" t="n"/>
      <c r="R130" s="894" t="n"/>
      <c r="S130" s="894" t="n"/>
      <c r="T130" s="894" t="n"/>
      <c r="U130" s="894" t="n"/>
    </row>
    <row r="131" ht="15.75" customHeight="1" s="1128">
      <c r="A131" s="434" t="inlineStr">
        <is>
          <t>Retail Giant</t>
        </is>
      </c>
      <c r="B131" s="1037" t="inlineStr">
        <is>
          <t>Demon</t>
        </is>
      </c>
      <c r="C131" s="1037" t="inlineStr">
        <is>
          <t>Hamster</t>
        </is>
      </c>
      <c r="D131" s="371" t="n">
        <v>2</v>
      </c>
      <c r="E131" s="1037" t="n"/>
      <c r="F131" s="418" t="inlineStr">
        <is>
          <t>Unknown Log (0.05%), Precious Log (1.71%)</t>
        </is>
      </c>
      <c r="G131" s="894" t="n"/>
      <c r="H131" s="894" t="n"/>
      <c r="I131" s="894" t="n"/>
      <c r="J131" s="894" t="n"/>
      <c r="K131" s="894" t="n"/>
      <c r="L131" s="894" t="n"/>
      <c r="M131" s="894" t="n"/>
      <c r="N131" s="894" t="n"/>
      <c r="O131" s="894" t="n"/>
      <c r="P131" s="894" t="n"/>
      <c r="Q131" s="894" t="n"/>
      <c r="R131" s="894" t="n"/>
      <c r="S131" s="894" t="n"/>
      <c r="T131" s="894" t="n"/>
      <c r="U131" s="894" t="n"/>
    </row>
    <row r="132" ht="15.75" customHeight="1" s="1128">
      <c r="A132" s="434" t="inlineStr">
        <is>
          <t>Transport Tycoon Tarago</t>
        </is>
      </c>
      <c r="B132" s="1037" t="inlineStr">
        <is>
          <t>Zombie</t>
        </is>
      </c>
      <c r="C132" s="1037" t="inlineStr">
        <is>
          <t>Hamster</t>
        </is>
      </c>
      <c r="D132" s="371" t="n">
        <v>2</v>
      </c>
      <c r="E132" s="1037" t="n"/>
      <c r="F132" s="418" t="inlineStr">
        <is>
          <t>Unknown Log (0.05%), Precious Log (1.71%)</t>
        </is>
      </c>
      <c r="G132" s="894" t="n"/>
      <c r="H132" s="894" t="n"/>
      <c r="I132" s="894" t="n"/>
      <c r="J132" s="894" t="n"/>
      <c r="K132" s="894" t="n"/>
      <c r="L132" s="894" t="n"/>
      <c r="M132" s="894" t="n"/>
      <c r="N132" s="894" t="n"/>
      <c r="O132" s="894" t="n"/>
      <c r="P132" s="894" t="n"/>
      <c r="Q132" s="894" t="n"/>
      <c r="R132" s="894" t="n"/>
      <c r="S132" s="894" t="n"/>
      <c r="T132" s="894" t="n"/>
      <c r="U132" s="894" t="n"/>
    </row>
    <row r="133" ht="15.75" customHeight="1" s="1128">
      <c r="A133" s="434" t="inlineStr">
        <is>
          <t>Heartless</t>
        </is>
      </c>
      <c r="B133" s="1037" t="inlineStr">
        <is>
          <t>Dragon</t>
        </is>
      </c>
      <c r="C133" s="1037" t="inlineStr">
        <is>
          <t>Mantis</t>
        </is>
      </c>
      <c r="D133" s="371" t="n">
        <v>2</v>
      </c>
      <c r="E133" s="1037" t="n"/>
      <c r="F133" s="418" t="inlineStr">
        <is>
          <t>Unknown Log (0.03%), Precious Log (0.86%)</t>
        </is>
      </c>
      <c r="G133" s="894" t="n"/>
      <c r="H133" s="894" t="n"/>
      <c r="I133" s="894" t="n"/>
      <c r="J133" s="894" t="n"/>
      <c r="K133" s="894" t="n"/>
      <c r="L133" s="894" t="n"/>
      <c r="M133" s="894" t="n"/>
      <c r="N133" s="894" t="n"/>
      <c r="O133" s="894" t="n"/>
      <c r="P133" s="894" t="n"/>
      <c r="Q133" s="894" t="n"/>
      <c r="R133" s="894" t="n"/>
      <c r="S133" s="894" t="n"/>
      <c r="T133" s="894" t="n"/>
      <c r="U133" s="894" t="n"/>
    </row>
    <row r="134" ht="15.75" customHeight="1" s="1128">
      <c r="A134" s="434" t="inlineStr">
        <is>
          <t>Iron Fist</t>
        </is>
      </c>
      <c r="B134" s="1037" t="inlineStr">
        <is>
          <t>Mutant</t>
        </is>
      </c>
      <c r="C134" s="1037" t="inlineStr">
        <is>
          <t>Mantis</t>
        </is>
      </c>
      <c r="D134" s="371" t="n">
        <v>2</v>
      </c>
      <c r="E134" s="1037" t="n"/>
      <c r="F134" s="418" t="inlineStr">
        <is>
          <t>Unknown Log (0.03%), Precious Log (0.86%)</t>
        </is>
      </c>
      <c r="G134" s="894" t="n"/>
      <c r="H134" s="894" t="n"/>
      <c r="I134" s="894" t="n"/>
      <c r="J134" s="894" t="n"/>
      <c r="K134" s="894" t="n"/>
      <c r="L134" s="894" t="n"/>
      <c r="M134" s="894" t="n"/>
      <c r="N134" s="894" t="n"/>
      <c r="O134" s="894" t="n"/>
      <c r="P134" s="894" t="n"/>
      <c r="Q134" s="894" t="n"/>
      <c r="R134" s="894" t="n"/>
      <c r="S134" s="894" t="n"/>
      <c r="T134" s="894" t="n"/>
      <c r="U134" s="894" t="n"/>
    </row>
    <row r="135" ht="15.75" customHeight="1" s="1128">
      <c r="A135" s="434" t="inlineStr">
        <is>
          <t>Chaser</t>
        </is>
      </c>
      <c r="B135" s="1037" t="inlineStr">
        <is>
          <t>Dragon</t>
        </is>
      </c>
      <c r="C135" s="1037" t="inlineStr">
        <is>
          <t>Mantis</t>
        </is>
      </c>
      <c r="D135" s="371" t="n">
        <v>2</v>
      </c>
      <c r="E135" s="1037" t="n"/>
      <c r="F135" s="418" t="inlineStr">
        <is>
          <t>Unknown Log (0.05%), Precious Log (1.71%)</t>
        </is>
      </c>
      <c r="G135" s="894" t="n"/>
      <c r="H135" s="894" t="n"/>
      <c r="I135" s="894" t="n"/>
      <c r="J135" s="894" t="n"/>
      <c r="K135" s="894" t="n"/>
      <c r="L135" s="894" t="n"/>
      <c r="M135" s="894" t="n"/>
      <c r="N135" s="894" t="n"/>
      <c r="O135" s="894" t="n"/>
      <c r="P135" s="894" t="n"/>
      <c r="Q135" s="894" t="n"/>
      <c r="R135" s="894" t="n"/>
      <c r="S135" s="894" t="n"/>
      <c r="T135" s="894" t="n"/>
      <c r="U135" s="894" t="n"/>
    </row>
    <row r="136" ht="15.75" customHeight="1" s="1128">
      <c r="A136" s="434" t="inlineStr">
        <is>
          <t>Cold Blood</t>
        </is>
      </c>
      <c r="B136" s="1037" t="inlineStr">
        <is>
          <t>Angel</t>
        </is>
      </c>
      <c r="C136" s="1037" t="inlineStr">
        <is>
          <t>Mantis</t>
        </is>
      </c>
      <c r="D136" s="371" t="n">
        <v>2</v>
      </c>
      <c r="E136" s="1037" t="n"/>
      <c r="F136" s="418" t="inlineStr">
        <is>
          <t>Unknown Log (0.05%), Precious Log (1.71%)</t>
        </is>
      </c>
      <c r="G136" s="894" t="n"/>
      <c r="H136" s="894" t="n"/>
      <c r="I136" s="894" t="n"/>
      <c r="J136" s="894" t="n"/>
      <c r="K136" s="894" t="n"/>
      <c r="L136" s="894" t="n"/>
      <c r="M136" s="894" t="n"/>
      <c r="N136" s="894" t="n"/>
      <c r="O136" s="894" t="n"/>
      <c r="P136" s="894" t="n"/>
      <c r="Q136" s="894" t="n"/>
      <c r="R136" s="894" t="n"/>
      <c r="S136" s="894" t="n"/>
      <c r="T136" s="894" t="n"/>
      <c r="U136" s="894" t="n"/>
    </row>
    <row r="137" ht="15.75" customHeight="1" s="1128">
      <c r="A137" s="434" t="inlineStr">
        <is>
          <t>Precise Shot</t>
        </is>
      </c>
      <c r="B137" s="1037" t="inlineStr">
        <is>
          <t>Angel</t>
        </is>
      </c>
      <c r="C137" s="1037" t="inlineStr">
        <is>
          <t>Mantis</t>
        </is>
      </c>
      <c r="D137" s="371" t="n">
        <v>2</v>
      </c>
      <c r="E137" s="1037" t="n"/>
      <c r="F137" s="418" t="inlineStr">
        <is>
          <t>Unknown Log (0.05%), Precious Log (1.71%)</t>
        </is>
      </c>
      <c r="G137" s="894" t="n"/>
      <c r="H137" s="894" t="n"/>
      <c r="I137" s="894" t="n"/>
      <c r="J137" s="894" t="n"/>
      <c r="K137" s="894" t="n"/>
      <c r="L137" s="894" t="n"/>
      <c r="M137" s="894" t="n"/>
      <c r="N137" s="894" t="n"/>
      <c r="O137" s="894" t="n"/>
      <c r="P137" s="894" t="n"/>
      <c r="Q137" s="894" t="n"/>
      <c r="R137" s="894" t="n"/>
      <c r="S137" s="894" t="n"/>
      <c r="T137" s="894" t="n"/>
      <c r="U137" s="894" t="n"/>
    </row>
    <row r="138" ht="15.75" customHeight="1" s="1128">
      <c r="A138" s="434" t="inlineStr">
        <is>
          <t>Broken World</t>
        </is>
      </c>
      <c r="B138" s="1037" t="inlineStr">
        <is>
          <t>Demon</t>
        </is>
      </c>
      <c r="C138" s="1037" t="inlineStr">
        <is>
          <t>Mantis</t>
        </is>
      </c>
      <c r="D138" s="371" t="n">
        <v>2</v>
      </c>
      <c r="E138" s="1037" t="n"/>
      <c r="F138" s="418" t="inlineStr">
        <is>
          <t>Unknown Log (0.05%), Precious Log (1.71%)</t>
        </is>
      </c>
      <c r="G138" s="894" t="n"/>
      <c r="H138" s="894" t="n"/>
      <c r="I138" s="894" t="n"/>
      <c r="J138" s="894" t="n"/>
      <c r="K138" s="894" t="n"/>
      <c r="L138" s="894" t="n"/>
      <c r="M138" s="894" t="n"/>
      <c r="N138" s="894" t="n"/>
      <c r="O138" s="894" t="n"/>
      <c r="P138" s="894" t="n"/>
      <c r="Q138" s="894" t="n"/>
      <c r="R138" s="894" t="n"/>
      <c r="S138" s="894" t="n"/>
      <c r="T138" s="894" t="n"/>
      <c r="U138" s="894" t="n"/>
    </row>
    <row r="139" ht="15.75" customHeight="1" s="1128">
      <c r="A139" s="434" t="inlineStr">
        <is>
          <t>Demonic Swordsman</t>
        </is>
      </c>
      <c r="B139" s="1037" t="inlineStr">
        <is>
          <t>Mutant</t>
        </is>
      </c>
      <c r="C139" s="1037" t="inlineStr">
        <is>
          <t>Mantis</t>
        </is>
      </c>
      <c r="D139" s="371" t="n">
        <v>2</v>
      </c>
      <c r="E139" s="1037" t="n"/>
      <c r="F139" s="418" t="inlineStr">
        <is>
          <t>Unknown Log (0.05%), Precious Log (1.71%)</t>
        </is>
      </c>
      <c r="G139" s="894" t="n"/>
      <c r="H139" s="894" t="n"/>
      <c r="I139" s="894" t="n"/>
      <c r="J139" s="894" t="n"/>
      <c r="K139" s="894" t="n"/>
      <c r="L139" s="894" t="n"/>
      <c r="M139" s="894" t="n"/>
      <c r="N139" s="894" t="n"/>
      <c r="O139" s="894" t="n"/>
      <c r="P139" s="894" t="n"/>
      <c r="Q139" s="894" t="n"/>
      <c r="R139" s="894" t="n"/>
      <c r="S139" s="894" t="n"/>
      <c r="T139" s="894" t="n"/>
      <c r="U139" s="894" t="n"/>
    </row>
    <row r="140" ht="15.75" customHeight="1" s="1128">
      <c r="A140" s="434" t="inlineStr">
        <is>
          <t>Cult Leader</t>
        </is>
      </c>
      <c r="B140" s="1037" t="inlineStr">
        <is>
          <t>Zombie</t>
        </is>
      </c>
      <c r="C140" s="1037" t="inlineStr">
        <is>
          <t>Mantis</t>
        </is>
      </c>
      <c r="D140" s="371" t="n">
        <v>2</v>
      </c>
      <c r="E140" s="1037" t="n"/>
      <c r="F140" s="418" t="inlineStr">
        <is>
          <t>Unknown Log (0.05%), Precious Log (1.71%)</t>
        </is>
      </c>
      <c r="G140" s="894" t="n"/>
      <c r="H140" s="894" t="n"/>
      <c r="I140" s="894" t="n"/>
      <c r="J140" s="894" t="n"/>
      <c r="K140" s="894" t="n"/>
      <c r="L140" s="894" t="n"/>
      <c r="M140" s="894" t="n"/>
      <c r="N140" s="894" t="n"/>
      <c r="O140" s="894" t="n"/>
      <c r="P140" s="894" t="n"/>
      <c r="Q140" s="894" t="n"/>
      <c r="R140" s="894" t="n"/>
      <c r="S140" s="894" t="n"/>
      <c r="T140" s="894" t="n"/>
      <c r="U140" s="894" t="n"/>
    </row>
    <row r="141" ht="15.75" customHeight="1" s="1128">
      <c r="A141" s="434" t="inlineStr">
        <is>
          <t>Head of Dharma Academy</t>
        </is>
      </c>
      <c r="B141" s="1037" t="inlineStr">
        <is>
          <t>Zombie</t>
        </is>
      </c>
      <c r="C141" s="1037" t="inlineStr">
        <is>
          <t>Mantis</t>
        </is>
      </c>
      <c r="D141" s="371" t="n">
        <v>2</v>
      </c>
      <c r="E141" s="1037" t="n"/>
      <c r="F141" s="418" t="inlineStr">
        <is>
          <t>Unknown Log (0.05%), Precious Log (1.71%)</t>
        </is>
      </c>
      <c r="G141" s="894" t="n"/>
      <c r="H141" s="894" t="n"/>
      <c r="I141" s="894" t="n"/>
      <c r="J141" s="894" t="n"/>
      <c r="K141" s="894" t="n"/>
      <c r="L141" s="894" t="n"/>
      <c r="M141" s="894" t="n"/>
      <c r="N141" s="894" t="n"/>
      <c r="O141" s="894" t="n"/>
      <c r="P141" s="894" t="n"/>
      <c r="Q141" s="894" t="n"/>
      <c r="R141" s="894" t="n"/>
      <c r="S141" s="894" t="n"/>
      <c r="T141" s="894" t="n"/>
      <c r="U141" s="894" t="n"/>
    </row>
    <row r="142" ht="15.75" customHeight="1" s="1128">
      <c r="A142" s="434" t="inlineStr">
        <is>
          <t>Greenwood Hall Leader</t>
        </is>
      </c>
      <c r="B142" s="1037" t="inlineStr">
        <is>
          <t>Mecha</t>
        </is>
      </c>
      <c r="C142" s="1037" t="inlineStr">
        <is>
          <t>Mantis</t>
        </is>
      </c>
      <c r="D142" s="371" t="n">
        <v>2</v>
      </c>
      <c r="E142" s="1037" t="n"/>
      <c r="F142" s="418" t="inlineStr">
        <is>
          <t>Unknown Log (0.05%), Precious Log (1.71%)</t>
        </is>
      </c>
      <c r="G142" s="894" t="n"/>
      <c r="H142" s="894" t="n"/>
      <c r="I142" s="894" t="n"/>
      <c r="J142" s="894" t="n"/>
      <c r="K142" s="894" t="n"/>
      <c r="L142" s="894" t="n"/>
      <c r="M142" s="894" t="n"/>
      <c r="N142" s="894" t="n"/>
      <c r="O142" s="894" t="n"/>
      <c r="P142" s="894" t="n"/>
      <c r="Q142" s="894" t="n"/>
      <c r="R142" s="894" t="n"/>
      <c r="S142" s="894" t="n"/>
      <c r="T142" s="894" t="n"/>
      <c r="U142" s="894" t="n"/>
    </row>
    <row r="143" ht="15.75" customHeight="1" s="1128">
      <c r="A143" s="434" t="inlineStr">
        <is>
          <t>The Great Three of KL</t>
        </is>
      </c>
      <c r="B143" s="1037" t="inlineStr">
        <is>
          <t>Demon</t>
        </is>
      </c>
      <c r="C143" s="1037" t="inlineStr">
        <is>
          <t>Mantis</t>
        </is>
      </c>
      <c r="D143" s="371" t="n">
        <v>2</v>
      </c>
      <c r="E143" s="1037" t="n"/>
      <c r="F143" s="418" t="inlineStr">
        <is>
          <t>Unknown Log (0.05%), Precious Log (1.71%)</t>
        </is>
      </c>
      <c r="G143" s="894" t="n"/>
      <c r="H143" s="894" t="n"/>
      <c r="I143" s="894" t="n"/>
      <c r="J143" s="894" t="n"/>
      <c r="K143" s="894" t="n"/>
      <c r="L143" s="894" t="n"/>
      <c r="M143" s="894" t="n"/>
      <c r="N143" s="894" t="n"/>
      <c r="O143" s="894" t="n"/>
      <c r="P143" s="894" t="n"/>
      <c r="Q143" s="894" t="n"/>
      <c r="R143" s="894" t="n"/>
      <c r="S143" s="894" t="n"/>
      <c r="T143" s="894" t="n"/>
      <c r="U143" s="894" t="n"/>
    </row>
    <row r="144" ht="15.75" customHeight="1" s="1128">
      <c r="A144" s="434" t="inlineStr">
        <is>
          <t>Five Sects Chief</t>
        </is>
      </c>
      <c r="B144" s="1037" t="inlineStr">
        <is>
          <t>Mecha</t>
        </is>
      </c>
      <c r="C144" s="1037" t="inlineStr">
        <is>
          <t>Mantis</t>
        </is>
      </c>
      <c r="D144" s="371" t="n">
        <v>2</v>
      </c>
      <c r="E144" s="1037" t="n"/>
      <c r="F144" s="418" t="inlineStr">
        <is>
          <t>Unknown Log (0.05%), Precious Log (1.71%)</t>
        </is>
      </c>
      <c r="G144" s="894" t="n"/>
      <c r="H144" s="894" t="n"/>
      <c r="I144" s="894" t="n"/>
      <c r="J144" s="894" t="n"/>
      <c r="K144" s="894" t="n"/>
      <c r="L144" s="894" t="n"/>
      <c r="M144" s="894" t="n"/>
      <c r="N144" s="894" t="n"/>
      <c r="O144" s="894" t="n"/>
      <c r="P144" s="894" t="n"/>
      <c r="Q144" s="894" t="n"/>
      <c r="R144" s="894" t="n"/>
      <c r="S144" s="894" t="n"/>
      <c r="T144" s="894" t="n"/>
      <c r="U144" s="894" t="n"/>
    </row>
    <row r="145" ht="15.75" customHeight="1" s="1128">
      <c r="A145" s="434" t="inlineStr">
        <is>
          <t>Northern Blade</t>
        </is>
      </c>
      <c r="B145" s="1037" t="inlineStr">
        <is>
          <t>Zombie</t>
        </is>
      </c>
      <c r="C145" s="1037" t="inlineStr">
        <is>
          <t>Mantis</t>
        </is>
      </c>
      <c r="D145" s="371" t="n">
        <v>2</v>
      </c>
      <c r="E145" s="1037" t="n"/>
      <c r="F145" s="418" t="inlineStr">
        <is>
          <t>Unknown Log (0.05%), Precious Log (1.71%)</t>
        </is>
      </c>
      <c r="G145" s="894" t="n"/>
      <c r="H145" s="894" t="n"/>
      <c r="I145" s="894" t="n"/>
      <c r="J145" s="894" t="n"/>
      <c r="K145" s="894" t="n"/>
      <c r="L145" s="894" t="n"/>
      <c r="M145" s="894" t="n"/>
      <c r="N145" s="894" t="n"/>
      <c r="O145" s="894" t="n"/>
      <c r="P145" s="894" t="n"/>
      <c r="Q145" s="894" t="n"/>
      <c r="R145" s="894" t="n"/>
      <c r="S145" s="894" t="n"/>
      <c r="T145" s="894" t="n"/>
      <c r="U145" s="894" t="n"/>
    </row>
    <row r="146" ht="15.75" customHeight="1" s="1128">
      <c r="A146" s="434" t="inlineStr">
        <is>
          <t>Southern Sword</t>
        </is>
      </c>
      <c r="B146" s="1037" t="inlineStr">
        <is>
          <t>Zombie</t>
        </is>
      </c>
      <c r="C146" s="1037" t="inlineStr">
        <is>
          <t>Mantis</t>
        </is>
      </c>
      <c r="D146" s="371" t="n">
        <v>2</v>
      </c>
      <c r="E146" s="1037" t="n"/>
      <c r="F146" s="418" t="inlineStr">
        <is>
          <t>Unknown Log (0.05%), Precious Log (1.71%)</t>
        </is>
      </c>
      <c r="G146" s="894" t="n"/>
      <c r="H146" s="894" t="n"/>
      <c r="I146" s="894" t="n"/>
      <c r="J146" s="894" t="n"/>
      <c r="K146" s="894" t="n"/>
      <c r="L146" s="894" t="n"/>
      <c r="M146" s="894" t="n"/>
      <c r="N146" s="894" t="n"/>
      <c r="O146" s="894" t="n"/>
      <c r="P146" s="894" t="n"/>
      <c r="Q146" s="894" t="n"/>
      <c r="R146" s="894" t="n"/>
      <c r="S146" s="894" t="n"/>
      <c r="T146" s="894" t="n"/>
      <c r="U146" s="894" t="n"/>
    </row>
    <row r="147" ht="15.75" customHeight="1" s="1128">
      <c r="A147" s="434" t="inlineStr">
        <is>
          <t>Space Water Bear</t>
        </is>
      </c>
      <c r="B147" s="1037" t="inlineStr">
        <is>
          <t>Other</t>
        </is>
      </c>
      <c r="C147" s="1037" t="inlineStr">
        <is>
          <t>Other</t>
        </is>
      </c>
      <c r="D147" s="371" t="n">
        <v>3</v>
      </c>
      <c r="E147" s="1037" t="n"/>
      <c r="F147" s="418" t="inlineStr">
        <is>
          <t>Unknown Log (0.02%), Precious Log (0.51%)</t>
        </is>
      </c>
      <c r="G147" s="894" t="n"/>
      <c r="H147" s="894" t="n"/>
      <c r="I147" s="894" t="n"/>
      <c r="J147" s="894" t="n"/>
      <c r="K147" s="894" t="n"/>
      <c r="L147" s="894" t="n"/>
      <c r="M147" s="894" t="n"/>
      <c r="N147" s="894" t="n"/>
      <c r="O147" s="894" t="n"/>
      <c r="P147" s="894" t="n"/>
      <c r="Q147" s="894" t="n"/>
      <c r="R147" s="894" t="n"/>
      <c r="S147" s="894" t="n"/>
      <c r="T147" s="894" t="n"/>
      <c r="U147" s="894" t="n"/>
    </row>
    <row r="148" ht="15.75" customHeight="1" s="1128">
      <c r="A148" s="434" t="inlineStr">
        <is>
          <t>Panda Hero</t>
        </is>
      </c>
      <c r="B148" s="1037" t="inlineStr">
        <is>
          <t>Other</t>
        </is>
      </c>
      <c r="C148" s="1037" t="inlineStr">
        <is>
          <t>Other</t>
        </is>
      </c>
      <c r="D148" s="371" t="n">
        <v>3</v>
      </c>
      <c r="E148" s="1037" t="n"/>
      <c r="F148" s="418" t="inlineStr">
        <is>
          <t>Unknown Log (0.02%), Precious Log (0.51%)</t>
        </is>
      </c>
      <c r="G148" s="894" t="n"/>
      <c r="H148" s="894" t="n"/>
      <c r="I148" s="894" t="n"/>
      <c r="J148" s="894" t="n"/>
      <c r="K148" s="894" t="n"/>
      <c r="L148" s="894" t="n"/>
      <c r="M148" s="894" t="n"/>
      <c r="N148" s="894" t="n"/>
      <c r="O148" s="894" t="n"/>
      <c r="P148" s="894" t="n"/>
      <c r="Q148" s="894" t="n"/>
      <c r="R148" s="894" t="n"/>
      <c r="S148" s="894" t="n"/>
      <c r="T148" s="894" t="n"/>
      <c r="U148" s="894" t="n"/>
    </row>
    <row r="149" ht="15.75" customHeight="1" s="1128">
      <c r="A149" s="362" t="inlineStr">
        <is>
          <t>Monkey King</t>
        </is>
      </c>
      <c r="B149" s="1079" t="inlineStr">
        <is>
          <t>Other</t>
        </is>
      </c>
      <c r="C149" s="1079" t="inlineStr">
        <is>
          <t>Other</t>
        </is>
      </c>
      <c r="D149" s="364" t="n">
        <v>3</v>
      </c>
      <c r="E149" s="1079" t="n"/>
      <c r="F149" s="426" t="inlineStr">
        <is>
          <t>Xmas Tree Bonus 2024 (1230 Draws)</t>
        </is>
      </c>
      <c r="G149" s="894" t="n"/>
      <c r="H149" s="894" t="n"/>
      <c r="I149" s="894" t="n"/>
      <c r="J149" s="894" t="n"/>
      <c r="K149" s="894" t="n"/>
      <c r="L149" s="894" t="n"/>
      <c r="M149" s="894" t="n"/>
      <c r="N149" s="894" t="n"/>
      <c r="O149" s="894" t="n"/>
      <c r="P149" s="894" t="n"/>
      <c r="Q149" s="894" t="n"/>
      <c r="R149" s="894" t="n"/>
      <c r="S149" s="894" t="n"/>
      <c r="T149" s="894" t="n"/>
      <c r="U149" s="894" t="n"/>
    </row>
    <row r="150" ht="15.75" customHeight="1" s="1128">
      <c r="A150" s="355" t="inlineStr">
        <is>
          <t>MAX TACTICAL LOGS</t>
        </is>
      </c>
      <c r="B150" s="1079" t="n"/>
      <c r="C150" s="1079" t="n"/>
      <c r="D150" s="364">
        <f>sum(D82:D144)</f>
        <v/>
      </c>
      <c r="E150" s="1079" t="n"/>
      <c r="F150" s="339" t="n"/>
      <c r="G150" s="894" t="n"/>
      <c r="H150" s="894" t="n"/>
      <c r="I150" s="894" t="n"/>
      <c r="J150" s="894" t="n"/>
      <c r="K150" s="894" t="n"/>
      <c r="L150" s="894" t="n"/>
      <c r="M150" s="894" t="n"/>
      <c r="N150" s="894" t="n"/>
      <c r="O150" s="894" t="n"/>
      <c r="P150" s="894" t="n"/>
      <c r="Q150" s="894" t="n"/>
      <c r="R150" s="894" t="n"/>
      <c r="S150" s="894" t="n"/>
      <c r="T150" s="894" t="n"/>
      <c r="U150" s="894" t="n"/>
    </row>
    <row r="151" ht="15.75" customHeight="1" s="1128">
      <c r="A151" s="376" t="n"/>
      <c r="B151" s="894" t="n"/>
      <c r="C151" s="894" t="n"/>
      <c r="D151" s="894" t="n"/>
      <c r="E151" s="894" t="n"/>
      <c r="F151" s="368" t="n"/>
      <c r="G151" s="894" t="n"/>
      <c r="H151" s="894" t="n"/>
      <c r="I151" s="894" t="n"/>
      <c r="J151" s="894" t="n"/>
      <c r="K151" s="894" t="n"/>
      <c r="L151" s="894" t="n"/>
      <c r="M151" s="894" t="n"/>
      <c r="N151" s="894" t="n"/>
      <c r="O151" s="894" t="n"/>
      <c r="P151" s="894" t="n"/>
      <c r="Q151" s="894" t="n"/>
      <c r="R151" s="894" t="n"/>
      <c r="S151" s="894" t="n"/>
      <c r="T151" s="894" t="n"/>
      <c r="U151" s="894" t="n"/>
    </row>
    <row r="152" ht="15.75" customHeight="1" s="1128">
      <c r="A152" s="376" t="n"/>
      <c r="B152" s="894" t="n"/>
      <c r="C152" s="894" t="n"/>
      <c r="D152" s="894" t="n"/>
      <c r="E152" s="894" t="n"/>
      <c r="F152" s="368" t="n"/>
      <c r="G152" s="894" t="n"/>
      <c r="H152" s="894" t="n"/>
      <c r="I152" s="894" t="n"/>
      <c r="J152" s="894" t="n"/>
      <c r="K152" s="894" t="n"/>
      <c r="L152" s="894" t="n"/>
      <c r="M152" s="894" t="n"/>
      <c r="N152" s="894" t="n"/>
      <c r="O152" s="894" t="n"/>
      <c r="P152" s="894" t="n"/>
      <c r="Q152" s="894" t="n"/>
      <c r="R152" s="894" t="n"/>
      <c r="S152" s="894" t="n"/>
      <c r="T152" s="894" t="n"/>
      <c r="U152" s="894" t="n"/>
    </row>
    <row r="153" ht="15.75" customHeight="1" s="1128">
      <c r="A153" s="424" t="inlineStr">
        <is>
          <t>ANOMALY RECORDS</t>
        </is>
      </c>
      <c r="B153" s="784" t="n"/>
      <c r="C153" s="784" t="n"/>
      <c r="D153" s="784" t="n"/>
      <c r="E153" s="784" t="n"/>
      <c r="F153" s="353" t="n"/>
      <c r="G153" s="894" t="n"/>
      <c r="H153" s="894" t="n"/>
      <c r="I153" s="894" t="n"/>
      <c r="J153" s="894" t="n"/>
      <c r="K153" s="894" t="n"/>
      <c r="L153" s="894" t="n"/>
      <c r="M153" s="894" t="n"/>
      <c r="N153" s="894" t="n"/>
      <c r="O153" s="894" t="n"/>
      <c r="P153" s="894" t="n"/>
      <c r="Q153" s="894" t="n"/>
      <c r="R153" s="894" t="n"/>
      <c r="S153" s="894" t="n"/>
      <c r="T153" s="894" t="n"/>
      <c r="U153" s="894" t="n"/>
    </row>
    <row r="154" ht="15.75" customHeight="1" s="1128">
      <c r="A154" s="434" t="inlineStr">
        <is>
          <t>X-4</t>
        </is>
      </c>
      <c r="B154" s="1037" t="n"/>
      <c r="C154" s="1037" t="n"/>
      <c r="D154" s="371" t="n">
        <v>10</v>
      </c>
      <c r="E154" s="1037" t="n"/>
      <c r="F154" s="418" t="inlineStr">
        <is>
          <t>Anomaly Record #4</t>
        </is>
      </c>
      <c r="G154" s="894" t="n"/>
      <c r="H154" s="894" t="n"/>
      <c r="I154" s="894" t="n"/>
      <c r="J154" s="894" t="n"/>
      <c r="K154" s="894" t="n"/>
      <c r="L154" s="894" t="n"/>
      <c r="M154" s="894" t="n"/>
      <c r="N154" s="894" t="n"/>
      <c r="O154" s="894" t="n"/>
      <c r="P154" s="894" t="n"/>
      <c r="Q154" s="894" t="n"/>
      <c r="R154" s="894" t="n"/>
      <c r="S154" s="894" t="n"/>
      <c r="T154" s="894" t="n"/>
      <c r="U154" s="894" t="n"/>
    </row>
    <row r="155" ht="15.75" customHeight="1" s="1128">
      <c r="A155" s="434" t="inlineStr">
        <is>
          <t>D-9</t>
        </is>
      </c>
      <c r="B155" s="1037" t="n"/>
      <c r="C155" s="1037" t="n"/>
      <c r="D155" s="371" t="n">
        <v>10</v>
      </c>
      <c r="E155" s="1037" t="n"/>
      <c r="F155" s="418" t="inlineStr">
        <is>
          <t>Anomaly Record #9</t>
        </is>
      </c>
      <c r="G155" s="894" t="n"/>
      <c r="H155" s="894" t="n"/>
      <c r="I155" s="894" t="n"/>
      <c r="J155" s="894" t="n"/>
      <c r="K155" s="894" t="n"/>
      <c r="L155" s="894" t="n"/>
      <c r="M155" s="894" t="n"/>
      <c r="N155" s="894" t="n"/>
      <c r="O155" s="894" t="n"/>
      <c r="P155" s="894" t="n"/>
      <c r="Q155" s="894" t="n"/>
      <c r="R155" s="894" t="n"/>
      <c r="S155" s="894" t="n"/>
      <c r="T155" s="894" t="n"/>
      <c r="U155" s="894" t="n"/>
    </row>
    <row r="156" ht="15.75" customHeight="1" s="1128">
      <c r="A156" s="434" t="inlineStr">
        <is>
          <t>U-13</t>
        </is>
      </c>
      <c r="B156" s="1037" t="n"/>
      <c r="C156" s="1037" t="n"/>
      <c r="D156" s="371" t="n">
        <v>10</v>
      </c>
      <c r="E156" s="1037" t="n"/>
      <c r="F156" s="418" t="inlineStr">
        <is>
          <t>Anomaly Record #13</t>
        </is>
      </c>
      <c r="G156" s="894" t="n"/>
      <c r="H156" s="894" t="n"/>
      <c r="I156" s="894" t="n"/>
      <c r="J156" s="894" t="n"/>
      <c r="K156" s="894" t="n"/>
      <c r="L156" s="894" t="n"/>
      <c r="M156" s="894" t="n"/>
      <c r="N156" s="894" t="n"/>
      <c r="O156" s="894" t="n"/>
      <c r="P156" s="894" t="n"/>
      <c r="Q156" s="894" t="n"/>
      <c r="R156" s="894" t="n"/>
      <c r="S156" s="894" t="n"/>
      <c r="T156" s="894" t="n"/>
      <c r="U156" s="894" t="n"/>
    </row>
    <row r="157" ht="15.75" customHeight="1" s="1128">
      <c r="A157" s="434" t="inlineStr">
        <is>
          <t>H-19</t>
        </is>
      </c>
      <c r="B157" s="1037" t="n"/>
      <c r="C157" s="1037" t="n"/>
      <c r="D157" s="371" t="n">
        <v>10</v>
      </c>
      <c r="E157" s="1037" t="n"/>
      <c r="F157" s="418" t="inlineStr">
        <is>
          <t>Anomaly Record #19</t>
        </is>
      </c>
      <c r="G157" s="894" t="n"/>
      <c r="H157" s="894" t="n"/>
      <c r="I157" s="894" t="n"/>
      <c r="J157" s="894" t="n"/>
      <c r="K157" s="894" t="n"/>
      <c r="L157" s="894" t="n"/>
      <c r="M157" s="894" t="n"/>
      <c r="N157" s="894" t="n"/>
      <c r="O157" s="894" t="n"/>
      <c r="P157" s="894" t="n"/>
      <c r="Q157" s="894" t="n"/>
      <c r="R157" s="894" t="n"/>
      <c r="S157" s="894" t="n"/>
      <c r="T157" s="894" t="n"/>
      <c r="U157" s="894" t="n"/>
    </row>
    <row r="158" ht="15.75" customHeight="1" s="1128">
      <c r="A158" s="434" t="inlineStr">
        <is>
          <t>N-23</t>
        </is>
      </c>
      <c r="B158" s="1037" t="n"/>
      <c r="C158" s="1037" t="n"/>
      <c r="D158" s="371" t="n">
        <v>10</v>
      </c>
      <c r="E158" s="1037" t="n"/>
      <c r="F158" s="418" t="inlineStr">
        <is>
          <t>Anomaly Record #23</t>
        </is>
      </c>
      <c r="G158" s="894" t="n"/>
      <c r="H158" s="894" t="n"/>
      <c r="I158" s="894" t="n"/>
      <c r="J158" s="894" t="n"/>
      <c r="K158" s="894" t="n"/>
      <c r="L158" s="894" t="n"/>
      <c r="M158" s="894" t="n"/>
      <c r="N158" s="894" t="n"/>
      <c r="O158" s="894" t="n"/>
      <c r="P158" s="894" t="n"/>
      <c r="Q158" s="894" t="n"/>
      <c r="R158" s="894" t="n"/>
      <c r="S158" s="894" t="n"/>
      <c r="T158" s="894" t="n"/>
      <c r="U158" s="894" t="n"/>
    </row>
    <row r="159" ht="15.75" customHeight="1" s="1128">
      <c r="A159" s="434" t="inlineStr">
        <is>
          <t>K-29</t>
        </is>
      </c>
      <c r="B159" s="1037" t="n"/>
      <c r="C159" s="1037" t="n"/>
      <c r="D159" s="371" t="n">
        <v>10</v>
      </c>
      <c r="E159" s="1037" t="n"/>
      <c r="F159" s="418" t="inlineStr">
        <is>
          <t>Anomaly Record #29</t>
        </is>
      </c>
      <c r="G159" s="894" t="n"/>
      <c r="H159" s="894" t="n"/>
      <c r="I159" s="894" t="n"/>
      <c r="J159" s="894" t="n"/>
      <c r="K159" s="894" t="n"/>
      <c r="L159" s="894" t="n"/>
      <c r="M159" s="894" t="n"/>
      <c r="N159" s="894" t="n"/>
      <c r="O159" s="894" t="n"/>
      <c r="P159" s="894" t="n"/>
      <c r="Q159" s="894" t="n"/>
      <c r="R159" s="894" t="n"/>
      <c r="S159" s="894" t="n"/>
      <c r="T159" s="894" t="n"/>
      <c r="U159" s="894" t="n"/>
    </row>
    <row r="160" ht="15.75" customHeight="1" s="1128">
      <c r="A160" s="434" t="inlineStr">
        <is>
          <t>Z-33</t>
        </is>
      </c>
      <c r="B160" s="1037" t="n"/>
      <c r="C160" s="1037" t="n"/>
      <c r="D160" s="371" t="n">
        <v>10</v>
      </c>
      <c r="E160" s="1037" t="n"/>
      <c r="F160" s="418" t="inlineStr">
        <is>
          <t>Anomaly Record #33</t>
        </is>
      </c>
      <c r="G160" s="894" t="n"/>
      <c r="H160" s="894" t="n"/>
      <c r="I160" s="894" t="n"/>
      <c r="J160" s="894" t="n"/>
      <c r="K160" s="894" t="n"/>
      <c r="L160" s="894" t="n"/>
      <c r="M160" s="894" t="n"/>
      <c r="N160" s="894" t="n"/>
      <c r="O160" s="894" t="n"/>
      <c r="P160" s="894" t="n"/>
      <c r="Q160" s="894" t="n"/>
      <c r="R160" s="894" t="n"/>
      <c r="S160" s="894" t="n"/>
      <c r="T160" s="894" t="n"/>
      <c r="U160" s="894" t="n"/>
    </row>
    <row r="161" ht="15.75" customHeight="1" s="1128">
      <c r="A161" s="434" t="inlineStr">
        <is>
          <t>Q-39</t>
        </is>
      </c>
      <c r="B161" s="1037" t="n"/>
      <c r="C161" s="1037" t="n"/>
      <c r="D161" s="371" t="n">
        <v>10</v>
      </c>
      <c r="E161" s="1037" t="n"/>
      <c r="F161" s="418" t="inlineStr">
        <is>
          <t>Anomaly Record #39</t>
        </is>
      </c>
      <c r="G161" s="894" t="n"/>
      <c r="H161" s="894" t="n"/>
      <c r="I161" s="894" t="n"/>
      <c r="J161" s="894" t="n"/>
      <c r="K161" s="894" t="n"/>
      <c r="L161" s="894" t="n"/>
      <c r="M161" s="894" t="n"/>
      <c r="N161" s="894" t="n"/>
      <c r="O161" s="894" t="n"/>
      <c r="P161" s="894" t="n"/>
      <c r="Q161" s="894" t="n"/>
      <c r="R161" s="894" t="n"/>
      <c r="S161" s="894" t="n"/>
      <c r="T161" s="894" t="n"/>
      <c r="U161" s="894" t="n"/>
    </row>
    <row r="162" ht="15.75" customHeight="1" s="1128">
      <c r="A162" s="434" t="inlineStr">
        <is>
          <t>U-43</t>
        </is>
      </c>
      <c r="B162" s="1037" t="n"/>
      <c r="C162" s="1037" t="n"/>
      <c r="D162" s="371" t="n">
        <v>10</v>
      </c>
      <c r="E162" s="1037" t="n"/>
      <c r="F162" s="418" t="inlineStr">
        <is>
          <t>Anomaly Record #43</t>
        </is>
      </c>
      <c r="G162" s="894" t="n"/>
      <c r="H162" s="894" t="n"/>
      <c r="I162" s="894" t="n"/>
      <c r="J162" s="894" t="n"/>
      <c r="K162" s="894" t="n"/>
      <c r="L162" s="894" t="n"/>
      <c r="M162" s="894" t="n"/>
      <c r="N162" s="894" t="n"/>
      <c r="O162" s="894" t="n"/>
      <c r="P162" s="894" t="n"/>
      <c r="Q162" s="894" t="n"/>
      <c r="R162" s="894" t="n"/>
      <c r="S162" s="894" t="n"/>
      <c r="T162" s="894" t="n"/>
      <c r="U162" s="894" t="n"/>
    </row>
    <row r="163" ht="15.75" customHeight="1" s="1128">
      <c r="A163" s="434" t="inlineStr">
        <is>
          <t>Y-49</t>
        </is>
      </c>
      <c r="B163" s="1037" t="n"/>
      <c r="C163" s="1037" t="n"/>
      <c r="D163" s="371" t="n">
        <v>10</v>
      </c>
      <c r="E163" s="1037" t="n"/>
      <c r="F163" s="418" t="inlineStr">
        <is>
          <t>Anomaly Record #49</t>
        </is>
      </c>
      <c r="G163" s="894" t="n"/>
      <c r="H163" s="894" t="n"/>
      <c r="I163" s="894" t="n"/>
      <c r="J163" s="894" t="n"/>
      <c r="K163" s="894" t="n"/>
      <c r="L163" s="894" t="n"/>
      <c r="M163" s="894" t="n"/>
      <c r="N163" s="894" t="n"/>
      <c r="O163" s="894" t="n"/>
      <c r="P163" s="894" t="n"/>
      <c r="Q163" s="894" t="n"/>
      <c r="R163" s="894" t="n"/>
      <c r="S163" s="894" t="n"/>
      <c r="T163" s="894" t="n"/>
      <c r="U163" s="894" t="n"/>
    </row>
    <row r="164" ht="15.75" customHeight="1" s="1128">
      <c r="A164" s="434" t="inlineStr">
        <is>
          <t>B-53</t>
        </is>
      </c>
      <c r="B164" s="1037" t="n"/>
      <c r="C164" s="1037" t="n"/>
      <c r="D164" s="371" t="n">
        <v>10</v>
      </c>
      <c r="E164" s="1037" t="n"/>
      <c r="F164" s="418" t="inlineStr">
        <is>
          <t>Anomaly Record #53</t>
        </is>
      </c>
      <c r="G164" s="894" t="n"/>
      <c r="H164" s="894" t="n"/>
      <c r="I164" s="894" t="n"/>
      <c r="J164" s="894" t="n"/>
      <c r="K164" s="894" t="n"/>
      <c r="L164" s="894" t="n"/>
      <c r="M164" s="894" t="n"/>
      <c r="N164" s="894" t="n"/>
      <c r="O164" s="894" t="n"/>
      <c r="P164" s="894" t="n"/>
      <c r="Q164" s="894" t="n"/>
      <c r="R164" s="894" t="n"/>
      <c r="S164" s="894" t="n"/>
      <c r="T164" s="894" t="n"/>
      <c r="U164" s="894" t="n"/>
    </row>
    <row r="165" ht="15.75" customHeight="1" s="1128">
      <c r="A165" s="434" t="inlineStr">
        <is>
          <t>J-58</t>
        </is>
      </c>
      <c r="B165" s="1037" t="n"/>
      <c r="C165" s="1037" t="n"/>
      <c r="D165" s="371" t="n">
        <v>10</v>
      </c>
      <c r="E165" s="1037" t="n"/>
      <c r="F165" s="418" t="inlineStr">
        <is>
          <t>Anomaly Record #58</t>
        </is>
      </c>
      <c r="G165" s="894" t="n"/>
      <c r="H165" s="894" t="n"/>
      <c r="I165" s="894" t="n"/>
      <c r="J165" s="894" t="n"/>
      <c r="K165" s="894" t="n"/>
      <c r="L165" s="894" t="n"/>
      <c r="M165" s="894" t="n"/>
      <c r="N165" s="894" t="n"/>
      <c r="O165" s="894" t="n"/>
      <c r="P165" s="894" t="n"/>
      <c r="Q165" s="894" t="n"/>
      <c r="R165" s="894" t="n"/>
      <c r="S165" s="894" t="n"/>
      <c r="T165" s="894" t="n"/>
      <c r="U165" s="894" t="n"/>
    </row>
    <row r="166" ht="15.75" customHeight="1" s="1128">
      <c r="A166" s="434" t="inlineStr">
        <is>
          <t>O-64</t>
        </is>
      </c>
      <c r="B166" s="1037" t="n"/>
      <c r="C166" s="1037" t="n"/>
      <c r="D166" s="371" t="n">
        <v>10</v>
      </c>
      <c r="E166" s="1037" t="n"/>
      <c r="F166" s="418" t="inlineStr">
        <is>
          <t>Anomaly Record #64</t>
        </is>
      </c>
      <c r="G166" s="894" t="n"/>
      <c r="H166" s="894" t="n"/>
      <c r="I166" s="894" t="n"/>
      <c r="J166" s="894" t="n"/>
      <c r="K166" s="894" t="n"/>
      <c r="L166" s="894" t="n"/>
      <c r="M166" s="894" t="n"/>
      <c r="N166" s="894" t="n"/>
      <c r="O166" s="894" t="n"/>
      <c r="P166" s="894" t="n"/>
      <c r="Q166" s="894" t="n"/>
      <c r="R166" s="894" t="n"/>
      <c r="S166" s="894" t="n"/>
      <c r="T166" s="894" t="n"/>
      <c r="U166" s="894" t="n"/>
    </row>
    <row r="167" ht="15.75" customHeight="1" s="1128">
      <c r="A167" s="434" t="inlineStr">
        <is>
          <t>R-68</t>
        </is>
      </c>
      <c r="B167" s="1037" t="n"/>
      <c r="C167" s="1037" t="n"/>
      <c r="D167" s="371" t="n">
        <v>10</v>
      </c>
      <c r="E167" s="1037" t="n"/>
      <c r="F167" s="418" t="inlineStr">
        <is>
          <t>Anomaly Record #68</t>
        </is>
      </c>
      <c r="G167" s="894" t="n"/>
      <c r="H167" s="894" t="n"/>
      <c r="I167" s="894" t="n"/>
      <c r="J167" s="894" t="n"/>
      <c r="K167" s="894" t="n"/>
      <c r="L167" s="894" t="n"/>
      <c r="M167" s="894" t="n"/>
      <c r="N167" s="894" t="n"/>
      <c r="O167" s="894" t="n"/>
      <c r="P167" s="894" t="n"/>
      <c r="Q167" s="894" t="n"/>
      <c r="R167" s="894" t="n"/>
      <c r="S167" s="894" t="n"/>
      <c r="T167" s="894" t="n"/>
      <c r="U167" s="894" t="n"/>
    </row>
    <row r="168" ht="15.75" customHeight="1" s="1128">
      <c r="A168" s="434" t="inlineStr">
        <is>
          <t>M-75</t>
        </is>
      </c>
      <c r="B168" s="1037" t="n"/>
      <c r="C168" s="1037" t="n"/>
      <c r="D168" s="371" t="n">
        <v>10</v>
      </c>
      <c r="E168" s="1037" t="n"/>
      <c r="F168" s="418" t="inlineStr">
        <is>
          <t>Anomaly Record #75</t>
        </is>
      </c>
      <c r="G168" s="894" t="n"/>
      <c r="H168" s="894" t="n"/>
      <c r="I168" s="894" t="n"/>
      <c r="J168" s="894" t="n"/>
      <c r="K168" s="894" t="n"/>
      <c r="L168" s="894" t="n"/>
      <c r="M168" s="894" t="n"/>
      <c r="N168" s="894" t="n"/>
      <c r="O168" s="894" t="n"/>
      <c r="P168" s="894" t="n"/>
      <c r="Q168" s="894" t="n"/>
      <c r="R168" s="894" t="n"/>
      <c r="S168" s="894" t="n"/>
      <c r="T168" s="894" t="n"/>
      <c r="U168" s="894" t="n"/>
    </row>
    <row r="169" ht="15.75" customHeight="1" s="1128">
      <c r="A169" s="434" t="inlineStr">
        <is>
          <t>T-79</t>
        </is>
      </c>
      <c r="B169" s="1037" t="n"/>
      <c r="C169" s="1037" t="n"/>
      <c r="D169" s="371" t="n">
        <v>10</v>
      </c>
      <c r="E169" s="1037" t="n"/>
      <c r="F169" s="418" t="inlineStr">
        <is>
          <t>Anomaly Record #79</t>
        </is>
      </c>
      <c r="G169" s="894" t="n"/>
      <c r="H169" s="894" t="n"/>
      <c r="I169" s="894" t="n"/>
      <c r="J169" s="894" t="n"/>
      <c r="K169" s="894" t="n"/>
      <c r="L169" s="894" t="n"/>
      <c r="M169" s="894" t="n"/>
      <c r="N169" s="894" t="n"/>
      <c r="O169" s="894" t="n"/>
      <c r="P169" s="894" t="n"/>
      <c r="Q169" s="894" t="n"/>
      <c r="R169" s="894" t="n"/>
      <c r="S169" s="894" t="n"/>
      <c r="T169" s="894" t="n"/>
      <c r="U169" s="894" t="n"/>
    </row>
    <row r="170" ht="15.75" customHeight="1" s="1128">
      <c r="A170" s="434" t="inlineStr">
        <is>
          <t>U-83</t>
        </is>
      </c>
      <c r="B170" s="1037" t="n"/>
      <c r="C170" s="1037" t="n"/>
      <c r="D170" s="371" t="n">
        <v>10</v>
      </c>
      <c r="E170" s="1037" t="n"/>
      <c r="F170" s="418" t="inlineStr">
        <is>
          <t>Anomaly Record #83</t>
        </is>
      </c>
      <c r="G170" s="894" t="n"/>
      <c r="H170" s="894" t="n"/>
      <c r="I170" s="894" t="n"/>
      <c r="J170" s="894" t="n"/>
      <c r="K170" s="894" t="n"/>
      <c r="L170" s="894" t="n"/>
      <c r="M170" s="894" t="n"/>
      <c r="N170" s="894" t="n"/>
      <c r="O170" s="894" t="n"/>
      <c r="P170" s="894" t="n"/>
      <c r="Q170" s="894" t="n"/>
      <c r="R170" s="894" t="n"/>
      <c r="S170" s="894" t="n"/>
      <c r="T170" s="894" t="n"/>
      <c r="U170" s="894" t="n"/>
    </row>
    <row r="171" ht="15.75" customHeight="1" s="1128">
      <c r="A171" s="362" t="inlineStr">
        <is>
          <t>C-89</t>
        </is>
      </c>
      <c r="B171" s="1079" t="n"/>
      <c r="C171" s="1079" t="n"/>
      <c r="D171" s="364" t="n">
        <v>10</v>
      </c>
      <c r="E171" s="1079" t="n"/>
      <c r="F171" s="426" t="inlineStr">
        <is>
          <t>Anomaly Record #89</t>
        </is>
      </c>
      <c r="G171" s="894" t="n"/>
      <c r="H171" s="894" t="n"/>
      <c r="I171" s="894" t="n"/>
      <c r="J171" s="894" t="n"/>
      <c r="K171" s="894" t="n"/>
      <c r="L171" s="894" t="n"/>
      <c r="M171" s="894" t="n"/>
      <c r="N171" s="894" t="n"/>
      <c r="O171" s="894" t="n"/>
      <c r="P171" s="894" t="n"/>
      <c r="Q171" s="894" t="n"/>
      <c r="R171" s="894" t="n"/>
      <c r="S171" s="894" t="n"/>
      <c r="T171" s="894" t="n"/>
      <c r="U171" s="894" t="n"/>
    </row>
    <row r="172" ht="15.75" customHeight="1" s="1128">
      <c r="A172" s="355" t="inlineStr">
        <is>
          <t>MAX ANOMALY RECORDS</t>
        </is>
      </c>
      <c r="B172" s="1079" t="n"/>
      <c r="C172" s="1079" t="n"/>
      <c r="D172" s="364">
        <f>SUM(D154:D171)</f>
        <v/>
      </c>
      <c r="E172" s="1079" t="n"/>
      <c r="F172" s="339" t="n"/>
      <c r="G172" s="894" t="n"/>
      <c r="H172" s="894" t="n"/>
      <c r="I172" s="894" t="n"/>
      <c r="J172" s="894" t="n"/>
      <c r="K172" s="894" t="n"/>
      <c r="L172" s="894" t="n"/>
      <c r="M172" s="894" t="n"/>
      <c r="N172" s="894" t="n"/>
      <c r="O172" s="894" t="n"/>
      <c r="P172" s="894" t="n"/>
      <c r="Q172" s="894" t="n"/>
      <c r="R172" s="894" t="n"/>
      <c r="S172" s="894" t="n"/>
      <c r="T172" s="894" t="n"/>
      <c r="U172" s="894" t="n"/>
    </row>
    <row r="173" ht="15.75" customHeight="1" s="1128">
      <c r="A173" s="357" t="n"/>
      <c r="B173" s="894" t="n"/>
      <c r="C173" s="894" t="n"/>
      <c r="D173" s="371" t="n"/>
      <c r="E173" s="894" t="n"/>
      <c r="F173" s="368" t="n"/>
      <c r="G173" s="894" t="n"/>
      <c r="H173" s="894" t="n"/>
      <c r="I173" s="894" t="n"/>
      <c r="J173" s="894" t="n"/>
      <c r="K173" s="894" t="n"/>
      <c r="L173" s="894" t="n"/>
      <c r="M173" s="894" t="n"/>
      <c r="N173" s="894" t="n"/>
      <c r="O173" s="894" t="n"/>
      <c r="P173" s="894" t="n"/>
      <c r="Q173" s="894" t="n"/>
      <c r="R173" s="894" t="n"/>
      <c r="S173" s="894" t="n"/>
      <c r="T173" s="894" t="n"/>
      <c r="U173" s="894" t="n"/>
    </row>
    <row r="174" ht="15.75" customHeight="1" s="1128">
      <c r="A174" s="357" t="n"/>
      <c r="B174" s="894" t="n"/>
      <c r="C174" s="894" t="n"/>
      <c r="D174" s="371" t="n"/>
      <c r="E174" s="894" t="n"/>
      <c r="F174" s="368" t="n"/>
      <c r="G174" s="894" t="n"/>
      <c r="H174" s="894" t="n"/>
      <c r="I174" s="894" t="n"/>
      <c r="J174" s="894" t="n"/>
      <c r="K174" s="894" t="n"/>
      <c r="L174" s="894" t="n"/>
      <c r="M174" s="894" t="n"/>
      <c r="N174" s="894" t="n"/>
      <c r="O174" s="894" t="n"/>
      <c r="P174" s="894" t="n"/>
      <c r="Q174" s="894" t="n"/>
      <c r="R174" s="894" t="n"/>
      <c r="S174" s="894" t="n"/>
      <c r="T174" s="894" t="n"/>
      <c r="U174" s="894" t="n"/>
    </row>
    <row r="175" ht="15.75" customHeight="1" s="1128">
      <c r="A175" s="424" t="inlineStr">
        <is>
          <t>COLLECTORS TALENTS</t>
        </is>
      </c>
      <c r="B175" s="784" t="n"/>
      <c r="C175" s="784" t="n"/>
      <c r="D175" s="784" t="n"/>
      <c r="E175" s="784" t="n"/>
      <c r="F175" s="353" t="n"/>
      <c r="G175" s="894" t="n"/>
      <c r="H175" s="894" t="n"/>
      <c r="I175" s="894" t="n"/>
      <c r="J175" s="894" t="n"/>
      <c r="K175" s="894" t="n"/>
      <c r="L175" s="894" t="n"/>
      <c r="M175" s="894" t="n"/>
      <c r="N175" s="894" t="n"/>
      <c r="O175" s="894" t="n"/>
      <c r="P175" s="894" t="n"/>
      <c r="Q175" s="894" t="n"/>
      <c r="R175" s="894" t="n"/>
      <c r="S175" s="894" t="n"/>
      <c r="T175" s="894" t="n"/>
      <c r="U175" s="894" t="n"/>
    </row>
    <row r="176" ht="15.75" customHeight="1" s="1128">
      <c r="A176" s="434" t="inlineStr">
        <is>
          <t>Leadership</t>
        </is>
      </c>
      <c r="B176" s="1037" t="n"/>
      <c r="C176" s="1037" t="n"/>
      <c r="D176" s="371" t="n">
        <v>10</v>
      </c>
      <c r="E176" s="1037" t="n"/>
      <c r="F176" s="418" t="inlineStr">
        <is>
          <t>Right Floor 1</t>
        </is>
      </c>
      <c r="G176" s="894" t="n"/>
      <c r="H176" s="894" t="n"/>
      <c r="I176" s="894" t="n"/>
      <c r="J176" s="894" t="n"/>
      <c r="K176" s="894" t="n"/>
      <c r="L176" s="894" t="n"/>
      <c r="M176" s="894" t="n"/>
      <c r="N176" s="894" t="n"/>
      <c r="O176" s="894" t="n"/>
      <c r="P176" s="894" t="n"/>
      <c r="Q176" s="894" t="n"/>
      <c r="R176" s="894" t="n"/>
      <c r="S176" s="894" t="n"/>
      <c r="T176" s="894" t="n"/>
      <c r="U176" s="894" t="n"/>
    </row>
    <row r="177" ht="15.75" customHeight="1" s="1128">
      <c r="A177" s="434" t="inlineStr">
        <is>
          <t>Leadership</t>
        </is>
      </c>
      <c r="B177" s="1037" t="n"/>
      <c r="C177" s="1037" t="n"/>
      <c r="D177" s="371" t="n">
        <v>10</v>
      </c>
      <c r="E177" s="1037" t="n"/>
      <c r="F177" s="418" t="inlineStr">
        <is>
          <t>Right Floor 3</t>
        </is>
      </c>
      <c r="G177" s="894" t="n"/>
      <c r="H177" s="894" t="n"/>
      <c r="I177" s="894" t="n"/>
      <c r="J177" s="894" t="n"/>
      <c r="K177" s="894" t="n"/>
      <c r="L177" s="894" t="n"/>
      <c r="M177" s="894" t="n"/>
      <c r="N177" s="894" t="n"/>
      <c r="O177" s="894" t="n"/>
      <c r="P177" s="894" t="n"/>
      <c r="Q177" s="894" t="n"/>
      <c r="R177" s="894" t="n"/>
      <c r="S177" s="894" t="n"/>
      <c r="T177" s="894" t="n"/>
      <c r="U177" s="894" t="n"/>
    </row>
    <row r="178" ht="15.75" customHeight="1" s="1128">
      <c r="A178" s="434" t="inlineStr">
        <is>
          <t>Leadership</t>
        </is>
      </c>
      <c r="B178" s="1037" t="n"/>
      <c r="C178" s="1037" t="n"/>
      <c r="D178" s="371" t="n">
        <v>10</v>
      </c>
      <c r="E178" s="1037" t="n"/>
      <c r="F178" s="418" t="inlineStr">
        <is>
          <t>Right Floor 5</t>
        </is>
      </c>
      <c r="G178" s="894" t="n"/>
      <c r="H178" s="894" t="n"/>
      <c r="I178" s="894" t="n"/>
      <c r="J178" s="894" t="n"/>
      <c r="K178" s="894" t="n"/>
      <c r="L178" s="894" t="n"/>
      <c r="M178" s="894" t="n"/>
      <c r="N178" s="894" t="n"/>
      <c r="O178" s="894" t="n"/>
      <c r="P178" s="894" t="n"/>
      <c r="Q178" s="894" t="n"/>
      <c r="R178" s="894" t="n"/>
      <c r="S178" s="894" t="n"/>
      <c r="T178" s="894" t="n"/>
      <c r="U178" s="894" t="n"/>
    </row>
    <row r="179" ht="15.75" customHeight="1" s="1128">
      <c r="A179" s="434" t="inlineStr">
        <is>
          <t>Leadership</t>
        </is>
      </c>
      <c r="B179" s="1037" t="n"/>
      <c r="C179" s="1037" t="n"/>
      <c r="D179" s="371" t="n">
        <v>10</v>
      </c>
      <c r="E179" s="1037" t="n"/>
      <c r="F179" s="418" t="inlineStr">
        <is>
          <t>Right Floor 7</t>
        </is>
      </c>
      <c r="G179" s="894" t="n"/>
      <c r="H179" s="894" t="n"/>
      <c r="I179" s="894" t="n"/>
      <c r="J179" s="894" t="n"/>
      <c r="K179" s="894" t="n"/>
      <c r="L179" s="894" t="n"/>
      <c r="M179" s="894" t="n"/>
      <c r="N179" s="894" t="n"/>
      <c r="O179" s="894" t="n"/>
      <c r="P179" s="894" t="n"/>
      <c r="Q179" s="894" t="n"/>
      <c r="R179" s="894" t="n"/>
      <c r="S179" s="894" t="n"/>
      <c r="T179" s="894" t="n"/>
      <c r="U179" s="894" t="n"/>
    </row>
    <row r="180" ht="15.75" customHeight="1" s="1128">
      <c r="A180" s="434" t="inlineStr">
        <is>
          <t>Leadership</t>
        </is>
      </c>
      <c r="B180" s="1037" t="n"/>
      <c r="C180" s="1037" t="n"/>
      <c r="D180" s="371" t="n">
        <v>10</v>
      </c>
      <c r="E180" s="1037" t="n"/>
      <c r="F180" s="418" t="inlineStr">
        <is>
          <t>Right Floor 9</t>
        </is>
      </c>
      <c r="G180" s="894" t="n"/>
      <c r="H180" s="894" t="n"/>
      <c r="I180" s="894" t="n"/>
      <c r="J180" s="894" t="n"/>
      <c r="K180" s="894" t="n"/>
      <c r="L180" s="894" t="n"/>
      <c r="M180" s="894" t="n"/>
      <c r="N180" s="894" t="n"/>
      <c r="O180" s="894" t="n"/>
      <c r="P180" s="894" t="n"/>
      <c r="Q180" s="894" t="n"/>
      <c r="R180" s="894" t="n"/>
      <c r="S180" s="894" t="n"/>
      <c r="T180" s="894" t="n"/>
      <c r="U180" s="894" t="n"/>
    </row>
    <row r="181" ht="15.75" customHeight="1" s="1128">
      <c r="A181" s="434" t="inlineStr">
        <is>
          <t>Leadership</t>
        </is>
      </c>
      <c r="B181" s="1037" t="n"/>
      <c r="C181" s="1037" t="n"/>
      <c r="D181" s="371" t="n">
        <v>10</v>
      </c>
      <c r="E181" s="1037" t="n"/>
      <c r="F181" s="418" t="inlineStr">
        <is>
          <t>Right Floor 11</t>
        </is>
      </c>
      <c r="G181" s="894" t="n"/>
      <c r="H181" s="894" t="n"/>
      <c r="I181" s="894" t="n"/>
      <c r="J181" s="894" t="n"/>
      <c r="K181" s="894" t="n"/>
      <c r="L181" s="894" t="n"/>
      <c r="M181" s="894" t="n"/>
      <c r="N181" s="894" t="n"/>
      <c r="O181" s="894" t="n"/>
      <c r="P181" s="894" t="n"/>
      <c r="Q181" s="894" t="n"/>
      <c r="R181" s="894" t="n"/>
      <c r="S181" s="894" t="n"/>
      <c r="T181" s="894" t="n"/>
      <c r="U181" s="894" t="n"/>
    </row>
    <row r="182" ht="15.75" customHeight="1" s="1128">
      <c r="A182" s="362" t="inlineStr">
        <is>
          <t>Leadership</t>
        </is>
      </c>
      <c r="B182" s="1079" t="n"/>
      <c r="C182" s="1079" t="n"/>
      <c r="D182" s="364" t="n">
        <v>10</v>
      </c>
      <c r="E182" s="1079" t="n"/>
      <c r="F182" s="426" t="inlineStr">
        <is>
          <t>Right Floor 13</t>
        </is>
      </c>
      <c r="G182" s="894" t="n"/>
      <c r="H182" s="894" t="n"/>
      <c r="I182" s="894" t="n"/>
      <c r="J182" s="894" t="n"/>
      <c r="K182" s="894" t="n"/>
      <c r="L182" s="894" t="n"/>
      <c r="M182" s="894" t="n"/>
      <c r="N182" s="894" t="n"/>
      <c r="O182" s="894" t="n"/>
      <c r="P182" s="894" t="n"/>
      <c r="Q182" s="894" t="n"/>
      <c r="R182" s="894" t="n"/>
      <c r="S182" s="894" t="n"/>
      <c r="T182" s="894" t="n"/>
      <c r="U182" s="894" t="n"/>
    </row>
    <row r="183" ht="15.75" customHeight="1" s="1128">
      <c r="A183" s="366" t="inlineStr">
        <is>
          <t>MAX COLLECTORS TALENTS</t>
        </is>
      </c>
      <c r="B183" s="1079" t="n"/>
      <c r="C183" s="1079" t="n"/>
      <c r="D183" s="364">
        <f>SUM(D176:D182)</f>
        <v/>
      </c>
      <c r="E183" s="1079" t="n"/>
      <c r="F183" s="339" t="n"/>
      <c r="G183" s="894" t="n"/>
      <c r="H183" s="894" t="n"/>
      <c r="I183" s="894" t="n"/>
      <c r="J183" s="894" t="n"/>
      <c r="K183" s="894" t="n"/>
      <c r="L183" s="894" t="n"/>
      <c r="M183" s="894" t="n"/>
      <c r="N183" s="894" t="n"/>
      <c r="O183" s="894" t="n"/>
      <c r="P183" s="894" t="n"/>
      <c r="Q183" s="894" t="n"/>
      <c r="R183" s="894" t="n"/>
      <c r="S183" s="894" t="n"/>
      <c r="T183" s="894" t="n"/>
      <c r="U183" s="894" t="n"/>
    </row>
    <row r="184" ht="15.75" customHeight="1" s="1128">
      <c r="A184" s="376" t="n"/>
      <c r="B184" s="894" t="n"/>
      <c r="C184" s="894" t="n"/>
      <c r="D184" s="894" t="n"/>
      <c r="E184" s="894" t="n"/>
      <c r="F184" s="368" t="n"/>
      <c r="G184" s="894" t="n"/>
      <c r="H184" s="894" t="n"/>
      <c r="I184" s="894" t="n"/>
      <c r="J184" s="894" t="n"/>
      <c r="K184" s="894" t="n"/>
      <c r="L184" s="894" t="n"/>
      <c r="M184" s="894" t="n"/>
      <c r="N184" s="894" t="n"/>
      <c r="O184" s="894" t="n"/>
      <c r="P184" s="894" t="n"/>
      <c r="Q184" s="894" t="n"/>
      <c r="R184" s="894" t="n"/>
      <c r="S184" s="894" t="n"/>
      <c r="T184" s="894" t="n"/>
      <c r="U184" s="894" t="n"/>
    </row>
    <row r="185" ht="15.75" customHeight="1" s="1128">
      <c r="A185" s="376" t="n"/>
      <c r="B185" s="894" t="n"/>
      <c r="C185" s="894" t="n"/>
      <c r="D185" s="894" t="n"/>
      <c r="E185" s="894" t="n"/>
      <c r="F185" s="368" t="n"/>
      <c r="G185" s="894" t="n"/>
      <c r="H185" s="894" t="n"/>
      <c r="I185" s="894" t="n"/>
      <c r="J185" s="894" t="n"/>
      <c r="K185" s="894" t="n"/>
      <c r="L185" s="894" t="n"/>
      <c r="M185" s="894" t="n"/>
      <c r="N185" s="894" t="n"/>
      <c r="O185" s="894" t="n"/>
      <c r="P185" s="894" t="n"/>
      <c r="Q185" s="894" t="n"/>
      <c r="R185" s="894" t="n"/>
      <c r="S185" s="894" t="n"/>
      <c r="T185" s="894" t="n"/>
      <c r="U185" s="894" t="n"/>
    </row>
    <row r="186" ht="15.75" customHeight="1" s="1128">
      <c r="A186" s="424" t="inlineStr">
        <is>
          <t>GENE RESEARCH</t>
        </is>
      </c>
      <c r="B186" s="784" t="n"/>
      <c r="C186" s="784" t="n"/>
      <c r="D186" s="784" t="n"/>
      <c r="E186" s="784" t="n"/>
      <c r="F186" s="353" t="n"/>
      <c r="G186" s="894" t="n"/>
      <c r="H186" s="894" t="n"/>
      <c r="I186" s="894" t="n"/>
      <c r="J186" s="894" t="n"/>
      <c r="K186" s="894" t="n"/>
      <c r="L186" s="894" t="n"/>
      <c r="M186" s="894" t="n"/>
      <c r="N186" s="894" t="n"/>
      <c r="O186" s="894" t="n"/>
      <c r="P186" s="894" t="n"/>
      <c r="Q186" s="894" t="n"/>
      <c r="R186" s="894" t="n"/>
      <c r="S186" s="894" t="n"/>
      <c r="T186" s="894" t="n"/>
      <c r="U186" s="894" t="n"/>
    </row>
    <row r="187" ht="15.75" customHeight="1" s="1128">
      <c r="A187" s="434" t="inlineStr">
        <is>
          <t>Zombie Gene Mutation (T4)</t>
        </is>
      </c>
      <c r="B187" s="1037" t="n"/>
      <c r="C187" s="1037" t="n"/>
      <c r="D187" s="371" t="n">
        <v>10</v>
      </c>
      <c r="E187" s="1037" t="n"/>
      <c r="F187" s="418" t="inlineStr">
        <is>
          <t>T4.5 Zombie Gene Research</t>
        </is>
      </c>
      <c r="G187" s="894" t="n"/>
      <c r="H187" s="894" t="n"/>
      <c r="I187" s="894" t="n"/>
      <c r="J187" s="894" t="n"/>
      <c r="K187" s="894" t="n"/>
      <c r="L187" s="894" t="n"/>
      <c r="M187" s="894" t="n"/>
      <c r="N187" s="894" t="n"/>
      <c r="O187" s="894" t="n"/>
      <c r="P187" s="894" t="n"/>
      <c r="Q187" s="894" t="n"/>
      <c r="R187" s="894" t="n"/>
      <c r="S187" s="894" t="n"/>
      <c r="T187" s="894" t="n"/>
      <c r="U187" s="894" t="n"/>
    </row>
    <row r="188" ht="15.75" customHeight="1" s="1128">
      <c r="A188" s="434" t="inlineStr">
        <is>
          <t>Demon Gene Mutation (T4)</t>
        </is>
      </c>
      <c r="B188" s="1037" t="n"/>
      <c r="C188" s="1037" t="n"/>
      <c r="D188" s="371" t="n">
        <v>10</v>
      </c>
      <c r="E188" s="1037" t="n"/>
      <c r="F188" s="418" t="inlineStr">
        <is>
          <t>T4.5 Demon Gene Research</t>
        </is>
      </c>
      <c r="G188" s="894" t="n"/>
      <c r="H188" s="894" t="n"/>
      <c r="I188" s="894" t="n"/>
      <c r="J188" s="894" t="n"/>
      <c r="K188" s="894" t="n"/>
      <c r="L188" s="894" t="n"/>
      <c r="M188" s="894" t="n"/>
      <c r="N188" s="894" t="n"/>
      <c r="O188" s="894" t="n"/>
      <c r="P188" s="894" t="n"/>
      <c r="Q188" s="894" t="n"/>
      <c r="R188" s="894" t="n"/>
      <c r="S188" s="894" t="n"/>
      <c r="T188" s="894" t="n"/>
      <c r="U188" s="894" t="n"/>
    </row>
    <row r="189" ht="15.75" customHeight="1" s="1128">
      <c r="A189" s="434" t="inlineStr">
        <is>
          <t>Angel Gene Mutation (T4)</t>
        </is>
      </c>
      <c r="B189" s="1037" t="n"/>
      <c r="C189" s="1037" t="n"/>
      <c r="D189" s="371" t="n">
        <v>10</v>
      </c>
      <c r="E189" s="1037" t="n"/>
      <c r="F189" s="418" t="inlineStr">
        <is>
          <t>T4.5 Angel Gene Research</t>
        </is>
      </c>
      <c r="G189" s="894" t="n"/>
      <c r="H189" s="894" t="n"/>
      <c r="I189" s="894" t="n"/>
      <c r="J189" s="894" t="n"/>
      <c r="K189" s="894" t="n"/>
      <c r="L189" s="894" t="n"/>
      <c r="M189" s="894" t="n"/>
      <c r="N189" s="894" t="n"/>
      <c r="O189" s="894" t="n"/>
      <c r="P189" s="894" t="n"/>
      <c r="Q189" s="894" t="n"/>
      <c r="R189" s="894" t="n"/>
      <c r="S189" s="894" t="n"/>
      <c r="T189" s="894" t="n"/>
      <c r="U189" s="894" t="n"/>
    </row>
    <row r="190" ht="15.75" customHeight="1" s="1128">
      <c r="A190" s="434" t="inlineStr">
        <is>
          <t>Mutant Gene Mutation (T4)</t>
        </is>
      </c>
      <c r="B190" s="1037" t="n"/>
      <c r="C190" s="1037" t="n"/>
      <c r="D190" s="371" t="n">
        <v>10</v>
      </c>
      <c r="E190" s="1037" t="n"/>
      <c r="F190" s="418" t="inlineStr">
        <is>
          <t>T4.5 Mutant Gene Research</t>
        </is>
      </c>
      <c r="G190" s="894" t="n"/>
      <c r="H190" s="894" t="n"/>
      <c r="I190" s="894" t="n"/>
      <c r="J190" s="894" t="n"/>
      <c r="K190" s="894" t="n"/>
      <c r="L190" s="894" t="n"/>
      <c r="M190" s="894" t="n"/>
      <c r="N190" s="894" t="n"/>
      <c r="O190" s="894" t="n"/>
      <c r="P190" s="894" t="n"/>
      <c r="Q190" s="894" t="n"/>
      <c r="R190" s="894" t="n"/>
      <c r="S190" s="894" t="n"/>
      <c r="T190" s="894" t="n"/>
      <c r="U190" s="894" t="n"/>
    </row>
    <row r="191" ht="15.75" customHeight="1" s="1128">
      <c r="A191" s="434" t="inlineStr">
        <is>
          <t>Mecha Gene Mutation (T4)</t>
        </is>
      </c>
      <c r="B191" s="1037" t="n"/>
      <c r="C191" s="1037" t="n"/>
      <c r="D191" s="371" t="n">
        <v>10</v>
      </c>
      <c r="E191" s="1037" t="n"/>
      <c r="F191" s="418" t="inlineStr">
        <is>
          <t>T4.5 Mecha Gene Research</t>
        </is>
      </c>
      <c r="G191" s="894" t="n"/>
      <c r="H191" s="894" t="n"/>
      <c r="I191" s="894" t="n"/>
      <c r="J191" s="894" t="n"/>
      <c r="K191" s="894" t="n"/>
      <c r="L191" s="894" t="n"/>
      <c r="M191" s="894" t="n"/>
      <c r="N191" s="894" t="n"/>
      <c r="O191" s="894" t="n"/>
      <c r="P191" s="894" t="n"/>
      <c r="Q191" s="894" t="n"/>
      <c r="R191" s="894" t="n"/>
      <c r="S191" s="894" t="n"/>
      <c r="T191" s="894" t="n"/>
      <c r="U191" s="894" t="n"/>
    </row>
    <row r="192" ht="15.75" customHeight="1" s="1128">
      <c r="A192" s="434" t="inlineStr">
        <is>
          <t>Dragon Gene Mutation (T4)</t>
        </is>
      </c>
      <c r="B192" s="1037" t="n"/>
      <c r="C192" s="1037" t="n"/>
      <c r="D192" s="371" t="n">
        <v>10</v>
      </c>
      <c r="E192" s="1037" t="n"/>
      <c r="F192" s="418" t="inlineStr">
        <is>
          <t>T4.5 Dragon Gene Research</t>
        </is>
      </c>
      <c r="G192" s="894" t="n"/>
      <c r="H192" s="894" t="n"/>
      <c r="I192" s="894" t="n"/>
      <c r="J192" s="894" t="n"/>
      <c r="K192" s="894" t="n"/>
      <c r="L192" s="894" t="n"/>
      <c r="M192" s="894" t="n"/>
      <c r="N192" s="894" t="n"/>
      <c r="O192" s="894" t="n"/>
      <c r="P192" s="894" t="n"/>
      <c r="Q192" s="894" t="n"/>
      <c r="R192" s="894" t="n"/>
      <c r="S192" s="894" t="n"/>
      <c r="T192" s="894" t="n"/>
      <c r="U192" s="894" t="n"/>
    </row>
    <row r="193" ht="15.75" customHeight="1" s="1128">
      <c r="A193" s="434" t="inlineStr">
        <is>
          <t>Gee Virus</t>
        </is>
      </c>
      <c r="B193" s="1037" t="n"/>
      <c r="C193" s="1037" t="n"/>
      <c r="D193" s="371" t="n">
        <v>30</v>
      </c>
      <c r="E193" s="1037" t="n"/>
      <c r="F193" s="418" t="inlineStr">
        <is>
          <t>T6.5 Zombie Gene Research</t>
        </is>
      </c>
      <c r="G193" s="894" t="n"/>
      <c r="H193" s="894" t="n"/>
      <c r="I193" s="894" t="n"/>
      <c r="J193" s="894" t="n"/>
      <c r="K193" s="894" t="n"/>
      <c r="L193" s="894" t="n"/>
      <c r="M193" s="894" t="n"/>
      <c r="N193" s="894" t="n"/>
      <c r="O193" s="894" t="n"/>
      <c r="P193" s="894" t="n"/>
      <c r="Q193" s="894" t="n"/>
      <c r="R193" s="894" t="n"/>
      <c r="S193" s="894" t="n"/>
      <c r="T193" s="894" t="n"/>
      <c r="U193" s="894" t="n"/>
    </row>
    <row r="194" ht="15.75" customHeight="1" s="1128">
      <c r="A194" s="434" t="inlineStr">
        <is>
          <t>Immortal Blood</t>
        </is>
      </c>
      <c r="B194" s="1037" t="n"/>
      <c r="C194" s="1037" t="n"/>
      <c r="D194" s="371" t="n">
        <v>30</v>
      </c>
      <c r="E194" s="1037" t="n"/>
      <c r="F194" s="418" t="inlineStr">
        <is>
          <t>T6.5 Demon Gene Research</t>
        </is>
      </c>
      <c r="G194" s="894" t="n"/>
      <c r="H194" s="894" t="n"/>
      <c r="I194" s="894" t="n"/>
      <c r="J194" s="894" t="n"/>
      <c r="K194" s="894" t="n"/>
      <c r="L194" s="894" t="n"/>
      <c r="M194" s="894" t="n"/>
      <c r="N194" s="894" t="n"/>
      <c r="O194" s="894" t="n"/>
      <c r="P194" s="894" t="n"/>
      <c r="Q194" s="894" t="n"/>
      <c r="R194" s="894" t="n"/>
      <c r="S194" s="894" t="n"/>
      <c r="T194" s="894" t="n"/>
      <c r="U194" s="894" t="n"/>
    </row>
    <row r="195" ht="15.75" customHeight="1" s="1128">
      <c r="A195" s="434" t="inlineStr">
        <is>
          <t>Blessing II</t>
        </is>
      </c>
      <c r="B195" s="1037" t="n"/>
      <c r="C195" s="1037" t="n"/>
      <c r="D195" s="371" t="n">
        <v>30</v>
      </c>
      <c r="E195" s="1037" t="n"/>
      <c r="F195" s="418" t="inlineStr">
        <is>
          <t>T6.5 Angel Gene Research</t>
        </is>
      </c>
      <c r="G195" s="894" t="n"/>
      <c r="H195" s="894" t="n"/>
      <c r="I195" s="894" t="n"/>
      <c r="J195" s="894" t="n"/>
      <c r="K195" s="894" t="n"/>
      <c r="L195" s="894" t="n"/>
      <c r="M195" s="894" t="n"/>
      <c r="N195" s="894" t="n"/>
      <c r="O195" s="894" t="n"/>
      <c r="P195" s="894" t="n"/>
      <c r="Q195" s="894" t="n"/>
      <c r="R195" s="894" t="n"/>
      <c r="S195" s="894" t="n"/>
      <c r="T195" s="894" t="n"/>
      <c r="U195" s="894" t="n"/>
    </row>
    <row r="196" ht="15.75" customHeight="1" s="1128">
      <c r="A196" s="434" t="inlineStr">
        <is>
          <t>Alien Eye</t>
        </is>
      </c>
      <c r="B196" s="1037" t="n"/>
      <c r="C196" s="1037" t="n"/>
      <c r="D196" s="371" t="n">
        <v>30</v>
      </c>
      <c r="E196" s="1037" t="n"/>
      <c r="F196" s="418" t="inlineStr">
        <is>
          <t>T6.5 Mutant Gene Research</t>
        </is>
      </c>
      <c r="G196" s="894" t="n"/>
      <c r="H196" s="894" t="n"/>
      <c r="I196" s="894" t="n"/>
      <c r="J196" s="894" t="n"/>
      <c r="K196" s="894" t="n"/>
      <c r="L196" s="894" t="n"/>
      <c r="M196" s="894" t="n"/>
      <c r="N196" s="894" t="n"/>
      <c r="O196" s="894" t="n"/>
      <c r="P196" s="894" t="n"/>
      <c r="Q196" s="894" t="n"/>
      <c r="R196" s="894" t="n"/>
      <c r="S196" s="894" t="n"/>
      <c r="T196" s="894" t="n"/>
      <c r="U196" s="894" t="n"/>
    </row>
    <row r="197" ht="15.75" customHeight="1" s="1128">
      <c r="A197" s="434" t="inlineStr">
        <is>
          <t>Radio</t>
        </is>
      </c>
      <c r="B197" s="1037" t="n"/>
      <c r="C197" s="1037" t="n"/>
      <c r="D197" s="371" t="n">
        <v>30</v>
      </c>
      <c r="E197" s="1037" t="n"/>
      <c r="F197" s="418" t="inlineStr">
        <is>
          <t>T6.5 Mecha Gene Research</t>
        </is>
      </c>
      <c r="G197" s="894" t="n"/>
      <c r="H197" s="894" t="n"/>
      <c r="I197" s="894" t="n"/>
      <c r="J197" s="894" t="n"/>
      <c r="K197" s="894" t="n"/>
      <c r="L197" s="894" t="n"/>
      <c r="M197" s="894" t="n"/>
      <c r="N197" s="894" t="n"/>
      <c r="O197" s="894" t="n"/>
      <c r="P197" s="894" t="n"/>
      <c r="Q197" s="894" t="n"/>
      <c r="R197" s="894" t="n"/>
      <c r="S197" s="894" t="n"/>
      <c r="T197" s="894" t="n"/>
      <c r="U197" s="894" t="n"/>
    </row>
    <row r="198" ht="15.75" customHeight="1" s="1128">
      <c r="A198" s="434" t="inlineStr">
        <is>
          <t>Dragon's Scale</t>
        </is>
      </c>
      <c r="B198" s="1037" t="n"/>
      <c r="C198" s="1037" t="n"/>
      <c r="D198" s="371" t="n">
        <v>30</v>
      </c>
      <c r="E198" s="1037" t="n"/>
      <c r="F198" s="418" t="inlineStr">
        <is>
          <t>T6.5 Dragon Gene Research</t>
        </is>
      </c>
      <c r="G198" s="894" t="n"/>
      <c r="H198" s="894" t="n"/>
      <c r="I198" s="894" t="n"/>
      <c r="J198" s="894" t="n"/>
      <c r="K198" s="894" t="n"/>
      <c r="L198" s="894" t="n"/>
      <c r="M198" s="894" t="n"/>
      <c r="N198" s="894" t="n"/>
      <c r="O198" s="894" t="n"/>
      <c r="P198" s="894" t="n"/>
      <c r="Q198" s="894" t="n"/>
      <c r="R198" s="894" t="n"/>
      <c r="S198" s="894" t="n"/>
      <c r="T198" s="894" t="n"/>
      <c r="U198" s="894" t="n"/>
    </row>
    <row r="199" ht="15.75" customHeight="1" s="1128">
      <c r="A199" s="434" t="inlineStr">
        <is>
          <t>Zombie Gene Mutation (T8)</t>
        </is>
      </c>
      <c r="B199" s="1037" t="n"/>
      <c r="C199" s="1037" t="n"/>
      <c r="D199" s="371" t="n">
        <v>50</v>
      </c>
      <c r="E199" s="1037" t="n"/>
      <c r="F199" s="418" t="inlineStr">
        <is>
          <t>T8.5 Zombie Gene Research</t>
        </is>
      </c>
      <c r="G199" s="894" t="n"/>
      <c r="H199" s="894" t="n"/>
      <c r="I199" s="894" t="n"/>
      <c r="J199" s="894" t="n"/>
      <c r="K199" s="894" t="n"/>
      <c r="L199" s="894" t="n"/>
      <c r="M199" s="894" t="n"/>
      <c r="N199" s="894" t="n"/>
      <c r="O199" s="894" t="n"/>
      <c r="P199" s="894" t="n"/>
      <c r="Q199" s="894" t="n"/>
      <c r="R199" s="894" t="n"/>
      <c r="S199" s="894" t="n"/>
      <c r="T199" s="894" t="n"/>
      <c r="U199" s="894" t="n"/>
    </row>
    <row r="200" ht="15.75" customHeight="1" s="1128">
      <c r="A200" s="434" t="inlineStr">
        <is>
          <t>Demon Gene Mutation (T8)</t>
        </is>
      </c>
      <c r="B200" s="1037" t="n"/>
      <c r="C200" s="1037" t="n"/>
      <c r="D200" s="371" t="n">
        <v>50</v>
      </c>
      <c r="E200" s="1037" t="n"/>
      <c r="F200" s="418" t="inlineStr">
        <is>
          <t>T8.5 Demon Gene Research</t>
        </is>
      </c>
      <c r="G200" s="894" t="n"/>
      <c r="H200" s="894" t="n"/>
      <c r="I200" s="894" t="n"/>
      <c r="J200" s="894" t="n"/>
      <c r="K200" s="894" t="n"/>
      <c r="L200" s="894" t="n"/>
      <c r="M200" s="894" t="n"/>
      <c r="N200" s="894" t="n"/>
      <c r="O200" s="894" t="n"/>
      <c r="P200" s="894" t="n"/>
      <c r="Q200" s="894" t="n"/>
      <c r="R200" s="894" t="n"/>
      <c r="S200" s="894" t="n"/>
      <c r="T200" s="894" t="n"/>
      <c r="U200" s="894" t="n"/>
    </row>
    <row r="201" ht="15.75" customHeight="1" s="1128">
      <c r="A201" s="434" t="inlineStr">
        <is>
          <t>Angel Gene Mutation (T8)</t>
        </is>
      </c>
      <c r="B201" s="1037" t="n"/>
      <c r="C201" s="1037" t="n"/>
      <c r="D201" s="371" t="n">
        <v>50</v>
      </c>
      <c r="E201" s="1037" t="n"/>
      <c r="F201" s="418" t="inlineStr">
        <is>
          <t>T8.5 Angel Gene Research</t>
        </is>
      </c>
      <c r="G201" s="894" t="n"/>
      <c r="H201" s="894" t="n"/>
      <c r="I201" s="894" t="n"/>
      <c r="J201" s="894" t="n"/>
      <c r="K201" s="894" t="n"/>
      <c r="L201" s="894" t="n"/>
      <c r="M201" s="894" t="n"/>
      <c r="N201" s="894" t="n"/>
      <c r="O201" s="894" t="n"/>
      <c r="P201" s="894" t="n"/>
      <c r="Q201" s="894" t="n"/>
      <c r="R201" s="894" t="n"/>
      <c r="S201" s="894" t="n"/>
      <c r="T201" s="894" t="n"/>
      <c r="U201" s="894" t="n"/>
    </row>
    <row r="202" ht="15.75" customHeight="1" s="1128">
      <c r="A202" s="434" t="inlineStr">
        <is>
          <t>Mutant Gene Mutation (T8)</t>
        </is>
      </c>
      <c r="B202" s="1037" t="n"/>
      <c r="C202" s="1037" t="n"/>
      <c r="D202" s="371" t="n">
        <v>50</v>
      </c>
      <c r="E202" s="1037" t="n"/>
      <c r="F202" s="418" t="inlineStr">
        <is>
          <t>T8.5 Mutant Gene Research</t>
        </is>
      </c>
      <c r="G202" s="894" t="n"/>
      <c r="H202" s="894" t="n"/>
      <c r="I202" s="894" t="n"/>
      <c r="J202" s="894" t="n"/>
      <c r="K202" s="894" t="n"/>
      <c r="L202" s="894" t="n"/>
      <c r="M202" s="894" t="n"/>
      <c r="N202" s="894" t="n"/>
      <c r="O202" s="894" t="n"/>
      <c r="P202" s="894" t="n"/>
      <c r="Q202" s="894" t="n"/>
      <c r="R202" s="894" t="n"/>
      <c r="S202" s="894" t="n"/>
      <c r="T202" s="894" t="n"/>
      <c r="U202" s="894" t="n"/>
    </row>
    <row r="203" ht="15.75" customHeight="1" s="1128">
      <c r="A203" s="434" t="inlineStr">
        <is>
          <t>Mecha Gene Mutation (T8)</t>
        </is>
      </c>
      <c r="B203" s="1037" t="n"/>
      <c r="C203" s="1037" t="n"/>
      <c r="D203" s="371" t="n">
        <v>50</v>
      </c>
      <c r="E203" s="1037" t="n"/>
      <c r="F203" s="418" t="inlineStr">
        <is>
          <t>T8.5 Mecha Gene Research</t>
        </is>
      </c>
      <c r="G203" s="894" t="n"/>
      <c r="H203" s="894" t="n"/>
      <c r="I203" s="894" t="n"/>
      <c r="J203" s="894" t="n"/>
      <c r="K203" s="894" t="n"/>
      <c r="L203" s="894" t="n"/>
      <c r="M203" s="894" t="n"/>
      <c r="N203" s="894" t="n"/>
      <c r="O203" s="894" t="n"/>
      <c r="P203" s="894" t="n"/>
      <c r="Q203" s="894" t="n"/>
      <c r="R203" s="894" t="n"/>
      <c r="S203" s="894" t="n"/>
      <c r="T203" s="894" t="n"/>
      <c r="U203" s="894" t="n"/>
    </row>
    <row r="204" ht="15.75" customHeight="1" s="1128">
      <c r="A204" s="434" t="inlineStr">
        <is>
          <t>Dragon Gene Mutation (T8)</t>
        </is>
      </c>
      <c r="B204" s="1037" t="n"/>
      <c r="C204" s="1037" t="n"/>
      <c r="D204" s="371" t="n">
        <v>50</v>
      </c>
      <c r="E204" s="1037" t="n"/>
      <c r="F204" s="418" t="inlineStr">
        <is>
          <t>T8.5 Dragon Gene Research</t>
        </is>
      </c>
      <c r="G204" s="894" t="n"/>
      <c r="H204" s="894" t="n"/>
      <c r="I204" s="894" t="n"/>
      <c r="J204" s="894" t="n"/>
      <c r="K204" s="894" t="n"/>
      <c r="L204" s="894" t="n"/>
      <c r="M204" s="894" t="n"/>
      <c r="N204" s="894" t="n"/>
      <c r="O204" s="894" t="n"/>
      <c r="P204" s="894" t="n"/>
      <c r="Q204" s="894" t="n"/>
      <c r="R204" s="894" t="n"/>
      <c r="S204" s="894" t="n"/>
      <c r="T204" s="894" t="n"/>
      <c r="U204" s="894" t="n"/>
    </row>
    <row r="205" ht="15.75" customHeight="1" s="1128">
      <c r="A205" s="372" t="inlineStr">
        <is>
          <t>MAX GENE RESEARCH</t>
        </is>
      </c>
      <c r="B205" s="373" t="n"/>
      <c r="C205" s="373" t="n"/>
      <c r="D205" s="374">
        <f>SUM(D187:D204)</f>
        <v/>
      </c>
      <c r="E205" s="373" t="n"/>
      <c r="F205" s="375" t="n"/>
      <c r="G205" s="894" t="n"/>
      <c r="H205" s="894" t="n"/>
      <c r="I205" s="894" t="n"/>
      <c r="J205" s="894" t="n"/>
      <c r="K205" s="894" t="n"/>
      <c r="L205" s="894" t="n"/>
      <c r="M205" s="894" t="n"/>
      <c r="N205" s="894" t="n"/>
      <c r="O205" s="894" t="n"/>
      <c r="P205" s="894" t="n"/>
      <c r="Q205" s="894" t="n"/>
      <c r="R205" s="894" t="n"/>
      <c r="S205" s="894" t="n"/>
      <c r="T205" s="894" t="n"/>
      <c r="U205" s="894" t="n"/>
    </row>
    <row r="206" ht="15.75" customHeight="1" s="1128">
      <c r="A206" s="376" t="n"/>
      <c r="B206" s="894" t="n"/>
      <c r="C206" s="894" t="n"/>
      <c r="D206" s="894" t="n"/>
      <c r="E206" s="894" t="n"/>
      <c r="F206" s="368" t="n"/>
      <c r="G206" s="894" t="n"/>
      <c r="H206" s="894" t="n"/>
      <c r="I206" s="894" t="n"/>
      <c r="J206" s="894" t="n"/>
      <c r="K206" s="894" t="n"/>
      <c r="L206" s="894" t="n"/>
      <c r="M206" s="894" t="n"/>
      <c r="N206" s="894" t="n"/>
      <c r="O206" s="894" t="n"/>
      <c r="P206" s="894" t="n"/>
      <c r="Q206" s="894" t="n"/>
      <c r="R206" s="894" t="n"/>
      <c r="S206" s="894" t="n"/>
      <c r="T206" s="894" t="n"/>
      <c r="U206" s="894" t="n"/>
    </row>
    <row r="207" ht="15.75" customHeight="1" s="1128">
      <c r="A207" s="376" t="n"/>
      <c r="B207" s="894" t="n"/>
      <c r="C207" s="894" t="n"/>
      <c r="D207" s="894" t="n"/>
      <c r="E207" s="894" t="n"/>
      <c r="F207" s="368" t="n"/>
      <c r="G207" s="894" t="n"/>
      <c r="H207" s="894" t="n"/>
      <c r="I207" s="894" t="n"/>
      <c r="J207" s="894" t="n"/>
      <c r="K207" s="894" t="n"/>
      <c r="L207" s="894" t="n"/>
      <c r="M207" s="894" t="n"/>
      <c r="N207" s="894" t="n"/>
      <c r="O207" s="894" t="n"/>
      <c r="P207" s="894" t="n"/>
      <c r="Q207" s="894" t="n"/>
      <c r="R207" s="894" t="n"/>
      <c r="S207" s="894" t="n"/>
      <c r="T207" s="894" t="n"/>
      <c r="U207" s="894" t="n"/>
    </row>
    <row r="208" ht="15.75" customHeight="1" s="1128">
      <c r="A208" s="424" t="inlineStr">
        <is>
          <t>SPECIES MAPS</t>
        </is>
      </c>
      <c r="B208" s="406" t="inlineStr">
        <is>
          <t>Cost</t>
        </is>
      </c>
      <c r="C208" s="387" t="n"/>
      <c r="D208" s="387" t="n"/>
      <c r="E208" s="406" t="inlineStr">
        <is>
          <t>Prestige</t>
        </is>
      </c>
      <c r="F208" s="347" t="n"/>
      <c r="G208" s="894" t="n"/>
      <c r="H208" s="894" t="n"/>
      <c r="I208" s="894" t="n"/>
      <c r="J208" s="894" t="n"/>
      <c r="K208" s="894" t="n"/>
      <c r="L208" s="894" t="n"/>
      <c r="M208" s="894" t="n"/>
      <c r="N208" s="894" t="n"/>
      <c r="O208" s="894" t="n"/>
      <c r="P208" s="894" t="n"/>
      <c r="Q208" s="894" t="n"/>
      <c r="R208" s="894" t="n"/>
      <c r="S208" s="894" t="n"/>
      <c r="T208" s="894" t="n"/>
      <c r="U208" s="894" t="n"/>
    </row>
    <row r="209" ht="15.75" customHeight="1" s="1128">
      <c r="A209" s="434" t="inlineStr">
        <is>
          <t>Swarm Grouping</t>
        </is>
      </c>
      <c r="B209" s="1037" t="n">
        <v>3</v>
      </c>
      <c r="C209" s="1037" t="inlineStr">
        <is>
          <t>Dung Beetle</t>
        </is>
      </c>
      <c r="D209" s="371" t="n">
        <v>2</v>
      </c>
      <c r="E209" s="371" t="n">
        <v>0</v>
      </c>
      <c r="F209" s="418" t="inlineStr">
        <is>
          <t>Dung Beetle Map Orange</t>
        </is>
      </c>
      <c r="G209" s="894" t="n"/>
      <c r="H209" s="894" t="n"/>
      <c r="I209" s="894" t="n"/>
      <c r="J209" s="894" t="n"/>
      <c r="K209" s="894" t="n"/>
      <c r="L209" s="894" t="n"/>
      <c r="M209" s="894" t="n"/>
      <c r="N209" s="894" t="n"/>
      <c r="O209" s="894" t="n"/>
      <c r="P209" s="894" t="n"/>
      <c r="Q209" s="894" t="n"/>
      <c r="R209" s="894" t="n"/>
      <c r="S209" s="894" t="n"/>
      <c r="T209" s="894" t="n"/>
      <c r="U209" s="894" t="n"/>
    </row>
    <row r="210" ht="15.75" customHeight="1" s="1128">
      <c r="A210" s="434" t="inlineStr">
        <is>
          <t>Pheromone Command</t>
        </is>
      </c>
      <c r="B210" s="1037" t="n">
        <v>4</v>
      </c>
      <c r="C210" s="1037" t="inlineStr">
        <is>
          <t>Dung Beetle</t>
        </is>
      </c>
      <c r="D210" s="371" t="n">
        <v>3</v>
      </c>
      <c r="E210" s="371" t="n">
        <v>0</v>
      </c>
      <c r="F210" s="418" t="inlineStr">
        <is>
          <t>Dung Beetle Map Orange</t>
        </is>
      </c>
      <c r="G210" s="894" t="n"/>
      <c r="H210" s="894" t="n"/>
      <c r="I210" s="894" t="n"/>
      <c r="J210" s="894" t="n"/>
      <c r="K210" s="894" t="n"/>
      <c r="L210" s="894" t="n"/>
      <c r="M210" s="894" t="n"/>
      <c r="N210" s="894" t="n"/>
      <c r="O210" s="894" t="n"/>
      <c r="P210" s="894" t="n"/>
      <c r="Q210" s="894" t="n"/>
      <c r="R210" s="894" t="n"/>
      <c r="S210" s="894" t="n"/>
      <c r="T210" s="894" t="n"/>
      <c r="U210" s="894" t="n"/>
    </row>
    <row r="211" ht="15.75" customHeight="1" s="1128">
      <c r="A211" s="434" t="inlineStr">
        <is>
          <t>Essence of Piranha</t>
        </is>
      </c>
      <c r="B211" s="1037" t="n">
        <v>3</v>
      </c>
      <c r="C211" s="1037" t="inlineStr">
        <is>
          <t>Goldfish</t>
        </is>
      </c>
      <c r="D211" s="371" t="n">
        <v>2</v>
      </c>
      <c r="E211" s="371" t="n">
        <v>0</v>
      </c>
      <c r="F211" s="418" t="inlineStr">
        <is>
          <t>Goldfish Map Orange</t>
        </is>
      </c>
      <c r="G211" s="894" t="n"/>
      <c r="H211" s="894" t="n"/>
      <c r="I211" s="894" t="n"/>
      <c r="J211" s="894" t="n"/>
      <c r="K211" s="894" t="n"/>
      <c r="L211" s="894" t="n"/>
      <c r="M211" s="894" t="n"/>
      <c r="N211" s="894" t="n"/>
      <c r="O211" s="894" t="n"/>
      <c r="P211" s="894" t="n"/>
      <c r="Q211" s="894" t="n"/>
      <c r="R211" s="894" t="n"/>
      <c r="S211" s="894" t="n"/>
      <c r="T211" s="894" t="n"/>
      <c r="U211" s="894" t="n"/>
    </row>
    <row r="212" ht="15.75" customHeight="1" s="1128">
      <c r="A212" s="434" t="inlineStr">
        <is>
          <t>The Big Fish Array</t>
        </is>
      </c>
      <c r="B212" s="1037" t="n">
        <v>4</v>
      </c>
      <c r="C212" s="1037" t="inlineStr">
        <is>
          <t>Goldfish</t>
        </is>
      </c>
      <c r="D212" s="371" t="n">
        <v>3</v>
      </c>
      <c r="E212" s="371" t="n">
        <v>0</v>
      </c>
      <c r="F212" s="418" t="inlineStr">
        <is>
          <t>Goldfish Map Orange</t>
        </is>
      </c>
      <c r="G212" s="894" t="n"/>
      <c r="H212" s="894" t="n"/>
      <c r="I212" s="894" t="n"/>
      <c r="J212" s="894" t="n"/>
      <c r="K212" s="894" t="n"/>
      <c r="L212" s="894" t="n"/>
      <c r="M212" s="894" t="n"/>
      <c r="N212" s="894" t="n"/>
      <c r="O212" s="894" t="n"/>
      <c r="P212" s="894" t="n"/>
      <c r="Q212" s="894" t="n"/>
      <c r="R212" s="894" t="n"/>
      <c r="S212" s="894" t="n"/>
      <c r="T212" s="894" t="n"/>
      <c r="U212" s="894" t="n"/>
    </row>
    <row r="213" ht="15.75" customHeight="1" s="1128">
      <c r="A213" s="434" t="inlineStr">
        <is>
          <t>Winter Legion</t>
        </is>
      </c>
      <c r="B213" s="1037" t="n">
        <v>3</v>
      </c>
      <c r="C213" s="1037" t="inlineStr">
        <is>
          <t>Surf Clam</t>
        </is>
      </c>
      <c r="D213" s="371" t="n">
        <v>2</v>
      </c>
      <c r="E213" s="371" t="n">
        <v>0</v>
      </c>
      <c r="F213" s="418" t="inlineStr">
        <is>
          <t>Surf Clam Map Orange</t>
        </is>
      </c>
      <c r="G213" s="894" t="n"/>
      <c r="H213" s="894" t="n"/>
      <c r="I213" s="894" t="n"/>
      <c r="J213" s="894" t="n"/>
      <c r="K213" s="894" t="n"/>
      <c r="L213" s="894" t="n"/>
      <c r="M213" s="894" t="n"/>
      <c r="N213" s="894" t="n"/>
      <c r="O213" s="894" t="n"/>
      <c r="P213" s="894" t="n"/>
      <c r="Q213" s="894" t="n"/>
      <c r="R213" s="894" t="n"/>
      <c r="S213" s="894" t="n"/>
      <c r="T213" s="894" t="n"/>
      <c r="U213" s="894" t="n"/>
    </row>
    <row r="214" ht="15.75" customHeight="1" s="1128">
      <c r="A214" s="434" t="inlineStr">
        <is>
          <t>Imperial Order</t>
        </is>
      </c>
      <c r="B214" s="1037" t="n">
        <v>4</v>
      </c>
      <c r="C214" s="1037" t="inlineStr">
        <is>
          <t>Surf Clam</t>
        </is>
      </c>
      <c r="D214" s="371" t="n">
        <v>3</v>
      </c>
      <c r="E214" s="371" t="n">
        <v>0</v>
      </c>
      <c r="F214" s="418" t="inlineStr">
        <is>
          <t>Surf Clam Map Orange</t>
        </is>
      </c>
      <c r="G214" s="894" t="n"/>
      <c r="H214" s="894" t="n"/>
      <c r="I214" s="894" t="n"/>
      <c r="J214" s="894" t="n"/>
      <c r="K214" s="894" t="n"/>
      <c r="L214" s="894" t="n"/>
      <c r="M214" s="894" t="n"/>
      <c r="N214" s="894" t="n"/>
      <c r="O214" s="894" t="n"/>
      <c r="P214" s="894" t="n"/>
      <c r="Q214" s="894" t="n"/>
      <c r="R214" s="894" t="n"/>
      <c r="S214" s="894" t="n"/>
      <c r="T214" s="894" t="n"/>
      <c r="U214" s="894" t="n"/>
    </row>
    <row r="215" ht="15.75" customHeight="1" s="1128">
      <c r="A215" s="434" t="inlineStr">
        <is>
          <t>Oil Payment</t>
        </is>
      </c>
      <c r="B215" s="1037" t="n">
        <v>3</v>
      </c>
      <c r="C215" s="1037" t="inlineStr">
        <is>
          <t>Hamster</t>
        </is>
      </c>
      <c r="D215" s="371" t="n">
        <v>2</v>
      </c>
      <c r="E215" s="371" t="n">
        <v>0</v>
      </c>
      <c r="F215" s="418" t="inlineStr">
        <is>
          <t>Hamster Map Orange</t>
        </is>
      </c>
      <c r="G215" s="894" t="n"/>
      <c r="H215" s="894" t="n"/>
      <c r="I215" s="894" t="n"/>
      <c r="J215" s="894" t="n"/>
      <c r="K215" s="894" t="n"/>
      <c r="L215" s="894" t="n"/>
      <c r="M215" s="894" t="n"/>
      <c r="N215" s="894" t="n"/>
      <c r="O215" s="894" t="n"/>
      <c r="P215" s="894" t="n"/>
      <c r="Q215" s="894" t="n"/>
      <c r="R215" s="894" t="n"/>
      <c r="S215" s="894" t="n"/>
      <c r="T215" s="894" t="n"/>
      <c r="U215" s="894" t="n"/>
    </row>
    <row r="216" ht="15.75" customHeight="1" s="1128">
      <c r="A216" s="434" t="inlineStr">
        <is>
          <t>Golden Chain Store</t>
        </is>
      </c>
      <c r="B216" s="1037" t="n">
        <v>4</v>
      </c>
      <c r="C216" s="1037" t="inlineStr">
        <is>
          <t>Hamster</t>
        </is>
      </c>
      <c r="D216" s="371" t="n">
        <v>3</v>
      </c>
      <c r="E216" s="371" t="n">
        <v>0</v>
      </c>
      <c r="F216" s="418" t="inlineStr">
        <is>
          <t>Hamster Map Orange</t>
        </is>
      </c>
      <c r="G216" s="894" t="n"/>
      <c r="H216" s="894" t="n"/>
      <c r="I216" s="894" t="n"/>
      <c r="J216" s="894" t="n"/>
      <c r="K216" s="894" t="n"/>
      <c r="L216" s="894" t="n"/>
      <c r="M216" s="894" t="n"/>
      <c r="N216" s="894" t="n"/>
      <c r="O216" s="894" t="n"/>
      <c r="P216" s="894" t="n"/>
      <c r="Q216" s="894" t="n"/>
      <c r="R216" s="894" t="n"/>
      <c r="S216" s="894" t="n"/>
      <c r="T216" s="894" t="n"/>
      <c r="U216" s="894" t="n"/>
    </row>
    <row r="217" ht="15.75" customHeight="1" s="1128">
      <c r="A217" s="434" t="inlineStr">
        <is>
          <t>Command the World</t>
        </is>
      </c>
      <c r="B217" s="1037" t="n">
        <v>3</v>
      </c>
      <c r="C217" s="1037" t="inlineStr">
        <is>
          <t>Mantis</t>
        </is>
      </c>
      <c r="D217" s="371" t="n">
        <v>2</v>
      </c>
      <c r="E217" s="371" t="n">
        <v>0</v>
      </c>
      <c r="F217" s="418" t="inlineStr">
        <is>
          <t>Mantis Map Orange</t>
        </is>
      </c>
      <c r="G217" s="894" t="n"/>
      <c r="H217" s="894" t="n"/>
      <c r="I217" s="894" t="n"/>
      <c r="J217" s="894" t="n"/>
      <c r="K217" s="894" t="n"/>
      <c r="L217" s="894" t="n"/>
      <c r="M217" s="894" t="n"/>
      <c r="N217" s="894" t="n"/>
      <c r="O217" s="894" t="n"/>
      <c r="P217" s="894" t="n"/>
      <c r="Q217" s="894" t="n"/>
      <c r="R217" s="894" t="n"/>
      <c r="S217" s="894" t="n"/>
      <c r="T217" s="894" t="n"/>
      <c r="U217" s="894" t="n"/>
    </row>
    <row r="218" ht="15.75" customHeight="1" s="1128">
      <c r="A218" s="434" t="inlineStr">
        <is>
          <t>Top Martial Artist</t>
        </is>
      </c>
      <c r="B218" s="1037" t="n">
        <v>4</v>
      </c>
      <c r="C218" s="1037" t="inlineStr">
        <is>
          <t>Mantis</t>
        </is>
      </c>
      <c r="D218" s="371" t="n">
        <v>3</v>
      </c>
      <c r="E218" s="371" t="n">
        <v>0</v>
      </c>
      <c r="F218" s="418" t="inlineStr">
        <is>
          <t>Mantis Map Orange</t>
        </is>
      </c>
      <c r="G218" s="894" t="n"/>
      <c r="H218" s="894" t="n"/>
      <c r="I218" s="894" t="n"/>
      <c r="J218" s="894" t="n"/>
      <c r="K218" s="894" t="n"/>
      <c r="L218" s="894" t="n"/>
      <c r="M218" s="894" t="n"/>
      <c r="N218" s="894" t="n"/>
      <c r="O218" s="894" t="n"/>
      <c r="P218" s="894" t="n"/>
      <c r="Q218" s="894" t="n"/>
      <c r="R218" s="894" t="n"/>
      <c r="S218" s="894" t="n"/>
      <c r="T218" s="894" t="n"/>
      <c r="U218" s="894" t="n"/>
    </row>
    <row r="219" ht="15.75" customHeight="1" s="1128">
      <c r="A219" s="434" t="inlineStr">
        <is>
          <t>Top Overlord I</t>
        </is>
      </c>
      <c r="B219" s="1037" t="n">
        <v>3</v>
      </c>
      <c r="C219" s="1037" t="inlineStr">
        <is>
          <t>Dragon</t>
        </is>
      </c>
      <c r="D219" s="371" t="n">
        <v>6</v>
      </c>
      <c r="E219" s="371" t="n">
        <v>0</v>
      </c>
      <c r="F219" s="418" t="inlineStr">
        <is>
          <t>Divine Dragon Gene Map Orange</t>
        </is>
      </c>
      <c r="G219" s="894" t="n"/>
      <c r="H219" s="894" t="n"/>
      <c r="I219" s="894" t="n"/>
      <c r="J219" s="894" t="n"/>
      <c r="K219" s="894" t="n"/>
      <c r="L219" s="894" t="n"/>
      <c r="M219" s="894" t="n"/>
      <c r="N219" s="894" t="n"/>
      <c r="O219" s="894" t="n"/>
      <c r="P219" s="894" t="n"/>
      <c r="Q219" s="894" t="n"/>
      <c r="R219" s="894" t="n"/>
      <c r="S219" s="894" t="n"/>
      <c r="T219" s="894" t="n"/>
      <c r="U219" s="894" t="n"/>
    </row>
    <row r="220" ht="15.75" customHeight="1" s="1128">
      <c r="A220" s="434" t="inlineStr">
        <is>
          <t>Top Overlord II</t>
        </is>
      </c>
      <c r="B220" s="1037" t="n">
        <v>4</v>
      </c>
      <c r="C220" s="1037" t="inlineStr">
        <is>
          <t>Dragon</t>
        </is>
      </c>
      <c r="D220" s="371" t="n">
        <v>9</v>
      </c>
      <c r="E220" s="371" t="n">
        <v>0</v>
      </c>
      <c r="F220" s="418" t="inlineStr">
        <is>
          <t>Divine Dragon Gene Map Orange</t>
        </is>
      </c>
      <c r="G220" s="894" t="n"/>
      <c r="H220" s="894" t="n"/>
      <c r="I220" s="894" t="n"/>
      <c r="J220" s="894" t="n"/>
      <c r="K220" s="894" t="n"/>
      <c r="L220" s="894" t="n"/>
      <c r="M220" s="894" t="n"/>
      <c r="N220" s="894" t="n"/>
      <c r="O220" s="894" t="n"/>
      <c r="P220" s="894" t="n"/>
      <c r="Q220" s="894" t="n"/>
      <c r="R220" s="894" t="n"/>
      <c r="S220" s="894" t="n"/>
      <c r="T220" s="894" t="n"/>
      <c r="U220" s="894" t="n"/>
    </row>
    <row r="221" ht="15.75" customHeight="1" s="1128">
      <c r="A221" s="434" t="inlineStr">
        <is>
          <t>Intertwined Roots</t>
        </is>
      </c>
      <c r="B221" s="1037" t="n">
        <v>3</v>
      </c>
      <c r="C221" s="1037" t="inlineStr">
        <is>
          <t>Maneater</t>
        </is>
      </c>
      <c r="D221" s="371" t="n">
        <v>2</v>
      </c>
      <c r="E221" s="371" t="n">
        <v>0</v>
      </c>
      <c r="F221" s="418" t="inlineStr">
        <is>
          <t>Maneater Map Orange</t>
        </is>
      </c>
      <c r="G221" s="894" t="n"/>
      <c r="H221" s="894" t="n"/>
      <c r="I221" s="894" t="n"/>
      <c r="J221" s="894" t="n"/>
      <c r="K221" s="894" t="n"/>
      <c r="L221" s="894" t="n"/>
      <c r="M221" s="894" t="n"/>
      <c r="N221" s="894" t="n"/>
      <c r="O221" s="894" t="n"/>
      <c r="P221" s="894" t="n"/>
      <c r="Q221" s="894" t="n"/>
      <c r="R221" s="894" t="n"/>
      <c r="S221" s="894" t="n"/>
      <c r="T221" s="894" t="n"/>
      <c r="U221" s="894" t="n"/>
    </row>
    <row r="222" ht="15.75" customHeight="1" s="1128">
      <c r="A222" s="434" t="inlineStr">
        <is>
          <t>Overlord Blossom</t>
        </is>
      </c>
      <c r="B222" s="1037" t="n">
        <v>4</v>
      </c>
      <c r="C222" s="1037" t="inlineStr">
        <is>
          <t>Maneater</t>
        </is>
      </c>
      <c r="D222" s="371" t="n">
        <v>3</v>
      </c>
      <c r="E222" s="371" t="n">
        <v>0</v>
      </c>
      <c r="F222" s="418" t="inlineStr">
        <is>
          <t>Maneater Map Orange</t>
        </is>
      </c>
      <c r="G222" s="894" t="n"/>
      <c r="H222" s="894" t="n"/>
      <c r="I222" s="894" t="n"/>
      <c r="J222" s="894" t="n"/>
      <c r="K222" s="894" t="n"/>
      <c r="L222" s="894" t="n"/>
      <c r="M222" s="894" t="n"/>
      <c r="N222" s="894" t="n"/>
      <c r="O222" s="894" t="n"/>
      <c r="P222" s="894" t="n"/>
      <c r="Q222" s="894" t="n"/>
      <c r="R222" s="894" t="n"/>
      <c r="S222" s="894" t="n"/>
      <c r="T222" s="894" t="n"/>
      <c r="U222" s="894" t="n"/>
    </row>
    <row r="223" ht="15.75" customHeight="1" s="1128">
      <c r="A223" s="556" t="inlineStr">
        <is>
          <t>MAX SPECIES MAPS NO PRESTIGE</t>
        </is>
      </c>
      <c r="B223" s="380" t="n"/>
      <c r="C223" s="380" t="n"/>
      <c r="D223" s="374">
        <f>SUM(D209*(E209+1),D210*(E210+1),D211*(E211+1),D212*(E212+1),D213*(E213+1),D214*(E214+1),D215*(E215+1),D216*(E216+1),D217*(E217+1),D218*(E218+1),D219*(E219+1),D220*(E220+1),D221*(E221+1),D222*(E222+1))</f>
        <v/>
      </c>
      <c r="E223" s="380" t="n"/>
      <c r="F223" s="381" t="n"/>
      <c r="G223" s="894" t="n"/>
      <c r="H223" s="894" t="n"/>
      <c r="I223" s="894" t="n"/>
      <c r="J223" s="894" t="n"/>
      <c r="K223" s="894" t="n"/>
      <c r="L223" s="894" t="n"/>
      <c r="M223" s="894" t="n"/>
      <c r="N223" s="894" t="n"/>
      <c r="O223" s="894" t="n"/>
      <c r="P223" s="894" t="n"/>
      <c r="Q223" s="894" t="n"/>
      <c r="R223" s="894" t="n"/>
      <c r="S223" s="894" t="n"/>
      <c r="T223" s="894" t="n"/>
      <c r="U223" s="894" t="n"/>
    </row>
    <row r="224" ht="15.75" customHeight="1" s="1128">
      <c r="A224" s="376" t="n"/>
      <c r="B224" s="894" t="n"/>
      <c r="C224" s="894" t="n"/>
      <c r="D224" s="894" t="n"/>
      <c r="E224" s="894" t="n"/>
      <c r="F224" s="368" t="n"/>
      <c r="G224" s="894" t="n"/>
      <c r="H224" s="894" t="n"/>
      <c r="I224" s="894" t="n"/>
      <c r="J224" s="894" t="n"/>
      <c r="K224" s="894" t="n"/>
      <c r="L224" s="894" t="n"/>
      <c r="M224" s="894" t="n"/>
      <c r="N224" s="894" t="n"/>
      <c r="O224" s="894" t="n"/>
      <c r="P224" s="894" t="n"/>
      <c r="Q224" s="894" t="n"/>
      <c r="R224" s="894" t="n"/>
      <c r="S224" s="894" t="n"/>
      <c r="T224" s="894" t="n"/>
      <c r="U224" s="894" t="n"/>
    </row>
    <row r="225" ht="15.75" customHeight="1" s="1128">
      <c r="A225" s="376" t="n"/>
      <c r="B225" s="894" t="n"/>
      <c r="C225" s="894" t="n"/>
      <c r="D225" s="894" t="n"/>
      <c r="E225" s="894" t="n"/>
      <c r="F225" s="368" t="n"/>
      <c r="G225" s="894" t="n"/>
      <c r="H225" s="894" t="n"/>
      <c r="I225" s="894" t="n"/>
      <c r="J225" s="894" t="n"/>
      <c r="K225" s="894" t="n"/>
      <c r="L225" s="894" t="n"/>
      <c r="M225" s="894" t="n"/>
      <c r="N225" s="894" t="n"/>
      <c r="O225" s="894" t="n"/>
      <c r="P225" s="894" t="n"/>
      <c r="Q225" s="894" t="n"/>
      <c r="R225" s="894" t="n"/>
      <c r="S225" s="894" t="n"/>
      <c r="T225" s="894" t="n"/>
      <c r="U225" s="894" t="n"/>
    </row>
    <row r="226" ht="15.75" customHeight="1" s="1128">
      <c r="A226" s="424" t="inlineStr">
        <is>
          <t>TRAVELER MAPS</t>
        </is>
      </c>
      <c r="B226" s="406" t="inlineStr">
        <is>
          <t>Cost</t>
        </is>
      </c>
      <c r="C226" s="784" t="n"/>
      <c r="D226" s="784" t="n"/>
      <c r="E226" s="784" t="n"/>
      <c r="F226" s="353" t="n"/>
      <c r="G226" s="894" t="n"/>
      <c r="H226" s="894" t="n"/>
      <c r="I226" s="894" t="n"/>
      <c r="J226" s="894" t="n"/>
      <c r="K226" s="894" t="n"/>
      <c r="L226" s="894" t="n"/>
      <c r="M226" s="894" t="n"/>
      <c r="N226" s="894" t="n"/>
      <c r="O226" s="894" t="n"/>
      <c r="P226" s="894" t="n"/>
      <c r="Q226" s="894" t="n"/>
      <c r="R226" s="894" t="n"/>
      <c r="S226" s="894" t="n"/>
      <c r="T226" s="894" t="n"/>
      <c r="U226" s="894" t="n"/>
    </row>
    <row r="227" ht="15.75" customHeight="1" s="1128">
      <c r="A227" s="434" t="inlineStr">
        <is>
          <t>The Mightiest</t>
        </is>
      </c>
      <c r="B227" s="1036" t="n">
        <v>3</v>
      </c>
      <c r="C227" s="1037" t="inlineStr">
        <is>
          <t>Main Species</t>
        </is>
      </c>
      <c r="D227" s="1037" t="n">
        <v>10</v>
      </c>
      <c r="E227" s="1037" t="n"/>
      <c r="F227" s="418" t="inlineStr">
        <is>
          <t>Needs Snail Map 99/100</t>
        </is>
      </c>
      <c r="G227" s="894" t="n"/>
      <c r="H227" s="894" t="n"/>
      <c r="I227" s="894" t="n"/>
      <c r="J227" s="894" t="n"/>
      <c r="K227" s="894" t="n"/>
      <c r="L227" s="894" t="n"/>
      <c r="M227" s="894" t="n"/>
      <c r="N227" s="894" t="n"/>
      <c r="O227" s="894" t="n"/>
      <c r="P227" s="894" t="n"/>
      <c r="Q227" s="894" t="n"/>
      <c r="R227" s="894" t="n"/>
      <c r="S227" s="894" t="n"/>
      <c r="T227" s="894" t="n"/>
      <c r="U227" s="894" t="n"/>
    </row>
    <row r="228" ht="15.75" customHeight="1" s="1128">
      <c r="A228" s="383" t="inlineStr">
        <is>
          <t>Bird Strikes Back</t>
        </is>
      </c>
      <c r="B228" s="1079" t="n">
        <v>3</v>
      </c>
      <c r="C228" s="1079" t="inlineStr">
        <is>
          <t>Main Species</t>
        </is>
      </c>
      <c r="D228" s="1079" t="n">
        <v>10</v>
      </c>
      <c r="E228" s="1079" t="n"/>
      <c r="F228" s="970" t="inlineStr">
        <is>
          <t>Needs Bird Map 99/100 Completed</t>
        </is>
      </c>
      <c r="G228" s="894" t="n"/>
      <c r="H228" s="894" t="n"/>
      <c r="I228" s="894" t="n"/>
      <c r="J228" s="894" t="n"/>
      <c r="K228" s="894" t="n"/>
      <c r="L228" s="894" t="n"/>
      <c r="M228" s="894" t="n"/>
      <c r="N228" s="894" t="n"/>
      <c r="O228" s="894" t="n"/>
      <c r="P228" s="894" t="n"/>
      <c r="Q228" s="894" t="n"/>
      <c r="R228" s="894" t="n"/>
      <c r="S228" s="894" t="n"/>
      <c r="T228" s="894" t="n"/>
      <c r="U228" s="894" t="n"/>
    </row>
    <row r="229" ht="15.75" customHeight="1" s="1128">
      <c r="A229" s="366" t="inlineStr">
        <is>
          <t>MAX TRAVELER MAPS</t>
        </is>
      </c>
      <c r="B229" s="1079" t="n"/>
      <c r="C229" s="1079" t="n"/>
      <c r="D229" s="364">
        <f>SUM(D227:D228)</f>
        <v/>
      </c>
      <c r="E229" s="1079" t="n"/>
      <c r="F229" s="339" t="n"/>
      <c r="G229" s="894" t="n"/>
      <c r="H229" s="894" t="n"/>
      <c r="I229" s="894" t="n"/>
      <c r="J229" s="894" t="n"/>
      <c r="K229" s="894" t="n"/>
      <c r="L229" s="894" t="n"/>
      <c r="M229" s="894" t="n"/>
      <c r="N229" s="894" t="n"/>
      <c r="O229" s="894" t="n"/>
      <c r="P229" s="894" t="n"/>
      <c r="Q229" s="894" t="n"/>
      <c r="R229" s="894" t="n"/>
      <c r="S229" s="894" t="n"/>
      <c r="T229" s="894" t="n"/>
      <c r="U229" s="894" t="n"/>
    </row>
    <row r="230" ht="15.75" customHeight="1" s="1128">
      <c r="A230" s="376" t="n"/>
      <c r="B230" s="894" t="n"/>
      <c r="C230" s="894" t="n"/>
      <c r="D230" s="894" t="n"/>
      <c r="E230" s="894" t="n"/>
      <c r="F230" s="368" t="n"/>
      <c r="G230" s="894" t="n"/>
      <c r="H230" s="894" t="n"/>
      <c r="I230" s="894" t="n"/>
      <c r="J230" s="894" t="n"/>
      <c r="K230" s="894" t="n"/>
      <c r="L230" s="894" t="n"/>
      <c r="M230" s="894" t="n"/>
      <c r="N230" s="894" t="n"/>
      <c r="O230" s="894" t="n"/>
      <c r="P230" s="894" t="n"/>
      <c r="Q230" s="894" t="n"/>
      <c r="R230" s="894" t="n"/>
      <c r="S230" s="894" t="n"/>
      <c r="T230" s="894" t="n"/>
      <c r="U230" s="894" t="n"/>
    </row>
    <row r="231" ht="15.75" customHeight="1" s="1128">
      <c r="A231" s="376" t="n"/>
      <c r="B231" s="894" t="n"/>
      <c r="C231" s="894" t="n"/>
      <c r="D231" s="894" t="n"/>
      <c r="E231" s="894" t="n"/>
      <c r="F231" s="368" t="n"/>
      <c r="G231" s="894" t="n"/>
      <c r="H231" s="894" t="n"/>
      <c r="I231" s="894" t="n"/>
      <c r="J231" s="894" t="n"/>
      <c r="K231" s="894" t="n"/>
      <c r="L231" s="894" t="n"/>
      <c r="M231" s="894" t="n"/>
      <c r="N231" s="894" t="n"/>
      <c r="O231" s="894" t="n"/>
      <c r="P231" s="894" t="n"/>
      <c r="Q231" s="894" t="n"/>
      <c r="R231" s="894" t="n"/>
      <c r="S231" s="894" t="n"/>
      <c r="T231" s="894" t="n"/>
      <c r="U231" s="894" t="n"/>
    </row>
    <row r="232" ht="15.75" customHeight="1" s="1128">
      <c r="A232" s="424" t="inlineStr">
        <is>
          <t>WAR WEAPON</t>
        </is>
      </c>
      <c r="B232" s="784" t="n"/>
      <c r="C232" s="784" t="n"/>
      <c r="D232" s="784" t="n"/>
      <c r="E232" s="406" t="inlineStr">
        <is>
          <t>Red+</t>
        </is>
      </c>
      <c r="F232" s="353" t="n"/>
      <c r="G232" s="894" t="n"/>
      <c r="H232" s="894" t="n"/>
      <c r="I232" s="894" t="n"/>
      <c r="J232" s="894" t="n"/>
      <c r="K232" s="894" t="n"/>
      <c r="L232" s="894" t="n"/>
      <c r="M232" s="894" t="n"/>
      <c r="N232" s="894" t="n"/>
      <c r="O232" s="894" t="n"/>
      <c r="P232" s="894" t="n"/>
      <c r="Q232" s="894" t="n"/>
      <c r="R232" s="894" t="n"/>
      <c r="S232" s="894" t="n"/>
      <c r="T232" s="894" t="n"/>
      <c r="U232" s="894" t="n"/>
    </row>
    <row r="233" ht="15.75" customHeight="1" s="1128">
      <c r="A233" s="434" t="inlineStr">
        <is>
          <t>HULC MK II</t>
        </is>
      </c>
      <c r="B233" s="1037" t="inlineStr">
        <is>
          <t>Red</t>
        </is>
      </c>
      <c r="C233" s="1037" t="inlineStr">
        <is>
          <t>Species War</t>
        </is>
      </c>
      <c r="D233" s="371" t="n">
        <v>5</v>
      </c>
      <c r="E233" s="371" t="n">
        <v>9</v>
      </c>
      <c r="F233" s="418" t="inlineStr">
        <is>
          <t>Training Value Pack</t>
        </is>
      </c>
      <c r="G233" s="894" t="n"/>
      <c r="H233" s="894" t="n"/>
      <c r="I233" s="894" t="n"/>
      <c r="J233" s="894" t="n"/>
      <c r="K233" s="894" t="n"/>
      <c r="L233" s="894" t="n"/>
      <c r="M233" s="894" t="n"/>
      <c r="N233" s="894" t="n"/>
      <c r="O233" s="894" t="n"/>
      <c r="P233" s="894" t="n"/>
      <c r="Q233" s="894" t="n"/>
      <c r="R233" s="894" t="n"/>
      <c r="S233" s="894" t="n"/>
      <c r="T233" s="894" t="n"/>
      <c r="U233" s="894" t="n"/>
    </row>
    <row r="234" ht="15.75" customHeight="1" s="1128">
      <c r="A234" s="434" t="inlineStr">
        <is>
          <t>Mind Control Helmet</t>
        </is>
      </c>
      <c r="B234" s="1037" t="inlineStr">
        <is>
          <t>Red</t>
        </is>
      </c>
      <c r="C234" s="1037" t="inlineStr">
        <is>
          <t>Species War</t>
        </is>
      </c>
      <c r="D234" s="371" t="n">
        <v>5</v>
      </c>
      <c r="E234" s="371" t="n">
        <v>9</v>
      </c>
      <c r="F234" s="418" t="inlineStr">
        <is>
          <t>Maneater</t>
        </is>
      </c>
      <c r="G234" s="894" t="n"/>
      <c r="H234" s="894" t="n"/>
      <c r="I234" s="894" t="n"/>
      <c r="J234" s="894" t="n"/>
      <c r="K234" s="894" t="n"/>
      <c r="L234" s="894" t="n"/>
      <c r="M234" s="894" t="n"/>
      <c r="N234" s="894" t="n"/>
      <c r="O234" s="894" t="n"/>
      <c r="P234" s="894" t="n"/>
      <c r="Q234" s="894" t="n"/>
      <c r="R234" s="894" t="n"/>
      <c r="S234" s="894" t="n"/>
      <c r="T234" s="894" t="n"/>
      <c r="U234" s="894" t="n"/>
    </row>
    <row r="235" ht="15.75" customHeight="1" s="1128">
      <c r="A235" s="434" t="inlineStr">
        <is>
          <t>Trace of Lilith</t>
        </is>
      </c>
      <c r="B235" s="1037" t="inlineStr">
        <is>
          <t>Red</t>
        </is>
      </c>
      <c r="C235" s="1037" t="inlineStr">
        <is>
          <t>Simulation</t>
        </is>
      </c>
      <c r="D235" s="371" t="n">
        <v>5</v>
      </c>
      <c r="E235" s="371" t="n">
        <v>9</v>
      </c>
      <c r="F235" s="418" t="inlineStr">
        <is>
          <t>Sim Value Pack</t>
        </is>
      </c>
      <c r="G235" s="894" t="n"/>
      <c r="H235" s="894" t="n"/>
      <c r="I235" s="894" t="n"/>
      <c r="J235" s="894" t="n"/>
      <c r="K235" s="894" t="n"/>
      <c r="L235" s="894" t="n"/>
      <c r="M235" s="894" t="n"/>
      <c r="N235" s="894" t="n"/>
      <c r="O235" s="894" t="n"/>
      <c r="P235" s="894" t="n"/>
      <c r="Q235" s="894" t="n"/>
      <c r="R235" s="894" t="n"/>
      <c r="S235" s="894" t="n"/>
      <c r="T235" s="894" t="n"/>
      <c r="U235" s="894" t="n"/>
    </row>
    <row r="236" ht="15.75" customHeight="1" s="1128">
      <c r="A236" s="434" t="inlineStr">
        <is>
          <t>Thermohammer</t>
        </is>
      </c>
      <c r="B236" s="1037" t="inlineStr">
        <is>
          <t>Red</t>
        </is>
      </c>
      <c r="C236" s="1037" t="inlineStr">
        <is>
          <t>Simulation</t>
        </is>
      </c>
      <c r="D236" s="371" t="n">
        <v>5</v>
      </c>
      <c r="E236" s="371" t="n">
        <v>9</v>
      </c>
      <c r="F236" s="418" t="inlineStr">
        <is>
          <t>Warhammer Log</t>
        </is>
      </c>
      <c r="G236" s="894" t="n"/>
      <c r="H236" s="894" t="n"/>
      <c r="I236" s="894" t="n"/>
      <c r="J236" s="894" t="n"/>
      <c r="K236" s="894" t="n"/>
      <c r="L236" s="894" t="n"/>
      <c r="M236" s="894" t="n"/>
      <c r="N236" s="894" t="n"/>
      <c r="O236" s="894" t="n"/>
      <c r="P236" s="894" t="n"/>
      <c r="Q236" s="894" t="n"/>
      <c r="R236" s="894" t="n"/>
      <c r="S236" s="894" t="n"/>
      <c r="T236" s="894" t="n"/>
      <c r="U236" s="894" t="n"/>
    </row>
    <row r="237" ht="15.75" customHeight="1" s="1128">
      <c r="A237" s="434" t="inlineStr">
        <is>
          <t>The Six Paths</t>
        </is>
      </c>
      <c r="B237" s="1037" t="inlineStr">
        <is>
          <t>Red</t>
        </is>
      </c>
      <c r="C237" s="1037" t="inlineStr">
        <is>
          <t>Simulation</t>
        </is>
      </c>
      <c r="D237" s="371" t="n">
        <v>5</v>
      </c>
      <c r="E237" s="371" t="n">
        <v>9</v>
      </c>
      <c r="F237" s="418" t="inlineStr">
        <is>
          <t>Sim Shop</t>
        </is>
      </c>
      <c r="G237" s="894" t="n"/>
      <c r="H237" s="894" t="n"/>
      <c r="I237" s="894" t="n"/>
      <c r="J237" s="894" t="n"/>
      <c r="K237" s="894" t="n"/>
      <c r="L237" s="894" t="n"/>
      <c r="M237" s="894" t="n"/>
      <c r="N237" s="894" t="n"/>
      <c r="O237" s="894" t="n"/>
      <c r="P237" s="894" t="n"/>
      <c r="Q237" s="894" t="n"/>
      <c r="R237" s="894" t="n"/>
      <c r="S237" s="894" t="n"/>
      <c r="T237" s="894" t="n"/>
      <c r="U237" s="894" t="n"/>
    </row>
    <row r="238" ht="15.75" customHeight="1" s="1128">
      <c r="A238" s="434" t="inlineStr">
        <is>
          <t>Legendary Nethrone Coffin</t>
        </is>
      </c>
      <c r="B238" s="1037" t="inlineStr">
        <is>
          <t>Red</t>
        </is>
      </c>
      <c r="C238" s="1037" t="inlineStr">
        <is>
          <t>Zombie</t>
        </is>
      </c>
      <c r="D238" s="371" t="n">
        <v>5</v>
      </c>
      <c r="E238" s="371" t="n">
        <v>9</v>
      </c>
      <c r="F238" s="418" t="inlineStr">
        <is>
          <t>Lottery Machine No.2; Murika Domain</t>
        </is>
      </c>
      <c r="G238" s="894" t="n"/>
      <c r="H238" s="894" t="n"/>
      <c r="I238" s="894" t="n"/>
      <c r="J238" s="894" t="n"/>
      <c r="K238" s="894" t="n"/>
      <c r="L238" s="894" t="n"/>
      <c r="M238" s="894" t="n"/>
      <c r="N238" s="894" t="n"/>
      <c r="O238" s="894" t="n"/>
      <c r="P238" s="894" t="n"/>
      <c r="Q238" s="894" t="n"/>
      <c r="R238" s="894" t="n"/>
      <c r="S238" s="894" t="n"/>
      <c r="T238" s="894" t="n"/>
      <c r="U238" s="894" t="n"/>
    </row>
    <row r="239" ht="15.75" customHeight="1" s="1128">
      <c r="A239" s="434" t="inlineStr">
        <is>
          <t>Legendary Bladden Sword</t>
        </is>
      </c>
      <c r="B239" s="1037" t="inlineStr">
        <is>
          <t>Red</t>
        </is>
      </c>
      <c r="C239" s="1037" t="inlineStr">
        <is>
          <t>Demon</t>
        </is>
      </c>
      <c r="D239" s="371" t="n">
        <v>5</v>
      </c>
      <c r="E239" s="371" t="n">
        <v>9</v>
      </c>
      <c r="F239" s="418" t="inlineStr">
        <is>
          <t>Lottery Machine No.2; Murika Domain</t>
        </is>
      </c>
      <c r="G239" s="894" t="n"/>
      <c r="H239" s="894" t="n"/>
      <c r="I239" s="894" t="n"/>
      <c r="J239" s="894" t="n"/>
      <c r="K239" s="894" t="n"/>
      <c r="L239" s="894" t="n"/>
      <c r="M239" s="894" t="n"/>
      <c r="N239" s="894" t="n"/>
      <c r="O239" s="894" t="n"/>
      <c r="P239" s="894" t="n"/>
      <c r="Q239" s="894" t="n"/>
      <c r="R239" s="894" t="n"/>
      <c r="S239" s="894" t="n"/>
      <c r="T239" s="894" t="n"/>
      <c r="U239" s="894" t="n"/>
    </row>
    <row r="240" ht="15.75" customHeight="1" s="1128">
      <c r="A240" s="434" t="inlineStr">
        <is>
          <t>Legendary Minerva Staff</t>
        </is>
      </c>
      <c r="B240" s="1037" t="inlineStr">
        <is>
          <t>Red</t>
        </is>
      </c>
      <c r="C240" s="1037" t="inlineStr">
        <is>
          <t>Angel</t>
        </is>
      </c>
      <c r="D240" s="371" t="n">
        <v>5</v>
      </c>
      <c r="E240" s="371" t="n">
        <v>9</v>
      </c>
      <c r="F240" s="418" t="inlineStr">
        <is>
          <t>Lottery Machine No.2; Murika Domain</t>
        </is>
      </c>
      <c r="G240" s="894" t="n"/>
      <c r="H240" s="894" t="n"/>
      <c r="I240" s="894" t="n"/>
      <c r="J240" s="894" t="n"/>
      <c r="K240" s="894" t="n"/>
      <c r="L240" s="894" t="n"/>
      <c r="M240" s="894" t="n"/>
      <c r="N240" s="894" t="n"/>
      <c r="O240" s="894" t="n"/>
      <c r="P240" s="894" t="n"/>
      <c r="Q240" s="894" t="n"/>
      <c r="R240" s="894" t="n"/>
      <c r="S240" s="894" t="n"/>
      <c r="T240" s="894" t="n"/>
      <c r="U240" s="894" t="n"/>
    </row>
    <row r="241" ht="15.75" customHeight="1" s="1128">
      <c r="A241" s="434" t="inlineStr">
        <is>
          <t>Legendary Pawson Claw</t>
        </is>
      </c>
      <c r="B241" s="1037" t="inlineStr">
        <is>
          <t>Red</t>
        </is>
      </c>
      <c r="C241" s="1037" t="inlineStr">
        <is>
          <t>Mutant</t>
        </is>
      </c>
      <c r="D241" s="371" t="n">
        <v>5</v>
      </c>
      <c r="E241" s="371" t="n">
        <v>9</v>
      </c>
      <c r="F241" s="418" t="inlineStr">
        <is>
          <t>Lottery Machine No.2; Murika Domain</t>
        </is>
      </c>
      <c r="G241" s="894" t="n"/>
      <c r="H241" s="894" t="n"/>
      <c r="I241" s="894" t="n"/>
      <c r="J241" s="894" t="n"/>
      <c r="K241" s="894" t="n"/>
      <c r="L241" s="894" t="n"/>
      <c r="M241" s="894" t="n"/>
      <c r="N241" s="894" t="n"/>
      <c r="O241" s="894" t="n"/>
      <c r="P241" s="894" t="n"/>
      <c r="Q241" s="894" t="n"/>
      <c r="R241" s="894" t="n"/>
      <c r="S241" s="894" t="n"/>
      <c r="T241" s="894" t="n"/>
      <c r="U241" s="894" t="n"/>
    </row>
    <row r="242" ht="15.75" customHeight="1" s="1128">
      <c r="A242" s="434" t="inlineStr">
        <is>
          <t>Legendary Racky Cannon</t>
        </is>
      </c>
      <c r="B242" s="1037" t="inlineStr">
        <is>
          <t>Red</t>
        </is>
      </c>
      <c r="C242" s="1037" t="inlineStr">
        <is>
          <t>Mecha</t>
        </is>
      </c>
      <c r="D242" s="371" t="n">
        <v>5</v>
      </c>
      <c r="E242" s="371" t="n">
        <v>9</v>
      </c>
      <c r="F242" s="418" t="inlineStr">
        <is>
          <t>Lottery Machine No.2; Murika Domain</t>
        </is>
      </c>
      <c r="G242" s="894" t="n"/>
      <c r="H242" s="894" t="n"/>
      <c r="I242" s="894" t="n"/>
      <c r="J242" s="894" t="n"/>
      <c r="K242" s="894" t="n"/>
      <c r="L242" s="894" t="n"/>
      <c r="M242" s="894" t="n"/>
      <c r="N242" s="894" t="n"/>
      <c r="O242" s="894" t="n"/>
      <c r="P242" s="894" t="n"/>
      <c r="Q242" s="894" t="n"/>
      <c r="R242" s="894" t="n"/>
      <c r="S242" s="894" t="n"/>
      <c r="T242" s="894" t="n"/>
      <c r="U242" s="894" t="n"/>
    </row>
    <row r="243" ht="15.75" customHeight="1" s="1128">
      <c r="A243" s="825" t="inlineStr">
        <is>
          <t>Legendary Jaden Spear</t>
        </is>
      </c>
      <c r="B243" s="1037" t="inlineStr">
        <is>
          <t>Red</t>
        </is>
      </c>
      <c r="C243" s="1037" t="inlineStr">
        <is>
          <t>Dragon</t>
        </is>
      </c>
      <c r="D243" s="1037" t="n">
        <v>5</v>
      </c>
      <c r="E243" s="371" t="n">
        <v>9</v>
      </c>
      <c r="F243" s="386" t="inlineStr">
        <is>
          <t>Lottery Machine No.2; Murika Domain</t>
        </is>
      </c>
      <c r="G243" s="894" t="n"/>
      <c r="H243" s="894" t="n"/>
      <c r="I243" s="894" t="n"/>
      <c r="J243" s="894" t="n"/>
      <c r="K243" s="894" t="n"/>
      <c r="L243" s="894" t="n"/>
      <c r="M243" s="894" t="n"/>
      <c r="N243" s="894" t="n"/>
      <c r="O243" s="894" t="n"/>
      <c r="P243" s="894" t="n"/>
      <c r="Q243" s="894" t="n"/>
      <c r="R243" s="894" t="n"/>
      <c r="S243" s="894" t="n"/>
      <c r="T243" s="894" t="n"/>
      <c r="U243" s="894" t="n"/>
    </row>
    <row r="244" ht="15.75" customHeight="1" s="1128">
      <c r="A244" s="556" t="inlineStr">
        <is>
          <t>MAX LIMIT: 6</t>
        </is>
      </c>
      <c r="B244" s="373" t="n"/>
      <c r="C244" s="373" t="n"/>
      <c r="D244" s="374">
        <f>SUM(D233*(E233+1),D234*(E234+1),D235*(E235+1),D236*(E236+1),D237*(E237+1),D238*(E238+1))</f>
        <v/>
      </c>
      <c r="E244" s="373" t="n"/>
      <c r="F244" s="375" t="n"/>
      <c r="G244" s="387" t="n"/>
      <c r="H244" s="387" t="n"/>
      <c r="I244" s="387" t="n"/>
      <c r="J244" s="387" t="n"/>
      <c r="K244" s="387" t="n"/>
      <c r="L244" s="387" t="n"/>
      <c r="M244" s="387" t="n"/>
      <c r="N244" s="387" t="n"/>
      <c r="O244" s="387" t="n"/>
      <c r="P244" s="387" t="n"/>
      <c r="Q244" s="387" t="n"/>
      <c r="R244" s="387" t="n"/>
      <c r="S244" s="387" t="n"/>
      <c r="T244" s="387" t="n"/>
      <c r="U244" s="387" t="n"/>
    </row>
    <row r="245" ht="15.75" customHeight="1" s="1128">
      <c r="A245" s="376" t="n"/>
      <c r="B245" s="894" t="n"/>
      <c r="C245" s="894" t="n"/>
      <c r="D245" s="894" t="n"/>
      <c r="E245" s="894" t="n"/>
      <c r="F245" s="368" t="n"/>
      <c r="G245" s="894" t="n"/>
      <c r="H245" s="894" t="n"/>
      <c r="I245" s="894" t="n"/>
      <c r="J245" s="894" t="n"/>
      <c r="K245" s="894" t="n"/>
      <c r="L245" s="894" t="n"/>
      <c r="M245" s="894" t="n"/>
      <c r="N245" s="894" t="n"/>
      <c r="O245" s="894" t="n"/>
      <c r="P245" s="894" t="n"/>
      <c r="Q245" s="894" t="n"/>
      <c r="R245" s="894" t="n"/>
      <c r="S245" s="894" t="n"/>
      <c r="T245" s="894" t="n"/>
      <c r="U245" s="894" t="n"/>
    </row>
    <row r="246" ht="15.75" customHeight="1" s="1128">
      <c r="A246" s="376" t="n"/>
      <c r="B246" s="894" t="n"/>
      <c r="C246" s="894" t="n"/>
      <c r="D246" s="894" t="n"/>
      <c r="E246" s="894" t="n"/>
      <c r="F246" s="368" t="n"/>
      <c r="G246" s="894" t="n"/>
      <c r="H246" s="894" t="n"/>
      <c r="I246" s="894" t="n"/>
      <c r="J246" s="894" t="n"/>
      <c r="K246" s="894" t="n"/>
      <c r="L246" s="894" t="n"/>
      <c r="M246" s="894" t="n"/>
      <c r="N246" s="894" t="n"/>
      <c r="O246" s="894" t="n"/>
      <c r="P246" s="894" t="n"/>
      <c r="Q246" s="894" t="n"/>
      <c r="R246" s="894" t="n"/>
      <c r="S246" s="894" t="n"/>
      <c r="T246" s="894" t="n"/>
      <c r="U246" s="894" t="n"/>
    </row>
    <row r="247" ht="15.75" customHeight="1" s="1128">
      <c r="A247" s="424" t="inlineStr">
        <is>
          <t>NEBULA</t>
        </is>
      </c>
      <c r="B247" s="784" t="n"/>
      <c r="C247" s="784" t="n"/>
      <c r="D247" s="784" t="n"/>
      <c r="E247" s="784" t="n"/>
      <c r="F247" s="353" t="n"/>
      <c r="G247" s="894" t="n"/>
      <c r="H247" s="894" t="n"/>
      <c r="I247" s="894" t="n"/>
      <c r="J247" s="894" t="n"/>
      <c r="K247" s="894" t="n"/>
      <c r="L247" s="894" t="n"/>
      <c r="M247" s="894" t="n"/>
      <c r="N247" s="894" t="n"/>
      <c r="O247" s="894" t="n"/>
      <c r="P247" s="894" t="n"/>
      <c r="Q247" s="894" t="n"/>
      <c r="R247" s="894" t="n"/>
      <c r="S247" s="894" t="n"/>
      <c r="T247" s="894" t="n"/>
      <c r="U247" s="894" t="n"/>
    </row>
    <row r="248" ht="15.75" customHeight="1" s="1128">
      <c r="A248" s="434" t="inlineStr">
        <is>
          <t>Hydra</t>
        </is>
      </c>
      <c r="B248" s="1037" t="inlineStr">
        <is>
          <t>Purple</t>
        </is>
      </c>
      <c r="C248" s="1037" t="inlineStr">
        <is>
          <t>Gamma</t>
        </is>
      </c>
      <c r="D248" s="371" t="n">
        <v>5</v>
      </c>
      <c r="E248" s="1037" t="n"/>
      <c r="F248" s="418" t="inlineStr">
        <is>
          <t>30 Singularity</t>
        </is>
      </c>
      <c r="G248" s="894" t="n"/>
      <c r="H248" s="894" t="n"/>
      <c r="I248" s="894" t="n"/>
      <c r="J248" s="894" t="n"/>
      <c r="K248" s="894" t="n"/>
      <c r="L248" s="894" t="n"/>
      <c r="M248" s="894" t="n"/>
      <c r="N248" s="894" t="n"/>
      <c r="O248" s="894" t="n"/>
      <c r="P248" s="894" t="n"/>
      <c r="Q248" s="894" t="n"/>
      <c r="R248" s="894" t="n"/>
      <c r="S248" s="894" t="n"/>
      <c r="T248" s="894" t="n"/>
      <c r="U248" s="894" t="n"/>
    </row>
    <row r="249" ht="15.75" customHeight="1" s="1128">
      <c r="A249" s="434" t="inlineStr">
        <is>
          <t>Orion</t>
        </is>
      </c>
      <c r="B249" s="1037" t="inlineStr">
        <is>
          <t>Purple</t>
        </is>
      </c>
      <c r="C249" s="1037" t="inlineStr">
        <is>
          <t>Gamma</t>
        </is>
      </c>
      <c r="D249" s="371" t="n">
        <v>5</v>
      </c>
      <c r="E249" s="1037" t="n"/>
      <c r="F249" s="418" t="inlineStr">
        <is>
          <t>30 Singularity</t>
        </is>
      </c>
      <c r="G249" s="894" t="n"/>
      <c r="H249" s="894" t="n"/>
      <c r="I249" s="894" t="n"/>
      <c r="J249" s="894" t="n"/>
      <c r="K249" s="894" t="n"/>
      <c r="L249" s="894" t="n"/>
      <c r="M249" s="894" t="n"/>
      <c r="N249" s="894" t="n"/>
      <c r="O249" s="894" t="n"/>
      <c r="P249" s="894" t="n"/>
      <c r="Q249" s="894" t="n"/>
      <c r="R249" s="894" t="n"/>
      <c r="S249" s="894" t="n"/>
      <c r="T249" s="894" t="n"/>
      <c r="U249" s="894" t="n"/>
    </row>
    <row r="250" ht="15.75" customHeight="1" s="1128">
      <c r="A250" s="434" t="inlineStr">
        <is>
          <t>No. 8 Nebula</t>
        </is>
      </c>
      <c r="B250" s="1037" t="inlineStr">
        <is>
          <t>Purple</t>
        </is>
      </c>
      <c r="C250" s="1037" t="inlineStr">
        <is>
          <t>Gamma</t>
        </is>
      </c>
      <c r="D250" s="371" t="n">
        <v>5</v>
      </c>
      <c r="E250" s="1037" t="n"/>
      <c r="F250" s="418" t="inlineStr">
        <is>
          <t>30 Singularity</t>
        </is>
      </c>
      <c r="G250" s="894" t="n"/>
      <c r="H250" s="894" t="n"/>
      <c r="I250" s="894" t="n"/>
      <c r="J250" s="894" t="n"/>
      <c r="K250" s="894" t="n"/>
      <c r="L250" s="894" t="n"/>
      <c r="M250" s="894" t="n"/>
      <c r="N250" s="894" t="n"/>
      <c r="O250" s="894" t="n"/>
      <c r="P250" s="894" t="n"/>
      <c r="Q250" s="894" t="n"/>
      <c r="R250" s="894" t="n"/>
      <c r="S250" s="894" t="n"/>
      <c r="T250" s="894" t="n"/>
      <c r="U250" s="894" t="n"/>
    </row>
    <row r="251" ht="15.75" customHeight="1" s="1128">
      <c r="A251" s="434" t="inlineStr">
        <is>
          <t>Lyra</t>
        </is>
      </c>
      <c r="B251" s="1037" t="inlineStr">
        <is>
          <t>Purple</t>
        </is>
      </c>
      <c r="C251" s="1037" t="inlineStr">
        <is>
          <t>Gamma</t>
        </is>
      </c>
      <c r="D251" s="371" t="n">
        <v>5</v>
      </c>
      <c r="E251" s="1037" t="n"/>
      <c r="F251" s="418" t="inlineStr">
        <is>
          <t>30 Singularity</t>
        </is>
      </c>
      <c r="G251" s="894" t="n"/>
      <c r="H251" s="894" t="n"/>
      <c r="I251" s="894" t="n"/>
      <c r="J251" s="894" t="n"/>
      <c r="K251" s="894" t="n"/>
      <c r="L251" s="894" t="n"/>
      <c r="M251" s="894" t="n"/>
      <c r="N251" s="894" t="n"/>
      <c r="O251" s="894" t="n"/>
      <c r="P251" s="894" t="n"/>
      <c r="Q251" s="894" t="n"/>
      <c r="R251" s="894" t="n"/>
      <c r="S251" s="894" t="n"/>
      <c r="T251" s="894" t="n"/>
      <c r="U251" s="894" t="n"/>
    </row>
    <row r="252" ht="15.75" customHeight="1" s="1128">
      <c r="A252" s="434" t="inlineStr">
        <is>
          <t>Charealeon</t>
        </is>
      </c>
      <c r="B252" s="1037" t="inlineStr">
        <is>
          <t>Orange</t>
        </is>
      </c>
      <c r="C252" s="1037" t="inlineStr">
        <is>
          <t>Delta</t>
        </is>
      </c>
      <c r="D252" s="371" t="n">
        <v>12</v>
      </c>
      <c r="E252" s="1037" t="n"/>
      <c r="F252" s="418" t="inlineStr">
        <is>
          <t>? Singularity</t>
        </is>
      </c>
      <c r="G252" s="894" t="n"/>
      <c r="H252" s="894" t="n"/>
      <c r="I252" s="894" t="n"/>
      <c r="J252" s="894" t="n"/>
      <c r="K252" s="894" t="n"/>
      <c r="L252" s="894" t="n"/>
      <c r="M252" s="894" t="n"/>
      <c r="N252" s="894" t="n"/>
      <c r="O252" s="894" t="n"/>
      <c r="P252" s="894" t="n"/>
      <c r="Q252" s="894" t="n"/>
      <c r="R252" s="894" t="n"/>
      <c r="S252" s="894" t="n"/>
      <c r="T252" s="894" t="n"/>
      <c r="U252" s="894" t="n"/>
    </row>
    <row r="253" ht="15.75" customHeight="1" s="1128">
      <c r="A253" s="372" t="inlineStr">
        <is>
          <t>MAX NEBULA</t>
        </is>
      </c>
      <c r="B253" s="373" t="n"/>
      <c r="C253" s="373" t="n"/>
      <c r="D253" s="374">
        <f>SUM(D248:D252)</f>
        <v/>
      </c>
      <c r="E253" s="373" t="n"/>
      <c r="F253" s="375" t="n"/>
      <c r="G253" s="894" t="n"/>
      <c r="H253" s="894" t="n"/>
      <c r="I253" s="894" t="n"/>
      <c r="J253" s="894" t="n"/>
      <c r="K253" s="894" t="n"/>
      <c r="L253" s="894" t="n"/>
      <c r="M253" s="894" t="n"/>
      <c r="N253" s="894" t="n"/>
      <c r="O253" s="894" t="n"/>
      <c r="P253" s="894" t="n"/>
      <c r="Q253" s="894" t="n"/>
      <c r="R253" s="894" t="n"/>
      <c r="S253" s="894" t="n"/>
      <c r="T253" s="894" t="n"/>
      <c r="U253" s="894" t="n"/>
    </row>
    <row r="254" ht="15.75" customHeight="1" s="1128">
      <c r="A254" s="376" t="n"/>
      <c r="B254" s="894" t="n"/>
      <c r="C254" s="894" t="n"/>
      <c r="D254" s="894" t="n"/>
      <c r="E254" s="894" t="n"/>
      <c r="F254" s="388" t="n"/>
      <c r="G254" s="894" t="n"/>
      <c r="H254" s="894" t="n"/>
      <c r="I254" s="894" t="n"/>
      <c r="J254" s="894" t="n"/>
      <c r="K254" s="894" t="n"/>
      <c r="L254" s="894" t="n"/>
      <c r="M254" s="894" t="n"/>
      <c r="N254" s="894" t="n"/>
      <c r="O254" s="894" t="n"/>
      <c r="P254" s="894" t="n"/>
      <c r="Q254" s="894" t="n"/>
      <c r="R254" s="894" t="n"/>
      <c r="S254" s="894" t="n"/>
      <c r="T254" s="894" t="n"/>
      <c r="U254" s="894" t="n"/>
    </row>
    <row r="255" ht="15.75" customHeight="1" s="1128">
      <c r="A255" s="376" t="n"/>
      <c r="B255" s="894" t="n"/>
      <c r="C255" s="894" t="n"/>
      <c r="D255" s="894" t="n"/>
      <c r="E255" s="894" t="n"/>
      <c r="F255" s="388" t="n"/>
      <c r="G255" s="894" t="n"/>
      <c r="H255" s="894" t="n"/>
      <c r="I255" s="894" t="n"/>
      <c r="J255" s="894" t="n"/>
      <c r="K255" s="894" t="n"/>
      <c r="L255" s="894" t="n"/>
      <c r="M255" s="894" t="n"/>
      <c r="N255" s="894" t="n"/>
      <c r="O255" s="894" t="n"/>
      <c r="P255" s="894" t="n"/>
      <c r="Q255" s="894" t="n"/>
      <c r="R255" s="894" t="n"/>
      <c r="S255" s="894" t="n"/>
      <c r="T255" s="894" t="n"/>
      <c r="U255" s="894" t="n"/>
    </row>
    <row r="256" ht="15.75" customHeight="1" s="1128">
      <c r="A256" s="424" t="inlineStr">
        <is>
          <t>RESONANCE</t>
        </is>
      </c>
      <c r="B256" s="784" t="n"/>
      <c r="C256" s="784" t="n"/>
      <c r="D256" s="784" t="n"/>
      <c r="E256" s="784" t="n"/>
      <c r="F256" s="786" t="n"/>
      <c r="G256" s="1037" t="n"/>
      <c r="H256" s="1037" t="n"/>
      <c r="I256" s="1037" t="n"/>
      <c r="J256" s="1037" t="n"/>
      <c r="K256" s="1037" t="n"/>
      <c r="L256" s="1037" t="n"/>
      <c r="M256" s="1037" t="n"/>
      <c r="N256" s="1037" t="n"/>
      <c r="O256" s="1037" t="n"/>
      <c r="P256" s="1037" t="n"/>
      <c r="Q256" s="1037" t="n"/>
      <c r="R256" s="1037" t="n"/>
      <c r="S256" s="1037" t="n"/>
      <c r="T256" s="1037" t="n"/>
      <c r="U256" s="1037" t="n"/>
    </row>
    <row r="257" ht="15.75" customHeight="1" s="1128">
      <c r="A257" s="357" t="inlineStr">
        <is>
          <t>Resonance: Blue</t>
        </is>
      </c>
      <c r="B257" s="1037" t="n"/>
      <c r="C257" s="1037" t="n"/>
      <c r="D257" s="1037" t="n">
        <v>3</v>
      </c>
      <c r="F257" s="386" t="n"/>
      <c r="G257" s="1037" t="n"/>
      <c r="H257" s="1037" t="n"/>
      <c r="I257" s="1037" t="n"/>
      <c r="J257" s="1037" t="n"/>
      <c r="K257" s="1037" t="n"/>
      <c r="L257" s="1037" t="n"/>
      <c r="M257" s="1037" t="n"/>
      <c r="N257" s="1037" t="n"/>
      <c r="O257" s="1037" t="n"/>
      <c r="P257" s="1037" t="n"/>
      <c r="Q257" s="1037" t="n"/>
      <c r="R257" s="1037" t="n"/>
      <c r="S257" s="1037" t="n"/>
      <c r="T257" s="1037" t="n"/>
      <c r="U257" s="1037" t="n"/>
    </row>
    <row r="258" ht="15.75" customHeight="1" s="1128">
      <c r="A258" s="434" t="inlineStr">
        <is>
          <t xml:space="preserve">  Forest and Pidgeons</t>
        </is>
      </c>
      <c r="B258" s="1037" t="inlineStr">
        <is>
          <t>Blue</t>
        </is>
      </c>
      <c r="C258" s="1037" t="inlineStr">
        <is>
          <t>ART</t>
        </is>
      </c>
      <c r="D258" s="1037" t="n"/>
      <c r="E258" s="1037" t="n"/>
      <c r="F258" s="390" t="inlineStr">
        <is>
          <t>Lottery Machine No.3 (?%)</t>
        </is>
      </c>
      <c r="G258" s="1037" t="n"/>
      <c r="H258" s="1037" t="n"/>
      <c r="I258" s="1037" t="n"/>
      <c r="J258" s="1037" t="n"/>
      <c r="K258" s="1037" t="n"/>
      <c r="L258" s="1037" t="n"/>
      <c r="M258" s="1037" t="n"/>
      <c r="N258" s="1037" t="n"/>
      <c r="O258" s="1037" t="n"/>
      <c r="P258" s="1037" t="n"/>
      <c r="Q258" s="1037" t="n"/>
      <c r="R258" s="1037" t="n"/>
      <c r="S258" s="1037" t="n"/>
      <c r="T258" s="1037" t="n"/>
      <c r="U258" s="1037" t="n"/>
    </row>
    <row r="259" ht="15.75" customHeight="1" s="1128">
      <c r="A259" s="434" t="inlineStr">
        <is>
          <t xml:space="preserve">  Insect Chronicles</t>
        </is>
      </c>
      <c r="B259" s="1037" t="inlineStr">
        <is>
          <t>Blue</t>
        </is>
      </c>
      <c r="C259" s="1037" t="inlineStr">
        <is>
          <t>TECH</t>
        </is>
      </c>
      <c r="D259" s="1037" t="n"/>
      <c r="E259" s="1037" t="n"/>
      <c r="F259" s="390" t="inlineStr">
        <is>
          <t>Lottery Machine No.3 (?%)</t>
        </is>
      </c>
      <c r="G259" s="1037" t="n"/>
      <c r="H259" s="1037" t="n"/>
      <c r="I259" s="1037" t="n"/>
      <c r="J259" s="1037" t="n"/>
      <c r="K259" s="1037" t="n"/>
      <c r="L259" s="1037" t="n"/>
      <c r="M259" s="1037" t="n"/>
      <c r="N259" s="1037" t="n"/>
      <c r="O259" s="1037" t="n"/>
      <c r="P259" s="1037" t="n"/>
      <c r="Q259" s="1037" t="n"/>
      <c r="R259" s="1037" t="n"/>
      <c r="S259" s="1037" t="n"/>
      <c r="T259" s="1037" t="n"/>
      <c r="U259" s="1037" t="n"/>
    </row>
    <row r="260" ht="15.75" customHeight="1" s="1128">
      <c r="A260" s="357" t="inlineStr">
        <is>
          <t>Resonance: Blue</t>
        </is>
      </c>
      <c r="B260" s="1037" t="n"/>
      <c r="C260" s="1037" t="n"/>
      <c r="D260" s="1037" t="n">
        <v>3</v>
      </c>
      <c r="F260" s="386" t="n"/>
      <c r="G260" s="1037" t="n"/>
      <c r="H260" s="1037" t="n"/>
      <c r="I260" s="1037" t="n"/>
      <c r="J260" s="1037" t="n"/>
      <c r="K260" s="1037" t="n"/>
      <c r="L260" s="1037" t="n"/>
      <c r="M260" s="1037" t="n"/>
      <c r="N260" s="1037" t="n"/>
      <c r="O260" s="1037" t="n"/>
      <c r="P260" s="1037" t="n"/>
      <c r="Q260" s="1037" t="n"/>
      <c r="R260" s="1037" t="n"/>
      <c r="S260" s="1037" t="n"/>
      <c r="T260" s="1037" t="n"/>
      <c r="U260" s="1037" t="n"/>
    </row>
    <row r="261" ht="15.75" customHeight="1" s="1128">
      <c r="A261" s="434" t="inlineStr">
        <is>
          <t xml:space="preserve">  St. Patrick's Trefoil</t>
        </is>
      </c>
      <c r="B261" s="1037" t="inlineStr">
        <is>
          <t>Blue</t>
        </is>
      </c>
      <c r="C261" s="1037" t="inlineStr">
        <is>
          <t>FTH</t>
        </is>
      </c>
      <c r="D261" s="1037" t="n"/>
      <c r="E261" s="1037" t="n"/>
      <c r="F261" s="390" t="inlineStr">
        <is>
          <t>Lottery Machine No.3 (?%)</t>
        </is>
      </c>
      <c r="G261" s="1037" t="n"/>
      <c r="H261" s="1037" t="n"/>
      <c r="I261" s="1037" t="n"/>
      <c r="J261" s="1037" t="n"/>
      <c r="K261" s="1037" t="n"/>
      <c r="L261" s="1037" t="n"/>
      <c r="M261" s="1037" t="n"/>
      <c r="N261" s="1037" t="n"/>
      <c r="O261" s="1037" t="n"/>
      <c r="P261" s="1037" t="n"/>
      <c r="Q261" s="1037" t="n"/>
      <c r="R261" s="1037" t="n"/>
      <c r="S261" s="1037" t="n"/>
      <c r="T261" s="1037" t="n"/>
      <c r="U261" s="1037" t="n"/>
    </row>
    <row r="262" ht="15.75" customHeight="1" s="1128">
      <c r="A262" s="434" t="inlineStr">
        <is>
          <t xml:space="preserve">  Luther Rose</t>
        </is>
      </c>
      <c r="B262" s="1037" t="inlineStr">
        <is>
          <t>Blue</t>
        </is>
      </c>
      <c r="C262" s="1037" t="inlineStr">
        <is>
          <t>FTH</t>
        </is>
      </c>
      <c r="D262" s="1037" t="n"/>
      <c r="E262" s="1037" t="n"/>
      <c r="F262" s="390" t="inlineStr">
        <is>
          <t>Lottery Machine No.3 (?%)</t>
        </is>
      </c>
      <c r="G262" s="1037" t="n"/>
      <c r="H262" s="1037" t="n"/>
      <c r="I262" s="1037" t="n"/>
      <c r="J262" s="1037" t="n"/>
      <c r="K262" s="1037" t="n"/>
      <c r="L262" s="1037" t="n"/>
      <c r="M262" s="1037" t="n"/>
      <c r="N262" s="1037" t="n"/>
      <c r="O262" s="1037" t="n"/>
      <c r="P262" s="1037" t="n"/>
      <c r="Q262" s="1037" t="n"/>
      <c r="R262" s="1037" t="n"/>
      <c r="S262" s="1037" t="n"/>
      <c r="T262" s="1037" t="n"/>
      <c r="U262" s="1037" t="n"/>
    </row>
    <row r="263" ht="15.75" customHeight="1" s="1128">
      <c r="A263" s="357" t="inlineStr">
        <is>
          <t>Resonance: Blue</t>
        </is>
      </c>
      <c r="B263" s="1037" t="n"/>
      <c r="C263" s="1037" t="n"/>
      <c r="D263" s="1037" t="n">
        <v>4</v>
      </c>
      <c r="F263" s="386" t="n"/>
      <c r="G263" s="1037" t="n"/>
      <c r="H263" s="1037" t="n"/>
      <c r="I263" s="1037" t="n"/>
      <c r="J263" s="1037" t="n"/>
      <c r="K263" s="1037" t="n"/>
      <c r="L263" s="1037" t="n"/>
      <c r="M263" s="1037" t="n"/>
      <c r="N263" s="1037" t="n"/>
      <c r="O263" s="1037" t="n"/>
      <c r="P263" s="1037" t="n"/>
      <c r="Q263" s="1037" t="n"/>
      <c r="R263" s="1037" t="n"/>
      <c r="S263" s="1037" t="n"/>
      <c r="T263" s="1037" t="n"/>
      <c r="U263" s="1037" t="n"/>
    </row>
    <row r="264" ht="15.75" customHeight="1" s="1128">
      <c r="A264" s="434" t="inlineStr">
        <is>
          <t xml:space="preserve">  The Mildenhall Treasure</t>
        </is>
      </c>
      <c r="B264" s="1037" t="inlineStr">
        <is>
          <t>Blue</t>
        </is>
      </c>
      <c r="C264" s="1037" t="inlineStr">
        <is>
          <t>ART</t>
        </is>
      </c>
      <c r="D264" s="1037" t="n"/>
      <c r="E264" s="1037" t="n"/>
      <c r="F264" s="390" t="inlineStr">
        <is>
          <t>Lottery Machine No.3 (?%)</t>
        </is>
      </c>
      <c r="G264" s="1037" t="n"/>
      <c r="H264" s="1037" t="n"/>
      <c r="I264" s="1037" t="n"/>
      <c r="J264" s="1037" t="n"/>
      <c r="K264" s="1037" t="n"/>
      <c r="L264" s="1037" t="n"/>
      <c r="M264" s="1037" t="n"/>
      <c r="N264" s="1037" t="n"/>
      <c r="O264" s="1037" t="n"/>
      <c r="P264" s="1037" t="n"/>
      <c r="Q264" s="1037" t="n"/>
      <c r="R264" s="1037" t="n"/>
      <c r="S264" s="1037" t="n"/>
      <c r="T264" s="1037" t="n"/>
      <c r="U264" s="1037" t="n"/>
    </row>
    <row r="265" ht="15.75" customHeight="1" s="1128">
      <c r="A265" s="434" t="inlineStr">
        <is>
          <t xml:space="preserve">  Peanut Necklace</t>
        </is>
      </c>
      <c r="B265" s="1037" t="inlineStr">
        <is>
          <t>Blue</t>
        </is>
      </c>
      <c r="C265" s="1037" t="inlineStr">
        <is>
          <t>ART</t>
        </is>
      </c>
      <c r="D265" s="1037" t="n"/>
      <c r="E265" s="1037" t="n"/>
      <c r="F265" s="390" t="inlineStr">
        <is>
          <t>Lottery Machine No.3 (?%)</t>
        </is>
      </c>
      <c r="G265" s="1037" t="n"/>
      <c r="H265" s="1037" t="n"/>
      <c r="I265" s="1037" t="n"/>
      <c r="J265" s="1037" t="n"/>
      <c r="K265" s="1037" t="n"/>
      <c r="L265" s="1037" t="n"/>
      <c r="M265" s="1037" t="n"/>
      <c r="N265" s="1037" t="n"/>
      <c r="O265" s="1037" t="n"/>
      <c r="P265" s="1037" t="n"/>
      <c r="Q265" s="1037" t="n"/>
      <c r="R265" s="1037" t="n"/>
      <c r="S265" s="1037" t="n"/>
      <c r="T265" s="1037" t="n"/>
      <c r="U265" s="1037" t="n"/>
    </row>
    <row r="266" ht="15.75" customHeight="1" s="1128">
      <c r="A266" s="434" t="inlineStr">
        <is>
          <t xml:space="preserve">  Angel Bell</t>
        </is>
      </c>
      <c r="B266" s="1037" t="inlineStr">
        <is>
          <t>Blue</t>
        </is>
      </c>
      <c r="C266" s="1037" t="inlineStr">
        <is>
          <t>CIV</t>
        </is>
      </c>
      <c r="D266" s="1037" t="n"/>
      <c r="E266" s="1037" t="n"/>
      <c r="F266" s="390" t="inlineStr">
        <is>
          <t>Lottery Machine No.3 (?%)</t>
        </is>
      </c>
      <c r="G266" s="1037" t="n"/>
      <c r="H266" s="1037" t="n"/>
      <c r="I266" s="1037" t="n"/>
      <c r="J266" s="1037" t="n"/>
      <c r="K266" s="1037" t="n"/>
      <c r="L266" s="1037" t="n"/>
      <c r="M266" s="1037" t="n"/>
      <c r="N266" s="1037" t="n"/>
      <c r="O266" s="1037" t="n"/>
      <c r="P266" s="1037" t="n"/>
      <c r="Q266" s="1037" t="n"/>
      <c r="R266" s="1037" t="n"/>
      <c r="S266" s="1037" t="n"/>
      <c r="T266" s="1037" t="n"/>
      <c r="U266" s="1037" t="n"/>
    </row>
    <row r="267" ht="15.75" customHeight="1" s="1128">
      <c r="A267" s="357" t="inlineStr">
        <is>
          <t>Resonance: Blue</t>
        </is>
      </c>
      <c r="B267" s="1037" t="n"/>
      <c r="C267" s="1037" t="n"/>
      <c r="D267" s="1037" t="n">
        <v>6</v>
      </c>
      <c r="F267" s="386" t="n"/>
      <c r="G267" s="1037" t="n"/>
      <c r="H267" s="1037" t="n"/>
      <c r="I267" s="1037" t="n"/>
      <c r="J267" s="1037" t="n"/>
      <c r="K267" s="1037" t="n"/>
      <c r="L267" s="1037" t="n"/>
      <c r="M267" s="1037" t="n"/>
      <c r="N267" s="1037" t="n"/>
      <c r="O267" s="1037" t="n"/>
      <c r="P267" s="1037" t="n"/>
      <c r="Q267" s="1037" t="n"/>
      <c r="R267" s="1037" t="n"/>
      <c r="S267" s="1037" t="n"/>
      <c r="T267" s="1037" t="n"/>
      <c r="U267" s="1037" t="n"/>
    </row>
    <row r="268" ht="15.75" customHeight="1" s="1128">
      <c r="A268" s="434" t="inlineStr">
        <is>
          <t xml:space="preserve">  Miss Pogany</t>
        </is>
      </c>
      <c r="B268" s="1037" t="inlineStr">
        <is>
          <t>Blue</t>
        </is>
      </c>
      <c r="C268" s="1037" t="inlineStr">
        <is>
          <t>ART</t>
        </is>
      </c>
      <c r="D268" s="1037" t="n"/>
      <c r="E268" s="1037" t="n"/>
      <c r="F268" s="390" t="inlineStr">
        <is>
          <t>Lottery Machine No.3 (?%)</t>
        </is>
      </c>
      <c r="G268" s="1037" t="n"/>
      <c r="H268" s="1037" t="n"/>
      <c r="I268" s="1037" t="n"/>
      <c r="J268" s="1037" t="n"/>
      <c r="K268" s="1037" t="n"/>
      <c r="L268" s="1037" t="n"/>
      <c r="M268" s="1037" t="n"/>
      <c r="N268" s="1037" t="n"/>
      <c r="O268" s="1037" t="n"/>
      <c r="P268" s="1037" t="n"/>
      <c r="Q268" s="1037" t="n"/>
      <c r="R268" s="1037" t="n"/>
      <c r="S268" s="1037" t="n"/>
      <c r="T268" s="1037" t="n"/>
      <c r="U268" s="1037" t="n"/>
    </row>
    <row r="269" ht="15.75" customHeight="1" s="1128">
      <c r="A269" s="434" t="inlineStr">
        <is>
          <t xml:space="preserve">  The Turkish Stonepeople</t>
        </is>
      </c>
      <c r="B269" s="1037" t="inlineStr">
        <is>
          <t>Blue</t>
        </is>
      </c>
      <c r="C269" s="1037" t="inlineStr">
        <is>
          <t>CIV</t>
        </is>
      </c>
      <c r="D269" s="1037" t="n"/>
      <c r="E269" s="1037" t="n"/>
      <c r="F269" s="390" t="inlineStr">
        <is>
          <t>Lottery Machine No.3 (?%)</t>
        </is>
      </c>
      <c r="G269" s="1037" t="n"/>
      <c r="H269" s="1037" t="n"/>
      <c r="I269" s="1037" t="n"/>
      <c r="J269" s="1037" t="n"/>
      <c r="K269" s="1037" t="n"/>
      <c r="L269" s="1037" t="n"/>
      <c r="M269" s="1037" t="n"/>
      <c r="N269" s="1037" t="n"/>
      <c r="O269" s="1037" t="n"/>
      <c r="P269" s="1037" t="n"/>
      <c r="Q269" s="1037" t="n"/>
      <c r="R269" s="1037" t="n"/>
      <c r="S269" s="1037" t="n"/>
      <c r="T269" s="1037" t="n"/>
      <c r="U269" s="1037" t="n"/>
    </row>
    <row r="270" ht="15.75" customHeight="1" s="1128">
      <c r="A270" s="434" t="inlineStr">
        <is>
          <t xml:space="preserve">  Captain Singleton</t>
        </is>
      </c>
      <c r="B270" s="1037" t="inlineStr">
        <is>
          <t>Blue</t>
        </is>
      </c>
      <c r="C270" s="1037" t="inlineStr">
        <is>
          <t>CIV</t>
        </is>
      </c>
      <c r="D270" s="1037" t="n"/>
      <c r="E270" s="1037" t="n"/>
      <c r="F270" s="390" t="inlineStr">
        <is>
          <t>Lottery Machine No.3 (?%)</t>
        </is>
      </c>
      <c r="G270" s="1037" t="n"/>
      <c r="H270" s="1037" t="n"/>
      <c r="I270" s="1037" t="n"/>
      <c r="J270" s="1037" t="n"/>
      <c r="K270" s="1037" t="n"/>
      <c r="L270" s="1037" t="n"/>
      <c r="M270" s="1037" t="n"/>
      <c r="N270" s="1037" t="n"/>
      <c r="O270" s="1037" t="n"/>
      <c r="P270" s="1037" t="n"/>
      <c r="Q270" s="1037" t="n"/>
      <c r="R270" s="1037" t="n"/>
      <c r="S270" s="1037" t="n"/>
      <c r="T270" s="1037" t="n"/>
      <c r="U270" s="1037" t="n"/>
    </row>
    <row r="271" ht="15.75" customHeight="1" s="1128">
      <c r="A271" s="434" t="inlineStr">
        <is>
          <t xml:space="preserve">  Rameau's Nephew</t>
        </is>
      </c>
      <c r="B271" s="1037" t="inlineStr">
        <is>
          <t>Blue</t>
        </is>
      </c>
      <c r="C271" s="1037" t="inlineStr">
        <is>
          <t>CIV</t>
        </is>
      </c>
      <c r="D271" s="1037" t="n"/>
      <c r="E271" s="1037" t="n"/>
      <c r="F271" s="390" t="inlineStr">
        <is>
          <t>Lottery Machine No.3 (?%)</t>
        </is>
      </c>
      <c r="G271" s="1037" t="n"/>
      <c r="H271" s="1037" t="n"/>
      <c r="I271" s="1037" t="n"/>
      <c r="J271" s="1037" t="n"/>
      <c r="K271" s="1037" t="n"/>
      <c r="L271" s="1037" t="n"/>
      <c r="M271" s="1037" t="n"/>
      <c r="N271" s="1037" t="n"/>
      <c r="O271" s="1037" t="n"/>
      <c r="P271" s="1037" t="n"/>
      <c r="Q271" s="1037" t="n"/>
      <c r="R271" s="1037" t="n"/>
      <c r="S271" s="1037" t="n"/>
      <c r="T271" s="1037" t="n"/>
      <c r="U271" s="1037" t="n"/>
    </row>
    <row r="272" ht="15.75" customHeight="1" s="1128">
      <c r="A272" s="434" t="inlineStr">
        <is>
          <t xml:space="preserve">  Napoleon's Mother</t>
        </is>
      </c>
      <c r="B272" s="1037" t="inlineStr">
        <is>
          <t>Blue</t>
        </is>
      </c>
      <c r="C272" s="1037" t="n"/>
      <c r="D272" s="1037" t="n"/>
      <c r="E272" s="1037" t="n"/>
      <c r="F272" s="390" t="inlineStr">
        <is>
          <t>Lottery Machine No.3 (?%)</t>
        </is>
      </c>
      <c r="G272" s="1037" t="n"/>
      <c r="H272" s="1037" t="n"/>
      <c r="I272" s="1037" t="n"/>
      <c r="J272" s="1037" t="n"/>
      <c r="K272" s="1037" t="n"/>
      <c r="L272" s="1037" t="n"/>
      <c r="M272" s="1037" t="n"/>
      <c r="N272" s="1037" t="n"/>
      <c r="O272" s="1037" t="n"/>
      <c r="P272" s="1037" t="n"/>
      <c r="Q272" s="1037" t="n"/>
      <c r="R272" s="1037" t="n"/>
      <c r="S272" s="1037" t="n"/>
      <c r="T272" s="1037" t="n"/>
      <c r="U272" s="1037" t="n"/>
    </row>
    <row r="273" ht="15.75" customHeight="1" s="1128">
      <c r="A273" s="434" t="inlineStr">
        <is>
          <t xml:space="preserve">  The Adventures of Robin Hood</t>
        </is>
      </c>
      <c r="B273" s="1037" t="inlineStr">
        <is>
          <t>Blue</t>
        </is>
      </c>
      <c r="C273" s="1037" t="inlineStr">
        <is>
          <t>CIV</t>
        </is>
      </c>
      <c r="D273" s="1037" t="n"/>
      <c r="E273" s="1037" t="n"/>
      <c r="F273" s="390" t="inlineStr">
        <is>
          <t>Lottery Machine No.3 (?%)</t>
        </is>
      </c>
      <c r="G273" s="1037" t="n"/>
      <c r="H273" s="1037" t="n"/>
      <c r="I273" s="1037" t="n"/>
      <c r="J273" s="1037" t="n"/>
      <c r="K273" s="1037" t="n"/>
      <c r="L273" s="1037" t="n"/>
      <c r="M273" s="1037" t="n"/>
      <c r="N273" s="1037" t="n"/>
      <c r="O273" s="1037" t="n"/>
      <c r="P273" s="1037" t="n"/>
      <c r="Q273" s="1037" t="n"/>
      <c r="R273" s="1037" t="n"/>
      <c r="S273" s="1037" t="n"/>
      <c r="T273" s="1037" t="n"/>
      <c r="U273" s="1037" t="n"/>
    </row>
    <row r="274" ht="15.75" customHeight="1" s="1128">
      <c r="A274" s="357" t="inlineStr">
        <is>
          <t>Resonance: Purple</t>
        </is>
      </c>
      <c r="B274" s="1037" t="n"/>
      <c r="C274" s="1037" t="n"/>
      <c r="D274" s="371" t="n">
        <v>4</v>
      </c>
      <c r="E274" s="1037" t="n"/>
      <c r="F274" s="386" t="n"/>
      <c r="G274" s="1037" t="n"/>
      <c r="H274" s="1037" t="n"/>
      <c r="I274" s="1037" t="n"/>
      <c r="J274" s="1037" t="n"/>
      <c r="K274" s="1037" t="n"/>
      <c r="L274" s="1037" t="n"/>
      <c r="M274" s="1037" t="n"/>
      <c r="N274" s="1037" t="n"/>
      <c r="O274" s="1037" t="n"/>
      <c r="P274" s="1037" t="n"/>
      <c r="Q274" s="1037" t="n"/>
      <c r="R274" s="1037" t="n"/>
      <c r="S274" s="1037" t="n"/>
      <c r="T274" s="1037" t="n"/>
      <c r="U274" s="1037" t="n"/>
    </row>
    <row r="275" ht="15.75" customHeight="1" s="1128">
      <c r="A275" s="434" t="inlineStr">
        <is>
          <t xml:space="preserve">  Sigil Idol</t>
        </is>
      </c>
      <c r="B275" s="1037" t="inlineStr">
        <is>
          <t>AAA</t>
        </is>
      </c>
      <c r="C275" s="1037" t="inlineStr">
        <is>
          <t>FTH</t>
        </is>
      </c>
      <c r="D275" s="1037" t="n"/>
      <c r="E275" s="1037" t="n"/>
      <c r="F275" s="390" t="inlineStr">
        <is>
          <t>Lottery Machine No.3 (?%)</t>
        </is>
      </c>
      <c r="G275" s="1037" t="n"/>
      <c r="H275" s="1037" t="n"/>
      <c r="I275" s="1037" t="n"/>
      <c r="J275" s="1037" t="n"/>
      <c r="K275" s="1037" t="n"/>
      <c r="L275" s="1037" t="n"/>
      <c r="M275" s="1037" t="n"/>
      <c r="N275" s="1037" t="n"/>
      <c r="O275" s="1037" t="n"/>
      <c r="P275" s="1037" t="n"/>
      <c r="Q275" s="1037" t="n"/>
      <c r="R275" s="1037" t="n"/>
      <c r="S275" s="1037" t="n"/>
      <c r="T275" s="1037" t="n"/>
      <c r="U275" s="1037" t="n"/>
    </row>
    <row r="276" ht="15.75" customHeight="1" s="1128">
      <c r="A276" s="434" t="inlineStr">
        <is>
          <t xml:space="preserve">  Tlaloc Stone Statue</t>
        </is>
      </c>
      <c r="B276" s="1037" t="inlineStr">
        <is>
          <t>AAA</t>
        </is>
      </c>
      <c r="C276" s="1037" t="inlineStr">
        <is>
          <t>FTH</t>
        </is>
      </c>
      <c r="D276" s="1037" t="n"/>
      <c r="E276" s="1037" t="n"/>
      <c r="F276" s="390" t="inlineStr">
        <is>
          <t>Lottery Machine No.3 (?%)</t>
        </is>
      </c>
      <c r="G276" s="1037" t="n"/>
      <c r="H276" s="1037" t="n"/>
      <c r="I276" s="1037" t="n"/>
      <c r="J276" s="1037" t="n"/>
      <c r="K276" s="1037" t="n"/>
      <c r="L276" s="1037" t="n"/>
      <c r="M276" s="1037" t="n"/>
      <c r="N276" s="1037" t="n"/>
      <c r="O276" s="1037" t="n"/>
      <c r="P276" s="1037" t="n"/>
      <c r="Q276" s="1037" t="n"/>
      <c r="R276" s="1037" t="n"/>
      <c r="S276" s="1037" t="n"/>
      <c r="T276" s="1037" t="n"/>
      <c r="U276" s="1037" t="n"/>
    </row>
    <row r="277" ht="15.75" customHeight="1" s="1128">
      <c r="A277" s="357" t="inlineStr">
        <is>
          <t>Resonance: Purple</t>
        </is>
      </c>
      <c r="B277" s="1037" t="n"/>
      <c r="C277" s="1037" t="n"/>
      <c r="D277" s="371" t="n">
        <v>4</v>
      </c>
      <c r="E277" s="1037" t="n"/>
      <c r="F277" s="386" t="n"/>
      <c r="G277" s="1037" t="n"/>
      <c r="H277" s="1037" t="n"/>
      <c r="I277" s="1037" t="n"/>
      <c r="J277" s="1037" t="n"/>
      <c r="K277" s="1037" t="n"/>
      <c r="L277" s="1037" t="n"/>
      <c r="M277" s="1037" t="n"/>
      <c r="N277" s="1037" t="n"/>
      <c r="O277" s="1037" t="n"/>
      <c r="P277" s="1037" t="n"/>
      <c r="Q277" s="1037" t="n"/>
      <c r="R277" s="1037" t="n"/>
      <c r="S277" s="1037" t="n"/>
      <c r="T277" s="1037" t="n"/>
      <c r="U277" s="1037" t="n"/>
    </row>
    <row r="278" ht="15.75" customHeight="1" s="1128">
      <c r="A278" s="434" t="inlineStr">
        <is>
          <t xml:space="preserve">  Parnell's Experiment</t>
        </is>
      </c>
      <c r="B278" s="1037" t="inlineStr">
        <is>
          <t>AAA</t>
        </is>
      </c>
      <c r="C278" s="1037" t="inlineStr">
        <is>
          <t>FAME</t>
        </is>
      </c>
      <c r="D278" s="1037" t="n"/>
      <c r="E278" s="1037" t="n"/>
      <c r="F278" s="390" t="inlineStr">
        <is>
          <t>Lottery Machine No.3 (?%)</t>
        </is>
      </c>
      <c r="G278" s="1037" t="n"/>
      <c r="H278" s="1037" t="n"/>
      <c r="I278" s="1037" t="n"/>
      <c r="J278" s="1037" t="n"/>
      <c r="K278" s="1037" t="n"/>
      <c r="L278" s="1037" t="n"/>
      <c r="M278" s="1037" t="n"/>
      <c r="N278" s="1037" t="n"/>
      <c r="O278" s="1037" t="n"/>
      <c r="P278" s="1037" t="n"/>
      <c r="Q278" s="1037" t="n"/>
      <c r="R278" s="1037" t="n"/>
      <c r="S278" s="1037" t="n"/>
      <c r="T278" s="1037" t="n"/>
      <c r="U278" s="1037" t="n"/>
    </row>
    <row r="279" ht="15.75" customHeight="1" s="1128">
      <c r="A279" s="434" t="inlineStr">
        <is>
          <t xml:space="preserve">  Skeptical Chemist</t>
        </is>
      </c>
      <c r="B279" s="1037" t="inlineStr">
        <is>
          <t>AAA</t>
        </is>
      </c>
      <c r="C279" s="1037" t="inlineStr">
        <is>
          <t>FAME</t>
        </is>
      </c>
      <c r="D279" s="1037" t="n"/>
      <c r="E279" s="1037" t="n"/>
      <c r="F279" s="390" t="inlineStr">
        <is>
          <t>Lottery Machine No.3 (?%)</t>
        </is>
      </c>
      <c r="G279" s="1037" t="n"/>
      <c r="H279" s="1037" t="n"/>
      <c r="I279" s="1037" t="n"/>
      <c r="J279" s="1037" t="n"/>
      <c r="K279" s="1037" t="n"/>
      <c r="L279" s="1037" t="n"/>
      <c r="M279" s="1037" t="n"/>
      <c r="N279" s="1037" t="n"/>
      <c r="O279" s="1037" t="n"/>
      <c r="P279" s="1037" t="n"/>
      <c r="Q279" s="1037" t="n"/>
      <c r="R279" s="1037" t="n"/>
      <c r="S279" s="1037" t="n"/>
      <c r="T279" s="1037" t="n"/>
      <c r="U279" s="1037" t="n"/>
    </row>
    <row r="280" ht="15.75" customHeight="1" s="1128">
      <c r="A280" s="357" t="inlineStr">
        <is>
          <t>Resonance: Purple</t>
        </is>
      </c>
      <c r="B280" s="1037" t="n"/>
      <c r="C280" s="1037" t="n"/>
      <c r="D280" s="371" t="n">
        <v>5</v>
      </c>
      <c r="E280" s="1037" t="n"/>
      <c r="F280" s="386" t="n"/>
      <c r="G280" s="1037" t="n"/>
      <c r="H280" s="1037" t="n"/>
      <c r="I280" s="1037" t="n"/>
      <c r="J280" s="1037" t="n"/>
      <c r="K280" s="1037" t="n"/>
      <c r="L280" s="1037" t="n"/>
      <c r="M280" s="1037" t="n"/>
      <c r="N280" s="1037" t="n"/>
      <c r="O280" s="1037" t="n"/>
      <c r="P280" s="1037" t="n"/>
      <c r="Q280" s="1037" t="n"/>
      <c r="R280" s="1037" t="n"/>
      <c r="S280" s="1037" t="n"/>
      <c r="T280" s="1037" t="n"/>
      <c r="U280" s="1037" t="n"/>
    </row>
    <row r="281" ht="15.75" customHeight="1" s="1128">
      <c r="A281" s="434" t="inlineStr">
        <is>
          <t xml:space="preserve">  The Reckless Traveler</t>
        </is>
      </c>
      <c r="B281" s="1037" t="inlineStr">
        <is>
          <t>AAA</t>
        </is>
      </c>
      <c r="C281" s="1037" t="inlineStr">
        <is>
          <t>FAME</t>
        </is>
      </c>
      <c r="D281" s="1037" t="n"/>
      <c r="E281" s="1037" t="n"/>
      <c r="F281" s="390" t="inlineStr">
        <is>
          <t>Lottery Machine No.3 (?%)</t>
        </is>
      </c>
      <c r="G281" s="1037" t="n"/>
      <c r="H281" s="1037" t="n"/>
      <c r="I281" s="1037" t="n"/>
      <c r="J281" s="1037" t="n"/>
      <c r="K281" s="1037" t="n"/>
      <c r="L281" s="1037" t="n"/>
      <c r="M281" s="1037" t="n"/>
      <c r="N281" s="1037" t="n"/>
      <c r="O281" s="1037" t="n"/>
      <c r="P281" s="1037" t="n"/>
      <c r="Q281" s="1037" t="n"/>
      <c r="R281" s="1037" t="n"/>
      <c r="S281" s="1037" t="n"/>
      <c r="T281" s="1037" t="n"/>
      <c r="U281" s="1037" t="n"/>
    </row>
    <row r="282" ht="15.75" customHeight="1" s="1128">
      <c r="A282" s="434" t="inlineStr">
        <is>
          <t xml:space="preserve">  Ollantay</t>
        </is>
      </c>
      <c r="B282" s="1037" t="inlineStr">
        <is>
          <t>A</t>
        </is>
      </c>
      <c r="C282" s="1037" t="inlineStr">
        <is>
          <t>CIV</t>
        </is>
      </c>
      <c r="D282" s="1037" t="n"/>
      <c r="E282" s="1037" t="n"/>
      <c r="F282" s="390" t="inlineStr">
        <is>
          <t>Lottery Machine No.3 (?%)</t>
        </is>
      </c>
      <c r="G282" s="1037" t="n"/>
      <c r="H282" s="1037" t="n"/>
      <c r="I282" s="1037" t="n"/>
      <c r="J282" s="1037" t="n"/>
      <c r="K282" s="1037" t="n"/>
      <c r="L282" s="1037" t="n"/>
      <c r="M282" s="1037" t="n"/>
      <c r="N282" s="1037" t="n"/>
      <c r="O282" s="1037" t="n"/>
      <c r="P282" s="1037" t="n"/>
      <c r="Q282" s="1037" t="n"/>
      <c r="R282" s="1037" t="n"/>
      <c r="S282" s="1037" t="n"/>
      <c r="T282" s="1037" t="n"/>
      <c r="U282" s="1037" t="n"/>
    </row>
    <row r="283" ht="15.75" customHeight="1" s="1128">
      <c r="A283" s="434" t="inlineStr">
        <is>
          <t xml:space="preserve">  Golden Shoe</t>
        </is>
      </c>
      <c r="B283" s="1037" t="inlineStr">
        <is>
          <t>AA</t>
        </is>
      </c>
      <c r="C283" s="1037" t="inlineStr">
        <is>
          <t>FAME</t>
        </is>
      </c>
      <c r="D283" s="1037" t="n"/>
      <c r="E283" s="1037" t="n"/>
      <c r="F283" s="390" t="inlineStr">
        <is>
          <t>Lottery Machine No.3 (?%)</t>
        </is>
      </c>
      <c r="G283" s="1037" t="n"/>
      <c r="H283" s="1037" t="n"/>
      <c r="I283" s="1037" t="n"/>
      <c r="J283" s="1037" t="n"/>
      <c r="K283" s="1037" t="n"/>
      <c r="L283" s="1037" t="n"/>
      <c r="M283" s="1037" t="n"/>
      <c r="N283" s="1037" t="n"/>
      <c r="O283" s="1037" t="n"/>
      <c r="P283" s="1037" t="n"/>
      <c r="Q283" s="1037" t="n"/>
      <c r="R283" s="1037" t="n"/>
      <c r="S283" s="1037" t="n"/>
      <c r="T283" s="1037" t="n"/>
      <c r="U283" s="1037" t="n"/>
    </row>
    <row r="284" ht="15.75" customHeight="1" s="1128">
      <c r="A284" s="434" t="inlineStr">
        <is>
          <t xml:space="preserve">  Incan Knot</t>
        </is>
      </c>
      <c r="B284" s="1037" t="inlineStr">
        <is>
          <t>AA</t>
        </is>
      </c>
      <c r="C284" s="1037" t="inlineStr">
        <is>
          <t>CIV</t>
        </is>
      </c>
      <c r="D284" s="1037" t="n"/>
      <c r="E284" s="1037" t="n"/>
      <c r="F284" s="390" t="inlineStr">
        <is>
          <t>Lottery Machine No.3 (?%)</t>
        </is>
      </c>
      <c r="G284" s="1037" t="n"/>
      <c r="H284" s="1037" t="n"/>
      <c r="I284" s="1037" t="n"/>
      <c r="J284" s="1037" t="n"/>
      <c r="K284" s="1037" t="n"/>
      <c r="L284" s="1037" t="n"/>
      <c r="M284" s="1037" t="n"/>
      <c r="N284" s="1037" t="n"/>
      <c r="O284" s="1037" t="n"/>
      <c r="P284" s="1037" t="n"/>
      <c r="Q284" s="1037" t="n"/>
      <c r="R284" s="1037" t="n"/>
      <c r="S284" s="1037" t="n"/>
      <c r="T284" s="1037" t="n"/>
      <c r="U284" s="1037" t="n"/>
    </row>
    <row r="285" ht="15.75" customHeight="1" s="1128">
      <c r="A285" s="357" t="inlineStr">
        <is>
          <t>Resonance: Purple</t>
        </is>
      </c>
      <c r="B285" s="1037" t="n"/>
      <c r="C285" s="1037" t="n"/>
      <c r="D285" s="1037" t="n">
        <v>6</v>
      </c>
      <c r="E285" s="1037" t="n"/>
      <c r="F285" s="386" t="n"/>
      <c r="G285" s="1037" t="n"/>
      <c r="H285" s="1037" t="n"/>
      <c r="I285" s="1037" t="n"/>
      <c r="J285" s="1037" t="n"/>
      <c r="K285" s="1037" t="n"/>
      <c r="L285" s="1037" t="n"/>
      <c r="M285" s="1037" t="n"/>
      <c r="N285" s="1037" t="n"/>
      <c r="O285" s="1037" t="n"/>
      <c r="P285" s="1037" t="n"/>
      <c r="Q285" s="1037" t="n"/>
      <c r="R285" s="1037" t="n"/>
      <c r="S285" s="1037" t="n"/>
      <c r="T285" s="1037" t="n"/>
      <c r="U285" s="1037" t="n"/>
    </row>
    <row r="286" ht="15.75" customHeight="1" s="1128">
      <c r="A286" s="434" t="inlineStr">
        <is>
          <t xml:space="preserve">  Melancholic Boy</t>
        </is>
      </c>
      <c r="B286" s="1037" t="inlineStr">
        <is>
          <t>AAA</t>
        </is>
      </c>
      <c r="C286" s="1037" t="inlineStr">
        <is>
          <t>ART</t>
        </is>
      </c>
      <c r="D286" s="1037" t="n"/>
      <c r="E286" s="1037" t="n"/>
      <c r="F286" s="390" t="inlineStr">
        <is>
          <t>Lottery Machine No.3 (?%)</t>
        </is>
      </c>
      <c r="G286" s="1037" t="n"/>
      <c r="H286" s="1037" t="n"/>
      <c r="I286" s="1037" t="n"/>
      <c r="J286" s="1037" t="n"/>
      <c r="K286" s="1037" t="n"/>
      <c r="L286" s="1037" t="n"/>
      <c r="M286" s="1037" t="n"/>
      <c r="N286" s="1037" t="n"/>
      <c r="O286" s="1037" t="n"/>
      <c r="P286" s="1037" t="n"/>
      <c r="Q286" s="1037" t="n"/>
      <c r="R286" s="1037" t="n"/>
      <c r="S286" s="1037" t="n"/>
      <c r="T286" s="1037" t="n"/>
      <c r="U286" s="1037" t="n"/>
    </row>
    <row r="287" ht="15.75" customHeight="1" s="1128">
      <c r="A287" s="434" t="inlineStr">
        <is>
          <t xml:space="preserve">  Frigg's Robe</t>
        </is>
      </c>
      <c r="B287" s="1037" t="inlineStr">
        <is>
          <t>AAA</t>
        </is>
      </c>
      <c r="C287" s="1037" t="inlineStr">
        <is>
          <t>FTH</t>
        </is>
      </c>
      <c r="D287" s="1037" t="n"/>
      <c r="E287" s="1037" t="n"/>
      <c r="F287" s="390" t="inlineStr">
        <is>
          <t>Lottery Machine No.3 (?%)</t>
        </is>
      </c>
      <c r="G287" s="1037" t="n"/>
      <c r="H287" s="1037" t="n"/>
      <c r="I287" s="1037" t="n"/>
      <c r="J287" s="1037" t="n"/>
      <c r="K287" s="1037" t="n"/>
      <c r="L287" s="1037" t="n"/>
      <c r="M287" s="1037" t="n"/>
      <c r="N287" s="1037" t="n"/>
      <c r="O287" s="1037" t="n"/>
      <c r="P287" s="1037" t="n"/>
      <c r="Q287" s="1037" t="n"/>
      <c r="R287" s="1037" t="n"/>
      <c r="S287" s="1037" t="n"/>
      <c r="T287" s="1037" t="n"/>
      <c r="U287" s="1037" t="n"/>
    </row>
    <row r="288" ht="15.75" customHeight="1" s="1128">
      <c r="A288" s="434" t="inlineStr">
        <is>
          <t xml:space="preserve">  The Nectar of Poetry</t>
        </is>
      </c>
      <c r="B288" s="1037" t="inlineStr">
        <is>
          <t>AAA</t>
        </is>
      </c>
      <c r="C288" s="1037" t="inlineStr">
        <is>
          <t>FTH</t>
        </is>
      </c>
      <c r="D288" s="1037" t="n"/>
      <c r="E288" s="1037" t="n"/>
      <c r="F288" s="390" t="inlineStr">
        <is>
          <t>Lottery Machine No.3 (?%)</t>
        </is>
      </c>
      <c r="G288" s="1037" t="n"/>
      <c r="H288" s="1037" t="n"/>
      <c r="I288" s="1037" t="n"/>
      <c r="J288" s="1037" t="n"/>
      <c r="K288" s="1037" t="n"/>
      <c r="L288" s="1037" t="n"/>
      <c r="M288" s="1037" t="n"/>
      <c r="N288" s="1037" t="n"/>
      <c r="O288" s="1037" t="n"/>
      <c r="P288" s="1037" t="n"/>
      <c r="Q288" s="1037" t="n"/>
      <c r="R288" s="1037" t="n"/>
      <c r="S288" s="1037" t="n"/>
      <c r="T288" s="1037" t="n"/>
      <c r="U288" s="1037" t="n"/>
    </row>
    <row r="289" ht="15.75" customHeight="1" s="1128">
      <c r="A289" s="434" t="inlineStr">
        <is>
          <t xml:space="preserve">  The Complete Map of the World</t>
        </is>
      </c>
      <c r="B289" s="1037" t="inlineStr">
        <is>
          <t>AAA</t>
        </is>
      </c>
      <c r="C289" s="1037" t="inlineStr">
        <is>
          <t>CIV</t>
        </is>
      </c>
      <c r="D289" s="1037" t="n"/>
      <c r="E289" s="1037" t="n"/>
      <c r="F289" s="390" t="inlineStr">
        <is>
          <t>Lottery Machine No.3 (?%)</t>
        </is>
      </c>
      <c r="G289" s="1037" t="n"/>
      <c r="H289" s="1037" t="n"/>
      <c r="I289" s="1037" t="n"/>
      <c r="J289" s="1037" t="n"/>
      <c r="K289" s="1037" t="n"/>
      <c r="L289" s="1037" t="n"/>
      <c r="M289" s="1037" t="n"/>
      <c r="N289" s="1037" t="n"/>
      <c r="O289" s="1037" t="n"/>
      <c r="P289" s="1037" t="n"/>
      <c r="Q289" s="1037" t="n"/>
      <c r="R289" s="1037" t="n"/>
      <c r="S289" s="1037" t="n"/>
      <c r="T289" s="1037" t="n"/>
      <c r="U289" s="1037" t="n"/>
    </row>
    <row r="290" ht="15.75" customHeight="1" s="1128">
      <c r="A290" s="434" t="inlineStr">
        <is>
          <t xml:space="preserve">  Enheduanna's Tablet</t>
        </is>
      </c>
      <c r="B290" s="1037" t="inlineStr">
        <is>
          <t>AAA</t>
        </is>
      </c>
      <c r="C290" s="1037" t="inlineStr">
        <is>
          <t>CIV</t>
        </is>
      </c>
      <c r="D290" s="1037" t="n"/>
      <c r="E290" s="1037" t="n"/>
      <c r="F290" s="390" t="inlineStr">
        <is>
          <t>Lottery Machine No.3 (?%)</t>
        </is>
      </c>
      <c r="G290" s="1037" t="n"/>
      <c r="H290" s="1037" t="n"/>
      <c r="I290" s="1037" t="n"/>
      <c r="J290" s="1037" t="n"/>
      <c r="K290" s="1037" t="n"/>
      <c r="L290" s="1037" t="n"/>
      <c r="M290" s="1037" t="n"/>
      <c r="N290" s="1037" t="n"/>
      <c r="O290" s="1037" t="n"/>
      <c r="P290" s="1037" t="n"/>
      <c r="Q290" s="1037" t="n"/>
      <c r="R290" s="1037" t="n"/>
      <c r="S290" s="1037" t="n"/>
      <c r="T290" s="1037" t="n"/>
      <c r="U290" s="1037" t="n"/>
    </row>
    <row r="291" ht="15.75" customHeight="1" s="1128">
      <c r="A291" s="357" t="inlineStr">
        <is>
          <t>Resonance: Purple</t>
        </is>
      </c>
      <c r="B291" s="1037" t="n"/>
      <c r="C291" s="1037" t="n"/>
      <c r="D291" s="1037" t="n">
        <v>10</v>
      </c>
      <c r="F291" s="386" t="n"/>
      <c r="G291" s="1037" t="n"/>
      <c r="H291" s="1037" t="n"/>
      <c r="I291" s="1037" t="n"/>
      <c r="J291" s="1037" t="n"/>
      <c r="K291" s="1037" t="n"/>
      <c r="L291" s="1037" t="n"/>
      <c r="M291" s="1037" t="n"/>
      <c r="N291" s="1037" t="n"/>
      <c r="O291" s="1037" t="n"/>
      <c r="P291" s="1037" t="n"/>
      <c r="Q291" s="1037" t="n"/>
      <c r="R291" s="1037" t="n"/>
      <c r="S291" s="1037" t="n"/>
      <c r="T291" s="1037" t="n"/>
      <c r="U291" s="1037" t="n"/>
    </row>
    <row r="292" ht="15.75" customHeight="1" s="1128">
      <c r="A292" s="434" t="inlineStr">
        <is>
          <t xml:space="preserve">  V8 Engine</t>
        </is>
      </c>
      <c r="B292" s="1037" t="inlineStr">
        <is>
          <t>AAA</t>
        </is>
      </c>
      <c r="C292" s="1037" t="inlineStr">
        <is>
          <t>TECH</t>
        </is>
      </c>
      <c r="D292" s="1037" t="n"/>
      <c r="E292" s="1037" t="n"/>
      <c r="F292" s="418" t="inlineStr">
        <is>
          <t>Time Beacon Reward</t>
        </is>
      </c>
      <c r="G292" s="1037" t="n"/>
      <c r="H292" s="1037" t="n"/>
      <c r="I292" s="1037" t="n"/>
      <c r="J292" s="1037" t="n"/>
      <c r="K292" s="1037" t="n"/>
      <c r="L292" s="1037" t="n"/>
      <c r="M292" s="1037" t="n"/>
      <c r="N292" s="1037" t="n"/>
      <c r="O292" s="1037" t="n"/>
      <c r="P292" s="1037" t="n"/>
      <c r="Q292" s="1037" t="n"/>
      <c r="R292" s="1037" t="n"/>
      <c r="S292" s="1037" t="n"/>
      <c r="T292" s="1037" t="n"/>
      <c r="U292" s="1037" t="n"/>
    </row>
    <row r="293" ht="15.75" customHeight="1" s="1128">
      <c r="A293" s="434" t="inlineStr">
        <is>
          <t xml:space="preserve">  Phial of Galadrial</t>
        </is>
      </c>
      <c r="B293" s="1037" t="inlineStr">
        <is>
          <t>AAA</t>
        </is>
      </c>
      <c r="C293" s="1037" t="inlineStr">
        <is>
          <t>FTH</t>
        </is>
      </c>
      <c r="D293" s="1037" t="n"/>
      <c r="E293" s="1037" t="n"/>
      <c r="F293" s="418" t="inlineStr">
        <is>
          <t>Gastric Pouch Relic #1 (F1-F4)</t>
        </is>
      </c>
      <c r="G293" s="1037" t="n"/>
      <c r="H293" s="1037" t="n"/>
      <c r="I293" s="1037" t="n"/>
      <c r="J293" s="1037" t="n"/>
      <c r="K293" s="1037" t="n"/>
      <c r="L293" s="1037" t="n"/>
      <c r="M293" s="1037" t="n"/>
      <c r="N293" s="1037" t="n"/>
      <c r="O293" s="1037" t="n"/>
      <c r="P293" s="1037" t="n"/>
      <c r="Q293" s="1037" t="n"/>
      <c r="R293" s="1037" t="n"/>
      <c r="S293" s="1037" t="n"/>
      <c r="T293" s="1037" t="n"/>
      <c r="U293" s="1037" t="n"/>
    </row>
    <row r="294" ht="15.75" customHeight="1" s="1128">
      <c r="A294" s="434" t="inlineStr">
        <is>
          <t xml:space="preserve">  Letters for Josephine</t>
        </is>
      </c>
      <c r="B294" s="1037" t="inlineStr">
        <is>
          <t>AAA</t>
        </is>
      </c>
      <c r="C294" s="1037" t="inlineStr">
        <is>
          <t>CIV</t>
        </is>
      </c>
      <c r="D294" s="1037" t="n"/>
      <c r="E294" s="1037" t="n"/>
      <c r="F294" s="418" t="inlineStr">
        <is>
          <t>Lottery Relic #4</t>
        </is>
      </c>
      <c r="G294" s="1037" t="n"/>
      <c r="H294" s="1037" t="n"/>
      <c r="I294" s="1037" t="n"/>
      <c r="J294" s="1037" t="n"/>
      <c r="K294" s="1037" t="n"/>
      <c r="L294" s="1037" t="n"/>
      <c r="M294" s="1037" t="n"/>
      <c r="N294" s="1037" t="n"/>
      <c r="O294" s="1037" t="n"/>
      <c r="P294" s="1037" t="n"/>
      <c r="Q294" s="1037" t="n"/>
      <c r="R294" s="1037" t="n"/>
      <c r="S294" s="1037" t="n"/>
      <c r="T294" s="1037" t="n"/>
      <c r="U294" s="1037" t="n"/>
    </row>
    <row r="295" ht="15.75" customHeight="1" s="1128">
      <c r="A295" s="434" t="inlineStr">
        <is>
          <t xml:space="preserve">  Nugget Awards</t>
        </is>
      </c>
      <c r="B295" s="1037" t="inlineStr">
        <is>
          <t>AAA</t>
        </is>
      </c>
      <c r="C295" s="1037" t="inlineStr">
        <is>
          <t>ART</t>
        </is>
      </c>
      <c r="D295" s="1037" t="n"/>
      <c r="E295" s="1037" t="n"/>
      <c r="F295" s="418" t="inlineStr">
        <is>
          <t>Home Decor Relic #2</t>
        </is>
      </c>
      <c r="G295" s="1037" t="n"/>
      <c r="H295" s="1037" t="n"/>
      <c r="I295" s="1037" t="n"/>
      <c r="J295" s="1037" t="n"/>
      <c r="K295" s="1037" t="n"/>
      <c r="L295" s="1037" t="n"/>
      <c r="M295" s="1037" t="n"/>
      <c r="N295" s="1037" t="n"/>
      <c r="O295" s="1037" t="n"/>
      <c r="P295" s="1037" t="n"/>
      <c r="Q295" s="1037" t="n"/>
      <c r="R295" s="1037" t="n"/>
      <c r="S295" s="1037" t="n"/>
      <c r="T295" s="1037" t="n"/>
      <c r="U295" s="1037" t="n"/>
    </row>
    <row r="296" ht="15.75" customHeight="1" s="1128">
      <c r="A296" s="434" t="inlineStr">
        <is>
          <t xml:space="preserve">  San Plate</t>
        </is>
      </c>
      <c r="B296" s="1037" t="inlineStr">
        <is>
          <t>AAA</t>
        </is>
      </c>
      <c r="C296" s="1037" t="inlineStr">
        <is>
          <t>FAME</t>
        </is>
      </c>
      <c r="D296" s="1037" t="n"/>
      <c r="E296" s="1037" t="n"/>
      <c r="F296" s="418" t="inlineStr">
        <is>
          <t>Museum Operation Relic #?</t>
        </is>
      </c>
      <c r="G296" s="1037" t="n"/>
      <c r="H296" s="1037" t="n"/>
      <c r="I296" s="1037" t="n"/>
      <c r="J296" s="1037" t="n"/>
      <c r="K296" s="1037" t="n"/>
      <c r="L296" s="1037" t="n"/>
      <c r="M296" s="1037" t="n"/>
      <c r="N296" s="1037" t="n"/>
      <c r="O296" s="1037" t="n"/>
      <c r="P296" s="1037" t="n"/>
      <c r="Q296" s="1037" t="n"/>
      <c r="R296" s="1037" t="n"/>
      <c r="S296" s="1037" t="n"/>
      <c r="T296" s="1037" t="n"/>
      <c r="U296" s="1037" t="n"/>
    </row>
    <row r="297" ht="15.75" customHeight="1" s="1128">
      <c r="A297" s="434" t="inlineStr">
        <is>
          <t xml:space="preserve">  Helmholtz Coil</t>
        </is>
      </c>
      <c r="B297" s="1037" t="inlineStr">
        <is>
          <t>AAA</t>
        </is>
      </c>
      <c r="C297" s="1037" t="inlineStr">
        <is>
          <t>TECH</t>
        </is>
      </c>
      <c r="D297" s="1037" t="n"/>
      <c r="E297" s="1037" t="n"/>
      <c r="F297" s="418" t="inlineStr">
        <is>
          <t>Lottery Relic #5</t>
        </is>
      </c>
      <c r="G297" s="1037" t="n"/>
      <c r="H297" s="1037" t="n"/>
      <c r="I297" s="1037" t="n"/>
      <c r="J297" s="1037" t="n"/>
      <c r="K297" s="1037" t="n"/>
      <c r="L297" s="1037" t="n"/>
      <c r="M297" s="1037" t="n"/>
      <c r="N297" s="1037" t="n"/>
      <c r="O297" s="1037" t="n"/>
      <c r="P297" s="1037" t="n"/>
      <c r="Q297" s="1037" t="n"/>
      <c r="R297" s="1037" t="n"/>
      <c r="S297" s="1037" t="n"/>
      <c r="T297" s="1037" t="n"/>
      <c r="U297" s="1037" t="n"/>
    </row>
    <row r="298" ht="15.75" customHeight="1" s="1128">
      <c r="A298" s="357" t="inlineStr">
        <is>
          <t>Resonance: Purple</t>
        </is>
      </c>
      <c r="B298" s="1037" t="n"/>
      <c r="C298" s="1037" t="n"/>
      <c r="D298" s="371" t="n">
        <v>10</v>
      </c>
      <c r="E298" s="1037" t="n"/>
      <c r="F298" s="386" t="n"/>
      <c r="G298" s="1037" t="n"/>
      <c r="H298" s="1037" t="n"/>
      <c r="I298" s="1037" t="n"/>
      <c r="J298" s="1037" t="n"/>
      <c r="K298" s="1037" t="n"/>
      <c r="L298" s="1037" t="n"/>
      <c r="M298" s="1037" t="n"/>
      <c r="N298" s="1037" t="n"/>
      <c r="O298" s="1037" t="n"/>
      <c r="P298" s="1037" t="n"/>
      <c r="Q298" s="1037" t="n"/>
      <c r="R298" s="1037" t="n"/>
      <c r="S298" s="1037" t="n"/>
      <c r="T298" s="1037" t="n"/>
      <c r="U298" s="1037" t="n"/>
    </row>
    <row r="299" ht="15.75" customHeight="1" s="1128">
      <c r="A299" s="434" t="inlineStr">
        <is>
          <t xml:space="preserve">  Crown of Thorns Reliquary</t>
        </is>
      </c>
      <c r="B299" s="1037" t="inlineStr">
        <is>
          <t>A</t>
        </is>
      </c>
      <c r="C299" s="1037" t="inlineStr">
        <is>
          <t>FTH</t>
        </is>
      </c>
      <c r="D299" s="1037" t="n"/>
      <c r="E299" s="1037" t="n"/>
      <c r="F299" s="390" t="inlineStr">
        <is>
          <t>Lottery Machine No.3 (?%)</t>
        </is>
      </c>
      <c r="G299" s="1037" t="n"/>
      <c r="H299" s="1037" t="n"/>
      <c r="I299" s="1037" t="n"/>
      <c r="J299" s="1037" t="n"/>
      <c r="K299" s="1037" t="n"/>
      <c r="L299" s="1037" t="n"/>
      <c r="M299" s="1037" t="n"/>
      <c r="N299" s="1037" t="n"/>
      <c r="O299" s="1037" t="n"/>
      <c r="P299" s="1037" t="n"/>
      <c r="Q299" s="1037" t="n"/>
      <c r="R299" s="1037" t="n"/>
      <c r="S299" s="1037" t="n"/>
      <c r="T299" s="1037" t="n"/>
      <c r="U299" s="1037" t="n"/>
    </row>
    <row r="300" ht="15.75" customHeight="1" s="1128">
      <c r="A300" s="434" t="inlineStr">
        <is>
          <t xml:space="preserve">  The Barrel of the Marquis</t>
        </is>
      </c>
      <c r="B300" s="1037" t="inlineStr">
        <is>
          <t>AAA</t>
        </is>
      </c>
      <c r="C300" s="1037" t="inlineStr">
        <is>
          <t>ART</t>
        </is>
      </c>
      <c r="D300" s="1037" t="n"/>
      <c r="E300" s="1037" t="n"/>
      <c r="F300" s="390" t="inlineStr">
        <is>
          <t>Lottery Machine No.3 (?%)</t>
        </is>
      </c>
      <c r="G300" s="1037" t="n"/>
      <c r="H300" s="1037" t="n"/>
      <c r="I300" s="1037" t="n"/>
      <c r="J300" s="1037" t="n"/>
      <c r="K300" s="1037" t="n"/>
      <c r="L300" s="1037" t="n"/>
      <c r="M300" s="1037" t="n"/>
      <c r="N300" s="1037" t="n"/>
      <c r="O300" s="1037" t="n"/>
      <c r="P300" s="1037" t="n"/>
      <c r="Q300" s="1037" t="n"/>
      <c r="R300" s="1037" t="n"/>
      <c r="S300" s="1037" t="n"/>
      <c r="T300" s="1037" t="n"/>
      <c r="U300" s="1037" t="n"/>
    </row>
    <row r="301" ht="15.75" customHeight="1" s="1128">
      <c r="A301" s="434" t="inlineStr">
        <is>
          <t xml:space="preserve">  Tricolor Gold Flower Language Jewelry</t>
        </is>
      </c>
      <c r="B301" s="1037" t="inlineStr">
        <is>
          <t>AA</t>
        </is>
      </c>
      <c r="C301" s="1037" t="inlineStr">
        <is>
          <t>ART</t>
        </is>
      </c>
      <c r="D301" s="1037" t="n"/>
      <c r="E301" s="1037" t="n"/>
      <c r="F301" s="390" t="inlineStr">
        <is>
          <t>Lottery Machine No.3 (?%)</t>
        </is>
      </c>
      <c r="G301" s="1037" t="n"/>
      <c r="H301" s="1037" t="n"/>
      <c r="I301" s="1037" t="n"/>
      <c r="J301" s="1037" t="n"/>
      <c r="K301" s="1037" t="n"/>
      <c r="L301" s="1037" t="n"/>
      <c r="M301" s="1037" t="n"/>
      <c r="N301" s="1037" t="n"/>
      <c r="O301" s="1037" t="n"/>
      <c r="P301" s="1037" t="n"/>
      <c r="Q301" s="1037" t="n"/>
      <c r="R301" s="1037" t="n"/>
      <c r="S301" s="1037" t="n"/>
      <c r="T301" s="1037" t="n"/>
      <c r="U301" s="1037" t="n"/>
    </row>
    <row r="302" ht="15.75" customHeight="1" s="1128">
      <c r="A302" s="434" t="inlineStr">
        <is>
          <t xml:space="preserve">  Dresden Green</t>
        </is>
      </c>
      <c r="B302" s="1037" t="inlineStr">
        <is>
          <t>AAA</t>
        </is>
      </c>
      <c r="C302" s="1037" t="inlineStr">
        <is>
          <t>FAME</t>
        </is>
      </c>
      <c r="D302" s="1037" t="n"/>
      <c r="E302" s="1037" t="n"/>
      <c r="F302" s="390" t="inlineStr">
        <is>
          <t>Lottery Machine No.3 (?%)</t>
        </is>
      </c>
      <c r="G302" s="1037" t="n"/>
      <c r="H302" s="1037" t="n"/>
      <c r="I302" s="1037" t="n"/>
      <c r="J302" s="1037" t="n"/>
      <c r="K302" s="1037" t="n"/>
      <c r="L302" s="1037" t="n"/>
      <c r="M302" s="1037" t="n"/>
      <c r="N302" s="1037" t="n"/>
      <c r="O302" s="1037" t="n"/>
      <c r="P302" s="1037" t="n"/>
      <c r="Q302" s="1037" t="n"/>
      <c r="R302" s="1037" t="n"/>
      <c r="S302" s="1037" t="n"/>
      <c r="T302" s="1037" t="n"/>
      <c r="U302" s="1037" t="n"/>
    </row>
    <row r="303" ht="15.75" customHeight="1" s="1128">
      <c r="A303" s="434" t="inlineStr">
        <is>
          <t xml:space="preserve">  Lycurgus Holy Grail</t>
        </is>
      </c>
      <c r="B303" s="1037" t="inlineStr">
        <is>
          <t>AAA</t>
        </is>
      </c>
      <c r="C303" s="1037" t="inlineStr">
        <is>
          <t>ART</t>
        </is>
      </c>
      <c r="D303" s="1037" t="n"/>
      <c r="E303" s="1037" t="n"/>
      <c r="F303" s="390" t="inlineStr">
        <is>
          <t>Lottery Machine No.3 (?%)</t>
        </is>
      </c>
      <c r="G303" s="1037" t="n"/>
      <c r="H303" s="1037" t="n"/>
      <c r="I303" s="1037" t="n"/>
      <c r="J303" s="1037" t="n"/>
      <c r="K303" s="1037" t="n"/>
      <c r="L303" s="1037" t="n"/>
      <c r="M303" s="1037" t="n"/>
      <c r="N303" s="1037" t="n"/>
      <c r="O303" s="1037" t="n"/>
      <c r="P303" s="1037" t="n"/>
      <c r="Q303" s="1037" t="n"/>
      <c r="R303" s="1037" t="n"/>
      <c r="S303" s="1037" t="n"/>
      <c r="T303" s="1037" t="n"/>
      <c r="U303" s="1037" t="n"/>
    </row>
    <row r="304" ht="15.75" customHeight="1" s="1128">
      <c r="A304" s="434" t="inlineStr">
        <is>
          <t xml:space="preserve">  Soma</t>
        </is>
      </c>
      <c r="B304" s="1037" t="inlineStr">
        <is>
          <t>AA</t>
        </is>
      </c>
      <c r="C304" s="1037" t="inlineStr">
        <is>
          <t>FTH</t>
        </is>
      </c>
      <c r="D304" s="1037" t="n"/>
      <c r="E304" s="1037" t="n"/>
      <c r="F304" s="390" t="inlineStr">
        <is>
          <t>Lottery Machine No.3 (?%)</t>
        </is>
      </c>
      <c r="G304" s="1037" t="n"/>
      <c r="H304" s="1037" t="n"/>
      <c r="I304" s="1037" t="n"/>
      <c r="J304" s="1037" t="n"/>
      <c r="K304" s="1037" t="n"/>
      <c r="L304" s="1037" t="n"/>
      <c r="M304" s="1037" t="n"/>
      <c r="N304" s="1037" t="n"/>
      <c r="O304" s="1037" t="n"/>
      <c r="P304" s="1037" t="n"/>
      <c r="Q304" s="1037" t="n"/>
      <c r="R304" s="1037" t="n"/>
      <c r="S304" s="1037" t="n"/>
      <c r="T304" s="1037" t="n"/>
      <c r="U304" s="1037" t="n"/>
    </row>
    <row r="305" ht="15.75" customHeight="1" s="1128">
      <c r="A305" s="357" t="inlineStr">
        <is>
          <t>Resonance: Purple</t>
        </is>
      </c>
      <c r="B305" s="1037" t="n"/>
      <c r="C305" s="1037" t="n"/>
      <c r="D305" s="371" t="n">
        <v>7</v>
      </c>
      <c r="E305" s="1037" t="n"/>
      <c r="F305" s="386" t="n"/>
      <c r="G305" s="1037" t="n"/>
      <c r="H305" s="1037" t="n"/>
      <c r="I305" s="1037" t="n"/>
      <c r="J305" s="1037" t="n"/>
      <c r="K305" s="1037" t="n"/>
      <c r="L305" s="1037" t="n"/>
      <c r="M305" s="1037" t="n"/>
      <c r="N305" s="1037" t="n"/>
      <c r="O305" s="1037" t="n"/>
      <c r="P305" s="1037" t="n"/>
      <c r="Q305" s="1037" t="n"/>
      <c r="R305" s="1037" t="n"/>
      <c r="S305" s="1037" t="n"/>
      <c r="T305" s="1037" t="n"/>
      <c r="U305" s="1037" t="n"/>
    </row>
    <row r="306" ht="15.75" customHeight="1" s="1128">
      <c r="A306" s="434" t="inlineStr">
        <is>
          <t xml:space="preserve">  Mysterious Relic</t>
        </is>
      </c>
      <c r="B306" s="1037" t="n"/>
      <c r="C306" s="1037" t="n"/>
      <c r="D306" s="1037" t="n"/>
      <c r="E306" s="1037" t="n"/>
      <c r="F306" s="390" t="inlineStr">
        <is>
          <t>Unknown</t>
        </is>
      </c>
      <c r="G306" s="1037" t="n"/>
      <c r="H306" s="1037" t="n"/>
      <c r="I306" s="1037" t="n"/>
      <c r="J306" s="1037" t="n"/>
      <c r="K306" s="1037" t="n"/>
      <c r="L306" s="1037" t="n"/>
      <c r="M306" s="1037" t="n"/>
      <c r="N306" s="1037" t="n"/>
      <c r="O306" s="1037" t="n"/>
      <c r="P306" s="1037" t="n"/>
      <c r="Q306" s="1037" t="n"/>
      <c r="R306" s="1037" t="n"/>
      <c r="S306" s="1037" t="n"/>
      <c r="T306" s="1037" t="n"/>
      <c r="U306" s="1037" t="n"/>
    </row>
    <row r="307" ht="15.75" customHeight="1" s="1128">
      <c r="A307" s="434" t="inlineStr">
        <is>
          <t xml:space="preserve">  Mysterious Relic</t>
        </is>
      </c>
      <c r="B307" s="1037" t="n"/>
      <c r="C307" s="1037" t="n"/>
      <c r="D307" s="1037" t="n"/>
      <c r="E307" s="1037" t="n"/>
      <c r="F307" s="390" t="inlineStr">
        <is>
          <t>Unknown</t>
        </is>
      </c>
      <c r="G307" s="1037" t="n"/>
      <c r="H307" s="1037" t="n"/>
      <c r="I307" s="1037" t="n"/>
      <c r="J307" s="1037" t="n"/>
      <c r="K307" s="1037" t="n"/>
      <c r="L307" s="1037" t="n"/>
      <c r="M307" s="1037" t="n"/>
      <c r="N307" s="1037" t="n"/>
      <c r="O307" s="1037" t="n"/>
      <c r="P307" s="1037" t="n"/>
      <c r="Q307" s="1037" t="n"/>
      <c r="R307" s="1037" t="n"/>
      <c r="S307" s="1037" t="n"/>
      <c r="T307" s="1037" t="n"/>
      <c r="U307" s="1037" t="n"/>
    </row>
    <row r="308" ht="15.75" customHeight="1" s="1128">
      <c r="A308" s="434" t="inlineStr">
        <is>
          <t xml:space="preserve">  Mysterioud Relic (Dragon Bowl)</t>
        </is>
      </c>
      <c r="B308" s="1037" t="inlineStr">
        <is>
          <t>AAA</t>
        </is>
      </c>
      <c r="C308" s="1037" t="inlineStr">
        <is>
          <t>CIV</t>
        </is>
      </c>
      <c r="D308" s="1037" t="n"/>
      <c r="E308" s="1037" t="n"/>
      <c r="F308" s="390" t="inlineStr">
        <is>
          <t>Unknown</t>
        </is>
      </c>
      <c r="G308" s="1037" t="n"/>
      <c r="H308" s="1037" t="n"/>
      <c r="I308" s="1037" t="n"/>
      <c r="J308" s="1037" t="n"/>
      <c r="K308" s="1037" t="n"/>
      <c r="L308" s="1037" t="n"/>
      <c r="M308" s="1037" t="n"/>
      <c r="N308" s="1037" t="n"/>
      <c r="O308" s="1037" t="n"/>
      <c r="P308" s="1037" t="n"/>
      <c r="Q308" s="1037" t="n"/>
      <c r="R308" s="1037" t="n"/>
      <c r="S308" s="1037" t="n"/>
      <c r="T308" s="1037" t="n"/>
      <c r="U308" s="1037" t="n"/>
    </row>
    <row r="309" ht="15.75" customHeight="1" s="1128">
      <c r="A309" s="434" t="inlineStr">
        <is>
          <t xml:space="preserve">  Mysterious Relic (Ninja Bowl</t>
        </is>
      </c>
      <c r="B309" s="1037" t="inlineStr">
        <is>
          <t>AAA</t>
        </is>
      </c>
      <c r="C309" s="1037" t="inlineStr">
        <is>
          <t>FTH</t>
        </is>
      </c>
      <c r="D309" s="1037" t="n"/>
      <c r="E309" s="1037" t="n"/>
      <c r="F309" s="390" t="inlineStr">
        <is>
          <t>Unknown</t>
        </is>
      </c>
      <c r="G309" s="1037" t="n"/>
      <c r="H309" s="1037" t="n"/>
      <c r="I309" s="1037" t="n"/>
      <c r="J309" s="1037" t="n"/>
      <c r="K309" s="1037" t="n"/>
      <c r="L309" s="1037" t="n"/>
      <c r="M309" s="1037" t="n"/>
      <c r="N309" s="1037" t="n"/>
      <c r="O309" s="1037" t="n"/>
      <c r="P309" s="1037" t="n"/>
      <c r="Q309" s="1037" t="n"/>
      <c r="R309" s="1037" t="n"/>
      <c r="S309" s="1037" t="n"/>
      <c r="T309" s="1037" t="n"/>
      <c r="U309" s="1037" t="n"/>
    </row>
    <row r="310" ht="15.75" customHeight="1" s="1128">
      <c r="A310" s="434" t="inlineStr">
        <is>
          <t xml:space="preserve">  Mysterious Relic (Mechanized Music Box)</t>
        </is>
      </c>
      <c r="B310" s="1037" t="inlineStr">
        <is>
          <t>AAA</t>
        </is>
      </c>
      <c r="C310" s="1037" t="inlineStr">
        <is>
          <t>ART</t>
        </is>
      </c>
      <c r="D310" s="1037" t="n"/>
      <c r="E310" s="1037" t="n"/>
      <c r="F310" s="390" t="inlineStr">
        <is>
          <t>Unknown</t>
        </is>
      </c>
      <c r="G310" s="1037" t="n"/>
      <c r="H310" s="1037" t="n"/>
      <c r="I310" s="1037" t="n"/>
      <c r="J310" s="1037" t="n"/>
      <c r="K310" s="1037" t="n"/>
      <c r="L310" s="1037" t="n"/>
      <c r="M310" s="1037" t="n"/>
      <c r="N310" s="1037" t="n"/>
      <c r="O310" s="1037" t="n"/>
      <c r="P310" s="1037" t="n"/>
      <c r="Q310" s="1037" t="n"/>
      <c r="R310" s="1037" t="n"/>
      <c r="S310" s="1037" t="n"/>
      <c r="T310" s="1037" t="n"/>
      <c r="U310" s="1037" t="n"/>
    </row>
    <row r="311" ht="15.75" customHeight="1" s="1128">
      <c r="A311" s="434" t="inlineStr">
        <is>
          <t xml:space="preserve">  Cyclops</t>
        </is>
      </c>
      <c r="B311" s="1037" t="inlineStr">
        <is>
          <t>AAA</t>
        </is>
      </c>
      <c r="C311" s="1037" t="inlineStr">
        <is>
          <t>FAME</t>
        </is>
      </c>
      <c r="D311" s="1037" t="n"/>
      <c r="E311" s="1037" t="n"/>
      <c r="F311" s="390" t="inlineStr">
        <is>
          <t>Unknown</t>
        </is>
      </c>
      <c r="G311" s="1037" t="n"/>
      <c r="H311" s="1037" t="n"/>
      <c r="I311" s="1037" t="n"/>
      <c r="J311" s="1037" t="n"/>
      <c r="K311" s="1037" t="n"/>
      <c r="L311" s="1037" t="n"/>
      <c r="M311" s="1037" t="n"/>
      <c r="N311" s="1037" t="n"/>
      <c r="O311" s="1037" t="n"/>
      <c r="P311" s="1037" t="n"/>
      <c r="Q311" s="1037" t="n"/>
      <c r="R311" s="1037" t="n"/>
      <c r="S311" s="1037" t="n"/>
      <c r="T311" s="1037" t="n"/>
      <c r="U311" s="1037" t="n"/>
    </row>
    <row r="312" ht="15.75" customHeight="1" s="1128">
      <c r="A312" s="357" t="inlineStr">
        <is>
          <t>Resonance: Purple</t>
        </is>
      </c>
      <c r="B312" s="1037" t="n"/>
      <c r="C312" s="1037" t="n"/>
      <c r="D312" s="371" t="n">
        <v>7</v>
      </c>
      <c r="E312" s="1037" t="n"/>
      <c r="F312" s="386" t="n"/>
      <c r="G312" s="1037" t="n"/>
      <c r="H312" s="1037" t="n"/>
      <c r="I312" s="1037" t="n"/>
      <c r="J312" s="1037" t="n"/>
      <c r="K312" s="1037" t="n"/>
      <c r="L312" s="1037" t="n"/>
      <c r="M312" s="1037" t="n"/>
      <c r="N312" s="1037" t="n"/>
      <c r="O312" s="1037" t="n"/>
      <c r="P312" s="1037" t="n"/>
      <c r="Q312" s="1037" t="n"/>
      <c r="R312" s="1037" t="n"/>
      <c r="S312" s="1037" t="n"/>
      <c r="T312" s="1037" t="n"/>
      <c r="U312" s="1037" t="n"/>
    </row>
    <row r="313" ht="15.75" customHeight="1" s="1128">
      <c r="A313" s="434" t="inlineStr">
        <is>
          <t xml:space="preserve">  Mysterious Relic (Yellow Amulet)</t>
        </is>
      </c>
      <c r="B313" s="1037" t="inlineStr">
        <is>
          <t>AAA</t>
        </is>
      </c>
      <c r="C313" s="1037" t="inlineStr">
        <is>
          <t>ART</t>
        </is>
      </c>
      <c r="D313" s="1037" t="n"/>
      <c r="E313" s="1037" t="n"/>
      <c r="F313" s="390" t="inlineStr">
        <is>
          <t>Unknown</t>
        </is>
      </c>
      <c r="G313" s="1037" t="n"/>
      <c r="H313" s="1037" t="n"/>
      <c r="I313" s="1037" t="n"/>
      <c r="J313" s="1037" t="n"/>
      <c r="K313" s="1037" t="n"/>
      <c r="L313" s="1037" t="n"/>
      <c r="M313" s="1037" t="n"/>
      <c r="N313" s="1037" t="n"/>
      <c r="O313" s="1037" t="n"/>
      <c r="P313" s="1037" t="n"/>
      <c r="Q313" s="1037" t="n"/>
      <c r="R313" s="1037" t="n"/>
      <c r="S313" s="1037" t="n"/>
      <c r="T313" s="1037" t="n"/>
      <c r="U313" s="1037" t="n"/>
    </row>
    <row r="314" ht="15.75" customHeight="1" s="1128">
      <c r="A314" s="434" t="inlineStr">
        <is>
          <t xml:space="preserve">  Mysterious Relic (Barted Man Book)</t>
        </is>
      </c>
      <c r="B314" s="1037" t="inlineStr">
        <is>
          <t>AAA</t>
        </is>
      </c>
      <c r="C314" s="1037" t="inlineStr">
        <is>
          <t>FAME</t>
        </is>
      </c>
      <c r="D314" s="1037" t="n"/>
      <c r="E314" s="1037" t="n"/>
      <c r="F314" s="390" t="inlineStr">
        <is>
          <t>Unknown</t>
        </is>
      </c>
      <c r="G314" s="1037" t="n"/>
      <c r="H314" s="1037" t="n"/>
      <c r="I314" s="1037" t="n"/>
      <c r="J314" s="1037" t="n"/>
      <c r="K314" s="1037" t="n"/>
      <c r="L314" s="1037" t="n"/>
      <c r="M314" s="1037" t="n"/>
      <c r="N314" s="1037" t="n"/>
      <c r="O314" s="1037" t="n"/>
      <c r="P314" s="1037" t="n"/>
      <c r="Q314" s="1037" t="n"/>
      <c r="R314" s="1037" t="n"/>
      <c r="S314" s="1037" t="n"/>
      <c r="T314" s="1037" t="n"/>
      <c r="U314" s="1037" t="n"/>
    </row>
    <row r="315" ht="15.75" customHeight="1" s="1128">
      <c r="A315" s="434" t="inlineStr">
        <is>
          <t xml:space="preserve">  Mysterious Relic (Brown Vase)</t>
        </is>
      </c>
      <c r="B315" s="1037" t="inlineStr">
        <is>
          <t>AAA</t>
        </is>
      </c>
      <c r="C315" s="1037" t="inlineStr">
        <is>
          <t>ART</t>
        </is>
      </c>
      <c r="D315" s="1037" t="n"/>
      <c r="E315" s="1037" t="n"/>
      <c r="F315" s="390" t="inlineStr">
        <is>
          <t>Unknown</t>
        </is>
      </c>
      <c r="G315" s="1037" t="n"/>
      <c r="H315" s="1037" t="n"/>
      <c r="I315" s="1037" t="n"/>
      <c r="J315" s="1037" t="n"/>
      <c r="K315" s="1037" t="n"/>
      <c r="L315" s="1037" t="n"/>
      <c r="M315" s="1037" t="n"/>
      <c r="N315" s="1037" t="n"/>
      <c r="O315" s="1037" t="n"/>
      <c r="P315" s="1037" t="n"/>
      <c r="Q315" s="1037" t="n"/>
      <c r="R315" s="1037" t="n"/>
      <c r="S315" s="1037" t="n"/>
      <c r="T315" s="1037" t="n"/>
      <c r="U315" s="1037" t="n"/>
    </row>
    <row r="316" ht="15.75" customHeight="1" s="1128">
      <c r="A316" s="434" t="inlineStr">
        <is>
          <t xml:space="preserve">  Mysterious Relic (Dirt Rock)</t>
        </is>
      </c>
      <c r="B316" s="1037" t="inlineStr">
        <is>
          <t>AAA</t>
        </is>
      </c>
      <c r="C316" s="1037" t="inlineStr">
        <is>
          <t>FTH</t>
        </is>
      </c>
      <c r="D316" s="1037" t="n"/>
      <c r="E316" s="1037" t="n"/>
      <c r="F316" s="390" t="inlineStr">
        <is>
          <t>Unknown</t>
        </is>
      </c>
      <c r="G316" s="1037" t="n"/>
      <c r="H316" s="1037" t="n"/>
      <c r="I316" s="1037" t="n"/>
      <c r="J316" s="1037" t="n"/>
      <c r="K316" s="1037" t="n"/>
      <c r="L316" s="1037" t="n"/>
      <c r="M316" s="1037" t="n"/>
      <c r="N316" s="1037" t="n"/>
      <c r="O316" s="1037" t="n"/>
      <c r="P316" s="1037" t="n"/>
      <c r="Q316" s="1037" t="n"/>
      <c r="R316" s="1037" t="n"/>
      <c r="S316" s="1037" t="n"/>
      <c r="T316" s="1037" t="n"/>
      <c r="U316" s="1037" t="n"/>
    </row>
    <row r="317" ht="15.75" customHeight="1" s="1128">
      <c r="A317" s="434" t="inlineStr">
        <is>
          <t xml:space="preserve">  Mysterious Relic (Ancient Notebook)</t>
        </is>
      </c>
      <c r="B317" s="1037" t="inlineStr">
        <is>
          <t>AAA</t>
        </is>
      </c>
      <c r="C317" s="1037" t="inlineStr">
        <is>
          <t>CIV</t>
        </is>
      </c>
      <c r="D317" s="1037" t="n"/>
      <c r="E317" s="1037" t="n"/>
      <c r="F317" s="390" t="inlineStr">
        <is>
          <t>Unknown</t>
        </is>
      </c>
      <c r="G317" s="1037" t="n"/>
      <c r="H317" s="1037" t="n"/>
      <c r="I317" s="1037" t="n"/>
      <c r="J317" s="1037" t="n"/>
      <c r="K317" s="1037" t="n"/>
      <c r="L317" s="1037" t="n"/>
      <c r="M317" s="1037" t="n"/>
      <c r="N317" s="1037" t="n"/>
      <c r="O317" s="1037" t="n"/>
      <c r="P317" s="1037" t="n"/>
      <c r="Q317" s="1037" t="n"/>
      <c r="R317" s="1037" t="n"/>
      <c r="S317" s="1037" t="n"/>
      <c r="T317" s="1037" t="n"/>
      <c r="U317" s="1037" t="n"/>
    </row>
    <row r="318" ht="15.75" customHeight="1" s="1128">
      <c r="A318" s="434" t="inlineStr">
        <is>
          <t xml:space="preserve">  Mysterious Relic (Crystal Keeper)</t>
        </is>
      </c>
      <c r="B318" s="1037" t="inlineStr">
        <is>
          <t>AAA</t>
        </is>
      </c>
      <c r="C318" s="1037" t="inlineStr">
        <is>
          <t>TECH</t>
        </is>
      </c>
      <c r="D318" s="1037" t="n"/>
      <c r="E318" s="1037" t="n"/>
      <c r="F318" s="390" t="inlineStr">
        <is>
          <t>Unknown</t>
        </is>
      </c>
      <c r="G318" s="1037" t="n"/>
      <c r="H318" s="1037" t="n"/>
      <c r="I318" s="1037" t="n"/>
      <c r="J318" s="1037" t="n"/>
      <c r="K318" s="1037" t="n"/>
      <c r="L318" s="1037" t="n"/>
      <c r="M318" s="1037" t="n"/>
      <c r="N318" s="1037" t="n"/>
      <c r="O318" s="1037" t="n"/>
      <c r="P318" s="1037" t="n"/>
      <c r="Q318" s="1037" t="n"/>
      <c r="R318" s="1037" t="n"/>
      <c r="S318" s="1037" t="n"/>
      <c r="T318" s="1037" t="n"/>
      <c r="U318" s="1037" t="n"/>
    </row>
    <row r="319" ht="15.75" customHeight="1" s="1128">
      <c r="A319" s="357" t="inlineStr">
        <is>
          <t>Resonance: Orange</t>
        </is>
      </c>
      <c r="B319" s="1037" t="n"/>
      <c r="C319" s="1037" t="n"/>
      <c r="D319" s="1037" t="n">
        <v>8</v>
      </c>
      <c r="E319" s="1037" t="n"/>
      <c r="F319" s="386" t="n"/>
      <c r="G319" s="1037" t="n"/>
      <c r="H319" s="1037" t="n"/>
      <c r="I319" s="1037" t="n"/>
      <c r="J319" s="1037" t="n"/>
      <c r="K319" s="1037" t="n"/>
      <c r="L319" s="1037" t="n"/>
      <c r="M319" s="1037" t="n"/>
      <c r="N319" s="1037" t="n"/>
      <c r="O319" s="1037" t="n"/>
      <c r="P319" s="1037" t="n"/>
      <c r="Q319" s="1037" t="n"/>
      <c r="R319" s="1037" t="n"/>
      <c r="S319" s="1037" t="n"/>
      <c r="T319" s="1037" t="n"/>
      <c r="U319" s="1037" t="n"/>
    </row>
    <row r="320" ht="15.75" customHeight="1" s="1128">
      <c r="A320" s="434" t="inlineStr">
        <is>
          <t xml:space="preserve">  Palermo Stone</t>
        </is>
      </c>
      <c r="B320" s="1037" t="inlineStr">
        <is>
          <t>S</t>
        </is>
      </c>
      <c r="C320" s="1037" t="inlineStr">
        <is>
          <t>CIV</t>
        </is>
      </c>
      <c r="D320" s="1037" t="n"/>
      <c r="E320" s="1037" t="n"/>
      <c r="F320" s="418" t="inlineStr">
        <is>
          <t>Lottery Machine No.2(1.48%), Rift Treasure Map (5%)</t>
        </is>
      </c>
      <c r="G320" s="1037" t="n"/>
      <c r="H320" s="1037" t="n"/>
      <c r="I320" s="1037" t="n"/>
      <c r="J320" s="1037" t="n"/>
      <c r="K320" s="1037" t="n"/>
      <c r="L320" s="1037" t="n"/>
      <c r="M320" s="1037" t="n"/>
      <c r="N320" s="1037" t="n"/>
      <c r="O320" s="1037" t="n"/>
      <c r="P320" s="1037" t="n"/>
      <c r="Q320" s="1037" t="n"/>
      <c r="R320" s="1037" t="n"/>
      <c r="S320" s="1037" t="n"/>
      <c r="T320" s="1037" t="n"/>
      <c r="U320" s="1037" t="n"/>
    </row>
    <row r="321" ht="15.75" customHeight="1" s="1128">
      <c r="A321" s="434" t="inlineStr">
        <is>
          <t xml:space="preserve">  Head of Sargon</t>
        </is>
      </c>
      <c r="B321" s="1037" t="inlineStr">
        <is>
          <t>S</t>
        </is>
      </c>
      <c r="C321" s="1037" t="inlineStr">
        <is>
          <t>ART</t>
        </is>
      </c>
      <c r="D321" s="1037" t="n"/>
      <c r="E321" s="1037" t="n"/>
      <c r="F321" s="418" t="inlineStr">
        <is>
          <t>Lottery Machine No.2(1.48%)</t>
        </is>
      </c>
      <c r="G321" s="1037" t="n"/>
      <c r="H321" s="1037" t="n"/>
      <c r="I321" s="1037" t="n"/>
      <c r="J321" s="1037" t="n"/>
      <c r="K321" s="1037" t="n"/>
      <c r="L321" s="1037" t="n"/>
      <c r="M321" s="1037" t="n"/>
      <c r="N321" s="1037" t="n"/>
      <c r="O321" s="1037" t="n"/>
      <c r="P321" s="1037" t="n"/>
      <c r="Q321" s="1037" t="n"/>
      <c r="R321" s="1037" t="n"/>
      <c r="S321" s="1037" t="n"/>
      <c r="T321" s="1037" t="n"/>
      <c r="U321" s="1037" t="n"/>
    </row>
    <row r="322" ht="15.75" customHeight="1" s="1128">
      <c r="A322" s="434" t="inlineStr">
        <is>
          <t xml:space="preserve">  Lamassu Statue</t>
        </is>
      </c>
      <c r="B322" s="1037" t="inlineStr">
        <is>
          <t>S</t>
        </is>
      </c>
      <c r="C322" s="1037" t="inlineStr">
        <is>
          <t>FTH</t>
        </is>
      </c>
      <c r="D322" s="1037" t="n"/>
      <c r="E322" s="1037" t="n"/>
      <c r="F322" s="418" t="inlineStr">
        <is>
          <t>Lottery Machine No.2(1.48%)</t>
        </is>
      </c>
      <c r="G322" s="1037" t="n"/>
      <c r="H322" s="1037" t="n"/>
      <c r="I322" s="1037" t="n"/>
      <c r="J322" s="1037" t="n"/>
      <c r="K322" s="1037" t="n"/>
      <c r="L322" s="1037" t="n"/>
      <c r="M322" s="1037" t="n"/>
      <c r="N322" s="1037" t="n"/>
      <c r="O322" s="1037" t="n"/>
      <c r="P322" s="1037" t="n"/>
      <c r="Q322" s="1037" t="n"/>
      <c r="R322" s="1037" t="n"/>
      <c r="S322" s="1037" t="n"/>
      <c r="T322" s="1037" t="n"/>
      <c r="U322" s="1037" t="n"/>
    </row>
    <row r="323" ht="15.75" customHeight="1" s="1128">
      <c r="A323" s="357" t="inlineStr">
        <is>
          <t>Resonance: Orange</t>
        </is>
      </c>
      <c r="B323" s="1037" t="n"/>
      <c r="C323" s="1037" t="n"/>
      <c r="D323" s="371" t="n">
        <v>10</v>
      </c>
      <c r="E323" s="1037" t="n"/>
      <c r="F323" s="386" t="n"/>
      <c r="G323" s="1037" t="n"/>
      <c r="H323" s="1037" t="n"/>
      <c r="I323" s="1037" t="n"/>
      <c r="J323" s="1037" t="n"/>
      <c r="K323" s="1037" t="n"/>
      <c r="L323" s="1037" t="n"/>
      <c r="M323" s="1037" t="n"/>
      <c r="N323" s="1037" t="n"/>
      <c r="O323" s="1037" t="n"/>
      <c r="P323" s="1037" t="n"/>
      <c r="Q323" s="1037" t="n"/>
      <c r="R323" s="1037" t="n"/>
      <c r="S323" s="1037" t="n"/>
      <c r="T323" s="1037" t="n"/>
      <c r="U323" s="1037" t="n"/>
    </row>
    <row r="324" ht="15.75" customHeight="1" s="1128">
      <c r="A324" s="434" t="inlineStr">
        <is>
          <t xml:space="preserve">  Golden Snail</t>
        </is>
      </c>
      <c r="B324" s="1037" t="inlineStr">
        <is>
          <t>SSS</t>
        </is>
      </c>
      <c r="C324" s="1037" t="inlineStr">
        <is>
          <t>FAME</t>
        </is>
      </c>
      <c r="D324" s="1037" t="n"/>
      <c r="E324" s="1037" t="n"/>
      <c r="F324" s="418" t="inlineStr">
        <is>
          <t>1st Anniversary Event, Badge Shop (1000 medals x7) starting 2nd year of launch</t>
        </is>
      </c>
      <c r="G324" s="1037" t="n"/>
      <c r="H324" s="1037" t="n"/>
      <c r="I324" s="1037" t="n"/>
      <c r="J324" s="1037" t="n"/>
      <c r="K324" s="1037" t="n"/>
      <c r="L324" s="1037" t="n"/>
      <c r="M324" s="1037" t="n"/>
      <c r="N324" s="1037" t="n"/>
      <c r="O324" s="1037" t="n"/>
      <c r="P324" s="1037" t="n"/>
      <c r="Q324" s="1037" t="n"/>
      <c r="R324" s="1037" t="n"/>
      <c r="S324" s="1037" t="n"/>
      <c r="T324" s="1037" t="n"/>
      <c r="U324" s="1037" t="n"/>
    </row>
    <row r="325" ht="15.75" customHeight="1" s="1128">
      <c r="A325" s="434" t="inlineStr">
        <is>
          <t xml:space="preserve">  Golden Bird</t>
        </is>
      </c>
      <c r="B325" s="1037" t="inlineStr">
        <is>
          <t>SSS</t>
        </is>
      </c>
      <c r="C325" s="1037" t="inlineStr">
        <is>
          <t>ART</t>
        </is>
      </c>
      <c r="D325" s="1037" t="n"/>
      <c r="E325" s="1037" t="n"/>
      <c r="F325" s="390" t="inlineStr">
        <is>
          <t>2nd Anniversary Event, Badge Shop (1000 medals x7) starting 3rd year of launch</t>
        </is>
      </c>
      <c r="G325" s="1037" t="n"/>
      <c r="H325" s="1037" t="n"/>
      <c r="I325" s="1037" t="n"/>
      <c r="J325" s="1037" t="n"/>
      <c r="K325" s="1037" t="n"/>
      <c r="L325" s="1037" t="n"/>
      <c r="M325" s="1037" t="n"/>
      <c r="N325" s="1037" t="n"/>
      <c r="O325" s="1037" t="n"/>
      <c r="P325" s="1037" t="n"/>
      <c r="Q325" s="1037" t="n"/>
      <c r="R325" s="1037" t="n"/>
      <c r="S325" s="1037" t="n"/>
      <c r="T325" s="1037" t="n"/>
      <c r="U325" s="1037" t="n"/>
    </row>
    <row r="326" ht="15.75" customHeight="1" s="1128">
      <c r="A326" s="357" t="inlineStr">
        <is>
          <t>Resonance: Orange</t>
        </is>
      </c>
      <c r="B326" s="1037" t="n"/>
      <c r="C326" s="1037" t="n"/>
      <c r="D326" s="371" t="n">
        <v>7</v>
      </c>
      <c r="E326" s="1037" t="n"/>
      <c r="F326" s="386" t="n"/>
      <c r="G326" s="1037" t="n"/>
      <c r="H326" s="1037" t="n"/>
      <c r="I326" s="1037" t="n"/>
      <c r="J326" s="1037" t="n"/>
      <c r="K326" s="1037" t="n"/>
      <c r="L326" s="1037" t="n"/>
      <c r="M326" s="1037" t="n"/>
      <c r="N326" s="1037" t="n"/>
      <c r="O326" s="1037" t="n"/>
      <c r="P326" s="1037" t="n"/>
      <c r="Q326" s="1037" t="n"/>
      <c r="R326" s="1037" t="n"/>
      <c r="S326" s="1037" t="n"/>
      <c r="T326" s="1037" t="n"/>
      <c r="U326" s="1037" t="n"/>
    </row>
    <row r="327" ht="15.75" customHeight="1" s="1128">
      <c r="A327" s="434" t="inlineStr">
        <is>
          <t xml:space="preserve">  Mysterious Relic</t>
        </is>
      </c>
      <c r="B327" s="1037" t="inlineStr">
        <is>
          <t>SSS</t>
        </is>
      </c>
      <c r="C327" s="1037" t="n"/>
      <c r="D327" s="1037" t="n"/>
      <c r="E327" s="1037" t="n"/>
      <c r="F327" s="390" t="inlineStr">
        <is>
          <t>Unknown</t>
        </is>
      </c>
      <c r="G327" s="1037" t="n"/>
      <c r="H327" s="1037" t="n"/>
      <c r="I327" s="1037" t="n"/>
      <c r="J327" s="1037" t="n"/>
      <c r="K327" s="1037" t="n"/>
      <c r="L327" s="1037" t="n"/>
      <c r="M327" s="1037" t="n"/>
      <c r="N327" s="1037" t="n"/>
      <c r="O327" s="1037" t="n"/>
      <c r="P327" s="1037" t="n"/>
      <c r="Q327" s="1037" t="n"/>
      <c r="R327" s="1037" t="n"/>
      <c r="S327" s="1037" t="n"/>
      <c r="T327" s="1037" t="n"/>
      <c r="U327" s="1037" t="n"/>
    </row>
    <row r="328" ht="15.75" customHeight="1" s="1128">
      <c r="A328" s="434" t="inlineStr">
        <is>
          <t xml:space="preserve">  Mysterious Relic</t>
        </is>
      </c>
      <c r="B328" s="1037" t="inlineStr">
        <is>
          <t>SSS</t>
        </is>
      </c>
      <c r="C328" s="1037" t="n"/>
      <c r="D328" s="1037" t="n"/>
      <c r="E328" s="1037" t="n"/>
      <c r="F328" s="390" t="inlineStr">
        <is>
          <t>Unknown</t>
        </is>
      </c>
      <c r="G328" s="1037" t="n"/>
      <c r="H328" s="1037" t="n"/>
      <c r="I328" s="1037" t="n"/>
      <c r="J328" s="1037" t="n"/>
      <c r="K328" s="1037" t="n"/>
      <c r="L328" s="1037" t="n"/>
      <c r="M328" s="1037" t="n"/>
      <c r="N328" s="1037" t="n"/>
      <c r="O328" s="1037" t="n"/>
      <c r="P328" s="1037" t="n"/>
      <c r="Q328" s="1037" t="n"/>
      <c r="R328" s="1037" t="n"/>
      <c r="S328" s="1037" t="n"/>
      <c r="T328" s="1037" t="n"/>
      <c r="U328" s="1037" t="n"/>
    </row>
    <row r="329" ht="15.75" customHeight="1" s="1128">
      <c r="A329" s="357" t="inlineStr">
        <is>
          <t>Resonance: Orange</t>
        </is>
      </c>
      <c r="B329" s="1037" t="n"/>
      <c r="C329" s="1037" t="n"/>
      <c r="D329" s="371" t="n">
        <v>20</v>
      </c>
      <c r="E329" s="1037" t="n"/>
      <c r="F329" s="386" t="n"/>
      <c r="G329" s="1037" t="n"/>
      <c r="H329" s="1037" t="n"/>
      <c r="I329" s="1037" t="n"/>
      <c r="J329" s="1037" t="n"/>
      <c r="K329" s="1037" t="n"/>
      <c r="L329" s="1037" t="n"/>
      <c r="M329" s="1037" t="n"/>
      <c r="N329" s="1037" t="n"/>
      <c r="O329" s="1037" t="n"/>
      <c r="P329" s="1037" t="n"/>
      <c r="Q329" s="1037" t="n"/>
      <c r="R329" s="1037" t="n"/>
      <c r="S329" s="1037" t="n"/>
      <c r="T329" s="1037" t="n"/>
      <c r="U329" s="1037" t="n"/>
    </row>
    <row r="330" ht="15.75" customHeight="1" s="1128">
      <c r="A330" s="434" t="inlineStr">
        <is>
          <t xml:space="preserve">  Golden Chan-hee</t>
        </is>
      </c>
      <c r="B330" s="1037" t="inlineStr">
        <is>
          <t>SSS</t>
        </is>
      </c>
      <c r="C330" s="1037" t="inlineStr">
        <is>
          <t>ART</t>
        </is>
      </c>
      <c r="D330" s="1037" t="n"/>
      <c r="E330" s="1037" t="n"/>
      <c r="F330" s="418" t="inlineStr">
        <is>
          <t>4th Anniversary Event, Badge Shop (1000 medals) starting 5th year of launch</t>
        </is>
      </c>
      <c r="G330" s="1037" t="n"/>
      <c r="H330" s="1037" t="n"/>
      <c r="I330" s="1037" t="n"/>
      <c r="J330" s="1037" t="n"/>
      <c r="K330" s="1037" t="n"/>
      <c r="L330" s="1037" t="n"/>
      <c r="M330" s="1037" t="n"/>
      <c r="N330" s="1037" t="n"/>
      <c r="O330" s="1037" t="n"/>
      <c r="P330" s="1037" t="n"/>
      <c r="Q330" s="1037" t="n"/>
      <c r="R330" s="1037" t="n"/>
      <c r="S330" s="1037" t="n"/>
      <c r="T330" s="1037" t="n"/>
      <c r="U330" s="1037" t="n"/>
    </row>
    <row r="331" ht="15.75" customHeight="1" s="1128">
      <c r="A331" s="434" t="inlineStr">
        <is>
          <t xml:space="preserve">  Mysterious Relic</t>
        </is>
      </c>
      <c r="B331" s="1037" t="inlineStr">
        <is>
          <t>SSS</t>
        </is>
      </c>
      <c r="C331" s="1037" t="n"/>
      <c r="D331" s="1037" t="n"/>
      <c r="E331" s="1037" t="n"/>
      <c r="F331" s="390" t="inlineStr">
        <is>
          <t>Unknown</t>
        </is>
      </c>
      <c r="G331" s="1037" t="n"/>
      <c r="H331" s="1037" t="n"/>
      <c r="I331" s="1037" t="n"/>
      <c r="J331" s="1037" t="n"/>
      <c r="K331" s="1037" t="n"/>
      <c r="L331" s="1037" t="n"/>
      <c r="M331" s="1037" t="n"/>
      <c r="N331" s="1037" t="n"/>
      <c r="O331" s="1037" t="n"/>
      <c r="P331" s="1037" t="n"/>
      <c r="Q331" s="1037" t="n"/>
      <c r="R331" s="1037" t="n"/>
      <c r="S331" s="1037" t="n"/>
      <c r="T331" s="1037" t="n"/>
      <c r="U331" s="1037" t="n"/>
    </row>
    <row r="332" ht="15.75" customHeight="1" s="1128">
      <c r="A332" s="357" t="inlineStr">
        <is>
          <t>Resonance: Orange</t>
        </is>
      </c>
      <c r="B332" s="1037" t="n"/>
      <c r="C332" s="1037" t="n"/>
      <c r="D332" s="371" t="n">
        <v>7</v>
      </c>
      <c r="E332" s="1037" t="n"/>
      <c r="F332" s="386" t="n"/>
      <c r="G332" s="1037" t="n"/>
      <c r="H332" s="1037" t="n"/>
      <c r="I332" s="1037" t="n"/>
      <c r="J332" s="1037" t="n"/>
      <c r="K332" s="1037" t="n"/>
      <c r="L332" s="1037" t="n"/>
      <c r="M332" s="1037" t="n"/>
      <c r="N332" s="1037" t="n"/>
      <c r="O332" s="1037" t="n"/>
      <c r="P332" s="1037" t="n"/>
      <c r="Q332" s="1037" t="n"/>
      <c r="R332" s="1037" t="n"/>
      <c r="S332" s="1037" t="n"/>
      <c r="T332" s="1037" t="n"/>
      <c r="U332" s="1037" t="n"/>
    </row>
    <row r="333" ht="15.75" customHeight="1" s="1128">
      <c r="A333" s="434" t="inlineStr">
        <is>
          <t xml:space="preserve">  Golden Autumn</t>
        </is>
      </c>
      <c r="B333" s="1037" t="inlineStr">
        <is>
          <t>SSS</t>
        </is>
      </c>
      <c r="C333" s="1037" t="inlineStr">
        <is>
          <t>ART</t>
        </is>
      </c>
      <c r="D333" s="1037" t="n"/>
      <c r="E333" s="1037" t="n"/>
      <c r="F333" s="390" t="inlineStr">
        <is>
          <t>Lottery Machine No.3 (?%)</t>
        </is>
      </c>
      <c r="G333" s="1037" t="n"/>
      <c r="H333" s="1037" t="n"/>
      <c r="I333" s="1037" t="n"/>
      <c r="J333" s="1037" t="n"/>
      <c r="K333" s="1037" t="n"/>
      <c r="L333" s="1037" t="n"/>
      <c r="M333" s="1037" t="n"/>
      <c r="N333" s="1037" t="n"/>
      <c r="O333" s="1037" t="n"/>
      <c r="P333" s="1037" t="n"/>
      <c r="Q333" s="1037" t="n"/>
      <c r="R333" s="1037" t="n"/>
      <c r="S333" s="1037" t="n"/>
      <c r="T333" s="1037" t="n"/>
      <c r="U333" s="1037" t="n"/>
    </row>
    <row r="334" ht="15.75" customHeight="1" s="1128">
      <c r="A334" s="434" t="inlineStr">
        <is>
          <t xml:space="preserve">  Leap Year Mid-Autumn Moon Letter</t>
        </is>
      </c>
      <c r="B334" s="1037" t="inlineStr">
        <is>
          <t>SSS</t>
        </is>
      </c>
      <c r="C334" s="1037" t="inlineStr">
        <is>
          <t>CIV</t>
        </is>
      </c>
      <c r="D334" s="1037" t="n"/>
      <c r="E334" s="1037" t="n"/>
      <c r="F334" s="390" t="inlineStr">
        <is>
          <t>Unknown</t>
        </is>
      </c>
      <c r="G334" s="1037" t="n"/>
      <c r="H334" s="1037" t="n"/>
      <c r="I334" s="1037" t="n"/>
      <c r="J334" s="1037" t="n"/>
      <c r="K334" s="1037" t="n"/>
      <c r="L334" s="1037" t="n"/>
      <c r="M334" s="1037" t="n"/>
      <c r="N334" s="1037" t="n"/>
      <c r="O334" s="1037" t="n"/>
      <c r="P334" s="1037" t="n"/>
      <c r="Q334" s="1037" t="n"/>
      <c r="R334" s="1037" t="n"/>
      <c r="S334" s="1037" t="n"/>
      <c r="T334" s="1037" t="n"/>
      <c r="U334" s="1037" t="n"/>
    </row>
    <row r="335" ht="15.75" customHeight="1" s="1128">
      <c r="A335" s="357" t="inlineStr">
        <is>
          <t>Resonance: Orange</t>
        </is>
      </c>
      <c r="B335" s="1037" t="n"/>
      <c r="C335" s="1037" t="n"/>
      <c r="D335" s="371" t="n">
        <v>7</v>
      </c>
      <c r="E335" s="1037" t="n"/>
      <c r="F335" s="386" t="n"/>
      <c r="G335" s="1037" t="n"/>
      <c r="H335" s="1037" t="n"/>
      <c r="I335" s="1037" t="n"/>
      <c r="J335" s="1037" t="n"/>
      <c r="K335" s="1037" t="n"/>
      <c r="L335" s="1037" t="n"/>
      <c r="M335" s="1037" t="n"/>
      <c r="N335" s="1037" t="n"/>
      <c r="O335" s="1037" t="n"/>
      <c r="P335" s="1037" t="n"/>
      <c r="Q335" s="1037" t="n"/>
      <c r="R335" s="1037" t="n"/>
      <c r="S335" s="1037" t="n"/>
      <c r="T335" s="1037" t="n"/>
      <c r="U335" s="1037" t="n"/>
    </row>
    <row r="336" ht="15.75" customHeight="1" s="1128">
      <c r="A336" s="434" t="inlineStr">
        <is>
          <t xml:space="preserve">  Qin Bronze Chariot</t>
        </is>
      </c>
      <c r="B336" s="1037" t="inlineStr">
        <is>
          <t>SSS</t>
        </is>
      </c>
      <c r="C336" s="1037" t="inlineStr">
        <is>
          <t>CIV</t>
        </is>
      </c>
      <c r="D336" s="1037" t="n"/>
      <c r="E336" s="1037" t="n"/>
      <c r="F336" s="390" t="inlineStr">
        <is>
          <t>Lottery Machine No.3 (?%)</t>
        </is>
      </c>
      <c r="G336" s="1037" t="n"/>
      <c r="H336" s="1037" t="n"/>
      <c r="I336" s="1037" t="n"/>
      <c r="J336" s="1037" t="n"/>
      <c r="K336" s="1037" t="n"/>
      <c r="L336" s="1037" t="n"/>
      <c r="M336" s="1037" t="n"/>
      <c r="N336" s="1037" t="n"/>
      <c r="O336" s="1037" t="n"/>
      <c r="P336" s="1037" t="n"/>
      <c r="Q336" s="1037" t="n"/>
      <c r="R336" s="1037" t="n"/>
      <c r="S336" s="1037" t="n"/>
      <c r="T336" s="1037" t="n"/>
      <c r="U336" s="1037" t="n"/>
    </row>
    <row r="337" ht="15.75" customHeight="1" s="1128">
      <c r="A337" s="434" t="inlineStr">
        <is>
          <t xml:space="preserve">  Four Sheep Dieties</t>
        </is>
      </c>
      <c r="B337" s="1037" t="inlineStr">
        <is>
          <t>SSS</t>
        </is>
      </c>
      <c r="C337" s="1037" t="n"/>
      <c r="D337" s="1037" t="n"/>
      <c r="E337" s="1037" t="n"/>
      <c r="F337" s="390" t="inlineStr">
        <is>
          <t>Unknown</t>
        </is>
      </c>
      <c r="G337" s="1037" t="n"/>
      <c r="H337" s="1037" t="n"/>
      <c r="I337" s="1037" t="n"/>
      <c r="J337" s="1037" t="n"/>
      <c r="K337" s="1037" t="n"/>
      <c r="L337" s="1037" t="n"/>
      <c r="M337" s="1037" t="n"/>
      <c r="N337" s="1037" t="n"/>
      <c r="O337" s="1037" t="n"/>
      <c r="P337" s="1037" t="n"/>
      <c r="Q337" s="1037" t="n"/>
      <c r="R337" s="1037" t="n"/>
      <c r="S337" s="1037" t="n"/>
      <c r="T337" s="1037" t="n"/>
      <c r="U337" s="1037" t="n"/>
    </row>
    <row r="338" ht="15.75" customHeight="1" s="1128">
      <c r="A338" s="357" t="inlineStr">
        <is>
          <t>Resonance: Orange</t>
        </is>
      </c>
      <c r="B338" s="1037" t="n"/>
      <c r="C338" s="1037" t="n"/>
      <c r="D338" s="371" t="n">
        <v>7</v>
      </c>
      <c r="E338" s="1037" t="n"/>
      <c r="F338" s="386" t="n"/>
      <c r="G338" s="1037" t="n"/>
      <c r="H338" s="1037" t="n"/>
      <c r="I338" s="1037" t="n"/>
      <c r="J338" s="1037" t="n"/>
      <c r="K338" s="1037" t="n"/>
      <c r="L338" s="1037" t="n"/>
      <c r="M338" s="1037" t="n"/>
      <c r="N338" s="1037" t="n"/>
      <c r="O338" s="1037" t="n"/>
      <c r="P338" s="1037" t="n"/>
      <c r="Q338" s="1037" t="n"/>
      <c r="R338" s="1037" t="n"/>
      <c r="S338" s="1037" t="n"/>
      <c r="T338" s="1037" t="n"/>
      <c r="U338" s="1037" t="n"/>
    </row>
    <row r="339" ht="15.75" customHeight="1" s="1128">
      <c r="A339" s="434" t="inlineStr">
        <is>
          <t xml:space="preserve">  Antimatter Thruster</t>
        </is>
      </c>
      <c r="B339" s="1037" t="inlineStr">
        <is>
          <t>SSS</t>
        </is>
      </c>
      <c r="C339" s="1037" t="inlineStr">
        <is>
          <t>TECH</t>
        </is>
      </c>
      <c r="D339" s="1037" t="n"/>
      <c r="E339" s="1037" t="n"/>
      <c r="F339" s="390" t="inlineStr">
        <is>
          <t>Lottery Machine No.3 (?%)</t>
        </is>
      </c>
      <c r="G339" s="1037" t="n"/>
      <c r="H339" s="1037" t="n"/>
      <c r="I339" s="1037" t="n"/>
      <c r="J339" s="1037" t="n"/>
      <c r="K339" s="1037" t="n"/>
      <c r="L339" s="1037" t="n"/>
      <c r="M339" s="1037" t="n"/>
      <c r="N339" s="1037" t="n"/>
      <c r="O339" s="1037" t="n"/>
      <c r="P339" s="1037" t="n"/>
      <c r="Q339" s="1037" t="n"/>
      <c r="R339" s="1037" t="n"/>
      <c r="S339" s="1037" t="n"/>
      <c r="T339" s="1037" t="n"/>
      <c r="U339" s="1037" t="n"/>
    </row>
    <row r="340" ht="15.75" customHeight="1" s="1128">
      <c r="A340" s="434" t="inlineStr">
        <is>
          <t xml:space="preserve">  Vector Engine</t>
        </is>
      </c>
      <c r="B340" s="1037" t="inlineStr">
        <is>
          <t>S</t>
        </is>
      </c>
      <c r="C340" s="1037" t="inlineStr">
        <is>
          <t>TECH</t>
        </is>
      </c>
      <c r="D340" s="1037" t="n"/>
      <c r="E340" s="1037" t="n"/>
      <c r="F340" s="390" t="inlineStr">
        <is>
          <t>Lottery Machine No.3 (?%)</t>
        </is>
      </c>
      <c r="G340" s="1037" t="n"/>
      <c r="H340" s="1037" t="n"/>
      <c r="I340" s="1037" t="n"/>
      <c r="J340" s="1037" t="n"/>
      <c r="K340" s="1037" t="n"/>
      <c r="L340" s="1037" t="n"/>
      <c r="M340" s="1037" t="n"/>
      <c r="N340" s="1037" t="n"/>
      <c r="O340" s="1037" t="n"/>
      <c r="P340" s="1037" t="n"/>
      <c r="Q340" s="1037" t="n"/>
      <c r="R340" s="1037" t="n"/>
      <c r="S340" s="1037" t="n"/>
      <c r="T340" s="1037" t="n"/>
      <c r="U340" s="1037" t="n"/>
    </row>
    <row r="341" ht="15.75" customHeight="1" s="1128">
      <c r="A341" s="357" t="inlineStr">
        <is>
          <t>Resonance: Orange</t>
        </is>
      </c>
      <c r="B341" s="1037" t="n"/>
      <c r="C341" s="1037" t="n"/>
      <c r="D341" s="371" t="n">
        <v>7</v>
      </c>
      <c r="E341" s="1037" t="n"/>
      <c r="F341" s="386" t="n"/>
      <c r="G341" s="1037" t="n"/>
      <c r="H341" s="1037" t="n"/>
      <c r="I341" s="1037" t="n"/>
      <c r="J341" s="1037" t="n"/>
      <c r="K341" s="1037" t="n"/>
      <c r="L341" s="1037" t="n"/>
      <c r="M341" s="1037" t="n"/>
      <c r="N341" s="1037" t="n"/>
      <c r="O341" s="1037" t="n"/>
      <c r="P341" s="1037" t="n"/>
      <c r="Q341" s="1037" t="n"/>
      <c r="R341" s="1037" t="n"/>
      <c r="S341" s="1037" t="n"/>
      <c r="T341" s="1037" t="n"/>
      <c r="U341" s="1037" t="n"/>
    </row>
    <row r="342" ht="15.75" customHeight="1" s="1128">
      <c r="A342" s="434" t="inlineStr">
        <is>
          <t xml:space="preserve">  Atenism</t>
        </is>
      </c>
      <c r="B342" s="1037" t="inlineStr">
        <is>
          <t>SSS</t>
        </is>
      </c>
      <c r="C342" s="1037" t="inlineStr">
        <is>
          <t>FTH</t>
        </is>
      </c>
      <c r="D342" s="1037" t="n"/>
      <c r="E342" s="1037" t="n"/>
      <c r="F342" s="390" t="inlineStr">
        <is>
          <t>Unknown</t>
        </is>
      </c>
      <c r="G342" s="1037" t="n"/>
      <c r="H342" s="1037" t="n"/>
      <c r="I342" s="1037" t="n"/>
      <c r="J342" s="1037" t="n"/>
      <c r="K342" s="1037" t="n"/>
      <c r="L342" s="1037" t="n"/>
      <c r="M342" s="1037" t="n"/>
      <c r="N342" s="1037" t="n"/>
      <c r="O342" s="1037" t="n"/>
      <c r="P342" s="1037" t="n"/>
      <c r="Q342" s="1037" t="n"/>
      <c r="R342" s="1037" t="n"/>
      <c r="S342" s="1037" t="n"/>
      <c r="T342" s="1037" t="n"/>
      <c r="U342" s="1037" t="n"/>
    </row>
    <row r="343" ht="15.75" customHeight="1" s="1128">
      <c r="A343" s="434" t="inlineStr">
        <is>
          <t xml:space="preserve">  Manhattan Project</t>
        </is>
      </c>
      <c r="B343" s="1037" t="inlineStr">
        <is>
          <t>SSS</t>
        </is>
      </c>
      <c r="C343" s="1037" t="inlineStr">
        <is>
          <t>TECH</t>
        </is>
      </c>
      <c r="D343" s="1037" t="n"/>
      <c r="E343" s="1037" t="n"/>
      <c r="F343" s="390" t="inlineStr">
        <is>
          <t>Unknown</t>
        </is>
      </c>
      <c r="G343" s="1037" t="n"/>
      <c r="H343" s="1037" t="n"/>
      <c r="I343" s="1037" t="n"/>
      <c r="J343" s="1037" t="n"/>
      <c r="K343" s="1037" t="n"/>
      <c r="L343" s="1037" t="n"/>
      <c r="M343" s="1037" t="n"/>
      <c r="N343" s="1037" t="n"/>
      <c r="O343" s="1037" t="n"/>
      <c r="P343" s="1037" t="n"/>
      <c r="Q343" s="1037" t="n"/>
      <c r="R343" s="1037" t="n"/>
      <c r="S343" s="1037" t="n"/>
      <c r="T343" s="1037" t="n"/>
      <c r="U343" s="1037" t="n"/>
    </row>
    <row r="344" ht="15.75" customHeight="1" s="1128">
      <c r="A344" s="357" t="inlineStr">
        <is>
          <t>Resonance: Orange</t>
        </is>
      </c>
      <c r="B344" s="1037" t="n"/>
      <c r="C344" s="1037" t="n"/>
      <c r="D344" s="371" t="n">
        <v>7</v>
      </c>
      <c r="E344" s="1037" t="n"/>
      <c r="F344" s="386" t="n"/>
      <c r="G344" s="1037" t="n"/>
      <c r="H344" s="1037" t="n"/>
      <c r="I344" s="1037" t="n"/>
      <c r="J344" s="1037" t="n"/>
      <c r="K344" s="1037" t="n"/>
      <c r="L344" s="1037" t="n"/>
      <c r="M344" s="1037" t="n"/>
      <c r="N344" s="1037" t="n"/>
      <c r="O344" s="1037" t="n"/>
      <c r="P344" s="1037" t="n"/>
      <c r="Q344" s="1037" t="n"/>
      <c r="R344" s="1037" t="n"/>
      <c r="S344" s="1037" t="n"/>
      <c r="T344" s="1037" t="n"/>
      <c r="U344" s="1037" t="n"/>
    </row>
    <row r="345" ht="15.75" customHeight="1" s="1128">
      <c r="A345" s="434" t="inlineStr">
        <is>
          <t xml:space="preserve">  Lu Ji's Calligraphy</t>
        </is>
      </c>
      <c r="B345" s="1037" t="inlineStr">
        <is>
          <t>SSS</t>
        </is>
      </c>
      <c r="C345" s="1037" t="inlineStr">
        <is>
          <t>CIV</t>
        </is>
      </c>
      <c r="D345" s="1037" t="n"/>
      <c r="E345" s="1037" t="n"/>
      <c r="F345" s="390" t="inlineStr">
        <is>
          <t>Unknown</t>
        </is>
      </c>
      <c r="G345" s="1037" t="n"/>
      <c r="H345" s="1037" t="n"/>
      <c r="I345" s="1037" t="n"/>
      <c r="J345" s="1037" t="n"/>
      <c r="K345" s="1037" t="n"/>
      <c r="L345" s="1037" t="n"/>
      <c r="M345" s="1037" t="n"/>
      <c r="N345" s="1037" t="n"/>
      <c r="O345" s="1037" t="n"/>
      <c r="P345" s="1037" t="n"/>
      <c r="Q345" s="1037" t="n"/>
      <c r="R345" s="1037" t="n"/>
      <c r="S345" s="1037" t="n"/>
      <c r="T345" s="1037" t="n"/>
      <c r="U345" s="1037" t="n"/>
    </row>
    <row r="346" ht="15.75" customHeight="1" s="1128">
      <c r="A346" s="434" t="inlineStr">
        <is>
          <t xml:space="preserve">  The King in Yellow</t>
        </is>
      </c>
      <c r="B346" s="1037" t="inlineStr">
        <is>
          <t>SSS</t>
        </is>
      </c>
      <c r="C346" s="1037" t="inlineStr">
        <is>
          <t>TECH</t>
        </is>
      </c>
      <c r="D346" s="1037" t="n"/>
      <c r="E346" s="1037" t="n"/>
      <c r="F346" s="390" t="inlineStr">
        <is>
          <t>Unknown</t>
        </is>
      </c>
      <c r="G346" s="1037" t="n"/>
      <c r="H346" s="1037" t="n"/>
      <c r="I346" s="1037" t="n"/>
      <c r="J346" s="1037" t="n"/>
      <c r="K346" s="1037" t="n"/>
      <c r="L346" s="1037" t="n"/>
      <c r="M346" s="1037" t="n"/>
      <c r="N346" s="1037" t="n"/>
      <c r="O346" s="1037" t="n"/>
      <c r="P346" s="1037" t="n"/>
      <c r="Q346" s="1037" t="n"/>
      <c r="R346" s="1037" t="n"/>
      <c r="S346" s="1037" t="n"/>
      <c r="T346" s="1037" t="n"/>
      <c r="U346" s="1037" t="n"/>
    </row>
    <row r="347" ht="15.75" customHeight="1" s="1128">
      <c r="A347" s="357" t="inlineStr">
        <is>
          <t>Resonance: Orange</t>
        </is>
      </c>
      <c r="B347" s="1037" t="n"/>
      <c r="C347" s="1037" t="n"/>
      <c r="D347" s="371" t="n">
        <v>7</v>
      </c>
      <c r="E347" s="1037" t="n"/>
      <c r="F347" s="386" t="n"/>
      <c r="G347" s="1037" t="n"/>
      <c r="H347" s="1037" t="n"/>
      <c r="I347" s="1037" t="n"/>
      <c r="J347" s="1037" t="n"/>
      <c r="K347" s="1037" t="n"/>
      <c r="L347" s="1037" t="n"/>
      <c r="M347" s="1037" t="n"/>
      <c r="N347" s="1037" t="n"/>
      <c r="O347" s="1037" t="n"/>
      <c r="P347" s="1037" t="n"/>
      <c r="Q347" s="1037" t="n"/>
      <c r="R347" s="1037" t="n"/>
      <c r="S347" s="1037" t="n"/>
      <c r="T347" s="1037" t="n"/>
      <c r="U347" s="1037" t="n"/>
    </row>
    <row r="348" ht="15.75" customHeight="1" s="1128">
      <c r="A348" s="434" t="inlineStr">
        <is>
          <t xml:space="preserve">  Arnolfini Portrait</t>
        </is>
      </c>
      <c r="B348" s="1037" t="inlineStr">
        <is>
          <t>SSS</t>
        </is>
      </c>
      <c r="C348" s="1037" t="inlineStr">
        <is>
          <t>FTH</t>
        </is>
      </c>
      <c r="D348" s="1037" t="n"/>
      <c r="E348" s="1037" t="n"/>
      <c r="F348" s="390" t="inlineStr">
        <is>
          <t>Unknown</t>
        </is>
      </c>
      <c r="G348" s="1037" t="n"/>
      <c r="H348" s="1037" t="n"/>
      <c r="I348" s="1037" t="n"/>
      <c r="J348" s="1037" t="n"/>
      <c r="K348" s="1037" t="n"/>
      <c r="L348" s="1037" t="n"/>
      <c r="M348" s="1037" t="n"/>
      <c r="N348" s="1037" t="n"/>
      <c r="O348" s="1037" t="n"/>
      <c r="P348" s="1037" t="n"/>
      <c r="Q348" s="1037" t="n"/>
      <c r="R348" s="1037" t="n"/>
      <c r="S348" s="1037" t="n"/>
      <c r="T348" s="1037" t="n"/>
      <c r="U348" s="1037" t="n"/>
    </row>
    <row r="349" ht="15.75" customHeight="1" s="1128">
      <c r="A349" s="434" t="inlineStr">
        <is>
          <t xml:space="preserve">  Feather of Justice</t>
        </is>
      </c>
      <c r="B349" s="1037" t="inlineStr">
        <is>
          <t>SSS</t>
        </is>
      </c>
      <c r="C349" s="1037" t="inlineStr">
        <is>
          <t>FTH</t>
        </is>
      </c>
      <c r="D349" s="1037" t="n"/>
      <c r="E349" s="1037" t="n"/>
      <c r="F349" s="390" t="inlineStr">
        <is>
          <t>Unknown</t>
        </is>
      </c>
      <c r="G349" s="1037" t="n"/>
      <c r="H349" s="1037" t="n"/>
      <c r="I349" s="1037" t="n"/>
      <c r="J349" s="1037" t="n"/>
      <c r="K349" s="1037" t="n"/>
      <c r="L349" s="1037" t="n"/>
      <c r="M349" s="1037" t="n"/>
      <c r="N349" s="1037" t="n"/>
      <c r="O349" s="1037" t="n"/>
      <c r="P349" s="1037" t="n"/>
      <c r="Q349" s="1037" t="n"/>
      <c r="R349" s="1037" t="n"/>
      <c r="S349" s="1037" t="n"/>
      <c r="T349" s="1037" t="n"/>
      <c r="U349" s="1037" t="n"/>
    </row>
    <row r="350" ht="15.75" customHeight="1" s="1128">
      <c r="A350" s="357" t="inlineStr">
        <is>
          <t>Resonance: Orange</t>
        </is>
      </c>
      <c r="B350" s="1037" t="n"/>
      <c r="C350" s="1037" t="n"/>
      <c r="D350" s="371" t="n">
        <v>7</v>
      </c>
      <c r="E350" s="1037" t="n"/>
      <c r="F350" s="386" t="n"/>
      <c r="G350" s="1037" t="n"/>
      <c r="H350" s="1037" t="n"/>
      <c r="I350" s="1037" t="n"/>
      <c r="J350" s="1037" t="n"/>
      <c r="K350" s="1037" t="n"/>
      <c r="L350" s="1037" t="n"/>
      <c r="M350" s="1037" t="n"/>
      <c r="N350" s="1037" t="n"/>
      <c r="O350" s="1037" t="n"/>
      <c r="P350" s="1037" t="n"/>
      <c r="Q350" s="1037" t="n"/>
      <c r="R350" s="1037" t="n"/>
      <c r="S350" s="1037" t="n"/>
      <c r="T350" s="1037" t="n"/>
      <c r="U350" s="1037" t="n"/>
    </row>
    <row r="351" ht="15.75" customHeight="1" s="1128">
      <c r="A351" s="434" t="inlineStr">
        <is>
          <t xml:space="preserve">  Chemical Bond Theory</t>
        </is>
      </c>
      <c r="B351" s="1037" t="inlineStr">
        <is>
          <t>SSS</t>
        </is>
      </c>
      <c r="C351" s="1037" t="inlineStr">
        <is>
          <t>TECH</t>
        </is>
      </c>
      <c r="D351" s="1037" t="n"/>
      <c r="E351" s="1037" t="n"/>
      <c r="F351" s="390" t="inlineStr">
        <is>
          <t>Unknown</t>
        </is>
      </c>
      <c r="G351" s="1037" t="n"/>
      <c r="H351" s="1037" t="n"/>
      <c r="I351" s="1037" t="n"/>
      <c r="J351" s="1037" t="n"/>
      <c r="K351" s="1037" t="n"/>
      <c r="L351" s="1037" t="n"/>
      <c r="M351" s="1037" t="n"/>
      <c r="N351" s="1037" t="n"/>
      <c r="O351" s="1037" t="n"/>
      <c r="P351" s="1037" t="n"/>
      <c r="Q351" s="1037" t="n"/>
      <c r="R351" s="1037" t="n"/>
      <c r="S351" s="1037" t="n"/>
      <c r="T351" s="1037" t="n"/>
      <c r="U351" s="1037" t="n"/>
    </row>
    <row r="352" ht="15.75" customHeight="1" s="1128">
      <c r="A352" s="434" t="inlineStr">
        <is>
          <t xml:space="preserve">  Mysterious Relic</t>
        </is>
      </c>
      <c r="B352" s="1037" t="inlineStr">
        <is>
          <t>SSS</t>
        </is>
      </c>
      <c r="C352" s="1037" t="n"/>
      <c r="D352" s="1037" t="n"/>
      <c r="E352" s="1037" t="n"/>
      <c r="F352" s="390" t="inlineStr">
        <is>
          <t>Unknown</t>
        </is>
      </c>
      <c r="G352" s="1037" t="n"/>
      <c r="H352" s="1037" t="n"/>
      <c r="I352" s="1037" t="n"/>
      <c r="J352" s="1037" t="n"/>
      <c r="K352" s="1037" t="n"/>
      <c r="L352" s="1037" t="n"/>
      <c r="M352" s="1037" t="n"/>
      <c r="N352" s="1037" t="n"/>
      <c r="O352" s="1037" t="n"/>
      <c r="P352" s="1037" t="n"/>
      <c r="Q352" s="1037" t="n"/>
      <c r="R352" s="1037" t="n"/>
      <c r="S352" s="1037" t="n"/>
      <c r="T352" s="1037" t="n"/>
      <c r="U352" s="1037" t="n"/>
    </row>
    <row r="353" ht="15.75" customHeight="1" s="1128">
      <c r="A353" s="357" t="inlineStr">
        <is>
          <t>Resonance: Orange</t>
        </is>
      </c>
      <c r="B353" s="1037" t="n"/>
      <c r="C353" s="1037" t="n"/>
      <c r="D353" s="371" t="n">
        <v>7</v>
      </c>
      <c r="E353" s="1037" t="n"/>
      <c r="F353" s="386" t="n"/>
      <c r="G353" s="1037" t="n"/>
      <c r="H353" s="1037" t="n"/>
      <c r="I353" s="1037" t="n"/>
      <c r="J353" s="1037" t="n"/>
      <c r="K353" s="1037" t="n"/>
      <c r="L353" s="1037" t="n"/>
      <c r="M353" s="1037" t="n"/>
      <c r="N353" s="1037" t="n"/>
      <c r="O353" s="1037" t="n"/>
      <c r="P353" s="1037" t="n"/>
      <c r="Q353" s="1037" t="n"/>
      <c r="R353" s="1037" t="n"/>
      <c r="S353" s="1037" t="n"/>
      <c r="T353" s="1037" t="n"/>
      <c r="U353" s="1037" t="n"/>
    </row>
    <row r="354" ht="15.75" customHeight="1" s="1128">
      <c r="A354" s="434" t="inlineStr">
        <is>
          <t xml:space="preserve">  Mysterious Relic</t>
        </is>
      </c>
      <c r="B354" s="1037" t="inlineStr">
        <is>
          <t>SSS</t>
        </is>
      </c>
      <c r="C354" s="1037" t="n"/>
      <c r="D354" s="1037" t="n"/>
      <c r="E354" s="1037" t="n"/>
      <c r="F354" s="390" t="inlineStr">
        <is>
          <t>Unknown</t>
        </is>
      </c>
      <c r="G354" s="1037" t="n"/>
      <c r="H354" s="1037" t="n"/>
      <c r="I354" s="1037" t="n"/>
      <c r="J354" s="1037" t="n"/>
      <c r="K354" s="1037" t="n"/>
      <c r="L354" s="1037" t="n"/>
      <c r="M354" s="1037" t="n"/>
      <c r="N354" s="1037" t="n"/>
      <c r="O354" s="1037" t="n"/>
      <c r="P354" s="1037" t="n"/>
      <c r="Q354" s="1037" t="n"/>
      <c r="R354" s="1037" t="n"/>
      <c r="S354" s="1037" t="n"/>
      <c r="T354" s="1037" t="n"/>
      <c r="U354" s="1037" t="n"/>
    </row>
    <row r="355" ht="15.75" customHeight="1" s="1128">
      <c r="A355" s="434" t="inlineStr">
        <is>
          <t xml:space="preserve">  Mysterious Relic</t>
        </is>
      </c>
      <c r="B355" s="1037" t="inlineStr">
        <is>
          <t>SSS</t>
        </is>
      </c>
      <c r="C355" s="1037" t="n"/>
      <c r="D355" s="1037" t="n"/>
      <c r="E355" s="1037" t="n"/>
      <c r="F355" s="390" t="inlineStr">
        <is>
          <t>Unknown</t>
        </is>
      </c>
      <c r="G355" s="1037" t="n"/>
      <c r="H355" s="1037" t="n"/>
      <c r="I355" s="1037" t="n"/>
      <c r="J355" s="1037" t="n"/>
      <c r="K355" s="1037" t="n"/>
      <c r="L355" s="1037" t="n"/>
      <c r="M355" s="1037" t="n"/>
      <c r="N355" s="1037" t="n"/>
      <c r="O355" s="1037" t="n"/>
      <c r="P355" s="1037" t="n"/>
      <c r="Q355" s="1037" t="n"/>
      <c r="R355" s="1037" t="n"/>
      <c r="S355" s="1037" t="n"/>
      <c r="T355" s="1037" t="n"/>
      <c r="U355" s="1037" t="n"/>
    </row>
    <row r="356" ht="15.75" customHeight="1" s="1128">
      <c r="A356" s="357" t="inlineStr">
        <is>
          <t>Resonance: Orange</t>
        </is>
      </c>
      <c r="B356" s="1037" t="n"/>
      <c r="C356" s="1037" t="n"/>
      <c r="D356" s="371" t="n">
        <v>7</v>
      </c>
      <c r="E356" s="1037" t="n"/>
      <c r="F356" s="386" t="n"/>
      <c r="G356" s="1037" t="n"/>
      <c r="H356" s="1037" t="n"/>
      <c r="I356" s="1037" t="n"/>
      <c r="J356" s="1037" t="n"/>
      <c r="K356" s="1037" t="n"/>
      <c r="L356" s="1037" t="n"/>
      <c r="M356" s="1037" t="n"/>
      <c r="N356" s="1037" t="n"/>
      <c r="O356" s="1037" t="n"/>
      <c r="P356" s="1037" t="n"/>
      <c r="Q356" s="1037" t="n"/>
      <c r="R356" s="1037" t="n"/>
      <c r="S356" s="1037" t="n"/>
      <c r="T356" s="1037" t="n"/>
      <c r="U356" s="1037" t="n"/>
    </row>
    <row r="357" ht="15.75" customHeight="1" s="1128">
      <c r="A357" s="434" t="inlineStr">
        <is>
          <t xml:space="preserve">  Cthaat Aquadingen</t>
        </is>
      </c>
      <c r="B357" s="1037" t="inlineStr">
        <is>
          <t>SSS</t>
        </is>
      </c>
      <c r="C357" s="1037" t="inlineStr">
        <is>
          <t>FTH</t>
        </is>
      </c>
      <c r="D357" s="1037" t="n"/>
      <c r="E357" s="1037" t="n"/>
      <c r="F357" s="386" t="inlineStr">
        <is>
          <t>Weekly Special Relic #4</t>
        </is>
      </c>
      <c r="G357" s="1037" t="n"/>
      <c r="H357" s="1037" t="n"/>
      <c r="I357" s="1037" t="n"/>
      <c r="J357" s="1037" t="n"/>
      <c r="K357" s="1037" t="n"/>
      <c r="L357" s="1037" t="n"/>
      <c r="M357" s="1037" t="n"/>
      <c r="N357" s="1037" t="n"/>
      <c r="O357" s="1037" t="n"/>
      <c r="P357" s="1037" t="n"/>
      <c r="Q357" s="1037" t="n"/>
      <c r="R357" s="1037" t="n"/>
      <c r="S357" s="1037" t="n"/>
      <c r="T357" s="1037" t="n"/>
      <c r="U357" s="1037" t="n"/>
    </row>
    <row r="358" ht="15.75" customHeight="1" s="1128">
      <c r="A358" s="434" t="inlineStr">
        <is>
          <t xml:space="preserve">  Journey to Earth Core</t>
        </is>
      </c>
      <c r="B358" s="1037" t="inlineStr">
        <is>
          <t>SSS</t>
        </is>
      </c>
      <c r="C358" s="1037" t="inlineStr">
        <is>
          <t>CIV</t>
        </is>
      </c>
      <c r="D358" s="1037" t="n"/>
      <c r="E358" s="1037" t="n"/>
      <c r="F358" s="386" t="inlineStr">
        <is>
          <t>Weekly Special Relic #5</t>
        </is>
      </c>
      <c r="G358" s="1037" t="n"/>
      <c r="H358" s="1037" t="n"/>
      <c r="I358" s="1037" t="n"/>
      <c r="J358" s="1037" t="n"/>
      <c r="K358" s="1037" t="n"/>
      <c r="L358" s="1037" t="n"/>
      <c r="M358" s="1037" t="n"/>
      <c r="N358" s="1037" t="n"/>
      <c r="O358" s="1037" t="n"/>
      <c r="P358" s="1037" t="n"/>
      <c r="Q358" s="1037" t="n"/>
      <c r="R358" s="1037" t="n"/>
      <c r="S358" s="1037" t="n"/>
      <c r="T358" s="1037" t="n"/>
      <c r="U358" s="1037" t="n"/>
    </row>
    <row r="359" ht="15.75" customHeight="1" s="1128">
      <c r="A359" s="357" t="inlineStr">
        <is>
          <t>Resonance: Orange</t>
        </is>
      </c>
      <c r="B359" s="1037" t="n"/>
      <c r="C359" s="1037" t="n"/>
      <c r="D359" s="371" t="n">
        <v>7</v>
      </c>
      <c r="E359" s="1037" t="n"/>
      <c r="F359" s="386" t="n"/>
      <c r="G359" s="1037" t="n"/>
      <c r="H359" s="1037" t="n"/>
      <c r="I359" s="1037" t="n"/>
      <c r="J359" s="1037" t="n"/>
      <c r="K359" s="1037" t="n"/>
      <c r="L359" s="1037" t="n"/>
      <c r="M359" s="1037" t="n"/>
      <c r="N359" s="1037" t="n"/>
      <c r="O359" s="1037" t="n"/>
      <c r="P359" s="1037" t="n"/>
      <c r="Q359" s="1037" t="n"/>
      <c r="R359" s="1037" t="n"/>
      <c r="S359" s="1037" t="n"/>
      <c r="T359" s="1037" t="n"/>
      <c r="U359" s="1037" t="n"/>
    </row>
    <row r="360" ht="15.75" customHeight="1" s="1128">
      <c r="A360" s="434" t="inlineStr">
        <is>
          <t xml:space="preserve">  Ordinary Casket</t>
        </is>
      </c>
      <c r="B360" s="1037" t="inlineStr">
        <is>
          <t>SSS</t>
        </is>
      </c>
      <c r="C360" s="1037" t="inlineStr">
        <is>
          <t>FAME</t>
        </is>
      </c>
      <c r="D360" s="1037" t="n"/>
      <c r="E360" s="1037" t="n"/>
      <c r="F360" s="386" t="n"/>
      <c r="G360" s="1037" t="n"/>
      <c r="H360" s="1037" t="n"/>
      <c r="I360" s="1037" t="n"/>
      <c r="J360" s="1037" t="n"/>
      <c r="K360" s="1037" t="n"/>
      <c r="L360" s="1037" t="n"/>
      <c r="M360" s="1037" t="n"/>
      <c r="N360" s="1037" t="n"/>
      <c r="O360" s="1037" t="n"/>
      <c r="P360" s="1037" t="n"/>
      <c r="Q360" s="1037" t="n"/>
      <c r="R360" s="1037" t="n"/>
      <c r="S360" s="1037" t="n"/>
      <c r="T360" s="1037" t="n"/>
      <c r="U360" s="1037" t="n"/>
    </row>
    <row r="361" ht="15.75" customHeight="1" s="1128">
      <c r="A361" s="434" t="inlineStr">
        <is>
          <t xml:space="preserve">  Mysterious Relic</t>
        </is>
      </c>
      <c r="B361" s="1037" t="inlineStr">
        <is>
          <t>SSS</t>
        </is>
      </c>
      <c r="C361" s="1037" t="n"/>
      <c r="D361" s="1037" t="n"/>
      <c r="E361" s="1037" t="n"/>
      <c r="F361" s="390" t="inlineStr">
        <is>
          <t>Unknown</t>
        </is>
      </c>
      <c r="G361" s="1037" t="n"/>
      <c r="H361" s="1037" t="n"/>
      <c r="I361" s="1037" t="n"/>
      <c r="J361" s="1037" t="n"/>
      <c r="K361" s="1037" t="n"/>
      <c r="L361" s="1037" t="n"/>
      <c r="M361" s="1037" t="n"/>
      <c r="N361" s="1037" t="n"/>
      <c r="O361" s="1037" t="n"/>
      <c r="P361" s="1037" t="n"/>
      <c r="Q361" s="1037" t="n"/>
      <c r="R361" s="1037" t="n"/>
      <c r="S361" s="1037" t="n"/>
      <c r="T361" s="1037" t="n"/>
      <c r="U361" s="1037" t="n"/>
    </row>
    <row r="362" ht="15.75" customHeight="1" s="1128">
      <c r="A362" s="357" t="inlineStr">
        <is>
          <t>Resonance: Orange</t>
        </is>
      </c>
      <c r="B362" s="1037" t="n"/>
      <c r="C362" s="1037" t="n"/>
      <c r="D362" s="371" t="n">
        <v>8</v>
      </c>
      <c r="E362" s="1037" t="n"/>
      <c r="F362" s="386" t="n"/>
      <c r="G362" s="1037" t="n"/>
      <c r="H362" s="1037" t="n"/>
      <c r="I362" s="1037" t="n"/>
      <c r="J362" s="1037" t="n"/>
      <c r="K362" s="1037" t="n"/>
      <c r="L362" s="1037" t="n"/>
      <c r="M362" s="1037" t="n"/>
      <c r="N362" s="1037" t="n"/>
      <c r="O362" s="1037" t="n"/>
      <c r="P362" s="1037" t="n"/>
      <c r="Q362" s="1037" t="n"/>
      <c r="R362" s="1037" t="n"/>
      <c r="S362" s="1037" t="n"/>
      <c r="T362" s="1037" t="n"/>
      <c r="U362" s="1037" t="n"/>
    </row>
    <row r="363" ht="15.75" customHeight="1" s="1128">
      <c r="A363" s="434" t="inlineStr">
        <is>
          <t xml:space="preserve">  Simarils</t>
        </is>
      </c>
      <c r="B363" s="1037" t="inlineStr">
        <is>
          <t>SS</t>
        </is>
      </c>
      <c r="C363" s="1037" t="inlineStr">
        <is>
          <t>FTH</t>
        </is>
      </c>
      <c r="D363" s="1037" t="n"/>
      <c r="E363" s="1037" t="n"/>
      <c r="F363" s="386" t="inlineStr">
        <is>
          <t>Lottery Machine No.2(0.33%)</t>
        </is>
      </c>
      <c r="G363" s="1037" t="n"/>
      <c r="H363" s="1037" t="n"/>
      <c r="I363" s="1037" t="n"/>
      <c r="J363" s="1037" t="n"/>
      <c r="K363" s="1037" t="n"/>
      <c r="L363" s="1037" t="n"/>
      <c r="M363" s="1037" t="n"/>
      <c r="N363" s="1037" t="n"/>
      <c r="O363" s="1037" t="n"/>
      <c r="P363" s="1037" t="n"/>
      <c r="Q363" s="1037" t="n"/>
      <c r="R363" s="1037" t="n"/>
      <c r="S363" s="1037" t="n"/>
      <c r="T363" s="1037" t="n"/>
      <c r="U363" s="1037" t="n"/>
    </row>
    <row r="364" ht="15.75" customHeight="1" s="1128">
      <c r="A364" s="434" t="inlineStr">
        <is>
          <t xml:space="preserve">  Kojiki</t>
        </is>
      </c>
      <c r="B364" s="1037" t="inlineStr">
        <is>
          <t>SS</t>
        </is>
      </c>
      <c r="C364" s="1037" t="inlineStr">
        <is>
          <t>CIV</t>
        </is>
      </c>
      <c r="D364" s="1037" t="n"/>
      <c r="E364" s="1037" t="n"/>
      <c r="F364" s="386" t="inlineStr">
        <is>
          <t>Lottery Machine No.2(0.33%)</t>
        </is>
      </c>
      <c r="G364" s="1037" t="n"/>
      <c r="H364" s="1037" t="n"/>
      <c r="I364" s="1037" t="n"/>
      <c r="J364" s="1037" t="n"/>
      <c r="K364" s="1037" t="n"/>
      <c r="L364" s="1037" t="n"/>
      <c r="M364" s="1037" t="n"/>
      <c r="N364" s="1037" t="n"/>
      <c r="O364" s="1037" t="n"/>
      <c r="P364" s="1037" t="n"/>
      <c r="Q364" s="1037" t="n"/>
      <c r="R364" s="1037" t="n"/>
      <c r="S364" s="1037" t="n"/>
      <c r="T364" s="1037" t="n"/>
      <c r="U364" s="1037" t="n"/>
    </row>
    <row r="365" ht="15.75" customHeight="1" s="1128">
      <c r="A365" s="434" t="inlineStr">
        <is>
          <t xml:space="preserve">  Zircon of Jack Hills</t>
        </is>
      </c>
      <c r="B365" s="1037" t="inlineStr">
        <is>
          <t>SS</t>
        </is>
      </c>
      <c r="C365" s="1037" t="inlineStr">
        <is>
          <t>FAME</t>
        </is>
      </c>
      <c r="D365" s="1037" t="n"/>
      <c r="E365" s="1037" t="n"/>
      <c r="F365" s="386" t="inlineStr">
        <is>
          <t>Lottery Machine No.2(0.43%)</t>
        </is>
      </c>
      <c r="G365" s="1037" t="n"/>
      <c r="H365" s="1037" t="n"/>
      <c r="I365" s="1037" t="n"/>
      <c r="J365" s="1037" t="n"/>
      <c r="K365" s="1037" t="n"/>
      <c r="L365" s="1037" t="n"/>
      <c r="M365" s="1037" t="n"/>
      <c r="N365" s="1037" t="n"/>
      <c r="O365" s="1037" t="n"/>
      <c r="P365" s="1037" t="n"/>
      <c r="Q365" s="1037" t="n"/>
      <c r="R365" s="1037" t="n"/>
      <c r="S365" s="1037" t="n"/>
      <c r="T365" s="1037" t="n"/>
      <c r="U365" s="1037" t="n"/>
    </row>
    <row r="366" ht="15.75" customHeight="1" s="1128">
      <c r="A366" s="357" t="inlineStr">
        <is>
          <t>Resonance: Orange</t>
        </is>
      </c>
      <c r="B366" s="1037" t="n"/>
      <c r="C366" s="1037" t="n"/>
      <c r="D366" s="371" t="n">
        <v>8</v>
      </c>
      <c r="E366" s="1037" t="n"/>
      <c r="F366" s="386" t="n"/>
      <c r="G366" s="1037" t="n"/>
      <c r="H366" s="1037" t="n"/>
      <c r="I366" s="1037" t="n"/>
      <c r="J366" s="1037" t="n"/>
      <c r="K366" s="1037" t="n"/>
      <c r="L366" s="1037" t="n"/>
      <c r="M366" s="1037" t="n"/>
      <c r="N366" s="1037" t="n"/>
      <c r="O366" s="1037" t="n"/>
      <c r="P366" s="1037" t="n"/>
      <c r="Q366" s="1037" t="n"/>
      <c r="R366" s="1037" t="n"/>
      <c r="S366" s="1037" t="n"/>
      <c r="T366" s="1037" t="n"/>
      <c r="U366" s="1037" t="n"/>
    </row>
    <row r="367" ht="15.75" customHeight="1" s="1128">
      <c r="A367" s="434" t="inlineStr">
        <is>
          <t xml:space="preserve">  Metchnikoff's Notes</t>
        </is>
      </c>
      <c r="B367" s="1037" t="inlineStr">
        <is>
          <t>SSS</t>
        </is>
      </c>
      <c r="C367" s="1037" t="inlineStr">
        <is>
          <t>FAME</t>
        </is>
      </c>
      <c r="D367" s="1037" t="n"/>
      <c r="E367" s="1037" t="n"/>
      <c r="F367" s="386" t="inlineStr">
        <is>
          <t>Lottery Machine No.2(0.11%)</t>
        </is>
      </c>
      <c r="G367" s="1037" t="n"/>
      <c r="H367" s="1037" t="n"/>
      <c r="I367" s="1037" t="n"/>
      <c r="J367" s="1037" t="n"/>
      <c r="K367" s="1037" t="n"/>
      <c r="L367" s="1037" t="n"/>
      <c r="M367" s="1037" t="n"/>
      <c r="N367" s="1037" t="n"/>
      <c r="O367" s="1037" t="n"/>
      <c r="P367" s="1037" t="n"/>
      <c r="Q367" s="1037" t="n"/>
      <c r="R367" s="1037" t="n"/>
      <c r="S367" s="1037" t="n"/>
      <c r="T367" s="1037" t="n"/>
      <c r="U367" s="1037" t="n"/>
    </row>
    <row r="368" ht="15.75" customHeight="1" s="1128">
      <c r="A368" s="434" t="inlineStr">
        <is>
          <t xml:space="preserve">  Mysterious Relic</t>
        </is>
      </c>
      <c r="B368" s="1037" t="inlineStr">
        <is>
          <t>SSS</t>
        </is>
      </c>
      <c r="C368" s="1037" t="n"/>
      <c r="D368" s="1037" t="n"/>
      <c r="E368" s="1037" t="n"/>
      <c r="F368" s="390" t="inlineStr">
        <is>
          <t>Unknown</t>
        </is>
      </c>
      <c r="G368" s="1037" t="n"/>
      <c r="H368" s="1037" t="n"/>
      <c r="I368" s="1037" t="n"/>
      <c r="J368" s="1037" t="n"/>
      <c r="K368" s="1037" t="n"/>
      <c r="L368" s="1037" t="n"/>
      <c r="M368" s="1037" t="n"/>
      <c r="N368" s="1037" t="n"/>
      <c r="O368" s="1037" t="n"/>
      <c r="P368" s="1037" t="n"/>
      <c r="Q368" s="1037" t="n"/>
      <c r="R368" s="1037" t="n"/>
      <c r="S368" s="1037" t="n"/>
      <c r="T368" s="1037" t="n"/>
      <c r="U368" s="1037" t="n"/>
    </row>
    <row r="369" ht="15.75" customHeight="1" s="1128">
      <c r="A369" s="434" t="inlineStr">
        <is>
          <t xml:space="preserve">  Receiving the Envoy</t>
        </is>
      </c>
      <c r="B369" s="1037" t="inlineStr">
        <is>
          <t>SSS</t>
        </is>
      </c>
      <c r="C369" s="1037" t="inlineStr">
        <is>
          <t>ART</t>
        </is>
      </c>
      <c r="D369" s="1037" t="n"/>
      <c r="E369" s="1037" t="n"/>
      <c r="F369" s="386" t="inlineStr">
        <is>
          <t>Badge Shop Relic #3 (600 medals x7)</t>
        </is>
      </c>
      <c r="G369" s="1037" t="n"/>
      <c r="H369" s="1037" t="n"/>
      <c r="I369" s="1037" t="n"/>
      <c r="J369" s="1037" t="n"/>
      <c r="K369" s="1037" t="n"/>
      <c r="L369" s="1037" t="n"/>
      <c r="M369" s="1037" t="n"/>
      <c r="N369" s="1037" t="n"/>
      <c r="O369" s="1037" t="n"/>
      <c r="P369" s="1037" t="n"/>
      <c r="Q369" s="1037" t="n"/>
      <c r="R369" s="1037" t="n"/>
      <c r="S369" s="1037" t="n"/>
      <c r="T369" s="1037" t="n"/>
      <c r="U369" s="1037" t="n"/>
    </row>
    <row r="370" ht="15.75" customHeight="1" s="1128">
      <c r="A370" s="357" t="inlineStr">
        <is>
          <t>Resonance: Orange</t>
        </is>
      </c>
      <c r="B370" s="1037" t="n"/>
      <c r="C370" s="1037" t="n"/>
      <c r="D370" s="371" t="n">
        <v>8</v>
      </c>
      <c r="E370" s="1037" t="n"/>
      <c r="F370" s="386" t="n"/>
      <c r="G370" s="1037" t="n"/>
      <c r="H370" s="1037" t="n"/>
      <c r="I370" s="1037" t="n"/>
      <c r="J370" s="1037" t="n"/>
      <c r="K370" s="1037" t="n"/>
      <c r="L370" s="1037" t="n"/>
      <c r="M370" s="1037" t="n"/>
      <c r="N370" s="1037" t="n"/>
      <c r="O370" s="1037" t="n"/>
      <c r="P370" s="1037" t="n"/>
      <c r="Q370" s="1037" t="n"/>
      <c r="R370" s="1037" t="n"/>
      <c r="S370" s="1037" t="n"/>
      <c r="T370" s="1037" t="n"/>
      <c r="U370" s="1037" t="n"/>
    </row>
    <row r="371" ht="15.75" customHeight="1" s="1128">
      <c r="A371" s="434" t="inlineStr">
        <is>
          <t xml:space="preserve">  Phenomenology of Spirit</t>
        </is>
      </c>
      <c r="B371" s="1037" t="inlineStr">
        <is>
          <t>SSS</t>
        </is>
      </c>
      <c r="C371" s="1037" t="inlineStr">
        <is>
          <t>TECH</t>
        </is>
      </c>
      <c r="D371" s="1037" t="n"/>
      <c r="E371" s="1037" t="n"/>
      <c r="F371" s="390" t="inlineStr">
        <is>
          <t>Lottery Machine No.3 (?%)</t>
        </is>
      </c>
      <c r="G371" s="1037" t="n"/>
      <c r="H371" s="1037" t="n"/>
      <c r="I371" s="1037" t="n"/>
      <c r="J371" s="1037" t="n"/>
      <c r="K371" s="1037" t="n"/>
      <c r="L371" s="1037" t="n"/>
      <c r="M371" s="1037" t="n"/>
      <c r="N371" s="1037" t="n"/>
      <c r="O371" s="1037" t="n"/>
      <c r="P371" s="1037" t="n"/>
      <c r="Q371" s="1037" t="n"/>
      <c r="R371" s="1037" t="n"/>
      <c r="S371" s="1037" t="n"/>
      <c r="T371" s="1037" t="n"/>
      <c r="U371" s="1037" t="n"/>
    </row>
    <row r="372" ht="15.75" customHeight="1" s="1128">
      <c r="A372" s="434" t="inlineStr">
        <is>
          <t xml:space="preserve">  Dream Interpretation</t>
        </is>
      </c>
      <c r="B372" s="1037" t="inlineStr">
        <is>
          <t>SSS</t>
        </is>
      </c>
      <c r="C372" s="1037" t="n"/>
      <c r="D372" s="1037" t="n"/>
      <c r="E372" s="1037" t="n"/>
      <c r="F372" s="390" t="inlineStr">
        <is>
          <t>Unknown</t>
        </is>
      </c>
      <c r="G372" s="1037" t="n"/>
      <c r="H372" s="1037" t="n"/>
      <c r="I372" s="1037" t="n"/>
      <c r="J372" s="1037" t="n"/>
      <c r="K372" s="1037" t="n"/>
      <c r="L372" s="1037" t="n"/>
      <c r="M372" s="1037" t="n"/>
      <c r="N372" s="1037" t="n"/>
      <c r="O372" s="1037" t="n"/>
      <c r="P372" s="1037" t="n"/>
      <c r="Q372" s="1037" t="n"/>
      <c r="R372" s="1037" t="n"/>
      <c r="S372" s="1037" t="n"/>
      <c r="T372" s="1037" t="n"/>
      <c r="U372" s="1037" t="n"/>
    </row>
    <row r="373" ht="15.75" customHeight="1" s="1128">
      <c r="A373" s="434" t="inlineStr">
        <is>
          <t xml:space="preserve">  Napolen's Coronation</t>
        </is>
      </c>
      <c r="B373" s="1037" t="inlineStr">
        <is>
          <t>SSS</t>
        </is>
      </c>
      <c r="C373" s="1037" t="n"/>
      <c r="D373" s="1037" t="n"/>
      <c r="E373" s="1037" t="n"/>
      <c r="F373" s="390" t="inlineStr">
        <is>
          <t>Unknown</t>
        </is>
      </c>
      <c r="G373" s="1037" t="n"/>
      <c r="H373" s="1037" t="n"/>
      <c r="I373" s="1037" t="n"/>
      <c r="J373" s="1037" t="n"/>
      <c r="K373" s="1037" t="n"/>
      <c r="L373" s="1037" t="n"/>
      <c r="M373" s="1037" t="n"/>
      <c r="N373" s="1037" t="n"/>
      <c r="O373" s="1037" t="n"/>
      <c r="P373" s="1037" t="n"/>
      <c r="Q373" s="1037" t="n"/>
      <c r="R373" s="1037" t="n"/>
      <c r="S373" s="1037" t="n"/>
      <c r="T373" s="1037" t="n"/>
      <c r="U373" s="1037" t="n"/>
    </row>
    <row r="374" ht="15.75" customHeight="1" s="1128">
      <c r="A374" s="357" t="inlineStr">
        <is>
          <t>Resonance: Orange</t>
        </is>
      </c>
      <c r="B374" s="1037" t="n"/>
      <c r="C374" s="1037" t="n"/>
      <c r="D374" s="371" t="n">
        <v>9</v>
      </c>
      <c r="E374" s="1037" t="n"/>
      <c r="F374" s="386" t="n"/>
      <c r="G374" s="1037" t="n"/>
      <c r="H374" s="1037" t="n"/>
      <c r="I374" s="1037" t="n"/>
      <c r="J374" s="1037" t="n"/>
      <c r="K374" s="1037" t="n"/>
      <c r="L374" s="1037" t="n"/>
      <c r="M374" s="1037" t="n"/>
      <c r="N374" s="1037" t="n"/>
      <c r="O374" s="1037" t="n"/>
      <c r="P374" s="1037" t="n"/>
      <c r="Q374" s="1037" t="n"/>
      <c r="R374" s="1037" t="n"/>
      <c r="S374" s="1037" t="n"/>
      <c r="T374" s="1037" t="n"/>
      <c r="U374" s="1037" t="n"/>
    </row>
    <row r="375" ht="15.75" customHeight="1" s="1128">
      <c r="A375" s="434" t="inlineStr">
        <is>
          <t xml:space="preserve">  Albucasis Medical Book</t>
        </is>
      </c>
      <c r="B375" s="1037" t="inlineStr">
        <is>
          <t>SSS</t>
        </is>
      </c>
      <c r="C375" s="1037" t="inlineStr">
        <is>
          <t>FAME</t>
        </is>
      </c>
      <c r="D375" s="1037" t="n"/>
      <c r="E375" s="1037" t="n"/>
      <c r="F375" s="386" t="inlineStr">
        <is>
          <t>Lottery Machine No.2(0.11%)</t>
        </is>
      </c>
      <c r="G375" s="1037" t="n"/>
      <c r="H375" s="1037" t="n"/>
      <c r="I375" s="1037" t="n"/>
      <c r="J375" s="1037" t="n"/>
      <c r="K375" s="1037" t="n"/>
      <c r="L375" s="1037" t="n"/>
      <c r="M375" s="1037" t="n"/>
      <c r="N375" s="1037" t="n"/>
      <c r="O375" s="1037" t="n"/>
      <c r="P375" s="1037" t="n"/>
      <c r="Q375" s="1037" t="n"/>
      <c r="R375" s="1037" t="n"/>
      <c r="S375" s="1037" t="n"/>
      <c r="T375" s="1037" t="n"/>
      <c r="U375" s="1037" t="n"/>
    </row>
    <row r="376" ht="15.75" customHeight="1" s="1128">
      <c r="A376" s="434" t="inlineStr">
        <is>
          <t xml:space="preserve">  SAGE</t>
        </is>
      </c>
      <c r="B376" s="1037" t="inlineStr">
        <is>
          <t>SSS</t>
        </is>
      </c>
      <c r="C376" s="1037" t="inlineStr">
        <is>
          <t>TECH</t>
        </is>
      </c>
      <c r="D376" s="1037" t="n"/>
      <c r="E376" s="1037" t="n"/>
      <c r="F376" s="386" t="inlineStr">
        <is>
          <t>Star Chart Shop Minion Pack 7x</t>
        </is>
      </c>
      <c r="G376" s="1037" t="n"/>
      <c r="H376" s="1037" t="n"/>
      <c r="I376" s="1037" t="n"/>
      <c r="J376" s="1037" t="n"/>
      <c r="K376" s="1037" t="n"/>
      <c r="L376" s="1037" t="n"/>
      <c r="M376" s="1037" t="n"/>
      <c r="N376" s="1037" t="n"/>
      <c r="O376" s="1037" t="n"/>
      <c r="P376" s="1037" t="n"/>
      <c r="Q376" s="1037" t="n"/>
      <c r="R376" s="1037" t="n"/>
      <c r="S376" s="1037" t="n"/>
      <c r="T376" s="1037" t="n"/>
      <c r="U376" s="1037" t="n"/>
    </row>
    <row r="377" ht="15.75" customHeight="1" s="1128">
      <c r="A377" s="434" t="inlineStr">
        <is>
          <t xml:space="preserve">  Mystic Mountain</t>
        </is>
      </c>
      <c r="B377" s="1037" t="inlineStr">
        <is>
          <t>SSS</t>
        </is>
      </c>
      <c r="C377" s="1037" t="inlineStr">
        <is>
          <t>ART</t>
        </is>
      </c>
      <c r="D377" s="1037" t="n"/>
      <c r="E377" s="1037" t="n"/>
      <c r="F377" s="386" t="inlineStr">
        <is>
          <t>Lottery Machine No.2(0.11%), Nebula Value Pack (100$)</t>
        </is>
      </c>
      <c r="G377" s="1037" t="n"/>
      <c r="H377" s="1037" t="n"/>
      <c r="I377" s="1037" t="n"/>
      <c r="J377" s="1037" t="n"/>
      <c r="K377" s="1037" t="n"/>
      <c r="L377" s="1037" t="n"/>
      <c r="M377" s="1037" t="n"/>
      <c r="N377" s="1037" t="n"/>
      <c r="O377" s="1037" t="n"/>
      <c r="P377" s="1037" t="n"/>
      <c r="Q377" s="1037" t="n"/>
      <c r="R377" s="1037" t="n"/>
      <c r="S377" s="1037" t="n"/>
      <c r="T377" s="1037" t="n"/>
      <c r="U377" s="1037" t="n"/>
    </row>
    <row r="378" ht="15.75" customHeight="1" s="1128">
      <c r="A378" s="434" t="inlineStr">
        <is>
          <t xml:space="preserve">  Potsdam Declaration</t>
        </is>
      </c>
      <c r="B378" s="1037" t="inlineStr">
        <is>
          <t>SSS</t>
        </is>
      </c>
      <c r="C378" s="1037" t="inlineStr">
        <is>
          <t>FAME</t>
        </is>
      </c>
      <c r="D378" s="1037" t="n"/>
      <c r="E378" s="1037" t="n"/>
      <c r="F378" s="386" t="inlineStr">
        <is>
          <t>Daily Gold Pack #4</t>
        </is>
      </c>
      <c r="G378" s="1037" t="n"/>
      <c r="H378" s="1037" t="n"/>
      <c r="I378" s="1037" t="n"/>
      <c r="J378" s="1037" t="n"/>
      <c r="K378" s="1037" t="n"/>
      <c r="L378" s="1037" t="n"/>
      <c r="M378" s="1037" t="n"/>
      <c r="N378" s="1037" t="n"/>
      <c r="O378" s="1037" t="n"/>
      <c r="P378" s="1037" t="n"/>
      <c r="Q378" s="1037" t="n"/>
      <c r="R378" s="1037" t="n"/>
      <c r="S378" s="1037" t="n"/>
      <c r="T378" s="1037" t="n"/>
      <c r="U378" s="1037" t="n"/>
    </row>
    <row r="379" ht="15.75" customHeight="1" s="1128">
      <c r="A379" s="357" t="inlineStr">
        <is>
          <t>Resonance: Orange</t>
        </is>
      </c>
      <c r="B379" s="1037" t="n"/>
      <c r="C379" s="1037" t="n"/>
      <c r="D379" s="371" t="n">
        <v>9</v>
      </c>
      <c r="E379" s="1037" t="n"/>
      <c r="F379" s="386" t="n"/>
      <c r="G379" s="1037" t="n"/>
      <c r="H379" s="1037" t="n"/>
      <c r="I379" s="1037" t="n"/>
      <c r="J379" s="1037" t="n"/>
      <c r="K379" s="1037" t="n"/>
      <c r="L379" s="1037" t="n"/>
      <c r="M379" s="1037" t="n"/>
      <c r="N379" s="1037" t="n"/>
      <c r="O379" s="1037" t="n"/>
      <c r="P379" s="1037" t="n"/>
      <c r="Q379" s="1037" t="n"/>
      <c r="R379" s="1037" t="n"/>
      <c r="S379" s="1037" t="n"/>
      <c r="T379" s="1037" t="n"/>
      <c r="U379" s="1037" t="n"/>
    </row>
    <row r="380" ht="15.75" customHeight="1" s="1128">
      <c r="A380" s="434" t="inlineStr">
        <is>
          <t xml:space="preserve">  World Cooking Contest</t>
        </is>
      </c>
      <c r="B380" s="1037" t="inlineStr">
        <is>
          <t>SSS</t>
        </is>
      </c>
      <c r="C380" s="1037" t="inlineStr">
        <is>
          <t>FAME</t>
        </is>
      </c>
      <c r="D380" s="1037" t="n"/>
      <c r="E380" s="1037" t="n"/>
      <c r="F380" s="390" t="inlineStr">
        <is>
          <t>Lottery Machine No.3 (?%)</t>
        </is>
      </c>
      <c r="G380" s="1037" t="n"/>
      <c r="H380" s="1037" t="n"/>
      <c r="I380" s="1037" t="n"/>
      <c r="J380" s="1037" t="n"/>
      <c r="K380" s="1037" t="n"/>
      <c r="L380" s="1037" t="n"/>
      <c r="M380" s="1037" t="n"/>
      <c r="N380" s="1037" t="n"/>
      <c r="O380" s="1037" t="n"/>
      <c r="P380" s="1037" t="n"/>
      <c r="Q380" s="1037" t="n"/>
      <c r="R380" s="1037" t="n"/>
      <c r="S380" s="1037" t="n"/>
      <c r="T380" s="1037" t="n"/>
      <c r="U380" s="1037" t="n"/>
    </row>
    <row r="381" ht="15.75" customHeight="1" s="1128">
      <c r="A381" s="434" t="inlineStr">
        <is>
          <t xml:space="preserve">  Lasker Medical Research Award</t>
        </is>
      </c>
      <c r="B381" s="1037" t="inlineStr">
        <is>
          <t>S</t>
        </is>
      </c>
      <c r="C381" s="1037" t="inlineStr">
        <is>
          <t>FAME</t>
        </is>
      </c>
      <c r="D381" s="1037" t="n"/>
      <c r="E381" s="1037" t="n"/>
      <c r="F381" s="390" t="inlineStr">
        <is>
          <t>Lottery Machine No.3 (?%)</t>
        </is>
      </c>
      <c r="G381" s="1037" t="n"/>
      <c r="H381" s="1037" t="n"/>
      <c r="I381" s="1037" t="n"/>
      <c r="J381" s="1037" t="n"/>
      <c r="K381" s="1037" t="n"/>
      <c r="L381" s="1037" t="n"/>
      <c r="M381" s="1037" t="n"/>
      <c r="N381" s="1037" t="n"/>
      <c r="O381" s="1037" t="n"/>
      <c r="P381" s="1037" t="n"/>
      <c r="Q381" s="1037" t="n"/>
      <c r="R381" s="1037" t="n"/>
      <c r="S381" s="1037" t="n"/>
      <c r="T381" s="1037" t="n"/>
      <c r="U381" s="1037" t="n"/>
    </row>
    <row r="382" ht="15.75" customHeight="1" s="1128">
      <c r="A382" s="434" t="inlineStr">
        <is>
          <t xml:space="preserve">  Negis World Record</t>
        </is>
      </c>
      <c r="B382" s="1037" t="inlineStr">
        <is>
          <t>SSS</t>
        </is>
      </c>
      <c r="C382" s="1037" t="n"/>
      <c r="D382" s="1037" t="n"/>
      <c r="E382" s="1037" t="n"/>
      <c r="F382" s="390" t="inlineStr">
        <is>
          <t>Lottery Machine No.3 (?%)</t>
        </is>
      </c>
      <c r="G382" s="1037" t="n"/>
      <c r="H382" s="1037" t="n"/>
      <c r="I382" s="1037" t="n"/>
      <c r="J382" s="1037" t="n"/>
      <c r="K382" s="1037" t="n"/>
      <c r="L382" s="1037" t="n"/>
      <c r="M382" s="1037" t="n"/>
      <c r="N382" s="1037" t="n"/>
      <c r="O382" s="1037" t="n"/>
      <c r="P382" s="1037" t="n"/>
      <c r="Q382" s="1037" t="n"/>
      <c r="R382" s="1037" t="n"/>
      <c r="S382" s="1037" t="n"/>
      <c r="T382" s="1037" t="n"/>
      <c r="U382" s="1037" t="n"/>
    </row>
    <row r="383" ht="15.75" customHeight="1" s="1128">
      <c r="A383" s="434" t="inlineStr">
        <is>
          <t xml:space="preserve">  Abel Prize in Mathematics</t>
        </is>
      </c>
      <c r="B383" s="1037" t="inlineStr">
        <is>
          <t>SS</t>
        </is>
      </c>
      <c r="C383" s="1037" t="inlineStr">
        <is>
          <t>FAME</t>
        </is>
      </c>
      <c r="D383" s="1037" t="n"/>
      <c r="E383" s="1037" t="n"/>
      <c r="F383" s="390" t="inlineStr">
        <is>
          <t>Lottery Machine No.3 (?%)</t>
        </is>
      </c>
      <c r="G383" s="1037" t="n"/>
      <c r="H383" s="1037" t="n"/>
      <c r="I383" s="1037" t="n"/>
      <c r="J383" s="1037" t="n"/>
      <c r="K383" s="1037" t="n"/>
      <c r="L383" s="1037" t="n"/>
      <c r="M383" s="1037" t="n"/>
      <c r="N383" s="1037" t="n"/>
      <c r="O383" s="1037" t="n"/>
      <c r="P383" s="1037" t="n"/>
      <c r="Q383" s="1037" t="n"/>
      <c r="R383" s="1037" t="n"/>
      <c r="S383" s="1037" t="n"/>
      <c r="T383" s="1037" t="n"/>
      <c r="U383" s="1037" t="n"/>
    </row>
    <row r="384" ht="15.75" customHeight="1" s="1128">
      <c r="A384" s="357" t="inlineStr">
        <is>
          <t>Resonance: Orange</t>
        </is>
      </c>
      <c r="B384" s="1037" t="n"/>
      <c r="C384" s="1037" t="n"/>
      <c r="D384" s="371" t="n">
        <v>9</v>
      </c>
      <c r="E384" s="1037" t="n"/>
      <c r="F384" s="386" t="n"/>
      <c r="G384" s="1037" t="n"/>
      <c r="H384" s="1037" t="n"/>
      <c r="I384" s="1037" t="n"/>
      <c r="J384" s="1037" t="n"/>
      <c r="K384" s="1037" t="n"/>
      <c r="L384" s="1037" t="n"/>
      <c r="M384" s="1037" t="n"/>
      <c r="N384" s="1037" t="n"/>
      <c r="O384" s="1037" t="n"/>
      <c r="P384" s="1037" t="n"/>
      <c r="Q384" s="1037" t="n"/>
      <c r="R384" s="1037" t="n"/>
      <c r="S384" s="1037" t="n"/>
      <c r="T384" s="1037" t="n"/>
      <c r="U384" s="1037" t="n"/>
    </row>
    <row r="385" ht="15.75" customHeight="1" s="1128">
      <c r="A385" s="434" t="inlineStr">
        <is>
          <t xml:space="preserve">  Holy Dragon Gem</t>
        </is>
      </c>
      <c r="B385" s="1037" t="inlineStr">
        <is>
          <t>SSS</t>
        </is>
      </c>
      <c r="C385" s="1037" t="inlineStr">
        <is>
          <t>FTH</t>
        </is>
      </c>
      <c r="D385" s="1037" t="n"/>
      <c r="E385" s="1037" t="n"/>
      <c r="F385" s="390" t="inlineStr">
        <is>
          <t>Unknown</t>
        </is>
      </c>
      <c r="G385" s="1037" t="n"/>
      <c r="H385" s="1037" t="n"/>
      <c r="I385" s="1037" t="n"/>
      <c r="J385" s="1037" t="n"/>
      <c r="K385" s="1037" t="n"/>
      <c r="L385" s="1037" t="n"/>
      <c r="M385" s="1037" t="n"/>
      <c r="N385" s="1037" t="n"/>
      <c r="O385" s="1037" t="n"/>
      <c r="P385" s="1037" t="n"/>
      <c r="Q385" s="1037" t="n"/>
      <c r="R385" s="1037" t="n"/>
      <c r="S385" s="1037" t="n"/>
      <c r="T385" s="1037" t="n"/>
      <c r="U385" s="1037" t="n"/>
    </row>
    <row r="386" ht="15.75" customHeight="1" s="1128">
      <c r="A386" s="434" t="inlineStr">
        <is>
          <t xml:space="preserve">  Grace of Divine Dragon</t>
        </is>
      </c>
      <c r="B386" s="1037" t="inlineStr">
        <is>
          <t>SSS</t>
        </is>
      </c>
      <c r="C386" s="1037" t="inlineStr">
        <is>
          <t>ART</t>
        </is>
      </c>
      <c r="D386" s="1037" t="n"/>
      <c r="E386" s="1037" t="n"/>
      <c r="F386" s="390" t="inlineStr">
        <is>
          <t>Unknown</t>
        </is>
      </c>
      <c r="G386" s="1037" t="n"/>
      <c r="H386" s="1037" t="n"/>
      <c r="I386" s="1037" t="n"/>
      <c r="J386" s="1037" t="n"/>
      <c r="K386" s="1037" t="n"/>
      <c r="L386" s="1037" t="n"/>
      <c r="M386" s="1037" t="n"/>
      <c r="N386" s="1037" t="n"/>
      <c r="O386" s="1037" t="n"/>
      <c r="P386" s="1037" t="n"/>
      <c r="Q386" s="1037" t="n"/>
      <c r="R386" s="1037" t="n"/>
      <c r="S386" s="1037" t="n"/>
      <c r="T386" s="1037" t="n"/>
      <c r="U386" s="1037" t="n"/>
    </row>
    <row r="387" ht="15.75" customHeight="1" s="1128">
      <c r="A387" s="434" t="inlineStr">
        <is>
          <t xml:space="preserve">  Mysterious Relic</t>
        </is>
      </c>
      <c r="B387" s="1037" t="inlineStr">
        <is>
          <t>SSS</t>
        </is>
      </c>
      <c r="C387" s="1037" t="n"/>
      <c r="D387" s="1037" t="n"/>
      <c r="E387" s="1037" t="n"/>
      <c r="F387" s="390" t="inlineStr">
        <is>
          <t>Unknown</t>
        </is>
      </c>
      <c r="G387" s="1037" t="n"/>
      <c r="H387" s="1037" t="n"/>
      <c r="I387" s="1037" t="n"/>
      <c r="J387" s="1037" t="n"/>
      <c r="K387" s="1037" t="n"/>
      <c r="L387" s="1037" t="n"/>
      <c r="M387" s="1037" t="n"/>
      <c r="N387" s="1037" t="n"/>
      <c r="O387" s="1037" t="n"/>
      <c r="P387" s="1037" t="n"/>
      <c r="Q387" s="1037" t="n"/>
      <c r="R387" s="1037" t="n"/>
      <c r="S387" s="1037" t="n"/>
      <c r="T387" s="1037" t="n"/>
      <c r="U387" s="1037" t="n"/>
    </row>
    <row r="388" ht="15.75" customHeight="1" s="1128">
      <c r="A388" s="434" t="inlineStr">
        <is>
          <t xml:space="preserve">  Mysterious Relic</t>
        </is>
      </c>
      <c r="B388" s="1037" t="inlineStr">
        <is>
          <t>SSS</t>
        </is>
      </c>
      <c r="C388" s="1037" t="n"/>
      <c r="D388" s="1037" t="n"/>
      <c r="E388" s="1037" t="n"/>
      <c r="F388" s="390" t="inlineStr">
        <is>
          <t>Unknown</t>
        </is>
      </c>
      <c r="G388" s="1037" t="n"/>
      <c r="H388" s="1037" t="n"/>
      <c r="I388" s="1037" t="n"/>
      <c r="J388" s="1037" t="n"/>
      <c r="K388" s="1037" t="n"/>
      <c r="L388" s="1037" t="n"/>
      <c r="M388" s="1037" t="n"/>
      <c r="N388" s="1037" t="n"/>
      <c r="O388" s="1037" t="n"/>
      <c r="P388" s="1037" t="n"/>
      <c r="Q388" s="1037" t="n"/>
      <c r="R388" s="1037" t="n"/>
      <c r="S388" s="1037" t="n"/>
      <c r="T388" s="1037" t="n"/>
      <c r="U388" s="1037" t="n"/>
    </row>
    <row r="389" ht="15.75" customHeight="1" s="1128">
      <c r="A389" s="357" t="inlineStr">
        <is>
          <t>Resonance: Orange</t>
        </is>
      </c>
      <c r="B389" s="1037" t="n"/>
      <c r="C389" s="1037" t="n"/>
      <c r="D389" s="371" t="n">
        <v>9</v>
      </c>
      <c r="E389" s="1037" t="n"/>
      <c r="F389" s="386" t="n"/>
      <c r="G389" s="1037" t="n"/>
      <c r="H389" s="1037" t="n"/>
      <c r="I389" s="1037" t="n"/>
      <c r="J389" s="1037" t="n"/>
      <c r="K389" s="1037" t="n"/>
      <c r="L389" s="1037" t="n"/>
      <c r="M389" s="1037" t="n"/>
      <c r="N389" s="1037" t="n"/>
      <c r="O389" s="1037" t="n"/>
      <c r="P389" s="1037" t="n"/>
      <c r="Q389" s="1037" t="n"/>
      <c r="R389" s="1037" t="n"/>
      <c r="S389" s="1037" t="n"/>
      <c r="T389" s="1037" t="n"/>
      <c r="U389" s="1037" t="n"/>
    </row>
    <row r="390" ht="15.75" customHeight="1" s="1128">
      <c r="A390" s="434" t="inlineStr">
        <is>
          <t xml:space="preserve">  Santa Maria</t>
        </is>
      </c>
      <c r="B390" s="1037" t="inlineStr">
        <is>
          <t>SSS</t>
        </is>
      </c>
      <c r="C390" s="1037" t="inlineStr">
        <is>
          <t>FAME</t>
        </is>
      </c>
      <c r="D390" s="1037" t="n"/>
      <c r="E390" s="1037" t="n"/>
      <c r="F390" s="386" t="inlineStr">
        <is>
          <t>Badge Shop</t>
        </is>
      </c>
      <c r="G390" s="1037" t="n"/>
      <c r="H390" s="1037" t="n"/>
      <c r="I390" s="1037" t="n"/>
      <c r="J390" s="1037" t="n"/>
      <c r="K390" s="1037" t="n"/>
      <c r="L390" s="1037" t="n"/>
      <c r="M390" s="1037" t="n"/>
      <c r="N390" s="1037" t="n"/>
      <c r="O390" s="1037" t="n"/>
      <c r="P390" s="1037" t="n"/>
      <c r="Q390" s="1037" t="n"/>
      <c r="R390" s="1037" t="n"/>
      <c r="S390" s="1037" t="n"/>
      <c r="T390" s="1037" t="n"/>
      <c r="U390" s="1037" t="n"/>
    </row>
    <row r="391" ht="15.75" customHeight="1" s="1128">
      <c r="A391" s="434" t="inlineStr">
        <is>
          <t xml:space="preserve">  Mysterious Relic</t>
        </is>
      </c>
      <c r="B391" s="1037" t="inlineStr">
        <is>
          <t>SSS</t>
        </is>
      </c>
      <c r="C391" s="1037" t="n"/>
      <c r="D391" s="1037" t="n"/>
      <c r="E391" s="1037" t="n"/>
      <c r="F391" s="390" t="inlineStr">
        <is>
          <t>Unknown</t>
        </is>
      </c>
      <c r="G391" s="1037" t="n"/>
      <c r="H391" s="1037" t="n"/>
      <c r="I391" s="1037" t="n"/>
      <c r="J391" s="1037" t="n"/>
      <c r="K391" s="1037" t="n"/>
      <c r="L391" s="1037" t="n"/>
      <c r="M391" s="1037" t="n"/>
      <c r="N391" s="1037" t="n"/>
      <c r="O391" s="1037" t="n"/>
      <c r="P391" s="1037" t="n"/>
      <c r="Q391" s="1037" t="n"/>
      <c r="R391" s="1037" t="n"/>
      <c r="S391" s="1037" t="n"/>
      <c r="T391" s="1037" t="n"/>
      <c r="U391" s="1037" t="n"/>
    </row>
    <row r="392" ht="15.75" customHeight="1" s="1128">
      <c r="A392" s="434" t="inlineStr">
        <is>
          <t xml:space="preserve">  Philosophie Zoologique</t>
        </is>
      </c>
      <c r="B392" s="1037" t="inlineStr">
        <is>
          <t>SSS</t>
        </is>
      </c>
      <c r="C392" s="1037" t="inlineStr">
        <is>
          <t>TECH</t>
        </is>
      </c>
      <c r="D392" s="1037" t="n"/>
      <c r="E392" s="1037" t="n"/>
      <c r="F392" s="386" t="inlineStr">
        <is>
          <t>Badge Shop</t>
        </is>
      </c>
      <c r="G392" s="1037" t="n"/>
      <c r="H392" s="1037" t="n"/>
      <c r="I392" s="1037" t="n"/>
      <c r="J392" s="1037" t="n"/>
      <c r="K392" s="1037" t="n"/>
      <c r="L392" s="1037" t="n"/>
      <c r="M392" s="1037" t="n"/>
      <c r="N392" s="1037" t="n"/>
      <c r="O392" s="1037" t="n"/>
      <c r="P392" s="1037" t="n"/>
      <c r="Q392" s="1037" t="n"/>
      <c r="R392" s="1037" t="n"/>
      <c r="S392" s="1037" t="n"/>
      <c r="T392" s="1037" t="n"/>
      <c r="U392" s="1037" t="n"/>
    </row>
    <row r="393" ht="15.75" customHeight="1" s="1128">
      <c r="A393" s="434" t="inlineStr">
        <is>
          <t xml:space="preserve">  Mysterious Relic</t>
        </is>
      </c>
      <c r="B393" s="1037" t="inlineStr">
        <is>
          <t>SSS</t>
        </is>
      </c>
      <c r="C393" s="1037" t="n"/>
      <c r="D393" s="1037" t="n"/>
      <c r="E393" s="1037" t="n"/>
      <c r="F393" s="390" t="inlineStr">
        <is>
          <t>Unknown</t>
        </is>
      </c>
      <c r="G393" s="1037" t="n"/>
      <c r="H393" s="1037" t="n"/>
      <c r="I393" s="1037" t="n"/>
      <c r="J393" s="1037" t="n"/>
      <c r="K393" s="1037" t="n"/>
      <c r="L393" s="1037" t="n"/>
      <c r="M393" s="1037" t="n"/>
      <c r="N393" s="1037" t="n"/>
      <c r="O393" s="1037" t="n"/>
      <c r="P393" s="1037" t="n"/>
      <c r="Q393" s="1037" t="n"/>
      <c r="R393" s="1037" t="n"/>
      <c r="S393" s="1037" t="n"/>
      <c r="T393" s="1037" t="n"/>
      <c r="U393" s="1037" t="n"/>
    </row>
    <row r="394" ht="15.75" customHeight="1" s="1128">
      <c r="A394" s="357" t="inlineStr">
        <is>
          <t>Resonance: Orange</t>
        </is>
      </c>
      <c r="B394" s="1037" t="n"/>
      <c r="C394" s="1037" t="n"/>
      <c r="D394" s="371" t="n">
        <v>9</v>
      </c>
      <c r="E394" s="1037" t="n"/>
      <c r="F394" s="386" t="n"/>
      <c r="G394" s="1037" t="n"/>
      <c r="H394" s="1037" t="n"/>
      <c r="I394" s="1037" t="n"/>
      <c r="J394" s="1037" t="n"/>
      <c r="K394" s="1037" t="n"/>
      <c r="L394" s="1037" t="n"/>
      <c r="M394" s="1037" t="n"/>
      <c r="N394" s="1037" t="n"/>
      <c r="O394" s="1037" t="n"/>
      <c r="P394" s="1037" t="n"/>
      <c r="Q394" s="1037" t="n"/>
      <c r="R394" s="1037" t="n"/>
      <c r="S394" s="1037" t="n"/>
      <c r="T394" s="1037" t="n"/>
      <c r="U394" s="1037" t="n"/>
    </row>
    <row r="395" ht="15.75" customHeight="1" s="1128">
      <c r="A395" s="434" t="inlineStr">
        <is>
          <t xml:space="preserve">  Mysterious Relic</t>
        </is>
      </c>
      <c r="B395" s="1037" t="inlineStr">
        <is>
          <t>SSS</t>
        </is>
      </c>
      <c r="C395" s="1037" t="n"/>
      <c r="D395" s="1037" t="n"/>
      <c r="E395" s="1037" t="n"/>
      <c r="F395" s="390" t="inlineStr">
        <is>
          <t>Unknown</t>
        </is>
      </c>
      <c r="G395" s="1037" t="n"/>
      <c r="H395" s="1037" t="n"/>
      <c r="I395" s="1037" t="n"/>
      <c r="J395" s="1037" t="n"/>
      <c r="K395" s="1037" t="n"/>
      <c r="L395" s="1037" t="n"/>
      <c r="M395" s="1037" t="n"/>
      <c r="N395" s="1037" t="n"/>
      <c r="O395" s="1037" t="n"/>
      <c r="P395" s="1037" t="n"/>
      <c r="Q395" s="1037" t="n"/>
      <c r="R395" s="1037" t="n"/>
      <c r="S395" s="1037" t="n"/>
      <c r="T395" s="1037" t="n"/>
      <c r="U395" s="1037" t="n"/>
    </row>
    <row r="396" ht="15.75" customHeight="1" s="1128">
      <c r="A396" s="434" t="inlineStr">
        <is>
          <t xml:space="preserve">  Mysterious Relic</t>
        </is>
      </c>
      <c r="B396" s="1037" t="inlineStr">
        <is>
          <t>SSS</t>
        </is>
      </c>
      <c r="C396" s="1037" t="n"/>
      <c r="D396" s="1037" t="n"/>
      <c r="E396" s="1037" t="n"/>
      <c r="F396" s="390" t="inlineStr">
        <is>
          <t>Unknown</t>
        </is>
      </c>
      <c r="G396" s="1037" t="n"/>
      <c r="H396" s="1037" t="n"/>
      <c r="I396" s="1037" t="n"/>
      <c r="J396" s="1037" t="n"/>
      <c r="K396" s="1037" t="n"/>
      <c r="L396" s="1037" t="n"/>
      <c r="M396" s="1037" t="n"/>
      <c r="N396" s="1037" t="n"/>
      <c r="O396" s="1037" t="n"/>
      <c r="P396" s="1037" t="n"/>
      <c r="Q396" s="1037" t="n"/>
      <c r="R396" s="1037" t="n"/>
      <c r="S396" s="1037" t="n"/>
      <c r="T396" s="1037" t="n"/>
      <c r="U396" s="1037" t="n"/>
    </row>
    <row r="397" ht="15.75" customHeight="1" s="1128">
      <c r="A397" s="434" t="inlineStr">
        <is>
          <t xml:space="preserve">  Mysterious Relic</t>
        </is>
      </c>
      <c r="B397" s="1037" t="inlineStr">
        <is>
          <t>SSS</t>
        </is>
      </c>
      <c r="C397" s="1037" t="n"/>
      <c r="D397" s="1037" t="n"/>
      <c r="E397" s="1037" t="n"/>
      <c r="F397" s="390" t="inlineStr">
        <is>
          <t>Unknown</t>
        </is>
      </c>
      <c r="G397" s="1037" t="n"/>
      <c r="H397" s="1037" t="n"/>
      <c r="I397" s="1037" t="n"/>
      <c r="J397" s="1037" t="n"/>
      <c r="K397" s="1037" t="n"/>
      <c r="L397" s="1037" t="n"/>
      <c r="M397" s="1037" t="n"/>
      <c r="N397" s="1037" t="n"/>
      <c r="O397" s="1037" t="n"/>
      <c r="P397" s="1037" t="n"/>
      <c r="Q397" s="1037" t="n"/>
      <c r="R397" s="1037" t="n"/>
      <c r="S397" s="1037" t="n"/>
      <c r="T397" s="1037" t="n"/>
      <c r="U397" s="1037" t="n"/>
    </row>
    <row r="398" ht="15.75" customHeight="1" s="1128">
      <c r="A398" s="434" t="inlineStr">
        <is>
          <t xml:space="preserve">  Mysterious Relic</t>
        </is>
      </c>
      <c r="B398" s="1037" t="inlineStr">
        <is>
          <t>SSS</t>
        </is>
      </c>
      <c r="C398" s="1037" t="n"/>
      <c r="D398" s="1037" t="n"/>
      <c r="E398" s="1037" t="n"/>
      <c r="F398" s="390" t="inlineStr">
        <is>
          <t>Unknown</t>
        </is>
      </c>
      <c r="G398" s="1037" t="n"/>
      <c r="H398" s="1037" t="n"/>
      <c r="I398" s="1037" t="n"/>
      <c r="J398" s="1037" t="n"/>
      <c r="K398" s="1037" t="n"/>
      <c r="L398" s="1037" t="n"/>
      <c r="M398" s="1037" t="n"/>
      <c r="N398" s="1037" t="n"/>
      <c r="O398" s="1037" t="n"/>
      <c r="P398" s="1037" t="n"/>
      <c r="Q398" s="1037" t="n"/>
      <c r="R398" s="1037" t="n"/>
      <c r="S398" s="1037" t="n"/>
      <c r="T398" s="1037" t="n"/>
      <c r="U398" s="1037" t="n"/>
    </row>
    <row r="399" ht="15.75" customHeight="1" s="1128">
      <c r="A399" s="357" t="inlineStr">
        <is>
          <t>Resonance: Orange</t>
        </is>
      </c>
      <c r="B399" s="1037" t="n"/>
      <c r="C399" s="1037" t="n"/>
      <c r="D399" s="371" t="n">
        <v>9</v>
      </c>
      <c r="E399" s="1037" t="n"/>
      <c r="F399" s="386" t="n"/>
      <c r="G399" s="1037" t="n"/>
      <c r="H399" s="1037" t="n"/>
      <c r="I399" s="1037" t="n"/>
      <c r="J399" s="1037" t="n"/>
      <c r="K399" s="1037" t="n"/>
      <c r="L399" s="1037" t="n"/>
      <c r="M399" s="1037" t="n"/>
      <c r="N399" s="1037" t="n"/>
      <c r="O399" s="1037" t="n"/>
      <c r="P399" s="1037" t="n"/>
      <c r="Q399" s="1037" t="n"/>
      <c r="R399" s="1037" t="n"/>
      <c r="S399" s="1037" t="n"/>
      <c r="T399" s="1037" t="n"/>
      <c r="U399" s="1037" t="n"/>
    </row>
    <row r="400" ht="15.75" customHeight="1" s="1128">
      <c r="A400" s="434" t="inlineStr">
        <is>
          <t xml:space="preserve">  Mysterious Relic</t>
        </is>
      </c>
      <c r="B400" s="1037" t="inlineStr">
        <is>
          <t>SSS</t>
        </is>
      </c>
      <c r="C400" s="1037" t="n"/>
      <c r="D400" s="1037" t="n"/>
      <c r="E400" s="1037" t="n"/>
      <c r="F400" s="390" t="inlineStr">
        <is>
          <t>Unknown</t>
        </is>
      </c>
      <c r="G400" s="1037" t="n"/>
      <c r="H400" s="1037" t="n"/>
      <c r="I400" s="1037" t="n"/>
      <c r="J400" s="1037" t="n"/>
      <c r="K400" s="1037" t="n"/>
      <c r="L400" s="1037" t="n"/>
      <c r="M400" s="1037" t="n"/>
      <c r="N400" s="1037" t="n"/>
      <c r="O400" s="1037" t="n"/>
      <c r="P400" s="1037" t="n"/>
      <c r="Q400" s="1037" t="n"/>
      <c r="R400" s="1037" t="n"/>
      <c r="S400" s="1037" t="n"/>
      <c r="T400" s="1037" t="n"/>
      <c r="U400" s="1037" t="n"/>
    </row>
    <row r="401" ht="15.75" customHeight="1" s="1128">
      <c r="A401" s="434" t="inlineStr">
        <is>
          <t xml:space="preserve">  Mysterious Relic</t>
        </is>
      </c>
      <c r="B401" s="1037" t="inlineStr">
        <is>
          <t>SSS</t>
        </is>
      </c>
      <c r="C401" s="1037" t="n"/>
      <c r="D401" s="1037" t="n"/>
      <c r="E401" s="1037" t="n"/>
      <c r="F401" s="390" t="inlineStr">
        <is>
          <t>Unknown</t>
        </is>
      </c>
      <c r="G401" s="1037" t="n"/>
      <c r="H401" s="1037" t="n"/>
      <c r="I401" s="1037" t="n"/>
      <c r="J401" s="1037" t="n"/>
      <c r="K401" s="1037" t="n"/>
      <c r="L401" s="1037" t="n"/>
      <c r="M401" s="1037" t="n"/>
      <c r="N401" s="1037" t="n"/>
      <c r="O401" s="1037" t="n"/>
      <c r="P401" s="1037" t="n"/>
      <c r="Q401" s="1037" t="n"/>
      <c r="R401" s="1037" t="n"/>
      <c r="S401" s="1037" t="n"/>
      <c r="T401" s="1037" t="n"/>
      <c r="U401" s="1037" t="n"/>
    </row>
    <row r="402" ht="15.75" customHeight="1" s="1128">
      <c r="A402" s="434" t="inlineStr">
        <is>
          <t xml:space="preserve">  Mysterious Relic</t>
        </is>
      </c>
      <c r="B402" s="1037" t="inlineStr">
        <is>
          <t>SSS</t>
        </is>
      </c>
      <c r="C402" s="1037" t="n"/>
      <c r="D402" s="1037" t="n"/>
      <c r="E402" s="1037" t="n"/>
      <c r="F402" s="390" t="inlineStr">
        <is>
          <t>Unknown</t>
        </is>
      </c>
      <c r="G402" s="1037" t="n"/>
      <c r="H402" s="1037" t="n"/>
      <c r="I402" s="1037" t="n"/>
      <c r="J402" s="1037" t="n"/>
      <c r="K402" s="1037" t="n"/>
      <c r="L402" s="1037" t="n"/>
      <c r="M402" s="1037" t="n"/>
      <c r="N402" s="1037" t="n"/>
      <c r="O402" s="1037" t="n"/>
      <c r="P402" s="1037" t="n"/>
      <c r="Q402" s="1037" t="n"/>
      <c r="R402" s="1037" t="n"/>
      <c r="S402" s="1037" t="n"/>
      <c r="T402" s="1037" t="n"/>
      <c r="U402" s="1037" t="n"/>
    </row>
    <row r="403" ht="15.75" customHeight="1" s="1128">
      <c r="A403" s="434" t="inlineStr">
        <is>
          <t xml:space="preserve">  Mysterious Relic</t>
        </is>
      </c>
      <c r="B403" s="1037" t="inlineStr">
        <is>
          <t>SSS</t>
        </is>
      </c>
      <c r="C403" s="1037" t="n"/>
      <c r="D403" s="1037" t="n"/>
      <c r="E403" s="1037" t="n"/>
      <c r="F403" s="390" t="inlineStr">
        <is>
          <t>Unknown</t>
        </is>
      </c>
      <c r="G403" s="1037" t="n"/>
      <c r="H403" s="1037" t="n"/>
      <c r="I403" s="1037" t="n"/>
      <c r="J403" s="1037" t="n"/>
      <c r="K403" s="1037" t="n"/>
      <c r="L403" s="1037" t="n"/>
      <c r="M403" s="1037" t="n"/>
      <c r="N403" s="1037" t="n"/>
      <c r="O403" s="1037" t="n"/>
      <c r="P403" s="1037" t="n"/>
      <c r="Q403" s="1037" t="n"/>
      <c r="R403" s="1037" t="n"/>
      <c r="S403" s="1037" t="n"/>
      <c r="T403" s="1037" t="n"/>
      <c r="U403" s="1037" t="n"/>
    </row>
    <row r="404" ht="15.75" customHeight="1" s="1128">
      <c r="A404" s="357" t="inlineStr">
        <is>
          <t>Resonance: Orange</t>
        </is>
      </c>
      <c r="B404" s="1037" t="n"/>
      <c r="C404" s="1037" t="n"/>
      <c r="D404" s="371" t="n">
        <v>9</v>
      </c>
      <c r="E404" s="1037" t="n"/>
      <c r="F404" s="386" t="n"/>
      <c r="G404" s="1037" t="n"/>
      <c r="H404" s="1037" t="n"/>
      <c r="I404" s="1037" t="n"/>
      <c r="J404" s="1037" t="n"/>
      <c r="K404" s="1037" t="n"/>
      <c r="L404" s="1037" t="n"/>
      <c r="M404" s="1037" t="n"/>
      <c r="N404" s="1037" t="n"/>
      <c r="O404" s="1037" t="n"/>
      <c r="P404" s="1037" t="n"/>
      <c r="Q404" s="1037" t="n"/>
      <c r="R404" s="1037" t="n"/>
      <c r="S404" s="1037" t="n"/>
      <c r="T404" s="1037" t="n"/>
      <c r="U404" s="1037" t="n"/>
    </row>
    <row r="405" ht="15.75" customHeight="1" s="1128">
      <c r="A405" s="434" t="inlineStr">
        <is>
          <t xml:space="preserve">  Mysterious Relic</t>
        </is>
      </c>
      <c r="B405" s="1037" t="inlineStr">
        <is>
          <t>SSS</t>
        </is>
      </c>
      <c r="C405" s="1037" t="n"/>
      <c r="D405" s="1037" t="n"/>
      <c r="E405" s="1037" t="n"/>
      <c r="F405" s="390" t="inlineStr">
        <is>
          <t>Unknown</t>
        </is>
      </c>
      <c r="G405" s="1037" t="n"/>
      <c r="H405" s="1037" t="n"/>
      <c r="I405" s="1037" t="n"/>
      <c r="J405" s="1037" t="n"/>
      <c r="K405" s="1037" t="n"/>
      <c r="L405" s="1037" t="n"/>
      <c r="M405" s="1037" t="n"/>
      <c r="N405" s="1037" t="n"/>
      <c r="O405" s="1037" t="n"/>
      <c r="P405" s="1037" t="n"/>
      <c r="Q405" s="1037" t="n"/>
      <c r="R405" s="1037" t="n"/>
      <c r="S405" s="1037" t="n"/>
      <c r="T405" s="1037" t="n"/>
      <c r="U405" s="1037" t="n"/>
    </row>
    <row r="406" ht="15.75" customHeight="1" s="1128">
      <c r="A406" s="434" t="inlineStr">
        <is>
          <t xml:space="preserve">  Mysterious Relic</t>
        </is>
      </c>
      <c r="B406" s="1037" t="inlineStr">
        <is>
          <t>SSS</t>
        </is>
      </c>
      <c r="C406" s="1037" t="n"/>
      <c r="D406" s="1037" t="n"/>
      <c r="E406" s="1037" t="n"/>
      <c r="F406" s="390" t="inlineStr">
        <is>
          <t>Unknown</t>
        </is>
      </c>
      <c r="G406" s="1037" t="n"/>
      <c r="H406" s="1037" t="n"/>
      <c r="I406" s="1037" t="n"/>
      <c r="J406" s="1037" t="n"/>
      <c r="K406" s="1037" t="n"/>
      <c r="L406" s="1037" t="n"/>
      <c r="M406" s="1037" t="n"/>
      <c r="N406" s="1037" t="n"/>
      <c r="O406" s="1037" t="n"/>
      <c r="P406" s="1037" t="n"/>
      <c r="Q406" s="1037" t="n"/>
      <c r="R406" s="1037" t="n"/>
      <c r="S406" s="1037" t="n"/>
      <c r="T406" s="1037" t="n"/>
      <c r="U406" s="1037" t="n"/>
    </row>
    <row r="407" ht="15.75" customHeight="1" s="1128">
      <c r="A407" s="434" t="inlineStr">
        <is>
          <t xml:space="preserve">  Mysterious Relic</t>
        </is>
      </c>
      <c r="B407" s="1037" t="inlineStr">
        <is>
          <t>SSS</t>
        </is>
      </c>
      <c r="C407" s="1037" t="n"/>
      <c r="D407" s="1037" t="n"/>
      <c r="E407" s="1037" t="n"/>
      <c r="F407" s="390" t="inlineStr">
        <is>
          <t>Unknown</t>
        </is>
      </c>
      <c r="G407" s="1037" t="n"/>
      <c r="H407" s="1037" t="n"/>
      <c r="I407" s="1037" t="n"/>
      <c r="J407" s="1037" t="n"/>
      <c r="K407" s="1037" t="n"/>
      <c r="L407" s="1037" t="n"/>
      <c r="M407" s="1037" t="n"/>
      <c r="N407" s="1037" t="n"/>
      <c r="O407" s="1037" t="n"/>
      <c r="P407" s="1037" t="n"/>
      <c r="Q407" s="1037" t="n"/>
      <c r="R407" s="1037" t="n"/>
      <c r="S407" s="1037" t="n"/>
      <c r="T407" s="1037" t="n"/>
      <c r="U407" s="1037" t="n"/>
    </row>
    <row r="408" ht="15.75" customHeight="1" s="1128">
      <c r="A408" s="434" t="inlineStr">
        <is>
          <t xml:space="preserve">  Mysterious Relic</t>
        </is>
      </c>
      <c r="B408" s="1037" t="inlineStr">
        <is>
          <t>SSS</t>
        </is>
      </c>
      <c r="C408" s="1037" t="n"/>
      <c r="D408" s="1037" t="n"/>
      <c r="E408" s="1037" t="n"/>
      <c r="F408" s="390" t="inlineStr">
        <is>
          <t>Unknown</t>
        </is>
      </c>
      <c r="G408" s="1037" t="n"/>
      <c r="H408" s="1037" t="n"/>
      <c r="I408" s="1037" t="n"/>
      <c r="J408" s="1037" t="n"/>
      <c r="K408" s="1037" t="n"/>
      <c r="L408" s="1037" t="n"/>
      <c r="M408" s="1037" t="n"/>
      <c r="N408" s="1037" t="n"/>
      <c r="O408" s="1037" t="n"/>
      <c r="P408" s="1037" t="n"/>
      <c r="Q408" s="1037" t="n"/>
      <c r="R408" s="1037" t="n"/>
      <c r="S408" s="1037" t="n"/>
      <c r="T408" s="1037" t="n"/>
      <c r="U408" s="1037" t="n"/>
    </row>
    <row r="409" ht="15.75" customHeight="1" s="1128">
      <c r="A409" s="357" t="inlineStr">
        <is>
          <t>Resonance: Orange</t>
        </is>
      </c>
      <c r="B409" s="1037" t="n"/>
      <c r="C409" s="1037" t="n"/>
      <c r="D409" s="371" t="n">
        <v>12</v>
      </c>
      <c r="E409" s="1037" t="n"/>
      <c r="F409" s="386" t="n"/>
      <c r="G409" s="1037" t="n"/>
      <c r="H409" s="1037" t="n"/>
      <c r="I409" s="1037" t="n"/>
      <c r="J409" s="1037" t="n"/>
      <c r="K409" s="1037" t="n"/>
      <c r="L409" s="1037" t="n"/>
      <c r="M409" s="1037" t="n"/>
      <c r="N409" s="1037" t="n"/>
      <c r="O409" s="1037" t="n"/>
      <c r="P409" s="1037" t="n"/>
      <c r="Q409" s="1037" t="n"/>
      <c r="R409" s="1037" t="n"/>
      <c r="S409" s="1037" t="n"/>
      <c r="T409" s="1037" t="n"/>
      <c r="U409" s="1037" t="n"/>
    </row>
    <row r="410" ht="15.75" customHeight="1" s="1128">
      <c r="A410" s="434" t="inlineStr">
        <is>
          <t xml:space="preserve">  R'yleh Text</t>
        </is>
      </c>
      <c r="B410" s="1037" t="inlineStr">
        <is>
          <t>SS</t>
        </is>
      </c>
      <c r="C410" s="1037" t="inlineStr">
        <is>
          <t>FTH</t>
        </is>
      </c>
      <c r="D410" s="1037" t="n"/>
      <c r="E410" s="1037" t="n"/>
      <c r="F410" s="386" t="inlineStr">
        <is>
          <t>Lottery Machine No.2(0.22%)</t>
        </is>
      </c>
      <c r="G410" s="1037" t="n"/>
      <c r="H410" s="1037" t="n"/>
      <c r="I410" s="1037" t="n"/>
      <c r="J410" s="1037" t="n"/>
      <c r="K410" s="1037" t="n"/>
      <c r="L410" s="1037" t="n"/>
      <c r="M410" s="1037" t="n"/>
      <c r="N410" s="1037" t="n"/>
      <c r="O410" s="1037" t="n"/>
      <c r="P410" s="1037" t="n"/>
      <c r="Q410" s="1037" t="n"/>
      <c r="R410" s="1037" t="n"/>
      <c r="S410" s="1037" t="n"/>
      <c r="T410" s="1037" t="n"/>
      <c r="U410" s="1037" t="n"/>
    </row>
    <row r="411" ht="15.75" customHeight="1" s="1128">
      <c r="A411" s="434" t="inlineStr">
        <is>
          <t xml:space="preserve">  The Last Judgement</t>
        </is>
      </c>
      <c r="B411" s="1037" t="inlineStr">
        <is>
          <t>SSS</t>
        </is>
      </c>
      <c r="C411" s="1037" t="inlineStr">
        <is>
          <t>FTH</t>
        </is>
      </c>
      <c r="D411" s="1037" t="n"/>
      <c r="E411" s="1037" t="n"/>
      <c r="F411" s="386" t="inlineStr">
        <is>
          <t>Daily Pack #18</t>
        </is>
      </c>
      <c r="G411" s="1037" t="n"/>
      <c r="H411" s="1037" t="n"/>
      <c r="I411" s="1037" t="n"/>
      <c r="J411" s="1037" t="n"/>
      <c r="K411" s="1037" t="n"/>
      <c r="L411" s="1037" t="n"/>
      <c r="M411" s="1037" t="n"/>
      <c r="N411" s="1037" t="n"/>
      <c r="O411" s="1037" t="n"/>
      <c r="P411" s="1037" t="n"/>
      <c r="Q411" s="1037" t="n"/>
      <c r="R411" s="1037" t="n"/>
      <c r="S411" s="1037" t="n"/>
      <c r="T411" s="1037" t="n"/>
      <c r="U411" s="1037" t="n"/>
    </row>
    <row r="412" ht="15.75" customHeight="1" s="1128">
      <c r="A412" s="434" t="inlineStr">
        <is>
          <t xml:space="preserve">  Mysterious Relic</t>
        </is>
      </c>
      <c r="B412" s="1037" t="inlineStr">
        <is>
          <t>SSS</t>
        </is>
      </c>
      <c r="C412" s="1037" t="n"/>
      <c r="D412" s="1037" t="n"/>
      <c r="E412" s="1037" t="n"/>
      <c r="F412" s="390" t="inlineStr">
        <is>
          <t>Unknown</t>
        </is>
      </c>
      <c r="G412" s="1037" t="n"/>
      <c r="H412" s="1037" t="n"/>
      <c r="I412" s="1037" t="n"/>
      <c r="J412" s="1037" t="n"/>
      <c r="K412" s="1037" t="n"/>
      <c r="L412" s="1037" t="n"/>
      <c r="M412" s="1037" t="n"/>
      <c r="N412" s="1037" t="n"/>
      <c r="O412" s="1037" t="n"/>
      <c r="P412" s="1037" t="n"/>
      <c r="Q412" s="1037" t="n"/>
      <c r="R412" s="1037" t="n"/>
      <c r="S412" s="1037" t="n"/>
      <c r="T412" s="1037" t="n"/>
      <c r="U412" s="1037" t="n"/>
    </row>
    <row r="413" ht="15.75" customHeight="1" s="1128">
      <c r="A413" s="434" t="inlineStr">
        <is>
          <t xml:space="preserve">  Louis XIV Portrait</t>
        </is>
      </c>
      <c r="B413" s="1037" t="inlineStr">
        <is>
          <t>SSS</t>
        </is>
      </c>
      <c r="C413" s="1037" t="inlineStr">
        <is>
          <t>ART</t>
        </is>
      </c>
      <c r="D413" s="1037" t="n"/>
      <c r="E413" s="1037" t="n"/>
      <c r="F413" s="390" t="inlineStr">
        <is>
          <t>Lottery Machine No.2 (0.11%), Relic Forge (120 RF)</t>
        </is>
      </c>
      <c r="G413" s="1037" t="n"/>
      <c r="H413" s="1037" t="n"/>
      <c r="I413" s="1037" t="n"/>
      <c r="J413" s="1037" t="n"/>
      <c r="K413" s="1037" t="n"/>
      <c r="L413" s="1037" t="n"/>
      <c r="M413" s="1037" t="n"/>
      <c r="N413" s="1037" t="n"/>
      <c r="O413" s="1037" t="n"/>
      <c r="P413" s="1037" t="n"/>
      <c r="Q413" s="1037" t="n"/>
      <c r="R413" s="1037" t="n"/>
      <c r="S413" s="1037" t="n"/>
      <c r="T413" s="1037" t="n"/>
      <c r="U413" s="1037" t="n"/>
    </row>
    <row r="414" ht="15.75" customHeight="1" s="1128">
      <c r="A414" s="434" t="inlineStr">
        <is>
          <t xml:space="preserve">  Bill of Rights</t>
        </is>
      </c>
      <c r="B414" s="1037" t="inlineStr">
        <is>
          <t>SSS</t>
        </is>
      </c>
      <c r="C414" s="1037" t="inlineStr">
        <is>
          <t>FAME</t>
        </is>
      </c>
      <c r="D414" s="1037" t="n"/>
      <c r="E414" s="1037" t="n"/>
      <c r="F414" s="386" t="inlineStr">
        <is>
          <t>Daily Silver Pack #8</t>
        </is>
      </c>
      <c r="G414" s="1037" t="n"/>
      <c r="H414" s="1037" t="n"/>
      <c r="I414" s="1037" t="n"/>
      <c r="J414" s="1037" t="n"/>
      <c r="K414" s="1037" t="n"/>
      <c r="L414" s="1037" t="n"/>
      <c r="M414" s="1037" t="n"/>
      <c r="N414" s="1037" t="n"/>
      <c r="O414" s="1037" t="n"/>
      <c r="P414" s="1037" t="n"/>
      <c r="Q414" s="1037" t="n"/>
      <c r="R414" s="1037" t="n"/>
      <c r="S414" s="1037" t="n"/>
      <c r="T414" s="1037" t="n"/>
      <c r="U414" s="1037" t="n"/>
    </row>
    <row r="415" ht="15.75" customHeight="1" s="1128">
      <c r="A415" s="434" t="inlineStr">
        <is>
          <t xml:space="preserve">  Red Algae Fossil</t>
        </is>
      </c>
      <c r="B415" s="1037" t="inlineStr">
        <is>
          <t>SSS</t>
        </is>
      </c>
      <c r="C415" s="1037" t="inlineStr">
        <is>
          <t>FAME</t>
        </is>
      </c>
      <c r="D415" s="1037" t="n"/>
      <c r="E415" s="1037" t="n"/>
      <c r="F415" s="386" t="inlineStr">
        <is>
          <t>Star Chart Shop Maneater Pack x7</t>
        </is>
      </c>
      <c r="G415" s="1037" t="n"/>
      <c r="H415" s="1037" t="n"/>
      <c r="I415" s="1037" t="n"/>
      <c r="J415" s="1037" t="n"/>
      <c r="K415" s="1037" t="n"/>
      <c r="L415" s="1037" t="n"/>
      <c r="M415" s="1037" t="n"/>
      <c r="N415" s="1037" t="n"/>
      <c r="O415" s="1037" t="n"/>
      <c r="P415" s="1037" t="n"/>
      <c r="Q415" s="1037" t="n"/>
      <c r="R415" s="1037" t="n"/>
      <c r="S415" s="1037" t="n"/>
      <c r="T415" s="1037" t="n"/>
      <c r="U415" s="1037" t="n"/>
    </row>
    <row r="416" ht="15.75" customHeight="1" s="1128">
      <c r="A416" s="357" t="inlineStr">
        <is>
          <t>Resonance: Orange</t>
        </is>
      </c>
      <c r="B416" s="1037" t="n"/>
      <c r="C416" s="1037" t="n"/>
      <c r="D416" s="371" t="n">
        <v>12</v>
      </c>
      <c r="E416" s="1037" t="n"/>
      <c r="F416" s="386" t="n"/>
      <c r="G416" s="1037" t="n"/>
      <c r="H416" s="1037" t="n"/>
      <c r="I416" s="1037" t="n"/>
      <c r="J416" s="1037" t="n"/>
      <c r="K416" s="1037" t="n"/>
      <c r="L416" s="1037" t="n"/>
      <c r="M416" s="1037" t="n"/>
      <c r="N416" s="1037" t="n"/>
      <c r="O416" s="1037" t="n"/>
      <c r="P416" s="1037" t="n"/>
      <c r="Q416" s="1037" t="n"/>
      <c r="R416" s="1037" t="n"/>
      <c r="S416" s="1037" t="n"/>
      <c r="T416" s="1037" t="n"/>
      <c r="U416" s="1037" t="n"/>
    </row>
    <row r="417" ht="15.75" customHeight="1" s="1128">
      <c r="A417" s="434" t="inlineStr">
        <is>
          <t xml:space="preserve">  Natural History</t>
        </is>
      </c>
      <c r="B417" s="1037" t="inlineStr">
        <is>
          <t>SSS</t>
        </is>
      </c>
      <c r="C417" s="1037" t="inlineStr">
        <is>
          <t>FAME</t>
        </is>
      </c>
      <c r="D417" s="1037" t="n"/>
      <c r="E417" s="1037" t="n"/>
      <c r="F417" s="390" t="inlineStr">
        <is>
          <t>Lottery Machine No.3 (?%)</t>
        </is>
      </c>
      <c r="G417" s="1037" t="n"/>
      <c r="H417" s="1037" t="n"/>
      <c r="I417" s="1037" t="n"/>
      <c r="J417" s="1037" t="n"/>
      <c r="K417" s="1037" t="n"/>
      <c r="L417" s="1037" t="n"/>
      <c r="M417" s="1037" t="n"/>
      <c r="N417" s="1037" t="n"/>
      <c r="O417" s="1037" t="n"/>
      <c r="P417" s="1037" t="n"/>
      <c r="Q417" s="1037" t="n"/>
      <c r="R417" s="1037" t="n"/>
      <c r="S417" s="1037" t="n"/>
      <c r="T417" s="1037" t="n"/>
      <c r="U417" s="1037" t="n"/>
    </row>
    <row r="418" ht="15.75" customHeight="1" s="1128">
      <c r="A418" s="434" t="inlineStr">
        <is>
          <t xml:space="preserve">  Jerusalem Walls</t>
        </is>
      </c>
      <c r="B418" s="1037" t="inlineStr">
        <is>
          <t>SSS</t>
        </is>
      </c>
      <c r="C418" s="1037" t="inlineStr">
        <is>
          <t>FTH</t>
        </is>
      </c>
      <c r="D418" s="1037" t="n"/>
      <c r="E418" s="1037" t="n"/>
      <c r="F418" s="390" t="inlineStr">
        <is>
          <t>Lottery Machine No.3 (?%)</t>
        </is>
      </c>
      <c r="G418" s="1037" t="n"/>
      <c r="H418" s="1037" t="n"/>
      <c r="I418" s="1037" t="n"/>
      <c r="J418" s="1037" t="n"/>
      <c r="K418" s="1037" t="n"/>
      <c r="L418" s="1037" t="n"/>
      <c r="M418" s="1037" t="n"/>
      <c r="N418" s="1037" t="n"/>
      <c r="O418" s="1037" t="n"/>
      <c r="P418" s="1037" t="n"/>
      <c r="Q418" s="1037" t="n"/>
      <c r="R418" s="1037" t="n"/>
      <c r="S418" s="1037" t="n"/>
      <c r="T418" s="1037" t="n"/>
      <c r="U418" s="1037" t="n"/>
    </row>
    <row r="419" ht="15.75" customHeight="1" s="1128">
      <c r="A419" s="434" t="inlineStr">
        <is>
          <t xml:space="preserve">  Battle of San Romano</t>
        </is>
      </c>
      <c r="B419" s="1037" t="inlineStr">
        <is>
          <t>SSS</t>
        </is>
      </c>
      <c r="C419" s="1037" t="inlineStr">
        <is>
          <t>ART</t>
        </is>
      </c>
      <c r="D419" s="1037" t="n"/>
      <c r="E419" s="1037" t="n"/>
      <c r="F419" s="390" t="inlineStr">
        <is>
          <t>Lottery Machine No.3 (?%)</t>
        </is>
      </c>
      <c r="G419" s="1037" t="n"/>
      <c r="H419" s="1037" t="n"/>
      <c r="I419" s="1037" t="n"/>
      <c r="J419" s="1037" t="n"/>
      <c r="K419" s="1037" t="n"/>
      <c r="L419" s="1037" t="n"/>
      <c r="M419" s="1037" t="n"/>
      <c r="N419" s="1037" t="n"/>
      <c r="O419" s="1037" t="n"/>
      <c r="P419" s="1037" t="n"/>
      <c r="Q419" s="1037" t="n"/>
      <c r="R419" s="1037" t="n"/>
      <c r="S419" s="1037" t="n"/>
      <c r="T419" s="1037" t="n"/>
      <c r="U419" s="1037" t="n"/>
    </row>
    <row r="420" ht="15.75" customHeight="1" s="1128">
      <c r="A420" s="434" t="inlineStr">
        <is>
          <t xml:space="preserve">  Mysterious Relic</t>
        </is>
      </c>
      <c r="B420" s="1037" t="inlineStr">
        <is>
          <t>SSS</t>
        </is>
      </c>
      <c r="C420" s="1037" t="n"/>
      <c r="D420" s="1037" t="n"/>
      <c r="E420" s="1037" t="n"/>
      <c r="F420" s="390" t="inlineStr">
        <is>
          <t>Unknown</t>
        </is>
      </c>
      <c r="G420" s="1037" t="n"/>
      <c r="H420" s="1037" t="n"/>
      <c r="I420" s="1037" t="n"/>
      <c r="J420" s="1037" t="n"/>
      <c r="K420" s="1037" t="n"/>
      <c r="L420" s="1037" t="n"/>
      <c r="M420" s="1037" t="n"/>
      <c r="N420" s="1037" t="n"/>
      <c r="O420" s="1037" t="n"/>
      <c r="P420" s="1037" t="n"/>
      <c r="Q420" s="1037" t="n"/>
      <c r="R420" s="1037" t="n"/>
      <c r="S420" s="1037" t="n"/>
      <c r="T420" s="1037" t="n"/>
      <c r="U420" s="1037" t="n"/>
    </row>
    <row r="421" ht="15.75" customHeight="1" s="1128">
      <c r="A421" s="434" t="inlineStr">
        <is>
          <t xml:space="preserve">  Convention on Biological Diversity</t>
        </is>
      </c>
      <c r="B421" s="1037" t="inlineStr">
        <is>
          <t>SSS</t>
        </is>
      </c>
      <c r="C421" s="1037" t="inlineStr">
        <is>
          <t>FAME</t>
        </is>
      </c>
      <c r="D421" s="1037" t="n"/>
      <c r="E421" s="1037" t="n"/>
      <c r="F421" s="390" t="inlineStr">
        <is>
          <t>Lottery Machine No.3 (?%)</t>
        </is>
      </c>
      <c r="G421" s="1037" t="n"/>
      <c r="H421" s="1037" t="n"/>
      <c r="I421" s="1037" t="n"/>
      <c r="J421" s="1037" t="n"/>
      <c r="K421" s="1037" t="n"/>
      <c r="L421" s="1037" t="n"/>
      <c r="M421" s="1037" t="n"/>
      <c r="N421" s="1037" t="n"/>
      <c r="O421" s="1037" t="n"/>
      <c r="P421" s="1037" t="n"/>
      <c r="Q421" s="1037" t="n"/>
      <c r="R421" s="1037" t="n"/>
      <c r="S421" s="1037" t="n"/>
      <c r="T421" s="1037" t="n"/>
      <c r="U421" s="1037" t="n"/>
    </row>
    <row r="422" ht="15.75" customHeight="1" s="1128">
      <c r="A422" s="434" t="inlineStr">
        <is>
          <t xml:space="preserve">  Statue of John William</t>
        </is>
      </c>
      <c r="B422" s="1037" t="inlineStr">
        <is>
          <t>SSS</t>
        </is>
      </c>
      <c r="C422" s="1037" t="inlineStr">
        <is>
          <t>TECH</t>
        </is>
      </c>
      <c r="D422" s="1037" t="n"/>
      <c r="E422" s="1037" t="n"/>
      <c r="F422" s="390" t="inlineStr">
        <is>
          <t>Lottery Machine No.3 (?%)</t>
        </is>
      </c>
      <c r="G422" s="1037" t="n"/>
      <c r="H422" s="1037" t="n"/>
      <c r="I422" s="1037" t="n"/>
      <c r="J422" s="1037" t="n"/>
      <c r="K422" s="1037" t="n"/>
      <c r="L422" s="1037" t="n"/>
      <c r="M422" s="1037" t="n"/>
      <c r="N422" s="1037" t="n"/>
      <c r="O422" s="1037" t="n"/>
      <c r="P422" s="1037" t="n"/>
      <c r="Q422" s="1037" t="n"/>
      <c r="R422" s="1037" t="n"/>
      <c r="S422" s="1037" t="n"/>
      <c r="T422" s="1037" t="n"/>
      <c r="U422" s="1037" t="n"/>
    </row>
    <row r="423" ht="15.75" customHeight="1" s="1128">
      <c r="A423" s="357" t="inlineStr">
        <is>
          <t>Resonance: Orange</t>
        </is>
      </c>
      <c r="B423" s="1037" t="n"/>
      <c r="C423" s="1037" t="n"/>
      <c r="D423" s="371" t="n">
        <v>12</v>
      </c>
      <c r="E423" s="1037" t="n"/>
      <c r="F423" s="386" t="n"/>
      <c r="G423" s="1037" t="n"/>
      <c r="H423" s="1037" t="n"/>
      <c r="I423" s="1037" t="n"/>
      <c r="J423" s="1037" t="n"/>
      <c r="K423" s="1037" t="n"/>
      <c r="L423" s="1037" t="n"/>
      <c r="M423" s="1037" t="n"/>
      <c r="N423" s="1037" t="n"/>
      <c r="O423" s="1037" t="n"/>
      <c r="P423" s="1037" t="n"/>
      <c r="Q423" s="1037" t="n"/>
      <c r="R423" s="1037" t="n"/>
      <c r="S423" s="1037" t="n"/>
      <c r="T423" s="1037" t="n"/>
      <c r="U423" s="1037" t="n"/>
    </row>
    <row r="424" ht="15.75" customHeight="1" s="1128">
      <c r="A424" s="434" t="inlineStr">
        <is>
          <t xml:space="preserve">  Aurelius on Horse</t>
        </is>
      </c>
      <c r="B424" s="1037" t="inlineStr">
        <is>
          <t>SSS</t>
        </is>
      </c>
      <c r="C424" s="1037" t="inlineStr">
        <is>
          <t>ART</t>
        </is>
      </c>
      <c r="D424" s="1037" t="n"/>
      <c r="E424" s="1037" t="n"/>
      <c r="F424" s="390" t="inlineStr">
        <is>
          <t>Unknown</t>
        </is>
      </c>
      <c r="G424" s="1037" t="n"/>
      <c r="H424" s="1037" t="n"/>
      <c r="I424" s="1037" t="n"/>
      <c r="J424" s="1037" t="n"/>
      <c r="K424" s="1037" t="n"/>
      <c r="L424" s="1037" t="n"/>
      <c r="M424" s="1037" t="n"/>
      <c r="N424" s="1037" t="n"/>
      <c r="O424" s="1037" t="n"/>
      <c r="P424" s="1037" t="n"/>
      <c r="Q424" s="1037" t="n"/>
      <c r="R424" s="1037" t="n"/>
      <c r="S424" s="1037" t="n"/>
      <c r="T424" s="1037" t="n"/>
      <c r="U424" s="1037" t="n"/>
    </row>
    <row r="425" ht="15.75" customHeight="1" s="1128">
      <c r="A425" s="434" t="inlineStr">
        <is>
          <t xml:space="preserve">  Mysterious Relic</t>
        </is>
      </c>
      <c r="B425" s="1037" t="inlineStr">
        <is>
          <t>SSS</t>
        </is>
      </c>
      <c r="C425" s="1037" t="n"/>
      <c r="D425" s="1037" t="n"/>
      <c r="E425" s="1037" t="n"/>
      <c r="F425" s="390" t="inlineStr">
        <is>
          <t>Unknown</t>
        </is>
      </c>
      <c r="G425" s="1037" t="n"/>
      <c r="H425" s="1037" t="n"/>
      <c r="I425" s="1037" t="n"/>
      <c r="J425" s="1037" t="n"/>
      <c r="K425" s="1037" t="n"/>
      <c r="L425" s="1037" t="n"/>
      <c r="M425" s="1037" t="n"/>
      <c r="N425" s="1037" t="n"/>
      <c r="O425" s="1037" t="n"/>
      <c r="P425" s="1037" t="n"/>
      <c r="Q425" s="1037" t="n"/>
      <c r="R425" s="1037" t="n"/>
      <c r="S425" s="1037" t="n"/>
      <c r="T425" s="1037" t="n"/>
      <c r="U425" s="1037" t="n"/>
    </row>
    <row r="426" ht="15.75" customHeight="1" s="1128">
      <c r="A426" s="434" t="inlineStr">
        <is>
          <t xml:space="preserve">  Mysterious Relic</t>
        </is>
      </c>
      <c r="B426" s="1037" t="inlineStr">
        <is>
          <t>SSS</t>
        </is>
      </c>
      <c r="C426" s="1037" t="n"/>
      <c r="D426" s="1037" t="n"/>
      <c r="E426" s="1037" t="n"/>
      <c r="F426" s="390" t="inlineStr">
        <is>
          <t>Unknown</t>
        </is>
      </c>
      <c r="G426" s="1037" t="n"/>
      <c r="H426" s="1037" t="n"/>
      <c r="I426" s="1037" t="n"/>
      <c r="J426" s="1037" t="n"/>
      <c r="K426" s="1037" t="n"/>
      <c r="L426" s="1037" t="n"/>
      <c r="M426" s="1037" t="n"/>
      <c r="N426" s="1037" t="n"/>
      <c r="O426" s="1037" t="n"/>
      <c r="P426" s="1037" t="n"/>
      <c r="Q426" s="1037" t="n"/>
      <c r="R426" s="1037" t="n"/>
      <c r="S426" s="1037" t="n"/>
      <c r="T426" s="1037" t="n"/>
      <c r="U426" s="1037" t="n"/>
    </row>
    <row r="427" ht="15.75" customHeight="1" s="1128">
      <c r="A427" s="434" t="inlineStr">
        <is>
          <t xml:space="preserve">  Mysterious Relic</t>
        </is>
      </c>
      <c r="B427" s="1037" t="inlineStr">
        <is>
          <t>SSS</t>
        </is>
      </c>
      <c r="C427" s="1037" t="n"/>
      <c r="D427" s="1037" t="n"/>
      <c r="E427" s="1037" t="n"/>
      <c r="F427" s="390" t="inlineStr">
        <is>
          <t>Unknown</t>
        </is>
      </c>
      <c r="G427" s="1037" t="n"/>
      <c r="H427" s="1037" t="n"/>
      <c r="I427" s="1037" t="n"/>
      <c r="J427" s="1037" t="n"/>
      <c r="K427" s="1037" t="n"/>
      <c r="L427" s="1037" t="n"/>
      <c r="M427" s="1037" t="n"/>
      <c r="N427" s="1037" t="n"/>
      <c r="O427" s="1037" t="n"/>
      <c r="P427" s="1037" t="n"/>
      <c r="Q427" s="1037" t="n"/>
      <c r="R427" s="1037" t="n"/>
      <c r="S427" s="1037" t="n"/>
      <c r="T427" s="1037" t="n"/>
      <c r="U427" s="1037" t="n"/>
    </row>
    <row r="428" ht="15.75" customHeight="1" s="1128">
      <c r="A428" s="434" t="inlineStr">
        <is>
          <t xml:space="preserve">  Mysterious Relic</t>
        </is>
      </c>
      <c r="B428" s="1037" t="inlineStr">
        <is>
          <t>SSS</t>
        </is>
      </c>
      <c r="C428" s="1037" t="n"/>
      <c r="D428" s="1037" t="n"/>
      <c r="E428" s="1037" t="n"/>
      <c r="F428" s="390" t="inlineStr">
        <is>
          <t>Unknown</t>
        </is>
      </c>
      <c r="G428" s="1037" t="n"/>
      <c r="H428" s="1037" t="n"/>
      <c r="I428" s="1037" t="n"/>
      <c r="J428" s="1037" t="n"/>
      <c r="K428" s="1037" t="n"/>
      <c r="L428" s="1037" t="n"/>
      <c r="M428" s="1037" t="n"/>
      <c r="N428" s="1037" t="n"/>
      <c r="O428" s="1037" t="n"/>
      <c r="P428" s="1037" t="n"/>
      <c r="Q428" s="1037" t="n"/>
      <c r="R428" s="1037" t="n"/>
      <c r="S428" s="1037" t="n"/>
      <c r="T428" s="1037" t="n"/>
      <c r="U428" s="1037" t="n"/>
    </row>
    <row r="429" ht="15.75" customHeight="1" s="1128">
      <c r="A429" s="434" t="inlineStr">
        <is>
          <t xml:space="preserve">  Mysterious Relic</t>
        </is>
      </c>
      <c r="B429" s="1037" t="inlineStr">
        <is>
          <t>SSS</t>
        </is>
      </c>
      <c r="C429" s="1037" t="n"/>
      <c r="D429" s="1037" t="n"/>
      <c r="E429" s="1037" t="n"/>
      <c r="F429" s="390" t="inlineStr">
        <is>
          <t>Unknown</t>
        </is>
      </c>
      <c r="G429" s="1037" t="n"/>
      <c r="H429" s="1037" t="n"/>
      <c r="I429" s="1037" t="n"/>
      <c r="J429" s="1037" t="n"/>
      <c r="K429" s="1037" t="n"/>
      <c r="L429" s="1037" t="n"/>
      <c r="M429" s="1037" t="n"/>
      <c r="N429" s="1037" t="n"/>
      <c r="O429" s="1037" t="n"/>
      <c r="P429" s="1037" t="n"/>
      <c r="Q429" s="1037" t="n"/>
      <c r="R429" s="1037" t="n"/>
      <c r="S429" s="1037" t="n"/>
      <c r="T429" s="1037" t="n"/>
      <c r="U429" s="1037" t="n"/>
    </row>
    <row r="430" ht="15.75" customHeight="1" s="1128">
      <c r="A430" s="357" t="inlineStr">
        <is>
          <t>Resonance: Orange</t>
        </is>
      </c>
      <c r="B430" s="1037" t="n"/>
      <c r="C430" s="1037" t="n"/>
      <c r="D430" s="371" t="n">
        <v>12</v>
      </c>
      <c r="E430" s="1037" t="n"/>
      <c r="F430" s="386" t="n"/>
      <c r="G430" s="1037" t="n"/>
      <c r="H430" s="1037" t="n"/>
      <c r="I430" s="1037" t="n"/>
      <c r="J430" s="1037" t="n"/>
      <c r="K430" s="1037" t="n"/>
      <c r="L430" s="1037" t="n"/>
      <c r="M430" s="1037" t="n"/>
      <c r="N430" s="1037" t="n"/>
      <c r="O430" s="1037" t="n"/>
      <c r="P430" s="1037" t="n"/>
      <c r="Q430" s="1037" t="n"/>
      <c r="R430" s="1037" t="n"/>
      <c r="S430" s="1037" t="n"/>
      <c r="T430" s="1037" t="n"/>
      <c r="U430" s="1037" t="n"/>
    </row>
    <row r="431" ht="15.75" customHeight="1" s="1128">
      <c r="A431" s="434" t="inlineStr">
        <is>
          <t xml:space="preserve">  Draupnir</t>
        </is>
      </c>
      <c r="B431" s="1037" t="inlineStr">
        <is>
          <t>SSS</t>
        </is>
      </c>
      <c r="C431" s="1037" t="inlineStr">
        <is>
          <t>FTH</t>
        </is>
      </c>
      <c r="D431" s="1037" t="n"/>
      <c r="E431" s="1037" t="n"/>
      <c r="F431" s="390" t="inlineStr">
        <is>
          <t>Unknown</t>
        </is>
      </c>
      <c r="G431" s="1037" t="n"/>
      <c r="H431" s="1037" t="n"/>
      <c r="I431" s="1037" t="n"/>
      <c r="J431" s="1037" t="n"/>
      <c r="K431" s="1037" t="n"/>
      <c r="L431" s="1037" t="n"/>
      <c r="M431" s="1037" t="n"/>
      <c r="N431" s="1037" t="n"/>
      <c r="O431" s="1037" t="n"/>
      <c r="P431" s="1037" t="n"/>
      <c r="Q431" s="1037" t="n"/>
      <c r="R431" s="1037" t="n"/>
      <c r="S431" s="1037" t="n"/>
      <c r="T431" s="1037" t="n"/>
      <c r="U431" s="1037" t="n"/>
    </row>
    <row r="432" ht="15.75" customHeight="1" s="1128">
      <c r="A432" s="434" t="inlineStr">
        <is>
          <t xml:space="preserve">  Space Elevator</t>
        </is>
      </c>
      <c r="B432" s="1037" t="inlineStr">
        <is>
          <t>SSS</t>
        </is>
      </c>
      <c r="C432" s="1037" t="inlineStr">
        <is>
          <t>TECH</t>
        </is>
      </c>
      <c r="D432" s="1037" t="n"/>
      <c r="E432" s="1037" t="n"/>
      <c r="F432" s="390" t="inlineStr">
        <is>
          <t>Unknown</t>
        </is>
      </c>
      <c r="G432" s="1037" t="n"/>
      <c r="H432" s="1037" t="n"/>
      <c r="I432" s="1037" t="n"/>
      <c r="J432" s="1037" t="n"/>
      <c r="K432" s="1037" t="n"/>
      <c r="L432" s="1037" t="n"/>
      <c r="M432" s="1037" t="n"/>
      <c r="N432" s="1037" t="n"/>
      <c r="O432" s="1037" t="n"/>
      <c r="P432" s="1037" t="n"/>
      <c r="Q432" s="1037" t="n"/>
      <c r="R432" s="1037" t="n"/>
      <c r="S432" s="1037" t="n"/>
      <c r="T432" s="1037" t="n"/>
      <c r="U432" s="1037" t="n"/>
    </row>
    <row r="433" ht="15.75" customHeight="1" s="1128">
      <c r="A433" s="434" t="inlineStr">
        <is>
          <t xml:space="preserve">  Ram in a Thicket</t>
        </is>
      </c>
      <c r="B433" s="1037" t="inlineStr">
        <is>
          <t>SSS</t>
        </is>
      </c>
      <c r="C433" s="1037" t="inlineStr">
        <is>
          <t>ART</t>
        </is>
      </c>
      <c r="D433" s="1037" t="n"/>
      <c r="E433" s="1037" t="n"/>
      <c r="F433" s="390" t="inlineStr">
        <is>
          <t>Unknown</t>
        </is>
      </c>
      <c r="G433" s="1037" t="n"/>
      <c r="H433" s="1037" t="n"/>
      <c r="I433" s="1037" t="n"/>
      <c r="J433" s="1037" t="n"/>
      <c r="K433" s="1037" t="n"/>
      <c r="L433" s="1037" t="n"/>
      <c r="M433" s="1037" t="n"/>
      <c r="N433" s="1037" t="n"/>
      <c r="O433" s="1037" t="n"/>
      <c r="P433" s="1037" t="n"/>
      <c r="Q433" s="1037" t="n"/>
      <c r="R433" s="1037" t="n"/>
      <c r="S433" s="1037" t="n"/>
      <c r="T433" s="1037" t="n"/>
      <c r="U433" s="1037" t="n"/>
    </row>
    <row r="434" ht="15.75" customHeight="1" s="1128">
      <c r="A434" s="434" t="inlineStr">
        <is>
          <t xml:space="preserve">  Mysterious Relic</t>
        </is>
      </c>
      <c r="B434" s="1037" t="inlineStr">
        <is>
          <t>SSS</t>
        </is>
      </c>
      <c r="C434" s="1037" t="n"/>
      <c r="D434" s="1037" t="n"/>
      <c r="E434" s="1037" t="n"/>
      <c r="F434" s="390" t="inlineStr">
        <is>
          <t>Unknown</t>
        </is>
      </c>
      <c r="G434" s="1037" t="n"/>
      <c r="H434" s="1037" t="n"/>
      <c r="I434" s="1037" t="n"/>
      <c r="J434" s="1037" t="n"/>
      <c r="K434" s="1037" t="n"/>
      <c r="L434" s="1037" t="n"/>
      <c r="M434" s="1037" t="n"/>
      <c r="N434" s="1037" t="n"/>
      <c r="O434" s="1037" t="n"/>
      <c r="P434" s="1037" t="n"/>
      <c r="Q434" s="1037" t="n"/>
      <c r="R434" s="1037" t="n"/>
      <c r="S434" s="1037" t="n"/>
      <c r="T434" s="1037" t="n"/>
      <c r="U434" s="1037" t="n"/>
    </row>
    <row r="435" ht="15.75" customHeight="1" s="1128">
      <c r="A435" s="434" t="inlineStr">
        <is>
          <t xml:space="preserve">  Mysterious Relic</t>
        </is>
      </c>
      <c r="B435" s="1037" t="inlineStr">
        <is>
          <t>SSS</t>
        </is>
      </c>
      <c r="C435" s="1037" t="n"/>
      <c r="D435" s="1037" t="n"/>
      <c r="E435" s="1037" t="n"/>
      <c r="F435" s="390" t="inlineStr">
        <is>
          <t>Unknown</t>
        </is>
      </c>
      <c r="G435" s="1037" t="n"/>
      <c r="H435" s="1037" t="n"/>
      <c r="I435" s="1037" t="n"/>
      <c r="J435" s="1037" t="n"/>
      <c r="K435" s="1037" t="n"/>
      <c r="L435" s="1037" t="n"/>
      <c r="M435" s="1037" t="n"/>
      <c r="N435" s="1037" t="n"/>
      <c r="O435" s="1037" t="n"/>
      <c r="P435" s="1037" t="n"/>
      <c r="Q435" s="1037" t="n"/>
      <c r="R435" s="1037" t="n"/>
      <c r="S435" s="1037" t="n"/>
      <c r="T435" s="1037" t="n"/>
      <c r="U435" s="1037" t="n"/>
    </row>
    <row r="436" ht="15.75" customHeight="1" s="1128">
      <c r="A436" s="434" t="inlineStr">
        <is>
          <t xml:space="preserve">  Mysterious Relic</t>
        </is>
      </c>
      <c r="B436" s="1037" t="inlineStr">
        <is>
          <t>SSS</t>
        </is>
      </c>
      <c r="C436" s="1037" t="n"/>
      <c r="D436" s="1037" t="n"/>
      <c r="E436" s="1037" t="n"/>
      <c r="F436" s="390" t="inlineStr">
        <is>
          <t>Unknown</t>
        </is>
      </c>
      <c r="G436" s="1037" t="n"/>
      <c r="H436" s="1037" t="n"/>
      <c r="I436" s="1037" t="n"/>
      <c r="J436" s="1037" t="n"/>
      <c r="K436" s="1037" t="n"/>
      <c r="L436" s="1037" t="n"/>
      <c r="M436" s="1037" t="n"/>
      <c r="N436" s="1037" t="n"/>
      <c r="O436" s="1037" t="n"/>
      <c r="P436" s="1037" t="n"/>
      <c r="Q436" s="1037" t="n"/>
      <c r="R436" s="1037" t="n"/>
      <c r="S436" s="1037" t="n"/>
      <c r="T436" s="1037" t="n"/>
      <c r="U436" s="1037" t="n"/>
    </row>
    <row r="437" ht="15.75" customHeight="1" s="1128">
      <c r="A437" s="357" t="inlineStr">
        <is>
          <t>Resonance: Orange</t>
        </is>
      </c>
      <c r="B437" s="1037" t="n"/>
      <c r="C437" s="1037" t="n"/>
      <c r="D437" s="371" t="n">
        <v>12</v>
      </c>
      <c r="E437" s="1037" t="n"/>
      <c r="F437" s="386" t="n"/>
      <c r="G437" s="1037" t="n"/>
      <c r="H437" s="1037" t="n"/>
      <c r="I437" s="1037" t="n"/>
      <c r="J437" s="1037" t="n"/>
      <c r="K437" s="1037" t="n"/>
      <c r="L437" s="1037" t="n"/>
      <c r="M437" s="1037" t="n"/>
      <c r="N437" s="1037" t="n"/>
      <c r="O437" s="1037" t="n"/>
      <c r="P437" s="1037" t="n"/>
      <c r="Q437" s="1037" t="n"/>
      <c r="R437" s="1037" t="n"/>
      <c r="S437" s="1037" t="n"/>
      <c r="T437" s="1037" t="n"/>
      <c r="U437" s="1037" t="n"/>
    </row>
    <row r="438" ht="15.75" customHeight="1" s="1128">
      <c r="A438" s="434" t="inlineStr">
        <is>
          <t xml:space="preserve">  EPR Paradox</t>
        </is>
      </c>
      <c r="B438" s="1037" t="inlineStr">
        <is>
          <t>SSS</t>
        </is>
      </c>
      <c r="C438" s="1037" t="inlineStr">
        <is>
          <t>TECH</t>
        </is>
      </c>
      <c r="D438" s="1037" t="n"/>
      <c r="E438" s="1037" t="n"/>
      <c r="F438" s="390" t="inlineStr">
        <is>
          <t>Unknown</t>
        </is>
      </c>
      <c r="G438" s="1037" t="n"/>
      <c r="H438" s="1037" t="n"/>
      <c r="I438" s="1037" t="n"/>
      <c r="J438" s="1037" t="n"/>
      <c r="K438" s="1037" t="n"/>
      <c r="L438" s="1037" t="n"/>
      <c r="M438" s="1037" t="n"/>
      <c r="N438" s="1037" t="n"/>
      <c r="O438" s="1037" t="n"/>
      <c r="P438" s="1037" t="n"/>
      <c r="Q438" s="1037" t="n"/>
      <c r="R438" s="1037" t="n"/>
      <c r="S438" s="1037" t="n"/>
      <c r="T438" s="1037" t="n"/>
      <c r="U438" s="1037" t="n"/>
    </row>
    <row r="439" ht="15.75" customHeight="1" s="1128">
      <c r="A439" s="434" t="inlineStr">
        <is>
          <t xml:space="preserve">  Hypercube</t>
        </is>
      </c>
      <c r="B439" s="1037" t="inlineStr">
        <is>
          <t>SSS</t>
        </is>
      </c>
      <c r="C439" s="1037" t="inlineStr">
        <is>
          <t>TECH</t>
        </is>
      </c>
      <c r="D439" s="1037" t="n"/>
      <c r="E439" s="1037" t="n"/>
      <c r="F439" s="390" t="inlineStr">
        <is>
          <t>Unknown</t>
        </is>
      </c>
      <c r="G439" s="1037" t="n"/>
      <c r="H439" s="1037" t="n"/>
      <c r="I439" s="1037" t="n"/>
      <c r="J439" s="1037" t="n"/>
      <c r="K439" s="1037" t="n"/>
      <c r="L439" s="1037" t="n"/>
      <c r="M439" s="1037" t="n"/>
      <c r="N439" s="1037" t="n"/>
      <c r="O439" s="1037" t="n"/>
      <c r="P439" s="1037" t="n"/>
      <c r="Q439" s="1037" t="n"/>
      <c r="R439" s="1037" t="n"/>
      <c r="S439" s="1037" t="n"/>
      <c r="T439" s="1037" t="n"/>
      <c r="U439" s="1037" t="n"/>
    </row>
    <row r="440" ht="15.75" customHeight="1" s="1128">
      <c r="A440" s="434" t="inlineStr">
        <is>
          <t xml:space="preserve">  Othello</t>
        </is>
      </c>
      <c r="B440" s="1037" t="inlineStr">
        <is>
          <t>SSS</t>
        </is>
      </c>
      <c r="C440" s="1037" t="inlineStr">
        <is>
          <t>ART</t>
        </is>
      </c>
      <c r="D440" s="1037" t="n"/>
      <c r="E440" s="1037" t="n"/>
      <c r="F440" s="390" t="inlineStr">
        <is>
          <t>Unknown</t>
        </is>
      </c>
      <c r="G440" s="1037" t="n"/>
      <c r="H440" s="1037" t="n"/>
      <c r="I440" s="1037" t="n"/>
      <c r="J440" s="1037" t="n"/>
      <c r="K440" s="1037" t="n"/>
      <c r="L440" s="1037" t="n"/>
      <c r="M440" s="1037" t="n"/>
      <c r="N440" s="1037" t="n"/>
      <c r="O440" s="1037" t="n"/>
      <c r="P440" s="1037" t="n"/>
      <c r="Q440" s="1037" t="n"/>
      <c r="R440" s="1037" t="n"/>
      <c r="S440" s="1037" t="n"/>
      <c r="T440" s="1037" t="n"/>
      <c r="U440" s="1037" t="n"/>
    </row>
    <row r="441" ht="15.75" customHeight="1" s="1128">
      <c r="A441" s="434" t="inlineStr">
        <is>
          <t xml:space="preserve">  Eden Scepter</t>
        </is>
      </c>
      <c r="B441" s="1037" t="inlineStr">
        <is>
          <t>SSS</t>
        </is>
      </c>
      <c r="C441" s="1037" t="inlineStr">
        <is>
          <t>FTH</t>
        </is>
      </c>
      <c r="D441" s="1037" t="n"/>
      <c r="E441" s="1037" t="n"/>
      <c r="F441" s="390" t="inlineStr">
        <is>
          <t>Unknown</t>
        </is>
      </c>
      <c r="G441" s="1037" t="n"/>
      <c r="H441" s="1037" t="n"/>
      <c r="I441" s="1037" t="n"/>
      <c r="J441" s="1037" t="n"/>
      <c r="K441" s="1037" t="n"/>
      <c r="L441" s="1037" t="n"/>
      <c r="M441" s="1037" t="n"/>
      <c r="N441" s="1037" t="n"/>
      <c r="O441" s="1037" t="n"/>
      <c r="P441" s="1037" t="n"/>
      <c r="Q441" s="1037" t="n"/>
      <c r="R441" s="1037" t="n"/>
      <c r="S441" s="1037" t="n"/>
      <c r="T441" s="1037" t="n"/>
      <c r="U441" s="1037" t="n"/>
    </row>
    <row r="442" ht="15.75" customHeight="1" s="1128">
      <c r="A442" s="434" t="inlineStr">
        <is>
          <t xml:space="preserve">  Xi Ping Stele Script</t>
        </is>
      </c>
      <c r="B442" s="1037" t="inlineStr">
        <is>
          <t>SSS</t>
        </is>
      </c>
      <c r="C442" s="1037" t="inlineStr">
        <is>
          <t>CIV</t>
        </is>
      </c>
      <c r="D442" s="1037" t="n"/>
      <c r="E442" s="1037" t="n"/>
      <c r="F442" s="390" t="inlineStr">
        <is>
          <t>Unknown</t>
        </is>
      </c>
      <c r="G442" s="1037" t="n"/>
      <c r="H442" s="1037" t="n"/>
      <c r="I442" s="1037" t="n"/>
      <c r="J442" s="1037" t="n"/>
      <c r="K442" s="1037" t="n"/>
      <c r="L442" s="1037" t="n"/>
      <c r="M442" s="1037" t="n"/>
      <c r="N442" s="1037" t="n"/>
      <c r="O442" s="1037" t="n"/>
      <c r="P442" s="1037" t="n"/>
      <c r="Q442" s="1037" t="n"/>
      <c r="R442" s="1037" t="n"/>
      <c r="S442" s="1037" t="n"/>
      <c r="T442" s="1037" t="n"/>
      <c r="U442" s="1037" t="n"/>
    </row>
    <row r="443" ht="15.75" customHeight="1" s="1128">
      <c r="A443" s="434" t="inlineStr">
        <is>
          <t xml:space="preserve">  Mysterious Relic</t>
        </is>
      </c>
      <c r="B443" s="1037" t="inlineStr">
        <is>
          <t>SSS</t>
        </is>
      </c>
      <c r="C443" s="1037" t="n"/>
      <c r="D443" s="1037" t="n"/>
      <c r="E443" s="1037" t="n"/>
      <c r="F443" s="390" t="inlineStr">
        <is>
          <t>Unknown</t>
        </is>
      </c>
      <c r="G443" s="1037" t="n"/>
      <c r="H443" s="1037" t="n"/>
      <c r="I443" s="1037" t="n"/>
      <c r="J443" s="1037" t="n"/>
      <c r="K443" s="1037" t="n"/>
      <c r="L443" s="1037" t="n"/>
      <c r="M443" s="1037" t="n"/>
      <c r="N443" s="1037" t="n"/>
      <c r="O443" s="1037" t="n"/>
      <c r="P443" s="1037" t="n"/>
      <c r="Q443" s="1037" t="n"/>
      <c r="R443" s="1037" t="n"/>
      <c r="S443" s="1037" t="n"/>
      <c r="T443" s="1037" t="n"/>
      <c r="U443" s="1037" t="n"/>
    </row>
    <row r="444" ht="15.75" customHeight="1" s="1128">
      <c r="A444" s="357" t="inlineStr">
        <is>
          <t>Resonance: Orange</t>
        </is>
      </c>
      <c r="B444" s="1037" t="n"/>
      <c r="C444" s="1037" t="n"/>
      <c r="D444" s="371" t="n">
        <v>12</v>
      </c>
      <c r="E444" s="1037" t="n"/>
      <c r="F444" s="386" t="n"/>
      <c r="G444" s="1037" t="n"/>
      <c r="H444" s="1037" t="n"/>
      <c r="I444" s="1037" t="n"/>
      <c r="J444" s="1037" t="n"/>
      <c r="K444" s="1037" t="n"/>
      <c r="L444" s="1037" t="n"/>
      <c r="M444" s="1037" t="n"/>
      <c r="N444" s="1037" t="n"/>
      <c r="O444" s="1037" t="n"/>
      <c r="P444" s="1037" t="n"/>
      <c r="Q444" s="1037" t="n"/>
      <c r="R444" s="1037" t="n"/>
      <c r="S444" s="1037" t="n"/>
      <c r="T444" s="1037" t="n"/>
      <c r="U444" s="1037" t="n"/>
    </row>
    <row r="445" ht="15.75" customHeight="1" s="1128">
      <c r="A445" s="434" t="inlineStr">
        <is>
          <t xml:space="preserve">  Mysterious Relic</t>
        </is>
      </c>
      <c r="B445" s="1037" t="inlineStr">
        <is>
          <t>SSS</t>
        </is>
      </c>
      <c r="C445" s="1037" t="n"/>
      <c r="D445" s="1037" t="n"/>
      <c r="E445" s="1037" t="n"/>
      <c r="F445" s="390" t="inlineStr">
        <is>
          <t>Unknown</t>
        </is>
      </c>
      <c r="G445" s="1037" t="n"/>
      <c r="H445" s="1037" t="n"/>
      <c r="I445" s="1037" t="n"/>
      <c r="J445" s="1037" t="n"/>
      <c r="K445" s="1037" t="n"/>
      <c r="L445" s="1037" t="n"/>
      <c r="M445" s="1037" t="n"/>
      <c r="N445" s="1037" t="n"/>
      <c r="O445" s="1037" t="n"/>
      <c r="P445" s="1037" t="n"/>
      <c r="Q445" s="1037" t="n"/>
      <c r="R445" s="1037" t="n"/>
      <c r="S445" s="1037" t="n"/>
      <c r="T445" s="1037" t="n"/>
      <c r="U445" s="1037" t="n"/>
    </row>
    <row r="446" ht="15.75" customHeight="1" s="1128">
      <c r="A446" s="434" t="inlineStr">
        <is>
          <t xml:space="preserve">  Mysterious Relic</t>
        </is>
      </c>
      <c r="B446" s="1037" t="inlineStr">
        <is>
          <t>SSS</t>
        </is>
      </c>
      <c r="C446" s="1037" t="n"/>
      <c r="D446" s="1037" t="n"/>
      <c r="E446" s="1037" t="n"/>
      <c r="F446" s="390" t="inlineStr">
        <is>
          <t>Unknown</t>
        </is>
      </c>
      <c r="G446" s="1037" t="n"/>
      <c r="H446" s="1037" t="n"/>
      <c r="I446" s="1037" t="n"/>
      <c r="J446" s="1037" t="n"/>
      <c r="K446" s="1037" t="n"/>
      <c r="L446" s="1037" t="n"/>
      <c r="M446" s="1037" t="n"/>
      <c r="N446" s="1037" t="n"/>
      <c r="O446" s="1037" t="n"/>
      <c r="P446" s="1037" t="n"/>
      <c r="Q446" s="1037" t="n"/>
      <c r="R446" s="1037" t="n"/>
      <c r="S446" s="1037" t="n"/>
      <c r="T446" s="1037" t="n"/>
      <c r="U446" s="1037" t="n"/>
    </row>
    <row r="447" ht="15.75" customHeight="1" s="1128">
      <c r="A447" s="434" t="inlineStr">
        <is>
          <t xml:space="preserve">  Mysterious Relic</t>
        </is>
      </c>
      <c r="B447" s="1037" t="inlineStr">
        <is>
          <t>SSS</t>
        </is>
      </c>
      <c r="C447" s="1037" t="n"/>
      <c r="D447" s="1037" t="n"/>
      <c r="E447" s="1037" t="n"/>
      <c r="F447" s="390" t="inlineStr">
        <is>
          <t>Unknown</t>
        </is>
      </c>
      <c r="G447" s="1037" t="n"/>
      <c r="H447" s="1037" t="n"/>
      <c r="I447" s="1037" t="n"/>
      <c r="J447" s="1037" t="n"/>
      <c r="K447" s="1037" t="n"/>
      <c r="L447" s="1037" t="n"/>
      <c r="M447" s="1037" t="n"/>
      <c r="N447" s="1037" t="n"/>
      <c r="O447" s="1037" t="n"/>
      <c r="P447" s="1037" t="n"/>
      <c r="Q447" s="1037" t="n"/>
      <c r="R447" s="1037" t="n"/>
      <c r="S447" s="1037" t="n"/>
      <c r="T447" s="1037" t="n"/>
      <c r="U447" s="1037" t="n"/>
    </row>
    <row r="448" ht="15.75" customHeight="1" s="1128">
      <c r="A448" s="434" t="inlineStr">
        <is>
          <t xml:space="preserve">  Mysterious Relic</t>
        </is>
      </c>
      <c r="B448" s="1037" t="inlineStr">
        <is>
          <t>SSS</t>
        </is>
      </c>
      <c r="C448" s="1037" t="n"/>
      <c r="D448" s="1037" t="n"/>
      <c r="E448" s="1037" t="n"/>
      <c r="F448" s="390" t="inlineStr">
        <is>
          <t>Unknown</t>
        </is>
      </c>
      <c r="G448" s="1037" t="n"/>
      <c r="H448" s="1037" t="n"/>
      <c r="I448" s="1037" t="n"/>
      <c r="J448" s="1037" t="n"/>
      <c r="K448" s="1037" t="n"/>
      <c r="L448" s="1037" t="n"/>
      <c r="M448" s="1037" t="n"/>
      <c r="N448" s="1037" t="n"/>
      <c r="O448" s="1037" t="n"/>
      <c r="P448" s="1037" t="n"/>
      <c r="Q448" s="1037" t="n"/>
      <c r="R448" s="1037" t="n"/>
      <c r="S448" s="1037" t="n"/>
      <c r="T448" s="1037" t="n"/>
      <c r="U448" s="1037" t="n"/>
    </row>
    <row r="449" ht="15.75" customHeight="1" s="1128">
      <c r="A449" s="434" t="inlineStr">
        <is>
          <t xml:space="preserve">  Mysterious Relic</t>
        </is>
      </c>
      <c r="B449" s="1037" t="inlineStr">
        <is>
          <t>SSS</t>
        </is>
      </c>
      <c r="C449" s="1037" t="n"/>
      <c r="D449" s="1037" t="n"/>
      <c r="E449" s="1037" t="n"/>
      <c r="F449" s="390" t="inlineStr">
        <is>
          <t>Unknown</t>
        </is>
      </c>
      <c r="G449" s="1037" t="n"/>
      <c r="H449" s="1037" t="n"/>
      <c r="I449" s="1037" t="n"/>
      <c r="J449" s="1037" t="n"/>
      <c r="K449" s="1037" t="n"/>
      <c r="L449" s="1037" t="n"/>
      <c r="M449" s="1037" t="n"/>
      <c r="N449" s="1037" t="n"/>
      <c r="O449" s="1037" t="n"/>
      <c r="P449" s="1037" t="n"/>
      <c r="Q449" s="1037" t="n"/>
      <c r="R449" s="1037" t="n"/>
      <c r="S449" s="1037" t="n"/>
      <c r="T449" s="1037" t="n"/>
      <c r="U449" s="1037" t="n"/>
    </row>
    <row r="450" ht="15.75" customHeight="1" s="1128">
      <c r="A450" s="434" t="inlineStr">
        <is>
          <t xml:space="preserve">  Mysterious Relic</t>
        </is>
      </c>
      <c r="B450" s="1037" t="inlineStr">
        <is>
          <t>SSS</t>
        </is>
      </c>
      <c r="C450" s="1037" t="n"/>
      <c r="D450" s="1037" t="n"/>
      <c r="E450" s="1037" t="n"/>
      <c r="F450" s="390" t="inlineStr">
        <is>
          <t>Unknown</t>
        </is>
      </c>
      <c r="G450" s="1037" t="n"/>
      <c r="H450" s="1037" t="n"/>
      <c r="I450" s="1037" t="n"/>
      <c r="J450" s="1037" t="n"/>
      <c r="K450" s="1037" t="n"/>
      <c r="L450" s="1037" t="n"/>
      <c r="M450" s="1037" t="n"/>
      <c r="N450" s="1037" t="n"/>
      <c r="O450" s="1037" t="n"/>
      <c r="P450" s="1037" t="n"/>
      <c r="Q450" s="1037" t="n"/>
      <c r="R450" s="1037" t="n"/>
      <c r="S450" s="1037" t="n"/>
      <c r="T450" s="1037" t="n"/>
      <c r="U450" s="1037" t="n"/>
    </row>
    <row r="451" ht="15.75" customHeight="1" s="1128">
      <c r="A451" s="357" t="inlineStr">
        <is>
          <t>Resonance: Orange</t>
        </is>
      </c>
      <c r="B451" s="1037" t="n"/>
      <c r="C451" s="1037" t="n"/>
      <c r="D451" s="371" t="n">
        <v>12</v>
      </c>
      <c r="E451" s="1037" t="n"/>
      <c r="F451" s="386" t="n"/>
      <c r="G451" s="1037" t="n"/>
      <c r="H451" s="1037" t="n"/>
      <c r="I451" s="1037" t="n"/>
      <c r="J451" s="1037" t="n"/>
      <c r="K451" s="1037" t="n"/>
      <c r="L451" s="1037" t="n"/>
      <c r="M451" s="1037" t="n"/>
      <c r="N451" s="1037" t="n"/>
      <c r="O451" s="1037" t="n"/>
      <c r="P451" s="1037" t="n"/>
      <c r="Q451" s="1037" t="n"/>
      <c r="R451" s="1037" t="n"/>
      <c r="S451" s="1037" t="n"/>
      <c r="T451" s="1037" t="n"/>
      <c r="U451" s="1037" t="n"/>
    </row>
    <row r="452" ht="15.75" customHeight="1" s="1128">
      <c r="A452" s="434" t="inlineStr">
        <is>
          <t xml:space="preserve">  Mysterious Relic</t>
        </is>
      </c>
      <c r="B452" s="1037" t="inlineStr">
        <is>
          <t>SSS</t>
        </is>
      </c>
      <c r="C452" s="1037" t="n"/>
      <c r="D452" s="1037" t="n"/>
      <c r="E452" s="1037" t="n"/>
      <c r="F452" s="390" t="inlineStr">
        <is>
          <t>Unknown</t>
        </is>
      </c>
      <c r="G452" s="1037" t="n"/>
      <c r="H452" s="1037" t="n"/>
      <c r="I452" s="1037" t="n"/>
      <c r="J452" s="1037" t="n"/>
      <c r="K452" s="1037" t="n"/>
      <c r="L452" s="1037" t="n"/>
      <c r="M452" s="1037" t="n"/>
      <c r="N452" s="1037" t="n"/>
      <c r="O452" s="1037" t="n"/>
      <c r="P452" s="1037" t="n"/>
      <c r="Q452" s="1037" t="n"/>
      <c r="R452" s="1037" t="n"/>
      <c r="S452" s="1037" t="n"/>
      <c r="T452" s="1037" t="n"/>
      <c r="U452" s="1037" t="n"/>
    </row>
    <row r="453" ht="15.75" customHeight="1" s="1128">
      <c r="A453" s="434" t="inlineStr">
        <is>
          <t xml:space="preserve">  Mysterious Relic</t>
        </is>
      </c>
      <c r="B453" s="1037" t="inlineStr">
        <is>
          <t>SSS</t>
        </is>
      </c>
      <c r="C453" s="1037" t="n"/>
      <c r="D453" s="1037" t="n"/>
      <c r="E453" s="1037" t="n"/>
      <c r="F453" s="390" t="inlineStr">
        <is>
          <t>Unknown</t>
        </is>
      </c>
      <c r="G453" s="1037" t="n"/>
      <c r="H453" s="1037" t="n"/>
      <c r="I453" s="1037" t="n"/>
      <c r="J453" s="1037" t="n"/>
      <c r="K453" s="1037" t="n"/>
      <c r="L453" s="1037" t="n"/>
      <c r="M453" s="1037" t="n"/>
      <c r="N453" s="1037" t="n"/>
      <c r="O453" s="1037" t="n"/>
      <c r="P453" s="1037" t="n"/>
      <c r="Q453" s="1037" t="n"/>
      <c r="R453" s="1037" t="n"/>
      <c r="S453" s="1037" t="n"/>
      <c r="T453" s="1037" t="n"/>
      <c r="U453" s="1037" t="n"/>
    </row>
    <row r="454" ht="15.75" customHeight="1" s="1128">
      <c r="A454" s="434" t="inlineStr">
        <is>
          <t xml:space="preserve">  Mysterious Relic</t>
        </is>
      </c>
      <c r="B454" s="1037" t="inlineStr">
        <is>
          <t>SSS</t>
        </is>
      </c>
      <c r="C454" s="1037" t="n"/>
      <c r="D454" s="1037" t="n"/>
      <c r="E454" s="1037" t="n"/>
      <c r="F454" s="390" t="inlineStr">
        <is>
          <t>Unknown</t>
        </is>
      </c>
      <c r="G454" s="1037" t="n"/>
      <c r="H454" s="1037" t="n"/>
      <c r="I454" s="1037" t="n"/>
      <c r="J454" s="1037" t="n"/>
      <c r="K454" s="1037" t="n"/>
      <c r="L454" s="1037" t="n"/>
      <c r="M454" s="1037" t="n"/>
      <c r="N454" s="1037" t="n"/>
      <c r="O454" s="1037" t="n"/>
      <c r="P454" s="1037" t="n"/>
      <c r="Q454" s="1037" t="n"/>
      <c r="R454" s="1037" t="n"/>
      <c r="S454" s="1037" t="n"/>
      <c r="T454" s="1037" t="n"/>
      <c r="U454" s="1037" t="n"/>
    </row>
    <row r="455" ht="15.75" customHeight="1" s="1128">
      <c r="A455" s="434" t="inlineStr">
        <is>
          <t xml:space="preserve">  Mysterious Relic</t>
        </is>
      </c>
      <c r="B455" s="1037" t="inlineStr">
        <is>
          <t>SSS</t>
        </is>
      </c>
      <c r="C455" s="1037" t="n"/>
      <c r="D455" s="1037" t="n"/>
      <c r="E455" s="1037" t="n"/>
      <c r="F455" s="390" t="inlineStr">
        <is>
          <t>Unknown</t>
        </is>
      </c>
      <c r="G455" s="1037" t="n"/>
      <c r="H455" s="1037" t="n"/>
      <c r="I455" s="1037" t="n"/>
      <c r="J455" s="1037" t="n"/>
      <c r="K455" s="1037" t="n"/>
      <c r="L455" s="1037" t="n"/>
      <c r="M455" s="1037" t="n"/>
      <c r="N455" s="1037" t="n"/>
      <c r="O455" s="1037" t="n"/>
      <c r="P455" s="1037" t="n"/>
      <c r="Q455" s="1037" t="n"/>
      <c r="R455" s="1037" t="n"/>
      <c r="S455" s="1037" t="n"/>
      <c r="T455" s="1037" t="n"/>
      <c r="U455" s="1037" t="n"/>
    </row>
    <row r="456" ht="15.75" customHeight="1" s="1128">
      <c r="A456" s="434" t="inlineStr">
        <is>
          <t xml:space="preserve">  Mysterious Relic</t>
        </is>
      </c>
      <c r="B456" s="1037" t="inlineStr">
        <is>
          <t>SSS</t>
        </is>
      </c>
      <c r="C456" s="1037" t="n"/>
      <c r="D456" s="1037" t="n"/>
      <c r="E456" s="1037" t="n"/>
      <c r="F456" s="390" t="inlineStr">
        <is>
          <t>Unknown</t>
        </is>
      </c>
      <c r="G456" s="1037" t="n"/>
      <c r="H456" s="1037" t="n"/>
      <c r="I456" s="1037" t="n"/>
      <c r="J456" s="1037" t="n"/>
      <c r="K456" s="1037" t="n"/>
      <c r="L456" s="1037" t="n"/>
      <c r="M456" s="1037" t="n"/>
      <c r="N456" s="1037" t="n"/>
      <c r="O456" s="1037" t="n"/>
      <c r="P456" s="1037" t="n"/>
      <c r="Q456" s="1037" t="n"/>
      <c r="R456" s="1037" t="n"/>
      <c r="S456" s="1037" t="n"/>
      <c r="T456" s="1037" t="n"/>
      <c r="U456" s="1037" t="n"/>
    </row>
    <row r="457" ht="15.75" customHeight="1" s="1128">
      <c r="A457" s="825" t="inlineStr">
        <is>
          <t xml:space="preserve">  Mysterious Relic</t>
        </is>
      </c>
      <c r="B457" s="1037" t="inlineStr">
        <is>
          <t>SSS</t>
        </is>
      </c>
      <c r="C457" s="1037" t="n"/>
      <c r="D457" s="371" t="n"/>
      <c r="E457" s="1037" t="n"/>
      <c r="F457" s="390" t="inlineStr">
        <is>
          <t>Unknown</t>
        </is>
      </c>
      <c r="G457" s="1037" t="n"/>
      <c r="H457" s="1037" t="n"/>
      <c r="I457" s="1037" t="n"/>
      <c r="J457" s="1037" t="n"/>
      <c r="K457" s="1037" t="n"/>
      <c r="L457" s="1037" t="n"/>
      <c r="M457" s="1037" t="n"/>
      <c r="N457" s="1037" t="n"/>
      <c r="O457" s="1037" t="n"/>
      <c r="P457" s="1037" t="n"/>
      <c r="Q457" s="1037" t="n"/>
      <c r="R457" s="1037" t="n"/>
      <c r="S457" s="1037" t="n"/>
      <c r="T457" s="1037" t="n"/>
      <c r="U457" s="1037" t="n"/>
    </row>
    <row r="458" ht="15.75" customHeight="1" s="1128">
      <c r="A458" s="556" t="inlineStr">
        <is>
          <t>MAX RESONANCE</t>
        </is>
      </c>
      <c r="B458" s="373" t="n"/>
      <c r="C458" s="373" t="n"/>
      <c r="D458" s="374">
        <f>SUM(D291:D457)</f>
        <v/>
      </c>
      <c r="E458" s="373" t="n"/>
      <c r="F458" s="391" t="n"/>
      <c r="G458" s="1037" t="n"/>
      <c r="H458" s="1037" t="n"/>
      <c r="I458" s="1037" t="n"/>
      <c r="J458" s="1037" t="n"/>
      <c r="K458" s="1037" t="n"/>
      <c r="L458" s="1037" t="n"/>
      <c r="M458" s="1037" t="n"/>
      <c r="N458" s="1037" t="n"/>
      <c r="O458" s="1037" t="n"/>
      <c r="P458" s="1037" t="n"/>
      <c r="Q458" s="1037" t="n"/>
      <c r="R458" s="1037" t="n"/>
      <c r="S458" s="1037" t="n"/>
      <c r="T458" s="1037" t="n"/>
      <c r="U458" s="1037" t="n"/>
    </row>
    <row r="459" ht="15.75" customHeight="1" s="1128">
      <c r="A459" s="1037" t="n"/>
      <c r="B459" s="1037" t="n"/>
      <c r="C459" s="1037" t="n"/>
      <c r="D459" s="1037" t="n"/>
      <c r="E459" s="1037" t="n"/>
      <c r="F459" s="1037" t="n"/>
      <c r="G459" s="1037" t="n"/>
      <c r="H459" s="1037" t="n"/>
      <c r="I459" s="1037" t="n"/>
      <c r="J459" s="1037" t="n"/>
      <c r="K459" s="1037" t="n"/>
      <c r="L459" s="1037" t="n"/>
      <c r="M459" s="1037" t="n"/>
      <c r="N459" s="1037" t="n"/>
      <c r="O459" s="1037" t="n"/>
      <c r="P459" s="1037" t="n"/>
      <c r="Q459" s="1037" t="n"/>
      <c r="R459" s="1037" t="n"/>
      <c r="S459" s="1037" t="n"/>
      <c r="T459" s="1037" t="n"/>
      <c r="U459" s="1037" t="n"/>
    </row>
    <row r="460" ht="15.75" customHeight="1" s="1128">
      <c r="A460" s="1037" t="n"/>
      <c r="B460" s="1037" t="n"/>
      <c r="C460" s="1037" t="n"/>
      <c r="D460" s="1037" t="n"/>
      <c r="E460" s="1037" t="n"/>
      <c r="F460" s="1037" t="n"/>
      <c r="G460" s="1037" t="n"/>
      <c r="H460" s="1037" t="n"/>
      <c r="I460" s="1037" t="n"/>
      <c r="J460" s="1037" t="n"/>
      <c r="K460" s="1037" t="n"/>
      <c r="L460" s="1037" t="n"/>
      <c r="M460" s="1037" t="n"/>
      <c r="N460" s="1037" t="n"/>
      <c r="O460" s="1037" t="n"/>
      <c r="P460" s="1037" t="n"/>
      <c r="Q460" s="1037" t="n"/>
      <c r="R460" s="1037" t="n"/>
      <c r="S460" s="1037" t="n"/>
      <c r="T460" s="1037" t="n"/>
      <c r="U460" s="1037" t="n"/>
    </row>
    <row r="461" ht="15.75" customHeight="1" s="1128">
      <c r="A461" s="392" t="inlineStr">
        <is>
          <t>Total Leadership</t>
        </is>
      </c>
      <c r="B461" s="393">
        <f>D3+D76+D79+D150+D172+D183+D205+D223+D229+D244+D253+D458</f>
        <v/>
      </c>
      <c r="C461" s="1037" t="n"/>
      <c r="D461" s="1037" t="n"/>
      <c r="E461" s="1037" t="n"/>
      <c r="F461" s="1037" t="n"/>
      <c r="G461" s="1037" t="n"/>
      <c r="H461" s="1037" t="n"/>
      <c r="I461" s="1037" t="n"/>
      <c r="J461" s="1037" t="n"/>
      <c r="K461" s="1037" t="n"/>
      <c r="L461" s="1037" t="n"/>
      <c r="M461" s="1037" t="n"/>
      <c r="N461" s="1037" t="n"/>
      <c r="O461" s="1037" t="n"/>
      <c r="P461" s="1037" t="n"/>
      <c r="Q461" s="1037" t="n"/>
      <c r="R461" s="1037" t="n"/>
      <c r="S461" s="1037" t="n"/>
      <c r="T461" s="1037" t="n"/>
      <c r="U461" s="1037" t="n"/>
    </row>
    <row r="462" ht="15.75" customHeight="1" s="1128">
      <c r="A462" s="669" t="n"/>
      <c r="B462" s="669" t="n"/>
      <c r="C462" s="669" t="n"/>
      <c r="D462" s="669" t="n"/>
      <c r="E462" s="669" t="n"/>
      <c r="F462" s="669" t="n"/>
      <c r="G462" s="669" t="n"/>
      <c r="H462" s="669" t="n"/>
      <c r="I462" s="669" t="n"/>
      <c r="J462" s="669" t="n"/>
      <c r="K462" s="669" t="n"/>
      <c r="L462" s="669" t="n"/>
      <c r="M462" s="669" t="n"/>
      <c r="N462" s="669" t="n"/>
      <c r="O462" s="669" t="n"/>
      <c r="P462" s="669" t="n"/>
      <c r="Q462" s="669" t="n"/>
      <c r="R462" s="669" t="n"/>
      <c r="S462" s="669" t="n"/>
      <c r="T462" s="669" t="n"/>
      <c r="U462" s="669" t="n"/>
    </row>
    <row r="463" ht="15.75" customHeight="1" s="1128">
      <c r="A463" s="669" t="n"/>
      <c r="B463" s="669" t="n"/>
      <c r="C463" s="669" t="n"/>
      <c r="D463" s="669" t="n"/>
      <c r="E463" s="669" t="n"/>
      <c r="F463" s="669" t="n"/>
      <c r="G463" s="669" t="n"/>
      <c r="H463" s="669" t="n"/>
      <c r="I463" s="669" t="n"/>
      <c r="J463" s="669" t="n"/>
      <c r="K463" s="669" t="n"/>
      <c r="L463" s="669" t="n"/>
      <c r="M463" s="669" t="n"/>
      <c r="N463" s="669" t="n"/>
      <c r="O463" s="669" t="n"/>
      <c r="P463" s="669" t="n"/>
      <c r="Q463" s="669" t="n"/>
      <c r="R463" s="669" t="n"/>
      <c r="S463" s="669" t="n"/>
      <c r="T463" s="669" t="n"/>
      <c r="U463" s="669" t="n"/>
    </row>
    <row r="464" ht="15.75" customHeight="1" s="1128">
      <c r="A464" s="669" t="n"/>
      <c r="B464" s="669" t="n"/>
      <c r="C464" s="669" t="n"/>
      <c r="D464" s="669" t="n"/>
      <c r="E464" s="669" t="n"/>
      <c r="F464" s="669" t="n"/>
      <c r="G464" s="669" t="n"/>
      <c r="H464" s="669" t="n"/>
      <c r="I464" s="669" t="n"/>
      <c r="J464" s="669" t="n"/>
      <c r="K464" s="669" t="n"/>
      <c r="L464" s="669" t="n"/>
      <c r="M464" s="669" t="n"/>
      <c r="N464" s="669" t="n"/>
      <c r="O464" s="669" t="n"/>
      <c r="P464" s="669" t="n"/>
      <c r="Q464" s="669" t="n"/>
      <c r="R464" s="669" t="n"/>
      <c r="S464" s="669" t="n"/>
      <c r="T464" s="669" t="n"/>
      <c r="U464" s="669" t="n"/>
    </row>
    <row r="465" ht="15.75" customHeight="1" s="1128">
      <c r="A465" s="669" t="n"/>
      <c r="B465" s="669" t="n"/>
      <c r="C465" s="669" t="n"/>
      <c r="D465" s="669" t="n"/>
      <c r="E465" s="669" t="n"/>
      <c r="F465" s="669" t="n"/>
      <c r="G465" s="669" t="n"/>
      <c r="H465" s="669" t="n"/>
      <c r="I465" s="669" t="n"/>
      <c r="J465" s="669" t="n"/>
      <c r="K465" s="669" t="n"/>
      <c r="L465" s="669" t="n"/>
      <c r="M465" s="669" t="n"/>
      <c r="N465" s="669" t="n"/>
      <c r="O465" s="669" t="n"/>
      <c r="P465" s="669" t="n"/>
      <c r="Q465" s="669" t="n"/>
      <c r="R465" s="669" t="n"/>
      <c r="S465" s="669" t="n"/>
      <c r="T465" s="669" t="n"/>
      <c r="U465" s="669" t="n"/>
    </row>
    <row r="466" ht="15.75" customHeight="1" s="1128">
      <c r="A466" s="669" t="n"/>
      <c r="B466" s="669" t="n"/>
      <c r="C466" s="669" t="n"/>
      <c r="D466" s="669" t="n"/>
      <c r="E466" s="669" t="n"/>
      <c r="F466" s="669" t="n"/>
      <c r="G466" s="669" t="n"/>
      <c r="H466" s="669" t="n"/>
      <c r="I466" s="669" t="n"/>
      <c r="J466" s="669" t="n"/>
      <c r="K466" s="669" t="n"/>
      <c r="L466" s="669" t="n"/>
      <c r="M466" s="669" t="n"/>
      <c r="N466" s="669" t="n"/>
      <c r="O466" s="669" t="n"/>
      <c r="P466" s="669" t="n"/>
      <c r="Q466" s="669" t="n"/>
      <c r="R466" s="669" t="n"/>
      <c r="S466" s="669" t="n"/>
      <c r="T466" s="669" t="n"/>
      <c r="U466" s="669" t="n"/>
    </row>
    <row r="467" ht="15.75" customHeight="1" s="1128">
      <c r="A467" s="669" t="n"/>
      <c r="B467" s="669" t="n"/>
      <c r="C467" s="669" t="n"/>
      <c r="D467" s="669" t="n"/>
      <c r="E467" s="669" t="n"/>
      <c r="F467" s="669" t="n"/>
      <c r="G467" s="669" t="n"/>
      <c r="H467" s="669" t="n"/>
      <c r="I467" s="669" t="n"/>
      <c r="J467" s="669" t="n"/>
      <c r="K467" s="669" t="n"/>
      <c r="L467" s="669" t="n"/>
      <c r="M467" s="669" t="n"/>
      <c r="N467" s="669" t="n"/>
      <c r="O467" s="669" t="n"/>
      <c r="P467" s="669" t="n"/>
      <c r="Q467" s="669" t="n"/>
      <c r="R467" s="669" t="n"/>
      <c r="S467" s="669" t="n"/>
      <c r="T467" s="669" t="n"/>
      <c r="U467" s="669" t="n"/>
    </row>
    <row r="468" ht="15.75" customHeight="1" s="1128">
      <c r="A468" s="669" t="n"/>
      <c r="B468" s="669" t="n"/>
      <c r="C468" s="669" t="n"/>
      <c r="D468" s="669" t="n"/>
      <c r="E468" s="669" t="n"/>
      <c r="F468" s="669" t="n"/>
      <c r="G468" s="669" t="n"/>
      <c r="H468" s="669" t="n"/>
      <c r="I468" s="669" t="n"/>
      <c r="J468" s="669" t="n"/>
      <c r="K468" s="669" t="n"/>
      <c r="L468" s="669" t="n"/>
      <c r="M468" s="669" t="n"/>
      <c r="N468" s="669" t="n"/>
      <c r="O468" s="669" t="n"/>
      <c r="P468" s="669" t="n"/>
      <c r="Q468" s="669" t="n"/>
      <c r="R468" s="669" t="n"/>
      <c r="S468" s="669" t="n"/>
      <c r="T468" s="669" t="n"/>
      <c r="U468" s="669" t="n"/>
    </row>
    <row r="469" ht="15.75" customHeight="1" s="1128">
      <c r="A469" s="669" t="n"/>
      <c r="B469" s="669" t="n"/>
      <c r="C469" s="669" t="n"/>
      <c r="D469" s="669" t="n"/>
      <c r="E469" s="669" t="n"/>
      <c r="F469" s="669" t="n"/>
      <c r="G469" s="669" t="n"/>
      <c r="H469" s="669" t="n"/>
      <c r="I469" s="669" t="n"/>
      <c r="J469" s="669" t="n"/>
      <c r="K469" s="669" t="n"/>
      <c r="L469" s="669" t="n"/>
      <c r="M469" s="669" t="n"/>
      <c r="N469" s="669" t="n"/>
      <c r="O469" s="669" t="n"/>
      <c r="P469" s="669" t="n"/>
      <c r="Q469" s="669" t="n"/>
      <c r="R469" s="669" t="n"/>
      <c r="S469" s="669" t="n"/>
      <c r="T469" s="669" t="n"/>
      <c r="U469" s="669" t="n"/>
    </row>
    <row r="470" ht="15.75" customHeight="1" s="1128">
      <c r="A470" s="669" t="n"/>
      <c r="B470" s="669" t="n"/>
      <c r="C470" s="669" t="n"/>
      <c r="D470" s="669" t="n"/>
      <c r="E470" s="669" t="n"/>
      <c r="F470" s="669" t="n"/>
      <c r="G470" s="669" t="n"/>
      <c r="H470" s="669" t="n"/>
      <c r="I470" s="669" t="n"/>
      <c r="J470" s="669" t="n"/>
      <c r="K470" s="669" t="n"/>
      <c r="L470" s="669" t="n"/>
      <c r="M470" s="669" t="n"/>
      <c r="N470" s="669" t="n"/>
      <c r="O470" s="669" t="n"/>
      <c r="P470" s="669" t="n"/>
      <c r="Q470" s="669" t="n"/>
      <c r="R470" s="669" t="n"/>
      <c r="S470" s="669" t="n"/>
      <c r="T470" s="669" t="n"/>
      <c r="U470" s="669" t="n"/>
    </row>
    <row r="471" ht="15.75" customHeight="1" s="1128">
      <c r="A471" s="669" t="n"/>
      <c r="B471" s="669" t="n"/>
      <c r="C471" s="669" t="n"/>
      <c r="D471" s="669" t="n"/>
      <c r="E471" s="669" t="n"/>
      <c r="F471" s="669" t="n"/>
      <c r="G471" s="669" t="n"/>
      <c r="H471" s="669" t="n"/>
      <c r="I471" s="669" t="n"/>
      <c r="J471" s="669" t="n"/>
      <c r="K471" s="669" t="n"/>
      <c r="L471" s="669" t="n"/>
      <c r="M471" s="669" t="n"/>
      <c r="N471" s="669" t="n"/>
      <c r="O471" s="669" t="n"/>
      <c r="P471" s="669" t="n"/>
      <c r="Q471" s="669" t="n"/>
      <c r="R471" s="669" t="n"/>
      <c r="S471" s="669" t="n"/>
      <c r="T471" s="669" t="n"/>
      <c r="U471" s="669" t="n"/>
    </row>
    <row r="472" ht="15.75" customHeight="1" s="1128">
      <c r="A472" s="669" t="n"/>
      <c r="B472" s="669" t="n"/>
      <c r="C472" s="669" t="n"/>
      <c r="D472" s="669" t="n"/>
      <c r="E472" s="669" t="n"/>
      <c r="F472" s="669" t="n"/>
      <c r="G472" s="669" t="n"/>
      <c r="H472" s="669" t="n"/>
      <c r="I472" s="669" t="n"/>
      <c r="J472" s="669" t="n"/>
      <c r="K472" s="669" t="n"/>
      <c r="L472" s="669" t="n"/>
      <c r="M472" s="669" t="n"/>
      <c r="N472" s="669" t="n"/>
      <c r="O472" s="669" t="n"/>
      <c r="P472" s="669" t="n"/>
      <c r="Q472" s="669" t="n"/>
      <c r="R472" s="669" t="n"/>
      <c r="S472" s="669" t="n"/>
      <c r="T472" s="669" t="n"/>
      <c r="U472" s="669" t="n"/>
    </row>
    <row r="473" ht="15.75" customHeight="1" s="1128">
      <c r="A473" s="669" t="n"/>
      <c r="B473" s="669" t="n"/>
      <c r="C473" s="669" t="n"/>
      <c r="D473" s="669" t="n"/>
      <c r="E473" s="669" t="n"/>
      <c r="F473" s="669" t="n"/>
      <c r="G473" s="669" t="n"/>
      <c r="H473" s="669" t="n"/>
      <c r="I473" s="669" t="n"/>
      <c r="J473" s="669" t="n"/>
      <c r="K473" s="669" t="n"/>
      <c r="L473" s="669" t="n"/>
      <c r="M473" s="669" t="n"/>
      <c r="N473" s="669" t="n"/>
      <c r="O473" s="669" t="n"/>
      <c r="P473" s="669" t="n"/>
      <c r="Q473" s="669" t="n"/>
      <c r="R473" s="669" t="n"/>
      <c r="S473" s="669" t="n"/>
      <c r="T473" s="669" t="n"/>
      <c r="U473" s="669" t="n"/>
    </row>
    <row r="474" ht="15.75" customHeight="1" s="1128">
      <c r="A474" s="669" t="n"/>
      <c r="B474" s="669" t="n"/>
      <c r="C474" s="669" t="n"/>
      <c r="D474" s="669" t="n"/>
      <c r="E474" s="669" t="n"/>
      <c r="F474" s="669" t="n"/>
      <c r="G474" s="669" t="n"/>
      <c r="H474" s="669" t="n"/>
      <c r="I474" s="669" t="n"/>
      <c r="J474" s="669" t="n"/>
      <c r="K474" s="669" t="n"/>
      <c r="L474" s="669" t="n"/>
      <c r="M474" s="669" t="n"/>
      <c r="N474" s="669" t="n"/>
      <c r="O474" s="669" t="n"/>
      <c r="P474" s="669" t="n"/>
      <c r="Q474" s="669" t="n"/>
      <c r="R474" s="669" t="n"/>
      <c r="S474" s="669" t="n"/>
      <c r="T474" s="669" t="n"/>
      <c r="U474" s="669" t="n"/>
    </row>
    <row r="475" ht="15.75" customHeight="1" s="1128">
      <c r="A475" s="669" t="n"/>
      <c r="B475" s="669" t="n"/>
      <c r="C475" s="669" t="n"/>
      <c r="D475" s="669" t="n"/>
      <c r="E475" s="669" t="n"/>
      <c r="F475" s="669" t="n"/>
      <c r="G475" s="669" t="n"/>
      <c r="H475" s="669" t="n"/>
      <c r="I475" s="669" t="n"/>
      <c r="J475" s="669" t="n"/>
      <c r="K475" s="669" t="n"/>
      <c r="L475" s="669" t="n"/>
      <c r="M475" s="669" t="n"/>
      <c r="N475" s="669" t="n"/>
      <c r="O475" s="669" t="n"/>
      <c r="P475" s="669" t="n"/>
      <c r="Q475" s="669" t="n"/>
      <c r="R475" s="669" t="n"/>
      <c r="S475" s="669" t="n"/>
      <c r="T475" s="669" t="n"/>
      <c r="U475" s="669" t="n"/>
    </row>
    <row r="476" ht="15.75" customHeight="1" s="1128">
      <c r="A476" s="669" t="n"/>
      <c r="B476" s="669" t="n"/>
      <c r="C476" s="669" t="n"/>
      <c r="D476" s="669" t="n"/>
      <c r="E476" s="669" t="n"/>
      <c r="F476" s="669" t="n"/>
      <c r="G476" s="669" t="n"/>
      <c r="H476" s="669" t="n"/>
      <c r="I476" s="669" t="n"/>
      <c r="J476" s="669" t="n"/>
      <c r="K476" s="669" t="n"/>
      <c r="L476" s="669" t="n"/>
      <c r="M476" s="669" t="n"/>
      <c r="N476" s="669" t="n"/>
      <c r="O476" s="669" t="n"/>
      <c r="P476" s="669" t="n"/>
      <c r="Q476" s="669" t="n"/>
      <c r="R476" s="669" t="n"/>
      <c r="S476" s="669" t="n"/>
      <c r="T476" s="669" t="n"/>
      <c r="U476" s="669" t="n"/>
    </row>
    <row r="477" ht="15.75" customHeight="1" s="1128">
      <c r="A477" s="669" t="n"/>
      <c r="B477" s="669" t="n"/>
      <c r="C477" s="669" t="n"/>
      <c r="D477" s="669" t="n"/>
      <c r="E477" s="669" t="n"/>
      <c r="F477" s="669" t="n"/>
      <c r="G477" s="669" t="n"/>
      <c r="H477" s="669" t="n"/>
      <c r="I477" s="669" t="n"/>
      <c r="J477" s="669" t="n"/>
      <c r="K477" s="669" t="n"/>
      <c r="L477" s="669" t="n"/>
      <c r="M477" s="669" t="n"/>
      <c r="N477" s="669" t="n"/>
      <c r="O477" s="669" t="n"/>
      <c r="P477" s="669" t="n"/>
      <c r="Q477" s="669" t="n"/>
      <c r="R477" s="669" t="n"/>
      <c r="S477" s="669" t="n"/>
      <c r="T477" s="669" t="n"/>
      <c r="U477" s="669" t="n"/>
    </row>
    <row r="478" ht="15.75" customHeight="1" s="1128">
      <c r="A478" s="669" t="n"/>
      <c r="B478" s="669" t="n"/>
      <c r="C478" s="669" t="n"/>
      <c r="D478" s="669" t="n"/>
      <c r="E478" s="669" t="n"/>
      <c r="F478" s="669" t="n"/>
      <c r="G478" s="669" t="n"/>
      <c r="H478" s="669" t="n"/>
      <c r="I478" s="669" t="n"/>
      <c r="J478" s="669" t="n"/>
      <c r="K478" s="669" t="n"/>
      <c r="L478" s="669" t="n"/>
      <c r="M478" s="669" t="n"/>
      <c r="N478" s="669" t="n"/>
      <c r="O478" s="669" t="n"/>
      <c r="P478" s="669" t="n"/>
      <c r="Q478" s="669" t="n"/>
      <c r="R478" s="669" t="n"/>
      <c r="S478" s="669" t="n"/>
      <c r="T478" s="669" t="n"/>
      <c r="U478" s="669" t="n"/>
    </row>
    <row r="479" ht="15.75" customHeight="1" s="1128">
      <c r="A479" s="669" t="n"/>
      <c r="B479" s="669" t="n"/>
      <c r="C479" s="669" t="n"/>
      <c r="D479" s="669" t="n"/>
      <c r="E479" s="669" t="n"/>
      <c r="F479" s="669" t="n"/>
      <c r="G479" s="669" t="n"/>
      <c r="H479" s="669" t="n"/>
      <c r="I479" s="669" t="n"/>
      <c r="J479" s="669" t="n"/>
      <c r="K479" s="669" t="n"/>
      <c r="L479" s="669" t="n"/>
      <c r="M479" s="669" t="n"/>
      <c r="N479" s="669" t="n"/>
      <c r="O479" s="669" t="n"/>
      <c r="P479" s="669" t="n"/>
      <c r="Q479" s="669" t="n"/>
      <c r="R479" s="669" t="n"/>
      <c r="S479" s="669" t="n"/>
      <c r="T479" s="669" t="n"/>
      <c r="U479" s="669" t="n"/>
    </row>
    <row r="480" ht="15.75" customHeight="1" s="1128">
      <c r="A480" s="669" t="n"/>
      <c r="B480" s="669" t="n"/>
      <c r="C480" s="669" t="n"/>
      <c r="D480" s="669" t="n"/>
      <c r="E480" s="669" t="n"/>
      <c r="F480" s="669" t="n"/>
      <c r="G480" s="669" t="n"/>
      <c r="H480" s="669" t="n"/>
      <c r="I480" s="669" t="n"/>
      <c r="J480" s="669" t="n"/>
      <c r="K480" s="669" t="n"/>
      <c r="L480" s="669" t="n"/>
      <c r="M480" s="669" t="n"/>
      <c r="N480" s="669" t="n"/>
      <c r="O480" s="669" t="n"/>
      <c r="P480" s="669" t="n"/>
      <c r="Q480" s="669" t="n"/>
      <c r="R480" s="669" t="n"/>
      <c r="S480" s="669" t="n"/>
      <c r="T480" s="669" t="n"/>
      <c r="U480" s="669" t="n"/>
    </row>
    <row r="481" ht="15.75" customHeight="1" s="1128">
      <c r="A481" s="669" t="n"/>
      <c r="B481" s="669" t="n"/>
      <c r="C481" s="669" t="n"/>
      <c r="D481" s="669" t="n"/>
      <c r="E481" s="669" t="n"/>
      <c r="F481" s="669" t="n"/>
      <c r="G481" s="669" t="n"/>
      <c r="H481" s="669" t="n"/>
      <c r="I481" s="669" t="n"/>
      <c r="J481" s="669" t="n"/>
      <c r="K481" s="669" t="n"/>
      <c r="L481" s="669" t="n"/>
      <c r="M481" s="669" t="n"/>
      <c r="N481" s="669" t="n"/>
      <c r="O481" s="669" t="n"/>
      <c r="P481" s="669" t="n"/>
      <c r="Q481" s="669" t="n"/>
      <c r="R481" s="669" t="n"/>
      <c r="S481" s="669" t="n"/>
      <c r="T481" s="669" t="n"/>
      <c r="U481" s="669" t="n"/>
    </row>
    <row r="482" ht="15.75" customHeight="1" s="1128">
      <c r="A482" s="669" t="n"/>
      <c r="B482" s="669" t="n"/>
      <c r="C482" s="669" t="n"/>
      <c r="D482" s="669" t="n"/>
      <c r="E482" s="669" t="n"/>
      <c r="F482" s="669" t="n"/>
      <c r="G482" s="669" t="n"/>
      <c r="H482" s="669" t="n"/>
      <c r="I482" s="669" t="n"/>
      <c r="J482" s="669" t="n"/>
      <c r="K482" s="669" t="n"/>
      <c r="L482" s="669" t="n"/>
      <c r="M482" s="669" t="n"/>
      <c r="N482" s="669" t="n"/>
      <c r="O482" s="669" t="n"/>
      <c r="P482" s="669" t="n"/>
      <c r="Q482" s="669" t="n"/>
      <c r="R482" s="669" t="n"/>
      <c r="S482" s="669" t="n"/>
      <c r="T482" s="669" t="n"/>
      <c r="U482" s="669" t="n"/>
    </row>
    <row r="483" ht="15.75" customHeight="1" s="1128">
      <c r="A483" s="669" t="n"/>
      <c r="B483" s="669" t="n"/>
      <c r="C483" s="669" t="n"/>
      <c r="D483" s="669" t="n"/>
      <c r="E483" s="669" t="n"/>
      <c r="F483" s="669" t="n"/>
      <c r="G483" s="669" t="n"/>
      <c r="H483" s="669" t="n"/>
      <c r="I483" s="669" t="n"/>
      <c r="J483" s="669" t="n"/>
      <c r="K483" s="669" t="n"/>
      <c r="L483" s="669" t="n"/>
      <c r="M483" s="669" t="n"/>
      <c r="N483" s="669" t="n"/>
      <c r="O483" s="669" t="n"/>
      <c r="P483" s="669" t="n"/>
      <c r="Q483" s="669" t="n"/>
      <c r="R483" s="669" t="n"/>
      <c r="S483" s="669" t="n"/>
      <c r="T483" s="669" t="n"/>
      <c r="U483" s="669" t="n"/>
    </row>
    <row r="484" ht="15.75" customHeight="1" s="1128">
      <c r="A484" s="669" t="n"/>
      <c r="B484" s="669" t="n"/>
      <c r="C484" s="669" t="n"/>
      <c r="D484" s="669" t="n"/>
      <c r="E484" s="669" t="n"/>
      <c r="F484" s="669" t="n"/>
      <c r="G484" s="669" t="n"/>
      <c r="H484" s="669" t="n"/>
      <c r="I484" s="669" t="n"/>
      <c r="J484" s="669" t="n"/>
      <c r="K484" s="669" t="n"/>
      <c r="L484" s="669" t="n"/>
      <c r="M484" s="669" t="n"/>
      <c r="N484" s="669" t="n"/>
      <c r="O484" s="669" t="n"/>
      <c r="P484" s="669" t="n"/>
      <c r="Q484" s="669" t="n"/>
      <c r="R484" s="669" t="n"/>
      <c r="S484" s="669" t="n"/>
      <c r="T484" s="669" t="n"/>
      <c r="U484" s="669" t="n"/>
    </row>
    <row r="485" ht="15.75" customHeight="1" s="1128">
      <c r="A485" s="669" t="n"/>
      <c r="B485" s="669" t="n"/>
      <c r="C485" s="669" t="n"/>
      <c r="D485" s="669" t="n"/>
      <c r="E485" s="669" t="n"/>
      <c r="F485" s="669" t="n"/>
      <c r="G485" s="669" t="n"/>
      <c r="H485" s="669" t="n"/>
      <c r="I485" s="669" t="n"/>
      <c r="J485" s="669" t="n"/>
      <c r="K485" s="669" t="n"/>
      <c r="L485" s="669" t="n"/>
      <c r="M485" s="669" t="n"/>
      <c r="N485" s="669" t="n"/>
      <c r="O485" s="669" t="n"/>
      <c r="P485" s="669" t="n"/>
      <c r="Q485" s="669" t="n"/>
      <c r="R485" s="669" t="n"/>
      <c r="S485" s="669" t="n"/>
      <c r="T485" s="669" t="n"/>
      <c r="U485" s="669" t="n"/>
    </row>
    <row r="486" ht="15.75" customHeight="1" s="1128">
      <c r="A486" s="669" t="n"/>
      <c r="B486" s="669" t="n"/>
      <c r="C486" s="669" t="n"/>
      <c r="D486" s="669" t="n"/>
      <c r="E486" s="669" t="n"/>
      <c r="F486" s="669" t="n"/>
      <c r="G486" s="669" t="n"/>
      <c r="H486" s="669" t="n"/>
      <c r="I486" s="669" t="n"/>
      <c r="J486" s="669" t="n"/>
      <c r="K486" s="669" t="n"/>
      <c r="L486" s="669" t="n"/>
      <c r="M486" s="669" t="n"/>
      <c r="N486" s="669" t="n"/>
      <c r="O486" s="669" t="n"/>
      <c r="P486" s="669" t="n"/>
      <c r="Q486" s="669" t="n"/>
      <c r="R486" s="669" t="n"/>
      <c r="S486" s="669" t="n"/>
      <c r="T486" s="669" t="n"/>
      <c r="U486" s="669" t="n"/>
    </row>
    <row r="487" ht="15.75" customHeight="1" s="1128">
      <c r="A487" s="669" t="n"/>
      <c r="B487" s="669" t="n"/>
      <c r="C487" s="669" t="n"/>
      <c r="D487" s="669" t="n"/>
      <c r="E487" s="669" t="n"/>
      <c r="F487" s="669" t="n"/>
      <c r="G487" s="669" t="n"/>
      <c r="H487" s="669" t="n"/>
      <c r="I487" s="669" t="n"/>
      <c r="J487" s="669" t="n"/>
      <c r="K487" s="669" t="n"/>
      <c r="L487" s="669" t="n"/>
      <c r="M487" s="669" t="n"/>
      <c r="N487" s="669" t="n"/>
      <c r="O487" s="669" t="n"/>
      <c r="P487" s="669" t="n"/>
      <c r="Q487" s="669" t="n"/>
      <c r="R487" s="669" t="n"/>
      <c r="S487" s="669" t="n"/>
      <c r="T487" s="669" t="n"/>
      <c r="U487" s="669" t="n"/>
    </row>
    <row r="488" ht="15.75" customHeight="1" s="1128">
      <c r="A488" s="669" t="n"/>
      <c r="B488" s="669" t="n"/>
      <c r="C488" s="669" t="n"/>
      <c r="D488" s="669" t="n"/>
      <c r="E488" s="669" t="n"/>
      <c r="F488" s="669" t="n"/>
      <c r="G488" s="669" t="n"/>
      <c r="H488" s="669" t="n"/>
      <c r="I488" s="669" t="n"/>
      <c r="J488" s="669" t="n"/>
      <c r="K488" s="669" t="n"/>
      <c r="L488" s="669" t="n"/>
      <c r="M488" s="669" t="n"/>
      <c r="N488" s="669" t="n"/>
      <c r="O488" s="669" t="n"/>
      <c r="P488" s="669" t="n"/>
      <c r="Q488" s="669" t="n"/>
      <c r="R488" s="669" t="n"/>
      <c r="S488" s="669" t="n"/>
      <c r="T488" s="669" t="n"/>
      <c r="U488" s="669" t="n"/>
    </row>
    <row r="489" ht="15.75" customHeight="1" s="1128">
      <c r="A489" s="669" t="n"/>
      <c r="B489" s="669" t="n"/>
      <c r="C489" s="669" t="n"/>
      <c r="D489" s="669" t="n"/>
      <c r="E489" s="669" t="n"/>
      <c r="F489" s="669" t="n"/>
      <c r="G489" s="669" t="n"/>
      <c r="H489" s="669" t="n"/>
      <c r="I489" s="669" t="n"/>
      <c r="J489" s="669" t="n"/>
      <c r="K489" s="669" t="n"/>
      <c r="L489" s="669" t="n"/>
      <c r="M489" s="669" t="n"/>
      <c r="N489" s="669" t="n"/>
      <c r="O489" s="669" t="n"/>
      <c r="P489" s="669" t="n"/>
      <c r="Q489" s="669" t="n"/>
      <c r="R489" s="669" t="n"/>
      <c r="S489" s="669" t="n"/>
      <c r="T489" s="669" t="n"/>
      <c r="U489" s="669" t="n"/>
    </row>
    <row r="490" ht="15.75" customHeight="1" s="1128">
      <c r="A490" s="669" t="n"/>
      <c r="B490" s="669" t="n"/>
      <c r="C490" s="669" t="n"/>
      <c r="D490" s="669" t="n"/>
      <c r="E490" s="669" t="n"/>
      <c r="F490" s="669" t="n"/>
      <c r="G490" s="669" t="n"/>
      <c r="H490" s="669" t="n"/>
      <c r="I490" s="669" t="n"/>
      <c r="J490" s="669" t="n"/>
      <c r="K490" s="669" t="n"/>
      <c r="L490" s="669" t="n"/>
      <c r="M490" s="669" t="n"/>
      <c r="N490" s="669" t="n"/>
      <c r="O490" s="669" t="n"/>
      <c r="P490" s="669" t="n"/>
      <c r="Q490" s="669" t="n"/>
      <c r="R490" s="669" t="n"/>
      <c r="S490" s="669" t="n"/>
      <c r="T490" s="669" t="n"/>
      <c r="U490" s="669" t="n"/>
    </row>
    <row r="491" ht="15.75" customHeight="1" s="1128">
      <c r="A491" s="669" t="n"/>
      <c r="B491" s="669" t="n"/>
      <c r="C491" s="669" t="n"/>
      <c r="D491" s="669" t="n"/>
      <c r="E491" s="669" t="n"/>
      <c r="F491" s="669" t="n"/>
      <c r="G491" s="669" t="n"/>
      <c r="H491" s="669" t="n"/>
      <c r="I491" s="669" t="n"/>
      <c r="J491" s="669" t="n"/>
      <c r="K491" s="669" t="n"/>
      <c r="L491" s="669" t="n"/>
      <c r="M491" s="669" t="n"/>
      <c r="N491" s="669" t="n"/>
      <c r="O491" s="669" t="n"/>
      <c r="P491" s="669" t="n"/>
      <c r="Q491" s="669" t="n"/>
      <c r="R491" s="669" t="n"/>
      <c r="S491" s="669" t="n"/>
      <c r="T491" s="669" t="n"/>
      <c r="U491" s="669" t="n"/>
    </row>
    <row r="492" ht="15.75" customHeight="1" s="1128">
      <c r="A492" s="669" t="n"/>
      <c r="B492" s="669" t="n"/>
      <c r="C492" s="669" t="n"/>
      <c r="D492" s="669" t="n"/>
      <c r="E492" s="669" t="n"/>
      <c r="F492" s="669" t="n"/>
      <c r="G492" s="669" t="n"/>
      <c r="H492" s="669" t="n"/>
      <c r="I492" s="669" t="n"/>
      <c r="J492" s="669" t="n"/>
      <c r="K492" s="669" t="n"/>
      <c r="L492" s="669" t="n"/>
      <c r="M492" s="669" t="n"/>
      <c r="N492" s="669" t="n"/>
      <c r="O492" s="669" t="n"/>
      <c r="P492" s="669" t="n"/>
      <c r="Q492" s="669" t="n"/>
      <c r="R492" s="669" t="n"/>
      <c r="S492" s="669" t="n"/>
      <c r="T492" s="669" t="n"/>
      <c r="U492" s="669" t="n"/>
    </row>
    <row r="493" ht="15.75" customHeight="1" s="1128">
      <c r="A493" s="669" t="n"/>
      <c r="B493" s="669" t="n"/>
      <c r="C493" s="669" t="n"/>
      <c r="D493" s="669" t="n"/>
      <c r="E493" s="669" t="n"/>
      <c r="F493" s="669" t="n"/>
      <c r="G493" s="669" t="n"/>
      <c r="H493" s="669" t="n"/>
      <c r="I493" s="669" t="n"/>
      <c r="J493" s="669" t="n"/>
      <c r="K493" s="669" t="n"/>
      <c r="L493" s="669" t="n"/>
      <c r="M493" s="669" t="n"/>
      <c r="N493" s="669" t="n"/>
      <c r="O493" s="669" t="n"/>
      <c r="P493" s="669" t="n"/>
      <c r="Q493" s="669" t="n"/>
      <c r="R493" s="669" t="n"/>
      <c r="S493" s="669" t="n"/>
      <c r="T493" s="669" t="n"/>
      <c r="U493" s="669" t="n"/>
    </row>
    <row r="494" ht="15.75" customHeight="1" s="1128">
      <c r="A494" s="669" t="n"/>
      <c r="B494" s="669" t="n"/>
      <c r="C494" s="669" t="n"/>
      <c r="D494" s="669" t="n"/>
      <c r="E494" s="669" t="n"/>
      <c r="F494" s="669" t="n"/>
      <c r="G494" s="669" t="n"/>
      <c r="H494" s="669" t="n"/>
      <c r="I494" s="669" t="n"/>
      <c r="J494" s="669" t="n"/>
      <c r="K494" s="669" t="n"/>
      <c r="L494" s="669" t="n"/>
      <c r="M494" s="669" t="n"/>
      <c r="N494" s="669" t="n"/>
      <c r="O494" s="669" t="n"/>
      <c r="P494" s="669" t="n"/>
      <c r="Q494" s="669" t="n"/>
      <c r="R494" s="669" t="n"/>
      <c r="S494" s="669" t="n"/>
      <c r="T494" s="669" t="n"/>
      <c r="U494" s="669" t="n"/>
    </row>
    <row r="495" ht="15.75" customHeight="1" s="1128">
      <c r="A495" s="669" t="n"/>
      <c r="B495" s="669" t="n"/>
      <c r="C495" s="669" t="n"/>
      <c r="D495" s="669" t="n"/>
      <c r="E495" s="669" t="n"/>
      <c r="F495" s="669" t="n"/>
      <c r="G495" s="669" t="n"/>
      <c r="H495" s="669" t="n"/>
      <c r="I495" s="669" t="n"/>
      <c r="J495" s="669" t="n"/>
      <c r="K495" s="669" t="n"/>
      <c r="L495" s="669" t="n"/>
      <c r="M495" s="669" t="n"/>
      <c r="N495" s="669" t="n"/>
      <c r="O495" s="669" t="n"/>
      <c r="P495" s="669" t="n"/>
      <c r="Q495" s="669" t="n"/>
      <c r="R495" s="669" t="n"/>
      <c r="S495" s="669" t="n"/>
      <c r="T495" s="669" t="n"/>
      <c r="U495" s="669" t="n"/>
    </row>
    <row r="496" ht="15.75" customHeight="1" s="1128">
      <c r="A496" s="669" t="n"/>
      <c r="B496" s="669" t="n"/>
      <c r="C496" s="669" t="n"/>
      <c r="D496" s="669" t="n"/>
      <c r="E496" s="669" t="n"/>
      <c r="F496" s="669" t="n"/>
      <c r="G496" s="669" t="n"/>
      <c r="H496" s="669" t="n"/>
      <c r="I496" s="669" t="n"/>
      <c r="J496" s="669" t="n"/>
      <c r="K496" s="669" t="n"/>
      <c r="L496" s="669" t="n"/>
      <c r="M496" s="669" t="n"/>
      <c r="N496" s="669" t="n"/>
      <c r="O496" s="669" t="n"/>
      <c r="P496" s="669" t="n"/>
      <c r="Q496" s="669" t="n"/>
      <c r="R496" s="669" t="n"/>
      <c r="S496" s="669" t="n"/>
      <c r="T496" s="669" t="n"/>
      <c r="U496" s="669" t="n"/>
    </row>
    <row r="497" ht="15.75" customHeight="1" s="1128">
      <c r="A497" s="669" t="n"/>
      <c r="B497" s="669" t="n"/>
      <c r="C497" s="669" t="n"/>
      <c r="D497" s="669" t="n"/>
      <c r="E497" s="669" t="n"/>
      <c r="F497" s="669" t="n"/>
      <c r="G497" s="669" t="n"/>
      <c r="H497" s="669" t="n"/>
      <c r="I497" s="669" t="n"/>
      <c r="J497" s="669" t="n"/>
      <c r="K497" s="669" t="n"/>
      <c r="L497" s="669" t="n"/>
      <c r="M497" s="669" t="n"/>
      <c r="N497" s="669" t="n"/>
      <c r="O497" s="669" t="n"/>
      <c r="P497" s="669" t="n"/>
      <c r="Q497" s="669" t="n"/>
      <c r="R497" s="669" t="n"/>
      <c r="S497" s="669" t="n"/>
      <c r="T497" s="669" t="n"/>
      <c r="U497" s="669" t="n"/>
    </row>
    <row r="498" ht="15.75" customHeight="1" s="1128">
      <c r="A498" s="669" t="n"/>
      <c r="B498" s="669" t="n"/>
      <c r="C498" s="669" t="n"/>
      <c r="D498" s="669" t="n"/>
      <c r="E498" s="669" t="n"/>
      <c r="F498" s="669" t="n"/>
      <c r="G498" s="669" t="n"/>
      <c r="H498" s="669" t="n"/>
      <c r="I498" s="669" t="n"/>
      <c r="J498" s="669" t="n"/>
      <c r="K498" s="669" t="n"/>
      <c r="L498" s="669" t="n"/>
      <c r="M498" s="669" t="n"/>
      <c r="N498" s="669" t="n"/>
      <c r="O498" s="669" t="n"/>
      <c r="P498" s="669" t="n"/>
      <c r="Q498" s="669" t="n"/>
      <c r="R498" s="669" t="n"/>
      <c r="S498" s="669" t="n"/>
      <c r="T498" s="669" t="n"/>
      <c r="U498" s="669" t="n"/>
    </row>
    <row r="499" ht="15.75" customHeight="1" s="1128">
      <c r="A499" s="669" t="n"/>
      <c r="B499" s="669" t="n"/>
      <c r="C499" s="669" t="n"/>
      <c r="D499" s="669" t="n"/>
      <c r="E499" s="669" t="n"/>
      <c r="F499" s="669" t="n"/>
      <c r="G499" s="669" t="n"/>
      <c r="H499" s="669" t="n"/>
      <c r="I499" s="669" t="n"/>
      <c r="J499" s="669" t="n"/>
      <c r="K499" s="669" t="n"/>
      <c r="L499" s="669" t="n"/>
      <c r="M499" s="669" t="n"/>
      <c r="N499" s="669" t="n"/>
      <c r="O499" s="669" t="n"/>
      <c r="P499" s="669" t="n"/>
      <c r="Q499" s="669" t="n"/>
      <c r="R499" s="669" t="n"/>
      <c r="S499" s="669" t="n"/>
      <c r="T499" s="669" t="n"/>
      <c r="U499" s="669" t="n"/>
    </row>
    <row r="500" ht="15.75" customHeight="1" s="1128">
      <c r="A500" s="669" t="n"/>
      <c r="B500" s="669" t="n"/>
      <c r="C500" s="669" t="n"/>
      <c r="D500" s="669" t="n"/>
      <c r="E500" s="669" t="n"/>
      <c r="F500" s="669" t="n"/>
      <c r="G500" s="669" t="n"/>
      <c r="H500" s="669" t="n"/>
      <c r="I500" s="669" t="n"/>
      <c r="J500" s="669" t="n"/>
      <c r="K500" s="669" t="n"/>
      <c r="L500" s="669" t="n"/>
      <c r="M500" s="669" t="n"/>
      <c r="N500" s="669" t="n"/>
      <c r="O500" s="669" t="n"/>
      <c r="P500" s="669" t="n"/>
      <c r="Q500" s="669" t="n"/>
      <c r="R500" s="669" t="n"/>
      <c r="S500" s="669" t="n"/>
      <c r="T500" s="669" t="n"/>
      <c r="U500" s="669" t="n"/>
    </row>
    <row r="501" ht="15.75" customHeight="1" s="1128">
      <c r="A501" s="669" t="n"/>
      <c r="B501" s="669" t="n"/>
      <c r="C501" s="669" t="n"/>
      <c r="D501" s="669" t="n"/>
      <c r="E501" s="669" t="n"/>
      <c r="F501" s="669" t="n"/>
      <c r="G501" s="669" t="n"/>
      <c r="H501" s="669" t="n"/>
      <c r="I501" s="669" t="n"/>
      <c r="J501" s="669" t="n"/>
      <c r="K501" s="669" t="n"/>
      <c r="L501" s="669" t="n"/>
      <c r="M501" s="669" t="n"/>
      <c r="N501" s="669" t="n"/>
      <c r="O501" s="669" t="n"/>
      <c r="P501" s="669" t="n"/>
      <c r="Q501" s="669" t="n"/>
      <c r="R501" s="669" t="n"/>
      <c r="S501" s="669" t="n"/>
      <c r="T501" s="669" t="n"/>
      <c r="U501" s="669" t="n"/>
    </row>
    <row r="502" ht="15.75" customHeight="1" s="1128">
      <c r="A502" s="669" t="n"/>
      <c r="B502" s="669" t="n"/>
      <c r="C502" s="669" t="n"/>
      <c r="D502" s="669" t="n"/>
      <c r="E502" s="669" t="n"/>
      <c r="F502" s="669" t="n"/>
      <c r="G502" s="669" t="n"/>
      <c r="H502" s="669" t="n"/>
      <c r="I502" s="669" t="n"/>
      <c r="J502" s="669" t="n"/>
      <c r="K502" s="669" t="n"/>
      <c r="L502" s="669" t="n"/>
      <c r="M502" s="669" t="n"/>
      <c r="N502" s="669" t="n"/>
      <c r="O502" s="669" t="n"/>
      <c r="P502" s="669" t="n"/>
      <c r="Q502" s="669" t="n"/>
      <c r="R502" s="669" t="n"/>
      <c r="S502" s="669" t="n"/>
      <c r="T502" s="669" t="n"/>
      <c r="U502" s="669" t="n"/>
    </row>
    <row r="503" ht="15.75" customHeight="1" s="1128">
      <c r="A503" s="669" t="n"/>
      <c r="B503" s="669" t="n"/>
      <c r="C503" s="669" t="n"/>
      <c r="D503" s="669" t="n"/>
      <c r="E503" s="669" t="n"/>
      <c r="F503" s="669" t="n"/>
      <c r="G503" s="669" t="n"/>
      <c r="H503" s="669" t="n"/>
      <c r="I503" s="669" t="n"/>
      <c r="J503" s="669" t="n"/>
      <c r="K503" s="669" t="n"/>
      <c r="L503" s="669" t="n"/>
      <c r="M503" s="669" t="n"/>
      <c r="N503" s="669" t="n"/>
      <c r="O503" s="669" t="n"/>
      <c r="P503" s="669" t="n"/>
      <c r="Q503" s="669" t="n"/>
      <c r="R503" s="669" t="n"/>
      <c r="S503" s="669" t="n"/>
      <c r="T503" s="669" t="n"/>
      <c r="U503" s="669" t="n"/>
    </row>
    <row r="504" ht="15.75" customHeight="1" s="1128">
      <c r="A504" s="669" t="n"/>
      <c r="B504" s="669" t="n"/>
      <c r="C504" s="669" t="n"/>
      <c r="D504" s="669" t="n"/>
      <c r="E504" s="669" t="n"/>
      <c r="F504" s="669" t="n"/>
      <c r="G504" s="669" t="n"/>
      <c r="H504" s="669" t="n"/>
      <c r="I504" s="669" t="n"/>
      <c r="J504" s="669" t="n"/>
      <c r="K504" s="669" t="n"/>
      <c r="L504" s="669" t="n"/>
      <c r="M504" s="669" t="n"/>
      <c r="N504" s="669" t="n"/>
      <c r="O504" s="669" t="n"/>
      <c r="P504" s="669" t="n"/>
      <c r="Q504" s="669" t="n"/>
      <c r="R504" s="669" t="n"/>
      <c r="S504" s="669" t="n"/>
      <c r="T504" s="669" t="n"/>
      <c r="U504" s="669" t="n"/>
    </row>
    <row r="505" ht="15.75" customHeight="1" s="1128">
      <c r="A505" s="669" t="n"/>
      <c r="B505" s="669" t="n"/>
      <c r="C505" s="669" t="n"/>
      <c r="D505" s="669" t="n"/>
      <c r="E505" s="669" t="n"/>
      <c r="F505" s="669" t="n"/>
      <c r="G505" s="669" t="n"/>
      <c r="H505" s="669" t="n"/>
      <c r="I505" s="669" t="n"/>
      <c r="J505" s="669" t="n"/>
      <c r="K505" s="669" t="n"/>
      <c r="L505" s="669" t="n"/>
      <c r="M505" s="669" t="n"/>
      <c r="N505" s="669" t="n"/>
      <c r="O505" s="669" t="n"/>
      <c r="P505" s="669" t="n"/>
      <c r="Q505" s="669" t="n"/>
      <c r="R505" s="669" t="n"/>
      <c r="S505" s="669" t="n"/>
      <c r="T505" s="669" t="n"/>
      <c r="U505" s="669" t="n"/>
    </row>
    <row r="506" ht="15.75" customHeight="1" s="1128">
      <c r="A506" s="669" t="n"/>
      <c r="B506" s="669" t="n"/>
      <c r="C506" s="669" t="n"/>
      <c r="D506" s="669" t="n"/>
      <c r="E506" s="669" t="n"/>
      <c r="F506" s="669" t="n"/>
      <c r="G506" s="669" t="n"/>
      <c r="H506" s="669" t="n"/>
      <c r="I506" s="669" t="n"/>
      <c r="J506" s="669" t="n"/>
      <c r="K506" s="669" t="n"/>
      <c r="L506" s="669" t="n"/>
      <c r="M506" s="669" t="n"/>
      <c r="N506" s="669" t="n"/>
      <c r="O506" s="669" t="n"/>
      <c r="P506" s="669" t="n"/>
      <c r="Q506" s="669" t="n"/>
      <c r="R506" s="669" t="n"/>
      <c r="S506" s="669" t="n"/>
      <c r="T506" s="669" t="n"/>
      <c r="U506" s="669" t="n"/>
    </row>
    <row r="507" ht="15.75" customHeight="1" s="1128">
      <c r="A507" s="669" t="n"/>
      <c r="B507" s="669" t="n"/>
      <c r="C507" s="669" t="n"/>
      <c r="D507" s="669" t="n"/>
      <c r="E507" s="669" t="n"/>
      <c r="F507" s="669" t="n"/>
      <c r="G507" s="669" t="n"/>
      <c r="H507" s="669" t="n"/>
      <c r="I507" s="669" t="n"/>
      <c r="J507" s="669" t="n"/>
      <c r="K507" s="669" t="n"/>
      <c r="L507" s="669" t="n"/>
      <c r="M507" s="669" t="n"/>
      <c r="N507" s="669" t="n"/>
      <c r="O507" s="669" t="n"/>
      <c r="P507" s="669" t="n"/>
      <c r="Q507" s="669" t="n"/>
      <c r="R507" s="669" t="n"/>
      <c r="S507" s="669" t="n"/>
      <c r="T507" s="669" t="n"/>
      <c r="U507" s="669" t="n"/>
    </row>
    <row r="508" ht="15.75" customHeight="1" s="1128">
      <c r="A508" s="669" t="n"/>
      <c r="B508" s="669" t="n"/>
      <c r="C508" s="669" t="n"/>
      <c r="D508" s="669" t="n"/>
      <c r="E508" s="669" t="n"/>
      <c r="F508" s="669" t="n"/>
      <c r="G508" s="669" t="n"/>
      <c r="H508" s="669" t="n"/>
      <c r="I508" s="669" t="n"/>
      <c r="J508" s="669" t="n"/>
      <c r="K508" s="669" t="n"/>
      <c r="L508" s="669" t="n"/>
      <c r="M508" s="669" t="n"/>
      <c r="N508" s="669" t="n"/>
      <c r="O508" s="669" t="n"/>
      <c r="P508" s="669" t="n"/>
      <c r="Q508" s="669" t="n"/>
      <c r="R508" s="669" t="n"/>
      <c r="S508" s="669" t="n"/>
      <c r="T508" s="669" t="n"/>
      <c r="U508" s="669" t="n"/>
    </row>
    <row r="509" ht="15.75" customHeight="1" s="1128">
      <c r="A509" s="669" t="n"/>
      <c r="B509" s="669" t="n"/>
      <c r="C509" s="669" t="n"/>
      <c r="D509" s="669" t="n"/>
      <c r="E509" s="669" t="n"/>
      <c r="F509" s="669" t="n"/>
      <c r="G509" s="669" t="n"/>
      <c r="H509" s="669" t="n"/>
      <c r="I509" s="669" t="n"/>
      <c r="J509" s="669" t="n"/>
      <c r="K509" s="669" t="n"/>
      <c r="L509" s="669" t="n"/>
      <c r="M509" s="669" t="n"/>
      <c r="N509" s="669" t="n"/>
      <c r="O509" s="669" t="n"/>
      <c r="P509" s="669" t="n"/>
      <c r="Q509" s="669" t="n"/>
      <c r="R509" s="669" t="n"/>
      <c r="S509" s="669" t="n"/>
      <c r="T509" s="669" t="n"/>
      <c r="U509" s="669" t="n"/>
    </row>
    <row r="510" ht="15.75" customHeight="1" s="1128">
      <c r="A510" s="669" t="n"/>
      <c r="B510" s="669" t="n"/>
      <c r="C510" s="669" t="n"/>
      <c r="D510" s="669" t="n"/>
      <c r="E510" s="669" t="n"/>
      <c r="F510" s="669" t="n"/>
      <c r="G510" s="669" t="n"/>
      <c r="H510" s="669" t="n"/>
      <c r="I510" s="669" t="n"/>
      <c r="J510" s="669" t="n"/>
      <c r="K510" s="669" t="n"/>
      <c r="L510" s="669" t="n"/>
      <c r="M510" s="669" t="n"/>
      <c r="N510" s="669" t="n"/>
      <c r="O510" s="669" t="n"/>
      <c r="P510" s="669" t="n"/>
      <c r="Q510" s="669" t="n"/>
      <c r="R510" s="669" t="n"/>
      <c r="S510" s="669" t="n"/>
      <c r="T510" s="669" t="n"/>
      <c r="U510" s="669" t="n"/>
    </row>
    <row r="511" ht="15.75" customHeight="1" s="1128">
      <c r="A511" s="669" t="n"/>
      <c r="B511" s="669" t="n"/>
      <c r="C511" s="669" t="n"/>
      <c r="D511" s="669" t="n"/>
      <c r="E511" s="669" t="n"/>
      <c r="F511" s="669" t="n"/>
      <c r="G511" s="669" t="n"/>
      <c r="H511" s="669" t="n"/>
      <c r="I511" s="669" t="n"/>
      <c r="J511" s="669" t="n"/>
      <c r="K511" s="669" t="n"/>
      <c r="L511" s="669" t="n"/>
      <c r="M511" s="669" t="n"/>
      <c r="N511" s="669" t="n"/>
      <c r="O511" s="669" t="n"/>
      <c r="P511" s="669" t="n"/>
      <c r="Q511" s="669" t="n"/>
      <c r="R511" s="669" t="n"/>
      <c r="S511" s="669" t="n"/>
      <c r="T511" s="669" t="n"/>
      <c r="U511" s="669" t="n"/>
    </row>
    <row r="512" ht="15.75" customHeight="1" s="1128">
      <c r="A512" s="669" t="n"/>
      <c r="B512" s="669" t="n"/>
      <c r="C512" s="669" t="n"/>
      <c r="D512" s="669" t="n"/>
      <c r="E512" s="669" t="n"/>
      <c r="F512" s="669" t="n"/>
      <c r="G512" s="669" t="n"/>
      <c r="H512" s="669" t="n"/>
      <c r="I512" s="669" t="n"/>
      <c r="J512" s="669" t="n"/>
      <c r="K512" s="669" t="n"/>
      <c r="L512" s="669" t="n"/>
      <c r="M512" s="669" t="n"/>
      <c r="N512" s="669" t="n"/>
      <c r="O512" s="669" t="n"/>
      <c r="P512" s="669" t="n"/>
      <c r="Q512" s="669" t="n"/>
      <c r="R512" s="669" t="n"/>
      <c r="S512" s="669" t="n"/>
      <c r="T512" s="669" t="n"/>
      <c r="U512" s="669" t="n"/>
    </row>
    <row r="513" ht="15.75" customHeight="1" s="1128">
      <c r="A513" s="669" t="n"/>
      <c r="B513" s="669" t="n"/>
      <c r="C513" s="669" t="n"/>
      <c r="D513" s="669" t="n"/>
      <c r="E513" s="669" t="n"/>
      <c r="F513" s="669" t="n"/>
      <c r="G513" s="669" t="n"/>
      <c r="H513" s="669" t="n"/>
      <c r="I513" s="669" t="n"/>
      <c r="J513" s="669" t="n"/>
      <c r="K513" s="669" t="n"/>
      <c r="L513" s="669" t="n"/>
      <c r="M513" s="669" t="n"/>
      <c r="N513" s="669" t="n"/>
      <c r="O513" s="669" t="n"/>
      <c r="P513" s="669" t="n"/>
      <c r="Q513" s="669" t="n"/>
      <c r="R513" s="669" t="n"/>
      <c r="S513" s="669" t="n"/>
      <c r="T513" s="669" t="n"/>
      <c r="U513" s="669" t="n"/>
    </row>
    <row r="514" ht="15.75" customHeight="1" s="1128">
      <c r="A514" s="669" t="n"/>
      <c r="B514" s="669" t="n"/>
      <c r="C514" s="669" t="n"/>
      <c r="D514" s="669" t="n"/>
      <c r="E514" s="669" t="n"/>
      <c r="F514" s="669" t="n"/>
      <c r="G514" s="669" t="n"/>
      <c r="H514" s="669" t="n"/>
      <c r="I514" s="669" t="n"/>
      <c r="J514" s="669" t="n"/>
      <c r="K514" s="669" t="n"/>
      <c r="L514" s="669" t="n"/>
      <c r="M514" s="669" t="n"/>
      <c r="N514" s="669" t="n"/>
      <c r="O514" s="669" t="n"/>
      <c r="P514" s="669" t="n"/>
      <c r="Q514" s="669" t="n"/>
      <c r="R514" s="669" t="n"/>
      <c r="S514" s="669" t="n"/>
      <c r="T514" s="669" t="n"/>
      <c r="U514" s="669" t="n"/>
    </row>
    <row r="515" ht="15.75" customHeight="1" s="1128">
      <c r="A515" s="669" t="n"/>
      <c r="B515" s="669" t="n"/>
      <c r="C515" s="669" t="n"/>
      <c r="D515" s="669" t="n"/>
      <c r="E515" s="669" t="n"/>
      <c r="F515" s="669" t="n"/>
      <c r="G515" s="669" t="n"/>
      <c r="H515" s="669" t="n"/>
      <c r="I515" s="669" t="n"/>
      <c r="J515" s="669" t="n"/>
      <c r="K515" s="669" t="n"/>
      <c r="L515" s="669" t="n"/>
      <c r="M515" s="669" t="n"/>
      <c r="N515" s="669" t="n"/>
      <c r="O515" s="669" t="n"/>
      <c r="P515" s="669" t="n"/>
      <c r="Q515" s="669" t="n"/>
      <c r="R515" s="669" t="n"/>
      <c r="S515" s="669" t="n"/>
      <c r="T515" s="669" t="n"/>
      <c r="U515" s="669" t="n"/>
    </row>
    <row r="516" ht="15.75" customHeight="1" s="1128">
      <c r="A516" s="669" t="n"/>
      <c r="B516" s="669" t="n"/>
      <c r="C516" s="669" t="n"/>
      <c r="D516" s="669" t="n"/>
      <c r="E516" s="669" t="n"/>
      <c r="F516" s="669" t="n"/>
      <c r="G516" s="669" t="n"/>
      <c r="H516" s="669" t="n"/>
      <c r="I516" s="669" t="n"/>
      <c r="J516" s="669" t="n"/>
      <c r="K516" s="669" t="n"/>
      <c r="L516" s="669" t="n"/>
      <c r="M516" s="669" t="n"/>
      <c r="N516" s="669" t="n"/>
      <c r="O516" s="669" t="n"/>
      <c r="P516" s="669" t="n"/>
      <c r="Q516" s="669" t="n"/>
      <c r="R516" s="669" t="n"/>
      <c r="S516" s="669" t="n"/>
      <c r="T516" s="669" t="n"/>
      <c r="U516" s="669" t="n"/>
    </row>
    <row r="517" ht="15.75" customHeight="1" s="1128">
      <c r="A517" s="669" t="n"/>
      <c r="B517" s="669" t="n"/>
      <c r="C517" s="669" t="n"/>
      <c r="D517" s="669" t="n"/>
      <c r="E517" s="669" t="n"/>
      <c r="F517" s="669" t="n"/>
      <c r="G517" s="669" t="n"/>
      <c r="H517" s="669" t="n"/>
      <c r="I517" s="669" t="n"/>
      <c r="J517" s="669" t="n"/>
      <c r="K517" s="669" t="n"/>
      <c r="L517" s="669" t="n"/>
      <c r="M517" s="669" t="n"/>
      <c r="N517" s="669" t="n"/>
      <c r="O517" s="669" t="n"/>
      <c r="P517" s="669" t="n"/>
      <c r="Q517" s="669" t="n"/>
      <c r="R517" s="669" t="n"/>
      <c r="S517" s="669" t="n"/>
      <c r="T517" s="669" t="n"/>
      <c r="U517" s="669" t="n"/>
    </row>
    <row r="518" ht="15.75" customHeight="1" s="1128">
      <c r="A518" s="669" t="n"/>
      <c r="B518" s="669" t="n"/>
      <c r="C518" s="669" t="n"/>
      <c r="D518" s="669" t="n"/>
      <c r="E518" s="669" t="n"/>
      <c r="F518" s="669" t="n"/>
      <c r="G518" s="669" t="n"/>
      <c r="H518" s="669" t="n"/>
      <c r="I518" s="669" t="n"/>
      <c r="J518" s="669" t="n"/>
      <c r="K518" s="669" t="n"/>
      <c r="L518" s="669" t="n"/>
      <c r="M518" s="669" t="n"/>
      <c r="N518" s="669" t="n"/>
      <c r="O518" s="669" t="n"/>
      <c r="P518" s="669" t="n"/>
      <c r="Q518" s="669" t="n"/>
      <c r="R518" s="669" t="n"/>
      <c r="S518" s="669" t="n"/>
      <c r="T518" s="669" t="n"/>
      <c r="U518" s="669" t="n"/>
    </row>
    <row r="519" ht="15.75" customHeight="1" s="1128">
      <c r="A519" s="669" t="n"/>
      <c r="B519" s="669" t="n"/>
      <c r="C519" s="669" t="n"/>
      <c r="D519" s="669" t="n"/>
      <c r="E519" s="669" t="n"/>
      <c r="F519" s="669" t="n"/>
      <c r="G519" s="669" t="n"/>
      <c r="H519" s="669" t="n"/>
      <c r="I519" s="669" t="n"/>
      <c r="J519" s="669" t="n"/>
      <c r="K519" s="669" t="n"/>
      <c r="L519" s="669" t="n"/>
      <c r="M519" s="669" t="n"/>
      <c r="N519" s="669" t="n"/>
      <c r="O519" s="669" t="n"/>
      <c r="P519" s="669" t="n"/>
      <c r="Q519" s="669" t="n"/>
      <c r="R519" s="669" t="n"/>
      <c r="S519" s="669" t="n"/>
      <c r="T519" s="669" t="n"/>
      <c r="U519" s="669" t="n"/>
    </row>
    <row r="520" ht="15.75" customHeight="1" s="1128">
      <c r="A520" s="669" t="n"/>
      <c r="B520" s="669" t="n"/>
      <c r="C520" s="669" t="n"/>
      <c r="D520" s="669" t="n"/>
      <c r="E520" s="669" t="n"/>
      <c r="F520" s="669" t="n"/>
      <c r="G520" s="669" t="n"/>
      <c r="H520" s="669" t="n"/>
      <c r="I520" s="669" t="n"/>
      <c r="J520" s="669" t="n"/>
      <c r="K520" s="669" t="n"/>
      <c r="L520" s="669" t="n"/>
      <c r="M520" s="669" t="n"/>
      <c r="N520" s="669" t="n"/>
      <c r="O520" s="669" t="n"/>
      <c r="P520" s="669" t="n"/>
      <c r="Q520" s="669" t="n"/>
      <c r="R520" s="669" t="n"/>
      <c r="S520" s="669" t="n"/>
      <c r="T520" s="669" t="n"/>
      <c r="U520" s="669" t="n"/>
    </row>
    <row r="521" ht="15.75" customHeight="1" s="1128">
      <c r="A521" s="669" t="n"/>
      <c r="B521" s="669" t="n"/>
      <c r="C521" s="669" t="n"/>
      <c r="D521" s="669" t="n"/>
      <c r="E521" s="669" t="n"/>
      <c r="F521" s="669" t="n"/>
      <c r="G521" s="669" t="n"/>
      <c r="H521" s="669" t="n"/>
      <c r="I521" s="669" t="n"/>
      <c r="J521" s="669" t="n"/>
      <c r="K521" s="669" t="n"/>
      <c r="L521" s="669" t="n"/>
      <c r="M521" s="669" t="n"/>
      <c r="N521" s="669" t="n"/>
      <c r="O521" s="669" t="n"/>
      <c r="P521" s="669" t="n"/>
      <c r="Q521" s="669" t="n"/>
      <c r="R521" s="669" t="n"/>
      <c r="S521" s="669" t="n"/>
      <c r="T521" s="669" t="n"/>
      <c r="U521" s="669" t="n"/>
    </row>
    <row r="522" ht="15.75" customHeight="1" s="1128">
      <c r="A522" s="669" t="n"/>
      <c r="B522" s="669" t="n"/>
      <c r="C522" s="669" t="n"/>
      <c r="D522" s="669" t="n"/>
      <c r="E522" s="669" t="n"/>
      <c r="F522" s="669" t="n"/>
      <c r="G522" s="669" t="n"/>
      <c r="H522" s="669" t="n"/>
      <c r="I522" s="669" t="n"/>
      <c r="J522" s="669" t="n"/>
      <c r="K522" s="669" t="n"/>
      <c r="L522" s="669" t="n"/>
      <c r="M522" s="669" t="n"/>
      <c r="N522" s="669" t="n"/>
      <c r="O522" s="669" t="n"/>
      <c r="P522" s="669" t="n"/>
      <c r="Q522" s="669" t="n"/>
      <c r="R522" s="669" t="n"/>
      <c r="S522" s="669" t="n"/>
      <c r="T522" s="669" t="n"/>
      <c r="U522" s="669" t="n"/>
    </row>
    <row r="523" ht="15.75" customHeight="1" s="1128">
      <c r="A523" s="669" t="n"/>
      <c r="B523" s="669" t="n"/>
      <c r="C523" s="669" t="n"/>
      <c r="D523" s="669" t="n"/>
      <c r="E523" s="669" t="n"/>
      <c r="F523" s="669" t="n"/>
      <c r="G523" s="669" t="n"/>
      <c r="H523" s="669" t="n"/>
      <c r="I523" s="669" t="n"/>
      <c r="J523" s="669" t="n"/>
      <c r="K523" s="669" t="n"/>
      <c r="L523" s="669" t="n"/>
      <c r="M523" s="669" t="n"/>
      <c r="N523" s="669" t="n"/>
      <c r="O523" s="669" t="n"/>
      <c r="P523" s="669" t="n"/>
      <c r="Q523" s="669" t="n"/>
      <c r="R523" s="669" t="n"/>
      <c r="S523" s="669" t="n"/>
      <c r="T523" s="669" t="n"/>
      <c r="U523" s="669" t="n"/>
    </row>
    <row r="524" ht="15.75" customHeight="1" s="1128">
      <c r="A524" s="669" t="n"/>
      <c r="B524" s="669" t="n"/>
      <c r="C524" s="669" t="n"/>
      <c r="D524" s="669" t="n"/>
      <c r="E524" s="669" t="n"/>
      <c r="F524" s="669" t="n"/>
      <c r="G524" s="669" t="n"/>
      <c r="H524" s="669" t="n"/>
      <c r="I524" s="669" t="n"/>
      <c r="J524" s="669" t="n"/>
      <c r="K524" s="669" t="n"/>
      <c r="L524" s="669" t="n"/>
      <c r="M524" s="669" t="n"/>
      <c r="N524" s="669" t="n"/>
      <c r="O524" s="669" t="n"/>
      <c r="P524" s="669" t="n"/>
      <c r="Q524" s="669" t="n"/>
      <c r="R524" s="669" t="n"/>
      <c r="S524" s="669" t="n"/>
      <c r="T524" s="669" t="n"/>
      <c r="U524" s="669" t="n"/>
    </row>
    <row r="525" ht="15.75" customHeight="1" s="1128">
      <c r="A525" s="669" t="n"/>
      <c r="B525" s="669" t="n"/>
      <c r="C525" s="669" t="n"/>
      <c r="D525" s="669" t="n"/>
      <c r="E525" s="669" t="n"/>
      <c r="F525" s="669" t="n"/>
      <c r="G525" s="669" t="n"/>
      <c r="H525" s="669" t="n"/>
      <c r="I525" s="669" t="n"/>
      <c r="J525" s="669" t="n"/>
      <c r="K525" s="669" t="n"/>
      <c r="L525" s="669" t="n"/>
      <c r="M525" s="669" t="n"/>
      <c r="N525" s="669" t="n"/>
      <c r="O525" s="669" t="n"/>
      <c r="P525" s="669" t="n"/>
      <c r="Q525" s="669" t="n"/>
      <c r="R525" s="669" t="n"/>
      <c r="S525" s="669" t="n"/>
      <c r="T525" s="669" t="n"/>
      <c r="U525" s="669" t="n"/>
    </row>
    <row r="526" ht="15.75" customHeight="1" s="1128">
      <c r="A526" s="669" t="n"/>
      <c r="B526" s="669" t="n"/>
      <c r="C526" s="669" t="n"/>
      <c r="D526" s="669" t="n"/>
      <c r="E526" s="669" t="n"/>
      <c r="F526" s="669" t="n"/>
      <c r="G526" s="669" t="n"/>
      <c r="H526" s="669" t="n"/>
      <c r="I526" s="669" t="n"/>
      <c r="J526" s="669" t="n"/>
      <c r="K526" s="669" t="n"/>
      <c r="L526" s="669" t="n"/>
      <c r="M526" s="669" t="n"/>
      <c r="N526" s="669" t="n"/>
      <c r="O526" s="669" t="n"/>
      <c r="P526" s="669" t="n"/>
      <c r="Q526" s="669" t="n"/>
      <c r="R526" s="669" t="n"/>
      <c r="S526" s="669" t="n"/>
      <c r="T526" s="669" t="n"/>
      <c r="U526" s="669" t="n"/>
    </row>
    <row r="527" ht="15.75" customHeight="1" s="1128">
      <c r="A527" s="669" t="n"/>
      <c r="B527" s="669" t="n"/>
      <c r="C527" s="669" t="n"/>
      <c r="D527" s="669" t="n"/>
      <c r="E527" s="669" t="n"/>
      <c r="F527" s="669" t="n"/>
      <c r="G527" s="669" t="n"/>
      <c r="H527" s="669" t="n"/>
      <c r="I527" s="669" t="n"/>
      <c r="J527" s="669" t="n"/>
      <c r="K527" s="669" t="n"/>
      <c r="L527" s="669" t="n"/>
      <c r="M527" s="669" t="n"/>
      <c r="N527" s="669" t="n"/>
      <c r="O527" s="669" t="n"/>
      <c r="P527" s="669" t="n"/>
      <c r="Q527" s="669" t="n"/>
      <c r="R527" s="669" t="n"/>
      <c r="S527" s="669" t="n"/>
      <c r="T527" s="669" t="n"/>
      <c r="U527" s="669" t="n"/>
    </row>
    <row r="528" ht="15.75" customHeight="1" s="1128">
      <c r="A528" s="669" t="n"/>
      <c r="B528" s="669" t="n"/>
      <c r="C528" s="669" t="n"/>
      <c r="D528" s="669" t="n"/>
      <c r="E528" s="669" t="n"/>
      <c r="F528" s="669" t="n"/>
      <c r="G528" s="669" t="n"/>
      <c r="H528" s="669" t="n"/>
      <c r="I528" s="669" t="n"/>
      <c r="J528" s="669" t="n"/>
      <c r="K528" s="669" t="n"/>
      <c r="L528" s="669" t="n"/>
      <c r="M528" s="669" t="n"/>
      <c r="N528" s="669" t="n"/>
      <c r="O528" s="669" t="n"/>
      <c r="P528" s="669" t="n"/>
      <c r="Q528" s="669" t="n"/>
      <c r="R528" s="669" t="n"/>
      <c r="S528" s="669" t="n"/>
      <c r="T528" s="669" t="n"/>
      <c r="U528" s="669" t="n"/>
    </row>
    <row r="529" ht="15.75" customHeight="1" s="1128">
      <c r="A529" s="669" t="n"/>
      <c r="B529" s="669" t="n"/>
      <c r="C529" s="669" t="n"/>
      <c r="D529" s="669" t="n"/>
      <c r="E529" s="669" t="n"/>
      <c r="F529" s="669" t="n"/>
      <c r="G529" s="669" t="n"/>
      <c r="H529" s="669" t="n"/>
      <c r="I529" s="669" t="n"/>
      <c r="J529" s="669" t="n"/>
      <c r="K529" s="669" t="n"/>
      <c r="L529" s="669" t="n"/>
      <c r="M529" s="669" t="n"/>
      <c r="N529" s="669" t="n"/>
      <c r="O529" s="669" t="n"/>
      <c r="P529" s="669" t="n"/>
      <c r="Q529" s="669" t="n"/>
      <c r="R529" s="669" t="n"/>
      <c r="S529" s="669" t="n"/>
      <c r="T529" s="669" t="n"/>
      <c r="U529" s="669" t="n"/>
    </row>
    <row r="530" ht="15.75" customHeight="1" s="1128">
      <c r="A530" s="669" t="n"/>
      <c r="B530" s="669" t="n"/>
      <c r="C530" s="669" t="n"/>
      <c r="D530" s="669" t="n"/>
      <c r="E530" s="669" t="n"/>
      <c r="F530" s="669" t="n"/>
      <c r="G530" s="669" t="n"/>
      <c r="H530" s="669" t="n"/>
      <c r="I530" s="669" t="n"/>
      <c r="J530" s="669" t="n"/>
      <c r="K530" s="669" t="n"/>
      <c r="L530" s="669" t="n"/>
      <c r="M530" s="669" t="n"/>
      <c r="N530" s="669" t="n"/>
      <c r="O530" s="669" t="n"/>
      <c r="P530" s="669" t="n"/>
      <c r="Q530" s="669" t="n"/>
      <c r="R530" s="669" t="n"/>
      <c r="S530" s="669" t="n"/>
      <c r="T530" s="669" t="n"/>
      <c r="U530" s="669" t="n"/>
    </row>
    <row r="531" ht="15.75" customHeight="1" s="1128">
      <c r="A531" s="669" t="n"/>
      <c r="B531" s="669" t="n"/>
      <c r="C531" s="669" t="n"/>
      <c r="D531" s="669" t="n"/>
      <c r="E531" s="669" t="n"/>
      <c r="F531" s="669" t="n"/>
      <c r="G531" s="669" t="n"/>
      <c r="H531" s="669" t="n"/>
      <c r="I531" s="669" t="n"/>
      <c r="J531" s="669" t="n"/>
      <c r="K531" s="669" t="n"/>
      <c r="L531" s="669" t="n"/>
      <c r="M531" s="669" t="n"/>
      <c r="N531" s="669" t="n"/>
      <c r="O531" s="669" t="n"/>
      <c r="P531" s="669" t="n"/>
      <c r="Q531" s="669" t="n"/>
      <c r="R531" s="669" t="n"/>
      <c r="S531" s="669" t="n"/>
      <c r="T531" s="669" t="n"/>
      <c r="U531" s="669" t="n"/>
    </row>
    <row r="532" ht="15.75" customHeight="1" s="1128">
      <c r="A532" s="669" t="n"/>
      <c r="B532" s="669" t="n"/>
      <c r="C532" s="669" t="n"/>
      <c r="D532" s="669" t="n"/>
      <c r="E532" s="669" t="n"/>
      <c r="F532" s="669" t="n"/>
      <c r="G532" s="669" t="n"/>
      <c r="H532" s="669" t="n"/>
      <c r="I532" s="669" t="n"/>
      <c r="J532" s="669" t="n"/>
      <c r="K532" s="669" t="n"/>
      <c r="L532" s="669" t="n"/>
      <c r="M532" s="669" t="n"/>
      <c r="N532" s="669" t="n"/>
      <c r="O532" s="669" t="n"/>
      <c r="P532" s="669" t="n"/>
      <c r="Q532" s="669" t="n"/>
      <c r="R532" s="669" t="n"/>
      <c r="S532" s="669" t="n"/>
      <c r="T532" s="669" t="n"/>
      <c r="U532" s="669" t="n"/>
    </row>
    <row r="533" ht="15.75" customHeight="1" s="1128">
      <c r="A533" s="669" t="n"/>
      <c r="B533" s="669" t="n"/>
      <c r="C533" s="669" t="n"/>
      <c r="D533" s="669" t="n"/>
      <c r="E533" s="669" t="n"/>
      <c r="F533" s="669" t="n"/>
      <c r="G533" s="669" t="n"/>
      <c r="H533" s="669" t="n"/>
      <c r="I533" s="669" t="n"/>
      <c r="J533" s="669" t="n"/>
      <c r="K533" s="669" t="n"/>
      <c r="L533" s="669" t="n"/>
      <c r="M533" s="669" t="n"/>
      <c r="N533" s="669" t="n"/>
      <c r="O533" s="669" t="n"/>
      <c r="P533" s="669" t="n"/>
      <c r="Q533" s="669" t="n"/>
      <c r="R533" s="669" t="n"/>
      <c r="S533" s="669" t="n"/>
      <c r="T533" s="669" t="n"/>
      <c r="U533" s="669" t="n"/>
    </row>
    <row r="534" ht="15.75" customHeight="1" s="1128">
      <c r="A534" s="669" t="n"/>
      <c r="B534" s="669" t="n"/>
      <c r="C534" s="669" t="n"/>
      <c r="D534" s="669" t="n"/>
      <c r="E534" s="669" t="n"/>
      <c r="F534" s="669" t="n"/>
      <c r="G534" s="669" t="n"/>
      <c r="H534" s="669" t="n"/>
      <c r="I534" s="669" t="n"/>
      <c r="J534" s="669" t="n"/>
      <c r="K534" s="669" t="n"/>
      <c r="L534" s="669" t="n"/>
      <c r="M534" s="669" t="n"/>
      <c r="N534" s="669" t="n"/>
      <c r="O534" s="669" t="n"/>
      <c r="P534" s="669" t="n"/>
      <c r="Q534" s="669" t="n"/>
      <c r="R534" s="669" t="n"/>
      <c r="S534" s="669" t="n"/>
      <c r="T534" s="669" t="n"/>
      <c r="U534" s="669" t="n"/>
    </row>
    <row r="535" ht="15.75" customHeight="1" s="1128">
      <c r="A535" s="669" t="n"/>
      <c r="B535" s="669" t="n"/>
      <c r="C535" s="669" t="n"/>
      <c r="D535" s="669" t="n"/>
      <c r="E535" s="669" t="n"/>
      <c r="F535" s="669" t="n"/>
      <c r="G535" s="669" t="n"/>
      <c r="H535" s="669" t="n"/>
      <c r="I535" s="669" t="n"/>
      <c r="J535" s="669" t="n"/>
      <c r="K535" s="669" t="n"/>
      <c r="L535" s="669" t="n"/>
      <c r="M535" s="669" t="n"/>
      <c r="N535" s="669" t="n"/>
      <c r="O535" s="669" t="n"/>
      <c r="P535" s="669" t="n"/>
      <c r="Q535" s="669" t="n"/>
      <c r="R535" s="669" t="n"/>
      <c r="S535" s="669" t="n"/>
      <c r="T535" s="669" t="n"/>
      <c r="U535" s="669" t="n"/>
    </row>
    <row r="536" ht="15.75" customHeight="1" s="1128">
      <c r="A536" s="669" t="n"/>
      <c r="B536" s="669" t="n"/>
      <c r="C536" s="669" t="n"/>
      <c r="D536" s="669" t="n"/>
      <c r="E536" s="669" t="n"/>
      <c r="F536" s="669" t="n"/>
      <c r="G536" s="669" t="n"/>
      <c r="H536" s="669" t="n"/>
      <c r="I536" s="669" t="n"/>
      <c r="J536" s="669" t="n"/>
      <c r="K536" s="669" t="n"/>
      <c r="L536" s="669" t="n"/>
      <c r="M536" s="669" t="n"/>
      <c r="N536" s="669" t="n"/>
      <c r="O536" s="669" t="n"/>
      <c r="P536" s="669" t="n"/>
      <c r="Q536" s="669" t="n"/>
      <c r="R536" s="669" t="n"/>
      <c r="S536" s="669" t="n"/>
      <c r="T536" s="669" t="n"/>
      <c r="U536" s="669" t="n"/>
    </row>
    <row r="537" ht="15.75" customHeight="1" s="1128">
      <c r="A537" s="669" t="n"/>
      <c r="B537" s="669" t="n"/>
      <c r="C537" s="669" t="n"/>
      <c r="D537" s="669" t="n"/>
      <c r="E537" s="669" t="n"/>
      <c r="F537" s="669" t="n"/>
      <c r="G537" s="669" t="n"/>
      <c r="H537" s="669" t="n"/>
      <c r="I537" s="669" t="n"/>
      <c r="J537" s="669" t="n"/>
      <c r="K537" s="669" t="n"/>
      <c r="L537" s="669" t="n"/>
      <c r="M537" s="669" t="n"/>
      <c r="N537" s="669" t="n"/>
      <c r="O537" s="669" t="n"/>
      <c r="P537" s="669" t="n"/>
      <c r="Q537" s="669" t="n"/>
      <c r="R537" s="669" t="n"/>
      <c r="S537" s="669" t="n"/>
      <c r="T537" s="669" t="n"/>
      <c r="U537" s="669" t="n"/>
    </row>
    <row r="538" ht="15.75" customHeight="1" s="1128">
      <c r="A538" s="669" t="n"/>
      <c r="B538" s="669" t="n"/>
      <c r="C538" s="669" t="n"/>
      <c r="D538" s="669" t="n"/>
      <c r="E538" s="669" t="n"/>
      <c r="F538" s="669" t="n"/>
      <c r="G538" s="669" t="n"/>
      <c r="H538" s="669" t="n"/>
      <c r="I538" s="669" t="n"/>
      <c r="J538" s="669" t="n"/>
      <c r="K538" s="669" t="n"/>
      <c r="L538" s="669" t="n"/>
      <c r="M538" s="669" t="n"/>
      <c r="N538" s="669" t="n"/>
      <c r="O538" s="669" t="n"/>
      <c r="P538" s="669" t="n"/>
      <c r="Q538" s="669" t="n"/>
      <c r="R538" s="669" t="n"/>
      <c r="S538" s="669" t="n"/>
      <c r="T538" s="669" t="n"/>
      <c r="U538" s="669" t="n"/>
    </row>
    <row r="539" ht="15.75" customHeight="1" s="1128">
      <c r="A539" s="669" t="n"/>
      <c r="B539" s="669" t="n"/>
      <c r="C539" s="669" t="n"/>
      <c r="D539" s="669" t="n"/>
      <c r="E539" s="669" t="n"/>
      <c r="F539" s="669" t="n"/>
      <c r="G539" s="669" t="n"/>
      <c r="H539" s="669" t="n"/>
      <c r="I539" s="669" t="n"/>
      <c r="J539" s="669" t="n"/>
      <c r="K539" s="669" t="n"/>
      <c r="L539" s="669" t="n"/>
      <c r="M539" s="669" t="n"/>
      <c r="N539" s="669" t="n"/>
      <c r="O539" s="669" t="n"/>
      <c r="P539" s="669" t="n"/>
      <c r="Q539" s="669" t="n"/>
      <c r="R539" s="669" t="n"/>
      <c r="S539" s="669" t="n"/>
      <c r="T539" s="669" t="n"/>
      <c r="U539" s="669" t="n"/>
    </row>
    <row r="540" ht="15.75" customHeight="1" s="1128">
      <c r="A540" s="669" t="n"/>
      <c r="B540" s="669" t="n"/>
      <c r="C540" s="669" t="n"/>
      <c r="D540" s="669" t="n"/>
      <c r="E540" s="669" t="n"/>
      <c r="F540" s="669" t="n"/>
      <c r="G540" s="669" t="n"/>
      <c r="H540" s="669" t="n"/>
      <c r="I540" s="669" t="n"/>
      <c r="J540" s="669" t="n"/>
      <c r="K540" s="669" t="n"/>
      <c r="L540" s="669" t="n"/>
      <c r="M540" s="669" t="n"/>
      <c r="N540" s="669" t="n"/>
      <c r="O540" s="669" t="n"/>
      <c r="P540" s="669" t="n"/>
      <c r="Q540" s="669" t="n"/>
      <c r="R540" s="669" t="n"/>
      <c r="S540" s="669" t="n"/>
      <c r="T540" s="669" t="n"/>
      <c r="U540" s="669" t="n"/>
    </row>
    <row r="541" ht="15.75" customHeight="1" s="1128">
      <c r="A541" s="669" t="n"/>
      <c r="B541" s="669" t="n"/>
      <c r="C541" s="669" t="n"/>
      <c r="D541" s="669" t="n"/>
      <c r="E541" s="669" t="n"/>
      <c r="F541" s="669" t="n"/>
      <c r="G541" s="669" t="n"/>
      <c r="H541" s="669" t="n"/>
      <c r="I541" s="669" t="n"/>
      <c r="J541" s="669" t="n"/>
      <c r="K541" s="669" t="n"/>
      <c r="L541" s="669" t="n"/>
      <c r="M541" s="669" t="n"/>
      <c r="N541" s="669" t="n"/>
      <c r="O541" s="669" t="n"/>
      <c r="P541" s="669" t="n"/>
      <c r="Q541" s="669" t="n"/>
      <c r="R541" s="669" t="n"/>
      <c r="S541" s="669" t="n"/>
      <c r="T541" s="669" t="n"/>
      <c r="U541" s="669" t="n"/>
    </row>
    <row r="542" ht="15.75" customHeight="1" s="1128">
      <c r="A542" s="669" t="n"/>
      <c r="B542" s="669" t="n"/>
      <c r="C542" s="669" t="n"/>
      <c r="D542" s="669" t="n"/>
      <c r="E542" s="669" t="n"/>
      <c r="F542" s="669" t="n"/>
      <c r="G542" s="669" t="n"/>
      <c r="H542" s="669" t="n"/>
      <c r="I542" s="669" t="n"/>
      <c r="J542" s="669" t="n"/>
      <c r="K542" s="669" t="n"/>
      <c r="L542" s="669" t="n"/>
      <c r="M542" s="669" t="n"/>
      <c r="N542" s="669" t="n"/>
      <c r="O542" s="669" t="n"/>
      <c r="P542" s="669" t="n"/>
      <c r="Q542" s="669" t="n"/>
      <c r="R542" s="669" t="n"/>
      <c r="S542" s="669" t="n"/>
      <c r="T542" s="669" t="n"/>
      <c r="U542" s="669" t="n"/>
    </row>
    <row r="543" ht="15.75" customHeight="1" s="1128">
      <c r="A543" s="669" t="n"/>
      <c r="B543" s="669" t="n"/>
      <c r="C543" s="669" t="n"/>
      <c r="D543" s="669" t="n"/>
      <c r="E543" s="669" t="n"/>
      <c r="F543" s="669" t="n"/>
      <c r="G543" s="669" t="n"/>
      <c r="H543" s="669" t="n"/>
      <c r="I543" s="669" t="n"/>
      <c r="J543" s="669" t="n"/>
      <c r="K543" s="669" t="n"/>
      <c r="L543" s="669" t="n"/>
      <c r="M543" s="669" t="n"/>
      <c r="N543" s="669" t="n"/>
      <c r="O543" s="669" t="n"/>
      <c r="P543" s="669" t="n"/>
      <c r="Q543" s="669" t="n"/>
      <c r="R543" s="669" t="n"/>
      <c r="S543" s="669" t="n"/>
      <c r="T543" s="669" t="n"/>
      <c r="U543" s="669" t="n"/>
    </row>
    <row r="544" ht="15.75" customHeight="1" s="1128">
      <c r="A544" s="669" t="n"/>
      <c r="B544" s="669" t="n"/>
      <c r="C544" s="669" t="n"/>
      <c r="D544" s="669" t="n"/>
      <c r="E544" s="669" t="n"/>
      <c r="F544" s="669" t="n"/>
      <c r="G544" s="669" t="n"/>
      <c r="H544" s="669" t="n"/>
      <c r="I544" s="669" t="n"/>
      <c r="J544" s="669" t="n"/>
      <c r="K544" s="669" t="n"/>
      <c r="L544" s="669" t="n"/>
      <c r="M544" s="669" t="n"/>
      <c r="N544" s="669" t="n"/>
      <c r="O544" s="669" t="n"/>
      <c r="P544" s="669" t="n"/>
      <c r="Q544" s="669" t="n"/>
      <c r="R544" s="669" t="n"/>
      <c r="S544" s="669" t="n"/>
      <c r="T544" s="669" t="n"/>
      <c r="U544" s="669" t="n"/>
    </row>
    <row r="545" ht="15.75" customHeight="1" s="1128">
      <c r="A545" s="669" t="n"/>
      <c r="B545" s="669" t="n"/>
      <c r="C545" s="669" t="n"/>
      <c r="D545" s="669" t="n"/>
      <c r="E545" s="669" t="n"/>
      <c r="F545" s="669" t="n"/>
      <c r="G545" s="669" t="n"/>
      <c r="H545" s="669" t="n"/>
      <c r="I545" s="669" t="n"/>
      <c r="J545" s="669" t="n"/>
      <c r="K545" s="669" t="n"/>
      <c r="L545" s="669" t="n"/>
      <c r="M545" s="669" t="n"/>
      <c r="N545" s="669" t="n"/>
      <c r="O545" s="669" t="n"/>
      <c r="P545" s="669" t="n"/>
      <c r="Q545" s="669" t="n"/>
      <c r="R545" s="669" t="n"/>
      <c r="S545" s="669" t="n"/>
      <c r="T545" s="669" t="n"/>
      <c r="U545" s="669" t="n"/>
    </row>
    <row r="546" ht="15.75" customHeight="1" s="1128">
      <c r="A546" s="669" t="n"/>
      <c r="B546" s="669" t="n"/>
      <c r="C546" s="669" t="n"/>
      <c r="D546" s="669" t="n"/>
      <c r="E546" s="669" t="n"/>
      <c r="F546" s="669" t="n"/>
      <c r="G546" s="669" t="n"/>
      <c r="H546" s="669" t="n"/>
      <c r="I546" s="669" t="n"/>
      <c r="J546" s="669" t="n"/>
      <c r="K546" s="669" t="n"/>
      <c r="L546" s="669" t="n"/>
      <c r="M546" s="669" t="n"/>
      <c r="N546" s="669" t="n"/>
      <c r="O546" s="669" t="n"/>
      <c r="P546" s="669" t="n"/>
      <c r="Q546" s="669" t="n"/>
      <c r="R546" s="669" t="n"/>
      <c r="S546" s="669" t="n"/>
      <c r="T546" s="669" t="n"/>
      <c r="U546" s="669" t="n"/>
    </row>
    <row r="547" ht="15.75" customHeight="1" s="1128">
      <c r="A547" s="669" t="n"/>
      <c r="B547" s="669" t="n"/>
      <c r="C547" s="669" t="n"/>
      <c r="D547" s="669" t="n"/>
      <c r="E547" s="669" t="n"/>
      <c r="F547" s="669" t="n"/>
      <c r="G547" s="669" t="n"/>
      <c r="H547" s="669" t="n"/>
      <c r="I547" s="669" t="n"/>
      <c r="J547" s="669" t="n"/>
      <c r="K547" s="669" t="n"/>
      <c r="L547" s="669" t="n"/>
      <c r="M547" s="669" t="n"/>
      <c r="N547" s="669" t="n"/>
      <c r="O547" s="669" t="n"/>
      <c r="P547" s="669" t="n"/>
      <c r="Q547" s="669" t="n"/>
      <c r="R547" s="669" t="n"/>
      <c r="S547" s="669" t="n"/>
      <c r="T547" s="669" t="n"/>
      <c r="U547" s="669" t="n"/>
    </row>
    <row r="548" ht="15.75" customHeight="1" s="1128">
      <c r="A548" s="669" t="n"/>
      <c r="B548" s="669" t="n"/>
      <c r="C548" s="669" t="n"/>
      <c r="D548" s="669" t="n"/>
      <c r="E548" s="669" t="n"/>
      <c r="F548" s="669" t="n"/>
      <c r="G548" s="669" t="n"/>
      <c r="H548" s="669" t="n"/>
      <c r="I548" s="669" t="n"/>
      <c r="J548" s="669" t="n"/>
      <c r="K548" s="669" t="n"/>
      <c r="L548" s="669" t="n"/>
      <c r="M548" s="669" t="n"/>
      <c r="N548" s="669" t="n"/>
      <c r="O548" s="669" t="n"/>
      <c r="P548" s="669" t="n"/>
      <c r="Q548" s="669" t="n"/>
      <c r="R548" s="669" t="n"/>
      <c r="S548" s="669" t="n"/>
      <c r="T548" s="669" t="n"/>
      <c r="U548" s="669" t="n"/>
    </row>
    <row r="549" ht="15.75" customHeight="1" s="1128">
      <c r="A549" s="669" t="n"/>
      <c r="B549" s="669" t="n"/>
      <c r="C549" s="669" t="n"/>
      <c r="D549" s="669" t="n"/>
      <c r="E549" s="669" t="n"/>
      <c r="F549" s="669" t="n"/>
      <c r="G549" s="669" t="n"/>
      <c r="H549" s="669" t="n"/>
      <c r="I549" s="669" t="n"/>
      <c r="J549" s="669" t="n"/>
      <c r="K549" s="669" t="n"/>
      <c r="L549" s="669" t="n"/>
      <c r="M549" s="669" t="n"/>
      <c r="N549" s="669" t="n"/>
      <c r="O549" s="669" t="n"/>
      <c r="P549" s="669" t="n"/>
      <c r="Q549" s="669" t="n"/>
      <c r="R549" s="669" t="n"/>
      <c r="S549" s="669" t="n"/>
      <c r="T549" s="669" t="n"/>
      <c r="U549" s="669" t="n"/>
    </row>
    <row r="550" ht="15.75" customHeight="1" s="1128">
      <c r="A550" s="669" t="n"/>
      <c r="B550" s="669" t="n"/>
      <c r="C550" s="669" t="n"/>
      <c r="D550" s="669" t="n"/>
      <c r="E550" s="669" t="n"/>
      <c r="F550" s="669" t="n"/>
      <c r="G550" s="669" t="n"/>
      <c r="H550" s="669" t="n"/>
      <c r="I550" s="669" t="n"/>
      <c r="J550" s="669" t="n"/>
      <c r="K550" s="669" t="n"/>
      <c r="L550" s="669" t="n"/>
      <c r="M550" s="669" t="n"/>
      <c r="N550" s="669" t="n"/>
      <c r="O550" s="669" t="n"/>
      <c r="P550" s="669" t="n"/>
      <c r="Q550" s="669" t="n"/>
      <c r="R550" s="669" t="n"/>
      <c r="S550" s="669" t="n"/>
      <c r="T550" s="669" t="n"/>
      <c r="U550" s="669" t="n"/>
    </row>
    <row r="551" ht="15.75" customHeight="1" s="1128">
      <c r="A551" s="669" t="n"/>
      <c r="B551" s="669" t="n"/>
      <c r="C551" s="669" t="n"/>
      <c r="D551" s="669" t="n"/>
      <c r="E551" s="669" t="n"/>
      <c r="F551" s="669" t="n"/>
      <c r="G551" s="669" t="n"/>
      <c r="H551" s="669" t="n"/>
      <c r="I551" s="669" t="n"/>
      <c r="J551" s="669" t="n"/>
      <c r="K551" s="669" t="n"/>
      <c r="L551" s="669" t="n"/>
      <c r="M551" s="669" t="n"/>
      <c r="N551" s="669" t="n"/>
      <c r="O551" s="669" t="n"/>
      <c r="P551" s="669" t="n"/>
      <c r="Q551" s="669" t="n"/>
      <c r="R551" s="669" t="n"/>
      <c r="S551" s="669" t="n"/>
      <c r="T551" s="669" t="n"/>
      <c r="U551" s="669" t="n"/>
    </row>
    <row r="552" ht="15.75" customHeight="1" s="1128">
      <c r="A552" s="669" t="n"/>
      <c r="B552" s="669" t="n"/>
      <c r="C552" s="669" t="n"/>
      <c r="D552" s="669" t="n"/>
      <c r="E552" s="669" t="n"/>
      <c r="F552" s="669" t="n"/>
      <c r="G552" s="669" t="n"/>
      <c r="H552" s="669" t="n"/>
      <c r="I552" s="669" t="n"/>
      <c r="J552" s="669" t="n"/>
      <c r="K552" s="669" t="n"/>
      <c r="L552" s="669" t="n"/>
      <c r="M552" s="669" t="n"/>
      <c r="N552" s="669" t="n"/>
      <c r="O552" s="669" t="n"/>
      <c r="P552" s="669" t="n"/>
      <c r="Q552" s="669" t="n"/>
      <c r="R552" s="669" t="n"/>
      <c r="S552" s="669" t="n"/>
      <c r="T552" s="669" t="n"/>
      <c r="U552" s="669" t="n"/>
    </row>
    <row r="553" ht="15.75" customHeight="1" s="1128">
      <c r="A553" s="669" t="n"/>
      <c r="B553" s="669" t="n"/>
      <c r="C553" s="669" t="n"/>
      <c r="D553" s="669" t="n"/>
      <c r="E553" s="669" t="n"/>
      <c r="F553" s="669" t="n"/>
      <c r="G553" s="669" t="n"/>
      <c r="H553" s="669" t="n"/>
      <c r="I553" s="669" t="n"/>
      <c r="J553" s="669" t="n"/>
      <c r="K553" s="669" t="n"/>
      <c r="L553" s="669" t="n"/>
      <c r="M553" s="669" t="n"/>
      <c r="N553" s="669" t="n"/>
      <c r="O553" s="669" t="n"/>
      <c r="P553" s="669" t="n"/>
      <c r="Q553" s="669" t="n"/>
      <c r="R553" s="669" t="n"/>
      <c r="S553" s="669" t="n"/>
      <c r="T553" s="669" t="n"/>
      <c r="U553" s="669" t="n"/>
    </row>
    <row r="554" ht="15.75" customHeight="1" s="1128">
      <c r="A554" s="669" t="n"/>
      <c r="B554" s="669" t="n"/>
      <c r="C554" s="669" t="n"/>
      <c r="D554" s="669" t="n"/>
      <c r="E554" s="669" t="n"/>
      <c r="F554" s="669" t="n"/>
      <c r="G554" s="669" t="n"/>
      <c r="H554" s="669" t="n"/>
      <c r="I554" s="669" t="n"/>
      <c r="J554" s="669" t="n"/>
      <c r="K554" s="669" t="n"/>
      <c r="L554" s="669" t="n"/>
      <c r="M554" s="669" t="n"/>
      <c r="N554" s="669" t="n"/>
      <c r="O554" s="669" t="n"/>
      <c r="P554" s="669" t="n"/>
      <c r="Q554" s="669" t="n"/>
      <c r="R554" s="669" t="n"/>
      <c r="S554" s="669" t="n"/>
      <c r="T554" s="669" t="n"/>
      <c r="U554" s="669" t="n"/>
    </row>
    <row r="555" ht="15.75" customHeight="1" s="1128">
      <c r="A555" s="669" t="n"/>
      <c r="B555" s="669" t="n"/>
      <c r="C555" s="669" t="n"/>
      <c r="D555" s="669" t="n"/>
      <c r="E555" s="669" t="n"/>
      <c r="F555" s="669" t="n"/>
      <c r="G555" s="669" t="n"/>
      <c r="H555" s="669" t="n"/>
      <c r="I555" s="669" t="n"/>
      <c r="J555" s="669" t="n"/>
      <c r="K555" s="669" t="n"/>
      <c r="L555" s="669" t="n"/>
      <c r="M555" s="669" t="n"/>
      <c r="N555" s="669" t="n"/>
      <c r="O555" s="669" t="n"/>
      <c r="P555" s="669" t="n"/>
      <c r="Q555" s="669" t="n"/>
      <c r="R555" s="669" t="n"/>
      <c r="S555" s="669" t="n"/>
      <c r="T555" s="669" t="n"/>
      <c r="U555" s="669" t="n"/>
    </row>
    <row r="556" ht="15.75" customHeight="1" s="1128">
      <c r="A556" s="669" t="n"/>
      <c r="B556" s="669" t="n"/>
      <c r="C556" s="669" t="n"/>
      <c r="D556" s="669" t="n"/>
      <c r="E556" s="669" t="n"/>
      <c r="F556" s="669" t="n"/>
      <c r="G556" s="669" t="n"/>
      <c r="H556" s="669" t="n"/>
      <c r="I556" s="669" t="n"/>
      <c r="J556" s="669" t="n"/>
      <c r="K556" s="669" t="n"/>
      <c r="L556" s="669" t="n"/>
      <c r="M556" s="669" t="n"/>
      <c r="N556" s="669" t="n"/>
      <c r="O556" s="669" t="n"/>
      <c r="P556" s="669" t="n"/>
      <c r="Q556" s="669" t="n"/>
      <c r="R556" s="669" t="n"/>
      <c r="S556" s="669" t="n"/>
      <c r="T556" s="669" t="n"/>
      <c r="U556" s="669" t="n"/>
    </row>
    <row r="557" ht="15.75" customHeight="1" s="1128">
      <c r="A557" s="669" t="n"/>
      <c r="B557" s="669" t="n"/>
      <c r="C557" s="669" t="n"/>
      <c r="D557" s="669" t="n"/>
      <c r="E557" s="669" t="n"/>
      <c r="F557" s="669" t="n"/>
      <c r="G557" s="669" t="n"/>
      <c r="H557" s="669" t="n"/>
      <c r="I557" s="669" t="n"/>
      <c r="J557" s="669" t="n"/>
      <c r="K557" s="669" t="n"/>
      <c r="L557" s="669" t="n"/>
      <c r="M557" s="669" t="n"/>
      <c r="N557" s="669" t="n"/>
      <c r="O557" s="669" t="n"/>
      <c r="P557" s="669" t="n"/>
      <c r="Q557" s="669" t="n"/>
      <c r="R557" s="669" t="n"/>
      <c r="S557" s="669" t="n"/>
      <c r="T557" s="669" t="n"/>
      <c r="U557" s="669" t="n"/>
    </row>
    <row r="558" ht="15.75" customHeight="1" s="1128">
      <c r="A558" s="669" t="n"/>
      <c r="B558" s="669" t="n"/>
      <c r="C558" s="669" t="n"/>
      <c r="D558" s="669" t="n"/>
      <c r="E558" s="669" t="n"/>
      <c r="F558" s="669" t="n"/>
      <c r="G558" s="669" t="n"/>
      <c r="H558" s="669" t="n"/>
      <c r="I558" s="669" t="n"/>
      <c r="J558" s="669" t="n"/>
      <c r="K558" s="669" t="n"/>
      <c r="L558" s="669" t="n"/>
      <c r="M558" s="669" t="n"/>
      <c r="N558" s="669" t="n"/>
      <c r="O558" s="669" t="n"/>
      <c r="P558" s="669" t="n"/>
      <c r="Q558" s="669" t="n"/>
      <c r="R558" s="669" t="n"/>
      <c r="S558" s="669" t="n"/>
      <c r="T558" s="669" t="n"/>
      <c r="U558" s="669" t="n"/>
    </row>
    <row r="559" ht="15.75" customHeight="1" s="1128">
      <c r="A559" s="669" t="n"/>
      <c r="B559" s="669" t="n"/>
      <c r="C559" s="669" t="n"/>
      <c r="D559" s="669" t="n"/>
      <c r="E559" s="669" t="n"/>
      <c r="F559" s="669" t="n"/>
      <c r="G559" s="669" t="n"/>
      <c r="H559" s="669" t="n"/>
      <c r="I559" s="669" t="n"/>
      <c r="J559" s="669" t="n"/>
      <c r="K559" s="669" t="n"/>
      <c r="L559" s="669" t="n"/>
      <c r="M559" s="669" t="n"/>
      <c r="N559" s="669" t="n"/>
      <c r="O559" s="669" t="n"/>
      <c r="P559" s="669" t="n"/>
      <c r="Q559" s="669" t="n"/>
      <c r="R559" s="669" t="n"/>
      <c r="S559" s="669" t="n"/>
      <c r="T559" s="669" t="n"/>
      <c r="U559" s="669" t="n"/>
    </row>
    <row r="560" ht="15.75" customHeight="1" s="1128">
      <c r="A560" s="669" t="n"/>
      <c r="B560" s="669" t="n"/>
      <c r="C560" s="669" t="n"/>
      <c r="D560" s="669" t="n"/>
      <c r="E560" s="669" t="n"/>
      <c r="F560" s="669" t="n"/>
      <c r="G560" s="669" t="n"/>
      <c r="H560" s="669" t="n"/>
      <c r="I560" s="669" t="n"/>
      <c r="J560" s="669" t="n"/>
      <c r="K560" s="669" t="n"/>
      <c r="L560" s="669" t="n"/>
      <c r="M560" s="669" t="n"/>
      <c r="N560" s="669" t="n"/>
      <c r="O560" s="669" t="n"/>
      <c r="P560" s="669" t="n"/>
      <c r="Q560" s="669" t="n"/>
      <c r="R560" s="669" t="n"/>
      <c r="S560" s="669" t="n"/>
      <c r="T560" s="669" t="n"/>
      <c r="U560" s="669" t="n"/>
    </row>
    <row r="561" ht="15.75" customHeight="1" s="1128">
      <c r="A561" s="669" t="n"/>
      <c r="B561" s="669" t="n"/>
      <c r="C561" s="669" t="n"/>
      <c r="D561" s="669" t="n"/>
      <c r="E561" s="669" t="n"/>
      <c r="F561" s="669" t="n"/>
      <c r="G561" s="669" t="n"/>
      <c r="H561" s="669" t="n"/>
      <c r="I561" s="669" t="n"/>
      <c r="J561" s="669" t="n"/>
      <c r="K561" s="669" t="n"/>
      <c r="L561" s="669" t="n"/>
      <c r="M561" s="669" t="n"/>
      <c r="N561" s="669" t="n"/>
      <c r="O561" s="669" t="n"/>
      <c r="P561" s="669" t="n"/>
      <c r="Q561" s="669" t="n"/>
      <c r="R561" s="669" t="n"/>
      <c r="S561" s="669" t="n"/>
      <c r="T561" s="669" t="n"/>
      <c r="U561" s="669" t="n"/>
    </row>
    <row r="562" ht="15.75" customHeight="1" s="1128">
      <c r="A562" s="669" t="n"/>
      <c r="B562" s="669" t="n"/>
      <c r="C562" s="669" t="n"/>
      <c r="D562" s="669" t="n"/>
      <c r="E562" s="669" t="n"/>
      <c r="F562" s="669" t="n"/>
      <c r="G562" s="669" t="n"/>
      <c r="H562" s="669" t="n"/>
      <c r="I562" s="669" t="n"/>
      <c r="J562" s="669" t="n"/>
      <c r="K562" s="669" t="n"/>
      <c r="L562" s="669" t="n"/>
      <c r="M562" s="669" t="n"/>
      <c r="N562" s="669" t="n"/>
      <c r="O562" s="669" t="n"/>
      <c r="P562" s="669" t="n"/>
      <c r="Q562" s="669" t="n"/>
      <c r="R562" s="669" t="n"/>
      <c r="S562" s="669" t="n"/>
      <c r="T562" s="669" t="n"/>
      <c r="U562" s="669" t="n"/>
    </row>
    <row r="563" ht="15.75" customHeight="1" s="1128">
      <c r="A563" s="669" t="n"/>
      <c r="B563" s="669" t="n"/>
      <c r="C563" s="669" t="n"/>
      <c r="D563" s="669" t="n"/>
      <c r="E563" s="669" t="n"/>
      <c r="F563" s="669" t="n"/>
      <c r="G563" s="669" t="n"/>
      <c r="H563" s="669" t="n"/>
      <c r="I563" s="669" t="n"/>
      <c r="J563" s="669" t="n"/>
      <c r="K563" s="669" t="n"/>
      <c r="L563" s="669" t="n"/>
      <c r="M563" s="669" t="n"/>
      <c r="N563" s="669" t="n"/>
      <c r="O563" s="669" t="n"/>
      <c r="P563" s="669" t="n"/>
      <c r="Q563" s="669" t="n"/>
      <c r="R563" s="669" t="n"/>
      <c r="S563" s="669" t="n"/>
      <c r="T563" s="669" t="n"/>
      <c r="U563" s="669" t="n"/>
    </row>
    <row r="564" ht="15.75" customHeight="1" s="1128">
      <c r="A564" s="669" t="n"/>
      <c r="B564" s="669" t="n"/>
      <c r="C564" s="669" t="n"/>
      <c r="D564" s="669" t="n"/>
      <c r="E564" s="669" t="n"/>
      <c r="F564" s="669" t="n"/>
      <c r="G564" s="669" t="n"/>
      <c r="H564" s="669" t="n"/>
      <c r="I564" s="669" t="n"/>
      <c r="J564" s="669" t="n"/>
      <c r="K564" s="669" t="n"/>
      <c r="L564" s="669" t="n"/>
      <c r="M564" s="669" t="n"/>
      <c r="N564" s="669" t="n"/>
      <c r="O564" s="669" t="n"/>
      <c r="P564" s="669" t="n"/>
      <c r="Q564" s="669" t="n"/>
      <c r="R564" s="669" t="n"/>
      <c r="S564" s="669" t="n"/>
      <c r="T564" s="669" t="n"/>
      <c r="U564" s="669" t="n"/>
    </row>
    <row r="565" ht="15.75" customHeight="1" s="1128">
      <c r="A565" s="669" t="n"/>
      <c r="B565" s="669" t="n"/>
      <c r="C565" s="669" t="n"/>
      <c r="D565" s="669" t="n"/>
      <c r="E565" s="669" t="n"/>
      <c r="F565" s="669" t="n"/>
      <c r="G565" s="669" t="n"/>
      <c r="H565" s="669" t="n"/>
      <c r="I565" s="669" t="n"/>
      <c r="J565" s="669" t="n"/>
      <c r="K565" s="669" t="n"/>
      <c r="L565" s="669" t="n"/>
      <c r="M565" s="669" t="n"/>
      <c r="N565" s="669" t="n"/>
      <c r="O565" s="669" t="n"/>
      <c r="P565" s="669" t="n"/>
      <c r="Q565" s="669" t="n"/>
      <c r="R565" s="669" t="n"/>
      <c r="S565" s="669" t="n"/>
      <c r="T565" s="669" t="n"/>
      <c r="U565" s="669" t="n"/>
    </row>
    <row r="566" ht="15.75" customHeight="1" s="1128">
      <c r="A566" s="669" t="n"/>
      <c r="B566" s="669" t="n"/>
      <c r="C566" s="669" t="n"/>
      <c r="D566" s="669" t="n"/>
      <c r="E566" s="669" t="n"/>
      <c r="F566" s="669" t="n"/>
      <c r="G566" s="669" t="n"/>
      <c r="H566" s="669" t="n"/>
      <c r="I566" s="669" t="n"/>
      <c r="J566" s="669" t="n"/>
      <c r="K566" s="669" t="n"/>
      <c r="L566" s="669" t="n"/>
      <c r="M566" s="669" t="n"/>
      <c r="N566" s="669" t="n"/>
      <c r="O566" s="669" t="n"/>
      <c r="P566" s="669" t="n"/>
      <c r="Q566" s="669" t="n"/>
      <c r="R566" s="669" t="n"/>
      <c r="S566" s="669" t="n"/>
      <c r="T566" s="669" t="n"/>
      <c r="U566" s="669" t="n"/>
    </row>
    <row r="567" ht="15.75" customHeight="1" s="1128">
      <c r="A567" s="669" t="n"/>
      <c r="B567" s="669" t="n"/>
      <c r="C567" s="669" t="n"/>
      <c r="D567" s="669" t="n"/>
      <c r="E567" s="669" t="n"/>
      <c r="F567" s="669" t="n"/>
      <c r="G567" s="669" t="n"/>
      <c r="H567" s="669" t="n"/>
      <c r="I567" s="669" t="n"/>
      <c r="J567" s="669" t="n"/>
      <c r="K567" s="669" t="n"/>
      <c r="L567" s="669" t="n"/>
      <c r="M567" s="669" t="n"/>
      <c r="N567" s="669" t="n"/>
      <c r="O567" s="669" t="n"/>
      <c r="P567" s="669" t="n"/>
      <c r="Q567" s="669" t="n"/>
      <c r="R567" s="669" t="n"/>
      <c r="S567" s="669" t="n"/>
      <c r="T567" s="669" t="n"/>
      <c r="U567" s="669" t="n"/>
    </row>
    <row r="568" ht="15.75" customHeight="1" s="1128">
      <c r="A568" s="669" t="n"/>
      <c r="B568" s="669" t="n"/>
      <c r="C568" s="669" t="n"/>
      <c r="D568" s="669" t="n"/>
      <c r="E568" s="669" t="n"/>
      <c r="F568" s="669" t="n"/>
      <c r="G568" s="669" t="n"/>
      <c r="H568" s="669" t="n"/>
      <c r="I568" s="669" t="n"/>
      <c r="J568" s="669" t="n"/>
      <c r="K568" s="669" t="n"/>
      <c r="L568" s="669" t="n"/>
      <c r="M568" s="669" t="n"/>
      <c r="N568" s="669" t="n"/>
      <c r="O568" s="669" t="n"/>
      <c r="P568" s="669" t="n"/>
      <c r="Q568" s="669" t="n"/>
      <c r="R568" s="669" t="n"/>
      <c r="S568" s="669" t="n"/>
      <c r="T568" s="669" t="n"/>
      <c r="U568" s="669" t="n"/>
    </row>
    <row r="569" ht="15.75" customHeight="1" s="1128">
      <c r="A569" s="669" t="n"/>
      <c r="B569" s="669" t="n"/>
      <c r="C569" s="669" t="n"/>
      <c r="D569" s="669" t="n"/>
      <c r="E569" s="669" t="n"/>
      <c r="F569" s="669" t="n"/>
      <c r="G569" s="669" t="n"/>
      <c r="H569" s="669" t="n"/>
      <c r="I569" s="669" t="n"/>
      <c r="J569" s="669" t="n"/>
      <c r="K569" s="669" t="n"/>
      <c r="L569" s="669" t="n"/>
      <c r="M569" s="669" t="n"/>
      <c r="N569" s="669" t="n"/>
      <c r="O569" s="669" t="n"/>
      <c r="P569" s="669" t="n"/>
      <c r="Q569" s="669" t="n"/>
      <c r="R569" s="669" t="n"/>
      <c r="S569" s="669" t="n"/>
      <c r="T569" s="669" t="n"/>
      <c r="U569" s="669" t="n"/>
    </row>
    <row r="570" ht="15.75" customHeight="1" s="1128">
      <c r="A570" s="669" t="n"/>
      <c r="B570" s="669" t="n"/>
      <c r="C570" s="669" t="n"/>
      <c r="D570" s="669" t="n"/>
      <c r="E570" s="669" t="n"/>
      <c r="F570" s="669" t="n"/>
      <c r="G570" s="669" t="n"/>
      <c r="H570" s="669" t="n"/>
      <c r="I570" s="669" t="n"/>
      <c r="J570" s="669" t="n"/>
      <c r="K570" s="669" t="n"/>
      <c r="L570" s="669" t="n"/>
      <c r="M570" s="669" t="n"/>
      <c r="N570" s="669" t="n"/>
      <c r="O570" s="669" t="n"/>
      <c r="P570" s="669" t="n"/>
      <c r="Q570" s="669" t="n"/>
      <c r="R570" s="669" t="n"/>
      <c r="S570" s="669" t="n"/>
      <c r="T570" s="669" t="n"/>
      <c r="U570" s="669" t="n"/>
    </row>
    <row r="571" ht="15.75" customHeight="1" s="1128">
      <c r="A571" s="669" t="n"/>
      <c r="B571" s="669" t="n"/>
      <c r="C571" s="669" t="n"/>
      <c r="D571" s="669" t="n"/>
      <c r="E571" s="669" t="n"/>
      <c r="F571" s="669" t="n"/>
      <c r="G571" s="669" t="n"/>
      <c r="H571" s="669" t="n"/>
      <c r="I571" s="669" t="n"/>
      <c r="J571" s="669" t="n"/>
      <c r="K571" s="669" t="n"/>
      <c r="L571" s="669" t="n"/>
      <c r="M571" s="669" t="n"/>
      <c r="N571" s="669" t="n"/>
      <c r="O571" s="669" t="n"/>
      <c r="P571" s="669" t="n"/>
      <c r="Q571" s="669" t="n"/>
      <c r="R571" s="669" t="n"/>
      <c r="S571" s="669" t="n"/>
      <c r="T571" s="669" t="n"/>
      <c r="U571" s="669" t="n"/>
    </row>
    <row r="572" ht="15.75" customHeight="1" s="1128">
      <c r="A572" s="669" t="n"/>
      <c r="B572" s="669" t="n"/>
      <c r="C572" s="669" t="n"/>
      <c r="D572" s="669" t="n"/>
      <c r="E572" s="669" t="n"/>
      <c r="F572" s="669" t="n"/>
      <c r="G572" s="669" t="n"/>
      <c r="H572" s="669" t="n"/>
      <c r="I572" s="669" t="n"/>
      <c r="J572" s="669" t="n"/>
      <c r="K572" s="669" t="n"/>
      <c r="L572" s="669" t="n"/>
      <c r="M572" s="669" t="n"/>
      <c r="N572" s="669" t="n"/>
      <c r="O572" s="669" t="n"/>
      <c r="P572" s="669" t="n"/>
      <c r="Q572" s="669" t="n"/>
      <c r="R572" s="669" t="n"/>
      <c r="S572" s="669" t="n"/>
      <c r="T572" s="669" t="n"/>
      <c r="U572" s="669" t="n"/>
    </row>
    <row r="573" ht="15.75" customHeight="1" s="1128">
      <c r="A573" s="669" t="n"/>
      <c r="B573" s="669" t="n"/>
      <c r="C573" s="669" t="n"/>
      <c r="D573" s="669" t="n"/>
      <c r="E573" s="669" t="n"/>
      <c r="F573" s="669" t="n"/>
      <c r="G573" s="669" t="n"/>
      <c r="H573" s="669" t="n"/>
      <c r="I573" s="669" t="n"/>
      <c r="J573" s="669" t="n"/>
      <c r="K573" s="669" t="n"/>
      <c r="L573" s="669" t="n"/>
      <c r="M573" s="669" t="n"/>
      <c r="N573" s="669" t="n"/>
      <c r="O573" s="669" t="n"/>
      <c r="P573" s="669" t="n"/>
      <c r="Q573" s="669" t="n"/>
      <c r="R573" s="669" t="n"/>
      <c r="S573" s="669" t="n"/>
      <c r="T573" s="669" t="n"/>
      <c r="U573" s="669" t="n"/>
    </row>
    <row r="574" ht="15.75" customHeight="1" s="1128">
      <c r="A574" s="669" t="n"/>
      <c r="B574" s="669" t="n"/>
      <c r="C574" s="669" t="n"/>
      <c r="D574" s="669" t="n"/>
      <c r="E574" s="669" t="n"/>
      <c r="F574" s="669" t="n"/>
      <c r="G574" s="669" t="n"/>
      <c r="H574" s="669" t="n"/>
      <c r="I574" s="669" t="n"/>
      <c r="J574" s="669" t="n"/>
      <c r="K574" s="669" t="n"/>
      <c r="L574" s="669" t="n"/>
      <c r="M574" s="669" t="n"/>
      <c r="N574" s="669" t="n"/>
      <c r="O574" s="669" t="n"/>
      <c r="P574" s="669" t="n"/>
      <c r="Q574" s="669" t="n"/>
      <c r="R574" s="669" t="n"/>
      <c r="S574" s="669" t="n"/>
      <c r="T574" s="669" t="n"/>
      <c r="U574" s="669" t="n"/>
    </row>
    <row r="575" ht="15.75" customHeight="1" s="1128">
      <c r="A575" s="669" t="n"/>
      <c r="B575" s="669" t="n"/>
      <c r="C575" s="669" t="n"/>
      <c r="D575" s="669" t="n"/>
      <c r="E575" s="669" t="n"/>
      <c r="F575" s="669" t="n"/>
      <c r="G575" s="669" t="n"/>
      <c r="H575" s="669" t="n"/>
      <c r="I575" s="669" t="n"/>
      <c r="J575" s="669" t="n"/>
      <c r="K575" s="669" t="n"/>
      <c r="L575" s="669" t="n"/>
      <c r="M575" s="669" t="n"/>
      <c r="N575" s="669" t="n"/>
      <c r="O575" s="669" t="n"/>
      <c r="P575" s="669" t="n"/>
      <c r="Q575" s="669" t="n"/>
      <c r="R575" s="669" t="n"/>
      <c r="S575" s="669" t="n"/>
      <c r="T575" s="669" t="n"/>
      <c r="U575" s="669" t="n"/>
    </row>
    <row r="576" ht="15.75" customHeight="1" s="1128">
      <c r="A576" s="669" t="n"/>
      <c r="B576" s="669" t="n"/>
      <c r="C576" s="669" t="n"/>
      <c r="D576" s="669" t="n"/>
      <c r="E576" s="669" t="n"/>
      <c r="F576" s="669" t="n"/>
      <c r="G576" s="669" t="n"/>
      <c r="H576" s="669" t="n"/>
      <c r="I576" s="669" t="n"/>
      <c r="J576" s="669" t="n"/>
      <c r="K576" s="669" t="n"/>
      <c r="L576" s="669" t="n"/>
      <c r="M576" s="669" t="n"/>
      <c r="N576" s="669" t="n"/>
      <c r="O576" s="669" t="n"/>
      <c r="P576" s="669" t="n"/>
      <c r="Q576" s="669" t="n"/>
      <c r="R576" s="669" t="n"/>
      <c r="S576" s="669" t="n"/>
      <c r="T576" s="669" t="n"/>
      <c r="U576" s="669" t="n"/>
    </row>
    <row r="577" ht="15.75" customHeight="1" s="1128">
      <c r="A577" s="669" t="n"/>
      <c r="B577" s="669" t="n"/>
      <c r="C577" s="669" t="n"/>
      <c r="D577" s="669" t="n"/>
      <c r="E577" s="669" t="n"/>
      <c r="F577" s="669" t="n"/>
      <c r="G577" s="669" t="n"/>
      <c r="H577" s="669" t="n"/>
      <c r="I577" s="669" t="n"/>
      <c r="J577" s="669" t="n"/>
      <c r="K577" s="669" t="n"/>
      <c r="L577" s="669" t="n"/>
      <c r="M577" s="669" t="n"/>
      <c r="N577" s="669" t="n"/>
      <c r="O577" s="669" t="n"/>
      <c r="P577" s="669" t="n"/>
      <c r="Q577" s="669" t="n"/>
      <c r="R577" s="669" t="n"/>
      <c r="S577" s="669" t="n"/>
      <c r="T577" s="669" t="n"/>
      <c r="U577" s="669" t="n"/>
    </row>
    <row r="578" ht="15.75" customHeight="1" s="1128">
      <c r="A578" s="669" t="n"/>
      <c r="B578" s="669" t="n"/>
      <c r="C578" s="669" t="n"/>
      <c r="D578" s="669" t="n"/>
      <c r="E578" s="669" t="n"/>
      <c r="F578" s="669" t="n"/>
      <c r="G578" s="669" t="n"/>
      <c r="H578" s="669" t="n"/>
      <c r="I578" s="669" t="n"/>
      <c r="J578" s="669" t="n"/>
      <c r="K578" s="669" t="n"/>
      <c r="L578" s="669" t="n"/>
      <c r="M578" s="669" t="n"/>
      <c r="N578" s="669" t="n"/>
      <c r="O578" s="669" t="n"/>
      <c r="P578" s="669" t="n"/>
      <c r="Q578" s="669" t="n"/>
      <c r="R578" s="669" t="n"/>
      <c r="S578" s="669" t="n"/>
      <c r="T578" s="669" t="n"/>
      <c r="U578" s="669" t="n"/>
    </row>
    <row r="579" ht="15.75" customHeight="1" s="1128">
      <c r="A579" s="669" t="n"/>
      <c r="B579" s="669" t="n"/>
      <c r="C579" s="669" t="n"/>
      <c r="D579" s="669" t="n"/>
      <c r="E579" s="669" t="n"/>
      <c r="F579" s="669" t="n"/>
      <c r="G579" s="669" t="n"/>
      <c r="H579" s="669" t="n"/>
      <c r="I579" s="669" t="n"/>
      <c r="J579" s="669" t="n"/>
      <c r="K579" s="669" t="n"/>
      <c r="L579" s="669" t="n"/>
      <c r="M579" s="669" t="n"/>
      <c r="N579" s="669" t="n"/>
      <c r="O579" s="669" t="n"/>
      <c r="P579" s="669" t="n"/>
      <c r="Q579" s="669" t="n"/>
      <c r="R579" s="669" t="n"/>
      <c r="S579" s="669" t="n"/>
      <c r="T579" s="669" t="n"/>
      <c r="U579" s="669" t="n"/>
    </row>
    <row r="580" ht="15.75" customHeight="1" s="1128">
      <c r="A580" s="669" t="n"/>
      <c r="B580" s="669" t="n"/>
      <c r="C580" s="669" t="n"/>
      <c r="D580" s="669" t="n"/>
      <c r="E580" s="669" t="n"/>
      <c r="F580" s="669" t="n"/>
      <c r="G580" s="669" t="n"/>
      <c r="H580" s="669" t="n"/>
      <c r="I580" s="669" t="n"/>
      <c r="J580" s="669" t="n"/>
      <c r="K580" s="669" t="n"/>
      <c r="L580" s="669" t="n"/>
      <c r="M580" s="669" t="n"/>
      <c r="N580" s="669" t="n"/>
      <c r="O580" s="669" t="n"/>
      <c r="P580" s="669" t="n"/>
      <c r="Q580" s="669" t="n"/>
      <c r="R580" s="669" t="n"/>
      <c r="S580" s="669" t="n"/>
      <c r="T580" s="669" t="n"/>
      <c r="U580" s="669" t="n"/>
    </row>
    <row r="581" ht="15.75" customHeight="1" s="1128">
      <c r="A581" s="669" t="n"/>
      <c r="B581" s="669" t="n"/>
      <c r="C581" s="669" t="n"/>
      <c r="D581" s="669" t="n"/>
      <c r="E581" s="669" t="n"/>
      <c r="F581" s="669" t="n"/>
      <c r="G581" s="669" t="n"/>
      <c r="H581" s="669" t="n"/>
      <c r="I581" s="669" t="n"/>
      <c r="J581" s="669" t="n"/>
      <c r="K581" s="669" t="n"/>
      <c r="L581" s="669" t="n"/>
      <c r="M581" s="669" t="n"/>
      <c r="N581" s="669" t="n"/>
      <c r="O581" s="669" t="n"/>
      <c r="P581" s="669" t="n"/>
      <c r="Q581" s="669" t="n"/>
      <c r="R581" s="669" t="n"/>
      <c r="S581" s="669" t="n"/>
      <c r="T581" s="669" t="n"/>
      <c r="U581" s="669" t="n"/>
    </row>
    <row r="582" ht="15.75" customHeight="1" s="1128">
      <c r="A582" s="669" t="n"/>
      <c r="B582" s="669" t="n"/>
      <c r="C582" s="669" t="n"/>
      <c r="D582" s="669" t="n"/>
      <c r="E582" s="669" t="n"/>
      <c r="F582" s="669" t="n"/>
      <c r="G582" s="669" t="n"/>
      <c r="H582" s="669" t="n"/>
      <c r="I582" s="669" t="n"/>
      <c r="J582" s="669" t="n"/>
      <c r="K582" s="669" t="n"/>
      <c r="L582" s="669" t="n"/>
      <c r="M582" s="669" t="n"/>
      <c r="N582" s="669" t="n"/>
      <c r="O582" s="669" t="n"/>
      <c r="P582" s="669" t="n"/>
      <c r="Q582" s="669" t="n"/>
      <c r="R582" s="669" t="n"/>
      <c r="S582" s="669" t="n"/>
      <c r="T582" s="669" t="n"/>
      <c r="U582" s="669" t="n"/>
    </row>
    <row r="583" ht="15.75" customHeight="1" s="1128">
      <c r="A583" s="669" t="n"/>
      <c r="B583" s="669" t="n"/>
      <c r="C583" s="669" t="n"/>
      <c r="D583" s="669" t="n"/>
      <c r="E583" s="669" t="n"/>
      <c r="F583" s="669" t="n"/>
      <c r="G583" s="669" t="n"/>
      <c r="H583" s="669" t="n"/>
      <c r="I583" s="669" t="n"/>
      <c r="J583" s="669" t="n"/>
      <c r="K583" s="669" t="n"/>
      <c r="L583" s="669" t="n"/>
      <c r="M583" s="669" t="n"/>
      <c r="N583" s="669" t="n"/>
      <c r="O583" s="669" t="n"/>
      <c r="P583" s="669" t="n"/>
      <c r="Q583" s="669" t="n"/>
      <c r="R583" s="669" t="n"/>
      <c r="S583" s="669" t="n"/>
      <c r="T583" s="669" t="n"/>
      <c r="U583" s="669" t="n"/>
    </row>
    <row r="584" ht="15.75" customHeight="1" s="1128">
      <c r="A584" s="669" t="n"/>
      <c r="B584" s="669" t="n"/>
      <c r="C584" s="669" t="n"/>
      <c r="D584" s="669" t="n"/>
      <c r="E584" s="669" t="n"/>
      <c r="F584" s="669" t="n"/>
      <c r="G584" s="669" t="n"/>
      <c r="H584" s="669" t="n"/>
      <c r="I584" s="669" t="n"/>
      <c r="J584" s="669" t="n"/>
      <c r="K584" s="669" t="n"/>
      <c r="L584" s="669" t="n"/>
      <c r="M584" s="669" t="n"/>
      <c r="N584" s="669" t="n"/>
      <c r="O584" s="669" t="n"/>
      <c r="P584" s="669" t="n"/>
      <c r="Q584" s="669" t="n"/>
      <c r="R584" s="669" t="n"/>
      <c r="S584" s="669" t="n"/>
      <c r="T584" s="669" t="n"/>
      <c r="U584" s="669" t="n"/>
    </row>
    <row r="585" ht="15.75" customHeight="1" s="1128">
      <c r="A585" s="669" t="n"/>
      <c r="B585" s="669" t="n"/>
      <c r="C585" s="669" t="n"/>
      <c r="D585" s="669" t="n"/>
      <c r="E585" s="669" t="n"/>
      <c r="F585" s="669" t="n"/>
      <c r="G585" s="669" t="n"/>
      <c r="H585" s="669" t="n"/>
      <c r="I585" s="669" t="n"/>
      <c r="J585" s="669" t="n"/>
      <c r="K585" s="669" t="n"/>
      <c r="L585" s="669" t="n"/>
      <c r="M585" s="669" t="n"/>
      <c r="N585" s="669" t="n"/>
      <c r="O585" s="669" t="n"/>
      <c r="P585" s="669" t="n"/>
      <c r="Q585" s="669" t="n"/>
      <c r="R585" s="669" t="n"/>
      <c r="S585" s="669" t="n"/>
      <c r="T585" s="669" t="n"/>
      <c r="U585" s="669" t="n"/>
    </row>
    <row r="586" ht="15.75" customHeight="1" s="1128">
      <c r="A586" s="669" t="n"/>
      <c r="B586" s="669" t="n"/>
      <c r="C586" s="669" t="n"/>
      <c r="D586" s="669" t="n"/>
      <c r="E586" s="669" t="n"/>
      <c r="F586" s="669" t="n"/>
      <c r="G586" s="669" t="n"/>
      <c r="H586" s="669" t="n"/>
      <c r="I586" s="669" t="n"/>
      <c r="J586" s="669" t="n"/>
      <c r="K586" s="669" t="n"/>
      <c r="L586" s="669" t="n"/>
      <c r="M586" s="669" t="n"/>
      <c r="N586" s="669" t="n"/>
      <c r="O586" s="669" t="n"/>
      <c r="P586" s="669" t="n"/>
      <c r="Q586" s="669" t="n"/>
      <c r="R586" s="669" t="n"/>
      <c r="S586" s="669" t="n"/>
      <c r="T586" s="669" t="n"/>
      <c r="U586" s="669" t="n"/>
    </row>
    <row r="587" ht="15.75" customHeight="1" s="1128">
      <c r="A587" s="669" t="n"/>
      <c r="B587" s="669" t="n"/>
      <c r="C587" s="669" t="n"/>
      <c r="D587" s="669" t="n"/>
      <c r="E587" s="669" t="n"/>
      <c r="F587" s="669" t="n"/>
      <c r="G587" s="669" t="n"/>
      <c r="H587" s="669" t="n"/>
      <c r="I587" s="669" t="n"/>
      <c r="J587" s="669" t="n"/>
      <c r="K587" s="669" t="n"/>
      <c r="L587" s="669" t="n"/>
      <c r="M587" s="669" t="n"/>
      <c r="N587" s="669" t="n"/>
      <c r="O587" s="669" t="n"/>
      <c r="P587" s="669" t="n"/>
      <c r="Q587" s="669" t="n"/>
      <c r="R587" s="669" t="n"/>
      <c r="S587" s="669" t="n"/>
      <c r="T587" s="669" t="n"/>
      <c r="U587" s="669" t="n"/>
    </row>
    <row r="588" ht="15.75" customHeight="1" s="1128">
      <c r="A588" s="669" t="n"/>
      <c r="B588" s="669" t="n"/>
      <c r="C588" s="669" t="n"/>
      <c r="D588" s="669" t="n"/>
      <c r="E588" s="669" t="n"/>
      <c r="F588" s="669" t="n"/>
      <c r="G588" s="669" t="n"/>
      <c r="H588" s="669" t="n"/>
      <c r="I588" s="669" t="n"/>
      <c r="J588" s="669" t="n"/>
      <c r="K588" s="669" t="n"/>
      <c r="L588" s="669" t="n"/>
      <c r="M588" s="669" t="n"/>
      <c r="N588" s="669" t="n"/>
      <c r="O588" s="669" t="n"/>
      <c r="P588" s="669" t="n"/>
      <c r="Q588" s="669" t="n"/>
      <c r="R588" s="669" t="n"/>
      <c r="S588" s="669" t="n"/>
      <c r="T588" s="669" t="n"/>
      <c r="U588" s="669" t="n"/>
    </row>
    <row r="589" ht="15.75" customHeight="1" s="1128">
      <c r="A589" s="669" t="n"/>
      <c r="B589" s="669" t="n"/>
      <c r="C589" s="669" t="n"/>
      <c r="D589" s="669" t="n"/>
      <c r="E589" s="669" t="n"/>
      <c r="F589" s="669" t="n"/>
      <c r="G589" s="669" t="n"/>
      <c r="H589" s="669" t="n"/>
      <c r="I589" s="669" t="n"/>
      <c r="J589" s="669" t="n"/>
      <c r="K589" s="669" t="n"/>
      <c r="L589" s="669" t="n"/>
      <c r="M589" s="669" t="n"/>
      <c r="N589" s="669" t="n"/>
      <c r="O589" s="669" t="n"/>
      <c r="P589" s="669" t="n"/>
      <c r="Q589" s="669" t="n"/>
      <c r="R589" s="669" t="n"/>
      <c r="S589" s="669" t="n"/>
      <c r="T589" s="669" t="n"/>
      <c r="U589" s="669" t="n"/>
    </row>
    <row r="590" ht="15.75" customHeight="1" s="1128">
      <c r="A590" s="669" t="n"/>
      <c r="B590" s="669" t="n"/>
      <c r="C590" s="669" t="n"/>
      <c r="D590" s="669" t="n"/>
      <c r="E590" s="669" t="n"/>
      <c r="F590" s="669" t="n"/>
      <c r="G590" s="669" t="n"/>
      <c r="H590" s="669" t="n"/>
      <c r="I590" s="669" t="n"/>
      <c r="J590" s="669" t="n"/>
      <c r="K590" s="669" t="n"/>
      <c r="L590" s="669" t="n"/>
      <c r="M590" s="669" t="n"/>
      <c r="N590" s="669" t="n"/>
      <c r="O590" s="669" t="n"/>
      <c r="P590" s="669" t="n"/>
      <c r="Q590" s="669" t="n"/>
      <c r="R590" s="669" t="n"/>
      <c r="S590" s="669" t="n"/>
      <c r="T590" s="669" t="n"/>
      <c r="U590" s="669" t="n"/>
    </row>
    <row r="591" ht="15.75" customHeight="1" s="1128">
      <c r="A591" s="669" t="n"/>
      <c r="B591" s="669" t="n"/>
      <c r="C591" s="669" t="n"/>
      <c r="D591" s="669" t="n"/>
      <c r="E591" s="669" t="n"/>
      <c r="F591" s="669" t="n"/>
      <c r="G591" s="669" t="n"/>
      <c r="H591" s="669" t="n"/>
      <c r="I591" s="669" t="n"/>
      <c r="J591" s="669" t="n"/>
      <c r="K591" s="669" t="n"/>
      <c r="L591" s="669" t="n"/>
      <c r="M591" s="669" t="n"/>
      <c r="N591" s="669" t="n"/>
      <c r="O591" s="669" t="n"/>
      <c r="P591" s="669" t="n"/>
      <c r="Q591" s="669" t="n"/>
      <c r="R591" s="669" t="n"/>
      <c r="S591" s="669" t="n"/>
      <c r="T591" s="669" t="n"/>
      <c r="U591" s="669" t="n"/>
    </row>
    <row r="592" ht="15.75" customHeight="1" s="1128">
      <c r="A592" s="669" t="n"/>
      <c r="B592" s="669" t="n"/>
      <c r="C592" s="669" t="n"/>
      <c r="D592" s="669" t="n"/>
      <c r="E592" s="669" t="n"/>
      <c r="F592" s="669" t="n"/>
      <c r="G592" s="669" t="n"/>
      <c r="H592" s="669" t="n"/>
      <c r="I592" s="669" t="n"/>
      <c r="J592" s="669" t="n"/>
      <c r="K592" s="669" t="n"/>
      <c r="L592" s="669" t="n"/>
      <c r="M592" s="669" t="n"/>
      <c r="N592" s="669" t="n"/>
      <c r="O592" s="669" t="n"/>
      <c r="P592" s="669" t="n"/>
      <c r="Q592" s="669" t="n"/>
      <c r="R592" s="669" t="n"/>
      <c r="S592" s="669" t="n"/>
      <c r="T592" s="669" t="n"/>
      <c r="U592" s="669" t="n"/>
    </row>
    <row r="593" ht="15.75" customHeight="1" s="1128">
      <c r="A593" s="669" t="n"/>
      <c r="B593" s="669" t="n"/>
      <c r="C593" s="669" t="n"/>
      <c r="D593" s="669" t="n"/>
      <c r="E593" s="669" t="n"/>
      <c r="F593" s="669" t="n"/>
      <c r="G593" s="669" t="n"/>
      <c r="H593" s="669" t="n"/>
      <c r="I593" s="669" t="n"/>
      <c r="J593" s="669" t="n"/>
      <c r="K593" s="669" t="n"/>
      <c r="L593" s="669" t="n"/>
      <c r="M593" s="669" t="n"/>
      <c r="N593" s="669" t="n"/>
      <c r="O593" s="669" t="n"/>
      <c r="P593" s="669" t="n"/>
      <c r="Q593" s="669" t="n"/>
      <c r="R593" s="669" t="n"/>
      <c r="S593" s="669" t="n"/>
      <c r="T593" s="669" t="n"/>
      <c r="U593" s="669" t="n"/>
    </row>
    <row r="594" ht="15.75" customHeight="1" s="1128">
      <c r="A594" s="669" t="n"/>
      <c r="B594" s="669" t="n"/>
      <c r="C594" s="669" t="n"/>
      <c r="D594" s="669" t="n"/>
      <c r="E594" s="669" t="n"/>
      <c r="F594" s="669" t="n"/>
      <c r="G594" s="669" t="n"/>
      <c r="H594" s="669" t="n"/>
      <c r="I594" s="669" t="n"/>
      <c r="J594" s="669" t="n"/>
      <c r="K594" s="669" t="n"/>
      <c r="L594" s="669" t="n"/>
      <c r="M594" s="669" t="n"/>
      <c r="N594" s="669" t="n"/>
      <c r="O594" s="669" t="n"/>
      <c r="P594" s="669" t="n"/>
      <c r="Q594" s="669" t="n"/>
      <c r="R594" s="669" t="n"/>
      <c r="S594" s="669" t="n"/>
      <c r="T594" s="669" t="n"/>
      <c r="U594" s="669" t="n"/>
    </row>
    <row r="595" ht="15.75" customHeight="1" s="1128">
      <c r="A595" s="669" t="n"/>
      <c r="B595" s="669" t="n"/>
      <c r="C595" s="669" t="n"/>
      <c r="D595" s="669" t="n"/>
      <c r="E595" s="669" t="n"/>
      <c r="F595" s="669" t="n"/>
      <c r="G595" s="669" t="n"/>
      <c r="H595" s="669" t="n"/>
      <c r="I595" s="669" t="n"/>
      <c r="J595" s="669" t="n"/>
      <c r="K595" s="669" t="n"/>
      <c r="L595" s="669" t="n"/>
      <c r="M595" s="669" t="n"/>
      <c r="N595" s="669" t="n"/>
      <c r="O595" s="669" t="n"/>
      <c r="P595" s="669" t="n"/>
      <c r="Q595" s="669" t="n"/>
      <c r="R595" s="669" t="n"/>
      <c r="S595" s="669" t="n"/>
      <c r="T595" s="669" t="n"/>
      <c r="U595" s="669" t="n"/>
    </row>
    <row r="596" ht="15.75" customHeight="1" s="1128">
      <c r="A596" s="669" t="n"/>
      <c r="B596" s="669" t="n"/>
      <c r="C596" s="669" t="n"/>
      <c r="D596" s="669" t="n"/>
      <c r="E596" s="669" t="n"/>
      <c r="F596" s="669" t="n"/>
      <c r="G596" s="669" t="n"/>
      <c r="H596" s="669" t="n"/>
      <c r="I596" s="669" t="n"/>
      <c r="J596" s="669" t="n"/>
      <c r="K596" s="669" t="n"/>
      <c r="L596" s="669" t="n"/>
      <c r="M596" s="669" t="n"/>
      <c r="N596" s="669" t="n"/>
      <c r="O596" s="669" t="n"/>
      <c r="P596" s="669" t="n"/>
      <c r="Q596" s="669" t="n"/>
      <c r="R596" s="669" t="n"/>
      <c r="S596" s="669" t="n"/>
      <c r="T596" s="669" t="n"/>
      <c r="U596" s="669" t="n"/>
    </row>
    <row r="597" ht="15.75" customHeight="1" s="1128">
      <c r="A597" s="669" t="n"/>
      <c r="B597" s="669" t="n"/>
      <c r="C597" s="669" t="n"/>
      <c r="D597" s="669" t="n"/>
      <c r="E597" s="669" t="n"/>
      <c r="F597" s="669" t="n"/>
      <c r="G597" s="669" t="n"/>
      <c r="H597" s="669" t="n"/>
      <c r="I597" s="669" t="n"/>
      <c r="J597" s="669" t="n"/>
      <c r="K597" s="669" t="n"/>
      <c r="L597" s="669" t="n"/>
      <c r="M597" s="669" t="n"/>
      <c r="N597" s="669" t="n"/>
      <c r="O597" s="669" t="n"/>
      <c r="P597" s="669" t="n"/>
      <c r="Q597" s="669" t="n"/>
      <c r="R597" s="669" t="n"/>
      <c r="S597" s="669" t="n"/>
      <c r="T597" s="669" t="n"/>
      <c r="U597" s="669" t="n"/>
    </row>
    <row r="598" ht="15.75" customHeight="1" s="1128">
      <c r="A598" s="669" t="n"/>
      <c r="B598" s="669" t="n"/>
      <c r="C598" s="669" t="n"/>
      <c r="D598" s="669" t="n"/>
      <c r="E598" s="669" t="n"/>
      <c r="F598" s="669" t="n"/>
      <c r="G598" s="669" t="n"/>
      <c r="H598" s="669" t="n"/>
      <c r="I598" s="669" t="n"/>
      <c r="J598" s="669" t="n"/>
      <c r="K598" s="669" t="n"/>
      <c r="L598" s="669" t="n"/>
      <c r="M598" s="669" t="n"/>
      <c r="N598" s="669" t="n"/>
      <c r="O598" s="669" t="n"/>
      <c r="P598" s="669" t="n"/>
      <c r="Q598" s="669" t="n"/>
      <c r="R598" s="669" t="n"/>
      <c r="S598" s="669" t="n"/>
      <c r="T598" s="669" t="n"/>
      <c r="U598" s="669" t="n"/>
    </row>
    <row r="599" ht="15.75" customHeight="1" s="1128">
      <c r="A599" s="669" t="n"/>
      <c r="B599" s="669" t="n"/>
      <c r="C599" s="669" t="n"/>
      <c r="D599" s="669" t="n"/>
      <c r="E599" s="669" t="n"/>
      <c r="F599" s="669" t="n"/>
      <c r="G599" s="669" t="n"/>
      <c r="H599" s="669" t="n"/>
      <c r="I599" s="669" t="n"/>
      <c r="J599" s="669" t="n"/>
      <c r="K599" s="669" t="n"/>
      <c r="L599" s="669" t="n"/>
      <c r="M599" s="669" t="n"/>
      <c r="N599" s="669" t="n"/>
      <c r="O599" s="669" t="n"/>
      <c r="P599" s="669" t="n"/>
      <c r="Q599" s="669" t="n"/>
      <c r="R599" s="669" t="n"/>
      <c r="S599" s="669" t="n"/>
      <c r="T599" s="669" t="n"/>
      <c r="U599" s="669" t="n"/>
    </row>
    <row r="600" ht="15.75" customHeight="1" s="1128">
      <c r="A600" s="669" t="n"/>
      <c r="B600" s="669" t="n"/>
      <c r="C600" s="669" t="n"/>
      <c r="D600" s="669" t="n"/>
      <c r="E600" s="669" t="n"/>
      <c r="F600" s="669" t="n"/>
      <c r="G600" s="669" t="n"/>
      <c r="H600" s="669" t="n"/>
      <c r="I600" s="669" t="n"/>
      <c r="J600" s="669" t="n"/>
      <c r="K600" s="669" t="n"/>
      <c r="L600" s="669" t="n"/>
      <c r="M600" s="669" t="n"/>
      <c r="N600" s="669" t="n"/>
      <c r="O600" s="669" t="n"/>
      <c r="P600" s="669" t="n"/>
      <c r="Q600" s="669" t="n"/>
      <c r="R600" s="669" t="n"/>
      <c r="S600" s="669" t="n"/>
      <c r="T600" s="669" t="n"/>
      <c r="U600" s="669" t="n"/>
    </row>
    <row r="601" ht="15.75" customHeight="1" s="1128">
      <c r="A601" s="669" t="n"/>
      <c r="B601" s="669" t="n"/>
      <c r="C601" s="669" t="n"/>
      <c r="D601" s="669" t="n"/>
      <c r="E601" s="669" t="n"/>
      <c r="F601" s="669" t="n"/>
      <c r="G601" s="669" t="n"/>
      <c r="H601" s="669" t="n"/>
      <c r="I601" s="669" t="n"/>
      <c r="J601" s="669" t="n"/>
      <c r="K601" s="669" t="n"/>
      <c r="L601" s="669" t="n"/>
      <c r="M601" s="669" t="n"/>
      <c r="N601" s="669" t="n"/>
      <c r="O601" s="669" t="n"/>
      <c r="P601" s="669" t="n"/>
      <c r="Q601" s="669" t="n"/>
      <c r="R601" s="669" t="n"/>
      <c r="S601" s="669" t="n"/>
      <c r="T601" s="669" t="n"/>
      <c r="U601" s="669" t="n"/>
    </row>
    <row r="602" ht="15.75" customHeight="1" s="1128">
      <c r="A602" s="669" t="n"/>
      <c r="B602" s="669" t="n"/>
      <c r="C602" s="669" t="n"/>
      <c r="D602" s="669" t="n"/>
      <c r="E602" s="669" t="n"/>
      <c r="F602" s="669" t="n"/>
      <c r="G602" s="669" t="n"/>
      <c r="H602" s="669" t="n"/>
      <c r="I602" s="669" t="n"/>
      <c r="J602" s="669" t="n"/>
      <c r="K602" s="669" t="n"/>
      <c r="L602" s="669" t="n"/>
      <c r="M602" s="669" t="n"/>
      <c r="N602" s="669" t="n"/>
      <c r="O602" s="669" t="n"/>
      <c r="P602" s="669" t="n"/>
      <c r="Q602" s="669" t="n"/>
      <c r="R602" s="669" t="n"/>
      <c r="S602" s="669" t="n"/>
      <c r="T602" s="669" t="n"/>
      <c r="U602" s="669" t="n"/>
    </row>
    <row r="603" ht="15.75" customHeight="1" s="1128">
      <c r="A603" s="669" t="n"/>
      <c r="B603" s="669" t="n"/>
      <c r="C603" s="669" t="n"/>
      <c r="D603" s="669" t="n"/>
      <c r="E603" s="669" t="n"/>
      <c r="F603" s="669" t="n"/>
      <c r="G603" s="669" t="n"/>
      <c r="H603" s="669" t="n"/>
      <c r="I603" s="669" t="n"/>
      <c r="J603" s="669" t="n"/>
      <c r="K603" s="669" t="n"/>
      <c r="L603" s="669" t="n"/>
      <c r="M603" s="669" t="n"/>
      <c r="N603" s="669" t="n"/>
      <c r="O603" s="669" t="n"/>
      <c r="P603" s="669" t="n"/>
      <c r="Q603" s="669" t="n"/>
      <c r="R603" s="669" t="n"/>
      <c r="S603" s="669" t="n"/>
      <c r="T603" s="669" t="n"/>
      <c r="U603" s="669" t="n"/>
    </row>
    <row r="604" ht="15.75" customHeight="1" s="1128">
      <c r="A604" s="669" t="n"/>
      <c r="B604" s="669" t="n"/>
      <c r="C604" s="669" t="n"/>
      <c r="D604" s="669" t="n"/>
      <c r="E604" s="669" t="n"/>
      <c r="F604" s="669" t="n"/>
      <c r="G604" s="669" t="n"/>
      <c r="H604" s="669" t="n"/>
      <c r="I604" s="669" t="n"/>
      <c r="J604" s="669" t="n"/>
      <c r="K604" s="669" t="n"/>
      <c r="L604" s="669" t="n"/>
      <c r="M604" s="669" t="n"/>
      <c r="N604" s="669" t="n"/>
      <c r="O604" s="669" t="n"/>
      <c r="P604" s="669" t="n"/>
      <c r="Q604" s="669" t="n"/>
      <c r="R604" s="669" t="n"/>
      <c r="S604" s="669" t="n"/>
      <c r="T604" s="669" t="n"/>
      <c r="U604" s="669" t="n"/>
    </row>
    <row r="605" ht="15.75" customHeight="1" s="1128">
      <c r="A605" s="669" t="n"/>
      <c r="B605" s="669" t="n"/>
      <c r="C605" s="669" t="n"/>
      <c r="D605" s="669" t="n"/>
      <c r="E605" s="669" t="n"/>
      <c r="F605" s="669" t="n"/>
      <c r="G605" s="669" t="n"/>
      <c r="H605" s="669" t="n"/>
      <c r="I605" s="669" t="n"/>
      <c r="J605" s="669" t="n"/>
      <c r="K605" s="669" t="n"/>
      <c r="L605" s="669" t="n"/>
      <c r="M605" s="669" t="n"/>
      <c r="N605" s="669" t="n"/>
      <c r="O605" s="669" t="n"/>
      <c r="P605" s="669" t="n"/>
      <c r="Q605" s="669" t="n"/>
      <c r="R605" s="669" t="n"/>
      <c r="S605" s="669" t="n"/>
      <c r="T605" s="669" t="n"/>
      <c r="U605" s="669" t="n"/>
    </row>
    <row r="606" ht="15.75" customHeight="1" s="1128">
      <c r="A606" s="669" t="n"/>
      <c r="B606" s="669" t="n"/>
      <c r="C606" s="669" t="n"/>
      <c r="D606" s="669" t="n"/>
      <c r="E606" s="669" t="n"/>
      <c r="F606" s="669" t="n"/>
      <c r="G606" s="669" t="n"/>
      <c r="H606" s="669" t="n"/>
      <c r="I606" s="669" t="n"/>
      <c r="J606" s="669" t="n"/>
      <c r="K606" s="669" t="n"/>
      <c r="L606" s="669" t="n"/>
      <c r="M606" s="669" t="n"/>
      <c r="N606" s="669" t="n"/>
      <c r="O606" s="669" t="n"/>
      <c r="P606" s="669" t="n"/>
      <c r="Q606" s="669" t="n"/>
      <c r="R606" s="669" t="n"/>
      <c r="S606" s="669" t="n"/>
      <c r="T606" s="669" t="n"/>
      <c r="U606" s="669" t="n"/>
    </row>
    <row r="607" ht="15.75" customHeight="1" s="1128">
      <c r="A607" s="669" t="n"/>
      <c r="B607" s="669" t="n"/>
      <c r="C607" s="669" t="n"/>
      <c r="D607" s="669" t="n"/>
      <c r="E607" s="669" t="n"/>
      <c r="F607" s="669" t="n"/>
      <c r="G607" s="669" t="n"/>
      <c r="H607" s="669" t="n"/>
      <c r="I607" s="669" t="n"/>
      <c r="J607" s="669" t="n"/>
      <c r="K607" s="669" t="n"/>
      <c r="L607" s="669" t="n"/>
      <c r="M607" s="669" t="n"/>
      <c r="N607" s="669" t="n"/>
      <c r="O607" s="669" t="n"/>
      <c r="P607" s="669" t="n"/>
      <c r="Q607" s="669" t="n"/>
      <c r="R607" s="669" t="n"/>
      <c r="S607" s="669" t="n"/>
      <c r="T607" s="669" t="n"/>
      <c r="U607" s="669" t="n"/>
    </row>
    <row r="608" ht="15.75" customHeight="1" s="1128">
      <c r="A608" s="669" t="n"/>
      <c r="B608" s="669" t="n"/>
      <c r="C608" s="669" t="n"/>
      <c r="D608" s="669" t="n"/>
      <c r="E608" s="669" t="n"/>
      <c r="F608" s="669" t="n"/>
      <c r="G608" s="669" t="n"/>
      <c r="H608" s="669" t="n"/>
      <c r="I608" s="669" t="n"/>
      <c r="J608" s="669" t="n"/>
      <c r="K608" s="669" t="n"/>
      <c r="L608" s="669" t="n"/>
      <c r="M608" s="669" t="n"/>
      <c r="N608" s="669" t="n"/>
      <c r="O608" s="669" t="n"/>
      <c r="P608" s="669" t="n"/>
      <c r="Q608" s="669" t="n"/>
      <c r="R608" s="669" t="n"/>
      <c r="S608" s="669" t="n"/>
      <c r="T608" s="669" t="n"/>
      <c r="U608" s="669" t="n"/>
    </row>
    <row r="609" ht="15.75" customHeight="1" s="1128">
      <c r="A609" s="669" t="n"/>
      <c r="B609" s="669" t="n"/>
      <c r="C609" s="669" t="n"/>
      <c r="D609" s="669" t="n"/>
      <c r="E609" s="669" t="n"/>
      <c r="F609" s="669" t="n"/>
      <c r="G609" s="669" t="n"/>
      <c r="H609" s="669" t="n"/>
      <c r="I609" s="669" t="n"/>
      <c r="J609" s="669" t="n"/>
      <c r="K609" s="669" t="n"/>
      <c r="L609" s="669" t="n"/>
      <c r="M609" s="669" t="n"/>
      <c r="N609" s="669" t="n"/>
      <c r="O609" s="669" t="n"/>
      <c r="P609" s="669" t="n"/>
      <c r="Q609" s="669" t="n"/>
      <c r="R609" s="669" t="n"/>
      <c r="S609" s="669" t="n"/>
      <c r="T609" s="669" t="n"/>
      <c r="U609" s="669" t="n"/>
    </row>
    <row r="610" ht="15.75" customHeight="1" s="1128">
      <c r="A610" s="669" t="n"/>
      <c r="B610" s="669" t="n"/>
      <c r="C610" s="669" t="n"/>
      <c r="D610" s="669" t="n"/>
      <c r="E610" s="669" t="n"/>
      <c r="F610" s="669" t="n"/>
      <c r="G610" s="669" t="n"/>
      <c r="H610" s="669" t="n"/>
      <c r="I610" s="669" t="n"/>
      <c r="J610" s="669" t="n"/>
      <c r="K610" s="669" t="n"/>
      <c r="L610" s="669" t="n"/>
      <c r="M610" s="669" t="n"/>
      <c r="N610" s="669" t="n"/>
      <c r="O610" s="669" t="n"/>
      <c r="P610" s="669" t="n"/>
      <c r="Q610" s="669" t="n"/>
      <c r="R610" s="669" t="n"/>
      <c r="S610" s="669" t="n"/>
      <c r="T610" s="669" t="n"/>
      <c r="U610" s="669" t="n"/>
    </row>
    <row r="611" ht="15.75" customHeight="1" s="1128">
      <c r="A611" s="669" t="n"/>
      <c r="B611" s="669" t="n"/>
      <c r="C611" s="669" t="n"/>
      <c r="D611" s="669" t="n"/>
      <c r="E611" s="669" t="n"/>
      <c r="F611" s="669" t="n"/>
      <c r="G611" s="669" t="n"/>
      <c r="H611" s="669" t="n"/>
      <c r="I611" s="669" t="n"/>
      <c r="J611" s="669" t="n"/>
      <c r="K611" s="669" t="n"/>
      <c r="L611" s="669" t="n"/>
      <c r="M611" s="669" t="n"/>
      <c r="N611" s="669" t="n"/>
      <c r="O611" s="669" t="n"/>
      <c r="P611" s="669" t="n"/>
      <c r="Q611" s="669" t="n"/>
      <c r="R611" s="669" t="n"/>
      <c r="S611" s="669" t="n"/>
      <c r="T611" s="669" t="n"/>
      <c r="U611" s="669" t="n"/>
    </row>
    <row r="612" ht="15.75" customHeight="1" s="1128">
      <c r="A612" s="669" t="n"/>
      <c r="B612" s="669" t="n"/>
      <c r="C612" s="669" t="n"/>
      <c r="D612" s="669" t="n"/>
      <c r="E612" s="669" t="n"/>
      <c r="F612" s="669" t="n"/>
      <c r="G612" s="669" t="n"/>
      <c r="H612" s="669" t="n"/>
      <c r="I612" s="669" t="n"/>
      <c r="J612" s="669" t="n"/>
      <c r="K612" s="669" t="n"/>
      <c r="L612" s="669" t="n"/>
      <c r="M612" s="669" t="n"/>
      <c r="N612" s="669" t="n"/>
      <c r="O612" s="669" t="n"/>
      <c r="P612" s="669" t="n"/>
      <c r="Q612" s="669" t="n"/>
      <c r="R612" s="669" t="n"/>
      <c r="S612" s="669" t="n"/>
      <c r="T612" s="669" t="n"/>
      <c r="U612" s="669" t="n"/>
    </row>
    <row r="613" ht="15.75" customHeight="1" s="1128">
      <c r="A613" s="669" t="n"/>
      <c r="B613" s="669" t="n"/>
      <c r="C613" s="669" t="n"/>
      <c r="D613" s="669" t="n"/>
      <c r="E613" s="669" t="n"/>
      <c r="F613" s="669" t="n"/>
      <c r="G613" s="669" t="n"/>
      <c r="H613" s="669" t="n"/>
      <c r="I613" s="669" t="n"/>
      <c r="J613" s="669" t="n"/>
      <c r="K613" s="669" t="n"/>
      <c r="L613" s="669" t="n"/>
      <c r="M613" s="669" t="n"/>
      <c r="N613" s="669" t="n"/>
      <c r="O613" s="669" t="n"/>
      <c r="P613" s="669" t="n"/>
      <c r="Q613" s="669" t="n"/>
      <c r="R613" s="669" t="n"/>
      <c r="S613" s="669" t="n"/>
      <c r="T613" s="669" t="n"/>
      <c r="U613" s="669" t="n"/>
    </row>
    <row r="614" ht="15.75" customHeight="1" s="1128">
      <c r="A614" s="669" t="n"/>
      <c r="B614" s="669" t="n"/>
      <c r="C614" s="669" t="n"/>
      <c r="D614" s="669" t="n"/>
      <c r="E614" s="669" t="n"/>
      <c r="F614" s="669" t="n"/>
      <c r="G614" s="669" t="n"/>
      <c r="H614" s="669" t="n"/>
      <c r="I614" s="669" t="n"/>
      <c r="J614" s="669" t="n"/>
      <c r="K614" s="669" t="n"/>
      <c r="L614" s="669" t="n"/>
      <c r="M614" s="669" t="n"/>
      <c r="N614" s="669" t="n"/>
      <c r="O614" s="669" t="n"/>
      <c r="P614" s="669" t="n"/>
      <c r="Q614" s="669" t="n"/>
      <c r="R614" s="669" t="n"/>
      <c r="S614" s="669" t="n"/>
      <c r="T614" s="669" t="n"/>
      <c r="U614" s="669" t="n"/>
    </row>
    <row r="615" ht="15.75" customHeight="1" s="1128">
      <c r="A615" s="669" t="n"/>
      <c r="B615" s="669" t="n"/>
      <c r="C615" s="669" t="n"/>
      <c r="D615" s="669" t="n"/>
      <c r="E615" s="669" t="n"/>
      <c r="F615" s="669" t="n"/>
      <c r="G615" s="669" t="n"/>
      <c r="H615" s="669" t="n"/>
      <c r="I615" s="669" t="n"/>
      <c r="J615" s="669" t="n"/>
      <c r="K615" s="669" t="n"/>
      <c r="L615" s="669" t="n"/>
      <c r="M615" s="669" t="n"/>
      <c r="N615" s="669" t="n"/>
      <c r="O615" s="669" t="n"/>
      <c r="P615" s="669" t="n"/>
      <c r="Q615" s="669" t="n"/>
      <c r="R615" s="669" t="n"/>
      <c r="S615" s="669" t="n"/>
      <c r="T615" s="669" t="n"/>
      <c r="U615" s="669" t="n"/>
    </row>
    <row r="616" ht="15.75" customHeight="1" s="1128">
      <c r="A616" s="669" t="n"/>
      <c r="B616" s="669" t="n"/>
      <c r="C616" s="669" t="n"/>
      <c r="D616" s="669" t="n"/>
      <c r="E616" s="669" t="n"/>
      <c r="F616" s="669" t="n"/>
      <c r="G616" s="669" t="n"/>
      <c r="H616" s="669" t="n"/>
      <c r="I616" s="669" t="n"/>
      <c r="J616" s="669" t="n"/>
      <c r="K616" s="669" t="n"/>
      <c r="L616" s="669" t="n"/>
      <c r="M616" s="669" t="n"/>
      <c r="N616" s="669" t="n"/>
      <c r="O616" s="669" t="n"/>
      <c r="P616" s="669" t="n"/>
      <c r="Q616" s="669" t="n"/>
      <c r="R616" s="669" t="n"/>
      <c r="S616" s="669" t="n"/>
      <c r="T616" s="669" t="n"/>
      <c r="U616" s="669" t="n"/>
    </row>
    <row r="617" ht="15.75" customHeight="1" s="1128">
      <c r="A617" s="669" t="n"/>
      <c r="B617" s="669" t="n"/>
      <c r="C617" s="669" t="n"/>
      <c r="D617" s="669" t="n"/>
      <c r="E617" s="669" t="n"/>
      <c r="F617" s="669" t="n"/>
      <c r="G617" s="669" t="n"/>
      <c r="H617" s="669" t="n"/>
      <c r="I617" s="669" t="n"/>
      <c r="J617" s="669" t="n"/>
      <c r="K617" s="669" t="n"/>
      <c r="L617" s="669" t="n"/>
      <c r="M617" s="669" t="n"/>
      <c r="N617" s="669" t="n"/>
      <c r="O617" s="669" t="n"/>
      <c r="P617" s="669" t="n"/>
      <c r="Q617" s="669" t="n"/>
      <c r="R617" s="669" t="n"/>
      <c r="S617" s="669" t="n"/>
      <c r="T617" s="669" t="n"/>
      <c r="U617" s="669" t="n"/>
    </row>
    <row r="618" ht="15.75" customHeight="1" s="1128">
      <c r="A618" s="669" t="n"/>
      <c r="B618" s="669" t="n"/>
      <c r="C618" s="669" t="n"/>
      <c r="D618" s="669" t="n"/>
      <c r="E618" s="669" t="n"/>
      <c r="F618" s="669" t="n"/>
      <c r="G618" s="669" t="n"/>
      <c r="H618" s="669" t="n"/>
      <c r="I618" s="669" t="n"/>
      <c r="J618" s="669" t="n"/>
      <c r="K618" s="669" t="n"/>
      <c r="L618" s="669" t="n"/>
      <c r="M618" s="669" t="n"/>
      <c r="N618" s="669" t="n"/>
      <c r="O618" s="669" t="n"/>
      <c r="P618" s="669" t="n"/>
      <c r="Q618" s="669" t="n"/>
      <c r="R618" s="669" t="n"/>
      <c r="S618" s="669" t="n"/>
      <c r="T618" s="669" t="n"/>
      <c r="U618" s="669" t="n"/>
    </row>
    <row r="619" ht="15.75" customHeight="1" s="1128">
      <c r="A619" s="669" t="n"/>
      <c r="B619" s="669" t="n"/>
      <c r="C619" s="669" t="n"/>
      <c r="D619" s="669" t="n"/>
      <c r="E619" s="669" t="n"/>
      <c r="F619" s="669" t="n"/>
      <c r="G619" s="669" t="n"/>
      <c r="H619" s="669" t="n"/>
      <c r="I619" s="669" t="n"/>
      <c r="J619" s="669" t="n"/>
      <c r="K619" s="669" t="n"/>
      <c r="L619" s="669" t="n"/>
      <c r="M619" s="669" t="n"/>
      <c r="N619" s="669" t="n"/>
      <c r="O619" s="669" t="n"/>
      <c r="P619" s="669" t="n"/>
      <c r="Q619" s="669" t="n"/>
      <c r="R619" s="669" t="n"/>
      <c r="S619" s="669" t="n"/>
      <c r="T619" s="669" t="n"/>
      <c r="U619" s="669" t="n"/>
    </row>
    <row r="620" ht="15.75" customHeight="1" s="1128">
      <c r="A620" s="669" t="n"/>
      <c r="B620" s="669" t="n"/>
      <c r="C620" s="669" t="n"/>
      <c r="D620" s="669" t="n"/>
      <c r="E620" s="669" t="n"/>
      <c r="F620" s="669" t="n"/>
      <c r="G620" s="669" t="n"/>
      <c r="H620" s="669" t="n"/>
      <c r="I620" s="669" t="n"/>
      <c r="J620" s="669" t="n"/>
      <c r="K620" s="669" t="n"/>
      <c r="L620" s="669" t="n"/>
      <c r="M620" s="669" t="n"/>
      <c r="N620" s="669" t="n"/>
      <c r="O620" s="669" t="n"/>
      <c r="P620" s="669" t="n"/>
      <c r="Q620" s="669" t="n"/>
      <c r="R620" s="669" t="n"/>
      <c r="S620" s="669" t="n"/>
      <c r="T620" s="669" t="n"/>
      <c r="U620" s="669" t="n"/>
    </row>
    <row r="621" ht="15.75" customHeight="1" s="1128">
      <c r="A621" s="669" t="n"/>
      <c r="B621" s="669" t="n"/>
      <c r="C621" s="669" t="n"/>
      <c r="D621" s="669" t="n"/>
      <c r="E621" s="669" t="n"/>
      <c r="F621" s="669" t="n"/>
      <c r="G621" s="669" t="n"/>
      <c r="H621" s="669" t="n"/>
      <c r="I621" s="669" t="n"/>
      <c r="J621" s="669" t="n"/>
      <c r="K621" s="669" t="n"/>
      <c r="L621" s="669" t="n"/>
      <c r="M621" s="669" t="n"/>
      <c r="N621" s="669" t="n"/>
      <c r="O621" s="669" t="n"/>
      <c r="P621" s="669" t="n"/>
      <c r="Q621" s="669" t="n"/>
      <c r="R621" s="669" t="n"/>
      <c r="S621" s="669" t="n"/>
      <c r="T621" s="669" t="n"/>
      <c r="U621" s="669" t="n"/>
    </row>
    <row r="622" ht="15.75" customHeight="1" s="1128">
      <c r="A622" s="669" t="n"/>
      <c r="B622" s="669" t="n"/>
      <c r="C622" s="669" t="n"/>
      <c r="D622" s="669" t="n"/>
      <c r="E622" s="669" t="n"/>
      <c r="F622" s="669" t="n"/>
      <c r="G622" s="669" t="n"/>
      <c r="H622" s="669" t="n"/>
      <c r="I622" s="669" t="n"/>
      <c r="J622" s="669" t="n"/>
      <c r="K622" s="669" t="n"/>
      <c r="L622" s="669" t="n"/>
      <c r="M622" s="669" t="n"/>
      <c r="N622" s="669" t="n"/>
      <c r="O622" s="669" t="n"/>
      <c r="P622" s="669" t="n"/>
      <c r="Q622" s="669" t="n"/>
      <c r="R622" s="669" t="n"/>
      <c r="S622" s="669" t="n"/>
      <c r="T622" s="669" t="n"/>
      <c r="U622" s="669" t="n"/>
    </row>
    <row r="623" ht="15.75" customHeight="1" s="1128">
      <c r="A623" s="669" t="n"/>
      <c r="B623" s="669" t="n"/>
      <c r="C623" s="669" t="n"/>
      <c r="D623" s="669" t="n"/>
      <c r="E623" s="669" t="n"/>
      <c r="F623" s="669" t="n"/>
      <c r="G623" s="669" t="n"/>
      <c r="H623" s="669" t="n"/>
      <c r="I623" s="669" t="n"/>
      <c r="J623" s="669" t="n"/>
      <c r="K623" s="669" t="n"/>
      <c r="L623" s="669" t="n"/>
      <c r="M623" s="669" t="n"/>
      <c r="N623" s="669" t="n"/>
      <c r="O623" s="669" t="n"/>
      <c r="P623" s="669" t="n"/>
      <c r="Q623" s="669" t="n"/>
      <c r="R623" s="669" t="n"/>
      <c r="S623" s="669" t="n"/>
      <c r="T623" s="669" t="n"/>
      <c r="U623" s="669" t="n"/>
    </row>
    <row r="624" ht="15.75" customHeight="1" s="1128">
      <c r="A624" s="669" t="n"/>
      <c r="B624" s="669" t="n"/>
      <c r="C624" s="669" t="n"/>
      <c r="D624" s="669" t="n"/>
      <c r="E624" s="669" t="n"/>
      <c r="F624" s="669" t="n"/>
      <c r="G624" s="669" t="n"/>
      <c r="H624" s="669" t="n"/>
      <c r="I624" s="669" t="n"/>
      <c r="J624" s="669" t="n"/>
      <c r="K624" s="669" t="n"/>
      <c r="L624" s="669" t="n"/>
      <c r="M624" s="669" t="n"/>
      <c r="N624" s="669" t="n"/>
      <c r="O624" s="669" t="n"/>
      <c r="P624" s="669" t="n"/>
      <c r="Q624" s="669" t="n"/>
      <c r="R624" s="669" t="n"/>
      <c r="S624" s="669" t="n"/>
      <c r="T624" s="669" t="n"/>
      <c r="U624" s="669" t="n"/>
    </row>
    <row r="625" ht="15.75" customHeight="1" s="1128">
      <c r="A625" s="669" t="n"/>
      <c r="B625" s="669" t="n"/>
      <c r="C625" s="669" t="n"/>
      <c r="D625" s="669" t="n"/>
      <c r="E625" s="669" t="n"/>
      <c r="F625" s="669" t="n"/>
      <c r="G625" s="669" t="n"/>
      <c r="H625" s="669" t="n"/>
      <c r="I625" s="669" t="n"/>
      <c r="J625" s="669" t="n"/>
      <c r="K625" s="669" t="n"/>
      <c r="L625" s="669" t="n"/>
      <c r="M625" s="669" t="n"/>
      <c r="N625" s="669" t="n"/>
      <c r="O625" s="669" t="n"/>
      <c r="P625" s="669" t="n"/>
      <c r="Q625" s="669" t="n"/>
      <c r="R625" s="669" t="n"/>
      <c r="S625" s="669" t="n"/>
      <c r="T625" s="669" t="n"/>
      <c r="U625" s="669" t="n"/>
    </row>
    <row r="626" ht="15.75" customHeight="1" s="1128">
      <c r="A626" s="669" t="n"/>
      <c r="B626" s="669" t="n"/>
      <c r="C626" s="669" t="n"/>
      <c r="D626" s="669" t="n"/>
      <c r="E626" s="669" t="n"/>
      <c r="F626" s="669" t="n"/>
      <c r="G626" s="669" t="n"/>
      <c r="H626" s="669" t="n"/>
      <c r="I626" s="669" t="n"/>
      <c r="J626" s="669" t="n"/>
      <c r="K626" s="669" t="n"/>
      <c r="L626" s="669" t="n"/>
      <c r="M626" s="669" t="n"/>
      <c r="N626" s="669" t="n"/>
      <c r="O626" s="669" t="n"/>
      <c r="P626" s="669" t="n"/>
      <c r="Q626" s="669" t="n"/>
      <c r="R626" s="669" t="n"/>
      <c r="S626" s="669" t="n"/>
      <c r="T626" s="669" t="n"/>
      <c r="U626" s="669" t="n"/>
    </row>
    <row r="627" ht="15.75" customHeight="1" s="1128">
      <c r="A627" s="669" t="n"/>
      <c r="B627" s="669" t="n"/>
      <c r="C627" s="669" t="n"/>
      <c r="D627" s="669" t="n"/>
      <c r="E627" s="669" t="n"/>
      <c r="F627" s="669" t="n"/>
      <c r="G627" s="669" t="n"/>
      <c r="H627" s="669" t="n"/>
      <c r="I627" s="669" t="n"/>
      <c r="J627" s="669" t="n"/>
      <c r="K627" s="669" t="n"/>
      <c r="L627" s="669" t="n"/>
      <c r="M627" s="669" t="n"/>
      <c r="N627" s="669" t="n"/>
      <c r="O627" s="669" t="n"/>
      <c r="P627" s="669" t="n"/>
      <c r="Q627" s="669" t="n"/>
      <c r="R627" s="669" t="n"/>
      <c r="S627" s="669" t="n"/>
      <c r="T627" s="669" t="n"/>
      <c r="U627" s="669" t="n"/>
    </row>
    <row r="628" ht="15.75" customHeight="1" s="1128">
      <c r="A628" s="669" t="n"/>
      <c r="B628" s="669" t="n"/>
      <c r="C628" s="669" t="n"/>
      <c r="D628" s="669" t="n"/>
      <c r="E628" s="669" t="n"/>
      <c r="F628" s="669" t="n"/>
      <c r="G628" s="669" t="n"/>
      <c r="H628" s="669" t="n"/>
      <c r="I628" s="669" t="n"/>
      <c r="J628" s="669" t="n"/>
      <c r="K628" s="669" t="n"/>
      <c r="L628" s="669" t="n"/>
      <c r="M628" s="669" t="n"/>
      <c r="N628" s="669" t="n"/>
      <c r="O628" s="669" t="n"/>
      <c r="P628" s="669" t="n"/>
      <c r="Q628" s="669" t="n"/>
      <c r="R628" s="669" t="n"/>
      <c r="S628" s="669" t="n"/>
      <c r="T628" s="669" t="n"/>
      <c r="U628" s="669" t="n"/>
    </row>
    <row r="629" ht="15.75" customHeight="1" s="1128">
      <c r="A629" s="669" t="n"/>
      <c r="B629" s="669" t="n"/>
      <c r="C629" s="669" t="n"/>
      <c r="D629" s="669" t="n"/>
      <c r="E629" s="669" t="n"/>
      <c r="F629" s="669" t="n"/>
      <c r="G629" s="669" t="n"/>
      <c r="H629" s="669" t="n"/>
      <c r="I629" s="669" t="n"/>
      <c r="J629" s="669" t="n"/>
      <c r="K629" s="669" t="n"/>
      <c r="L629" s="669" t="n"/>
      <c r="M629" s="669" t="n"/>
      <c r="N629" s="669" t="n"/>
      <c r="O629" s="669" t="n"/>
      <c r="P629" s="669" t="n"/>
      <c r="Q629" s="669" t="n"/>
      <c r="R629" s="669" t="n"/>
      <c r="S629" s="669" t="n"/>
      <c r="T629" s="669" t="n"/>
      <c r="U629" s="669" t="n"/>
    </row>
    <row r="630" ht="15.75" customHeight="1" s="1128">
      <c r="A630" s="669" t="n"/>
      <c r="B630" s="669" t="n"/>
      <c r="C630" s="669" t="n"/>
      <c r="D630" s="669" t="n"/>
      <c r="E630" s="669" t="n"/>
      <c r="F630" s="669" t="n"/>
      <c r="G630" s="669" t="n"/>
      <c r="H630" s="669" t="n"/>
      <c r="I630" s="669" t="n"/>
      <c r="J630" s="669" t="n"/>
      <c r="K630" s="669" t="n"/>
      <c r="L630" s="669" t="n"/>
      <c r="M630" s="669" t="n"/>
      <c r="N630" s="669" t="n"/>
      <c r="O630" s="669" t="n"/>
      <c r="P630" s="669" t="n"/>
      <c r="Q630" s="669" t="n"/>
      <c r="R630" s="669" t="n"/>
      <c r="S630" s="669" t="n"/>
      <c r="T630" s="669" t="n"/>
      <c r="U630" s="669" t="n"/>
    </row>
    <row r="631" ht="15.75" customHeight="1" s="1128">
      <c r="A631" s="669" t="n"/>
      <c r="B631" s="669" t="n"/>
      <c r="C631" s="669" t="n"/>
      <c r="D631" s="669" t="n"/>
      <c r="E631" s="669" t="n"/>
      <c r="F631" s="669" t="n"/>
      <c r="G631" s="669" t="n"/>
      <c r="H631" s="669" t="n"/>
      <c r="I631" s="669" t="n"/>
      <c r="J631" s="669" t="n"/>
      <c r="K631" s="669" t="n"/>
      <c r="L631" s="669" t="n"/>
      <c r="M631" s="669" t="n"/>
      <c r="N631" s="669" t="n"/>
      <c r="O631" s="669" t="n"/>
      <c r="P631" s="669" t="n"/>
      <c r="Q631" s="669" t="n"/>
      <c r="R631" s="669" t="n"/>
      <c r="S631" s="669" t="n"/>
      <c r="T631" s="669" t="n"/>
      <c r="U631" s="669" t="n"/>
    </row>
    <row r="632" ht="15.75" customHeight="1" s="1128">
      <c r="A632" s="669" t="n"/>
      <c r="B632" s="669" t="n"/>
      <c r="C632" s="669" t="n"/>
      <c r="D632" s="669" t="n"/>
      <c r="E632" s="669" t="n"/>
      <c r="F632" s="669" t="n"/>
      <c r="G632" s="669" t="n"/>
      <c r="H632" s="669" t="n"/>
      <c r="I632" s="669" t="n"/>
      <c r="J632" s="669" t="n"/>
      <c r="K632" s="669" t="n"/>
      <c r="L632" s="669" t="n"/>
      <c r="M632" s="669" t="n"/>
      <c r="N632" s="669" t="n"/>
      <c r="O632" s="669" t="n"/>
      <c r="P632" s="669" t="n"/>
      <c r="Q632" s="669" t="n"/>
      <c r="R632" s="669" t="n"/>
      <c r="S632" s="669" t="n"/>
      <c r="T632" s="669" t="n"/>
      <c r="U632" s="669" t="n"/>
    </row>
    <row r="633" ht="15.75" customHeight="1" s="1128">
      <c r="A633" s="669" t="n"/>
      <c r="B633" s="669" t="n"/>
      <c r="C633" s="669" t="n"/>
      <c r="D633" s="669" t="n"/>
      <c r="E633" s="669" t="n"/>
      <c r="F633" s="669" t="n"/>
      <c r="G633" s="669" t="n"/>
      <c r="H633" s="669" t="n"/>
      <c r="I633" s="669" t="n"/>
      <c r="J633" s="669" t="n"/>
      <c r="K633" s="669" t="n"/>
      <c r="L633" s="669" t="n"/>
      <c r="M633" s="669" t="n"/>
      <c r="N633" s="669" t="n"/>
      <c r="O633" s="669" t="n"/>
      <c r="P633" s="669" t="n"/>
      <c r="Q633" s="669" t="n"/>
      <c r="R633" s="669" t="n"/>
      <c r="S633" s="669" t="n"/>
      <c r="T633" s="669" t="n"/>
      <c r="U633" s="669" t="n"/>
    </row>
    <row r="634" ht="15.75" customHeight="1" s="1128">
      <c r="A634" s="669" t="n"/>
      <c r="B634" s="669" t="n"/>
      <c r="C634" s="669" t="n"/>
      <c r="D634" s="669" t="n"/>
      <c r="E634" s="669" t="n"/>
      <c r="F634" s="669" t="n"/>
      <c r="G634" s="669" t="n"/>
      <c r="H634" s="669" t="n"/>
      <c r="I634" s="669" t="n"/>
      <c r="J634" s="669" t="n"/>
      <c r="K634" s="669" t="n"/>
      <c r="L634" s="669" t="n"/>
      <c r="M634" s="669" t="n"/>
      <c r="N634" s="669" t="n"/>
      <c r="O634" s="669" t="n"/>
      <c r="P634" s="669" t="n"/>
      <c r="Q634" s="669" t="n"/>
      <c r="R634" s="669" t="n"/>
      <c r="S634" s="669" t="n"/>
      <c r="T634" s="669" t="n"/>
      <c r="U634" s="669" t="n"/>
    </row>
    <row r="635" ht="15.75" customHeight="1" s="1128">
      <c r="A635" s="669" t="n"/>
      <c r="B635" s="669" t="n"/>
      <c r="C635" s="669" t="n"/>
      <c r="D635" s="669" t="n"/>
      <c r="E635" s="669" t="n"/>
      <c r="F635" s="669" t="n"/>
      <c r="G635" s="669" t="n"/>
      <c r="H635" s="669" t="n"/>
      <c r="I635" s="669" t="n"/>
      <c r="J635" s="669" t="n"/>
      <c r="K635" s="669" t="n"/>
      <c r="L635" s="669" t="n"/>
      <c r="M635" s="669" t="n"/>
      <c r="N635" s="669" t="n"/>
      <c r="O635" s="669" t="n"/>
      <c r="P635" s="669" t="n"/>
      <c r="Q635" s="669" t="n"/>
      <c r="R635" s="669" t="n"/>
      <c r="S635" s="669" t="n"/>
      <c r="T635" s="669" t="n"/>
      <c r="U635" s="669" t="n"/>
    </row>
    <row r="636" ht="15.75" customHeight="1" s="1128">
      <c r="A636" s="669" t="n"/>
      <c r="B636" s="669" t="n"/>
      <c r="C636" s="669" t="n"/>
      <c r="D636" s="669" t="n"/>
      <c r="E636" s="669" t="n"/>
      <c r="F636" s="669" t="n"/>
      <c r="G636" s="669" t="n"/>
      <c r="H636" s="669" t="n"/>
      <c r="I636" s="669" t="n"/>
      <c r="J636" s="669" t="n"/>
      <c r="K636" s="669" t="n"/>
      <c r="L636" s="669" t="n"/>
      <c r="M636" s="669" t="n"/>
      <c r="N636" s="669" t="n"/>
      <c r="O636" s="669" t="n"/>
      <c r="P636" s="669" t="n"/>
      <c r="Q636" s="669" t="n"/>
      <c r="R636" s="669" t="n"/>
      <c r="S636" s="669" t="n"/>
      <c r="T636" s="669" t="n"/>
      <c r="U636" s="669" t="n"/>
    </row>
    <row r="637" ht="15.75" customHeight="1" s="1128">
      <c r="A637" s="669" t="n"/>
      <c r="B637" s="669" t="n"/>
      <c r="C637" s="669" t="n"/>
      <c r="D637" s="669" t="n"/>
      <c r="E637" s="669" t="n"/>
      <c r="F637" s="669" t="n"/>
      <c r="G637" s="669" t="n"/>
      <c r="H637" s="669" t="n"/>
      <c r="I637" s="669" t="n"/>
      <c r="J637" s="669" t="n"/>
      <c r="K637" s="669" t="n"/>
      <c r="L637" s="669" t="n"/>
      <c r="M637" s="669" t="n"/>
      <c r="N637" s="669" t="n"/>
      <c r="O637" s="669" t="n"/>
      <c r="P637" s="669" t="n"/>
      <c r="Q637" s="669" t="n"/>
      <c r="R637" s="669" t="n"/>
      <c r="S637" s="669" t="n"/>
      <c r="T637" s="669" t="n"/>
      <c r="U637" s="669" t="n"/>
    </row>
    <row r="638" ht="15.75" customHeight="1" s="1128">
      <c r="A638" s="669" t="n"/>
      <c r="B638" s="669" t="n"/>
      <c r="C638" s="669" t="n"/>
      <c r="D638" s="669" t="n"/>
      <c r="E638" s="669" t="n"/>
      <c r="F638" s="669" t="n"/>
      <c r="G638" s="669" t="n"/>
      <c r="H638" s="669" t="n"/>
      <c r="I638" s="669" t="n"/>
      <c r="J638" s="669" t="n"/>
      <c r="K638" s="669" t="n"/>
      <c r="L638" s="669" t="n"/>
      <c r="M638" s="669" t="n"/>
      <c r="N638" s="669" t="n"/>
      <c r="O638" s="669" t="n"/>
      <c r="P638" s="669" t="n"/>
      <c r="Q638" s="669" t="n"/>
      <c r="R638" s="669" t="n"/>
      <c r="S638" s="669" t="n"/>
      <c r="T638" s="669" t="n"/>
      <c r="U638" s="669" t="n"/>
    </row>
    <row r="639" ht="15.75" customHeight="1" s="1128">
      <c r="A639" s="669" t="n"/>
      <c r="B639" s="669" t="n"/>
      <c r="C639" s="669" t="n"/>
      <c r="D639" s="669" t="n"/>
      <c r="E639" s="669" t="n"/>
      <c r="F639" s="669" t="n"/>
      <c r="G639" s="669" t="n"/>
      <c r="H639" s="669" t="n"/>
      <c r="I639" s="669" t="n"/>
      <c r="J639" s="669" t="n"/>
      <c r="K639" s="669" t="n"/>
      <c r="L639" s="669" t="n"/>
      <c r="M639" s="669" t="n"/>
      <c r="N639" s="669" t="n"/>
      <c r="O639" s="669" t="n"/>
      <c r="P639" s="669" t="n"/>
      <c r="Q639" s="669" t="n"/>
      <c r="R639" s="669" t="n"/>
      <c r="S639" s="669" t="n"/>
      <c r="T639" s="669" t="n"/>
      <c r="U639" s="669" t="n"/>
    </row>
    <row r="640" ht="15.75" customHeight="1" s="1128">
      <c r="A640" s="669" t="n"/>
      <c r="B640" s="669" t="n"/>
      <c r="C640" s="669" t="n"/>
      <c r="D640" s="669" t="n"/>
      <c r="E640" s="669" t="n"/>
      <c r="F640" s="669" t="n"/>
      <c r="G640" s="669" t="n"/>
      <c r="H640" s="669" t="n"/>
      <c r="I640" s="669" t="n"/>
      <c r="J640" s="669" t="n"/>
      <c r="K640" s="669" t="n"/>
      <c r="L640" s="669" t="n"/>
      <c r="M640" s="669" t="n"/>
      <c r="N640" s="669" t="n"/>
      <c r="O640" s="669" t="n"/>
      <c r="P640" s="669" t="n"/>
      <c r="Q640" s="669" t="n"/>
      <c r="R640" s="669" t="n"/>
      <c r="S640" s="669" t="n"/>
      <c r="T640" s="669" t="n"/>
      <c r="U640" s="669" t="n"/>
    </row>
    <row r="641" ht="15.75" customHeight="1" s="1128">
      <c r="A641" s="669" t="n"/>
      <c r="B641" s="669" t="n"/>
      <c r="C641" s="669" t="n"/>
      <c r="D641" s="669" t="n"/>
      <c r="E641" s="669" t="n"/>
      <c r="F641" s="669" t="n"/>
      <c r="G641" s="669" t="n"/>
      <c r="H641" s="669" t="n"/>
      <c r="I641" s="669" t="n"/>
      <c r="J641" s="669" t="n"/>
      <c r="K641" s="669" t="n"/>
      <c r="L641" s="669" t="n"/>
      <c r="M641" s="669" t="n"/>
      <c r="N641" s="669" t="n"/>
      <c r="O641" s="669" t="n"/>
      <c r="P641" s="669" t="n"/>
      <c r="Q641" s="669" t="n"/>
      <c r="R641" s="669" t="n"/>
      <c r="S641" s="669" t="n"/>
      <c r="T641" s="669" t="n"/>
      <c r="U641" s="669" t="n"/>
    </row>
    <row r="642" ht="15.75" customHeight="1" s="1128">
      <c r="A642" s="669" t="n"/>
      <c r="B642" s="669" t="n"/>
      <c r="C642" s="669" t="n"/>
      <c r="D642" s="669" t="n"/>
      <c r="E642" s="669" t="n"/>
      <c r="F642" s="669" t="n"/>
      <c r="G642" s="669" t="n"/>
      <c r="H642" s="669" t="n"/>
      <c r="I642" s="669" t="n"/>
      <c r="J642" s="669" t="n"/>
      <c r="K642" s="669" t="n"/>
      <c r="L642" s="669" t="n"/>
      <c r="M642" s="669" t="n"/>
      <c r="N642" s="669" t="n"/>
      <c r="O642" s="669" t="n"/>
      <c r="P642" s="669" t="n"/>
      <c r="Q642" s="669" t="n"/>
      <c r="R642" s="669" t="n"/>
      <c r="S642" s="669" t="n"/>
      <c r="T642" s="669" t="n"/>
      <c r="U642" s="669" t="n"/>
    </row>
    <row r="643" ht="15.75" customHeight="1" s="1128">
      <c r="A643" s="669" t="n"/>
      <c r="B643" s="669" t="n"/>
      <c r="C643" s="669" t="n"/>
      <c r="D643" s="669" t="n"/>
      <c r="E643" s="669" t="n"/>
      <c r="F643" s="669" t="n"/>
      <c r="G643" s="669" t="n"/>
      <c r="H643" s="669" t="n"/>
      <c r="I643" s="669" t="n"/>
      <c r="J643" s="669" t="n"/>
      <c r="K643" s="669" t="n"/>
      <c r="L643" s="669" t="n"/>
      <c r="M643" s="669" t="n"/>
      <c r="N643" s="669" t="n"/>
      <c r="O643" s="669" t="n"/>
      <c r="P643" s="669" t="n"/>
      <c r="Q643" s="669" t="n"/>
      <c r="R643" s="669" t="n"/>
      <c r="S643" s="669" t="n"/>
      <c r="T643" s="669" t="n"/>
      <c r="U643" s="669" t="n"/>
    </row>
    <row r="644" ht="15.75" customHeight="1" s="1128">
      <c r="A644" s="669" t="n"/>
      <c r="B644" s="669" t="n"/>
      <c r="C644" s="669" t="n"/>
      <c r="D644" s="669" t="n"/>
      <c r="E644" s="669" t="n"/>
      <c r="F644" s="669" t="n"/>
      <c r="G644" s="669" t="n"/>
      <c r="H644" s="669" t="n"/>
      <c r="I644" s="669" t="n"/>
      <c r="J644" s="669" t="n"/>
      <c r="K644" s="669" t="n"/>
      <c r="L644" s="669" t="n"/>
      <c r="M644" s="669" t="n"/>
      <c r="N644" s="669" t="n"/>
      <c r="O644" s="669" t="n"/>
      <c r="P644" s="669" t="n"/>
      <c r="Q644" s="669" t="n"/>
      <c r="R644" s="669" t="n"/>
      <c r="S644" s="669" t="n"/>
      <c r="T644" s="669" t="n"/>
      <c r="U644" s="669" t="n"/>
    </row>
    <row r="645" ht="15.75" customHeight="1" s="1128">
      <c r="A645" s="669" t="n"/>
      <c r="B645" s="669" t="n"/>
      <c r="C645" s="669" t="n"/>
      <c r="D645" s="669" t="n"/>
      <c r="E645" s="669" t="n"/>
      <c r="F645" s="669" t="n"/>
      <c r="G645" s="669" t="n"/>
      <c r="H645" s="669" t="n"/>
      <c r="I645" s="669" t="n"/>
      <c r="J645" s="669" t="n"/>
      <c r="K645" s="669" t="n"/>
      <c r="L645" s="669" t="n"/>
      <c r="M645" s="669" t="n"/>
      <c r="N645" s="669" t="n"/>
      <c r="O645" s="669" t="n"/>
      <c r="P645" s="669" t="n"/>
      <c r="Q645" s="669" t="n"/>
      <c r="R645" s="669" t="n"/>
      <c r="S645" s="669" t="n"/>
      <c r="T645" s="669" t="n"/>
      <c r="U645" s="669" t="n"/>
    </row>
    <row r="646" ht="15.75" customHeight="1" s="1128">
      <c r="A646" s="669" t="n"/>
      <c r="B646" s="669" t="n"/>
      <c r="C646" s="669" t="n"/>
      <c r="D646" s="669" t="n"/>
      <c r="E646" s="669" t="n"/>
      <c r="F646" s="669" t="n"/>
      <c r="G646" s="669" t="n"/>
      <c r="H646" s="669" t="n"/>
      <c r="I646" s="669" t="n"/>
      <c r="J646" s="669" t="n"/>
      <c r="K646" s="669" t="n"/>
      <c r="L646" s="669" t="n"/>
      <c r="M646" s="669" t="n"/>
      <c r="N646" s="669" t="n"/>
      <c r="O646" s="669" t="n"/>
      <c r="P646" s="669" t="n"/>
      <c r="Q646" s="669" t="n"/>
      <c r="R646" s="669" t="n"/>
      <c r="S646" s="669" t="n"/>
      <c r="T646" s="669" t="n"/>
      <c r="U646" s="669" t="n"/>
    </row>
    <row r="647" ht="15.75" customHeight="1" s="1128">
      <c r="A647" s="669" t="n"/>
      <c r="B647" s="669" t="n"/>
      <c r="C647" s="669" t="n"/>
      <c r="D647" s="669" t="n"/>
      <c r="E647" s="669" t="n"/>
      <c r="F647" s="669" t="n"/>
      <c r="G647" s="669" t="n"/>
      <c r="H647" s="669" t="n"/>
      <c r="I647" s="669" t="n"/>
      <c r="J647" s="669" t="n"/>
      <c r="K647" s="669" t="n"/>
      <c r="L647" s="669" t="n"/>
      <c r="M647" s="669" t="n"/>
      <c r="N647" s="669" t="n"/>
      <c r="O647" s="669" t="n"/>
      <c r="P647" s="669" t="n"/>
      <c r="Q647" s="669" t="n"/>
      <c r="R647" s="669" t="n"/>
      <c r="S647" s="669" t="n"/>
      <c r="T647" s="669" t="n"/>
      <c r="U647" s="669" t="n"/>
    </row>
    <row r="648" ht="15.75" customHeight="1" s="1128">
      <c r="A648" s="669" t="n"/>
      <c r="B648" s="669" t="n"/>
      <c r="C648" s="669" t="n"/>
      <c r="D648" s="669" t="n"/>
      <c r="E648" s="669" t="n"/>
      <c r="F648" s="669" t="n"/>
      <c r="G648" s="669" t="n"/>
      <c r="H648" s="669" t="n"/>
      <c r="I648" s="669" t="n"/>
      <c r="J648" s="669" t="n"/>
      <c r="K648" s="669" t="n"/>
      <c r="L648" s="669" t="n"/>
      <c r="M648" s="669" t="n"/>
      <c r="N648" s="669" t="n"/>
      <c r="O648" s="669" t="n"/>
      <c r="P648" s="669" t="n"/>
      <c r="Q648" s="669" t="n"/>
      <c r="R648" s="669" t="n"/>
      <c r="S648" s="669" t="n"/>
      <c r="T648" s="669" t="n"/>
      <c r="U648" s="669" t="n"/>
    </row>
    <row r="649" ht="15.75" customHeight="1" s="1128">
      <c r="A649" s="669" t="n"/>
      <c r="B649" s="669" t="n"/>
      <c r="C649" s="669" t="n"/>
      <c r="D649" s="669" t="n"/>
      <c r="E649" s="669" t="n"/>
      <c r="F649" s="669" t="n"/>
      <c r="G649" s="669" t="n"/>
      <c r="H649" s="669" t="n"/>
      <c r="I649" s="669" t="n"/>
      <c r="J649" s="669" t="n"/>
      <c r="K649" s="669" t="n"/>
      <c r="L649" s="669" t="n"/>
      <c r="M649" s="669" t="n"/>
      <c r="N649" s="669" t="n"/>
      <c r="O649" s="669" t="n"/>
      <c r="P649" s="669" t="n"/>
      <c r="Q649" s="669" t="n"/>
      <c r="R649" s="669" t="n"/>
      <c r="S649" s="669" t="n"/>
      <c r="T649" s="669" t="n"/>
      <c r="U649" s="669" t="n"/>
    </row>
    <row r="650" ht="15.75" customHeight="1" s="1128">
      <c r="A650" s="669" t="n"/>
      <c r="B650" s="669" t="n"/>
      <c r="C650" s="669" t="n"/>
      <c r="D650" s="669" t="n"/>
      <c r="E650" s="669" t="n"/>
      <c r="F650" s="669" t="n"/>
      <c r="G650" s="669" t="n"/>
      <c r="H650" s="669" t="n"/>
      <c r="I650" s="669" t="n"/>
      <c r="J650" s="669" t="n"/>
      <c r="K650" s="669" t="n"/>
      <c r="L650" s="669" t="n"/>
      <c r="M650" s="669" t="n"/>
      <c r="N650" s="669" t="n"/>
      <c r="O650" s="669" t="n"/>
      <c r="P650" s="669" t="n"/>
      <c r="Q650" s="669" t="n"/>
      <c r="R650" s="669" t="n"/>
      <c r="S650" s="669" t="n"/>
      <c r="T650" s="669" t="n"/>
      <c r="U650" s="669" t="n"/>
    </row>
    <row r="651" ht="15.75" customHeight="1" s="1128">
      <c r="A651" s="669" t="n"/>
      <c r="B651" s="669" t="n"/>
      <c r="C651" s="669" t="n"/>
      <c r="D651" s="669" t="n"/>
      <c r="E651" s="669" t="n"/>
      <c r="F651" s="669" t="n"/>
      <c r="G651" s="669" t="n"/>
      <c r="H651" s="669" t="n"/>
      <c r="I651" s="669" t="n"/>
      <c r="J651" s="669" t="n"/>
      <c r="K651" s="669" t="n"/>
      <c r="L651" s="669" t="n"/>
      <c r="M651" s="669" t="n"/>
      <c r="N651" s="669" t="n"/>
      <c r="O651" s="669" t="n"/>
      <c r="P651" s="669" t="n"/>
      <c r="Q651" s="669" t="n"/>
      <c r="R651" s="669" t="n"/>
      <c r="S651" s="669" t="n"/>
      <c r="T651" s="669" t="n"/>
      <c r="U651" s="669" t="n"/>
    </row>
    <row r="652" ht="15.75" customHeight="1" s="1128">
      <c r="A652" s="669" t="n"/>
      <c r="B652" s="669" t="n"/>
      <c r="C652" s="669" t="n"/>
      <c r="D652" s="669" t="n"/>
      <c r="E652" s="669" t="n"/>
      <c r="F652" s="669" t="n"/>
      <c r="G652" s="669" t="n"/>
      <c r="H652" s="669" t="n"/>
      <c r="I652" s="669" t="n"/>
      <c r="J652" s="669" t="n"/>
      <c r="K652" s="669" t="n"/>
      <c r="L652" s="669" t="n"/>
      <c r="M652" s="669" t="n"/>
      <c r="N652" s="669" t="n"/>
      <c r="O652" s="669" t="n"/>
      <c r="P652" s="669" t="n"/>
      <c r="Q652" s="669" t="n"/>
      <c r="R652" s="669" t="n"/>
      <c r="S652" s="669" t="n"/>
      <c r="T652" s="669" t="n"/>
      <c r="U652" s="669" t="n"/>
    </row>
    <row r="653" ht="15.75" customHeight="1" s="1128">
      <c r="A653" s="669" t="n"/>
      <c r="B653" s="669" t="n"/>
      <c r="C653" s="669" t="n"/>
      <c r="D653" s="669" t="n"/>
      <c r="E653" s="669" t="n"/>
      <c r="F653" s="669" t="n"/>
      <c r="G653" s="669" t="n"/>
      <c r="H653" s="669" t="n"/>
      <c r="I653" s="669" t="n"/>
      <c r="J653" s="669" t="n"/>
      <c r="K653" s="669" t="n"/>
      <c r="L653" s="669" t="n"/>
      <c r="M653" s="669" t="n"/>
      <c r="N653" s="669" t="n"/>
      <c r="O653" s="669" t="n"/>
      <c r="P653" s="669" t="n"/>
      <c r="Q653" s="669" t="n"/>
      <c r="R653" s="669" t="n"/>
      <c r="S653" s="669" t="n"/>
      <c r="T653" s="669" t="n"/>
      <c r="U653" s="669" t="n"/>
    </row>
    <row r="654" ht="15.75" customHeight="1" s="1128">
      <c r="A654" s="669" t="n"/>
      <c r="B654" s="669" t="n"/>
      <c r="C654" s="669" t="n"/>
      <c r="D654" s="669" t="n"/>
      <c r="E654" s="669" t="n"/>
      <c r="F654" s="669" t="n"/>
      <c r="G654" s="669" t="n"/>
      <c r="H654" s="669" t="n"/>
      <c r="I654" s="669" t="n"/>
      <c r="J654" s="669" t="n"/>
      <c r="K654" s="669" t="n"/>
      <c r="L654" s="669" t="n"/>
      <c r="M654" s="669" t="n"/>
      <c r="N654" s="669" t="n"/>
      <c r="O654" s="669" t="n"/>
      <c r="P654" s="669" t="n"/>
      <c r="Q654" s="669" t="n"/>
      <c r="R654" s="669" t="n"/>
      <c r="S654" s="669" t="n"/>
      <c r="T654" s="669" t="n"/>
      <c r="U654" s="669" t="n"/>
    </row>
    <row r="655" ht="15.75" customHeight="1" s="1128">
      <c r="A655" s="669" t="n"/>
      <c r="B655" s="669" t="n"/>
      <c r="C655" s="669" t="n"/>
      <c r="D655" s="669" t="n"/>
      <c r="E655" s="669" t="n"/>
      <c r="F655" s="669" t="n"/>
      <c r="G655" s="669" t="n"/>
      <c r="H655" s="669" t="n"/>
      <c r="I655" s="669" t="n"/>
      <c r="J655" s="669" t="n"/>
      <c r="K655" s="669" t="n"/>
      <c r="L655" s="669" t="n"/>
      <c r="M655" s="669" t="n"/>
      <c r="N655" s="669" t="n"/>
      <c r="O655" s="669" t="n"/>
      <c r="P655" s="669" t="n"/>
      <c r="Q655" s="669" t="n"/>
      <c r="R655" s="669" t="n"/>
      <c r="S655" s="669" t="n"/>
      <c r="T655" s="669" t="n"/>
      <c r="U655" s="669" t="n"/>
    </row>
    <row r="656" ht="15.75" customHeight="1" s="1128">
      <c r="A656" s="669" t="n"/>
      <c r="B656" s="669" t="n"/>
      <c r="C656" s="669" t="n"/>
      <c r="D656" s="669" t="n"/>
      <c r="E656" s="669" t="n"/>
      <c r="F656" s="669" t="n"/>
      <c r="G656" s="669" t="n"/>
      <c r="H656" s="669" t="n"/>
      <c r="I656" s="669" t="n"/>
      <c r="J656" s="669" t="n"/>
      <c r="K656" s="669" t="n"/>
      <c r="L656" s="669" t="n"/>
      <c r="M656" s="669" t="n"/>
      <c r="N656" s="669" t="n"/>
      <c r="O656" s="669" t="n"/>
      <c r="P656" s="669" t="n"/>
      <c r="Q656" s="669" t="n"/>
      <c r="R656" s="669" t="n"/>
      <c r="S656" s="669" t="n"/>
      <c r="T656" s="669" t="n"/>
      <c r="U656" s="669" t="n"/>
    </row>
    <row r="657" ht="15.75" customHeight="1" s="1128">
      <c r="A657" s="669" t="n"/>
      <c r="B657" s="669" t="n"/>
      <c r="C657" s="669" t="n"/>
      <c r="D657" s="669" t="n"/>
      <c r="E657" s="669" t="n"/>
      <c r="F657" s="669" t="n"/>
      <c r="G657" s="669" t="n"/>
      <c r="H657" s="669" t="n"/>
      <c r="I657" s="669" t="n"/>
      <c r="J657" s="669" t="n"/>
      <c r="K657" s="669" t="n"/>
      <c r="L657" s="669" t="n"/>
      <c r="M657" s="669" t="n"/>
      <c r="N657" s="669" t="n"/>
      <c r="O657" s="669" t="n"/>
      <c r="P657" s="669" t="n"/>
      <c r="Q657" s="669" t="n"/>
      <c r="R657" s="669" t="n"/>
      <c r="S657" s="669" t="n"/>
      <c r="T657" s="669" t="n"/>
      <c r="U657" s="669" t="n"/>
    </row>
    <row r="658" ht="15.75" customHeight="1" s="1128">
      <c r="A658" s="669" t="n"/>
      <c r="B658" s="669" t="n"/>
      <c r="C658" s="669" t="n"/>
      <c r="D658" s="669" t="n"/>
      <c r="E658" s="669" t="n"/>
      <c r="F658" s="669" t="n"/>
      <c r="G658" s="669" t="n"/>
      <c r="H658" s="669" t="n"/>
      <c r="I658" s="669" t="n"/>
      <c r="J658" s="669" t="n"/>
      <c r="K658" s="669" t="n"/>
      <c r="L658" s="669" t="n"/>
      <c r="M658" s="669" t="n"/>
      <c r="N658" s="669" t="n"/>
      <c r="O658" s="669" t="n"/>
      <c r="P658" s="669" t="n"/>
      <c r="Q658" s="669" t="n"/>
      <c r="R658" s="669" t="n"/>
      <c r="S658" s="669" t="n"/>
      <c r="T658" s="669" t="n"/>
      <c r="U658" s="669" t="n"/>
    </row>
    <row r="659" ht="15.75" customHeight="1" s="1128">
      <c r="A659" s="669" t="n"/>
      <c r="B659" s="669" t="n"/>
      <c r="C659" s="669" t="n"/>
      <c r="D659" s="669" t="n"/>
      <c r="E659" s="669" t="n"/>
      <c r="F659" s="669" t="n"/>
      <c r="G659" s="669" t="n"/>
      <c r="H659" s="669" t="n"/>
      <c r="I659" s="669" t="n"/>
      <c r="J659" s="669" t="n"/>
      <c r="K659" s="669" t="n"/>
      <c r="L659" s="669" t="n"/>
      <c r="M659" s="669" t="n"/>
      <c r="N659" s="669" t="n"/>
      <c r="O659" s="669" t="n"/>
      <c r="P659" s="669" t="n"/>
      <c r="Q659" s="669" t="n"/>
      <c r="R659" s="669" t="n"/>
      <c r="S659" s="669" t="n"/>
      <c r="T659" s="669" t="n"/>
      <c r="U659" s="669" t="n"/>
    </row>
    <row r="660" ht="15.75" customHeight="1" s="1128">
      <c r="A660" s="669" t="n"/>
      <c r="B660" s="669" t="n"/>
      <c r="C660" s="669" t="n"/>
      <c r="D660" s="669" t="n"/>
      <c r="E660" s="669" t="n"/>
      <c r="F660" s="669" t="n"/>
      <c r="G660" s="669" t="n"/>
      <c r="H660" s="669" t="n"/>
      <c r="I660" s="669" t="n"/>
      <c r="J660" s="669" t="n"/>
      <c r="K660" s="669" t="n"/>
      <c r="L660" s="669" t="n"/>
      <c r="M660" s="669" t="n"/>
      <c r="N660" s="669" t="n"/>
      <c r="O660" s="669" t="n"/>
      <c r="P660" s="669" t="n"/>
      <c r="Q660" s="669" t="n"/>
      <c r="R660" s="669" t="n"/>
      <c r="S660" s="669" t="n"/>
      <c r="T660" s="669" t="n"/>
      <c r="U660" s="669" t="n"/>
    </row>
    <row r="661" ht="15.75" customHeight="1" s="1128">
      <c r="A661" s="669" t="n"/>
      <c r="B661" s="669" t="n"/>
      <c r="C661" s="669" t="n"/>
      <c r="D661" s="669" t="n"/>
      <c r="E661" s="669" t="n"/>
      <c r="F661" s="669" t="n"/>
      <c r="G661" s="669" t="n"/>
      <c r="H661" s="669" t="n"/>
      <c r="I661" s="669" t="n"/>
      <c r="J661" s="669" t="n"/>
      <c r="K661" s="669" t="n"/>
      <c r="L661" s="669" t="n"/>
      <c r="M661" s="669" t="n"/>
      <c r="N661" s="669" t="n"/>
      <c r="O661" s="669" t="n"/>
      <c r="P661" s="669" t="n"/>
      <c r="Q661" s="669" t="n"/>
      <c r="R661" s="669" t="n"/>
      <c r="S661" s="669" t="n"/>
      <c r="T661" s="669" t="n"/>
      <c r="U661" s="669" t="n"/>
    </row>
    <row r="662" ht="15.75" customHeight="1" s="1128">
      <c r="A662" s="669" t="n"/>
      <c r="B662" s="669" t="n"/>
      <c r="C662" s="669" t="n"/>
      <c r="D662" s="669" t="n"/>
      <c r="E662" s="669" t="n"/>
      <c r="F662" s="669" t="n"/>
      <c r="G662" s="669" t="n"/>
      <c r="H662" s="669" t="n"/>
      <c r="I662" s="669" t="n"/>
      <c r="J662" s="669" t="n"/>
      <c r="K662" s="669" t="n"/>
      <c r="L662" s="669" t="n"/>
      <c r="M662" s="669" t="n"/>
      <c r="N662" s="669" t="n"/>
      <c r="O662" s="669" t="n"/>
      <c r="P662" s="669" t="n"/>
      <c r="Q662" s="669" t="n"/>
      <c r="R662" s="669" t="n"/>
      <c r="S662" s="669" t="n"/>
      <c r="T662" s="669" t="n"/>
      <c r="U662" s="669" t="n"/>
    </row>
    <row r="663" ht="15.75" customHeight="1" s="1128">
      <c r="A663" s="669" t="n"/>
      <c r="B663" s="669" t="n"/>
      <c r="C663" s="669" t="n"/>
      <c r="D663" s="669" t="n"/>
      <c r="E663" s="669" t="n"/>
      <c r="F663" s="669" t="n"/>
      <c r="G663" s="669" t="n"/>
      <c r="H663" s="669" t="n"/>
      <c r="I663" s="669" t="n"/>
      <c r="J663" s="669" t="n"/>
      <c r="K663" s="669" t="n"/>
      <c r="L663" s="669" t="n"/>
      <c r="M663" s="669" t="n"/>
      <c r="N663" s="669" t="n"/>
      <c r="O663" s="669" t="n"/>
      <c r="P663" s="669" t="n"/>
      <c r="Q663" s="669" t="n"/>
      <c r="R663" s="669" t="n"/>
      <c r="S663" s="669" t="n"/>
      <c r="T663" s="669" t="n"/>
      <c r="U663" s="669" t="n"/>
    </row>
    <row r="664" ht="15.75" customHeight="1" s="1128">
      <c r="A664" s="669" t="n"/>
      <c r="B664" s="669" t="n"/>
      <c r="C664" s="669" t="n"/>
      <c r="D664" s="669" t="n"/>
      <c r="E664" s="669" t="n"/>
      <c r="F664" s="669" t="n"/>
      <c r="G664" s="669" t="n"/>
      <c r="H664" s="669" t="n"/>
      <c r="I664" s="669" t="n"/>
      <c r="J664" s="669" t="n"/>
      <c r="K664" s="669" t="n"/>
      <c r="L664" s="669" t="n"/>
      <c r="M664" s="669" t="n"/>
      <c r="N664" s="669" t="n"/>
      <c r="O664" s="669" t="n"/>
      <c r="P664" s="669" t="n"/>
      <c r="Q664" s="669" t="n"/>
      <c r="R664" s="669" t="n"/>
      <c r="S664" s="669" t="n"/>
      <c r="T664" s="669" t="n"/>
      <c r="U664" s="669" t="n"/>
    </row>
    <row r="665" ht="15.75" customHeight="1" s="1128">
      <c r="A665" s="669" t="n"/>
      <c r="B665" s="669" t="n"/>
      <c r="C665" s="669" t="n"/>
      <c r="D665" s="669" t="n"/>
      <c r="E665" s="669" t="n"/>
      <c r="F665" s="669" t="n"/>
      <c r="G665" s="669" t="n"/>
      <c r="H665" s="669" t="n"/>
      <c r="I665" s="669" t="n"/>
      <c r="J665" s="669" t="n"/>
      <c r="K665" s="669" t="n"/>
      <c r="L665" s="669" t="n"/>
      <c r="M665" s="669" t="n"/>
      <c r="N665" s="669" t="n"/>
      <c r="O665" s="669" t="n"/>
      <c r="P665" s="669" t="n"/>
      <c r="Q665" s="669" t="n"/>
      <c r="R665" s="669" t="n"/>
      <c r="S665" s="669" t="n"/>
      <c r="T665" s="669" t="n"/>
      <c r="U665" s="669" t="n"/>
    </row>
    <row r="666" ht="15.75" customHeight="1" s="1128">
      <c r="A666" s="669" t="n"/>
      <c r="B666" s="669" t="n"/>
      <c r="C666" s="669" t="n"/>
      <c r="D666" s="669" t="n"/>
      <c r="E666" s="669" t="n"/>
      <c r="F666" s="669" t="n"/>
      <c r="G666" s="669" t="n"/>
      <c r="H666" s="669" t="n"/>
      <c r="I666" s="669" t="n"/>
      <c r="J666" s="669" t="n"/>
      <c r="K666" s="669" t="n"/>
      <c r="L666" s="669" t="n"/>
      <c r="M666" s="669" t="n"/>
      <c r="N666" s="669" t="n"/>
      <c r="O666" s="669" t="n"/>
      <c r="P666" s="669" t="n"/>
      <c r="Q666" s="669" t="n"/>
      <c r="R666" s="669" t="n"/>
      <c r="S666" s="669" t="n"/>
      <c r="T666" s="669" t="n"/>
      <c r="U666" s="669" t="n"/>
    </row>
    <row r="667" ht="15.75" customHeight="1" s="1128">
      <c r="A667" s="669" t="n"/>
      <c r="B667" s="669" t="n"/>
      <c r="C667" s="669" t="n"/>
      <c r="D667" s="669" t="n"/>
      <c r="E667" s="669" t="n"/>
      <c r="F667" s="669" t="n"/>
      <c r="G667" s="669" t="n"/>
      <c r="H667" s="669" t="n"/>
      <c r="I667" s="669" t="n"/>
      <c r="J667" s="669" t="n"/>
      <c r="K667" s="669" t="n"/>
      <c r="L667" s="669" t="n"/>
      <c r="M667" s="669" t="n"/>
      <c r="N667" s="669" t="n"/>
      <c r="O667" s="669" t="n"/>
      <c r="P667" s="669" t="n"/>
      <c r="Q667" s="669" t="n"/>
      <c r="R667" s="669" t="n"/>
      <c r="S667" s="669" t="n"/>
      <c r="T667" s="669" t="n"/>
      <c r="U667" s="669" t="n"/>
    </row>
    <row r="668" ht="15.75" customHeight="1" s="1128">
      <c r="A668" s="669" t="n"/>
      <c r="B668" s="669" t="n"/>
      <c r="C668" s="669" t="n"/>
      <c r="D668" s="669" t="n"/>
      <c r="E668" s="669" t="n"/>
      <c r="F668" s="669" t="n"/>
      <c r="G668" s="669" t="n"/>
      <c r="H668" s="669" t="n"/>
      <c r="I668" s="669" t="n"/>
      <c r="J668" s="669" t="n"/>
      <c r="K668" s="669" t="n"/>
      <c r="L668" s="669" t="n"/>
      <c r="M668" s="669" t="n"/>
      <c r="N668" s="669" t="n"/>
      <c r="O668" s="669" t="n"/>
      <c r="P668" s="669" t="n"/>
      <c r="Q668" s="669" t="n"/>
      <c r="R668" s="669" t="n"/>
      <c r="S668" s="669" t="n"/>
      <c r="T668" s="669" t="n"/>
      <c r="U668" s="669" t="n"/>
    </row>
    <row r="669" ht="15.75" customHeight="1" s="1128">
      <c r="A669" s="669" t="n"/>
      <c r="B669" s="669" t="n"/>
      <c r="C669" s="669" t="n"/>
      <c r="D669" s="669" t="n"/>
      <c r="E669" s="669" t="n"/>
      <c r="F669" s="669" t="n"/>
      <c r="G669" s="669" t="n"/>
      <c r="H669" s="669" t="n"/>
      <c r="I669" s="669" t="n"/>
      <c r="J669" s="669" t="n"/>
      <c r="K669" s="669" t="n"/>
      <c r="L669" s="669" t="n"/>
      <c r="M669" s="669" t="n"/>
      <c r="N669" s="669" t="n"/>
      <c r="O669" s="669" t="n"/>
      <c r="P669" s="669" t="n"/>
      <c r="Q669" s="669" t="n"/>
      <c r="R669" s="669" t="n"/>
      <c r="S669" s="669" t="n"/>
      <c r="T669" s="669" t="n"/>
      <c r="U669" s="669" t="n"/>
    </row>
    <row r="670" ht="15.75" customHeight="1" s="1128">
      <c r="A670" s="669" t="n"/>
      <c r="B670" s="669" t="n"/>
      <c r="C670" s="669" t="n"/>
      <c r="D670" s="669" t="n"/>
      <c r="E670" s="669" t="n"/>
      <c r="F670" s="669" t="n"/>
      <c r="G670" s="669" t="n"/>
      <c r="H670" s="669" t="n"/>
      <c r="I670" s="669" t="n"/>
      <c r="J670" s="669" t="n"/>
      <c r="K670" s="669" t="n"/>
      <c r="L670" s="669" t="n"/>
      <c r="M670" s="669" t="n"/>
      <c r="N670" s="669" t="n"/>
      <c r="O670" s="669" t="n"/>
      <c r="P670" s="669" t="n"/>
      <c r="Q670" s="669" t="n"/>
      <c r="R670" s="669" t="n"/>
      <c r="S670" s="669" t="n"/>
      <c r="T670" s="669" t="n"/>
      <c r="U670" s="669" t="n"/>
    </row>
    <row r="671" ht="15.75" customHeight="1" s="1128">
      <c r="A671" s="669" t="n"/>
      <c r="B671" s="669" t="n"/>
      <c r="C671" s="669" t="n"/>
      <c r="D671" s="669" t="n"/>
      <c r="E671" s="669" t="n"/>
      <c r="F671" s="669" t="n"/>
      <c r="G671" s="669" t="n"/>
      <c r="H671" s="669" t="n"/>
      <c r="I671" s="669" t="n"/>
      <c r="J671" s="669" t="n"/>
      <c r="K671" s="669" t="n"/>
      <c r="L671" s="669" t="n"/>
      <c r="M671" s="669" t="n"/>
      <c r="N671" s="669" t="n"/>
      <c r="O671" s="669" t="n"/>
      <c r="P671" s="669" t="n"/>
      <c r="Q671" s="669" t="n"/>
      <c r="R671" s="669" t="n"/>
      <c r="S671" s="669" t="n"/>
      <c r="T671" s="669" t="n"/>
      <c r="U671" s="669" t="n"/>
    </row>
    <row r="672" ht="15.75" customHeight="1" s="1128">
      <c r="A672" s="669" t="n"/>
      <c r="B672" s="669" t="n"/>
      <c r="C672" s="669" t="n"/>
      <c r="D672" s="669" t="n"/>
      <c r="E672" s="669" t="n"/>
      <c r="F672" s="669" t="n"/>
      <c r="G672" s="669" t="n"/>
      <c r="H672" s="669" t="n"/>
      <c r="I672" s="669" t="n"/>
      <c r="J672" s="669" t="n"/>
      <c r="K672" s="669" t="n"/>
      <c r="L672" s="669" t="n"/>
      <c r="M672" s="669" t="n"/>
      <c r="N672" s="669" t="n"/>
      <c r="O672" s="669" t="n"/>
      <c r="P672" s="669" t="n"/>
      <c r="Q672" s="669" t="n"/>
      <c r="R672" s="669" t="n"/>
      <c r="S672" s="669" t="n"/>
      <c r="T672" s="669" t="n"/>
      <c r="U672" s="669" t="n"/>
    </row>
    <row r="673" ht="15.75" customHeight="1" s="1128">
      <c r="A673" s="669" t="n"/>
      <c r="B673" s="669" t="n"/>
      <c r="C673" s="669" t="n"/>
      <c r="D673" s="669" t="n"/>
      <c r="E673" s="669" t="n"/>
      <c r="F673" s="669" t="n"/>
      <c r="G673" s="669" t="n"/>
      <c r="H673" s="669" t="n"/>
      <c r="I673" s="669" t="n"/>
      <c r="J673" s="669" t="n"/>
      <c r="K673" s="669" t="n"/>
      <c r="L673" s="669" t="n"/>
      <c r="M673" s="669" t="n"/>
      <c r="N673" s="669" t="n"/>
      <c r="O673" s="669" t="n"/>
      <c r="P673" s="669" t="n"/>
      <c r="Q673" s="669" t="n"/>
      <c r="R673" s="669" t="n"/>
      <c r="S673" s="669" t="n"/>
      <c r="T673" s="669" t="n"/>
      <c r="U673" s="669" t="n"/>
    </row>
    <row r="674" ht="15.75" customHeight="1" s="1128">
      <c r="A674" s="669" t="n"/>
      <c r="B674" s="669" t="n"/>
      <c r="C674" s="669" t="n"/>
      <c r="D674" s="669" t="n"/>
      <c r="E674" s="669" t="n"/>
      <c r="F674" s="669" t="n"/>
      <c r="G674" s="669" t="n"/>
      <c r="H674" s="669" t="n"/>
      <c r="I674" s="669" t="n"/>
      <c r="J674" s="669" t="n"/>
      <c r="K674" s="669" t="n"/>
      <c r="L674" s="669" t="n"/>
      <c r="M674" s="669" t="n"/>
      <c r="N674" s="669" t="n"/>
      <c r="O674" s="669" t="n"/>
      <c r="P674" s="669" t="n"/>
      <c r="Q674" s="669" t="n"/>
      <c r="R674" s="669" t="n"/>
      <c r="S674" s="669" t="n"/>
      <c r="T674" s="669" t="n"/>
      <c r="U674" s="669" t="n"/>
    </row>
    <row r="675" ht="15.75" customHeight="1" s="1128">
      <c r="A675" s="669" t="n"/>
      <c r="B675" s="669" t="n"/>
      <c r="C675" s="669" t="n"/>
      <c r="D675" s="669" t="n"/>
      <c r="E675" s="669" t="n"/>
      <c r="F675" s="669" t="n"/>
      <c r="G675" s="669" t="n"/>
      <c r="H675" s="669" t="n"/>
      <c r="I675" s="669" t="n"/>
      <c r="J675" s="669" t="n"/>
      <c r="K675" s="669" t="n"/>
      <c r="L675" s="669" t="n"/>
      <c r="M675" s="669" t="n"/>
      <c r="N675" s="669" t="n"/>
      <c r="O675" s="669" t="n"/>
      <c r="P675" s="669" t="n"/>
      <c r="Q675" s="669" t="n"/>
      <c r="R675" s="669" t="n"/>
      <c r="S675" s="669" t="n"/>
      <c r="T675" s="669" t="n"/>
      <c r="U675" s="669" t="n"/>
    </row>
    <row r="676" ht="15.75" customHeight="1" s="1128">
      <c r="A676" s="669" t="n"/>
      <c r="B676" s="669" t="n"/>
      <c r="C676" s="669" t="n"/>
      <c r="D676" s="669" t="n"/>
      <c r="E676" s="669" t="n"/>
      <c r="F676" s="669" t="n"/>
      <c r="G676" s="669" t="n"/>
      <c r="H676" s="669" t="n"/>
      <c r="I676" s="669" t="n"/>
      <c r="J676" s="669" t="n"/>
      <c r="K676" s="669" t="n"/>
      <c r="L676" s="669" t="n"/>
      <c r="M676" s="669" t="n"/>
      <c r="N676" s="669" t="n"/>
      <c r="O676" s="669" t="n"/>
      <c r="P676" s="669" t="n"/>
      <c r="Q676" s="669" t="n"/>
      <c r="R676" s="669" t="n"/>
      <c r="S676" s="669" t="n"/>
      <c r="T676" s="669" t="n"/>
      <c r="U676" s="669" t="n"/>
    </row>
    <row r="677" ht="15.75" customHeight="1" s="1128">
      <c r="A677" s="669" t="n"/>
      <c r="B677" s="669" t="n"/>
      <c r="C677" s="669" t="n"/>
      <c r="D677" s="669" t="n"/>
      <c r="E677" s="669" t="n"/>
      <c r="F677" s="669" t="n"/>
      <c r="G677" s="669" t="n"/>
      <c r="H677" s="669" t="n"/>
      <c r="I677" s="669" t="n"/>
      <c r="J677" s="669" t="n"/>
      <c r="K677" s="669" t="n"/>
      <c r="L677" s="669" t="n"/>
      <c r="M677" s="669" t="n"/>
      <c r="N677" s="669" t="n"/>
      <c r="O677" s="669" t="n"/>
      <c r="P677" s="669" t="n"/>
      <c r="Q677" s="669" t="n"/>
      <c r="R677" s="669" t="n"/>
      <c r="S677" s="669" t="n"/>
      <c r="T677" s="669" t="n"/>
      <c r="U677" s="669" t="n"/>
    </row>
    <row r="678" ht="15.75" customHeight="1" s="1128">
      <c r="A678" s="669" t="n"/>
      <c r="B678" s="669" t="n"/>
      <c r="C678" s="669" t="n"/>
      <c r="D678" s="669" t="n"/>
      <c r="E678" s="669" t="n"/>
      <c r="F678" s="669" t="n"/>
      <c r="G678" s="669" t="n"/>
      <c r="H678" s="669" t="n"/>
      <c r="I678" s="669" t="n"/>
      <c r="J678" s="669" t="n"/>
      <c r="K678" s="669" t="n"/>
      <c r="L678" s="669" t="n"/>
      <c r="M678" s="669" t="n"/>
      <c r="N678" s="669" t="n"/>
      <c r="O678" s="669" t="n"/>
      <c r="P678" s="669" t="n"/>
      <c r="Q678" s="669" t="n"/>
      <c r="R678" s="669" t="n"/>
      <c r="S678" s="669" t="n"/>
      <c r="T678" s="669" t="n"/>
      <c r="U678" s="669" t="n"/>
    </row>
    <row r="679" ht="15.75" customHeight="1" s="1128">
      <c r="A679" s="669" t="n"/>
      <c r="B679" s="669" t="n"/>
      <c r="C679" s="669" t="n"/>
      <c r="D679" s="669" t="n"/>
      <c r="E679" s="669" t="n"/>
      <c r="F679" s="669" t="n"/>
      <c r="G679" s="669" t="n"/>
      <c r="H679" s="669" t="n"/>
      <c r="I679" s="669" t="n"/>
      <c r="J679" s="669" t="n"/>
      <c r="K679" s="669" t="n"/>
      <c r="L679" s="669" t="n"/>
      <c r="M679" s="669" t="n"/>
      <c r="N679" s="669" t="n"/>
      <c r="O679" s="669" t="n"/>
      <c r="P679" s="669" t="n"/>
      <c r="Q679" s="669" t="n"/>
      <c r="R679" s="669" t="n"/>
      <c r="S679" s="669" t="n"/>
      <c r="T679" s="669" t="n"/>
      <c r="U679" s="669" t="n"/>
    </row>
    <row r="680" ht="15.75" customHeight="1" s="1128">
      <c r="A680" s="669" t="n"/>
      <c r="B680" s="669" t="n"/>
      <c r="C680" s="669" t="n"/>
      <c r="D680" s="669" t="n"/>
      <c r="E680" s="669" t="n"/>
      <c r="F680" s="669" t="n"/>
      <c r="G680" s="669" t="n"/>
      <c r="H680" s="669" t="n"/>
      <c r="I680" s="669" t="n"/>
      <c r="J680" s="669" t="n"/>
      <c r="K680" s="669" t="n"/>
      <c r="L680" s="669" t="n"/>
      <c r="M680" s="669" t="n"/>
      <c r="N680" s="669" t="n"/>
      <c r="O680" s="669" t="n"/>
      <c r="P680" s="669" t="n"/>
      <c r="Q680" s="669" t="n"/>
      <c r="R680" s="669" t="n"/>
      <c r="S680" s="669" t="n"/>
      <c r="T680" s="669" t="n"/>
      <c r="U680" s="669" t="n"/>
    </row>
    <row r="681" ht="15.75" customHeight="1" s="1128">
      <c r="A681" s="669" t="n"/>
      <c r="B681" s="669" t="n"/>
      <c r="C681" s="669" t="n"/>
      <c r="D681" s="669" t="n"/>
      <c r="E681" s="669" t="n"/>
      <c r="F681" s="669" t="n"/>
      <c r="G681" s="669" t="n"/>
      <c r="H681" s="669" t="n"/>
      <c r="I681" s="669" t="n"/>
      <c r="J681" s="669" t="n"/>
      <c r="K681" s="669" t="n"/>
      <c r="L681" s="669" t="n"/>
      <c r="M681" s="669" t="n"/>
      <c r="N681" s="669" t="n"/>
      <c r="O681" s="669" t="n"/>
      <c r="P681" s="669" t="n"/>
      <c r="Q681" s="669" t="n"/>
      <c r="R681" s="669" t="n"/>
      <c r="S681" s="669" t="n"/>
      <c r="T681" s="669" t="n"/>
      <c r="U681" s="669" t="n"/>
    </row>
    <row r="682" ht="15.75" customHeight="1" s="1128">
      <c r="A682" s="669" t="n"/>
      <c r="B682" s="669" t="n"/>
      <c r="C682" s="669" t="n"/>
      <c r="D682" s="669" t="n"/>
      <c r="E682" s="669" t="n"/>
      <c r="F682" s="669" t="n"/>
      <c r="G682" s="669" t="n"/>
      <c r="H682" s="669" t="n"/>
      <c r="I682" s="669" t="n"/>
      <c r="J682" s="669" t="n"/>
      <c r="K682" s="669" t="n"/>
      <c r="L682" s="669" t="n"/>
      <c r="M682" s="669" t="n"/>
      <c r="N682" s="669" t="n"/>
      <c r="O682" s="669" t="n"/>
      <c r="P682" s="669" t="n"/>
      <c r="Q682" s="669" t="n"/>
      <c r="R682" s="669" t="n"/>
      <c r="S682" s="669" t="n"/>
      <c r="T682" s="669" t="n"/>
      <c r="U682" s="669" t="n"/>
    </row>
    <row r="683" ht="15.75" customHeight="1" s="1128">
      <c r="A683" s="669" t="n"/>
      <c r="B683" s="669" t="n"/>
      <c r="C683" s="669" t="n"/>
      <c r="D683" s="669" t="n"/>
      <c r="E683" s="669" t="n"/>
      <c r="F683" s="669" t="n"/>
      <c r="G683" s="669" t="n"/>
      <c r="H683" s="669" t="n"/>
      <c r="I683" s="669" t="n"/>
      <c r="J683" s="669" t="n"/>
      <c r="K683" s="669" t="n"/>
      <c r="L683" s="669" t="n"/>
      <c r="M683" s="669" t="n"/>
      <c r="N683" s="669" t="n"/>
      <c r="O683" s="669" t="n"/>
      <c r="P683" s="669" t="n"/>
      <c r="Q683" s="669" t="n"/>
      <c r="R683" s="669" t="n"/>
      <c r="S683" s="669" t="n"/>
      <c r="T683" s="669" t="n"/>
      <c r="U683" s="669" t="n"/>
    </row>
    <row r="684" ht="15.75" customHeight="1" s="1128">
      <c r="A684" s="669" t="n"/>
      <c r="B684" s="669" t="n"/>
      <c r="C684" s="669" t="n"/>
      <c r="D684" s="669" t="n"/>
      <c r="E684" s="669" t="n"/>
      <c r="F684" s="669" t="n"/>
      <c r="G684" s="669" t="n"/>
      <c r="H684" s="669" t="n"/>
      <c r="I684" s="669" t="n"/>
      <c r="J684" s="669" t="n"/>
      <c r="K684" s="669" t="n"/>
      <c r="L684" s="669" t="n"/>
      <c r="M684" s="669" t="n"/>
      <c r="N684" s="669" t="n"/>
      <c r="O684" s="669" t="n"/>
      <c r="P684" s="669" t="n"/>
      <c r="Q684" s="669" t="n"/>
      <c r="R684" s="669" t="n"/>
      <c r="S684" s="669" t="n"/>
      <c r="T684" s="669" t="n"/>
      <c r="U684" s="669" t="n"/>
    </row>
    <row r="685" ht="15.75" customHeight="1" s="1128">
      <c r="A685" s="669" t="n"/>
      <c r="B685" s="669" t="n"/>
      <c r="C685" s="669" t="n"/>
      <c r="D685" s="669" t="n"/>
      <c r="E685" s="669" t="n"/>
      <c r="F685" s="669" t="n"/>
      <c r="G685" s="669" t="n"/>
      <c r="H685" s="669" t="n"/>
      <c r="I685" s="669" t="n"/>
      <c r="J685" s="669" t="n"/>
      <c r="K685" s="669" t="n"/>
      <c r="L685" s="669" t="n"/>
      <c r="M685" s="669" t="n"/>
      <c r="N685" s="669" t="n"/>
      <c r="O685" s="669" t="n"/>
      <c r="P685" s="669" t="n"/>
      <c r="Q685" s="669" t="n"/>
      <c r="R685" s="669" t="n"/>
      <c r="S685" s="669" t="n"/>
      <c r="T685" s="669" t="n"/>
      <c r="U685" s="669" t="n"/>
    </row>
    <row r="686" ht="15.75" customHeight="1" s="1128">
      <c r="A686" s="669" t="n"/>
      <c r="B686" s="669" t="n"/>
      <c r="C686" s="669" t="n"/>
      <c r="D686" s="669" t="n"/>
      <c r="E686" s="669" t="n"/>
      <c r="F686" s="669" t="n"/>
      <c r="G686" s="669" t="n"/>
      <c r="H686" s="669" t="n"/>
      <c r="I686" s="669" t="n"/>
      <c r="J686" s="669" t="n"/>
      <c r="K686" s="669" t="n"/>
      <c r="L686" s="669" t="n"/>
      <c r="M686" s="669" t="n"/>
      <c r="N686" s="669" t="n"/>
      <c r="O686" s="669" t="n"/>
      <c r="P686" s="669" t="n"/>
      <c r="Q686" s="669" t="n"/>
      <c r="R686" s="669" t="n"/>
      <c r="S686" s="669" t="n"/>
      <c r="T686" s="669" t="n"/>
      <c r="U686" s="669" t="n"/>
    </row>
    <row r="687" ht="15.75" customHeight="1" s="1128">
      <c r="A687" s="669" t="n"/>
      <c r="B687" s="669" t="n"/>
      <c r="C687" s="669" t="n"/>
      <c r="D687" s="669" t="n"/>
      <c r="E687" s="669" t="n"/>
      <c r="F687" s="669" t="n"/>
      <c r="G687" s="669" t="n"/>
      <c r="H687" s="669" t="n"/>
      <c r="I687" s="669" t="n"/>
      <c r="J687" s="669" t="n"/>
      <c r="K687" s="669" t="n"/>
      <c r="L687" s="669" t="n"/>
      <c r="M687" s="669" t="n"/>
      <c r="N687" s="669" t="n"/>
      <c r="O687" s="669" t="n"/>
      <c r="P687" s="669" t="n"/>
      <c r="Q687" s="669" t="n"/>
      <c r="R687" s="669" t="n"/>
      <c r="S687" s="669" t="n"/>
      <c r="T687" s="669" t="n"/>
      <c r="U687" s="669" t="n"/>
    </row>
    <row r="688" ht="15.75" customHeight="1" s="1128">
      <c r="A688" s="669" t="n"/>
      <c r="B688" s="669" t="n"/>
      <c r="C688" s="669" t="n"/>
      <c r="D688" s="669" t="n"/>
      <c r="E688" s="669" t="n"/>
      <c r="F688" s="669" t="n"/>
      <c r="G688" s="669" t="n"/>
      <c r="H688" s="669" t="n"/>
      <c r="I688" s="669" t="n"/>
      <c r="J688" s="669" t="n"/>
      <c r="K688" s="669" t="n"/>
      <c r="L688" s="669" t="n"/>
      <c r="M688" s="669" t="n"/>
      <c r="N688" s="669" t="n"/>
      <c r="O688" s="669" t="n"/>
      <c r="P688" s="669" t="n"/>
      <c r="Q688" s="669" t="n"/>
      <c r="R688" s="669" t="n"/>
      <c r="S688" s="669" t="n"/>
      <c r="T688" s="669" t="n"/>
      <c r="U688" s="669" t="n"/>
    </row>
    <row r="689" ht="15.75" customHeight="1" s="1128">
      <c r="A689" s="669" t="n"/>
      <c r="B689" s="669" t="n"/>
      <c r="C689" s="669" t="n"/>
      <c r="D689" s="669" t="n"/>
      <c r="E689" s="669" t="n"/>
      <c r="F689" s="669" t="n"/>
      <c r="G689" s="669" t="n"/>
      <c r="H689" s="669" t="n"/>
      <c r="I689" s="669" t="n"/>
      <c r="J689" s="669" t="n"/>
      <c r="K689" s="669" t="n"/>
      <c r="L689" s="669" t="n"/>
      <c r="M689" s="669" t="n"/>
      <c r="N689" s="669" t="n"/>
      <c r="O689" s="669" t="n"/>
      <c r="P689" s="669" t="n"/>
      <c r="Q689" s="669" t="n"/>
      <c r="R689" s="669" t="n"/>
      <c r="S689" s="669" t="n"/>
      <c r="T689" s="669" t="n"/>
      <c r="U689" s="669" t="n"/>
    </row>
    <row r="690" ht="15.75" customHeight="1" s="1128">
      <c r="A690" s="669" t="n"/>
      <c r="B690" s="669" t="n"/>
      <c r="C690" s="669" t="n"/>
      <c r="D690" s="669" t="n"/>
      <c r="E690" s="669" t="n"/>
      <c r="F690" s="669" t="n"/>
      <c r="G690" s="669" t="n"/>
      <c r="H690" s="669" t="n"/>
      <c r="I690" s="669" t="n"/>
      <c r="J690" s="669" t="n"/>
      <c r="K690" s="669" t="n"/>
      <c r="L690" s="669" t="n"/>
      <c r="M690" s="669" t="n"/>
      <c r="N690" s="669" t="n"/>
      <c r="O690" s="669" t="n"/>
      <c r="P690" s="669" t="n"/>
      <c r="Q690" s="669" t="n"/>
      <c r="R690" s="669" t="n"/>
      <c r="S690" s="669" t="n"/>
      <c r="T690" s="669" t="n"/>
      <c r="U690" s="669" t="n"/>
    </row>
    <row r="691" ht="15.75" customHeight="1" s="1128">
      <c r="A691" s="669" t="n"/>
      <c r="B691" s="669" t="n"/>
      <c r="C691" s="669" t="n"/>
      <c r="D691" s="669" t="n"/>
      <c r="E691" s="669" t="n"/>
      <c r="F691" s="669" t="n"/>
      <c r="G691" s="669" t="n"/>
      <c r="H691" s="669" t="n"/>
      <c r="I691" s="669" t="n"/>
      <c r="J691" s="669" t="n"/>
      <c r="K691" s="669" t="n"/>
      <c r="L691" s="669" t="n"/>
      <c r="M691" s="669" t="n"/>
      <c r="N691" s="669" t="n"/>
      <c r="O691" s="669" t="n"/>
      <c r="P691" s="669" t="n"/>
      <c r="Q691" s="669" t="n"/>
      <c r="R691" s="669" t="n"/>
      <c r="S691" s="669" t="n"/>
      <c r="T691" s="669" t="n"/>
      <c r="U691" s="669" t="n"/>
    </row>
    <row r="692" ht="15.75" customHeight="1" s="1128">
      <c r="A692" s="669" t="n"/>
      <c r="B692" s="669" t="n"/>
      <c r="C692" s="669" t="n"/>
      <c r="D692" s="669" t="n"/>
      <c r="E692" s="669" t="n"/>
      <c r="F692" s="669" t="n"/>
      <c r="G692" s="669" t="n"/>
      <c r="H692" s="669" t="n"/>
      <c r="I692" s="669" t="n"/>
      <c r="J692" s="669" t="n"/>
      <c r="K692" s="669" t="n"/>
      <c r="L692" s="669" t="n"/>
      <c r="M692" s="669" t="n"/>
      <c r="N692" s="669" t="n"/>
      <c r="O692" s="669" t="n"/>
      <c r="P692" s="669" t="n"/>
      <c r="Q692" s="669" t="n"/>
      <c r="R692" s="669" t="n"/>
      <c r="S692" s="669" t="n"/>
      <c r="T692" s="669" t="n"/>
      <c r="U692" s="669" t="n"/>
    </row>
    <row r="693" ht="15.75" customHeight="1" s="1128">
      <c r="A693" s="669" t="n"/>
      <c r="B693" s="669" t="n"/>
      <c r="C693" s="669" t="n"/>
      <c r="D693" s="669" t="n"/>
      <c r="E693" s="669" t="n"/>
      <c r="F693" s="669" t="n"/>
      <c r="G693" s="669" t="n"/>
      <c r="H693" s="669" t="n"/>
      <c r="I693" s="669" t="n"/>
      <c r="J693" s="669" t="n"/>
      <c r="K693" s="669" t="n"/>
      <c r="L693" s="669" t="n"/>
      <c r="M693" s="669" t="n"/>
      <c r="N693" s="669" t="n"/>
      <c r="O693" s="669" t="n"/>
      <c r="P693" s="669" t="n"/>
      <c r="Q693" s="669" t="n"/>
      <c r="R693" s="669" t="n"/>
      <c r="S693" s="669" t="n"/>
      <c r="T693" s="669" t="n"/>
      <c r="U693" s="669" t="n"/>
    </row>
    <row r="694" ht="15.75" customHeight="1" s="1128">
      <c r="A694" s="669" t="n"/>
      <c r="B694" s="669" t="n"/>
      <c r="C694" s="669" t="n"/>
      <c r="D694" s="669" t="n"/>
      <c r="E694" s="669" t="n"/>
      <c r="F694" s="669" t="n"/>
      <c r="G694" s="669" t="n"/>
      <c r="H694" s="669" t="n"/>
      <c r="I694" s="669" t="n"/>
      <c r="J694" s="669" t="n"/>
      <c r="K694" s="669" t="n"/>
      <c r="L694" s="669" t="n"/>
      <c r="M694" s="669" t="n"/>
      <c r="N694" s="669" t="n"/>
      <c r="O694" s="669" t="n"/>
      <c r="P694" s="669" t="n"/>
      <c r="Q694" s="669" t="n"/>
      <c r="R694" s="669" t="n"/>
      <c r="S694" s="669" t="n"/>
      <c r="T694" s="669" t="n"/>
      <c r="U694" s="669" t="n"/>
    </row>
    <row r="695" ht="15.75" customHeight="1" s="1128">
      <c r="A695" s="669" t="n"/>
      <c r="B695" s="669" t="n"/>
      <c r="C695" s="669" t="n"/>
      <c r="D695" s="669" t="n"/>
      <c r="E695" s="669" t="n"/>
      <c r="F695" s="669" t="n"/>
      <c r="G695" s="669" t="n"/>
      <c r="H695" s="669" t="n"/>
      <c r="I695" s="669" t="n"/>
      <c r="J695" s="669" t="n"/>
      <c r="K695" s="669" t="n"/>
      <c r="L695" s="669" t="n"/>
      <c r="M695" s="669" t="n"/>
      <c r="N695" s="669" t="n"/>
      <c r="O695" s="669" t="n"/>
      <c r="P695" s="669" t="n"/>
      <c r="Q695" s="669" t="n"/>
      <c r="R695" s="669" t="n"/>
      <c r="S695" s="669" t="n"/>
      <c r="T695" s="669" t="n"/>
      <c r="U695" s="669" t="n"/>
    </row>
    <row r="696" ht="15.75" customHeight="1" s="1128">
      <c r="A696" s="669" t="n"/>
      <c r="B696" s="669" t="n"/>
      <c r="C696" s="669" t="n"/>
      <c r="D696" s="669" t="n"/>
      <c r="E696" s="669" t="n"/>
      <c r="F696" s="669" t="n"/>
      <c r="G696" s="669" t="n"/>
      <c r="H696" s="669" t="n"/>
      <c r="I696" s="669" t="n"/>
      <c r="J696" s="669" t="n"/>
      <c r="K696" s="669" t="n"/>
      <c r="L696" s="669" t="n"/>
      <c r="M696" s="669" t="n"/>
      <c r="N696" s="669" t="n"/>
      <c r="O696" s="669" t="n"/>
      <c r="P696" s="669" t="n"/>
      <c r="Q696" s="669" t="n"/>
      <c r="R696" s="669" t="n"/>
      <c r="S696" s="669" t="n"/>
      <c r="T696" s="669" t="n"/>
      <c r="U696" s="669" t="n"/>
    </row>
    <row r="697" ht="15.75" customHeight="1" s="1128">
      <c r="A697" s="669" t="n"/>
      <c r="B697" s="669" t="n"/>
      <c r="C697" s="669" t="n"/>
      <c r="D697" s="669" t="n"/>
      <c r="E697" s="669" t="n"/>
      <c r="F697" s="669" t="n"/>
      <c r="G697" s="669" t="n"/>
      <c r="H697" s="669" t="n"/>
      <c r="I697" s="669" t="n"/>
      <c r="J697" s="669" t="n"/>
      <c r="K697" s="669" t="n"/>
      <c r="L697" s="669" t="n"/>
      <c r="M697" s="669" t="n"/>
      <c r="N697" s="669" t="n"/>
      <c r="O697" s="669" t="n"/>
      <c r="P697" s="669" t="n"/>
      <c r="Q697" s="669" t="n"/>
      <c r="R697" s="669" t="n"/>
      <c r="S697" s="669" t="n"/>
      <c r="T697" s="669" t="n"/>
      <c r="U697" s="669" t="n"/>
    </row>
    <row r="698" ht="15.75" customHeight="1" s="1128">
      <c r="A698" s="669" t="n"/>
      <c r="B698" s="669" t="n"/>
      <c r="C698" s="669" t="n"/>
      <c r="D698" s="669" t="n"/>
      <c r="E698" s="669" t="n"/>
      <c r="F698" s="669" t="n"/>
      <c r="G698" s="669" t="n"/>
      <c r="H698" s="669" t="n"/>
      <c r="I698" s="669" t="n"/>
      <c r="J698" s="669" t="n"/>
      <c r="K698" s="669" t="n"/>
      <c r="L698" s="669" t="n"/>
      <c r="M698" s="669" t="n"/>
      <c r="N698" s="669" t="n"/>
      <c r="O698" s="669" t="n"/>
      <c r="P698" s="669" t="n"/>
      <c r="Q698" s="669" t="n"/>
      <c r="R698" s="669" t="n"/>
      <c r="S698" s="669" t="n"/>
      <c r="T698" s="669" t="n"/>
      <c r="U698" s="669" t="n"/>
    </row>
    <row r="699" ht="15.75" customHeight="1" s="1128">
      <c r="A699" s="669" t="n"/>
      <c r="B699" s="669" t="n"/>
      <c r="C699" s="669" t="n"/>
      <c r="D699" s="669" t="n"/>
      <c r="E699" s="669" t="n"/>
      <c r="F699" s="669" t="n"/>
      <c r="G699" s="669" t="n"/>
      <c r="H699" s="669" t="n"/>
      <c r="I699" s="669" t="n"/>
      <c r="J699" s="669" t="n"/>
      <c r="K699" s="669" t="n"/>
      <c r="L699" s="669" t="n"/>
      <c r="M699" s="669" t="n"/>
      <c r="N699" s="669" t="n"/>
      <c r="O699" s="669" t="n"/>
      <c r="P699" s="669" t="n"/>
      <c r="Q699" s="669" t="n"/>
      <c r="R699" s="669" t="n"/>
      <c r="S699" s="669" t="n"/>
      <c r="T699" s="669" t="n"/>
      <c r="U699" s="669" t="n"/>
    </row>
    <row r="700" ht="15.75" customHeight="1" s="1128">
      <c r="A700" s="669" t="n"/>
      <c r="B700" s="669" t="n"/>
      <c r="C700" s="669" t="n"/>
      <c r="D700" s="669" t="n"/>
      <c r="E700" s="669" t="n"/>
      <c r="F700" s="669" t="n"/>
      <c r="G700" s="669" t="n"/>
      <c r="H700" s="669" t="n"/>
      <c r="I700" s="669" t="n"/>
      <c r="J700" s="669" t="n"/>
      <c r="K700" s="669" t="n"/>
      <c r="L700" s="669" t="n"/>
      <c r="M700" s="669" t="n"/>
      <c r="N700" s="669" t="n"/>
      <c r="O700" s="669" t="n"/>
      <c r="P700" s="669" t="n"/>
      <c r="Q700" s="669" t="n"/>
      <c r="R700" s="669" t="n"/>
      <c r="S700" s="669" t="n"/>
      <c r="T700" s="669" t="n"/>
      <c r="U700" s="669" t="n"/>
    </row>
    <row r="701" ht="15.75" customHeight="1" s="1128">
      <c r="A701" s="669" t="n"/>
      <c r="B701" s="669" t="n"/>
      <c r="C701" s="669" t="n"/>
      <c r="D701" s="669" t="n"/>
      <c r="E701" s="669" t="n"/>
      <c r="F701" s="669" t="n"/>
      <c r="G701" s="669" t="n"/>
      <c r="H701" s="669" t="n"/>
      <c r="I701" s="669" t="n"/>
      <c r="J701" s="669" t="n"/>
      <c r="K701" s="669" t="n"/>
      <c r="L701" s="669" t="n"/>
      <c r="M701" s="669" t="n"/>
      <c r="N701" s="669" t="n"/>
      <c r="O701" s="669" t="n"/>
      <c r="P701" s="669" t="n"/>
      <c r="Q701" s="669" t="n"/>
      <c r="R701" s="669" t="n"/>
      <c r="S701" s="669" t="n"/>
      <c r="T701" s="669" t="n"/>
      <c r="U701" s="669" t="n"/>
    </row>
    <row r="702" ht="15.75" customHeight="1" s="1128">
      <c r="A702" s="669" t="n"/>
      <c r="B702" s="669" t="n"/>
      <c r="C702" s="669" t="n"/>
      <c r="D702" s="669" t="n"/>
      <c r="E702" s="669" t="n"/>
      <c r="F702" s="669" t="n"/>
      <c r="G702" s="669" t="n"/>
      <c r="H702" s="669" t="n"/>
      <c r="I702" s="669" t="n"/>
      <c r="J702" s="669" t="n"/>
      <c r="K702" s="669" t="n"/>
      <c r="L702" s="669" t="n"/>
      <c r="M702" s="669" t="n"/>
      <c r="N702" s="669" t="n"/>
      <c r="O702" s="669" t="n"/>
      <c r="P702" s="669" t="n"/>
      <c r="Q702" s="669" t="n"/>
      <c r="R702" s="669" t="n"/>
      <c r="S702" s="669" t="n"/>
      <c r="T702" s="669" t="n"/>
      <c r="U702" s="669" t="n"/>
    </row>
    <row r="703" ht="15.75" customHeight="1" s="1128">
      <c r="A703" s="669" t="n"/>
      <c r="B703" s="669" t="n"/>
      <c r="C703" s="669" t="n"/>
      <c r="D703" s="669" t="n"/>
      <c r="E703" s="669" t="n"/>
      <c r="F703" s="669" t="n"/>
      <c r="G703" s="669" t="n"/>
      <c r="H703" s="669" t="n"/>
      <c r="I703" s="669" t="n"/>
      <c r="J703" s="669" t="n"/>
      <c r="K703" s="669" t="n"/>
      <c r="L703" s="669" t="n"/>
      <c r="M703" s="669" t="n"/>
      <c r="N703" s="669" t="n"/>
      <c r="O703" s="669" t="n"/>
      <c r="P703" s="669" t="n"/>
      <c r="Q703" s="669" t="n"/>
      <c r="R703" s="669" t="n"/>
      <c r="S703" s="669" t="n"/>
      <c r="T703" s="669" t="n"/>
      <c r="U703" s="669" t="n"/>
    </row>
    <row r="704" ht="15.75" customHeight="1" s="1128">
      <c r="A704" s="669" t="n"/>
      <c r="B704" s="669" t="n"/>
      <c r="C704" s="669" t="n"/>
      <c r="D704" s="669" t="n"/>
      <c r="E704" s="669" t="n"/>
      <c r="F704" s="669" t="n"/>
      <c r="G704" s="669" t="n"/>
      <c r="H704" s="669" t="n"/>
      <c r="I704" s="669" t="n"/>
      <c r="J704" s="669" t="n"/>
      <c r="K704" s="669" t="n"/>
      <c r="L704" s="669" t="n"/>
      <c r="M704" s="669" t="n"/>
      <c r="N704" s="669" t="n"/>
      <c r="O704" s="669" t="n"/>
      <c r="P704" s="669" t="n"/>
      <c r="Q704" s="669" t="n"/>
      <c r="R704" s="669" t="n"/>
      <c r="S704" s="669" t="n"/>
      <c r="T704" s="669" t="n"/>
      <c r="U704" s="669" t="n"/>
    </row>
    <row r="705" ht="15.75" customHeight="1" s="1128">
      <c r="A705" s="669" t="n"/>
      <c r="B705" s="669" t="n"/>
      <c r="C705" s="669" t="n"/>
      <c r="D705" s="669" t="n"/>
      <c r="E705" s="669" t="n"/>
      <c r="F705" s="669" t="n"/>
      <c r="G705" s="669" t="n"/>
      <c r="H705" s="669" t="n"/>
      <c r="I705" s="669" t="n"/>
      <c r="J705" s="669" t="n"/>
      <c r="K705" s="669" t="n"/>
      <c r="L705" s="669" t="n"/>
      <c r="M705" s="669" t="n"/>
      <c r="N705" s="669" t="n"/>
      <c r="O705" s="669" t="n"/>
      <c r="P705" s="669" t="n"/>
      <c r="Q705" s="669" t="n"/>
      <c r="R705" s="669" t="n"/>
      <c r="S705" s="669" t="n"/>
      <c r="T705" s="669" t="n"/>
      <c r="U705" s="669" t="n"/>
    </row>
    <row r="706" ht="15.75" customHeight="1" s="1128">
      <c r="A706" s="669" t="n"/>
      <c r="B706" s="669" t="n"/>
      <c r="C706" s="669" t="n"/>
      <c r="D706" s="669" t="n"/>
      <c r="E706" s="669" t="n"/>
      <c r="F706" s="669" t="n"/>
      <c r="G706" s="669" t="n"/>
      <c r="H706" s="669" t="n"/>
      <c r="I706" s="669" t="n"/>
      <c r="J706" s="669" t="n"/>
      <c r="K706" s="669" t="n"/>
      <c r="L706" s="669" t="n"/>
      <c r="M706" s="669" t="n"/>
      <c r="N706" s="669" t="n"/>
      <c r="O706" s="669" t="n"/>
      <c r="P706" s="669" t="n"/>
      <c r="Q706" s="669" t="n"/>
      <c r="R706" s="669" t="n"/>
      <c r="S706" s="669" t="n"/>
      <c r="T706" s="669" t="n"/>
      <c r="U706" s="669" t="n"/>
    </row>
    <row r="707" ht="15.75" customHeight="1" s="1128">
      <c r="A707" s="669" t="n"/>
      <c r="B707" s="669" t="n"/>
      <c r="C707" s="669" t="n"/>
      <c r="D707" s="669" t="n"/>
      <c r="E707" s="669" t="n"/>
      <c r="F707" s="669" t="n"/>
      <c r="G707" s="669" t="n"/>
      <c r="H707" s="669" t="n"/>
      <c r="I707" s="669" t="n"/>
      <c r="J707" s="669" t="n"/>
      <c r="K707" s="669" t="n"/>
      <c r="L707" s="669" t="n"/>
      <c r="M707" s="669" t="n"/>
      <c r="N707" s="669" t="n"/>
      <c r="O707" s="669" t="n"/>
      <c r="P707" s="669" t="n"/>
      <c r="Q707" s="669" t="n"/>
      <c r="R707" s="669" t="n"/>
      <c r="S707" s="669" t="n"/>
      <c r="T707" s="669" t="n"/>
      <c r="U707" s="669" t="n"/>
    </row>
    <row r="708" ht="15.75" customHeight="1" s="1128">
      <c r="A708" s="669" t="n"/>
      <c r="B708" s="669" t="n"/>
      <c r="C708" s="669" t="n"/>
      <c r="D708" s="669" t="n"/>
      <c r="E708" s="669" t="n"/>
      <c r="F708" s="669" t="n"/>
      <c r="G708" s="669" t="n"/>
      <c r="H708" s="669" t="n"/>
      <c r="I708" s="669" t="n"/>
      <c r="J708" s="669" t="n"/>
      <c r="K708" s="669" t="n"/>
      <c r="L708" s="669" t="n"/>
      <c r="M708" s="669" t="n"/>
      <c r="N708" s="669" t="n"/>
      <c r="O708" s="669" t="n"/>
      <c r="P708" s="669" t="n"/>
      <c r="Q708" s="669" t="n"/>
      <c r="R708" s="669" t="n"/>
      <c r="S708" s="669" t="n"/>
      <c r="T708" s="669" t="n"/>
      <c r="U708" s="669" t="n"/>
    </row>
    <row r="709" ht="15.75" customHeight="1" s="1128">
      <c r="A709" s="669" t="n"/>
      <c r="B709" s="669" t="n"/>
      <c r="C709" s="669" t="n"/>
      <c r="D709" s="669" t="n"/>
      <c r="E709" s="669" t="n"/>
      <c r="F709" s="669" t="n"/>
      <c r="G709" s="669" t="n"/>
      <c r="H709" s="669" t="n"/>
      <c r="I709" s="669" t="n"/>
      <c r="J709" s="669" t="n"/>
      <c r="K709" s="669" t="n"/>
      <c r="L709" s="669" t="n"/>
      <c r="M709" s="669" t="n"/>
      <c r="N709" s="669" t="n"/>
      <c r="O709" s="669" t="n"/>
      <c r="P709" s="669" t="n"/>
      <c r="Q709" s="669" t="n"/>
      <c r="R709" s="669" t="n"/>
      <c r="S709" s="669" t="n"/>
      <c r="T709" s="669" t="n"/>
      <c r="U709" s="669" t="n"/>
    </row>
    <row r="710" ht="15.75" customHeight="1" s="1128">
      <c r="A710" s="669" t="n"/>
      <c r="B710" s="669" t="n"/>
      <c r="C710" s="669" t="n"/>
      <c r="D710" s="669" t="n"/>
      <c r="E710" s="669" t="n"/>
      <c r="F710" s="669" t="n"/>
      <c r="G710" s="669" t="n"/>
      <c r="H710" s="669" t="n"/>
      <c r="I710" s="669" t="n"/>
      <c r="J710" s="669" t="n"/>
      <c r="K710" s="669" t="n"/>
      <c r="L710" s="669" t="n"/>
      <c r="M710" s="669" t="n"/>
      <c r="N710" s="669" t="n"/>
      <c r="O710" s="669" t="n"/>
      <c r="P710" s="669" t="n"/>
      <c r="Q710" s="669" t="n"/>
      <c r="R710" s="669" t="n"/>
      <c r="S710" s="669" t="n"/>
      <c r="T710" s="669" t="n"/>
      <c r="U710" s="669" t="n"/>
    </row>
    <row r="711" ht="15.75" customHeight="1" s="1128">
      <c r="A711" s="669" t="n"/>
      <c r="B711" s="669" t="n"/>
      <c r="C711" s="669" t="n"/>
      <c r="D711" s="669" t="n"/>
      <c r="E711" s="669" t="n"/>
      <c r="F711" s="669" t="n"/>
      <c r="G711" s="669" t="n"/>
      <c r="H711" s="669" t="n"/>
      <c r="I711" s="669" t="n"/>
      <c r="J711" s="669" t="n"/>
      <c r="K711" s="669" t="n"/>
      <c r="L711" s="669" t="n"/>
      <c r="M711" s="669" t="n"/>
      <c r="N711" s="669" t="n"/>
      <c r="O711" s="669" t="n"/>
      <c r="P711" s="669" t="n"/>
      <c r="Q711" s="669" t="n"/>
      <c r="R711" s="669" t="n"/>
      <c r="S711" s="669" t="n"/>
      <c r="T711" s="669" t="n"/>
      <c r="U711" s="669" t="n"/>
    </row>
    <row r="712" ht="15.75" customHeight="1" s="1128">
      <c r="A712" s="669" t="n"/>
      <c r="B712" s="669" t="n"/>
      <c r="C712" s="669" t="n"/>
      <c r="D712" s="669" t="n"/>
      <c r="E712" s="669" t="n"/>
      <c r="F712" s="669" t="n"/>
      <c r="G712" s="669" t="n"/>
      <c r="H712" s="669" t="n"/>
      <c r="I712" s="669" t="n"/>
      <c r="J712" s="669" t="n"/>
      <c r="K712" s="669" t="n"/>
      <c r="L712" s="669" t="n"/>
      <c r="M712" s="669" t="n"/>
      <c r="N712" s="669" t="n"/>
      <c r="O712" s="669" t="n"/>
      <c r="P712" s="669" t="n"/>
      <c r="Q712" s="669" t="n"/>
      <c r="R712" s="669" t="n"/>
      <c r="S712" s="669" t="n"/>
      <c r="T712" s="669" t="n"/>
      <c r="U712" s="669" t="n"/>
    </row>
    <row r="713" ht="15.75" customHeight="1" s="1128">
      <c r="A713" s="669" t="n"/>
      <c r="B713" s="669" t="n"/>
      <c r="C713" s="669" t="n"/>
      <c r="D713" s="669" t="n"/>
      <c r="E713" s="669" t="n"/>
      <c r="F713" s="669" t="n"/>
      <c r="G713" s="669" t="n"/>
      <c r="H713" s="669" t="n"/>
      <c r="I713" s="669" t="n"/>
      <c r="J713" s="669" t="n"/>
      <c r="K713" s="669" t="n"/>
      <c r="L713" s="669" t="n"/>
      <c r="M713" s="669" t="n"/>
      <c r="N713" s="669" t="n"/>
      <c r="O713" s="669" t="n"/>
      <c r="P713" s="669" t="n"/>
      <c r="Q713" s="669" t="n"/>
      <c r="R713" s="669" t="n"/>
      <c r="S713" s="669" t="n"/>
      <c r="T713" s="669" t="n"/>
      <c r="U713" s="669" t="n"/>
    </row>
    <row r="714" ht="15.75" customHeight="1" s="1128">
      <c r="A714" s="669" t="n"/>
      <c r="B714" s="669" t="n"/>
      <c r="C714" s="669" t="n"/>
      <c r="D714" s="669" t="n"/>
      <c r="E714" s="669" t="n"/>
      <c r="F714" s="669" t="n"/>
      <c r="G714" s="669" t="n"/>
      <c r="H714" s="669" t="n"/>
      <c r="I714" s="669" t="n"/>
      <c r="J714" s="669" t="n"/>
      <c r="K714" s="669" t="n"/>
      <c r="L714" s="669" t="n"/>
      <c r="M714" s="669" t="n"/>
      <c r="N714" s="669" t="n"/>
      <c r="O714" s="669" t="n"/>
      <c r="P714" s="669" t="n"/>
      <c r="Q714" s="669" t="n"/>
      <c r="R714" s="669" t="n"/>
      <c r="S714" s="669" t="n"/>
      <c r="T714" s="669" t="n"/>
      <c r="U714" s="669" t="n"/>
    </row>
    <row r="715" ht="15.75" customHeight="1" s="1128">
      <c r="A715" s="669" t="n"/>
      <c r="B715" s="669" t="n"/>
      <c r="C715" s="669" t="n"/>
      <c r="D715" s="669" t="n"/>
      <c r="E715" s="669" t="n"/>
      <c r="F715" s="669" t="n"/>
      <c r="G715" s="669" t="n"/>
      <c r="H715" s="669" t="n"/>
      <c r="I715" s="669" t="n"/>
      <c r="J715" s="669" t="n"/>
      <c r="K715" s="669" t="n"/>
      <c r="L715" s="669" t="n"/>
      <c r="M715" s="669" t="n"/>
      <c r="N715" s="669" t="n"/>
      <c r="O715" s="669" t="n"/>
      <c r="P715" s="669" t="n"/>
      <c r="Q715" s="669" t="n"/>
      <c r="R715" s="669" t="n"/>
      <c r="S715" s="669" t="n"/>
      <c r="T715" s="669" t="n"/>
      <c r="U715" s="669" t="n"/>
    </row>
    <row r="716" ht="15.75" customHeight="1" s="1128">
      <c r="A716" s="669" t="n"/>
      <c r="B716" s="669" t="n"/>
      <c r="C716" s="669" t="n"/>
      <c r="D716" s="669" t="n"/>
      <c r="E716" s="669" t="n"/>
      <c r="F716" s="669" t="n"/>
      <c r="G716" s="669" t="n"/>
      <c r="H716" s="669" t="n"/>
      <c r="I716" s="669" t="n"/>
      <c r="J716" s="669" t="n"/>
      <c r="K716" s="669" t="n"/>
      <c r="L716" s="669" t="n"/>
      <c r="M716" s="669" t="n"/>
      <c r="N716" s="669" t="n"/>
      <c r="O716" s="669" t="n"/>
      <c r="P716" s="669" t="n"/>
      <c r="Q716" s="669" t="n"/>
      <c r="R716" s="669" t="n"/>
      <c r="S716" s="669" t="n"/>
      <c r="T716" s="669" t="n"/>
      <c r="U716" s="669" t="n"/>
    </row>
    <row r="717" ht="15.75" customHeight="1" s="1128">
      <c r="A717" s="669" t="n"/>
      <c r="B717" s="669" t="n"/>
      <c r="C717" s="669" t="n"/>
      <c r="D717" s="669" t="n"/>
      <c r="E717" s="669" t="n"/>
      <c r="F717" s="669" t="n"/>
      <c r="G717" s="669" t="n"/>
      <c r="H717" s="669" t="n"/>
      <c r="I717" s="669" t="n"/>
      <c r="J717" s="669" t="n"/>
      <c r="K717" s="669" t="n"/>
      <c r="L717" s="669" t="n"/>
      <c r="M717" s="669" t="n"/>
      <c r="N717" s="669" t="n"/>
      <c r="O717" s="669" t="n"/>
      <c r="P717" s="669" t="n"/>
      <c r="Q717" s="669" t="n"/>
      <c r="R717" s="669" t="n"/>
      <c r="S717" s="669" t="n"/>
      <c r="T717" s="669" t="n"/>
      <c r="U717" s="669" t="n"/>
    </row>
    <row r="718" ht="15.75" customHeight="1" s="1128">
      <c r="A718" s="669" t="n"/>
      <c r="B718" s="669" t="n"/>
      <c r="C718" s="669" t="n"/>
      <c r="D718" s="669" t="n"/>
      <c r="E718" s="669" t="n"/>
      <c r="F718" s="669" t="n"/>
      <c r="G718" s="669" t="n"/>
      <c r="H718" s="669" t="n"/>
      <c r="I718" s="669" t="n"/>
      <c r="J718" s="669" t="n"/>
      <c r="K718" s="669" t="n"/>
      <c r="L718" s="669" t="n"/>
      <c r="M718" s="669" t="n"/>
      <c r="N718" s="669" t="n"/>
      <c r="O718" s="669" t="n"/>
      <c r="P718" s="669" t="n"/>
      <c r="Q718" s="669" t="n"/>
      <c r="R718" s="669" t="n"/>
      <c r="S718" s="669" t="n"/>
      <c r="T718" s="669" t="n"/>
      <c r="U718" s="669" t="n"/>
    </row>
    <row r="719" ht="15.75" customHeight="1" s="1128">
      <c r="A719" s="669" t="n"/>
      <c r="B719" s="669" t="n"/>
      <c r="C719" s="669" t="n"/>
      <c r="D719" s="669" t="n"/>
      <c r="E719" s="669" t="n"/>
      <c r="F719" s="669" t="n"/>
      <c r="G719" s="669" t="n"/>
      <c r="H719" s="669" t="n"/>
      <c r="I719" s="669" t="n"/>
      <c r="J719" s="669" t="n"/>
      <c r="K719" s="669" t="n"/>
      <c r="L719" s="669" t="n"/>
      <c r="M719" s="669" t="n"/>
      <c r="N719" s="669" t="n"/>
      <c r="O719" s="669" t="n"/>
      <c r="P719" s="669" t="n"/>
      <c r="Q719" s="669" t="n"/>
      <c r="R719" s="669" t="n"/>
      <c r="S719" s="669" t="n"/>
      <c r="T719" s="669" t="n"/>
      <c r="U719" s="669" t="n"/>
    </row>
    <row r="720" ht="15.75" customHeight="1" s="1128">
      <c r="A720" s="669" t="n"/>
      <c r="B720" s="669" t="n"/>
      <c r="C720" s="669" t="n"/>
      <c r="D720" s="669" t="n"/>
      <c r="E720" s="669" t="n"/>
      <c r="F720" s="669" t="n"/>
      <c r="G720" s="669" t="n"/>
      <c r="H720" s="669" t="n"/>
      <c r="I720" s="669" t="n"/>
      <c r="J720" s="669" t="n"/>
      <c r="K720" s="669" t="n"/>
      <c r="L720" s="669" t="n"/>
      <c r="M720" s="669" t="n"/>
      <c r="N720" s="669" t="n"/>
      <c r="O720" s="669" t="n"/>
      <c r="P720" s="669" t="n"/>
      <c r="Q720" s="669" t="n"/>
      <c r="R720" s="669" t="n"/>
      <c r="S720" s="669" t="n"/>
      <c r="T720" s="669" t="n"/>
      <c r="U720" s="669" t="n"/>
    </row>
    <row r="721" ht="15.75" customHeight="1" s="1128">
      <c r="A721" s="669" t="n"/>
      <c r="B721" s="669" t="n"/>
      <c r="C721" s="669" t="n"/>
      <c r="D721" s="669" t="n"/>
      <c r="E721" s="669" t="n"/>
      <c r="F721" s="669" t="n"/>
      <c r="G721" s="669" t="n"/>
      <c r="H721" s="669" t="n"/>
      <c r="I721" s="669" t="n"/>
      <c r="J721" s="669" t="n"/>
      <c r="K721" s="669" t="n"/>
      <c r="L721" s="669" t="n"/>
      <c r="M721" s="669" t="n"/>
      <c r="N721" s="669" t="n"/>
      <c r="O721" s="669" t="n"/>
      <c r="P721" s="669" t="n"/>
      <c r="Q721" s="669" t="n"/>
      <c r="R721" s="669" t="n"/>
      <c r="S721" s="669" t="n"/>
      <c r="T721" s="669" t="n"/>
      <c r="U721" s="669" t="n"/>
    </row>
    <row r="722" ht="15.75" customHeight="1" s="1128">
      <c r="A722" s="669" t="n"/>
      <c r="B722" s="669" t="n"/>
      <c r="C722" s="669" t="n"/>
      <c r="D722" s="669" t="n"/>
      <c r="E722" s="669" t="n"/>
      <c r="F722" s="669" t="n"/>
      <c r="G722" s="669" t="n"/>
      <c r="H722" s="669" t="n"/>
      <c r="I722" s="669" t="n"/>
      <c r="J722" s="669" t="n"/>
      <c r="K722" s="669" t="n"/>
      <c r="L722" s="669" t="n"/>
      <c r="M722" s="669" t="n"/>
      <c r="N722" s="669" t="n"/>
      <c r="O722" s="669" t="n"/>
      <c r="P722" s="669" t="n"/>
      <c r="Q722" s="669" t="n"/>
      <c r="R722" s="669" t="n"/>
      <c r="S722" s="669" t="n"/>
      <c r="T722" s="669" t="n"/>
      <c r="U722" s="669" t="n"/>
    </row>
    <row r="723" ht="15.75" customHeight="1" s="1128">
      <c r="A723" s="669" t="n"/>
      <c r="B723" s="669" t="n"/>
      <c r="C723" s="669" t="n"/>
      <c r="D723" s="669" t="n"/>
      <c r="E723" s="669" t="n"/>
      <c r="F723" s="669" t="n"/>
      <c r="G723" s="669" t="n"/>
      <c r="H723" s="669" t="n"/>
      <c r="I723" s="669" t="n"/>
      <c r="J723" s="669" t="n"/>
      <c r="K723" s="669" t="n"/>
      <c r="L723" s="669" t="n"/>
      <c r="M723" s="669" t="n"/>
      <c r="N723" s="669" t="n"/>
      <c r="O723" s="669" t="n"/>
      <c r="P723" s="669" t="n"/>
      <c r="Q723" s="669" t="n"/>
      <c r="R723" s="669" t="n"/>
      <c r="S723" s="669" t="n"/>
      <c r="T723" s="669" t="n"/>
      <c r="U723" s="669" t="n"/>
    </row>
    <row r="724" ht="15.75" customHeight="1" s="1128">
      <c r="A724" s="669" t="n"/>
      <c r="B724" s="669" t="n"/>
      <c r="C724" s="669" t="n"/>
      <c r="D724" s="669" t="n"/>
      <c r="E724" s="669" t="n"/>
      <c r="F724" s="669" t="n"/>
      <c r="G724" s="669" t="n"/>
      <c r="H724" s="669" t="n"/>
      <c r="I724" s="669" t="n"/>
      <c r="J724" s="669" t="n"/>
      <c r="K724" s="669" t="n"/>
      <c r="L724" s="669" t="n"/>
      <c r="M724" s="669" t="n"/>
      <c r="N724" s="669" t="n"/>
      <c r="O724" s="669" t="n"/>
      <c r="P724" s="669" t="n"/>
      <c r="Q724" s="669" t="n"/>
      <c r="R724" s="669" t="n"/>
      <c r="S724" s="669" t="n"/>
      <c r="T724" s="669" t="n"/>
      <c r="U724" s="669" t="n"/>
    </row>
    <row r="725" ht="15.75" customHeight="1" s="1128">
      <c r="A725" s="669" t="n"/>
      <c r="B725" s="669" t="n"/>
      <c r="C725" s="669" t="n"/>
      <c r="D725" s="669" t="n"/>
      <c r="E725" s="669" t="n"/>
      <c r="F725" s="669" t="n"/>
      <c r="G725" s="669" t="n"/>
      <c r="H725" s="669" t="n"/>
      <c r="I725" s="669" t="n"/>
      <c r="J725" s="669" t="n"/>
      <c r="K725" s="669" t="n"/>
      <c r="L725" s="669" t="n"/>
      <c r="M725" s="669" t="n"/>
      <c r="N725" s="669" t="n"/>
      <c r="O725" s="669" t="n"/>
      <c r="P725" s="669" t="n"/>
      <c r="Q725" s="669" t="n"/>
      <c r="R725" s="669" t="n"/>
      <c r="S725" s="669" t="n"/>
      <c r="T725" s="669" t="n"/>
      <c r="U725" s="669" t="n"/>
    </row>
    <row r="726" ht="15.75" customHeight="1" s="1128">
      <c r="A726" s="669" t="n"/>
      <c r="B726" s="669" t="n"/>
      <c r="C726" s="669" t="n"/>
      <c r="D726" s="669" t="n"/>
      <c r="E726" s="669" t="n"/>
      <c r="F726" s="669" t="n"/>
      <c r="G726" s="669" t="n"/>
      <c r="H726" s="669" t="n"/>
      <c r="I726" s="669" t="n"/>
      <c r="J726" s="669" t="n"/>
      <c r="K726" s="669" t="n"/>
      <c r="L726" s="669" t="n"/>
      <c r="M726" s="669" t="n"/>
      <c r="N726" s="669" t="n"/>
      <c r="O726" s="669" t="n"/>
      <c r="P726" s="669" t="n"/>
      <c r="Q726" s="669" t="n"/>
      <c r="R726" s="669" t="n"/>
      <c r="S726" s="669" t="n"/>
      <c r="T726" s="669" t="n"/>
      <c r="U726" s="669" t="n"/>
    </row>
    <row r="727" ht="15.75" customHeight="1" s="1128">
      <c r="A727" s="669" t="n"/>
      <c r="B727" s="669" t="n"/>
      <c r="C727" s="669" t="n"/>
      <c r="D727" s="669" t="n"/>
      <c r="E727" s="669" t="n"/>
      <c r="F727" s="669" t="n"/>
      <c r="G727" s="669" t="n"/>
      <c r="H727" s="669" t="n"/>
      <c r="I727" s="669" t="n"/>
      <c r="J727" s="669" t="n"/>
      <c r="K727" s="669" t="n"/>
      <c r="L727" s="669" t="n"/>
      <c r="M727" s="669" t="n"/>
      <c r="N727" s="669" t="n"/>
      <c r="O727" s="669" t="n"/>
      <c r="P727" s="669" t="n"/>
      <c r="Q727" s="669" t="n"/>
      <c r="R727" s="669" t="n"/>
      <c r="S727" s="669" t="n"/>
      <c r="T727" s="669" t="n"/>
      <c r="U727" s="669" t="n"/>
    </row>
    <row r="728" ht="15.75" customHeight="1" s="1128">
      <c r="A728" s="669" t="n"/>
      <c r="B728" s="669" t="n"/>
      <c r="C728" s="669" t="n"/>
      <c r="D728" s="669" t="n"/>
      <c r="E728" s="669" t="n"/>
      <c r="F728" s="669" t="n"/>
      <c r="G728" s="669" t="n"/>
      <c r="H728" s="669" t="n"/>
      <c r="I728" s="669" t="n"/>
      <c r="J728" s="669" t="n"/>
      <c r="K728" s="669" t="n"/>
      <c r="L728" s="669" t="n"/>
      <c r="M728" s="669" t="n"/>
      <c r="N728" s="669" t="n"/>
      <c r="O728" s="669" t="n"/>
      <c r="P728" s="669" t="n"/>
      <c r="Q728" s="669" t="n"/>
      <c r="R728" s="669" t="n"/>
      <c r="S728" s="669" t="n"/>
      <c r="T728" s="669" t="n"/>
      <c r="U728" s="669" t="n"/>
    </row>
    <row r="729" ht="15.75" customHeight="1" s="1128">
      <c r="A729" s="669" t="n"/>
      <c r="B729" s="669" t="n"/>
      <c r="C729" s="669" t="n"/>
      <c r="D729" s="669" t="n"/>
      <c r="E729" s="669" t="n"/>
      <c r="F729" s="669" t="n"/>
      <c r="G729" s="669" t="n"/>
      <c r="H729" s="669" t="n"/>
      <c r="I729" s="669" t="n"/>
      <c r="J729" s="669" t="n"/>
      <c r="K729" s="669" t="n"/>
      <c r="L729" s="669" t="n"/>
      <c r="M729" s="669" t="n"/>
      <c r="N729" s="669" t="n"/>
      <c r="O729" s="669" t="n"/>
      <c r="P729" s="669" t="n"/>
      <c r="Q729" s="669" t="n"/>
      <c r="R729" s="669" t="n"/>
      <c r="S729" s="669" t="n"/>
      <c r="T729" s="669" t="n"/>
      <c r="U729" s="669" t="n"/>
    </row>
    <row r="730" ht="15.75" customHeight="1" s="1128">
      <c r="A730" s="669" t="n"/>
      <c r="B730" s="669" t="n"/>
      <c r="C730" s="669" t="n"/>
      <c r="D730" s="669" t="n"/>
      <c r="E730" s="669" t="n"/>
      <c r="F730" s="669" t="n"/>
      <c r="G730" s="669" t="n"/>
      <c r="H730" s="669" t="n"/>
      <c r="I730" s="669" t="n"/>
      <c r="J730" s="669" t="n"/>
      <c r="K730" s="669" t="n"/>
      <c r="L730" s="669" t="n"/>
      <c r="M730" s="669" t="n"/>
      <c r="N730" s="669" t="n"/>
      <c r="O730" s="669" t="n"/>
      <c r="P730" s="669" t="n"/>
      <c r="Q730" s="669" t="n"/>
      <c r="R730" s="669" t="n"/>
      <c r="S730" s="669" t="n"/>
      <c r="T730" s="669" t="n"/>
      <c r="U730" s="669" t="n"/>
    </row>
    <row r="731" ht="15.75" customHeight="1" s="1128">
      <c r="A731" s="669" t="n"/>
      <c r="B731" s="669" t="n"/>
      <c r="C731" s="669" t="n"/>
      <c r="D731" s="669" t="n"/>
      <c r="E731" s="669" t="n"/>
      <c r="F731" s="669" t="n"/>
      <c r="G731" s="669" t="n"/>
      <c r="H731" s="669" t="n"/>
      <c r="I731" s="669" t="n"/>
      <c r="J731" s="669" t="n"/>
      <c r="K731" s="669" t="n"/>
      <c r="L731" s="669" t="n"/>
      <c r="M731" s="669" t="n"/>
      <c r="N731" s="669" t="n"/>
      <c r="O731" s="669" t="n"/>
      <c r="P731" s="669" t="n"/>
      <c r="Q731" s="669" t="n"/>
      <c r="R731" s="669" t="n"/>
      <c r="S731" s="669" t="n"/>
      <c r="T731" s="669" t="n"/>
      <c r="U731" s="669" t="n"/>
    </row>
    <row r="732" ht="15.75" customHeight="1" s="1128">
      <c r="A732" s="669" t="n"/>
      <c r="B732" s="669" t="n"/>
      <c r="C732" s="669" t="n"/>
      <c r="D732" s="669" t="n"/>
      <c r="E732" s="669" t="n"/>
      <c r="F732" s="669" t="n"/>
      <c r="G732" s="669" t="n"/>
      <c r="H732" s="669" t="n"/>
      <c r="I732" s="669" t="n"/>
      <c r="J732" s="669" t="n"/>
      <c r="K732" s="669" t="n"/>
      <c r="L732" s="669" t="n"/>
      <c r="M732" s="669" t="n"/>
      <c r="N732" s="669" t="n"/>
      <c r="O732" s="669" t="n"/>
      <c r="P732" s="669" t="n"/>
      <c r="Q732" s="669" t="n"/>
      <c r="R732" s="669" t="n"/>
      <c r="S732" s="669" t="n"/>
      <c r="T732" s="669" t="n"/>
      <c r="U732" s="669" t="n"/>
    </row>
    <row r="733" ht="15.75" customHeight="1" s="1128">
      <c r="A733" s="669" t="n"/>
      <c r="B733" s="669" t="n"/>
      <c r="C733" s="669" t="n"/>
      <c r="D733" s="669" t="n"/>
      <c r="E733" s="669" t="n"/>
      <c r="F733" s="669" t="n"/>
      <c r="G733" s="669" t="n"/>
      <c r="H733" s="669" t="n"/>
      <c r="I733" s="669" t="n"/>
      <c r="J733" s="669" t="n"/>
      <c r="K733" s="669" t="n"/>
      <c r="L733" s="669" t="n"/>
      <c r="M733" s="669" t="n"/>
      <c r="N733" s="669" t="n"/>
      <c r="O733" s="669" t="n"/>
      <c r="P733" s="669" t="n"/>
      <c r="Q733" s="669" t="n"/>
      <c r="R733" s="669" t="n"/>
      <c r="S733" s="669" t="n"/>
      <c r="T733" s="669" t="n"/>
      <c r="U733" s="669" t="n"/>
    </row>
    <row r="734" ht="15.75" customHeight="1" s="1128">
      <c r="A734" s="669" t="n"/>
      <c r="B734" s="669" t="n"/>
      <c r="C734" s="669" t="n"/>
      <c r="D734" s="669" t="n"/>
      <c r="E734" s="669" t="n"/>
      <c r="F734" s="669" t="n"/>
      <c r="G734" s="669" t="n"/>
      <c r="H734" s="669" t="n"/>
      <c r="I734" s="669" t="n"/>
      <c r="J734" s="669" t="n"/>
      <c r="K734" s="669" t="n"/>
      <c r="L734" s="669" t="n"/>
      <c r="M734" s="669" t="n"/>
      <c r="N734" s="669" t="n"/>
      <c r="O734" s="669" t="n"/>
      <c r="P734" s="669" t="n"/>
      <c r="Q734" s="669" t="n"/>
      <c r="R734" s="669" t="n"/>
      <c r="S734" s="669" t="n"/>
      <c r="T734" s="669" t="n"/>
      <c r="U734" s="669" t="n"/>
    </row>
    <row r="735" ht="15.75" customHeight="1" s="1128">
      <c r="A735" s="669" t="n"/>
      <c r="B735" s="669" t="n"/>
      <c r="C735" s="669" t="n"/>
      <c r="D735" s="669" t="n"/>
      <c r="E735" s="669" t="n"/>
      <c r="F735" s="669" t="n"/>
      <c r="G735" s="669" t="n"/>
      <c r="H735" s="669" t="n"/>
      <c r="I735" s="669" t="n"/>
      <c r="J735" s="669" t="n"/>
      <c r="K735" s="669" t="n"/>
      <c r="L735" s="669" t="n"/>
      <c r="M735" s="669" t="n"/>
      <c r="N735" s="669" t="n"/>
      <c r="O735" s="669" t="n"/>
      <c r="P735" s="669" t="n"/>
      <c r="Q735" s="669" t="n"/>
      <c r="R735" s="669" t="n"/>
      <c r="S735" s="669" t="n"/>
      <c r="T735" s="669" t="n"/>
      <c r="U735" s="669" t="n"/>
    </row>
    <row r="736" ht="15.75" customHeight="1" s="1128">
      <c r="A736" s="669" t="n"/>
      <c r="B736" s="669" t="n"/>
      <c r="C736" s="669" t="n"/>
      <c r="D736" s="669" t="n"/>
      <c r="E736" s="669" t="n"/>
      <c r="F736" s="669" t="n"/>
      <c r="G736" s="669" t="n"/>
      <c r="H736" s="669" t="n"/>
      <c r="I736" s="669" t="n"/>
      <c r="J736" s="669" t="n"/>
      <c r="K736" s="669" t="n"/>
      <c r="L736" s="669" t="n"/>
      <c r="M736" s="669" t="n"/>
      <c r="N736" s="669" t="n"/>
      <c r="O736" s="669" t="n"/>
      <c r="P736" s="669" t="n"/>
      <c r="Q736" s="669" t="n"/>
      <c r="R736" s="669" t="n"/>
      <c r="S736" s="669" t="n"/>
      <c r="T736" s="669" t="n"/>
      <c r="U736" s="669" t="n"/>
    </row>
    <row r="737" ht="15.75" customHeight="1" s="1128">
      <c r="A737" s="669" t="n"/>
      <c r="B737" s="669" t="n"/>
      <c r="C737" s="669" t="n"/>
      <c r="D737" s="669" t="n"/>
      <c r="E737" s="669" t="n"/>
      <c r="F737" s="669" t="n"/>
      <c r="G737" s="669" t="n"/>
      <c r="H737" s="669" t="n"/>
      <c r="I737" s="669" t="n"/>
      <c r="J737" s="669" t="n"/>
      <c r="K737" s="669" t="n"/>
      <c r="L737" s="669" t="n"/>
      <c r="M737" s="669" t="n"/>
      <c r="N737" s="669" t="n"/>
      <c r="O737" s="669" t="n"/>
      <c r="P737" s="669" t="n"/>
      <c r="Q737" s="669" t="n"/>
      <c r="R737" s="669" t="n"/>
      <c r="S737" s="669" t="n"/>
      <c r="T737" s="669" t="n"/>
      <c r="U737" s="669" t="n"/>
    </row>
    <row r="738" ht="15.75" customHeight="1" s="1128">
      <c r="A738" s="669" t="n"/>
      <c r="B738" s="669" t="n"/>
      <c r="C738" s="669" t="n"/>
      <c r="D738" s="669" t="n"/>
      <c r="E738" s="669" t="n"/>
      <c r="F738" s="669" t="n"/>
      <c r="G738" s="669" t="n"/>
      <c r="H738" s="669" t="n"/>
      <c r="I738" s="669" t="n"/>
      <c r="J738" s="669" t="n"/>
      <c r="K738" s="669" t="n"/>
      <c r="L738" s="669" t="n"/>
      <c r="M738" s="669" t="n"/>
      <c r="N738" s="669" t="n"/>
      <c r="O738" s="669" t="n"/>
      <c r="P738" s="669" t="n"/>
      <c r="Q738" s="669" t="n"/>
      <c r="R738" s="669" t="n"/>
      <c r="S738" s="669" t="n"/>
      <c r="T738" s="669" t="n"/>
      <c r="U738" s="669" t="n"/>
    </row>
    <row r="739" ht="15.75" customHeight="1" s="1128">
      <c r="A739" s="669" t="n"/>
      <c r="B739" s="669" t="n"/>
      <c r="C739" s="669" t="n"/>
      <c r="D739" s="669" t="n"/>
      <c r="E739" s="669" t="n"/>
      <c r="F739" s="669" t="n"/>
      <c r="G739" s="669" t="n"/>
      <c r="H739" s="669" t="n"/>
      <c r="I739" s="669" t="n"/>
      <c r="J739" s="669" t="n"/>
      <c r="K739" s="669" t="n"/>
      <c r="L739" s="669" t="n"/>
      <c r="M739" s="669" t="n"/>
      <c r="N739" s="669" t="n"/>
      <c r="O739" s="669" t="n"/>
      <c r="P739" s="669" t="n"/>
      <c r="Q739" s="669" t="n"/>
      <c r="R739" s="669" t="n"/>
      <c r="S739" s="669" t="n"/>
      <c r="T739" s="669" t="n"/>
      <c r="U739" s="669" t="n"/>
    </row>
    <row r="740" ht="15.75" customHeight="1" s="1128">
      <c r="A740" s="669" t="n"/>
      <c r="B740" s="669" t="n"/>
      <c r="C740" s="669" t="n"/>
      <c r="D740" s="669" t="n"/>
      <c r="E740" s="669" t="n"/>
      <c r="F740" s="669" t="n"/>
      <c r="G740" s="669" t="n"/>
      <c r="H740" s="669" t="n"/>
      <c r="I740" s="669" t="n"/>
      <c r="J740" s="669" t="n"/>
      <c r="K740" s="669" t="n"/>
      <c r="L740" s="669" t="n"/>
      <c r="M740" s="669" t="n"/>
      <c r="N740" s="669" t="n"/>
      <c r="O740" s="669" t="n"/>
      <c r="P740" s="669" t="n"/>
      <c r="Q740" s="669" t="n"/>
      <c r="R740" s="669" t="n"/>
      <c r="S740" s="669" t="n"/>
      <c r="T740" s="669" t="n"/>
      <c r="U740" s="669" t="n"/>
    </row>
    <row r="741" ht="15.75" customHeight="1" s="1128">
      <c r="A741" s="669" t="n"/>
      <c r="B741" s="669" t="n"/>
      <c r="C741" s="669" t="n"/>
      <c r="D741" s="669" t="n"/>
      <c r="E741" s="669" t="n"/>
      <c r="F741" s="669" t="n"/>
      <c r="G741" s="669" t="n"/>
      <c r="H741" s="669" t="n"/>
      <c r="I741" s="669" t="n"/>
      <c r="J741" s="669" t="n"/>
      <c r="K741" s="669" t="n"/>
      <c r="L741" s="669" t="n"/>
      <c r="M741" s="669" t="n"/>
      <c r="N741" s="669" t="n"/>
      <c r="O741" s="669" t="n"/>
      <c r="P741" s="669" t="n"/>
      <c r="Q741" s="669" t="n"/>
      <c r="R741" s="669" t="n"/>
      <c r="S741" s="669" t="n"/>
      <c r="T741" s="669" t="n"/>
      <c r="U741" s="669" t="n"/>
    </row>
    <row r="742" ht="15.75" customHeight="1" s="1128">
      <c r="A742" s="669" t="n"/>
      <c r="B742" s="669" t="n"/>
      <c r="C742" s="669" t="n"/>
      <c r="D742" s="669" t="n"/>
      <c r="E742" s="669" t="n"/>
      <c r="F742" s="669" t="n"/>
      <c r="G742" s="669" t="n"/>
      <c r="H742" s="669" t="n"/>
      <c r="I742" s="669" t="n"/>
      <c r="J742" s="669" t="n"/>
      <c r="K742" s="669" t="n"/>
      <c r="L742" s="669" t="n"/>
      <c r="M742" s="669" t="n"/>
      <c r="N742" s="669" t="n"/>
      <c r="O742" s="669" t="n"/>
      <c r="P742" s="669" t="n"/>
      <c r="Q742" s="669" t="n"/>
      <c r="R742" s="669" t="n"/>
      <c r="S742" s="669" t="n"/>
      <c r="T742" s="669" t="n"/>
      <c r="U742" s="669" t="n"/>
    </row>
    <row r="743" ht="15.75" customHeight="1" s="1128">
      <c r="A743" s="669" t="n"/>
      <c r="B743" s="669" t="n"/>
      <c r="C743" s="669" t="n"/>
      <c r="D743" s="669" t="n"/>
      <c r="E743" s="669" t="n"/>
      <c r="F743" s="669" t="n"/>
      <c r="G743" s="669" t="n"/>
      <c r="H743" s="669" t="n"/>
      <c r="I743" s="669" t="n"/>
      <c r="J743" s="669" t="n"/>
      <c r="K743" s="669" t="n"/>
      <c r="L743" s="669" t="n"/>
      <c r="M743" s="669" t="n"/>
      <c r="N743" s="669" t="n"/>
      <c r="O743" s="669" t="n"/>
      <c r="P743" s="669" t="n"/>
      <c r="Q743" s="669" t="n"/>
      <c r="R743" s="669" t="n"/>
      <c r="S743" s="669" t="n"/>
      <c r="T743" s="669" t="n"/>
      <c r="U743" s="669" t="n"/>
    </row>
    <row r="744" ht="15.75" customHeight="1" s="1128">
      <c r="A744" s="669" t="n"/>
      <c r="B744" s="669" t="n"/>
      <c r="C744" s="669" t="n"/>
      <c r="D744" s="669" t="n"/>
      <c r="E744" s="669" t="n"/>
      <c r="F744" s="669" t="n"/>
      <c r="G744" s="669" t="n"/>
      <c r="H744" s="669" t="n"/>
      <c r="I744" s="669" t="n"/>
      <c r="J744" s="669" t="n"/>
      <c r="K744" s="669" t="n"/>
      <c r="L744" s="669" t="n"/>
      <c r="M744" s="669" t="n"/>
      <c r="N744" s="669" t="n"/>
      <c r="O744" s="669" t="n"/>
      <c r="P744" s="669" t="n"/>
      <c r="Q744" s="669" t="n"/>
      <c r="R744" s="669" t="n"/>
      <c r="S744" s="669" t="n"/>
      <c r="T744" s="669" t="n"/>
      <c r="U744" s="669" t="n"/>
    </row>
    <row r="745" ht="15.75" customHeight="1" s="1128">
      <c r="A745" s="669" t="n"/>
      <c r="B745" s="669" t="n"/>
      <c r="C745" s="669" t="n"/>
      <c r="D745" s="669" t="n"/>
      <c r="E745" s="669" t="n"/>
      <c r="F745" s="669" t="n"/>
      <c r="G745" s="669" t="n"/>
      <c r="H745" s="669" t="n"/>
      <c r="I745" s="669" t="n"/>
      <c r="J745" s="669" t="n"/>
      <c r="K745" s="669" t="n"/>
      <c r="L745" s="669" t="n"/>
      <c r="M745" s="669" t="n"/>
      <c r="N745" s="669" t="n"/>
      <c r="O745" s="669" t="n"/>
      <c r="P745" s="669" t="n"/>
      <c r="Q745" s="669" t="n"/>
      <c r="R745" s="669" t="n"/>
      <c r="S745" s="669" t="n"/>
      <c r="T745" s="669" t="n"/>
      <c r="U745" s="669" t="n"/>
    </row>
    <row r="746" ht="15.75" customHeight="1" s="1128">
      <c r="A746" s="669" t="n"/>
      <c r="B746" s="669" t="n"/>
      <c r="C746" s="669" t="n"/>
      <c r="D746" s="669" t="n"/>
      <c r="E746" s="669" t="n"/>
      <c r="F746" s="669" t="n"/>
      <c r="G746" s="669" t="n"/>
      <c r="H746" s="669" t="n"/>
      <c r="I746" s="669" t="n"/>
      <c r="J746" s="669" t="n"/>
      <c r="K746" s="669" t="n"/>
      <c r="L746" s="669" t="n"/>
      <c r="M746" s="669" t="n"/>
      <c r="N746" s="669" t="n"/>
      <c r="O746" s="669" t="n"/>
      <c r="P746" s="669" t="n"/>
      <c r="Q746" s="669" t="n"/>
      <c r="R746" s="669" t="n"/>
      <c r="S746" s="669" t="n"/>
      <c r="T746" s="669" t="n"/>
      <c r="U746" s="669" t="n"/>
    </row>
    <row r="747" ht="15.75" customHeight="1" s="1128">
      <c r="A747" s="669" t="n"/>
      <c r="B747" s="669" t="n"/>
      <c r="C747" s="669" t="n"/>
      <c r="D747" s="669" t="n"/>
      <c r="E747" s="669" t="n"/>
      <c r="F747" s="669" t="n"/>
      <c r="G747" s="669" t="n"/>
      <c r="H747" s="669" t="n"/>
      <c r="I747" s="669" t="n"/>
      <c r="J747" s="669" t="n"/>
      <c r="K747" s="669" t="n"/>
      <c r="L747" s="669" t="n"/>
      <c r="M747" s="669" t="n"/>
      <c r="N747" s="669" t="n"/>
      <c r="O747" s="669" t="n"/>
      <c r="P747" s="669" t="n"/>
      <c r="Q747" s="669" t="n"/>
      <c r="R747" s="669" t="n"/>
      <c r="S747" s="669" t="n"/>
      <c r="T747" s="669" t="n"/>
      <c r="U747" s="669" t="n"/>
    </row>
    <row r="748" ht="15.75" customHeight="1" s="1128">
      <c r="A748" s="669" t="n"/>
      <c r="B748" s="669" t="n"/>
      <c r="C748" s="669" t="n"/>
      <c r="D748" s="669" t="n"/>
      <c r="E748" s="669" t="n"/>
      <c r="F748" s="669" t="n"/>
      <c r="G748" s="669" t="n"/>
      <c r="H748" s="669" t="n"/>
      <c r="I748" s="669" t="n"/>
      <c r="J748" s="669" t="n"/>
      <c r="K748" s="669" t="n"/>
      <c r="L748" s="669" t="n"/>
      <c r="M748" s="669" t="n"/>
      <c r="N748" s="669" t="n"/>
      <c r="O748" s="669" t="n"/>
      <c r="P748" s="669" t="n"/>
      <c r="Q748" s="669" t="n"/>
      <c r="R748" s="669" t="n"/>
      <c r="S748" s="669" t="n"/>
      <c r="T748" s="669" t="n"/>
      <c r="U748" s="669" t="n"/>
    </row>
    <row r="749" ht="15.75" customHeight="1" s="1128">
      <c r="A749" s="669" t="n"/>
      <c r="B749" s="669" t="n"/>
      <c r="C749" s="669" t="n"/>
      <c r="D749" s="669" t="n"/>
      <c r="E749" s="669" t="n"/>
      <c r="F749" s="669" t="n"/>
      <c r="G749" s="669" t="n"/>
      <c r="H749" s="669" t="n"/>
      <c r="I749" s="669" t="n"/>
      <c r="J749" s="669" t="n"/>
      <c r="K749" s="669" t="n"/>
      <c r="L749" s="669" t="n"/>
      <c r="M749" s="669" t="n"/>
      <c r="N749" s="669" t="n"/>
      <c r="O749" s="669" t="n"/>
      <c r="P749" s="669" t="n"/>
      <c r="Q749" s="669" t="n"/>
      <c r="R749" s="669" t="n"/>
      <c r="S749" s="669" t="n"/>
      <c r="T749" s="669" t="n"/>
      <c r="U749" s="669" t="n"/>
    </row>
    <row r="750" ht="15.75" customHeight="1" s="1128">
      <c r="A750" s="669" t="n"/>
      <c r="B750" s="669" t="n"/>
      <c r="C750" s="669" t="n"/>
      <c r="D750" s="669" t="n"/>
      <c r="E750" s="669" t="n"/>
      <c r="F750" s="669" t="n"/>
      <c r="G750" s="669" t="n"/>
      <c r="H750" s="669" t="n"/>
      <c r="I750" s="669" t="n"/>
      <c r="J750" s="669" t="n"/>
      <c r="K750" s="669" t="n"/>
      <c r="L750" s="669" t="n"/>
      <c r="M750" s="669" t="n"/>
      <c r="N750" s="669" t="n"/>
      <c r="O750" s="669" t="n"/>
      <c r="P750" s="669" t="n"/>
      <c r="Q750" s="669" t="n"/>
      <c r="R750" s="669" t="n"/>
      <c r="S750" s="669" t="n"/>
      <c r="T750" s="669" t="n"/>
      <c r="U750" s="669" t="n"/>
    </row>
    <row r="751" ht="15.75" customHeight="1" s="1128">
      <c r="A751" s="669" t="n"/>
      <c r="B751" s="669" t="n"/>
      <c r="C751" s="669" t="n"/>
      <c r="D751" s="669" t="n"/>
      <c r="E751" s="669" t="n"/>
      <c r="F751" s="669" t="n"/>
      <c r="G751" s="669" t="n"/>
      <c r="H751" s="669" t="n"/>
      <c r="I751" s="669" t="n"/>
      <c r="J751" s="669" t="n"/>
      <c r="K751" s="669" t="n"/>
      <c r="L751" s="669" t="n"/>
      <c r="M751" s="669" t="n"/>
      <c r="N751" s="669" t="n"/>
      <c r="O751" s="669" t="n"/>
      <c r="P751" s="669" t="n"/>
      <c r="Q751" s="669" t="n"/>
      <c r="R751" s="669" t="n"/>
      <c r="S751" s="669" t="n"/>
      <c r="T751" s="669" t="n"/>
      <c r="U751" s="669" t="n"/>
    </row>
    <row r="752" ht="15.75" customHeight="1" s="1128">
      <c r="A752" s="669" t="n"/>
      <c r="B752" s="669" t="n"/>
      <c r="C752" s="669" t="n"/>
      <c r="D752" s="669" t="n"/>
      <c r="E752" s="669" t="n"/>
      <c r="F752" s="669" t="n"/>
      <c r="G752" s="669" t="n"/>
      <c r="H752" s="669" t="n"/>
      <c r="I752" s="669" t="n"/>
      <c r="J752" s="669" t="n"/>
      <c r="K752" s="669" t="n"/>
      <c r="L752" s="669" t="n"/>
      <c r="M752" s="669" t="n"/>
      <c r="N752" s="669" t="n"/>
      <c r="O752" s="669" t="n"/>
      <c r="P752" s="669" t="n"/>
      <c r="Q752" s="669" t="n"/>
      <c r="R752" s="669" t="n"/>
      <c r="S752" s="669" t="n"/>
      <c r="T752" s="669" t="n"/>
      <c r="U752" s="669" t="n"/>
    </row>
    <row r="753" ht="15.75" customHeight="1" s="1128">
      <c r="A753" s="669" t="n"/>
      <c r="B753" s="669" t="n"/>
      <c r="C753" s="669" t="n"/>
      <c r="D753" s="669" t="n"/>
      <c r="E753" s="669" t="n"/>
      <c r="F753" s="669" t="n"/>
      <c r="G753" s="669" t="n"/>
      <c r="H753" s="669" t="n"/>
      <c r="I753" s="669" t="n"/>
      <c r="J753" s="669" t="n"/>
      <c r="K753" s="669" t="n"/>
      <c r="L753" s="669" t="n"/>
      <c r="M753" s="669" t="n"/>
      <c r="N753" s="669" t="n"/>
      <c r="O753" s="669" t="n"/>
      <c r="P753" s="669" t="n"/>
      <c r="Q753" s="669" t="n"/>
      <c r="R753" s="669" t="n"/>
      <c r="S753" s="669" t="n"/>
      <c r="T753" s="669" t="n"/>
      <c r="U753" s="669" t="n"/>
    </row>
    <row r="754" ht="15.75" customHeight="1" s="1128">
      <c r="A754" s="669" t="n"/>
      <c r="B754" s="669" t="n"/>
      <c r="C754" s="669" t="n"/>
      <c r="D754" s="669" t="n"/>
      <c r="E754" s="669" t="n"/>
      <c r="F754" s="669" t="n"/>
      <c r="G754" s="669" t="n"/>
      <c r="H754" s="669" t="n"/>
      <c r="I754" s="669" t="n"/>
      <c r="J754" s="669" t="n"/>
      <c r="K754" s="669" t="n"/>
      <c r="L754" s="669" t="n"/>
      <c r="M754" s="669" t="n"/>
      <c r="N754" s="669" t="n"/>
      <c r="O754" s="669" t="n"/>
      <c r="P754" s="669" t="n"/>
      <c r="Q754" s="669" t="n"/>
      <c r="R754" s="669" t="n"/>
      <c r="S754" s="669" t="n"/>
      <c r="T754" s="669" t="n"/>
      <c r="U754" s="669" t="n"/>
    </row>
    <row r="755" ht="15.75" customHeight="1" s="1128">
      <c r="A755" s="669" t="n"/>
      <c r="B755" s="669" t="n"/>
      <c r="C755" s="669" t="n"/>
      <c r="D755" s="669" t="n"/>
      <c r="E755" s="669" t="n"/>
      <c r="F755" s="669" t="n"/>
      <c r="G755" s="669" t="n"/>
      <c r="H755" s="669" t="n"/>
      <c r="I755" s="669" t="n"/>
      <c r="J755" s="669" t="n"/>
      <c r="K755" s="669" t="n"/>
      <c r="L755" s="669" t="n"/>
      <c r="M755" s="669" t="n"/>
      <c r="N755" s="669" t="n"/>
      <c r="O755" s="669" t="n"/>
      <c r="P755" s="669" t="n"/>
      <c r="Q755" s="669" t="n"/>
      <c r="R755" s="669" t="n"/>
      <c r="S755" s="669" t="n"/>
      <c r="T755" s="669" t="n"/>
      <c r="U755" s="669" t="n"/>
    </row>
    <row r="756" ht="15.75" customHeight="1" s="1128">
      <c r="A756" s="669" t="n"/>
      <c r="B756" s="669" t="n"/>
      <c r="C756" s="669" t="n"/>
      <c r="D756" s="669" t="n"/>
      <c r="E756" s="669" t="n"/>
      <c r="F756" s="669" t="n"/>
      <c r="G756" s="669" t="n"/>
      <c r="H756" s="669" t="n"/>
      <c r="I756" s="669" t="n"/>
      <c r="J756" s="669" t="n"/>
      <c r="K756" s="669" t="n"/>
      <c r="L756" s="669" t="n"/>
      <c r="M756" s="669" t="n"/>
      <c r="N756" s="669" t="n"/>
      <c r="O756" s="669" t="n"/>
      <c r="P756" s="669" t="n"/>
      <c r="Q756" s="669" t="n"/>
      <c r="R756" s="669" t="n"/>
      <c r="S756" s="669" t="n"/>
      <c r="T756" s="669" t="n"/>
      <c r="U756" s="669" t="n"/>
    </row>
    <row r="757" ht="15.75" customHeight="1" s="1128">
      <c r="A757" s="669" t="n"/>
      <c r="B757" s="669" t="n"/>
      <c r="C757" s="669" t="n"/>
      <c r="D757" s="669" t="n"/>
      <c r="E757" s="669" t="n"/>
      <c r="F757" s="669" t="n"/>
      <c r="G757" s="669" t="n"/>
      <c r="H757" s="669" t="n"/>
      <c r="I757" s="669" t="n"/>
      <c r="J757" s="669" t="n"/>
      <c r="K757" s="669" t="n"/>
      <c r="L757" s="669" t="n"/>
      <c r="M757" s="669" t="n"/>
      <c r="N757" s="669" t="n"/>
      <c r="O757" s="669" t="n"/>
      <c r="P757" s="669" t="n"/>
      <c r="Q757" s="669" t="n"/>
      <c r="R757" s="669" t="n"/>
      <c r="S757" s="669" t="n"/>
      <c r="T757" s="669" t="n"/>
      <c r="U757" s="669" t="n"/>
    </row>
    <row r="758" ht="15.75" customHeight="1" s="1128">
      <c r="A758" s="669" t="n"/>
      <c r="B758" s="669" t="n"/>
      <c r="C758" s="669" t="n"/>
      <c r="D758" s="669" t="n"/>
      <c r="E758" s="669" t="n"/>
      <c r="F758" s="669" t="n"/>
      <c r="G758" s="669" t="n"/>
      <c r="H758" s="669" t="n"/>
      <c r="I758" s="669" t="n"/>
      <c r="J758" s="669" t="n"/>
      <c r="K758" s="669" t="n"/>
      <c r="L758" s="669" t="n"/>
      <c r="M758" s="669" t="n"/>
      <c r="N758" s="669" t="n"/>
      <c r="O758" s="669" t="n"/>
      <c r="P758" s="669" t="n"/>
      <c r="Q758" s="669" t="n"/>
      <c r="R758" s="669" t="n"/>
      <c r="S758" s="669" t="n"/>
      <c r="T758" s="669" t="n"/>
      <c r="U758" s="669" t="n"/>
    </row>
    <row r="759" ht="15.75" customHeight="1" s="1128">
      <c r="A759" s="669" t="n"/>
      <c r="B759" s="669" t="n"/>
      <c r="C759" s="669" t="n"/>
      <c r="D759" s="669" t="n"/>
      <c r="E759" s="669" t="n"/>
      <c r="F759" s="669" t="n"/>
      <c r="G759" s="669" t="n"/>
      <c r="H759" s="669" t="n"/>
      <c r="I759" s="669" t="n"/>
      <c r="J759" s="669" t="n"/>
      <c r="K759" s="669" t="n"/>
      <c r="L759" s="669" t="n"/>
      <c r="M759" s="669" t="n"/>
      <c r="N759" s="669" t="n"/>
      <c r="O759" s="669" t="n"/>
      <c r="P759" s="669" t="n"/>
      <c r="Q759" s="669" t="n"/>
      <c r="R759" s="669" t="n"/>
      <c r="S759" s="669" t="n"/>
      <c r="T759" s="669" t="n"/>
      <c r="U759" s="669" t="n"/>
    </row>
    <row r="760" ht="15.75" customHeight="1" s="1128">
      <c r="A760" s="669" t="n"/>
      <c r="B760" s="669" t="n"/>
      <c r="C760" s="669" t="n"/>
      <c r="D760" s="669" t="n"/>
      <c r="E760" s="669" t="n"/>
      <c r="F760" s="669" t="n"/>
      <c r="G760" s="669" t="n"/>
      <c r="H760" s="669" t="n"/>
      <c r="I760" s="669" t="n"/>
      <c r="J760" s="669" t="n"/>
      <c r="K760" s="669" t="n"/>
      <c r="L760" s="669" t="n"/>
      <c r="M760" s="669" t="n"/>
      <c r="N760" s="669" t="n"/>
      <c r="O760" s="669" t="n"/>
      <c r="P760" s="669" t="n"/>
      <c r="Q760" s="669" t="n"/>
      <c r="R760" s="669" t="n"/>
      <c r="S760" s="669" t="n"/>
      <c r="T760" s="669" t="n"/>
      <c r="U760" s="669" t="n"/>
    </row>
    <row r="761" ht="15.75" customHeight="1" s="1128">
      <c r="A761" s="669" t="n"/>
      <c r="B761" s="669" t="n"/>
      <c r="C761" s="669" t="n"/>
      <c r="D761" s="669" t="n"/>
      <c r="E761" s="669" t="n"/>
      <c r="F761" s="669" t="n"/>
      <c r="G761" s="669" t="n"/>
      <c r="H761" s="669" t="n"/>
      <c r="I761" s="669" t="n"/>
      <c r="J761" s="669" t="n"/>
      <c r="K761" s="669" t="n"/>
      <c r="L761" s="669" t="n"/>
      <c r="M761" s="669" t="n"/>
      <c r="N761" s="669" t="n"/>
      <c r="O761" s="669" t="n"/>
      <c r="P761" s="669" t="n"/>
      <c r="Q761" s="669" t="n"/>
      <c r="R761" s="669" t="n"/>
      <c r="S761" s="669" t="n"/>
      <c r="T761" s="669" t="n"/>
      <c r="U761" s="669" t="n"/>
    </row>
    <row r="762" ht="15.75" customHeight="1" s="1128">
      <c r="A762" s="669" t="n"/>
      <c r="B762" s="669" t="n"/>
      <c r="C762" s="669" t="n"/>
      <c r="D762" s="669" t="n"/>
      <c r="E762" s="669" t="n"/>
      <c r="F762" s="669" t="n"/>
      <c r="G762" s="669" t="n"/>
      <c r="H762" s="669" t="n"/>
      <c r="I762" s="669" t="n"/>
      <c r="J762" s="669" t="n"/>
      <c r="K762" s="669" t="n"/>
      <c r="L762" s="669" t="n"/>
      <c r="M762" s="669" t="n"/>
      <c r="N762" s="669" t="n"/>
      <c r="O762" s="669" t="n"/>
      <c r="P762" s="669" t="n"/>
      <c r="Q762" s="669" t="n"/>
      <c r="R762" s="669" t="n"/>
      <c r="S762" s="669" t="n"/>
      <c r="T762" s="669" t="n"/>
      <c r="U762" s="669" t="n"/>
    </row>
    <row r="763" ht="15.75" customHeight="1" s="1128">
      <c r="A763" s="669" t="n"/>
      <c r="B763" s="669" t="n"/>
      <c r="C763" s="669" t="n"/>
      <c r="D763" s="669" t="n"/>
      <c r="E763" s="669" t="n"/>
      <c r="F763" s="669" t="n"/>
      <c r="G763" s="669" t="n"/>
      <c r="H763" s="669" t="n"/>
      <c r="I763" s="669" t="n"/>
      <c r="J763" s="669" t="n"/>
      <c r="K763" s="669" t="n"/>
      <c r="L763" s="669" t="n"/>
      <c r="M763" s="669" t="n"/>
      <c r="N763" s="669" t="n"/>
      <c r="O763" s="669" t="n"/>
      <c r="P763" s="669" t="n"/>
      <c r="Q763" s="669" t="n"/>
      <c r="R763" s="669" t="n"/>
      <c r="S763" s="669" t="n"/>
      <c r="T763" s="669" t="n"/>
      <c r="U763" s="669" t="n"/>
    </row>
    <row r="764" ht="15.75" customHeight="1" s="1128">
      <c r="A764" s="669" t="n"/>
      <c r="B764" s="669" t="n"/>
      <c r="C764" s="669" t="n"/>
      <c r="D764" s="669" t="n"/>
      <c r="E764" s="669" t="n"/>
      <c r="F764" s="669" t="n"/>
      <c r="G764" s="669" t="n"/>
      <c r="H764" s="669" t="n"/>
      <c r="I764" s="669" t="n"/>
      <c r="J764" s="669" t="n"/>
      <c r="K764" s="669" t="n"/>
      <c r="L764" s="669" t="n"/>
      <c r="M764" s="669" t="n"/>
      <c r="N764" s="669" t="n"/>
      <c r="O764" s="669" t="n"/>
      <c r="P764" s="669" t="n"/>
      <c r="Q764" s="669" t="n"/>
      <c r="R764" s="669" t="n"/>
      <c r="S764" s="669" t="n"/>
      <c r="T764" s="669" t="n"/>
      <c r="U764" s="669" t="n"/>
    </row>
    <row r="765" ht="15.75" customHeight="1" s="1128">
      <c r="A765" s="669" t="n"/>
      <c r="B765" s="669" t="n"/>
      <c r="C765" s="669" t="n"/>
      <c r="D765" s="669" t="n"/>
      <c r="E765" s="669" t="n"/>
      <c r="F765" s="669" t="n"/>
      <c r="G765" s="669" t="n"/>
      <c r="H765" s="669" t="n"/>
      <c r="I765" s="669" t="n"/>
      <c r="J765" s="669" t="n"/>
      <c r="K765" s="669" t="n"/>
      <c r="L765" s="669" t="n"/>
      <c r="M765" s="669" t="n"/>
      <c r="N765" s="669" t="n"/>
      <c r="O765" s="669" t="n"/>
      <c r="P765" s="669" t="n"/>
      <c r="Q765" s="669" t="n"/>
      <c r="R765" s="669" t="n"/>
      <c r="S765" s="669" t="n"/>
      <c r="T765" s="669" t="n"/>
      <c r="U765" s="669" t="n"/>
    </row>
    <row r="766" ht="15.75" customHeight="1" s="1128">
      <c r="A766" s="669" t="n"/>
      <c r="B766" s="669" t="n"/>
      <c r="C766" s="669" t="n"/>
      <c r="D766" s="669" t="n"/>
      <c r="E766" s="669" t="n"/>
      <c r="F766" s="669" t="n"/>
      <c r="G766" s="669" t="n"/>
      <c r="H766" s="669" t="n"/>
      <c r="I766" s="669" t="n"/>
      <c r="J766" s="669" t="n"/>
      <c r="K766" s="669" t="n"/>
      <c r="L766" s="669" t="n"/>
      <c r="M766" s="669" t="n"/>
      <c r="N766" s="669" t="n"/>
      <c r="O766" s="669" t="n"/>
      <c r="P766" s="669" t="n"/>
      <c r="Q766" s="669" t="n"/>
      <c r="R766" s="669" t="n"/>
      <c r="S766" s="669" t="n"/>
      <c r="T766" s="669" t="n"/>
      <c r="U766" s="669" t="n"/>
    </row>
    <row r="767" ht="15.75" customHeight="1" s="1128">
      <c r="A767" s="669" t="n"/>
      <c r="B767" s="669" t="n"/>
      <c r="C767" s="669" t="n"/>
      <c r="D767" s="669" t="n"/>
      <c r="E767" s="669" t="n"/>
      <c r="F767" s="669" t="n"/>
      <c r="G767" s="669" t="n"/>
      <c r="H767" s="669" t="n"/>
      <c r="I767" s="669" t="n"/>
      <c r="J767" s="669" t="n"/>
      <c r="K767" s="669" t="n"/>
      <c r="L767" s="669" t="n"/>
      <c r="M767" s="669" t="n"/>
      <c r="N767" s="669" t="n"/>
      <c r="O767" s="669" t="n"/>
      <c r="P767" s="669" t="n"/>
      <c r="Q767" s="669" t="n"/>
      <c r="R767" s="669" t="n"/>
      <c r="S767" s="669" t="n"/>
      <c r="T767" s="669" t="n"/>
      <c r="U767" s="669" t="n"/>
    </row>
    <row r="768" ht="15.75" customHeight="1" s="1128">
      <c r="A768" s="669" t="n"/>
      <c r="B768" s="669" t="n"/>
      <c r="C768" s="669" t="n"/>
      <c r="D768" s="669" t="n"/>
      <c r="E768" s="669" t="n"/>
      <c r="F768" s="669" t="n"/>
      <c r="G768" s="669" t="n"/>
      <c r="H768" s="669" t="n"/>
      <c r="I768" s="669" t="n"/>
      <c r="J768" s="669" t="n"/>
      <c r="K768" s="669" t="n"/>
      <c r="L768" s="669" t="n"/>
      <c r="M768" s="669" t="n"/>
      <c r="N768" s="669" t="n"/>
      <c r="O768" s="669" t="n"/>
      <c r="P768" s="669" t="n"/>
      <c r="Q768" s="669" t="n"/>
      <c r="R768" s="669" t="n"/>
      <c r="S768" s="669" t="n"/>
      <c r="T768" s="669" t="n"/>
      <c r="U768" s="669" t="n"/>
    </row>
    <row r="769" ht="15.75" customHeight="1" s="1128">
      <c r="A769" s="669" t="n"/>
      <c r="B769" s="669" t="n"/>
      <c r="C769" s="669" t="n"/>
      <c r="D769" s="669" t="n"/>
      <c r="E769" s="669" t="n"/>
      <c r="F769" s="669" t="n"/>
      <c r="G769" s="669" t="n"/>
      <c r="H769" s="669" t="n"/>
      <c r="I769" s="669" t="n"/>
      <c r="J769" s="669" t="n"/>
      <c r="K769" s="669" t="n"/>
      <c r="L769" s="669" t="n"/>
      <c r="M769" s="669" t="n"/>
      <c r="N769" s="669" t="n"/>
      <c r="O769" s="669" t="n"/>
      <c r="P769" s="669" t="n"/>
      <c r="Q769" s="669" t="n"/>
      <c r="R769" s="669" t="n"/>
      <c r="S769" s="669" t="n"/>
      <c r="T769" s="669" t="n"/>
      <c r="U769" s="669" t="n"/>
    </row>
    <row r="770" ht="15.75" customHeight="1" s="1128">
      <c r="A770" s="669" t="n"/>
      <c r="B770" s="669" t="n"/>
      <c r="C770" s="669" t="n"/>
      <c r="D770" s="669" t="n"/>
      <c r="E770" s="669" t="n"/>
      <c r="F770" s="669" t="n"/>
      <c r="G770" s="669" t="n"/>
      <c r="H770" s="669" t="n"/>
      <c r="I770" s="669" t="n"/>
      <c r="J770" s="669" t="n"/>
      <c r="K770" s="669" t="n"/>
      <c r="L770" s="669" t="n"/>
      <c r="M770" s="669" t="n"/>
      <c r="N770" s="669" t="n"/>
      <c r="O770" s="669" t="n"/>
      <c r="P770" s="669" t="n"/>
      <c r="Q770" s="669" t="n"/>
      <c r="R770" s="669" t="n"/>
      <c r="S770" s="669" t="n"/>
      <c r="T770" s="669" t="n"/>
      <c r="U770" s="669" t="n"/>
    </row>
    <row r="771" ht="15.75" customHeight="1" s="1128">
      <c r="A771" s="669" t="n"/>
      <c r="B771" s="669" t="n"/>
      <c r="C771" s="669" t="n"/>
      <c r="D771" s="669" t="n"/>
      <c r="E771" s="669" t="n"/>
      <c r="F771" s="669" t="n"/>
      <c r="G771" s="669" t="n"/>
      <c r="H771" s="669" t="n"/>
      <c r="I771" s="669" t="n"/>
      <c r="J771" s="669" t="n"/>
      <c r="K771" s="669" t="n"/>
      <c r="L771" s="669" t="n"/>
      <c r="M771" s="669" t="n"/>
      <c r="N771" s="669" t="n"/>
      <c r="O771" s="669" t="n"/>
      <c r="P771" s="669" t="n"/>
      <c r="Q771" s="669" t="n"/>
      <c r="R771" s="669" t="n"/>
      <c r="S771" s="669" t="n"/>
      <c r="T771" s="669" t="n"/>
      <c r="U771" s="669" t="n"/>
    </row>
    <row r="772" ht="15.75" customHeight="1" s="1128">
      <c r="A772" s="669" t="n"/>
      <c r="B772" s="669" t="n"/>
      <c r="C772" s="669" t="n"/>
      <c r="D772" s="669" t="n"/>
      <c r="E772" s="669" t="n"/>
      <c r="F772" s="669" t="n"/>
      <c r="G772" s="669" t="n"/>
      <c r="H772" s="669" t="n"/>
      <c r="I772" s="669" t="n"/>
      <c r="J772" s="669" t="n"/>
      <c r="K772" s="669" t="n"/>
      <c r="L772" s="669" t="n"/>
      <c r="M772" s="669" t="n"/>
      <c r="N772" s="669" t="n"/>
      <c r="O772" s="669" t="n"/>
      <c r="P772" s="669" t="n"/>
      <c r="Q772" s="669" t="n"/>
      <c r="R772" s="669" t="n"/>
      <c r="S772" s="669" t="n"/>
      <c r="T772" s="669" t="n"/>
      <c r="U772" s="669" t="n"/>
    </row>
    <row r="773" ht="15.75" customHeight="1" s="1128">
      <c r="A773" s="669" t="n"/>
      <c r="B773" s="669" t="n"/>
      <c r="C773" s="669" t="n"/>
      <c r="D773" s="669" t="n"/>
      <c r="E773" s="669" t="n"/>
      <c r="F773" s="669" t="n"/>
      <c r="G773" s="669" t="n"/>
      <c r="H773" s="669" t="n"/>
      <c r="I773" s="669" t="n"/>
      <c r="J773" s="669" t="n"/>
      <c r="K773" s="669" t="n"/>
      <c r="L773" s="669" t="n"/>
      <c r="M773" s="669" t="n"/>
      <c r="N773" s="669" t="n"/>
      <c r="O773" s="669" t="n"/>
      <c r="P773" s="669" t="n"/>
      <c r="Q773" s="669" t="n"/>
      <c r="R773" s="669" t="n"/>
      <c r="S773" s="669" t="n"/>
      <c r="T773" s="669" t="n"/>
      <c r="U773" s="669" t="n"/>
    </row>
    <row r="774" ht="15.75" customHeight="1" s="1128">
      <c r="A774" s="669" t="n"/>
      <c r="B774" s="669" t="n"/>
      <c r="C774" s="669" t="n"/>
      <c r="D774" s="669" t="n"/>
      <c r="E774" s="669" t="n"/>
      <c r="F774" s="669" t="n"/>
      <c r="G774" s="669" t="n"/>
      <c r="H774" s="669" t="n"/>
      <c r="I774" s="669" t="n"/>
      <c r="J774" s="669" t="n"/>
      <c r="K774" s="669" t="n"/>
      <c r="L774" s="669" t="n"/>
      <c r="M774" s="669" t="n"/>
      <c r="N774" s="669" t="n"/>
      <c r="O774" s="669" t="n"/>
      <c r="P774" s="669" t="n"/>
      <c r="Q774" s="669" t="n"/>
      <c r="R774" s="669" t="n"/>
      <c r="S774" s="669" t="n"/>
      <c r="T774" s="669" t="n"/>
      <c r="U774" s="669" t="n"/>
    </row>
    <row r="775" ht="15.75" customHeight="1" s="1128">
      <c r="A775" s="669" t="n"/>
      <c r="B775" s="669" t="n"/>
      <c r="C775" s="669" t="n"/>
      <c r="D775" s="669" t="n"/>
      <c r="E775" s="669" t="n"/>
      <c r="F775" s="669" t="n"/>
      <c r="G775" s="669" t="n"/>
      <c r="H775" s="669" t="n"/>
      <c r="I775" s="669" t="n"/>
      <c r="J775" s="669" t="n"/>
      <c r="K775" s="669" t="n"/>
      <c r="L775" s="669" t="n"/>
      <c r="M775" s="669" t="n"/>
      <c r="N775" s="669" t="n"/>
      <c r="O775" s="669" t="n"/>
      <c r="P775" s="669" t="n"/>
      <c r="Q775" s="669" t="n"/>
      <c r="R775" s="669" t="n"/>
      <c r="S775" s="669" t="n"/>
      <c r="T775" s="669" t="n"/>
      <c r="U775" s="669" t="n"/>
    </row>
    <row r="776" ht="15.75" customHeight="1" s="1128">
      <c r="A776" s="669" t="n"/>
      <c r="B776" s="669" t="n"/>
      <c r="C776" s="669" t="n"/>
      <c r="D776" s="669" t="n"/>
      <c r="E776" s="669" t="n"/>
      <c r="F776" s="669" t="n"/>
      <c r="G776" s="669" t="n"/>
      <c r="H776" s="669" t="n"/>
      <c r="I776" s="669" t="n"/>
      <c r="J776" s="669" t="n"/>
      <c r="K776" s="669" t="n"/>
      <c r="L776" s="669" t="n"/>
      <c r="M776" s="669" t="n"/>
      <c r="N776" s="669" t="n"/>
      <c r="O776" s="669" t="n"/>
      <c r="P776" s="669" t="n"/>
      <c r="Q776" s="669" t="n"/>
      <c r="R776" s="669" t="n"/>
      <c r="S776" s="669" t="n"/>
      <c r="T776" s="669" t="n"/>
      <c r="U776" s="669" t="n"/>
    </row>
    <row r="777" ht="15.75" customHeight="1" s="1128">
      <c r="A777" s="669" t="n"/>
      <c r="B777" s="669" t="n"/>
      <c r="C777" s="669" t="n"/>
      <c r="D777" s="669" t="n"/>
      <c r="E777" s="669" t="n"/>
      <c r="F777" s="669" t="n"/>
      <c r="G777" s="669" t="n"/>
      <c r="H777" s="669" t="n"/>
      <c r="I777" s="669" t="n"/>
      <c r="J777" s="669" t="n"/>
      <c r="K777" s="669" t="n"/>
      <c r="L777" s="669" t="n"/>
      <c r="M777" s="669" t="n"/>
      <c r="N777" s="669" t="n"/>
      <c r="O777" s="669" t="n"/>
      <c r="P777" s="669" t="n"/>
      <c r="Q777" s="669" t="n"/>
      <c r="R777" s="669" t="n"/>
      <c r="S777" s="669" t="n"/>
      <c r="T777" s="669" t="n"/>
      <c r="U777" s="669" t="n"/>
    </row>
    <row r="778" ht="15.75" customHeight="1" s="1128">
      <c r="A778" s="669" t="n"/>
      <c r="B778" s="669" t="n"/>
      <c r="C778" s="669" t="n"/>
      <c r="D778" s="669" t="n"/>
      <c r="E778" s="669" t="n"/>
      <c r="F778" s="669" t="n"/>
      <c r="G778" s="669" t="n"/>
      <c r="H778" s="669" t="n"/>
      <c r="I778" s="669" t="n"/>
      <c r="J778" s="669" t="n"/>
      <c r="K778" s="669" t="n"/>
      <c r="L778" s="669" t="n"/>
      <c r="M778" s="669" t="n"/>
      <c r="N778" s="669" t="n"/>
      <c r="O778" s="669" t="n"/>
      <c r="P778" s="669" t="n"/>
      <c r="Q778" s="669" t="n"/>
      <c r="R778" s="669" t="n"/>
      <c r="S778" s="669" t="n"/>
      <c r="T778" s="669" t="n"/>
      <c r="U778" s="669" t="n"/>
    </row>
    <row r="779" ht="15.75" customHeight="1" s="1128">
      <c r="A779" s="669" t="n"/>
      <c r="B779" s="669" t="n"/>
      <c r="C779" s="669" t="n"/>
      <c r="D779" s="669" t="n"/>
      <c r="E779" s="669" t="n"/>
      <c r="F779" s="669" t="n"/>
      <c r="G779" s="669" t="n"/>
      <c r="H779" s="669" t="n"/>
      <c r="I779" s="669" t="n"/>
      <c r="J779" s="669" t="n"/>
      <c r="K779" s="669" t="n"/>
      <c r="L779" s="669" t="n"/>
      <c r="M779" s="669" t="n"/>
      <c r="N779" s="669" t="n"/>
      <c r="O779" s="669" t="n"/>
      <c r="P779" s="669" t="n"/>
      <c r="Q779" s="669" t="n"/>
      <c r="R779" s="669" t="n"/>
      <c r="S779" s="669" t="n"/>
      <c r="T779" s="669" t="n"/>
      <c r="U779" s="669" t="n"/>
    </row>
    <row r="780" ht="15.75" customHeight="1" s="1128">
      <c r="A780" s="669" t="n"/>
      <c r="B780" s="669" t="n"/>
      <c r="C780" s="669" t="n"/>
      <c r="D780" s="669" t="n"/>
      <c r="E780" s="669" t="n"/>
      <c r="F780" s="669" t="n"/>
      <c r="G780" s="669" t="n"/>
      <c r="H780" s="669" t="n"/>
      <c r="I780" s="669" t="n"/>
      <c r="J780" s="669" t="n"/>
      <c r="K780" s="669" t="n"/>
      <c r="L780" s="669" t="n"/>
      <c r="M780" s="669" t="n"/>
      <c r="N780" s="669" t="n"/>
      <c r="O780" s="669" t="n"/>
      <c r="P780" s="669" t="n"/>
      <c r="Q780" s="669" t="n"/>
      <c r="R780" s="669" t="n"/>
      <c r="S780" s="669" t="n"/>
      <c r="T780" s="669" t="n"/>
      <c r="U780" s="669" t="n"/>
    </row>
    <row r="781" ht="15.75" customHeight="1" s="1128">
      <c r="A781" s="669" t="n"/>
      <c r="B781" s="669" t="n"/>
      <c r="C781" s="669" t="n"/>
      <c r="D781" s="669" t="n"/>
      <c r="E781" s="669" t="n"/>
      <c r="F781" s="669" t="n"/>
      <c r="G781" s="669" t="n"/>
      <c r="H781" s="669" t="n"/>
      <c r="I781" s="669" t="n"/>
      <c r="J781" s="669" t="n"/>
      <c r="K781" s="669" t="n"/>
      <c r="L781" s="669" t="n"/>
      <c r="M781" s="669" t="n"/>
      <c r="N781" s="669" t="n"/>
      <c r="O781" s="669" t="n"/>
      <c r="P781" s="669" t="n"/>
      <c r="Q781" s="669" t="n"/>
      <c r="R781" s="669" t="n"/>
      <c r="S781" s="669" t="n"/>
      <c r="T781" s="669" t="n"/>
      <c r="U781" s="669" t="n"/>
    </row>
    <row r="782" ht="15.75" customHeight="1" s="1128">
      <c r="A782" s="669" t="n"/>
      <c r="B782" s="669" t="n"/>
      <c r="C782" s="669" t="n"/>
      <c r="D782" s="669" t="n"/>
      <c r="E782" s="669" t="n"/>
      <c r="F782" s="669" t="n"/>
      <c r="G782" s="669" t="n"/>
      <c r="H782" s="669" t="n"/>
      <c r="I782" s="669" t="n"/>
      <c r="J782" s="669" t="n"/>
      <c r="K782" s="669" t="n"/>
      <c r="L782" s="669" t="n"/>
      <c r="M782" s="669" t="n"/>
      <c r="N782" s="669" t="n"/>
      <c r="O782" s="669" t="n"/>
      <c r="P782" s="669" t="n"/>
      <c r="Q782" s="669" t="n"/>
      <c r="R782" s="669" t="n"/>
      <c r="S782" s="669" t="n"/>
      <c r="T782" s="669" t="n"/>
      <c r="U782" s="669" t="n"/>
    </row>
    <row r="783" ht="15.75" customHeight="1" s="1128">
      <c r="A783" s="669" t="n"/>
      <c r="B783" s="669" t="n"/>
      <c r="C783" s="669" t="n"/>
      <c r="D783" s="669" t="n"/>
      <c r="E783" s="669" t="n"/>
      <c r="F783" s="669" t="n"/>
      <c r="G783" s="669" t="n"/>
      <c r="H783" s="669" t="n"/>
      <c r="I783" s="669" t="n"/>
      <c r="J783" s="669" t="n"/>
      <c r="K783" s="669" t="n"/>
      <c r="L783" s="669" t="n"/>
      <c r="M783" s="669" t="n"/>
      <c r="N783" s="669" t="n"/>
      <c r="O783" s="669" t="n"/>
      <c r="P783" s="669" t="n"/>
      <c r="Q783" s="669" t="n"/>
      <c r="R783" s="669" t="n"/>
      <c r="S783" s="669" t="n"/>
      <c r="T783" s="669" t="n"/>
      <c r="U783" s="669" t="n"/>
    </row>
    <row r="784" ht="15.75" customHeight="1" s="1128">
      <c r="A784" s="669" t="n"/>
      <c r="B784" s="669" t="n"/>
      <c r="C784" s="669" t="n"/>
      <c r="D784" s="669" t="n"/>
      <c r="E784" s="669" t="n"/>
      <c r="F784" s="669" t="n"/>
      <c r="G784" s="669" t="n"/>
      <c r="H784" s="669" t="n"/>
      <c r="I784" s="669" t="n"/>
      <c r="J784" s="669" t="n"/>
      <c r="K784" s="669" t="n"/>
      <c r="L784" s="669" t="n"/>
      <c r="M784" s="669" t="n"/>
      <c r="N784" s="669" t="n"/>
      <c r="O784" s="669" t="n"/>
      <c r="P784" s="669" t="n"/>
      <c r="Q784" s="669" t="n"/>
      <c r="R784" s="669" t="n"/>
      <c r="S784" s="669" t="n"/>
      <c r="T784" s="669" t="n"/>
      <c r="U784" s="669" t="n"/>
    </row>
    <row r="785" ht="15.75" customHeight="1" s="1128">
      <c r="A785" s="669" t="n"/>
      <c r="B785" s="669" t="n"/>
      <c r="C785" s="669" t="n"/>
      <c r="D785" s="669" t="n"/>
      <c r="E785" s="669" t="n"/>
      <c r="F785" s="669" t="n"/>
      <c r="G785" s="669" t="n"/>
      <c r="H785" s="669" t="n"/>
      <c r="I785" s="669" t="n"/>
      <c r="J785" s="669" t="n"/>
      <c r="K785" s="669" t="n"/>
      <c r="L785" s="669" t="n"/>
      <c r="M785" s="669" t="n"/>
      <c r="N785" s="669" t="n"/>
      <c r="O785" s="669" t="n"/>
      <c r="P785" s="669" t="n"/>
      <c r="Q785" s="669" t="n"/>
      <c r="R785" s="669" t="n"/>
      <c r="S785" s="669" t="n"/>
      <c r="T785" s="669" t="n"/>
      <c r="U785" s="669" t="n"/>
    </row>
    <row r="786" ht="15.75" customHeight="1" s="1128">
      <c r="A786" s="669" t="n"/>
      <c r="B786" s="669" t="n"/>
      <c r="C786" s="669" t="n"/>
      <c r="D786" s="669" t="n"/>
      <c r="E786" s="669" t="n"/>
      <c r="F786" s="669" t="n"/>
      <c r="G786" s="669" t="n"/>
      <c r="H786" s="669" t="n"/>
      <c r="I786" s="669" t="n"/>
      <c r="J786" s="669" t="n"/>
      <c r="K786" s="669" t="n"/>
      <c r="L786" s="669" t="n"/>
      <c r="M786" s="669" t="n"/>
      <c r="N786" s="669" t="n"/>
      <c r="O786" s="669" t="n"/>
      <c r="P786" s="669" t="n"/>
      <c r="Q786" s="669" t="n"/>
      <c r="R786" s="669" t="n"/>
      <c r="S786" s="669" t="n"/>
      <c r="T786" s="669" t="n"/>
      <c r="U786" s="669" t="n"/>
    </row>
    <row r="787" ht="15.75" customHeight="1" s="1128">
      <c r="A787" s="669" t="n"/>
      <c r="B787" s="669" t="n"/>
      <c r="C787" s="669" t="n"/>
      <c r="D787" s="669" t="n"/>
      <c r="E787" s="669" t="n"/>
      <c r="F787" s="669" t="n"/>
      <c r="G787" s="669" t="n"/>
      <c r="H787" s="669" t="n"/>
      <c r="I787" s="669" t="n"/>
      <c r="J787" s="669" t="n"/>
      <c r="K787" s="669" t="n"/>
      <c r="L787" s="669" t="n"/>
      <c r="M787" s="669" t="n"/>
      <c r="N787" s="669" t="n"/>
      <c r="O787" s="669" t="n"/>
      <c r="P787" s="669" t="n"/>
      <c r="Q787" s="669" t="n"/>
      <c r="R787" s="669" t="n"/>
      <c r="S787" s="669" t="n"/>
      <c r="T787" s="669" t="n"/>
      <c r="U787" s="669" t="n"/>
    </row>
    <row r="788" ht="15.75" customHeight="1" s="1128">
      <c r="A788" s="669" t="n"/>
      <c r="B788" s="669" t="n"/>
      <c r="C788" s="669" t="n"/>
      <c r="D788" s="669" t="n"/>
      <c r="E788" s="669" t="n"/>
      <c r="F788" s="669" t="n"/>
      <c r="G788" s="669" t="n"/>
      <c r="H788" s="669" t="n"/>
      <c r="I788" s="669" t="n"/>
      <c r="J788" s="669" t="n"/>
      <c r="K788" s="669" t="n"/>
      <c r="L788" s="669" t="n"/>
      <c r="M788" s="669" t="n"/>
      <c r="N788" s="669" t="n"/>
      <c r="O788" s="669" t="n"/>
      <c r="P788" s="669" t="n"/>
      <c r="Q788" s="669" t="n"/>
      <c r="R788" s="669" t="n"/>
      <c r="S788" s="669" t="n"/>
      <c r="T788" s="669" t="n"/>
      <c r="U788" s="669" t="n"/>
    </row>
    <row r="789" ht="15.75" customHeight="1" s="1128">
      <c r="A789" s="669" t="n"/>
      <c r="B789" s="669" t="n"/>
      <c r="C789" s="669" t="n"/>
      <c r="D789" s="669" t="n"/>
      <c r="E789" s="669" t="n"/>
      <c r="F789" s="669" t="n"/>
      <c r="G789" s="669" t="n"/>
      <c r="H789" s="669" t="n"/>
      <c r="I789" s="669" t="n"/>
      <c r="J789" s="669" t="n"/>
      <c r="K789" s="669" t="n"/>
      <c r="L789" s="669" t="n"/>
      <c r="M789" s="669" t="n"/>
      <c r="N789" s="669" t="n"/>
      <c r="O789" s="669" t="n"/>
      <c r="P789" s="669" t="n"/>
      <c r="Q789" s="669" t="n"/>
      <c r="R789" s="669" t="n"/>
      <c r="S789" s="669" t="n"/>
      <c r="T789" s="669" t="n"/>
      <c r="U789" s="669" t="n"/>
    </row>
    <row r="790" ht="15.75" customHeight="1" s="1128">
      <c r="A790" s="669" t="n"/>
      <c r="B790" s="669" t="n"/>
      <c r="C790" s="669" t="n"/>
      <c r="D790" s="669" t="n"/>
      <c r="E790" s="669" t="n"/>
      <c r="F790" s="669" t="n"/>
      <c r="G790" s="669" t="n"/>
      <c r="H790" s="669" t="n"/>
      <c r="I790" s="669" t="n"/>
      <c r="J790" s="669" t="n"/>
      <c r="K790" s="669" t="n"/>
      <c r="L790" s="669" t="n"/>
      <c r="M790" s="669" t="n"/>
      <c r="N790" s="669" t="n"/>
      <c r="O790" s="669" t="n"/>
      <c r="P790" s="669" t="n"/>
      <c r="Q790" s="669" t="n"/>
      <c r="R790" s="669" t="n"/>
      <c r="S790" s="669" t="n"/>
      <c r="T790" s="669" t="n"/>
      <c r="U790" s="669" t="n"/>
    </row>
    <row r="791" ht="15.75" customHeight="1" s="1128">
      <c r="A791" s="669" t="n"/>
      <c r="B791" s="669" t="n"/>
      <c r="C791" s="669" t="n"/>
      <c r="D791" s="669" t="n"/>
      <c r="E791" s="669" t="n"/>
      <c r="F791" s="669" t="n"/>
      <c r="G791" s="669" t="n"/>
      <c r="H791" s="669" t="n"/>
      <c r="I791" s="669" t="n"/>
      <c r="J791" s="669" t="n"/>
      <c r="K791" s="669" t="n"/>
      <c r="L791" s="669" t="n"/>
      <c r="M791" s="669" t="n"/>
      <c r="N791" s="669" t="n"/>
      <c r="O791" s="669" t="n"/>
      <c r="P791" s="669" t="n"/>
      <c r="Q791" s="669" t="n"/>
      <c r="R791" s="669" t="n"/>
      <c r="S791" s="669" t="n"/>
      <c r="T791" s="669" t="n"/>
      <c r="U791" s="669" t="n"/>
    </row>
    <row r="792" ht="15.75" customHeight="1" s="1128">
      <c r="A792" s="669" t="n"/>
      <c r="B792" s="669" t="n"/>
      <c r="C792" s="669" t="n"/>
      <c r="D792" s="669" t="n"/>
      <c r="E792" s="669" t="n"/>
      <c r="F792" s="669" t="n"/>
      <c r="G792" s="669" t="n"/>
      <c r="H792" s="669" t="n"/>
      <c r="I792" s="669" t="n"/>
      <c r="J792" s="669" t="n"/>
      <c r="K792" s="669" t="n"/>
      <c r="L792" s="669" t="n"/>
      <c r="M792" s="669" t="n"/>
      <c r="N792" s="669" t="n"/>
      <c r="O792" s="669" t="n"/>
      <c r="P792" s="669" t="n"/>
      <c r="Q792" s="669" t="n"/>
      <c r="R792" s="669" t="n"/>
      <c r="S792" s="669" t="n"/>
      <c r="T792" s="669" t="n"/>
      <c r="U792" s="669" t="n"/>
    </row>
    <row r="793" ht="15.75" customHeight="1" s="1128">
      <c r="A793" s="669" t="n"/>
      <c r="B793" s="669" t="n"/>
      <c r="C793" s="669" t="n"/>
      <c r="D793" s="669" t="n"/>
      <c r="E793" s="669" t="n"/>
      <c r="F793" s="669" t="n"/>
      <c r="G793" s="669" t="n"/>
      <c r="H793" s="669" t="n"/>
      <c r="I793" s="669" t="n"/>
      <c r="J793" s="669" t="n"/>
      <c r="K793" s="669" t="n"/>
      <c r="L793" s="669" t="n"/>
      <c r="M793" s="669" t="n"/>
      <c r="N793" s="669" t="n"/>
      <c r="O793" s="669" t="n"/>
      <c r="P793" s="669" t="n"/>
      <c r="Q793" s="669" t="n"/>
      <c r="R793" s="669" t="n"/>
      <c r="S793" s="669" t="n"/>
      <c r="T793" s="669" t="n"/>
      <c r="U793" s="669" t="n"/>
    </row>
    <row r="794" ht="15.75" customHeight="1" s="1128">
      <c r="A794" s="669" t="n"/>
      <c r="B794" s="669" t="n"/>
      <c r="C794" s="669" t="n"/>
      <c r="D794" s="669" t="n"/>
      <c r="E794" s="669" t="n"/>
      <c r="F794" s="669" t="n"/>
      <c r="G794" s="669" t="n"/>
      <c r="H794" s="669" t="n"/>
      <c r="I794" s="669" t="n"/>
      <c r="J794" s="669" t="n"/>
      <c r="K794" s="669" t="n"/>
      <c r="L794" s="669" t="n"/>
      <c r="M794" s="669" t="n"/>
      <c r="N794" s="669" t="n"/>
      <c r="O794" s="669" t="n"/>
      <c r="P794" s="669" t="n"/>
      <c r="Q794" s="669" t="n"/>
      <c r="R794" s="669" t="n"/>
      <c r="S794" s="669" t="n"/>
      <c r="T794" s="669" t="n"/>
      <c r="U794" s="669" t="n"/>
    </row>
    <row r="795" ht="15.75" customHeight="1" s="1128">
      <c r="A795" s="669" t="n"/>
      <c r="B795" s="669" t="n"/>
      <c r="C795" s="669" t="n"/>
      <c r="D795" s="669" t="n"/>
      <c r="E795" s="669" t="n"/>
      <c r="F795" s="669" t="n"/>
      <c r="G795" s="669" t="n"/>
      <c r="H795" s="669" t="n"/>
      <c r="I795" s="669" t="n"/>
      <c r="J795" s="669" t="n"/>
      <c r="K795" s="669" t="n"/>
      <c r="L795" s="669" t="n"/>
      <c r="M795" s="669" t="n"/>
      <c r="N795" s="669" t="n"/>
      <c r="O795" s="669" t="n"/>
      <c r="P795" s="669" t="n"/>
      <c r="Q795" s="669" t="n"/>
      <c r="R795" s="669" t="n"/>
      <c r="S795" s="669" t="n"/>
      <c r="T795" s="669" t="n"/>
      <c r="U795" s="669" t="n"/>
    </row>
    <row r="796" ht="15.75" customHeight="1" s="1128">
      <c r="A796" s="669" t="n"/>
      <c r="B796" s="669" t="n"/>
      <c r="C796" s="669" t="n"/>
      <c r="D796" s="669" t="n"/>
      <c r="E796" s="669" t="n"/>
      <c r="F796" s="669" t="n"/>
      <c r="G796" s="669" t="n"/>
      <c r="H796" s="669" t="n"/>
      <c r="I796" s="669" t="n"/>
      <c r="J796" s="669" t="n"/>
      <c r="K796" s="669" t="n"/>
      <c r="L796" s="669" t="n"/>
      <c r="M796" s="669" t="n"/>
      <c r="N796" s="669" t="n"/>
      <c r="O796" s="669" t="n"/>
      <c r="P796" s="669" t="n"/>
      <c r="Q796" s="669" t="n"/>
      <c r="R796" s="669" t="n"/>
      <c r="S796" s="669" t="n"/>
      <c r="T796" s="669" t="n"/>
      <c r="U796" s="669" t="n"/>
    </row>
    <row r="797" ht="15.75" customHeight="1" s="1128">
      <c r="A797" s="669" t="n"/>
      <c r="B797" s="669" t="n"/>
      <c r="C797" s="669" t="n"/>
      <c r="D797" s="669" t="n"/>
      <c r="E797" s="669" t="n"/>
      <c r="F797" s="669" t="n"/>
      <c r="G797" s="669" t="n"/>
      <c r="H797" s="669" t="n"/>
      <c r="I797" s="669" t="n"/>
      <c r="J797" s="669" t="n"/>
      <c r="K797" s="669" t="n"/>
      <c r="L797" s="669" t="n"/>
      <c r="M797" s="669" t="n"/>
      <c r="N797" s="669" t="n"/>
      <c r="O797" s="669" t="n"/>
      <c r="P797" s="669" t="n"/>
      <c r="Q797" s="669" t="n"/>
      <c r="R797" s="669" t="n"/>
      <c r="S797" s="669" t="n"/>
      <c r="T797" s="669" t="n"/>
      <c r="U797" s="669" t="n"/>
    </row>
    <row r="798" ht="15.75" customHeight="1" s="1128">
      <c r="A798" s="669" t="n"/>
      <c r="B798" s="669" t="n"/>
      <c r="C798" s="669" t="n"/>
      <c r="D798" s="669" t="n"/>
      <c r="E798" s="669" t="n"/>
      <c r="F798" s="669" t="n"/>
      <c r="G798" s="669" t="n"/>
      <c r="H798" s="669" t="n"/>
      <c r="I798" s="669" t="n"/>
      <c r="J798" s="669" t="n"/>
      <c r="K798" s="669" t="n"/>
      <c r="L798" s="669" t="n"/>
      <c r="M798" s="669" t="n"/>
      <c r="N798" s="669" t="n"/>
      <c r="O798" s="669" t="n"/>
      <c r="P798" s="669" t="n"/>
      <c r="Q798" s="669" t="n"/>
      <c r="R798" s="669" t="n"/>
      <c r="S798" s="669" t="n"/>
      <c r="T798" s="669" t="n"/>
      <c r="U798" s="669" t="n"/>
    </row>
    <row r="799" ht="15.75" customHeight="1" s="1128">
      <c r="A799" s="669" t="n"/>
      <c r="B799" s="669" t="n"/>
      <c r="C799" s="669" t="n"/>
      <c r="D799" s="669" t="n"/>
      <c r="E799" s="669" t="n"/>
      <c r="F799" s="669" t="n"/>
      <c r="G799" s="669" t="n"/>
      <c r="H799" s="669" t="n"/>
      <c r="I799" s="669" t="n"/>
      <c r="J799" s="669" t="n"/>
      <c r="K799" s="669" t="n"/>
      <c r="L799" s="669" t="n"/>
      <c r="M799" s="669" t="n"/>
      <c r="N799" s="669" t="n"/>
      <c r="O799" s="669" t="n"/>
      <c r="P799" s="669" t="n"/>
      <c r="Q799" s="669" t="n"/>
      <c r="R799" s="669" t="n"/>
      <c r="S799" s="669" t="n"/>
      <c r="T799" s="669" t="n"/>
      <c r="U799" s="669" t="n"/>
    </row>
    <row r="800" ht="15.75" customHeight="1" s="1128">
      <c r="A800" s="669" t="n"/>
      <c r="B800" s="669" t="n"/>
      <c r="C800" s="669" t="n"/>
      <c r="D800" s="669" t="n"/>
      <c r="E800" s="669" t="n"/>
      <c r="F800" s="669" t="n"/>
      <c r="G800" s="669" t="n"/>
      <c r="H800" s="669" t="n"/>
      <c r="I800" s="669" t="n"/>
      <c r="J800" s="669" t="n"/>
      <c r="K800" s="669" t="n"/>
      <c r="L800" s="669" t="n"/>
      <c r="M800" s="669" t="n"/>
      <c r="N800" s="669" t="n"/>
      <c r="O800" s="669" t="n"/>
      <c r="P800" s="669" t="n"/>
      <c r="Q800" s="669" t="n"/>
      <c r="R800" s="669" t="n"/>
      <c r="S800" s="669" t="n"/>
      <c r="T800" s="669" t="n"/>
      <c r="U800" s="669" t="n"/>
    </row>
    <row r="801" ht="15.75" customHeight="1" s="1128">
      <c r="A801" s="669" t="n"/>
      <c r="B801" s="669" t="n"/>
      <c r="C801" s="669" t="n"/>
      <c r="D801" s="669" t="n"/>
      <c r="E801" s="669" t="n"/>
      <c r="F801" s="669" t="n"/>
      <c r="G801" s="669" t="n"/>
      <c r="H801" s="669" t="n"/>
      <c r="I801" s="669" t="n"/>
      <c r="J801" s="669" t="n"/>
      <c r="K801" s="669" t="n"/>
      <c r="L801" s="669" t="n"/>
      <c r="M801" s="669" t="n"/>
      <c r="N801" s="669" t="n"/>
      <c r="O801" s="669" t="n"/>
      <c r="P801" s="669" t="n"/>
      <c r="Q801" s="669" t="n"/>
      <c r="R801" s="669" t="n"/>
      <c r="S801" s="669" t="n"/>
      <c r="T801" s="669" t="n"/>
      <c r="U801" s="669" t="n"/>
    </row>
    <row r="802" ht="15.75" customHeight="1" s="1128">
      <c r="A802" s="669" t="n"/>
      <c r="B802" s="669" t="n"/>
      <c r="C802" s="669" t="n"/>
      <c r="D802" s="669" t="n"/>
      <c r="E802" s="669" t="n"/>
      <c r="F802" s="669" t="n"/>
      <c r="G802" s="669" t="n"/>
      <c r="H802" s="669" t="n"/>
      <c r="I802" s="669" t="n"/>
      <c r="J802" s="669" t="n"/>
      <c r="K802" s="669" t="n"/>
      <c r="L802" s="669" t="n"/>
      <c r="M802" s="669" t="n"/>
      <c r="N802" s="669" t="n"/>
      <c r="O802" s="669" t="n"/>
      <c r="P802" s="669" t="n"/>
      <c r="Q802" s="669" t="n"/>
      <c r="R802" s="669" t="n"/>
      <c r="S802" s="669" t="n"/>
      <c r="T802" s="669" t="n"/>
      <c r="U802" s="669" t="n"/>
    </row>
    <row r="803" ht="15.75" customHeight="1" s="1128">
      <c r="A803" s="669" t="n"/>
      <c r="B803" s="669" t="n"/>
      <c r="C803" s="669" t="n"/>
      <c r="D803" s="669" t="n"/>
      <c r="E803" s="669" t="n"/>
      <c r="F803" s="669" t="n"/>
      <c r="G803" s="669" t="n"/>
      <c r="H803" s="669" t="n"/>
      <c r="I803" s="669" t="n"/>
      <c r="J803" s="669" t="n"/>
      <c r="K803" s="669" t="n"/>
      <c r="L803" s="669" t="n"/>
      <c r="M803" s="669" t="n"/>
      <c r="N803" s="669" t="n"/>
      <c r="O803" s="669" t="n"/>
      <c r="P803" s="669" t="n"/>
      <c r="Q803" s="669" t="n"/>
      <c r="R803" s="669" t="n"/>
      <c r="S803" s="669" t="n"/>
      <c r="T803" s="669" t="n"/>
      <c r="U803" s="669" t="n"/>
    </row>
    <row r="804" ht="15.75" customHeight="1" s="1128">
      <c r="A804" s="669" t="n"/>
      <c r="B804" s="669" t="n"/>
      <c r="C804" s="669" t="n"/>
      <c r="D804" s="669" t="n"/>
      <c r="E804" s="669" t="n"/>
      <c r="F804" s="669" t="n"/>
      <c r="G804" s="669" t="n"/>
      <c r="H804" s="669" t="n"/>
      <c r="I804" s="669" t="n"/>
      <c r="J804" s="669" t="n"/>
      <c r="K804" s="669" t="n"/>
      <c r="L804" s="669" t="n"/>
      <c r="M804" s="669" t="n"/>
      <c r="N804" s="669" t="n"/>
      <c r="O804" s="669" t="n"/>
      <c r="P804" s="669" t="n"/>
      <c r="Q804" s="669" t="n"/>
      <c r="R804" s="669" t="n"/>
      <c r="S804" s="669" t="n"/>
      <c r="T804" s="669" t="n"/>
      <c r="U804" s="669" t="n"/>
    </row>
    <row r="805" ht="15.75" customHeight="1" s="1128">
      <c r="A805" s="669" t="n"/>
      <c r="B805" s="669" t="n"/>
      <c r="C805" s="669" t="n"/>
      <c r="D805" s="669" t="n"/>
      <c r="E805" s="669" t="n"/>
      <c r="F805" s="669" t="n"/>
      <c r="G805" s="669" t="n"/>
      <c r="H805" s="669" t="n"/>
      <c r="I805" s="669" t="n"/>
      <c r="J805" s="669" t="n"/>
      <c r="K805" s="669" t="n"/>
      <c r="L805" s="669" t="n"/>
      <c r="M805" s="669" t="n"/>
      <c r="N805" s="669" t="n"/>
      <c r="O805" s="669" t="n"/>
      <c r="P805" s="669" t="n"/>
      <c r="Q805" s="669" t="n"/>
      <c r="R805" s="669" t="n"/>
      <c r="S805" s="669" t="n"/>
      <c r="T805" s="669" t="n"/>
      <c r="U805" s="669" t="n"/>
    </row>
    <row r="806" ht="15.75" customHeight="1" s="1128">
      <c r="A806" s="669" t="n"/>
      <c r="B806" s="669" t="n"/>
      <c r="C806" s="669" t="n"/>
      <c r="D806" s="669" t="n"/>
      <c r="E806" s="669" t="n"/>
      <c r="F806" s="669" t="n"/>
      <c r="G806" s="669" t="n"/>
      <c r="H806" s="669" t="n"/>
      <c r="I806" s="669" t="n"/>
      <c r="J806" s="669" t="n"/>
      <c r="K806" s="669" t="n"/>
      <c r="L806" s="669" t="n"/>
      <c r="M806" s="669" t="n"/>
      <c r="N806" s="669" t="n"/>
      <c r="O806" s="669" t="n"/>
      <c r="P806" s="669" t="n"/>
      <c r="Q806" s="669" t="n"/>
      <c r="R806" s="669" t="n"/>
      <c r="S806" s="669" t="n"/>
      <c r="T806" s="669" t="n"/>
      <c r="U806" s="669" t="n"/>
    </row>
    <row r="807" ht="15.75" customHeight="1" s="1128">
      <c r="A807" s="669" t="n"/>
      <c r="B807" s="669" t="n"/>
      <c r="C807" s="669" t="n"/>
      <c r="D807" s="669" t="n"/>
      <c r="E807" s="669" t="n"/>
      <c r="F807" s="669" t="n"/>
      <c r="G807" s="669" t="n"/>
      <c r="H807" s="669" t="n"/>
      <c r="I807" s="669" t="n"/>
      <c r="J807" s="669" t="n"/>
      <c r="K807" s="669" t="n"/>
      <c r="L807" s="669" t="n"/>
      <c r="M807" s="669" t="n"/>
      <c r="N807" s="669" t="n"/>
      <c r="O807" s="669" t="n"/>
      <c r="P807" s="669" t="n"/>
      <c r="Q807" s="669" t="n"/>
      <c r="R807" s="669" t="n"/>
      <c r="S807" s="669" t="n"/>
      <c r="T807" s="669" t="n"/>
      <c r="U807" s="669" t="n"/>
    </row>
    <row r="808" ht="15.75" customHeight="1" s="1128">
      <c r="A808" s="669" t="n"/>
      <c r="B808" s="669" t="n"/>
      <c r="C808" s="669" t="n"/>
      <c r="D808" s="669" t="n"/>
      <c r="E808" s="669" t="n"/>
      <c r="F808" s="669" t="n"/>
      <c r="G808" s="669" t="n"/>
      <c r="H808" s="669" t="n"/>
      <c r="I808" s="669" t="n"/>
      <c r="J808" s="669" t="n"/>
      <c r="K808" s="669" t="n"/>
      <c r="L808" s="669" t="n"/>
      <c r="M808" s="669" t="n"/>
      <c r="N808" s="669" t="n"/>
      <c r="O808" s="669" t="n"/>
      <c r="P808" s="669" t="n"/>
      <c r="Q808" s="669" t="n"/>
      <c r="R808" s="669" t="n"/>
      <c r="S808" s="669" t="n"/>
      <c r="T808" s="669" t="n"/>
      <c r="U808" s="669" t="n"/>
    </row>
    <row r="809" ht="15.75" customHeight="1" s="1128">
      <c r="A809" s="669" t="n"/>
      <c r="B809" s="669" t="n"/>
      <c r="C809" s="669" t="n"/>
      <c r="D809" s="669" t="n"/>
      <c r="E809" s="669" t="n"/>
      <c r="F809" s="669" t="n"/>
      <c r="G809" s="669" t="n"/>
      <c r="H809" s="669" t="n"/>
      <c r="I809" s="669" t="n"/>
      <c r="J809" s="669" t="n"/>
      <c r="K809" s="669" t="n"/>
      <c r="L809" s="669" t="n"/>
      <c r="M809" s="669" t="n"/>
      <c r="N809" s="669" t="n"/>
      <c r="O809" s="669" t="n"/>
      <c r="P809" s="669" t="n"/>
      <c r="Q809" s="669" t="n"/>
      <c r="R809" s="669" t="n"/>
      <c r="S809" s="669" t="n"/>
      <c r="T809" s="669" t="n"/>
      <c r="U809" s="669" t="n"/>
    </row>
    <row r="810" ht="15.75" customHeight="1" s="1128">
      <c r="A810" s="669" t="n"/>
      <c r="B810" s="669" t="n"/>
      <c r="C810" s="669" t="n"/>
      <c r="D810" s="669" t="n"/>
      <c r="E810" s="669" t="n"/>
      <c r="F810" s="669" t="n"/>
      <c r="G810" s="669" t="n"/>
      <c r="H810" s="669" t="n"/>
      <c r="I810" s="669" t="n"/>
      <c r="J810" s="669" t="n"/>
      <c r="K810" s="669" t="n"/>
      <c r="L810" s="669" t="n"/>
      <c r="M810" s="669" t="n"/>
      <c r="N810" s="669" t="n"/>
      <c r="O810" s="669" t="n"/>
      <c r="P810" s="669" t="n"/>
      <c r="Q810" s="669" t="n"/>
      <c r="R810" s="669" t="n"/>
      <c r="S810" s="669" t="n"/>
      <c r="T810" s="669" t="n"/>
      <c r="U810" s="669" t="n"/>
    </row>
    <row r="811" ht="15.75" customHeight="1" s="1128">
      <c r="A811" s="669" t="n"/>
      <c r="B811" s="669" t="n"/>
      <c r="C811" s="669" t="n"/>
      <c r="D811" s="669" t="n"/>
      <c r="E811" s="669" t="n"/>
      <c r="F811" s="669" t="n"/>
      <c r="G811" s="669" t="n"/>
      <c r="H811" s="669" t="n"/>
      <c r="I811" s="669" t="n"/>
      <c r="J811" s="669" t="n"/>
      <c r="K811" s="669" t="n"/>
      <c r="L811" s="669" t="n"/>
      <c r="M811" s="669" t="n"/>
      <c r="N811" s="669" t="n"/>
      <c r="O811" s="669" t="n"/>
      <c r="P811" s="669" t="n"/>
      <c r="Q811" s="669" t="n"/>
      <c r="R811" s="669" t="n"/>
      <c r="S811" s="669" t="n"/>
      <c r="T811" s="669" t="n"/>
      <c r="U811" s="669" t="n"/>
    </row>
    <row r="812" ht="15.75" customHeight="1" s="1128">
      <c r="A812" s="669" t="n"/>
      <c r="B812" s="669" t="n"/>
      <c r="C812" s="669" t="n"/>
      <c r="D812" s="669" t="n"/>
      <c r="E812" s="669" t="n"/>
      <c r="F812" s="669" t="n"/>
      <c r="G812" s="669" t="n"/>
      <c r="H812" s="669" t="n"/>
      <c r="I812" s="669" t="n"/>
      <c r="J812" s="669" t="n"/>
      <c r="K812" s="669" t="n"/>
      <c r="L812" s="669" t="n"/>
      <c r="M812" s="669" t="n"/>
      <c r="N812" s="669" t="n"/>
      <c r="O812" s="669" t="n"/>
      <c r="P812" s="669" t="n"/>
      <c r="Q812" s="669" t="n"/>
      <c r="R812" s="669" t="n"/>
      <c r="S812" s="669" t="n"/>
      <c r="T812" s="669" t="n"/>
      <c r="U812" s="669" t="n"/>
    </row>
    <row r="813" ht="15.75" customHeight="1" s="1128">
      <c r="A813" s="669" t="n"/>
      <c r="B813" s="669" t="n"/>
      <c r="C813" s="669" t="n"/>
      <c r="D813" s="669" t="n"/>
      <c r="E813" s="669" t="n"/>
      <c r="F813" s="669" t="n"/>
      <c r="G813" s="669" t="n"/>
      <c r="H813" s="669" t="n"/>
      <c r="I813" s="669" t="n"/>
      <c r="J813" s="669" t="n"/>
      <c r="K813" s="669" t="n"/>
      <c r="L813" s="669" t="n"/>
      <c r="M813" s="669" t="n"/>
      <c r="N813" s="669" t="n"/>
      <c r="O813" s="669" t="n"/>
      <c r="P813" s="669" t="n"/>
      <c r="Q813" s="669" t="n"/>
      <c r="R813" s="669" t="n"/>
      <c r="S813" s="669" t="n"/>
      <c r="T813" s="669" t="n"/>
      <c r="U813" s="669" t="n"/>
    </row>
    <row r="814" ht="15.75" customHeight="1" s="1128">
      <c r="A814" s="669" t="n"/>
      <c r="B814" s="669" t="n"/>
      <c r="C814" s="669" t="n"/>
      <c r="D814" s="669" t="n"/>
      <c r="E814" s="669" t="n"/>
      <c r="F814" s="669" t="n"/>
      <c r="G814" s="669" t="n"/>
      <c r="H814" s="669" t="n"/>
      <c r="I814" s="669" t="n"/>
      <c r="J814" s="669" t="n"/>
      <c r="K814" s="669" t="n"/>
      <c r="L814" s="669" t="n"/>
      <c r="M814" s="669" t="n"/>
      <c r="N814" s="669" t="n"/>
      <c r="O814" s="669" t="n"/>
      <c r="P814" s="669" t="n"/>
      <c r="Q814" s="669" t="n"/>
      <c r="R814" s="669" t="n"/>
      <c r="S814" s="669" t="n"/>
      <c r="T814" s="669" t="n"/>
      <c r="U814" s="669" t="n"/>
    </row>
    <row r="815" ht="15.75" customHeight="1" s="1128">
      <c r="A815" s="669" t="n"/>
      <c r="B815" s="669" t="n"/>
      <c r="C815" s="669" t="n"/>
      <c r="D815" s="669" t="n"/>
      <c r="E815" s="669" t="n"/>
      <c r="F815" s="669" t="n"/>
      <c r="G815" s="669" t="n"/>
      <c r="H815" s="669" t="n"/>
      <c r="I815" s="669" t="n"/>
      <c r="J815" s="669" t="n"/>
      <c r="K815" s="669" t="n"/>
      <c r="L815" s="669" t="n"/>
      <c r="M815" s="669" t="n"/>
      <c r="N815" s="669" t="n"/>
      <c r="O815" s="669" t="n"/>
      <c r="P815" s="669" t="n"/>
      <c r="Q815" s="669" t="n"/>
      <c r="R815" s="669" t="n"/>
      <c r="S815" s="669" t="n"/>
      <c r="T815" s="669" t="n"/>
      <c r="U815" s="669" t="n"/>
    </row>
    <row r="816" ht="15.75" customHeight="1" s="1128">
      <c r="A816" s="669" t="n"/>
      <c r="B816" s="669" t="n"/>
      <c r="C816" s="669" t="n"/>
      <c r="D816" s="669" t="n"/>
      <c r="E816" s="669" t="n"/>
      <c r="F816" s="669" t="n"/>
      <c r="G816" s="669" t="n"/>
      <c r="H816" s="669" t="n"/>
      <c r="I816" s="669" t="n"/>
      <c r="J816" s="669" t="n"/>
      <c r="K816" s="669" t="n"/>
      <c r="L816" s="669" t="n"/>
      <c r="M816" s="669" t="n"/>
      <c r="N816" s="669" t="n"/>
      <c r="O816" s="669" t="n"/>
      <c r="P816" s="669" t="n"/>
      <c r="Q816" s="669" t="n"/>
      <c r="R816" s="669" t="n"/>
      <c r="S816" s="669" t="n"/>
      <c r="T816" s="669" t="n"/>
      <c r="U816" s="669" t="n"/>
    </row>
    <row r="817" ht="15.75" customHeight="1" s="1128">
      <c r="A817" s="669" t="n"/>
      <c r="B817" s="669" t="n"/>
      <c r="C817" s="669" t="n"/>
      <c r="D817" s="669" t="n"/>
      <c r="E817" s="669" t="n"/>
      <c r="F817" s="669" t="n"/>
      <c r="G817" s="669" t="n"/>
      <c r="H817" s="669" t="n"/>
      <c r="I817" s="669" t="n"/>
      <c r="J817" s="669" t="n"/>
      <c r="K817" s="669" t="n"/>
      <c r="L817" s="669" t="n"/>
      <c r="M817" s="669" t="n"/>
      <c r="N817" s="669" t="n"/>
      <c r="O817" s="669" t="n"/>
      <c r="P817" s="669" t="n"/>
      <c r="Q817" s="669" t="n"/>
      <c r="R817" s="669" t="n"/>
      <c r="S817" s="669" t="n"/>
      <c r="T817" s="669" t="n"/>
      <c r="U817" s="669" t="n"/>
    </row>
    <row r="818" ht="15.75" customHeight="1" s="1128">
      <c r="A818" s="669" t="n"/>
      <c r="B818" s="669" t="n"/>
      <c r="C818" s="669" t="n"/>
      <c r="D818" s="669" t="n"/>
      <c r="E818" s="669" t="n"/>
      <c r="F818" s="669" t="n"/>
      <c r="G818" s="669" t="n"/>
      <c r="H818" s="669" t="n"/>
      <c r="I818" s="669" t="n"/>
      <c r="J818" s="669" t="n"/>
      <c r="K818" s="669" t="n"/>
      <c r="L818" s="669" t="n"/>
      <c r="M818" s="669" t="n"/>
      <c r="N818" s="669" t="n"/>
      <c r="O818" s="669" t="n"/>
      <c r="P818" s="669" t="n"/>
      <c r="Q818" s="669" t="n"/>
      <c r="R818" s="669" t="n"/>
      <c r="S818" s="669" t="n"/>
      <c r="T818" s="669" t="n"/>
      <c r="U818" s="669" t="n"/>
    </row>
    <row r="819" ht="15.75" customHeight="1" s="1128">
      <c r="A819" s="669" t="n"/>
      <c r="B819" s="669" t="n"/>
      <c r="C819" s="669" t="n"/>
      <c r="D819" s="669" t="n"/>
      <c r="E819" s="669" t="n"/>
      <c r="F819" s="669" t="n"/>
      <c r="G819" s="669" t="n"/>
      <c r="H819" s="669" t="n"/>
      <c r="I819" s="669" t="n"/>
      <c r="J819" s="669" t="n"/>
      <c r="K819" s="669" t="n"/>
      <c r="L819" s="669" t="n"/>
      <c r="M819" s="669" t="n"/>
      <c r="N819" s="669" t="n"/>
      <c r="O819" s="669" t="n"/>
      <c r="P819" s="669" t="n"/>
      <c r="Q819" s="669" t="n"/>
      <c r="R819" s="669" t="n"/>
      <c r="S819" s="669" t="n"/>
      <c r="T819" s="669" t="n"/>
      <c r="U819" s="669" t="n"/>
    </row>
    <row r="820" ht="15.75" customHeight="1" s="1128">
      <c r="A820" s="669" t="n"/>
      <c r="B820" s="669" t="n"/>
      <c r="C820" s="669" t="n"/>
      <c r="D820" s="669" t="n"/>
      <c r="E820" s="669" t="n"/>
      <c r="F820" s="669" t="n"/>
      <c r="G820" s="669" t="n"/>
      <c r="H820" s="669" t="n"/>
      <c r="I820" s="669" t="n"/>
      <c r="J820" s="669" t="n"/>
      <c r="K820" s="669" t="n"/>
      <c r="L820" s="669" t="n"/>
      <c r="M820" s="669" t="n"/>
      <c r="N820" s="669" t="n"/>
      <c r="O820" s="669" t="n"/>
      <c r="P820" s="669" t="n"/>
      <c r="Q820" s="669" t="n"/>
      <c r="R820" s="669" t="n"/>
      <c r="S820" s="669" t="n"/>
      <c r="T820" s="669" t="n"/>
      <c r="U820" s="669" t="n"/>
    </row>
    <row r="821" ht="15.75" customHeight="1" s="1128">
      <c r="A821" s="669" t="n"/>
      <c r="B821" s="669" t="n"/>
      <c r="C821" s="669" t="n"/>
      <c r="D821" s="669" t="n"/>
      <c r="E821" s="669" t="n"/>
      <c r="F821" s="669" t="n"/>
      <c r="G821" s="669" t="n"/>
      <c r="H821" s="669" t="n"/>
      <c r="I821" s="669" t="n"/>
      <c r="J821" s="669" t="n"/>
      <c r="K821" s="669" t="n"/>
      <c r="L821" s="669" t="n"/>
      <c r="M821" s="669" t="n"/>
      <c r="N821" s="669" t="n"/>
      <c r="O821" s="669" t="n"/>
      <c r="P821" s="669" t="n"/>
      <c r="Q821" s="669" t="n"/>
      <c r="R821" s="669" t="n"/>
      <c r="S821" s="669" t="n"/>
      <c r="T821" s="669" t="n"/>
      <c r="U821" s="669" t="n"/>
    </row>
    <row r="822" ht="15.75" customHeight="1" s="1128">
      <c r="A822" s="669" t="n"/>
      <c r="B822" s="669" t="n"/>
      <c r="C822" s="669" t="n"/>
      <c r="D822" s="669" t="n"/>
      <c r="E822" s="669" t="n"/>
      <c r="F822" s="669" t="n"/>
      <c r="G822" s="669" t="n"/>
      <c r="H822" s="669" t="n"/>
      <c r="I822" s="669" t="n"/>
      <c r="J822" s="669" t="n"/>
      <c r="K822" s="669" t="n"/>
      <c r="L822" s="669" t="n"/>
      <c r="M822" s="669" t="n"/>
      <c r="N822" s="669" t="n"/>
      <c r="O822" s="669" t="n"/>
      <c r="P822" s="669" t="n"/>
      <c r="Q822" s="669" t="n"/>
      <c r="R822" s="669" t="n"/>
      <c r="S822" s="669" t="n"/>
      <c r="T822" s="669" t="n"/>
      <c r="U822" s="669" t="n"/>
    </row>
    <row r="823" ht="15.75" customHeight="1" s="1128">
      <c r="A823" s="669" t="n"/>
      <c r="B823" s="669" t="n"/>
      <c r="C823" s="669" t="n"/>
      <c r="D823" s="669" t="n"/>
      <c r="E823" s="669" t="n"/>
      <c r="F823" s="669" t="n"/>
      <c r="G823" s="669" t="n"/>
      <c r="H823" s="669" t="n"/>
      <c r="I823" s="669" t="n"/>
      <c r="J823" s="669" t="n"/>
      <c r="K823" s="669" t="n"/>
      <c r="L823" s="669" t="n"/>
      <c r="M823" s="669" t="n"/>
      <c r="N823" s="669" t="n"/>
      <c r="O823" s="669" t="n"/>
      <c r="P823" s="669" t="n"/>
      <c r="Q823" s="669" t="n"/>
      <c r="R823" s="669" t="n"/>
      <c r="S823" s="669" t="n"/>
      <c r="T823" s="669" t="n"/>
      <c r="U823" s="669" t="n"/>
    </row>
    <row r="824" ht="15.75" customHeight="1" s="1128">
      <c r="A824" s="669" t="n"/>
      <c r="B824" s="669" t="n"/>
      <c r="C824" s="669" t="n"/>
      <c r="D824" s="669" t="n"/>
      <c r="E824" s="669" t="n"/>
      <c r="F824" s="669" t="n"/>
      <c r="G824" s="669" t="n"/>
      <c r="H824" s="669" t="n"/>
      <c r="I824" s="669" t="n"/>
      <c r="J824" s="669" t="n"/>
      <c r="K824" s="669" t="n"/>
      <c r="L824" s="669" t="n"/>
      <c r="M824" s="669" t="n"/>
      <c r="N824" s="669" t="n"/>
      <c r="O824" s="669" t="n"/>
      <c r="P824" s="669" t="n"/>
      <c r="Q824" s="669" t="n"/>
      <c r="R824" s="669" t="n"/>
      <c r="S824" s="669" t="n"/>
      <c r="T824" s="669" t="n"/>
      <c r="U824" s="669" t="n"/>
    </row>
    <row r="825" ht="15.75" customHeight="1" s="1128">
      <c r="A825" s="669" t="n"/>
      <c r="B825" s="669" t="n"/>
      <c r="C825" s="669" t="n"/>
      <c r="D825" s="669" t="n"/>
      <c r="E825" s="669" t="n"/>
      <c r="F825" s="669" t="n"/>
      <c r="G825" s="669" t="n"/>
      <c r="H825" s="669" t="n"/>
      <c r="I825" s="669" t="n"/>
      <c r="J825" s="669" t="n"/>
      <c r="K825" s="669" t="n"/>
      <c r="L825" s="669" t="n"/>
      <c r="M825" s="669" t="n"/>
      <c r="N825" s="669" t="n"/>
      <c r="O825" s="669" t="n"/>
      <c r="P825" s="669" t="n"/>
      <c r="Q825" s="669" t="n"/>
      <c r="R825" s="669" t="n"/>
      <c r="S825" s="669" t="n"/>
      <c r="T825" s="669" t="n"/>
      <c r="U825" s="669" t="n"/>
    </row>
    <row r="826" ht="15.75" customHeight="1" s="1128">
      <c r="A826" s="669" t="n"/>
      <c r="B826" s="669" t="n"/>
      <c r="C826" s="669" t="n"/>
      <c r="D826" s="669" t="n"/>
      <c r="E826" s="669" t="n"/>
      <c r="F826" s="669" t="n"/>
      <c r="G826" s="669" t="n"/>
      <c r="H826" s="669" t="n"/>
      <c r="I826" s="669" t="n"/>
      <c r="J826" s="669" t="n"/>
      <c r="K826" s="669" t="n"/>
      <c r="L826" s="669" t="n"/>
      <c r="M826" s="669" t="n"/>
      <c r="N826" s="669" t="n"/>
      <c r="O826" s="669" t="n"/>
      <c r="P826" s="669" t="n"/>
      <c r="Q826" s="669" t="n"/>
      <c r="R826" s="669" t="n"/>
      <c r="S826" s="669" t="n"/>
      <c r="T826" s="669" t="n"/>
      <c r="U826" s="669" t="n"/>
    </row>
    <row r="827" ht="15.75" customHeight="1" s="1128">
      <c r="A827" s="669" t="n"/>
      <c r="B827" s="669" t="n"/>
      <c r="C827" s="669" t="n"/>
      <c r="D827" s="669" t="n"/>
      <c r="E827" s="669" t="n"/>
      <c r="F827" s="669" t="n"/>
      <c r="G827" s="669" t="n"/>
      <c r="H827" s="669" t="n"/>
      <c r="I827" s="669" t="n"/>
      <c r="J827" s="669" t="n"/>
      <c r="K827" s="669" t="n"/>
      <c r="L827" s="669" t="n"/>
      <c r="M827" s="669" t="n"/>
      <c r="N827" s="669" t="n"/>
      <c r="O827" s="669" t="n"/>
      <c r="P827" s="669" t="n"/>
      <c r="Q827" s="669" t="n"/>
      <c r="R827" s="669" t="n"/>
      <c r="S827" s="669" t="n"/>
      <c r="T827" s="669" t="n"/>
      <c r="U827" s="669" t="n"/>
    </row>
    <row r="828" ht="15.75" customHeight="1" s="1128">
      <c r="A828" s="669" t="n"/>
      <c r="B828" s="669" t="n"/>
      <c r="C828" s="669" t="n"/>
      <c r="D828" s="669" t="n"/>
      <c r="E828" s="669" t="n"/>
      <c r="F828" s="669" t="n"/>
      <c r="G828" s="669" t="n"/>
      <c r="H828" s="669" t="n"/>
      <c r="I828" s="669" t="n"/>
      <c r="J828" s="669" t="n"/>
      <c r="K828" s="669" t="n"/>
      <c r="L828" s="669" t="n"/>
      <c r="M828" s="669" t="n"/>
      <c r="N828" s="669" t="n"/>
      <c r="O828" s="669" t="n"/>
      <c r="P828" s="669" t="n"/>
      <c r="Q828" s="669" t="n"/>
      <c r="R828" s="669" t="n"/>
      <c r="S828" s="669" t="n"/>
      <c r="T828" s="669" t="n"/>
      <c r="U828" s="669" t="n"/>
    </row>
    <row r="829" ht="15.75" customHeight="1" s="1128">
      <c r="A829" s="669" t="n"/>
      <c r="B829" s="669" t="n"/>
      <c r="C829" s="669" t="n"/>
      <c r="D829" s="669" t="n"/>
      <c r="E829" s="669" t="n"/>
      <c r="F829" s="669" t="n"/>
      <c r="G829" s="669" t="n"/>
      <c r="H829" s="669" t="n"/>
      <c r="I829" s="669" t="n"/>
      <c r="J829" s="669" t="n"/>
      <c r="K829" s="669" t="n"/>
      <c r="L829" s="669" t="n"/>
      <c r="M829" s="669" t="n"/>
      <c r="N829" s="669" t="n"/>
      <c r="O829" s="669" t="n"/>
      <c r="P829" s="669" t="n"/>
      <c r="Q829" s="669" t="n"/>
      <c r="R829" s="669" t="n"/>
      <c r="S829" s="669" t="n"/>
      <c r="T829" s="669" t="n"/>
      <c r="U829" s="669" t="n"/>
    </row>
    <row r="830" ht="15.75" customHeight="1" s="1128">
      <c r="A830" s="669" t="n"/>
      <c r="B830" s="669" t="n"/>
      <c r="C830" s="669" t="n"/>
      <c r="D830" s="669" t="n"/>
      <c r="E830" s="669" t="n"/>
      <c r="F830" s="669" t="n"/>
      <c r="G830" s="669" t="n"/>
      <c r="H830" s="669" t="n"/>
      <c r="I830" s="669" t="n"/>
      <c r="J830" s="669" t="n"/>
      <c r="K830" s="669" t="n"/>
      <c r="L830" s="669" t="n"/>
      <c r="M830" s="669" t="n"/>
      <c r="N830" s="669" t="n"/>
      <c r="O830" s="669" t="n"/>
      <c r="P830" s="669" t="n"/>
      <c r="Q830" s="669" t="n"/>
      <c r="R830" s="669" t="n"/>
      <c r="S830" s="669" t="n"/>
      <c r="T830" s="669" t="n"/>
      <c r="U830" s="669" t="n"/>
    </row>
    <row r="831" ht="15.75" customHeight="1" s="1128">
      <c r="A831" s="669" t="n"/>
      <c r="B831" s="669" t="n"/>
      <c r="C831" s="669" t="n"/>
      <c r="D831" s="669" t="n"/>
      <c r="E831" s="669" t="n"/>
      <c r="F831" s="669" t="n"/>
      <c r="G831" s="669" t="n"/>
      <c r="H831" s="669" t="n"/>
      <c r="I831" s="669" t="n"/>
      <c r="J831" s="669" t="n"/>
      <c r="K831" s="669" t="n"/>
      <c r="L831" s="669" t="n"/>
      <c r="M831" s="669" t="n"/>
      <c r="N831" s="669" t="n"/>
      <c r="O831" s="669" t="n"/>
      <c r="P831" s="669" t="n"/>
      <c r="Q831" s="669" t="n"/>
      <c r="R831" s="669" t="n"/>
      <c r="S831" s="669" t="n"/>
      <c r="T831" s="669" t="n"/>
      <c r="U831" s="669" t="n"/>
    </row>
    <row r="832" ht="15.75" customHeight="1" s="1128">
      <c r="A832" s="669" t="n"/>
      <c r="B832" s="669" t="n"/>
      <c r="C832" s="669" t="n"/>
      <c r="D832" s="669" t="n"/>
      <c r="E832" s="669" t="n"/>
      <c r="F832" s="669" t="n"/>
      <c r="G832" s="669" t="n"/>
      <c r="H832" s="669" t="n"/>
      <c r="I832" s="669" t="n"/>
      <c r="J832" s="669" t="n"/>
      <c r="K832" s="669" t="n"/>
      <c r="L832" s="669" t="n"/>
      <c r="M832" s="669" t="n"/>
      <c r="N832" s="669" t="n"/>
      <c r="O832" s="669" t="n"/>
      <c r="P832" s="669" t="n"/>
      <c r="Q832" s="669" t="n"/>
      <c r="R832" s="669" t="n"/>
      <c r="S832" s="669" t="n"/>
      <c r="T832" s="669" t="n"/>
      <c r="U832" s="669" t="n"/>
    </row>
    <row r="833" ht="15.75" customHeight="1" s="1128">
      <c r="A833" s="669" t="n"/>
      <c r="B833" s="669" t="n"/>
      <c r="C833" s="669" t="n"/>
      <c r="D833" s="669" t="n"/>
      <c r="E833" s="669" t="n"/>
      <c r="F833" s="669" t="n"/>
      <c r="G833" s="669" t="n"/>
      <c r="H833" s="669" t="n"/>
      <c r="I833" s="669" t="n"/>
      <c r="J833" s="669" t="n"/>
      <c r="K833" s="669" t="n"/>
      <c r="L833" s="669" t="n"/>
      <c r="M833" s="669" t="n"/>
      <c r="N833" s="669" t="n"/>
      <c r="O833" s="669" t="n"/>
      <c r="P833" s="669" t="n"/>
      <c r="Q833" s="669" t="n"/>
      <c r="R833" s="669" t="n"/>
      <c r="S833" s="669" t="n"/>
      <c r="T833" s="669" t="n"/>
      <c r="U833" s="669" t="n"/>
    </row>
    <row r="834" ht="15.75" customHeight="1" s="1128">
      <c r="A834" s="669" t="n"/>
      <c r="B834" s="669" t="n"/>
      <c r="C834" s="669" t="n"/>
      <c r="D834" s="669" t="n"/>
      <c r="E834" s="669" t="n"/>
      <c r="F834" s="669" t="n"/>
      <c r="G834" s="669" t="n"/>
      <c r="H834" s="669" t="n"/>
      <c r="I834" s="669" t="n"/>
      <c r="J834" s="669" t="n"/>
      <c r="K834" s="669" t="n"/>
      <c r="L834" s="669" t="n"/>
      <c r="M834" s="669" t="n"/>
      <c r="N834" s="669" t="n"/>
      <c r="O834" s="669" t="n"/>
      <c r="P834" s="669" t="n"/>
      <c r="Q834" s="669" t="n"/>
      <c r="R834" s="669" t="n"/>
      <c r="S834" s="669" t="n"/>
      <c r="T834" s="669" t="n"/>
      <c r="U834" s="669" t="n"/>
    </row>
    <row r="835" ht="15.75" customHeight="1" s="1128">
      <c r="A835" s="669" t="n"/>
      <c r="B835" s="669" t="n"/>
      <c r="C835" s="669" t="n"/>
      <c r="D835" s="669" t="n"/>
      <c r="E835" s="669" t="n"/>
      <c r="F835" s="669" t="n"/>
      <c r="G835" s="669" t="n"/>
      <c r="H835" s="669" t="n"/>
      <c r="I835" s="669" t="n"/>
      <c r="J835" s="669" t="n"/>
      <c r="K835" s="669" t="n"/>
      <c r="L835" s="669" t="n"/>
      <c r="M835" s="669" t="n"/>
      <c r="N835" s="669" t="n"/>
      <c r="O835" s="669" t="n"/>
      <c r="P835" s="669" t="n"/>
      <c r="Q835" s="669" t="n"/>
      <c r="R835" s="669" t="n"/>
      <c r="S835" s="669" t="n"/>
      <c r="T835" s="669" t="n"/>
      <c r="U835" s="669" t="n"/>
    </row>
    <row r="836" ht="15.75" customHeight="1" s="1128">
      <c r="A836" s="669" t="n"/>
      <c r="B836" s="669" t="n"/>
      <c r="C836" s="669" t="n"/>
      <c r="D836" s="669" t="n"/>
      <c r="E836" s="669" t="n"/>
      <c r="F836" s="669" t="n"/>
      <c r="G836" s="669" t="n"/>
      <c r="H836" s="669" t="n"/>
      <c r="I836" s="669" t="n"/>
      <c r="J836" s="669" t="n"/>
      <c r="K836" s="669" t="n"/>
      <c r="L836" s="669" t="n"/>
      <c r="M836" s="669" t="n"/>
      <c r="N836" s="669" t="n"/>
      <c r="O836" s="669" t="n"/>
      <c r="P836" s="669" t="n"/>
      <c r="Q836" s="669" t="n"/>
      <c r="R836" s="669" t="n"/>
      <c r="S836" s="669" t="n"/>
      <c r="T836" s="669" t="n"/>
      <c r="U836" s="669" t="n"/>
    </row>
    <row r="837" ht="15.75" customHeight="1" s="1128">
      <c r="A837" s="669" t="n"/>
      <c r="B837" s="669" t="n"/>
      <c r="C837" s="669" t="n"/>
      <c r="D837" s="669" t="n"/>
      <c r="E837" s="669" t="n"/>
      <c r="F837" s="669" t="n"/>
      <c r="G837" s="669" t="n"/>
      <c r="H837" s="669" t="n"/>
      <c r="I837" s="669" t="n"/>
      <c r="J837" s="669" t="n"/>
      <c r="K837" s="669" t="n"/>
      <c r="L837" s="669" t="n"/>
      <c r="M837" s="669" t="n"/>
      <c r="N837" s="669" t="n"/>
      <c r="O837" s="669" t="n"/>
      <c r="P837" s="669" t="n"/>
      <c r="Q837" s="669" t="n"/>
      <c r="R837" s="669" t="n"/>
      <c r="S837" s="669" t="n"/>
      <c r="T837" s="669" t="n"/>
      <c r="U837" s="669" t="n"/>
    </row>
    <row r="838" ht="15.75" customHeight="1" s="1128">
      <c r="A838" s="669" t="n"/>
      <c r="B838" s="669" t="n"/>
      <c r="C838" s="669" t="n"/>
      <c r="D838" s="669" t="n"/>
      <c r="E838" s="669" t="n"/>
      <c r="F838" s="669" t="n"/>
      <c r="G838" s="669" t="n"/>
      <c r="H838" s="669" t="n"/>
      <c r="I838" s="669" t="n"/>
      <c r="J838" s="669" t="n"/>
      <c r="K838" s="669" t="n"/>
      <c r="L838" s="669" t="n"/>
      <c r="M838" s="669" t="n"/>
      <c r="N838" s="669" t="n"/>
      <c r="O838" s="669" t="n"/>
      <c r="P838" s="669" t="n"/>
      <c r="Q838" s="669" t="n"/>
      <c r="R838" s="669" t="n"/>
      <c r="S838" s="669" t="n"/>
      <c r="T838" s="669" t="n"/>
      <c r="U838" s="669" t="n"/>
    </row>
    <row r="839" ht="15.75" customHeight="1" s="1128">
      <c r="A839" s="669" t="n"/>
      <c r="B839" s="669" t="n"/>
      <c r="C839" s="669" t="n"/>
      <c r="D839" s="669" t="n"/>
      <c r="E839" s="669" t="n"/>
      <c r="F839" s="669" t="n"/>
      <c r="G839" s="669" t="n"/>
      <c r="H839" s="669" t="n"/>
      <c r="I839" s="669" t="n"/>
      <c r="J839" s="669" t="n"/>
      <c r="K839" s="669" t="n"/>
      <c r="L839" s="669" t="n"/>
      <c r="M839" s="669" t="n"/>
      <c r="N839" s="669" t="n"/>
      <c r="O839" s="669" t="n"/>
      <c r="P839" s="669" t="n"/>
      <c r="Q839" s="669" t="n"/>
      <c r="R839" s="669" t="n"/>
      <c r="S839" s="669" t="n"/>
      <c r="T839" s="669" t="n"/>
      <c r="U839" s="669" t="n"/>
    </row>
    <row r="840" ht="15.75" customHeight="1" s="1128">
      <c r="A840" s="669" t="n"/>
      <c r="B840" s="669" t="n"/>
      <c r="C840" s="669" t="n"/>
      <c r="D840" s="669" t="n"/>
      <c r="E840" s="669" t="n"/>
      <c r="F840" s="669" t="n"/>
      <c r="G840" s="669" t="n"/>
      <c r="H840" s="669" t="n"/>
      <c r="I840" s="669" t="n"/>
      <c r="J840" s="669" t="n"/>
      <c r="K840" s="669" t="n"/>
      <c r="L840" s="669" t="n"/>
      <c r="M840" s="669" t="n"/>
      <c r="N840" s="669" t="n"/>
      <c r="O840" s="669" t="n"/>
      <c r="P840" s="669" t="n"/>
      <c r="Q840" s="669" t="n"/>
      <c r="R840" s="669" t="n"/>
      <c r="S840" s="669" t="n"/>
      <c r="T840" s="669" t="n"/>
      <c r="U840" s="669" t="n"/>
    </row>
    <row r="841" ht="15.75" customHeight="1" s="1128">
      <c r="A841" s="669" t="n"/>
      <c r="B841" s="669" t="n"/>
      <c r="C841" s="669" t="n"/>
      <c r="D841" s="669" t="n"/>
      <c r="E841" s="669" t="n"/>
      <c r="F841" s="669" t="n"/>
      <c r="G841" s="669" t="n"/>
      <c r="H841" s="669" t="n"/>
      <c r="I841" s="669" t="n"/>
      <c r="J841" s="669" t="n"/>
      <c r="K841" s="669" t="n"/>
      <c r="L841" s="669" t="n"/>
      <c r="M841" s="669" t="n"/>
      <c r="N841" s="669" t="n"/>
      <c r="O841" s="669" t="n"/>
      <c r="P841" s="669" t="n"/>
      <c r="Q841" s="669" t="n"/>
      <c r="R841" s="669" t="n"/>
      <c r="S841" s="669" t="n"/>
      <c r="T841" s="669" t="n"/>
      <c r="U841" s="669" t="n"/>
    </row>
    <row r="842" ht="15.75" customHeight="1" s="1128">
      <c r="A842" s="669" t="n"/>
      <c r="B842" s="669" t="n"/>
      <c r="C842" s="669" t="n"/>
      <c r="D842" s="669" t="n"/>
      <c r="E842" s="669" t="n"/>
      <c r="F842" s="669" t="n"/>
      <c r="G842" s="669" t="n"/>
      <c r="H842" s="669" t="n"/>
      <c r="I842" s="669" t="n"/>
      <c r="J842" s="669" t="n"/>
      <c r="K842" s="669" t="n"/>
      <c r="L842" s="669" t="n"/>
      <c r="M842" s="669" t="n"/>
      <c r="N842" s="669" t="n"/>
      <c r="O842" s="669" t="n"/>
      <c r="P842" s="669" t="n"/>
      <c r="Q842" s="669" t="n"/>
      <c r="R842" s="669" t="n"/>
      <c r="S842" s="669" t="n"/>
      <c r="T842" s="669" t="n"/>
      <c r="U842" s="669" t="n"/>
    </row>
    <row r="843" ht="15.75" customHeight="1" s="1128">
      <c r="A843" s="669" t="n"/>
      <c r="B843" s="669" t="n"/>
      <c r="C843" s="669" t="n"/>
      <c r="D843" s="669" t="n"/>
      <c r="E843" s="669" t="n"/>
      <c r="F843" s="669" t="n"/>
      <c r="G843" s="669" t="n"/>
      <c r="H843" s="669" t="n"/>
      <c r="I843" s="669" t="n"/>
      <c r="J843" s="669" t="n"/>
      <c r="K843" s="669" t="n"/>
      <c r="L843" s="669" t="n"/>
      <c r="M843" s="669" t="n"/>
      <c r="N843" s="669" t="n"/>
      <c r="O843" s="669" t="n"/>
      <c r="P843" s="669" t="n"/>
      <c r="Q843" s="669" t="n"/>
      <c r="R843" s="669" t="n"/>
      <c r="S843" s="669" t="n"/>
      <c r="T843" s="669" t="n"/>
      <c r="U843" s="669" t="n"/>
    </row>
    <row r="844" ht="15.75" customHeight="1" s="1128">
      <c r="A844" s="669" t="n"/>
      <c r="B844" s="669" t="n"/>
      <c r="C844" s="669" t="n"/>
      <c r="D844" s="669" t="n"/>
      <c r="E844" s="669" t="n"/>
      <c r="F844" s="669" t="n"/>
      <c r="G844" s="669" t="n"/>
      <c r="H844" s="669" t="n"/>
      <c r="I844" s="669" t="n"/>
      <c r="J844" s="669" t="n"/>
      <c r="K844" s="669" t="n"/>
      <c r="L844" s="669" t="n"/>
      <c r="M844" s="669" t="n"/>
      <c r="N844" s="669" t="n"/>
      <c r="O844" s="669" t="n"/>
      <c r="P844" s="669" t="n"/>
      <c r="Q844" s="669" t="n"/>
      <c r="R844" s="669" t="n"/>
      <c r="S844" s="669" t="n"/>
      <c r="T844" s="669" t="n"/>
      <c r="U844" s="669" t="n"/>
    </row>
    <row r="845" ht="15.75" customHeight="1" s="1128">
      <c r="A845" s="669" t="n"/>
      <c r="B845" s="669" t="n"/>
      <c r="C845" s="669" t="n"/>
      <c r="D845" s="669" t="n"/>
      <c r="E845" s="669" t="n"/>
      <c r="F845" s="669" t="n"/>
      <c r="G845" s="669" t="n"/>
      <c r="H845" s="669" t="n"/>
      <c r="I845" s="669" t="n"/>
      <c r="J845" s="669" t="n"/>
      <c r="K845" s="669" t="n"/>
      <c r="L845" s="669" t="n"/>
      <c r="M845" s="669" t="n"/>
      <c r="N845" s="669" t="n"/>
      <c r="O845" s="669" t="n"/>
      <c r="P845" s="669" t="n"/>
      <c r="Q845" s="669" t="n"/>
      <c r="R845" s="669" t="n"/>
      <c r="S845" s="669" t="n"/>
      <c r="T845" s="669" t="n"/>
      <c r="U845" s="669" t="n"/>
    </row>
    <row r="846" ht="15.75" customHeight="1" s="1128">
      <c r="A846" s="669" t="n"/>
      <c r="B846" s="669" t="n"/>
      <c r="C846" s="669" t="n"/>
      <c r="D846" s="669" t="n"/>
      <c r="E846" s="669" t="n"/>
      <c r="F846" s="669" t="n"/>
      <c r="G846" s="669" t="n"/>
      <c r="H846" s="669" t="n"/>
      <c r="I846" s="669" t="n"/>
      <c r="J846" s="669" t="n"/>
      <c r="K846" s="669" t="n"/>
      <c r="L846" s="669" t="n"/>
      <c r="M846" s="669" t="n"/>
      <c r="N846" s="669" t="n"/>
      <c r="O846" s="669" t="n"/>
      <c r="P846" s="669" t="n"/>
      <c r="Q846" s="669" t="n"/>
      <c r="R846" s="669" t="n"/>
      <c r="S846" s="669" t="n"/>
      <c r="T846" s="669" t="n"/>
      <c r="U846" s="669" t="n"/>
    </row>
    <row r="847" ht="15.75" customHeight="1" s="1128">
      <c r="A847" s="669" t="n"/>
      <c r="B847" s="669" t="n"/>
      <c r="C847" s="669" t="n"/>
      <c r="D847" s="669" t="n"/>
      <c r="E847" s="669" t="n"/>
      <c r="F847" s="669" t="n"/>
      <c r="G847" s="669" t="n"/>
      <c r="H847" s="669" t="n"/>
      <c r="I847" s="669" t="n"/>
      <c r="J847" s="669" t="n"/>
      <c r="K847" s="669" t="n"/>
      <c r="L847" s="669" t="n"/>
      <c r="M847" s="669" t="n"/>
      <c r="N847" s="669" t="n"/>
      <c r="O847" s="669" t="n"/>
      <c r="P847" s="669" t="n"/>
      <c r="Q847" s="669" t="n"/>
      <c r="R847" s="669" t="n"/>
      <c r="S847" s="669" t="n"/>
      <c r="T847" s="669" t="n"/>
      <c r="U847" s="669" t="n"/>
    </row>
    <row r="848" ht="15.75" customHeight="1" s="1128">
      <c r="A848" s="669" t="n"/>
      <c r="B848" s="669" t="n"/>
      <c r="C848" s="669" t="n"/>
      <c r="D848" s="669" t="n"/>
      <c r="E848" s="669" t="n"/>
      <c r="F848" s="669" t="n"/>
      <c r="G848" s="669" t="n"/>
      <c r="H848" s="669" t="n"/>
      <c r="I848" s="669" t="n"/>
      <c r="J848" s="669" t="n"/>
      <c r="K848" s="669" t="n"/>
      <c r="L848" s="669" t="n"/>
      <c r="M848" s="669" t="n"/>
      <c r="N848" s="669" t="n"/>
      <c r="O848" s="669" t="n"/>
      <c r="P848" s="669" t="n"/>
      <c r="Q848" s="669" t="n"/>
      <c r="R848" s="669" t="n"/>
      <c r="S848" s="669" t="n"/>
      <c r="T848" s="669" t="n"/>
      <c r="U848" s="669" t="n"/>
    </row>
    <row r="849" ht="15.75" customHeight="1" s="1128">
      <c r="A849" s="669" t="n"/>
      <c r="B849" s="669" t="n"/>
      <c r="C849" s="669" t="n"/>
      <c r="D849" s="669" t="n"/>
      <c r="E849" s="669" t="n"/>
      <c r="F849" s="669" t="n"/>
      <c r="G849" s="669" t="n"/>
      <c r="H849" s="669" t="n"/>
      <c r="I849" s="669" t="n"/>
      <c r="J849" s="669" t="n"/>
      <c r="K849" s="669" t="n"/>
      <c r="L849" s="669" t="n"/>
      <c r="M849" s="669" t="n"/>
      <c r="N849" s="669" t="n"/>
      <c r="O849" s="669" t="n"/>
      <c r="P849" s="669" t="n"/>
      <c r="Q849" s="669" t="n"/>
      <c r="R849" s="669" t="n"/>
      <c r="S849" s="669" t="n"/>
      <c r="T849" s="669" t="n"/>
      <c r="U849" s="669" t="n"/>
    </row>
    <row r="850" ht="15.75" customHeight="1" s="1128">
      <c r="A850" s="669" t="n"/>
      <c r="B850" s="669" t="n"/>
      <c r="C850" s="669" t="n"/>
      <c r="D850" s="669" t="n"/>
      <c r="E850" s="669" t="n"/>
      <c r="F850" s="669" t="n"/>
      <c r="G850" s="669" t="n"/>
      <c r="H850" s="669" t="n"/>
      <c r="I850" s="669" t="n"/>
      <c r="J850" s="669" t="n"/>
      <c r="K850" s="669" t="n"/>
      <c r="L850" s="669" t="n"/>
      <c r="M850" s="669" t="n"/>
      <c r="N850" s="669" t="n"/>
      <c r="O850" s="669" t="n"/>
      <c r="P850" s="669" t="n"/>
      <c r="Q850" s="669" t="n"/>
      <c r="R850" s="669" t="n"/>
      <c r="S850" s="669" t="n"/>
      <c r="T850" s="669" t="n"/>
      <c r="U850" s="669" t="n"/>
    </row>
    <row r="851" ht="15.75" customHeight="1" s="1128">
      <c r="A851" s="669" t="n"/>
      <c r="B851" s="669" t="n"/>
      <c r="C851" s="669" t="n"/>
      <c r="D851" s="669" t="n"/>
      <c r="E851" s="669" t="n"/>
      <c r="F851" s="669" t="n"/>
      <c r="G851" s="669" t="n"/>
      <c r="H851" s="669" t="n"/>
      <c r="I851" s="669" t="n"/>
      <c r="J851" s="669" t="n"/>
      <c r="K851" s="669" t="n"/>
      <c r="L851" s="669" t="n"/>
      <c r="M851" s="669" t="n"/>
      <c r="N851" s="669" t="n"/>
      <c r="O851" s="669" t="n"/>
      <c r="P851" s="669" t="n"/>
      <c r="Q851" s="669" t="n"/>
      <c r="R851" s="669" t="n"/>
      <c r="S851" s="669" t="n"/>
      <c r="T851" s="669" t="n"/>
      <c r="U851" s="669" t="n"/>
    </row>
    <row r="852" ht="15.75" customHeight="1" s="1128">
      <c r="A852" s="669" t="n"/>
      <c r="B852" s="669" t="n"/>
      <c r="C852" s="669" t="n"/>
      <c r="D852" s="669" t="n"/>
      <c r="E852" s="669" t="n"/>
      <c r="F852" s="669" t="n"/>
      <c r="G852" s="669" t="n"/>
      <c r="H852" s="669" t="n"/>
      <c r="I852" s="669" t="n"/>
      <c r="J852" s="669" t="n"/>
      <c r="K852" s="669" t="n"/>
      <c r="L852" s="669" t="n"/>
      <c r="M852" s="669" t="n"/>
      <c r="N852" s="669" t="n"/>
      <c r="O852" s="669" t="n"/>
      <c r="P852" s="669" t="n"/>
      <c r="Q852" s="669" t="n"/>
      <c r="R852" s="669" t="n"/>
      <c r="S852" s="669" t="n"/>
      <c r="T852" s="669" t="n"/>
      <c r="U852" s="669" t="n"/>
    </row>
    <row r="853" ht="15.75" customHeight="1" s="1128">
      <c r="A853" s="669" t="n"/>
      <c r="B853" s="669" t="n"/>
      <c r="C853" s="669" t="n"/>
      <c r="D853" s="669" t="n"/>
      <c r="E853" s="669" t="n"/>
      <c r="F853" s="669" t="n"/>
      <c r="G853" s="669" t="n"/>
      <c r="H853" s="669" t="n"/>
      <c r="I853" s="669" t="n"/>
      <c r="J853" s="669" t="n"/>
      <c r="K853" s="669" t="n"/>
      <c r="L853" s="669" t="n"/>
      <c r="M853" s="669" t="n"/>
      <c r="N853" s="669" t="n"/>
      <c r="O853" s="669" t="n"/>
      <c r="P853" s="669" t="n"/>
      <c r="Q853" s="669" t="n"/>
      <c r="R853" s="669" t="n"/>
      <c r="S853" s="669" t="n"/>
      <c r="T853" s="669" t="n"/>
      <c r="U853" s="669" t="n"/>
    </row>
    <row r="854" ht="15.75" customHeight="1" s="1128">
      <c r="A854" s="669" t="n"/>
      <c r="B854" s="669" t="n"/>
      <c r="C854" s="669" t="n"/>
      <c r="D854" s="669" t="n"/>
      <c r="E854" s="669" t="n"/>
      <c r="F854" s="669" t="n"/>
      <c r="G854" s="669" t="n"/>
      <c r="H854" s="669" t="n"/>
      <c r="I854" s="669" t="n"/>
      <c r="J854" s="669" t="n"/>
      <c r="K854" s="669" t="n"/>
      <c r="L854" s="669" t="n"/>
      <c r="M854" s="669" t="n"/>
      <c r="N854" s="669" t="n"/>
      <c r="O854" s="669" t="n"/>
      <c r="P854" s="669" t="n"/>
      <c r="Q854" s="669" t="n"/>
      <c r="R854" s="669" t="n"/>
      <c r="S854" s="669" t="n"/>
      <c r="T854" s="669" t="n"/>
      <c r="U854" s="669" t="n"/>
    </row>
    <row r="855" ht="15.75" customHeight="1" s="1128">
      <c r="A855" s="669" t="n"/>
      <c r="B855" s="669" t="n"/>
      <c r="C855" s="669" t="n"/>
      <c r="D855" s="669" t="n"/>
      <c r="E855" s="669" t="n"/>
      <c r="F855" s="669" t="n"/>
      <c r="G855" s="669" t="n"/>
      <c r="H855" s="669" t="n"/>
      <c r="I855" s="669" t="n"/>
      <c r="J855" s="669" t="n"/>
      <c r="K855" s="669" t="n"/>
      <c r="L855" s="669" t="n"/>
      <c r="M855" s="669" t="n"/>
      <c r="N855" s="669" t="n"/>
      <c r="O855" s="669" t="n"/>
      <c r="P855" s="669" t="n"/>
      <c r="Q855" s="669" t="n"/>
      <c r="R855" s="669" t="n"/>
      <c r="S855" s="669" t="n"/>
      <c r="T855" s="669" t="n"/>
      <c r="U855" s="669" t="n"/>
    </row>
    <row r="856" ht="15.75" customHeight="1" s="1128">
      <c r="A856" s="669" t="n"/>
      <c r="B856" s="669" t="n"/>
      <c r="C856" s="669" t="n"/>
      <c r="D856" s="669" t="n"/>
      <c r="E856" s="669" t="n"/>
      <c r="F856" s="669" t="n"/>
      <c r="G856" s="669" t="n"/>
      <c r="H856" s="669" t="n"/>
      <c r="I856" s="669" t="n"/>
      <c r="J856" s="669" t="n"/>
      <c r="K856" s="669" t="n"/>
      <c r="L856" s="669" t="n"/>
      <c r="M856" s="669" t="n"/>
      <c r="N856" s="669" t="n"/>
      <c r="O856" s="669" t="n"/>
      <c r="P856" s="669" t="n"/>
      <c r="Q856" s="669" t="n"/>
      <c r="R856" s="669" t="n"/>
      <c r="S856" s="669" t="n"/>
      <c r="T856" s="669" t="n"/>
      <c r="U856" s="669" t="n"/>
    </row>
    <row r="857" ht="15.75" customHeight="1" s="1128">
      <c r="A857" s="669" t="n"/>
      <c r="B857" s="669" t="n"/>
      <c r="C857" s="669" t="n"/>
      <c r="D857" s="669" t="n"/>
      <c r="E857" s="669" t="n"/>
      <c r="F857" s="669" t="n"/>
      <c r="G857" s="669" t="n"/>
      <c r="H857" s="669" t="n"/>
      <c r="I857" s="669" t="n"/>
      <c r="J857" s="669" t="n"/>
      <c r="K857" s="669" t="n"/>
      <c r="L857" s="669" t="n"/>
      <c r="M857" s="669" t="n"/>
      <c r="N857" s="669" t="n"/>
      <c r="O857" s="669" t="n"/>
      <c r="P857" s="669" t="n"/>
      <c r="Q857" s="669" t="n"/>
      <c r="R857" s="669" t="n"/>
      <c r="S857" s="669" t="n"/>
      <c r="T857" s="669" t="n"/>
      <c r="U857" s="669" t="n"/>
    </row>
    <row r="858" ht="15.75" customHeight="1" s="1128">
      <c r="A858" s="669" t="n"/>
      <c r="B858" s="669" t="n"/>
      <c r="C858" s="669" t="n"/>
      <c r="D858" s="669" t="n"/>
      <c r="E858" s="669" t="n"/>
      <c r="F858" s="669" t="n"/>
      <c r="G858" s="669" t="n"/>
      <c r="H858" s="669" t="n"/>
      <c r="I858" s="669" t="n"/>
      <c r="J858" s="669" t="n"/>
      <c r="K858" s="669" t="n"/>
      <c r="L858" s="669" t="n"/>
      <c r="M858" s="669" t="n"/>
      <c r="N858" s="669" t="n"/>
      <c r="O858" s="669" t="n"/>
      <c r="P858" s="669" t="n"/>
      <c r="Q858" s="669" t="n"/>
      <c r="R858" s="669" t="n"/>
      <c r="S858" s="669" t="n"/>
      <c r="T858" s="669" t="n"/>
      <c r="U858" s="669" t="n"/>
    </row>
    <row r="859" ht="15.75" customHeight="1" s="1128">
      <c r="A859" s="669" t="n"/>
      <c r="B859" s="669" t="n"/>
      <c r="C859" s="669" t="n"/>
      <c r="D859" s="669" t="n"/>
      <c r="E859" s="669" t="n"/>
      <c r="F859" s="669" t="n"/>
      <c r="G859" s="669" t="n"/>
      <c r="H859" s="669" t="n"/>
      <c r="I859" s="669" t="n"/>
      <c r="J859" s="669" t="n"/>
      <c r="K859" s="669" t="n"/>
      <c r="L859" s="669" t="n"/>
      <c r="M859" s="669" t="n"/>
      <c r="N859" s="669" t="n"/>
      <c r="O859" s="669" t="n"/>
      <c r="P859" s="669" t="n"/>
      <c r="Q859" s="669" t="n"/>
      <c r="R859" s="669" t="n"/>
      <c r="S859" s="669" t="n"/>
      <c r="T859" s="669" t="n"/>
      <c r="U859" s="669" t="n"/>
    </row>
    <row r="860" ht="15.75" customHeight="1" s="1128">
      <c r="A860" s="669" t="n"/>
      <c r="B860" s="669" t="n"/>
      <c r="C860" s="669" t="n"/>
      <c r="D860" s="669" t="n"/>
      <c r="E860" s="669" t="n"/>
      <c r="F860" s="669" t="n"/>
      <c r="G860" s="669" t="n"/>
      <c r="H860" s="669" t="n"/>
      <c r="I860" s="669" t="n"/>
      <c r="J860" s="669" t="n"/>
      <c r="K860" s="669" t="n"/>
      <c r="L860" s="669" t="n"/>
      <c r="M860" s="669" t="n"/>
      <c r="N860" s="669" t="n"/>
      <c r="O860" s="669" t="n"/>
      <c r="P860" s="669" t="n"/>
      <c r="Q860" s="669" t="n"/>
      <c r="R860" s="669" t="n"/>
      <c r="S860" s="669" t="n"/>
      <c r="T860" s="669" t="n"/>
      <c r="U860" s="669" t="n"/>
    </row>
    <row r="861" ht="15.75" customHeight="1" s="1128">
      <c r="A861" s="669" t="n"/>
      <c r="B861" s="669" t="n"/>
      <c r="C861" s="669" t="n"/>
      <c r="D861" s="669" t="n"/>
      <c r="E861" s="669" t="n"/>
      <c r="F861" s="669" t="n"/>
      <c r="G861" s="669" t="n"/>
      <c r="H861" s="669" t="n"/>
      <c r="I861" s="669" t="n"/>
      <c r="J861" s="669" t="n"/>
      <c r="K861" s="669" t="n"/>
      <c r="L861" s="669" t="n"/>
      <c r="M861" s="669" t="n"/>
      <c r="N861" s="669" t="n"/>
      <c r="O861" s="669" t="n"/>
      <c r="P861" s="669" t="n"/>
      <c r="Q861" s="669" t="n"/>
      <c r="R861" s="669" t="n"/>
      <c r="S861" s="669" t="n"/>
      <c r="T861" s="669" t="n"/>
      <c r="U861" s="669" t="n"/>
    </row>
    <row r="862" ht="15.75" customHeight="1" s="1128">
      <c r="A862" s="669" t="n"/>
      <c r="B862" s="669" t="n"/>
      <c r="C862" s="669" t="n"/>
      <c r="D862" s="669" t="n"/>
      <c r="E862" s="669" t="n"/>
      <c r="F862" s="669" t="n"/>
      <c r="G862" s="669" t="n"/>
      <c r="H862" s="669" t="n"/>
      <c r="I862" s="669" t="n"/>
      <c r="J862" s="669" t="n"/>
      <c r="K862" s="669" t="n"/>
      <c r="L862" s="669" t="n"/>
      <c r="M862" s="669" t="n"/>
      <c r="N862" s="669" t="n"/>
      <c r="O862" s="669" t="n"/>
      <c r="P862" s="669" t="n"/>
      <c r="Q862" s="669" t="n"/>
      <c r="R862" s="669" t="n"/>
      <c r="S862" s="669" t="n"/>
      <c r="T862" s="669" t="n"/>
      <c r="U862" s="669" t="n"/>
    </row>
    <row r="863" ht="15.75" customHeight="1" s="1128">
      <c r="A863" s="669" t="n"/>
      <c r="B863" s="669" t="n"/>
      <c r="C863" s="669" t="n"/>
      <c r="D863" s="669" t="n"/>
      <c r="E863" s="669" t="n"/>
      <c r="F863" s="669" t="n"/>
      <c r="G863" s="669" t="n"/>
      <c r="H863" s="669" t="n"/>
      <c r="I863" s="669" t="n"/>
      <c r="J863" s="669" t="n"/>
      <c r="K863" s="669" t="n"/>
      <c r="L863" s="669" t="n"/>
      <c r="M863" s="669" t="n"/>
      <c r="N863" s="669" t="n"/>
      <c r="O863" s="669" t="n"/>
      <c r="P863" s="669" t="n"/>
      <c r="Q863" s="669" t="n"/>
      <c r="R863" s="669" t="n"/>
      <c r="S863" s="669" t="n"/>
      <c r="T863" s="669" t="n"/>
      <c r="U863" s="669" t="n"/>
    </row>
    <row r="864" ht="15.75" customHeight="1" s="1128">
      <c r="A864" s="669" t="n"/>
      <c r="B864" s="669" t="n"/>
      <c r="C864" s="669" t="n"/>
      <c r="D864" s="669" t="n"/>
      <c r="E864" s="669" t="n"/>
      <c r="F864" s="669" t="n"/>
      <c r="G864" s="669" t="n"/>
      <c r="H864" s="669" t="n"/>
      <c r="I864" s="669" t="n"/>
      <c r="J864" s="669" t="n"/>
      <c r="K864" s="669" t="n"/>
      <c r="L864" s="669" t="n"/>
      <c r="M864" s="669" t="n"/>
      <c r="N864" s="669" t="n"/>
      <c r="O864" s="669" t="n"/>
      <c r="P864" s="669" t="n"/>
      <c r="Q864" s="669" t="n"/>
      <c r="R864" s="669" t="n"/>
      <c r="S864" s="669" t="n"/>
      <c r="T864" s="669" t="n"/>
      <c r="U864" s="669" t="n"/>
    </row>
    <row r="865" ht="15.75" customHeight="1" s="1128">
      <c r="A865" s="669" t="n"/>
      <c r="B865" s="669" t="n"/>
      <c r="C865" s="669" t="n"/>
      <c r="D865" s="669" t="n"/>
      <c r="E865" s="669" t="n"/>
      <c r="F865" s="669" t="n"/>
      <c r="G865" s="669" t="n"/>
      <c r="H865" s="669" t="n"/>
      <c r="I865" s="669" t="n"/>
      <c r="J865" s="669" t="n"/>
      <c r="K865" s="669" t="n"/>
      <c r="L865" s="669" t="n"/>
      <c r="M865" s="669" t="n"/>
      <c r="N865" s="669" t="n"/>
      <c r="O865" s="669" t="n"/>
      <c r="P865" s="669" t="n"/>
      <c r="Q865" s="669" t="n"/>
      <c r="R865" s="669" t="n"/>
      <c r="S865" s="669" t="n"/>
      <c r="T865" s="669" t="n"/>
      <c r="U865" s="669" t="n"/>
    </row>
    <row r="866" ht="15.75" customHeight="1" s="1128">
      <c r="A866" s="669" t="n"/>
      <c r="B866" s="669" t="n"/>
      <c r="C866" s="669" t="n"/>
      <c r="D866" s="669" t="n"/>
      <c r="E866" s="669" t="n"/>
      <c r="F866" s="669" t="n"/>
      <c r="G866" s="669" t="n"/>
      <c r="H866" s="669" t="n"/>
      <c r="I866" s="669" t="n"/>
      <c r="J866" s="669" t="n"/>
      <c r="K866" s="669" t="n"/>
      <c r="L866" s="669" t="n"/>
      <c r="M866" s="669" t="n"/>
      <c r="N866" s="669" t="n"/>
      <c r="O866" s="669" t="n"/>
      <c r="P866" s="669" t="n"/>
      <c r="Q866" s="669" t="n"/>
      <c r="R866" s="669" t="n"/>
      <c r="S866" s="669" t="n"/>
      <c r="T866" s="669" t="n"/>
      <c r="U866" s="669" t="n"/>
    </row>
    <row r="867" ht="15.75" customHeight="1" s="1128">
      <c r="A867" s="669" t="n"/>
      <c r="B867" s="669" t="n"/>
      <c r="C867" s="669" t="n"/>
      <c r="D867" s="669" t="n"/>
      <c r="E867" s="669" t="n"/>
      <c r="F867" s="669" t="n"/>
      <c r="G867" s="669" t="n"/>
      <c r="H867" s="669" t="n"/>
      <c r="I867" s="669" t="n"/>
      <c r="J867" s="669" t="n"/>
      <c r="K867" s="669" t="n"/>
      <c r="L867" s="669" t="n"/>
      <c r="M867" s="669" t="n"/>
      <c r="N867" s="669" t="n"/>
      <c r="O867" s="669" t="n"/>
      <c r="P867" s="669" t="n"/>
      <c r="Q867" s="669" t="n"/>
      <c r="R867" s="669" t="n"/>
      <c r="S867" s="669" t="n"/>
      <c r="T867" s="669" t="n"/>
      <c r="U867" s="669" t="n"/>
    </row>
    <row r="868" ht="15.75" customHeight="1" s="1128">
      <c r="A868" s="669" t="n"/>
      <c r="B868" s="669" t="n"/>
      <c r="C868" s="669" t="n"/>
      <c r="D868" s="669" t="n"/>
      <c r="E868" s="669" t="n"/>
      <c r="F868" s="669" t="n"/>
      <c r="G868" s="669" t="n"/>
      <c r="H868" s="669" t="n"/>
      <c r="I868" s="669" t="n"/>
      <c r="J868" s="669" t="n"/>
      <c r="K868" s="669" t="n"/>
      <c r="L868" s="669" t="n"/>
      <c r="M868" s="669" t="n"/>
      <c r="N868" s="669" t="n"/>
      <c r="O868" s="669" t="n"/>
      <c r="P868" s="669" t="n"/>
      <c r="Q868" s="669" t="n"/>
      <c r="R868" s="669" t="n"/>
      <c r="S868" s="669" t="n"/>
      <c r="T868" s="669" t="n"/>
      <c r="U868" s="669" t="n"/>
    </row>
    <row r="869" ht="15.75" customHeight="1" s="1128">
      <c r="A869" s="669" t="n"/>
      <c r="B869" s="669" t="n"/>
      <c r="C869" s="669" t="n"/>
      <c r="D869" s="669" t="n"/>
      <c r="E869" s="669" t="n"/>
      <c r="F869" s="669" t="n"/>
      <c r="G869" s="669" t="n"/>
      <c r="H869" s="669" t="n"/>
      <c r="I869" s="669" t="n"/>
      <c r="J869" s="669" t="n"/>
      <c r="K869" s="669" t="n"/>
      <c r="L869" s="669" t="n"/>
      <c r="M869" s="669" t="n"/>
      <c r="N869" s="669" t="n"/>
      <c r="O869" s="669" t="n"/>
      <c r="P869" s="669" t="n"/>
      <c r="Q869" s="669" t="n"/>
      <c r="R869" s="669" t="n"/>
      <c r="S869" s="669" t="n"/>
      <c r="T869" s="669" t="n"/>
      <c r="U869" s="669" t="n"/>
    </row>
    <row r="870" ht="15.75" customHeight="1" s="1128">
      <c r="A870" s="669" t="n"/>
      <c r="B870" s="669" t="n"/>
      <c r="C870" s="669" t="n"/>
      <c r="D870" s="669" t="n"/>
      <c r="E870" s="669" t="n"/>
      <c r="F870" s="669" t="n"/>
      <c r="G870" s="669" t="n"/>
      <c r="H870" s="669" t="n"/>
      <c r="I870" s="669" t="n"/>
      <c r="J870" s="669" t="n"/>
      <c r="K870" s="669" t="n"/>
      <c r="L870" s="669" t="n"/>
      <c r="M870" s="669" t="n"/>
      <c r="N870" s="669" t="n"/>
      <c r="O870" s="669" t="n"/>
      <c r="P870" s="669" t="n"/>
      <c r="Q870" s="669" t="n"/>
      <c r="R870" s="669" t="n"/>
      <c r="S870" s="669" t="n"/>
      <c r="T870" s="669" t="n"/>
      <c r="U870" s="669" t="n"/>
    </row>
    <row r="871" ht="15.75" customHeight="1" s="1128">
      <c r="A871" s="669" t="n"/>
      <c r="B871" s="669" t="n"/>
      <c r="C871" s="669" t="n"/>
      <c r="D871" s="669" t="n"/>
      <c r="E871" s="669" t="n"/>
      <c r="F871" s="669" t="n"/>
      <c r="G871" s="669" t="n"/>
      <c r="H871" s="669" t="n"/>
      <c r="I871" s="669" t="n"/>
      <c r="J871" s="669" t="n"/>
      <c r="K871" s="669" t="n"/>
      <c r="L871" s="669" t="n"/>
      <c r="M871" s="669" t="n"/>
      <c r="N871" s="669" t="n"/>
      <c r="O871" s="669" t="n"/>
      <c r="P871" s="669" t="n"/>
      <c r="Q871" s="669" t="n"/>
      <c r="R871" s="669" t="n"/>
      <c r="S871" s="669" t="n"/>
      <c r="T871" s="669" t="n"/>
      <c r="U871" s="669" t="n"/>
    </row>
    <row r="872" ht="15.75" customHeight="1" s="1128">
      <c r="A872" s="669" t="n"/>
      <c r="B872" s="669" t="n"/>
      <c r="C872" s="669" t="n"/>
      <c r="D872" s="669" t="n"/>
      <c r="E872" s="669" t="n"/>
      <c r="F872" s="669" t="n"/>
      <c r="G872" s="669" t="n"/>
      <c r="H872" s="669" t="n"/>
      <c r="I872" s="669" t="n"/>
      <c r="J872" s="669" t="n"/>
      <c r="K872" s="669" t="n"/>
      <c r="L872" s="669" t="n"/>
      <c r="M872" s="669" t="n"/>
      <c r="N872" s="669" t="n"/>
      <c r="O872" s="669" t="n"/>
      <c r="P872" s="669" t="n"/>
      <c r="Q872" s="669" t="n"/>
      <c r="R872" s="669" t="n"/>
      <c r="S872" s="669" t="n"/>
      <c r="T872" s="669" t="n"/>
      <c r="U872" s="669" t="n"/>
    </row>
    <row r="873" ht="15.75" customHeight="1" s="1128">
      <c r="A873" s="669" t="n"/>
      <c r="B873" s="669" t="n"/>
      <c r="C873" s="669" t="n"/>
      <c r="D873" s="669" t="n"/>
      <c r="E873" s="669" t="n"/>
      <c r="F873" s="669" t="n"/>
      <c r="G873" s="669" t="n"/>
      <c r="H873" s="669" t="n"/>
      <c r="I873" s="669" t="n"/>
      <c r="J873" s="669" t="n"/>
      <c r="K873" s="669" t="n"/>
      <c r="L873" s="669" t="n"/>
      <c r="M873" s="669" t="n"/>
      <c r="N873" s="669" t="n"/>
      <c r="O873" s="669" t="n"/>
      <c r="P873" s="669" t="n"/>
      <c r="Q873" s="669" t="n"/>
      <c r="R873" s="669" t="n"/>
      <c r="S873" s="669" t="n"/>
      <c r="T873" s="669" t="n"/>
      <c r="U873" s="669" t="n"/>
    </row>
    <row r="874" ht="15.75" customHeight="1" s="1128">
      <c r="A874" s="669" t="n"/>
      <c r="B874" s="669" t="n"/>
      <c r="C874" s="669" t="n"/>
      <c r="D874" s="669" t="n"/>
      <c r="E874" s="669" t="n"/>
      <c r="F874" s="669" t="n"/>
      <c r="G874" s="669" t="n"/>
      <c r="H874" s="669" t="n"/>
      <c r="I874" s="669" t="n"/>
      <c r="J874" s="669" t="n"/>
      <c r="K874" s="669" t="n"/>
      <c r="L874" s="669" t="n"/>
      <c r="M874" s="669" t="n"/>
      <c r="N874" s="669" t="n"/>
      <c r="O874" s="669" t="n"/>
      <c r="P874" s="669" t="n"/>
      <c r="Q874" s="669" t="n"/>
      <c r="R874" s="669" t="n"/>
      <c r="S874" s="669" t="n"/>
      <c r="T874" s="669" t="n"/>
      <c r="U874" s="669" t="n"/>
    </row>
    <row r="875" ht="15.75" customHeight="1" s="1128">
      <c r="A875" s="669" t="n"/>
      <c r="B875" s="669" t="n"/>
      <c r="C875" s="669" t="n"/>
      <c r="D875" s="669" t="n"/>
      <c r="E875" s="669" t="n"/>
      <c r="F875" s="669" t="n"/>
      <c r="G875" s="669" t="n"/>
      <c r="H875" s="669" t="n"/>
      <c r="I875" s="669" t="n"/>
      <c r="J875" s="669" t="n"/>
      <c r="K875" s="669" t="n"/>
      <c r="L875" s="669" t="n"/>
      <c r="M875" s="669" t="n"/>
      <c r="N875" s="669" t="n"/>
      <c r="O875" s="669" t="n"/>
      <c r="P875" s="669" t="n"/>
      <c r="Q875" s="669" t="n"/>
      <c r="R875" s="669" t="n"/>
      <c r="S875" s="669" t="n"/>
      <c r="T875" s="669" t="n"/>
      <c r="U875" s="669" t="n"/>
    </row>
    <row r="876" ht="15.75" customHeight="1" s="1128">
      <c r="A876" s="669" t="n"/>
      <c r="B876" s="669" t="n"/>
      <c r="C876" s="669" t="n"/>
      <c r="D876" s="669" t="n"/>
      <c r="E876" s="669" t="n"/>
      <c r="F876" s="669" t="n"/>
      <c r="G876" s="669" t="n"/>
      <c r="H876" s="669" t="n"/>
      <c r="I876" s="669" t="n"/>
      <c r="J876" s="669" t="n"/>
      <c r="K876" s="669" t="n"/>
      <c r="L876" s="669" t="n"/>
      <c r="M876" s="669" t="n"/>
      <c r="N876" s="669" t="n"/>
      <c r="O876" s="669" t="n"/>
      <c r="P876" s="669" t="n"/>
      <c r="Q876" s="669" t="n"/>
      <c r="R876" s="669" t="n"/>
      <c r="S876" s="669" t="n"/>
      <c r="T876" s="669" t="n"/>
      <c r="U876" s="669" t="n"/>
    </row>
    <row r="877" ht="15.75" customHeight="1" s="1128">
      <c r="A877" s="669" t="n"/>
      <c r="B877" s="669" t="n"/>
      <c r="C877" s="669" t="n"/>
      <c r="D877" s="669" t="n"/>
      <c r="E877" s="669" t="n"/>
      <c r="F877" s="669" t="n"/>
      <c r="G877" s="669" t="n"/>
      <c r="H877" s="669" t="n"/>
      <c r="I877" s="669" t="n"/>
      <c r="J877" s="669" t="n"/>
      <c r="K877" s="669" t="n"/>
      <c r="L877" s="669" t="n"/>
      <c r="M877" s="669" t="n"/>
      <c r="N877" s="669" t="n"/>
      <c r="O877" s="669" t="n"/>
      <c r="P877" s="669" t="n"/>
      <c r="Q877" s="669" t="n"/>
      <c r="R877" s="669" t="n"/>
      <c r="S877" s="669" t="n"/>
      <c r="T877" s="669" t="n"/>
      <c r="U877" s="669" t="n"/>
    </row>
    <row r="878" ht="15.75" customHeight="1" s="1128">
      <c r="A878" s="669" t="n"/>
      <c r="B878" s="669" t="n"/>
      <c r="C878" s="669" t="n"/>
      <c r="D878" s="669" t="n"/>
      <c r="E878" s="669" t="n"/>
      <c r="F878" s="669" t="n"/>
      <c r="G878" s="669" t="n"/>
      <c r="H878" s="669" t="n"/>
      <c r="I878" s="669" t="n"/>
      <c r="J878" s="669" t="n"/>
      <c r="K878" s="669" t="n"/>
      <c r="L878" s="669" t="n"/>
      <c r="M878" s="669" t="n"/>
      <c r="N878" s="669" t="n"/>
      <c r="O878" s="669" t="n"/>
      <c r="P878" s="669" t="n"/>
      <c r="Q878" s="669" t="n"/>
      <c r="R878" s="669" t="n"/>
      <c r="S878" s="669" t="n"/>
      <c r="T878" s="669" t="n"/>
      <c r="U878" s="669" t="n"/>
    </row>
    <row r="879" ht="15.75" customHeight="1" s="1128">
      <c r="A879" s="669" t="n"/>
      <c r="B879" s="669" t="n"/>
      <c r="C879" s="669" t="n"/>
      <c r="D879" s="669" t="n"/>
      <c r="E879" s="669" t="n"/>
      <c r="F879" s="669" t="n"/>
      <c r="G879" s="669" t="n"/>
      <c r="H879" s="669" t="n"/>
      <c r="I879" s="669" t="n"/>
      <c r="J879" s="669" t="n"/>
      <c r="K879" s="669" t="n"/>
      <c r="L879" s="669" t="n"/>
      <c r="M879" s="669" t="n"/>
      <c r="N879" s="669" t="n"/>
      <c r="O879" s="669" t="n"/>
      <c r="P879" s="669" t="n"/>
      <c r="Q879" s="669" t="n"/>
      <c r="R879" s="669" t="n"/>
      <c r="S879" s="669" t="n"/>
      <c r="T879" s="669" t="n"/>
      <c r="U879" s="669" t="n"/>
    </row>
    <row r="880" ht="15.75" customHeight="1" s="1128">
      <c r="A880" s="669" t="n"/>
      <c r="B880" s="669" t="n"/>
      <c r="C880" s="669" t="n"/>
      <c r="D880" s="669" t="n"/>
      <c r="E880" s="669" t="n"/>
      <c r="F880" s="669" t="n"/>
      <c r="G880" s="669" t="n"/>
      <c r="H880" s="669" t="n"/>
      <c r="I880" s="669" t="n"/>
      <c r="J880" s="669" t="n"/>
      <c r="K880" s="669" t="n"/>
      <c r="L880" s="669" t="n"/>
      <c r="M880" s="669" t="n"/>
      <c r="N880" s="669" t="n"/>
      <c r="O880" s="669" t="n"/>
      <c r="P880" s="669" t="n"/>
      <c r="Q880" s="669" t="n"/>
      <c r="R880" s="669" t="n"/>
      <c r="S880" s="669" t="n"/>
      <c r="T880" s="669" t="n"/>
      <c r="U880" s="669" t="n"/>
    </row>
    <row r="881" ht="15.75" customHeight="1" s="1128">
      <c r="A881" s="669" t="n"/>
      <c r="B881" s="669" t="n"/>
      <c r="C881" s="669" t="n"/>
      <c r="D881" s="669" t="n"/>
      <c r="E881" s="669" t="n"/>
      <c r="F881" s="669" t="n"/>
      <c r="G881" s="669" t="n"/>
      <c r="H881" s="669" t="n"/>
      <c r="I881" s="669" t="n"/>
      <c r="J881" s="669" t="n"/>
      <c r="K881" s="669" t="n"/>
      <c r="L881" s="669" t="n"/>
      <c r="M881" s="669" t="n"/>
      <c r="N881" s="669" t="n"/>
      <c r="O881" s="669" t="n"/>
      <c r="P881" s="669" t="n"/>
      <c r="Q881" s="669" t="n"/>
      <c r="R881" s="669" t="n"/>
      <c r="S881" s="669" t="n"/>
      <c r="T881" s="669" t="n"/>
      <c r="U881" s="669" t="n"/>
    </row>
    <row r="882" ht="15.75" customHeight="1" s="1128">
      <c r="A882" s="669" t="n"/>
      <c r="B882" s="669" t="n"/>
      <c r="C882" s="669" t="n"/>
      <c r="D882" s="669" t="n"/>
      <c r="E882" s="669" t="n"/>
      <c r="F882" s="669" t="n"/>
      <c r="G882" s="669" t="n"/>
      <c r="H882" s="669" t="n"/>
      <c r="I882" s="669" t="n"/>
      <c r="J882" s="669" t="n"/>
      <c r="K882" s="669" t="n"/>
      <c r="L882" s="669" t="n"/>
      <c r="M882" s="669" t="n"/>
      <c r="N882" s="669" t="n"/>
      <c r="O882" s="669" t="n"/>
      <c r="P882" s="669" t="n"/>
      <c r="Q882" s="669" t="n"/>
      <c r="R882" s="669" t="n"/>
      <c r="S882" s="669" t="n"/>
      <c r="T882" s="669" t="n"/>
      <c r="U882" s="669" t="n"/>
    </row>
    <row r="883" ht="15.75" customHeight="1" s="1128">
      <c r="A883" s="669" t="n"/>
      <c r="B883" s="669" t="n"/>
      <c r="C883" s="669" t="n"/>
      <c r="D883" s="669" t="n"/>
      <c r="E883" s="669" t="n"/>
      <c r="F883" s="669" t="n"/>
      <c r="G883" s="669" t="n"/>
      <c r="H883" s="669" t="n"/>
      <c r="I883" s="669" t="n"/>
      <c r="J883" s="669" t="n"/>
      <c r="K883" s="669" t="n"/>
      <c r="L883" s="669" t="n"/>
      <c r="M883" s="669" t="n"/>
      <c r="N883" s="669" t="n"/>
      <c r="O883" s="669" t="n"/>
      <c r="P883" s="669" t="n"/>
      <c r="Q883" s="669" t="n"/>
      <c r="R883" s="669" t="n"/>
      <c r="S883" s="669" t="n"/>
      <c r="T883" s="669" t="n"/>
      <c r="U883" s="669" t="n"/>
    </row>
    <row r="884" ht="15.75" customHeight="1" s="1128">
      <c r="A884" s="669" t="n"/>
      <c r="B884" s="669" t="n"/>
      <c r="C884" s="669" t="n"/>
      <c r="D884" s="669" t="n"/>
      <c r="E884" s="669" t="n"/>
      <c r="F884" s="669" t="n"/>
      <c r="G884" s="669" t="n"/>
      <c r="H884" s="669" t="n"/>
      <c r="I884" s="669" t="n"/>
      <c r="J884" s="669" t="n"/>
      <c r="K884" s="669" t="n"/>
      <c r="L884" s="669" t="n"/>
      <c r="M884" s="669" t="n"/>
      <c r="N884" s="669" t="n"/>
      <c r="O884" s="669" t="n"/>
      <c r="P884" s="669" t="n"/>
      <c r="Q884" s="669" t="n"/>
      <c r="R884" s="669" t="n"/>
      <c r="S884" s="669" t="n"/>
      <c r="T884" s="669" t="n"/>
      <c r="U884" s="669" t="n"/>
    </row>
    <row r="885" ht="15.75" customHeight="1" s="1128">
      <c r="A885" s="669" t="n"/>
      <c r="B885" s="669" t="n"/>
      <c r="C885" s="669" t="n"/>
      <c r="D885" s="669" t="n"/>
      <c r="E885" s="669" t="n"/>
      <c r="F885" s="669" t="n"/>
      <c r="G885" s="669" t="n"/>
      <c r="H885" s="669" t="n"/>
      <c r="I885" s="669" t="n"/>
      <c r="J885" s="669" t="n"/>
      <c r="K885" s="669" t="n"/>
      <c r="L885" s="669" t="n"/>
      <c r="M885" s="669" t="n"/>
      <c r="N885" s="669" t="n"/>
      <c r="O885" s="669" t="n"/>
      <c r="P885" s="669" t="n"/>
      <c r="Q885" s="669" t="n"/>
      <c r="R885" s="669" t="n"/>
      <c r="S885" s="669" t="n"/>
      <c r="T885" s="669" t="n"/>
      <c r="U885" s="669" t="n"/>
    </row>
    <row r="886" ht="15.75" customHeight="1" s="1128">
      <c r="A886" s="669" t="n"/>
      <c r="B886" s="669" t="n"/>
      <c r="C886" s="669" t="n"/>
      <c r="D886" s="669" t="n"/>
      <c r="E886" s="669" t="n"/>
      <c r="F886" s="669" t="n"/>
      <c r="G886" s="669" t="n"/>
      <c r="H886" s="669" t="n"/>
      <c r="I886" s="669" t="n"/>
      <c r="J886" s="669" t="n"/>
      <c r="K886" s="669" t="n"/>
      <c r="L886" s="669" t="n"/>
      <c r="M886" s="669" t="n"/>
      <c r="N886" s="669" t="n"/>
      <c r="O886" s="669" t="n"/>
      <c r="P886" s="669" t="n"/>
      <c r="Q886" s="669" t="n"/>
      <c r="R886" s="669" t="n"/>
      <c r="S886" s="669" t="n"/>
      <c r="T886" s="669" t="n"/>
      <c r="U886" s="669" t="n"/>
    </row>
    <row r="887" ht="15.75" customHeight="1" s="1128">
      <c r="A887" s="669" t="n"/>
      <c r="B887" s="669" t="n"/>
      <c r="C887" s="669" t="n"/>
      <c r="D887" s="669" t="n"/>
      <c r="E887" s="669" t="n"/>
      <c r="F887" s="669" t="n"/>
      <c r="G887" s="669" t="n"/>
      <c r="H887" s="669" t="n"/>
      <c r="I887" s="669" t="n"/>
      <c r="J887" s="669" t="n"/>
      <c r="K887" s="669" t="n"/>
      <c r="L887" s="669" t="n"/>
      <c r="M887" s="669" t="n"/>
      <c r="N887" s="669" t="n"/>
      <c r="O887" s="669" t="n"/>
      <c r="P887" s="669" t="n"/>
      <c r="Q887" s="669" t="n"/>
      <c r="R887" s="669" t="n"/>
      <c r="S887" s="669" t="n"/>
      <c r="T887" s="669" t="n"/>
      <c r="U887" s="669" t="n"/>
    </row>
    <row r="888" ht="15.75" customHeight="1" s="1128">
      <c r="A888" s="669" t="n"/>
      <c r="B888" s="669" t="n"/>
      <c r="C888" s="669" t="n"/>
      <c r="D888" s="669" t="n"/>
      <c r="E888" s="669" t="n"/>
      <c r="F888" s="669" t="n"/>
      <c r="G888" s="669" t="n"/>
      <c r="H888" s="669" t="n"/>
      <c r="I888" s="669" t="n"/>
      <c r="J888" s="669" t="n"/>
      <c r="K888" s="669" t="n"/>
      <c r="L888" s="669" t="n"/>
      <c r="M888" s="669" t="n"/>
      <c r="N888" s="669" t="n"/>
      <c r="O888" s="669" t="n"/>
      <c r="P888" s="669" t="n"/>
      <c r="Q888" s="669" t="n"/>
      <c r="R888" s="669" t="n"/>
      <c r="S888" s="669" t="n"/>
      <c r="T888" s="669" t="n"/>
      <c r="U888" s="669" t="n"/>
    </row>
    <row r="889" ht="15.75" customHeight="1" s="1128">
      <c r="A889" s="669" t="n"/>
      <c r="B889" s="669" t="n"/>
      <c r="C889" s="669" t="n"/>
      <c r="D889" s="669" t="n"/>
      <c r="E889" s="669" t="n"/>
      <c r="F889" s="669" t="n"/>
      <c r="G889" s="669" t="n"/>
      <c r="H889" s="669" t="n"/>
      <c r="I889" s="669" t="n"/>
      <c r="J889" s="669" t="n"/>
      <c r="K889" s="669" t="n"/>
      <c r="L889" s="669" t="n"/>
      <c r="M889" s="669" t="n"/>
      <c r="N889" s="669" t="n"/>
      <c r="O889" s="669" t="n"/>
      <c r="P889" s="669" t="n"/>
      <c r="Q889" s="669" t="n"/>
      <c r="R889" s="669" t="n"/>
      <c r="S889" s="669" t="n"/>
      <c r="T889" s="669" t="n"/>
      <c r="U889" s="669" t="n"/>
    </row>
    <row r="890" ht="15.75" customHeight="1" s="1128">
      <c r="A890" s="669" t="n"/>
      <c r="B890" s="669" t="n"/>
      <c r="C890" s="669" t="n"/>
      <c r="D890" s="669" t="n"/>
      <c r="E890" s="669" t="n"/>
      <c r="F890" s="669" t="n"/>
      <c r="G890" s="669" t="n"/>
      <c r="H890" s="669" t="n"/>
      <c r="I890" s="669" t="n"/>
      <c r="J890" s="669" t="n"/>
      <c r="K890" s="669" t="n"/>
      <c r="L890" s="669" t="n"/>
      <c r="M890" s="669" t="n"/>
      <c r="N890" s="669" t="n"/>
      <c r="O890" s="669" t="n"/>
      <c r="P890" s="669" t="n"/>
      <c r="Q890" s="669" t="n"/>
      <c r="R890" s="669" t="n"/>
      <c r="S890" s="669" t="n"/>
      <c r="T890" s="669" t="n"/>
      <c r="U890" s="669" t="n"/>
    </row>
    <row r="891" ht="15.75" customHeight="1" s="1128">
      <c r="A891" s="669" t="n"/>
      <c r="B891" s="669" t="n"/>
      <c r="C891" s="669" t="n"/>
      <c r="D891" s="669" t="n"/>
      <c r="E891" s="669" t="n"/>
      <c r="F891" s="669" t="n"/>
      <c r="G891" s="669" t="n"/>
      <c r="H891" s="669" t="n"/>
      <c r="I891" s="669" t="n"/>
      <c r="J891" s="669" t="n"/>
      <c r="K891" s="669" t="n"/>
      <c r="L891" s="669" t="n"/>
      <c r="M891" s="669" t="n"/>
      <c r="N891" s="669" t="n"/>
      <c r="O891" s="669" t="n"/>
      <c r="P891" s="669" t="n"/>
      <c r="Q891" s="669" t="n"/>
      <c r="R891" s="669" t="n"/>
      <c r="S891" s="669" t="n"/>
      <c r="T891" s="669" t="n"/>
      <c r="U891" s="669" t="n"/>
    </row>
    <row r="892" ht="15.75" customHeight="1" s="1128">
      <c r="A892" s="669" t="n"/>
      <c r="B892" s="669" t="n"/>
      <c r="C892" s="669" t="n"/>
      <c r="D892" s="669" t="n"/>
      <c r="E892" s="669" t="n"/>
      <c r="F892" s="669" t="n"/>
      <c r="G892" s="669" t="n"/>
      <c r="H892" s="669" t="n"/>
      <c r="I892" s="669" t="n"/>
      <c r="J892" s="669" t="n"/>
      <c r="K892" s="669" t="n"/>
      <c r="L892" s="669" t="n"/>
      <c r="M892" s="669" t="n"/>
      <c r="N892" s="669" t="n"/>
      <c r="O892" s="669" t="n"/>
      <c r="P892" s="669" t="n"/>
      <c r="Q892" s="669" t="n"/>
      <c r="R892" s="669" t="n"/>
      <c r="S892" s="669" t="n"/>
      <c r="T892" s="669" t="n"/>
      <c r="U892" s="669" t="n"/>
    </row>
    <row r="893" ht="15.75" customHeight="1" s="1128">
      <c r="A893" s="669" t="n"/>
      <c r="B893" s="669" t="n"/>
      <c r="C893" s="669" t="n"/>
      <c r="D893" s="669" t="n"/>
      <c r="E893" s="669" t="n"/>
      <c r="F893" s="669" t="n"/>
      <c r="G893" s="669" t="n"/>
      <c r="H893" s="669" t="n"/>
      <c r="I893" s="669" t="n"/>
      <c r="J893" s="669" t="n"/>
      <c r="K893" s="669" t="n"/>
      <c r="L893" s="669" t="n"/>
      <c r="M893" s="669" t="n"/>
      <c r="N893" s="669" t="n"/>
      <c r="O893" s="669" t="n"/>
      <c r="P893" s="669" t="n"/>
      <c r="Q893" s="669" t="n"/>
      <c r="R893" s="669" t="n"/>
      <c r="S893" s="669" t="n"/>
      <c r="T893" s="669" t="n"/>
      <c r="U893" s="669" t="n"/>
    </row>
    <row r="894" ht="15.75" customHeight="1" s="1128">
      <c r="A894" s="669" t="n"/>
      <c r="B894" s="669" t="n"/>
      <c r="C894" s="669" t="n"/>
      <c r="D894" s="669" t="n"/>
      <c r="E894" s="669" t="n"/>
      <c r="F894" s="669" t="n"/>
      <c r="G894" s="669" t="n"/>
      <c r="H894" s="669" t="n"/>
      <c r="I894" s="669" t="n"/>
      <c r="J894" s="669" t="n"/>
      <c r="K894" s="669" t="n"/>
      <c r="L894" s="669" t="n"/>
      <c r="M894" s="669" t="n"/>
      <c r="N894" s="669" t="n"/>
      <c r="O894" s="669" t="n"/>
      <c r="P894" s="669" t="n"/>
      <c r="Q894" s="669" t="n"/>
      <c r="R894" s="669" t="n"/>
      <c r="S894" s="669" t="n"/>
      <c r="T894" s="669" t="n"/>
      <c r="U894" s="669" t="n"/>
    </row>
    <row r="895" ht="15.75" customHeight="1" s="1128">
      <c r="A895" s="669" t="n"/>
      <c r="B895" s="669" t="n"/>
      <c r="C895" s="669" t="n"/>
      <c r="D895" s="669" t="n"/>
      <c r="E895" s="669" t="n"/>
      <c r="F895" s="669" t="n"/>
      <c r="G895" s="669" t="n"/>
      <c r="H895" s="669" t="n"/>
      <c r="I895" s="669" t="n"/>
      <c r="J895" s="669" t="n"/>
      <c r="K895" s="669" t="n"/>
      <c r="L895" s="669" t="n"/>
      <c r="M895" s="669" t="n"/>
      <c r="N895" s="669" t="n"/>
      <c r="O895" s="669" t="n"/>
      <c r="P895" s="669" t="n"/>
      <c r="Q895" s="669" t="n"/>
      <c r="R895" s="669" t="n"/>
      <c r="S895" s="669" t="n"/>
      <c r="T895" s="669" t="n"/>
      <c r="U895" s="669" t="n"/>
    </row>
    <row r="896" ht="15.75" customHeight="1" s="1128">
      <c r="A896" s="669" t="n"/>
      <c r="B896" s="669" t="n"/>
      <c r="C896" s="669" t="n"/>
      <c r="D896" s="669" t="n"/>
      <c r="E896" s="669" t="n"/>
      <c r="F896" s="669" t="n"/>
      <c r="G896" s="669" t="n"/>
      <c r="H896" s="669" t="n"/>
      <c r="I896" s="669" t="n"/>
      <c r="J896" s="669" t="n"/>
      <c r="K896" s="669" t="n"/>
      <c r="L896" s="669" t="n"/>
      <c r="M896" s="669" t="n"/>
      <c r="N896" s="669" t="n"/>
      <c r="O896" s="669" t="n"/>
      <c r="P896" s="669" t="n"/>
      <c r="Q896" s="669" t="n"/>
      <c r="R896" s="669" t="n"/>
      <c r="S896" s="669" t="n"/>
      <c r="T896" s="669" t="n"/>
      <c r="U896" s="669" t="n"/>
    </row>
    <row r="897" ht="15.75" customHeight="1" s="1128">
      <c r="A897" s="669" t="n"/>
      <c r="B897" s="669" t="n"/>
      <c r="C897" s="669" t="n"/>
      <c r="D897" s="669" t="n"/>
      <c r="E897" s="669" t="n"/>
      <c r="F897" s="669" t="n"/>
      <c r="G897" s="669" t="n"/>
      <c r="H897" s="669" t="n"/>
      <c r="I897" s="669" t="n"/>
      <c r="J897" s="669" t="n"/>
      <c r="K897" s="669" t="n"/>
      <c r="L897" s="669" t="n"/>
      <c r="M897" s="669" t="n"/>
      <c r="N897" s="669" t="n"/>
      <c r="O897" s="669" t="n"/>
      <c r="P897" s="669" t="n"/>
      <c r="Q897" s="669" t="n"/>
      <c r="R897" s="669" t="n"/>
      <c r="S897" s="669" t="n"/>
      <c r="T897" s="669" t="n"/>
      <c r="U897" s="669" t="n"/>
    </row>
    <row r="898" ht="15.75" customHeight="1" s="1128">
      <c r="A898" s="669" t="n"/>
      <c r="B898" s="669" t="n"/>
      <c r="C898" s="669" t="n"/>
      <c r="D898" s="669" t="n"/>
      <c r="E898" s="669" t="n"/>
      <c r="F898" s="669" t="n"/>
      <c r="G898" s="669" t="n"/>
      <c r="H898" s="669" t="n"/>
      <c r="I898" s="669" t="n"/>
      <c r="J898" s="669" t="n"/>
      <c r="K898" s="669" t="n"/>
      <c r="L898" s="669" t="n"/>
      <c r="M898" s="669" t="n"/>
      <c r="N898" s="669" t="n"/>
      <c r="O898" s="669" t="n"/>
      <c r="P898" s="669" t="n"/>
      <c r="Q898" s="669" t="n"/>
      <c r="R898" s="669" t="n"/>
      <c r="S898" s="669" t="n"/>
      <c r="T898" s="669" t="n"/>
      <c r="U898" s="669" t="n"/>
    </row>
    <row r="899" ht="15.75" customHeight="1" s="1128">
      <c r="A899" s="669" t="n"/>
      <c r="B899" s="669" t="n"/>
      <c r="C899" s="669" t="n"/>
      <c r="D899" s="669" t="n"/>
      <c r="E899" s="669" t="n"/>
      <c r="F899" s="669" t="n"/>
      <c r="G899" s="669" t="n"/>
      <c r="H899" s="669" t="n"/>
      <c r="I899" s="669" t="n"/>
      <c r="J899" s="669" t="n"/>
      <c r="K899" s="669" t="n"/>
      <c r="L899" s="669" t="n"/>
      <c r="M899" s="669" t="n"/>
      <c r="N899" s="669" t="n"/>
      <c r="O899" s="669" t="n"/>
      <c r="P899" s="669" t="n"/>
      <c r="Q899" s="669" t="n"/>
      <c r="R899" s="669" t="n"/>
      <c r="S899" s="669" t="n"/>
      <c r="T899" s="669" t="n"/>
      <c r="U899" s="669" t="n"/>
    </row>
    <row r="900" ht="15.75" customHeight="1" s="1128">
      <c r="A900" s="669" t="n"/>
      <c r="B900" s="669" t="n"/>
      <c r="C900" s="669" t="n"/>
      <c r="D900" s="669" t="n"/>
      <c r="E900" s="669" t="n"/>
      <c r="F900" s="669" t="n"/>
      <c r="G900" s="669" t="n"/>
      <c r="H900" s="669" t="n"/>
      <c r="I900" s="669" t="n"/>
      <c r="J900" s="669" t="n"/>
      <c r="K900" s="669" t="n"/>
      <c r="L900" s="669" t="n"/>
      <c r="M900" s="669" t="n"/>
      <c r="N900" s="669" t="n"/>
      <c r="O900" s="669" t="n"/>
      <c r="P900" s="669" t="n"/>
      <c r="Q900" s="669" t="n"/>
      <c r="R900" s="669" t="n"/>
      <c r="S900" s="669" t="n"/>
      <c r="T900" s="669" t="n"/>
      <c r="U900" s="669" t="n"/>
    </row>
    <row r="901" ht="15.75" customHeight="1" s="1128">
      <c r="A901" s="669" t="n"/>
      <c r="B901" s="669" t="n"/>
      <c r="C901" s="669" t="n"/>
      <c r="D901" s="669" t="n"/>
      <c r="E901" s="669" t="n"/>
      <c r="F901" s="669" t="n"/>
      <c r="G901" s="669" t="n"/>
      <c r="H901" s="669" t="n"/>
      <c r="I901" s="669" t="n"/>
      <c r="J901" s="669" t="n"/>
      <c r="K901" s="669" t="n"/>
      <c r="L901" s="669" t="n"/>
      <c r="M901" s="669" t="n"/>
      <c r="N901" s="669" t="n"/>
      <c r="O901" s="669" t="n"/>
      <c r="P901" s="669" t="n"/>
      <c r="Q901" s="669" t="n"/>
      <c r="R901" s="669" t="n"/>
      <c r="S901" s="669" t="n"/>
      <c r="T901" s="669" t="n"/>
      <c r="U901" s="669" t="n"/>
    </row>
    <row r="902" ht="15.75" customHeight="1" s="1128">
      <c r="A902" s="669" t="n"/>
      <c r="B902" s="669" t="n"/>
      <c r="C902" s="669" t="n"/>
      <c r="D902" s="669" t="n"/>
      <c r="E902" s="669" t="n"/>
      <c r="F902" s="669" t="n"/>
      <c r="G902" s="669" t="n"/>
      <c r="H902" s="669" t="n"/>
      <c r="I902" s="669" t="n"/>
      <c r="J902" s="669" t="n"/>
      <c r="K902" s="669" t="n"/>
      <c r="L902" s="669" t="n"/>
      <c r="M902" s="669" t="n"/>
      <c r="N902" s="669" t="n"/>
      <c r="O902" s="669" t="n"/>
      <c r="P902" s="669" t="n"/>
      <c r="Q902" s="669" t="n"/>
      <c r="R902" s="669" t="n"/>
      <c r="S902" s="669" t="n"/>
      <c r="T902" s="669" t="n"/>
      <c r="U902" s="669" t="n"/>
    </row>
    <row r="903" ht="15.75" customHeight="1" s="1128">
      <c r="A903" s="669" t="n"/>
      <c r="B903" s="669" t="n"/>
      <c r="C903" s="669" t="n"/>
      <c r="D903" s="669" t="n"/>
      <c r="E903" s="669" t="n"/>
      <c r="F903" s="669" t="n"/>
      <c r="G903" s="669" t="n"/>
      <c r="H903" s="669" t="n"/>
      <c r="I903" s="669" t="n"/>
      <c r="J903" s="669" t="n"/>
      <c r="K903" s="669" t="n"/>
      <c r="L903" s="669" t="n"/>
      <c r="M903" s="669" t="n"/>
      <c r="N903" s="669" t="n"/>
      <c r="O903" s="669" t="n"/>
      <c r="P903" s="669" t="n"/>
      <c r="Q903" s="669" t="n"/>
      <c r="R903" s="669" t="n"/>
      <c r="S903" s="669" t="n"/>
      <c r="T903" s="669" t="n"/>
      <c r="U903" s="669" t="n"/>
    </row>
    <row r="904" ht="15.75" customHeight="1" s="1128">
      <c r="A904" s="669" t="n"/>
      <c r="B904" s="669" t="n"/>
      <c r="C904" s="669" t="n"/>
      <c r="D904" s="669" t="n"/>
      <c r="E904" s="669" t="n"/>
      <c r="F904" s="669" t="n"/>
      <c r="G904" s="669" t="n"/>
      <c r="H904" s="669" t="n"/>
      <c r="I904" s="669" t="n"/>
      <c r="J904" s="669" t="n"/>
      <c r="K904" s="669" t="n"/>
      <c r="L904" s="669" t="n"/>
      <c r="M904" s="669" t="n"/>
      <c r="N904" s="669" t="n"/>
      <c r="O904" s="669" t="n"/>
      <c r="P904" s="669" t="n"/>
      <c r="Q904" s="669" t="n"/>
      <c r="R904" s="669" t="n"/>
      <c r="S904" s="669" t="n"/>
      <c r="T904" s="669" t="n"/>
      <c r="U904" s="669" t="n"/>
    </row>
    <row r="905" ht="15.75" customHeight="1" s="1128">
      <c r="A905" s="669" t="n"/>
      <c r="B905" s="669" t="n"/>
      <c r="C905" s="669" t="n"/>
      <c r="D905" s="669" t="n"/>
      <c r="E905" s="669" t="n"/>
      <c r="F905" s="669" t="n"/>
      <c r="G905" s="669" t="n"/>
      <c r="H905" s="669" t="n"/>
      <c r="I905" s="669" t="n"/>
      <c r="J905" s="669" t="n"/>
      <c r="K905" s="669" t="n"/>
      <c r="L905" s="669" t="n"/>
      <c r="M905" s="669" t="n"/>
      <c r="N905" s="669" t="n"/>
      <c r="O905" s="669" t="n"/>
      <c r="P905" s="669" t="n"/>
      <c r="Q905" s="669" t="n"/>
      <c r="R905" s="669" t="n"/>
      <c r="S905" s="669" t="n"/>
      <c r="T905" s="669" t="n"/>
      <c r="U905" s="669" t="n"/>
    </row>
    <row r="906" ht="15.75" customHeight="1" s="1128">
      <c r="A906" s="669" t="n"/>
      <c r="B906" s="669" t="n"/>
      <c r="C906" s="669" t="n"/>
      <c r="D906" s="669" t="n"/>
      <c r="E906" s="669" t="n"/>
      <c r="F906" s="669" t="n"/>
      <c r="G906" s="669" t="n"/>
      <c r="H906" s="669" t="n"/>
      <c r="I906" s="669" t="n"/>
      <c r="J906" s="669" t="n"/>
      <c r="K906" s="669" t="n"/>
      <c r="L906" s="669" t="n"/>
      <c r="M906" s="669" t="n"/>
      <c r="N906" s="669" t="n"/>
      <c r="O906" s="669" t="n"/>
      <c r="P906" s="669" t="n"/>
      <c r="Q906" s="669" t="n"/>
      <c r="R906" s="669" t="n"/>
      <c r="S906" s="669" t="n"/>
      <c r="T906" s="669" t="n"/>
      <c r="U906" s="669" t="n"/>
    </row>
    <row r="907" ht="15.75" customHeight="1" s="1128">
      <c r="A907" s="669" t="n"/>
      <c r="B907" s="669" t="n"/>
      <c r="C907" s="669" t="n"/>
      <c r="D907" s="669" t="n"/>
      <c r="E907" s="669" t="n"/>
      <c r="F907" s="669" t="n"/>
      <c r="G907" s="669" t="n"/>
      <c r="H907" s="669" t="n"/>
      <c r="I907" s="669" t="n"/>
      <c r="J907" s="669" t="n"/>
      <c r="K907" s="669" t="n"/>
      <c r="L907" s="669" t="n"/>
      <c r="M907" s="669" t="n"/>
      <c r="N907" s="669" t="n"/>
      <c r="O907" s="669" t="n"/>
      <c r="P907" s="669" t="n"/>
      <c r="Q907" s="669" t="n"/>
      <c r="R907" s="669" t="n"/>
      <c r="S907" s="669" t="n"/>
      <c r="T907" s="669" t="n"/>
      <c r="U907" s="669" t="n"/>
    </row>
    <row r="908" ht="15.75" customHeight="1" s="1128">
      <c r="A908" s="669" t="n"/>
      <c r="B908" s="669" t="n"/>
      <c r="C908" s="669" t="n"/>
      <c r="D908" s="669" t="n"/>
      <c r="E908" s="669" t="n"/>
      <c r="F908" s="669" t="n"/>
      <c r="G908" s="669" t="n"/>
      <c r="H908" s="669" t="n"/>
      <c r="I908" s="669" t="n"/>
      <c r="J908" s="669" t="n"/>
      <c r="K908" s="669" t="n"/>
      <c r="L908" s="669" t="n"/>
      <c r="M908" s="669" t="n"/>
      <c r="N908" s="669" t="n"/>
      <c r="O908" s="669" t="n"/>
      <c r="P908" s="669" t="n"/>
      <c r="Q908" s="669" t="n"/>
      <c r="R908" s="669" t="n"/>
      <c r="S908" s="669" t="n"/>
      <c r="T908" s="669" t="n"/>
      <c r="U908" s="669" t="n"/>
    </row>
    <row r="909" ht="15.75" customHeight="1" s="1128">
      <c r="A909" s="669" t="n"/>
      <c r="B909" s="669" t="n"/>
      <c r="C909" s="669" t="n"/>
      <c r="D909" s="669" t="n"/>
      <c r="E909" s="669" t="n"/>
      <c r="F909" s="669" t="n"/>
      <c r="G909" s="669" t="n"/>
      <c r="H909" s="669" t="n"/>
      <c r="I909" s="669" t="n"/>
      <c r="J909" s="669" t="n"/>
      <c r="K909" s="669" t="n"/>
      <c r="L909" s="669" t="n"/>
      <c r="M909" s="669" t="n"/>
      <c r="N909" s="669" t="n"/>
      <c r="O909" s="669" t="n"/>
      <c r="P909" s="669" t="n"/>
      <c r="Q909" s="669" t="n"/>
      <c r="R909" s="669" t="n"/>
      <c r="S909" s="669" t="n"/>
      <c r="T909" s="669" t="n"/>
      <c r="U909" s="669" t="n"/>
    </row>
    <row r="910" ht="15.75" customHeight="1" s="1128">
      <c r="A910" s="669" t="n"/>
      <c r="B910" s="669" t="n"/>
      <c r="C910" s="669" t="n"/>
      <c r="D910" s="669" t="n"/>
      <c r="E910" s="669" t="n"/>
      <c r="F910" s="669" t="n"/>
      <c r="G910" s="669" t="n"/>
      <c r="H910" s="669" t="n"/>
      <c r="I910" s="669" t="n"/>
      <c r="J910" s="669" t="n"/>
      <c r="K910" s="669" t="n"/>
      <c r="L910" s="669" t="n"/>
      <c r="M910" s="669" t="n"/>
      <c r="N910" s="669" t="n"/>
      <c r="O910" s="669" t="n"/>
      <c r="P910" s="669" t="n"/>
      <c r="Q910" s="669" t="n"/>
      <c r="R910" s="669" t="n"/>
      <c r="S910" s="669" t="n"/>
      <c r="T910" s="669" t="n"/>
      <c r="U910" s="669" t="n"/>
    </row>
    <row r="911" ht="15.75" customHeight="1" s="1128">
      <c r="A911" s="669" t="n"/>
      <c r="B911" s="669" t="n"/>
      <c r="C911" s="669" t="n"/>
      <c r="D911" s="669" t="n"/>
      <c r="E911" s="669" t="n"/>
      <c r="F911" s="669" t="n"/>
      <c r="G911" s="669" t="n"/>
      <c r="H911" s="669" t="n"/>
      <c r="I911" s="669" t="n"/>
      <c r="J911" s="669" t="n"/>
      <c r="K911" s="669" t="n"/>
      <c r="L911" s="669" t="n"/>
      <c r="M911" s="669" t="n"/>
      <c r="N911" s="669" t="n"/>
      <c r="O911" s="669" t="n"/>
      <c r="P911" s="669" t="n"/>
      <c r="Q911" s="669" t="n"/>
      <c r="R911" s="669" t="n"/>
      <c r="S911" s="669" t="n"/>
      <c r="T911" s="669" t="n"/>
      <c r="U911" s="669" t="n"/>
    </row>
    <row r="912" ht="15.75" customHeight="1" s="1128">
      <c r="A912" s="669" t="n"/>
      <c r="B912" s="669" t="n"/>
      <c r="C912" s="669" t="n"/>
      <c r="D912" s="669" t="n"/>
      <c r="E912" s="669" t="n"/>
      <c r="F912" s="669" t="n"/>
      <c r="G912" s="669" t="n"/>
      <c r="H912" s="669" t="n"/>
      <c r="I912" s="669" t="n"/>
      <c r="J912" s="669" t="n"/>
      <c r="K912" s="669" t="n"/>
      <c r="L912" s="669" t="n"/>
      <c r="M912" s="669" t="n"/>
      <c r="N912" s="669" t="n"/>
      <c r="O912" s="669" t="n"/>
      <c r="P912" s="669" t="n"/>
      <c r="Q912" s="669" t="n"/>
      <c r="R912" s="669" t="n"/>
      <c r="S912" s="669" t="n"/>
      <c r="T912" s="669" t="n"/>
      <c r="U912" s="669" t="n"/>
    </row>
    <row r="913" ht="15.75" customHeight="1" s="1128">
      <c r="A913" s="669" t="n"/>
      <c r="B913" s="669" t="n"/>
      <c r="C913" s="669" t="n"/>
      <c r="D913" s="669" t="n"/>
      <c r="E913" s="669" t="n"/>
      <c r="F913" s="669" t="n"/>
      <c r="G913" s="669" t="n"/>
      <c r="H913" s="669" t="n"/>
      <c r="I913" s="669" t="n"/>
      <c r="J913" s="669" t="n"/>
      <c r="K913" s="669" t="n"/>
      <c r="L913" s="669" t="n"/>
      <c r="M913" s="669" t="n"/>
      <c r="N913" s="669" t="n"/>
      <c r="O913" s="669" t="n"/>
      <c r="P913" s="669" t="n"/>
      <c r="Q913" s="669" t="n"/>
      <c r="R913" s="669" t="n"/>
      <c r="S913" s="669" t="n"/>
      <c r="T913" s="669" t="n"/>
      <c r="U913" s="669" t="n"/>
    </row>
    <row r="914" ht="15.75" customHeight="1" s="1128">
      <c r="A914" s="669" t="n"/>
      <c r="B914" s="669" t="n"/>
      <c r="C914" s="669" t="n"/>
      <c r="D914" s="669" t="n"/>
      <c r="E914" s="669" t="n"/>
      <c r="F914" s="669" t="n"/>
      <c r="G914" s="669" t="n"/>
      <c r="H914" s="669" t="n"/>
      <c r="I914" s="669" t="n"/>
      <c r="J914" s="669" t="n"/>
      <c r="K914" s="669" t="n"/>
      <c r="L914" s="669" t="n"/>
      <c r="M914" s="669" t="n"/>
      <c r="N914" s="669" t="n"/>
      <c r="O914" s="669" t="n"/>
      <c r="P914" s="669" t="n"/>
      <c r="Q914" s="669" t="n"/>
      <c r="R914" s="669" t="n"/>
      <c r="S914" s="669" t="n"/>
      <c r="T914" s="669" t="n"/>
      <c r="U914" s="669" t="n"/>
    </row>
    <row r="915" ht="15.75" customHeight="1" s="1128">
      <c r="A915" s="669" t="n"/>
      <c r="B915" s="669" t="n"/>
      <c r="C915" s="669" t="n"/>
      <c r="D915" s="669" t="n"/>
      <c r="E915" s="669" t="n"/>
      <c r="F915" s="669" t="n"/>
      <c r="G915" s="669" t="n"/>
      <c r="H915" s="669" t="n"/>
      <c r="I915" s="669" t="n"/>
      <c r="J915" s="669" t="n"/>
      <c r="K915" s="669" t="n"/>
      <c r="L915" s="669" t="n"/>
      <c r="M915" s="669" t="n"/>
      <c r="N915" s="669" t="n"/>
      <c r="O915" s="669" t="n"/>
      <c r="P915" s="669" t="n"/>
      <c r="Q915" s="669" t="n"/>
      <c r="R915" s="669" t="n"/>
      <c r="S915" s="669" t="n"/>
      <c r="T915" s="669" t="n"/>
      <c r="U915" s="669" t="n"/>
    </row>
    <row r="916" ht="15.75" customHeight="1" s="1128">
      <c r="A916" s="669" t="n"/>
      <c r="B916" s="669" t="n"/>
      <c r="C916" s="669" t="n"/>
      <c r="D916" s="669" t="n"/>
      <c r="E916" s="669" t="n"/>
      <c r="F916" s="669" t="n"/>
      <c r="G916" s="669" t="n"/>
      <c r="H916" s="669" t="n"/>
      <c r="I916" s="669" t="n"/>
      <c r="J916" s="669" t="n"/>
      <c r="K916" s="669" t="n"/>
      <c r="L916" s="669" t="n"/>
      <c r="M916" s="669" t="n"/>
      <c r="N916" s="669" t="n"/>
      <c r="O916" s="669" t="n"/>
      <c r="P916" s="669" t="n"/>
      <c r="Q916" s="669" t="n"/>
      <c r="R916" s="669" t="n"/>
      <c r="S916" s="669" t="n"/>
      <c r="T916" s="669" t="n"/>
      <c r="U916" s="669" t="n"/>
    </row>
    <row r="917" ht="15.75" customHeight="1" s="1128">
      <c r="A917" s="669" t="n"/>
      <c r="B917" s="669" t="n"/>
      <c r="C917" s="669" t="n"/>
      <c r="D917" s="669" t="n"/>
      <c r="E917" s="669" t="n"/>
      <c r="F917" s="669" t="n"/>
      <c r="G917" s="669" t="n"/>
      <c r="H917" s="669" t="n"/>
      <c r="I917" s="669" t="n"/>
      <c r="J917" s="669" t="n"/>
      <c r="K917" s="669" t="n"/>
      <c r="L917" s="669" t="n"/>
      <c r="M917" s="669" t="n"/>
      <c r="N917" s="669" t="n"/>
      <c r="O917" s="669" t="n"/>
      <c r="P917" s="669" t="n"/>
      <c r="Q917" s="669" t="n"/>
      <c r="R917" s="669" t="n"/>
      <c r="S917" s="669" t="n"/>
      <c r="T917" s="669" t="n"/>
      <c r="U917" s="669" t="n"/>
    </row>
    <row r="918" ht="15.75" customHeight="1" s="1128">
      <c r="A918" s="669" t="n"/>
      <c r="B918" s="669" t="n"/>
      <c r="C918" s="669" t="n"/>
      <c r="D918" s="669" t="n"/>
      <c r="E918" s="669" t="n"/>
      <c r="F918" s="669" t="n"/>
      <c r="G918" s="669" t="n"/>
      <c r="H918" s="669" t="n"/>
      <c r="I918" s="669" t="n"/>
      <c r="J918" s="669" t="n"/>
      <c r="K918" s="669" t="n"/>
      <c r="L918" s="669" t="n"/>
      <c r="M918" s="669" t="n"/>
      <c r="N918" s="669" t="n"/>
      <c r="O918" s="669" t="n"/>
      <c r="P918" s="669" t="n"/>
      <c r="Q918" s="669" t="n"/>
      <c r="R918" s="669" t="n"/>
      <c r="S918" s="669" t="n"/>
      <c r="T918" s="669" t="n"/>
      <c r="U918" s="669" t="n"/>
    </row>
    <row r="919" ht="15.75" customHeight="1" s="1128">
      <c r="A919" s="669" t="n"/>
      <c r="B919" s="669" t="n"/>
      <c r="C919" s="669" t="n"/>
      <c r="D919" s="669" t="n"/>
      <c r="E919" s="669" t="n"/>
      <c r="F919" s="669" t="n"/>
      <c r="G919" s="669" t="n"/>
      <c r="H919" s="669" t="n"/>
      <c r="I919" s="669" t="n"/>
      <c r="J919" s="669" t="n"/>
      <c r="K919" s="669" t="n"/>
      <c r="L919" s="669" t="n"/>
      <c r="M919" s="669" t="n"/>
      <c r="N919" s="669" t="n"/>
      <c r="O919" s="669" t="n"/>
      <c r="P919" s="669" t="n"/>
      <c r="Q919" s="669" t="n"/>
      <c r="R919" s="669" t="n"/>
      <c r="S919" s="669" t="n"/>
      <c r="T919" s="669" t="n"/>
      <c r="U919" s="669" t="n"/>
    </row>
    <row r="920" ht="15.75" customHeight="1" s="1128">
      <c r="A920" s="669" t="n"/>
      <c r="B920" s="669" t="n"/>
      <c r="C920" s="669" t="n"/>
      <c r="D920" s="669" t="n"/>
      <c r="E920" s="669" t="n"/>
      <c r="F920" s="669" t="n"/>
      <c r="G920" s="669" t="n"/>
      <c r="H920" s="669" t="n"/>
      <c r="I920" s="669" t="n"/>
      <c r="J920" s="669" t="n"/>
      <c r="K920" s="669" t="n"/>
      <c r="L920" s="669" t="n"/>
      <c r="M920" s="669" t="n"/>
      <c r="N920" s="669" t="n"/>
      <c r="O920" s="669" t="n"/>
      <c r="P920" s="669" t="n"/>
      <c r="Q920" s="669" t="n"/>
      <c r="R920" s="669" t="n"/>
      <c r="S920" s="669" t="n"/>
      <c r="T920" s="669" t="n"/>
      <c r="U920" s="669" t="n"/>
    </row>
    <row r="921" ht="15.75" customHeight="1" s="1128">
      <c r="A921" s="669" t="n"/>
      <c r="B921" s="669" t="n"/>
      <c r="C921" s="669" t="n"/>
      <c r="D921" s="669" t="n"/>
      <c r="E921" s="669" t="n"/>
      <c r="F921" s="669" t="n"/>
      <c r="G921" s="669" t="n"/>
      <c r="H921" s="669" t="n"/>
      <c r="I921" s="669" t="n"/>
      <c r="J921" s="669" t="n"/>
      <c r="K921" s="669" t="n"/>
      <c r="L921" s="669" t="n"/>
      <c r="M921" s="669" t="n"/>
      <c r="N921" s="669" t="n"/>
      <c r="O921" s="669" t="n"/>
      <c r="P921" s="669" t="n"/>
      <c r="Q921" s="669" t="n"/>
      <c r="R921" s="669" t="n"/>
      <c r="S921" s="669" t="n"/>
      <c r="T921" s="669" t="n"/>
      <c r="U921" s="669" t="n"/>
    </row>
    <row r="922" ht="15.75" customHeight="1" s="1128">
      <c r="A922" s="669" t="n"/>
      <c r="B922" s="669" t="n"/>
      <c r="C922" s="669" t="n"/>
      <c r="D922" s="669" t="n"/>
      <c r="E922" s="669" t="n"/>
      <c r="F922" s="669" t="n"/>
      <c r="G922" s="669" t="n"/>
      <c r="H922" s="669" t="n"/>
      <c r="I922" s="669" t="n"/>
      <c r="J922" s="669" t="n"/>
      <c r="K922" s="669" t="n"/>
      <c r="L922" s="669" t="n"/>
      <c r="M922" s="669" t="n"/>
      <c r="N922" s="669" t="n"/>
      <c r="O922" s="669" t="n"/>
      <c r="P922" s="669" t="n"/>
      <c r="Q922" s="669" t="n"/>
      <c r="R922" s="669" t="n"/>
      <c r="S922" s="669" t="n"/>
      <c r="T922" s="669" t="n"/>
      <c r="U922" s="669" t="n"/>
    </row>
    <row r="923" ht="15.75" customHeight="1" s="1128">
      <c r="A923" s="669" t="n"/>
      <c r="B923" s="669" t="n"/>
      <c r="C923" s="669" t="n"/>
      <c r="D923" s="669" t="n"/>
      <c r="E923" s="669" t="n"/>
      <c r="F923" s="669" t="n"/>
      <c r="G923" s="669" t="n"/>
      <c r="H923" s="669" t="n"/>
      <c r="I923" s="669" t="n"/>
      <c r="J923" s="669" t="n"/>
      <c r="K923" s="669" t="n"/>
      <c r="L923" s="669" t="n"/>
      <c r="M923" s="669" t="n"/>
      <c r="N923" s="669" t="n"/>
      <c r="O923" s="669" t="n"/>
      <c r="P923" s="669" t="n"/>
      <c r="Q923" s="669" t="n"/>
      <c r="R923" s="669" t="n"/>
      <c r="S923" s="669" t="n"/>
      <c r="T923" s="669" t="n"/>
      <c r="U923" s="669" t="n"/>
    </row>
    <row r="924" ht="15.75" customHeight="1" s="1128">
      <c r="A924" s="669" t="n"/>
      <c r="B924" s="669" t="n"/>
      <c r="C924" s="669" t="n"/>
      <c r="D924" s="669" t="n"/>
      <c r="E924" s="669" t="n"/>
      <c r="F924" s="669" t="n"/>
      <c r="G924" s="669" t="n"/>
      <c r="H924" s="669" t="n"/>
      <c r="I924" s="669" t="n"/>
      <c r="J924" s="669" t="n"/>
      <c r="K924" s="669" t="n"/>
      <c r="L924" s="669" t="n"/>
      <c r="M924" s="669" t="n"/>
      <c r="N924" s="669" t="n"/>
      <c r="O924" s="669" t="n"/>
      <c r="P924" s="669" t="n"/>
      <c r="Q924" s="669" t="n"/>
      <c r="R924" s="669" t="n"/>
      <c r="S924" s="669" t="n"/>
      <c r="T924" s="669" t="n"/>
      <c r="U924" s="669" t="n"/>
    </row>
    <row r="925" ht="15.75" customHeight="1" s="1128">
      <c r="A925" s="669" t="n"/>
      <c r="B925" s="669" t="n"/>
      <c r="C925" s="669" t="n"/>
      <c r="D925" s="669" t="n"/>
      <c r="E925" s="669" t="n"/>
      <c r="F925" s="669" t="n"/>
      <c r="G925" s="669" t="n"/>
      <c r="H925" s="669" t="n"/>
      <c r="I925" s="669" t="n"/>
      <c r="J925" s="669" t="n"/>
      <c r="K925" s="669" t="n"/>
      <c r="L925" s="669" t="n"/>
      <c r="M925" s="669" t="n"/>
      <c r="N925" s="669" t="n"/>
      <c r="O925" s="669" t="n"/>
      <c r="P925" s="669" t="n"/>
      <c r="Q925" s="669" t="n"/>
      <c r="R925" s="669" t="n"/>
      <c r="S925" s="669" t="n"/>
      <c r="T925" s="669" t="n"/>
      <c r="U925" s="669" t="n"/>
    </row>
    <row r="926" ht="15.75" customHeight="1" s="1128">
      <c r="A926" s="669" t="n"/>
      <c r="B926" s="669" t="n"/>
      <c r="C926" s="669" t="n"/>
      <c r="D926" s="669" t="n"/>
      <c r="E926" s="669" t="n"/>
      <c r="F926" s="669" t="n"/>
      <c r="G926" s="669" t="n"/>
      <c r="H926" s="669" t="n"/>
      <c r="I926" s="669" t="n"/>
      <c r="J926" s="669" t="n"/>
      <c r="K926" s="669" t="n"/>
      <c r="L926" s="669" t="n"/>
      <c r="M926" s="669" t="n"/>
      <c r="N926" s="669" t="n"/>
      <c r="O926" s="669" t="n"/>
      <c r="P926" s="669" t="n"/>
      <c r="Q926" s="669" t="n"/>
      <c r="R926" s="669" t="n"/>
      <c r="S926" s="669" t="n"/>
      <c r="T926" s="669" t="n"/>
      <c r="U926" s="669" t="n"/>
    </row>
    <row r="927" ht="15.75" customHeight="1" s="1128">
      <c r="A927" s="669" t="n"/>
      <c r="B927" s="669" t="n"/>
      <c r="C927" s="669" t="n"/>
      <c r="D927" s="669" t="n"/>
      <c r="E927" s="669" t="n"/>
      <c r="F927" s="669" t="n"/>
      <c r="G927" s="669" t="n"/>
      <c r="H927" s="669" t="n"/>
      <c r="I927" s="669" t="n"/>
      <c r="J927" s="669" t="n"/>
      <c r="K927" s="669" t="n"/>
      <c r="L927" s="669" t="n"/>
      <c r="M927" s="669" t="n"/>
      <c r="N927" s="669" t="n"/>
      <c r="O927" s="669" t="n"/>
      <c r="P927" s="669" t="n"/>
      <c r="Q927" s="669" t="n"/>
      <c r="R927" s="669" t="n"/>
      <c r="S927" s="669" t="n"/>
      <c r="T927" s="669" t="n"/>
      <c r="U927" s="669" t="n"/>
    </row>
    <row r="928" ht="15.75" customHeight="1" s="1128">
      <c r="A928" s="669" t="n"/>
      <c r="B928" s="669" t="n"/>
      <c r="C928" s="669" t="n"/>
      <c r="D928" s="669" t="n"/>
      <c r="E928" s="669" t="n"/>
      <c r="F928" s="669" t="n"/>
      <c r="G928" s="669" t="n"/>
      <c r="H928" s="669" t="n"/>
      <c r="I928" s="669" t="n"/>
      <c r="J928" s="669" t="n"/>
      <c r="K928" s="669" t="n"/>
      <c r="L928" s="669" t="n"/>
      <c r="M928" s="669" t="n"/>
      <c r="N928" s="669" t="n"/>
      <c r="O928" s="669" t="n"/>
      <c r="P928" s="669" t="n"/>
      <c r="Q928" s="669" t="n"/>
      <c r="R928" s="669" t="n"/>
      <c r="S928" s="669" t="n"/>
      <c r="T928" s="669" t="n"/>
      <c r="U928" s="669" t="n"/>
    </row>
    <row r="929" ht="15.75" customHeight="1" s="1128">
      <c r="A929" s="669" t="n"/>
      <c r="B929" s="669" t="n"/>
      <c r="C929" s="669" t="n"/>
      <c r="D929" s="669" t="n"/>
      <c r="E929" s="669" t="n"/>
      <c r="F929" s="669" t="n"/>
      <c r="G929" s="669" t="n"/>
      <c r="H929" s="669" t="n"/>
      <c r="I929" s="669" t="n"/>
      <c r="J929" s="669" t="n"/>
      <c r="K929" s="669" t="n"/>
      <c r="L929" s="669" t="n"/>
      <c r="M929" s="669" t="n"/>
      <c r="N929" s="669" t="n"/>
      <c r="O929" s="669" t="n"/>
      <c r="P929" s="669" t="n"/>
      <c r="Q929" s="669" t="n"/>
      <c r="R929" s="669" t="n"/>
      <c r="S929" s="669" t="n"/>
      <c r="T929" s="669" t="n"/>
      <c r="U929" s="669" t="n"/>
    </row>
    <row r="930" ht="15.75" customHeight="1" s="1128">
      <c r="A930" s="669" t="n"/>
      <c r="B930" s="669" t="n"/>
      <c r="C930" s="669" t="n"/>
      <c r="D930" s="669" t="n"/>
      <c r="E930" s="669" t="n"/>
      <c r="F930" s="669" t="n"/>
      <c r="G930" s="669" t="n"/>
      <c r="H930" s="669" t="n"/>
      <c r="I930" s="669" t="n"/>
      <c r="J930" s="669" t="n"/>
      <c r="K930" s="669" t="n"/>
      <c r="L930" s="669" t="n"/>
      <c r="M930" s="669" t="n"/>
      <c r="N930" s="669" t="n"/>
      <c r="O930" s="669" t="n"/>
      <c r="P930" s="669" t="n"/>
      <c r="Q930" s="669" t="n"/>
      <c r="R930" s="669" t="n"/>
      <c r="S930" s="669" t="n"/>
      <c r="T930" s="669" t="n"/>
      <c r="U930" s="669" t="n"/>
    </row>
    <row r="931" ht="15.75" customHeight="1" s="1128">
      <c r="A931" s="669" t="n"/>
      <c r="B931" s="669" t="n"/>
      <c r="C931" s="669" t="n"/>
      <c r="D931" s="669" t="n"/>
      <c r="E931" s="669" t="n"/>
      <c r="F931" s="669" t="n"/>
      <c r="G931" s="669" t="n"/>
      <c r="H931" s="669" t="n"/>
      <c r="I931" s="669" t="n"/>
      <c r="J931" s="669" t="n"/>
      <c r="K931" s="669" t="n"/>
      <c r="L931" s="669" t="n"/>
      <c r="M931" s="669" t="n"/>
      <c r="N931" s="669" t="n"/>
      <c r="O931" s="669" t="n"/>
      <c r="P931" s="669" t="n"/>
      <c r="Q931" s="669" t="n"/>
      <c r="R931" s="669" t="n"/>
      <c r="S931" s="669" t="n"/>
      <c r="T931" s="669" t="n"/>
      <c r="U931" s="669" t="n"/>
    </row>
    <row r="932" ht="15.75" customHeight="1" s="1128">
      <c r="A932" s="669" t="n"/>
      <c r="B932" s="669" t="n"/>
      <c r="C932" s="669" t="n"/>
      <c r="D932" s="669" t="n"/>
      <c r="E932" s="669" t="n"/>
      <c r="F932" s="669" t="n"/>
      <c r="G932" s="669" t="n"/>
      <c r="H932" s="669" t="n"/>
      <c r="I932" s="669" t="n"/>
      <c r="J932" s="669" t="n"/>
      <c r="K932" s="669" t="n"/>
      <c r="L932" s="669" t="n"/>
      <c r="M932" s="669" t="n"/>
      <c r="N932" s="669" t="n"/>
      <c r="O932" s="669" t="n"/>
      <c r="P932" s="669" t="n"/>
      <c r="Q932" s="669" t="n"/>
      <c r="R932" s="669" t="n"/>
      <c r="S932" s="669" t="n"/>
      <c r="T932" s="669" t="n"/>
      <c r="U932" s="669" t="n"/>
    </row>
    <row r="933" ht="15.75" customHeight="1" s="1128">
      <c r="A933" s="669" t="n"/>
      <c r="B933" s="669" t="n"/>
      <c r="C933" s="669" t="n"/>
      <c r="D933" s="669" t="n"/>
      <c r="E933" s="669" t="n"/>
      <c r="F933" s="669" t="n"/>
      <c r="G933" s="669" t="n"/>
      <c r="H933" s="669" t="n"/>
      <c r="I933" s="669" t="n"/>
      <c r="J933" s="669" t="n"/>
      <c r="K933" s="669" t="n"/>
      <c r="L933" s="669" t="n"/>
      <c r="M933" s="669" t="n"/>
      <c r="N933" s="669" t="n"/>
      <c r="O933" s="669" t="n"/>
      <c r="P933" s="669" t="n"/>
      <c r="Q933" s="669" t="n"/>
      <c r="R933" s="669" t="n"/>
      <c r="S933" s="669" t="n"/>
      <c r="T933" s="669" t="n"/>
      <c r="U933" s="669" t="n"/>
    </row>
    <row r="934" ht="15.75" customHeight="1" s="1128">
      <c r="A934" s="669" t="n"/>
      <c r="B934" s="669" t="n"/>
      <c r="C934" s="669" t="n"/>
      <c r="D934" s="669" t="n"/>
      <c r="E934" s="669" t="n"/>
      <c r="F934" s="669" t="n"/>
      <c r="G934" s="669" t="n"/>
      <c r="H934" s="669" t="n"/>
      <c r="I934" s="669" t="n"/>
      <c r="J934" s="669" t="n"/>
      <c r="K934" s="669" t="n"/>
      <c r="L934" s="669" t="n"/>
      <c r="M934" s="669" t="n"/>
      <c r="N934" s="669" t="n"/>
      <c r="O934" s="669" t="n"/>
      <c r="P934" s="669" t="n"/>
      <c r="Q934" s="669" t="n"/>
      <c r="R934" s="669" t="n"/>
      <c r="S934" s="669" t="n"/>
      <c r="T934" s="669" t="n"/>
      <c r="U934" s="669" t="n"/>
    </row>
    <row r="935" ht="15.75" customHeight="1" s="1128">
      <c r="A935" s="669" t="n"/>
      <c r="B935" s="669" t="n"/>
      <c r="C935" s="669" t="n"/>
      <c r="D935" s="669" t="n"/>
      <c r="E935" s="669" t="n"/>
      <c r="F935" s="669" t="n"/>
      <c r="G935" s="669" t="n"/>
      <c r="H935" s="669" t="n"/>
      <c r="I935" s="669" t="n"/>
      <c r="J935" s="669" t="n"/>
      <c r="K935" s="669" t="n"/>
      <c r="L935" s="669" t="n"/>
      <c r="M935" s="669" t="n"/>
      <c r="N935" s="669" t="n"/>
      <c r="O935" s="669" t="n"/>
      <c r="P935" s="669" t="n"/>
      <c r="Q935" s="669" t="n"/>
      <c r="R935" s="669" t="n"/>
      <c r="S935" s="669" t="n"/>
      <c r="T935" s="669" t="n"/>
      <c r="U935" s="669" t="n"/>
    </row>
    <row r="936" ht="15.75" customHeight="1" s="1128">
      <c r="A936" s="669" t="n"/>
      <c r="B936" s="669" t="n"/>
      <c r="C936" s="669" t="n"/>
      <c r="D936" s="669" t="n"/>
      <c r="E936" s="669" t="n"/>
      <c r="F936" s="669" t="n"/>
      <c r="G936" s="669" t="n"/>
      <c r="H936" s="669" t="n"/>
      <c r="I936" s="669" t="n"/>
      <c r="J936" s="669" t="n"/>
      <c r="K936" s="669" t="n"/>
      <c r="L936" s="669" t="n"/>
      <c r="M936" s="669" t="n"/>
      <c r="N936" s="669" t="n"/>
      <c r="O936" s="669" t="n"/>
      <c r="P936" s="669" t="n"/>
      <c r="Q936" s="669" t="n"/>
      <c r="R936" s="669" t="n"/>
      <c r="S936" s="669" t="n"/>
      <c r="T936" s="669" t="n"/>
      <c r="U936" s="669" t="n"/>
    </row>
    <row r="937" ht="15.75" customHeight="1" s="1128">
      <c r="A937" s="669" t="n"/>
      <c r="B937" s="669" t="n"/>
      <c r="C937" s="669" t="n"/>
      <c r="D937" s="669" t="n"/>
      <c r="E937" s="669" t="n"/>
      <c r="F937" s="669" t="n"/>
      <c r="G937" s="669" t="n"/>
      <c r="H937" s="669" t="n"/>
      <c r="I937" s="669" t="n"/>
      <c r="J937" s="669" t="n"/>
      <c r="K937" s="669" t="n"/>
      <c r="L937" s="669" t="n"/>
      <c r="M937" s="669" t="n"/>
      <c r="N937" s="669" t="n"/>
      <c r="O937" s="669" t="n"/>
      <c r="P937" s="669" t="n"/>
      <c r="Q937" s="669" t="n"/>
      <c r="R937" s="669" t="n"/>
      <c r="S937" s="669" t="n"/>
      <c r="T937" s="669" t="n"/>
      <c r="U937" s="669" t="n"/>
    </row>
    <row r="938" ht="15.75" customHeight="1" s="1128">
      <c r="A938" s="669" t="n"/>
      <c r="B938" s="669" t="n"/>
      <c r="C938" s="669" t="n"/>
      <c r="D938" s="669" t="n"/>
      <c r="E938" s="669" t="n"/>
      <c r="F938" s="669" t="n"/>
      <c r="G938" s="669" t="n"/>
      <c r="H938" s="669" t="n"/>
      <c r="I938" s="669" t="n"/>
      <c r="J938" s="669" t="n"/>
      <c r="K938" s="669" t="n"/>
      <c r="L938" s="669" t="n"/>
      <c r="M938" s="669" t="n"/>
      <c r="N938" s="669" t="n"/>
      <c r="O938" s="669" t="n"/>
      <c r="P938" s="669" t="n"/>
      <c r="Q938" s="669" t="n"/>
      <c r="R938" s="669" t="n"/>
      <c r="S938" s="669" t="n"/>
      <c r="T938" s="669" t="n"/>
      <c r="U938" s="669" t="n"/>
    </row>
    <row r="939" ht="15.75" customHeight="1" s="1128">
      <c r="A939" s="669" t="n"/>
      <c r="B939" s="669" t="n"/>
      <c r="C939" s="669" t="n"/>
      <c r="D939" s="669" t="n"/>
      <c r="E939" s="669" t="n"/>
      <c r="F939" s="669" t="n"/>
      <c r="G939" s="669" t="n"/>
      <c r="H939" s="669" t="n"/>
      <c r="I939" s="669" t="n"/>
      <c r="J939" s="669" t="n"/>
      <c r="K939" s="669" t="n"/>
      <c r="L939" s="669" t="n"/>
      <c r="M939" s="669" t="n"/>
      <c r="N939" s="669" t="n"/>
      <c r="O939" s="669" t="n"/>
      <c r="P939" s="669" t="n"/>
      <c r="Q939" s="669" t="n"/>
      <c r="R939" s="669" t="n"/>
      <c r="S939" s="669" t="n"/>
      <c r="T939" s="669" t="n"/>
      <c r="U939" s="669" t="n"/>
    </row>
    <row r="940" ht="15.75" customHeight="1" s="1128">
      <c r="A940" s="669" t="n"/>
      <c r="B940" s="669" t="n"/>
      <c r="C940" s="669" t="n"/>
      <c r="D940" s="669" t="n"/>
      <c r="E940" s="669" t="n"/>
      <c r="F940" s="669" t="n"/>
      <c r="G940" s="669" t="n"/>
      <c r="H940" s="669" t="n"/>
      <c r="I940" s="669" t="n"/>
      <c r="J940" s="669" t="n"/>
      <c r="K940" s="669" t="n"/>
      <c r="L940" s="669" t="n"/>
      <c r="M940" s="669" t="n"/>
      <c r="N940" s="669" t="n"/>
      <c r="O940" s="669" t="n"/>
      <c r="P940" s="669" t="n"/>
      <c r="Q940" s="669" t="n"/>
      <c r="R940" s="669" t="n"/>
      <c r="S940" s="669" t="n"/>
      <c r="T940" s="669" t="n"/>
      <c r="U940" s="669" t="n"/>
    </row>
    <row r="941" ht="15.75" customHeight="1" s="1128">
      <c r="A941" s="669" t="n"/>
      <c r="B941" s="669" t="n"/>
      <c r="C941" s="669" t="n"/>
      <c r="D941" s="669" t="n"/>
      <c r="E941" s="669" t="n"/>
      <c r="F941" s="669" t="n"/>
      <c r="G941" s="669" t="n"/>
      <c r="H941" s="669" t="n"/>
      <c r="I941" s="669" t="n"/>
      <c r="J941" s="669" t="n"/>
      <c r="K941" s="669" t="n"/>
      <c r="L941" s="669" t="n"/>
      <c r="M941" s="669" t="n"/>
      <c r="N941" s="669" t="n"/>
      <c r="O941" s="669" t="n"/>
      <c r="P941" s="669" t="n"/>
      <c r="Q941" s="669" t="n"/>
      <c r="R941" s="669" t="n"/>
      <c r="S941" s="669" t="n"/>
      <c r="T941" s="669" t="n"/>
      <c r="U941" s="669" t="n"/>
    </row>
    <row r="942" ht="15.75" customHeight="1" s="1128">
      <c r="A942" s="669" t="n"/>
      <c r="B942" s="669" t="n"/>
      <c r="C942" s="669" t="n"/>
      <c r="D942" s="669" t="n"/>
      <c r="E942" s="669" t="n"/>
      <c r="F942" s="669" t="n"/>
      <c r="G942" s="669" t="n"/>
      <c r="H942" s="669" t="n"/>
      <c r="I942" s="669" t="n"/>
      <c r="J942" s="669" t="n"/>
      <c r="K942" s="669" t="n"/>
      <c r="L942" s="669" t="n"/>
      <c r="M942" s="669" t="n"/>
      <c r="N942" s="669" t="n"/>
      <c r="O942" s="669" t="n"/>
      <c r="P942" s="669" t="n"/>
      <c r="Q942" s="669" t="n"/>
      <c r="R942" s="669" t="n"/>
      <c r="S942" s="669" t="n"/>
      <c r="T942" s="669" t="n"/>
      <c r="U942" s="669" t="n"/>
    </row>
    <row r="943" ht="15.75" customHeight="1" s="1128">
      <c r="A943" s="669" t="n"/>
      <c r="B943" s="669" t="n"/>
      <c r="C943" s="669" t="n"/>
      <c r="D943" s="669" t="n"/>
      <c r="E943" s="669" t="n"/>
      <c r="F943" s="669" t="n"/>
      <c r="G943" s="669" t="n"/>
      <c r="H943" s="669" t="n"/>
      <c r="I943" s="669" t="n"/>
      <c r="J943" s="669" t="n"/>
      <c r="K943" s="669" t="n"/>
      <c r="L943" s="669" t="n"/>
      <c r="M943" s="669" t="n"/>
      <c r="N943" s="669" t="n"/>
      <c r="O943" s="669" t="n"/>
      <c r="P943" s="669" t="n"/>
      <c r="Q943" s="669" t="n"/>
      <c r="R943" s="669" t="n"/>
      <c r="S943" s="669" t="n"/>
      <c r="T943" s="669" t="n"/>
      <c r="U943" s="669" t="n"/>
    </row>
    <row r="944" ht="15.75" customHeight="1" s="1128">
      <c r="A944" s="669" t="n"/>
      <c r="B944" s="669" t="n"/>
      <c r="C944" s="669" t="n"/>
      <c r="D944" s="669" t="n"/>
      <c r="E944" s="669" t="n"/>
      <c r="F944" s="669" t="n"/>
      <c r="G944" s="669" t="n"/>
      <c r="H944" s="669" t="n"/>
      <c r="I944" s="669" t="n"/>
      <c r="J944" s="669" t="n"/>
      <c r="K944" s="669" t="n"/>
      <c r="L944" s="669" t="n"/>
      <c r="M944" s="669" t="n"/>
      <c r="N944" s="669" t="n"/>
      <c r="O944" s="669" t="n"/>
      <c r="P944" s="669" t="n"/>
      <c r="Q944" s="669" t="n"/>
      <c r="R944" s="669" t="n"/>
      <c r="S944" s="669" t="n"/>
      <c r="T944" s="669" t="n"/>
      <c r="U944" s="669" t="n"/>
    </row>
    <row r="945" ht="15.75" customHeight="1" s="1128">
      <c r="A945" s="669" t="n"/>
      <c r="B945" s="669" t="n"/>
      <c r="C945" s="669" t="n"/>
      <c r="D945" s="669" t="n"/>
      <c r="E945" s="669" t="n"/>
      <c r="F945" s="669" t="n"/>
      <c r="G945" s="669" t="n"/>
      <c r="H945" s="669" t="n"/>
      <c r="I945" s="669" t="n"/>
      <c r="J945" s="669" t="n"/>
      <c r="K945" s="669" t="n"/>
      <c r="L945" s="669" t="n"/>
      <c r="M945" s="669" t="n"/>
      <c r="N945" s="669" t="n"/>
      <c r="O945" s="669" t="n"/>
      <c r="P945" s="669" t="n"/>
      <c r="Q945" s="669" t="n"/>
      <c r="R945" s="669" t="n"/>
      <c r="S945" s="669" t="n"/>
      <c r="T945" s="669" t="n"/>
      <c r="U945" s="669" t="n"/>
    </row>
    <row r="946" ht="15.75" customHeight="1" s="1128">
      <c r="A946" s="669" t="n"/>
      <c r="B946" s="669" t="n"/>
      <c r="C946" s="669" t="n"/>
      <c r="D946" s="669" t="n"/>
      <c r="E946" s="669" t="n"/>
      <c r="F946" s="669" t="n"/>
      <c r="G946" s="669" t="n"/>
      <c r="H946" s="669" t="n"/>
      <c r="I946" s="669" t="n"/>
      <c r="J946" s="669" t="n"/>
      <c r="K946" s="669" t="n"/>
      <c r="L946" s="669" t="n"/>
      <c r="M946" s="669" t="n"/>
      <c r="N946" s="669" t="n"/>
      <c r="O946" s="669" t="n"/>
      <c r="P946" s="669" t="n"/>
      <c r="Q946" s="669" t="n"/>
      <c r="R946" s="669" t="n"/>
      <c r="S946" s="669" t="n"/>
      <c r="T946" s="669" t="n"/>
      <c r="U946" s="669" t="n"/>
    </row>
    <row r="947" ht="15.75" customHeight="1" s="1128">
      <c r="A947" s="669" t="n"/>
      <c r="B947" s="669" t="n"/>
      <c r="C947" s="669" t="n"/>
      <c r="D947" s="669" t="n"/>
      <c r="E947" s="669" t="n"/>
      <c r="F947" s="669" t="n"/>
      <c r="G947" s="669" t="n"/>
      <c r="H947" s="669" t="n"/>
      <c r="I947" s="669" t="n"/>
      <c r="J947" s="669" t="n"/>
      <c r="K947" s="669" t="n"/>
      <c r="L947" s="669" t="n"/>
      <c r="M947" s="669" t="n"/>
      <c r="N947" s="669" t="n"/>
      <c r="O947" s="669" t="n"/>
      <c r="P947" s="669" t="n"/>
      <c r="Q947" s="669" t="n"/>
      <c r="R947" s="669" t="n"/>
      <c r="S947" s="669" t="n"/>
      <c r="T947" s="669" t="n"/>
      <c r="U947" s="669" t="n"/>
    </row>
    <row r="948" ht="15.75" customHeight="1" s="1128">
      <c r="A948" s="669" t="n"/>
      <c r="B948" s="669" t="n"/>
      <c r="C948" s="669" t="n"/>
      <c r="D948" s="669" t="n"/>
      <c r="E948" s="669" t="n"/>
      <c r="F948" s="669" t="n"/>
      <c r="G948" s="669" t="n"/>
      <c r="H948" s="669" t="n"/>
      <c r="I948" s="669" t="n"/>
      <c r="J948" s="669" t="n"/>
      <c r="K948" s="669" t="n"/>
      <c r="L948" s="669" t="n"/>
      <c r="M948" s="669" t="n"/>
      <c r="N948" s="669" t="n"/>
      <c r="O948" s="669" t="n"/>
      <c r="P948" s="669" t="n"/>
      <c r="Q948" s="669" t="n"/>
      <c r="R948" s="669" t="n"/>
      <c r="S948" s="669" t="n"/>
      <c r="T948" s="669" t="n"/>
      <c r="U948" s="669" t="n"/>
    </row>
    <row r="949" ht="15.75" customHeight="1" s="1128">
      <c r="A949" s="669" t="n"/>
      <c r="B949" s="669" t="n"/>
      <c r="C949" s="669" t="n"/>
      <c r="D949" s="669" t="n"/>
      <c r="E949" s="669" t="n"/>
      <c r="F949" s="669" t="n"/>
      <c r="G949" s="669" t="n"/>
      <c r="H949" s="669" t="n"/>
      <c r="I949" s="669" t="n"/>
      <c r="J949" s="669" t="n"/>
      <c r="K949" s="669" t="n"/>
      <c r="L949" s="669" t="n"/>
      <c r="M949" s="669" t="n"/>
      <c r="N949" s="669" t="n"/>
      <c r="O949" s="669" t="n"/>
      <c r="P949" s="669" t="n"/>
      <c r="Q949" s="669" t="n"/>
      <c r="R949" s="669" t="n"/>
      <c r="S949" s="669" t="n"/>
      <c r="T949" s="669" t="n"/>
      <c r="U949" s="669" t="n"/>
    </row>
    <row r="950" ht="15.75" customHeight="1" s="1128">
      <c r="A950" s="669" t="n"/>
      <c r="B950" s="669" t="n"/>
      <c r="C950" s="669" t="n"/>
      <c r="D950" s="669" t="n"/>
      <c r="E950" s="669" t="n"/>
      <c r="F950" s="669" t="n"/>
      <c r="G950" s="669" t="n"/>
      <c r="H950" s="669" t="n"/>
      <c r="I950" s="669" t="n"/>
      <c r="J950" s="669" t="n"/>
      <c r="K950" s="669" t="n"/>
      <c r="L950" s="669" t="n"/>
      <c r="M950" s="669" t="n"/>
      <c r="N950" s="669" t="n"/>
      <c r="O950" s="669" t="n"/>
      <c r="P950" s="669" t="n"/>
      <c r="Q950" s="669" t="n"/>
      <c r="R950" s="669" t="n"/>
      <c r="S950" s="669" t="n"/>
      <c r="T950" s="669" t="n"/>
      <c r="U950" s="669" t="n"/>
    </row>
    <row r="951" ht="15.75" customHeight="1" s="1128">
      <c r="A951" s="669" t="n"/>
      <c r="B951" s="669" t="n"/>
      <c r="C951" s="669" t="n"/>
      <c r="D951" s="669" t="n"/>
      <c r="E951" s="669" t="n"/>
      <c r="F951" s="669" t="n"/>
      <c r="G951" s="669" t="n"/>
      <c r="H951" s="669" t="n"/>
      <c r="I951" s="669" t="n"/>
      <c r="J951" s="669" t="n"/>
      <c r="K951" s="669" t="n"/>
      <c r="L951" s="669" t="n"/>
      <c r="M951" s="669" t="n"/>
      <c r="N951" s="669" t="n"/>
      <c r="O951" s="669" t="n"/>
      <c r="P951" s="669" t="n"/>
      <c r="Q951" s="669" t="n"/>
      <c r="R951" s="669" t="n"/>
      <c r="S951" s="669" t="n"/>
      <c r="T951" s="669" t="n"/>
      <c r="U951" s="669" t="n"/>
    </row>
    <row r="952" ht="15.75" customHeight="1" s="1128">
      <c r="A952" s="669" t="n"/>
      <c r="B952" s="669" t="n"/>
      <c r="C952" s="669" t="n"/>
      <c r="D952" s="669" t="n"/>
      <c r="E952" s="669" t="n"/>
      <c r="F952" s="669" t="n"/>
      <c r="G952" s="669" t="n"/>
      <c r="H952" s="669" t="n"/>
      <c r="I952" s="669" t="n"/>
      <c r="J952" s="669" t="n"/>
      <c r="K952" s="669" t="n"/>
      <c r="L952" s="669" t="n"/>
      <c r="M952" s="669" t="n"/>
      <c r="N952" s="669" t="n"/>
      <c r="O952" s="669" t="n"/>
      <c r="P952" s="669" t="n"/>
      <c r="Q952" s="669" t="n"/>
      <c r="R952" s="669" t="n"/>
      <c r="S952" s="669" t="n"/>
      <c r="T952" s="669" t="n"/>
      <c r="U952" s="669" t="n"/>
    </row>
    <row r="953" ht="15.75" customHeight="1" s="1128">
      <c r="A953" s="669" t="n"/>
      <c r="B953" s="669" t="n"/>
      <c r="C953" s="669" t="n"/>
      <c r="D953" s="669" t="n"/>
      <c r="E953" s="669" t="n"/>
      <c r="F953" s="669" t="n"/>
      <c r="G953" s="669" t="n"/>
      <c r="H953" s="669" t="n"/>
      <c r="I953" s="669" t="n"/>
      <c r="J953" s="669" t="n"/>
      <c r="K953" s="669" t="n"/>
      <c r="L953" s="669" t="n"/>
      <c r="M953" s="669" t="n"/>
      <c r="N953" s="669" t="n"/>
      <c r="O953" s="669" t="n"/>
      <c r="P953" s="669" t="n"/>
      <c r="Q953" s="669" t="n"/>
      <c r="R953" s="669" t="n"/>
      <c r="S953" s="669" t="n"/>
      <c r="T953" s="669" t="n"/>
      <c r="U953" s="669" t="n"/>
    </row>
    <row r="954" ht="15.75" customHeight="1" s="1128">
      <c r="A954" s="669" t="n"/>
      <c r="B954" s="669" t="n"/>
      <c r="C954" s="669" t="n"/>
      <c r="D954" s="669" t="n"/>
      <c r="E954" s="669" t="n"/>
      <c r="F954" s="669" t="n"/>
      <c r="G954" s="669" t="n"/>
      <c r="H954" s="669" t="n"/>
      <c r="I954" s="669" t="n"/>
      <c r="J954" s="669" t="n"/>
      <c r="K954" s="669" t="n"/>
      <c r="L954" s="669" t="n"/>
      <c r="M954" s="669" t="n"/>
      <c r="N954" s="669" t="n"/>
      <c r="O954" s="669" t="n"/>
      <c r="P954" s="669" t="n"/>
      <c r="Q954" s="669" t="n"/>
      <c r="R954" s="669" t="n"/>
      <c r="S954" s="669" t="n"/>
      <c r="T954" s="669" t="n"/>
      <c r="U954" s="669" t="n"/>
    </row>
    <row r="955" ht="15.75" customHeight="1" s="1128">
      <c r="A955" s="669" t="n"/>
      <c r="B955" s="669" t="n"/>
      <c r="C955" s="669" t="n"/>
      <c r="D955" s="669" t="n"/>
      <c r="E955" s="669" t="n"/>
      <c r="F955" s="669" t="n"/>
      <c r="G955" s="669" t="n"/>
      <c r="H955" s="669" t="n"/>
      <c r="I955" s="669" t="n"/>
      <c r="J955" s="669" t="n"/>
      <c r="K955" s="669" t="n"/>
      <c r="L955" s="669" t="n"/>
      <c r="M955" s="669" t="n"/>
      <c r="N955" s="669" t="n"/>
      <c r="O955" s="669" t="n"/>
      <c r="P955" s="669" t="n"/>
      <c r="Q955" s="669" t="n"/>
      <c r="R955" s="669" t="n"/>
      <c r="S955" s="669" t="n"/>
      <c r="T955" s="669" t="n"/>
      <c r="U955" s="669" t="n"/>
    </row>
    <row r="956" ht="15.75" customHeight="1" s="1128">
      <c r="A956" s="669" t="n"/>
      <c r="B956" s="669" t="n"/>
      <c r="C956" s="669" t="n"/>
      <c r="D956" s="669" t="n"/>
      <c r="E956" s="669" t="n"/>
      <c r="F956" s="669" t="n"/>
      <c r="G956" s="669" t="n"/>
      <c r="H956" s="669" t="n"/>
      <c r="I956" s="669" t="n"/>
      <c r="J956" s="669" t="n"/>
      <c r="K956" s="669" t="n"/>
      <c r="L956" s="669" t="n"/>
      <c r="M956" s="669" t="n"/>
      <c r="N956" s="669" t="n"/>
      <c r="O956" s="669" t="n"/>
      <c r="P956" s="669" t="n"/>
      <c r="Q956" s="669" t="n"/>
      <c r="R956" s="669" t="n"/>
      <c r="S956" s="669" t="n"/>
      <c r="T956" s="669" t="n"/>
      <c r="U956" s="669" t="n"/>
    </row>
    <row r="957" ht="15.75" customHeight="1" s="1128">
      <c r="A957" s="669" t="n"/>
      <c r="B957" s="669" t="n"/>
      <c r="C957" s="669" t="n"/>
      <c r="D957" s="669" t="n"/>
      <c r="E957" s="669" t="n"/>
      <c r="F957" s="669" t="n"/>
      <c r="G957" s="669" t="n"/>
      <c r="H957" s="669" t="n"/>
      <c r="I957" s="669" t="n"/>
      <c r="J957" s="669" t="n"/>
      <c r="K957" s="669" t="n"/>
      <c r="L957" s="669" t="n"/>
      <c r="M957" s="669" t="n"/>
      <c r="N957" s="669" t="n"/>
      <c r="O957" s="669" t="n"/>
      <c r="P957" s="669" t="n"/>
      <c r="Q957" s="669" t="n"/>
      <c r="R957" s="669" t="n"/>
      <c r="S957" s="669" t="n"/>
      <c r="T957" s="669" t="n"/>
      <c r="U957" s="669" t="n"/>
    </row>
    <row r="958" ht="15.75" customHeight="1" s="1128">
      <c r="A958" s="669" t="n"/>
      <c r="B958" s="669" t="n"/>
      <c r="C958" s="669" t="n"/>
      <c r="D958" s="669" t="n"/>
      <c r="E958" s="669" t="n"/>
      <c r="F958" s="669" t="n"/>
      <c r="G958" s="669" t="n"/>
      <c r="H958" s="669" t="n"/>
      <c r="I958" s="669" t="n"/>
      <c r="J958" s="669" t="n"/>
      <c r="K958" s="669" t="n"/>
      <c r="L958" s="669" t="n"/>
      <c r="M958" s="669" t="n"/>
      <c r="N958" s="669" t="n"/>
      <c r="O958" s="669" t="n"/>
      <c r="P958" s="669" t="n"/>
      <c r="Q958" s="669" t="n"/>
      <c r="R958" s="669" t="n"/>
      <c r="S958" s="669" t="n"/>
      <c r="T958" s="669" t="n"/>
      <c r="U958" s="669" t="n"/>
    </row>
    <row r="959" ht="15.75" customHeight="1" s="1128">
      <c r="A959" s="669" t="n"/>
      <c r="B959" s="669" t="n"/>
      <c r="C959" s="669" t="n"/>
      <c r="D959" s="669" t="n"/>
      <c r="E959" s="669" t="n"/>
      <c r="F959" s="669" t="n"/>
      <c r="G959" s="669" t="n"/>
      <c r="H959" s="669" t="n"/>
      <c r="I959" s="669" t="n"/>
      <c r="J959" s="669" t="n"/>
      <c r="K959" s="669" t="n"/>
      <c r="L959" s="669" t="n"/>
      <c r="M959" s="669" t="n"/>
      <c r="N959" s="669" t="n"/>
      <c r="O959" s="669" t="n"/>
      <c r="P959" s="669" t="n"/>
      <c r="Q959" s="669" t="n"/>
      <c r="R959" s="669" t="n"/>
      <c r="S959" s="669" t="n"/>
      <c r="T959" s="669" t="n"/>
      <c r="U959" s="669" t="n"/>
    </row>
    <row r="960" ht="15.75" customHeight="1" s="1128">
      <c r="A960" s="669" t="n"/>
      <c r="B960" s="669" t="n"/>
      <c r="C960" s="669" t="n"/>
      <c r="D960" s="669" t="n"/>
      <c r="E960" s="669" t="n"/>
      <c r="F960" s="669" t="n"/>
      <c r="G960" s="669" t="n"/>
      <c r="H960" s="669" t="n"/>
      <c r="I960" s="669" t="n"/>
      <c r="J960" s="669" t="n"/>
      <c r="K960" s="669" t="n"/>
      <c r="L960" s="669" t="n"/>
      <c r="M960" s="669" t="n"/>
      <c r="N960" s="669" t="n"/>
      <c r="O960" s="669" t="n"/>
      <c r="P960" s="669" t="n"/>
      <c r="Q960" s="669" t="n"/>
      <c r="R960" s="669" t="n"/>
      <c r="S960" s="669" t="n"/>
      <c r="T960" s="669" t="n"/>
      <c r="U960" s="669" t="n"/>
    </row>
    <row r="961" ht="15.75" customHeight="1" s="1128">
      <c r="A961" s="669" t="n"/>
      <c r="B961" s="669" t="n"/>
      <c r="C961" s="669" t="n"/>
      <c r="D961" s="669" t="n"/>
      <c r="E961" s="669" t="n"/>
      <c r="F961" s="669" t="n"/>
      <c r="G961" s="669" t="n"/>
      <c r="H961" s="669" t="n"/>
      <c r="I961" s="669" t="n"/>
      <c r="J961" s="669" t="n"/>
      <c r="K961" s="669" t="n"/>
      <c r="L961" s="669" t="n"/>
      <c r="M961" s="669" t="n"/>
      <c r="N961" s="669" t="n"/>
      <c r="O961" s="669" t="n"/>
      <c r="P961" s="669" t="n"/>
      <c r="Q961" s="669" t="n"/>
      <c r="R961" s="669" t="n"/>
      <c r="S961" s="669" t="n"/>
      <c r="T961" s="669" t="n"/>
      <c r="U961" s="669" t="n"/>
    </row>
    <row r="962" ht="15.75" customHeight="1" s="1128">
      <c r="A962" s="669" t="n"/>
      <c r="B962" s="669" t="n"/>
      <c r="C962" s="669" t="n"/>
      <c r="D962" s="669" t="n"/>
      <c r="E962" s="669" t="n"/>
      <c r="F962" s="669" t="n"/>
      <c r="G962" s="669" t="n"/>
      <c r="H962" s="669" t="n"/>
      <c r="I962" s="669" t="n"/>
      <c r="J962" s="669" t="n"/>
      <c r="K962" s="669" t="n"/>
      <c r="L962" s="669" t="n"/>
      <c r="M962" s="669" t="n"/>
      <c r="N962" s="669" t="n"/>
      <c r="O962" s="669" t="n"/>
      <c r="P962" s="669" t="n"/>
      <c r="Q962" s="669" t="n"/>
      <c r="R962" s="669" t="n"/>
      <c r="S962" s="669" t="n"/>
      <c r="T962" s="669" t="n"/>
      <c r="U962" s="669" t="n"/>
    </row>
    <row r="963" ht="15.75" customHeight="1" s="1128">
      <c r="A963" s="669" t="n"/>
      <c r="B963" s="669" t="n"/>
      <c r="C963" s="669" t="n"/>
      <c r="D963" s="669" t="n"/>
      <c r="E963" s="669" t="n"/>
      <c r="F963" s="669" t="n"/>
      <c r="G963" s="669" t="n"/>
      <c r="H963" s="669" t="n"/>
      <c r="I963" s="669" t="n"/>
      <c r="J963" s="669" t="n"/>
      <c r="K963" s="669" t="n"/>
      <c r="L963" s="669" t="n"/>
      <c r="M963" s="669" t="n"/>
      <c r="N963" s="669" t="n"/>
      <c r="O963" s="669" t="n"/>
      <c r="P963" s="669" t="n"/>
      <c r="Q963" s="669" t="n"/>
      <c r="R963" s="669" t="n"/>
      <c r="S963" s="669" t="n"/>
      <c r="T963" s="669" t="n"/>
      <c r="U963" s="669" t="n"/>
    </row>
    <row r="964" ht="15.75" customHeight="1" s="1128">
      <c r="A964" s="669" t="n"/>
      <c r="B964" s="669" t="n"/>
      <c r="C964" s="669" t="n"/>
      <c r="D964" s="669" t="n"/>
      <c r="E964" s="669" t="n"/>
      <c r="F964" s="669" t="n"/>
      <c r="G964" s="669" t="n"/>
      <c r="H964" s="669" t="n"/>
      <c r="I964" s="669" t="n"/>
      <c r="J964" s="669" t="n"/>
      <c r="K964" s="669" t="n"/>
      <c r="L964" s="669" t="n"/>
      <c r="M964" s="669" t="n"/>
      <c r="N964" s="669" t="n"/>
      <c r="O964" s="669" t="n"/>
      <c r="P964" s="669" t="n"/>
      <c r="Q964" s="669" t="n"/>
      <c r="R964" s="669" t="n"/>
      <c r="S964" s="669" t="n"/>
      <c r="T964" s="669" t="n"/>
      <c r="U964" s="669" t="n"/>
    </row>
    <row r="965" ht="15.75" customHeight="1" s="1128">
      <c r="A965" s="669" t="n"/>
      <c r="B965" s="669" t="n"/>
      <c r="C965" s="669" t="n"/>
      <c r="D965" s="669" t="n"/>
      <c r="E965" s="669" t="n"/>
      <c r="F965" s="669" t="n"/>
      <c r="G965" s="669" t="n"/>
      <c r="H965" s="669" t="n"/>
      <c r="I965" s="669" t="n"/>
      <c r="J965" s="669" t="n"/>
      <c r="K965" s="669" t="n"/>
      <c r="L965" s="669" t="n"/>
      <c r="M965" s="669" t="n"/>
      <c r="N965" s="669" t="n"/>
      <c r="O965" s="669" t="n"/>
      <c r="P965" s="669" t="n"/>
      <c r="Q965" s="669" t="n"/>
      <c r="R965" s="669" t="n"/>
      <c r="S965" s="669" t="n"/>
      <c r="T965" s="669" t="n"/>
      <c r="U965" s="669" t="n"/>
    </row>
    <row r="966" ht="15.75" customHeight="1" s="1128">
      <c r="A966" s="669" t="n"/>
      <c r="B966" s="669" t="n"/>
      <c r="C966" s="669" t="n"/>
      <c r="D966" s="669" t="n"/>
      <c r="E966" s="669" t="n"/>
      <c r="F966" s="669" t="n"/>
      <c r="G966" s="669" t="n"/>
      <c r="H966" s="669" t="n"/>
      <c r="I966" s="669" t="n"/>
      <c r="J966" s="669" t="n"/>
      <c r="K966" s="669" t="n"/>
      <c r="L966" s="669" t="n"/>
      <c r="M966" s="669" t="n"/>
      <c r="N966" s="669" t="n"/>
      <c r="O966" s="669" t="n"/>
      <c r="P966" s="669" t="n"/>
      <c r="Q966" s="669" t="n"/>
      <c r="R966" s="669" t="n"/>
      <c r="S966" s="669" t="n"/>
      <c r="T966" s="669" t="n"/>
      <c r="U966" s="669" t="n"/>
    </row>
    <row r="967" ht="15.75" customHeight="1" s="1128">
      <c r="A967" s="669" t="n"/>
      <c r="B967" s="669" t="n"/>
      <c r="C967" s="669" t="n"/>
      <c r="D967" s="669" t="n"/>
      <c r="E967" s="669" t="n"/>
      <c r="F967" s="669" t="n"/>
      <c r="G967" s="669" t="n"/>
      <c r="H967" s="669" t="n"/>
      <c r="I967" s="669" t="n"/>
      <c r="J967" s="669" t="n"/>
      <c r="K967" s="669" t="n"/>
      <c r="L967" s="669" t="n"/>
      <c r="M967" s="669" t="n"/>
      <c r="N967" s="669" t="n"/>
      <c r="O967" s="669" t="n"/>
      <c r="P967" s="669" t="n"/>
      <c r="Q967" s="669" t="n"/>
      <c r="R967" s="669" t="n"/>
      <c r="S967" s="669" t="n"/>
      <c r="T967" s="669" t="n"/>
      <c r="U967" s="669" t="n"/>
    </row>
    <row r="968" ht="15.75" customHeight="1" s="1128">
      <c r="A968" s="669" t="n"/>
      <c r="B968" s="669" t="n"/>
      <c r="C968" s="669" t="n"/>
      <c r="D968" s="669" t="n"/>
      <c r="E968" s="669" t="n"/>
      <c r="F968" s="669" t="n"/>
      <c r="G968" s="669" t="n"/>
      <c r="H968" s="669" t="n"/>
      <c r="I968" s="669" t="n"/>
      <c r="J968" s="669" t="n"/>
      <c r="K968" s="669" t="n"/>
      <c r="L968" s="669" t="n"/>
      <c r="M968" s="669" t="n"/>
      <c r="N968" s="669" t="n"/>
      <c r="O968" s="669" t="n"/>
      <c r="P968" s="669" t="n"/>
      <c r="Q968" s="669" t="n"/>
      <c r="R968" s="669" t="n"/>
      <c r="S968" s="669" t="n"/>
      <c r="T968" s="669" t="n"/>
      <c r="U968" s="669" t="n"/>
    </row>
    <row r="969" ht="15.75" customHeight="1" s="1128">
      <c r="A969" s="669" t="n"/>
      <c r="B969" s="669" t="n"/>
      <c r="C969" s="669" t="n"/>
      <c r="D969" s="669" t="n"/>
      <c r="E969" s="669" t="n"/>
      <c r="F969" s="669" t="n"/>
      <c r="G969" s="669" t="n"/>
      <c r="H969" s="669" t="n"/>
      <c r="I969" s="669" t="n"/>
      <c r="J969" s="669" t="n"/>
      <c r="K969" s="669" t="n"/>
      <c r="L969" s="669" t="n"/>
      <c r="M969" s="669" t="n"/>
      <c r="N969" s="669" t="n"/>
      <c r="O969" s="669" t="n"/>
      <c r="P969" s="669" t="n"/>
      <c r="Q969" s="669" t="n"/>
      <c r="R969" s="669" t="n"/>
      <c r="S969" s="669" t="n"/>
      <c r="T969" s="669" t="n"/>
      <c r="U969" s="669" t="n"/>
    </row>
    <row r="970" ht="15.75" customHeight="1" s="1128">
      <c r="A970" s="669" t="n"/>
      <c r="B970" s="669" t="n"/>
      <c r="C970" s="669" t="n"/>
      <c r="D970" s="669" t="n"/>
      <c r="E970" s="669" t="n"/>
      <c r="F970" s="669" t="n"/>
      <c r="G970" s="669" t="n"/>
      <c r="H970" s="669" t="n"/>
      <c r="I970" s="669" t="n"/>
      <c r="J970" s="669" t="n"/>
      <c r="K970" s="669" t="n"/>
      <c r="L970" s="669" t="n"/>
      <c r="M970" s="669" t="n"/>
      <c r="N970" s="669" t="n"/>
      <c r="O970" s="669" t="n"/>
      <c r="P970" s="669" t="n"/>
      <c r="Q970" s="669" t="n"/>
      <c r="R970" s="669" t="n"/>
      <c r="S970" s="669" t="n"/>
      <c r="T970" s="669" t="n"/>
      <c r="U970" s="669" t="n"/>
    </row>
    <row r="971" ht="15.75" customHeight="1" s="1128">
      <c r="A971" s="669" t="n"/>
      <c r="B971" s="669" t="n"/>
      <c r="C971" s="669" t="n"/>
      <c r="D971" s="669" t="n"/>
      <c r="E971" s="669" t="n"/>
      <c r="F971" s="669" t="n"/>
      <c r="G971" s="669" t="n"/>
      <c r="H971" s="669" t="n"/>
      <c r="I971" s="669" t="n"/>
      <c r="J971" s="669" t="n"/>
      <c r="K971" s="669" t="n"/>
      <c r="L971" s="669" t="n"/>
      <c r="M971" s="669" t="n"/>
      <c r="N971" s="669" t="n"/>
      <c r="O971" s="669" t="n"/>
      <c r="P971" s="669" t="n"/>
      <c r="Q971" s="669" t="n"/>
      <c r="R971" s="669" t="n"/>
      <c r="S971" s="669" t="n"/>
      <c r="T971" s="669" t="n"/>
      <c r="U971" s="669" t="n"/>
    </row>
    <row r="972" ht="15.75" customHeight="1" s="1128">
      <c r="A972" s="669" t="n"/>
      <c r="B972" s="669" t="n"/>
      <c r="C972" s="669" t="n"/>
      <c r="D972" s="669" t="n"/>
      <c r="E972" s="669" t="n"/>
      <c r="F972" s="669" t="n"/>
      <c r="G972" s="669" t="n"/>
      <c r="H972" s="669" t="n"/>
      <c r="I972" s="669" t="n"/>
      <c r="J972" s="669" t="n"/>
      <c r="K972" s="669" t="n"/>
      <c r="L972" s="669" t="n"/>
      <c r="M972" s="669" t="n"/>
      <c r="N972" s="669" t="n"/>
      <c r="O972" s="669" t="n"/>
      <c r="P972" s="669" t="n"/>
      <c r="Q972" s="669" t="n"/>
      <c r="R972" s="669" t="n"/>
      <c r="S972" s="669" t="n"/>
      <c r="T972" s="669" t="n"/>
      <c r="U972" s="669" t="n"/>
    </row>
    <row r="973" ht="15.75" customHeight="1" s="1128">
      <c r="A973" s="669" t="n"/>
      <c r="B973" s="669" t="n"/>
      <c r="C973" s="669" t="n"/>
      <c r="D973" s="669" t="n"/>
      <c r="E973" s="669" t="n"/>
      <c r="F973" s="669" t="n"/>
      <c r="G973" s="669" t="n"/>
      <c r="H973" s="669" t="n"/>
      <c r="I973" s="669" t="n"/>
      <c r="J973" s="669" t="n"/>
      <c r="K973" s="669" t="n"/>
      <c r="L973" s="669" t="n"/>
      <c r="M973" s="669" t="n"/>
      <c r="N973" s="669" t="n"/>
      <c r="O973" s="669" t="n"/>
      <c r="P973" s="669" t="n"/>
      <c r="Q973" s="669" t="n"/>
      <c r="R973" s="669" t="n"/>
      <c r="S973" s="669" t="n"/>
      <c r="T973" s="669" t="n"/>
      <c r="U973" s="669" t="n"/>
    </row>
    <row r="974" ht="15.75" customHeight="1" s="1128">
      <c r="A974" s="669" t="n"/>
      <c r="B974" s="669" t="n"/>
      <c r="C974" s="669" t="n"/>
      <c r="D974" s="669" t="n"/>
      <c r="E974" s="669" t="n"/>
      <c r="F974" s="669" t="n"/>
      <c r="G974" s="669" t="n"/>
      <c r="H974" s="669" t="n"/>
      <c r="I974" s="669" t="n"/>
      <c r="J974" s="669" t="n"/>
      <c r="K974" s="669" t="n"/>
      <c r="L974" s="669" t="n"/>
      <c r="M974" s="669" t="n"/>
      <c r="N974" s="669" t="n"/>
      <c r="O974" s="669" t="n"/>
      <c r="P974" s="669" t="n"/>
      <c r="Q974" s="669" t="n"/>
      <c r="R974" s="669" t="n"/>
      <c r="S974" s="669" t="n"/>
      <c r="T974" s="669" t="n"/>
      <c r="U974" s="669" t="n"/>
    </row>
    <row r="975" ht="15.75" customHeight="1" s="1128">
      <c r="A975" s="669" t="n"/>
      <c r="B975" s="669" t="n"/>
      <c r="C975" s="669" t="n"/>
      <c r="D975" s="669" t="n"/>
      <c r="E975" s="669" t="n"/>
      <c r="F975" s="669" t="n"/>
      <c r="G975" s="669" t="n"/>
      <c r="H975" s="669" t="n"/>
      <c r="I975" s="669" t="n"/>
      <c r="J975" s="669" t="n"/>
      <c r="K975" s="669" t="n"/>
      <c r="L975" s="669" t="n"/>
      <c r="M975" s="669" t="n"/>
      <c r="N975" s="669" t="n"/>
      <c r="O975" s="669" t="n"/>
      <c r="P975" s="669" t="n"/>
      <c r="Q975" s="669" t="n"/>
      <c r="R975" s="669" t="n"/>
      <c r="S975" s="669" t="n"/>
      <c r="T975" s="669" t="n"/>
      <c r="U975" s="669" t="n"/>
    </row>
    <row r="976" ht="15.75" customHeight="1" s="1128">
      <c r="A976" s="669" t="n"/>
      <c r="B976" s="669" t="n"/>
      <c r="C976" s="669" t="n"/>
      <c r="D976" s="669" t="n"/>
      <c r="E976" s="669" t="n"/>
      <c r="F976" s="669" t="n"/>
      <c r="G976" s="669" t="n"/>
      <c r="H976" s="669" t="n"/>
      <c r="I976" s="669" t="n"/>
      <c r="J976" s="669" t="n"/>
      <c r="K976" s="669" t="n"/>
      <c r="L976" s="669" t="n"/>
      <c r="M976" s="669" t="n"/>
      <c r="N976" s="669" t="n"/>
      <c r="O976" s="669" t="n"/>
      <c r="P976" s="669" t="n"/>
      <c r="Q976" s="669" t="n"/>
      <c r="R976" s="669" t="n"/>
      <c r="S976" s="669" t="n"/>
      <c r="T976" s="669" t="n"/>
      <c r="U976" s="669" t="n"/>
    </row>
    <row r="977" ht="15.75" customHeight="1" s="1128">
      <c r="A977" s="669" t="n"/>
      <c r="B977" s="669" t="n"/>
      <c r="C977" s="669" t="n"/>
      <c r="D977" s="669" t="n"/>
      <c r="E977" s="669" t="n"/>
      <c r="F977" s="669" t="n"/>
      <c r="G977" s="669" t="n"/>
      <c r="H977" s="669" t="n"/>
      <c r="I977" s="669" t="n"/>
      <c r="J977" s="669" t="n"/>
      <c r="K977" s="669" t="n"/>
      <c r="L977" s="669" t="n"/>
      <c r="M977" s="669" t="n"/>
      <c r="N977" s="669" t="n"/>
      <c r="O977" s="669" t="n"/>
      <c r="P977" s="669" t="n"/>
      <c r="Q977" s="669" t="n"/>
      <c r="R977" s="669" t="n"/>
      <c r="S977" s="669" t="n"/>
      <c r="T977" s="669" t="n"/>
      <c r="U977" s="669" t="n"/>
    </row>
    <row r="978" ht="15.75" customHeight="1" s="1128">
      <c r="A978" s="669" t="n"/>
      <c r="B978" s="669" t="n"/>
      <c r="C978" s="669" t="n"/>
      <c r="D978" s="669" t="n"/>
      <c r="E978" s="669" t="n"/>
      <c r="F978" s="669" t="n"/>
      <c r="G978" s="669" t="n"/>
      <c r="H978" s="669" t="n"/>
      <c r="I978" s="669" t="n"/>
      <c r="J978" s="669" t="n"/>
      <c r="K978" s="669" t="n"/>
      <c r="L978" s="669" t="n"/>
      <c r="M978" s="669" t="n"/>
      <c r="N978" s="669" t="n"/>
      <c r="O978" s="669" t="n"/>
      <c r="P978" s="669" t="n"/>
      <c r="Q978" s="669" t="n"/>
      <c r="R978" s="669" t="n"/>
      <c r="S978" s="669" t="n"/>
      <c r="T978" s="669" t="n"/>
      <c r="U978" s="669" t="n"/>
    </row>
    <row r="979" ht="15.75" customHeight="1" s="1128">
      <c r="A979" s="669" t="n"/>
      <c r="B979" s="669" t="n"/>
      <c r="C979" s="669" t="n"/>
      <c r="D979" s="669" t="n"/>
      <c r="E979" s="669" t="n"/>
      <c r="F979" s="669" t="n"/>
      <c r="G979" s="669" t="n"/>
      <c r="H979" s="669" t="n"/>
      <c r="I979" s="669" t="n"/>
      <c r="J979" s="669" t="n"/>
      <c r="K979" s="669" t="n"/>
      <c r="L979" s="669" t="n"/>
      <c r="M979" s="669" t="n"/>
      <c r="N979" s="669" t="n"/>
      <c r="O979" s="669" t="n"/>
      <c r="P979" s="669" t="n"/>
      <c r="Q979" s="669" t="n"/>
      <c r="R979" s="669" t="n"/>
      <c r="S979" s="669" t="n"/>
      <c r="T979" s="669" t="n"/>
      <c r="U979" s="669" t="n"/>
    </row>
    <row r="980" ht="15.75" customHeight="1" s="1128">
      <c r="A980" s="669" t="n"/>
      <c r="B980" s="669" t="n"/>
      <c r="C980" s="669" t="n"/>
      <c r="D980" s="669" t="n"/>
      <c r="E980" s="669" t="n"/>
      <c r="F980" s="669" t="n"/>
      <c r="G980" s="669" t="n"/>
      <c r="H980" s="669" t="n"/>
      <c r="I980" s="669" t="n"/>
      <c r="J980" s="669" t="n"/>
      <c r="K980" s="669" t="n"/>
      <c r="L980" s="669" t="n"/>
      <c r="M980" s="669" t="n"/>
      <c r="N980" s="669" t="n"/>
      <c r="O980" s="669" t="n"/>
      <c r="P980" s="669" t="n"/>
      <c r="Q980" s="669" t="n"/>
      <c r="R980" s="669" t="n"/>
      <c r="S980" s="669" t="n"/>
      <c r="T980" s="669" t="n"/>
      <c r="U980" s="669" t="n"/>
    </row>
    <row r="981" ht="15.75" customHeight="1" s="1128">
      <c r="A981" s="669" t="n"/>
      <c r="B981" s="669" t="n"/>
      <c r="C981" s="669" t="n"/>
      <c r="D981" s="669" t="n"/>
      <c r="E981" s="669" t="n"/>
      <c r="F981" s="669" t="n"/>
      <c r="G981" s="669" t="n"/>
      <c r="H981" s="669" t="n"/>
      <c r="I981" s="669" t="n"/>
      <c r="J981" s="669" t="n"/>
      <c r="K981" s="669" t="n"/>
      <c r="L981" s="669" t="n"/>
      <c r="M981" s="669" t="n"/>
      <c r="N981" s="669" t="n"/>
      <c r="O981" s="669" t="n"/>
      <c r="P981" s="669" t="n"/>
      <c r="Q981" s="669" t="n"/>
      <c r="R981" s="669" t="n"/>
      <c r="S981" s="669" t="n"/>
      <c r="T981" s="669" t="n"/>
      <c r="U981" s="669" t="n"/>
    </row>
    <row r="982" ht="15.75" customHeight="1" s="1128">
      <c r="A982" s="669" t="n"/>
      <c r="B982" s="669" t="n"/>
      <c r="C982" s="669" t="n"/>
      <c r="D982" s="669" t="n"/>
      <c r="E982" s="669" t="n"/>
      <c r="F982" s="669" t="n"/>
      <c r="G982" s="669" t="n"/>
      <c r="H982" s="669" t="n"/>
      <c r="I982" s="669" t="n"/>
      <c r="J982" s="669" t="n"/>
      <c r="K982" s="669" t="n"/>
      <c r="L982" s="669" t="n"/>
      <c r="M982" s="669" t="n"/>
      <c r="N982" s="669" t="n"/>
      <c r="O982" s="669" t="n"/>
      <c r="P982" s="669" t="n"/>
      <c r="Q982" s="669" t="n"/>
      <c r="R982" s="669" t="n"/>
      <c r="S982" s="669" t="n"/>
      <c r="T982" s="669" t="n"/>
      <c r="U982" s="669" t="n"/>
    </row>
    <row r="983" ht="15.75" customHeight="1" s="1128">
      <c r="A983" s="669" t="n"/>
      <c r="B983" s="669" t="n"/>
      <c r="C983" s="669" t="n"/>
      <c r="D983" s="669" t="n"/>
      <c r="E983" s="669" t="n"/>
      <c r="F983" s="669" t="n"/>
      <c r="G983" s="669" t="n"/>
      <c r="H983" s="669" t="n"/>
      <c r="I983" s="669" t="n"/>
      <c r="J983" s="669" t="n"/>
      <c r="K983" s="669" t="n"/>
      <c r="L983" s="669" t="n"/>
      <c r="M983" s="669" t="n"/>
      <c r="N983" s="669" t="n"/>
      <c r="O983" s="669" t="n"/>
      <c r="P983" s="669" t="n"/>
      <c r="Q983" s="669" t="n"/>
      <c r="R983" s="669" t="n"/>
      <c r="S983" s="669" t="n"/>
      <c r="T983" s="669" t="n"/>
      <c r="U983" s="669" t="n"/>
    </row>
    <row r="984" ht="15.75" customHeight="1" s="1128">
      <c r="A984" s="669" t="n"/>
      <c r="B984" s="669" t="n"/>
      <c r="C984" s="669" t="n"/>
      <c r="D984" s="669" t="n"/>
      <c r="E984" s="669" t="n"/>
      <c r="F984" s="669" t="n"/>
      <c r="G984" s="669" t="n"/>
      <c r="H984" s="669" t="n"/>
      <c r="I984" s="669" t="n"/>
      <c r="J984" s="669" t="n"/>
      <c r="K984" s="669" t="n"/>
      <c r="L984" s="669" t="n"/>
      <c r="M984" s="669" t="n"/>
      <c r="N984" s="669" t="n"/>
      <c r="O984" s="669" t="n"/>
      <c r="P984" s="669" t="n"/>
      <c r="Q984" s="669" t="n"/>
      <c r="R984" s="669" t="n"/>
      <c r="S984" s="669" t="n"/>
      <c r="T984" s="669" t="n"/>
      <c r="U984" s="669" t="n"/>
    </row>
    <row r="985" ht="15.75" customHeight="1" s="1128">
      <c r="A985" s="669" t="n"/>
      <c r="B985" s="669" t="n"/>
      <c r="C985" s="669" t="n"/>
      <c r="D985" s="669" t="n"/>
      <c r="E985" s="669" t="n"/>
      <c r="F985" s="669" t="n"/>
      <c r="G985" s="669" t="n"/>
      <c r="H985" s="669" t="n"/>
      <c r="I985" s="669" t="n"/>
      <c r="J985" s="669" t="n"/>
      <c r="K985" s="669" t="n"/>
      <c r="L985" s="669" t="n"/>
      <c r="M985" s="669" t="n"/>
      <c r="N985" s="669" t="n"/>
      <c r="O985" s="669" t="n"/>
      <c r="P985" s="669" t="n"/>
      <c r="Q985" s="669" t="n"/>
      <c r="R985" s="669" t="n"/>
      <c r="S985" s="669" t="n"/>
      <c r="T985" s="669" t="n"/>
      <c r="U985" s="669" t="n"/>
    </row>
    <row r="986" ht="15.75" customHeight="1" s="1128">
      <c r="A986" s="669" t="n"/>
      <c r="B986" s="669" t="n"/>
      <c r="C986" s="669" t="n"/>
      <c r="D986" s="669" t="n"/>
      <c r="E986" s="669" t="n"/>
      <c r="F986" s="669" t="n"/>
      <c r="G986" s="669" t="n"/>
      <c r="H986" s="669" t="n"/>
      <c r="I986" s="669" t="n"/>
      <c r="J986" s="669" t="n"/>
      <c r="K986" s="669" t="n"/>
      <c r="L986" s="669" t="n"/>
      <c r="M986" s="669" t="n"/>
      <c r="N986" s="669" t="n"/>
      <c r="O986" s="669" t="n"/>
      <c r="P986" s="669" t="n"/>
      <c r="Q986" s="669" t="n"/>
      <c r="R986" s="669" t="n"/>
      <c r="S986" s="669" t="n"/>
      <c r="T986" s="669" t="n"/>
      <c r="U986" s="669" t="n"/>
    </row>
    <row r="987" ht="15.75" customHeight="1" s="1128">
      <c r="A987" s="669" t="n"/>
      <c r="B987" s="669" t="n"/>
      <c r="C987" s="669" t="n"/>
      <c r="D987" s="669" t="n"/>
      <c r="E987" s="669" t="n"/>
      <c r="F987" s="669" t="n"/>
      <c r="G987" s="669" t="n"/>
      <c r="H987" s="669" t="n"/>
      <c r="I987" s="669" t="n"/>
      <c r="J987" s="669" t="n"/>
      <c r="K987" s="669" t="n"/>
      <c r="L987" s="669" t="n"/>
      <c r="M987" s="669" t="n"/>
      <c r="N987" s="669" t="n"/>
      <c r="O987" s="669" t="n"/>
      <c r="P987" s="669" t="n"/>
      <c r="Q987" s="669" t="n"/>
      <c r="R987" s="669" t="n"/>
      <c r="S987" s="669" t="n"/>
      <c r="T987" s="669" t="n"/>
      <c r="U987" s="669" t="n"/>
    </row>
    <row r="988" ht="15.75" customHeight="1" s="1128">
      <c r="A988" s="669" t="n"/>
      <c r="B988" s="669" t="n"/>
      <c r="C988" s="669" t="n"/>
      <c r="D988" s="669" t="n"/>
      <c r="E988" s="669" t="n"/>
      <c r="F988" s="669" t="n"/>
      <c r="G988" s="669" t="n"/>
      <c r="H988" s="669" t="n"/>
      <c r="I988" s="669" t="n"/>
      <c r="J988" s="669" t="n"/>
      <c r="K988" s="669" t="n"/>
      <c r="L988" s="669" t="n"/>
      <c r="M988" s="669" t="n"/>
      <c r="N988" s="669" t="n"/>
      <c r="O988" s="669" t="n"/>
      <c r="P988" s="669" t="n"/>
      <c r="Q988" s="669" t="n"/>
      <c r="R988" s="669" t="n"/>
      <c r="S988" s="669" t="n"/>
      <c r="T988" s="669" t="n"/>
      <c r="U988" s="669" t="n"/>
    </row>
    <row r="989" ht="15.75" customHeight="1" s="1128">
      <c r="A989" s="669" t="n"/>
      <c r="B989" s="669" t="n"/>
      <c r="C989" s="669" t="n"/>
      <c r="D989" s="669" t="n"/>
      <c r="E989" s="669" t="n"/>
      <c r="F989" s="669" t="n"/>
      <c r="G989" s="669" t="n"/>
      <c r="H989" s="669" t="n"/>
      <c r="I989" s="669" t="n"/>
      <c r="J989" s="669" t="n"/>
      <c r="K989" s="669" t="n"/>
      <c r="L989" s="669" t="n"/>
      <c r="M989" s="669" t="n"/>
      <c r="N989" s="669" t="n"/>
      <c r="O989" s="669" t="n"/>
      <c r="P989" s="669" t="n"/>
      <c r="Q989" s="669" t="n"/>
      <c r="R989" s="669" t="n"/>
      <c r="S989" s="669" t="n"/>
      <c r="T989" s="669" t="n"/>
      <c r="U989" s="669" t="n"/>
    </row>
    <row r="990" ht="15.75" customHeight="1" s="1128">
      <c r="A990" s="669" t="n"/>
      <c r="B990" s="669" t="n"/>
      <c r="C990" s="669" t="n"/>
      <c r="D990" s="669" t="n"/>
      <c r="E990" s="669" t="n"/>
      <c r="F990" s="669" t="n"/>
      <c r="G990" s="669" t="n"/>
      <c r="H990" s="669" t="n"/>
      <c r="I990" s="669" t="n"/>
      <c r="J990" s="669" t="n"/>
      <c r="K990" s="669" t="n"/>
      <c r="L990" s="669" t="n"/>
      <c r="M990" s="669" t="n"/>
      <c r="N990" s="669" t="n"/>
      <c r="O990" s="669" t="n"/>
      <c r="P990" s="669" t="n"/>
      <c r="Q990" s="669" t="n"/>
      <c r="R990" s="669" t="n"/>
      <c r="S990" s="669" t="n"/>
      <c r="T990" s="669" t="n"/>
      <c r="U990" s="669" t="n"/>
    </row>
    <row r="991" ht="15.75" customHeight="1" s="1128">
      <c r="A991" s="669" t="n"/>
      <c r="B991" s="669" t="n"/>
      <c r="C991" s="669" t="n"/>
      <c r="D991" s="669" t="n"/>
      <c r="E991" s="669" t="n"/>
      <c r="F991" s="669" t="n"/>
      <c r="G991" s="669" t="n"/>
      <c r="H991" s="669" t="n"/>
      <c r="I991" s="669" t="n"/>
      <c r="J991" s="669" t="n"/>
      <c r="K991" s="669" t="n"/>
      <c r="L991" s="669" t="n"/>
      <c r="M991" s="669" t="n"/>
      <c r="N991" s="669" t="n"/>
      <c r="O991" s="669" t="n"/>
      <c r="P991" s="669" t="n"/>
      <c r="Q991" s="669" t="n"/>
      <c r="R991" s="669" t="n"/>
      <c r="S991" s="669" t="n"/>
      <c r="T991" s="669" t="n"/>
      <c r="U991" s="669" t="n"/>
    </row>
    <row r="992" ht="15.75" customHeight="1" s="1128">
      <c r="A992" s="669" t="n"/>
      <c r="B992" s="669" t="n"/>
      <c r="C992" s="669" t="n"/>
      <c r="D992" s="669" t="n"/>
      <c r="E992" s="669" t="n"/>
      <c r="F992" s="669" t="n"/>
      <c r="G992" s="669" t="n"/>
      <c r="H992" s="669" t="n"/>
      <c r="I992" s="669" t="n"/>
      <c r="J992" s="669" t="n"/>
      <c r="K992" s="669" t="n"/>
      <c r="L992" s="669" t="n"/>
      <c r="M992" s="669" t="n"/>
      <c r="N992" s="669" t="n"/>
      <c r="O992" s="669" t="n"/>
      <c r="P992" s="669" t="n"/>
      <c r="Q992" s="669" t="n"/>
      <c r="R992" s="669" t="n"/>
      <c r="S992" s="669" t="n"/>
      <c r="T992" s="669" t="n"/>
      <c r="U992" s="669" t="n"/>
    </row>
    <row r="993" ht="15.75" customHeight="1" s="1128">
      <c r="A993" s="669" t="n"/>
      <c r="B993" s="669" t="n"/>
      <c r="C993" s="669" t="n"/>
      <c r="D993" s="669" t="n"/>
      <c r="E993" s="669" t="n"/>
      <c r="F993" s="669" t="n"/>
      <c r="G993" s="669" t="n"/>
      <c r="H993" s="669" t="n"/>
      <c r="I993" s="669" t="n"/>
      <c r="J993" s="669" t="n"/>
      <c r="K993" s="669" t="n"/>
      <c r="L993" s="669" t="n"/>
      <c r="M993" s="669" t="n"/>
      <c r="N993" s="669" t="n"/>
      <c r="O993" s="669" t="n"/>
      <c r="P993" s="669" t="n"/>
      <c r="Q993" s="669" t="n"/>
      <c r="R993" s="669" t="n"/>
      <c r="S993" s="669" t="n"/>
      <c r="T993" s="669" t="n"/>
      <c r="U993" s="669" t="n"/>
    </row>
    <row r="994" ht="15.75" customHeight="1" s="1128">
      <c r="A994" s="669" t="n"/>
      <c r="B994" s="669" t="n"/>
      <c r="C994" s="669" t="n"/>
      <c r="D994" s="669" t="n"/>
      <c r="E994" s="669" t="n"/>
      <c r="F994" s="669" t="n"/>
      <c r="G994" s="669" t="n"/>
      <c r="H994" s="669" t="n"/>
      <c r="I994" s="669" t="n"/>
      <c r="J994" s="669" t="n"/>
      <c r="K994" s="669" t="n"/>
      <c r="L994" s="669" t="n"/>
      <c r="M994" s="669" t="n"/>
      <c r="N994" s="669" t="n"/>
      <c r="O994" s="669" t="n"/>
      <c r="P994" s="669" t="n"/>
      <c r="Q994" s="669" t="n"/>
      <c r="R994" s="669" t="n"/>
      <c r="S994" s="669" t="n"/>
      <c r="T994" s="669" t="n"/>
      <c r="U994" s="669" t="n"/>
    </row>
    <row r="995" ht="15.75" customHeight="1" s="1128">
      <c r="A995" s="669" t="n"/>
      <c r="B995" s="669" t="n"/>
      <c r="C995" s="669" t="n"/>
      <c r="D995" s="669" t="n"/>
      <c r="E995" s="669" t="n"/>
      <c r="F995" s="669" t="n"/>
      <c r="G995" s="669" t="n"/>
      <c r="H995" s="669" t="n"/>
      <c r="I995" s="669" t="n"/>
      <c r="J995" s="669" t="n"/>
      <c r="K995" s="669" t="n"/>
      <c r="L995" s="669" t="n"/>
      <c r="M995" s="669" t="n"/>
      <c r="N995" s="669" t="n"/>
      <c r="O995" s="669" t="n"/>
      <c r="P995" s="669" t="n"/>
      <c r="Q995" s="669" t="n"/>
      <c r="R995" s="669" t="n"/>
      <c r="S995" s="669" t="n"/>
      <c r="T995" s="669" t="n"/>
      <c r="U995" s="669" t="n"/>
    </row>
    <row r="996" ht="15.75" customHeight="1" s="1128">
      <c r="A996" s="669" t="n"/>
      <c r="B996" s="669" t="n"/>
      <c r="C996" s="669" t="n"/>
      <c r="D996" s="669" t="n"/>
      <c r="E996" s="669" t="n"/>
      <c r="F996" s="669" t="n"/>
      <c r="G996" s="669" t="n"/>
      <c r="H996" s="669" t="n"/>
      <c r="I996" s="669" t="n"/>
      <c r="J996" s="669" t="n"/>
      <c r="K996" s="669" t="n"/>
      <c r="L996" s="669" t="n"/>
      <c r="M996" s="669" t="n"/>
      <c r="N996" s="669" t="n"/>
      <c r="O996" s="669" t="n"/>
      <c r="P996" s="669" t="n"/>
      <c r="Q996" s="669" t="n"/>
      <c r="R996" s="669" t="n"/>
      <c r="S996" s="669" t="n"/>
      <c r="T996" s="669" t="n"/>
      <c r="U996" s="669" t="n"/>
    </row>
    <row r="997" ht="15.75" customHeight="1" s="1128">
      <c r="A997" s="669" t="n"/>
      <c r="B997" s="669" t="n"/>
      <c r="C997" s="669" t="n"/>
      <c r="D997" s="669" t="n"/>
      <c r="E997" s="669" t="n"/>
      <c r="F997" s="669" t="n"/>
      <c r="G997" s="669" t="n"/>
      <c r="H997" s="669" t="n"/>
      <c r="I997" s="669" t="n"/>
      <c r="J997" s="669" t="n"/>
      <c r="K997" s="669" t="n"/>
      <c r="L997" s="669" t="n"/>
      <c r="M997" s="669" t="n"/>
      <c r="N997" s="669" t="n"/>
      <c r="O997" s="669" t="n"/>
      <c r="P997" s="669" t="n"/>
      <c r="Q997" s="669" t="n"/>
      <c r="R997" s="669" t="n"/>
      <c r="S997" s="669" t="n"/>
      <c r="T997" s="669" t="n"/>
      <c r="U997" s="669" t="n"/>
    </row>
    <row r="998" ht="15.75" customHeight="1" s="1128">
      <c r="A998" s="669" t="n"/>
      <c r="B998" s="669" t="n"/>
      <c r="C998" s="669" t="n"/>
      <c r="D998" s="669" t="n"/>
      <c r="E998" s="669" t="n"/>
      <c r="F998" s="669" t="n"/>
      <c r="G998" s="669" t="n"/>
      <c r="H998" s="669" t="n"/>
      <c r="I998" s="669" t="n"/>
      <c r="J998" s="669" t="n"/>
      <c r="K998" s="669" t="n"/>
      <c r="L998" s="669" t="n"/>
      <c r="M998" s="669" t="n"/>
      <c r="N998" s="669" t="n"/>
      <c r="O998" s="669" t="n"/>
      <c r="P998" s="669" t="n"/>
      <c r="Q998" s="669" t="n"/>
      <c r="R998" s="669" t="n"/>
      <c r="S998" s="669" t="n"/>
      <c r="T998" s="669" t="n"/>
      <c r="U998" s="669" t="n"/>
    </row>
    <row r="999" ht="15.75" customHeight="1" s="1128">
      <c r="A999" s="669" t="n"/>
      <c r="B999" s="669" t="n"/>
      <c r="C999" s="669" t="n"/>
      <c r="D999" s="669" t="n"/>
      <c r="E999" s="669" t="n"/>
      <c r="F999" s="669" t="n"/>
      <c r="G999" s="669" t="n"/>
      <c r="H999" s="669" t="n"/>
      <c r="I999" s="669" t="n"/>
      <c r="J999" s="669" t="n"/>
      <c r="K999" s="669" t="n"/>
      <c r="L999" s="669" t="n"/>
      <c r="M999" s="669" t="n"/>
      <c r="N999" s="669" t="n"/>
      <c r="O999" s="669" t="n"/>
      <c r="P999" s="669" t="n"/>
      <c r="Q999" s="669" t="n"/>
      <c r="R999" s="669" t="n"/>
      <c r="S999" s="669" t="n"/>
      <c r="T999" s="669" t="n"/>
      <c r="U999" s="669" t="n"/>
    </row>
    <row r="1000" ht="15.75" customHeight="1" s="1128">
      <c r="A1000" s="669" t="n"/>
      <c r="B1000" s="669" t="n"/>
      <c r="C1000" s="669" t="n"/>
      <c r="D1000" s="669" t="n"/>
      <c r="E1000" s="669" t="n"/>
      <c r="F1000" s="669" t="n"/>
      <c r="G1000" s="669" t="n"/>
      <c r="H1000" s="669" t="n"/>
      <c r="I1000" s="669" t="n"/>
      <c r="J1000" s="669" t="n"/>
      <c r="K1000" s="669" t="n"/>
      <c r="L1000" s="669" t="n"/>
      <c r="M1000" s="669" t="n"/>
      <c r="N1000" s="669" t="n"/>
      <c r="O1000" s="669" t="n"/>
      <c r="P1000" s="669" t="n"/>
      <c r="Q1000" s="669" t="n"/>
      <c r="R1000" s="669" t="n"/>
      <c r="S1000" s="669" t="n"/>
      <c r="T1000" s="669" t="n"/>
      <c r="U1000" s="669" t="n"/>
    </row>
    <row r="1001" ht="15.75" customHeight="1" s="1128">
      <c r="A1001" s="669" t="n"/>
      <c r="B1001" s="669" t="n"/>
      <c r="C1001" s="669" t="n"/>
      <c r="D1001" s="669" t="n"/>
      <c r="E1001" s="669" t="n"/>
      <c r="F1001" s="669" t="n"/>
      <c r="G1001" s="669" t="n"/>
      <c r="H1001" s="669" t="n"/>
      <c r="I1001" s="669" t="n"/>
      <c r="J1001" s="669" t="n"/>
      <c r="K1001" s="669" t="n"/>
      <c r="L1001" s="669" t="n"/>
      <c r="M1001" s="669" t="n"/>
      <c r="N1001" s="669" t="n"/>
      <c r="O1001" s="669" t="n"/>
      <c r="P1001" s="669" t="n"/>
      <c r="Q1001" s="669" t="n"/>
      <c r="R1001" s="669" t="n"/>
      <c r="S1001" s="669" t="n"/>
      <c r="T1001" s="669" t="n"/>
      <c r="U1001" s="669" t="n"/>
    </row>
    <row r="1002" ht="15.75" customHeight="1" s="1128">
      <c r="A1002" s="669" t="n"/>
      <c r="B1002" s="669" t="n"/>
      <c r="C1002" s="669" t="n"/>
      <c r="D1002" s="669" t="n"/>
      <c r="E1002" s="669" t="n"/>
      <c r="F1002" s="669" t="n"/>
      <c r="G1002" s="669" t="n"/>
      <c r="H1002" s="669" t="n"/>
      <c r="I1002" s="669" t="n"/>
      <c r="J1002" s="669" t="n"/>
      <c r="K1002" s="669" t="n"/>
      <c r="L1002" s="669" t="n"/>
      <c r="M1002" s="669" t="n"/>
      <c r="N1002" s="669" t="n"/>
      <c r="O1002" s="669" t="n"/>
      <c r="P1002" s="669" t="n"/>
      <c r="Q1002" s="669" t="n"/>
      <c r="R1002" s="669" t="n"/>
      <c r="S1002" s="669" t="n"/>
      <c r="T1002" s="669" t="n"/>
      <c r="U1002" s="669" t="n"/>
    </row>
    <row r="1003" ht="15.75" customHeight="1" s="1128">
      <c r="A1003" s="669" t="n"/>
      <c r="B1003" s="669" t="n"/>
      <c r="C1003" s="669" t="n"/>
      <c r="D1003" s="669" t="n"/>
      <c r="E1003" s="669" t="n"/>
      <c r="F1003" s="669" t="n"/>
      <c r="G1003" s="669" t="n"/>
      <c r="H1003" s="669" t="n"/>
      <c r="I1003" s="669" t="n"/>
      <c r="J1003" s="669" t="n"/>
      <c r="K1003" s="669" t="n"/>
      <c r="L1003" s="669" t="n"/>
      <c r="M1003" s="669" t="n"/>
      <c r="N1003" s="669" t="n"/>
      <c r="O1003" s="669" t="n"/>
      <c r="P1003" s="669" t="n"/>
      <c r="Q1003" s="669" t="n"/>
      <c r="R1003" s="669" t="n"/>
      <c r="S1003" s="669" t="n"/>
      <c r="T1003" s="669" t="n"/>
      <c r="U1003" s="669" t="n"/>
    </row>
    <row r="1004" ht="15.75" customHeight="1" s="1128">
      <c r="A1004" s="669" t="n"/>
      <c r="B1004" s="669" t="n"/>
      <c r="C1004" s="669" t="n"/>
      <c r="D1004" s="669" t="n"/>
      <c r="E1004" s="669" t="n"/>
      <c r="F1004" s="669" t="n"/>
      <c r="G1004" s="669" t="n"/>
      <c r="H1004" s="669" t="n"/>
      <c r="I1004" s="669" t="n"/>
      <c r="J1004" s="669" t="n"/>
      <c r="K1004" s="669" t="n"/>
      <c r="L1004" s="669" t="n"/>
      <c r="M1004" s="669" t="n"/>
      <c r="N1004" s="669" t="n"/>
      <c r="O1004" s="669" t="n"/>
      <c r="P1004" s="669" t="n"/>
      <c r="Q1004" s="669" t="n"/>
      <c r="R1004" s="669" t="n"/>
      <c r="S1004" s="669" t="n"/>
      <c r="T1004" s="669" t="n"/>
      <c r="U1004" s="669" t="n"/>
    </row>
    <row r="1005" ht="15.75" customHeight="1" s="1128">
      <c r="A1005" s="669" t="n"/>
      <c r="B1005" s="669" t="n"/>
      <c r="C1005" s="669" t="n"/>
      <c r="D1005" s="669" t="n"/>
      <c r="E1005" s="669" t="n"/>
      <c r="F1005" s="669" t="n"/>
      <c r="G1005" s="669" t="n"/>
      <c r="H1005" s="669" t="n"/>
      <c r="I1005" s="669" t="n"/>
      <c r="J1005" s="669" t="n"/>
      <c r="K1005" s="669" t="n"/>
      <c r="L1005" s="669" t="n"/>
      <c r="M1005" s="669" t="n"/>
      <c r="N1005" s="669" t="n"/>
      <c r="O1005" s="669" t="n"/>
      <c r="P1005" s="669" t="n"/>
      <c r="Q1005" s="669" t="n"/>
      <c r="R1005" s="669" t="n"/>
      <c r="S1005" s="669" t="n"/>
      <c r="T1005" s="669" t="n"/>
      <c r="U1005" s="669" t="n"/>
    </row>
    <row r="1006" ht="15.75" customHeight="1" s="1128">
      <c r="A1006" s="669" t="n"/>
      <c r="B1006" s="669" t="n"/>
      <c r="C1006" s="669" t="n"/>
      <c r="D1006" s="669" t="n"/>
      <c r="E1006" s="669" t="n"/>
      <c r="F1006" s="669" t="n"/>
      <c r="G1006" s="669" t="n"/>
      <c r="H1006" s="669" t="n"/>
      <c r="I1006" s="669" t="n"/>
      <c r="J1006" s="669" t="n"/>
      <c r="K1006" s="669" t="n"/>
      <c r="L1006" s="669" t="n"/>
      <c r="M1006" s="669" t="n"/>
      <c r="N1006" s="669" t="n"/>
      <c r="O1006" s="669" t="n"/>
      <c r="P1006" s="669" t="n"/>
      <c r="Q1006" s="669" t="n"/>
      <c r="R1006" s="669" t="n"/>
      <c r="S1006" s="669" t="n"/>
      <c r="T1006" s="669" t="n"/>
      <c r="U1006" s="669" t="n"/>
    </row>
    <row r="1007" ht="15.75" customHeight="1" s="1128">
      <c r="A1007" s="669" t="n"/>
      <c r="B1007" s="669" t="n"/>
      <c r="C1007" s="669" t="n"/>
      <c r="D1007" s="669" t="n"/>
      <c r="E1007" s="669" t="n"/>
      <c r="F1007" s="669" t="n"/>
      <c r="G1007" s="669" t="n"/>
      <c r="H1007" s="669" t="n"/>
      <c r="I1007" s="669" t="n"/>
      <c r="J1007" s="669" t="n"/>
      <c r="K1007" s="669" t="n"/>
      <c r="L1007" s="669" t="n"/>
      <c r="M1007" s="669" t="n"/>
      <c r="N1007" s="669" t="n"/>
      <c r="O1007" s="669" t="n"/>
      <c r="P1007" s="669" t="n"/>
      <c r="Q1007" s="669" t="n"/>
      <c r="R1007" s="669" t="n"/>
      <c r="S1007" s="669" t="n"/>
      <c r="T1007" s="669" t="n"/>
      <c r="U1007" s="669" t="n"/>
    </row>
    <row r="1008" ht="15.75" customHeight="1" s="1128">
      <c r="A1008" s="669" t="n"/>
      <c r="B1008" s="669" t="n"/>
      <c r="C1008" s="669" t="n"/>
      <c r="D1008" s="669" t="n"/>
      <c r="E1008" s="669" t="n"/>
      <c r="F1008" s="669" t="n"/>
      <c r="G1008" s="669" t="n"/>
      <c r="H1008" s="669" t="n"/>
      <c r="I1008" s="669" t="n"/>
      <c r="J1008" s="669" t="n"/>
      <c r="K1008" s="669" t="n"/>
      <c r="L1008" s="669" t="n"/>
      <c r="M1008" s="669" t="n"/>
      <c r="N1008" s="669" t="n"/>
      <c r="O1008" s="669" t="n"/>
      <c r="P1008" s="669" t="n"/>
      <c r="Q1008" s="669" t="n"/>
      <c r="R1008" s="669" t="n"/>
      <c r="S1008" s="669" t="n"/>
      <c r="T1008" s="669" t="n"/>
      <c r="U1008" s="669" t="n"/>
    </row>
    <row r="1009" ht="15.75" customHeight="1" s="1128">
      <c r="A1009" s="669" t="n"/>
      <c r="B1009" s="669" t="n"/>
      <c r="C1009" s="669" t="n"/>
      <c r="D1009" s="669" t="n"/>
      <c r="E1009" s="669" t="n"/>
      <c r="F1009" s="669" t="n"/>
      <c r="G1009" s="669" t="n"/>
      <c r="H1009" s="669" t="n"/>
      <c r="I1009" s="669" t="n"/>
      <c r="J1009" s="669" t="n"/>
      <c r="K1009" s="669" t="n"/>
      <c r="L1009" s="669" t="n"/>
      <c r="M1009" s="669" t="n"/>
      <c r="N1009" s="669" t="n"/>
      <c r="O1009" s="669" t="n"/>
      <c r="P1009" s="669" t="n"/>
      <c r="Q1009" s="669" t="n"/>
      <c r="R1009" s="669" t="n"/>
      <c r="S1009" s="669" t="n"/>
      <c r="T1009" s="669" t="n"/>
      <c r="U1009" s="669" t="n"/>
    </row>
    <row r="1010" ht="15.75" customHeight="1" s="1128">
      <c r="A1010" s="669" t="n"/>
      <c r="B1010" s="669" t="n"/>
      <c r="C1010" s="669" t="n"/>
      <c r="D1010" s="669" t="n"/>
      <c r="E1010" s="669" t="n"/>
      <c r="F1010" s="669" t="n"/>
      <c r="G1010" s="669" t="n"/>
      <c r="H1010" s="669" t="n"/>
      <c r="I1010" s="669" t="n"/>
      <c r="J1010" s="669" t="n"/>
      <c r="K1010" s="669" t="n"/>
      <c r="L1010" s="669" t="n"/>
      <c r="M1010" s="669" t="n"/>
      <c r="N1010" s="669" t="n"/>
      <c r="O1010" s="669" t="n"/>
      <c r="P1010" s="669" t="n"/>
      <c r="Q1010" s="669" t="n"/>
      <c r="R1010" s="669" t="n"/>
      <c r="S1010" s="669" t="n"/>
      <c r="T1010" s="669" t="n"/>
      <c r="U1010" s="669" t="n"/>
    </row>
    <row r="1011" ht="15.75" customHeight="1" s="1128">
      <c r="A1011" s="669" t="n"/>
      <c r="B1011" s="669" t="n"/>
      <c r="C1011" s="669" t="n"/>
      <c r="D1011" s="669" t="n"/>
      <c r="E1011" s="669" t="n"/>
      <c r="F1011" s="669" t="n"/>
      <c r="G1011" s="669" t="n"/>
      <c r="H1011" s="669" t="n"/>
      <c r="I1011" s="669" t="n"/>
      <c r="J1011" s="669" t="n"/>
      <c r="K1011" s="669" t="n"/>
      <c r="L1011" s="669" t="n"/>
      <c r="M1011" s="669" t="n"/>
      <c r="N1011" s="669" t="n"/>
      <c r="O1011" s="669" t="n"/>
      <c r="P1011" s="669" t="n"/>
      <c r="Q1011" s="669" t="n"/>
      <c r="R1011" s="669" t="n"/>
      <c r="S1011" s="669" t="n"/>
      <c r="T1011" s="669" t="n"/>
      <c r="U1011" s="669" t="n"/>
    </row>
    <row r="1012" ht="15.75" customHeight="1" s="1128">
      <c r="A1012" s="669" t="n"/>
      <c r="B1012" s="669" t="n"/>
      <c r="C1012" s="669" t="n"/>
      <c r="D1012" s="669" t="n"/>
      <c r="E1012" s="669" t="n"/>
      <c r="F1012" s="669" t="n"/>
      <c r="G1012" s="669" t="n"/>
      <c r="H1012" s="669" t="n"/>
      <c r="I1012" s="669" t="n"/>
      <c r="J1012" s="669" t="n"/>
      <c r="K1012" s="669" t="n"/>
      <c r="L1012" s="669" t="n"/>
      <c r="M1012" s="669" t="n"/>
      <c r="N1012" s="669" t="n"/>
      <c r="O1012" s="669" t="n"/>
      <c r="P1012" s="669" t="n"/>
      <c r="Q1012" s="669" t="n"/>
      <c r="R1012" s="669" t="n"/>
      <c r="S1012" s="669" t="n"/>
      <c r="T1012" s="669" t="n"/>
      <c r="U1012" s="669" t="n"/>
    </row>
    <row r="1013" ht="15.75" customHeight="1" s="1128">
      <c r="A1013" s="669" t="n"/>
      <c r="B1013" s="669" t="n"/>
      <c r="C1013" s="669" t="n"/>
      <c r="D1013" s="669" t="n"/>
      <c r="E1013" s="669" t="n"/>
      <c r="F1013" s="669" t="n"/>
      <c r="G1013" s="669" t="n"/>
      <c r="H1013" s="669" t="n"/>
      <c r="I1013" s="669" t="n"/>
      <c r="J1013" s="669" t="n"/>
      <c r="K1013" s="669" t="n"/>
      <c r="L1013" s="669" t="n"/>
      <c r="M1013" s="669" t="n"/>
      <c r="N1013" s="669" t="n"/>
      <c r="O1013" s="669" t="n"/>
      <c r="P1013" s="669" t="n"/>
      <c r="Q1013" s="669" t="n"/>
      <c r="R1013" s="669" t="n"/>
      <c r="S1013" s="669" t="n"/>
      <c r="T1013" s="669" t="n"/>
      <c r="U1013" s="669" t="n"/>
    </row>
    <row r="1014" ht="15.75" customHeight="1" s="1128">
      <c r="A1014" s="669" t="n"/>
      <c r="B1014" s="669" t="n"/>
      <c r="C1014" s="669" t="n"/>
      <c r="D1014" s="669" t="n"/>
      <c r="E1014" s="669" t="n"/>
      <c r="F1014" s="669" t="n"/>
      <c r="G1014" s="669" t="n"/>
      <c r="H1014" s="669" t="n"/>
      <c r="I1014" s="669" t="n"/>
      <c r="J1014" s="669" t="n"/>
      <c r="K1014" s="669" t="n"/>
      <c r="L1014" s="669" t="n"/>
      <c r="M1014" s="669" t="n"/>
      <c r="N1014" s="669" t="n"/>
      <c r="O1014" s="669" t="n"/>
      <c r="P1014" s="669" t="n"/>
      <c r="Q1014" s="669" t="n"/>
      <c r="R1014" s="669" t="n"/>
      <c r="S1014" s="669" t="n"/>
      <c r="T1014" s="669" t="n"/>
      <c r="U1014" s="669" t="n"/>
    </row>
    <row r="1015" ht="15.75" customHeight="1" s="1128">
      <c r="A1015" s="669" t="n"/>
      <c r="B1015" s="669" t="n"/>
      <c r="C1015" s="669" t="n"/>
      <c r="D1015" s="669" t="n"/>
      <c r="E1015" s="669" t="n"/>
      <c r="F1015" s="669" t="n"/>
      <c r="G1015" s="669" t="n"/>
      <c r="H1015" s="669" t="n"/>
      <c r="I1015" s="669" t="n"/>
      <c r="J1015" s="669" t="n"/>
      <c r="K1015" s="669" t="n"/>
      <c r="L1015" s="669" t="n"/>
      <c r="M1015" s="669" t="n"/>
      <c r="N1015" s="669" t="n"/>
      <c r="O1015" s="669" t="n"/>
      <c r="P1015" s="669" t="n"/>
      <c r="Q1015" s="669" t="n"/>
      <c r="R1015" s="669" t="n"/>
      <c r="S1015" s="669" t="n"/>
      <c r="T1015" s="669" t="n"/>
      <c r="U1015" s="669" t="n"/>
    </row>
    <row r="1016" ht="15.75" customHeight="1" s="1128">
      <c r="A1016" s="669" t="n"/>
      <c r="B1016" s="669" t="n"/>
      <c r="C1016" s="669" t="n"/>
      <c r="D1016" s="669" t="n"/>
      <c r="E1016" s="669" t="n"/>
      <c r="F1016" s="669" t="n"/>
      <c r="G1016" s="669" t="n"/>
      <c r="H1016" s="669" t="n"/>
      <c r="I1016" s="669" t="n"/>
      <c r="J1016" s="669" t="n"/>
      <c r="K1016" s="669" t="n"/>
      <c r="L1016" s="669" t="n"/>
      <c r="M1016" s="669" t="n"/>
      <c r="N1016" s="669" t="n"/>
      <c r="O1016" s="669" t="n"/>
      <c r="P1016" s="669" t="n"/>
      <c r="Q1016" s="669" t="n"/>
      <c r="R1016" s="669" t="n"/>
      <c r="S1016" s="669" t="n"/>
      <c r="T1016" s="669" t="n"/>
      <c r="U1016" s="669" t="n"/>
    </row>
    <row r="1017" ht="15.75" customHeight="1" s="1128">
      <c r="A1017" s="669" t="n"/>
      <c r="B1017" s="669" t="n"/>
      <c r="C1017" s="669" t="n"/>
      <c r="D1017" s="669" t="n"/>
      <c r="E1017" s="669" t="n"/>
      <c r="F1017" s="669" t="n"/>
      <c r="G1017" s="669" t="n"/>
      <c r="H1017" s="669" t="n"/>
      <c r="I1017" s="669" t="n"/>
      <c r="J1017" s="669" t="n"/>
      <c r="K1017" s="669" t="n"/>
      <c r="L1017" s="669" t="n"/>
      <c r="M1017" s="669" t="n"/>
      <c r="N1017" s="669" t="n"/>
      <c r="O1017" s="669" t="n"/>
      <c r="P1017" s="669" t="n"/>
      <c r="Q1017" s="669" t="n"/>
      <c r="R1017" s="669" t="n"/>
      <c r="S1017" s="669" t="n"/>
      <c r="T1017" s="669" t="n"/>
      <c r="U1017" s="669" t="n"/>
    </row>
    <row r="1018" ht="15.75" customHeight="1" s="1128">
      <c r="A1018" s="669" t="n"/>
      <c r="B1018" s="669" t="n"/>
      <c r="C1018" s="669" t="n"/>
      <c r="D1018" s="669" t="n"/>
      <c r="E1018" s="669" t="n"/>
      <c r="F1018" s="669" t="n"/>
      <c r="G1018" s="669" t="n"/>
      <c r="H1018" s="669" t="n"/>
      <c r="I1018" s="669" t="n"/>
      <c r="J1018" s="669" t="n"/>
      <c r="K1018" s="669" t="n"/>
      <c r="L1018" s="669" t="n"/>
      <c r="M1018" s="669" t="n"/>
      <c r="N1018" s="669" t="n"/>
      <c r="O1018" s="669" t="n"/>
      <c r="P1018" s="669" t="n"/>
      <c r="Q1018" s="669" t="n"/>
      <c r="R1018" s="669" t="n"/>
      <c r="S1018" s="669" t="n"/>
      <c r="T1018" s="669" t="n"/>
      <c r="U1018" s="669" t="n"/>
    </row>
    <row r="1019" ht="15.75" customHeight="1" s="1128">
      <c r="A1019" s="669" t="n"/>
      <c r="B1019" s="669" t="n"/>
      <c r="C1019" s="669" t="n"/>
      <c r="D1019" s="669" t="n"/>
      <c r="E1019" s="669" t="n"/>
      <c r="F1019" s="669" t="n"/>
      <c r="G1019" s="669" t="n"/>
      <c r="H1019" s="669" t="n"/>
      <c r="I1019" s="669" t="n"/>
      <c r="J1019" s="669" t="n"/>
      <c r="K1019" s="669" t="n"/>
      <c r="L1019" s="669" t="n"/>
      <c r="M1019" s="669" t="n"/>
      <c r="N1019" s="669" t="n"/>
      <c r="O1019" s="669" t="n"/>
      <c r="P1019" s="669" t="n"/>
      <c r="Q1019" s="669" t="n"/>
      <c r="R1019" s="669" t="n"/>
      <c r="S1019" s="669" t="n"/>
      <c r="T1019" s="669" t="n"/>
      <c r="U1019" s="669" t="n"/>
    </row>
    <row r="1020" ht="15.75" customHeight="1" s="1128">
      <c r="A1020" s="669" t="n"/>
      <c r="B1020" s="669" t="n"/>
      <c r="C1020" s="669" t="n"/>
      <c r="D1020" s="669" t="n"/>
      <c r="E1020" s="669" t="n"/>
      <c r="F1020" s="669" t="n"/>
      <c r="G1020" s="669" t="n"/>
      <c r="H1020" s="669" t="n"/>
      <c r="I1020" s="669" t="n"/>
      <c r="J1020" s="669" t="n"/>
      <c r="K1020" s="669" t="n"/>
      <c r="L1020" s="669" t="n"/>
      <c r="M1020" s="669" t="n"/>
      <c r="N1020" s="669" t="n"/>
      <c r="O1020" s="669" t="n"/>
      <c r="P1020" s="669" t="n"/>
      <c r="Q1020" s="669" t="n"/>
      <c r="R1020" s="669" t="n"/>
      <c r="S1020" s="669" t="n"/>
      <c r="T1020" s="669" t="n"/>
      <c r="U1020" s="669" t="n"/>
    </row>
    <row r="1021" ht="15.75" customHeight="1" s="1128">
      <c r="A1021" s="669" t="n"/>
      <c r="B1021" s="669" t="n"/>
      <c r="C1021" s="669" t="n"/>
      <c r="D1021" s="669" t="n"/>
      <c r="E1021" s="669" t="n"/>
      <c r="F1021" s="669" t="n"/>
      <c r="G1021" s="669" t="n"/>
      <c r="H1021" s="669" t="n"/>
      <c r="I1021" s="669" t="n"/>
      <c r="J1021" s="669" t="n"/>
      <c r="K1021" s="669" t="n"/>
      <c r="L1021" s="669" t="n"/>
      <c r="M1021" s="669" t="n"/>
      <c r="N1021" s="669" t="n"/>
      <c r="O1021" s="669" t="n"/>
      <c r="P1021" s="669" t="n"/>
      <c r="Q1021" s="669" t="n"/>
      <c r="R1021" s="669" t="n"/>
      <c r="S1021" s="669" t="n"/>
      <c r="T1021" s="669" t="n"/>
      <c r="U1021" s="669" t="n"/>
    </row>
    <row r="1022" ht="15.75" customHeight="1" s="1128">
      <c r="A1022" s="669" t="n"/>
      <c r="B1022" s="669" t="n"/>
      <c r="C1022" s="669" t="n"/>
      <c r="D1022" s="669" t="n"/>
      <c r="E1022" s="669" t="n"/>
      <c r="F1022" s="669" t="n"/>
      <c r="G1022" s="669" t="n"/>
      <c r="H1022" s="669" t="n"/>
      <c r="I1022" s="669" t="n"/>
      <c r="J1022" s="669" t="n"/>
      <c r="K1022" s="669" t="n"/>
      <c r="L1022" s="669" t="n"/>
      <c r="M1022" s="669" t="n"/>
      <c r="N1022" s="669" t="n"/>
      <c r="O1022" s="669" t="n"/>
      <c r="P1022" s="669" t="n"/>
      <c r="Q1022" s="669" t="n"/>
      <c r="R1022" s="669" t="n"/>
      <c r="S1022" s="669" t="n"/>
      <c r="T1022" s="669" t="n"/>
      <c r="U1022" s="669" t="n"/>
    </row>
    <row r="1023" ht="15.75" customHeight="1" s="1128">
      <c r="A1023" s="669" t="n"/>
      <c r="B1023" s="669" t="n"/>
      <c r="C1023" s="669" t="n"/>
      <c r="D1023" s="669" t="n"/>
      <c r="E1023" s="669" t="n"/>
      <c r="F1023" s="669" t="n"/>
      <c r="G1023" s="669" t="n"/>
      <c r="H1023" s="669" t="n"/>
      <c r="I1023" s="669" t="n"/>
      <c r="J1023" s="669" t="n"/>
      <c r="K1023" s="669" t="n"/>
      <c r="L1023" s="669" t="n"/>
      <c r="M1023" s="669" t="n"/>
      <c r="N1023" s="669" t="n"/>
      <c r="O1023" s="669" t="n"/>
      <c r="P1023" s="669" t="n"/>
      <c r="Q1023" s="669" t="n"/>
      <c r="R1023" s="669" t="n"/>
      <c r="S1023" s="669" t="n"/>
      <c r="T1023" s="669" t="n"/>
      <c r="U1023" s="669" t="n"/>
    </row>
    <row r="1024" ht="15.75" customHeight="1" s="1128">
      <c r="A1024" s="669" t="n"/>
      <c r="B1024" s="669" t="n"/>
      <c r="C1024" s="669" t="n"/>
      <c r="D1024" s="669" t="n"/>
      <c r="E1024" s="669" t="n"/>
      <c r="F1024" s="669" t="n"/>
      <c r="G1024" s="669" t="n"/>
      <c r="H1024" s="669" t="n"/>
      <c r="I1024" s="669" t="n"/>
      <c r="J1024" s="669" t="n"/>
      <c r="K1024" s="669" t="n"/>
      <c r="L1024" s="669" t="n"/>
      <c r="M1024" s="669" t="n"/>
      <c r="N1024" s="669" t="n"/>
      <c r="O1024" s="669" t="n"/>
      <c r="P1024" s="669" t="n"/>
      <c r="Q1024" s="669" t="n"/>
      <c r="R1024" s="669" t="n"/>
      <c r="S1024" s="669" t="n"/>
      <c r="T1024" s="669" t="n"/>
      <c r="U1024" s="669" t="n"/>
    </row>
    <row r="1025" ht="15.75" customHeight="1" s="1128">
      <c r="A1025" s="669" t="n"/>
      <c r="B1025" s="669" t="n"/>
      <c r="C1025" s="669" t="n"/>
      <c r="D1025" s="669" t="n"/>
      <c r="E1025" s="669" t="n"/>
      <c r="F1025" s="669" t="n"/>
      <c r="G1025" s="669" t="n"/>
      <c r="H1025" s="669" t="n"/>
      <c r="I1025" s="669" t="n"/>
      <c r="J1025" s="669" t="n"/>
      <c r="K1025" s="669" t="n"/>
      <c r="L1025" s="669" t="n"/>
      <c r="M1025" s="669" t="n"/>
      <c r="N1025" s="669" t="n"/>
      <c r="O1025" s="669" t="n"/>
      <c r="P1025" s="669" t="n"/>
      <c r="Q1025" s="669" t="n"/>
      <c r="R1025" s="669" t="n"/>
      <c r="S1025" s="669" t="n"/>
      <c r="T1025" s="669" t="n"/>
      <c r="U1025" s="669" t="n"/>
    </row>
    <row r="1026" ht="15.75" customHeight="1" s="1128">
      <c r="A1026" s="669" t="n"/>
      <c r="B1026" s="669" t="n"/>
      <c r="C1026" s="669" t="n"/>
      <c r="D1026" s="669" t="n"/>
      <c r="E1026" s="669" t="n"/>
      <c r="F1026" s="669" t="n"/>
      <c r="G1026" s="669" t="n"/>
      <c r="H1026" s="669" t="n"/>
      <c r="I1026" s="669" t="n"/>
      <c r="J1026" s="669" t="n"/>
      <c r="K1026" s="669" t="n"/>
      <c r="L1026" s="669" t="n"/>
      <c r="M1026" s="669" t="n"/>
      <c r="N1026" s="669" t="n"/>
      <c r="O1026" s="669" t="n"/>
      <c r="P1026" s="669" t="n"/>
      <c r="Q1026" s="669" t="n"/>
      <c r="R1026" s="669" t="n"/>
      <c r="S1026" s="669" t="n"/>
      <c r="T1026" s="669" t="n"/>
      <c r="U1026" s="669" t="n"/>
    </row>
    <row r="1027" ht="15.75" customHeight="1" s="1128">
      <c r="A1027" s="669" t="n"/>
      <c r="B1027" s="669" t="n"/>
      <c r="C1027" s="669" t="n"/>
      <c r="D1027" s="669" t="n"/>
      <c r="E1027" s="669" t="n"/>
      <c r="F1027" s="669" t="n"/>
      <c r="G1027" s="669" t="n"/>
      <c r="H1027" s="669" t="n"/>
      <c r="I1027" s="669" t="n"/>
      <c r="J1027" s="669" t="n"/>
      <c r="K1027" s="669" t="n"/>
      <c r="L1027" s="669" t="n"/>
      <c r="M1027" s="669" t="n"/>
      <c r="N1027" s="669" t="n"/>
      <c r="O1027" s="669" t="n"/>
      <c r="P1027" s="669" t="n"/>
      <c r="Q1027" s="669" t="n"/>
      <c r="R1027" s="669" t="n"/>
      <c r="S1027" s="669" t="n"/>
      <c r="T1027" s="669" t="n"/>
      <c r="U1027" s="669" t="n"/>
    </row>
    <row r="1028" ht="15.75" customHeight="1" s="1128">
      <c r="A1028" s="669" t="n"/>
      <c r="B1028" s="669" t="n"/>
      <c r="C1028" s="669" t="n"/>
      <c r="D1028" s="669" t="n"/>
      <c r="E1028" s="669" t="n"/>
      <c r="F1028" s="669" t="n"/>
      <c r="G1028" s="669" t="n"/>
      <c r="H1028" s="669" t="n"/>
      <c r="I1028" s="669" t="n"/>
      <c r="J1028" s="669" t="n"/>
      <c r="K1028" s="669" t="n"/>
      <c r="L1028" s="669" t="n"/>
      <c r="M1028" s="669" t="n"/>
      <c r="N1028" s="669" t="n"/>
      <c r="O1028" s="669" t="n"/>
      <c r="P1028" s="669" t="n"/>
      <c r="Q1028" s="669" t="n"/>
      <c r="R1028" s="669" t="n"/>
      <c r="S1028" s="669" t="n"/>
      <c r="T1028" s="669" t="n"/>
      <c r="U1028" s="669" t="n"/>
    </row>
    <row r="1029" ht="15.75" customHeight="1" s="1128">
      <c r="A1029" s="669" t="n"/>
      <c r="B1029" s="669" t="n"/>
      <c r="C1029" s="669" t="n"/>
      <c r="D1029" s="669" t="n"/>
      <c r="E1029" s="669" t="n"/>
      <c r="F1029" s="669" t="n"/>
      <c r="G1029" s="669" t="n"/>
      <c r="H1029" s="669" t="n"/>
      <c r="I1029" s="669" t="n"/>
      <c r="J1029" s="669" t="n"/>
      <c r="K1029" s="669" t="n"/>
      <c r="L1029" s="669" t="n"/>
      <c r="M1029" s="669" t="n"/>
      <c r="N1029" s="669" t="n"/>
      <c r="O1029" s="669" t="n"/>
      <c r="P1029" s="669" t="n"/>
      <c r="Q1029" s="669" t="n"/>
      <c r="R1029" s="669" t="n"/>
      <c r="S1029" s="669" t="n"/>
      <c r="T1029" s="669" t="n"/>
      <c r="U1029" s="669" t="n"/>
    </row>
    <row r="1030" ht="15.75" customHeight="1" s="1128">
      <c r="A1030" s="669" t="n"/>
      <c r="B1030" s="669" t="n"/>
      <c r="C1030" s="669" t="n"/>
      <c r="D1030" s="669" t="n"/>
      <c r="E1030" s="669" t="n"/>
      <c r="F1030" s="669" t="n"/>
      <c r="G1030" s="669" t="n"/>
      <c r="H1030" s="669" t="n"/>
      <c r="I1030" s="669" t="n"/>
      <c r="J1030" s="669" t="n"/>
      <c r="K1030" s="669" t="n"/>
      <c r="L1030" s="669" t="n"/>
      <c r="M1030" s="669" t="n"/>
      <c r="N1030" s="669" t="n"/>
      <c r="O1030" s="669" t="n"/>
      <c r="P1030" s="669" t="n"/>
      <c r="Q1030" s="669" t="n"/>
      <c r="R1030" s="669" t="n"/>
      <c r="S1030" s="669" t="n"/>
      <c r="T1030" s="669" t="n"/>
      <c r="U1030" s="669" t="n"/>
    </row>
    <row r="1031" ht="15.75" customHeight="1" s="1128">
      <c r="A1031" s="669" t="n"/>
      <c r="B1031" s="669" t="n"/>
      <c r="C1031" s="669" t="n"/>
      <c r="D1031" s="669" t="n"/>
      <c r="E1031" s="669" t="n"/>
      <c r="F1031" s="669" t="n"/>
      <c r="G1031" s="669" t="n"/>
      <c r="H1031" s="669" t="n"/>
      <c r="I1031" s="669" t="n"/>
      <c r="J1031" s="669" t="n"/>
      <c r="K1031" s="669" t="n"/>
      <c r="L1031" s="669" t="n"/>
      <c r="M1031" s="669" t="n"/>
      <c r="N1031" s="669" t="n"/>
      <c r="O1031" s="669" t="n"/>
      <c r="P1031" s="669" t="n"/>
      <c r="Q1031" s="669" t="n"/>
      <c r="R1031" s="669" t="n"/>
      <c r="S1031" s="669" t="n"/>
      <c r="T1031" s="669" t="n"/>
      <c r="U1031" s="669" t="n"/>
    </row>
    <row r="1032" ht="15.75" customHeight="1" s="1128">
      <c r="A1032" s="669" t="n"/>
      <c r="B1032" s="669" t="n"/>
      <c r="C1032" s="669" t="n"/>
      <c r="D1032" s="669" t="n"/>
      <c r="E1032" s="669" t="n"/>
      <c r="F1032" s="669" t="n"/>
      <c r="G1032" s="669" t="n"/>
      <c r="H1032" s="669" t="n"/>
      <c r="I1032" s="669" t="n"/>
      <c r="J1032" s="669" t="n"/>
      <c r="K1032" s="669" t="n"/>
      <c r="L1032" s="669" t="n"/>
      <c r="M1032" s="669" t="n"/>
      <c r="N1032" s="669" t="n"/>
      <c r="O1032" s="669" t="n"/>
      <c r="P1032" s="669" t="n"/>
      <c r="Q1032" s="669" t="n"/>
      <c r="R1032" s="669" t="n"/>
      <c r="S1032" s="669" t="n"/>
      <c r="T1032" s="669" t="n"/>
      <c r="U1032" s="669" t="n"/>
    </row>
    <row r="1033" ht="15.75" customHeight="1" s="1128">
      <c r="A1033" s="669" t="n"/>
      <c r="B1033" s="669" t="n"/>
      <c r="C1033" s="669" t="n"/>
      <c r="D1033" s="669" t="n"/>
      <c r="E1033" s="669" t="n"/>
      <c r="F1033" s="669" t="n"/>
      <c r="G1033" s="669" t="n"/>
      <c r="H1033" s="669" t="n"/>
      <c r="I1033" s="669" t="n"/>
      <c r="J1033" s="669" t="n"/>
      <c r="K1033" s="669" t="n"/>
      <c r="L1033" s="669" t="n"/>
      <c r="M1033" s="669" t="n"/>
      <c r="N1033" s="669" t="n"/>
      <c r="O1033" s="669" t="n"/>
      <c r="P1033" s="669" t="n"/>
      <c r="Q1033" s="669" t="n"/>
      <c r="R1033" s="669" t="n"/>
      <c r="S1033" s="669" t="n"/>
      <c r="T1033" s="669" t="n"/>
      <c r="U1033" s="669" t="n"/>
    </row>
    <row r="1034" ht="15.75" customHeight="1" s="1128">
      <c r="A1034" s="669" t="n"/>
      <c r="B1034" s="669" t="n"/>
      <c r="C1034" s="669" t="n"/>
      <c r="D1034" s="669" t="n"/>
      <c r="E1034" s="669" t="n"/>
      <c r="F1034" s="669" t="n"/>
      <c r="G1034" s="669" t="n"/>
      <c r="H1034" s="669" t="n"/>
      <c r="I1034" s="669" t="n"/>
      <c r="J1034" s="669" t="n"/>
      <c r="K1034" s="669" t="n"/>
      <c r="L1034" s="669" t="n"/>
      <c r="M1034" s="669" t="n"/>
      <c r="N1034" s="669" t="n"/>
      <c r="O1034" s="669" t="n"/>
      <c r="P1034" s="669" t="n"/>
      <c r="Q1034" s="669" t="n"/>
      <c r="R1034" s="669" t="n"/>
      <c r="S1034" s="669" t="n"/>
      <c r="T1034" s="669" t="n"/>
      <c r="U1034" s="669" t="n"/>
    </row>
    <row r="1035" ht="15.75" customHeight="1" s="1128">
      <c r="A1035" s="669" t="n"/>
      <c r="B1035" s="669" t="n"/>
      <c r="C1035" s="669" t="n"/>
      <c r="D1035" s="669" t="n"/>
      <c r="E1035" s="669" t="n"/>
      <c r="F1035" s="669" t="n"/>
      <c r="G1035" s="669" t="n"/>
      <c r="H1035" s="669" t="n"/>
      <c r="I1035" s="669" t="n"/>
      <c r="J1035" s="669" t="n"/>
      <c r="K1035" s="669" t="n"/>
      <c r="L1035" s="669" t="n"/>
      <c r="M1035" s="669" t="n"/>
      <c r="N1035" s="669" t="n"/>
      <c r="O1035" s="669" t="n"/>
      <c r="P1035" s="669" t="n"/>
      <c r="Q1035" s="669" t="n"/>
      <c r="R1035" s="669" t="n"/>
      <c r="S1035" s="669" t="n"/>
      <c r="T1035" s="669" t="n"/>
      <c r="U1035" s="669" t="n"/>
    </row>
    <row r="1036" ht="15.75" customHeight="1" s="1128">
      <c r="A1036" s="669" t="n"/>
      <c r="B1036" s="669" t="n"/>
      <c r="C1036" s="669" t="n"/>
      <c r="D1036" s="669" t="n"/>
      <c r="E1036" s="669" t="n"/>
      <c r="F1036" s="669" t="n"/>
      <c r="G1036" s="669" t="n"/>
      <c r="H1036" s="669" t="n"/>
      <c r="I1036" s="669" t="n"/>
      <c r="J1036" s="669" t="n"/>
      <c r="K1036" s="669" t="n"/>
      <c r="L1036" s="669" t="n"/>
      <c r="M1036" s="669" t="n"/>
      <c r="N1036" s="669" t="n"/>
      <c r="O1036" s="669" t="n"/>
      <c r="P1036" s="669" t="n"/>
      <c r="Q1036" s="669" t="n"/>
      <c r="R1036" s="669" t="n"/>
      <c r="S1036" s="669" t="n"/>
      <c r="T1036" s="669" t="n"/>
      <c r="U1036" s="669" t="n"/>
    </row>
    <row r="1037" ht="15.75" customHeight="1" s="1128">
      <c r="A1037" s="669" t="n"/>
      <c r="B1037" s="669" t="n"/>
      <c r="C1037" s="669" t="n"/>
      <c r="D1037" s="669" t="n"/>
      <c r="E1037" s="669" t="n"/>
      <c r="F1037" s="669" t="n"/>
      <c r="G1037" s="669" t="n"/>
      <c r="H1037" s="669" t="n"/>
      <c r="I1037" s="669" t="n"/>
      <c r="J1037" s="669" t="n"/>
      <c r="K1037" s="669" t="n"/>
      <c r="L1037" s="669" t="n"/>
      <c r="M1037" s="669" t="n"/>
      <c r="N1037" s="669" t="n"/>
      <c r="O1037" s="669" t="n"/>
      <c r="P1037" s="669" t="n"/>
      <c r="Q1037" s="669" t="n"/>
      <c r="R1037" s="669" t="n"/>
      <c r="S1037" s="669" t="n"/>
      <c r="T1037" s="669" t="n"/>
      <c r="U1037" s="669" t="n"/>
    </row>
    <row r="1038" ht="15.75" customHeight="1" s="1128">
      <c r="A1038" s="669" t="n"/>
      <c r="B1038" s="669" t="n"/>
      <c r="C1038" s="669" t="n"/>
      <c r="D1038" s="669" t="n"/>
      <c r="E1038" s="669" t="n"/>
      <c r="F1038" s="669" t="n"/>
      <c r="G1038" s="669" t="n"/>
      <c r="H1038" s="669" t="n"/>
      <c r="I1038" s="669" t="n"/>
      <c r="J1038" s="669" t="n"/>
      <c r="K1038" s="669" t="n"/>
      <c r="L1038" s="669" t="n"/>
      <c r="M1038" s="669" t="n"/>
      <c r="N1038" s="669" t="n"/>
      <c r="O1038" s="669" t="n"/>
      <c r="P1038" s="669" t="n"/>
      <c r="Q1038" s="669" t="n"/>
      <c r="R1038" s="669" t="n"/>
      <c r="S1038" s="669" t="n"/>
      <c r="T1038" s="669" t="n"/>
      <c r="U1038" s="669" t="n"/>
    </row>
    <row r="1039" ht="15.75" customHeight="1" s="1128">
      <c r="A1039" s="669" t="n"/>
      <c r="B1039" s="669" t="n"/>
      <c r="C1039" s="669" t="n"/>
      <c r="D1039" s="669" t="n"/>
      <c r="E1039" s="669" t="n"/>
      <c r="F1039" s="669" t="n"/>
      <c r="G1039" s="669" t="n"/>
      <c r="H1039" s="669" t="n"/>
      <c r="I1039" s="669" t="n"/>
      <c r="J1039" s="669" t="n"/>
      <c r="K1039" s="669" t="n"/>
      <c r="L1039" s="669" t="n"/>
      <c r="M1039" s="669" t="n"/>
      <c r="N1039" s="669" t="n"/>
      <c r="O1039" s="669" t="n"/>
      <c r="P1039" s="669" t="n"/>
      <c r="Q1039" s="669" t="n"/>
      <c r="R1039" s="669" t="n"/>
      <c r="S1039" s="669" t="n"/>
      <c r="T1039" s="669" t="n"/>
      <c r="U1039" s="669" t="n"/>
    </row>
    <row r="1040" ht="15.75" customHeight="1" s="1128">
      <c r="A1040" s="669" t="n"/>
      <c r="B1040" s="669" t="n"/>
      <c r="C1040" s="669" t="n"/>
      <c r="D1040" s="669" t="n"/>
      <c r="E1040" s="669" t="n"/>
      <c r="F1040" s="669" t="n"/>
      <c r="G1040" s="669" t="n"/>
      <c r="H1040" s="669" t="n"/>
      <c r="I1040" s="669" t="n"/>
      <c r="J1040" s="669" t="n"/>
      <c r="K1040" s="669" t="n"/>
      <c r="L1040" s="669" t="n"/>
      <c r="M1040" s="669" t="n"/>
      <c r="N1040" s="669" t="n"/>
      <c r="O1040" s="669" t="n"/>
      <c r="P1040" s="669" t="n"/>
      <c r="Q1040" s="669" t="n"/>
      <c r="R1040" s="669" t="n"/>
      <c r="S1040" s="669" t="n"/>
      <c r="T1040" s="669" t="n"/>
      <c r="U1040" s="669" t="n"/>
    </row>
    <row r="1041" ht="15.75" customHeight="1" s="1128">
      <c r="A1041" s="669" t="n"/>
      <c r="B1041" s="669" t="n"/>
      <c r="C1041" s="669" t="n"/>
      <c r="D1041" s="669" t="n"/>
      <c r="E1041" s="669" t="n"/>
      <c r="F1041" s="669" t="n"/>
      <c r="G1041" s="669" t="n"/>
      <c r="H1041" s="669" t="n"/>
      <c r="I1041" s="669" t="n"/>
      <c r="J1041" s="669" t="n"/>
      <c r="K1041" s="669" t="n"/>
      <c r="L1041" s="669" t="n"/>
      <c r="M1041" s="669" t="n"/>
      <c r="N1041" s="669" t="n"/>
      <c r="O1041" s="669" t="n"/>
      <c r="P1041" s="669" t="n"/>
      <c r="Q1041" s="669" t="n"/>
      <c r="R1041" s="669" t="n"/>
      <c r="S1041" s="669" t="n"/>
      <c r="T1041" s="669" t="n"/>
      <c r="U1041" s="669" t="n"/>
    </row>
    <row r="1042" ht="15.75" customHeight="1" s="1128">
      <c r="A1042" s="669" t="n"/>
      <c r="B1042" s="669" t="n"/>
      <c r="C1042" s="669" t="n"/>
      <c r="D1042" s="669" t="n"/>
      <c r="E1042" s="669" t="n"/>
      <c r="F1042" s="669" t="n"/>
      <c r="G1042" s="669" t="n"/>
      <c r="H1042" s="669" t="n"/>
      <c r="I1042" s="669" t="n"/>
      <c r="J1042" s="669" t="n"/>
      <c r="K1042" s="669" t="n"/>
      <c r="L1042" s="669" t="n"/>
      <c r="M1042" s="669" t="n"/>
      <c r="N1042" s="669" t="n"/>
      <c r="O1042" s="669" t="n"/>
      <c r="P1042" s="669" t="n"/>
      <c r="Q1042" s="669" t="n"/>
      <c r="R1042" s="669" t="n"/>
      <c r="S1042" s="669" t="n"/>
      <c r="T1042" s="669" t="n"/>
      <c r="U1042" s="669" t="n"/>
    </row>
    <row r="1043" ht="15.75" customHeight="1" s="1128">
      <c r="A1043" s="669" t="n"/>
      <c r="B1043" s="669" t="n"/>
      <c r="C1043" s="669" t="n"/>
      <c r="D1043" s="669" t="n"/>
      <c r="E1043" s="669" t="n"/>
      <c r="F1043" s="669" t="n"/>
      <c r="G1043" s="669" t="n"/>
      <c r="H1043" s="669" t="n"/>
      <c r="I1043" s="669" t="n"/>
      <c r="J1043" s="669" t="n"/>
      <c r="K1043" s="669" t="n"/>
      <c r="L1043" s="669" t="n"/>
      <c r="M1043" s="669" t="n"/>
      <c r="N1043" s="669" t="n"/>
      <c r="O1043" s="669" t="n"/>
      <c r="P1043" s="669" t="n"/>
      <c r="Q1043" s="669" t="n"/>
      <c r="R1043" s="669" t="n"/>
      <c r="S1043" s="669" t="n"/>
      <c r="T1043" s="669" t="n"/>
      <c r="U1043" s="669" t="n"/>
    </row>
    <row r="1044" ht="15.75" customHeight="1" s="1128">
      <c r="A1044" s="669" t="n"/>
      <c r="B1044" s="669" t="n"/>
      <c r="C1044" s="669" t="n"/>
      <c r="D1044" s="669" t="n"/>
      <c r="E1044" s="669" t="n"/>
      <c r="F1044" s="669" t="n"/>
      <c r="G1044" s="669" t="n"/>
      <c r="H1044" s="669" t="n"/>
      <c r="I1044" s="669" t="n"/>
      <c r="J1044" s="669" t="n"/>
      <c r="K1044" s="669" t="n"/>
      <c r="L1044" s="669" t="n"/>
      <c r="M1044" s="669" t="n"/>
      <c r="N1044" s="669" t="n"/>
      <c r="O1044" s="669" t="n"/>
      <c r="P1044" s="669" t="n"/>
      <c r="Q1044" s="669" t="n"/>
      <c r="R1044" s="669" t="n"/>
      <c r="S1044" s="669" t="n"/>
      <c r="T1044" s="669" t="n"/>
      <c r="U1044" s="669" t="n"/>
    </row>
    <row r="1045" ht="15.75" customHeight="1" s="1128">
      <c r="A1045" s="669" t="n"/>
      <c r="B1045" s="669" t="n"/>
      <c r="C1045" s="669" t="n"/>
      <c r="D1045" s="669" t="n"/>
      <c r="E1045" s="669" t="n"/>
      <c r="F1045" s="669" t="n"/>
      <c r="G1045" s="669" t="n"/>
      <c r="H1045" s="669" t="n"/>
      <c r="I1045" s="669" t="n"/>
      <c r="J1045" s="669" t="n"/>
      <c r="K1045" s="669" t="n"/>
      <c r="L1045" s="669" t="n"/>
      <c r="M1045" s="669" t="n"/>
      <c r="N1045" s="669" t="n"/>
      <c r="O1045" s="669" t="n"/>
      <c r="P1045" s="669" t="n"/>
      <c r="Q1045" s="669" t="n"/>
      <c r="R1045" s="669" t="n"/>
      <c r="S1045" s="669" t="n"/>
      <c r="T1045" s="669" t="n"/>
      <c r="U1045" s="669" t="n"/>
    </row>
    <row r="1046" ht="15.75" customHeight="1" s="1128">
      <c r="A1046" s="669" t="n"/>
      <c r="B1046" s="669" t="n"/>
      <c r="C1046" s="669" t="n"/>
      <c r="D1046" s="669" t="n"/>
      <c r="E1046" s="669" t="n"/>
      <c r="F1046" s="669" t="n"/>
      <c r="G1046" s="669" t="n"/>
      <c r="H1046" s="669" t="n"/>
      <c r="I1046" s="669" t="n"/>
      <c r="J1046" s="669" t="n"/>
      <c r="K1046" s="669" t="n"/>
      <c r="L1046" s="669" t="n"/>
      <c r="M1046" s="669" t="n"/>
      <c r="N1046" s="669" t="n"/>
      <c r="O1046" s="669" t="n"/>
      <c r="P1046" s="669" t="n"/>
      <c r="Q1046" s="669" t="n"/>
      <c r="R1046" s="669" t="n"/>
      <c r="S1046" s="669" t="n"/>
      <c r="T1046" s="669" t="n"/>
      <c r="U1046" s="669" t="n"/>
    </row>
    <row r="1047" ht="15.75" customHeight="1" s="1128">
      <c r="A1047" s="669" t="n"/>
      <c r="B1047" s="669" t="n"/>
      <c r="C1047" s="669" t="n"/>
      <c r="D1047" s="669" t="n"/>
      <c r="E1047" s="669" t="n"/>
      <c r="F1047" s="669" t="n"/>
      <c r="G1047" s="669" t="n"/>
      <c r="H1047" s="669" t="n"/>
      <c r="I1047" s="669" t="n"/>
      <c r="J1047" s="669" t="n"/>
      <c r="K1047" s="669" t="n"/>
      <c r="L1047" s="669" t="n"/>
      <c r="M1047" s="669" t="n"/>
      <c r="N1047" s="669" t="n"/>
      <c r="O1047" s="669" t="n"/>
      <c r="P1047" s="669" t="n"/>
      <c r="Q1047" s="669" t="n"/>
      <c r="R1047" s="669" t="n"/>
      <c r="S1047" s="669" t="n"/>
      <c r="T1047" s="669" t="n"/>
      <c r="U1047" s="669" t="n"/>
    </row>
    <row r="1048" ht="15.75" customHeight="1" s="1128">
      <c r="A1048" s="669" t="n"/>
      <c r="B1048" s="669" t="n"/>
      <c r="C1048" s="669" t="n"/>
      <c r="D1048" s="669" t="n"/>
      <c r="E1048" s="669" t="n"/>
      <c r="F1048" s="669" t="n"/>
      <c r="G1048" s="669" t="n"/>
      <c r="H1048" s="669" t="n"/>
      <c r="I1048" s="669" t="n"/>
      <c r="J1048" s="669" t="n"/>
      <c r="K1048" s="669" t="n"/>
      <c r="L1048" s="669" t="n"/>
      <c r="M1048" s="669" t="n"/>
      <c r="N1048" s="669" t="n"/>
      <c r="O1048" s="669" t="n"/>
      <c r="P1048" s="669" t="n"/>
      <c r="Q1048" s="669" t="n"/>
      <c r="R1048" s="669" t="n"/>
      <c r="S1048" s="669" t="n"/>
      <c r="T1048" s="669" t="n"/>
      <c r="U1048" s="669" t="n"/>
    </row>
    <row r="1049" ht="15.75" customHeight="1" s="1128">
      <c r="A1049" s="669" t="n"/>
      <c r="B1049" s="669" t="n"/>
      <c r="C1049" s="669" t="n"/>
      <c r="D1049" s="669" t="n"/>
      <c r="E1049" s="669" t="n"/>
      <c r="F1049" s="669" t="n"/>
      <c r="G1049" s="669" t="n"/>
      <c r="H1049" s="669" t="n"/>
      <c r="I1049" s="669" t="n"/>
      <c r="J1049" s="669" t="n"/>
      <c r="K1049" s="669" t="n"/>
      <c r="L1049" s="669" t="n"/>
      <c r="M1049" s="669" t="n"/>
      <c r="N1049" s="669" t="n"/>
      <c r="O1049" s="669" t="n"/>
      <c r="P1049" s="669" t="n"/>
      <c r="Q1049" s="669" t="n"/>
      <c r="R1049" s="669" t="n"/>
      <c r="S1049" s="669" t="n"/>
      <c r="T1049" s="669" t="n"/>
      <c r="U1049" s="669" t="n"/>
    </row>
    <row r="1050" ht="15.75" customHeight="1" s="1128">
      <c r="A1050" s="669" t="n"/>
      <c r="B1050" s="669" t="n"/>
      <c r="C1050" s="669" t="n"/>
      <c r="D1050" s="669" t="n"/>
      <c r="E1050" s="669" t="n"/>
      <c r="F1050" s="669" t="n"/>
      <c r="G1050" s="669" t="n"/>
      <c r="H1050" s="669" t="n"/>
      <c r="I1050" s="669" t="n"/>
      <c r="J1050" s="669" t="n"/>
      <c r="K1050" s="669" t="n"/>
      <c r="L1050" s="669" t="n"/>
      <c r="M1050" s="669" t="n"/>
      <c r="N1050" s="669" t="n"/>
      <c r="O1050" s="669" t="n"/>
      <c r="P1050" s="669" t="n"/>
      <c r="Q1050" s="669" t="n"/>
      <c r="R1050" s="669" t="n"/>
      <c r="S1050" s="669" t="n"/>
      <c r="T1050" s="669" t="n"/>
      <c r="U1050" s="669" t="n"/>
    </row>
    <row r="1051" ht="15.75" customHeight="1" s="1128">
      <c r="A1051" s="669" t="n"/>
      <c r="B1051" s="669" t="n"/>
      <c r="C1051" s="669" t="n"/>
      <c r="D1051" s="669" t="n"/>
      <c r="E1051" s="669" t="n"/>
      <c r="F1051" s="669" t="n"/>
      <c r="G1051" s="669" t="n"/>
      <c r="H1051" s="669" t="n"/>
      <c r="I1051" s="669" t="n"/>
      <c r="J1051" s="669" t="n"/>
      <c r="K1051" s="669" t="n"/>
      <c r="L1051" s="669" t="n"/>
      <c r="M1051" s="669" t="n"/>
      <c r="N1051" s="669" t="n"/>
      <c r="O1051" s="669" t="n"/>
      <c r="P1051" s="669" t="n"/>
      <c r="Q1051" s="669" t="n"/>
      <c r="R1051" s="669" t="n"/>
      <c r="S1051" s="669" t="n"/>
      <c r="T1051" s="669" t="n"/>
      <c r="U1051" s="669" t="n"/>
    </row>
    <row r="1052" ht="15.75" customHeight="1" s="1128">
      <c r="A1052" s="669" t="n"/>
      <c r="B1052" s="669" t="n"/>
      <c r="C1052" s="669" t="n"/>
      <c r="D1052" s="669" t="n"/>
      <c r="E1052" s="669" t="n"/>
      <c r="F1052" s="669" t="n"/>
      <c r="G1052" s="669" t="n"/>
      <c r="H1052" s="669" t="n"/>
      <c r="I1052" s="669" t="n"/>
      <c r="J1052" s="669" t="n"/>
      <c r="K1052" s="669" t="n"/>
      <c r="L1052" s="669" t="n"/>
      <c r="M1052" s="669" t="n"/>
      <c r="N1052" s="669" t="n"/>
      <c r="O1052" s="669" t="n"/>
      <c r="P1052" s="669" t="n"/>
      <c r="Q1052" s="669" t="n"/>
      <c r="R1052" s="669" t="n"/>
      <c r="S1052" s="669" t="n"/>
      <c r="T1052" s="669" t="n"/>
      <c r="U1052" s="669" t="n"/>
    </row>
    <row r="1053" ht="15.75" customHeight="1" s="1128">
      <c r="A1053" s="669" t="n"/>
      <c r="B1053" s="669" t="n"/>
      <c r="C1053" s="669" t="n"/>
      <c r="D1053" s="669" t="n"/>
      <c r="E1053" s="669" t="n"/>
      <c r="F1053" s="669" t="n"/>
      <c r="G1053" s="669" t="n"/>
      <c r="H1053" s="669" t="n"/>
      <c r="I1053" s="669" t="n"/>
      <c r="J1053" s="669" t="n"/>
      <c r="K1053" s="669" t="n"/>
      <c r="L1053" s="669" t="n"/>
      <c r="M1053" s="669" t="n"/>
      <c r="N1053" s="669" t="n"/>
      <c r="O1053" s="669" t="n"/>
      <c r="P1053" s="669" t="n"/>
      <c r="Q1053" s="669" t="n"/>
      <c r="R1053" s="669" t="n"/>
      <c r="S1053" s="669" t="n"/>
      <c r="T1053" s="669" t="n"/>
      <c r="U1053" s="669" t="n"/>
    </row>
    <row r="1054" ht="15.75" customHeight="1" s="1128">
      <c r="A1054" s="669" t="n"/>
      <c r="B1054" s="669" t="n"/>
      <c r="C1054" s="669" t="n"/>
      <c r="D1054" s="669" t="n"/>
      <c r="E1054" s="669" t="n"/>
      <c r="F1054" s="669" t="n"/>
      <c r="G1054" s="669" t="n"/>
      <c r="H1054" s="669" t="n"/>
      <c r="I1054" s="669" t="n"/>
      <c r="J1054" s="669" t="n"/>
      <c r="K1054" s="669" t="n"/>
      <c r="L1054" s="669" t="n"/>
      <c r="M1054" s="669" t="n"/>
      <c r="N1054" s="669" t="n"/>
      <c r="O1054" s="669" t="n"/>
      <c r="P1054" s="669" t="n"/>
      <c r="Q1054" s="669" t="n"/>
      <c r="R1054" s="669" t="n"/>
      <c r="S1054" s="669" t="n"/>
      <c r="T1054" s="669" t="n"/>
      <c r="U1054" s="669" t="n"/>
    </row>
    <row r="1055" ht="15.75" customHeight="1" s="1128">
      <c r="A1055" s="669" t="n"/>
      <c r="B1055" s="669" t="n"/>
      <c r="C1055" s="669" t="n"/>
      <c r="D1055" s="669" t="n"/>
      <c r="E1055" s="669" t="n"/>
      <c r="F1055" s="669" t="n"/>
      <c r="G1055" s="669" t="n"/>
      <c r="H1055" s="669" t="n"/>
      <c r="I1055" s="669" t="n"/>
      <c r="J1055" s="669" t="n"/>
      <c r="K1055" s="669" t="n"/>
      <c r="L1055" s="669" t="n"/>
      <c r="M1055" s="669" t="n"/>
      <c r="N1055" s="669" t="n"/>
      <c r="O1055" s="669" t="n"/>
      <c r="P1055" s="669" t="n"/>
      <c r="Q1055" s="669" t="n"/>
      <c r="R1055" s="669" t="n"/>
      <c r="S1055" s="669" t="n"/>
      <c r="T1055" s="669" t="n"/>
      <c r="U1055" s="669" t="n"/>
    </row>
    <row r="1056" ht="15.75" customHeight="1" s="1128">
      <c r="A1056" s="669" t="n"/>
      <c r="B1056" s="669" t="n"/>
      <c r="C1056" s="669" t="n"/>
      <c r="D1056" s="669" t="n"/>
      <c r="E1056" s="669" t="n"/>
      <c r="F1056" s="669" t="n"/>
      <c r="G1056" s="669" t="n"/>
      <c r="H1056" s="669" t="n"/>
      <c r="I1056" s="669" t="n"/>
      <c r="J1056" s="669" t="n"/>
      <c r="K1056" s="669" t="n"/>
      <c r="L1056" s="669" t="n"/>
      <c r="M1056" s="669" t="n"/>
      <c r="N1056" s="669" t="n"/>
      <c r="O1056" s="669" t="n"/>
      <c r="P1056" s="669" t="n"/>
      <c r="Q1056" s="669" t="n"/>
      <c r="R1056" s="669" t="n"/>
      <c r="S1056" s="669" t="n"/>
      <c r="T1056" s="669" t="n"/>
      <c r="U1056" s="669" t="n"/>
    </row>
    <row r="1057" ht="15.75" customHeight="1" s="1128">
      <c r="A1057" s="669" t="n"/>
      <c r="B1057" s="669" t="n"/>
      <c r="C1057" s="669" t="n"/>
      <c r="D1057" s="669" t="n"/>
      <c r="E1057" s="669" t="n"/>
      <c r="F1057" s="669" t="n"/>
      <c r="G1057" s="669" t="n"/>
      <c r="H1057" s="669" t="n"/>
      <c r="I1057" s="669" t="n"/>
      <c r="J1057" s="669" t="n"/>
      <c r="K1057" s="669" t="n"/>
      <c r="L1057" s="669" t="n"/>
      <c r="M1057" s="669" t="n"/>
      <c r="N1057" s="669" t="n"/>
      <c r="O1057" s="669" t="n"/>
      <c r="P1057" s="669" t="n"/>
      <c r="Q1057" s="669" t="n"/>
      <c r="R1057" s="669" t="n"/>
      <c r="S1057" s="669" t="n"/>
      <c r="T1057" s="669" t="n"/>
      <c r="U1057" s="669" t="n"/>
    </row>
    <row r="1058" ht="15.75" customHeight="1" s="1128">
      <c r="A1058" s="669" t="n"/>
      <c r="B1058" s="669" t="n"/>
      <c r="C1058" s="669" t="n"/>
      <c r="D1058" s="669" t="n"/>
      <c r="E1058" s="669" t="n"/>
      <c r="F1058" s="669" t="n"/>
      <c r="G1058" s="669" t="n"/>
      <c r="H1058" s="669" t="n"/>
      <c r="I1058" s="669" t="n"/>
      <c r="J1058" s="669" t="n"/>
      <c r="K1058" s="669" t="n"/>
      <c r="L1058" s="669" t="n"/>
      <c r="M1058" s="669" t="n"/>
      <c r="N1058" s="669" t="n"/>
      <c r="O1058" s="669" t="n"/>
      <c r="P1058" s="669" t="n"/>
      <c r="Q1058" s="669" t="n"/>
      <c r="R1058" s="669" t="n"/>
      <c r="S1058" s="669" t="n"/>
      <c r="T1058" s="669" t="n"/>
      <c r="U1058" s="669" t="n"/>
    </row>
    <row r="1059" ht="15.75" customHeight="1" s="1128">
      <c r="A1059" s="669" t="n"/>
      <c r="B1059" s="669" t="n"/>
      <c r="C1059" s="669" t="n"/>
      <c r="D1059" s="669" t="n"/>
      <c r="E1059" s="669" t="n"/>
      <c r="F1059" s="669" t="n"/>
      <c r="G1059" s="669" t="n"/>
      <c r="H1059" s="669" t="n"/>
      <c r="I1059" s="669" t="n"/>
      <c r="J1059" s="669" t="n"/>
      <c r="K1059" s="669" t="n"/>
      <c r="L1059" s="669" t="n"/>
      <c r="M1059" s="669" t="n"/>
      <c r="N1059" s="669" t="n"/>
      <c r="O1059" s="669" t="n"/>
      <c r="P1059" s="669" t="n"/>
      <c r="Q1059" s="669" t="n"/>
      <c r="R1059" s="669" t="n"/>
      <c r="S1059" s="669" t="n"/>
      <c r="T1059" s="669" t="n"/>
      <c r="U1059" s="669" t="n"/>
    </row>
    <row r="1060" ht="15.75" customHeight="1" s="1128">
      <c r="A1060" s="669" t="n"/>
      <c r="B1060" s="669" t="n"/>
      <c r="C1060" s="669" t="n"/>
      <c r="D1060" s="669" t="n"/>
      <c r="E1060" s="669" t="n"/>
      <c r="F1060" s="669" t="n"/>
      <c r="G1060" s="669" t="n"/>
      <c r="H1060" s="669" t="n"/>
      <c r="I1060" s="669" t="n"/>
      <c r="J1060" s="669" t="n"/>
      <c r="K1060" s="669" t="n"/>
      <c r="L1060" s="669" t="n"/>
      <c r="M1060" s="669" t="n"/>
      <c r="N1060" s="669" t="n"/>
      <c r="O1060" s="669" t="n"/>
      <c r="P1060" s="669" t="n"/>
      <c r="Q1060" s="669" t="n"/>
      <c r="R1060" s="669" t="n"/>
      <c r="S1060" s="669" t="n"/>
      <c r="T1060" s="669" t="n"/>
      <c r="U1060" s="669" t="n"/>
    </row>
    <row r="1061" ht="15.75" customHeight="1" s="1128">
      <c r="A1061" s="669" t="n"/>
      <c r="B1061" s="669" t="n"/>
      <c r="C1061" s="669" t="n"/>
      <c r="D1061" s="669" t="n"/>
      <c r="E1061" s="669" t="n"/>
      <c r="F1061" s="669" t="n"/>
      <c r="G1061" s="669" t="n"/>
      <c r="H1061" s="669" t="n"/>
      <c r="I1061" s="669" t="n"/>
      <c r="J1061" s="669" t="n"/>
      <c r="K1061" s="669" t="n"/>
      <c r="L1061" s="669" t="n"/>
      <c r="M1061" s="669" t="n"/>
      <c r="N1061" s="669" t="n"/>
      <c r="O1061" s="669" t="n"/>
      <c r="P1061" s="669" t="n"/>
      <c r="Q1061" s="669" t="n"/>
      <c r="R1061" s="669" t="n"/>
      <c r="S1061" s="669" t="n"/>
      <c r="T1061" s="669" t="n"/>
      <c r="U1061" s="669" t="n"/>
    </row>
    <row r="1062" ht="15.75" customHeight="1" s="1128">
      <c r="A1062" s="669" t="n"/>
      <c r="B1062" s="669" t="n"/>
      <c r="C1062" s="669" t="n"/>
      <c r="D1062" s="669" t="n"/>
      <c r="E1062" s="669" t="n"/>
      <c r="F1062" s="669" t="n"/>
      <c r="G1062" s="669" t="n"/>
      <c r="H1062" s="669" t="n"/>
      <c r="I1062" s="669" t="n"/>
      <c r="J1062" s="669" t="n"/>
      <c r="K1062" s="669" t="n"/>
      <c r="L1062" s="669" t="n"/>
      <c r="M1062" s="669" t="n"/>
      <c r="N1062" s="669" t="n"/>
      <c r="O1062" s="669" t="n"/>
      <c r="P1062" s="669" t="n"/>
      <c r="Q1062" s="669" t="n"/>
      <c r="R1062" s="669" t="n"/>
      <c r="S1062" s="669" t="n"/>
      <c r="T1062" s="669" t="n"/>
      <c r="U1062" s="669" t="n"/>
    </row>
    <row r="1063" ht="15.75" customHeight="1" s="1128">
      <c r="A1063" s="669" t="n"/>
      <c r="B1063" s="669" t="n"/>
      <c r="C1063" s="669" t="n"/>
      <c r="D1063" s="669" t="n"/>
      <c r="E1063" s="669" t="n"/>
      <c r="F1063" s="669" t="n"/>
      <c r="G1063" s="669" t="n"/>
      <c r="H1063" s="669" t="n"/>
      <c r="I1063" s="669" t="n"/>
      <c r="J1063" s="669" t="n"/>
      <c r="K1063" s="669" t="n"/>
      <c r="L1063" s="669" t="n"/>
      <c r="M1063" s="669" t="n"/>
      <c r="N1063" s="669" t="n"/>
      <c r="O1063" s="669" t="n"/>
      <c r="P1063" s="669" t="n"/>
      <c r="Q1063" s="669" t="n"/>
      <c r="R1063" s="669" t="n"/>
      <c r="S1063" s="669" t="n"/>
      <c r="T1063" s="669" t="n"/>
      <c r="U1063" s="669" t="n"/>
    </row>
    <row r="1064" ht="15.75" customHeight="1" s="1128">
      <c r="A1064" s="669" t="n"/>
      <c r="B1064" s="669" t="n"/>
      <c r="C1064" s="669" t="n"/>
      <c r="D1064" s="669" t="n"/>
      <c r="E1064" s="669" t="n"/>
      <c r="F1064" s="669" t="n"/>
      <c r="G1064" s="669" t="n"/>
      <c r="H1064" s="669" t="n"/>
      <c r="I1064" s="669" t="n"/>
      <c r="J1064" s="669" t="n"/>
      <c r="K1064" s="669" t="n"/>
      <c r="L1064" s="669" t="n"/>
      <c r="M1064" s="669" t="n"/>
      <c r="N1064" s="669" t="n"/>
      <c r="O1064" s="669" t="n"/>
      <c r="P1064" s="669" t="n"/>
      <c r="Q1064" s="669" t="n"/>
      <c r="R1064" s="669" t="n"/>
      <c r="S1064" s="669" t="n"/>
      <c r="T1064" s="669" t="n"/>
      <c r="U1064" s="669" t="n"/>
    </row>
    <row r="1065" ht="15.75" customHeight="1" s="1128">
      <c r="A1065" s="669" t="n"/>
      <c r="B1065" s="669" t="n"/>
      <c r="C1065" s="669" t="n"/>
      <c r="D1065" s="669" t="n"/>
      <c r="E1065" s="669" t="n"/>
      <c r="F1065" s="669" t="n"/>
      <c r="G1065" s="669" t="n"/>
      <c r="H1065" s="669" t="n"/>
      <c r="I1065" s="669" t="n"/>
      <c r="J1065" s="669" t="n"/>
      <c r="K1065" s="669" t="n"/>
      <c r="L1065" s="669" t="n"/>
      <c r="M1065" s="669" t="n"/>
      <c r="N1065" s="669" t="n"/>
      <c r="O1065" s="669" t="n"/>
      <c r="P1065" s="669" t="n"/>
      <c r="Q1065" s="669" t="n"/>
      <c r="R1065" s="669" t="n"/>
      <c r="S1065" s="669" t="n"/>
      <c r="T1065" s="669" t="n"/>
      <c r="U1065" s="669" t="n"/>
    </row>
    <row r="1066" ht="15.75" customHeight="1" s="1128">
      <c r="A1066" s="669" t="n"/>
      <c r="B1066" s="669" t="n"/>
      <c r="C1066" s="669" t="n"/>
      <c r="D1066" s="669" t="n"/>
      <c r="E1066" s="669" t="n"/>
      <c r="F1066" s="669" t="n"/>
      <c r="G1066" s="669" t="n"/>
      <c r="H1066" s="669" t="n"/>
      <c r="I1066" s="669" t="n"/>
      <c r="J1066" s="669" t="n"/>
      <c r="K1066" s="669" t="n"/>
      <c r="L1066" s="669" t="n"/>
      <c r="M1066" s="669" t="n"/>
      <c r="N1066" s="669" t="n"/>
      <c r="O1066" s="669" t="n"/>
      <c r="P1066" s="669" t="n"/>
      <c r="Q1066" s="669" t="n"/>
      <c r="R1066" s="669" t="n"/>
      <c r="S1066" s="669" t="n"/>
      <c r="T1066" s="669" t="n"/>
      <c r="U1066" s="669" t="n"/>
    </row>
    <row r="1067" ht="15.75" customHeight="1" s="1128">
      <c r="A1067" s="669" t="n"/>
      <c r="B1067" s="669" t="n"/>
      <c r="C1067" s="669" t="n"/>
      <c r="D1067" s="669" t="n"/>
      <c r="E1067" s="669" t="n"/>
      <c r="F1067" s="669" t="n"/>
      <c r="G1067" s="669" t="n"/>
      <c r="H1067" s="669" t="n"/>
      <c r="I1067" s="669" t="n"/>
      <c r="J1067" s="669" t="n"/>
      <c r="K1067" s="669" t="n"/>
      <c r="L1067" s="669" t="n"/>
      <c r="M1067" s="669" t="n"/>
      <c r="N1067" s="669" t="n"/>
      <c r="O1067" s="669" t="n"/>
      <c r="P1067" s="669" t="n"/>
      <c r="Q1067" s="669" t="n"/>
      <c r="R1067" s="669" t="n"/>
      <c r="S1067" s="669" t="n"/>
      <c r="T1067" s="669" t="n"/>
      <c r="U1067" s="669" t="n"/>
    </row>
    <row r="1068" ht="15.75" customHeight="1" s="1128">
      <c r="A1068" s="669" t="n"/>
      <c r="B1068" s="669" t="n"/>
      <c r="C1068" s="669" t="n"/>
      <c r="D1068" s="669" t="n"/>
      <c r="E1068" s="669" t="n"/>
      <c r="F1068" s="669" t="n"/>
      <c r="G1068" s="669" t="n"/>
      <c r="H1068" s="669" t="n"/>
      <c r="I1068" s="669" t="n"/>
      <c r="J1068" s="669" t="n"/>
      <c r="K1068" s="669" t="n"/>
      <c r="L1068" s="669" t="n"/>
      <c r="M1068" s="669" t="n"/>
      <c r="N1068" s="669" t="n"/>
      <c r="O1068" s="669" t="n"/>
      <c r="P1068" s="669" t="n"/>
      <c r="Q1068" s="669" t="n"/>
      <c r="R1068" s="669" t="n"/>
      <c r="S1068" s="669" t="n"/>
      <c r="T1068" s="669" t="n"/>
      <c r="U1068" s="669" t="n"/>
    </row>
    <row r="1069" ht="15.75" customHeight="1" s="1128">
      <c r="A1069" s="669" t="n"/>
      <c r="B1069" s="669" t="n"/>
      <c r="C1069" s="669" t="n"/>
      <c r="D1069" s="669" t="n"/>
      <c r="E1069" s="669" t="n"/>
      <c r="F1069" s="669" t="n"/>
      <c r="G1069" s="669" t="n"/>
      <c r="H1069" s="669" t="n"/>
      <c r="I1069" s="669" t="n"/>
      <c r="J1069" s="669" t="n"/>
      <c r="K1069" s="669" t="n"/>
      <c r="L1069" s="669" t="n"/>
      <c r="M1069" s="669" t="n"/>
      <c r="N1069" s="669" t="n"/>
      <c r="O1069" s="669" t="n"/>
      <c r="P1069" s="669" t="n"/>
      <c r="Q1069" s="669" t="n"/>
      <c r="R1069" s="669" t="n"/>
      <c r="S1069" s="669" t="n"/>
      <c r="T1069" s="669" t="n"/>
      <c r="U1069" s="669" t="n"/>
    </row>
    <row r="1070" ht="15.75" customHeight="1" s="1128">
      <c r="A1070" s="669" t="n"/>
      <c r="B1070" s="669" t="n"/>
      <c r="C1070" s="669" t="n"/>
      <c r="D1070" s="669" t="n"/>
      <c r="E1070" s="669" t="n"/>
      <c r="F1070" s="669" t="n"/>
      <c r="G1070" s="669" t="n"/>
      <c r="H1070" s="669" t="n"/>
      <c r="I1070" s="669" t="n"/>
      <c r="J1070" s="669" t="n"/>
      <c r="K1070" s="669" t="n"/>
      <c r="L1070" s="669" t="n"/>
      <c r="M1070" s="669" t="n"/>
      <c r="N1070" s="669" t="n"/>
      <c r="O1070" s="669" t="n"/>
      <c r="P1070" s="669" t="n"/>
      <c r="Q1070" s="669" t="n"/>
      <c r="R1070" s="669" t="n"/>
      <c r="S1070" s="669" t="n"/>
      <c r="T1070" s="669" t="n"/>
      <c r="U1070" s="669" t="n"/>
    </row>
    <row r="1071" ht="15.75" customHeight="1" s="1128">
      <c r="A1071" s="669" t="n"/>
      <c r="B1071" s="669" t="n"/>
      <c r="C1071" s="669" t="n"/>
      <c r="D1071" s="669" t="n"/>
      <c r="E1071" s="669" t="n"/>
      <c r="F1071" s="669" t="n"/>
      <c r="G1071" s="669" t="n"/>
      <c r="H1071" s="669" t="n"/>
      <c r="I1071" s="669" t="n"/>
      <c r="J1071" s="669" t="n"/>
      <c r="K1071" s="669" t="n"/>
      <c r="L1071" s="669" t="n"/>
      <c r="M1071" s="669" t="n"/>
      <c r="N1071" s="669" t="n"/>
      <c r="O1071" s="669" t="n"/>
      <c r="P1071" s="669" t="n"/>
      <c r="Q1071" s="669" t="n"/>
      <c r="R1071" s="669" t="n"/>
      <c r="S1071" s="669" t="n"/>
      <c r="T1071" s="669" t="n"/>
      <c r="U1071" s="669" t="n"/>
    </row>
    <row r="1072" ht="15.75" customHeight="1" s="1128">
      <c r="A1072" s="669" t="n"/>
      <c r="B1072" s="669" t="n"/>
      <c r="C1072" s="669" t="n"/>
      <c r="D1072" s="669" t="n"/>
      <c r="E1072" s="669" t="n"/>
      <c r="F1072" s="669" t="n"/>
      <c r="G1072" s="669" t="n"/>
      <c r="H1072" s="669" t="n"/>
      <c r="I1072" s="669" t="n"/>
      <c r="J1072" s="669" t="n"/>
      <c r="K1072" s="669" t="n"/>
      <c r="L1072" s="669" t="n"/>
      <c r="M1072" s="669" t="n"/>
      <c r="N1072" s="669" t="n"/>
      <c r="O1072" s="669" t="n"/>
      <c r="P1072" s="669" t="n"/>
      <c r="Q1072" s="669" t="n"/>
      <c r="R1072" s="669" t="n"/>
      <c r="S1072" s="669" t="n"/>
      <c r="T1072" s="669" t="n"/>
      <c r="U1072" s="669" t="n"/>
    </row>
    <row r="1073" ht="15.75" customHeight="1" s="1128">
      <c r="A1073" s="669" t="n"/>
      <c r="B1073" s="669" t="n"/>
      <c r="C1073" s="669" t="n"/>
      <c r="D1073" s="669" t="n"/>
      <c r="E1073" s="669" t="n"/>
      <c r="F1073" s="669" t="n"/>
      <c r="G1073" s="669" t="n"/>
      <c r="H1073" s="669" t="n"/>
      <c r="I1073" s="669" t="n"/>
      <c r="J1073" s="669" t="n"/>
      <c r="K1073" s="669" t="n"/>
      <c r="L1073" s="669" t="n"/>
      <c r="M1073" s="669" t="n"/>
      <c r="N1073" s="669" t="n"/>
      <c r="O1073" s="669" t="n"/>
      <c r="P1073" s="669" t="n"/>
      <c r="Q1073" s="669" t="n"/>
      <c r="R1073" s="669" t="n"/>
      <c r="S1073" s="669" t="n"/>
      <c r="T1073" s="669" t="n"/>
      <c r="U1073" s="669" t="n"/>
    </row>
    <row r="1074" ht="15.75" customHeight="1" s="1128">
      <c r="A1074" s="669" t="n"/>
      <c r="B1074" s="669" t="n"/>
      <c r="C1074" s="669" t="n"/>
      <c r="D1074" s="669" t="n"/>
      <c r="E1074" s="669" t="n"/>
      <c r="F1074" s="669" t="n"/>
      <c r="G1074" s="669" t="n"/>
      <c r="H1074" s="669" t="n"/>
      <c r="I1074" s="669" t="n"/>
      <c r="J1074" s="669" t="n"/>
      <c r="K1074" s="669" t="n"/>
      <c r="L1074" s="669" t="n"/>
      <c r="M1074" s="669" t="n"/>
      <c r="N1074" s="669" t="n"/>
      <c r="O1074" s="669" t="n"/>
      <c r="P1074" s="669" t="n"/>
      <c r="Q1074" s="669" t="n"/>
      <c r="R1074" s="669" t="n"/>
      <c r="S1074" s="669" t="n"/>
      <c r="T1074" s="669" t="n"/>
      <c r="U1074" s="669" t="n"/>
    </row>
    <row r="1075" ht="15.75" customHeight="1" s="1128">
      <c r="A1075" s="669" t="n"/>
      <c r="B1075" s="669" t="n"/>
      <c r="C1075" s="669" t="n"/>
      <c r="D1075" s="669" t="n"/>
      <c r="E1075" s="669" t="n"/>
      <c r="F1075" s="669" t="n"/>
      <c r="G1075" s="669" t="n"/>
      <c r="H1075" s="669" t="n"/>
      <c r="I1075" s="669" t="n"/>
      <c r="J1075" s="669" t="n"/>
      <c r="K1075" s="669" t="n"/>
      <c r="L1075" s="669" t="n"/>
      <c r="M1075" s="669" t="n"/>
      <c r="N1075" s="669" t="n"/>
      <c r="O1075" s="669" t="n"/>
      <c r="P1075" s="669" t="n"/>
      <c r="Q1075" s="669" t="n"/>
      <c r="R1075" s="669" t="n"/>
      <c r="S1075" s="669" t="n"/>
      <c r="T1075" s="669" t="n"/>
      <c r="U1075" s="669" t="n"/>
    </row>
    <row r="1076" ht="15.75" customHeight="1" s="1128">
      <c r="A1076" s="669" t="n"/>
      <c r="B1076" s="669" t="n"/>
      <c r="C1076" s="669" t="n"/>
      <c r="D1076" s="669" t="n"/>
      <c r="E1076" s="669" t="n"/>
      <c r="F1076" s="669" t="n"/>
      <c r="G1076" s="669" t="n"/>
      <c r="H1076" s="669" t="n"/>
      <c r="I1076" s="669" t="n"/>
      <c r="J1076" s="669" t="n"/>
      <c r="K1076" s="669" t="n"/>
      <c r="L1076" s="669" t="n"/>
      <c r="M1076" s="669" t="n"/>
      <c r="N1076" s="669" t="n"/>
      <c r="O1076" s="669" t="n"/>
      <c r="P1076" s="669" t="n"/>
      <c r="Q1076" s="669" t="n"/>
      <c r="R1076" s="669" t="n"/>
      <c r="S1076" s="669" t="n"/>
      <c r="T1076" s="669" t="n"/>
      <c r="U1076" s="669" t="n"/>
    </row>
    <row r="1077" ht="15.75" customHeight="1" s="1128">
      <c r="A1077" s="669" t="n"/>
      <c r="B1077" s="669" t="n"/>
      <c r="C1077" s="669" t="n"/>
      <c r="D1077" s="669" t="n"/>
      <c r="E1077" s="669" t="n"/>
      <c r="F1077" s="669" t="n"/>
      <c r="G1077" s="669" t="n"/>
      <c r="H1077" s="669" t="n"/>
      <c r="I1077" s="669" t="n"/>
      <c r="J1077" s="669" t="n"/>
      <c r="K1077" s="669" t="n"/>
      <c r="L1077" s="669" t="n"/>
      <c r="M1077" s="669" t="n"/>
      <c r="N1077" s="669" t="n"/>
      <c r="O1077" s="669" t="n"/>
      <c r="P1077" s="669" t="n"/>
      <c r="Q1077" s="669" t="n"/>
      <c r="R1077" s="669" t="n"/>
      <c r="S1077" s="669" t="n"/>
      <c r="T1077" s="669" t="n"/>
      <c r="U1077" s="669" t="n"/>
    </row>
    <row r="1078" ht="15.75" customHeight="1" s="1128">
      <c r="A1078" s="669" t="n"/>
      <c r="B1078" s="669" t="n"/>
      <c r="C1078" s="669" t="n"/>
      <c r="D1078" s="669" t="n"/>
      <c r="E1078" s="669" t="n"/>
      <c r="F1078" s="669" t="n"/>
      <c r="G1078" s="669" t="n"/>
      <c r="H1078" s="669" t="n"/>
      <c r="I1078" s="669" t="n"/>
      <c r="J1078" s="669" t="n"/>
      <c r="K1078" s="669" t="n"/>
      <c r="L1078" s="669" t="n"/>
      <c r="M1078" s="669" t="n"/>
      <c r="N1078" s="669" t="n"/>
      <c r="O1078" s="669" t="n"/>
      <c r="P1078" s="669" t="n"/>
      <c r="Q1078" s="669" t="n"/>
      <c r="R1078" s="669" t="n"/>
      <c r="S1078" s="669" t="n"/>
      <c r="T1078" s="669" t="n"/>
      <c r="U1078" s="669" t="n"/>
    </row>
    <row r="1079" ht="15.75" customHeight="1" s="1128">
      <c r="A1079" s="669" t="n"/>
      <c r="B1079" s="669" t="n"/>
      <c r="C1079" s="669" t="n"/>
      <c r="D1079" s="669" t="n"/>
      <c r="E1079" s="669" t="n"/>
      <c r="F1079" s="669" t="n"/>
      <c r="G1079" s="669" t="n"/>
      <c r="H1079" s="669" t="n"/>
      <c r="I1079" s="669" t="n"/>
      <c r="J1079" s="669" t="n"/>
      <c r="K1079" s="669" t="n"/>
      <c r="L1079" s="669" t="n"/>
      <c r="M1079" s="669" t="n"/>
      <c r="N1079" s="669" t="n"/>
      <c r="O1079" s="669" t="n"/>
      <c r="P1079" s="669" t="n"/>
      <c r="Q1079" s="669" t="n"/>
      <c r="R1079" s="669" t="n"/>
      <c r="S1079" s="669" t="n"/>
      <c r="T1079" s="669" t="n"/>
      <c r="U1079" s="669" t="n"/>
    </row>
    <row r="1080" ht="15.75" customHeight="1" s="1128">
      <c r="A1080" s="669" t="n"/>
      <c r="B1080" s="669" t="n"/>
      <c r="C1080" s="669" t="n"/>
      <c r="D1080" s="669" t="n"/>
      <c r="E1080" s="669" t="n"/>
      <c r="F1080" s="669" t="n"/>
      <c r="G1080" s="669" t="n"/>
      <c r="H1080" s="669" t="n"/>
      <c r="I1080" s="669" t="n"/>
      <c r="J1080" s="669" t="n"/>
      <c r="K1080" s="669" t="n"/>
      <c r="L1080" s="669" t="n"/>
      <c r="M1080" s="669" t="n"/>
      <c r="N1080" s="669" t="n"/>
      <c r="O1080" s="669" t="n"/>
      <c r="P1080" s="669" t="n"/>
      <c r="Q1080" s="669" t="n"/>
      <c r="R1080" s="669" t="n"/>
      <c r="S1080" s="669" t="n"/>
      <c r="T1080" s="669" t="n"/>
      <c r="U1080" s="669" t="n"/>
    </row>
    <row r="1081" ht="15.75" customHeight="1" s="1128">
      <c r="A1081" s="669" t="n"/>
      <c r="B1081" s="669" t="n"/>
      <c r="C1081" s="669" t="n"/>
      <c r="D1081" s="669" t="n"/>
      <c r="E1081" s="669" t="n"/>
      <c r="F1081" s="669" t="n"/>
      <c r="G1081" s="669" t="n"/>
      <c r="H1081" s="669" t="n"/>
      <c r="I1081" s="669" t="n"/>
      <c r="J1081" s="669" t="n"/>
      <c r="K1081" s="669" t="n"/>
      <c r="L1081" s="669" t="n"/>
      <c r="M1081" s="669" t="n"/>
      <c r="N1081" s="669" t="n"/>
      <c r="O1081" s="669" t="n"/>
      <c r="P1081" s="669" t="n"/>
      <c r="Q1081" s="669" t="n"/>
      <c r="R1081" s="669" t="n"/>
      <c r="S1081" s="669" t="n"/>
      <c r="T1081" s="669" t="n"/>
      <c r="U1081" s="669" t="n"/>
    </row>
    <row r="1082" ht="15.75" customHeight="1" s="1128">
      <c r="A1082" s="669" t="n"/>
      <c r="B1082" s="669" t="n"/>
      <c r="C1082" s="669" t="n"/>
      <c r="D1082" s="669" t="n"/>
      <c r="E1082" s="669" t="n"/>
      <c r="F1082" s="669" t="n"/>
      <c r="G1082" s="669" t="n"/>
      <c r="H1082" s="669" t="n"/>
      <c r="I1082" s="669" t="n"/>
      <c r="J1082" s="669" t="n"/>
      <c r="K1082" s="669" t="n"/>
      <c r="L1082" s="669" t="n"/>
      <c r="M1082" s="669" t="n"/>
      <c r="N1082" s="669" t="n"/>
      <c r="O1082" s="669" t="n"/>
      <c r="P1082" s="669" t="n"/>
      <c r="Q1082" s="669" t="n"/>
      <c r="R1082" s="669" t="n"/>
      <c r="S1082" s="669" t="n"/>
      <c r="T1082" s="669" t="n"/>
      <c r="U1082" s="669" t="n"/>
    </row>
    <row r="1083" ht="15.75" customHeight="1" s="1128">
      <c r="A1083" s="669" t="n"/>
      <c r="B1083" s="669" t="n"/>
      <c r="C1083" s="669" t="n"/>
      <c r="D1083" s="669" t="n"/>
      <c r="E1083" s="669" t="n"/>
      <c r="F1083" s="669" t="n"/>
      <c r="G1083" s="669" t="n"/>
      <c r="H1083" s="669" t="n"/>
      <c r="I1083" s="669" t="n"/>
      <c r="J1083" s="669" t="n"/>
      <c r="K1083" s="669" t="n"/>
      <c r="L1083" s="669" t="n"/>
      <c r="M1083" s="669" t="n"/>
      <c r="N1083" s="669" t="n"/>
      <c r="O1083" s="669" t="n"/>
      <c r="P1083" s="669" t="n"/>
      <c r="Q1083" s="669" t="n"/>
      <c r="R1083" s="669" t="n"/>
      <c r="S1083" s="669" t="n"/>
      <c r="T1083" s="669" t="n"/>
      <c r="U1083" s="669" t="n"/>
    </row>
    <row r="1084" ht="15.75" customHeight="1" s="1128">
      <c r="A1084" s="669" t="n"/>
      <c r="B1084" s="669" t="n"/>
      <c r="C1084" s="669" t="n"/>
      <c r="D1084" s="669" t="n"/>
      <c r="E1084" s="669" t="n"/>
      <c r="F1084" s="669" t="n"/>
      <c r="G1084" s="669" t="n"/>
      <c r="H1084" s="669" t="n"/>
      <c r="I1084" s="669" t="n"/>
      <c r="J1084" s="669" t="n"/>
      <c r="K1084" s="669" t="n"/>
      <c r="L1084" s="669" t="n"/>
      <c r="M1084" s="669" t="n"/>
      <c r="N1084" s="669" t="n"/>
      <c r="O1084" s="669" t="n"/>
      <c r="P1084" s="669" t="n"/>
      <c r="Q1084" s="669" t="n"/>
      <c r="R1084" s="669" t="n"/>
      <c r="S1084" s="669" t="n"/>
      <c r="T1084" s="669" t="n"/>
      <c r="U1084" s="669" t="n"/>
    </row>
    <row r="1085" ht="15.75" customHeight="1" s="1128">
      <c r="A1085" s="669" t="n"/>
      <c r="B1085" s="669" t="n"/>
      <c r="C1085" s="669" t="n"/>
      <c r="D1085" s="669" t="n"/>
      <c r="E1085" s="669" t="n"/>
      <c r="F1085" s="669" t="n"/>
      <c r="G1085" s="669" t="n"/>
      <c r="H1085" s="669" t="n"/>
      <c r="I1085" s="669" t="n"/>
      <c r="J1085" s="669" t="n"/>
      <c r="K1085" s="669" t="n"/>
      <c r="L1085" s="669" t="n"/>
      <c r="M1085" s="669" t="n"/>
      <c r="N1085" s="669" t="n"/>
      <c r="O1085" s="669" t="n"/>
      <c r="P1085" s="669" t="n"/>
      <c r="Q1085" s="669" t="n"/>
      <c r="R1085" s="669" t="n"/>
      <c r="S1085" s="669" t="n"/>
      <c r="T1085" s="669" t="n"/>
      <c r="U1085" s="669" t="n"/>
    </row>
    <row r="1086" ht="15.75" customHeight="1" s="1128">
      <c r="A1086" s="669" t="n"/>
      <c r="B1086" s="669" t="n"/>
      <c r="C1086" s="669" t="n"/>
      <c r="D1086" s="669" t="n"/>
      <c r="E1086" s="669" t="n"/>
      <c r="F1086" s="669" t="n"/>
      <c r="G1086" s="669" t="n"/>
      <c r="H1086" s="669" t="n"/>
      <c r="I1086" s="669" t="n"/>
      <c r="J1086" s="669" t="n"/>
      <c r="K1086" s="669" t="n"/>
      <c r="L1086" s="669" t="n"/>
      <c r="M1086" s="669" t="n"/>
      <c r="N1086" s="669" t="n"/>
      <c r="O1086" s="669" t="n"/>
      <c r="P1086" s="669" t="n"/>
      <c r="Q1086" s="669" t="n"/>
      <c r="R1086" s="669" t="n"/>
      <c r="S1086" s="669" t="n"/>
      <c r="T1086" s="669" t="n"/>
      <c r="U1086" s="669" t="n"/>
    </row>
    <row r="1087" ht="15.75" customHeight="1" s="1128">
      <c r="A1087" s="669" t="n"/>
      <c r="B1087" s="669" t="n"/>
      <c r="C1087" s="669" t="n"/>
      <c r="D1087" s="669" t="n"/>
      <c r="E1087" s="669" t="n"/>
      <c r="F1087" s="669" t="n"/>
      <c r="G1087" s="669" t="n"/>
      <c r="H1087" s="669" t="n"/>
      <c r="I1087" s="669" t="n"/>
      <c r="J1087" s="669" t="n"/>
      <c r="K1087" s="669" t="n"/>
      <c r="L1087" s="669" t="n"/>
      <c r="M1087" s="669" t="n"/>
      <c r="N1087" s="669" t="n"/>
      <c r="O1087" s="669" t="n"/>
      <c r="P1087" s="669" t="n"/>
      <c r="Q1087" s="669" t="n"/>
      <c r="R1087" s="669" t="n"/>
      <c r="S1087" s="669" t="n"/>
      <c r="T1087" s="669" t="n"/>
      <c r="U1087" s="669" t="n"/>
    </row>
    <row r="1088" ht="15.75" customHeight="1" s="1128">
      <c r="A1088" s="669" t="n"/>
      <c r="B1088" s="669" t="n"/>
      <c r="C1088" s="669" t="n"/>
      <c r="D1088" s="669" t="n"/>
      <c r="E1088" s="669" t="n"/>
      <c r="F1088" s="669" t="n"/>
      <c r="G1088" s="669" t="n"/>
      <c r="H1088" s="669" t="n"/>
      <c r="I1088" s="669" t="n"/>
      <c r="J1088" s="669" t="n"/>
      <c r="K1088" s="669" t="n"/>
      <c r="L1088" s="669" t="n"/>
      <c r="M1088" s="669" t="n"/>
      <c r="N1088" s="669" t="n"/>
      <c r="O1088" s="669" t="n"/>
      <c r="P1088" s="669" t="n"/>
      <c r="Q1088" s="669" t="n"/>
      <c r="R1088" s="669" t="n"/>
      <c r="S1088" s="669" t="n"/>
      <c r="T1088" s="669" t="n"/>
      <c r="U1088" s="669" t="n"/>
    </row>
    <row r="1089" ht="15.75" customHeight="1" s="1128">
      <c r="A1089" s="669" t="n"/>
      <c r="B1089" s="669" t="n"/>
      <c r="C1089" s="669" t="n"/>
      <c r="D1089" s="669" t="n"/>
      <c r="E1089" s="669" t="n"/>
      <c r="F1089" s="669" t="n"/>
      <c r="G1089" s="669" t="n"/>
      <c r="H1089" s="669" t="n"/>
      <c r="I1089" s="669" t="n"/>
      <c r="J1089" s="669" t="n"/>
      <c r="K1089" s="669" t="n"/>
      <c r="L1089" s="669" t="n"/>
      <c r="M1089" s="669" t="n"/>
      <c r="N1089" s="669" t="n"/>
      <c r="O1089" s="669" t="n"/>
      <c r="P1089" s="669" t="n"/>
      <c r="Q1089" s="669" t="n"/>
      <c r="R1089" s="669" t="n"/>
      <c r="S1089" s="669" t="n"/>
      <c r="T1089" s="669" t="n"/>
      <c r="U1089" s="669" t="n"/>
    </row>
    <row r="1090" ht="15.75" customHeight="1" s="1128">
      <c r="A1090" s="669" t="n"/>
      <c r="B1090" s="669" t="n"/>
      <c r="C1090" s="669" t="n"/>
      <c r="D1090" s="669" t="n"/>
      <c r="E1090" s="669" t="n"/>
      <c r="F1090" s="669" t="n"/>
      <c r="G1090" s="669" t="n"/>
      <c r="H1090" s="669" t="n"/>
      <c r="I1090" s="669" t="n"/>
      <c r="J1090" s="669" t="n"/>
      <c r="K1090" s="669" t="n"/>
      <c r="L1090" s="669" t="n"/>
      <c r="M1090" s="669" t="n"/>
      <c r="N1090" s="669" t="n"/>
      <c r="O1090" s="669" t="n"/>
      <c r="P1090" s="669" t="n"/>
      <c r="Q1090" s="669" t="n"/>
      <c r="R1090" s="669" t="n"/>
      <c r="S1090" s="669" t="n"/>
      <c r="T1090" s="669" t="n"/>
      <c r="U1090" s="669" t="n"/>
    </row>
    <row r="1091" ht="15.75" customHeight="1" s="1128">
      <c r="A1091" s="669" t="n"/>
      <c r="B1091" s="669" t="n"/>
      <c r="C1091" s="669" t="n"/>
      <c r="D1091" s="669" t="n"/>
      <c r="E1091" s="669" t="n"/>
      <c r="F1091" s="669" t="n"/>
      <c r="G1091" s="669" t="n"/>
      <c r="H1091" s="669" t="n"/>
      <c r="I1091" s="669" t="n"/>
      <c r="J1091" s="669" t="n"/>
      <c r="K1091" s="669" t="n"/>
      <c r="L1091" s="669" t="n"/>
      <c r="M1091" s="669" t="n"/>
      <c r="N1091" s="669" t="n"/>
      <c r="O1091" s="669" t="n"/>
      <c r="P1091" s="669" t="n"/>
      <c r="Q1091" s="669" t="n"/>
      <c r="R1091" s="669" t="n"/>
      <c r="S1091" s="669" t="n"/>
      <c r="T1091" s="669" t="n"/>
      <c r="U1091" s="669" t="n"/>
    </row>
    <row r="1092" ht="15.75" customHeight="1" s="1128">
      <c r="A1092" s="669" t="n"/>
      <c r="B1092" s="669" t="n"/>
      <c r="C1092" s="669" t="n"/>
      <c r="D1092" s="669" t="n"/>
      <c r="E1092" s="669" t="n"/>
      <c r="F1092" s="669" t="n"/>
      <c r="G1092" s="669" t="n"/>
      <c r="H1092" s="669" t="n"/>
      <c r="I1092" s="669" t="n"/>
      <c r="J1092" s="669" t="n"/>
      <c r="K1092" s="669" t="n"/>
      <c r="L1092" s="669" t="n"/>
      <c r="M1092" s="669" t="n"/>
      <c r="N1092" s="669" t="n"/>
      <c r="O1092" s="669" t="n"/>
      <c r="P1092" s="669" t="n"/>
      <c r="Q1092" s="669" t="n"/>
      <c r="R1092" s="669" t="n"/>
      <c r="S1092" s="669" t="n"/>
      <c r="T1092" s="669" t="n"/>
      <c r="U1092" s="669" t="n"/>
    </row>
    <row r="1093" ht="15.75" customHeight="1" s="1128">
      <c r="A1093" s="669" t="n"/>
      <c r="B1093" s="669" t="n"/>
      <c r="C1093" s="669" t="n"/>
      <c r="D1093" s="669" t="n"/>
      <c r="E1093" s="669" t="n"/>
      <c r="F1093" s="669" t="n"/>
      <c r="G1093" s="669" t="n"/>
      <c r="H1093" s="669" t="n"/>
      <c r="I1093" s="669" t="n"/>
      <c r="J1093" s="669" t="n"/>
      <c r="K1093" s="669" t="n"/>
      <c r="L1093" s="669" t="n"/>
      <c r="M1093" s="669" t="n"/>
      <c r="N1093" s="669" t="n"/>
      <c r="O1093" s="669" t="n"/>
      <c r="P1093" s="669" t="n"/>
      <c r="Q1093" s="669" t="n"/>
      <c r="R1093" s="669" t="n"/>
      <c r="S1093" s="669" t="n"/>
      <c r="T1093" s="669" t="n"/>
      <c r="U1093" s="669" t="n"/>
    </row>
    <row r="1094" ht="15.75" customHeight="1" s="1128">
      <c r="A1094" s="669" t="n"/>
      <c r="B1094" s="669" t="n"/>
      <c r="C1094" s="669" t="n"/>
      <c r="D1094" s="669" t="n"/>
      <c r="E1094" s="669" t="n"/>
      <c r="F1094" s="669" t="n"/>
      <c r="G1094" s="669" t="n"/>
      <c r="H1094" s="669" t="n"/>
      <c r="I1094" s="669" t="n"/>
      <c r="J1094" s="669" t="n"/>
      <c r="K1094" s="669" t="n"/>
      <c r="L1094" s="669" t="n"/>
      <c r="M1094" s="669" t="n"/>
      <c r="N1094" s="669" t="n"/>
      <c r="O1094" s="669" t="n"/>
      <c r="P1094" s="669" t="n"/>
      <c r="Q1094" s="669" t="n"/>
      <c r="R1094" s="669" t="n"/>
      <c r="S1094" s="669" t="n"/>
      <c r="T1094" s="669" t="n"/>
      <c r="U1094" s="669" t="n"/>
    </row>
    <row r="1095" ht="15.75" customHeight="1" s="1128">
      <c r="A1095" s="669" t="n"/>
      <c r="B1095" s="669" t="n"/>
      <c r="C1095" s="669" t="n"/>
      <c r="D1095" s="669" t="n"/>
      <c r="E1095" s="669" t="n"/>
      <c r="F1095" s="669" t="n"/>
      <c r="G1095" s="669" t="n"/>
      <c r="H1095" s="669" t="n"/>
      <c r="I1095" s="669" t="n"/>
      <c r="J1095" s="669" t="n"/>
      <c r="K1095" s="669" t="n"/>
      <c r="L1095" s="669" t="n"/>
      <c r="M1095" s="669" t="n"/>
      <c r="N1095" s="669" t="n"/>
      <c r="O1095" s="669" t="n"/>
      <c r="P1095" s="669" t="n"/>
      <c r="Q1095" s="669" t="n"/>
      <c r="R1095" s="669" t="n"/>
      <c r="S1095" s="669" t="n"/>
      <c r="T1095" s="669" t="n"/>
      <c r="U1095" s="669" t="n"/>
    </row>
    <row r="1096" ht="15.75" customHeight="1" s="1128">
      <c r="A1096" s="669" t="n"/>
      <c r="B1096" s="669" t="n"/>
      <c r="C1096" s="669" t="n"/>
      <c r="D1096" s="669" t="n"/>
      <c r="E1096" s="669" t="n"/>
      <c r="F1096" s="669" t="n"/>
      <c r="G1096" s="669" t="n"/>
      <c r="H1096" s="669" t="n"/>
      <c r="I1096" s="669" t="n"/>
      <c r="J1096" s="669" t="n"/>
      <c r="K1096" s="669" t="n"/>
      <c r="L1096" s="669" t="n"/>
      <c r="M1096" s="669" t="n"/>
      <c r="N1096" s="669" t="n"/>
      <c r="O1096" s="669" t="n"/>
      <c r="P1096" s="669" t="n"/>
      <c r="Q1096" s="669" t="n"/>
      <c r="R1096" s="669" t="n"/>
      <c r="S1096" s="669" t="n"/>
      <c r="T1096" s="669" t="n"/>
      <c r="U1096" s="669" t="n"/>
    </row>
    <row r="1097" ht="15.75" customHeight="1" s="1128">
      <c r="A1097" s="669" t="n"/>
      <c r="B1097" s="669" t="n"/>
      <c r="C1097" s="669" t="n"/>
      <c r="D1097" s="669" t="n"/>
      <c r="E1097" s="669" t="n"/>
      <c r="F1097" s="669" t="n"/>
      <c r="G1097" s="669" t="n"/>
      <c r="H1097" s="669" t="n"/>
      <c r="I1097" s="669" t="n"/>
      <c r="J1097" s="669" t="n"/>
      <c r="K1097" s="669" t="n"/>
      <c r="L1097" s="669" t="n"/>
      <c r="M1097" s="669" t="n"/>
      <c r="N1097" s="669" t="n"/>
      <c r="O1097" s="669" t="n"/>
      <c r="P1097" s="669" t="n"/>
      <c r="Q1097" s="669" t="n"/>
      <c r="R1097" s="669" t="n"/>
      <c r="S1097" s="669" t="n"/>
      <c r="T1097" s="669" t="n"/>
      <c r="U1097" s="669" t="n"/>
    </row>
    <row r="1098" ht="15.75" customHeight="1" s="1128">
      <c r="A1098" s="669" t="n"/>
      <c r="B1098" s="669" t="n"/>
      <c r="C1098" s="669" t="n"/>
      <c r="D1098" s="669" t="n"/>
      <c r="E1098" s="669" t="n"/>
      <c r="F1098" s="669" t="n"/>
      <c r="G1098" s="669" t="n"/>
      <c r="H1098" s="669" t="n"/>
      <c r="I1098" s="669" t="n"/>
      <c r="J1098" s="669" t="n"/>
      <c r="K1098" s="669" t="n"/>
      <c r="L1098" s="669" t="n"/>
      <c r="M1098" s="669" t="n"/>
      <c r="N1098" s="669" t="n"/>
      <c r="O1098" s="669" t="n"/>
      <c r="P1098" s="669" t="n"/>
      <c r="Q1098" s="669" t="n"/>
      <c r="R1098" s="669" t="n"/>
      <c r="S1098" s="669" t="n"/>
      <c r="T1098" s="669" t="n"/>
      <c r="U1098" s="669" t="n"/>
    </row>
    <row r="1099" ht="15.75" customHeight="1" s="1128">
      <c r="A1099" s="669" t="n"/>
      <c r="B1099" s="669" t="n"/>
      <c r="C1099" s="669" t="n"/>
      <c r="D1099" s="669" t="n"/>
      <c r="E1099" s="669" t="n"/>
      <c r="F1099" s="669" t="n"/>
      <c r="G1099" s="669" t="n"/>
      <c r="H1099" s="669" t="n"/>
      <c r="I1099" s="669" t="n"/>
      <c r="J1099" s="669" t="n"/>
      <c r="K1099" s="669" t="n"/>
      <c r="L1099" s="669" t="n"/>
      <c r="M1099" s="669" t="n"/>
      <c r="N1099" s="669" t="n"/>
      <c r="O1099" s="669" t="n"/>
      <c r="P1099" s="669" t="n"/>
      <c r="Q1099" s="669" t="n"/>
      <c r="R1099" s="669" t="n"/>
      <c r="S1099" s="669" t="n"/>
      <c r="T1099" s="669" t="n"/>
      <c r="U1099" s="669" t="n"/>
    </row>
    <row r="1100" ht="15.75" customHeight="1" s="1128">
      <c r="A1100" s="669" t="n"/>
      <c r="B1100" s="669" t="n"/>
      <c r="C1100" s="669" t="n"/>
      <c r="D1100" s="669" t="n"/>
      <c r="E1100" s="669" t="n"/>
      <c r="F1100" s="669" t="n"/>
      <c r="G1100" s="669" t="n"/>
      <c r="H1100" s="669" t="n"/>
      <c r="I1100" s="669" t="n"/>
      <c r="J1100" s="669" t="n"/>
      <c r="K1100" s="669" t="n"/>
      <c r="L1100" s="669" t="n"/>
      <c r="M1100" s="669" t="n"/>
      <c r="N1100" s="669" t="n"/>
      <c r="O1100" s="669" t="n"/>
      <c r="P1100" s="669" t="n"/>
      <c r="Q1100" s="669" t="n"/>
      <c r="R1100" s="669" t="n"/>
      <c r="S1100" s="669" t="n"/>
      <c r="T1100" s="669" t="n"/>
      <c r="U1100" s="669" t="n"/>
    </row>
    <row r="1101" ht="15.75" customHeight="1" s="1128">
      <c r="A1101" s="669" t="n"/>
      <c r="B1101" s="669" t="n"/>
      <c r="C1101" s="669" t="n"/>
      <c r="D1101" s="669" t="n"/>
      <c r="E1101" s="669" t="n"/>
      <c r="F1101" s="669" t="n"/>
      <c r="G1101" s="669" t="n"/>
      <c r="H1101" s="669" t="n"/>
      <c r="I1101" s="669" t="n"/>
      <c r="J1101" s="669" t="n"/>
      <c r="K1101" s="669" t="n"/>
      <c r="L1101" s="669" t="n"/>
      <c r="M1101" s="669" t="n"/>
      <c r="N1101" s="669" t="n"/>
      <c r="O1101" s="669" t="n"/>
      <c r="P1101" s="669" t="n"/>
      <c r="Q1101" s="669" t="n"/>
      <c r="R1101" s="669" t="n"/>
      <c r="S1101" s="669" t="n"/>
      <c r="T1101" s="669" t="n"/>
      <c r="U1101" s="669" t="n"/>
    </row>
    <row r="1102" ht="15.75" customHeight="1" s="1128">
      <c r="A1102" s="669" t="n"/>
      <c r="B1102" s="669" t="n"/>
      <c r="C1102" s="669" t="n"/>
      <c r="D1102" s="669" t="n"/>
      <c r="E1102" s="669" t="n"/>
      <c r="F1102" s="669" t="n"/>
      <c r="G1102" s="669" t="n"/>
      <c r="H1102" s="669" t="n"/>
      <c r="I1102" s="669" t="n"/>
      <c r="J1102" s="669" t="n"/>
      <c r="K1102" s="669" t="n"/>
      <c r="L1102" s="669" t="n"/>
      <c r="M1102" s="669" t="n"/>
      <c r="N1102" s="669" t="n"/>
      <c r="O1102" s="669" t="n"/>
      <c r="P1102" s="669" t="n"/>
      <c r="Q1102" s="669" t="n"/>
      <c r="R1102" s="669" t="n"/>
      <c r="S1102" s="669" t="n"/>
      <c r="T1102" s="669" t="n"/>
      <c r="U1102" s="669" t="n"/>
    </row>
    <row r="1103" ht="15.75" customHeight="1" s="1128">
      <c r="A1103" s="669" t="n"/>
      <c r="B1103" s="669" t="n"/>
      <c r="C1103" s="669" t="n"/>
      <c r="D1103" s="669" t="n"/>
      <c r="E1103" s="669" t="n"/>
      <c r="F1103" s="669" t="n"/>
      <c r="G1103" s="669" t="n"/>
      <c r="H1103" s="669" t="n"/>
      <c r="I1103" s="669" t="n"/>
      <c r="J1103" s="669" t="n"/>
      <c r="K1103" s="669" t="n"/>
      <c r="L1103" s="669" t="n"/>
      <c r="M1103" s="669" t="n"/>
      <c r="N1103" s="669" t="n"/>
      <c r="O1103" s="669" t="n"/>
      <c r="P1103" s="669" t="n"/>
      <c r="Q1103" s="669" t="n"/>
      <c r="R1103" s="669" t="n"/>
      <c r="S1103" s="669" t="n"/>
      <c r="T1103" s="669" t="n"/>
      <c r="U1103" s="669" t="n"/>
    </row>
    <row r="1104" ht="15.75" customHeight="1" s="1128">
      <c r="A1104" s="669" t="n"/>
      <c r="B1104" s="669" t="n"/>
      <c r="C1104" s="669" t="n"/>
      <c r="D1104" s="669" t="n"/>
      <c r="E1104" s="669" t="n"/>
      <c r="F1104" s="669" t="n"/>
      <c r="G1104" s="669" t="n"/>
      <c r="H1104" s="669" t="n"/>
      <c r="I1104" s="669" t="n"/>
      <c r="J1104" s="669" t="n"/>
      <c r="K1104" s="669" t="n"/>
      <c r="L1104" s="669" t="n"/>
      <c r="M1104" s="669" t="n"/>
      <c r="N1104" s="669" t="n"/>
      <c r="O1104" s="669" t="n"/>
      <c r="P1104" s="669" t="n"/>
      <c r="Q1104" s="669" t="n"/>
      <c r="R1104" s="669" t="n"/>
      <c r="S1104" s="669" t="n"/>
      <c r="T1104" s="669" t="n"/>
      <c r="U1104" s="669" t="n"/>
    </row>
    <row r="1105" ht="15.75" customHeight="1" s="1128">
      <c r="A1105" s="669" t="n"/>
      <c r="B1105" s="669" t="n"/>
      <c r="C1105" s="669" t="n"/>
      <c r="D1105" s="669" t="n"/>
      <c r="E1105" s="669" t="n"/>
      <c r="F1105" s="669" t="n"/>
      <c r="G1105" s="669" t="n"/>
      <c r="H1105" s="669" t="n"/>
      <c r="I1105" s="669" t="n"/>
      <c r="J1105" s="669" t="n"/>
      <c r="K1105" s="669" t="n"/>
      <c r="L1105" s="669" t="n"/>
      <c r="M1105" s="669" t="n"/>
      <c r="N1105" s="669" t="n"/>
      <c r="O1105" s="669" t="n"/>
      <c r="P1105" s="669" t="n"/>
      <c r="Q1105" s="669" t="n"/>
      <c r="R1105" s="669" t="n"/>
      <c r="S1105" s="669" t="n"/>
      <c r="T1105" s="669" t="n"/>
      <c r="U1105" s="669" t="n"/>
    </row>
    <row r="1106" ht="15.75" customHeight="1" s="1128">
      <c r="A1106" s="669" t="n"/>
      <c r="B1106" s="669" t="n"/>
      <c r="C1106" s="669" t="n"/>
      <c r="D1106" s="669" t="n"/>
      <c r="E1106" s="669" t="n"/>
      <c r="F1106" s="669" t="n"/>
      <c r="G1106" s="669" t="n"/>
      <c r="H1106" s="669" t="n"/>
      <c r="I1106" s="669" t="n"/>
      <c r="J1106" s="669" t="n"/>
      <c r="K1106" s="669" t="n"/>
      <c r="L1106" s="669" t="n"/>
      <c r="M1106" s="669" t="n"/>
      <c r="N1106" s="669" t="n"/>
      <c r="O1106" s="669" t="n"/>
      <c r="P1106" s="669" t="n"/>
      <c r="Q1106" s="669" t="n"/>
      <c r="R1106" s="669" t="n"/>
      <c r="S1106" s="669" t="n"/>
      <c r="T1106" s="669" t="n"/>
      <c r="U1106" s="669" t="n"/>
    </row>
    <row r="1107" ht="15.75" customHeight="1" s="1128">
      <c r="A1107" s="669" t="n"/>
      <c r="B1107" s="669" t="n"/>
      <c r="C1107" s="669" t="n"/>
      <c r="D1107" s="669" t="n"/>
      <c r="E1107" s="669" t="n"/>
      <c r="F1107" s="669" t="n"/>
      <c r="G1107" s="669" t="n"/>
      <c r="H1107" s="669" t="n"/>
      <c r="I1107" s="669" t="n"/>
      <c r="J1107" s="669" t="n"/>
      <c r="K1107" s="669" t="n"/>
      <c r="L1107" s="669" t="n"/>
      <c r="M1107" s="669" t="n"/>
      <c r="N1107" s="669" t="n"/>
      <c r="O1107" s="669" t="n"/>
      <c r="P1107" s="669" t="n"/>
      <c r="Q1107" s="669" t="n"/>
      <c r="R1107" s="669" t="n"/>
      <c r="S1107" s="669" t="n"/>
      <c r="T1107" s="669" t="n"/>
      <c r="U1107" s="669" t="n"/>
    </row>
    <row r="1108" ht="15.75" customHeight="1" s="1128">
      <c r="A1108" s="669" t="n"/>
      <c r="B1108" s="669" t="n"/>
      <c r="C1108" s="669" t="n"/>
      <c r="D1108" s="669" t="n"/>
      <c r="E1108" s="669" t="n"/>
      <c r="F1108" s="669" t="n"/>
      <c r="G1108" s="669" t="n"/>
      <c r="H1108" s="669" t="n"/>
      <c r="I1108" s="669" t="n"/>
      <c r="J1108" s="669" t="n"/>
      <c r="K1108" s="669" t="n"/>
      <c r="L1108" s="669" t="n"/>
      <c r="M1108" s="669" t="n"/>
      <c r="N1108" s="669" t="n"/>
      <c r="O1108" s="669" t="n"/>
      <c r="P1108" s="669" t="n"/>
      <c r="Q1108" s="669" t="n"/>
      <c r="R1108" s="669" t="n"/>
      <c r="S1108" s="669" t="n"/>
      <c r="T1108" s="669" t="n"/>
      <c r="U1108" s="669" t="n"/>
    </row>
    <row r="1109" ht="15.75" customHeight="1" s="1128">
      <c r="A1109" s="669" t="n"/>
      <c r="B1109" s="669" t="n"/>
      <c r="C1109" s="669" t="n"/>
      <c r="D1109" s="669" t="n"/>
      <c r="E1109" s="669" t="n"/>
      <c r="F1109" s="669" t="n"/>
      <c r="G1109" s="669" t="n"/>
      <c r="H1109" s="669" t="n"/>
      <c r="I1109" s="669" t="n"/>
      <c r="J1109" s="669" t="n"/>
      <c r="K1109" s="669" t="n"/>
      <c r="L1109" s="669" t="n"/>
      <c r="M1109" s="669" t="n"/>
      <c r="N1109" s="669" t="n"/>
      <c r="O1109" s="669" t="n"/>
      <c r="P1109" s="669" t="n"/>
      <c r="Q1109" s="669" t="n"/>
      <c r="R1109" s="669" t="n"/>
      <c r="S1109" s="669" t="n"/>
      <c r="T1109" s="669" t="n"/>
      <c r="U1109" s="669" t="n"/>
    </row>
    <row r="1110" ht="15.75" customHeight="1" s="1128">
      <c r="A1110" s="669" t="n"/>
      <c r="B1110" s="669" t="n"/>
      <c r="C1110" s="669" t="n"/>
      <c r="D1110" s="669" t="n"/>
      <c r="E1110" s="669" t="n"/>
      <c r="F1110" s="669" t="n"/>
      <c r="G1110" s="669" t="n"/>
      <c r="H1110" s="669" t="n"/>
      <c r="I1110" s="669" t="n"/>
      <c r="J1110" s="669" t="n"/>
      <c r="K1110" s="669" t="n"/>
      <c r="L1110" s="669" t="n"/>
      <c r="M1110" s="669" t="n"/>
      <c r="N1110" s="669" t="n"/>
      <c r="O1110" s="669" t="n"/>
      <c r="P1110" s="669" t="n"/>
      <c r="Q1110" s="669" t="n"/>
      <c r="R1110" s="669" t="n"/>
      <c r="S1110" s="669" t="n"/>
      <c r="T1110" s="669" t="n"/>
      <c r="U1110" s="669" t="n"/>
    </row>
    <row r="1111" ht="15.75" customHeight="1" s="1128">
      <c r="A1111" s="669" t="n"/>
      <c r="B1111" s="669" t="n"/>
      <c r="C1111" s="669" t="n"/>
      <c r="D1111" s="669" t="n"/>
      <c r="E1111" s="669" t="n"/>
      <c r="F1111" s="669" t="n"/>
      <c r="G1111" s="669" t="n"/>
      <c r="H1111" s="669" t="n"/>
      <c r="I1111" s="669" t="n"/>
      <c r="J1111" s="669" t="n"/>
      <c r="K1111" s="669" t="n"/>
      <c r="L1111" s="669" t="n"/>
      <c r="M1111" s="669" t="n"/>
      <c r="N1111" s="669" t="n"/>
      <c r="O1111" s="669" t="n"/>
      <c r="P1111" s="669" t="n"/>
      <c r="Q1111" s="669" t="n"/>
      <c r="R1111" s="669" t="n"/>
      <c r="S1111" s="669" t="n"/>
      <c r="T1111" s="669" t="n"/>
      <c r="U1111" s="669" t="n"/>
    </row>
    <row r="1112" ht="15.75" customHeight="1" s="1128">
      <c r="A1112" s="669" t="n"/>
      <c r="B1112" s="669" t="n"/>
      <c r="C1112" s="669" t="n"/>
      <c r="D1112" s="669" t="n"/>
      <c r="E1112" s="669" t="n"/>
      <c r="F1112" s="669" t="n"/>
      <c r="G1112" s="669" t="n"/>
      <c r="H1112" s="669" t="n"/>
      <c r="I1112" s="669" t="n"/>
      <c r="J1112" s="669" t="n"/>
      <c r="K1112" s="669" t="n"/>
      <c r="L1112" s="669" t="n"/>
      <c r="M1112" s="669" t="n"/>
      <c r="N1112" s="669" t="n"/>
      <c r="O1112" s="669" t="n"/>
      <c r="P1112" s="669" t="n"/>
      <c r="Q1112" s="669" t="n"/>
      <c r="R1112" s="669" t="n"/>
      <c r="S1112" s="669" t="n"/>
      <c r="T1112" s="669" t="n"/>
      <c r="U1112" s="669" t="n"/>
    </row>
    <row r="1113" ht="15.75" customHeight="1" s="1128">
      <c r="A1113" s="669" t="n"/>
      <c r="B1113" s="669" t="n"/>
      <c r="C1113" s="669" t="n"/>
      <c r="D1113" s="669" t="n"/>
      <c r="E1113" s="669" t="n"/>
      <c r="F1113" s="669" t="n"/>
      <c r="G1113" s="669" t="n"/>
      <c r="H1113" s="669" t="n"/>
      <c r="I1113" s="669" t="n"/>
      <c r="J1113" s="669" t="n"/>
      <c r="K1113" s="669" t="n"/>
      <c r="L1113" s="669" t="n"/>
      <c r="M1113" s="669" t="n"/>
      <c r="N1113" s="669" t="n"/>
      <c r="O1113" s="669" t="n"/>
      <c r="P1113" s="669" t="n"/>
      <c r="Q1113" s="669" t="n"/>
      <c r="R1113" s="669" t="n"/>
      <c r="S1113" s="669" t="n"/>
      <c r="T1113" s="669" t="n"/>
      <c r="U1113" s="669" t="n"/>
    </row>
    <row r="1114" ht="15.75" customHeight="1" s="1128">
      <c r="A1114" s="669" t="n"/>
      <c r="B1114" s="669" t="n"/>
      <c r="C1114" s="669" t="n"/>
      <c r="D1114" s="669" t="n"/>
      <c r="E1114" s="669" t="n"/>
      <c r="F1114" s="669" t="n"/>
      <c r="G1114" s="669" t="n"/>
      <c r="H1114" s="669" t="n"/>
      <c r="I1114" s="669" t="n"/>
      <c r="J1114" s="669" t="n"/>
      <c r="K1114" s="669" t="n"/>
      <c r="L1114" s="669" t="n"/>
      <c r="M1114" s="669" t="n"/>
      <c r="N1114" s="669" t="n"/>
      <c r="O1114" s="669" t="n"/>
      <c r="P1114" s="669" t="n"/>
      <c r="Q1114" s="669" t="n"/>
      <c r="R1114" s="669" t="n"/>
      <c r="S1114" s="669" t="n"/>
      <c r="T1114" s="669" t="n"/>
      <c r="U1114" s="669" t="n"/>
    </row>
    <row r="1115" ht="15.75" customHeight="1" s="1128">
      <c r="A1115" s="669" t="n"/>
      <c r="B1115" s="669" t="n"/>
      <c r="C1115" s="669" t="n"/>
      <c r="D1115" s="669" t="n"/>
      <c r="E1115" s="669" t="n"/>
      <c r="F1115" s="669" t="n"/>
      <c r="G1115" s="669" t="n"/>
      <c r="H1115" s="669" t="n"/>
      <c r="I1115" s="669" t="n"/>
      <c r="J1115" s="669" t="n"/>
      <c r="K1115" s="669" t="n"/>
      <c r="L1115" s="669" t="n"/>
      <c r="M1115" s="669" t="n"/>
      <c r="N1115" s="669" t="n"/>
      <c r="O1115" s="669" t="n"/>
      <c r="P1115" s="669" t="n"/>
      <c r="Q1115" s="669" t="n"/>
      <c r="R1115" s="669" t="n"/>
      <c r="S1115" s="669" t="n"/>
      <c r="T1115" s="669" t="n"/>
      <c r="U1115" s="669" t="n"/>
    </row>
    <row r="1116" ht="15.75" customHeight="1" s="1128">
      <c r="A1116" s="669" t="n"/>
      <c r="B1116" s="669" t="n"/>
      <c r="C1116" s="669" t="n"/>
      <c r="D1116" s="669" t="n"/>
      <c r="E1116" s="669" t="n"/>
      <c r="F1116" s="669" t="n"/>
      <c r="G1116" s="669" t="n"/>
      <c r="H1116" s="669" t="n"/>
      <c r="I1116" s="669" t="n"/>
      <c r="J1116" s="669" t="n"/>
      <c r="K1116" s="669" t="n"/>
      <c r="L1116" s="669" t="n"/>
      <c r="M1116" s="669" t="n"/>
      <c r="N1116" s="669" t="n"/>
      <c r="O1116" s="669" t="n"/>
      <c r="P1116" s="669" t="n"/>
      <c r="Q1116" s="669" t="n"/>
      <c r="R1116" s="669" t="n"/>
      <c r="S1116" s="669" t="n"/>
      <c r="T1116" s="669" t="n"/>
      <c r="U1116" s="669" t="n"/>
    </row>
    <row r="1117" ht="15.75" customHeight="1" s="1128">
      <c r="A1117" s="669" t="n"/>
      <c r="B1117" s="669" t="n"/>
      <c r="C1117" s="669" t="n"/>
      <c r="D1117" s="669" t="n"/>
      <c r="E1117" s="669" t="n"/>
      <c r="F1117" s="669" t="n"/>
      <c r="G1117" s="669" t="n"/>
      <c r="H1117" s="669" t="n"/>
      <c r="I1117" s="669" t="n"/>
      <c r="J1117" s="669" t="n"/>
      <c r="K1117" s="669" t="n"/>
      <c r="L1117" s="669" t="n"/>
      <c r="M1117" s="669" t="n"/>
      <c r="N1117" s="669" t="n"/>
      <c r="O1117" s="669" t="n"/>
      <c r="P1117" s="669" t="n"/>
      <c r="Q1117" s="669" t="n"/>
      <c r="R1117" s="669" t="n"/>
      <c r="S1117" s="669" t="n"/>
      <c r="T1117" s="669" t="n"/>
      <c r="U1117" s="669" t="n"/>
    </row>
    <row r="1118" ht="15.75" customHeight="1" s="1128">
      <c r="A1118" s="669" t="n"/>
      <c r="B1118" s="669" t="n"/>
      <c r="C1118" s="669" t="n"/>
      <c r="D1118" s="669" t="n"/>
      <c r="E1118" s="669" t="n"/>
      <c r="F1118" s="669" t="n"/>
      <c r="G1118" s="669" t="n"/>
      <c r="H1118" s="669" t="n"/>
      <c r="I1118" s="669" t="n"/>
      <c r="J1118" s="669" t="n"/>
      <c r="K1118" s="669" t="n"/>
      <c r="L1118" s="669" t="n"/>
      <c r="M1118" s="669" t="n"/>
      <c r="N1118" s="669" t="n"/>
      <c r="O1118" s="669" t="n"/>
      <c r="P1118" s="669" t="n"/>
      <c r="Q1118" s="669" t="n"/>
      <c r="R1118" s="669" t="n"/>
      <c r="S1118" s="669" t="n"/>
      <c r="T1118" s="669" t="n"/>
      <c r="U1118" s="669" t="n"/>
    </row>
    <row r="1119" ht="15.75" customHeight="1" s="1128">
      <c r="A1119" s="669" t="n"/>
      <c r="B1119" s="669" t="n"/>
      <c r="C1119" s="669" t="n"/>
      <c r="D1119" s="669" t="n"/>
      <c r="E1119" s="669" t="n"/>
      <c r="F1119" s="669" t="n"/>
      <c r="G1119" s="669" t="n"/>
      <c r="H1119" s="669" t="n"/>
      <c r="I1119" s="669" t="n"/>
      <c r="J1119" s="669" t="n"/>
      <c r="K1119" s="669" t="n"/>
      <c r="L1119" s="669" t="n"/>
      <c r="M1119" s="669" t="n"/>
      <c r="N1119" s="669" t="n"/>
      <c r="O1119" s="669" t="n"/>
      <c r="P1119" s="669" t="n"/>
      <c r="Q1119" s="669" t="n"/>
      <c r="R1119" s="669" t="n"/>
      <c r="S1119" s="669" t="n"/>
      <c r="T1119" s="669" t="n"/>
      <c r="U1119" s="669" t="n"/>
    </row>
    <row r="1120" ht="15.75" customHeight="1" s="1128">
      <c r="A1120" s="669" t="n"/>
      <c r="B1120" s="669" t="n"/>
      <c r="C1120" s="669" t="n"/>
      <c r="D1120" s="669" t="n"/>
      <c r="E1120" s="669" t="n"/>
      <c r="F1120" s="669" t="n"/>
      <c r="G1120" s="669" t="n"/>
      <c r="H1120" s="669" t="n"/>
      <c r="I1120" s="669" t="n"/>
      <c r="J1120" s="669" t="n"/>
      <c r="K1120" s="669" t="n"/>
      <c r="L1120" s="669" t="n"/>
      <c r="M1120" s="669" t="n"/>
      <c r="N1120" s="669" t="n"/>
      <c r="O1120" s="669" t="n"/>
      <c r="P1120" s="669" t="n"/>
      <c r="Q1120" s="669" t="n"/>
      <c r="R1120" s="669" t="n"/>
      <c r="S1120" s="669" t="n"/>
      <c r="T1120" s="669" t="n"/>
      <c r="U1120" s="669" t="n"/>
    </row>
    <row r="1121" ht="15.75" customHeight="1" s="1128">
      <c r="A1121" s="669" t="n"/>
      <c r="B1121" s="669" t="n"/>
      <c r="C1121" s="669" t="n"/>
      <c r="D1121" s="669" t="n"/>
      <c r="E1121" s="669" t="n"/>
      <c r="F1121" s="669" t="n"/>
      <c r="G1121" s="669" t="n"/>
      <c r="H1121" s="669" t="n"/>
      <c r="I1121" s="669" t="n"/>
      <c r="J1121" s="669" t="n"/>
      <c r="K1121" s="669" t="n"/>
      <c r="L1121" s="669" t="n"/>
      <c r="M1121" s="669" t="n"/>
      <c r="N1121" s="669" t="n"/>
      <c r="O1121" s="669" t="n"/>
      <c r="P1121" s="669" t="n"/>
      <c r="Q1121" s="669" t="n"/>
      <c r="R1121" s="669" t="n"/>
      <c r="S1121" s="669" t="n"/>
      <c r="T1121" s="669" t="n"/>
      <c r="U1121" s="669" t="n"/>
    </row>
    <row r="1122" ht="15.75" customHeight="1" s="1128">
      <c r="A1122" s="669" t="n"/>
      <c r="B1122" s="669" t="n"/>
      <c r="C1122" s="669" t="n"/>
      <c r="D1122" s="669" t="n"/>
      <c r="E1122" s="669" t="n"/>
      <c r="F1122" s="669" t="n"/>
      <c r="G1122" s="669" t="n"/>
      <c r="H1122" s="669" t="n"/>
      <c r="I1122" s="669" t="n"/>
      <c r="J1122" s="669" t="n"/>
      <c r="K1122" s="669" t="n"/>
      <c r="L1122" s="669" t="n"/>
      <c r="M1122" s="669" t="n"/>
      <c r="N1122" s="669" t="n"/>
      <c r="O1122" s="669" t="n"/>
      <c r="P1122" s="669" t="n"/>
      <c r="Q1122" s="669" t="n"/>
      <c r="R1122" s="669" t="n"/>
      <c r="S1122" s="669" t="n"/>
      <c r="T1122" s="669" t="n"/>
      <c r="U1122" s="669" t="n"/>
    </row>
    <row r="1123" ht="15.75" customHeight="1" s="1128">
      <c r="A1123" s="669" t="n"/>
      <c r="B1123" s="669" t="n"/>
      <c r="C1123" s="669" t="n"/>
      <c r="D1123" s="669" t="n"/>
      <c r="E1123" s="669" t="n"/>
      <c r="F1123" s="669" t="n"/>
      <c r="G1123" s="669" t="n"/>
      <c r="H1123" s="669" t="n"/>
      <c r="I1123" s="669" t="n"/>
      <c r="J1123" s="669" t="n"/>
      <c r="K1123" s="669" t="n"/>
      <c r="L1123" s="669" t="n"/>
      <c r="M1123" s="669" t="n"/>
      <c r="N1123" s="669" t="n"/>
      <c r="O1123" s="669" t="n"/>
      <c r="P1123" s="669" t="n"/>
      <c r="Q1123" s="669" t="n"/>
      <c r="R1123" s="669" t="n"/>
      <c r="S1123" s="669" t="n"/>
      <c r="T1123" s="669" t="n"/>
      <c r="U1123" s="669" t="n"/>
    </row>
    <row r="1124" ht="15.75" customHeight="1" s="1128">
      <c r="A1124" s="669" t="n"/>
      <c r="B1124" s="669" t="n"/>
      <c r="C1124" s="669" t="n"/>
      <c r="D1124" s="669" t="n"/>
      <c r="E1124" s="669" t="n"/>
      <c r="F1124" s="669" t="n"/>
      <c r="G1124" s="669" t="n"/>
      <c r="H1124" s="669" t="n"/>
      <c r="I1124" s="669" t="n"/>
      <c r="J1124" s="669" t="n"/>
      <c r="K1124" s="669" t="n"/>
      <c r="L1124" s="669" t="n"/>
      <c r="M1124" s="669" t="n"/>
      <c r="N1124" s="669" t="n"/>
      <c r="O1124" s="669" t="n"/>
      <c r="P1124" s="669" t="n"/>
      <c r="Q1124" s="669" t="n"/>
      <c r="R1124" s="669" t="n"/>
      <c r="S1124" s="669" t="n"/>
      <c r="T1124" s="669" t="n"/>
      <c r="U1124" s="669" t="n"/>
    </row>
    <row r="1125" ht="15.75" customHeight="1" s="1128">
      <c r="A1125" s="669" t="n"/>
      <c r="B1125" s="669" t="n"/>
      <c r="C1125" s="669" t="n"/>
      <c r="D1125" s="669" t="n"/>
      <c r="E1125" s="669" t="n"/>
      <c r="F1125" s="669" t="n"/>
      <c r="G1125" s="669" t="n"/>
      <c r="H1125" s="669" t="n"/>
      <c r="I1125" s="669" t="n"/>
      <c r="J1125" s="669" t="n"/>
      <c r="K1125" s="669" t="n"/>
      <c r="L1125" s="669" t="n"/>
      <c r="M1125" s="669" t="n"/>
      <c r="N1125" s="669" t="n"/>
      <c r="O1125" s="669" t="n"/>
      <c r="P1125" s="669" t="n"/>
      <c r="Q1125" s="669" t="n"/>
      <c r="R1125" s="669" t="n"/>
      <c r="S1125" s="669" t="n"/>
      <c r="T1125" s="669" t="n"/>
      <c r="U1125" s="669" t="n"/>
    </row>
    <row r="1126" ht="15.75" customHeight="1" s="1128">
      <c r="A1126" s="669" t="n"/>
      <c r="B1126" s="669" t="n"/>
      <c r="C1126" s="669" t="n"/>
      <c r="D1126" s="669" t="n"/>
      <c r="E1126" s="669" t="n"/>
      <c r="F1126" s="669" t="n"/>
      <c r="G1126" s="669" t="n"/>
      <c r="H1126" s="669" t="n"/>
      <c r="I1126" s="669" t="n"/>
      <c r="J1126" s="669" t="n"/>
      <c r="K1126" s="669" t="n"/>
      <c r="L1126" s="669" t="n"/>
      <c r="M1126" s="669" t="n"/>
      <c r="N1126" s="669" t="n"/>
      <c r="O1126" s="669" t="n"/>
      <c r="P1126" s="669" t="n"/>
      <c r="Q1126" s="669" t="n"/>
      <c r="R1126" s="669" t="n"/>
      <c r="S1126" s="669" t="n"/>
      <c r="T1126" s="669" t="n"/>
      <c r="U1126" s="669" t="n"/>
    </row>
    <row r="1127" ht="15.75" customHeight="1" s="1128">
      <c r="A1127" s="669" t="n"/>
      <c r="B1127" s="669" t="n"/>
      <c r="C1127" s="669" t="n"/>
      <c r="D1127" s="669" t="n"/>
      <c r="E1127" s="669" t="n"/>
      <c r="F1127" s="669" t="n"/>
      <c r="G1127" s="669" t="n"/>
      <c r="H1127" s="669" t="n"/>
      <c r="I1127" s="669" t="n"/>
      <c r="J1127" s="669" t="n"/>
      <c r="K1127" s="669" t="n"/>
      <c r="L1127" s="669" t="n"/>
      <c r="M1127" s="669" t="n"/>
      <c r="N1127" s="669" t="n"/>
      <c r="O1127" s="669" t="n"/>
      <c r="P1127" s="669" t="n"/>
      <c r="Q1127" s="669" t="n"/>
      <c r="R1127" s="669" t="n"/>
      <c r="S1127" s="669" t="n"/>
      <c r="T1127" s="669" t="n"/>
      <c r="U1127" s="669" t="n"/>
    </row>
    <row r="1128" ht="15.75" customHeight="1" s="1128">
      <c r="A1128" s="669" t="n"/>
      <c r="B1128" s="669" t="n"/>
      <c r="C1128" s="669" t="n"/>
      <c r="D1128" s="669" t="n"/>
      <c r="E1128" s="669" t="n"/>
      <c r="F1128" s="669" t="n"/>
      <c r="G1128" s="669" t="n"/>
      <c r="H1128" s="669" t="n"/>
      <c r="I1128" s="669" t="n"/>
      <c r="J1128" s="669" t="n"/>
      <c r="K1128" s="669" t="n"/>
      <c r="L1128" s="669" t="n"/>
      <c r="M1128" s="669" t="n"/>
      <c r="N1128" s="669" t="n"/>
      <c r="O1128" s="669" t="n"/>
      <c r="P1128" s="669" t="n"/>
      <c r="Q1128" s="669" t="n"/>
      <c r="R1128" s="669" t="n"/>
      <c r="S1128" s="669" t="n"/>
      <c r="T1128" s="669" t="n"/>
      <c r="U1128" s="669" t="n"/>
    </row>
    <row r="1129" ht="15.75" customHeight="1" s="1128">
      <c r="A1129" s="669" t="n"/>
      <c r="B1129" s="669" t="n"/>
      <c r="C1129" s="669" t="n"/>
      <c r="D1129" s="669" t="n"/>
      <c r="E1129" s="669" t="n"/>
      <c r="F1129" s="669" t="n"/>
      <c r="G1129" s="669" t="n"/>
      <c r="H1129" s="669" t="n"/>
      <c r="I1129" s="669" t="n"/>
      <c r="J1129" s="669" t="n"/>
      <c r="K1129" s="669" t="n"/>
      <c r="L1129" s="669" t="n"/>
      <c r="M1129" s="669" t="n"/>
      <c r="N1129" s="669" t="n"/>
      <c r="O1129" s="669" t="n"/>
      <c r="P1129" s="669" t="n"/>
      <c r="Q1129" s="669" t="n"/>
      <c r="R1129" s="669" t="n"/>
      <c r="S1129" s="669" t="n"/>
      <c r="T1129" s="669" t="n"/>
      <c r="U1129" s="669" t="n"/>
    </row>
    <row r="1130" ht="15.75" customHeight="1" s="1128">
      <c r="A1130" s="669" t="n"/>
      <c r="B1130" s="669" t="n"/>
      <c r="C1130" s="669" t="n"/>
      <c r="D1130" s="669" t="n"/>
      <c r="E1130" s="669" t="n"/>
      <c r="F1130" s="669" t="n"/>
      <c r="G1130" s="669" t="n"/>
      <c r="H1130" s="669" t="n"/>
      <c r="I1130" s="669" t="n"/>
      <c r="J1130" s="669" t="n"/>
      <c r="K1130" s="669" t="n"/>
      <c r="L1130" s="669" t="n"/>
      <c r="M1130" s="669" t="n"/>
      <c r="N1130" s="669" t="n"/>
      <c r="O1130" s="669" t="n"/>
      <c r="P1130" s="669" t="n"/>
      <c r="Q1130" s="669" t="n"/>
      <c r="R1130" s="669" t="n"/>
      <c r="S1130" s="669" t="n"/>
      <c r="T1130" s="669" t="n"/>
      <c r="U1130" s="669" t="n"/>
    </row>
    <row r="1131" ht="15.75" customHeight="1" s="1128">
      <c r="A1131" s="669" t="n"/>
      <c r="B1131" s="669" t="n"/>
      <c r="C1131" s="669" t="n"/>
      <c r="D1131" s="669" t="n"/>
      <c r="E1131" s="669" t="n"/>
      <c r="F1131" s="669" t="n"/>
      <c r="G1131" s="669" t="n"/>
      <c r="H1131" s="669" t="n"/>
      <c r="I1131" s="669" t="n"/>
      <c r="J1131" s="669" t="n"/>
      <c r="K1131" s="669" t="n"/>
      <c r="L1131" s="669" t="n"/>
      <c r="M1131" s="669" t="n"/>
      <c r="N1131" s="669" t="n"/>
      <c r="O1131" s="669" t="n"/>
      <c r="P1131" s="669" t="n"/>
      <c r="Q1131" s="669" t="n"/>
      <c r="R1131" s="669" t="n"/>
      <c r="S1131" s="669" t="n"/>
      <c r="T1131" s="669" t="n"/>
      <c r="U1131" s="669" t="n"/>
    </row>
    <row r="1132" ht="15.75" customHeight="1" s="1128">
      <c r="A1132" s="669" t="n"/>
      <c r="B1132" s="669" t="n"/>
      <c r="C1132" s="669" t="n"/>
      <c r="D1132" s="669" t="n"/>
      <c r="E1132" s="669" t="n"/>
      <c r="F1132" s="669" t="n"/>
      <c r="G1132" s="669" t="n"/>
      <c r="H1132" s="669" t="n"/>
      <c r="I1132" s="669" t="n"/>
      <c r="J1132" s="669" t="n"/>
      <c r="K1132" s="669" t="n"/>
      <c r="L1132" s="669" t="n"/>
      <c r="M1132" s="669" t="n"/>
      <c r="N1132" s="669" t="n"/>
      <c r="O1132" s="669" t="n"/>
      <c r="P1132" s="669" t="n"/>
      <c r="Q1132" s="669" t="n"/>
      <c r="R1132" s="669" t="n"/>
      <c r="S1132" s="669" t="n"/>
      <c r="T1132" s="669" t="n"/>
      <c r="U1132" s="669" t="n"/>
    </row>
    <row r="1133" ht="15.75" customHeight="1" s="1128">
      <c r="A1133" s="669" t="n"/>
      <c r="B1133" s="669" t="n"/>
      <c r="C1133" s="669" t="n"/>
      <c r="D1133" s="669" t="n"/>
      <c r="E1133" s="669" t="n"/>
      <c r="F1133" s="669" t="n"/>
      <c r="G1133" s="669" t="n"/>
      <c r="H1133" s="669" t="n"/>
      <c r="I1133" s="669" t="n"/>
      <c r="J1133" s="669" t="n"/>
      <c r="K1133" s="669" t="n"/>
      <c r="L1133" s="669" t="n"/>
      <c r="M1133" s="669" t="n"/>
      <c r="N1133" s="669" t="n"/>
      <c r="O1133" s="669" t="n"/>
      <c r="P1133" s="669" t="n"/>
      <c r="Q1133" s="669" t="n"/>
      <c r="R1133" s="669" t="n"/>
      <c r="S1133" s="669" t="n"/>
      <c r="T1133" s="669" t="n"/>
      <c r="U1133" s="669" t="n"/>
    </row>
    <row r="1134" ht="15.75" customHeight="1" s="1128">
      <c r="A1134" s="669" t="n"/>
      <c r="B1134" s="669" t="n"/>
      <c r="C1134" s="669" t="n"/>
      <c r="D1134" s="669" t="n"/>
      <c r="E1134" s="669" t="n"/>
      <c r="F1134" s="669" t="n"/>
      <c r="G1134" s="669" t="n"/>
      <c r="H1134" s="669" t="n"/>
      <c r="I1134" s="669" t="n"/>
      <c r="J1134" s="669" t="n"/>
      <c r="K1134" s="669" t="n"/>
      <c r="L1134" s="669" t="n"/>
      <c r="M1134" s="669" t="n"/>
      <c r="N1134" s="669" t="n"/>
      <c r="O1134" s="669" t="n"/>
      <c r="P1134" s="669" t="n"/>
      <c r="Q1134" s="669" t="n"/>
      <c r="R1134" s="669" t="n"/>
      <c r="S1134" s="669" t="n"/>
      <c r="T1134" s="669" t="n"/>
      <c r="U1134" s="669" t="n"/>
    </row>
    <row r="1135" ht="15.75" customHeight="1" s="1128">
      <c r="A1135" s="669" t="n"/>
      <c r="B1135" s="669" t="n"/>
      <c r="C1135" s="669" t="n"/>
      <c r="D1135" s="669" t="n"/>
      <c r="E1135" s="669" t="n"/>
      <c r="F1135" s="669" t="n"/>
      <c r="G1135" s="669" t="n"/>
      <c r="H1135" s="669" t="n"/>
      <c r="I1135" s="669" t="n"/>
      <c r="J1135" s="669" t="n"/>
      <c r="K1135" s="669" t="n"/>
      <c r="L1135" s="669" t="n"/>
      <c r="M1135" s="669" t="n"/>
      <c r="N1135" s="669" t="n"/>
      <c r="O1135" s="669" t="n"/>
      <c r="P1135" s="669" t="n"/>
      <c r="Q1135" s="669" t="n"/>
      <c r="R1135" s="669" t="n"/>
      <c r="S1135" s="669" t="n"/>
      <c r="T1135" s="669" t="n"/>
      <c r="U1135" s="669" t="n"/>
    </row>
    <row r="1136" ht="15.75" customHeight="1" s="1128">
      <c r="A1136" s="669" t="n"/>
      <c r="B1136" s="669" t="n"/>
      <c r="C1136" s="669" t="n"/>
      <c r="D1136" s="669" t="n"/>
      <c r="E1136" s="669" t="n"/>
      <c r="F1136" s="669" t="n"/>
      <c r="G1136" s="669" t="n"/>
      <c r="H1136" s="669" t="n"/>
      <c r="I1136" s="669" t="n"/>
      <c r="J1136" s="669" t="n"/>
      <c r="K1136" s="669" t="n"/>
      <c r="L1136" s="669" t="n"/>
      <c r="M1136" s="669" t="n"/>
      <c r="N1136" s="669" t="n"/>
      <c r="O1136" s="669" t="n"/>
      <c r="P1136" s="669" t="n"/>
      <c r="Q1136" s="669" t="n"/>
      <c r="R1136" s="669" t="n"/>
      <c r="S1136" s="669" t="n"/>
      <c r="T1136" s="669" t="n"/>
      <c r="U1136" s="669" t="n"/>
    </row>
    <row r="1137" ht="15.75" customHeight="1" s="1128">
      <c r="A1137" s="669" t="n"/>
      <c r="B1137" s="669" t="n"/>
      <c r="C1137" s="669" t="n"/>
      <c r="D1137" s="669" t="n"/>
      <c r="E1137" s="669" t="n"/>
      <c r="F1137" s="669" t="n"/>
      <c r="G1137" s="669" t="n"/>
      <c r="H1137" s="669" t="n"/>
      <c r="I1137" s="669" t="n"/>
      <c r="J1137" s="669" t="n"/>
      <c r="K1137" s="669" t="n"/>
      <c r="L1137" s="669" t="n"/>
      <c r="M1137" s="669" t="n"/>
      <c r="N1137" s="669" t="n"/>
      <c r="O1137" s="669" t="n"/>
      <c r="P1137" s="669" t="n"/>
      <c r="Q1137" s="669" t="n"/>
      <c r="R1137" s="669" t="n"/>
      <c r="S1137" s="669" t="n"/>
      <c r="T1137" s="669" t="n"/>
      <c r="U1137" s="669" t="n"/>
    </row>
    <row r="1138" ht="15.75" customHeight="1" s="1128">
      <c r="A1138" s="669" t="n"/>
      <c r="B1138" s="669" t="n"/>
      <c r="C1138" s="669" t="n"/>
      <c r="D1138" s="669" t="n"/>
      <c r="E1138" s="669" t="n"/>
      <c r="F1138" s="669" t="n"/>
      <c r="G1138" s="669" t="n"/>
      <c r="H1138" s="669" t="n"/>
      <c r="I1138" s="669" t="n"/>
      <c r="J1138" s="669" t="n"/>
      <c r="K1138" s="669" t="n"/>
      <c r="L1138" s="669" t="n"/>
      <c r="M1138" s="669" t="n"/>
      <c r="N1138" s="669" t="n"/>
      <c r="O1138" s="669" t="n"/>
      <c r="P1138" s="669" t="n"/>
      <c r="Q1138" s="669" t="n"/>
      <c r="R1138" s="669" t="n"/>
      <c r="S1138" s="669" t="n"/>
      <c r="T1138" s="669" t="n"/>
      <c r="U1138" s="669" t="n"/>
    </row>
    <row r="1139" ht="15.75" customHeight="1" s="1128">
      <c r="A1139" s="669" t="n"/>
      <c r="B1139" s="669" t="n"/>
      <c r="C1139" s="669" t="n"/>
      <c r="D1139" s="669" t="n"/>
      <c r="E1139" s="669" t="n"/>
      <c r="F1139" s="669" t="n"/>
      <c r="G1139" s="669" t="n"/>
      <c r="H1139" s="669" t="n"/>
      <c r="I1139" s="669" t="n"/>
      <c r="J1139" s="669" t="n"/>
      <c r="K1139" s="669" t="n"/>
      <c r="L1139" s="669" t="n"/>
      <c r="M1139" s="669" t="n"/>
      <c r="N1139" s="669" t="n"/>
      <c r="O1139" s="669" t="n"/>
      <c r="P1139" s="669" t="n"/>
      <c r="Q1139" s="669" t="n"/>
      <c r="R1139" s="669" t="n"/>
      <c r="S1139" s="669" t="n"/>
      <c r="T1139" s="669" t="n"/>
      <c r="U1139" s="669" t="n"/>
    </row>
    <row r="1140" ht="15.75" customHeight="1" s="1128">
      <c r="A1140" s="669" t="n"/>
      <c r="B1140" s="669" t="n"/>
      <c r="C1140" s="669" t="n"/>
      <c r="D1140" s="669" t="n"/>
      <c r="E1140" s="669" t="n"/>
      <c r="F1140" s="669" t="n"/>
      <c r="G1140" s="669" t="n"/>
      <c r="H1140" s="669" t="n"/>
      <c r="I1140" s="669" t="n"/>
      <c r="J1140" s="669" t="n"/>
      <c r="K1140" s="669" t="n"/>
      <c r="L1140" s="669" t="n"/>
      <c r="M1140" s="669" t="n"/>
      <c r="N1140" s="669" t="n"/>
      <c r="O1140" s="669" t="n"/>
      <c r="P1140" s="669" t="n"/>
      <c r="Q1140" s="669" t="n"/>
      <c r="R1140" s="669" t="n"/>
      <c r="S1140" s="669" t="n"/>
      <c r="T1140" s="669" t="n"/>
      <c r="U1140" s="669" t="n"/>
    </row>
    <row r="1141" ht="15.75" customHeight="1" s="1128">
      <c r="A1141" s="669" t="n"/>
      <c r="B1141" s="669" t="n"/>
      <c r="C1141" s="669" t="n"/>
      <c r="D1141" s="669" t="n"/>
      <c r="E1141" s="669" t="n"/>
      <c r="F1141" s="669" t="n"/>
      <c r="G1141" s="669" t="n"/>
      <c r="H1141" s="669" t="n"/>
      <c r="I1141" s="669" t="n"/>
      <c r="J1141" s="669" t="n"/>
      <c r="K1141" s="669" t="n"/>
      <c r="L1141" s="669" t="n"/>
      <c r="M1141" s="669" t="n"/>
      <c r="N1141" s="669" t="n"/>
      <c r="O1141" s="669" t="n"/>
      <c r="P1141" s="669" t="n"/>
      <c r="Q1141" s="669" t="n"/>
      <c r="R1141" s="669" t="n"/>
      <c r="S1141" s="669" t="n"/>
      <c r="T1141" s="669" t="n"/>
      <c r="U1141" s="669" t="n"/>
    </row>
    <row r="1142" ht="15.75" customHeight="1" s="1128">
      <c r="A1142" s="669" t="n"/>
      <c r="B1142" s="669" t="n"/>
      <c r="C1142" s="669" t="n"/>
      <c r="D1142" s="669" t="n"/>
      <c r="E1142" s="669" t="n"/>
      <c r="F1142" s="669" t="n"/>
      <c r="G1142" s="669" t="n"/>
      <c r="H1142" s="669" t="n"/>
      <c r="I1142" s="669" t="n"/>
      <c r="J1142" s="669" t="n"/>
      <c r="K1142" s="669" t="n"/>
      <c r="L1142" s="669" t="n"/>
      <c r="M1142" s="669" t="n"/>
      <c r="N1142" s="669" t="n"/>
      <c r="O1142" s="669" t="n"/>
      <c r="P1142" s="669" t="n"/>
      <c r="Q1142" s="669" t="n"/>
      <c r="R1142" s="669" t="n"/>
      <c r="S1142" s="669" t="n"/>
      <c r="T1142" s="669" t="n"/>
      <c r="U1142" s="669" t="n"/>
    </row>
    <row r="1143" ht="15.75" customHeight="1" s="1128">
      <c r="A1143" s="669" t="n"/>
      <c r="B1143" s="669" t="n"/>
      <c r="C1143" s="669" t="n"/>
      <c r="D1143" s="669" t="n"/>
      <c r="E1143" s="669" t="n"/>
      <c r="F1143" s="669" t="n"/>
      <c r="G1143" s="669" t="n"/>
      <c r="H1143" s="669" t="n"/>
      <c r="I1143" s="669" t="n"/>
      <c r="J1143" s="669" t="n"/>
      <c r="K1143" s="669" t="n"/>
      <c r="L1143" s="669" t="n"/>
      <c r="M1143" s="669" t="n"/>
      <c r="N1143" s="669" t="n"/>
      <c r="O1143" s="669" t="n"/>
      <c r="P1143" s="669" t="n"/>
      <c r="Q1143" s="669" t="n"/>
      <c r="R1143" s="669" t="n"/>
      <c r="S1143" s="669" t="n"/>
      <c r="T1143" s="669" t="n"/>
      <c r="U1143" s="669" t="n"/>
    </row>
    <row r="1144" ht="15.75" customHeight="1" s="1128">
      <c r="A1144" s="669" t="n"/>
      <c r="B1144" s="669" t="n"/>
      <c r="C1144" s="669" t="n"/>
      <c r="D1144" s="669" t="n"/>
      <c r="E1144" s="669" t="n"/>
      <c r="F1144" s="669" t="n"/>
      <c r="G1144" s="669" t="n"/>
      <c r="H1144" s="669" t="n"/>
      <c r="I1144" s="669" t="n"/>
      <c r="J1144" s="669" t="n"/>
      <c r="K1144" s="669" t="n"/>
      <c r="L1144" s="669" t="n"/>
      <c r="M1144" s="669" t="n"/>
      <c r="N1144" s="669" t="n"/>
      <c r="O1144" s="669" t="n"/>
      <c r="P1144" s="669" t="n"/>
      <c r="Q1144" s="669" t="n"/>
      <c r="R1144" s="669" t="n"/>
      <c r="S1144" s="669" t="n"/>
      <c r="T1144" s="669" t="n"/>
      <c r="U1144" s="669" t="n"/>
    </row>
    <row r="1145" ht="15.75" customHeight="1" s="1128">
      <c r="A1145" s="669" t="n"/>
      <c r="B1145" s="669" t="n"/>
      <c r="C1145" s="669" t="n"/>
      <c r="D1145" s="669" t="n"/>
      <c r="E1145" s="669" t="n"/>
      <c r="F1145" s="669" t="n"/>
      <c r="G1145" s="669" t="n"/>
      <c r="H1145" s="669" t="n"/>
      <c r="I1145" s="669" t="n"/>
      <c r="J1145" s="669" t="n"/>
      <c r="K1145" s="669" t="n"/>
      <c r="L1145" s="669" t="n"/>
      <c r="M1145" s="669" t="n"/>
      <c r="N1145" s="669" t="n"/>
      <c r="O1145" s="669" t="n"/>
      <c r="P1145" s="669" t="n"/>
      <c r="Q1145" s="669" t="n"/>
      <c r="R1145" s="669" t="n"/>
      <c r="S1145" s="669" t="n"/>
      <c r="T1145" s="669" t="n"/>
      <c r="U1145" s="669" t="n"/>
    </row>
    <row r="1146" ht="15.75" customHeight="1" s="1128">
      <c r="A1146" s="669" t="n"/>
      <c r="B1146" s="669" t="n"/>
      <c r="C1146" s="669" t="n"/>
      <c r="D1146" s="669" t="n"/>
      <c r="E1146" s="669" t="n"/>
      <c r="F1146" s="669" t="n"/>
      <c r="G1146" s="669" t="n"/>
      <c r="H1146" s="669" t="n"/>
      <c r="I1146" s="669" t="n"/>
      <c r="J1146" s="669" t="n"/>
      <c r="K1146" s="669" t="n"/>
      <c r="L1146" s="669" t="n"/>
      <c r="M1146" s="669" t="n"/>
      <c r="N1146" s="669" t="n"/>
      <c r="O1146" s="669" t="n"/>
      <c r="P1146" s="669" t="n"/>
      <c r="Q1146" s="669" t="n"/>
      <c r="R1146" s="669" t="n"/>
      <c r="S1146" s="669" t="n"/>
      <c r="T1146" s="669" t="n"/>
      <c r="U1146" s="669" t="n"/>
    </row>
    <row r="1147" ht="15.75" customHeight="1" s="1128">
      <c r="A1147" s="669" t="n"/>
      <c r="B1147" s="669" t="n"/>
      <c r="C1147" s="669" t="n"/>
      <c r="D1147" s="669" t="n"/>
      <c r="E1147" s="669" t="n"/>
      <c r="F1147" s="669" t="n"/>
      <c r="G1147" s="669" t="n"/>
      <c r="H1147" s="669" t="n"/>
      <c r="I1147" s="669" t="n"/>
      <c r="J1147" s="669" t="n"/>
      <c r="K1147" s="669" t="n"/>
      <c r="L1147" s="669" t="n"/>
      <c r="M1147" s="669" t="n"/>
      <c r="N1147" s="669" t="n"/>
      <c r="O1147" s="669" t="n"/>
      <c r="P1147" s="669" t="n"/>
      <c r="Q1147" s="669" t="n"/>
      <c r="R1147" s="669" t="n"/>
      <c r="S1147" s="669" t="n"/>
      <c r="T1147" s="669" t="n"/>
      <c r="U1147" s="669" t="n"/>
    </row>
    <row r="1148" ht="15.75" customHeight="1" s="1128">
      <c r="A1148" s="669" t="n"/>
      <c r="B1148" s="669" t="n"/>
      <c r="C1148" s="669" t="n"/>
      <c r="D1148" s="669" t="n"/>
      <c r="E1148" s="669" t="n"/>
      <c r="F1148" s="669" t="n"/>
      <c r="G1148" s="669" t="n"/>
      <c r="H1148" s="669" t="n"/>
      <c r="I1148" s="669" t="n"/>
      <c r="J1148" s="669" t="n"/>
      <c r="K1148" s="669" t="n"/>
      <c r="L1148" s="669" t="n"/>
      <c r="M1148" s="669" t="n"/>
      <c r="N1148" s="669" t="n"/>
      <c r="O1148" s="669" t="n"/>
      <c r="P1148" s="669" t="n"/>
      <c r="Q1148" s="669" t="n"/>
      <c r="R1148" s="669" t="n"/>
      <c r="S1148" s="669" t="n"/>
      <c r="T1148" s="669" t="n"/>
      <c r="U1148" s="669" t="n"/>
    </row>
    <row r="1149" ht="15.75" customHeight="1" s="1128">
      <c r="A1149" s="669" t="n"/>
      <c r="B1149" s="669" t="n"/>
      <c r="C1149" s="669" t="n"/>
      <c r="D1149" s="669" t="n"/>
      <c r="E1149" s="669" t="n"/>
      <c r="F1149" s="669" t="n"/>
      <c r="G1149" s="669" t="n"/>
      <c r="H1149" s="669" t="n"/>
      <c r="I1149" s="669" t="n"/>
      <c r="J1149" s="669" t="n"/>
      <c r="K1149" s="669" t="n"/>
      <c r="L1149" s="669" t="n"/>
      <c r="M1149" s="669" t="n"/>
      <c r="N1149" s="669" t="n"/>
      <c r="O1149" s="669" t="n"/>
      <c r="P1149" s="669" t="n"/>
      <c r="Q1149" s="669" t="n"/>
      <c r="R1149" s="669" t="n"/>
      <c r="S1149" s="669" t="n"/>
      <c r="T1149" s="669" t="n"/>
      <c r="U1149" s="669" t="n"/>
    </row>
    <row r="1150" ht="15.75" customHeight="1" s="1128">
      <c r="A1150" s="669" t="n"/>
      <c r="B1150" s="669" t="n"/>
      <c r="C1150" s="669" t="n"/>
      <c r="D1150" s="669" t="n"/>
      <c r="E1150" s="669" t="n"/>
      <c r="F1150" s="669" t="n"/>
      <c r="G1150" s="669" t="n"/>
      <c r="H1150" s="669" t="n"/>
      <c r="I1150" s="669" t="n"/>
      <c r="J1150" s="669" t="n"/>
      <c r="K1150" s="669" t="n"/>
      <c r="L1150" s="669" t="n"/>
      <c r="M1150" s="669" t="n"/>
      <c r="N1150" s="669" t="n"/>
      <c r="O1150" s="669" t="n"/>
      <c r="P1150" s="669" t="n"/>
      <c r="Q1150" s="669" t="n"/>
      <c r="R1150" s="669" t="n"/>
      <c r="S1150" s="669" t="n"/>
      <c r="T1150" s="669" t="n"/>
      <c r="U1150" s="669" t="n"/>
    </row>
    <row r="1151" ht="15.75" customHeight="1" s="1128">
      <c r="A1151" s="669" t="n"/>
      <c r="B1151" s="669" t="n"/>
      <c r="C1151" s="669" t="n"/>
      <c r="D1151" s="669" t="n"/>
      <c r="E1151" s="669" t="n"/>
      <c r="F1151" s="669" t="n"/>
      <c r="G1151" s="669" t="n"/>
      <c r="H1151" s="669" t="n"/>
      <c r="I1151" s="669" t="n"/>
      <c r="J1151" s="669" t="n"/>
      <c r="K1151" s="669" t="n"/>
      <c r="L1151" s="669" t="n"/>
      <c r="M1151" s="669" t="n"/>
      <c r="N1151" s="669" t="n"/>
      <c r="O1151" s="669" t="n"/>
      <c r="P1151" s="669" t="n"/>
      <c r="Q1151" s="669" t="n"/>
      <c r="R1151" s="669" t="n"/>
      <c r="S1151" s="669" t="n"/>
      <c r="T1151" s="669" t="n"/>
      <c r="U1151" s="669" t="n"/>
    </row>
    <row r="1152" ht="15.75" customHeight="1" s="1128">
      <c r="A1152" s="669" t="n"/>
      <c r="B1152" s="669" t="n"/>
      <c r="C1152" s="669" t="n"/>
      <c r="D1152" s="669" t="n"/>
      <c r="E1152" s="669" t="n"/>
      <c r="F1152" s="669" t="n"/>
      <c r="G1152" s="669" t="n"/>
      <c r="H1152" s="669" t="n"/>
      <c r="I1152" s="669" t="n"/>
      <c r="J1152" s="669" t="n"/>
      <c r="K1152" s="669" t="n"/>
      <c r="L1152" s="669" t="n"/>
      <c r="M1152" s="669" t="n"/>
      <c r="N1152" s="669" t="n"/>
      <c r="O1152" s="669" t="n"/>
      <c r="P1152" s="669" t="n"/>
      <c r="Q1152" s="669" t="n"/>
      <c r="R1152" s="669" t="n"/>
      <c r="S1152" s="669" t="n"/>
      <c r="T1152" s="669" t="n"/>
      <c r="U1152" s="669" t="n"/>
    </row>
    <row r="1153" ht="15.75" customHeight="1" s="1128">
      <c r="A1153" s="669" t="n"/>
      <c r="B1153" s="669" t="n"/>
      <c r="C1153" s="669" t="n"/>
      <c r="D1153" s="669" t="n"/>
      <c r="E1153" s="669" t="n"/>
      <c r="F1153" s="669" t="n"/>
      <c r="G1153" s="669" t="n"/>
      <c r="H1153" s="669" t="n"/>
      <c r="I1153" s="669" t="n"/>
      <c r="J1153" s="669" t="n"/>
      <c r="K1153" s="669" t="n"/>
      <c r="L1153" s="669" t="n"/>
      <c r="M1153" s="669" t="n"/>
      <c r="N1153" s="669" t="n"/>
      <c r="O1153" s="669" t="n"/>
      <c r="P1153" s="669" t="n"/>
      <c r="Q1153" s="669" t="n"/>
      <c r="R1153" s="669" t="n"/>
      <c r="S1153" s="669" t="n"/>
      <c r="T1153" s="669" t="n"/>
      <c r="U1153" s="669" t="n"/>
    </row>
    <row r="1154" ht="15.75" customHeight="1" s="1128">
      <c r="A1154" s="669" t="n"/>
      <c r="B1154" s="669" t="n"/>
      <c r="C1154" s="669" t="n"/>
      <c r="D1154" s="669" t="n"/>
      <c r="E1154" s="669" t="n"/>
      <c r="F1154" s="669" t="n"/>
      <c r="G1154" s="669" t="n"/>
      <c r="H1154" s="669" t="n"/>
      <c r="I1154" s="669" t="n"/>
      <c r="J1154" s="669" t="n"/>
      <c r="K1154" s="669" t="n"/>
      <c r="L1154" s="669" t="n"/>
      <c r="M1154" s="669" t="n"/>
      <c r="N1154" s="669" t="n"/>
      <c r="O1154" s="669" t="n"/>
      <c r="P1154" s="669" t="n"/>
      <c r="Q1154" s="669" t="n"/>
      <c r="R1154" s="669" t="n"/>
      <c r="S1154" s="669" t="n"/>
      <c r="T1154" s="669" t="n"/>
      <c r="U1154" s="669" t="n"/>
    </row>
    <row r="1155" ht="15.75" customHeight="1" s="1128">
      <c r="A1155" s="669" t="n"/>
      <c r="B1155" s="669" t="n"/>
      <c r="C1155" s="669" t="n"/>
      <c r="D1155" s="669" t="n"/>
      <c r="E1155" s="669" t="n"/>
      <c r="F1155" s="669" t="n"/>
      <c r="G1155" s="669" t="n"/>
      <c r="H1155" s="669" t="n"/>
      <c r="I1155" s="669" t="n"/>
      <c r="J1155" s="669" t="n"/>
      <c r="K1155" s="669" t="n"/>
      <c r="L1155" s="669" t="n"/>
      <c r="M1155" s="669" t="n"/>
      <c r="N1155" s="669" t="n"/>
      <c r="O1155" s="669" t="n"/>
      <c r="P1155" s="669" t="n"/>
      <c r="Q1155" s="669" t="n"/>
      <c r="R1155" s="669" t="n"/>
      <c r="S1155" s="669" t="n"/>
      <c r="T1155" s="669" t="n"/>
      <c r="U1155" s="669" t="n"/>
    </row>
    <row r="1156" ht="15.75" customHeight="1" s="1128">
      <c r="A1156" s="669" t="n"/>
      <c r="B1156" s="669" t="n"/>
      <c r="C1156" s="669" t="n"/>
      <c r="D1156" s="669" t="n"/>
      <c r="E1156" s="669" t="n"/>
      <c r="F1156" s="669" t="n"/>
      <c r="G1156" s="669" t="n"/>
      <c r="H1156" s="669" t="n"/>
      <c r="I1156" s="669" t="n"/>
      <c r="J1156" s="669" t="n"/>
      <c r="K1156" s="669" t="n"/>
      <c r="L1156" s="669" t="n"/>
      <c r="M1156" s="669" t="n"/>
      <c r="N1156" s="669" t="n"/>
      <c r="O1156" s="669" t="n"/>
      <c r="P1156" s="669" t="n"/>
      <c r="Q1156" s="669" t="n"/>
      <c r="R1156" s="669" t="n"/>
      <c r="S1156" s="669" t="n"/>
      <c r="T1156" s="669" t="n"/>
      <c r="U1156" s="669" t="n"/>
    </row>
    <row r="1157" ht="15.75" customHeight="1" s="1128">
      <c r="A1157" s="669" t="n"/>
      <c r="B1157" s="669" t="n"/>
      <c r="C1157" s="669" t="n"/>
      <c r="D1157" s="669" t="n"/>
      <c r="E1157" s="669" t="n"/>
      <c r="F1157" s="669" t="n"/>
      <c r="G1157" s="669" t="n"/>
      <c r="H1157" s="669" t="n"/>
      <c r="I1157" s="669" t="n"/>
      <c r="J1157" s="669" t="n"/>
      <c r="K1157" s="669" t="n"/>
      <c r="L1157" s="669" t="n"/>
      <c r="M1157" s="669" t="n"/>
      <c r="N1157" s="669" t="n"/>
      <c r="O1157" s="669" t="n"/>
      <c r="P1157" s="669" t="n"/>
      <c r="Q1157" s="669" t="n"/>
      <c r="R1157" s="669" t="n"/>
      <c r="S1157" s="669" t="n"/>
      <c r="T1157" s="669" t="n"/>
      <c r="U1157" s="669" t="n"/>
    </row>
    <row r="1158" ht="15.75" customHeight="1" s="1128">
      <c r="A1158" s="669" t="n"/>
      <c r="B1158" s="669" t="n"/>
      <c r="C1158" s="669" t="n"/>
      <c r="D1158" s="669" t="n"/>
      <c r="E1158" s="669" t="n"/>
      <c r="F1158" s="669" t="n"/>
      <c r="G1158" s="669" t="n"/>
      <c r="H1158" s="669" t="n"/>
      <c r="I1158" s="669" t="n"/>
      <c r="J1158" s="669" t="n"/>
      <c r="K1158" s="669" t="n"/>
      <c r="L1158" s="669" t="n"/>
      <c r="M1158" s="669" t="n"/>
      <c r="N1158" s="669" t="n"/>
      <c r="O1158" s="669" t="n"/>
      <c r="P1158" s="669" t="n"/>
      <c r="Q1158" s="669" t="n"/>
      <c r="R1158" s="669" t="n"/>
      <c r="S1158" s="669" t="n"/>
      <c r="T1158" s="669" t="n"/>
      <c r="U1158" s="669" t="n"/>
    </row>
    <row r="1159" ht="15.75" customHeight="1" s="1128">
      <c r="A1159" s="669" t="n"/>
      <c r="B1159" s="669" t="n"/>
      <c r="C1159" s="669" t="n"/>
      <c r="D1159" s="669" t="n"/>
      <c r="E1159" s="669" t="n"/>
      <c r="F1159" s="669" t="n"/>
      <c r="G1159" s="669" t="n"/>
      <c r="H1159" s="669" t="n"/>
      <c r="I1159" s="669" t="n"/>
      <c r="J1159" s="669" t="n"/>
      <c r="K1159" s="669" t="n"/>
      <c r="L1159" s="669" t="n"/>
      <c r="M1159" s="669" t="n"/>
      <c r="N1159" s="669" t="n"/>
      <c r="O1159" s="669" t="n"/>
      <c r="P1159" s="669" t="n"/>
      <c r="Q1159" s="669" t="n"/>
      <c r="R1159" s="669" t="n"/>
      <c r="S1159" s="669" t="n"/>
      <c r="T1159" s="669" t="n"/>
      <c r="U1159" s="669" t="n"/>
    </row>
    <row r="1160" ht="15.75" customHeight="1" s="1128">
      <c r="A1160" s="669" t="n"/>
      <c r="B1160" s="669" t="n"/>
      <c r="C1160" s="669" t="n"/>
      <c r="D1160" s="669" t="n"/>
      <c r="E1160" s="669" t="n"/>
      <c r="F1160" s="669" t="n"/>
      <c r="G1160" s="669" t="n"/>
      <c r="H1160" s="669" t="n"/>
      <c r="I1160" s="669" t="n"/>
      <c r="J1160" s="669" t="n"/>
      <c r="K1160" s="669" t="n"/>
      <c r="L1160" s="669" t="n"/>
      <c r="M1160" s="669" t="n"/>
      <c r="N1160" s="669" t="n"/>
      <c r="O1160" s="669" t="n"/>
      <c r="P1160" s="669" t="n"/>
      <c r="Q1160" s="669" t="n"/>
      <c r="R1160" s="669" t="n"/>
      <c r="S1160" s="669" t="n"/>
      <c r="T1160" s="669" t="n"/>
      <c r="U1160" s="669" t="n"/>
    </row>
    <row r="1161" ht="15.75" customHeight="1" s="1128">
      <c r="A1161" s="669" t="n"/>
      <c r="B1161" s="669" t="n"/>
      <c r="C1161" s="669" t="n"/>
      <c r="D1161" s="669" t="n"/>
      <c r="E1161" s="669" t="n"/>
      <c r="F1161" s="669" t="n"/>
      <c r="G1161" s="669" t="n"/>
      <c r="H1161" s="669" t="n"/>
      <c r="I1161" s="669" t="n"/>
      <c r="J1161" s="669" t="n"/>
      <c r="K1161" s="669" t="n"/>
      <c r="L1161" s="669" t="n"/>
      <c r="M1161" s="669" t="n"/>
      <c r="N1161" s="669" t="n"/>
      <c r="O1161" s="669" t="n"/>
      <c r="P1161" s="669" t="n"/>
      <c r="Q1161" s="669" t="n"/>
      <c r="R1161" s="669" t="n"/>
      <c r="S1161" s="669" t="n"/>
      <c r="T1161" s="669" t="n"/>
      <c r="U1161" s="669" t="n"/>
    </row>
    <row r="1162" ht="15.75" customHeight="1" s="1128">
      <c r="A1162" s="669" t="n"/>
      <c r="B1162" s="669" t="n"/>
      <c r="C1162" s="669" t="n"/>
      <c r="D1162" s="669" t="n"/>
      <c r="E1162" s="669" t="n"/>
      <c r="F1162" s="669" t="n"/>
      <c r="G1162" s="669" t="n"/>
      <c r="H1162" s="669" t="n"/>
      <c r="I1162" s="669" t="n"/>
      <c r="J1162" s="669" t="n"/>
      <c r="K1162" s="669" t="n"/>
      <c r="L1162" s="669" t="n"/>
      <c r="M1162" s="669" t="n"/>
      <c r="N1162" s="669" t="n"/>
      <c r="O1162" s="669" t="n"/>
      <c r="P1162" s="669" t="n"/>
      <c r="Q1162" s="669" t="n"/>
      <c r="R1162" s="669" t="n"/>
      <c r="S1162" s="669" t="n"/>
      <c r="T1162" s="669" t="n"/>
      <c r="U1162" s="669" t="n"/>
    </row>
    <row r="1163" ht="15.75" customHeight="1" s="1128">
      <c r="A1163" s="669" t="n"/>
      <c r="B1163" s="669" t="n"/>
      <c r="C1163" s="669" t="n"/>
      <c r="D1163" s="669" t="n"/>
      <c r="E1163" s="669" t="n"/>
      <c r="F1163" s="669" t="n"/>
      <c r="G1163" s="669" t="n"/>
      <c r="H1163" s="669" t="n"/>
      <c r="I1163" s="669" t="n"/>
      <c r="J1163" s="669" t="n"/>
      <c r="K1163" s="669" t="n"/>
      <c r="L1163" s="669" t="n"/>
      <c r="M1163" s="669" t="n"/>
      <c r="N1163" s="669" t="n"/>
      <c r="O1163" s="669" t="n"/>
      <c r="P1163" s="669" t="n"/>
      <c r="Q1163" s="669" t="n"/>
      <c r="R1163" s="669" t="n"/>
      <c r="S1163" s="669" t="n"/>
      <c r="T1163" s="669" t="n"/>
      <c r="U1163" s="669" t="n"/>
    </row>
    <row r="1164" ht="15.75" customHeight="1" s="1128">
      <c r="A1164" s="669" t="n"/>
      <c r="B1164" s="669" t="n"/>
      <c r="C1164" s="669" t="n"/>
      <c r="D1164" s="669" t="n"/>
      <c r="E1164" s="669" t="n"/>
      <c r="F1164" s="669" t="n"/>
      <c r="G1164" s="669" t="n"/>
      <c r="H1164" s="669" t="n"/>
      <c r="I1164" s="669" t="n"/>
      <c r="J1164" s="669" t="n"/>
      <c r="K1164" s="669" t="n"/>
      <c r="L1164" s="669" t="n"/>
      <c r="M1164" s="669" t="n"/>
      <c r="N1164" s="669" t="n"/>
      <c r="O1164" s="669" t="n"/>
      <c r="P1164" s="669" t="n"/>
      <c r="Q1164" s="669" t="n"/>
      <c r="R1164" s="669" t="n"/>
      <c r="S1164" s="669" t="n"/>
      <c r="T1164" s="669" t="n"/>
      <c r="U1164" s="669" t="n"/>
    </row>
    <row r="1165" ht="15.75" customHeight="1" s="1128">
      <c r="A1165" s="669" t="n"/>
      <c r="B1165" s="669" t="n"/>
      <c r="C1165" s="669" t="n"/>
      <c r="D1165" s="669" t="n"/>
      <c r="E1165" s="669" t="n"/>
      <c r="F1165" s="669" t="n"/>
      <c r="G1165" s="669" t="n"/>
      <c r="H1165" s="669" t="n"/>
      <c r="I1165" s="669" t="n"/>
      <c r="J1165" s="669" t="n"/>
      <c r="K1165" s="669" t="n"/>
      <c r="L1165" s="669" t="n"/>
      <c r="M1165" s="669" t="n"/>
      <c r="N1165" s="669" t="n"/>
      <c r="O1165" s="669" t="n"/>
      <c r="P1165" s="669" t="n"/>
      <c r="Q1165" s="669" t="n"/>
      <c r="R1165" s="669" t="n"/>
      <c r="S1165" s="669" t="n"/>
      <c r="T1165" s="669" t="n"/>
      <c r="U1165" s="669" t="n"/>
    </row>
    <row r="1166" ht="15.75" customHeight="1" s="1128">
      <c r="A1166" s="669" t="n"/>
      <c r="B1166" s="669" t="n"/>
      <c r="C1166" s="669" t="n"/>
      <c r="D1166" s="669" t="n"/>
      <c r="E1166" s="669" t="n"/>
      <c r="F1166" s="669" t="n"/>
      <c r="G1166" s="669" t="n"/>
      <c r="H1166" s="669" t="n"/>
      <c r="I1166" s="669" t="n"/>
      <c r="J1166" s="669" t="n"/>
      <c r="K1166" s="669" t="n"/>
      <c r="L1166" s="669" t="n"/>
      <c r="M1166" s="669" t="n"/>
      <c r="N1166" s="669" t="n"/>
      <c r="O1166" s="669" t="n"/>
      <c r="P1166" s="669" t="n"/>
      <c r="Q1166" s="669" t="n"/>
      <c r="R1166" s="669" t="n"/>
      <c r="S1166" s="669" t="n"/>
      <c r="T1166" s="669" t="n"/>
      <c r="U1166" s="669" t="n"/>
    </row>
  </sheetData>
  <dataValidations count="13">
    <dataValidation sqref="B82:B149" showDropDown="0" showInputMessage="0" showErrorMessage="1" allowBlank="1" type="list">
      <formula1>"Zombie,Demon,Angel,Mutant,Mecha,Dragon,Other"</formula1>
    </dataValidation>
    <dataValidation sqref="C233:C243" showDropDown="0" showInputMessage="0" showErrorMessage="1" allowBlank="1" type="list">
      <formula1>"Zombie,Demon,Angel,Mutant,Mecha,Dragon,Species War,Simulation"</formula1>
    </dataValidation>
    <dataValidation sqref="C248:C252" showDropDown="0" showInputMessage="0" showErrorMessage="1" allowBlank="1" type="list">
      <formula1>"Gamma,Delta"</formula1>
    </dataValidation>
    <dataValidation sqref="E209:E222" showDropDown="0" showInputMessage="0" showErrorMessage="1" allowBlank="1" type="list">
      <formula1>"0,1,2,3,4,5"</formula1>
    </dataValidation>
    <dataValidation sqref="E233:E243" showDropDown="0" showInputMessage="0" showErrorMessage="1" allowBlank="1" type="list">
      <formula1>"0,1,2,3,4,5,6,7,8,9"</formula1>
    </dataValidation>
    <dataValidation sqref="B209:B222 B227:B228" showDropDown="0" showInputMessage="0" showErrorMessage="1" allowBlank="1" type="list">
      <formula1>"1,2,3,4,5"</formula1>
    </dataValidation>
    <dataValidation sqref="B7:B75 B259 B262 B265:B266 B269:B273 B275:B276 B278:B279 B281:B284 B287:B290 B293:B297 B299:B304 B306:B311 B313:B318 B320:B322 B324:B325 B327:B328 B330:B331 B333:B334 B336:B337 B339:B340 B342:B343 B345:B346 B348:B349 B351:B352 B354:B355 B357:B358 B360:B361 B363:B365 B367:B369 B371:B373 B375:B378 B380:B383 B385:B388 B390:B393 B395:B398 B400:B403 B405:B408 B410:B415 B417:B422 B424:B429 B431:B436 B438:B443 B445:B450 B452:B457" showDropDown="0" showInputMessage="0" showErrorMessage="1" allowBlank="1" type="list">
      <formula1>"SSS,SS,S,AAA,AA,A,Blue,Green"</formula1>
    </dataValidation>
    <dataValidation sqref="B248:B252" showDropDown="0" showInputMessage="0" showErrorMessage="1" allowBlank="1" type="list">
      <formula1>"Purple,Orange"</formula1>
    </dataValidation>
    <dataValidation sqref="B233:B243" showDropDown="0" showInputMessage="0" showErrorMessage="1" allowBlank="1" type="list">
      <formula1>"Orange,Red"</formula1>
    </dataValidation>
    <dataValidation sqref="C209:C222 C227:C228" showDropDown="0" showInputMessage="0" showErrorMessage="1" allowBlank="1" type="list">
      <formula1>"Dung Beetle,Surf Clam,Goldfish,Hamster,Mantis,Dragon,Maneater,Main Species"</formula1>
    </dataValidation>
    <dataValidation sqref="B258 B261 B264 B268 B286 B292" showDropDown="0" showInputMessage="0" showErrorMessage="1" allowBlank="1" type="list">
      <formula1>"SSS,SS,S,AAA,AA,A,Blue,Green"</formula1>
    </dataValidation>
    <dataValidation sqref="C7:C75 C258:C259 C261:C262 C264:C266 C268:C273 C275:C276 C278:C279 C281:C284 C286:C290 C292:C297 C299:C304 C306:C311 C313:C318 C320:C322 C324:C325 C327:C328 C330:C331 C333:C334 C336:C337 C339:C340 C342:C343 C345:C346 C348:C349 C351:C352 C354:C355 C357:C358 C360:C361 C363:C365 C367:C369 C371:C373 C375:C378 C380:C383 C385:C388 C390:C393 C395:C398 C400:C403 C405:C408 C410:C415 C417:C422 C424:C429 C431:C436 C438:C443 C445:C450 C452:C456" showDropDown="0" showInputMessage="0" showErrorMessage="1" allowBlank="1" type="list">
      <formula1>"FAME,ART,FTH,CIV,TECH"</formula1>
    </dataValidation>
    <dataValidation sqref="C82:C149" showDropDown="0" showInputMessage="0" showErrorMessage="1" allowBlank="1" type="list">
      <formula1>"Dung Beetle,Surf Clam,Goldfish,Hamster,Mantis,Other"</formula1>
    </dataValidation>
  </dataValidations>
  <pageMargins left="0.7" right="0.7" top="0.75" bottom="0.75" header="0" footer="0"/>
  <pageSetup orientation="landscape"/>
  <tableParts count="1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20.64" customWidth="1" style="1128" min="1" max="1"/>
    <col width="8.09" customWidth="1" style="1128" min="2" max="2"/>
    <col width="7.82" customWidth="1" style="1128" min="3" max="3"/>
    <col width="8.09" customWidth="1" style="1128" min="4" max="4"/>
    <col width="11.73" customWidth="1" style="1128" min="5" max="5"/>
    <col width="6.09" customWidth="1" style="1128" min="6" max="6"/>
    <col width="9.73" customWidth="1" style="1128" min="7" max="7"/>
    <col width="10.91" customWidth="1" style="1128" min="8" max="8"/>
    <col width="13.45" customWidth="1" style="1128" min="9" max="9"/>
    <col width="8.82" customWidth="1" style="1128" min="10" max="10"/>
    <col width="103.27" customWidth="1" style="1128" min="11" max="11"/>
    <col width="8.640000000000001" customWidth="1" style="1128" min="12" max="26"/>
  </cols>
  <sheetData>
    <row r="1" ht="15.75" customHeight="1" s="1128">
      <c r="A1" s="413" t="inlineStr">
        <is>
          <t>Name</t>
        </is>
      </c>
      <c r="B1" s="431" t="inlineStr">
        <is>
          <t>Rarity</t>
        </is>
      </c>
      <c r="C1" s="431" t="inlineStr">
        <is>
          <t>Type</t>
        </is>
      </c>
      <c r="D1" s="431" t="inlineStr">
        <is>
          <t>Base Output</t>
        </is>
      </c>
      <c r="E1" s="431" t="inlineStr">
        <is>
          <t>Awakening Output</t>
        </is>
      </c>
      <c r="F1" s="431" t="inlineStr">
        <is>
          <t>Base Cap</t>
        </is>
      </c>
      <c r="G1" s="431" t="inlineStr">
        <is>
          <t>Awakening Cap</t>
        </is>
      </c>
      <c r="H1" s="431" t="inlineStr">
        <is>
          <t>W-tad Generation</t>
        </is>
      </c>
      <c r="I1" s="431" t="inlineStr">
        <is>
          <t>Awakening W-tad Gen</t>
        </is>
      </c>
      <c r="J1" s="431" t="inlineStr">
        <is>
          <t>AFFECT Boost</t>
        </is>
      </c>
      <c r="K1" s="397" t="inlineStr">
        <is>
          <t>Source</t>
        </is>
      </c>
    </row>
    <row r="2" ht="15.75" customHeight="1" s="1128">
      <c r="A2" s="398" t="inlineStr">
        <is>
          <t>INDIVIDUAL RELICS</t>
        </is>
      </c>
      <c r="B2" s="432" t="n"/>
      <c r="C2" s="432" t="n"/>
      <c r="D2" s="432" t="n"/>
      <c r="E2" s="432" t="n"/>
      <c r="F2" s="432" t="n"/>
      <c r="G2" s="432" t="n"/>
      <c r="H2" s="432" t="n"/>
      <c r="I2" s="432" t="n"/>
      <c r="J2" s="432" t="n"/>
      <c r="K2" s="66" t="n"/>
    </row>
    <row r="3" ht="15.75" customHeight="1" s="1128">
      <c r="A3" s="401" t="inlineStr">
        <is>
          <t xml:space="preserve">   Faust</t>
        </is>
      </c>
      <c r="B3" s="425" t="inlineStr">
        <is>
          <t>SSS</t>
        </is>
      </c>
      <c r="C3" s="425" t="inlineStr">
        <is>
          <t>CIV</t>
        </is>
      </c>
      <c r="D3" s="432" t="n">
        <v>24</v>
      </c>
      <c r="E3" s="432" t="n">
        <v>20</v>
      </c>
      <c r="F3" s="432" t="n"/>
      <c r="G3" s="432" t="n"/>
      <c r="H3" s="432" t="n">
        <v>24</v>
      </c>
      <c r="I3" s="432" t="n"/>
      <c r="J3" s="432" t="n"/>
      <c r="K3" s="66" t="inlineStr">
        <is>
          <t>Wish Box, Lottery Machine #1 0.09%), Wishing (0.08%), Grandmaster Scrolls (0.81%), Relic Forge (120 Relic RF)</t>
        </is>
      </c>
    </row>
    <row r="4" ht="15.75" customHeight="1" s="1128">
      <c r="A4" s="401" t="inlineStr">
        <is>
          <t xml:space="preserve">   Golden Wheat</t>
        </is>
      </c>
      <c r="B4" s="425" t="inlineStr">
        <is>
          <t>SSS</t>
        </is>
      </c>
      <c r="C4" s="432" t="inlineStr">
        <is>
          <t>ART</t>
        </is>
      </c>
      <c r="D4" s="432" t="n">
        <v>24</v>
      </c>
      <c r="E4" s="432" t="n">
        <v>20</v>
      </c>
      <c r="F4" s="432" t="n"/>
      <c r="G4" s="432" t="n"/>
      <c r="H4" s="432" t="n"/>
      <c r="I4" s="432" t="n"/>
      <c r="J4" s="432" t="n"/>
      <c r="K4" s="66" t="inlineStr">
        <is>
          <t>Wish Pack, Lottery Machine #1 (0.09%), Wishing (0.08%), Yamato Treasure Maps (0.01%), Grandmaster Scrolls (0.81%), Relic Forge (120 Relic RF)</t>
        </is>
      </c>
    </row>
    <row r="5" ht="15.75" customHeight="1" s="1128">
      <c r="A5" s="401" t="inlineStr">
        <is>
          <t xml:space="preserve">   King Dangun Statue</t>
        </is>
      </c>
      <c r="B5" s="425" t="inlineStr">
        <is>
          <t>S</t>
        </is>
      </c>
      <c r="C5" s="432" t="inlineStr">
        <is>
          <t>FTH</t>
        </is>
      </c>
      <c r="D5" s="432" t="n">
        <v>20</v>
      </c>
      <c r="E5" s="432" t="n">
        <v>20</v>
      </c>
      <c r="F5" s="432" t="n"/>
      <c r="G5" s="432" t="n"/>
      <c r="H5" s="432" t="n"/>
      <c r="I5" s="432" t="n"/>
      <c r="J5" s="432" t="n"/>
      <c r="K5" s="66" t="inlineStr">
        <is>
          <t>Fragment Crafting (15.1%), Lottery Machine #1 (0.81%), Wishing (0.81%), Koryeo Treasure Map (5%), Relic Forge (90 Relic RF), Museum Value Pack I ($14.99)</t>
        </is>
      </c>
    </row>
    <row r="6" ht="15.75" customHeight="1" s="1128">
      <c r="A6" s="401" t="inlineStr">
        <is>
          <t xml:space="preserve">   Sunflowers</t>
        </is>
      </c>
      <c r="B6" s="425" t="inlineStr">
        <is>
          <t>SS</t>
        </is>
      </c>
      <c r="C6" s="425" t="inlineStr">
        <is>
          <t>ART</t>
        </is>
      </c>
      <c r="D6" s="432" t="n">
        <v>22</v>
      </c>
      <c r="E6" s="432" t="n"/>
      <c r="F6" s="432" t="n"/>
      <c r="G6" s="432" t="n"/>
      <c r="H6" s="432" t="n"/>
      <c r="I6" s="432" t="n"/>
      <c r="J6" s="432" t="n"/>
      <c r="K6" s="66" t="inlineStr">
        <is>
          <t>Lottery Machine #1 (0.12%), Wishing (0.1%), Fungus Chest (1%), Grandmaster Scrolls (1%), Relic Forge (100 Relic RF)</t>
        </is>
      </c>
    </row>
    <row r="7" ht="15.75" customHeight="1" s="1128">
      <c r="A7" s="398" t="inlineStr">
        <is>
          <t xml:space="preserve">   The Song of Roland</t>
        </is>
      </c>
      <c r="B7" s="425" t="inlineStr">
        <is>
          <t>SS</t>
        </is>
      </c>
      <c r="C7" s="432" t="inlineStr">
        <is>
          <t>CIV</t>
        </is>
      </c>
      <c r="D7" s="432" t="n"/>
      <c r="E7" s="432" t="n"/>
      <c r="F7" s="432" t="n">
        <v>22</v>
      </c>
      <c r="G7" s="432" t="n">
        <v>20</v>
      </c>
      <c r="H7" s="432" t="n"/>
      <c r="I7" s="432" t="n"/>
      <c r="J7" s="432" t="n"/>
      <c r="K7" s="66" t="inlineStr">
        <is>
          <t>Fragment Crafting (5.5%), Lottery Machine #1 (0.24%), Wishing (0.2%), Master Scroll (1.9%), Grandmaster Scroll (2.1%), CIV Master Scroll (10.2%)</t>
        </is>
      </c>
    </row>
    <row r="8" ht="15.75" customHeight="1" s="1128">
      <c r="A8" s="401" t="inlineStr">
        <is>
          <t xml:space="preserve">   Haulers on Volga</t>
        </is>
      </c>
      <c r="B8" s="425" t="inlineStr">
        <is>
          <t>AAA</t>
        </is>
      </c>
      <c r="C8" s="425" t="inlineStr">
        <is>
          <t>ART</t>
        </is>
      </c>
      <c r="D8" s="432" t="n"/>
      <c r="E8" s="432" t="n"/>
      <c r="F8" s="432" t="n"/>
      <c r="G8" s="432" t="n"/>
      <c r="H8" s="432" t="n">
        <v>18</v>
      </c>
      <c r="I8" s="432" t="n">
        <v>14</v>
      </c>
      <c r="J8" s="432" t="n"/>
      <c r="K8" s="66" t="inlineStr">
        <is>
          <t>Fragment Crafting (1.6%), Lottery Machine #1 (0.03%), Wishing (0.14%), Relic Forge (Relic RF 80), Indigent Nobleman (120K B-tads)</t>
        </is>
      </c>
    </row>
    <row r="9" ht="15.75" customHeight="1" s="1128">
      <c r="A9" s="401" t="inlineStr">
        <is>
          <t xml:space="preserve">   Crystal Piano</t>
        </is>
      </c>
      <c r="B9" s="425" t="inlineStr">
        <is>
          <t>AAA</t>
        </is>
      </c>
      <c r="C9" s="432" t="inlineStr">
        <is>
          <t>CIV</t>
        </is>
      </c>
      <c r="D9" s="432" t="n">
        <v>18</v>
      </c>
      <c r="E9" s="432" t="n">
        <v>14</v>
      </c>
      <c r="F9" s="432" t="n">
        <v>18</v>
      </c>
      <c r="G9" s="432" t="n"/>
      <c r="H9" s="432" t="n"/>
      <c r="I9" s="432" t="n"/>
      <c r="J9" s="432" t="n"/>
      <c r="K9" s="66" t="inlineStr">
        <is>
          <t>Fragment Crafting (1.5%), Lottery Machine #1 (0.03%), Wishing (0.14%), Relic Forge (80 Relic RF), Indigent Nobleman (120K B-tads)</t>
        </is>
      </c>
    </row>
    <row r="10" ht="15.75" customHeight="1" s="1128">
      <c r="A10" s="401" t="inlineStr">
        <is>
          <t xml:space="preserve">   Peacock Throne</t>
        </is>
      </c>
      <c r="B10" s="425" t="inlineStr">
        <is>
          <t>AAA</t>
        </is>
      </c>
      <c r="C10" s="425" t="inlineStr">
        <is>
          <t>ART</t>
        </is>
      </c>
      <c r="D10" s="432" t="n">
        <v>5</v>
      </c>
      <c r="E10" s="432" t="n">
        <v>5</v>
      </c>
      <c r="F10" s="432" t="n"/>
      <c r="G10" s="432" t="n"/>
      <c r="H10" s="432" t="n"/>
      <c r="I10" s="432" t="n"/>
      <c r="J10" s="432" t="n"/>
      <c r="K10" s="404" t="inlineStr">
        <is>
          <t>Supreme Relic</t>
        </is>
      </c>
    </row>
    <row r="11" ht="15.75" customHeight="1" s="1128">
      <c r="A11" s="398" t="inlineStr">
        <is>
          <t xml:space="preserve">   Universe Bowl</t>
        </is>
      </c>
      <c r="B11" s="425" t="inlineStr">
        <is>
          <t>Blue</t>
        </is>
      </c>
      <c r="C11" s="425" t="inlineStr">
        <is>
          <t>ART</t>
        </is>
      </c>
      <c r="D11" s="432" t="n"/>
      <c r="E11" s="432" t="n"/>
      <c r="F11" s="432" t="n">
        <v>10</v>
      </c>
      <c r="G11" s="432" t="n">
        <v>10</v>
      </c>
      <c r="H11" s="432" t="n"/>
      <c r="I11" s="432" t="n"/>
      <c r="J11" s="432" t="n"/>
      <c r="K11" s="66" t="inlineStr">
        <is>
          <t>Lottery Machine #1 (0.07%), Wishing (3%), Fungus Chest (2%), Trainee Scrolls (1%)</t>
        </is>
      </c>
    </row>
    <row r="12" ht="15.75" customHeight="1" s="1128">
      <c r="A12" s="401" t="inlineStr">
        <is>
          <t xml:space="preserve">   Rainbow Tadpole</t>
        </is>
      </c>
      <c r="B12" s="425" t="inlineStr">
        <is>
          <t>Green</t>
        </is>
      </c>
      <c r="C12" s="432" t="inlineStr">
        <is>
          <t>FTH</t>
        </is>
      </c>
      <c r="D12" s="432" t="n"/>
      <c r="E12" s="432" t="n"/>
      <c r="F12" s="432" t="n"/>
      <c r="G12" s="432" t="n"/>
      <c r="H12" s="432" t="n">
        <v>6</v>
      </c>
      <c r="I12" s="432" t="n"/>
      <c r="J12" s="432" t="n"/>
      <c r="K12" s="66" t="inlineStr">
        <is>
          <t>Tadpole pond after acquiring alchemy furnace</t>
        </is>
      </c>
    </row>
    <row r="13" ht="15.75" customHeight="1" s="1128">
      <c r="A13" s="401" t="inlineStr">
        <is>
          <t xml:space="preserve">   Gold Fishing Rod</t>
        </is>
      </c>
      <c r="B13" s="425" t="inlineStr">
        <is>
          <t>Green</t>
        </is>
      </c>
      <c r="C13" s="425" t="inlineStr">
        <is>
          <t>FAME</t>
        </is>
      </c>
      <c r="D13" s="432" t="n"/>
      <c r="E13" s="432" t="n"/>
      <c r="F13" s="432" t="n"/>
      <c r="G13" s="432" t="n"/>
      <c r="H13" s="432" t="n">
        <v>6</v>
      </c>
      <c r="I13" s="432" t="n"/>
      <c r="J13" s="432" t="n"/>
      <c r="K13" s="66" t="inlineStr">
        <is>
          <t>Defeat Assassin Eve (Racoon Storyline)</t>
        </is>
      </c>
    </row>
    <row r="14" ht="15.75" customHeight="1" s="1128">
      <c r="A14" s="401" t="inlineStr">
        <is>
          <t xml:space="preserve">   B-Tadpole XL</t>
        </is>
      </c>
      <c r="B14" s="425" t="inlineStr">
        <is>
          <t>Green</t>
        </is>
      </c>
      <c r="C14" s="425" t="inlineStr">
        <is>
          <t>ART</t>
        </is>
      </c>
      <c r="D14" s="432" t="n">
        <v>6</v>
      </c>
      <c r="E14" s="432" t="n"/>
      <c r="F14" s="432" t="n"/>
      <c r="G14" s="432" t="n"/>
      <c r="H14" s="432" t="n"/>
      <c r="I14" s="432" t="n"/>
      <c r="J14" s="432" t="n"/>
      <c r="K14" s="404" t="inlineStr">
        <is>
          <t>Intercept Hitman No.16</t>
        </is>
      </c>
    </row>
    <row r="15" ht="15.75" customHeight="1" s="1128">
      <c r="A15" s="23" t="inlineStr">
        <is>
          <t xml:space="preserve">   Electric Fishing Net</t>
        </is>
      </c>
      <c r="B15" s="425" t="inlineStr">
        <is>
          <t>Green</t>
        </is>
      </c>
      <c r="C15" s="972" t="inlineStr">
        <is>
          <t>TECH</t>
        </is>
      </c>
      <c r="D15" s="972" t="n"/>
      <c r="E15" s="972" t="n"/>
      <c r="F15" s="972" t="n">
        <v>6</v>
      </c>
      <c r="G15" s="972" t="n"/>
      <c r="H15" s="972" t="n"/>
      <c r="I15" s="972" t="n"/>
      <c r="J15" s="972" t="n"/>
      <c r="K15" s="30" t="inlineStr">
        <is>
          <t>Bought from the Salesman</t>
        </is>
      </c>
    </row>
    <row r="16" ht="15.75" customHeight="1" s="1128">
      <c r="A16" s="409" t="inlineStr">
        <is>
          <t>MAX INDIVIDUAL RELICS</t>
        </is>
      </c>
      <c r="B16" s="410" t="n"/>
      <c r="C16" s="410" t="n"/>
      <c r="D16" s="410">
        <f>SUM(D3:E15)</f>
        <v/>
      </c>
      <c r="E16" s="410" t="n"/>
      <c r="F16" s="410">
        <f>SUM(F3:G15)</f>
        <v/>
      </c>
      <c r="G16" s="410" t="n"/>
      <c r="H16" s="410">
        <f>SUM(H3:I15)</f>
        <v/>
      </c>
      <c r="I16" s="410" t="n"/>
      <c r="J16" s="410" t="n"/>
      <c r="K16" s="403" t="n"/>
    </row>
    <row r="17" ht="15.75" customHeight="1" s="1128">
      <c r="A17" s="398" t="n"/>
      <c r="B17" s="432" t="n"/>
      <c r="C17" s="432" t="n"/>
      <c r="D17" s="432" t="n"/>
      <c r="E17" s="432" t="n"/>
      <c r="F17" s="432" t="n"/>
      <c r="G17" s="432" t="n"/>
      <c r="H17" s="432" t="n"/>
      <c r="I17" s="432" t="n"/>
      <c r="J17" s="432" t="n"/>
      <c r="K17" s="404" t="n"/>
    </row>
    <row r="18" ht="15.75" customHeight="1" s="1128">
      <c r="A18" s="413" t="inlineStr">
        <is>
          <t>PARTNER</t>
        </is>
      </c>
      <c r="B18" s="431" t="n"/>
      <c r="C18" s="431" t="n"/>
      <c r="D18" s="431" t="n"/>
      <c r="E18" s="431" t="n"/>
      <c r="F18" s="431" t="n"/>
      <c r="G18" s="431" t="n"/>
      <c r="H18" s="431" t="n"/>
      <c r="I18" s="431" t="n"/>
      <c r="J18" s="431" t="n"/>
      <c r="K18" s="405" t="n"/>
    </row>
    <row r="19" ht="15.75" customHeight="1" s="1128">
      <c r="A19" s="409" t="inlineStr">
        <is>
          <t xml:space="preserve">   Kim Chi-yum</t>
        </is>
      </c>
      <c r="B19" s="410" t="n"/>
      <c r="C19" s="410" t="n"/>
      <c r="D19" s="410" t="n">
        <v>9</v>
      </c>
      <c r="E19" s="410" t="n"/>
      <c r="F19" s="410" t="n"/>
      <c r="G19" s="410" t="n"/>
      <c r="H19" s="410" t="n"/>
      <c r="I19" s="410" t="n"/>
      <c r="J19" s="410" t="n"/>
      <c r="K19" s="403" t="inlineStr">
        <is>
          <t>lv30</t>
        </is>
      </c>
    </row>
    <row r="20" ht="15.75" customHeight="1" s="1128">
      <c r="A20" s="398" t="n"/>
      <c r="B20" s="432" t="n"/>
      <c r="C20" s="432" t="n"/>
      <c r="D20" s="432" t="n"/>
      <c r="E20" s="432" t="n"/>
      <c r="F20" s="432" t="n"/>
      <c r="G20" s="432" t="n"/>
      <c r="H20" s="432" t="n"/>
      <c r="I20" s="432" t="n"/>
      <c r="J20" s="432" t="n"/>
      <c r="K20" s="404" t="n"/>
    </row>
    <row r="21" ht="15.75" customHeight="1" s="1128">
      <c r="A21" s="413" t="inlineStr">
        <is>
          <t>ORGAN</t>
        </is>
      </c>
      <c r="B21" s="431" t="n"/>
      <c r="C21" s="431" t="n"/>
      <c r="D21" s="431" t="n"/>
      <c r="E21" s="431" t="n"/>
      <c r="F21" s="431" t="n"/>
      <c r="G21" s="431" t="n"/>
      <c r="H21" s="431" t="n"/>
      <c r="I21" s="431" t="n"/>
      <c r="J21" s="406" t="n"/>
      <c r="K21" s="407" t="n"/>
    </row>
    <row r="22" ht="15.75" customHeight="1" s="1128">
      <c r="A22" s="398" t="inlineStr">
        <is>
          <t xml:space="preserve">   Warp Horn</t>
        </is>
      </c>
      <c r="B22" s="432" t="n"/>
      <c r="C22" s="432" t="n"/>
      <c r="D22" s="432" t="n">
        <v>10</v>
      </c>
      <c r="E22" s="432" t="n"/>
      <c r="F22" s="432" t="n">
        <v>10</v>
      </c>
      <c r="G22" s="432" t="n"/>
      <c r="H22" s="432" t="n"/>
      <c r="I22" s="432" t="n"/>
      <c r="J22" s="425" t="n"/>
      <c r="K22" s="418" t="inlineStr">
        <is>
          <t>lv20</t>
        </is>
      </c>
    </row>
    <row r="23" ht="15.75" customHeight="1" s="1128">
      <c r="A23" s="409" t="inlineStr">
        <is>
          <t xml:space="preserve">   Alveolus of Gaia</t>
        </is>
      </c>
      <c r="B23" s="410" t="n"/>
      <c r="C23" s="410" t="n"/>
      <c r="D23" s="410" t="n">
        <v>20</v>
      </c>
      <c r="E23" s="410" t="n"/>
      <c r="F23" s="410" t="n">
        <v>20</v>
      </c>
      <c r="G23" s="410" t="n"/>
      <c r="H23" s="410" t="n"/>
      <c r="I23" s="410" t="n"/>
      <c r="J23" s="411" t="n"/>
      <c r="K23" s="426" t="inlineStr">
        <is>
          <t>lv40</t>
        </is>
      </c>
    </row>
    <row r="24" ht="15.75" customHeight="1" s="1128">
      <c r="A24" s="398" t="inlineStr">
        <is>
          <t>MAX ORGAN</t>
        </is>
      </c>
      <c r="B24" s="432" t="n"/>
      <c r="C24" s="432" t="n"/>
      <c r="D24" s="432">
        <f>sum(D22:D23)</f>
        <v/>
      </c>
      <c r="E24" s="432" t="n"/>
      <c r="F24" s="432">
        <f>sum(F22:F23)</f>
        <v/>
      </c>
      <c r="G24" s="432" t="n"/>
      <c r="H24" s="432">
        <f>sum(H22:H23)</f>
        <v/>
      </c>
      <c r="I24" s="432" t="n"/>
      <c r="J24" s="432" t="n"/>
      <c r="K24" s="404" t="n"/>
    </row>
    <row r="25" ht="15.75" customHeight="1" s="1128">
      <c r="A25" s="398" t="n"/>
      <c r="B25" s="432" t="n"/>
      <c r="C25" s="432" t="n"/>
      <c r="D25" s="432" t="n"/>
      <c r="E25" s="432" t="n"/>
      <c r="F25" s="432" t="n"/>
      <c r="G25" s="432" t="n"/>
      <c r="H25" s="432" t="n"/>
      <c r="I25" s="432" t="n"/>
      <c r="J25" s="432" t="n"/>
      <c r="K25" s="404" t="n"/>
    </row>
    <row r="26" ht="15.75" customHeight="1" s="1128">
      <c r="A26" s="344" t="inlineStr">
        <is>
          <t>BUBBLE FRAMES</t>
        </is>
      </c>
      <c r="B26" s="406" t="n"/>
      <c r="C26" s="406" t="n"/>
      <c r="D26" s="406" t="n"/>
      <c r="E26" s="406" t="n"/>
      <c r="F26" s="406" t="n"/>
      <c r="G26" s="406" t="n"/>
      <c r="H26" s="406" t="n"/>
      <c r="I26" s="406" t="n"/>
      <c r="J26" s="406" t="n"/>
      <c r="K26" s="407" t="n"/>
    </row>
    <row r="27" ht="15.75" customHeight="1" s="1128">
      <c r="A27" s="362" t="inlineStr">
        <is>
          <t xml:space="preserve">   Whale Power III</t>
        </is>
      </c>
      <c r="B27" s="411" t="n"/>
      <c r="C27" s="411" t="n"/>
      <c r="D27" s="411" t="n">
        <v>12</v>
      </c>
      <c r="E27" s="411" t="n"/>
      <c r="F27" s="411" t="n"/>
      <c r="G27" s="411" t="n"/>
      <c r="H27" s="411" t="n"/>
      <c r="I27" s="411" t="n"/>
      <c r="J27" s="411" t="n"/>
      <c r="K27" s="426" t="inlineStr">
        <is>
          <t>5M W-tads Spent</t>
        </is>
      </c>
    </row>
    <row r="28" ht="15.75" customHeight="1" s="1128">
      <c r="A28" s="434" t="n"/>
      <c r="B28" s="425" t="n"/>
      <c r="C28" s="425" t="n"/>
      <c r="D28" s="425" t="n"/>
      <c r="E28" s="425" t="n"/>
      <c r="F28" s="425" t="n"/>
      <c r="G28" s="425" t="n"/>
      <c r="H28" s="425" t="n"/>
      <c r="I28" s="425" t="n"/>
      <c r="J28" s="425" t="n"/>
      <c r="K28" s="422" t="n"/>
    </row>
    <row r="29" ht="15.75" customHeight="1" s="1128">
      <c r="A29" s="344" t="inlineStr">
        <is>
          <t>COLLECTORS TALENTS</t>
        </is>
      </c>
      <c r="B29" s="406" t="n"/>
      <c r="C29" s="406" t="n"/>
      <c r="D29" s="406" t="n"/>
      <c r="E29" s="406" t="n"/>
      <c r="F29" s="406" t="n"/>
      <c r="G29" s="406" t="n"/>
      <c r="H29" s="406" t="n"/>
      <c r="I29" s="406" t="n"/>
      <c r="J29" s="406" t="n"/>
      <c r="K29" s="407" t="n"/>
    </row>
    <row r="30" ht="15.75" customHeight="1" s="1128">
      <c r="A30" s="362" t="inlineStr">
        <is>
          <t xml:space="preserve">   Tadpole Raising</t>
        </is>
      </c>
      <c r="B30" s="411" t="n"/>
      <c r="C30" s="411" t="n"/>
      <c r="D30" s="411" t="n">
        <v>25</v>
      </c>
      <c r="E30" s="411" t="n"/>
      <c r="F30" s="411" t="n">
        <v>25</v>
      </c>
      <c r="G30" s="411" t="n"/>
      <c r="H30" s="411" t="n"/>
      <c r="I30" s="411" t="n"/>
      <c r="J30" s="411" t="n"/>
      <c r="K30" s="426" t="inlineStr">
        <is>
          <t>10 Purple Talent Points</t>
        </is>
      </c>
    </row>
    <row r="31" ht="15.75" customHeight="1" s="1128">
      <c r="A31" s="398" t="n"/>
      <c r="B31" s="432" t="n"/>
      <c r="C31" s="432" t="n"/>
      <c r="D31" s="432" t="n"/>
      <c r="E31" s="432" t="n"/>
      <c r="F31" s="432" t="n"/>
      <c r="G31" s="432" t="n"/>
      <c r="H31" s="432" t="n"/>
      <c r="I31" s="432" t="n"/>
      <c r="J31" s="432" t="n"/>
      <c r="K31" s="404" t="n"/>
    </row>
    <row r="32" ht="15.75" customHeight="1" s="1128">
      <c r="A32" s="413" t="inlineStr">
        <is>
          <t>ROBOTS</t>
        </is>
      </c>
      <c r="B32" s="431" t="n"/>
      <c r="C32" s="431" t="n"/>
      <c r="D32" s="431" t="n"/>
      <c r="E32" s="431" t="n"/>
      <c r="F32" s="431" t="n"/>
      <c r="G32" s="431" t="n"/>
      <c r="H32" s="431" t="n"/>
      <c r="I32" s="431" t="n"/>
      <c r="J32" s="431" t="n"/>
      <c r="K32" s="405" t="n"/>
    </row>
    <row r="33" ht="15.75" customHeight="1" s="1128">
      <c r="A33" s="409" t="inlineStr">
        <is>
          <t xml:space="preserve">   Pure White Doc</t>
        </is>
      </c>
      <c r="B33" s="410" t="n"/>
      <c r="C33" s="410" t="n"/>
      <c r="D33" s="410" t="n">
        <v>3</v>
      </c>
      <c r="E33" s="410" t="n"/>
      <c r="F33" s="410" t="n"/>
      <c r="G33" s="410" t="n"/>
      <c r="H33" s="410" t="n"/>
      <c r="I33" s="410" t="n"/>
      <c r="J33" s="410" t="n"/>
      <c r="K33" s="414" t="inlineStr">
        <is>
          <t>Wormhole Refiner (0.03%)</t>
        </is>
      </c>
    </row>
    <row r="34" ht="15.75" customHeight="1" s="1128">
      <c r="A34" s="398" t="n"/>
      <c r="B34" s="432" t="n"/>
      <c r="C34" s="432" t="n"/>
      <c r="D34" s="432" t="n"/>
      <c r="E34" s="432" t="n"/>
      <c r="F34" s="432" t="n"/>
      <c r="G34" s="432" t="n"/>
      <c r="H34" s="432" t="n"/>
      <c r="I34" s="432" t="n"/>
      <c r="J34" s="432" t="n"/>
      <c r="K34" s="404" t="n"/>
    </row>
    <row r="35" ht="15.75" customHeight="1" s="1128">
      <c r="A35" s="413" t="inlineStr">
        <is>
          <t>ROCKET UPGRADES</t>
        </is>
      </c>
      <c r="B35" s="431" t="n"/>
      <c r="C35" s="431" t="n"/>
      <c r="D35" s="431" t="n"/>
      <c r="E35" s="431" t="n"/>
      <c r="F35" s="431" t="n"/>
      <c r="G35" s="431" t="n"/>
      <c r="H35" s="431" t="n"/>
      <c r="I35" s="431" t="n"/>
      <c r="J35" s="431" t="n"/>
      <c r="K35" s="405" t="n"/>
    </row>
    <row r="36" ht="15.75" customHeight="1" s="1128">
      <c r="A36" s="409" t="inlineStr">
        <is>
          <t xml:space="preserve">   Eternal Hall</t>
        </is>
      </c>
      <c r="B36" s="410" t="n"/>
      <c r="C36" s="410" t="n"/>
      <c r="D36" s="410" t="n">
        <v>10</v>
      </c>
      <c r="E36" s="410" t="n"/>
      <c r="F36" s="410" t="n">
        <v>10</v>
      </c>
      <c r="G36" s="410" t="n"/>
      <c r="H36" s="410" t="n"/>
      <c r="I36" s="410" t="n"/>
      <c r="J36" s="410" t="n"/>
      <c r="K36" s="414" t="inlineStr">
        <is>
          <t>Lv5</t>
        </is>
      </c>
    </row>
    <row r="37" ht="15.75" customHeight="1" s="1128">
      <c r="A37" s="398" t="n"/>
      <c r="B37" s="432" t="n"/>
      <c r="C37" s="432" t="n"/>
      <c r="D37" s="432" t="n"/>
      <c r="E37" s="432" t="n"/>
      <c r="F37" s="432" t="n"/>
      <c r="G37" s="432" t="n"/>
      <c r="H37" s="432" t="n"/>
      <c r="I37" s="432" t="n"/>
      <c r="J37" s="432" t="n"/>
      <c r="K37" s="404" t="n"/>
    </row>
    <row r="38" ht="15.75" customHeight="1" s="1128">
      <c r="A38" s="413" t="inlineStr">
        <is>
          <t>AVATARS</t>
        </is>
      </c>
      <c r="B38" s="431" t="n"/>
      <c r="C38" s="431" t="n"/>
      <c r="D38" s="431" t="n"/>
      <c r="E38" s="431" t="n"/>
      <c r="F38" s="431" t="n"/>
      <c r="G38" s="431" t="n"/>
      <c r="H38" s="431" t="n"/>
      <c r="I38" s="431" t="n"/>
      <c r="J38" s="431" t="n"/>
      <c r="K38" s="405" t="n"/>
    </row>
    <row r="39" ht="15.75" customHeight="1" s="1128">
      <c r="A39" s="409" t="inlineStr">
        <is>
          <t xml:space="preserve">   Mirage Avatar I Bonus</t>
        </is>
      </c>
      <c r="B39" s="410" t="n"/>
      <c r="C39" s="410" t="n"/>
      <c r="D39" s="410" t="n">
        <v>20</v>
      </c>
      <c r="E39" s="410" t="n"/>
      <c r="F39" s="410" t="n">
        <v>40</v>
      </c>
      <c r="G39" s="410" t="n"/>
      <c r="H39" s="410" t="n"/>
      <c r="I39" s="410" t="n"/>
      <c r="J39" s="410" t="n"/>
      <c r="K39" s="403" t="n"/>
    </row>
    <row r="40" ht="15.75" customHeight="1" s="1128">
      <c r="A40" s="398" t="n"/>
      <c r="B40" s="432" t="n"/>
      <c r="C40" s="432" t="n"/>
      <c r="D40" s="432" t="n"/>
      <c r="E40" s="432" t="n"/>
      <c r="F40" s="432" t="n"/>
      <c r="G40" s="432" t="n"/>
      <c r="H40" s="432" t="n"/>
      <c r="I40" s="432" t="n"/>
      <c r="J40" s="432" t="n"/>
      <c r="K40" s="404" t="n"/>
    </row>
    <row r="41" ht="15.75" customHeight="1" s="1128">
      <c r="A41" s="413" t="inlineStr">
        <is>
          <t>STAMPS</t>
        </is>
      </c>
      <c r="B41" s="431" t="n"/>
      <c r="C41" s="431" t="n"/>
      <c r="D41" s="431" t="n"/>
      <c r="E41" s="431" t="n"/>
      <c r="F41" s="431" t="n"/>
      <c r="G41" s="431" t="n"/>
      <c r="H41" s="431" t="n"/>
      <c r="I41" s="431" t="n"/>
      <c r="J41" s="431" t="n"/>
      <c r="K41" s="405" t="n"/>
    </row>
    <row r="42" ht="15.75" customHeight="1" s="1128">
      <c r="A42" s="401" t="inlineStr">
        <is>
          <t xml:space="preserve">   Golden Wheat</t>
        </is>
      </c>
      <c r="B42" s="425" t="inlineStr">
        <is>
          <t>SSS</t>
        </is>
      </c>
      <c r="C42" s="425" t="inlineStr">
        <is>
          <t>ART</t>
        </is>
      </c>
      <c r="D42" s="432" t="n">
        <v>30</v>
      </c>
      <c r="E42" s="432" t="n"/>
      <c r="F42" s="432" t="n"/>
      <c r="G42" s="432" t="n"/>
      <c r="H42" s="432" t="n">
        <v>30</v>
      </c>
      <c r="I42" s="432" t="n"/>
      <c r="J42" s="432" t="n">
        <v>15</v>
      </c>
      <c r="K42" s="66" t="inlineStr">
        <is>
          <t>Wish Pack, Lottery Machine #1 (0.09%), Wishing (0.08%), Yamato Treasure Maps (0.01%), Grandmaster Scrolls (0.81%), Relic Forge (120 Relic RF)</t>
        </is>
      </c>
    </row>
    <row r="43" ht="15.75" customHeight="1" s="1128">
      <c r="A43" s="401" t="inlineStr">
        <is>
          <t xml:space="preserve">   Alexander The Great</t>
        </is>
      </c>
      <c r="B43" s="425" t="inlineStr">
        <is>
          <t>SSS</t>
        </is>
      </c>
      <c r="C43" s="425" t="inlineStr">
        <is>
          <t>ART</t>
        </is>
      </c>
      <c r="D43" s="432" t="n">
        <v>30</v>
      </c>
      <c r="E43" s="432" t="n"/>
      <c r="F43" s="432" t="n">
        <v>30</v>
      </c>
      <c r="G43" s="432" t="n"/>
      <c r="H43" s="432" t="n"/>
      <c r="I43" s="432" t="n"/>
      <c r="J43" s="432" t="n">
        <v>15</v>
      </c>
      <c r="K43" s="66" t="inlineStr">
        <is>
          <t>Lucky Stars Event Reward</t>
        </is>
      </c>
    </row>
    <row r="44" ht="15.75" customHeight="1" s="1128">
      <c r="A44" s="401" t="inlineStr">
        <is>
          <t xml:space="preserve">   Swan Lake</t>
        </is>
      </c>
      <c r="B44" s="425" t="inlineStr">
        <is>
          <t>SS</t>
        </is>
      </c>
      <c r="C44" s="425" t="inlineStr">
        <is>
          <t>ART</t>
        </is>
      </c>
      <c r="D44" s="432" t="n">
        <v>30</v>
      </c>
      <c r="E44" s="432" t="n"/>
      <c r="F44" s="432" t="n"/>
      <c r="G44" s="432" t="n"/>
      <c r="H44" s="432" t="n"/>
      <c r="I44" s="432" t="n"/>
      <c r="J44" s="432" t="n">
        <v>15</v>
      </c>
      <c r="K44" s="66" t="inlineStr">
        <is>
          <t>Lottery Machine #1 (0.12%), Wishing (0.1%), Grandmaster Scrolls (1%), Relic Forge (100 Relic RF)</t>
        </is>
      </c>
    </row>
    <row r="45" ht="15.75" customHeight="1" s="1128">
      <c r="A45" s="398" t="inlineStr">
        <is>
          <t xml:space="preserve">   Lotus Chalice</t>
        </is>
      </c>
      <c r="B45" s="425" t="inlineStr">
        <is>
          <t>SSS</t>
        </is>
      </c>
      <c r="C45" s="425" t="inlineStr">
        <is>
          <t>ART</t>
        </is>
      </c>
      <c r="D45" s="432" t="n">
        <v>30</v>
      </c>
      <c r="E45" s="432" t="n"/>
      <c r="F45" s="432" t="n">
        <v>30</v>
      </c>
      <c r="G45" s="432" t="n"/>
      <c r="H45" s="432" t="n">
        <v>30</v>
      </c>
      <c r="I45" s="432" t="n"/>
      <c r="J45" s="432" t="n"/>
      <c r="K45" s="66" t="inlineStr">
        <is>
          <t>Wish Pack, Lottery Machine #1 (0.09%), Wishing (0.08%), Kemetic Treasure Chests (0.01%), Grandmaster Scrolls (0.81%), Relic Forge (120 Relic RF)</t>
        </is>
      </c>
    </row>
    <row r="46" ht="15.75" customHeight="1" s="1128">
      <c r="A46" s="398" t="inlineStr">
        <is>
          <t xml:space="preserve">   Ship in a Bottle</t>
        </is>
      </c>
      <c r="B46" s="425" t="inlineStr">
        <is>
          <t>SS</t>
        </is>
      </c>
      <c r="C46" s="425" t="inlineStr">
        <is>
          <t>ART</t>
        </is>
      </c>
      <c r="D46" s="432" t="n">
        <v>30</v>
      </c>
      <c r="E46" s="432" t="n"/>
      <c r="F46" s="432" t="n"/>
      <c r="G46" s="432" t="n"/>
      <c r="H46" s="432" t="n">
        <v>30</v>
      </c>
      <c r="I46" s="432" t="n"/>
      <c r="J46" s="432" t="n"/>
      <c r="K46" s="66" t="inlineStr">
        <is>
          <t>Fragment Crafting (4%), Lottery Machine #1 (0.18%), Wishing (0.15%), Grandmaster Scrolls (1.6%)</t>
        </is>
      </c>
    </row>
    <row r="47" ht="15.75" customHeight="1" s="1128">
      <c r="A47" s="398" t="inlineStr">
        <is>
          <t xml:space="preserve">   Parthenon Marbles</t>
        </is>
      </c>
      <c r="B47" s="425" t="inlineStr">
        <is>
          <t>SS</t>
        </is>
      </c>
      <c r="C47" s="425" t="inlineStr">
        <is>
          <t>ART</t>
        </is>
      </c>
      <c r="D47" s="432" t="n">
        <v>30</v>
      </c>
      <c r="E47" s="432" t="n"/>
      <c r="F47" s="432" t="n"/>
      <c r="G47" s="432" t="n"/>
      <c r="H47" s="432" t="n"/>
      <c r="I47" s="432" t="n"/>
      <c r="J47" s="432" t="n"/>
      <c r="K47" s="66" t="inlineStr">
        <is>
          <t>Hellas Costume Lottery Reward</t>
        </is>
      </c>
    </row>
    <row r="48" ht="15.75" customHeight="1" s="1128">
      <c r="A48" s="398" t="inlineStr">
        <is>
          <t xml:space="preserve">   Sunflowers</t>
        </is>
      </c>
      <c r="B48" s="425" t="inlineStr">
        <is>
          <t>SS</t>
        </is>
      </c>
      <c r="C48" s="425" t="inlineStr">
        <is>
          <t>ART</t>
        </is>
      </c>
      <c r="D48" s="432" t="n"/>
      <c r="E48" s="432" t="n"/>
      <c r="F48" s="432" t="n"/>
      <c r="G48" s="432" t="n"/>
      <c r="H48" s="432" t="n">
        <v>30</v>
      </c>
      <c r="I48" s="432" t="n"/>
      <c r="J48" s="432" t="n">
        <v>15</v>
      </c>
      <c r="K48" s="66" t="inlineStr">
        <is>
          <t>Lottery Machine #1 (0.12%), Wishing (0.1%), Fungus Chest (1%), Grandmaster Scrolls (1%), Relic Forge (100 Relic RF)</t>
        </is>
      </c>
    </row>
    <row r="49" ht="15.75" customHeight="1" s="1128">
      <c r="A49" s="398" t="inlineStr">
        <is>
          <t xml:space="preserve">   The Last Supper</t>
        </is>
      </c>
      <c r="B49" s="425" t="inlineStr">
        <is>
          <t>S</t>
        </is>
      </c>
      <c r="C49" s="425" t="inlineStr">
        <is>
          <t>ART</t>
        </is>
      </c>
      <c r="D49" s="432" t="n">
        <v>30</v>
      </c>
      <c r="E49" s="432" t="n"/>
      <c r="F49" s="432" t="n"/>
      <c r="G49" s="432" t="n"/>
      <c r="H49" s="432" t="n"/>
      <c r="I49" s="432" t="n"/>
      <c r="J49" s="432" t="n"/>
      <c r="K49" s="66" t="inlineStr">
        <is>
          <t>Fragment Crafting (18.1%), Lottery Machine #1 (0.81%), Wishing (0.68%), Relic Forge (90 Relic RF)</t>
        </is>
      </c>
    </row>
    <row r="50" ht="15.75" customHeight="1" s="1128">
      <c r="A50" s="398" t="inlineStr">
        <is>
          <t xml:space="preserve">   Mona Lisa</t>
        </is>
      </c>
      <c r="B50" s="425" t="inlineStr">
        <is>
          <t>S</t>
        </is>
      </c>
      <c r="C50" s="425" t="inlineStr">
        <is>
          <t>ART</t>
        </is>
      </c>
      <c r="D50" s="432" t="n"/>
      <c r="E50" s="432" t="n"/>
      <c r="F50" s="432" t="n"/>
      <c r="G50" s="432" t="n"/>
      <c r="H50" s="432" t="n"/>
      <c r="I50" s="432" t="n"/>
      <c r="J50" s="432" t="n">
        <v>15</v>
      </c>
      <c r="K50" s="66" t="inlineStr">
        <is>
          <t>Fragment Crafting (18.1%), Lottery Machine #1 (0.81%), Wishing (0.68%), Relic Forge (90 Relic RF)</t>
        </is>
      </c>
    </row>
    <row r="51" ht="15.75" customHeight="1" s="1128">
      <c r="A51" s="398" t="inlineStr">
        <is>
          <t xml:space="preserve">   Golden Scarab</t>
        </is>
      </c>
      <c r="B51" s="425" t="inlineStr">
        <is>
          <t>S</t>
        </is>
      </c>
      <c r="C51" s="425" t="inlineStr">
        <is>
          <t>FTH</t>
        </is>
      </c>
      <c r="D51" s="432" t="n"/>
      <c r="E51" s="432" t="n"/>
      <c r="F51" s="432" t="n"/>
      <c r="G51" s="432" t="n"/>
      <c r="H51" s="432" t="n">
        <v>30</v>
      </c>
      <c r="I51" s="432" t="n"/>
      <c r="J51" s="432" t="n"/>
      <c r="K51" s="66" t="inlineStr">
        <is>
          <t>Fragment Crafting (15.1%), Lottery Machine #1 (0.81%), Wishing (0.53%), Kemetic Treasure Maps (5%), Master Scrolls (6.5%), FTH Master Scrolls (31.5%), Relic Forge (90 Relic RF)</t>
        </is>
      </c>
    </row>
    <row r="52" ht="15.75" customHeight="1" s="1128">
      <c r="A52" s="398" t="inlineStr">
        <is>
          <t xml:space="preserve">   Tetromino</t>
        </is>
      </c>
      <c r="B52" s="425" t="inlineStr">
        <is>
          <t>S</t>
        </is>
      </c>
      <c r="C52" s="415" t="inlineStr">
        <is>
          <t>FAME</t>
        </is>
      </c>
      <c r="D52" s="432" t="n"/>
      <c r="E52" s="432" t="n"/>
      <c r="F52" s="432" t="n"/>
      <c r="G52" s="432" t="n"/>
      <c r="H52" s="432" t="n"/>
      <c r="I52" s="432" t="n"/>
      <c r="J52" s="432" t="n">
        <v>15</v>
      </c>
      <c r="K52" s="66" t="inlineStr">
        <is>
          <t>Fragment Crafting (20.7%), Lottery Machine #1 (0.81%), Wishing (0.75%), Master Scrolls (6.5%), FAME Master Scrolls (31.5%), Relic Forge (90 Relic RF)</t>
        </is>
      </c>
    </row>
    <row r="53" ht="15.75" customHeight="1" s="1128">
      <c r="A53" s="398" t="inlineStr">
        <is>
          <t xml:space="preserve">   Boltzmann Brain</t>
        </is>
      </c>
      <c r="B53" s="425" t="inlineStr">
        <is>
          <t>S</t>
        </is>
      </c>
      <c r="C53" s="425" t="inlineStr">
        <is>
          <t>TECH</t>
        </is>
      </c>
      <c r="D53" s="432" t="n"/>
      <c r="E53" s="432" t="n"/>
      <c r="F53" s="432" t="n"/>
      <c r="G53" s="432" t="n"/>
      <c r="H53" s="432" t="n"/>
      <c r="I53" s="432" t="n"/>
      <c r="J53" s="432" t="n">
        <v>15</v>
      </c>
      <c r="K53" s="66" t="inlineStr">
        <is>
          <t>Fragment Crafting (17.8%), Lottery Machine #1 (0.81%), Wishing (0.65%), Master Scrolls (6.5%), TECH Master Scrolls (31.5%), Relic Forge (90 Relic RF)</t>
        </is>
      </c>
    </row>
    <row r="54" ht="15.75" customHeight="1" s="1128">
      <c r="A54" s="398" t="inlineStr">
        <is>
          <t xml:space="preserve">   Buddha Finger Sarira</t>
        </is>
      </c>
      <c r="B54" s="425" t="inlineStr">
        <is>
          <t>SS</t>
        </is>
      </c>
      <c r="C54" s="425" t="inlineStr">
        <is>
          <t>FTH</t>
        </is>
      </c>
      <c r="D54" s="432" t="n"/>
      <c r="E54" s="432" t="n"/>
      <c r="F54" s="432" t="n">
        <v>30</v>
      </c>
      <c r="G54" s="432" t="n"/>
      <c r="H54" s="432" t="n"/>
      <c r="I54" s="432" t="n"/>
      <c r="J54" s="432" t="n"/>
      <c r="K54" s="66" t="inlineStr">
        <is>
          <t>Fragment Crafting (3.3%), Lottery Machine #1 (0.18%), Wishing (0.12%), Bharata Treasure Maps (%), Grandmaster Scrolls (1.6%)</t>
        </is>
      </c>
    </row>
    <row r="55" ht="15.75" customHeight="1" s="1128">
      <c r="A55" s="398" t="inlineStr">
        <is>
          <t xml:space="preserve">   Cairo Declaration</t>
        </is>
      </c>
      <c r="B55" s="425" t="inlineStr">
        <is>
          <t>SS</t>
        </is>
      </c>
      <c r="C55" s="415" t="inlineStr">
        <is>
          <t>FAME</t>
        </is>
      </c>
      <c r="D55" s="432" t="n"/>
      <c r="E55" s="432" t="n"/>
      <c r="F55" s="432" t="n">
        <v>30</v>
      </c>
      <c r="G55" s="432" t="n"/>
      <c r="H55" s="432" t="n"/>
      <c r="I55" s="432" t="n"/>
      <c r="J55" s="432" t="n"/>
      <c r="K55" s="66" t="inlineStr">
        <is>
          <t>Fragment Crafting (4.6%), Lottery Machine #1 (0.18%), Wishing (0.17%), Grandmaster Scrolls (1.6%)</t>
        </is>
      </c>
    </row>
    <row r="56" ht="15.75" customHeight="1" s="1128">
      <c r="A56" s="398" t="inlineStr">
        <is>
          <t xml:space="preserve">   Leaf of Yggdrassil</t>
        </is>
      </c>
      <c r="B56" s="425" t="inlineStr">
        <is>
          <t>S</t>
        </is>
      </c>
      <c r="C56" s="415" t="inlineStr">
        <is>
          <t>FAME</t>
        </is>
      </c>
      <c r="D56" s="432" t="n"/>
      <c r="E56" s="432" t="n"/>
      <c r="F56" s="432" t="n">
        <v>30</v>
      </c>
      <c r="G56" s="432" t="n"/>
      <c r="H56" s="432" t="n"/>
      <c r="I56" s="432" t="n"/>
      <c r="J56" s="432" t="n"/>
      <c r="K56" s="66" t="inlineStr">
        <is>
          <t>Fragment Crafting (20.7%), Lottery Machine #1 (0.81%), Wishing (0.75%), Super Treasure Map (15%), Master Scrolls (6.5%), FAME Master Scrolls (31.5%), Relic Forge (90 Relic RF)</t>
        </is>
      </c>
    </row>
    <row r="57" ht="15.75" customHeight="1" s="1128">
      <c r="A57" s="398" t="inlineStr">
        <is>
          <t xml:space="preserve">   Hammurabi Code</t>
        </is>
      </c>
      <c r="B57" s="425" t="inlineStr">
        <is>
          <t>SS</t>
        </is>
      </c>
      <c r="C57" s="415" t="inlineStr">
        <is>
          <t>FAME</t>
        </is>
      </c>
      <c r="D57" s="432" t="n"/>
      <c r="E57" s="432" t="n"/>
      <c r="F57" s="432" t="n">
        <v>30</v>
      </c>
      <c r="G57" s="432" t="n"/>
      <c r="H57" s="432" t="n"/>
      <c r="I57" s="432" t="n"/>
      <c r="J57" s="432" t="n"/>
      <c r="K57" s="66" t="inlineStr">
        <is>
          <t>Fragment Crafting (4.6%), Lottery Machine #1 (0.18%), Wishing (0.17%), Demon God Chest (5%), Grandmaster Scrolls (1.6%)</t>
        </is>
      </c>
    </row>
    <row r="58" ht="15.75" customHeight="1" s="1128">
      <c r="A58" s="409" t="inlineStr">
        <is>
          <t>MAX POND STAMPS</t>
        </is>
      </c>
      <c r="B58" s="410" t="n"/>
      <c r="C58" s="410" t="n"/>
      <c r="D58" s="410">
        <f>D42+D43+D44</f>
        <v/>
      </c>
      <c r="E58" s="410" t="n"/>
      <c r="F58" s="410">
        <f>F42+F43+F44</f>
        <v/>
      </c>
      <c r="G58" s="410" t="n"/>
      <c r="H58" s="410">
        <f>H42+H43+H44</f>
        <v/>
      </c>
      <c r="I58" s="410" t="n"/>
      <c r="J58" s="410">
        <f>J42+J43+J44</f>
        <v/>
      </c>
      <c r="K58" s="414" t="n"/>
    </row>
    <row r="59" ht="15.75" customHeight="1" s="1128">
      <c r="A59" s="398" t="n"/>
      <c r="B59" s="432" t="n"/>
      <c r="C59" s="432" t="n"/>
      <c r="D59" s="432" t="n"/>
      <c r="E59" s="432" t="n"/>
      <c r="F59" s="432" t="n"/>
      <c r="G59" s="432" t="n"/>
      <c r="H59" s="432" t="n"/>
      <c r="I59" s="432" t="n"/>
      <c r="J59" s="432" t="n"/>
      <c r="K59" s="66" t="n"/>
    </row>
    <row r="60" ht="15.75" customHeight="1" s="1128">
      <c r="A60" s="416" t="inlineStr">
        <is>
          <t>RESONANCE</t>
        </is>
      </c>
      <c r="B60" s="431" t="n"/>
      <c r="C60" s="431" t="n"/>
      <c r="D60" s="431" t="n"/>
      <c r="E60" s="431" t="n"/>
      <c r="F60" s="431" t="n"/>
      <c r="G60" s="431" t="n"/>
      <c r="H60" s="431" t="n"/>
      <c r="I60" s="431" t="n"/>
      <c r="J60" s="431" t="n"/>
      <c r="K60" s="397" t="n"/>
    </row>
    <row r="61" ht="15.75" customHeight="1" s="1128">
      <c r="A61" s="398" t="inlineStr">
        <is>
          <t xml:space="preserve">  BLUE </t>
        </is>
      </c>
      <c r="B61" s="432" t="n"/>
      <c r="C61" s="432" t="n"/>
      <c r="D61" s="432" t="n"/>
      <c r="E61" s="432" t="n"/>
      <c r="F61" s="432" t="n"/>
      <c r="G61" s="432" t="n"/>
      <c r="H61" s="432" t="n"/>
      <c r="I61" s="432" t="n"/>
      <c r="J61" s="432" t="n"/>
      <c r="K61" s="66" t="n"/>
    </row>
    <row r="62" ht="15.75" customHeight="1" s="1128">
      <c r="A62" s="398" t="inlineStr">
        <is>
          <t xml:space="preserve">    Output</t>
        </is>
      </c>
      <c r="B62" s="432" t="n"/>
      <c r="C62" s="432" t="n"/>
      <c r="D62" s="432" t="n">
        <v>10</v>
      </c>
      <c r="E62" s="432" t="n"/>
      <c r="F62" s="432" t="n"/>
      <c r="G62" s="432" t="n"/>
      <c r="H62" s="432" t="n"/>
      <c r="I62" s="432" t="n"/>
      <c r="J62" s="432" t="n"/>
      <c r="K62" s="66" t="n"/>
    </row>
    <row r="63" ht="15.75" customHeight="1" s="1128">
      <c r="A63" s="398" t="inlineStr">
        <is>
          <t xml:space="preserve">      Kilogram Prototype</t>
        </is>
      </c>
      <c r="B63" s="425" t="inlineStr">
        <is>
          <t>Blue</t>
        </is>
      </c>
      <c r="C63" s="425" t="inlineStr">
        <is>
          <t>TECH</t>
        </is>
      </c>
      <c r="D63" s="432" t="n"/>
      <c r="E63" s="432" t="n"/>
      <c r="F63" s="432" t="n"/>
      <c r="G63" s="432" t="n"/>
      <c r="H63" s="432" t="n"/>
      <c r="I63" s="432" t="n"/>
      <c r="J63" s="432" t="n"/>
      <c r="K63" s="66" t="inlineStr">
        <is>
          <t>Lottery Machine #1 (0.03%), Wishing (1.1%), Fungus Chest (2%)</t>
        </is>
      </c>
    </row>
    <row r="64" ht="15.75" customHeight="1" s="1128">
      <c r="A64" s="398" t="inlineStr">
        <is>
          <t xml:space="preserve">      Aztec Calendar</t>
        </is>
      </c>
      <c r="B64" s="425" t="inlineStr">
        <is>
          <t>Blue</t>
        </is>
      </c>
      <c r="C64" s="425" t="inlineStr">
        <is>
          <t>TECH</t>
        </is>
      </c>
      <c r="D64" s="432" t="n"/>
      <c r="E64" s="432" t="n"/>
      <c r="F64" s="432" t="n"/>
      <c r="G64" s="432" t="n"/>
      <c r="H64" s="432" t="n"/>
      <c r="I64" s="432" t="n"/>
      <c r="J64" s="432" t="n"/>
      <c r="K64" s="66" t="inlineStr">
        <is>
          <t>Lottery Machine #1 (0.03%), Wishing (1.1%), Time Chest (2%)</t>
        </is>
      </c>
    </row>
    <row r="65" ht="15.75" customHeight="1" s="1128">
      <c r="A65" s="398" t="inlineStr">
        <is>
          <t xml:space="preserve">    W-tad</t>
        </is>
      </c>
      <c r="B65" s="432" t="n"/>
      <c r="C65" s="432" t="n"/>
      <c r="D65" s="432" t="n"/>
      <c r="E65" s="432" t="n"/>
      <c r="F65" s="432" t="n"/>
      <c r="G65" s="432" t="n"/>
      <c r="H65" s="432" t="n">
        <v>12</v>
      </c>
      <c r="I65" s="432" t="n"/>
      <c r="J65" s="432" t="n"/>
      <c r="K65" s="66" t="n"/>
    </row>
    <row r="66" ht="15.75" customHeight="1" s="1128">
      <c r="A66" s="398" t="inlineStr">
        <is>
          <t xml:space="preserve">      Bach Concerto</t>
        </is>
      </c>
      <c r="B66" s="425" t="inlineStr">
        <is>
          <t>Blue</t>
        </is>
      </c>
      <c r="C66" s="425" t="inlineStr">
        <is>
          <t>ART</t>
        </is>
      </c>
      <c r="D66" s="432" t="n"/>
      <c r="E66" s="432" t="n"/>
      <c r="F66" s="432" t="n"/>
      <c r="G66" s="432" t="n"/>
      <c r="H66" s="432" t="n"/>
      <c r="I66" s="432" t="n"/>
      <c r="J66" s="432" t="n"/>
      <c r="K66" s="66" t="inlineStr">
        <is>
          <t>Lottery Machine #1 (0.03%), Wishing (1.2%), Club Chest (2%)</t>
        </is>
      </c>
    </row>
    <row r="67" ht="15.75" customHeight="1" s="1128">
      <c r="A67" s="398" t="inlineStr">
        <is>
          <t xml:space="preserve">      Tetrabiblos</t>
        </is>
      </c>
      <c r="B67" s="425" t="inlineStr">
        <is>
          <t>Blue</t>
        </is>
      </c>
      <c r="C67" s="425" t="inlineStr">
        <is>
          <t>FTH</t>
        </is>
      </c>
      <c r="D67" s="432" t="n"/>
      <c r="E67" s="432" t="n"/>
      <c r="F67" s="432" t="n"/>
      <c r="G67" s="432" t="n"/>
      <c r="H67" s="432" t="n"/>
      <c r="I67" s="432" t="n"/>
      <c r="J67" s="432" t="n"/>
      <c r="K67" s="66" t="inlineStr">
        <is>
          <t>Lottery Machine #1 (0.03%), Wishing (0.85%), Nebula Chest (2%), Peter Jr. Rent</t>
        </is>
      </c>
    </row>
    <row r="68" ht="15.75" customHeight="1" s="1128">
      <c r="A68" s="398" t="inlineStr">
        <is>
          <t xml:space="preserve">      Persian Star Chart</t>
        </is>
      </c>
      <c r="B68" s="425" t="inlineStr">
        <is>
          <t>Blue</t>
        </is>
      </c>
      <c r="C68" s="425" t="inlineStr">
        <is>
          <t>TECH</t>
        </is>
      </c>
      <c r="D68" s="432" t="n"/>
      <c r="E68" s="432" t="n"/>
      <c r="F68" s="432" t="n"/>
      <c r="G68" s="432" t="n"/>
      <c r="H68" s="432" t="n"/>
      <c r="I68" s="432" t="n"/>
      <c r="J68" s="432" t="n"/>
      <c r="K68" s="66" t="inlineStr">
        <is>
          <t>Lottery Machine #1 (0.36%), Wishing (13.2%), Novice Scrolls (5%), Nebula Chest (2%)</t>
        </is>
      </c>
    </row>
    <row r="69" ht="15.75" customHeight="1" s="1128">
      <c r="A69" s="398" t="inlineStr">
        <is>
          <t xml:space="preserve">  PURPLE</t>
        </is>
      </c>
      <c r="B69" s="432" t="n"/>
      <c r="C69" s="432" t="n"/>
      <c r="D69" s="432" t="n"/>
      <c r="E69" s="432" t="n"/>
      <c r="F69" s="432" t="n"/>
      <c r="G69" s="432" t="n"/>
      <c r="H69" s="432" t="n"/>
      <c r="I69" s="432" t="n"/>
      <c r="J69" s="432" t="n"/>
      <c r="K69" s="66" t="n"/>
    </row>
    <row r="70" ht="15.75" customHeight="1" s="1128">
      <c r="A70" s="398" t="inlineStr">
        <is>
          <t xml:space="preserve">    Output</t>
        </is>
      </c>
      <c r="B70" s="432" t="n"/>
      <c r="C70" s="432" t="n"/>
      <c r="D70" s="432" t="n">
        <v>12</v>
      </c>
      <c r="E70" s="432" t="n"/>
      <c r="F70" s="432" t="n"/>
      <c r="G70" s="432" t="n"/>
      <c r="H70" s="432" t="n"/>
      <c r="I70" s="432" t="n"/>
      <c r="J70" s="432" t="n"/>
      <c r="K70" s="66" t="n"/>
    </row>
    <row r="71" ht="15.75" customHeight="1" s="1128">
      <c r="A71" s="398" t="inlineStr">
        <is>
          <t xml:space="preserve">      Hannibal's Cup</t>
        </is>
      </c>
      <c r="B71" s="425" t="inlineStr">
        <is>
          <t>AA</t>
        </is>
      </c>
      <c r="C71" s="425" t="inlineStr">
        <is>
          <t>FAME</t>
        </is>
      </c>
      <c r="D71" s="432" t="n"/>
      <c r="E71" s="432" t="n"/>
      <c r="F71" s="432" t="n"/>
      <c r="G71" s="432" t="n"/>
      <c r="H71" s="432" t="n"/>
      <c r="I71" s="432" t="n"/>
      <c r="J71" s="432" t="n"/>
      <c r="K71" s="66" t="inlineStr">
        <is>
          <t>Fragment Crafting (3.9%), Lottery Machine #1 (0.08%), Wishing (0.35%), Expert Scrolls (0.95%)</t>
        </is>
      </c>
    </row>
    <row r="72" ht="15.75" customHeight="1" s="1128">
      <c r="A72" s="398" t="inlineStr">
        <is>
          <t xml:space="preserve">      Rosetta Stone</t>
        </is>
      </c>
      <c r="B72" s="425" t="inlineStr">
        <is>
          <t>A</t>
        </is>
      </c>
      <c r="C72" s="425" t="inlineStr">
        <is>
          <t>FAME</t>
        </is>
      </c>
      <c r="D72" s="432" t="n"/>
      <c r="E72" s="432" t="n"/>
      <c r="F72" s="432" t="n"/>
      <c r="G72" s="432" t="n"/>
      <c r="H72" s="432" t="n"/>
      <c r="I72" s="432" t="n"/>
      <c r="J72" s="432" t="n"/>
      <c r="K72" s="66" t="inlineStr">
        <is>
          <t>Fragment Crafting (31%), Lottery Machine#1 (0.66%), Wishing (2.8%), Kemetic Treasure Maps (10%), Expert Scrolls (7.6%)</t>
        </is>
      </c>
    </row>
    <row r="73" ht="15.75" customHeight="1" s="1128">
      <c r="A73" s="398" t="inlineStr">
        <is>
          <t xml:space="preserve">    W-tad</t>
        </is>
      </c>
      <c r="B73" s="432" t="n"/>
      <c r="C73" s="432" t="n"/>
      <c r="D73" s="432" t="n"/>
      <c r="E73" s="432" t="n"/>
      <c r="F73" s="432" t="n"/>
      <c r="G73" s="432" t="n"/>
      <c r="H73" s="432" t="n">
        <v>12</v>
      </c>
      <c r="I73" s="432" t="n"/>
      <c r="J73" s="432" t="n"/>
      <c r="K73" s="66" t="n"/>
    </row>
    <row r="74" ht="15.75" customHeight="1" s="1128">
      <c r="A74" s="398" t="inlineStr">
        <is>
          <t xml:space="preserve">      The Starry Night</t>
        </is>
      </c>
      <c r="B74" s="425" t="inlineStr">
        <is>
          <t>AA</t>
        </is>
      </c>
      <c r="C74" s="425" t="inlineStr">
        <is>
          <t>ART</t>
        </is>
      </c>
      <c r="D74" s="432" t="n"/>
      <c r="E74" s="432" t="n"/>
      <c r="F74" s="432" t="n"/>
      <c r="G74" s="432" t="n"/>
      <c r="H74" s="432" t="n"/>
      <c r="I74" s="432" t="n"/>
      <c r="J74" s="432" t="n"/>
      <c r="K74" s="66" t="inlineStr">
        <is>
          <t>Fragment Crafting (3.9%), Lottery Machine #1 (0.08%), Wishing (0.36%), Expert Scrolls (0.95%), Nebula Chest (1.5%)</t>
        </is>
      </c>
    </row>
    <row r="75" ht="15.75" customHeight="1" s="1128">
      <c r="A75" s="398" t="inlineStr">
        <is>
          <t xml:space="preserve">      Napoleon Painting</t>
        </is>
      </c>
      <c r="B75" s="425" t="inlineStr">
        <is>
          <t>AAA</t>
        </is>
      </c>
      <c r="C75" s="425" t="inlineStr">
        <is>
          <t>ART</t>
        </is>
      </c>
      <c r="D75" s="432" t="n"/>
      <c r="E75" s="432" t="n"/>
      <c r="F75" s="432" t="n"/>
      <c r="G75" s="432" t="n"/>
      <c r="H75" s="432" t="n"/>
      <c r="I75" s="432" t="n"/>
      <c r="J75" s="432" t="n"/>
      <c r="K75" s="66" t="inlineStr">
        <is>
          <t>Fragment Crafting (1.6%), Lottery Machine #1 (0.03%), Wishing (0.14%), Relic Forge (Relic RF x80)</t>
        </is>
      </c>
    </row>
    <row r="76" ht="15.75" customHeight="1" s="1128">
      <c r="A76" s="398" t="inlineStr">
        <is>
          <t xml:space="preserve">   ORANGE</t>
        </is>
      </c>
      <c r="B76" s="432" t="n"/>
      <c r="C76" s="432" t="n"/>
      <c r="D76" s="432" t="n"/>
      <c r="E76" s="432" t="n"/>
      <c r="F76" s="432" t="n"/>
      <c r="G76" s="432" t="n"/>
      <c r="H76" s="432" t="n"/>
      <c r="I76" s="432" t="n"/>
      <c r="J76" s="432" t="n"/>
      <c r="K76" s="66" t="n"/>
    </row>
    <row r="77" ht="15.75" customHeight="1" s="1128">
      <c r="A77" s="398" t="inlineStr">
        <is>
          <t xml:space="preserve">    Output</t>
        </is>
      </c>
      <c r="B77" s="432" t="n"/>
      <c r="C77" s="432" t="n"/>
      <c r="D77" s="432" t="n">
        <v>16</v>
      </c>
      <c r="E77" s="432" t="n"/>
      <c r="F77" s="432" t="n"/>
      <c r="G77" s="432" t="n"/>
      <c r="H77" s="432" t="n"/>
      <c r="I77" s="432" t="n"/>
      <c r="J77" s="432" t="n"/>
      <c r="K77" s="66" t="n"/>
    </row>
    <row r="78" ht="15.75" customHeight="1" s="1128">
      <c r="A78" s="398" t="inlineStr">
        <is>
          <t xml:space="preserve">      Agamemnon Mask</t>
        </is>
      </c>
      <c r="B78" s="425" t="inlineStr">
        <is>
          <t>SS</t>
        </is>
      </c>
      <c r="C78" s="425" t="inlineStr">
        <is>
          <t>ART</t>
        </is>
      </c>
      <c r="D78" s="432" t="n"/>
      <c r="E78" s="432" t="n"/>
      <c r="F78" s="432" t="n"/>
      <c r="G78" s="432" t="n"/>
      <c r="H78" s="432" t="n"/>
      <c r="I78" s="432" t="n"/>
      <c r="J78" s="432" t="n"/>
      <c r="K78" s="66" t="inlineStr">
        <is>
          <t>Fragment Crafting (4%), Lottery Machine #1 (0.18%), Wishing (0.15%), Grandmaster Scrolls (1.6%)</t>
        </is>
      </c>
    </row>
    <row r="79" ht="15.75" customHeight="1" s="1128">
      <c r="A79" s="398" t="inlineStr">
        <is>
          <t xml:space="preserve">      Morse's Telegraph</t>
        </is>
      </c>
      <c r="B79" s="425" t="inlineStr">
        <is>
          <t>SS</t>
        </is>
      </c>
      <c r="C79" s="425" t="inlineStr">
        <is>
          <t>TECH</t>
        </is>
      </c>
      <c r="D79" s="432" t="n"/>
      <c r="E79" s="432" t="n"/>
      <c r="F79" s="432" t="n"/>
      <c r="G79" s="432" t="n"/>
      <c r="H79" s="432" t="n"/>
      <c r="I79" s="432" t="n"/>
      <c r="J79" s="432" t="n"/>
      <c r="K79" s="66" t="inlineStr">
        <is>
          <t>Fragment Crafting (5.2%), Lottery Machine #1 (0.24%), Wishing (0.19%), Tool Chest (1%), Master Scrolls (1.9%), Grandmaster Scrolls (2.1%), TECH Master Scrolls (9.2%)</t>
        </is>
      </c>
    </row>
    <row r="80" ht="15.75" customHeight="1" s="1128">
      <c r="A80" s="398" t="inlineStr">
        <is>
          <t xml:space="preserve">      The Key of Solomon</t>
        </is>
      </c>
      <c r="B80" s="425" t="inlineStr">
        <is>
          <t>SS</t>
        </is>
      </c>
      <c r="C80" s="425" t="inlineStr">
        <is>
          <t>FTH</t>
        </is>
      </c>
      <c r="D80" s="432" t="n"/>
      <c r="E80" s="432" t="n"/>
      <c r="F80" s="432" t="n"/>
      <c r="G80" s="432" t="n"/>
      <c r="H80" s="432" t="n"/>
      <c r="I80" s="432" t="n"/>
      <c r="J80" s="432" t="n"/>
      <c r="K80" s="66" t="inlineStr">
        <is>
          <t>T7.5 Demon Gene Research</t>
        </is>
      </c>
    </row>
    <row r="81" ht="15.75" customHeight="1" s="1128">
      <c r="A81" s="398" t="inlineStr">
        <is>
          <t xml:space="preserve">    W-tad</t>
        </is>
      </c>
      <c r="B81" s="432" t="n"/>
      <c r="C81" s="432" t="n"/>
      <c r="D81" s="432" t="n"/>
      <c r="E81" s="432" t="n"/>
      <c r="F81" s="432" t="n"/>
      <c r="G81" s="432" t="n"/>
      <c r="H81" s="432" t="n">
        <v>14</v>
      </c>
      <c r="I81" s="432" t="n"/>
      <c r="J81" s="432" t="n"/>
      <c r="K81" s="66" t="n"/>
    </row>
    <row r="82" ht="15.75" customHeight="1" s="1128">
      <c r="A82" s="398" t="inlineStr">
        <is>
          <t xml:space="preserve">      Aladdin Carpet</t>
        </is>
      </c>
      <c r="B82" s="425" t="inlineStr">
        <is>
          <t>SSS</t>
        </is>
      </c>
      <c r="C82" s="425" t="inlineStr">
        <is>
          <t>CIV</t>
        </is>
      </c>
      <c r="D82" s="432" t="n"/>
      <c r="E82" s="432" t="n"/>
      <c r="F82" s="432" t="n"/>
      <c r="G82" s="432" t="n"/>
      <c r="H82" s="432" t="n"/>
      <c r="I82" s="432" t="n"/>
      <c r="J82" s="432" t="n"/>
      <c r="K82" s="66" t="inlineStr">
        <is>
          <t>Daily Silver Pack Relic #1</t>
        </is>
      </c>
    </row>
    <row r="83" ht="15.75" customHeight="1" s="1128">
      <c r="A83" s="398" t="inlineStr">
        <is>
          <t xml:space="preserve">      Royal Celtic Harp</t>
        </is>
      </c>
      <c r="B83" s="425" t="inlineStr">
        <is>
          <t>SSS</t>
        </is>
      </c>
      <c r="C83" s="425" t="inlineStr">
        <is>
          <t>FTH</t>
        </is>
      </c>
      <c r="D83" s="432" t="n"/>
      <c r="E83" s="432" t="n"/>
      <c r="F83" s="432" t="n"/>
      <c r="G83" s="432" t="n"/>
      <c r="H83" s="432" t="n"/>
      <c r="I83" s="432" t="n"/>
      <c r="J83" s="432" t="n"/>
      <c r="K83" s="30" t="inlineStr">
        <is>
          <t>Lottery Machine #1 (0.09%), Wishing (0.06%), Grandmaster Scrolls (0.76%)</t>
        </is>
      </c>
    </row>
    <row r="84" ht="15.75" customHeight="1" s="1128">
      <c r="A84" s="409" t="inlineStr">
        <is>
          <t>MAX RESONANCE</t>
        </is>
      </c>
      <c r="B84" s="410" t="n"/>
      <c r="C84" s="410" t="n"/>
      <c r="D84" s="410">
        <f>SUM(D61:D83)</f>
        <v/>
      </c>
      <c r="E84" s="410" t="n"/>
      <c r="F84" s="410">
        <f>SUM(F61:F83)</f>
        <v/>
      </c>
      <c r="G84" s="410" t="n"/>
      <c r="H84" s="410">
        <f>SUM(H61:H83)</f>
        <v/>
      </c>
      <c r="I84" s="410" t="n"/>
      <c r="J84" s="410" t="n"/>
      <c r="K84" s="414" t="n"/>
    </row>
    <row r="85" ht="15.75" customHeight="1" s="1128">
      <c r="A85" s="432" t="n"/>
      <c r="B85" s="432" t="n"/>
      <c r="C85" s="432" t="n"/>
      <c r="D85" s="432" t="n"/>
      <c r="E85" s="432" t="n"/>
      <c r="F85" s="432" t="n"/>
      <c r="G85" s="432" t="n"/>
      <c r="H85" s="432" t="n"/>
      <c r="I85" s="432" t="n"/>
      <c r="J85" s="432" t="n"/>
      <c r="K85" s="432" t="n"/>
    </row>
    <row r="86" ht="15.75" customHeight="1" s="1128">
      <c r="A86" s="432" t="n"/>
      <c r="B86" s="432" t="n"/>
      <c r="C86" s="432" t="n"/>
      <c r="D86" s="432" t="n"/>
      <c r="E86" s="432" t="n"/>
      <c r="F86" s="432" t="n"/>
      <c r="G86" s="432" t="n"/>
      <c r="H86" s="432" t="n"/>
      <c r="I86" s="432" t="n"/>
      <c r="J86" s="432" t="n"/>
      <c r="K86" s="432" t="n"/>
    </row>
    <row r="87" ht="15.75" customHeight="1" s="1128">
      <c r="A87" s="417" t="inlineStr">
        <is>
          <t>Total B-tad Output</t>
        </is>
      </c>
      <c r="B87" s="417">
        <f>D16+D19+D58+D84+D30+D24+D39+D27+D36+D33</f>
        <v/>
      </c>
      <c r="C87" s="432" t="n"/>
      <c r="D87" s="432" t="n"/>
      <c r="E87" s="432" t="n"/>
      <c r="F87" s="432" t="n"/>
      <c r="G87" s="432" t="n"/>
      <c r="H87" s="432" t="n"/>
      <c r="I87" s="432" t="n"/>
      <c r="J87" s="432" t="n"/>
      <c r="K87" s="432" t="n"/>
    </row>
    <row r="88" ht="15.75" customHeight="1" s="1128">
      <c r="A88" s="417" t="inlineStr">
        <is>
          <t>Total B-tad Cap</t>
        </is>
      </c>
      <c r="B88" s="417">
        <f>F16+F19+F58+F84+F30+F24+F39+F36</f>
        <v/>
      </c>
      <c r="C88" s="432" t="n"/>
      <c r="D88" s="432" t="n"/>
      <c r="E88" s="432" t="n"/>
      <c r="F88" s="432" t="n"/>
      <c r="G88" s="432" t="n"/>
      <c r="H88" s="432" t="n"/>
      <c r="I88" s="432" t="n"/>
      <c r="J88" s="432" t="n"/>
      <c r="K88" s="432" t="n"/>
    </row>
    <row r="89" ht="15.75" customHeight="1" s="1128">
      <c r="A89" s="417" t="inlineStr">
        <is>
          <t>Total W-tad Gen</t>
        </is>
      </c>
      <c r="B89" s="417">
        <f>H16+H58+H84+H19+H30+H39</f>
        <v/>
      </c>
      <c r="C89" s="432" t="n"/>
      <c r="D89" s="432" t="n"/>
      <c r="E89" s="432" t="n"/>
      <c r="F89" s="432" t="n"/>
      <c r="G89" s="432" t="n"/>
      <c r="H89" s="432" t="n"/>
      <c r="I89" s="432" t="n"/>
      <c r="J89" s="432" t="n"/>
      <c r="K89" s="432" t="n"/>
    </row>
    <row r="90" ht="15.75" customHeight="1" s="1128">
      <c r="A90" s="432" t="n"/>
      <c r="B90" s="432" t="n"/>
      <c r="C90" s="432" t="n"/>
      <c r="D90" s="432" t="n"/>
      <c r="E90" s="432" t="n"/>
      <c r="F90" s="432" t="n"/>
      <c r="G90" s="432" t="n"/>
      <c r="H90" s="432" t="n"/>
      <c r="I90" s="432" t="n"/>
      <c r="J90" s="432" t="n"/>
      <c r="K90" s="432" t="n"/>
    </row>
    <row r="91" ht="15.75" customHeight="1" s="1128"/>
    <row r="92" ht="15.75" customHeight="1" s="1128"/>
    <row r="93" ht="15.75" customHeight="1" s="1128"/>
    <row r="94" ht="15.75" customHeight="1" s="1128"/>
    <row r="95" ht="15.75" customHeight="1" s="1128"/>
    <row r="96" ht="15.75" customHeight="1" s="1128"/>
    <row r="97" ht="15.75" customHeight="1" s="1128"/>
    <row r="98" ht="15.75" customHeight="1" s="1128"/>
    <row r="99" ht="15.75" customHeight="1" s="1128"/>
    <row r="100" ht="15.75" customHeight="1" s="1128"/>
    <row r="101" ht="15.75" customHeight="1" s="1128"/>
    <row r="102" ht="15.75" customHeight="1" s="1128"/>
    <row r="103" ht="15.75" customHeight="1" s="1128"/>
    <row r="104" ht="15.75" customHeight="1" s="1128"/>
    <row r="105" ht="15.75" customHeight="1" s="1128"/>
    <row r="106" ht="15.75" customHeight="1" s="1128"/>
    <row r="107" ht="15.75" customHeight="1" s="1128"/>
    <row r="108" ht="15.75" customHeight="1" s="1128"/>
    <row r="109" ht="15.75" customHeight="1" s="1128"/>
    <row r="110" ht="15.75" customHeight="1" s="1128"/>
    <row r="111" ht="15.75" customHeight="1" s="1128"/>
    <row r="112" ht="15.75" customHeight="1" s="1128"/>
    <row r="113" ht="15.75" customHeight="1" s="1128"/>
    <row r="114" ht="15.75" customHeight="1" s="1128"/>
    <row r="115" ht="15.75" customHeight="1" s="1128"/>
    <row r="116" ht="15.75" customHeight="1" s="1128"/>
    <row r="117" ht="15.75" customHeight="1" s="1128"/>
    <row r="118" ht="15.75" customHeight="1" s="1128"/>
    <row r="119" ht="15.75" customHeight="1" s="1128"/>
    <row r="120" ht="15.75" customHeight="1" s="1128"/>
    <row r="121" ht="15.75" customHeight="1" s="1128"/>
    <row r="122" ht="15.75" customHeight="1" s="1128"/>
    <row r="123" ht="15.75" customHeight="1" s="1128"/>
    <row r="124" ht="15.75" customHeight="1" s="1128"/>
    <row r="125" ht="15.75" customHeight="1" s="1128"/>
    <row r="126" ht="15.75" customHeight="1" s="1128"/>
    <row r="127" ht="15.75" customHeight="1" s="1128"/>
    <row r="128" ht="15.75" customHeight="1" s="1128"/>
    <row r="129" ht="15.75" customHeight="1" s="1128"/>
    <row r="130" ht="15.75" customHeight="1" s="1128"/>
    <row r="131" ht="15.75" customHeight="1" s="1128"/>
    <row r="132" ht="15.75" customHeight="1" s="1128"/>
    <row r="133" ht="15.75" customHeight="1" s="1128"/>
    <row r="134" ht="15.75" customHeight="1" s="1128"/>
    <row r="135" ht="15.75" customHeight="1" s="1128"/>
    <row r="136" ht="15.75" customHeight="1" s="1128"/>
    <row r="137" ht="15.75" customHeight="1" s="1128"/>
    <row r="138" ht="15.75" customHeight="1" s="1128"/>
    <row r="139" ht="15.75" customHeight="1" s="1128"/>
    <row r="140" ht="15.75" customHeight="1" s="1128"/>
    <row r="141" ht="15.75" customHeight="1" s="1128"/>
    <row r="142" ht="15.75" customHeight="1" s="1128"/>
    <row r="143" ht="15.75" customHeight="1" s="1128"/>
    <row r="144" ht="15.75" customHeight="1" s="1128"/>
    <row r="145" ht="15.75" customHeight="1" s="1128"/>
    <row r="146" ht="15.75" customHeight="1" s="1128"/>
    <row r="147" ht="15.75" customHeight="1" s="1128"/>
    <row r="148" ht="15.75" customHeight="1" s="1128"/>
    <row r="149" ht="15.75" customHeight="1" s="1128"/>
    <row r="150" ht="15.75" customHeight="1" s="1128"/>
    <row r="151" ht="15.75" customHeight="1" s="1128"/>
    <row r="152" ht="15.75" customHeight="1" s="1128"/>
    <row r="153" ht="15.75" customHeight="1" s="1128"/>
    <row r="154" ht="15.75" customHeight="1" s="1128"/>
    <row r="155" ht="15.75" customHeight="1" s="1128"/>
    <row r="156" ht="15.75" customHeight="1" s="1128"/>
    <row r="157" ht="15.75" customHeight="1" s="1128"/>
    <row r="158" ht="15.75" customHeight="1" s="1128"/>
    <row r="159" ht="15.75" customHeight="1" s="1128"/>
    <row r="160" ht="15.75" customHeight="1" s="1128"/>
    <row r="161" ht="15.75" customHeight="1" s="1128"/>
    <row r="162" ht="15.75" customHeight="1" s="1128"/>
    <row r="163" ht="15.75" customHeight="1" s="1128"/>
    <row r="164" ht="15.75" customHeight="1" s="1128"/>
    <row r="165" ht="15.75" customHeight="1" s="1128"/>
    <row r="166" ht="15.75" customHeight="1" s="1128"/>
    <row r="167" ht="15.75" customHeight="1" s="1128"/>
    <row r="168" ht="15.75" customHeight="1" s="1128"/>
    <row r="169" ht="15.75" customHeight="1" s="1128"/>
    <row r="170" ht="15.75" customHeight="1" s="1128"/>
    <row r="171" ht="15.75" customHeight="1" s="1128"/>
    <row r="172" ht="15.75" customHeight="1" s="1128"/>
    <row r="173" ht="15.75" customHeight="1" s="1128"/>
    <row r="174" ht="15.75" customHeight="1" s="1128"/>
    <row r="175" ht="15.75" customHeight="1" s="1128"/>
    <row r="176" ht="15.75" customHeight="1" s="1128"/>
    <row r="177" ht="15.75" customHeight="1" s="1128"/>
    <row r="178" ht="15.75" customHeight="1" s="1128"/>
    <row r="179" ht="15.75" customHeight="1" s="1128"/>
    <row r="180" ht="15.75" customHeight="1" s="1128"/>
    <row r="181" ht="15.75" customHeight="1" s="1128"/>
    <row r="182" ht="15.75" customHeight="1" s="1128"/>
    <row r="183" ht="15.75" customHeight="1" s="1128"/>
    <row r="184" ht="15.75" customHeight="1" s="1128"/>
    <row r="185" ht="15.75" customHeight="1" s="1128"/>
    <row r="186" ht="15.75" customHeight="1" s="1128"/>
    <row r="187" ht="15.75" customHeight="1" s="1128"/>
    <row r="188" ht="15.75" customHeight="1" s="1128"/>
    <row r="189" ht="15.75" customHeight="1" s="1128"/>
    <row r="190" ht="15.75" customHeight="1" s="1128"/>
    <row r="191" ht="15.75" customHeight="1" s="1128"/>
    <row r="192" ht="15.75" customHeight="1" s="1128"/>
    <row r="193" ht="15.75" customHeight="1" s="1128"/>
    <row r="194" ht="15.75" customHeight="1" s="1128"/>
    <row r="195" ht="15.75" customHeight="1" s="1128"/>
    <row r="196" ht="15.75" customHeight="1" s="1128"/>
    <row r="197" ht="15.75" customHeight="1" s="1128"/>
    <row r="198" ht="15.75" customHeight="1" s="1128"/>
    <row r="199" ht="15.75" customHeight="1" s="1128"/>
    <row r="200" ht="15.75" customHeight="1" s="1128"/>
    <row r="201" ht="15.75" customHeight="1" s="1128"/>
    <row r="202" ht="15.75" customHeight="1" s="1128"/>
    <row r="203" ht="15.75" customHeight="1" s="1128"/>
    <row r="204" ht="15.75" customHeight="1" s="1128"/>
    <row r="205" ht="15.75" customHeight="1" s="1128"/>
    <row r="206" ht="15.75" customHeight="1" s="1128"/>
    <row r="207" ht="15.75" customHeight="1" s="1128"/>
    <row r="208" ht="15.75" customHeight="1" s="1128"/>
    <row r="209" ht="15.75" customHeight="1" s="1128"/>
    <row r="210" ht="15.75" customHeight="1" s="1128"/>
    <row r="211" ht="15.75" customHeight="1" s="1128"/>
    <row r="212" ht="15.75" customHeight="1" s="1128"/>
    <row r="213" ht="15.75" customHeight="1" s="1128"/>
    <row r="214" ht="15.75" customHeight="1" s="1128"/>
    <row r="215" ht="15.75" customHeight="1" s="1128"/>
    <row r="216" ht="15.75" customHeight="1" s="1128"/>
    <row r="217" ht="15.75" customHeight="1" s="1128"/>
    <row r="218" ht="15.75" customHeight="1" s="1128"/>
    <row r="219" ht="15.75" customHeight="1" s="1128"/>
    <row r="220" ht="15.75" customHeight="1" s="1128"/>
    <row r="221" ht="15.75" customHeight="1" s="1128"/>
    <row r="222" ht="15.75" customHeight="1" s="1128"/>
    <row r="223" ht="15.75" customHeight="1" s="1128"/>
    <row r="224" ht="15.75" customHeight="1" s="1128"/>
    <row r="225" ht="15.75" customHeight="1" s="1128"/>
    <row r="226" ht="15.75" customHeight="1" s="1128"/>
    <row r="227" ht="15.75" customHeight="1" s="1128"/>
    <row r="228" ht="15.75" customHeight="1" s="1128"/>
    <row r="229" ht="15.75" customHeight="1" s="1128"/>
    <row r="230" ht="15.75" customHeight="1" s="1128"/>
    <row r="231" ht="15.75" customHeight="1" s="1128"/>
    <row r="232" ht="15.75" customHeight="1" s="1128"/>
    <row r="233" ht="15.75" customHeight="1" s="1128"/>
    <row r="234" ht="15.75" customHeight="1" s="1128"/>
    <row r="235" ht="15.75" customHeight="1" s="1128"/>
    <row r="236" ht="15.75" customHeight="1" s="1128"/>
    <row r="237" ht="15.75" customHeight="1" s="1128"/>
    <row r="238" ht="15.75" customHeight="1" s="1128"/>
    <row r="239" ht="15.75" customHeight="1" s="1128"/>
    <row r="240" ht="15.75" customHeight="1" s="1128"/>
    <row r="241" ht="15.75" customHeight="1" s="1128"/>
    <row r="242" ht="15.75" customHeight="1" s="1128"/>
    <row r="243" ht="15.75" customHeight="1" s="1128"/>
    <row r="244" ht="15.75" customHeight="1" s="1128"/>
    <row r="245" ht="15.75" customHeight="1" s="1128"/>
    <row r="246" ht="15.75" customHeight="1" s="1128"/>
    <row r="247" ht="15.75" customHeight="1" s="1128"/>
    <row r="248" ht="15.75" customHeight="1" s="1128"/>
    <row r="249" ht="15.75" customHeight="1" s="1128"/>
    <row r="250" ht="15.75" customHeight="1" s="1128"/>
    <row r="251" ht="15.75" customHeight="1" s="1128"/>
    <row r="252" ht="15.75" customHeight="1" s="1128"/>
    <row r="253" ht="15.75" customHeight="1" s="1128"/>
    <row r="254" ht="15.75" customHeight="1" s="1128"/>
    <row r="255" ht="15.75" customHeight="1" s="1128"/>
    <row r="256" ht="15.75" customHeight="1" s="1128"/>
    <row r="257" ht="15.75" customHeight="1" s="1128"/>
    <row r="258" ht="15.75" customHeight="1" s="1128"/>
    <row r="259" ht="15.75" customHeight="1" s="1128"/>
    <row r="260" ht="15.75" customHeight="1" s="1128"/>
    <row r="261" ht="15.75" customHeight="1" s="1128"/>
    <row r="262" ht="15.75" customHeight="1" s="1128"/>
    <row r="263" ht="15.75" customHeight="1" s="1128"/>
    <row r="264" ht="15.75" customHeight="1" s="1128"/>
    <row r="265" ht="15.75" customHeight="1" s="1128"/>
    <row r="266" ht="15.75" customHeight="1" s="1128"/>
    <row r="267" ht="15.75" customHeight="1" s="1128"/>
    <row r="268" ht="15.75" customHeight="1" s="1128"/>
    <row r="269" ht="15.75" customHeight="1" s="1128"/>
    <row r="270" ht="15.75" customHeight="1" s="1128"/>
    <row r="271" ht="15.75" customHeight="1" s="1128"/>
    <row r="272" ht="15.75" customHeight="1" s="1128"/>
    <row r="273" ht="15.75" customHeight="1" s="1128"/>
    <row r="274" ht="15.75" customHeight="1" s="1128"/>
    <row r="275" ht="15.75" customHeight="1" s="1128"/>
    <row r="276" ht="15.75" customHeight="1" s="1128"/>
    <row r="277" ht="15.75" customHeight="1" s="1128"/>
    <row r="278" ht="15.75" customHeight="1" s="1128"/>
    <row r="279" ht="15.75" customHeight="1" s="1128"/>
    <row r="280" ht="15.75" customHeight="1" s="1128"/>
    <row r="281" ht="15.75" customHeight="1" s="1128"/>
    <row r="282" ht="15.75" customHeight="1" s="1128"/>
    <row r="283" ht="15.75" customHeight="1" s="1128"/>
    <row r="284" ht="15.75" customHeight="1" s="1128"/>
    <row r="285" ht="15.75" customHeight="1" s="1128"/>
    <row r="286" ht="15.75" customHeight="1" s="1128"/>
    <row r="287" ht="15.75" customHeight="1" s="1128"/>
    <row r="288" ht="15.75" customHeight="1" s="1128"/>
    <row r="289" ht="15.75" customHeight="1" s="1128"/>
    <row r="290" ht="15.75" customHeight="1" s="1128"/>
    <row r="291" ht="15.75" customHeight="1" s="1128"/>
    <row r="292" ht="15.75" customHeight="1" s="1128"/>
    <row r="293" ht="15.75" customHeight="1" s="1128"/>
    <row r="294" ht="15.75" customHeight="1" s="1128"/>
    <row r="295" ht="15.75" customHeight="1" s="1128"/>
    <row r="296" ht="15.75" customHeight="1" s="1128"/>
    <row r="297" ht="15.75" customHeight="1" s="1128"/>
    <row r="298" ht="15.75" customHeight="1" s="1128"/>
    <row r="299" ht="15.75" customHeight="1" s="1128"/>
    <row r="300" ht="15.75" customHeight="1" s="1128"/>
    <row r="301" ht="15.75" customHeight="1" s="1128"/>
    <row r="302" ht="15.75" customHeight="1" s="1128"/>
    <row r="303" ht="15.75" customHeight="1" s="1128"/>
    <row r="304" ht="15.75" customHeight="1" s="1128"/>
    <row r="305" ht="15.75" customHeight="1" s="1128"/>
    <row r="306" ht="15.75" customHeight="1" s="1128"/>
    <row r="307" ht="15.75" customHeight="1" s="1128"/>
    <row r="308" ht="15.75" customHeight="1" s="1128"/>
    <row r="309" ht="15.75" customHeight="1" s="1128"/>
    <row r="310" ht="15.75" customHeight="1" s="1128"/>
    <row r="311" ht="15.75" customHeight="1" s="1128"/>
    <row r="312" ht="15.75" customHeight="1" s="1128"/>
    <row r="313" ht="15.75" customHeight="1" s="1128"/>
    <row r="314" ht="15.75" customHeight="1" s="1128"/>
    <row r="315" ht="15.75" customHeight="1" s="1128"/>
    <row r="316" ht="15.75" customHeight="1" s="1128"/>
    <row r="317" ht="15.75" customHeight="1" s="1128"/>
    <row r="318" ht="15.75" customHeight="1" s="1128"/>
    <row r="319" ht="15.75" customHeight="1" s="1128"/>
    <row r="320" ht="15.75" customHeight="1" s="1128"/>
    <row r="321" ht="15.75" customHeight="1" s="1128"/>
    <row r="322" ht="15.75" customHeight="1" s="1128"/>
    <row r="323" ht="15.75" customHeight="1" s="1128"/>
    <row r="324" ht="15.75" customHeight="1" s="1128"/>
    <row r="325" ht="15.75" customHeight="1" s="1128"/>
    <row r="326" ht="15.75" customHeight="1" s="1128"/>
    <row r="327" ht="15.75" customHeight="1" s="1128"/>
    <row r="328" ht="15.75" customHeight="1" s="1128"/>
    <row r="329" ht="15.75" customHeight="1" s="1128"/>
    <row r="330" ht="15.75" customHeight="1" s="1128"/>
    <row r="331" ht="15.75" customHeight="1" s="1128"/>
    <row r="332" ht="15.75" customHeight="1" s="1128"/>
    <row r="333" ht="15.75" customHeight="1" s="1128"/>
    <row r="334" ht="15.75" customHeight="1" s="1128"/>
    <row r="335" ht="15.75" customHeight="1" s="1128"/>
    <row r="336" ht="15.75" customHeight="1" s="1128"/>
    <row r="337" ht="15.75" customHeight="1" s="1128"/>
    <row r="338" ht="15.75" customHeight="1" s="1128"/>
    <row r="339" ht="15.75" customHeight="1" s="1128"/>
    <row r="340" ht="15.75" customHeight="1" s="1128"/>
    <row r="341" ht="15.75" customHeight="1" s="1128"/>
    <row r="342" ht="15.75" customHeight="1" s="1128"/>
    <row r="343" ht="15.75" customHeight="1" s="1128"/>
    <row r="344" ht="15.75" customHeight="1" s="1128"/>
    <row r="345" ht="15.75" customHeight="1" s="1128"/>
    <row r="346" ht="15.75" customHeight="1" s="1128"/>
    <row r="347" ht="15.75" customHeight="1" s="1128"/>
    <row r="348" ht="15.75" customHeight="1" s="1128"/>
    <row r="349" ht="15.75" customHeight="1" s="1128"/>
    <row r="350" ht="15.75" customHeight="1" s="1128"/>
    <row r="351" ht="15.75" customHeight="1" s="1128"/>
    <row r="352" ht="15.75" customHeight="1" s="1128"/>
    <row r="353" ht="15.75" customHeight="1" s="1128"/>
    <row r="354" ht="15.75" customHeight="1" s="1128"/>
    <row r="355" ht="15.75" customHeight="1" s="1128"/>
    <row r="356" ht="15.75" customHeight="1" s="1128"/>
    <row r="357" ht="15.75" customHeight="1" s="1128"/>
    <row r="358" ht="15.75" customHeight="1" s="1128"/>
    <row r="359" ht="15.75" customHeight="1" s="1128"/>
    <row r="360" ht="15.75" customHeight="1" s="1128"/>
    <row r="361" ht="15.75" customHeight="1" s="1128"/>
    <row r="362" ht="15.75" customHeight="1" s="1128"/>
    <row r="363" ht="15.75" customHeight="1" s="1128"/>
    <row r="364" ht="15.75" customHeight="1" s="1128"/>
    <row r="365" ht="15.75" customHeight="1" s="1128"/>
    <row r="366" ht="15.75" customHeight="1" s="1128"/>
    <row r="367" ht="15.75" customHeight="1" s="1128"/>
    <row r="368" ht="15.75" customHeight="1" s="1128"/>
    <row r="369" ht="15.75" customHeight="1" s="1128"/>
    <row r="370" ht="15.75" customHeight="1" s="1128"/>
    <row r="371" ht="15.75" customHeight="1" s="1128"/>
    <row r="372" ht="15.75" customHeight="1" s="1128"/>
    <row r="373" ht="15.75" customHeight="1" s="1128"/>
    <row r="374" ht="15.75" customHeight="1" s="1128"/>
    <row r="375" ht="15.75" customHeight="1" s="1128"/>
    <row r="376" ht="15.75" customHeight="1" s="1128"/>
    <row r="377" ht="15.75" customHeight="1" s="1128"/>
    <row r="378" ht="15.75" customHeight="1" s="1128"/>
    <row r="379" ht="15.75" customHeight="1" s="1128"/>
    <row r="380" ht="15.75" customHeight="1" s="1128"/>
    <row r="381" ht="15.75" customHeight="1" s="1128"/>
    <row r="382" ht="15.75" customHeight="1" s="1128"/>
    <row r="383" ht="15.75" customHeight="1" s="1128"/>
    <row r="384" ht="15.75" customHeight="1" s="1128"/>
    <row r="385" ht="15.75" customHeight="1" s="1128"/>
    <row r="386" ht="15.75" customHeight="1" s="1128"/>
    <row r="387" ht="15.75" customHeight="1" s="1128"/>
    <row r="388" ht="15.75" customHeight="1" s="1128"/>
    <row r="389" ht="15.75" customHeight="1" s="1128"/>
    <row r="390" ht="15.75" customHeight="1" s="1128"/>
    <row r="391" ht="15.75" customHeight="1" s="1128"/>
    <row r="392" ht="15.75" customHeight="1" s="1128"/>
    <row r="393" ht="15.75" customHeight="1" s="1128"/>
    <row r="394" ht="15.75" customHeight="1" s="1128"/>
    <row r="395" ht="15.75" customHeight="1" s="1128"/>
    <row r="396" ht="15.75" customHeight="1" s="1128"/>
    <row r="397" ht="15.75" customHeight="1" s="1128"/>
    <row r="398" ht="15.75" customHeight="1" s="1128"/>
    <row r="399" ht="15.75" customHeight="1" s="1128"/>
    <row r="400" ht="15.75" customHeight="1" s="1128"/>
    <row r="401" ht="15.75" customHeight="1" s="1128"/>
    <row r="402" ht="15.75" customHeight="1" s="1128"/>
    <row r="403" ht="15.75" customHeight="1" s="1128"/>
    <row r="404" ht="15.75" customHeight="1" s="1128"/>
    <row r="405" ht="15.75" customHeight="1" s="1128"/>
    <row r="406" ht="15.75" customHeight="1" s="1128"/>
    <row r="407" ht="15.75" customHeight="1" s="1128"/>
    <row r="408" ht="15.75" customHeight="1" s="1128"/>
    <row r="409" ht="15.75" customHeight="1" s="1128"/>
    <row r="410" ht="15.75" customHeight="1" s="1128"/>
    <row r="411" ht="15.75" customHeight="1" s="1128"/>
    <row r="412" ht="15.75" customHeight="1" s="1128"/>
    <row r="413" ht="15.75" customHeight="1" s="1128"/>
    <row r="414" ht="15.75" customHeight="1" s="1128"/>
    <row r="415" ht="15.75" customHeight="1" s="1128"/>
    <row r="416" ht="15.75" customHeight="1" s="1128"/>
    <row r="417" ht="15.75" customHeight="1" s="1128"/>
    <row r="418" ht="15.75" customHeight="1" s="1128"/>
    <row r="419" ht="15.75" customHeight="1" s="1128"/>
    <row r="420" ht="15.75" customHeight="1" s="1128"/>
    <row r="421" ht="15.75" customHeight="1" s="1128"/>
    <row r="422" ht="15.75" customHeight="1" s="1128"/>
    <row r="423" ht="15.75" customHeight="1" s="1128"/>
    <row r="424" ht="15.75" customHeight="1" s="1128"/>
    <row r="425" ht="15.75" customHeight="1" s="1128"/>
    <row r="426" ht="15.75" customHeight="1" s="1128"/>
    <row r="427" ht="15.75" customHeight="1" s="1128"/>
    <row r="428" ht="15.75" customHeight="1" s="1128"/>
    <row r="429" ht="15.75" customHeight="1" s="1128"/>
    <row r="430" ht="15.75" customHeight="1" s="1128"/>
    <row r="431" ht="15.75" customHeight="1" s="1128"/>
    <row r="432" ht="15.75" customHeight="1" s="1128"/>
    <row r="433" ht="15.75" customHeight="1" s="1128"/>
    <row r="434" ht="15.75" customHeight="1" s="1128"/>
    <row r="435" ht="15.75" customHeight="1" s="1128"/>
    <row r="436" ht="15.75" customHeight="1" s="1128"/>
    <row r="437" ht="15.75" customHeight="1" s="1128"/>
    <row r="438" ht="15.75" customHeight="1" s="1128"/>
    <row r="439" ht="15.75" customHeight="1" s="1128"/>
    <row r="440" ht="15.75" customHeight="1" s="1128"/>
    <row r="441" ht="15.75" customHeight="1" s="1128"/>
    <row r="442" ht="15.75" customHeight="1" s="1128"/>
    <row r="443" ht="15.75" customHeight="1" s="1128"/>
    <row r="444" ht="15.75" customHeight="1" s="1128"/>
    <row r="445" ht="15.75" customHeight="1" s="1128"/>
    <row r="446" ht="15.75" customHeight="1" s="1128"/>
    <row r="447" ht="15.75" customHeight="1" s="1128"/>
    <row r="448" ht="15.75" customHeight="1" s="1128"/>
    <row r="449" ht="15.75" customHeight="1" s="1128"/>
    <row r="450" ht="15.75" customHeight="1" s="1128"/>
    <row r="451" ht="15.75" customHeight="1" s="1128"/>
    <row r="452" ht="15.75" customHeight="1" s="1128"/>
    <row r="453" ht="15.75" customHeight="1" s="1128"/>
    <row r="454" ht="15.75" customHeight="1" s="1128"/>
    <row r="455" ht="15.75" customHeight="1" s="1128"/>
    <row r="456" ht="15.75" customHeight="1" s="1128"/>
    <row r="457" ht="15.75" customHeight="1" s="1128"/>
    <row r="458" ht="15.75" customHeight="1" s="1128"/>
    <row r="459" ht="15.75" customHeight="1" s="1128"/>
    <row r="460" ht="15.75" customHeight="1" s="1128"/>
    <row r="461" ht="15.75" customHeight="1" s="1128"/>
    <row r="462" ht="15.75" customHeight="1" s="1128"/>
    <row r="463" ht="15.75" customHeight="1" s="1128"/>
    <row r="464" ht="15.75" customHeight="1" s="1128"/>
    <row r="465" ht="15.75" customHeight="1" s="1128"/>
    <row r="466" ht="15.75" customHeight="1" s="1128"/>
    <row r="467" ht="15.75" customHeight="1" s="1128"/>
    <row r="468" ht="15.75" customHeight="1" s="1128"/>
    <row r="469" ht="15.75" customHeight="1" s="1128"/>
    <row r="470" ht="15.75" customHeight="1" s="1128"/>
    <row r="471" ht="15.75" customHeight="1" s="1128"/>
    <row r="472" ht="15.75" customHeight="1" s="1128"/>
    <row r="473" ht="15.75" customHeight="1" s="1128"/>
    <row r="474" ht="15.75" customHeight="1" s="1128"/>
    <row r="475" ht="15.75" customHeight="1" s="1128"/>
    <row r="476" ht="15.75" customHeight="1" s="1128"/>
    <row r="477" ht="15.75" customHeight="1" s="1128"/>
    <row r="478" ht="15.75" customHeight="1" s="1128"/>
    <row r="479" ht="15.75" customHeight="1" s="1128"/>
    <row r="480" ht="15.75" customHeight="1" s="1128"/>
    <row r="481" ht="15.75" customHeight="1" s="1128"/>
    <row r="482" ht="15.75" customHeight="1" s="1128"/>
    <row r="483" ht="15.75" customHeight="1" s="1128"/>
    <row r="484" ht="15.75" customHeight="1" s="1128"/>
    <row r="485" ht="15.75" customHeight="1" s="1128"/>
    <row r="486" ht="15.75" customHeight="1" s="1128"/>
    <row r="487" ht="15.75" customHeight="1" s="1128"/>
    <row r="488" ht="15.75" customHeight="1" s="1128"/>
    <row r="489" ht="15.75" customHeight="1" s="1128"/>
    <row r="490" ht="15.75" customHeight="1" s="1128"/>
    <row r="491" ht="15.75" customHeight="1" s="1128"/>
    <row r="492" ht="15.75" customHeight="1" s="1128"/>
    <row r="493" ht="15.75" customHeight="1" s="1128"/>
    <row r="494" ht="15.75" customHeight="1" s="1128"/>
    <row r="495" ht="15.75" customHeight="1" s="1128"/>
    <row r="496" ht="15.75" customHeight="1" s="1128"/>
    <row r="497" ht="15.75" customHeight="1" s="1128"/>
    <row r="498" ht="15.75" customHeight="1" s="1128"/>
    <row r="499" ht="15.75" customHeight="1" s="1128"/>
    <row r="500" ht="15.75" customHeight="1" s="1128"/>
    <row r="501" ht="15.75" customHeight="1" s="1128"/>
    <row r="502" ht="15.75" customHeight="1" s="1128"/>
    <row r="503" ht="15.75" customHeight="1" s="1128"/>
    <row r="504" ht="15.75" customHeight="1" s="1128"/>
    <row r="505" ht="15.75" customHeight="1" s="1128"/>
    <row r="506" ht="15.75" customHeight="1" s="1128"/>
    <row r="507" ht="15.75" customHeight="1" s="1128"/>
    <row r="508" ht="15.75" customHeight="1" s="1128"/>
    <row r="509" ht="15.75" customHeight="1" s="1128"/>
    <row r="510" ht="15.75" customHeight="1" s="1128"/>
    <row r="511" ht="15.75" customHeight="1" s="1128"/>
    <row r="512" ht="15.75" customHeight="1" s="1128"/>
    <row r="513" ht="15.75" customHeight="1" s="1128"/>
    <row r="514" ht="15.75" customHeight="1" s="1128"/>
    <row r="515" ht="15.75" customHeight="1" s="1128"/>
    <row r="516" ht="15.75" customHeight="1" s="1128"/>
    <row r="517" ht="15.75" customHeight="1" s="1128"/>
    <row r="518" ht="15.75" customHeight="1" s="1128"/>
    <row r="519" ht="15.75" customHeight="1" s="1128"/>
    <row r="520" ht="15.75" customHeight="1" s="1128"/>
    <row r="521" ht="15.75" customHeight="1" s="1128"/>
    <row r="522" ht="15.75" customHeight="1" s="1128"/>
    <row r="523" ht="15.75" customHeight="1" s="1128"/>
    <row r="524" ht="15.75" customHeight="1" s="1128"/>
    <row r="525" ht="15.75" customHeight="1" s="1128"/>
    <row r="526" ht="15.75" customHeight="1" s="1128"/>
    <row r="527" ht="15.75" customHeight="1" s="1128"/>
    <row r="528" ht="15.75" customHeight="1" s="1128"/>
    <row r="529" ht="15.75" customHeight="1" s="1128"/>
    <row r="530" ht="15.75" customHeight="1" s="1128"/>
    <row r="531" ht="15.75" customHeight="1" s="1128"/>
    <row r="532" ht="15.75" customHeight="1" s="1128"/>
    <row r="533" ht="15.75" customHeight="1" s="1128"/>
    <row r="534" ht="15.75" customHeight="1" s="1128"/>
    <row r="535" ht="15.75" customHeight="1" s="1128"/>
    <row r="536" ht="15.75" customHeight="1" s="1128"/>
    <row r="537" ht="15.75" customHeight="1" s="1128"/>
    <row r="538" ht="15.75" customHeight="1" s="1128"/>
    <row r="539" ht="15.75" customHeight="1" s="1128"/>
    <row r="540" ht="15.75" customHeight="1" s="1128"/>
    <row r="541" ht="15.75" customHeight="1" s="1128"/>
    <row r="542" ht="15.75" customHeight="1" s="1128"/>
    <row r="543" ht="15.75" customHeight="1" s="1128"/>
    <row r="544" ht="15.75" customHeight="1" s="1128"/>
    <row r="545" ht="15.75" customHeight="1" s="1128"/>
    <row r="546" ht="15.75" customHeight="1" s="1128"/>
    <row r="547" ht="15.75" customHeight="1" s="1128"/>
    <row r="548" ht="15.75" customHeight="1" s="1128"/>
    <row r="549" ht="15.75" customHeight="1" s="1128"/>
    <row r="550" ht="15.75" customHeight="1" s="1128"/>
    <row r="551" ht="15.75" customHeight="1" s="1128"/>
    <row r="552" ht="15.75" customHeight="1" s="1128"/>
    <row r="553" ht="15.75" customHeight="1" s="1128"/>
    <row r="554" ht="15.75" customHeight="1" s="1128"/>
    <row r="555" ht="15.75" customHeight="1" s="1128"/>
    <row r="556" ht="15.75" customHeight="1" s="1128"/>
    <row r="557" ht="15.75" customHeight="1" s="1128"/>
    <row r="558" ht="15.75" customHeight="1" s="1128"/>
    <row r="559" ht="15.75" customHeight="1" s="1128"/>
    <row r="560" ht="15.75" customHeight="1" s="1128"/>
    <row r="561" ht="15.75" customHeight="1" s="1128"/>
    <row r="562" ht="15.75" customHeight="1" s="1128"/>
    <row r="563" ht="15.75" customHeight="1" s="1128"/>
    <row r="564" ht="15.75" customHeight="1" s="1128"/>
    <row r="565" ht="15.75" customHeight="1" s="1128"/>
    <row r="566" ht="15.75" customHeight="1" s="1128"/>
    <row r="567" ht="15.75" customHeight="1" s="1128"/>
    <row r="568" ht="15.75" customHeight="1" s="1128"/>
    <row r="569" ht="15.75" customHeight="1" s="1128"/>
    <row r="570" ht="15.75" customHeight="1" s="1128"/>
    <row r="571" ht="15.75" customHeight="1" s="1128"/>
    <row r="572" ht="15.75" customHeight="1" s="1128"/>
    <row r="573" ht="15.75" customHeight="1" s="1128"/>
    <row r="574" ht="15.75" customHeight="1" s="1128"/>
    <row r="575" ht="15.75" customHeight="1" s="1128"/>
    <row r="576" ht="15.75" customHeight="1" s="1128"/>
    <row r="577" ht="15.75" customHeight="1" s="1128"/>
    <row r="578" ht="15.75" customHeight="1" s="1128"/>
    <row r="579" ht="15.75" customHeight="1" s="1128"/>
    <row r="580" ht="15.75" customHeight="1" s="1128"/>
    <row r="581" ht="15.75" customHeight="1" s="1128"/>
    <row r="582" ht="15.75" customHeight="1" s="1128"/>
    <row r="583" ht="15.75" customHeight="1" s="1128"/>
    <row r="584" ht="15.75" customHeight="1" s="1128"/>
    <row r="585" ht="15.75" customHeight="1" s="1128"/>
    <row r="586" ht="15.75" customHeight="1" s="1128"/>
    <row r="587" ht="15.75" customHeight="1" s="1128"/>
    <row r="588" ht="15.75" customHeight="1" s="1128"/>
    <row r="589" ht="15.75" customHeight="1" s="1128"/>
    <row r="590" ht="15.75" customHeight="1" s="1128"/>
    <row r="591" ht="15.75" customHeight="1" s="1128"/>
    <row r="592" ht="15.75" customHeight="1" s="1128"/>
    <row r="593" ht="15.75" customHeight="1" s="1128"/>
    <row r="594" ht="15.75" customHeight="1" s="1128"/>
    <row r="595" ht="15.75" customHeight="1" s="1128"/>
    <row r="596" ht="15.75" customHeight="1" s="1128"/>
    <row r="597" ht="15.75" customHeight="1" s="1128"/>
    <row r="598" ht="15.75" customHeight="1" s="1128"/>
    <row r="599" ht="15.75" customHeight="1" s="1128"/>
    <row r="600" ht="15.75" customHeight="1" s="1128"/>
    <row r="601" ht="15.75" customHeight="1" s="1128"/>
    <row r="602" ht="15.75" customHeight="1" s="1128"/>
    <row r="603" ht="15.75" customHeight="1" s="1128"/>
    <row r="604" ht="15.75" customHeight="1" s="1128"/>
    <row r="605" ht="15.75" customHeight="1" s="1128"/>
    <row r="606" ht="15.75" customHeight="1" s="1128"/>
    <row r="607" ht="15.75" customHeight="1" s="1128"/>
    <row r="608" ht="15.75" customHeight="1" s="1128"/>
    <row r="609" ht="15.75" customHeight="1" s="1128"/>
    <row r="610" ht="15.75" customHeight="1" s="1128"/>
    <row r="611" ht="15.75" customHeight="1" s="1128"/>
    <row r="612" ht="15.75" customHeight="1" s="1128"/>
    <row r="613" ht="15.75" customHeight="1" s="1128"/>
    <row r="614" ht="15.75" customHeight="1" s="1128"/>
    <row r="615" ht="15.75" customHeight="1" s="1128"/>
    <row r="616" ht="15.75" customHeight="1" s="1128"/>
    <row r="617" ht="15.75" customHeight="1" s="1128"/>
    <row r="618" ht="15.75" customHeight="1" s="1128"/>
    <row r="619" ht="15.75" customHeight="1" s="1128"/>
    <row r="620" ht="15.75" customHeight="1" s="1128"/>
    <row r="621" ht="15.75" customHeight="1" s="1128"/>
    <row r="622" ht="15.75" customHeight="1" s="1128"/>
    <row r="623" ht="15.75" customHeight="1" s="1128"/>
    <row r="624" ht="15.75" customHeight="1" s="1128"/>
    <row r="625" ht="15.75" customHeight="1" s="1128"/>
    <row r="626" ht="15.75" customHeight="1" s="1128"/>
    <row r="627" ht="15.75" customHeight="1" s="1128"/>
    <row r="628" ht="15.75" customHeight="1" s="1128"/>
    <row r="629" ht="15.75" customHeight="1" s="1128"/>
    <row r="630" ht="15.75" customHeight="1" s="1128"/>
    <row r="631" ht="15.75" customHeight="1" s="1128"/>
    <row r="632" ht="15.75" customHeight="1" s="1128"/>
    <row r="633" ht="15.75" customHeight="1" s="1128"/>
    <row r="634" ht="15.75" customHeight="1" s="1128"/>
    <row r="635" ht="15.75" customHeight="1" s="1128"/>
    <row r="636" ht="15.75" customHeight="1" s="1128"/>
    <row r="637" ht="15.75" customHeight="1" s="1128"/>
    <row r="638" ht="15.75" customHeight="1" s="1128"/>
    <row r="639" ht="15.75" customHeight="1" s="1128"/>
    <row r="640" ht="15.75" customHeight="1" s="1128"/>
    <row r="641" ht="15.75" customHeight="1" s="1128"/>
    <row r="642" ht="15.75" customHeight="1" s="1128"/>
    <row r="643" ht="15.75" customHeight="1" s="1128"/>
    <row r="644" ht="15.75" customHeight="1" s="1128"/>
    <row r="645" ht="15.75" customHeight="1" s="1128"/>
    <row r="646" ht="15.75" customHeight="1" s="1128"/>
    <row r="647" ht="15.75" customHeight="1" s="1128"/>
    <row r="648" ht="15.75" customHeight="1" s="1128"/>
    <row r="649" ht="15.75" customHeight="1" s="1128"/>
    <row r="650" ht="15.75" customHeight="1" s="1128"/>
    <row r="651" ht="15.75" customHeight="1" s="1128"/>
    <row r="652" ht="15.75" customHeight="1" s="1128"/>
    <row r="653" ht="15.75" customHeight="1" s="1128"/>
    <row r="654" ht="15.75" customHeight="1" s="1128"/>
    <row r="655" ht="15.75" customHeight="1" s="1128"/>
    <row r="656" ht="15.75" customHeight="1" s="1128"/>
    <row r="657" ht="15.75" customHeight="1" s="1128"/>
    <row r="658" ht="15.75" customHeight="1" s="1128"/>
    <row r="659" ht="15.75" customHeight="1" s="1128"/>
    <row r="660" ht="15.75" customHeight="1" s="1128"/>
    <row r="661" ht="15.75" customHeight="1" s="1128"/>
    <row r="662" ht="15.75" customHeight="1" s="1128"/>
    <row r="663" ht="15.75" customHeight="1" s="1128"/>
    <row r="664" ht="15.75" customHeight="1" s="1128"/>
    <row r="665" ht="15.75" customHeight="1" s="1128"/>
    <row r="666" ht="15.75" customHeight="1" s="1128"/>
    <row r="667" ht="15.75" customHeight="1" s="1128"/>
    <row r="668" ht="15.75" customHeight="1" s="1128"/>
    <row r="669" ht="15.75" customHeight="1" s="1128"/>
    <row r="670" ht="15.75" customHeight="1" s="1128"/>
    <row r="671" ht="15.75" customHeight="1" s="1128"/>
    <row r="672" ht="15.75" customHeight="1" s="1128"/>
    <row r="673" ht="15.75" customHeight="1" s="1128"/>
    <row r="674" ht="15.75" customHeight="1" s="1128"/>
    <row r="675" ht="15.75" customHeight="1" s="1128"/>
    <row r="676" ht="15.75" customHeight="1" s="1128"/>
    <row r="677" ht="15.75" customHeight="1" s="1128"/>
    <row r="678" ht="15.75" customHeight="1" s="1128"/>
    <row r="679" ht="15.75" customHeight="1" s="1128"/>
    <row r="680" ht="15.75" customHeight="1" s="1128"/>
    <row r="681" ht="15.75" customHeight="1" s="1128"/>
    <row r="682" ht="15.75" customHeight="1" s="1128"/>
    <row r="683" ht="15.75" customHeight="1" s="1128"/>
    <row r="684" ht="15.75" customHeight="1" s="1128"/>
    <row r="685" ht="15.75" customHeight="1" s="1128"/>
    <row r="686" ht="15.75" customHeight="1" s="1128"/>
    <row r="687" ht="15.75" customHeight="1" s="1128"/>
    <row r="688" ht="15.75" customHeight="1" s="1128"/>
    <row r="689" ht="15.75" customHeight="1" s="1128"/>
    <row r="690" ht="15.75" customHeight="1" s="1128"/>
    <row r="691" ht="15.75" customHeight="1" s="1128"/>
    <row r="692" ht="15.75" customHeight="1" s="1128"/>
    <row r="693" ht="15.75" customHeight="1" s="1128"/>
    <row r="694" ht="15.75" customHeight="1" s="1128"/>
    <row r="695" ht="15.75" customHeight="1" s="1128"/>
    <row r="696" ht="15.75" customHeight="1" s="1128"/>
    <row r="697" ht="15.75" customHeight="1" s="1128"/>
    <row r="698" ht="15.75" customHeight="1" s="1128"/>
    <row r="699" ht="15.75" customHeight="1" s="1128"/>
    <row r="700" ht="15.75" customHeight="1" s="1128"/>
    <row r="701" ht="15.75" customHeight="1" s="1128"/>
    <row r="702" ht="15.75" customHeight="1" s="1128"/>
    <row r="703" ht="15.75" customHeight="1" s="1128"/>
    <row r="704" ht="15.75" customHeight="1" s="1128"/>
    <row r="705" ht="15.75" customHeight="1" s="1128"/>
    <row r="706" ht="15.75" customHeight="1" s="1128"/>
    <row r="707" ht="15.75" customHeight="1" s="1128"/>
    <row r="708" ht="15.75" customHeight="1" s="1128"/>
    <row r="709" ht="15.75" customHeight="1" s="1128"/>
    <row r="710" ht="15.75" customHeight="1" s="1128"/>
    <row r="711" ht="15.75" customHeight="1" s="1128"/>
    <row r="712" ht="15.75" customHeight="1" s="1128"/>
    <row r="713" ht="15.75" customHeight="1" s="1128"/>
    <row r="714" ht="15.75" customHeight="1" s="1128"/>
    <row r="715" ht="15.75" customHeight="1" s="1128"/>
    <row r="716" ht="15.75" customHeight="1" s="1128"/>
    <row r="717" ht="15.75" customHeight="1" s="1128"/>
    <row r="718" ht="15.75" customHeight="1" s="1128"/>
    <row r="719" ht="15.75" customHeight="1" s="1128"/>
    <row r="720" ht="15.75" customHeight="1" s="1128"/>
    <row r="721" ht="15.75" customHeight="1" s="1128"/>
    <row r="722" ht="15.75" customHeight="1" s="1128"/>
    <row r="723" ht="15.75" customHeight="1" s="1128"/>
    <row r="724" ht="15.75" customHeight="1" s="1128"/>
    <row r="725" ht="15.75" customHeight="1" s="1128"/>
    <row r="726" ht="15.75" customHeight="1" s="1128"/>
    <row r="727" ht="15.75" customHeight="1" s="1128"/>
    <row r="728" ht="15.75" customHeight="1" s="1128"/>
    <row r="729" ht="15.75" customHeight="1" s="1128"/>
    <row r="730" ht="15.75" customHeight="1" s="1128"/>
    <row r="731" ht="15.75" customHeight="1" s="1128"/>
    <row r="732" ht="15.75" customHeight="1" s="1128"/>
    <row r="733" ht="15.75" customHeight="1" s="1128"/>
    <row r="734" ht="15.75" customHeight="1" s="1128"/>
    <row r="735" ht="15.75" customHeight="1" s="1128"/>
    <row r="736" ht="15.75" customHeight="1" s="1128"/>
    <row r="737" ht="15.75" customHeight="1" s="1128"/>
    <row r="738" ht="15.75" customHeight="1" s="1128"/>
    <row r="739" ht="15.75" customHeight="1" s="1128"/>
    <row r="740" ht="15.75" customHeight="1" s="1128"/>
    <row r="741" ht="15.75" customHeight="1" s="1128"/>
    <row r="742" ht="15.75" customHeight="1" s="1128"/>
    <row r="743" ht="15.75" customHeight="1" s="1128"/>
    <row r="744" ht="15.75" customHeight="1" s="1128"/>
    <row r="745" ht="15.75" customHeight="1" s="1128"/>
    <row r="746" ht="15.75" customHeight="1" s="1128"/>
    <row r="747" ht="15.75" customHeight="1" s="1128"/>
    <row r="748" ht="15.75" customHeight="1" s="1128"/>
    <row r="749" ht="15.75" customHeight="1" s="1128"/>
    <row r="750" ht="15.75" customHeight="1" s="1128"/>
    <row r="751" ht="15.75" customHeight="1" s="1128"/>
    <row r="752" ht="15.75" customHeight="1" s="1128"/>
    <row r="753" ht="15.75" customHeight="1" s="1128"/>
    <row r="754" ht="15.75" customHeight="1" s="1128"/>
    <row r="755" ht="15.75" customHeight="1" s="1128"/>
    <row r="756" ht="15.75" customHeight="1" s="1128"/>
    <row r="757" ht="15.75" customHeight="1" s="1128"/>
    <row r="758" ht="15.75" customHeight="1" s="1128"/>
    <row r="759" ht="15.75" customHeight="1" s="1128"/>
    <row r="760" ht="15.75" customHeight="1" s="1128"/>
    <row r="761" ht="15.75" customHeight="1" s="1128"/>
    <row r="762" ht="15.75" customHeight="1" s="1128"/>
    <row r="763" ht="15.75" customHeight="1" s="1128"/>
    <row r="764" ht="15.75" customHeight="1" s="1128"/>
    <row r="765" ht="15.75" customHeight="1" s="1128"/>
    <row r="766" ht="15.75" customHeight="1" s="1128"/>
    <row r="767" ht="15.75" customHeight="1" s="1128"/>
    <row r="768" ht="15.75" customHeight="1" s="1128"/>
    <row r="769" ht="15.75" customHeight="1" s="1128"/>
    <row r="770" ht="15.75" customHeight="1" s="1128"/>
    <row r="771" ht="15.75" customHeight="1" s="1128"/>
    <row r="772" ht="15.75" customHeight="1" s="1128"/>
    <row r="773" ht="15.75" customHeight="1" s="1128"/>
    <row r="774" ht="15.75" customHeight="1" s="1128"/>
    <row r="775" ht="15.75" customHeight="1" s="1128"/>
    <row r="776" ht="15.75" customHeight="1" s="1128"/>
    <row r="777" ht="15.75" customHeight="1" s="1128"/>
    <row r="778" ht="15.75" customHeight="1" s="1128"/>
    <row r="779" ht="15.75" customHeight="1" s="1128"/>
    <row r="780" ht="15.75" customHeight="1" s="1128"/>
    <row r="781" ht="15.75" customHeight="1" s="1128"/>
    <row r="782" ht="15.75" customHeight="1" s="1128"/>
    <row r="783" ht="15.75" customHeight="1" s="1128"/>
    <row r="784" ht="15.75" customHeight="1" s="1128"/>
    <row r="785" ht="15.75" customHeight="1" s="1128"/>
    <row r="786" ht="15.75" customHeight="1" s="1128"/>
    <row r="787" ht="15.75" customHeight="1" s="1128"/>
    <row r="788" ht="15.75" customHeight="1" s="1128"/>
    <row r="789" ht="15.75" customHeight="1" s="1128"/>
    <row r="790" ht="15.75" customHeight="1" s="1128"/>
    <row r="791" ht="15.75" customHeight="1" s="1128"/>
    <row r="792" ht="15.75" customHeight="1" s="1128"/>
    <row r="793" ht="15.75" customHeight="1" s="1128"/>
    <row r="794" ht="15.75" customHeight="1" s="1128"/>
    <row r="795" ht="15.75" customHeight="1" s="1128"/>
    <row r="796" ht="15.75" customHeight="1" s="1128"/>
    <row r="797" ht="15.75" customHeight="1" s="1128"/>
    <row r="798" ht="15.75" customHeight="1" s="1128"/>
    <row r="799" ht="15.75" customHeight="1" s="1128"/>
    <row r="800" ht="15.75" customHeight="1" s="1128"/>
    <row r="801" ht="15.75" customHeight="1" s="1128"/>
    <row r="802" ht="15.75" customHeight="1" s="1128"/>
    <row r="803" ht="15.75" customHeight="1" s="1128"/>
    <row r="804" ht="15.75" customHeight="1" s="1128"/>
    <row r="805" ht="15.75" customHeight="1" s="1128"/>
    <row r="806" ht="15.75" customHeight="1" s="1128"/>
    <row r="807" ht="15.75" customHeight="1" s="1128"/>
    <row r="808" ht="15.75" customHeight="1" s="1128"/>
    <row r="809" ht="15.75" customHeight="1" s="1128"/>
    <row r="810" ht="15.75" customHeight="1" s="1128"/>
    <row r="811" ht="15.75" customHeight="1" s="1128"/>
    <row r="812" ht="15.75" customHeight="1" s="1128"/>
    <row r="813" ht="15.75" customHeight="1" s="1128"/>
    <row r="814" ht="15.75" customHeight="1" s="1128"/>
    <row r="815" ht="15.75" customHeight="1" s="1128"/>
    <row r="816" ht="15.75" customHeight="1" s="1128"/>
    <row r="817" ht="15.75" customHeight="1" s="1128"/>
    <row r="818" ht="15.75" customHeight="1" s="1128"/>
    <row r="819" ht="15.75" customHeight="1" s="1128"/>
    <row r="820" ht="15.75" customHeight="1" s="1128"/>
    <row r="821" ht="15.75" customHeight="1" s="1128"/>
    <row r="822" ht="15.75" customHeight="1" s="1128"/>
    <row r="823" ht="15.75" customHeight="1" s="1128"/>
    <row r="824" ht="15.75" customHeight="1" s="1128"/>
    <row r="825" ht="15.75" customHeight="1" s="1128"/>
    <row r="826" ht="15.75" customHeight="1" s="1128"/>
    <row r="827" ht="15.75" customHeight="1" s="1128"/>
    <row r="828" ht="15.75" customHeight="1" s="1128"/>
    <row r="829" ht="15.75" customHeight="1" s="1128"/>
    <row r="830" ht="15.75" customHeight="1" s="1128"/>
    <row r="831" ht="15.75" customHeight="1" s="1128"/>
    <row r="832" ht="15.75" customHeight="1" s="1128"/>
    <row r="833" ht="15.75" customHeight="1" s="1128"/>
    <row r="834" ht="15.75" customHeight="1" s="1128"/>
    <row r="835" ht="15.75" customHeight="1" s="1128"/>
    <row r="836" ht="15.75" customHeight="1" s="1128"/>
    <row r="837" ht="15.75" customHeight="1" s="1128"/>
    <row r="838" ht="15.75" customHeight="1" s="1128"/>
    <row r="839" ht="15.75" customHeight="1" s="1128"/>
    <row r="840" ht="15.75" customHeight="1" s="1128"/>
    <row r="841" ht="15.75" customHeight="1" s="1128"/>
    <row r="842" ht="15.75" customHeight="1" s="1128"/>
    <row r="843" ht="15.75" customHeight="1" s="1128"/>
    <row r="844" ht="15.75" customHeight="1" s="1128"/>
    <row r="845" ht="15.75" customHeight="1" s="1128"/>
    <row r="846" ht="15.75" customHeight="1" s="1128"/>
    <row r="847" ht="15.75" customHeight="1" s="1128"/>
    <row r="848" ht="15.75" customHeight="1" s="1128"/>
    <row r="849" ht="15.75" customHeight="1" s="1128"/>
    <row r="850" ht="15.75" customHeight="1" s="1128"/>
    <row r="851" ht="15.75" customHeight="1" s="1128"/>
    <row r="852" ht="15.75" customHeight="1" s="1128"/>
    <row r="853" ht="15.75" customHeight="1" s="1128"/>
    <row r="854" ht="15.75" customHeight="1" s="1128"/>
    <row r="855" ht="15.75" customHeight="1" s="1128"/>
    <row r="856" ht="15.75" customHeight="1" s="1128"/>
    <row r="857" ht="15.75" customHeight="1" s="1128"/>
    <row r="858" ht="15.75" customHeight="1" s="1128"/>
    <row r="859" ht="15.75" customHeight="1" s="1128"/>
    <row r="860" ht="15.75" customHeight="1" s="1128"/>
    <row r="861" ht="15.75" customHeight="1" s="1128"/>
    <row r="862" ht="15.75" customHeight="1" s="1128"/>
    <row r="863" ht="15.75" customHeight="1" s="1128"/>
    <row r="864" ht="15.75" customHeight="1" s="1128"/>
    <row r="865" ht="15.75" customHeight="1" s="1128"/>
    <row r="866" ht="15.75" customHeight="1" s="1128"/>
    <row r="867" ht="15.75" customHeight="1" s="1128"/>
    <row r="868" ht="15.75" customHeight="1" s="1128"/>
    <row r="869" ht="15.75" customHeight="1" s="1128"/>
    <row r="870" ht="15.75" customHeight="1" s="1128"/>
    <row r="871" ht="15.75" customHeight="1" s="1128"/>
    <row r="872" ht="15.75" customHeight="1" s="1128"/>
    <row r="873" ht="15.75" customHeight="1" s="1128"/>
    <row r="874" ht="15.75" customHeight="1" s="1128"/>
    <row r="875" ht="15.75" customHeight="1" s="1128"/>
    <row r="876" ht="15.75" customHeight="1" s="1128"/>
    <row r="877" ht="15.75" customHeight="1" s="1128"/>
    <row r="878" ht="15.75" customHeight="1" s="1128"/>
    <row r="879" ht="15.75" customHeight="1" s="1128"/>
    <row r="880" ht="15.75" customHeight="1" s="1128"/>
    <row r="881" ht="15.75" customHeight="1" s="1128"/>
    <row r="882" ht="15.75" customHeight="1" s="1128"/>
    <row r="883" ht="15.75" customHeight="1" s="1128"/>
    <row r="884" ht="15.75" customHeight="1" s="1128"/>
    <row r="885" ht="15.75" customHeight="1" s="1128"/>
    <row r="886" ht="15.75" customHeight="1" s="1128"/>
    <row r="887" ht="15.75" customHeight="1" s="1128"/>
    <row r="888" ht="15.75" customHeight="1" s="1128"/>
    <row r="889" ht="15.75" customHeight="1" s="1128"/>
    <row r="890" ht="15.75" customHeight="1" s="1128"/>
    <row r="891" ht="15.75" customHeight="1" s="1128"/>
    <row r="892" ht="15.75" customHeight="1" s="1128"/>
    <row r="893" ht="15.75" customHeight="1" s="1128"/>
    <row r="894" ht="15.75" customHeight="1" s="1128"/>
    <row r="895" ht="15.75" customHeight="1" s="1128"/>
    <row r="896" ht="15.75" customHeight="1" s="1128"/>
    <row r="897" ht="15.75" customHeight="1" s="1128"/>
    <row r="898" ht="15.75" customHeight="1" s="1128"/>
    <row r="899" ht="15.75" customHeight="1" s="1128"/>
    <row r="900" ht="15.75" customHeight="1" s="1128"/>
    <row r="901" ht="15.75" customHeight="1" s="1128"/>
    <row r="902" ht="15.75" customHeight="1" s="1128"/>
    <row r="903" ht="15.75" customHeight="1" s="1128"/>
    <row r="904" ht="15.75" customHeight="1" s="1128"/>
    <row r="905" ht="15.75" customHeight="1" s="1128"/>
    <row r="906" ht="15.75" customHeight="1" s="1128"/>
    <row r="907" ht="15.75" customHeight="1" s="1128"/>
    <row r="908" ht="15.75" customHeight="1" s="1128"/>
    <row r="909" ht="15.75" customHeight="1" s="1128"/>
    <row r="910" ht="15.75" customHeight="1" s="1128"/>
    <row r="911" ht="15.75" customHeight="1" s="1128"/>
    <row r="912" ht="15.75" customHeight="1" s="1128"/>
    <row r="913" ht="15.75" customHeight="1" s="1128"/>
    <row r="914" ht="15.75" customHeight="1" s="1128"/>
    <row r="915" ht="15.75" customHeight="1" s="1128"/>
    <row r="916" ht="15.75" customHeight="1" s="1128"/>
    <row r="917" ht="15.75" customHeight="1" s="1128"/>
    <row r="918" ht="15.75" customHeight="1" s="1128"/>
    <row r="919" ht="15.75" customHeight="1" s="1128"/>
    <row r="920" ht="15.75" customHeight="1" s="1128"/>
    <row r="921" ht="15.75" customHeight="1" s="1128"/>
    <row r="922" ht="15.75" customHeight="1" s="1128"/>
    <row r="923" ht="15.75" customHeight="1" s="1128"/>
    <row r="924" ht="15.75" customHeight="1" s="1128"/>
    <row r="925" ht="15.75" customHeight="1" s="1128"/>
    <row r="926" ht="15.75" customHeight="1" s="1128"/>
    <row r="927" ht="15.75" customHeight="1" s="1128"/>
    <row r="928" ht="15.75" customHeight="1" s="1128"/>
    <row r="929" ht="15.75" customHeight="1" s="1128"/>
    <row r="930" ht="15.75" customHeight="1" s="1128"/>
    <row r="931" ht="15.75" customHeight="1" s="1128"/>
    <row r="932" ht="15.75" customHeight="1" s="1128"/>
    <row r="933" ht="15.75" customHeight="1" s="1128"/>
    <row r="934" ht="15.75" customHeight="1" s="1128"/>
    <row r="935" ht="15.75" customHeight="1" s="1128"/>
    <row r="936" ht="15.75" customHeight="1" s="1128"/>
    <row r="937" ht="15.75" customHeight="1" s="1128"/>
    <row r="938" ht="15.75" customHeight="1" s="1128"/>
    <row r="939" ht="15.75" customHeight="1" s="1128"/>
    <row r="940" ht="15.75" customHeight="1" s="1128"/>
    <row r="941" ht="15.75" customHeight="1" s="1128"/>
    <row r="942" ht="15.75" customHeight="1" s="1128"/>
    <row r="943" ht="15.75" customHeight="1" s="1128"/>
    <row r="944" ht="15.75" customHeight="1" s="1128"/>
    <row r="945" ht="15.75" customHeight="1" s="1128"/>
    <row r="946" ht="15.75" customHeight="1" s="1128"/>
    <row r="947" ht="15.75" customHeight="1" s="1128"/>
    <row r="948" ht="15.75" customHeight="1" s="1128"/>
    <row r="949" ht="15.75" customHeight="1" s="1128"/>
    <row r="950" ht="15.75" customHeight="1" s="1128"/>
    <row r="951" ht="15.75" customHeight="1" s="1128"/>
    <row r="952" ht="15.75" customHeight="1" s="1128"/>
    <row r="953" ht="15.75" customHeight="1" s="1128"/>
    <row r="954" ht="15.75" customHeight="1" s="1128"/>
    <row r="955" ht="15.75" customHeight="1" s="1128"/>
    <row r="956" ht="15.75" customHeight="1" s="1128"/>
    <row r="957" ht="15.75" customHeight="1" s="1128"/>
    <row r="958" ht="15.75" customHeight="1" s="1128"/>
    <row r="959" ht="15.75" customHeight="1" s="1128"/>
    <row r="960" ht="15.75" customHeight="1" s="1128"/>
    <row r="961" ht="15.75" customHeight="1" s="1128"/>
    <row r="962" ht="15.75" customHeight="1" s="1128"/>
    <row r="963" ht="15.75" customHeight="1" s="1128"/>
    <row r="964" ht="15.75" customHeight="1" s="1128"/>
    <row r="965" ht="15.75" customHeight="1" s="1128"/>
    <row r="966" ht="15.75" customHeight="1" s="1128"/>
    <row r="967" ht="15.75" customHeight="1" s="1128"/>
    <row r="968" ht="15.75" customHeight="1" s="1128"/>
    <row r="969" ht="15.75" customHeight="1" s="1128"/>
    <row r="970" ht="15.75" customHeight="1" s="1128"/>
    <row r="971" ht="15.75" customHeight="1" s="1128"/>
    <row r="972" ht="15.75" customHeight="1" s="1128"/>
    <row r="973" ht="15.75" customHeight="1" s="1128"/>
    <row r="974" ht="15.75" customHeight="1" s="1128"/>
    <row r="975" ht="15.75" customHeight="1" s="1128"/>
    <row r="976" ht="15.75" customHeight="1" s="1128"/>
    <row r="977" ht="15.75" customHeight="1" s="1128"/>
    <row r="978" ht="15.75" customHeight="1" s="1128"/>
    <row r="979" ht="15.75" customHeight="1" s="1128"/>
    <row r="980" ht="15.75" customHeight="1" s="1128"/>
    <row r="981" ht="15.75" customHeight="1" s="1128"/>
    <row r="982" ht="15.75" customHeight="1" s="1128"/>
    <row r="983" ht="15.75" customHeight="1" s="1128"/>
    <row r="984" ht="15.75" customHeight="1" s="1128"/>
    <row r="985" ht="15.75" customHeight="1" s="1128"/>
    <row r="986" ht="15.75" customHeight="1" s="1128"/>
    <row r="987" ht="15.75" customHeight="1" s="1128"/>
    <row r="988" ht="15.75" customHeight="1" s="1128"/>
    <row r="989" ht="15.75" customHeight="1" s="1128"/>
    <row r="990" ht="15.75" customHeight="1" s="1128"/>
    <row r="991" ht="15.75" customHeight="1" s="1128"/>
    <row r="992" ht="15.75" customHeight="1" s="1128"/>
    <row r="993" ht="15.75" customHeight="1" s="1128"/>
    <row r="994" ht="15.75" customHeight="1" s="1128"/>
    <row r="995" ht="15.75" customHeight="1" s="1128"/>
    <row r="996" ht="15.75" customHeight="1" s="1128"/>
    <row r="997" ht="15.75" customHeight="1" s="1128"/>
    <row r="998" ht="15.75" customHeight="1" s="1128"/>
    <row r="999" ht="15.75" customHeight="1" s="1128"/>
    <row r="1000" ht="15.75" customHeight="1" s="1128"/>
    <row r="1001" ht="15.75" customHeight="1" s="1128"/>
    <row r="1002" ht="15.75" customHeight="1" s="1128"/>
    <row r="1003" ht="15.75" customHeight="1" s="1128"/>
    <row r="1004" ht="15.75" customHeight="1" s="1128"/>
    <row r="1005" ht="15.75" customHeight="1" s="1128"/>
    <row r="1006" ht="15.75" customHeight="1" s="1128"/>
    <row r="1007" ht="15.75" customHeight="1" s="1128"/>
    <row r="1008" ht="15.75" customHeight="1" s="1128"/>
    <row r="1009" ht="15.75" customHeight="1" s="1128"/>
    <row r="1010" ht="15.75" customHeight="1" s="1128"/>
    <row r="1011" ht="15.75" customHeight="1" s="1128"/>
    <row r="1012" ht="15.75" customHeight="1" s="1128"/>
    <row r="1013" ht="15.75" customHeight="1" s="1128"/>
    <row r="1014" ht="15.75" customHeight="1" s="1128"/>
    <row r="1015" ht="15.75" customHeight="1" s="1128"/>
    <row r="1016" ht="15.75" customHeight="1" s="1128"/>
    <row r="1017" ht="15.75" customHeight="1" s="1128"/>
    <row r="1018" ht="15.75" customHeight="1" s="1128"/>
    <row r="1019" ht="15.75" customHeight="1" s="1128"/>
    <row r="1020" ht="15.75" customHeight="1" s="1128"/>
    <row r="1021" ht="15.75" customHeight="1" s="1128"/>
    <row r="1022" ht="15.75" customHeight="1" s="1128"/>
    <row r="1023" ht="15.75" customHeight="1" s="1128"/>
    <row r="1024" ht="15.75" customHeight="1" s="1128"/>
  </sheetData>
  <dataValidations count="3">
    <dataValidation sqref="B3:B15 B42:B57 B63:B64 B66:B68 B71:B72 B74:B75 B78:B80 B82:B83" showDropDown="0" showInputMessage="0" showErrorMessage="1" allowBlank="1" type="list">
      <formula1>"SSS,SS,S,AAA,AA,A,Blue,Green"</formula1>
    </dataValidation>
    <dataValidation sqref="C51:C57" showDropDown="0" showInputMessage="0" showErrorMessage="1" allowBlank="1" type="list">
      <formula1>"FAME,ART,FTH,CIV,TECH"</formula1>
    </dataValidation>
    <dataValidation sqref="C3:C15 C42:C50 C63:C64 C66:C68 C71:C72 C74:C75 C78:C80 C82:C83" showDropDown="0" showInputMessage="0" showErrorMessage="1" allowBlank="1" type="list">
      <formula1>"FAME,ART,FTH,CIV,TECH"</formula1>
    </dataValidation>
  </dataValidations>
  <pageMargins left="0.7" right="0.7" top="0.75" bottom="0.75" header="0" footer="0"/>
  <pageSetup orientation="landscape"/>
  <tableParts count="1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O1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5.91" customWidth="1" style="1128" min="1" max="1"/>
    <col width="8.09" customWidth="1" style="1128" min="2" max="2"/>
    <col width="7.82" customWidth="1" style="1128" min="3" max="3"/>
    <col width="8.09" customWidth="1" style="1128" min="4" max="4"/>
    <col width="11.73" customWidth="1" style="1128" min="5" max="5"/>
    <col width="6.09" customWidth="1" style="1128" min="6" max="6"/>
    <col width="9.73" customWidth="1" style="1128" min="7" max="7"/>
    <col width="10" customWidth="1" style="1128" min="8" max="8"/>
    <col width="16.82" customWidth="1" style="1128" min="9" max="9"/>
    <col width="8.82" customWidth="1" style="1128" min="10" max="10"/>
    <col width="103.27" customWidth="1" style="1128" min="11" max="11"/>
  </cols>
  <sheetData>
    <row r="1">
      <c r="A1" s="344" t="inlineStr">
        <is>
          <t>Name</t>
        </is>
      </c>
      <c r="B1" s="406" t="inlineStr">
        <is>
          <t>Rarity</t>
        </is>
      </c>
      <c r="C1" s="406" t="inlineStr">
        <is>
          <t>Type</t>
        </is>
      </c>
      <c r="D1" s="406" t="inlineStr">
        <is>
          <t>Base Output</t>
        </is>
      </c>
      <c r="E1" s="406" t="inlineStr">
        <is>
          <t>Awakening Output</t>
        </is>
      </c>
      <c r="F1" s="406" t="inlineStr">
        <is>
          <t>Base Cap</t>
        </is>
      </c>
      <c r="G1" s="406" t="inlineStr">
        <is>
          <t>Awakening Cap</t>
        </is>
      </c>
      <c r="H1" s="406" t="inlineStr">
        <is>
          <t>Wonder Fungus</t>
        </is>
      </c>
      <c r="I1" s="406" t="inlineStr">
        <is>
          <t>Awakening Wonder Fungus</t>
        </is>
      </c>
      <c r="J1" s="406" t="inlineStr">
        <is>
          <t>AFFECT Boost</t>
        </is>
      </c>
      <c r="K1" s="129" t="inlineStr">
        <is>
          <t>Source</t>
        </is>
      </c>
      <c r="L1" s="425" t="n"/>
      <c r="M1" s="425" t="n"/>
      <c r="N1" s="425" t="n"/>
      <c r="O1" s="425" t="n"/>
    </row>
    <row r="2">
      <c r="A2" s="434" t="inlineStr">
        <is>
          <t>INDIVIDUAL RELICS</t>
        </is>
      </c>
      <c r="B2" s="425" t="n"/>
      <c r="C2" s="425" t="n"/>
      <c r="D2" s="425" t="n"/>
      <c r="E2" s="425" t="n"/>
      <c r="F2" s="425" t="n"/>
      <c r="G2" s="425" t="n"/>
      <c r="H2" s="425" t="n"/>
      <c r="I2" s="425" t="n"/>
      <c r="J2" s="425" t="n"/>
      <c r="K2" s="418" t="n"/>
      <c r="L2" s="425" t="n"/>
      <c r="M2" s="425" t="n"/>
      <c r="N2" s="425" t="n"/>
      <c r="O2" s="425" t="n"/>
    </row>
    <row r="3">
      <c r="A3" s="357" t="inlineStr">
        <is>
          <t xml:space="preserve">   The Last Supper</t>
        </is>
      </c>
      <c r="B3" s="425" t="inlineStr">
        <is>
          <t>S</t>
        </is>
      </c>
      <c r="C3" s="425" t="inlineStr">
        <is>
          <t>ART</t>
        </is>
      </c>
      <c r="D3" s="371" t="n">
        <v>20</v>
      </c>
      <c r="E3" s="371" t="n">
        <v>20</v>
      </c>
      <c r="F3" s="371" t="n">
        <v>20</v>
      </c>
      <c r="G3" s="425" t="n"/>
      <c r="H3" s="425" t="n"/>
      <c r="I3" s="425" t="n"/>
      <c r="J3" s="425" t="n"/>
      <c r="K3" s="418" t="inlineStr">
        <is>
          <t>Fragment Crafting (18.1%), Lottery Machine #1 (0.81%), Wishing (0.68%), Relic Forge (90 Relic RF)</t>
        </is>
      </c>
      <c r="L3" s="425" t="n"/>
      <c r="M3" s="425" t="n"/>
      <c r="N3" s="425" t="n"/>
      <c r="O3" s="425" t="n"/>
    </row>
    <row r="4">
      <c r="A4" s="357" t="inlineStr">
        <is>
          <t xml:space="preserve">   Sunflowers</t>
        </is>
      </c>
      <c r="B4" s="425" t="inlineStr">
        <is>
          <t>SS</t>
        </is>
      </c>
      <c r="C4" s="425" t="inlineStr">
        <is>
          <t>ART</t>
        </is>
      </c>
      <c r="D4" s="371" t="n">
        <v>22</v>
      </c>
      <c r="E4" s="371" t="n">
        <v>20</v>
      </c>
      <c r="F4" s="425" t="n"/>
      <c r="G4" s="425" t="n"/>
      <c r="H4" s="425" t="n"/>
      <c r="I4" s="425" t="n"/>
      <c r="J4" s="425" t="n"/>
      <c r="K4" s="418" t="inlineStr">
        <is>
          <t>Lottery Machine #1 (0.12%), Wishing (0.1%), Fungus Chest (1%), Grandmaster Scrolls (1%), Relic Forge (100 Relic RF)</t>
        </is>
      </c>
      <c r="L4" s="425" t="n"/>
      <c r="M4" s="425" t="n"/>
      <c r="N4" s="425" t="n"/>
      <c r="O4" s="425" t="n"/>
    </row>
    <row r="5">
      <c r="A5" s="357" t="inlineStr">
        <is>
          <t xml:space="preserve">   Golden Wheat</t>
        </is>
      </c>
      <c r="B5" s="425" t="inlineStr">
        <is>
          <t>SSS</t>
        </is>
      </c>
      <c r="C5" s="425" t="inlineStr">
        <is>
          <t>ART</t>
        </is>
      </c>
      <c r="D5" s="371" t="n">
        <v>24</v>
      </c>
      <c r="E5" s="425" t="n"/>
      <c r="F5" s="425" t="n"/>
      <c r="G5" s="425" t="n"/>
      <c r="H5" s="425" t="n"/>
      <c r="I5" s="425" t="n"/>
      <c r="J5" s="425" t="n"/>
      <c r="K5" s="418" t="inlineStr">
        <is>
          <t>Wish Pack, Lottery Machine #1 (0.09%), Wishing (0.08%), Yamato Treasure Maps (0.01%), Grandmaster Scrolls (0.81%), Relic Forge (120 Relic RF)</t>
        </is>
      </c>
      <c r="L5" s="425" t="n"/>
      <c r="M5" s="425" t="n"/>
      <c r="N5" s="425" t="n"/>
      <c r="O5" s="425" t="n"/>
    </row>
    <row r="6">
      <c r="A6" s="357" t="inlineStr">
        <is>
          <t xml:space="preserve">   Edict of Milan</t>
        </is>
      </c>
      <c r="B6" s="425" t="inlineStr">
        <is>
          <t>AAA</t>
        </is>
      </c>
      <c r="C6" s="415" t="inlineStr">
        <is>
          <t>FAME</t>
        </is>
      </c>
      <c r="D6" s="425" t="n"/>
      <c r="E6" s="425" t="n"/>
      <c r="F6" s="425" t="n"/>
      <c r="G6" s="425" t="n"/>
      <c r="H6" s="371" t="n">
        <v>18</v>
      </c>
      <c r="I6" s="371" t="n">
        <v>14</v>
      </c>
      <c r="J6" s="425" t="n"/>
      <c r="K6" s="418" t="inlineStr">
        <is>
          <t>Fragment Crafting (1.6%), Lottery Machine #1 (0.03%), Wishing (0.14%), Relic Forge (80 Relic RF)</t>
        </is>
      </c>
      <c r="L6" s="425" t="n"/>
      <c r="M6" s="425" t="n"/>
      <c r="N6" s="425" t="n"/>
      <c r="O6" s="425" t="n"/>
    </row>
    <row r="7">
      <c r="A7" s="357" t="inlineStr">
        <is>
          <t xml:space="preserve">   The Goodbye Kiss</t>
        </is>
      </c>
      <c r="B7" s="425" t="inlineStr">
        <is>
          <t>AAA</t>
        </is>
      </c>
      <c r="C7" s="425" t="inlineStr">
        <is>
          <t>ART</t>
        </is>
      </c>
      <c r="D7" s="371" t="n"/>
      <c r="E7" s="425" t="n"/>
      <c r="F7" s="371" t="n"/>
      <c r="G7" s="371" t="n"/>
      <c r="H7" s="425" t="n">
        <v>9</v>
      </c>
      <c r="I7" s="425" t="n">
        <v>7</v>
      </c>
      <c r="J7" s="425" t="n"/>
      <c r="K7" s="390" t="inlineStr">
        <is>
          <t>Lottery Box Relic #2</t>
        </is>
      </c>
      <c r="L7" s="425" t="n"/>
      <c r="M7" s="425" t="n"/>
      <c r="N7" s="425" t="n"/>
      <c r="O7" s="425" t="n"/>
    </row>
    <row r="8">
      <c r="A8" s="357" t="inlineStr">
        <is>
          <t xml:space="preserve">   Frigga's Wheel</t>
        </is>
      </c>
      <c r="B8" s="425" t="inlineStr">
        <is>
          <t>AAA</t>
        </is>
      </c>
      <c r="C8" s="425" t="inlineStr">
        <is>
          <t>FTH</t>
        </is>
      </c>
      <c r="D8" s="371" t="n">
        <v>14</v>
      </c>
      <c r="E8" s="425" t="n"/>
      <c r="F8" s="371" t="n">
        <v>14</v>
      </c>
      <c r="G8" s="371" t="n">
        <v>14</v>
      </c>
      <c r="H8" s="425" t="n"/>
      <c r="I8" s="425" t="n"/>
      <c r="J8" s="425" t="n"/>
      <c r="K8" s="418" t="inlineStr">
        <is>
          <t>Fragment Crafting (30.8%), Lottery Machine #1 (0.66%), Wishing (2.8%), Expert Scrolls (7.6%)</t>
        </is>
      </c>
      <c r="L8" s="425" t="n"/>
      <c r="M8" s="425" t="n"/>
      <c r="N8" s="425" t="n"/>
      <c r="O8" s="425" t="n"/>
    </row>
    <row r="9">
      <c r="A9" s="357" t="inlineStr">
        <is>
          <t xml:space="preserve">   Peacock Throne</t>
        </is>
      </c>
      <c r="B9" s="425" t="inlineStr">
        <is>
          <t>AAA</t>
        </is>
      </c>
      <c r="C9" s="425" t="inlineStr">
        <is>
          <t>ART</t>
        </is>
      </c>
      <c r="D9" s="371" t="n">
        <v>5</v>
      </c>
      <c r="E9" s="425" t="n">
        <v>5</v>
      </c>
      <c r="F9" s="425" t="n"/>
      <c r="G9" s="425" t="n"/>
      <c r="H9" s="371" t="n"/>
      <c r="I9" s="425" t="n"/>
      <c r="J9" s="425" t="n"/>
      <c r="K9" s="418" t="inlineStr">
        <is>
          <t>Supreme Relic</t>
        </is>
      </c>
      <c r="L9" s="425" t="n"/>
      <c r="M9" s="425" t="n"/>
      <c r="N9" s="425" t="n"/>
      <c r="O9" s="425" t="n"/>
    </row>
    <row r="10">
      <c r="A10" s="357" t="inlineStr">
        <is>
          <t xml:space="preserve">   Leo's Plant</t>
        </is>
      </c>
      <c r="B10" s="425" t="inlineStr">
        <is>
          <t>Blue</t>
        </is>
      </c>
      <c r="C10" s="425" t="inlineStr">
        <is>
          <t>CIV</t>
        </is>
      </c>
      <c r="D10" s="371" t="n">
        <v>10</v>
      </c>
      <c r="E10" s="371" t="n">
        <v>10</v>
      </c>
      <c r="F10" s="425" t="n"/>
      <c r="G10" s="425" t="n"/>
      <c r="H10" s="425" t="n"/>
      <c r="I10" s="425" t="n"/>
      <c r="J10" s="425" t="n"/>
      <c r="K10" s="418" t="inlineStr">
        <is>
          <t>Lottery Machine #1 (0.36%), Wishing (10.3%), Fungus Chest (2%), Trainee Scrolls (5%)</t>
        </is>
      </c>
      <c r="L10" s="425" t="n"/>
      <c r="M10" s="425" t="n"/>
      <c r="N10" s="425" t="n"/>
      <c r="O10" s="425" t="n"/>
    </row>
    <row r="11">
      <c r="A11" s="434" t="inlineStr">
        <is>
          <t xml:space="preserve">   Portland Vase</t>
        </is>
      </c>
      <c r="B11" s="425" t="inlineStr">
        <is>
          <t>Blue</t>
        </is>
      </c>
      <c r="C11" s="425" t="inlineStr">
        <is>
          <t>ART</t>
        </is>
      </c>
      <c r="D11" s="425" t="n"/>
      <c r="E11" s="425" t="n"/>
      <c r="F11" s="371" t="n">
        <v>10</v>
      </c>
      <c r="G11" s="371" t="n">
        <v>10</v>
      </c>
      <c r="H11" s="425" t="n"/>
      <c r="I11" s="425" t="n"/>
      <c r="J11" s="425" t="n"/>
      <c r="K11" s="418" t="inlineStr">
        <is>
          <t>Lottery Machine #1 (0.03%), Wishing (1.2%), Fungus Chest (2%)</t>
        </is>
      </c>
      <c r="L11" s="425" t="n"/>
      <c r="M11" s="425" t="n"/>
      <c r="N11" s="425" t="n"/>
      <c r="O11" s="425" t="n"/>
    </row>
    <row r="12">
      <c r="A12" s="434" t="inlineStr">
        <is>
          <t xml:space="preserve">   Earthworm Codex</t>
        </is>
      </c>
      <c r="B12" s="425" t="inlineStr">
        <is>
          <t>Green</t>
        </is>
      </c>
      <c r="C12" s="415" t="inlineStr">
        <is>
          <t>FAME</t>
        </is>
      </c>
      <c r="D12" s="425" t="n"/>
      <c r="E12" s="425" t="n"/>
      <c r="F12" s="425" t="n"/>
      <c r="G12" s="425" t="n"/>
      <c r="H12" s="371" t="n">
        <v>6</v>
      </c>
      <c r="I12" s="425" t="n"/>
      <c r="J12" s="425" t="n"/>
      <c r="K12" s="418" t="inlineStr">
        <is>
          <t>Earth Worm Reactor (Species War Cabin) Reward</t>
        </is>
      </c>
      <c r="L12" s="425" t="n"/>
      <c r="M12" s="425" t="n"/>
      <c r="N12" s="425" t="n"/>
      <c r="O12" s="425" t="n"/>
    </row>
    <row r="13">
      <c r="A13" s="434" t="inlineStr">
        <is>
          <t xml:space="preserve">   Isle Turnip</t>
        </is>
      </c>
      <c r="B13" s="425" t="inlineStr">
        <is>
          <t>Green</t>
        </is>
      </c>
      <c r="C13" s="425" t="inlineStr">
        <is>
          <t>CIV</t>
        </is>
      </c>
      <c r="D13" s="425" t="n"/>
      <c r="E13" s="425" t="n"/>
      <c r="F13" s="425" t="n"/>
      <c r="G13" s="425" t="n"/>
      <c r="H13" s="371" t="n">
        <v>6</v>
      </c>
      <c r="I13" s="425" t="n"/>
      <c r="J13" s="425" t="n"/>
      <c r="K13" s="418" t="inlineStr">
        <is>
          <t>Racoon Storyline</t>
        </is>
      </c>
      <c r="L13" s="425" t="n"/>
      <c r="M13" s="425" t="n"/>
      <c r="N13" s="425" t="n"/>
      <c r="O13" s="425" t="n"/>
    </row>
    <row r="14">
      <c r="A14" s="434" t="inlineStr">
        <is>
          <t xml:space="preserve">   Mutant Fungus</t>
        </is>
      </c>
      <c r="B14" s="425" t="inlineStr">
        <is>
          <t>Green</t>
        </is>
      </c>
      <c r="C14" s="425" t="inlineStr">
        <is>
          <t>FTH</t>
        </is>
      </c>
      <c r="D14" s="425" t="n"/>
      <c r="E14" s="425" t="n"/>
      <c r="F14" s="425" t="n"/>
      <c r="G14" s="425" t="n"/>
      <c r="H14" s="371" t="n">
        <v>6</v>
      </c>
      <c r="I14" s="425" t="n"/>
      <c r="J14" s="425" t="n"/>
      <c r="K14" s="418" t="inlineStr">
        <is>
          <t>Buried in the Farm</t>
        </is>
      </c>
      <c r="L14" s="425" t="n"/>
      <c r="M14" s="425" t="n"/>
      <c r="N14" s="425" t="n"/>
      <c r="O14" s="425" t="n"/>
    </row>
    <row r="15">
      <c r="A15" s="434" t="inlineStr">
        <is>
          <t xml:space="preserve">   Shinkage Ryu: Shift</t>
        </is>
      </c>
      <c r="B15" s="425" t="inlineStr">
        <is>
          <t>Green</t>
        </is>
      </c>
      <c r="C15" s="425" t="inlineStr">
        <is>
          <t>TECH</t>
        </is>
      </c>
      <c r="D15" s="371" t="n">
        <v>6</v>
      </c>
      <c r="E15" s="425" t="n"/>
      <c r="F15" s="425" t="n"/>
      <c r="G15" s="425" t="n"/>
      <c r="H15" s="425" t="n"/>
      <c r="I15" s="425" t="n"/>
      <c r="J15" s="425" t="n"/>
      <c r="K15" s="418" t="inlineStr">
        <is>
          <t>Yamato Domain</t>
        </is>
      </c>
      <c r="L15" s="425" t="n"/>
      <c r="M15" s="425" t="n"/>
      <c r="N15" s="425" t="n"/>
      <c r="O15" s="425" t="n"/>
    </row>
    <row r="16">
      <c r="A16" s="362" t="inlineStr">
        <is>
          <t>MAX INDIVIDUAL RELICS</t>
        </is>
      </c>
      <c r="B16" s="411" t="n"/>
      <c r="C16" s="411" t="n"/>
      <c r="D16" s="364">
        <f>sum(D3:E15)</f>
        <v/>
      </c>
      <c r="E16" s="411" t="n"/>
      <c r="F16" s="364">
        <f>sum(F3:G15)</f>
        <v/>
      </c>
      <c r="G16" s="411" t="n"/>
      <c r="H16" s="364">
        <f>sum(H3:I15)</f>
        <v/>
      </c>
      <c r="I16" s="411" t="n"/>
      <c r="J16" s="411" t="n"/>
      <c r="K16" s="419" t="n"/>
      <c r="L16" s="425" t="n"/>
      <c r="M16" s="425" t="n"/>
      <c r="N16" s="425" t="n"/>
      <c r="O16" s="425" t="n"/>
    </row>
    <row r="17">
      <c r="A17" s="434" t="n"/>
      <c r="B17" s="425" t="n"/>
      <c r="C17" s="425" t="n"/>
      <c r="D17" s="425" t="n"/>
      <c r="E17" s="425" t="n"/>
      <c r="F17" s="425" t="n"/>
      <c r="G17" s="425" t="n"/>
      <c r="H17" s="425" t="n"/>
      <c r="I17" s="425" t="n"/>
      <c r="J17" s="425" t="n"/>
      <c r="K17" s="422" t="n"/>
      <c r="L17" s="425" t="n"/>
      <c r="M17" s="425" t="n"/>
      <c r="N17" s="425" t="n"/>
      <c r="O17" s="425" t="n"/>
    </row>
    <row r="18">
      <c r="A18" s="413" t="inlineStr">
        <is>
          <t>ORGAN</t>
        </is>
      </c>
      <c r="B18" s="431" t="n"/>
      <c r="C18" s="431" t="n"/>
      <c r="D18" s="431" t="n"/>
      <c r="E18" s="431" t="n"/>
      <c r="F18" s="431" t="n"/>
      <c r="G18" s="431" t="n"/>
      <c r="H18" s="431" t="n"/>
      <c r="I18" s="431" t="n"/>
      <c r="J18" s="406" t="n"/>
      <c r="K18" s="407" t="n"/>
      <c r="L18" s="425" t="n"/>
      <c r="M18" s="425" t="n"/>
      <c r="N18" s="425" t="n"/>
      <c r="O18" s="425" t="n"/>
    </row>
    <row r="19">
      <c r="A19" s="398" t="inlineStr">
        <is>
          <t xml:space="preserve">   Warp Horn</t>
        </is>
      </c>
      <c r="B19" s="432" t="n"/>
      <c r="C19" s="432" t="n"/>
      <c r="D19" s="432" t="n">
        <v>10</v>
      </c>
      <c r="E19" s="432" t="n"/>
      <c r="F19" s="432" t="n">
        <v>10</v>
      </c>
      <c r="G19" s="432" t="n"/>
      <c r="H19" s="432" t="n"/>
      <c r="I19" s="432" t="n"/>
      <c r="J19" s="425" t="n"/>
      <c r="K19" s="418" t="inlineStr">
        <is>
          <t>lv20</t>
        </is>
      </c>
      <c r="L19" s="425" t="n"/>
      <c r="M19" s="425" t="n"/>
      <c r="N19" s="425" t="n"/>
      <c r="O19" s="425" t="n"/>
    </row>
    <row r="20">
      <c r="A20" s="409" t="inlineStr">
        <is>
          <t xml:space="preserve">   Alveolus of Gaia</t>
        </is>
      </c>
      <c r="B20" s="410" t="n"/>
      <c r="C20" s="410" t="n"/>
      <c r="D20" s="410" t="n">
        <v>20</v>
      </c>
      <c r="E20" s="410" t="n"/>
      <c r="F20" s="410" t="n">
        <v>20</v>
      </c>
      <c r="G20" s="410" t="n"/>
      <c r="H20" s="410" t="n"/>
      <c r="I20" s="410" t="n"/>
      <c r="J20" s="411" t="n"/>
      <c r="K20" s="426" t="inlineStr">
        <is>
          <t>lv40</t>
        </is>
      </c>
      <c r="L20" s="425" t="n"/>
      <c r="M20" s="425" t="n"/>
      <c r="N20" s="425" t="n"/>
      <c r="O20" s="425" t="n"/>
    </row>
    <row r="21">
      <c r="A21" s="398" t="inlineStr">
        <is>
          <t>MAX ORGAN</t>
        </is>
      </c>
      <c r="B21" s="432" t="n"/>
      <c r="C21" s="432" t="n"/>
      <c r="D21" s="432">
        <f>sum(D19:D20)</f>
        <v/>
      </c>
      <c r="E21" s="432" t="n"/>
      <c r="F21" s="432">
        <f>sum(F19:F20)</f>
        <v/>
      </c>
      <c r="G21" s="432" t="n"/>
      <c r="H21" s="432">
        <f>sum(H19:H20)</f>
        <v/>
      </c>
      <c r="I21" s="425" t="n"/>
      <c r="J21" s="425" t="n"/>
      <c r="K21" s="422" t="n"/>
      <c r="L21" s="425" t="n"/>
      <c r="M21" s="425" t="n"/>
      <c r="N21" s="425" t="n"/>
      <c r="O21" s="425" t="n"/>
    </row>
    <row r="22">
      <c r="A22" s="434" t="n"/>
      <c r="B22" s="425" t="n"/>
      <c r="C22" s="425" t="n"/>
      <c r="D22" s="425" t="n"/>
      <c r="E22" s="425" t="n"/>
      <c r="F22" s="425" t="n"/>
      <c r="G22" s="425" t="n"/>
      <c r="H22" s="425" t="n"/>
      <c r="I22" s="425" t="n"/>
      <c r="J22" s="425" t="n"/>
      <c r="K22" s="422" t="n"/>
      <c r="L22" s="425" t="n"/>
      <c r="M22" s="425" t="n"/>
      <c r="N22" s="425" t="n"/>
      <c r="O22" s="425" t="n"/>
    </row>
    <row r="23">
      <c r="A23" s="344" t="inlineStr">
        <is>
          <t>BUBBLE FRAMES</t>
        </is>
      </c>
      <c r="B23" s="406" t="n"/>
      <c r="C23" s="406" t="n"/>
      <c r="D23" s="406" t="n"/>
      <c r="E23" s="406" t="n"/>
      <c r="F23" s="406" t="n"/>
      <c r="G23" s="406" t="n"/>
      <c r="H23" s="406" t="n"/>
      <c r="I23" s="406" t="n"/>
      <c r="J23" s="406" t="n"/>
      <c r="K23" s="407" t="n"/>
      <c r="L23" s="425" t="n"/>
      <c r="M23" s="425" t="n"/>
      <c r="N23" s="425" t="n"/>
      <c r="O23" s="425" t="n"/>
    </row>
    <row r="24">
      <c r="A24" s="434" t="inlineStr">
        <is>
          <t xml:space="preserve">   Whale Power III</t>
        </is>
      </c>
      <c r="B24" s="425" t="n"/>
      <c r="C24" s="425" t="n"/>
      <c r="D24" s="425" t="n">
        <v>12</v>
      </c>
      <c r="E24" s="425" t="n"/>
      <c r="F24" s="425" t="n"/>
      <c r="G24" s="425" t="n"/>
      <c r="H24" s="425" t="n"/>
      <c r="I24" s="425" t="n"/>
      <c r="J24" s="425" t="n"/>
      <c r="K24" s="418" t="inlineStr">
        <is>
          <t>5M W-tads Spent</t>
        </is>
      </c>
      <c r="L24" s="425" t="n"/>
      <c r="M24" s="425" t="n"/>
      <c r="N24" s="425" t="n"/>
      <c r="O24" s="425" t="n"/>
    </row>
    <row r="25">
      <c r="A25" s="362" t="n"/>
      <c r="B25" s="411" t="n"/>
      <c r="C25" s="411" t="n"/>
      <c r="D25" s="411" t="n"/>
      <c r="E25" s="411" t="n"/>
      <c r="F25" s="411" t="n"/>
      <c r="G25" s="411" t="n"/>
      <c r="H25" s="411" t="n"/>
      <c r="I25" s="411" t="n"/>
      <c r="J25" s="411" t="n"/>
      <c r="K25" s="419" t="n"/>
      <c r="L25" s="425" t="n"/>
      <c r="M25" s="425" t="n"/>
      <c r="N25" s="425" t="n"/>
      <c r="O25" s="425" t="n"/>
    </row>
    <row r="26">
      <c r="A26" s="344" t="inlineStr">
        <is>
          <t>COLLECTORS TALENTS</t>
        </is>
      </c>
      <c r="B26" s="406" t="n"/>
      <c r="C26" s="406" t="n"/>
      <c r="D26" s="406" t="n"/>
      <c r="E26" s="406" t="n"/>
      <c r="F26" s="406" t="n"/>
      <c r="G26" s="406" t="n"/>
      <c r="H26" s="406" t="n"/>
      <c r="I26" s="406" t="n"/>
      <c r="J26" s="406" t="n"/>
      <c r="K26" s="407" t="n"/>
      <c r="L26" s="425" t="n"/>
      <c r="M26" s="425" t="n"/>
      <c r="N26" s="425" t="n"/>
      <c r="O26" s="425" t="n"/>
    </row>
    <row r="27">
      <c r="A27" s="362" t="inlineStr">
        <is>
          <t xml:space="preserve">   Fungus Growth</t>
        </is>
      </c>
      <c r="B27" s="411" t="n"/>
      <c r="C27" s="411" t="n"/>
      <c r="D27" s="411" t="n">
        <v>25</v>
      </c>
      <c r="E27" s="411" t="n"/>
      <c r="F27" s="411" t="n">
        <v>25</v>
      </c>
      <c r="G27" s="411" t="n"/>
      <c r="H27" s="411" t="n"/>
      <c r="I27" s="411" t="n"/>
      <c r="J27" s="411" t="n"/>
      <c r="K27" s="426" t="inlineStr">
        <is>
          <t>10 Blue Talent Points</t>
        </is>
      </c>
      <c r="L27" s="425" t="n"/>
      <c r="M27" s="425" t="n"/>
      <c r="N27" s="425" t="n"/>
      <c r="O27" s="425" t="n"/>
    </row>
    <row r="28">
      <c r="A28" s="434" t="n"/>
      <c r="B28" s="425" t="n"/>
      <c r="C28" s="425" t="n"/>
      <c r="D28" s="425" t="n"/>
      <c r="E28" s="425" t="n"/>
      <c r="F28" s="425" t="n"/>
      <c r="G28" s="425" t="n"/>
      <c r="H28" s="425" t="n"/>
      <c r="I28" s="425" t="n"/>
      <c r="J28" s="425" t="n"/>
      <c r="K28" s="422" t="n"/>
      <c r="L28" s="425" t="n"/>
      <c r="M28" s="425" t="n"/>
      <c r="N28" s="425" t="n"/>
      <c r="O28" s="425" t="n"/>
    </row>
    <row r="29">
      <c r="A29" s="413" t="inlineStr">
        <is>
          <t>ROCKET UPGRADES</t>
        </is>
      </c>
      <c r="B29" s="431" t="n"/>
      <c r="C29" s="431" t="n"/>
      <c r="D29" s="431" t="n"/>
      <c r="E29" s="431" t="n"/>
      <c r="F29" s="431" t="n"/>
      <c r="G29" s="431" t="n"/>
      <c r="H29" s="431" t="n"/>
      <c r="I29" s="431" t="n"/>
      <c r="J29" s="431" t="n"/>
      <c r="K29" s="405" t="n"/>
      <c r="L29" s="425" t="n"/>
      <c r="M29" s="425" t="n"/>
      <c r="N29" s="425" t="n"/>
      <c r="O29" s="425" t="n"/>
    </row>
    <row r="30">
      <c r="A30" s="409" t="inlineStr">
        <is>
          <t xml:space="preserve">   Eternal Hall</t>
        </is>
      </c>
      <c r="B30" s="410" t="n"/>
      <c r="C30" s="410" t="n"/>
      <c r="D30" s="410" t="n">
        <v>10</v>
      </c>
      <c r="E30" s="410" t="n"/>
      <c r="F30" s="410" t="n">
        <v>10</v>
      </c>
      <c r="G30" s="410" t="n"/>
      <c r="H30" s="410" t="n"/>
      <c r="I30" s="410" t="n"/>
      <c r="J30" s="410" t="n"/>
      <c r="K30" s="414" t="inlineStr">
        <is>
          <t>Lv5</t>
        </is>
      </c>
      <c r="L30" s="425" t="n"/>
      <c r="M30" s="425" t="n"/>
      <c r="N30" s="425" t="n"/>
      <c r="O30" s="425" t="n"/>
    </row>
    <row r="31">
      <c r="A31" s="398" t="n"/>
      <c r="B31" s="432" t="n"/>
      <c r="C31" s="432" t="n"/>
      <c r="D31" s="432" t="n"/>
      <c r="E31" s="432" t="n"/>
      <c r="F31" s="432" t="n"/>
      <c r="G31" s="432" t="n"/>
      <c r="H31" s="432" t="n"/>
      <c r="I31" s="432" t="n"/>
      <c r="J31" s="432" t="n"/>
      <c r="K31" s="404" t="n"/>
      <c r="L31" s="425" t="n"/>
      <c r="M31" s="425" t="n"/>
      <c r="N31" s="425" t="n"/>
      <c r="O31" s="425" t="n"/>
    </row>
    <row r="32">
      <c r="A32" s="413" t="inlineStr">
        <is>
          <t>AVATARS</t>
        </is>
      </c>
      <c r="B32" s="431" t="n"/>
      <c r="C32" s="431" t="n"/>
      <c r="D32" s="431" t="n"/>
      <c r="E32" s="431" t="n"/>
      <c r="F32" s="431" t="n"/>
      <c r="G32" s="431" t="n"/>
      <c r="H32" s="431" t="n"/>
      <c r="I32" s="431" t="n"/>
      <c r="J32" s="431" t="n"/>
      <c r="K32" s="405" t="n"/>
      <c r="L32" s="425" t="n"/>
      <c r="M32" s="425" t="n"/>
      <c r="N32" s="425" t="n"/>
      <c r="O32" s="425" t="n"/>
    </row>
    <row r="33">
      <c r="A33" s="409" t="inlineStr">
        <is>
          <t xml:space="preserve">   Mirage Avatar I Bonus</t>
        </is>
      </c>
      <c r="B33" s="410" t="n"/>
      <c r="C33" s="410" t="n"/>
      <c r="D33" s="410" t="n">
        <v>20</v>
      </c>
      <c r="E33" s="410" t="n"/>
      <c r="F33" s="410" t="n">
        <v>40</v>
      </c>
      <c r="G33" s="410" t="n"/>
      <c r="H33" s="410" t="n"/>
      <c r="I33" s="410" t="n"/>
      <c r="J33" s="410" t="n"/>
      <c r="K33" s="403" t="n"/>
      <c r="L33" s="425" t="n"/>
      <c r="M33" s="425" t="n"/>
      <c r="N33" s="425" t="n"/>
      <c r="O33" s="425" t="n"/>
    </row>
    <row r="34">
      <c r="A34" s="434" t="n"/>
      <c r="B34" s="425" t="n"/>
      <c r="C34" s="425" t="n"/>
      <c r="D34" s="425" t="n"/>
      <c r="E34" s="425" t="n"/>
      <c r="F34" s="425" t="n"/>
      <c r="G34" s="425" t="n"/>
      <c r="H34" s="425" t="n"/>
      <c r="I34" s="425" t="n"/>
      <c r="J34" s="425" t="n"/>
      <c r="K34" s="422" t="n"/>
      <c r="L34" s="425" t="n"/>
      <c r="M34" s="425" t="n"/>
      <c r="N34" s="425" t="n"/>
      <c r="O34" s="425" t="n"/>
    </row>
    <row r="35">
      <c r="A35" s="344" t="inlineStr">
        <is>
          <t>STAMPS</t>
        </is>
      </c>
      <c r="B35" s="406" t="n"/>
      <c r="C35" s="406" t="n"/>
      <c r="D35" s="406" t="n"/>
      <c r="E35" s="406" t="n"/>
      <c r="F35" s="406" t="n"/>
      <c r="G35" s="406" t="n"/>
      <c r="H35" s="406" t="n"/>
      <c r="I35" s="406" t="n"/>
      <c r="J35" s="406" t="n"/>
      <c r="K35" s="407" t="n"/>
      <c r="L35" s="425" t="n"/>
      <c r="M35" s="425" t="n"/>
      <c r="N35" s="425" t="n"/>
      <c r="O35" s="425" t="n"/>
    </row>
    <row r="36">
      <c r="A36" s="357" t="inlineStr">
        <is>
          <t xml:space="preserve">   1001 Nights</t>
        </is>
      </c>
      <c r="B36" s="425" t="inlineStr">
        <is>
          <t>SSS</t>
        </is>
      </c>
      <c r="C36" s="425" t="inlineStr">
        <is>
          <t>CIV</t>
        </is>
      </c>
      <c r="D36" s="371" t="n">
        <v>30</v>
      </c>
      <c r="E36" s="425" t="n"/>
      <c r="F36" s="425" t="n"/>
      <c r="G36" s="425" t="n"/>
      <c r="H36" s="371" t="n">
        <v>30</v>
      </c>
      <c r="I36" s="425" t="n"/>
      <c r="J36" s="371" t="n">
        <v>15</v>
      </c>
      <c r="K36" s="418" t="inlineStr">
        <is>
          <t>Wish Pack, Lottery Machine #1 (0.09%), Wishing (0.08%), Bharata Treasure Maps(%), Grandmaster Scrolls (0.81%), Relic Forge (120 Relic RF)</t>
        </is>
      </c>
      <c r="L36" s="425" t="n"/>
      <c r="M36" s="425" t="n"/>
      <c r="N36" s="425" t="n"/>
      <c r="O36" s="425" t="n"/>
    </row>
    <row r="37">
      <c r="A37" s="357" t="inlineStr">
        <is>
          <t xml:space="preserve">   Creation of Adam</t>
        </is>
      </c>
      <c r="B37" s="425" t="inlineStr">
        <is>
          <t>SSS</t>
        </is>
      </c>
      <c r="C37" s="425" t="inlineStr">
        <is>
          <t>CIV</t>
        </is>
      </c>
      <c r="D37" s="425" t="n"/>
      <c r="E37" s="425" t="n"/>
      <c r="F37" s="425" t="n">
        <v>30</v>
      </c>
      <c r="G37" s="425" t="n"/>
      <c r="H37" s="371" t="n">
        <v>30</v>
      </c>
      <c r="I37" s="425" t="n"/>
      <c r="J37" s="371" t="n">
        <v>15</v>
      </c>
      <c r="K37" s="418" t="inlineStr">
        <is>
          <t>Lottery Machine #1 (0.09%), Wishing (0.08%), Grandmaster Scrolls (0.77%)</t>
        </is>
      </c>
      <c r="L37" s="425" t="n"/>
      <c r="M37" s="425" t="n"/>
      <c r="N37" s="425" t="n"/>
      <c r="O37" s="425" t="n"/>
    </row>
    <row r="38">
      <c r="A38" s="357" t="inlineStr">
        <is>
          <t xml:space="preserve">   Cyrus Cylinder</t>
        </is>
      </c>
      <c r="B38" s="425" t="inlineStr">
        <is>
          <t>SSS</t>
        </is>
      </c>
      <c r="C38" s="425" t="inlineStr">
        <is>
          <t>CIV</t>
        </is>
      </c>
      <c r="D38" s="371" t="n">
        <v>30</v>
      </c>
      <c r="E38" s="425" t="n"/>
      <c r="F38" s="371" t="n">
        <v>30</v>
      </c>
      <c r="G38" s="425" t="n"/>
      <c r="H38" s="425" t="n"/>
      <c r="I38" s="425" t="n"/>
      <c r="J38" s="425" t="n">
        <v>15</v>
      </c>
      <c r="K38" s="201" t="inlineStr">
        <is>
          <t>Lottery Machine #2 (?%)</t>
        </is>
      </c>
      <c r="L38" s="425" t="n"/>
      <c r="M38" s="425" t="n"/>
      <c r="N38" s="425" t="n"/>
      <c r="O38" s="425" t="n"/>
    </row>
    <row r="39">
      <c r="A39" s="434" t="inlineStr">
        <is>
          <t xml:space="preserve">   The Song of Roland</t>
        </is>
      </c>
      <c r="B39" s="425" t="inlineStr">
        <is>
          <t>SS</t>
        </is>
      </c>
      <c r="C39" s="425" t="inlineStr">
        <is>
          <t>CIV</t>
        </is>
      </c>
      <c r="D39" s="371" t="n">
        <v>30</v>
      </c>
      <c r="E39" s="425" t="n"/>
      <c r="F39" s="371" t="n">
        <v>30</v>
      </c>
      <c r="G39" s="425" t="n"/>
      <c r="H39" s="425" t="n"/>
      <c r="I39" s="425" t="n"/>
      <c r="J39" s="425" t="n"/>
      <c r="K39" s="418" t="inlineStr">
        <is>
          <t>Fragment Crafting (5.5%), Lottery Machine #1 (0.24%), Wishing (0.2%), Master Scroll (1.9%), Grandmaster Scroll (2.1%), CIV Master Scroll (10.2%)</t>
        </is>
      </c>
      <c r="L39" s="425" t="n"/>
      <c r="M39" s="425" t="n"/>
      <c r="N39" s="425" t="n"/>
      <c r="O39" s="425" t="n"/>
    </row>
    <row r="40">
      <c r="A40" s="434" t="inlineStr">
        <is>
          <t xml:space="preserve">   Das Kapital</t>
        </is>
      </c>
      <c r="B40" s="425" t="inlineStr">
        <is>
          <t>SS</t>
        </is>
      </c>
      <c r="C40" s="425" t="inlineStr">
        <is>
          <t>CIV</t>
        </is>
      </c>
      <c r="D40" s="371" t="n">
        <v>30</v>
      </c>
      <c r="E40" s="425" t="n"/>
      <c r="F40" s="371" t="n">
        <v>30</v>
      </c>
      <c r="G40" s="425" t="n"/>
      <c r="H40" s="425" t="n"/>
      <c r="I40" s="425" t="n"/>
      <c r="J40" s="425" t="n"/>
      <c r="K40" s="418" t="inlineStr">
        <is>
          <t>Lottery Machine #1 (0.12%), Wishing (0.1%), Britland Treasure Maps (5%), Grandmaster Scrolls (1%), Relic Forge (100 Relic RF), beat Mr. Raccoon in combat</t>
        </is>
      </c>
      <c r="L40" s="425" t="n"/>
      <c r="M40" s="425" t="n"/>
      <c r="N40" s="425" t="n"/>
      <c r="O40" s="425" t="n"/>
    </row>
    <row r="41">
      <c r="A41" s="434" t="inlineStr">
        <is>
          <t xml:space="preserve">   Plato's Republic</t>
        </is>
      </c>
      <c r="B41" s="425" t="inlineStr">
        <is>
          <t>SS</t>
        </is>
      </c>
      <c r="C41" s="425" t="inlineStr">
        <is>
          <t>CIV</t>
        </is>
      </c>
      <c r="D41" s="425" t="n"/>
      <c r="E41" s="425" t="n"/>
      <c r="F41" s="425" t="n"/>
      <c r="G41" s="425" t="n"/>
      <c r="H41" s="371" t="n">
        <v>30</v>
      </c>
      <c r="I41" s="425" t="n"/>
      <c r="J41" s="371" t="n">
        <v>15</v>
      </c>
      <c r="K41" s="418" t="inlineStr">
        <is>
          <t>Lottery Machine #1 (0.12%), Wishing (0.1%), Grandmaster Scrolls (1%), Relic Forge (100 Relic RF), Home Value Pack III ($14.99)</t>
        </is>
      </c>
      <c r="L41" s="425" t="n"/>
      <c r="M41" s="425" t="n"/>
      <c r="N41" s="425" t="n"/>
      <c r="O41" s="425" t="n"/>
    </row>
    <row r="42">
      <c r="A42" s="434" t="inlineStr">
        <is>
          <t xml:space="preserve">   Pride &amp; Prejudice</t>
        </is>
      </c>
      <c r="B42" s="425" t="inlineStr">
        <is>
          <t>S</t>
        </is>
      </c>
      <c r="C42" s="425" t="inlineStr">
        <is>
          <t>CIV</t>
        </is>
      </c>
      <c r="D42" s="425" t="n"/>
      <c r="E42" s="425" t="n"/>
      <c r="F42" s="425" t="n"/>
      <c r="G42" s="425" t="n"/>
      <c r="H42" s="371" t="n">
        <v>30</v>
      </c>
      <c r="I42" s="425" t="n"/>
      <c r="J42" s="425" t="n"/>
      <c r="K42" s="386" t="inlineStr">
        <is>
          <t>Lottery Machine #2 (1.59%)</t>
        </is>
      </c>
      <c r="L42" s="425" t="n"/>
      <c r="M42" s="425" t="n"/>
      <c r="N42" s="425" t="n"/>
      <c r="O42" s="425" t="n"/>
    </row>
    <row r="43">
      <c r="A43" s="434" t="inlineStr">
        <is>
          <t xml:space="preserve">   Julian Calendar</t>
        </is>
      </c>
      <c r="B43" s="425" t="inlineStr">
        <is>
          <t>SS</t>
        </is>
      </c>
      <c r="C43" s="425" t="inlineStr">
        <is>
          <t>CIV</t>
        </is>
      </c>
      <c r="D43" s="425" t="n"/>
      <c r="E43" s="425" t="n"/>
      <c r="F43" s="371" t="n">
        <v>30</v>
      </c>
      <c r="G43" s="425" t="n"/>
      <c r="H43" s="425" t="n"/>
      <c r="I43" s="425" t="n"/>
      <c r="J43" s="425" t="n"/>
      <c r="K43" s="418" t="inlineStr">
        <is>
          <t>Fragment Crafting (5.5%), Lottery Machine #1 (0.24%), Wishing (0.2%), Master Scrolls (1.9%), Grandmaster Scrolls (2.1%), CIV Master Scrolls (10.2%)</t>
        </is>
      </c>
      <c r="L43" s="425" t="n"/>
      <c r="M43" s="425" t="n"/>
      <c r="N43" s="425" t="n"/>
      <c r="O43" s="425" t="n"/>
    </row>
    <row r="44">
      <c r="A44" s="434" t="inlineStr">
        <is>
          <t xml:space="preserve">   Boat of St. Peter</t>
        </is>
      </c>
      <c r="B44" s="425" t="inlineStr">
        <is>
          <t>SS</t>
        </is>
      </c>
      <c r="C44" s="425" t="inlineStr">
        <is>
          <t>FTH</t>
        </is>
      </c>
      <c r="D44" s="425" t="n"/>
      <c r="E44" s="425" t="n"/>
      <c r="F44" s="425" t="n"/>
      <c r="G44" s="425" t="n"/>
      <c r="H44" s="371" t="n">
        <v>30</v>
      </c>
      <c r="I44" s="425" t="n"/>
      <c r="J44" s="425" t="n"/>
      <c r="K44" s="418" t="inlineStr">
        <is>
          <t>Fragment Crafting (4%), Lottery Machine #1 (0.18%), Wishing (0.15%), Grandmaster Scrolls (1.6%)</t>
        </is>
      </c>
      <c r="L44" s="425" t="n"/>
      <c r="M44" s="425" t="n"/>
      <c r="N44" s="425" t="n"/>
      <c r="O44" s="425" t="n"/>
    </row>
    <row r="45">
      <c r="A45" s="434" t="inlineStr">
        <is>
          <t xml:space="preserve">   Golden Scarab</t>
        </is>
      </c>
      <c r="B45" s="425" t="inlineStr">
        <is>
          <t>S</t>
        </is>
      </c>
      <c r="C45" s="425" t="inlineStr">
        <is>
          <t>FTH</t>
        </is>
      </c>
      <c r="D45" s="425" t="n"/>
      <c r="E45" s="425" t="n"/>
      <c r="F45" s="425" t="n"/>
      <c r="G45" s="425" t="n"/>
      <c r="H45" s="371" t="n">
        <v>30</v>
      </c>
      <c r="I45" s="425" t="n"/>
      <c r="J45" s="425" t="n"/>
      <c r="K45" s="418" t="inlineStr">
        <is>
          <t>Fragment Crafting (15.1%), Lottery Machine #1 (0.81%), Wishing (0.53%), Kemetic Treasure Maps (5%), Master Scrolls (6.5%), FTH Master Scrolls (31.5%), Relic Forge (90 Relic RF)</t>
        </is>
      </c>
      <c r="L45" s="425" t="n"/>
      <c r="M45" s="425" t="n"/>
      <c r="N45" s="425" t="n"/>
      <c r="O45" s="425" t="n"/>
    </row>
    <row r="46">
      <c r="A46" s="434" t="inlineStr">
        <is>
          <t xml:space="preserve">   Holy Loaves</t>
        </is>
      </c>
      <c r="B46" s="425" t="inlineStr">
        <is>
          <t>SS</t>
        </is>
      </c>
      <c r="C46" s="425" t="inlineStr">
        <is>
          <t>FTH</t>
        </is>
      </c>
      <c r="D46" s="371" t="n">
        <v>30</v>
      </c>
      <c r="E46" s="425" t="n"/>
      <c r="F46" s="425" t="n"/>
      <c r="G46" s="425" t="n"/>
      <c r="H46" s="425" t="n"/>
      <c r="I46" s="425" t="n"/>
      <c r="J46" s="425" t="n"/>
      <c r="K46" s="418" t="inlineStr">
        <is>
          <t>Lottery Machine #1 (0.12%), Wishing (0.08%), Evolution Chest (1%), Grandmaster Scrolls (1%), Relic Forge (100 Relic RF)</t>
        </is>
      </c>
      <c r="L46" s="425" t="n"/>
      <c r="M46" s="425" t="n"/>
      <c r="N46" s="425" t="n"/>
      <c r="O46" s="425" t="n"/>
    </row>
    <row r="47">
      <c r="A47" s="434" t="inlineStr">
        <is>
          <t xml:space="preserve">   The Last Supper</t>
        </is>
      </c>
      <c r="B47" s="425" t="inlineStr">
        <is>
          <t>S</t>
        </is>
      </c>
      <c r="C47" s="425" t="inlineStr">
        <is>
          <t>ART</t>
        </is>
      </c>
      <c r="D47" s="425" t="n"/>
      <c r="E47" s="425" t="n"/>
      <c r="F47" s="425" t="n"/>
      <c r="G47" s="425" t="n"/>
      <c r="H47" s="425" t="n"/>
      <c r="I47" s="425" t="n"/>
      <c r="J47" s="371" t="n">
        <v>15</v>
      </c>
      <c r="K47" s="418" t="inlineStr">
        <is>
          <t>Fragment Crafting (18.1%), Lottery Machine #1 (0.81%), Wishing (0.68%), Relic Forge (90 Relic RF)</t>
        </is>
      </c>
      <c r="L47" s="425" t="n"/>
      <c r="M47" s="425" t="n"/>
      <c r="N47" s="425" t="n"/>
      <c r="O47" s="425" t="n"/>
    </row>
    <row r="48">
      <c r="A48" s="434" t="inlineStr">
        <is>
          <t xml:space="preserve">   Leaf of Yggdrasil</t>
        </is>
      </c>
      <c r="B48" s="425" t="inlineStr">
        <is>
          <t>SS</t>
        </is>
      </c>
      <c r="C48" s="415" t="inlineStr">
        <is>
          <t>FAME</t>
        </is>
      </c>
      <c r="D48" s="425" t="n"/>
      <c r="E48" s="425" t="n"/>
      <c r="F48" s="425" t="n"/>
      <c r="G48" s="425" t="n"/>
      <c r="H48" s="425" t="n"/>
      <c r="I48" s="425" t="n"/>
      <c r="J48" s="371" t="n">
        <v>15</v>
      </c>
      <c r="K48" s="418" t="inlineStr">
        <is>
          <t>Fragment Crafting (20.7%), Lottery Machine #1 (0.81%), Wishing (0.75%), Super Treasure Map (15%), Master Scrolls (6.5%), FAME Master Scrolls (31.5%), Relic Forge (90 Relic RF)</t>
        </is>
      </c>
      <c r="L48" s="425" t="n"/>
      <c r="M48" s="425" t="n"/>
      <c r="N48" s="425" t="n"/>
      <c r="O48" s="425" t="n"/>
    </row>
    <row r="49">
      <c r="A49" s="434" t="inlineStr">
        <is>
          <t xml:space="preserve">   Forbidden Fruit</t>
        </is>
      </c>
      <c r="B49" s="425" t="inlineStr">
        <is>
          <t>SS</t>
        </is>
      </c>
      <c r="C49" s="425" t="inlineStr">
        <is>
          <t>FTH</t>
        </is>
      </c>
      <c r="D49" s="425" t="n"/>
      <c r="E49" s="425" t="n"/>
      <c r="F49" s="425" t="n"/>
      <c r="G49" s="425" t="n"/>
      <c r="H49" s="425" t="n"/>
      <c r="I49" s="425" t="n"/>
      <c r="J49" s="371" t="n">
        <v>15</v>
      </c>
      <c r="K49" s="418" t="inlineStr">
        <is>
          <t>Lottery Machine #1 (0.12%), Wishing (0.8%), Super Treasure Maps (5%), Grandmaster Scrolls (1%), Relic Forge (100 Relic RF)</t>
        </is>
      </c>
      <c r="L49" s="425" t="n"/>
      <c r="M49" s="425" t="n"/>
      <c r="N49" s="425" t="n"/>
      <c r="O49" s="425" t="n"/>
    </row>
    <row r="50">
      <c r="A50" s="434" t="inlineStr">
        <is>
          <t xml:space="preserve">   Swan Lake</t>
        </is>
      </c>
      <c r="B50" s="425" t="inlineStr">
        <is>
          <t>SS</t>
        </is>
      </c>
      <c r="C50" s="425" t="inlineStr">
        <is>
          <t>ART</t>
        </is>
      </c>
      <c r="D50" s="425" t="n"/>
      <c r="E50" s="425" t="n"/>
      <c r="F50" s="425" t="n"/>
      <c r="G50" s="425" t="n"/>
      <c r="H50" s="425" t="n"/>
      <c r="I50" s="425" t="n"/>
      <c r="J50" s="371" t="n">
        <v>15</v>
      </c>
      <c r="K50" s="418" t="inlineStr">
        <is>
          <t>Lottery Machine #1 (0.12%), Wishing (0.1%), Grandmaster Scrolls (1%), Relic Forge (100 Relic RF)</t>
        </is>
      </c>
      <c r="L50" s="425" t="n"/>
      <c r="M50" s="425" t="n"/>
      <c r="N50" s="425" t="n"/>
      <c r="O50" s="425" t="n"/>
    </row>
    <row r="51">
      <c r="A51" s="434" t="inlineStr">
        <is>
          <t xml:space="preserve">   The Key of Solomon</t>
        </is>
      </c>
      <c r="B51" s="425" t="inlineStr">
        <is>
          <t>SS</t>
        </is>
      </c>
      <c r="C51" s="425" t="inlineStr">
        <is>
          <t>FTH</t>
        </is>
      </c>
      <c r="D51" s="425" t="n"/>
      <c r="E51" s="425" t="n"/>
      <c r="F51" s="371" t="n">
        <v>30</v>
      </c>
      <c r="G51" s="425" t="n"/>
      <c r="H51" s="425" t="n"/>
      <c r="I51" s="425" t="n"/>
      <c r="J51" s="425" t="n"/>
      <c r="K51" s="418" t="inlineStr">
        <is>
          <t>T7.5 Demon Gene Research</t>
        </is>
      </c>
      <c r="L51" s="425" t="n"/>
      <c r="M51" s="425" t="n"/>
      <c r="N51" s="425" t="n"/>
      <c r="O51" s="425" t="n"/>
    </row>
    <row r="52">
      <c r="A52" s="362" t="inlineStr">
        <is>
          <t>MAX FARM STAMPS</t>
        </is>
      </c>
      <c r="B52" s="411" t="n"/>
      <c r="C52" s="411" t="n"/>
      <c r="D52" s="364">
        <f>D36+D37+D38</f>
        <v/>
      </c>
      <c r="E52" s="411" t="n"/>
      <c r="F52" s="364">
        <f>F36+F37+F38</f>
        <v/>
      </c>
      <c r="G52" s="411" t="n"/>
      <c r="H52" s="364">
        <f>H36+H37+H38</f>
        <v/>
      </c>
      <c r="I52" s="411" t="n"/>
      <c r="J52" s="364">
        <f>J36+J37+J38</f>
        <v/>
      </c>
      <c r="K52" s="419" t="n"/>
      <c r="L52" s="425" t="n"/>
      <c r="M52" s="425" t="n"/>
      <c r="N52" s="425" t="n"/>
      <c r="O52" s="425" t="n"/>
    </row>
    <row r="53">
      <c r="A53" s="434" t="n"/>
      <c r="B53" s="425" t="n"/>
      <c r="C53" s="425" t="n"/>
      <c r="D53" s="425" t="n"/>
      <c r="E53" s="425" t="n"/>
      <c r="F53" s="425" t="n"/>
      <c r="G53" s="425" t="n"/>
      <c r="H53" s="425" t="n"/>
      <c r="I53" s="425" t="n"/>
      <c r="J53" s="425" t="n"/>
      <c r="K53" s="422" t="n"/>
      <c r="L53" s="425" t="n"/>
      <c r="M53" s="425" t="n"/>
      <c r="N53" s="425" t="n"/>
      <c r="O53" s="425" t="n"/>
    </row>
    <row r="54">
      <c r="A54" s="424" t="inlineStr">
        <is>
          <t>RESONANCE</t>
        </is>
      </c>
      <c r="B54" s="406" t="n"/>
      <c r="C54" s="406" t="n"/>
      <c r="D54" s="406" t="n"/>
      <c r="E54" s="406" t="n"/>
      <c r="F54" s="406" t="n"/>
      <c r="G54" s="406" t="n"/>
      <c r="H54" s="406" t="n"/>
      <c r="I54" s="406" t="n"/>
      <c r="J54" s="406" t="n"/>
      <c r="K54" s="407" t="n"/>
      <c r="L54" s="425" t="n"/>
      <c r="M54" s="425" t="n"/>
      <c r="N54" s="425" t="n"/>
      <c r="O54" s="425" t="n"/>
    </row>
    <row r="55">
      <c r="A55" s="434" t="inlineStr">
        <is>
          <t xml:space="preserve">   BLUE</t>
        </is>
      </c>
      <c r="B55" s="425" t="n"/>
      <c r="C55" s="425" t="n"/>
      <c r="D55" s="425" t="n"/>
      <c r="E55" s="425" t="n"/>
      <c r="F55" s="425" t="n"/>
      <c r="G55" s="425" t="n"/>
      <c r="H55" s="425" t="n"/>
      <c r="I55" s="425" t="n"/>
      <c r="J55" s="425" t="n"/>
      <c r="K55" s="422" t="n"/>
      <c r="L55" s="425" t="n"/>
      <c r="M55" s="425" t="n"/>
      <c r="N55" s="425" t="n"/>
      <c r="O55" s="425" t="n"/>
    </row>
    <row r="56">
      <c r="A56" s="434" t="inlineStr">
        <is>
          <t xml:space="preserve">     Output</t>
        </is>
      </c>
      <c r="B56" s="425" t="n"/>
      <c r="C56" s="425" t="n"/>
      <c r="D56" s="371" t="n">
        <v>14</v>
      </c>
      <c r="E56" s="425" t="n"/>
      <c r="F56" s="425" t="n"/>
      <c r="G56" s="425" t="n"/>
      <c r="H56" s="425" t="n"/>
      <c r="I56" s="425" t="n"/>
      <c r="J56" s="425" t="n"/>
      <c r="K56" s="422" t="n"/>
      <c r="L56" s="425" t="n"/>
      <c r="M56" s="425" t="n"/>
      <c r="N56" s="425" t="n"/>
      <c r="O56" s="425" t="n"/>
    </row>
    <row r="57">
      <c r="A57" s="434" t="inlineStr">
        <is>
          <t xml:space="preserve">        No. 1 Majesty</t>
        </is>
      </c>
      <c r="B57" s="425" t="inlineStr">
        <is>
          <t>Blue</t>
        </is>
      </c>
      <c r="C57" s="425" t="inlineStr">
        <is>
          <t>CIV</t>
        </is>
      </c>
      <c r="D57" s="425" t="n"/>
      <c r="E57" s="425" t="n"/>
      <c r="F57" s="425" t="n"/>
      <c r="G57" s="425" t="n"/>
      <c r="H57" s="425" t="n"/>
      <c r="I57" s="425" t="n"/>
      <c r="J57" s="425" t="n"/>
      <c r="K57" s="418" t="inlineStr">
        <is>
          <t>Lottery Machine #1 (0.03%), Wishing (0.82%)</t>
        </is>
      </c>
      <c r="L57" s="425" t="n"/>
      <c r="M57" s="425" t="n"/>
      <c r="N57" s="425" t="n"/>
      <c r="O57" s="425" t="n"/>
    </row>
    <row r="58">
      <c r="A58" s="434" t="inlineStr">
        <is>
          <t xml:space="preserve">        Requiem</t>
        </is>
      </c>
      <c r="B58" s="425" t="inlineStr">
        <is>
          <t>Blue</t>
        </is>
      </c>
      <c r="C58" s="425" t="inlineStr">
        <is>
          <t>ART</t>
        </is>
      </c>
      <c r="D58" s="425" t="n"/>
      <c r="E58" s="425" t="n"/>
      <c r="F58" s="425" t="n"/>
      <c r="G58" s="425" t="n"/>
      <c r="H58" s="425" t="n"/>
      <c r="I58" s="425" t="n"/>
      <c r="J58" s="425" t="n"/>
      <c r="K58" s="418" t="inlineStr">
        <is>
          <t>T2 Demon Gene Research</t>
        </is>
      </c>
      <c r="L58" s="425" t="n"/>
      <c r="M58" s="425" t="n"/>
      <c r="N58" s="425" t="n"/>
      <c r="O58" s="425" t="n"/>
    </row>
    <row r="59">
      <c r="A59" s="434" t="inlineStr">
        <is>
          <t xml:space="preserve">        Genesis</t>
        </is>
      </c>
      <c r="B59" s="425" t="inlineStr">
        <is>
          <t>Blue</t>
        </is>
      </c>
      <c r="C59" s="425" t="inlineStr">
        <is>
          <t>FTH</t>
        </is>
      </c>
      <c r="D59" s="425" t="n"/>
      <c r="E59" s="425" t="n"/>
      <c r="F59" s="425" t="n"/>
      <c r="G59" s="425" t="n"/>
      <c r="H59" s="425" t="n"/>
      <c r="I59" s="425" t="n"/>
      <c r="J59" s="425" t="n"/>
      <c r="K59" s="418" t="inlineStr">
        <is>
          <t>Lottery Machine #1 (0.07%), Wishing (2.1%), Club Chest (2%), Trainee Scroll (1%)</t>
        </is>
      </c>
      <c r="L59" s="425" t="n"/>
      <c r="M59" s="425" t="n"/>
      <c r="N59" s="425" t="n"/>
      <c r="O59" s="425" t="n"/>
    </row>
    <row r="60">
      <c r="A60" s="434" t="inlineStr">
        <is>
          <t xml:space="preserve">        Klein Bottle</t>
        </is>
      </c>
      <c r="B60" s="425" t="inlineStr">
        <is>
          <t>Blue</t>
        </is>
      </c>
      <c r="C60" s="425" t="inlineStr">
        <is>
          <t>TECH</t>
        </is>
      </c>
      <c r="D60" s="425" t="n"/>
      <c r="E60" s="425" t="n"/>
      <c r="F60" s="425" t="n"/>
      <c r="G60" s="425" t="n"/>
      <c r="H60" s="425" t="n"/>
      <c r="I60" s="425" t="n"/>
      <c r="J60" s="425" t="n"/>
      <c r="K60" s="418" t="inlineStr">
        <is>
          <t>Lottery Machine #1 (0.07%), Wishing (2.6%), Novice Scrolls (1%)</t>
        </is>
      </c>
      <c r="L60" s="425" t="n"/>
      <c r="M60" s="425" t="n"/>
      <c r="N60" s="425" t="n"/>
      <c r="O60" s="425" t="n"/>
    </row>
    <row r="61">
      <c r="A61" s="434" t="inlineStr">
        <is>
          <t xml:space="preserve">     Wonder Fungus</t>
        </is>
      </c>
      <c r="B61" s="425" t="n"/>
      <c r="C61" s="425" t="n"/>
      <c r="D61" s="425" t="n"/>
      <c r="E61" s="425" t="n"/>
      <c r="F61" s="425" t="n"/>
      <c r="G61" s="425" t="n"/>
      <c r="H61" s="371" t="n">
        <v>14</v>
      </c>
      <c r="I61" s="425" t="n"/>
      <c r="J61" s="425" t="n"/>
      <c r="K61" s="422" t="n"/>
      <c r="L61" s="425" t="n"/>
      <c r="M61" s="425" t="n"/>
      <c r="N61" s="425" t="n"/>
      <c r="O61" s="425" t="n"/>
    </row>
    <row r="62">
      <c r="A62" s="434" t="inlineStr">
        <is>
          <t xml:space="preserve">        Melcades' Prophecy</t>
        </is>
      </c>
      <c r="B62" s="425" t="inlineStr">
        <is>
          <t>Blue</t>
        </is>
      </c>
      <c r="C62" s="425" t="inlineStr">
        <is>
          <t>FTH</t>
        </is>
      </c>
      <c r="D62" s="425" t="n"/>
      <c r="E62" s="425" t="n"/>
      <c r="F62" s="425" t="n"/>
      <c r="G62" s="425" t="n"/>
      <c r="H62" s="425" t="n"/>
      <c r="I62" s="425" t="n"/>
      <c r="J62" s="425" t="n"/>
      <c r="K62" s="418" t="inlineStr">
        <is>
          <t>Lottery Machine #1 (0.03%), Wishing (0.85%)</t>
        </is>
      </c>
      <c r="L62" s="425" t="n"/>
      <c r="M62" s="425" t="n"/>
      <c r="N62" s="425" t="n"/>
      <c r="O62" s="425" t="n"/>
    </row>
    <row r="63">
      <c r="A63" s="434" t="inlineStr">
        <is>
          <t xml:space="preserve">        Hillary's Pickaxe</t>
        </is>
      </c>
      <c r="B63" s="425" t="inlineStr">
        <is>
          <t>Blue</t>
        </is>
      </c>
      <c r="C63" s="425" t="inlineStr">
        <is>
          <t>CIV</t>
        </is>
      </c>
      <c r="D63" s="425" t="n"/>
      <c r="E63" s="425" t="n"/>
      <c r="F63" s="425" t="n"/>
      <c r="G63" s="425" t="n"/>
      <c r="H63" s="425" t="n"/>
      <c r="I63" s="425" t="n"/>
      <c r="J63" s="425" t="n"/>
      <c r="K63" s="418" t="inlineStr">
        <is>
          <t>Lottery Machine #1 (0.07%), Wishing (2.1%), Trainee Scrolls (1%)</t>
        </is>
      </c>
      <c r="L63" s="425" t="n"/>
      <c r="M63" s="425" t="n"/>
      <c r="N63" s="425" t="n"/>
      <c r="O63" s="425" t="n"/>
    </row>
    <row r="64">
      <c r="A64" s="434" t="inlineStr">
        <is>
          <t xml:space="preserve">        Musketeer's Mask</t>
        </is>
      </c>
      <c r="B64" s="425" t="inlineStr">
        <is>
          <t>Blue</t>
        </is>
      </c>
      <c r="C64" s="425" t="inlineStr">
        <is>
          <t>CIV</t>
        </is>
      </c>
      <c r="D64" s="425" t="n"/>
      <c r="E64" s="425" t="n"/>
      <c r="F64" s="425" t="n"/>
      <c r="G64" s="425" t="n"/>
      <c r="H64" s="425" t="n"/>
      <c r="I64" s="425" t="n"/>
      <c r="J64" s="425" t="n"/>
      <c r="K64" s="418" t="inlineStr">
        <is>
          <t>Lottery Machine #1 (0.36%), Wishing (10.3%), Trainee Scroll (5%)</t>
        </is>
      </c>
      <c r="L64" s="425" t="n"/>
      <c r="M64" s="425" t="n"/>
      <c r="N64" s="425" t="n"/>
      <c r="O64" s="425" t="n"/>
    </row>
    <row r="65">
      <c r="A65" s="434" t="inlineStr">
        <is>
          <t xml:space="preserve">        Universe Bowl</t>
        </is>
      </c>
      <c r="B65" s="425" t="inlineStr">
        <is>
          <t>Blue</t>
        </is>
      </c>
      <c r="C65" s="425" t="inlineStr">
        <is>
          <t>ART</t>
        </is>
      </c>
      <c r="D65" s="425" t="n"/>
      <c r="E65" s="425" t="n"/>
      <c r="F65" s="425" t="n"/>
      <c r="G65" s="425" t="n"/>
      <c r="H65" s="425" t="n"/>
      <c r="I65" s="425" t="n"/>
      <c r="J65" s="425" t="n"/>
      <c r="K65" s="418" t="inlineStr">
        <is>
          <t>Lottery Machine #1 (0.07%), Wishing (3%), Fungus Chest (2%), Trainee Scrolls (1%)</t>
        </is>
      </c>
      <c r="L65" s="425" t="n"/>
      <c r="M65" s="425" t="n"/>
      <c r="N65" s="425" t="n"/>
      <c r="O65" s="425" t="n"/>
    </row>
    <row r="66">
      <c r="A66" s="434" t="inlineStr">
        <is>
          <t xml:space="preserve">   PURPLE</t>
        </is>
      </c>
      <c r="B66" s="425" t="n"/>
      <c r="C66" s="425" t="n"/>
      <c r="D66" s="425" t="n"/>
      <c r="E66" s="425" t="n"/>
      <c r="F66" s="425" t="n"/>
      <c r="G66" s="425" t="n"/>
      <c r="H66" s="425" t="n"/>
      <c r="I66" s="425" t="n"/>
      <c r="J66" s="425" t="n"/>
      <c r="K66" s="422" t="n"/>
      <c r="L66" s="425" t="n"/>
      <c r="M66" s="425" t="n"/>
      <c r="N66" s="425" t="n"/>
      <c r="O66" s="425" t="n"/>
    </row>
    <row r="67">
      <c r="A67" s="434" t="inlineStr">
        <is>
          <t xml:space="preserve">     Output</t>
        </is>
      </c>
      <c r="B67" s="425" t="n"/>
      <c r="C67" s="425" t="n"/>
      <c r="D67" s="371" t="n">
        <v>12</v>
      </c>
      <c r="E67" s="425" t="n"/>
      <c r="F67" s="425" t="n"/>
      <c r="G67" s="425" t="n"/>
      <c r="H67" s="425" t="n"/>
      <c r="I67" s="425" t="n"/>
      <c r="J67" s="425" t="n"/>
      <c r="K67" s="422" t="n"/>
      <c r="L67" s="425" t="n"/>
      <c r="M67" s="425" t="n"/>
      <c r="N67" s="425" t="n"/>
      <c r="O67" s="425" t="n"/>
    </row>
    <row r="68">
      <c r="A68" s="434" t="inlineStr">
        <is>
          <t xml:space="preserve">       Manneken Pis</t>
        </is>
      </c>
      <c r="B68" s="425" t="inlineStr">
        <is>
          <t>AAA</t>
        </is>
      </c>
      <c r="C68" s="425" t="inlineStr">
        <is>
          <t>ART</t>
        </is>
      </c>
      <c r="D68" s="425" t="n"/>
      <c r="E68" s="425" t="n"/>
      <c r="F68" s="425" t="n"/>
      <c r="G68" s="425" t="n"/>
      <c r="H68" s="425" t="n"/>
      <c r="I68" s="425" t="n"/>
      <c r="J68" s="425" t="n"/>
      <c r="K68" s="418" t="inlineStr">
        <is>
          <t>Fragment Crafting (1.6%), Lottery Machine #1 (0.03%), Wishing (0.14%), Relic Forge (80 Relic RF)</t>
        </is>
      </c>
      <c r="L68" s="425" t="n"/>
      <c r="M68" s="425" t="n"/>
      <c r="N68" s="425" t="n"/>
      <c r="O68" s="425" t="n"/>
    </row>
    <row r="69">
      <c r="A69" s="434" t="inlineStr">
        <is>
          <t xml:space="preserve">       Boy with Goose</t>
        </is>
      </c>
      <c r="B69" s="425" t="inlineStr">
        <is>
          <t>A</t>
        </is>
      </c>
      <c r="C69" s="425" t="inlineStr">
        <is>
          <t>ART</t>
        </is>
      </c>
      <c r="D69" s="425" t="n"/>
      <c r="E69" s="425" t="n"/>
      <c r="F69" s="425" t="n"/>
      <c r="G69" s="425" t="n"/>
      <c r="H69" s="425" t="n"/>
      <c r="I69" s="425" t="n"/>
      <c r="J69" s="425" t="n"/>
      <c r="K69" s="418" t="inlineStr">
        <is>
          <t>Fragment Crafting (31.2%), Lottery Machine #1 (0.66%), Wishing (2.8%), Expert Scrolls (7.6%)</t>
        </is>
      </c>
      <c r="L69" s="425" t="n"/>
      <c r="M69" s="425" t="n"/>
      <c r="N69" s="425" t="n"/>
      <c r="O69" s="425" t="n"/>
    </row>
    <row r="70">
      <c r="A70" s="434" t="inlineStr">
        <is>
          <t xml:space="preserve">     Wonder Fungus</t>
        </is>
      </c>
      <c r="B70" s="425" t="n"/>
      <c r="C70" s="425" t="n"/>
      <c r="D70" s="425" t="n"/>
      <c r="E70" s="425" t="n"/>
      <c r="F70" s="425" t="n"/>
      <c r="G70" s="425" t="n"/>
      <c r="H70" s="371" t="n">
        <v>12</v>
      </c>
      <c r="I70" s="425" t="n"/>
      <c r="J70" s="425" t="n"/>
      <c r="K70" s="418" t="n"/>
      <c r="L70" s="425" t="n"/>
      <c r="M70" s="425" t="n"/>
      <c r="N70" s="425" t="n"/>
      <c r="O70" s="425" t="n"/>
    </row>
    <row r="71">
      <c r="A71" s="434" t="inlineStr">
        <is>
          <t xml:space="preserve">       Gene Map</t>
        </is>
      </c>
      <c r="B71" s="425" t="inlineStr">
        <is>
          <t>AAA</t>
        </is>
      </c>
      <c r="C71" s="425" t="inlineStr">
        <is>
          <t>TECH</t>
        </is>
      </c>
      <c r="D71" s="425" t="n"/>
      <c r="E71" s="425" t="n"/>
      <c r="F71" s="425" t="n"/>
      <c r="G71" s="425" t="n"/>
      <c r="H71" s="425" t="n"/>
      <c r="I71" s="425" t="n"/>
      <c r="J71" s="425" t="n"/>
      <c r="K71" s="418" t="inlineStr">
        <is>
          <t>Fragment Crafting (1.6%), Lottery Machine #1 (0.03%), Wishing (0.14%), Evolution Chest (1.5%), Relic Forge (80 Relic RF)</t>
        </is>
      </c>
      <c r="L71" s="425" t="n"/>
      <c r="M71" s="425" t="n"/>
      <c r="N71" s="425" t="n"/>
      <c r="O71" s="425" t="n"/>
    </row>
    <row r="72">
      <c r="A72" s="434" t="inlineStr">
        <is>
          <t xml:space="preserve">       Dolly Specimen</t>
        </is>
      </c>
      <c r="B72" s="425" t="inlineStr">
        <is>
          <t>A</t>
        </is>
      </c>
      <c r="C72" s="425" t="inlineStr">
        <is>
          <t>TECH</t>
        </is>
      </c>
      <c r="D72" s="425" t="n"/>
      <c r="E72" s="425" t="n"/>
      <c r="F72" s="425" t="n"/>
      <c r="G72" s="425" t="n"/>
      <c r="H72" s="425" t="n"/>
      <c r="I72" s="425" t="n"/>
      <c r="J72" s="425" t="n"/>
      <c r="K72" s="418" t="inlineStr">
        <is>
          <t>Fragment Crafting (31.5%), Lottery Machine #1 (0.66%), Wishing (2.9%), Expert Scrolls (7.6%)</t>
        </is>
      </c>
      <c r="L72" s="425" t="n"/>
      <c r="M72" s="425" t="n"/>
      <c r="N72" s="425" t="n"/>
      <c r="O72" s="425" t="n"/>
    </row>
    <row r="73">
      <c r="A73" s="434" t="inlineStr">
        <is>
          <t xml:space="preserve">   ORANGE</t>
        </is>
      </c>
      <c r="B73" s="425" t="n"/>
      <c r="C73" s="425" t="n"/>
      <c r="D73" s="425" t="n"/>
      <c r="E73" s="425" t="n"/>
      <c r="F73" s="425" t="n"/>
      <c r="G73" s="425" t="n"/>
      <c r="H73" s="425" t="n"/>
      <c r="I73" s="425" t="n"/>
      <c r="J73" s="425" t="n"/>
      <c r="K73" s="422" t="n"/>
      <c r="L73" s="425" t="n"/>
      <c r="M73" s="425" t="n"/>
      <c r="N73" s="425" t="n"/>
      <c r="O73" s="425" t="n"/>
    </row>
    <row r="74">
      <c r="A74" s="434" t="inlineStr">
        <is>
          <t xml:space="preserve">     Output</t>
        </is>
      </c>
      <c r="B74" s="425" t="n"/>
      <c r="C74" s="425" t="n"/>
      <c r="D74" s="371" t="n">
        <v>14</v>
      </c>
      <c r="E74" s="425" t="n"/>
      <c r="F74" s="425" t="n"/>
      <c r="G74" s="425" t="n"/>
      <c r="H74" s="425" t="n"/>
      <c r="I74" s="425" t="n"/>
      <c r="J74" s="425" t="n"/>
      <c r="K74" s="422" t="n"/>
      <c r="L74" s="425" t="n"/>
      <c r="M74" s="425" t="n"/>
      <c r="N74" s="425" t="n"/>
      <c r="O74" s="425" t="n"/>
    </row>
    <row r="75">
      <c r="A75" s="434" t="inlineStr">
        <is>
          <t xml:space="preserve">       Ship in a Bottle</t>
        </is>
      </c>
      <c r="B75" s="425" t="inlineStr">
        <is>
          <t>SS</t>
        </is>
      </c>
      <c r="C75" s="425" t="inlineStr">
        <is>
          <t>ART</t>
        </is>
      </c>
      <c r="D75" s="425" t="n"/>
      <c r="E75" s="425" t="n"/>
      <c r="F75" s="425" t="n"/>
      <c r="G75" s="425" t="n"/>
      <c r="H75" s="425" t="n"/>
      <c r="I75" s="425" t="n"/>
      <c r="J75" s="425" t="n"/>
      <c r="K75" s="418" t="inlineStr">
        <is>
          <t>Fragment Crafting (4%), Lottery Machine #1 (0.18%), Wishing (0.15%), Grandmaster Scrolls (1.6%)</t>
        </is>
      </c>
      <c r="L75" s="425" t="n"/>
      <c r="M75" s="425" t="n"/>
      <c r="N75" s="425" t="n"/>
      <c r="O75" s="425" t="n"/>
    </row>
    <row r="76">
      <c r="A76" s="434" t="inlineStr">
        <is>
          <t xml:space="preserve">       Boat of St. Peter</t>
        </is>
      </c>
      <c r="B76" s="425" t="inlineStr">
        <is>
          <t>SS</t>
        </is>
      </c>
      <c r="C76" s="425" t="inlineStr">
        <is>
          <t>FTH</t>
        </is>
      </c>
      <c r="D76" s="425" t="n"/>
      <c r="E76" s="425" t="n"/>
      <c r="F76" s="425" t="n"/>
      <c r="G76" s="425" t="n"/>
      <c r="H76" s="425" t="n"/>
      <c r="I76" s="425" t="n"/>
      <c r="J76" s="425" t="n"/>
      <c r="K76" s="418" t="inlineStr">
        <is>
          <t>Fragment Crafting (4%), Lottery Machine #1 (0.18%), Wishing (0.15%), Grandmaster Scrolls (1.6%)</t>
        </is>
      </c>
      <c r="L76" s="425" t="n"/>
      <c r="M76" s="425" t="n"/>
      <c r="N76" s="425" t="n"/>
      <c r="O76" s="425" t="n"/>
    </row>
    <row r="77">
      <c r="A77" s="434" t="inlineStr">
        <is>
          <t xml:space="preserve">     Wonder Fungus</t>
        </is>
      </c>
      <c r="B77" s="425" t="n"/>
      <c r="C77" s="425" t="n"/>
      <c r="D77" s="425" t="n"/>
      <c r="E77" s="425" t="n"/>
      <c r="F77" s="425" t="n"/>
      <c r="G77" s="425" t="n"/>
      <c r="H77" s="371" t="n">
        <v>14</v>
      </c>
      <c r="I77" s="425" t="n"/>
      <c r="J77" s="425" t="n"/>
      <c r="K77" s="422" t="n"/>
      <c r="L77" s="425" t="n"/>
      <c r="M77" s="425" t="n"/>
      <c r="N77" s="425" t="n"/>
      <c r="O77" s="425" t="n"/>
    </row>
    <row r="78">
      <c r="A78" s="434" t="inlineStr">
        <is>
          <t xml:space="preserve">       Matrix System</t>
        </is>
      </c>
      <c r="B78" s="425" t="inlineStr">
        <is>
          <t>SS</t>
        </is>
      </c>
      <c r="C78" s="425" t="inlineStr">
        <is>
          <t>TECH</t>
        </is>
      </c>
      <c r="D78" s="425" t="n"/>
      <c r="E78" s="425" t="n"/>
      <c r="F78" s="425" t="n"/>
      <c r="G78" s="425" t="n"/>
      <c r="H78" s="425" t="n"/>
      <c r="I78" s="425" t="n"/>
      <c r="J78" s="425" t="n"/>
      <c r="K78" s="418" t="inlineStr">
        <is>
          <t>T7.5 Mecha Gene Research</t>
        </is>
      </c>
      <c r="L78" s="425" t="n"/>
      <c r="M78" s="425" t="n"/>
      <c r="N78" s="425" t="n"/>
      <c r="O78" s="425" t="n"/>
    </row>
    <row r="79">
      <c r="A79" s="434" t="inlineStr">
        <is>
          <t xml:space="preserve">       Causality</t>
        </is>
      </c>
      <c r="B79" s="425" t="inlineStr">
        <is>
          <t>SS</t>
        </is>
      </c>
      <c r="C79" s="425" t="inlineStr">
        <is>
          <t>TECH</t>
        </is>
      </c>
      <c r="D79" s="425" t="n"/>
      <c r="E79" s="425" t="n"/>
      <c r="F79" s="425" t="n"/>
      <c r="G79" s="425" t="n"/>
      <c r="H79" s="425" t="n"/>
      <c r="I79" s="425" t="n"/>
      <c r="J79" s="425" t="n"/>
      <c r="K79" s="418" t="inlineStr">
        <is>
          <t>Fragment Crafting (3.9%), Lottery Machine #1 (0.18%), Alchemy Furnace (0.14%), Grandmaster Scrolls (1.6%)</t>
        </is>
      </c>
      <c r="L79" s="425" t="n"/>
      <c r="M79" s="425" t="n"/>
      <c r="N79" s="425" t="n"/>
      <c r="O79" s="425" t="n"/>
    </row>
    <row r="80">
      <c r="A80" s="362" t="inlineStr">
        <is>
          <t>MAX RESONANCE</t>
        </is>
      </c>
      <c r="B80" s="411" t="n"/>
      <c r="C80" s="411" t="n"/>
      <c r="D80" s="364">
        <f>sum(D55:D79)</f>
        <v/>
      </c>
      <c r="E80" s="411" t="n"/>
      <c r="F80" s="364">
        <f>sum(F55:F79)</f>
        <v/>
      </c>
      <c r="G80" s="411" t="n"/>
      <c r="H80" s="364">
        <f>sum(H55:H79)</f>
        <v/>
      </c>
      <c r="I80" s="411" t="n"/>
      <c r="J80" s="411" t="n"/>
      <c r="K80" s="426" t="n"/>
      <c r="L80" s="425" t="n"/>
      <c r="M80" s="425" t="n"/>
      <c r="N80" s="425" t="n"/>
      <c r="O80" s="425" t="n"/>
    </row>
    <row r="81">
      <c r="A81" s="425" t="n"/>
      <c r="B81" s="425" t="n"/>
      <c r="C81" s="425" t="n"/>
      <c r="D81" s="425" t="n"/>
      <c r="E81" s="425" t="n"/>
      <c r="F81" s="425" t="n"/>
      <c r="G81" s="425" t="n"/>
      <c r="H81" s="425" t="n"/>
      <c r="I81" s="425" t="n"/>
      <c r="J81" s="425" t="n"/>
      <c r="K81" s="425" t="n"/>
      <c r="L81" s="425" t="n"/>
      <c r="M81" s="425" t="n"/>
      <c r="N81" s="425" t="n"/>
      <c r="O81" s="425" t="n"/>
    </row>
    <row r="82">
      <c r="A82" s="425" t="n"/>
      <c r="B82" s="425" t="n"/>
      <c r="C82" s="425" t="n"/>
      <c r="D82" s="425" t="n"/>
      <c r="E82" s="425" t="n"/>
      <c r="F82" s="425" t="n"/>
      <c r="G82" s="425" t="n"/>
      <c r="H82" s="425" t="n"/>
      <c r="I82" s="425" t="n"/>
      <c r="J82" s="425" t="n"/>
      <c r="K82" s="425" t="n"/>
      <c r="L82" s="425" t="n"/>
      <c r="M82" s="425" t="n"/>
      <c r="N82" s="425" t="n"/>
      <c r="O82" s="425" t="n"/>
    </row>
    <row r="83">
      <c r="A83" s="450" t="inlineStr">
        <is>
          <t>Total Food Output</t>
        </is>
      </c>
      <c r="B83" s="428">
        <f>D16+D27+D52+D80+D21+D33+D24+D30</f>
        <v/>
      </c>
      <c r="C83" s="425" t="n"/>
      <c r="D83" s="425" t="n"/>
      <c r="E83" s="425" t="n"/>
      <c r="F83" s="425" t="n"/>
      <c r="G83" s="425" t="n"/>
      <c r="H83" s="425" t="n"/>
      <c r="I83" s="425" t="n"/>
      <c r="J83" s="425" t="n"/>
      <c r="K83" s="425" t="n"/>
      <c r="L83" s="425" t="n"/>
      <c r="M83" s="425" t="n"/>
      <c r="N83" s="425" t="n"/>
      <c r="O83" s="425" t="n"/>
    </row>
    <row r="84">
      <c r="A84" s="447" t="inlineStr">
        <is>
          <t>Total Food Cap</t>
        </is>
      </c>
      <c r="B84" s="115">
        <f>F16+F27+F52+F80+F21+F33+F30</f>
        <v/>
      </c>
      <c r="C84" s="425" t="n"/>
      <c r="D84" s="425" t="n"/>
      <c r="E84" s="425" t="n"/>
      <c r="F84" s="425" t="n"/>
      <c r="G84" s="425" t="n"/>
      <c r="H84" s="425" t="n"/>
      <c r="I84" s="425" t="n"/>
      <c r="J84" s="425" t="n"/>
      <c r="K84" s="425" t="n"/>
      <c r="L84" s="425" t="n"/>
      <c r="M84" s="425" t="n"/>
      <c r="N84" s="425" t="n"/>
      <c r="O84" s="425" t="n"/>
    </row>
    <row r="85">
      <c r="A85" s="430" t="inlineStr">
        <is>
          <t>Total Wonder Fungus Gen</t>
        </is>
      </c>
      <c r="B85" s="115">
        <f>H16+H27+H52+H80+H33+H21</f>
        <v/>
      </c>
      <c r="C85" s="425" t="n"/>
      <c r="D85" s="425" t="n"/>
      <c r="E85" s="425" t="n"/>
      <c r="F85" s="425" t="n"/>
      <c r="G85" s="425" t="n"/>
      <c r="H85" s="425" t="n"/>
      <c r="I85" s="425" t="n"/>
      <c r="J85" s="425" t="n"/>
      <c r="K85" s="425" t="n"/>
      <c r="L85" s="425" t="n"/>
      <c r="M85" s="425" t="n"/>
      <c r="N85" s="425" t="n"/>
      <c r="O85" s="425" t="n"/>
    </row>
    <row r="86">
      <c r="A86" s="431" t="n"/>
      <c r="B86" s="432" t="n"/>
      <c r="C86" s="432" t="n"/>
      <c r="D86" s="432" t="n"/>
      <c r="E86" s="432" t="n"/>
      <c r="F86" s="432" t="n"/>
      <c r="G86" s="432" t="n"/>
      <c r="H86" s="432" t="n"/>
      <c r="I86" s="432" t="n"/>
      <c r="J86" s="432" t="n"/>
      <c r="K86" s="433" t="n"/>
    </row>
    <row r="87">
      <c r="A87" s="432" t="n"/>
      <c r="B87" s="432" t="n"/>
      <c r="C87" s="432" t="n"/>
      <c r="D87" s="432" t="n"/>
      <c r="E87" s="432" t="n"/>
      <c r="F87" s="432" t="n"/>
      <c r="G87" s="432" t="n"/>
      <c r="H87" s="432" t="n"/>
      <c r="I87" s="432" t="n"/>
      <c r="J87" s="432" t="n"/>
      <c r="K87" s="433" t="n"/>
    </row>
    <row r="88">
      <c r="A88" s="432" t="n"/>
      <c r="B88" s="432" t="n"/>
      <c r="C88" s="432" t="n"/>
      <c r="D88" s="432" t="n"/>
      <c r="E88" s="432" t="n"/>
      <c r="F88" s="432" t="n"/>
      <c r="G88" s="432" t="n"/>
      <c r="H88" s="432" t="n"/>
      <c r="I88" s="432" t="n"/>
      <c r="J88" s="432" t="n"/>
      <c r="K88" s="432" t="n"/>
    </row>
    <row r="89">
      <c r="A89" s="432" t="n"/>
      <c r="B89" s="432" t="n"/>
      <c r="C89" s="432" t="n"/>
      <c r="D89" s="432" t="n"/>
      <c r="E89" s="432" t="n"/>
      <c r="F89" s="432" t="n"/>
      <c r="G89" s="432" t="n"/>
      <c r="H89" s="432" t="n"/>
      <c r="I89" s="432" t="n"/>
      <c r="J89" s="432" t="n"/>
      <c r="K89" s="432" t="n"/>
    </row>
    <row r="90">
      <c r="A90" s="432" t="n"/>
      <c r="B90" s="432" t="n"/>
      <c r="C90" s="432" t="n"/>
      <c r="D90" s="432" t="n"/>
      <c r="E90" s="432" t="n"/>
      <c r="F90" s="432" t="n"/>
      <c r="G90" s="432" t="n"/>
      <c r="H90" s="432" t="n"/>
      <c r="I90" s="432" t="n"/>
      <c r="J90" s="432" t="n"/>
      <c r="K90" s="432" t="n"/>
    </row>
    <row r="91">
      <c r="A91" s="432" t="n"/>
      <c r="B91" s="432" t="n"/>
      <c r="C91" s="432" t="n"/>
      <c r="D91" s="432" t="n"/>
      <c r="E91" s="432" t="n"/>
      <c r="F91" s="432" t="n"/>
      <c r="G91" s="432" t="n"/>
      <c r="H91" s="432" t="n"/>
      <c r="I91" s="432" t="n"/>
      <c r="J91" s="432" t="n"/>
      <c r="K91" s="432" t="n"/>
    </row>
    <row r="92">
      <c r="A92" s="432" t="n"/>
      <c r="B92" s="432" t="n"/>
      <c r="C92" s="432" t="n"/>
      <c r="D92" s="432" t="n"/>
      <c r="E92" s="432" t="n"/>
      <c r="F92" s="432" t="n"/>
      <c r="G92" s="432" t="n"/>
      <c r="H92" s="432" t="n"/>
      <c r="I92" s="432" t="n"/>
      <c r="J92" s="432" t="n"/>
      <c r="K92" s="432" t="n"/>
    </row>
    <row r="93">
      <c r="A93" s="432" t="n"/>
      <c r="B93" s="432" t="n"/>
      <c r="C93" s="432" t="n"/>
      <c r="D93" s="432" t="n"/>
      <c r="E93" s="432" t="n"/>
      <c r="F93" s="432" t="n"/>
      <c r="G93" s="432" t="n"/>
      <c r="H93" s="432" t="n"/>
      <c r="I93" s="432" t="n"/>
      <c r="J93" s="432" t="n"/>
      <c r="K93" s="433" t="n"/>
    </row>
    <row r="94">
      <c r="A94" s="432" t="n"/>
      <c r="B94" s="432" t="n"/>
      <c r="C94" s="432" t="n"/>
      <c r="D94" s="432" t="n"/>
      <c r="E94" s="432" t="n"/>
      <c r="F94" s="432" t="n"/>
      <c r="G94" s="432" t="n"/>
      <c r="H94" s="432" t="n"/>
      <c r="I94" s="432" t="n"/>
      <c r="J94" s="432" t="n"/>
      <c r="K94" s="433" t="n"/>
    </row>
    <row r="95">
      <c r="A95" s="432" t="n"/>
      <c r="B95" s="432" t="n"/>
      <c r="C95" s="432" t="n"/>
      <c r="D95" s="432" t="n"/>
      <c r="E95" s="432" t="n"/>
      <c r="F95" s="432" t="n"/>
      <c r="G95" s="432" t="n"/>
      <c r="H95" s="432" t="n"/>
      <c r="I95" s="432" t="n"/>
      <c r="J95" s="432" t="n"/>
      <c r="K95" s="432" t="n"/>
    </row>
    <row r="96">
      <c r="A96" s="432" t="n"/>
      <c r="B96" s="432" t="n"/>
      <c r="C96" s="432" t="n"/>
      <c r="D96" s="432" t="n"/>
      <c r="E96" s="432" t="n"/>
      <c r="F96" s="432" t="n"/>
      <c r="G96" s="432" t="n"/>
      <c r="H96" s="432" t="n"/>
      <c r="I96" s="432" t="n"/>
      <c r="J96" s="432" t="n"/>
      <c r="K96" s="432" t="n"/>
    </row>
    <row r="97">
      <c r="A97" s="432" t="n"/>
      <c r="B97" s="432" t="n"/>
      <c r="C97" s="432" t="n"/>
      <c r="D97" s="432" t="n"/>
      <c r="E97" s="432" t="n"/>
      <c r="F97" s="432" t="n"/>
      <c r="G97" s="432" t="n"/>
      <c r="H97" s="432" t="n"/>
      <c r="I97" s="432" t="n"/>
      <c r="J97" s="432" t="n"/>
      <c r="K97" s="433" t="n"/>
    </row>
    <row r="98">
      <c r="A98" s="432" t="n"/>
      <c r="B98" s="432" t="n"/>
      <c r="C98" s="432" t="n"/>
      <c r="D98" s="432" t="n"/>
      <c r="E98" s="432" t="n"/>
      <c r="F98" s="432" t="n"/>
      <c r="G98" s="432" t="n"/>
      <c r="H98" s="432" t="n"/>
      <c r="I98" s="432" t="n"/>
      <c r="J98" s="432" t="n"/>
      <c r="K98" s="432" t="n"/>
    </row>
    <row r="99">
      <c r="A99" s="432" t="n"/>
      <c r="B99" s="432" t="n"/>
      <c r="C99" s="432" t="n"/>
      <c r="D99" s="432" t="n"/>
      <c r="E99" s="432" t="n"/>
      <c r="F99" s="432" t="n"/>
      <c r="G99" s="432" t="n"/>
      <c r="H99" s="432" t="n"/>
      <c r="I99" s="432" t="n"/>
      <c r="J99" s="432" t="n"/>
      <c r="K99" s="432" t="n"/>
    </row>
    <row r="100">
      <c r="A100" s="432" t="n"/>
      <c r="B100" s="432" t="n"/>
      <c r="C100" s="432" t="n"/>
      <c r="D100" s="432" t="n"/>
      <c r="E100" s="432" t="n"/>
      <c r="F100" s="432" t="n"/>
      <c r="G100" s="432" t="n"/>
      <c r="H100" s="432" t="n"/>
      <c r="I100" s="432" t="n"/>
      <c r="J100" s="432" t="n"/>
      <c r="K100" s="432" t="n"/>
    </row>
    <row r="101">
      <c r="A101" s="432" t="n"/>
      <c r="B101" s="432" t="n"/>
      <c r="C101" s="432" t="n"/>
      <c r="D101" s="432" t="n"/>
      <c r="E101" s="432" t="n"/>
      <c r="F101" s="432" t="n"/>
      <c r="G101" s="432" t="n"/>
      <c r="H101" s="432" t="n"/>
      <c r="I101" s="432" t="n"/>
      <c r="J101" s="432" t="n"/>
      <c r="K101" s="432" t="n"/>
    </row>
    <row r="102">
      <c r="A102" s="432" t="n"/>
      <c r="B102" s="432" t="n"/>
      <c r="C102" s="432" t="n"/>
      <c r="D102" s="432" t="n"/>
      <c r="E102" s="432" t="n"/>
      <c r="F102" s="432" t="n"/>
      <c r="G102" s="432" t="n"/>
      <c r="H102" s="432" t="n"/>
      <c r="I102" s="432" t="n"/>
      <c r="J102" s="432" t="n"/>
      <c r="K102" s="432" t="n"/>
    </row>
    <row r="103">
      <c r="A103" s="432" t="n"/>
      <c r="B103" s="432" t="n"/>
      <c r="C103" s="432" t="n"/>
      <c r="D103" s="432" t="n"/>
      <c r="E103" s="432" t="n"/>
      <c r="F103" s="432" t="n"/>
      <c r="G103" s="432" t="n"/>
      <c r="H103" s="432" t="n"/>
      <c r="I103" s="432" t="n"/>
      <c r="J103" s="432" t="n"/>
      <c r="K103" s="432" t="n"/>
    </row>
  </sheetData>
  <dataValidations count="3">
    <dataValidation sqref="B3:B15 B36:B51 B57:B60 B62:B65 B68:B69 B71:B72 B75:B76 B78:B79" showDropDown="0" showInputMessage="0" showErrorMessage="1" allowBlank="1" type="list">
      <formula1>"SSS,SS,S,AAA,AA,A,Blue,Green"</formula1>
    </dataValidation>
    <dataValidation sqref="C36:C51" showDropDown="0" showInputMessage="0" showErrorMessage="1" allowBlank="1" type="list">
      <formula1>"FAME,ART,FTH,CIV,TECH"</formula1>
    </dataValidation>
    <dataValidation sqref="C3:C15 C57:C60 C62:C65 C68:C69 C71:C72 C75:C76 C78:C79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7.45" customWidth="1" style="1128" min="1" max="1"/>
    <col width="8.09" customWidth="1" style="1128" min="2" max="2"/>
    <col width="7.82" customWidth="1" style="1128" min="3" max="3"/>
    <col width="8.09" customWidth="1" style="1128" min="4" max="4"/>
    <col width="11.73" customWidth="1" style="1128" min="5" max="5"/>
    <col width="6.09" customWidth="1" style="1128" min="6" max="6"/>
    <col width="9.73" customWidth="1" style="1128" min="7" max="7"/>
    <col width="7.27" customWidth="1" style="1128" min="8" max="8"/>
    <col width="14.09" customWidth="1" style="1128" min="9" max="9"/>
    <col width="8.82" customWidth="1" style="1128" min="10" max="10"/>
    <col width="123" customWidth="1" style="1128" min="11" max="11"/>
    <col width="8.640000000000001" customWidth="1" style="1128" min="12" max="26"/>
  </cols>
  <sheetData>
    <row r="1" ht="15.75" customHeight="1" s="1128">
      <c r="A1" s="413" t="inlineStr">
        <is>
          <t>Name</t>
        </is>
      </c>
      <c r="B1" s="431" t="inlineStr">
        <is>
          <t>Rarity</t>
        </is>
      </c>
      <c r="C1" s="431" t="inlineStr">
        <is>
          <t>Type</t>
        </is>
      </c>
      <c r="D1" s="431" t="inlineStr">
        <is>
          <t>Base Output</t>
        </is>
      </c>
      <c r="E1" s="431" t="inlineStr">
        <is>
          <t>Awakening Output</t>
        </is>
      </c>
      <c r="F1" s="431" t="inlineStr">
        <is>
          <t>Base Cap</t>
        </is>
      </c>
      <c r="G1" s="431" t="inlineStr">
        <is>
          <t>Awakening Cap</t>
        </is>
      </c>
      <c r="H1" s="431" t="inlineStr">
        <is>
          <t>Time Chest</t>
        </is>
      </c>
      <c r="I1" s="431" t="inlineStr">
        <is>
          <t>Awakening Time Chest</t>
        </is>
      </c>
      <c r="J1" s="431" t="inlineStr">
        <is>
          <t>AFFECT Boost</t>
        </is>
      </c>
      <c r="K1" s="397" t="inlineStr">
        <is>
          <t>Source</t>
        </is>
      </c>
    </row>
    <row r="2" ht="15.75" customHeight="1" s="1128">
      <c r="A2" s="398" t="inlineStr">
        <is>
          <t>INDIVIDUAL RELICS</t>
        </is>
      </c>
      <c r="B2" s="432" t="n"/>
      <c r="C2" s="432" t="n"/>
      <c r="D2" s="432" t="n"/>
      <c r="E2" s="432" t="n"/>
      <c r="F2" s="432" t="n"/>
      <c r="G2" s="432" t="n"/>
      <c r="H2" s="432" t="n"/>
      <c r="I2" s="432" t="n"/>
      <c r="J2" s="432" t="n"/>
      <c r="K2" s="66" t="n"/>
    </row>
    <row r="3" ht="15.75" customHeight="1" s="1128">
      <c r="A3" s="401" t="inlineStr">
        <is>
          <t xml:space="preserve">   Sputnik 1</t>
        </is>
      </c>
      <c r="B3" s="425" t="inlineStr">
        <is>
          <t>SS</t>
        </is>
      </c>
      <c r="C3" s="425" t="inlineStr">
        <is>
          <t>TECH</t>
        </is>
      </c>
      <c r="D3" s="432" t="n">
        <v>22</v>
      </c>
      <c r="E3" s="432" t="n"/>
      <c r="F3" s="432" t="n">
        <v>22</v>
      </c>
      <c r="G3" s="432" t="n"/>
      <c r="H3" s="432" t="n">
        <v>22</v>
      </c>
      <c r="I3" s="432" t="n">
        <v>20</v>
      </c>
      <c r="J3" s="432" t="n"/>
      <c r="K3" s="66" t="inlineStr">
        <is>
          <t>Fragment Crafting (3.9%), Lottery Machine #1 (0.18%), Wishing (0.14%), Club Chest (1%), Grandmaster Scrolls (1.6%)</t>
        </is>
      </c>
    </row>
    <row r="4" ht="15.75" customHeight="1" s="1128">
      <c r="A4" s="401" t="inlineStr">
        <is>
          <t xml:space="preserve">   Artificial Black Hole</t>
        </is>
      </c>
      <c r="B4" s="425" t="inlineStr">
        <is>
          <t>SSS</t>
        </is>
      </c>
      <c r="C4" s="425" t="inlineStr">
        <is>
          <t>TECH</t>
        </is>
      </c>
      <c r="D4" s="432" t="n">
        <v>24</v>
      </c>
      <c r="E4" s="432" t="n">
        <v>20</v>
      </c>
      <c r="F4" s="432" t="n"/>
      <c r="G4" s="432" t="n"/>
      <c r="H4" s="432" t="n"/>
      <c r="I4" s="432" t="n"/>
      <c r="J4" s="432" t="n"/>
      <c r="K4" s="66" t="inlineStr">
        <is>
          <t>Wish Box, Lottery Machine #1 (0.09%), Wishing (0.07%), Demon God Chest (0.1%), Grandmaster Scrolls (0.81%), Relic Forge (120 Relic RF), Nebula Chest (0.01%)</t>
        </is>
      </c>
    </row>
    <row r="5" ht="15.75" customHeight="1" s="1128">
      <c r="A5" s="401" t="inlineStr">
        <is>
          <t xml:space="preserve">   Golden Wheat</t>
        </is>
      </c>
      <c r="B5" s="425" t="inlineStr">
        <is>
          <t>SSS</t>
        </is>
      </c>
      <c r="C5" s="425" t="inlineStr">
        <is>
          <t>ART</t>
        </is>
      </c>
      <c r="D5" s="432" t="n">
        <v>24</v>
      </c>
      <c r="E5" s="432" t="n"/>
      <c r="F5" s="432" t="n"/>
      <c r="G5" s="432" t="n"/>
      <c r="H5" s="432" t="n"/>
      <c r="I5" s="432" t="n"/>
      <c r="J5" s="432" t="n"/>
      <c r="K5" s="66" t="inlineStr">
        <is>
          <t>Wish Pack, Lottery Machine #1 (0.09%), Wishing (0.08%), Yamato Treasure Maps (0.01%), Grandmaster Scrolls (0.81%), Relic Forge (120 Relic RF)</t>
        </is>
      </c>
    </row>
    <row r="6" ht="15.75" customHeight="1" s="1128">
      <c r="A6" s="401" t="inlineStr">
        <is>
          <t xml:space="preserve">   Morse's Telegraph</t>
        </is>
      </c>
      <c r="B6" s="425" t="inlineStr">
        <is>
          <t>SS</t>
        </is>
      </c>
      <c r="C6" s="425" t="inlineStr">
        <is>
          <t>TECH</t>
        </is>
      </c>
      <c r="D6" s="432" t="n">
        <v>22</v>
      </c>
      <c r="E6" s="432" t="n"/>
      <c r="F6" s="432" t="n"/>
      <c r="G6" s="432" t="n"/>
      <c r="H6" s="432" t="n"/>
      <c r="I6" s="432" t="n"/>
      <c r="J6" s="432" t="n"/>
      <c r="K6" s="66" t="inlineStr">
        <is>
          <t>Fragment Crafting (5.2%), Lottery Machine #1 (0.24%), Wishing (0.19%), Tool Chest (1%), Master Scrolls (1.9%), Grandmaster Scrolls (2.1%), TECH Master Scrolls (9.2%)</t>
        </is>
      </c>
    </row>
    <row r="7" ht="15.75" customHeight="1" s="1128">
      <c r="A7" s="398" t="inlineStr">
        <is>
          <t xml:space="preserve">   Notre Dame Bell</t>
        </is>
      </c>
      <c r="B7" s="425" t="inlineStr">
        <is>
          <t>S</t>
        </is>
      </c>
      <c r="C7" s="425" t="inlineStr">
        <is>
          <t>CIV</t>
        </is>
      </c>
      <c r="D7" s="432" t="n"/>
      <c r="E7" s="432" t="n"/>
      <c r="F7" s="432" t="n">
        <v>20</v>
      </c>
      <c r="G7" s="432" t="n">
        <v>20</v>
      </c>
      <c r="H7" s="432" t="n"/>
      <c r="I7" s="432" t="n"/>
      <c r="J7" s="432" t="n"/>
      <c r="K7" s="66" t="inlineStr">
        <is>
          <t>Fragment Crafting (18.8%), Lottery Machine #1 (0.81%), Wishing (0.69%), Relic Forge (90 Relic RF)</t>
        </is>
      </c>
    </row>
    <row r="8" ht="15.75" customHeight="1" s="1128">
      <c r="A8" s="401" t="inlineStr">
        <is>
          <t xml:space="preserve">   Bell's Telephone</t>
        </is>
      </c>
      <c r="B8" s="425" t="inlineStr">
        <is>
          <t>AAA</t>
        </is>
      </c>
      <c r="C8" s="425" t="inlineStr">
        <is>
          <t>TECH</t>
        </is>
      </c>
      <c r="D8" s="432" t="n"/>
      <c r="E8" s="432" t="n"/>
      <c r="F8" s="432" t="n"/>
      <c r="G8" s="432" t="n"/>
      <c r="H8" s="432" t="n">
        <v>18</v>
      </c>
      <c r="I8" s="432" t="n">
        <v>14</v>
      </c>
      <c r="J8" s="432" t="n"/>
      <c r="K8" s="66" t="inlineStr">
        <is>
          <t>Fragment Crafting (1.6%), Lottery Machine #1 (0.03%), Wishes (0.14%), Relic Forge (80 Relic RF)</t>
        </is>
      </c>
    </row>
    <row r="9" ht="15.75" customHeight="1" s="1128">
      <c r="A9" s="401" t="inlineStr">
        <is>
          <t xml:space="preserve">   Kapa's Camera</t>
        </is>
      </c>
      <c r="B9" s="425" t="inlineStr">
        <is>
          <t>AAA</t>
        </is>
      </c>
      <c r="C9" s="425" t="inlineStr">
        <is>
          <t>CIV</t>
        </is>
      </c>
      <c r="D9" s="432" t="n">
        <v>18</v>
      </c>
      <c r="E9" s="432" t="n">
        <v>14</v>
      </c>
      <c r="F9" s="432" t="n">
        <v>18</v>
      </c>
      <c r="G9" s="432" t="n"/>
      <c r="H9" s="432" t="n"/>
      <c r="I9" s="432" t="n"/>
      <c r="J9" s="432" t="n"/>
      <c r="K9" s="66" t="inlineStr">
        <is>
          <t>Fragment Crafting (1.5%), Lottery Machine #1 (0.03%), Wishing (0.14%), Relic Forge (80 Relic RF)</t>
        </is>
      </c>
    </row>
    <row r="10" ht="15.75" customHeight="1" s="1128">
      <c r="A10" s="401" t="inlineStr">
        <is>
          <t xml:space="preserve">   Yuan Calendar</t>
        </is>
      </c>
      <c r="B10" s="425" t="inlineStr">
        <is>
          <t>AAA</t>
        </is>
      </c>
      <c r="C10" s="425" t="inlineStr">
        <is>
          <t>TECH</t>
        </is>
      </c>
      <c r="D10" s="432" t="n"/>
      <c r="E10" s="432" t="n"/>
      <c r="F10" s="432" t="n"/>
      <c r="G10" s="432" t="n"/>
      <c r="H10" s="432" t="n">
        <v>16</v>
      </c>
      <c r="I10" s="432" t="n"/>
      <c r="J10" s="432" t="n"/>
      <c r="K10" s="66" t="inlineStr">
        <is>
          <t>Fragment Crafting (3.9%), Lottery Machine #1 (0.08%), Wishing (0.36%), Koryeon Treasure Maps (10%), Expert Scrolls (0.95%)</t>
        </is>
      </c>
    </row>
    <row r="11" ht="15.75" customHeight="1" s="1128">
      <c r="A11" s="401" t="inlineStr">
        <is>
          <t xml:space="preserve">   Keyhole Satellite</t>
        </is>
      </c>
      <c r="B11" s="425" t="inlineStr">
        <is>
          <t>AAA</t>
        </is>
      </c>
      <c r="C11" s="425" t="inlineStr">
        <is>
          <t>TECH</t>
        </is>
      </c>
      <c r="D11" s="432" t="n"/>
      <c r="E11" s="432" t="n">
        <v>15</v>
      </c>
      <c r="F11" s="432" t="n">
        <v>15</v>
      </c>
      <c r="G11" s="432" t="n"/>
      <c r="H11" s="432" t="n"/>
      <c r="I11" s="432" t="n"/>
      <c r="J11" s="432" t="n"/>
      <c r="K11" s="66" t="inlineStr">
        <is>
          <t>Fragment Crafting (1.6%), Lottery Machine #1 (0.03%), Wishing (0.14%), Relic Forge (80 Relic RF), Nebula Chest (1.5%)</t>
        </is>
      </c>
    </row>
    <row r="12" ht="15.75" customHeight="1" s="1128">
      <c r="A12" s="401" t="inlineStr">
        <is>
          <t xml:space="preserve">   Peacock Throne</t>
        </is>
      </c>
      <c r="B12" s="425" t="inlineStr">
        <is>
          <t>AAA</t>
        </is>
      </c>
      <c r="C12" s="425" t="inlineStr">
        <is>
          <t>ART</t>
        </is>
      </c>
      <c r="D12" s="432" t="n">
        <v>5</v>
      </c>
      <c r="E12" s="432" t="n">
        <v>5</v>
      </c>
      <c r="F12" s="432" t="n"/>
      <c r="G12" s="432" t="n"/>
      <c r="H12" s="432" t="n"/>
      <c r="I12" s="432" t="n"/>
      <c r="J12" s="432" t="n"/>
      <c r="K12" s="404" t="inlineStr">
        <is>
          <t>Supreme Relic</t>
        </is>
      </c>
    </row>
    <row r="13" ht="15.75" customHeight="1" s="1128">
      <c r="A13" s="401" t="inlineStr">
        <is>
          <t xml:space="preserve">   Peacock Clock</t>
        </is>
      </c>
      <c r="B13" s="425" t="inlineStr">
        <is>
          <t>Blue</t>
        </is>
      </c>
      <c r="C13" s="425" t="inlineStr">
        <is>
          <t>ART</t>
        </is>
      </c>
      <c r="D13" s="432" t="n">
        <v>10</v>
      </c>
      <c r="E13" s="432" t="n">
        <v>10</v>
      </c>
      <c r="F13" s="432" t="n"/>
      <c r="G13" s="432" t="n"/>
      <c r="H13" s="432" t="n"/>
      <c r="I13" s="432" t="n"/>
      <c r="J13" s="432" t="n"/>
      <c r="K13" s="66" t="inlineStr">
        <is>
          <t>Lottery Machine #1 (0.03%), Wishing (1.2%), Bharata Treasure Maps (%), Time Chest (2%)</t>
        </is>
      </c>
    </row>
    <row r="14" ht="15.75" customHeight="1" s="1128">
      <c r="A14" s="398" t="inlineStr">
        <is>
          <t xml:space="preserve">   Cuckoo Clock</t>
        </is>
      </c>
      <c r="B14" s="425" t="inlineStr">
        <is>
          <t>Blue</t>
        </is>
      </c>
      <c r="C14" s="425" t="inlineStr">
        <is>
          <t>ART</t>
        </is>
      </c>
      <c r="D14" s="432" t="n"/>
      <c r="E14" s="432" t="n"/>
      <c r="F14" s="432" t="n">
        <v>10</v>
      </c>
      <c r="G14" s="432" t="n">
        <v>10</v>
      </c>
      <c r="H14" s="432" t="n"/>
      <c r="I14" s="432" t="n"/>
      <c r="J14" s="432" t="n"/>
      <c r="K14" s="66" t="inlineStr">
        <is>
          <t>Lottery Machine #1 (0.07%), Wishing (3%), Time Chest (2%), Trainee Scrolls (1%)</t>
        </is>
      </c>
    </row>
    <row r="15" ht="15.75" customHeight="1" s="1128">
      <c r="A15" s="401" t="inlineStr">
        <is>
          <t xml:space="preserve">   Sands of Time</t>
        </is>
      </c>
      <c r="B15" s="425" t="inlineStr">
        <is>
          <t>Green</t>
        </is>
      </c>
      <c r="C15" s="425" t="inlineStr">
        <is>
          <t>ART</t>
        </is>
      </c>
      <c r="D15" s="432" t="n"/>
      <c r="E15" s="432" t="n"/>
      <c r="F15" s="432" t="n"/>
      <c r="G15" s="432" t="n"/>
      <c r="H15" s="432" t="n">
        <v>6</v>
      </c>
      <c r="I15" s="432" t="n"/>
      <c r="J15" s="432" t="n"/>
      <c r="K15" s="66" t="inlineStr">
        <is>
          <t>Fissure Floor 1968</t>
        </is>
      </c>
    </row>
    <row r="16" ht="15.75" customHeight="1" s="1128">
      <c r="A16" s="401" t="inlineStr">
        <is>
          <t xml:space="preserve">   Nuclear Fusion Battery</t>
        </is>
      </c>
      <c r="B16" s="425" t="inlineStr">
        <is>
          <t>Green</t>
        </is>
      </c>
      <c r="C16" s="425" t="inlineStr">
        <is>
          <t>TECH</t>
        </is>
      </c>
      <c r="D16" s="432" t="n">
        <v>6</v>
      </c>
      <c r="E16" s="432" t="n"/>
      <c r="F16" s="432" t="n"/>
      <c r="G16" s="432" t="n"/>
      <c r="H16" s="432" t="n"/>
      <c r="I16" s="432" t="n"/>
      <c r="J16" s="432" t="n"/>
      <c r="K16" s="66" t="inlineStr">
        <is>
          <t>Robot Guard</t>
        </is>
      </c>
    </row>
    <row r="17" ht="15.75" customHeight="1" s="1128">
      <c r="A17" s="401" t="inlineStr">
        <is>
          <t xml:space="preserve">   Blower</t>
        </is>
      </c>
      <c r="B17" s="425" t="inlineStr">
        <is>
          <t>Green</t>
        </is>
      </c>
      <c r="C17" s="425" t="inlineStr">
        <is>
          <t>TECH</t>
        </is>
      </c>
      <c r="D17" s="432" t="n">
        <v>6</v>
      </c>
      <c r="E17" s="432" t="n"/>
      <c r="F17" s="432" t="n"/>
      <c r="G17" s="432" t="n"/>
      <c r="H17" s="432" t="n"/>
      <c r="I17" s="432" t="n"/>
      <c r="J17" s="432" t="n"/>
      <c r="K17" s="404" t="inlineStr">
        <is>
          <t>Defeat Pepper the Butcher</t>
        </is>
      </c>
    </row>
    <row r="18" ht="15.75" customHeight="1" s="1128">
      <c r="A18" s="409" t="inlineStr">
        <is>
          <t>MAX INDIVIDUAL RELICS</t>
        </is>
      </c>
      <c r="B18" s="410" t="n"/>
      <c r="C18" s="410" t="n"/>
      <c r="D18" s="410">
        <f>SUM(D4:E17)</f>
        <v/>
      </c>
      <c r="E18" s="410" t="n"/>
      <c r="F18" s="410">
        <f>SUM(F4:G17)</f>
        <v/>
      </c>
      <c r="G18" s="410" t="n"/>
      <c r="H18" s="410">
        <f>SUM(H4:I17)</f>
        <v/>
      </c>
      <c r="I18" s="410" t="n"/>
      <c r="J18" s="410" t="n"/>
      <c r="K18" s="403" t="n"/>
    </row>
    <row r="19" ht="15.75" customHeight="1" s="1128">
      <c r="A19" s="398" t="n"/>
      <c r="B19" s="432" t="n"/>
      <c r="C19" s="432" t="n"/>
      <c r="D19" s="432" t="n"/>
      <c r="E19" s="432" t="n"/>
      <c r="F19" s="432" t="n"/>
      <c r="G19" s="432" t="n"/>
      <c r="H19" s="432" t="n"/>
      <c r="I19" s="432" t="n"/>
      <c r="J19" s="432" t="n"/>
      <c r="K19" s="404" t="n"/>
    </row>
    <row r="20" ht="15.75" customHeight="1" s="1128">
      <c r="A20" s="413" t="inlineStr">
        <is>
          <t>PARTNER</t>
        </is>
      </c>
      <c r="B20" s="431" t="n"/>
      <c r="C20" s="431" t="n"/>
      <c r="D20" s="431" t="n"/>
      <c r="E20" s="431" t="n"/>
      <c r="F20" s="431" t="n"/>
      <c r="G20" s="431" t="n"/>
      <c r="H20" s="431" t="n"/>
      <c r="I20" s="431" t="n"/>
      <c r="J20" s="431" t="n"/>
      <c r="K20" s="405" t="n"/>
    </row>
    <row r="21" ht="15.75" customHeight="1" s="1128">
      <c r="A21" s="409" t="inlineStr">
        <is>
          <t xml:space="preserve">   Lee Gi-na</t>
        </is>
      </c>
      <c r="B21" s="410" t="n"/>
      <c r="C21" s="410" t="n"/>
      <c r="D21" s="410" t="n">
        <v>30</v>
      </c>
      <c r="E21" s="410" t="n"/>
      <c r="F21" s="410" t="n"/>
      <c r="G21" s="410" t="n"/>
      <c r="H21" s="410" t="n"/>
      <c r="I21" s="410" t="n"/>
      <c r="J21" s="410" t="n"/>
      <c r="K21" s="403" t="inlineStr">
        <is>
          <t>lv30</t>
        </is>
      </c>
    </row>
    <row r="22" ht="15.75" customHeight="1" s="1128">
      <c r="A22" s="398" t="n"/>
      <c r="B22" s="432" t="n"/>
      <c r="C22" s="432" t="n"/>
      <c r="D22" s="432" t="n"/>
      <c r="E22" s="432" t="n"/>
      <c r="F22" s="432" t="n"/>
      <c r="G22" s="432" t="n"/>
      <c r="H22" s="432" t="n"/>
      <c r="I22" s="432" t="n"/>
      <c r="J22" s="432" t="n"/>
      <c r="K22" s="404" t="n"/>
    </row>
    <row r="23" ht="15.75" customHeight="1" s="1128">
      <c r="A23" s="344" t="inlineStr">
        <is>
          <t>COLLECTORS TALENTS</t>
        </is>
      </c>
      <c r="B23" s="406" t="n"/>
      <c r="C23" s="406" t="n"/>
      <c r="D23" s="406" t="n"/>
      <c r="E23" s="406" t="n"/>
      <c r="F23" s="406" t="n"/>
      <c r="G23" s="406" t="n"/>
      <c r="H23" s="406" t="n"/>
      <c r="I23" s="406" t="n"/>
      <c r="J23" s="406" t="n"/>
      <c r="K23" s="407" t="n"/>
    </row>
    <row r="24" ht="15.75" customHeight="1" s="1128">
      <c r="A24" s="362" t="inlineStr">
        <is>
          <t xml:space="preserve">   Dimension Keeper</t>
        </is>
      </c>
      <c r="B24" s="411" t="n"/>
      <c r="C24" s="411" t="n"/>
      <c r="D24" s="411" t="n">
        <v>25</v>
      </c>
      <c r="E24" s="411" t="n"/>
      <c r="F24" s="411" t="n">
        <v>25</v>
      </c>
      <c r="G24" s="411" t="n"/>
      <c r="H24" s="411" t="n"/>
      <c r="I24" s="411" t="n"/>
      <c r="J24" s="411" t="n"/>
      <c r="K24" s="426" t="inlineStr">
        <is>
          <t>10 Orange Talent Points</t>
        </is>
      </c>
    </row>
    <row r="25" ht="15.75" customHeight="1" s="1128">
      <c r="A25" s="398" t="n"/>
      <c r="B25" s="432" t="n"/>
      <c r="C25" s="432" t="n"/>
      <c r="D25" s="432" t="n"/>
      <c r="E25" s="432" t="n"/>
      <c r="F25" s="432" t="n"/>
      <c r="G25" s="432" t="n"/>
      <c r="H25" s="432" t="n"/>
      <c r="I25" s="432" t="n"/>
      <c r="J25" s="432" t="n"/>
      <c r="K25" s="404" t="n"/>
    </row>
    <row r="26" ht="15.75" customHeight="1" s="1128">
      <c r="A26" s="413" t="inlineStr">
        <is>
          <t>ROBOTS</t>
        </is>
      </c>
      <c r="B26" s="431" t="n"/>
      <c r="C26" s="431" t="n"/>
      <c r="D26" s="431" t="n"/>
      <c r="E26" s="431" t="n"/>
      <c r="F26" s="431" t="n"/>
      <c r="G26" s="431" t="n"/>
      <c r="H26" s="431" t="n"/>
      <c r="I26" s="431" t="n"/>
      <c r="J26" s="431" t="n"/>
      <c r="K26" s="405" t="n"/>
    </row>
    <row r="27" ht="15.75" customHeight="1" s="1128">
      <c r="A27" s="409" t="inlineStr">
        <is>
          <t xml:space="preserve">   Hello Boxer</t>
        </is>
      </c>
      <c r="B27" s="410" t="n"/>
      <c r="C27" s="410" t="n"/>
      <c r="D27" s="410" t="n">
        <v>3</v>
      </c>
      <c r="E27" s="410" t="n"/>
      <c r="F27" s="410" t="n"/>
      <c r="G27" s="410" t="n"/>
      <c r="H27" s="410" t="n"/>
      <c r="I27" s="410" t="n"/>
      <c r="J27" s="410" t="n"/>
      <c r="K27" s="414" t="inlineStr">
        <is>
          <t>Wormhole Refiner (0.03%)</t>
        </is>
      </c>
    </row>
    <row r="28" ht="15.75" customHeight="1" s="1128">
      <c r="A28" s="398" t="n"/>
      <c r="B28" s="432" t="n"/>
      <c r="C28" s="432" t="n"/>
      <c r="D28" s="432" t="n"/>
      <c r="E28" s="432" t="n"/>
      <c r="F28" s="432" t="n"/>
      <c r="G28" s="432" t="n"/>
      <c r="H28" s="432" t="n"/>
      <c r="I28" s="432" t="n"/>
      <c r="J28" s="432" t="n"/>
      <c r="K28" s="404" t="n"/>
    </row>
    <row r="29" ht="15.75" customHeight="1" s="1128">
      <c r="A29" s="413" t="inlineStr">
        <is>
          <t>INTEL</t>
        </is>
      </c>
      <c r="B29" s="431" t="n"/>
      <c r="C29" s="431" t="n"/>
      <c r="D29" s="431" t="n"/>
      <c r="E29" s="431" t="n"/>
      <c r="F29" s="431" t="n"/>
      <c r="G29" s="431" t="n"/>
      <c r="H29" s="431" t="n"/>
      <c r="I29" s="431" t="n"/>
      <c r="J29" s="431" t="n"/>
      <c r="K29" s="405" t="n"/>
    </row>
    <row r="30" ht="15.75" customHeight="1" s="1128">
      <c r="A30" s="409" t="inlineStr">
        <is>
          <t xml:space="preserve">   Cathay</t>
        </is>
      </c>
      <c r="B30" s="410" t="n"/>
      <c r="C30" s="410" t="n"/>
      <c r="D30" s="410" t="n">
        <v>10</v>
      </c>
      <c r="E30" s="410" t="n"/>
      <c r="F30" s="410" t="n"/>
      <c r="G30" s="410" t="n"/>
      <c r="H30" s="410" t="n"/>
      <c r="I30" s="410" t="n"/>
      <c r="J30" s="410" t="n"/>
      <c r="K30" s="403" t="n"/>
    </row>
    <row r="31" ht="15.75" customHeight="1" s="1128">
      <c r="A31" s="398" t="n"/>
      <c r="B31" s="432" t="n"/>
      <c r="C31" s="432" t="n"/>
      <c r="D31" s="432" t="n"/>
      <c r="E31" s="432" t="n"/>
      <c r="F31" s="432" t="n"/>
      <c r="G31" s="432" t="n"/>
      <c r="H31" s="432" t="n"/>
      <c r="I31" s="432" t="n"/>
      <c r="J31" s="432" t="n"/>
      <c r="K31" s="404" t="n"/>
    </row>
    <row r="32" ht="15.75" customHeight="1" s="1128">
      <c r="A32" s="344" t="inlineStr">
        <is>
          <t>BUBBLE FRAMES</t>
        </is>
      </c>
      <c r="B32" s="406" t="n"/>
      <c r="C32" s="406" t="n"/>
      <c r="D32" s="406" t="n"/>
      <c r="E32" s="406" t="n"/>
      <c r="F32" s="406" t="n"/>
      <c r="G32" s="406" t="n"/>
      <c r="H32" s="406" t="n"/>
      <c r="I32" s="406" t="n"/>
      <c r="J32" s="406" t="n"/>
      <c r="K32" s="407" t="n"/>
    </row>
    <row r="33" ht="15.75" customHeight="1" s="1128">
      <c r="A33" s="362" t="inlineStr">
        <is>
          <t xml:space="preserve">   Whale Power III</t>
        </is>
      </c>
      <c r="B33" s="411" t="n"/>
      <c r="C33" s="411" t="n"/>
      <c r="D33" s="411" t="n">
        <v>12</v>
      </c>
      <c r="E33" s="411" t="n"/>
      <c r="F33" s="411" t="n"/>
      <c r="G33" s="411" t="n"/>
      <c r="H33" s="411" t="n"/>
      <c r="I33" s="411" t="n"/>
      <c r="J33" s="411" t="n"/>
      <c r="K33" s="426" t="inlineStr">
        <is>
          <t>5M W-tads Spent</t>
        </is>
      </c>
    </row>
    <row r="34" ht="15.75" customHeight="1" s="1128">
      <c r="A34" s="434" t="n"/>
      <c r="B34" s="425" t="n"/>
      <c r="C34" s="425" t="n"/>
      <c r="D34" s="425" t="n"/>
      <c r="E34" s="425" t="n"/>
      <c r="F34" s="425" t="n"/>
      <c r="G34" s="425" t="n"/>
      <c r="H34" s="425" t="n"/>
      <c r="I34" s="425" t="n"/>
      <c r="J34" s="425" t="n"/>
      <c r="K34" s="422" t="n"/>
    </row>
    <row r="35" ht="15.75" customHeight="1" s="1128">
      <c r="A35" s="413" t="inlineStr">
        <is>
          <t>ORGAN</t>
        </is>
      </c>
      <c r="B35" s="431" t="n"/>
      <c r="C35" s="431" t="n"/>
      <c r="D35" s="431" t="n"/>
      <c r="E35" s="431" t="n"/>
      <c r="F35" s="431" t="n"/>
      <c r="G35" s="431" t="n"/>
      <c r="H35" s="431" t="n"/>
      <c r="I35" s="431" t="n"/>
      <c r="J35" s="431" t="n"/>
      <c r="K35" s="405" t="n"/>
    </row>
    <row r="36" ht="15.75" customHeight="1" s="1128">
      <c r="A36" s="398" t="inlineStr">
        <is>
          <t xml:space="preserve">   Alveolus of Gaia</t>
        </is>
      </c>
      <c r="B36" s="432" t="n"/>
      <c r="C36" s="432" t="n"/>
      <c r="D36" s="432" t="n">
        <v>20</v>
      </c>
      <c r="E36" s="432" t="n"/>
      <c r="F36" s="432" t="n">
        <v>20</v>
      </c>
      <c r="G36" s="432" t="n"/>
      <c r="H36" s="432" t="n"/>
      <c r="I36" s="432" t="n"/>
      <c r="J36" s="432" t="n"/>
      <c r="K36" s="66" t="inlineStr">
        <is>
          <t>lv40</t>
        </is>
      </c>
    </row>
    <row r="37" ht="15.75" customHeight="1" s="1128">
      <c r="A37" s="398" t="inlineStr">
        <is>
          <t xml:space="preserve">   Warp Horn</t>
        </is>
      </c>
      <c r="B37" s="432" t="n"/>
      <c r="C37" s="432" t="n"/>
      <c r="D37" s="432" t="n">
        <v>10</v>
      </c>
      <c r="E37" s="432" t="n"/>
      <c r="F37" s="432" t="n">
        <v>10</v>
      </c>
      <c r="G37" s="432" t="n"/>
      <c r="H37" s="432" t="n"/>
      <c r="I37" s="432" t="n"/>
      <c r="J37" s="432" t="n"/>
      <c r="K37" s="66" t="inlineStr">
        <is>
          <t>lv20</t>
        </is>
      </c>
    </row>
    <row r="38" ht="15.75" customHeight="1" s="1128">
      <c r="A38" s="398" t="inlineStr">
        <is>
          <t xml:space="preserve">   Universe Energy Cube</t>
        </is>
      </c>
      <c r="B38" s="432" t="n"/>
      <c r="C38" s="432" t="n"/>
      <c r="D38" s="432" t="n">
        <v>30</v>
      </c>
      <c r="E38" s="432" t="n"/>
      <c r="F38" s="432" t="n"/>
      <c r="G38" s="432" t="n"/>
      <c r="H38" s="432" t="n"/>
      <c r="I38" s="432" t="n"/>
      <c r="J38" s="432" t="n"/>
      <c r="K38" s="404" t="inlineStr">
        <is>
          <t>lv30</t>
        </is>
      </c>
    </row>
    <row r="39" ht="15.75" customHeight="1" s="1128">
      <c r="A39" s="409" t="inlineStr">
        <is>
          <t>MAX ORGAN</t>
        </is>
      </c>
      <c r="B39" s="410" t="n"/>
      <c r="C39" s="410" t="n"/>
      <c r="D39" s="410">
        <f>sum(D36:D38)</f>
        <v/>
      </c>
      <c r="E39" s="410" t="n"/>
      <c r="F39" s="410">
        <f>sum(F36:F38)</f>
        <v/>
      </c>
      <c r="G39" s="410" t="n"/>
      <c r="H39" s="410">
        <f>sum(H36:H38)</f>
        <v/>
      </c>
      <c r="I39" s="410" t="n"/>
      <c r="J39" s="410" t="n"/>
      <c r="K39" s="403" t="n"/>
    </row>
    <row r="40" ht="15.75" customHeight="1" s="1128">
      <c r="A40" s="398" t="n"/>
      <c r="B40" s="432" t="n"/>
      <c r="C40" s="432" t="n"/>
      <c r="D40" s="432" t="n"/>
      <c r="E40" s="432" t="n"/>
      <c r="F40" s="432" t="n"/>
      <c r="G40" s="432" t="n"/>
      <c r="H40" s="432" t="n"/>
      <c r="I40" s="432" t="n"/>
      <c r="J40" s="432" t="n"/>
      <c r="K40" s="404" t="n"/>
    </row>
    <row r="41" ht="15.75" customHeight="1" s="1128">
      <c r="A41" s="413" t="inlineStr">
        <is>
          <t>ROCKET UPGRADES</t>
        </is>
      </c>
      <c r="B41" s="431" t="n"/>
      <c r="C41" s="431" t="n"/>
      <c r="D41" s="431" t="n"/>
      <c r="E41" s="431" t="n"/>
      <c r="F41" s="431" t="n"/>
      <c r="G41" s="431" t="n"/>
      <c r="H41" s="431" t="n"/>
      <c r="I41" s="431" t="n"/>
      <c r="J41" s="431" t="n"/>
      <c r="K41" s="405" t="n"/>
    </row>
    <row r="42" ht="15.75" customHeight="1" s="1128">
      <c r="A42" s="409" t="inlineStr">
        <is>
          <t xml:space="preserve">   Eternal Hall</t>
        </is>
      </c>
      <c r="B42" s="410" t="n"/>
      <c r="C42" s="410" t="n"/>
      <c r="D42" s="410" t="n">
        <v>10</v>
      </c>
      <c r="E42" s="410" t="n"/>
      <c r="F42" s="410" t="n">
        <v>10</v>
      </c>
      <c r="G42" s="410" t="n"/>
      <c r="H42" s="410" t="n"/>
      <c r="I42" s="410" t="n"/>
      <c r="J42" s="410" t="n"/>
      <c r="K42" s="414" t="inlineStr">
        <is>
          <t>Lv5</t>
        </is>
      </c>
    </row>
    <row r="43" ht="15.75" customHeight="1" s="1128">
      <c r="A43" s="398" t="n"/>
      <c r="B43" s="432" t="n"/>
      <c r="C43" s="432" t="n"/>
      <c r="D43" s="432" t="n"/>
      <c r="E43" s="432" t="n"/>
      <c r="F43" s="432" t="n"/>
      <c r="G43" s="432" t="n"/>
      <c r="H43" s="432" t="n"/>
      <c r="I43" s="432" t="n"/>
      <c r="J43" s="432" t="n"/>
      <c r="K43" s="404" t="n"/>
    </row>
    <row r="44" ht="15.75" customHeight="1" s="1128">
      <c r="A44" s="413" t="inlineStr">
        <is>
          <t>AVATARS</t>
        </is>
      </c>
      <c r="B44" s="431" t="n"/>
      <c r="C44" s="431" t="n"/>
      <c r="D44" s="431" t="n"/>
      <c r="E44" s="431" t="n"/>
      <c r="F44" s="431" t="n"/>
      <c r="G44" s="431" t="n"/>
      <c r="H44" s="431" t="n"/>
      <c r="I44" s="431" t="n"/>
      <c r="J44" s="431" t="n"/>
      <c r="K44" s="405" t="n"/>
    </row>
    <row r="45" ht="15.75" customHeight="1" s="1128">
      <c r="A45" s="409" t="inlineStr">
        <is>
          <t xml:space="preserve">   Mirage Avatar I Bonus</t>
        </is>
      </c>
      <c r="B45" s="410" t="n"/>
      <c r="C45" s="410" t="n"/>
      <c r="D45" s="410" t="n">
        <v>20</v>
      </c>
      <c r="E45" s="410" t="n"/>
      <c r="F45" s="410" t="n">
        <v>40</v>
      </c>
      <c r="G45" s="410" t="n"/>
      <c r="H45" s="410" t="n"/>
      <c r="I45" s="410" t="n"/>
      <c r="J45" s="410" t="n"/>
      <c r="K45" s="403" t="n"/>
    </row>
    <row r="46" ht="15.75" customHeight="1" s="1128">
      <c r="A46" s="398" t="n"/>
      <c r="B46" s="432" t="n"/>
      <c r="C46" s="432" t="n"/>
      <c r="D46" s="432" t="n"/>
      <c r="E46" s="432" t="n"/>
      <c r="F46" s="432" t="n"/>
      <c r="G46" s="432" t="n"/>
      <c r="H46" s="432" t="n"/>
      <c r="I46" s="432" t="n"/>
      <c r="J46" s="432" t="n"/>
      <c r="K46" s="404" t="n"/>
    </row>
    <row r="47" ht="15.75" customHeight="1" s="1128">
      <c r="A47" s="413" t="inlineStr">
        <is>
          <t>STAMPS</t>
        </is>
      </c>
      <c r="B47" s="431" t="n"/>
      <c r="C47" s="431" t="n"/>
      <c r="D47" s="431" t="n"/>
      <c r="E47" s="431" t="n"/>
      <c r="F47" s="431" t="n"/>
      <c r="G47" s="431" t="n"/>
      <c r="H47" s="431" t="n"/>
      <c r="I47" s="431" t="n"/>
      <c r="J47" s="431" t="n"/>
      <c r="K47" s="405" t="n"/>
    </row>
    <row r="48" ht="15.75" customHeight="1" s="1128">
      <c r="A48" s="401" t="inlineStr">
        <is>
          <t xml:space="preserve">   Particle Collider</t>
        </is>
      </c>
      <c r="B48" s="425" t="inlineStr">
        <is>
          <t>SSS</t>
        </is>
      </c>
      <c r="C48" s="425" t="inlineStr">
        <is>
          <t>TECH</t>
        </is>
      </c>
      <c r="D48" s="432" t="n">
        <v>30</v>
      </c>
      <c r="E48" s="432" t="n"/>
      <c r="F48" s="432" t="n"/>
      <c r="G48" s="432" t="n"/>
      <c r="H48" s="432" t="n">
        <v>30</v>
      </c>
      <c r="I48" s="432" t="n"/>
      <c r="J48" s="432" t="n">
        <v>15</v>
      </c>
      <c r="K48" s="66" t="inlineStr">
        <is>
          <t>Wish Box, Lottery Machine #1 (0.09%), Wishing (0.07%), Tool Chest (0.01%), Grandmaster Scrolls (0.81%), Relic Forge (120 Relic RF)</t>
        </is>
      </c>
    </row>
    <row r="49" ht="15.75" customHeight="1" s="1128">
      <c r="A49" s="401" t="inlineStr">
        <is>
          <t xml:space="preserve">   Quantum Radio</t>
        </is>
      </c>
      <c r="B49" s="425" t="inlineStr">
        <is>
          <t>SSS</t>
        </is>
      </c>
      <c r="C49" s="425" t="inlineStr">
        <is>
          <t>TECH</t>
        </is>
      </c>
      <c r="D49" s="432" t="n">
        <v>30</v>
      </c>
      <c r="E49" s="432" t="n"/>
      <c r="F49" s="432" t="n">
        <v>30</v>
      </c>
      <c r="G49" s="432" t="n"/>
      <c r="H49" s="432" t="n"/>
      <c r="I49" s="432" t="n"/>
      <c r="J49" s="432" t="n">
        <v>15</v>
      </c>
      <c r="K49" s="404" t="inlineStr">
        <is>
          <t>Super Species Chest (0.03%)</t>
        </is>
      </c>
    </row>
    <row r="50" ht="15.75" customHeight="1" s="1128">
      <c r="A50" s="401" t="inlineStr">
        <is>
          <t xml:space="preserve">   Tokamak</t>
        </is>
      </c>
      <c r="B50" s="425" t="inlineStr">
        <is>
          <t>SS</t>
        </is>
      </c>
      <c r="C50" s="425" t="inlineStr">
        <is>
          <t>TECH</t>
        </is>
      </c>
      <c r="D50" s="432" t="n">
        <v>30</v>
      </c>
      <c r="E50" s="432" t="n"/>
      <c r="F50" s="432" t="n"/>
      <c r="G50" s="432" t="n"/>
      <c r="H50" s="432" t="n"/>
      <c r="I50" s="432" t="n"/>
      <c r="J50" s="432" t="n">
        <v>15</v>
      </c>
      <c r="K50" s="66" t="inlineStr">
        <is>
          <t>Fragment Crafting (5.2%), Lottery Machine #1 (0.24%), Wishing (1.9%), Master Scrolls (1.9%), Grandmaster Scrolls (2.1%), TECH Master Scrolls (9.2%)</t>
        </is>
      </c>
    </row>
    <row r="51" ht="15.75" customHeight="1" s="1128">
      <c r="A51" s="398" t="inlineStr">
        <is>
          <t xml:space="preserve">   Relativity Scripts</t>
        </is>
      </c>
      <c r="B51" s="425" t="inlineStr">
        <is>
          <t>SSS</t>
        </is>
      </c>
      <c r="C51" s="425" t="inlineStr">
        <is>
          <t>TECH</t>
        </is>
      </c>
      <c r="D51" s="432" t="n">
        <v>30</v>
      </c>
      <c r="E51" s="432" t="n"/>
      <c r="F51" s="432" t="n">
        <v>30</v>
      </c>
      <c r="G51" s="432" t="n"/>
      <c r="H51" s="432" t="n">
        <v>30</v>
      </c>
      <c r="I51" s="432" t="n"/>
      <c r="J51" s="432" t="n"/>
      <c r="K51" s="66" t="inlineStr">
        <is>
          <t>Wish Box, Lottery Machine #1 (0.09%), Wishing (0.07%), Time Chest (0.01%), Grandmaster Scrolls (0.81%), Relic Forge (120 Relic RF), Indigent Nobleman (810K B-tads)</t>
        </is>
      </c>
    </row>
    <row r="52" ht="15.75" customHeight="1" s="1128">
      <c r="A52" s="398" t="inlineStr">
        <is>
          <t xml:space="preserve">   Matrix System</t>
        </is>
      </c>
      <c r="B52" s="425" t="inlineStr">
        <is>
          <t>SS</t>
        </is>
      </c>
      <c r="C52" s="425" t="inlineStr">
        <is>
          <t>TECH</t>
        </is>
      </c>
      <c r="D52" s="432" t="n">
        <v>30</v>
      </c>
      <c r="E52" s="432" t="n"/>
      <c r="F52" s="432" t="n"/>
      <c r="G52" s="432" t="n"/>
      <c r="H52" s="432" t="n">
        <v>30</v>
      </c>
      <c r="I52" s="432" t="n"/>
      <c r="J52" s="432" t="n"/>
      <c r="K52" s="66" t="inlineStr">
        <is>
          <t>T7.5 Mecha Gene Research</t>
        </is>
      </c>
    </row>
    <row r="53" ht="15.75" customHeight="1" s="1128">
      <c r="A53" s="398" t="inlineStr">
        <is>
          <t xml:space="preserve">   Sputnik 1</t>
        </is>
      </c>
      <c r="B53" s="425" t="inlineStr">
        <is>
          <t>SS</t>
        </is>
      </c>
      <c r="C53" s="425" t="inlineStr">
        <is>
          <t>TECH</t>
        </is>
      </c>
      <c r="D53" s="432" t="n"/>
      <c r="E53" s="432" t="n"/>
      <c r="F53" s="432" t="n"/>
      <c r="G53" s="432" t="n"/>
      <c r="H53" s="432" t="n">
        <v>30</v>
      </c>
      <c r="I53" s="432" t="n"/>
      <c r="J53" s="432" t="n"/>
      <c r="K53" s="66" t="inlineStr">
        <is>
          <t>Fragment Crafting (3.9%), Lottery Machine #1 (0.18%), Wishing (0.14%), Club Chest (1%), Grandmaster Scrolls (1.6%)</t>
        </is>
      </c>
    </row>
    <row r="54" ht="15.75" customHeight="1" s="1128">
      <c r="A54" s="398" t="inlineStr">
        <is>
          <t xml:space="preserve">   SkyWeb Hub</t>
        </is>
      </c>
      <c r="B54" s="425" t="inlineStr">
        <is>
          <t>SS</t>
        </is>
      </c>
      <c r="C54" s="425" t="inlineStr">
        <is>
          <t>TECH</t>
        </is>
      </c>
      <c r="D54" s="432" t="n"/>
      <c r="E54" s="432" t="n"/>
      <c r="F54" s="432" t="n">
        <v>30</v>
      </c>
      <c r="G54" s="432" t="n"/>
      <c r="H54" s="432" t="n">
        <v>30</v>
      </c>
      <c r="I54" s="432" t="n"/>
      <c r="J54" s="432" t="n"/>
      <c r="K54" s="66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55" ht="15.75" customHeight="1" s="1128">
      <c r="A55" s="398" t="inlineStr">
        <is>
          <t xml:space="preserve">   Edison's Kinetoscope</t>
        </is>
      </c>
      <c r="B55" s="425" t="inlineStr">
        <is>
          <t>S</t>
        </is>
      </c>
      <c r="C55" s="425" t="inlineStr">
        <is>
          <t>TECH</t>
        </is>
      </c>
      <c r="D55" s="432" t="n">
        <v>30</v>
      </c>
      <c r="E55" s="432" t="n"/>
      <c r="F55" s="432" t="n"/>
      <c r="G55" s="432" t="n"/>
      <c r="H55" s="432" t="n"/>
      <c r="I55" s="432" t="n"/>
      <c r="J55" s="432" t="n"/>
      <c r="K55" s="404" t="inlineStr">
        <is>
          <t>Ad Shop</t>
        </is>
      </c>
    </row>
    <row r="56" ht="15.75" customHeight="1" s="1128">
      <c r="A56" s="398" t="inlineStr">
        <is>
          <t xml:space="preserve">   Babage Engine</t>
        </is>
      </c>
      <c r="B56" s="425" t="inlineStr">
        <is>
          <t>S</t>
        </is>
      </c>
      <c r="C56" s="425" t="inlineStr">
        <is>
          <t>TECH</t>
        </is>
      </c>
      <c r="D56" s="432" t="n"/>
      <c r="E56" s="432" t="n"/>
      <c r="F56" s="432" t="n"/>
      <c r="G56" s="432" t="n"/>
      <c r="H56" s="432" t="n"/>
      <c r="I56" s="432" t="n"/>
      <c r="J56" s="432" t="n">
        <v>15</v>
      </c>
      <c r="K56" s="66" t="inlineStr">
        <is>
          <t>Lottery Machine #1 (0.12%), Wishing (0.1%), Grandmaster Scrolls (1%), Relic Forge (100 Relic RF)</t>
        </is>
      </c>
    </row>
    <row r="57" ht="15.75" customHeight="1" s="1128">
      <c r="A57" s="398" t="inlineStr">
        <is>
          <t xml:space="preserve">   Hubble Telescope</t>
        </is>
      </c>
      <c r="B57" s="425" t="inlineStr">
        <is>
          <t>S</t>
        </is>
      </c>
      <c r="C57" s="425" t="inlineStr">
        <is>
          <t>TECH</t>
        </is>
      </c>
      <c r="D57" s="432" t="n"/>
      <c r="E57" s="432" t="n"/>
      <c r="F57" s="432" t="n"/>
      <c r="G57" s="432" t="n"/>
      <c r="H57" s="432" t="n"/>
      <c r="I57" s="432" t="n"/>
      <c r="J57" s="432" t="n">
        <v>15</v>
      </c>
      <c r="K57" s="66" t="inlineStr">
        <is>
          <t>Fragment Crafting (17.8%), Lottery Machine #1 (0.80%), Wishing (0.65%), Super Treasure Maps (15%), Relic Forge (90 Relic RF)</t>
        </is>
      </c>
    </row>
    <row r="58" ht="15.75" customHeight="1" s="1128">
      <c r="A58" s="398" t="inlineStr">
        <is>
          <t xml:space="preserve">   AMS</t>
        </is>
      </c>
      <c r="B58" s="425" t="inlineStr">
        <is>
          <t>SS</t>
        </is>
      </c>
      <c r="C58" s="425" t="inlineStr">
        <is>
          <t>TECH</t>
        </is>
      </c>
      <c r="D58" s="432" t="n"/>
      <c r="E58" s="432" t="n"/>
      <c r="F58" s="432" t="n"/>
      <c r="G58" s="432" t="n"/>
      <c r="H58" s="432" t="n">
        <v>30</v>
      </c>
      <c r="I58" s="432" t="n"/>
      <c r="J58" s="432" t="n"/>
      <c r="K58" s="1095" t="inlineStr">
        <is>
          <t>Lottery Machine #2 (0.47%), Indigent Nobleman (570K B-tads)</t>
        </is>
      </c>
    </row>
    <row r="59" ht="15.75" customHeight="1" s="1128">
      <c r="A59" s="398" t="inlineStr">
        <is>
          <t xml:space="preserve">   CRISPR</t>
        </is>
      </c>
      <c r="B59" s="425" t="inlineStr">
        <is>
          <t>S</t>
        </is>
      </c>
      <c r="C59" s="425" t="inlineStr">
        <is>
          <t>TECH</t>
        </is>
      </c>
      <c r="D59" s="432" t="n"/>
      <c r="E59" s="432" t="n"/>
      <c r="F59" s="432" t="n"/>
      <c r="G59" s="432" t="n"/>
      <c r="H59" s="432" t="n">
        <v>30</v>
      </c>
      <c r="I59" s="432" t="n"/>
      <c r="J59" s="432" t="n"/>
      <c r="K59" s="1095" t="inlineStr">
        <is>
          <t>Lottery Machine #2 (1.59%)</t>
        </is>
      </c>
    </row>
    <row r="60" ht="15.75" customHeight="1" s="1128">
      <c r="A60" s="398" t="inlineStr">
        <is>
          <t xml:space="preserve">   Morse's Telegraph</t>
        </is>
      </c>
      <c r="B60" s="425" t="inlineStr">
        <is>
          <t>SS</t>
        </is>
      </c>
      <c r="C60" s="425" t="inlineStr">
        <is>
          <t>TECH</t>
        </is>
      </c>
      <c r="D60" s="432" t="n"/>
      <c r="E60" s="432" t="n"/>
      <c r="F60" s="432" t="n">
        <v>30</v>
      </c>
      <c r="G60" s="432" t="n"/>
      <c r="H60" s="432" t="n"/>
      <c r="I60" s="432" t="n"/>
      <c r="J60" s="432" t="n"/>
      <c r="K60" s="66" t="inlineStr">
        <is>
          <t>Fragment Crafting (5.2%), Lottery Machine #1 (0.24%), Wishing (0.19%), Tool Chest (1%), Master Scrolls (1.9%), Grandmaster Scrolls (2.1%), TECH Master Scrolls (9.2%)</t>
        </is>
      </c>
    </row>
    <row r="61" ht="15.75" customHeight="1" s="1128">
      <c r="A61" s="398" t="inlineStr">
        <is>
          <t xml:space="preserve">   Era Magazine Vol. 1</t>
        </is>
      </c>
      <c r="B61" s="425" t="inlineStr">
        <is>
          <t>SS</t>
        </is>
      </c>
      <c r="C61" s="425" t="inlineStr">
        <is>
          <t>CIV</t>
        </is>
      </c>
      <c r="D61" s="432" t="n"/>
      <c r="E61" s="432" t="n"/>
      <c r="F61" s="432" t="n"/>
      <c r="G61" s="432" t="n"/>
      <c r="H61" s="432" t="n"/>
      <c r="I61" s="432" t="n"/>
      <c r="J61" s="432" t="n">
        <v>15</v>
      </c>
      <c r="K61" s="66" t="inlineStr">
        <is>
          <t>Lottery Machine #1 (0.12%), Wishing (0.1%), Ad Chest (1%), Grandmaster Scrolls (1%), Relic Forge (100 Relic RF)</t>
        </is>
      </c>
    </row>
    <row r="62" ht="15.75" customHeight="1" s="1128">
      <c r="A62" s="398" t="inlineStr">
        <is>
          <t xml:space="preserve">   The School of Athens</t>
        </is>
      </c>
      <c r="B62" s="425" t="inlineStr">
        <is>
          <t>SS</t>
        </is>
      </c>
      <c r="C62" s="425" t="inlineStr">
        <is>
          <t>ART</t>
        </is>
      </c>
      <c r="D62" s="432" t="n"/>
      <c r="E62" s="432" t="n"/>
      <c r="F62" s="432" t="n"/>
      <c r="G62" s="432" t="n"/>
      <c r="H62" s="432" t="n"/>
      <c r="I62" s="432" t="n"/>
      <c r="J62" s="432" t="n">
        <v>15</v>
      </c>
      <c r="K62" s="66" t="inlineStr">
        <is>
          <t>Fragment Crafting (5.3%), Lottery Machine #1 (0.24%), Wishing (0.2%), Super Treasure Maps (5%), Master Scrolls (1.9%), Grandmaster Scrolls (2.1%), ART Master Scrolls (10.2%)</t>
        </is>
      </c>
    </row>
    <row r="63" ht="15.75" customHeight="1" s="1128">
      <c r="A63" s="398" t="inlineStr">
        <is>
          <t xml:space="preserve">   Eye of Akamoddo</t>
        </is>
      </c>
      <c r="B63" s="425" t="inlineStr">
        <is>
          <t>SS</t>
        </is>
      </c>
      <c r="C63" s="425" t="inlineStr">
        <is>
          <t>FTH</t>
        </is>
      </c>
      <c r="D63" s="432" t="n"/>
      <c r="E63" s="432" t="n"/>
      <c r="F63" s="432" t="n"/>
      <c r="G63" s="432" t="n"/>
      <c r="H63" s="432" t="n"/>
      <c r="I63" s="432" t="n"/>
      <c r="J63" s="432" t="n">
        <v>15</v>
      </c>
      <c r="K63" s="66" t="inlineStr">
        <is>
          <t>Fragment Crafting (4.4%), Lottery Machine #1 (0.24%), Wishing (0.16%), Time Chest (1%), Master Scrolls (1.9%), Grandmaster Scrolls (2.1%), FTH Master Scrolls (9.2%)</t>
        </is>
      </c>
    </row>
    <row r="64" ht="15.75" customHeight="1" s="1128">
      <c r="A64" s="398" t="inlineStr">
        <is>
          <t xml:space="preserve">   Ape's Footprint Fossil</t>
        </is>
      </c>
      <c r="B64" s="425" t="inlineStr">
        <is>
          <t>SS</t>
        </is>
      </c>
      <c r="C64" s="415" t="inlineStr">
        <is>
          <t>FAME</t>
        </is>
      </c>
      <c r="D64" s="432" t="n"/>
      <c r="E64" s="432" t="n"/>
      <c r="F64" s="432" t="n">
        <v>30</v>
      </c>
      <c r="G64" s="432" t="n"/>
      <c r="H64" s="432" t="n"/>
      <c r="I64" s="432" t="n"/>
      <c r="J64" s="432" t="n"/>
      <c r="K64" s="404" t="inlineStr">
        <is>
          <t>Super Species Chest (2.4%)</t>
        </is>
      </c>
    </row>
    <row r="65" ht="15.75" customHeight="1" s="1128">
      <c r="A65" s="398" t="inlineStr">
        <is>
          <t xml:space="preserve">   Koh-i-Noor Diamond</t>
        </is>
      </c>
      <c r="B65" s="425" t="inlineStr">
        <is>
          <t>S</t>
        </is>
      </c>
      <c r="C65" s="425" t="inlineStr">
        <is>
          <t>ART</t>
        </is>
      </c>
      <c r="D65" s="432" t="n"/>
      <c r="E65" s="432" t="n"/>
      <c r="F65" s="432" t="n">
        <v>30</v>
      </c>
      <c r="G65" s="432" t="n"/>
      <c r="H65" s="432" t="n"/>
      <c r="I65" s="432" t="n"/>
      <c r="J65" s="432" t="n"/>
      <c r="K65" s="66" t="inlineStr">
        <is>
          <t>Fragment Crafting (18.1%), Lottery Machine #1 (0.81%), Wishing (0.68%), Master Scrolls (6.5%), ART Master Scrolls (34.7%), Relic Forge (90 Relic RF)</t>
        </is>
      </c>
    </row>
    <row r="66" ht="15.75" customHeight="1" s="1128">
      <c r="A66" s="398" t="inlineStr">
        <is>
          <t xml:space="preserve">   Notre Dame Bell</t>
        </is>
      </c>
      <c r="B66" s="425" t="inlineStr">
        <is>
          <t>S</t>
        </is>
      </c>
      <c r="C66" s="425" t="inlineStr">
        <is>
          <t>CIV</t>
        </is>
      </c>
      <c r="D66" s="432" t="n"/>
      <c r="E66" s="432" t="n"/>
      <c r="F66" s="432" t="n">
        <v>30</v>
      </c>
      <c r="G66" s="432" t="n"/>
      <c r="H66" s="432" t="n"/>
      <c r="I66" s="432" t="n"/>
      <c r="J66" s="432" t="n"/>
      <c r="K66" s="66" t="inlineStr">
        <is>
          <t>Fragment Crafting (18.8%), Lottery Machine #1 (0.81%), Wishing (0.69%), Relic Forge (90 Relic RF)</t>
        </is>
      </c>
    </row>
    <row r="67" ht="15.75" customHeight="1" s="1128">
      <c r="A67" s="409" t="inlineStr">
        <is>
          <t>MAX MACHINE STAMPS</t>
        </is>
      </c>
      <c r="B67" s="410" t="n"/>
      <c r="C67" s="410" t="n"/>
      <c r="D67" s="410">
        <f>D50+D48+D49</f>
        <v/>
      </c>
      <c r="E67" s="410" t="n"/>
      <c r="F67" s="410">
        <f>F50+F48+F49</f>
        <v/>
      </c>
      <c r="G67" s="410" t="n"/>
      <c r="H67" s="410">
        <f>H50+H48+H49</f>
        <v/>
      </c>
      <c r="I67" s="410" t="n"/>
      <c r="J67" s="410">
        <f>J50+J48+J49</f>
        <v/>
      </c>
      <c r="K67" s="414" t="n"/>
    </row>
    <row r="68" ht="15.75" customHeight="1" s="1128">
      <c r="A68" s="398" t="n"/>
      <c r="B68" s="432" t="n"/>
      <c r="C68" s="432" t="n"/>
      <c r="D68" s="432" t="n"/>
      <c r="E68" s="432" t="n"/>
      <c r="F68" s="432" t="n"/>
      <c r="G68" s="432" t="n"/>
      <c r="H68" s="432" t="n"/>
      <c r="I68" s="432" t="n"/>
      <c r="J68" s="432" t="n"/>
      <c r="K68" s="66" t="n"/>
    </row>
    <row r="69" ht="15.75" customHeight="1" s="1128">
      <c r="A69" s="416" t="inlineStr">
        <is>
          <t>RESONANCE</t>
        </is>
      </c>
      <c r="B69" s="431" t="n"/>
      <c r="C69" s="431" t="n"/>
      <c r="D69" s="431" t="n"/>
      <c r="E69" s="431" t="n"/>
      <c r="F69" s="431" t="n"/>
      <c r="G69" s="431" t="n"/>
      <c r="H69" s="431" t="n"/>
      <c r="I69" s="431" t="n"/>
      <c r="J69" s="431" t="n"/>
      <c r="K69" s="397" t="n"/>
    </row>
    <row r="70" ht="15.75" customHeight="1" s="1128">
      <c r="A70" s="398" t="inlineStr">
        <is>
          <t xml:space="preserve">  BLUE </t>
        </is>
      </c>
      <c r="B70" s="432" t="n"/>
      <c r="C70" s="432" t="n"/>
      <c r="D70" s="432" t="n"/>
      <c r="E70" s="432" t="n"/>
      <c r="F70" s="432" t="n"/>
      <c r="G70" s="432" t="n"/>
      <c r="H70" s="432" t="n"/>
      <c r="I70" s="432" t="n"/>
      <c r="J70" s="432" t="n"/>
      <c r="K70" s="66" t="n"/>
    </row>
    <row r="71" ht="15.75" customHeight="1" s="1128">
      <c r="A71" s="398" t="inlineStr">
        <is>
          <t xml:space="preserve">    Output</t>
        </is>
      </c>
      <c r="B71" s="432" t="n"/>
      <c r="C71" s="432" t="n"/>
      <c r="D71" s="432" t="n">
        <v>18</v>
      </c>
      <c r="E71" s="432" t="n"/>
      <c r="F71" s="432" t="n"/>
      <c r="G71" s="432" t="n"/>
      <c r="H71" s="432" t="n"/>
      <c r="I71" s="432" t="n"/>
      <c r="J71" s="432" t="n"/>
      <c r="K71" s="66" t="n"/>
    </row>
    <row r="72" ht="15.75" customHeight="1" s="1128">
      <c r="A72" s="398" t="inlineStr">
        <is>
          <t xml:space="preserve">      Star of David</t>
        </is>
      </c>
      <c r="B72" s="425" t="inlineStr">
        <is>
          <t>Blue</t>
        </is>
      </c>
      <c r="C72" s="425" t="inlineStr">
        <is>
          <t>FTH</t>
        </is>
      </c>
      <c r="D72" s="432" t="n"/>
      <c r="E72" s="432" t="n"/>
      <c r="F72" s="432" t="n"/>
      <c r="G72" s="432" t="n"/>
      <c r="H72" s="432" t="n"/>
      <c r="I72" s="432" t="n"/>
      <c r="J72" s="432" t="n"/>
      <c r="K72" s="404" t="inlineStr">
        <is>
          <t>Angel Gene Research T2</t>
        </is>
      </c>
    </row>
    <row r="73" ht="15.75" customHeight="1" s="1128">
      <c r="A73" s="398" t="inlineStr">
        <is>
          <t xml:space="preserve">      Benin Statue</t>
        </is>
      </c>
      <c r="B73" s="425" t="inlineStr">
        <is>
          <t>Blue</t>
        </is>
      </c>
      <c r="C73" s="425" t="inlineStr">
        <is>
          <t>ART</t>
        </is>
      </c>
      <c r="D73" s="432" t="n"/>
      <c r="E73" s="432" t="n"/>
      <c r="F73" s="432" t="n"/>
      <c r="G73" s="432" t="n"/>
      <c r="H73" s="432" t="n"/>
      <c r="I73" s="432" t="n"/>
      <c r="J73" s="432" t="n"/>
      <c r="K73" s="66" t="inlineStr">
        <is>
          <t>Lottery Machine #1 (0.03%), Wishing (1.2%)</t>
        </is>
      </c>
    </row>
    <row r="74" ht="15.75" customHeight="1" s="1128">
      <c r="A74" s="398" t="inlineStr">
        <is>
          <t xml:space="preserve">      Chronometer</t>
        </is>
      </c>
      <c r="B74" s="425" t="inlineStr">
        <is>
          <t>Blue</t>
        </is>
      </c>
      <c r="C74" s="425" t="inlineStr">
        <is>
          <t>TECH</t>
        </is>
      </c>
      <c r="D74" s="432" t="n"/>
      <c r="E74" s="432" t="n"/>
      <c r="F74" s="432" t="n"/>
      <c r="G74" s="432" t="n"/>
      <c r="H74" s="432" t="n"/>
      <c r="I74" s="432" t="n"/>
      <c r="J74" s="432" t="n"/>
      <c r="K74" s="66" t="inlineStr">
        <is>
          <t>Lottery Machine #1 (0.03%), Wishing (1.1%), Tool Chest (2%)</t>
        </is>
      </c>
    </row>
    <row r="75" ht="15.75" customHeight="1" s="1128">
      <c r="A75" s="398" t="inlineStr">
        <is>
          <t xml:space="preserve">      Sholes' Typewriter</t>
        </is>
      </c>
      <c r="B75" s="425" t="inlineStr">
        <is>
          <t>Blue</t>
        </is>
      </c>
      <c r="C75" s="425" t="inlineStr">
        <is>
          <t>CIV</t>
        </is>
      </c>
      <c r="D75" s="432" t="n"/>
      <c r="E75" s="432" t="n"/>
      <c r="F75" s="432" t="n"/>
      <c r="G75" s="432" t="n"/>
      <c r="H75" s="432" t="n"/>
      <c r="I75" s="432" t="n"/>
      <c r="J75" s="432" t="n"/>
      <c r="K75" s="66" t="inlineStr">
        <is>
          <t>Lottery Machine #1 (0.03%), Wishing (0.82%)</t>
        </is>
      </c>
    </row>
    <row r="76" ht="15.75" customHeight="1" s="1128">
      <c r="A76" s="398" t="inlineStr">
        <is>
          <t xml:space="preserve">      Churchill's Cigar</t>
        </is>
      </c>
      <c r="B76" s="425" t="inlineStr">
        <is>
          <t>Blue</t>
        </is>
      </c>
      <c r="C76" s="415" t="inlineStr">
        <is>
          <t>FAME</t>
        </is>
      </c>
      <c r="D76" s="432" t="n"/>
      <c r="E76" s="432" t="n"/>
      <c r="F76" s="432" t="n"/>
      <c r="G76" s="432" t="n"/>
      <c r="H76" s="432" t="n"/>
      <c r="I76" s="432" t="n"/>
      <c r="J76" s="432" t="n"/>
      <c r="K76" s="66" t="inlineStr">
        <is>
          <t>Lottery Machine #1 (0.07%), Wishing (3.1%), Trainee Scrolls (1%)</t>
        </is>
      </c>
    </row>
    <row r="77" ht="15.75" customHeight="1" s="1128">
      <c r="A77" s="398" t="inlineStr">
        <is>
          <t xml:space="preserve">      Traveler Manual</t>
        </is>
      </c>
      <c r="B77" s="425" t="inlineStr">
        <is>
          <t>Blue</t>
        </is>
      </c>
      <c r="C77" s="425" t="inlineStr">
        <is>
          <t>CIV</t>
        </is>
      </c>
      <c r="D77" s="432" t="n"/>
      <c r="E77" s="432" t="n"/>
      <c r="F77" s="432" t="n"/>
      <c r="G77" s="432" t="n"/>
      <c r="H77" s="432" t="n"/>
      <c r="I77" s="432" t="n"/>
      <c r="J77" s="432" t="n"/>
      <c r="K77" s="66" t="inlineStr">
        <is>
          <t>Finish Traveler tasks (Tutorial)</t>
        </is>
      </c>
    </row>
    <row r="78" ht="15.75" customHeight="1" s="1128">
      <c r="A78" s="398" t="inlineStr">
        <is>
          <t xml:space="preserve">    Time Chest</t>
        </is>
      </c>
      <c r="B78" s="432" t="n"/>
      <c r="C78" s="432" t="n"/>
      <c r="D78" s="432" t="n"/>
      <c r="E78" s="432" t="n"/>
      <c r="F78" s="432" t="n"/>
      <c r="G78" s="432" t="n"/>
      <c r="H78" s="432" t="n">
        <v>14</v>
      </c>
      <c r="I78" s="432" t="n"/>
      <c r="J78" s="432" t="n"/>
      <c r="K78" s="66" t="n"/>
    </row>
    <row r="79" ht="15.75" customHeight="1" s="1128">
      <c r="A79" s="398" t="inlineStr">
        <is>
          <t xml:space="preserve">      Golden Fleece</t>
        </is>
      </c>
      <c r="B79" s="425" t="inlineStr">
        <is>
          <t>Blue</t>
        </is>
      </c>
      <c r="C79" s="425" t="inlineStr">
        <is>
          <t>FTH</t>
        </is>
      </c>
      <c r="D79" s="432" t="n"/>
      <c r="E79" s="432" t="n"/>
      <c r="F79" s="432" t="n"/>
      <c r="G79" s="432" t="n"/>
      <c r="H79" s="432" t="n"/>
      <c r="I79" s="432" t="n"/>
      <c r="J79" s="432" t="n"/>
      <c r="K79" s="66" t="inlineStr">
        <is>
          <t>Lottery Machine #1 (0.03%), Wishing (0.85%)</t>
        </is>
      </c>
    </row>
    <row r="80" ht="15.75" customHeight="1" s="1128">
      <c r="A80" s="398" t="inlineStr">
        <is>
          <t xml:space="preserve">      Bronze Bird</t>
        </is>
      </c>
      <c r="B80" s="425" t="inlineStr">
        <is>
          <t>Blue</t>
        </is>
      </c>
      <c r="C80" s="415" t="inlineStr">
        <is>
          <t>FAME</t>
        </is>
      </c>
      <c r="D80" s="432" t="n"/>
      <c r="E80" s="432" t="n"/>
      <c r="F80" s="432" t="n"/>
      <c r="G80" s="432" t="n"/>
      <c r="H80" s="432" t="n"/>
      <c r="I80" s="432" t="n"/>
      <c r="J80" s="432" t="n"/>
      <c r="K80" s="66" t="inlineStr">
        <is>
          <t>Cathay Treasure Map (20%)</t>
        </is>
      </c>
    </row>
    <row r="81" ht="15.75" customHeight="1" s="1128">
      <c r="A81" s="398" t="inlineStr">
        <is>
          <t xml:space="preserve">      Seismograph</t>
        </is>
      </c>
      <c r="B81" s="425" t="inlineStr">
        <is>
          <t>Blue</t>
        </is>
      </c>
      <c r="C81" s="425" t="inlineStr">
        <is>
          <t>TECH</t>
        </is>
      </c>
      <c r="D81" s="432" t="n"/>
      <c r="E81" s="432" t="n"/>
      <c r="F81" s="432" t="n"/>
      <c r="G81" s="432" t="n"/>
      <c r="H81" s="432" t="n"/>
      <c r="I81" s="432" t="n"/>
      <c r="J81" s="432" t="n"/>
      <c r="K81" s="66" t="inlineStr">
        <is>
          <t>Lottery Machine #1 (0.07%), Wishing (2.1%), Novice Scroll (1%)</t>
        </is>
      </c>
    </row>
    <row r="82" ht="15.75" customHeight="1" s="1128">
      <c r="A82" s="398" t="inlineStr">
        <is>
          <t xml:space="preserve">      Enigma Machine</t>
        </is>
      </c>
      <c r="B82" s="425" t="inlineStr">
        <is>
          <t>Blue</t>
        </is>
      </c>
      <c r="C82" s="425" t="inlineStr">
        <is>
          <t>TECH</t>
        </is>
      </c>
      <c r="D82" s="432" t="n"/>
      <c r="E82" s="432" t="n"/>
      <c r="F82" s="432" t="n"/>
      <c r="G82" s="432" t="n"/>
      <c r="H82" s="432" t="n"/>
      <c r="I82" s="432" t="n"/>
      <c r="J82" s="432" t="n"/>
      <c r="K82" s="66" t="inlineStr">
        <is>
          <t>Lottery Machine #1 (0.03%), Wishing (1.1%)</t>
        </is>
      </c>
    </row>
    <row r="83" ht="15.75" customHeight="1" s="1128">
      <c r="A83" s="398" t="inlineStr">
        <is>
          <t xml:space="preserve">  PURPLE</t>
        </is>
      </c>
      <c r="B83" s="432" t="n"/>
      <c r="C83" s="432" t="n"/>
      <c r="D83" s="432" t="n"/>
      <c r="E83" s="432" t="n"/>
      <c r="F83" s="432" t="n"/>
      <c r="G83" s="432" t="n"/>
      <c r="H83" s="432" t="n"/>
      <c r="I83" s="432" t="n"/>
      <c r="J83" s="432" t="n"/>
      <c r="K83" s="66" t="n"/>
    </row>
    <row r="84" ht="15.75" customHeight="1" s="1128">
      <c r="A84" s="398" t="inlineStr">
        <is>
          <t xml:space="preserve">    Output</t>
        </is>
      </c>
      <c r="B84" s="432" t="n"/>
      <c r="C84" s="432" t="n"/>
      <c r="D84" s="432" t="n">
        <v>12</v>
      </c>
      <c r="E84" s="432" t="n"/>
      <c r="F84" s="432" t="n"/>
      <c r="G84" s="432" t="n"/>
      <c r="H84" s="432" t="n"/>
      <c r="I84" s="432" t="n"/>
      <c r="J84" s="432" t="n"/>
      <c r="K84" s="66" t="n"/>
    </row>
    <row r="85" ht="15.75" customHeight="1" s="1128">
      <c r="A85" s="398" t="inlineStr">
        <is>
          <t xml:space="preserve">      Galileo's Ball</t>
        </is>
      </c>
      <c r="B85" s="425" t="inlineStr">
        <is>
          <t>AAA</t>
        </is>
      </c>
      <c r="C85" s="415" t="inlineStr">
        <is>
          <t>FAME</t>
        </is>
      </c>
      <c r="D85" s="432" t="n"/>
      <c r="E85" s="432" t="n"/>
      <c r="F85" s="432" t="n"/>
      <c r="G85" s="432" t="n"/>
      <c r="H85" s="432" t="n"/>
      <c r="I85" s="432" t="n"/>
      <c r="J85" s="432" t="n"/>
      <c r="K85" s="66" t="inlineStr">
        <is>
          <t>Fragment Crafting (1.6%), Lottery Machine #1 (0.03%), Wishing (0.14%), Relic Forge (80 Relic RF)</t>
        </is>
      </c>
    </row>
    <row r="86" ht="15.75" customHeight="1" s="1128">
      <c r="A86" s="398" t="inlineStr">
        <is>
          <t xml:space="preserve">      Armstrong's Footprint</t>
        </is>
      </c>
      <c r="B86" s="425" t="inlineStr">
        <is>
          <t>AA</t>
        </is>
      </c>
      <c r="C86" s="415" t="inlineStr">
        <is>
          <t>FAME</t>
        </is>
      </c>
      <c r="D86" s="432" t="n"/>
      <c r="E86" s="432" t="n"/>
      <c r="F86" s="432" t="n"/>
      <c r="G86" s="432" t="n"/>
      <c r="H86" s="432" t="n"/>
      <c r="I86" s="432" t="n"/>
      <c r="J86" s="432" t="n"/>
      <c r="K86" s="66" t="inlineStr">
        <is>
          <t>Fragment Crafting (3.9%), Lottery Machine #1 (0.08%), Wishing (0.35%), Expert Scrolls (0.95%)</t>
        </is>
      </c>
    </row>
    <row r="87" ht="15.75" customHeight="1" s="1128">
      <c r="A87" s="398" t="inlineStr">
        <is>
          <t xml:space="preserve">    Time Chest</t>
        </is>
      </c>
      <c r="B87" s="432" t="n"/>
      <c r="C87" s="432" t="n"/>
      <c r="D87" s="432" t="n"/>
      <c r="E87" s="432" t="n"/>
      <c r="F87" s="432" t="n"/>
      <c r="G87" s="432" t="n"/>
      <c r="H87" s="432" t="n">
        <v>12</v>
      </c>
      <c r="I87" s="432" t="n"/>
      <c r="J87" s="432" t="n"/>
      <c r="K87" s="66" t="n"/>
    </row>
    <row r="88" ht="15.75" customHeight="1" s="1128">
      <c r="A88" s="398" t="inlineStr">
        <is>
          <t xml:space="preserve">      Prince's Rose</t>
        </is>
      </c>
      <c r="B88" s="425" t="inlineStr">
        <is>
          <t>AA</t>
        </is>
      </c>
      <c r="C88" s="425" t="inlineStr">
        <is>
          <t>CIV</t>
        </is>
      </c>
      <c r="D88" s="432" t="n"/>
      <c r="E88" s="432" t="n"/>
      <c r="F88" s="432" t="n"/>
      <c r="G88" s="432" t="n"/>
      <c r="H88" s="432" t="n"/>
      <c r="I88" s="432" t="n"/>
      <c r="J88" s="432" t="n"/>
      <c r="K88" s="66" t="inlineStr">
        <is>
          <t>Fragment Crafting (3.7%), Lottery Machine #1 (0.8%), Wishing (0.34%), Fungus Chest (1.5%), Expert Scrolls (0.95%)</t>
        </is>
      </c>
    </row>
    <row r="89" ht="15.75" customHeight="1" s="1128">
      <c r="A89" s="398" t="inlineStr">
        <is>
          <t xml:space="preserve">      Lennon's Guitar</t>
        </is>
      </c>
      <c r="B89" s="425" t="inlineStr">
        <is>
          <t>AAA</t>
        </is>
      </c>
      <c r="C89" s="425" t="inlineStr">
        <is>
          <t>CIV</t>
        </is>
      </c>
      <c r="D89" s="432" t="n"/>
      <c r="E89" s="432" t="n"/>
      <c r="F89" s="432" t="n"/>
      <c r="G89" s="432" t="n"/>
      <c r="H89" s="432" t="n"/>
      <c r="I89" s="432" t="n"/>
      <c r="J89" s="432" t="n"/>
      <c r="K89" s="66" t="inlineStr">
        <is>
          <t>Fragment Crafting (1.5%), Lottery Machine #1 (0.03%), Wishing (0.14%), Relic Forge (80 Relic RF)</t>
        </is>
      </c>
    </row>
    <row r="90" ht="15.75" customHeight="1" s="1128">
      <c r="A90" s="398" t="inlineStr">
        <is>
          <t xml:space="preserve">  ORANGE</t>
        </is>
      </c>
      <c r="B90" s="432" t="n"/>
      <c r="C90" s="432" t="n"/>
      <c r="D90" s="432" t="n"/>
      <c r="E90" s="432" t="n"/>
      <c r="F90" s="432" t="n"/>
      <c r="G90" s="432" t="n"/>
      <c r="H90" s="432" t="n"/>
      <c r="I90" s="432" t="n"/>
      <c r="J90" s="432" t="n"/>
      <c r="K90" s="66" t="n"/>
    </row>
    <row r="91" ht="15.75" customHeight="1" s="1128">
      <c r="A91" s="398" t="inlineStr">
        <is>
          <t xml:space="preserve">    Output</t>
        </is>
      </c>
      <c r="B91" s="432" t="n"/>
      <c r="C91" s="432" t="n"/>
      <c r="D91" s="432" t="n">
        <v>16</v>
      </c>
      <c r="E91" s="432" t="n"/>
      <c r="F91" s="432" t="n"/>
      <c r="G91" s="432" t="n"/>
      <c r="H91" s="432" t="n"/>
      <c r="I91" s="432" t="n"/>
      <c r="J91" s="432" t="n"/>
      <c r="K91" s="66" t="n"/>
    </row>
    <row r="92" ht="15.75" customHeight="1" s="1128">
      <c r="A92" s="398" t="inlineStr">
        <is>
          <t xml:space="preserve">      Artificial Black Hole</t>
        </is>
      </c>
      <c r="B92" s="425" t="inlineStr">
        <is>
          <t>SSS</t>
        </is>
      </c>
      <c r="C92" s="425" t="inlineStr">
        <is>
          <t>TECH</t>
        </is>
      </c>
      <c r="D92" s="432" t="n"/>
      <c r="E92" s="432" t="n"/>
      <c r="F92" s="432" t="n"/>
      <c r="G92" s="432" t="n"/>
      <c r="H92" s="432" t="n"/>
      <c r="I92" s="432" t="n"/>
      <c r="J92" s="432" t="n"/>
      <c r="K92" s="66" t="inlineStr">
        <is>
          <t>Wish Box, Lottery Machine #1 (0.09%), Wishing (0.07%), Demon God Chest (0.1%), Grandmaster Scrolls (0.81%), Relic Forge (120 Relic RF), Nebula Chest (0.01%)</t>
        </is>
      </c>
    </row>
    <row r="93" ht="15.75" customHeight="1" s="1128">
      <c r="A93" s="398" t="inlineStr">
        <is>
          <t xml:space="preserve">      Particle Collider</t>
        </is>
      </c>
      <c r="B93" s="425" t="inlineStr">
        <is>
          <t>SSS</t>
        </is>
      </c>
      <c r="C93" s="425" t="inlineStr">
        <is>
          <t>TECH</t>
        </is>
      </c>
      <c r="D93" s="432" t="n"/>
      <c r="E93" s="432" t="n"/>
      <c r="F93" s="432" t="n"/>
      <c r="G93" s="432" t="n"/>
      <c r="H93" s="432" t="n"/>
      <c r="I93" s="432" t="n"/>
      <c r="J93" s="432" t="n"/>
      <c r="K93" s="66" t="inlineStr">
        <is>
          <t>Wish Box, Lottery Machine #1 (0.09%), Wishing (0.07%), Tool Chest (0.01%), Grandmaster Scrolls (0.81%), Relic Forge (120 Relic RF)</t>
        </is>
      </c>
    </row>
    <row r="94" ht="15.75" customHeight="1" s="1128">
      <c r="A94" s="398" t="inlineStr">
        <is>
          <t xml:space="preserve">      Lotus Chalice</t>
        </is>
      </c>
      <c r="B94" s="425" t="inlineStr">
        <is>
          <t>SSS</t>
        </is>
      </c>
      <c r="C94" s="425" t="inlineStr">
        <is>
          <t>ART</t>
        </is>
      </c>
      <c r="D94" s="432" t="n"/>
      <c r="E94" s="432" t="n"/>
      <c r="F94" s="432" t="n"/>
      <c r="G94" s="432" t="n"/>
      <c r="H94" s="432" t="n"/>
      <c r="I94" s="432" t="n"/>
      <c r="J94" s="432" t="n"/>
      <c r="K94" s="66" t="inlineStr">
        <is>
          <t>Wish Pack, Lottery Machine #1 (0.09%), Wishing (0.08%), Kemetic Treasure Chests (0.01%), Grandmaster Scrolls (0.81%), Relic Forge (120 Relic RF)</t>
        </is>
      </c>
    </row>
    <row r="95" ht="15.75" customHeight="1" s="1128">
      <c r="A95" s="398" t="inlineStr">
        <is>
          <t xml:space="preserve">    Time Chest</t>
        </is>
      </c>
      <c r="B95" s="432" t="n"/>
      <c r="C95" s="432" t="n"/>
      <c r="D95" s="432" t="n"/>
      <c r="E95" s="432" t="n"/>
      <c r="F95" s="432" t="n"/>
      <c r="G95" s="432" t="n"/>
      <c r="H95" s="432" t="n">
        <v>16</v>
      </c>
      <c r="I95" s="432" t="n"/>
      <c r="J95" s="432" t="n"/>
      <c r="K95" s="66" t="n"/>
    </row>
    <row r="96" ht="15.75" customHeight="1" s="1128">
      <c r="A96" s="398" t="inlineStr">
        <is>
          <t xml:space="preserve">      King Dangun Statue</t>
        </is>
      </c>
      <c r="B96" s="425" t="inlineStr">
        <is>
          <t>S</t>
        </is>
      </c>
      <c r="C96" s="425" t="inlineStr">
        <is>
          <t>FTH</t>
        </is>
      </c>
      <c r="D96" s="432" t="n"/>
      <c r="E96" s="432" t="n"/>
      <c r="F96" s="432" t="n"/>
      <c r="G96" s="432" t="n"/>
      <c r="H96" s="432" t="n"/>
      <c r="I96" s="432" t="n"/>
      <c r="J96" s="432" t="n"/>
      <c r="K96" s="66" t="inlineStr">
        <is>
          <t>Fragment Crafting (15.1%), Lottery Machine #1 (0.81%), Wishing (0.81%), Koryeo Treasure Map (5%), Relic Forge (90 Relic RF), Museum Value Pack I ($14.99)</t>
        </is>
      </c>
    </row>
    <row r="97" ht="15.75" customHeight="1" s="1128">
      <c r="A97" s="398" t="inlineStr">
        <is>
          <t xml:space="preserve">      Causality</t>
        </is>
      </c>
      <c r="B97" s="425" t="inlineStr">
        <is>
          <t>SS</t>
        </is>
      </c>
      <c r="C97" s="425" t="inlineStr">
        <is>
          <t>TECH</t>
        </is>
      </c>
      <c r="D97" s="432" t="n"/>
      <c r="E97" s="432" t="n"/>
      <c r="F97" s="432" t="n"/>
      <c r="G97" s="432" t="n"/>
      <c r="H97" s="432" t="n"/>
      <c r="I97" s="432" t="n"/>
      <c r="J97" s="432" t="n"/>
      <c r="K97" s="66" t="inlineStr">
        <is>
          <t>Fragment Crafting (3.9%), Lottery Machine #1 (0.18%), Alchemy Furnace (0.14%), Grandmaster Scrolls (1.6%)</t>
        </is>
      </c>
    </row>
    <row r="98" ht="15.75" customHeight="1" s="1128">
      <c r="A98" s="398" t="inlineStr">
        <is>
          <t xml:space="preserve">      Liberty Guide People</t>
        </is>
      </c>
      <c r="B98" s="425" t="inlineStr">
        <is>
          <t>SS</t>
        </is>
      </c>
      <c r="C98" s="425" t="inlineStr">
        <is>
          <t>ART</t>
        </is>
      </c>
      <c r="D98" s="432" t="n"/>
      <c r="E98" s="432" t="n"/>
      <c r="F98" s="432" t="n"/>
      <c r="G98" s="432" t="n"/>
      <c r="H98" s="432" t="n"/>
      <c r="I98" s="432" t="n"/>
      <c r="J98" s="432" t="n"/>
      <c r="K98" s="66" t="inlineStr">
        <is>
          <t>Fragment Crafting (5.3%), Lottery Machine #1 (0.24%), Wishing (0.2%), Dragon Chest (5%), Master Scrolls (1.9%), Grandmaster Scrolls (2.1%), ART Master Scrolls (10.2%)</t>
        </is>
      </c>
    </row>
    <row r="99" ht="15.75" customHeight="1" s="1128">
      <c r="A99" s="409" t="inlineStr">
        <is>
          <t>MAX RESONANCE</t>
        </is>
      </c>
      <c r="B99" s="410" t="n"/>
      <c r="C99" s="410" t="n"/>
      <c r="D99" s="410">
        <f>SUM(D70:D98)</f>
        <v/>
      </c>
      <c r="E99" s="410" t="n"/>
      <c r="F99" s="410">
        <f>SUM(F70:F98)</f>
        <v/>
      </c>
      <c r="G99" s="410" t="n"/>
      <c r="H99" s="410">
        <f>SUM(H70:H98)</f>
        <v/>
      </c>
      <c r="I99" s="410" t="n"/>
      <c r="J99" s="410" t="n"/>
      <c r="K99" s="414" t="n"/>
    </row>
    <row r="100" ht="15.75" customHeight="1" s="1128">
      <c r="A100" s="432" t="n"/>
      <c r="B100" s="432" t="n"/>
      <c r="C100" s="432" t="n"/>
      <c r="D100" s="432" t="n"/>
      <c r="E100" s="432" t="n"/>
      <c r="F100" s="432" t="n"/>
      <c r="G100" s="432" t="n"/>
      <c r="H100" s="432" t="n"/>
      <c r="I100" s="432" t="n"/>
      <c r="J100" s="432" t="n"/>
      <c r="K100" s="432" t="n"/>
    </row>
    <row r="101" ht="15.75" customHeight="1" s="1128">
      <c r="A101" s="432" t="n"/>
      <c r="B101" s="432" t="n"/>
      <c r="C101" s="432" t="n"/>
      <c r="D101" s="432" t="n"/>
      <c r="E101" s="432" t="n"/>
      <c r="F101" s="432" t="n"/>
      <c r="G101" s="432" t="n"/>
      <c r="H101" s="432" t="n"/>
      <c r="I101" s="432" t="n"/>
      <c r="J101" s="432" t="n"/>
      <c r="K101" s="432" t="n"/>
    </row>
    <row r="102" ht="15.75" customHeight="1" s="1128">
      <c r="A102" s="417" t="inlineStr">
        <is>
          <t>Total Travel Speedup Output</t>
        </is>
      </c>
      <c r="B102" s="417">
        <f>D18+D21+D67+D99+D30+D39+D24+D45+D33+D42+D27</f>
        <v/>
      </c>
      <c r="C102" s="432" t="n"/>
      <c r="D102" s="432" t="n"/>
      <c r="E102" s="432" t="n"/>
      <c r="F102" s="432" t="n"/>
      <c r="G102" s="432" t="n"/>
      <c r="H102" s="432" t="n"/>
      <c r="I102" s="432" t="n"/>
      <c r="J102" s="432" t="n"/>
      <c r="K102" s="432" t="n"/>
    </row>
    <row r="103" ht="15.75" customHeight="1" s="1128">
      <c r="A103" s="417" t="inlineStr">
        <is>
          <t>Total Travel Speedup Cap</t>
        </is>
      </c>
      <c r="B103" s="417">
        <f>F18+F21+F67+F99+F24+F30+F39+F45+F42</f>
        <v/>
      </c>
      <c r="C103" s="432" t="n"/>
      <c r="D103" s="432" t="n"/>
      <c r="E103" s="432" t="n"/>
      <c r="F103" s="432" t="n"/>
      <c r="G103" s="432" t="n"/>
      <c r="H103" s="432" t="n"/>
      <c r="I103" s="432" t="n"/>
      <c r="J103" s="432" t="n"/>
      <c r="K103" s="432" t="n"/>
    </row>
    <row r="104" ht="15.75" customHeight="1" s="1128">
      <c r="A104" s="417" t="inlineStr">
        <is>
          <t>Total Time Chest Gen</t>
        </is>
      </c>
      <c r="B104" s="417">
        <f>H18+H67+H99+H21+H24+H30+H39+H45</f>
        <v/>
      </c>
      <c r="C104" s="432" t="n"/>
      <c r="D104" s="432" t="n"/>
      <c r="E104" s="432" t="n"/>
      <c r="F104" s="432" t="n"/>
      <c r="G104" s="432" t="n"/>
      <c r="H104" s="432" t="n"/>
      <c r="I104" s="432" t="n"/>
      <c r="J104" s="432" t="n"/>
      <c r="K104" s="432" t="n"/>
    </row>
    <row r="105" ht="15.75" customHeight="1" s="1128"/>
    <row r="106" ht="15.75" customHeight="1" s="1128"/>
    <row r="107" ht="15.75" customHeight="1" s="1128"/>
    <row r="108" ht="15.75" customHeight="1" s="1128"/>
    <row r="109" ht="15.75" customHeight="1" s="1128"/>
    <row r="110" ht="15.75" customHeight="1" s="1128"/>
    <row r="111" ht="15.75" customHeight="1" s="1128"/>
    <row r="112" ht="15.75" customHeight="1" s="1128"/>
    <row r="113" ht="15.75" customHeight="1" s="1128"/>
    <row r="114" ht="15.75" customHeight="1" s="1128"/>
    <row r="115" ht="15.75" customHeight="1" s="1128"/>
    <row r="116" ht="15.75" customHeight="1" s="1128"/>
    <row r="117" ht="15.75" customHeight="1" s="1128"/>
    <row r="118" ht="15.75" customHeight="1" s="1128"/>
    <row r="119" ht="15.75" customHeight="1" s="1128"/>
    <row r="120" ht="15.75" customHeight="1" s="1128"/>
    <row r="121" ht="15.75" customHeight="1" s="1128"/>
    <row r="122" ht="15.75" customHeight="1" s="1128"/>
    <row r="123" ht="15.75" customHeight="1" s="1128"/>
    <row r="124" ht="15.75" customHeight="1" s="1128"/>
    <row r="125" ht="15.75" customHeight="1" s="1128"/>
    <row r="126" ht="15.75" customHeight="1" s="1128"/>
    <row r="127" ht="15.75" customHeight="1" s="1128"/>
    <row r="128" ht="15.75" customHeight="1" s="1128"/>
    <row r="129" ht="15.75" customHeight="1" s="1128"/>
    <row r="130" ht="15.75" customHeight="1" s="1128"/>
    <row r="131" ht="15.75" customHeight="1" s="1128"/>
    <row r="132" ht="15.75" customHeight="1" s="1128"/>
    <row r="133" ht="15.75" customHeight="1" s="1128"/>
    <row r="134" ht="15.75" customHeight="1" s="1128"/>
    <row r="135" ht="15.75" customHeight="1" s="1128"/>
    <row r="136" ht="15.75" customHeight="1" s="1128"/>
    <row r="137" ht="15.75" customHeight="1" s="1128"/>
    <row r="138" ht="15.75" customHeight="1" s="1128"/>
    <row r="139" ht="15.75" customHeight="1" s="1128"/>
    <row r="140" ht="15.75" customHeight="1" s="1128"/>
    <row r="141" ht="15.75" customHeight="1" s="1128"/>
    <row r="142" ht="15.75" customHeight="1" s="1128"/>
    <row r="143" ht="15.75" customHeight="1" s="1128"/>
    <row r="144" ht="15.75" customHeight="1" s="1128"/>
    <row r="145" ht="15.75" customHeight="1" s="1128"/>
    <row r="146" ht="15.75" customHeight="1" s="1128"/>
    <row r="147" ht="15.75" customHeight="1" s="1128"/>
    <row r="148" ht="15.75" customHeight="1" s="1128"/>
    <row r="149" ht="15.75" customHeight="1" s="1128"/>
    <row r="150" ht="15.75" customHeight="1" s="1128"/>
    <row r="151" ht="15.75" customHeight="1" s="1128"/>
    <row r="152" ht="15.75" customHeight="1" s="1128"/>
    <row r="153" ht="15.75" customHeight="1" s="1128"/>
    <row r="154" ht="15.75" customHeight="1" s="1128"/>
    <row r="155" ht="15.75" customHeight="1" s="1128"/>
    <row r="156" ht="15.75" customHeight="1" s="1128"/>
    <row r="157" ht="15.75" customHeight="1" s="1128"/>
    <row r="158" ht="15.75" customHeight="1" s="1128"/>
    <row r="159" ht="15.75" customHeight="1" s="1128"/>
    <row r="160" ht="15.75" customHeight="1" s="1128"/>
    <row r="161" ht="15.75" customHeight="1" s="1128"/>
    <row r="162" ht="15.75" customHeight="1" s="1128"/>
    <row r="163" ht="15.75" customHeight="1" s="1128"/>
    <row r="164" ht="15.75" customHeight="1" s="1128"/>
    <row r="165" ht="15.75" customHeight="1" s="1128"/>
    <row r="166" ht="15.75" customHeight="1" s="1128"/>
    <row r="167" ht="15.75" customHeight="1" s="1128"/>
    <row r="168" ht="15.75" customHeight="1" s="1128"/>
    <row r="169" ht="15.75" customHeight="1" s="1128"/>
    <row r="170" ht="15.75" customHeight="1" s="1128"/>
    <row r="171" ht="15.75" customHeight="1" s="1128"/>
    <row r="172" ht="15.75" customHeight="1" s="1128"/>
    <row r="173" ht="15.75" customHeight="1" s="1128"/>
    <row r="174" ht="15.75" customHeight="1" s="1128"/>
    <row r="175" ht="15.75" customHeight="1" s="1128"/>
    <row r="176" ht="15.75" customHeight="1" s="1128"/>
    <row r="177" ht="15.75" customHeight="1" s="1128"/>
    <row r="178" ht="15.75" customHeight="1" s="1128"/>
    <row r="179" ht="15.75" customHeight="1" s="1128"/>
    <row r="180" ht="15.75" customHeight="1" s="1128"/>
    <row r="181" ht="15.75" customHeight="1" s="1128"/>
    <row r="182" ht="15.75" customHeight="1" s="1128"/>
    <row r="183" ht="15.75" customHeight="1" s="1128"/>
    <row r="184" ht="15.75" customHeight="1" s="1128"/>
    <row r="185" ht="15.75" customHeight="1" s="1128"/>
    <row r="186" ht="15.75" customHeight="1" s="1128"/>
    <row r="187" ht="15.75" customHeight="1" s="1128"/>
    <row r="188" ht="15.75" customHeight="1" s="1128"/>
    <row r="189" ht="15.75" customHeight="1" s="1128"/>
    <row r="190" ht="15.75" customHeight="1" s="1128"/>
    <row r="191" ht="15.75" customHeight="1" s="1128"/>
    <row r="192" ht="15.75" customHeight="1" s="1128"/>
    <row r="193" ht="15.75" customHeight="1" s="1128"/>
    <row r="194" ht="15.75" customHeight="1" s="1128"/>
    <row r="195" ht="15.75" customHeight="1" s="1128"/>
    <row r="196" ht="15.75" customHeight="1" s="1128"/>
    <row r="197" ht="15.75" customHeight="1" s="1128"/>
    <row r="198" ht="15.75" customHeight="1" s="1128"/>
    <row r="199" ht="15.75" customHeight="1" s="1128"/>
    <row r="200" ht="15.75" customHeight="1" s="1128"/>
    <row r="201" ht="15.75" customHeight="1" s="1128"/>
    <row r="202" ht="15.75" customHeight="1" s="1128"/>
    <row r="203" ht="15.75" customHeight="1" s="1128"/>
    <row r="204" ht="15.75" customHeight="1" s="1128"/>
    <row r="205" ht="15.75" customHeight="1" s="1128"/>
    <row r="206" ht="15.75" customHeight="1" s="1128"/>
    <row r="207" ht="15.75" customHeight="1" s="1128"/>
    <row r="208" ht="15.75" customHeight="1" s="1128"/>
    <row r="209" ht="15.75" customHeight="1" s="1128"/>
    <row r="210" ht="15.75" customHeight="1" s="1128"/>
    <row r="211" ht="15.75" customHeight="1" s="1128"/>
    <row r="212" ht="15.75" customHeight="1" s="1128"/>
    <row r="213" ht="15.75" customHeight="1" s="1128"/>
    <row r="214" ht="15.75" customHeight="1" s="1128"/>
    <row r="215" ht="15.75" customHeight="1" s="1128"/>
    <row r="216" ht="15.75" customHeight="1" s="1128"/>
    <row r="217" ht="15.75" customHeight="1" s="1128"/>
    <row r="218" ht="15.75" customHeight="1" s="1128"/>
    <row r="219" ht="15.75" customHeight="1" s="1128"/>
    <row r="220" ht="15.75" customHeight="1" s="1128"/>
    <row r="221" ht="15.75" customHeight="1" s="1128"/>
    <row r="222" ht="15.75" customHeight="1" s="1128"/>
    <row r="223" ht="15.75" customHeight="1" s="1128"/>
    <row r="224" ht="15.75" customHeight="1" s="1128"/>
    <row r="225" ht="15.75" customHeight="1" s="1128"/>
    <row r="226" ht="15.75" customHeight="1" s="1128"/>
    <row r="227" ht="15.75" customHeight="1" s="1128"/>
    <row r="228" ht="15.75" customHeight="1" s="1128"/>
    <row r="229" ht="15.75" customHeight="1" s="1128"/>
    <row r="230" ht="15.75" customHeight="1" s="1128"/>
    <row r="231" ht="15.75" customHeight="1" s="1128"/>
    <row r="232" ht="15.75" customHeight="1" s="1128"/>
    <row r="233" ht="15.75" customHeight="1" s="1128"/>
    <row r="234" ht="15.75" customHeight="1" s="1128"/>
    <row r="235" ht="15.75" customHeight="1" s="1128"/>
    <row r="236" ht="15.75" customHeight="1" s="1128"/>
    <row r="237" ht="15.75" customHeight="1" s="1128"/>
    <row r="238" ht="15.75" customHeight="1" s="1128"/>
    <row r="239" ht="15.75" customHeight="1" s="1128"/>
    <row r="240" ht="15.75" customHeight="1" s="1128"/>
    <row r="241" ht="15.75" customHeight="1" s="1128"/>
    <row r="242" ht="15.75" customHeight="1" s="1128"/>
    <row r="243" ht="15.75" customHeight="1" s="1128"/>
    <row r="244" ht="15.75" customHeight="1" s="1128"/>
    <row r="245" ht="15.75" customHeight="1" s="1128"/>
    <row r="246" ht="15.75" customHeight="1" s="1128"/>
    <row r="247" ht="15.75" customHeight="1" s="1128"/>
    <row r="248" ht="15.75" customHeight="1" s="1128"/>
    <row r="249" ht="15.75" customHeight="1" s="1128"/>
    <row r="250" ht="15.75" customHeight="1" s="1128"/>
    <row r="251" ht="15.75" customHeight="1" s="1128"/>
    <row r="252" ht="15.75" customHeight="1" s="1128"/>
    <row r="253" ht="15.75" customHeight="1" s="1128"/>
    <row r="254" ht="15.75" customHeight="1" s="1128"/>
    <row r="255" ht="15.75" customHeight="1" s="1128"/>
    <row r="256" ht="15.75" customHeight="1" s="1128"/>
    <row r="257" ht="15.75" customHeight="1" s="1128"/>
    <row r="258" ht="15.75" customHeight="1" s="1128"/>
    <row r="259" ht="15.75" customHeight="1" s="1128"/>
    <row r="260" ht="15.75" customHeight="1" s="1128"/>
    <row r="261" ht="15.75" customHeight="1" s="1128"/>
    <row r="262" ht="15.75" customHeight="1" s="1128"/>
    <row r="263" ht="15.75" customHeight="1" s="1128"/>
    <row r="264" ht="15.75" customHeight="1" s="1128"/>
    <row r="265" ht="15.75" customHeight="1" s="1128"/>
    <row r="266" ht="15.75" customHeight="1" s="1128"/>
    <row r="267" ht="15.75" customHeight="1" s="1128"/>
    <row r="268" ht="15.75" customHeight="1" s="1128"/>
    <row r="269" ht="15.75" customHeight="1" s="1128"/>
    <row r="270" ht="15.75" customHeight="1" s="1128"/>
    <row r="271" ht="15.75" customHeight="1" s="1128"/>
    <row r="272" ht="15.75" customHeight="1" s="1128"/>
    <row r="273" ht="15.75" customHeight="1" s="1128"/>
    <row r="274" ht="15.75" customHeight="1" s="1128"/>
    <row r="275" ht="15.75" customHeight="1" s="1128"/>
    <row r="276" ht="15.75" customHeight="1" s="1128"/>
    <row r="277" ht="15.75" customHeight="1" s="1128"/>
    <row r="278" ht="15.75" customHeight="1" s="1128"/>
    <row r="279" ht="15.75" customHeight="1" s="1128"/>
    <row r="280" ht="15.75" customHeight="1" s="1128"/>
    <row r="281" ht="15.75" customHeight="1" s="1128"/>
    <row r="282" ht="15.75" customHeight="1" s="1128"/>
    <row r="283" ht="15.75" customHeight="1" s="1128"/>
    <row r="284" ht="15.75" customHeight="1" s="1128"/>
    <row r="285" ht="15.75" customHeight="1" s="1128"/>
    <row r="286" ht="15.75" customHeight="1" s="1128"/>
    <row r="287" ht="15.75" customHeight="1" s="1128"/>
    <row r="288" ht="15.75" customHeight="1" s="1128"/>
    <row r="289" ht="15.75" customHeight="1" s="1128"/>
    <row r="290" ht="15.75" customHeight="1" s="1128"/>
    <row r="291" ht="15.75" customHeight="1" s="1128"/>
    <row r="292" ht="15.75" customHeight="1" s="1128"/>
    <row r="293" ht="15.75" customHeight="1" s="1128"/>
    <row r="294" ht="15.75" customHeight="1" s="1128"/>
    <row r="295" ht="15.75" customHeight="1" s="1128"/>
    <row r="296" ht="15.75" customHeight="1" s="1128"/>
    <row r="297" ht="15.75" customHeight="1" s="1128"/>
    <row r="298" ht="15.75" customHeight="1" s="1128"/>
    <row r="299" ht="15.75" customHeight="1" s="1128"/>
    <row r="300" ht="15.75" customHeight="1" s="1128"/>
    <row r="301" ht="15.75" customHeight="1" s="1128"/>
    <row r="302" ht="15.75" customHeight="1" s="1128"/>
    <row r="303" ht="15.75" customHeight="1" s="1128"/>
    <row r="304" ht="15.75" customHeight="1" s="1128"/>
    <row r="305" ht="15.75" customHeight="1" s="1128"/>
    <row r="306" ht="15.75" customHeight="1" s="1128"/>
    <row r="307" ht="15.75" customHeight="1" s="1128"/>
    <row r="308" ht="15.75" customHeight="1" s="1128"/>
    <row r="309" ht="15.75" customHeight="1" s="1128"/>
    <row r="310" ht="15.75" customHeight="1" s="1128"/>
    <row r="311" ht="15.75" customHeight="1" s="1128"/>
    <row r="312" ht="15.75" customHeight="1" s="1128"/>
    <row r="313" ht="15.75" customHeight="1" s="1128"/>
    <row r="314" ht="15.75" customHeight="1" s="1128"/>
    <row r="315" ht="15.75" customHeight="1" s="1128"/>
    <row r="316" ht="15.75" customHeight="1" s="1128"/>
    <row r="317" ht="15.75" customHeight="1" s="1128"/>
    <row r="318" ht="15.75" customHeight="1" s="1128"/>
    <row r="319" ht="15.75" customHeight="1" s="1128"/>
    <row r="320" ht="15.75" customHeight="1" s="1128"/>
    <row r="321" ht="15.75" customHeight="1" s="1128"/>
    <row r="322" ht="15.75" customHeight="1" s="1128"/>
    <row r="323" ht="15.75" customHeight="1" s="1128"/>
    <row r="324" ht="15.75" customHeight="1" s="1128"/>
    <row r="325" ht="15.75" customHeight="1" s="1128"/>
    <row r="326" ht="15.75" customHeight="1" s="1128"/>
    <row r="327" ht="15.75" customHeight="1" s="1128"/>
    <row r="328" ht="15.75" customHeight="1" s="1128"/>
    <row r="329" ht="15.75" customHeight="1" s="1128"/>
    <row r="330" ht="15.75" customHeight="1" s="1128"/>
    <row r="331" ht="15.75" customHeight="1" s="1128"/>
    <row r="332" ht="15.75" customHeight="1" s="1128"/>
    <row r="333" ht="15.75" customHeight="1" s="1128"/>
    <row r="334" ht="15.75" customHeight="1" s="1128"/>
    <row r="335" ht="15.75" customHeight="1" s="1128"/>
    <row r="336" ht="15.75" customHeight="1" s="1128"/>
    <row r="337" ht="15.75" customHeight="1" s="1128"/>
    <row r="338" ht="15.75" customHeight="1" s="1128"/>
    <row r="339" ht="15.75" customHeight="1" s="1128"/>
    <row r="340" ht="15.75" customHeight="1" s="1128"/>
    <row r="341" ht="15.75" customHeight="1" s="1128"/>
    <row r="342" ht="15.75" customHeight="1" s="1128"/>
    <row r="343" ht="15.75" customHeight="1" s="1128"/>
    <row r="344" ht="15.75" customHeight="1" s="1128"/>
    <row r="345" ht="15.75" customHeight="1" s="1128"/>
    <row r="346" ht="15.75" customHeight="1" s="1128"/>
    <row r="347" ht="15.75" customHeight="1" s="1128"/>
    <row r="348" ht="15.75" customHeight="1" s="1128"/>
    <row r="349" ht="15.75" customHeight="1" s="1128"/>
    <row r="350" ht="15.75" customHeight="1" s="1128"/>
    <row r="351" ht="15.75" customHeight="1" s="1128"/>
    <row r="352" ht="15.75" customHeight="1" s="1128"/>
    <row r="353" ht="15.75" customHeight="1" s="1128"/>
    <row r="354" ht="15.75" customHeight="1" s="1128"/>
    <row r="355" ht="15.75" customHeight="1" s="1128"/>
    <row r="356" ht="15.75" customHeight="1" s="1128"/>
    <row r="357" ht="15.75" customHeight="1" s="1128"/>
    <row r="358" ht="15.75" customHeight="1" s="1128"/>
    <row r="359" ht="15.75" customHeight="1" s="1128"/>
    <row r="360" ht="15.75" customHeight="1" s="1128"/>
    <row r="361" ht="15.75" customHeight="1" s="1128"/>
    <row r="362" ht="15.75" customHeight="1" s="1128"/>
    <row r="363" ht="15.75" customHeight="1" s="1128"/>
    <row r="364" ht="15.75" customHeight="1" s="1128"/>
    <row r="365" ht="15.75" customHeight="1" s="1128"/>
    <row r="366" ht="15.75" customHeight="1" s="1128"/>
    <row r="367" ht="15.75" customHeight="1" s="1128"/>
    <row r="368" ht="15.75" customHeight="1" s="1128"/>
    <row r="369" ht="15.75" customHeight="1" s="1128"/>
    <row r="370" ht="15.75" customHeight="1" s="1128"/>
    <row r="371" ht="15.75" customHeight="1" s="1128"/>
    <row r="372" ht="15.75" customHeight="1" s="1128"/>
    <row r="373" ht="15.75" customHeight="1" s="1128"/>
    <row r="374" ht="15.75" customHeight="1" s="1128"/>
    <row r="375" ht="15.75" customHeight="1" s="1128"/>
    <row r="376" ht="15.75" customHeight="1" s="1128"/>
    <row r="377" ht="15.75" customHeight="1" s="1128"/>
    <row r="378" ht="15.75" customHeight="1" s="1128"/>
    <row r="379" ht="15.75" customHeight="1" s="1128"/>
    <row r="380" ht="15.75" customHeight="1" s="1128"/>
    <row r="381" ht="15.75" customHeight="1" s="1128"/>
    <row r="382" ht="15.75" customHeight="1" s="1128"/>
    <row r="383" ht="15.75" customHeight="1" s="1128"/>
    <row r="384" ht="15.75" customHeight="1" s="1128"/>
    <row r="385" ht="15.75" customHeight="1" s="1128"/>
    <row r="386" ht="15.75" customHeight="1" s="1128"/>
    <row r="387" ht="15.75" customHeight="1" s="1128"/>
    <row r="388" ht="15.75" customHeight="1" s="1128"/>
    <row r="389" ht="15.75" customHeight="1" s="1128"/>
    <row r="390" ht="15.75" customHeight="1" s="1128"/>
    <row r="391" ht="15.75" customHeight="1" s="1128"/>
    <row r="392" ht="15.75" customHeight="1" s="1128"/>
    <row r="393" ht="15.75" customHeight="1" s="1128"/>
    <row r="394" ht="15.75" customHeight="1" s="1128"/>
    <row r="395" ht="15.75" customHeight="1" s="1128"/>
    <row r="396" ht="15.75" customHeight="1" s="1128"/>
    <row r="397" ht="15.75" customHeight="1" s="1128"/>
    <row r="398" ht="15.75" customHeight="1" s="1128"/>
    <row r="399" ht="15.75" customHeight="1" s="1128"/>
    <row r="400" ht="15.75" customHeight="1" s="1128"/>
    <row r="401" ht="15.75" customHeight="1" s="1128"/>
    <row r="402" ht="15.75" customHeight="1" s="1128"/>
    <row r="403" ht="15.75" customHeight="1" s="1128"/>
    <row r="404" ht="15.75" customHeight="1" s="1128"/>
    <row r="405" ht="15.75" customHeight="1" s="1128"/>
    <row r="406" ht="15.75" customHeight="1" s="1128"/>
    <row r="407" ht="15.75" customHeight="1" s="1128"/>
    <row r="408" ht="15.75" customHeight="1" s="1128"/>
    <row r="409" ht="15.75" customHeight="1" s="1128"/>
    <row r="410" ht="15.75" customHeight="1" s="1128"/>
    <row r="411" ht="15.75" customHeight="1" s="1128"/>
    <row r="412" ht="15.75" customHeight="1" s="1128"/>
    <row r="413" ht="15.75" customHeight="1" s="1128"/>
    <row r="414" ht="15.75" customHeight="1" s="1128"/>
    <row r="415" ht="15.75" customHeight="1" s="1128"/>
    <row r="416" ht="15.75" customHeight="1" s="1128"/>
    <row r="417" ht="15.75" customHeight="1" s="1128"/>
    <row r="418" ht="15.75" customHeight="1" s="1128"/>
    <row r="419" ht="15.75" customHeight="1" s="1128"/>
    <row r="420" ht="15.75" customHeight="1" s="1128"/>
    <row r="421" ht="15.75" customHeight="1" s="1128"/>
    <row r="422" ht="15.75" customHeight="1" s="1128"/>
    <row r="423" ht="15.75" customHeight="1" s="1128"/>
    <row r="424" ht="15.75" customHeight="1" s="1128"/>
    <row r="425" ht="15.75" customHeight="1" s="1128"/>
    <row r="426" ht="15.75" customHeight="1" s="1128"/>
    <row r="427" ht="15.75" customHeight="1" s="1128"/>
    <row r="428" ht="15.75" customHeight="1" s="1128"/>
    <row r="429" ht="15.75" customHeight="1" s="1128"/>
    <row r="430" ht="15.75" customHeight="1" s="1128"/>
    <row r="431" ht="15.75" customHeight="1" s="1128"/>
    <row r="432" ht="15.75" customHeight="1" s="1128"/>
    <row r="433" ht="15.75" customHeight="1" s="1128"/>
    <row r="434" ht="15.75" customHeight="1" s="1128"/>
    <row r="435" ht="15.75" customHeight="1" s="1128"/>
    <row r="436" ht="15.75" customHeight="1" s="1128"/>
    <row r="437" ht="15.75" customHeight="1" s="1128"/>
    <row r="438" ht="15.75" customHeight="1" s="1128"/>
    <row r="439" ht="15.75" customHeight="1" s="1128"/>
    <row r="440" ht="15.75" customHeight="1" s="1128"/>
    <row r="441" ht="15.75" customHeight="1" s="1128"/>
    <row r="442" ht="15.75" customHeight="1" s="1128"/>
    <row r="443" ht="15.75" customHeight="1" s="1128"/>
    <row r="444" ht="15.75" customHeight="1" s="1128"/>
    <row r="445" ht="15.75" customHeight="1" s="1128"/>
    <row r="446" ht="15.75" customHeight="1" s="1128"/>
    <row r="447" ht="15.75" customHeight="1" s="1128"/>
    <row r="448" ht="15.75" customHeight="1" s="1128"/>
    <row r="449" ht="15.75" customHeight="1" s="1128"/>
    <row r="450" ht="15.75" customHeight="1" s="1128"/>
    <row r="451" ht="15.75" customHeight="1" s="1128"/>
    <row r="452" ht="15.75" customHeight="1" s="1128"/>
    <row r="453" ht="15.75" customHeight="1" s="1128"/>
    <row r="454" ht="15.75" customHeight="1" s="1128"/>
    <row r="455" ht="15.75" customHeight="1" s="1128"/>
    <row r="456" ht="15.75" customHeight="1" s="1128"/>
    <row r="457" ht="15.75" customHeight="1" s="1128"/>
    <row r="458" ht="15.75" customHeight="1" s="1128"/>
    <row r="459" ht="15.75" customHeight="1" s="1128"/>
    <row r="460" ht="15.75" customHeight="1" s="1128"/>
    <row r="461" ht="15.75" customHeight="1" s="1128"/>
    <row r="462" ht="15.75" customHeight="1" s="1128"/>
    <row r="463" ht="15.75" customHeight="1" s="1128"/>
    <row r="464" ht="15.75" customHeight="1" s="1128"/>
    <row r="465" ht="15.75" customHeight="1" s="1128"/>
    <row r="466" ht="15.75" customHeight="1" s="1128"/>
    <row r="467" ht="15.75" customHeight="1" s="1128"/>
    <row r="468" ht="15.75" customHeight="1" s="1128"/>
    <row r="469" ht="15.75" customHeight="1" s="1128"/>
    <row r="470" ht="15.75" customHeight="1" s="1128"/>
    <row r="471" ht="15.75" customHeight="1" s="1128"/>
    <row r="472" ht="15.75" customHeight="1" s="1128"/>
    <row r="473" ht="15.75" customHeight="1" s="1128"/>
    <row r="474" ht="15.75" customHeight="1" s="1128"/>
    <row r="475" ht="15.75" customHeight="1" s="1128"/>
    <row r="476" ht="15.75" customHeight="1" s="1128"/>
    <row r="477" ht="15.75" customHeight="1" s="1128"/>
    <row r="478" ht="15.75" customHeight="1" s="1128"/>
    <row r="479" ht="15.75" customHeight="1" s="1128"/>
    <row r="480" ht="15.75" customHeight="1" s="1128"/>
    <row r="481" ht="15.75" customHeight="1" s="1128"/>
    <row r="482" ht="15.75" customHeight="1" s="1128"/>
    <row r="483" ht="15.75" customHeight="1" s="1128"/>
    <row r="484" ht="15.75" customHeight="1" s="1128"/>
    <row r="485" ht="15.75" customHeight="1" s="1128"/>
    <row r="486" ht="15.75" customHeight="1" s="1128"/>
    <row r="487" ht="15.75" customHeight="1" s="1128"/>
    <row r="488" ht="15.75" customHeight="1" s="1128"/>
    <row r="489" ht="15.75" customHeight="1" s="1128"/>
    <row r="490" ht="15.75" customHeight="1" s="1128"/>
    <row r="491" ht="15.75" customHeight="1" s="1128"/>
    <row r="492" ht="15.75" customHeight="1" s="1128"/>
    <row r="493" ht="15.75" customHeight="1" s="1128"/>
    <row r="494" ht="15.75" customHeight="1" s="1128"/>
    <row r="495" ht="15.75" customHeight="1" s="1128"/>
    <row r="496" ht="15.75" customHeight="1" s="1128"/>
    <row r="497" ht="15.75" customHeight="1" s="1128"/>
    <row r="498" ht="15.75" customHeight="1" s="1128"/>
    <row r="499" ht="15.75" customHeight="1" s="1128"/>
    <row r="500" ht="15.75" customHeight="1" s="1128"/>
    <row r="501" ht="15.75" customHeight="1" s="1128"/>
    <row r="502" ht="15.75" customHeight="1" s="1128"/>
    <row r="503" ht="15.75" customHeight="1" s="1128"/>
    <row r="504" ht="15.75" customHeight="1" s="1128"/>
    <row r="505" ht="15.75" customHeight="1" s="1128"/>
    <row r="506" ht="15.75" customHeight="1" s="1128"/>
    <row r="507" ht="15.75" customHeight="1" s="1128"/>
    <row r="508" ht="15.75" customHeight="1" s="1128"/>
    <row r="509" ht="15.75" customHeight="1" s="1128"/>
    <row r="510" ht="15.75" customHeight="1" s="1128"/>
    <row r="511" ht="15.75" customHeight="1" s="1128"/>
    <row r="512" ht="15.75" customHeight="1" s="1128"/>
    <row r="513" ht="15.75" customHeight="1" s="1128"/>
    <row r="514" ht="15.75" customHeight="1" s="1128"/>
    <row r="515" ht="15.75" customHeight="1" s="1128"/>
    <row r="516" ht="15.75" customHeight="1" s="1128"/>
    <row r="517" ht="15.75" customHeight="1" s="1128"/>
    <row r="518" ht="15.75" customHeight="1" s="1128"/>
    <row r="519" ht="15.75" customHeight="1" s="1128"/>
    <row r="520" ht="15.75" customHeight="1" s="1128"/>
    <row r="521" ht="15.75" customHeight="1" s="1128"/>
    <row r="522" ht="15.75" customHeight="1" s="1128"/>
    <row r="523" ht="15.75" customHeight="1" s="1128"/>
    <row r="524" ht="15.75" customHeight="1" s="1128"/>
    <row r="525" ht="15.75" customHeight="1" s="1128"/>
    <row r="526" ht="15.75" customHeight="1" s="1128"/>
    <row r="527" ht="15.75" customHeight="1" s="1128"/>
    <row r="528" ht="15.75" customHeight="1" s="1128"/>
    <row r="529" ht="15.75" customHeight="1" s="1128"/>
    <row r="530" ht="15.75" customHeight="1" s="1128"/>
    <row r="531" ht="15.75" customHeight="1" s="1128"/>
    <row r="532" ht="15.75" customHeight="1" s="1128"/>
    <row r="533" ht="15.75" customHeight="1" s="1128"/>
    <row r="534" ht="15.75" customHeight="1" s="1128"/>
    <row r="535" ht="15.75" customHeight="1" s="1128"/>
    <row r="536" ht="15.75" customHeight="1" s="1128"/>
    <row r="537" ht="15.75" customHeight="1" s="1128"/>
    <row r="538" ht="15.75" customHeight="1" s="1128"/>
    <row r="539" ht="15.75" customHeight="1" s="1128"/>
    <row r="540" ht="15.75" customHeight="1" s="1128"/>
    <row r="541" ht="15.75" customHeight="1" s="1128"/>
    <row r="542" ht="15.75" customHeight="1" s="1128"/>
    <row r="543" ht="15.75" customHeight="1" s="1128"/>
    <row r="544" ht="15.75" customHeight="1" s="1128"/>
    <row r="545" ht="15.75" customHeight="1" s="1128"/>
    <row r="546" ht="15.75" customHeight="1" s="1128"/>
    <row r="547" ht="15.75" customHeight="1" s="1128"/>
    <row r="548" ht="15.75" customHeight="1" s="1128"/>
    <row r="549" ht="15.75" customHeight="1" s="1128"/>
    <row r="550" ht="15.75" customHeight="1" s="1128"/>
    <row r="551" ht="15.75" customHeight="1" s="1128"/>
    <row r="552" ht="15.75" customHeight="1" s="1128"/>
    <row r="553" ht="15.75" customHeight="1" s="1128"/>
    <row r="554" ht="15.75" customHeight="1" s="1128"/>
    <row r="555" ht="15.75" customHeight="1" s="1128"/>
    <row r="556" ht="15.75" customHeight="1" s="1128"/>
    <row r="557" ht="15.75" customHeight="1" s="1128"/>
    <row r="558" ht="15.75" customHeight="1" s="1128"/>
    <row r="559" ht="15.75" customHeight="1" s="1128"/>
    <row r="560" ht="15.75" customHeight="1" s="1128"/>
    <row r="561" ht="15.75" customHeight="1" s="1128"/>
    <row r="562" ht="15.75" customHeight="1" s="1128"/>
    <row r="563" ht="15.75" customHeight="1" s="1128"/>
    <row r="564" ht="15.75" customHeight="1" s="1128"/>
    <row r="565" ht="15.75" customHeight="1" s="1128"/>
    <row r="566" ht="15.75" customHeight="1" s="1128"/>
    <row r="567" ht="15.75" customHeight="1" s="1128"/>
    <row r="568" ht="15.75" customHeight="1" s="1128"/>
    <row r="569" ht="15.75" customHeight="1" s="1128"/>
    <row r="570" ht="15.75" customHeight="1" s="1128"/>
    <row r="571" ht="15.75" customHeight="1" s="1128"/>
    <row r="572" ht="15.75" customHeight="1" s="1128"/>
    <row r="573" ht="15.75" customHeight="1" s="1128"/>
    <row r="574" ht="15.75" customHeight="1" s="1128"/>
    <row r="575" ht="15.75" customHeight="1" s="1128"/>
    <row r="576" ht="15.75" customHeight="1" s="1128"/>
    <row r="577" ht="15.75" customHeight="1" s="1128"/>
    <row r="578" ht="15.75" customHeight="1" s="1128"/>
    <row r="579" ht="15.75" customHeight="1" s="1128"/>
    <row r="580" ht="15.75" customHeight="1" s="1128"/>
    <row r="581" ht="15.75" customHeight="1" s="1128"/>
    <row r="582" ht="15.75" customHeight="1" s="1128"/>
    <row r="583" ht="15.75" customHeight="1" s="1128"/>
    <row r="584" ht="15.75" customHeight="1" s="1128"/>
    <row r="585" ht="15.75" customHeight="1" s="1128"/>
    <row r="586" ht="15.75" customHeight="1" s="1128"/>
    <row r="587" ht="15.75" customHeight="1" s="1128"/>
    <row r="588" ht="15.75" customHeight="1" s="1128"/>
    <row r="589" ht="15.75" customHeight="1" s="1128"/>
    <row r="590" ht="15.75" customHeight="1" s="1128"/>
    <row r="591" ht="15.75" customHeight="1" s="1128"/>
    <row r="592" ht="15.75" customHeight="1" s="1128"/>
    <row r="593" ht="15.75" customHeight="1" s="1128"/>
    <row r="594" ht="15.75" customHeight="1" s="1128"/>
    <row r="595" ht="15.75" customHeight="1" s="1128"/>
    <row r="596" ht="15.75" customHeight="1" s="1128"/>
    <row r="597" ht="15.75" customHeight="1" s="1128"/>
    <row r="598" ht="15.75" customHeight="1" s="1128"/>
    <row r="599" ht="15.75" customHeight="1" s="1128"/>
    <row r="600" ht="15.75" customHeight="1" s="1128"/>
    <row r="601" ht="15.75" customHeight="1" s="1128"/>
    <row r="602" ht="15.75" customHeight="1" s="1128"/>
    <row r="603" ht="15.75" customHeight="1" s="1128"/>
    <row r="604" ht="15.75" customHeight="1" s="1128"/>
    <row r="605" ht="15.75" customHeight="1" s="1128"/>
    <row r="606" ht="15.75" customHeight="1" s="1128"/>
    <row r="607" ht="15.75" customHeight="1" s="1128"/>
    <row r="608" ht="15.75" customHeight="1" s="1128"/>
    <row r="609" ht="15.75" customHeight="1" s="1128"/>
    <row r="610" ht="15.75" customHeight="1" s="1128"/>
    <row r="611" ht="15.75" customHeight="1" s="1128"/>
    <row r="612" ht="15.75" customHeight="1" s="1128"/>
    <row r="613" ht="15.75" customHeight="1" s="1128"/>
    <row r="614" ht="15.75" customHeight="1" s="1128"/>
    <row r="615" ht="15.75" customHeight="1" s="1128"/>
    <row r="616" ht="15.75" customHeight="1" s="1128"/>
    <row r="617" ht="15.75" customHeight="1" s="1128"/>
    <row r="618" ht="15.75" customHeight="1" s="1128"/>
    <row r="619" ht="15.75" customHeight="1" s="1128"/>
    <row r="620" ht="15.75" customHeight="1" s="1128"/>
    <row r="621" ht="15.75" customHeight="1" s="1128"/>
    <row r="622" ht="15.75" customHeight="1" s="1128"/>
    <row r="623" ht="15.75" customHeight="1" s="1128"/>
    <row r="624" ht="15.75" customHeight="1" s="1128"/>
    <row r="625" ht="15.75" customHeight="1" s="1128"/>
    <row r="626" ht="15.75" customHeight="1" s="1128"/>
    <row r="627" ht="15.75" customHeight="1" s="1128"/>
    <row r="628" ht="15.75" customHeight="1" s="1128"/>
    <row r="629" ht="15.75" customHeight="1" s="1128"/>
    <row r="630" ht="15.75" customHeight="1" s="1128"/>
    <row r="631" ht="15.75" customHeight="1" s="1128"/>
    <row r="632" ht="15.75" customHeight="1" s="1128"/>
    <row r="633" ht="15.75" customHeight="1" s="1128"/>
    <row r="634" ht="15.75" customHeight="1" s="1128"/>
    <row r="635" ht="15.75" customHeight="1" s="1128"/>
    <row r="636" ht="15.75" customHeight="1" s="1128"/>
    <row r="637" ht="15.75" customHeight="1" s="1128"/>
    <row r="638" ht="15.75" customHeight="1" s="1128"/>
    <row r="639" ht="15.75" customHeight="1" s="1128"/>
    <row r="640" ht="15.75" customHeight="1" s="1128"/>
    <row r="641" ht="15.75" customHeight="1" s="1128"/>
    <row r="642" ht="15.75" customHeight="1" s="1128"/>
    <row r="643" ht="15.75" customHeight="1" s="1128"/>
    <row r="644" ht="15.75" customHeight="1" s="1128"/>
    <row r="645" ht="15.75" customHeight="1" s="1128"/>
    <row r="646" ht="15.75" customHeight="1" s="1128"/>
    <row r="647" ht="15.75" customHeight="1" s="1128"/>
    <row r="648" ht="15.75" customHeight="1" s="1128"/>
    <row r="649" ht="15.75" customHeight="1" s="1128"/>
    <row r="650" ht="15.75" customHeight="1" s="1128"/>
    <row r="651" ht="15.75" customHeight="1" s="1128"/>
    <row r="652" ht="15.75" customHeight="1" s="1128"/>
    <row r="653" ht="15.75" customHeight="1" s="1128"/>
    <row r="654" ht="15.75" customHeight="1" s="1128"/>
    <row r="655" ht="15.75" customHeight="1" s="1128"/>
    <row r="656" ht="15.75" customHeight="1" s="1128"/>
    <row r="657" ht="15.75" customHeight="1" s="1128"/>
    <row r="658" ht="15.75" customHeight="1" s="1128"/>
    <row r="659" ht="15.75" customHeight="1" s="1128"/>
    <row r="660" ht="15.75" customHeight="1" s="1128"/>
    <row r="661" ht="15.75" customHeight="1" s="1128"/>
    <row r="662" ht="15.75" customHeight="1" s="1128"/>
    <row r="663" ht="15.75" customHeight="1" s="1128"/>
    <row r="664" ht="15.75" customHeight="1" s="1128"/>
    <row r="665" ht="15.75" customHeight="1" s="1128"/>
    <row r="666" ht="15.75" customHeight="1" s="1128"/>
    <row r="667" ht="15.75" customHeight="1" s="1128"/>
    <row r="668" ht="15.75" customHeight="1" s="1128"/>
    <row r="669" ht="15.75" customHeight="1" s="1128"/>
    <row r="670" ht="15.75" customHeight="1" s="1128"/>
    <row r="671" ht="15.75" customHeight="1" s="1128"/>
    <row r="672" ht="15.75" customHeight="1" s="1128"/>
    <row r="673" ht="15.75" customHeight="1" s="1128"/>
    <row r="674" ht="15.75" customHeight="1" s="1128"/>
    <row r="675" ht="15.75" customHeight="1" s="1128"/>
    <row r="676" ht="15.75" customHeight="1" s="1128"/>
    <row r="677" ht="15.75" customHeight="1" s="1128"/>
    <row r="678" ht="15.75" customHeight="1" s="1128"/>
    <row r="679" ht="15.75" customHeight="1" s="1128"/>
    <row r="680" ht="15.75" customHeight="1" s="1128"/>
    <row r="681" ht="15.75" customHeight="1" s="1128"/>
    <row r="682" ht="15.75" customHeight="1" s="1128"/>
    <row r="683" ht="15.75" customHeight="1" s="1128"/>
    <row r="684" ht="15.75" customHeight="1" s="1128"/>
    <row r="685" ht="15.75" customHeight="1" s="1128"/>
    <row r="686" ht="15.75" customHeight="1" s="1128"/>
    <row r="687" ht="15.75" customHeight="1" s="1128"/>
    <row r="688" ht="15.75" customHeight="1" s="1128"/>
    <row r="689" ht="15.75" customHeight="1" s="1128"/>
    <row r="690" ht="15.75" customHeight="1" s="1128"/>
    <row r="691" ht="15.75" customHeight="1" s="1128"/>
    <row r="692" ht="15.75" customHeight="1" s="1128"/>
    <row r="693" ht="15.75" customHeight="1" s="1128"/>
    <row r="694" ht="15.75" customHeight="1" s="1128"/>
    <row r="695" ht="15.75" customHeight="1" s="1128"/>
    <row r="696" ht="15.75" customHeight="1" s="1128"/>
    <row r="697" ht="15.75" customHeight="1" s="1128"/>
    <row r="698" ht="15.75" customHeight="1" s="1128"/>
    <row r="699" ht="15.75" customHeight="1" s="1128"/>
    <row r="700" ht="15.75" customHeight="1" s="1128"/>
    <row r="701" ht="15.75" customHeight="1" s="1128"/>
    <row r="702" ht="15.75" customHeight="1" s="1128"/>
    <row r="703" ht="15.75" customHeight="1" s="1128"/>
    <row r="704" ht="15.75" customHeight="1" s="1128"/>
    <row r="705" ht="15.75" customHeight="1" s="1128"/>
    <row r="706" ht="15.75" customHeight="1" s="1128"/>
    <row r="707" ht="15.75" customHeight="1" s="1128"/>
    <row r="708" ht="15.75" customHeight="1" s="1128"/>
    <row r="709" ht="15.75" customHeight="1" s="1128"/>
    <row r="710" ht="15.75" customHeight="1" s="1128"/>
    <row r="711" ht="15.75" customHeight="1" s="1128"/>
    <row r="712" ht="15.75" customHeight="1" s="1128"/>
    <row r="713" ht="15.75" customHeight="1" s="1128"/>
    <row r="714" ht="15.75" customHeight="1" s="1128"/>
    <row r="715" ht="15.75" customHeight="1" s="1128"/>
    <row r="716" ht="15.75" customHeight="1" s="1128"/>
    <row r="717" ht="15.75" customHeight="1" s="1128"/>
    <row r="718" ht="15.75" customHeight="1" s="1128"/>
    <row r="719" ht="15.75" customHeight="1" s="1128"/>
    <row r="720" ht="15.75" customHeight="1" s="1128"/>
    <row r="721" ht="15.75" customHeight="1" s="1128"/>
    <row r="722" ht="15.75" customHeight="1" s="1128"/>
    <row r="723" ht="15.75" customHeight="1" s="1128"/>
    <row r="724" ht="15.75" customHeight="1" s="1128"/>
    <row r="725" ht="15.75" customHeight="1" s="1128"/>
    <row r="726" ht="15.75" customHeight="1" s="1128"/>
    <row r="727" ht="15.75" customHeight="1" s="1128"/>
    <row r="728" ht="15.75" customHeight="1" s="1128"/>
    <row r="729" ht="15.75" customHeight="1" s="1128"/>
    <row r="730" ht="15.75" customHeight="1" s="1128"/>
    <row r="731" ht="15.75" customHeight="1" s="1128"/>
    <row r="732" ht="15.75" customHeight="1" s="1128"/>
    <row r="733" ht="15.75" customHeight="1" s="1128"/>
    <row r="734" ht="15.75" customHeight="1" s="1128"/>
    <row r="735" ht="15.75" customHeight="1" s="1128"/>
    <row r="736" ht="15.75" customHeight="1" s="1128"/>
    <row r="737" ht="15.75" customHeight="1" s="1128"/>
    <row r="738" ht="15.75" customHeight="1" s="1128"/>
    <row r="739" ht="15.75" customHeight="1" s="1128"/>
    <row r="740" ht="15.75" customHeight="1" s="1128"/>
    <row r="741" ht="15.75" customHeight="1" s="1128"/>
    <row r="742" ht="15.75" customHeight="1" s="1128"/>
    <row r="743" ht="15.75" customHeight="1" s="1128"/>
    <row r="744" ht="15.75" customHeight="1" s="1128"/>
    <row r="745" ht="15.75" customHeight="1" s="1128"/>
    <row r="746" ht="15.75" customHeight="1" s="1128"/>
    <row r="747" ht="15.75" customHeight="1" s="1128"/>
    <row r="748" ht="15.75" customHeight="1" s="1128"/>
    <row r="749" ht="15.75" customHeight="1" s="1128"/>
    <row r="750" ht="15.75" customHeight="1" s="1128"/>
    <row r="751" ht="15.75" customHeight="1" s="1128"/>
    <row r="752" ht="15.75" customHeight="1" s="1128"/>
    <row r="753" ht="15.75" customHeight="1" s="1128"/>
    <row r="754" ht="15.75" customHeight="1" s="1128"/>
    <row r="755" ht="15.75" customHeight="1" s="1128"/>
    <row r="756" ht="15.75" customHeight="1" s="1128"/>
    <row r="757" ht="15.75" customHeight="1" s="1128"/>
    <row r="758" ht="15.75" customHeight="1" s="1128"/>
    <row r="759" ht="15.75" customHeight="1" s="1128"/>
    <row r="760" ht="15.75" customHeight="1" s="1128"/>
    <row r="761" ht="15.75" customHeight="1" s="1128"/>
    <row r="762" ht="15.75" customHeight="1" s="1128"/>
    <row r="763" ht="15.75" customHeight="1" s="1128"/>
    <row r="764" ht="15.75" customHeight="1" s="1128"/>
    <row r="765" ht="15.75" customHeight="1" s="1128"/>
    <row r="766" ht="15.75" customHeight="1" s="1128"/>
    <row r="767" ht="15.75" customHeight="1" s="1128"/>
    <row r="768" ht="15.75" customHeight="1" s="1128"/>
    <row r="769" ht="15.75" customHeight="1" s="1128"/>
    <row r="770" ht="15.75" customHeight="1" s="1128"/>
    <row r="771" ht="15.75" customHeight="1" s="1128"/>
    <row r="772" ht="15.75" customHeight="1" s="1128"/>
    <row r="773" ht="15.75" customHeight="1" s="1128"/>
    <row r="774" ht="15.75" customHeight="1" s="1128"/>
    <row r="775" ht="15.75" customHeight="1" s="1128"/>
    <row r="776" ht="15.75" customHeight="1" s="1128"/>
    <row r="777" ht="15.75" customHeight="1" s="1128"/>
    <row r="778" ht="15.75" customHeight="1" s="1128"/>
    <row r="779" ht="15.75" customHeight="1" s="1128"/>
    <row r="780" ht="15.75" customHeight="1" s="1128"/>
    <row r="781" ht="15.75" customHeight="1" s="1128"/>
    <row r="782" ht="15.75" customHeight="1" s="1128"/>
    <row r="783" ht="15.75" customHeight="1" s="1128"/>
    <row r="784" ht="15.75" customHeight="1" s="1128"/>
    <row r="785" ht="15.75" customHeight="1" s="1128"/>
    <row r="786" ht="15.75" customHeight="1" s="1128"/>
    <row r="787" ht="15.75" customHeight="1" s="1128"/>
    <row r="788" ht="15.75" customHeight="1" s="1128"/>
    <row r="789" ht="15.75" customHeight="1" s="1128"/>
    <row r="790" ht="15.75" customHeight="1" s="1128"/>
    <row r="791" ht="15.75" customHeight="1" s="1128"/>
    <row r="792" ht="15.75" customHeight="1" s="1128"/>
    <row r="793" ht="15.75" customHeight="1" s="1128"/>
    <row r="794" ht="15.75" customHeight="1" s="1128"/>
    <row r="795" ht="15.75" customHeight="1" s="1128"/>
    <row r="796" ht="15.75" customHeight="1" s="1128"/>
    <row r="797" ht="15.75" customHeight="1" s="1128"/>
    <row r="798" ht="15.75" customHeight="1" s="1128"/>
    <row r="799" ht="15.75" customHeight="1" s="1128"/>
    <row r="800" ht="15.75" customHeight="1" s="1128"/>
    <row r="801" ht="15.75" customHeight="1" s="1128"/>
    <row r="802" ht="15.75" customHeight="1" s="1128"/>
    <row r="803" ht="15.75" customHeight="1" s="1128"/>
    <row r="804" ht="15.75" customHeight="1" s="1128"/>
    <row r="805" ht="15.75" customHeight="1" s="1128"/>
    <row r="806" ht="15.75" customHeight="1" s="1128"/>
    <row r="807" ht="15.75" customHeight="1" s="1128"/>
    <row r="808" ht="15.75" customHeight="1" s="1128"/>
    <row r="809" ht="15.75" customHeight="1" s="1128"/>
    <row r="810" ht="15.75" customHeight="1" s="1128"/>
    <row r="811" ht="15.75" customHeight="1" s="1128"/>
    <row r="812" ht="15.75" customHeight="1" s="1128"/>
    <row r="813" ht="15.75" customHeight="1" s="1128"/>
    <row r="814" ht="15.75" customHeight="1" s="1128"/>
    <row r="815" ht="15.75" customHeight="1" s="1128"/>
    <row r="816" ht="15.75" customHeight="1" s="1128"/>
    <row r="817" ht="15.75" customHeight="1" s="1128"/>
    <row r="818" ht="15.75" customHeight="1" s="1128"/>
    <row r="819" ht="15.75" customHeight="1" s="1128"/>
    <row r="820" ht="15.75" customHeight="1" s="1128"/>
    <row r="821" ht="15.75" customHeight="1" s="1128"/>
    <row r="822" ht="15.75" customHeight="1" s="1128"/>
    <row r="823" ht="15.75" customHeight="1" s="1128"/>
    <row r="824" ht="15.75" customHeight="1" s="1128"/>
    <row r="825" ht="15.75" customHeight="1" s="1128"/>
    <row r="826" ht="15.75" customHeight="1" s="1128"/>
    <row r="827" ht="15.75" customHeight="1" s="1128"/>
    <row r="828" ht="15.75" customHeight="1" s="1128"/>
    <row r="829" ht="15.75" customHeight="1" s="1128"/>
    <row r="830" ht="15.75" customHeight="1" s="1128"/>
    <row r="831" ht="15.75" customHeight="1" s="1128"/>
    <row r="832" ht="15.75" customHeight="1" s="1128"/>
    <row r="833" ht="15.75" customHeight="1" s="1128"/>
    <row r="834" ht="15.75" customHeight="1" s="1128"/>
    <row r="835" ht="15.75" customHeight="1" s="1128"/>
    <row r="836" ht="15.75" customHeight="1" s="1128"/>
    <row r="837" ht="15.75" customHeight="1" s="1128"/>
    <row r="838" ht="15.75" customHeight="1" s="1128"/>
    <row r="839" ht="15.75" customHeight="1" s="1128"/>
    <row r="840" ht="15.75" customHeight="1" s="1128"/>
    <row r="841" ht="15.75" customHeight="1" s="1128"/>
    <row r="842" ht="15.75" customHeight="1" s="1128"/>
    <row r="843" ht="15.75" customHeight="1" s="1128"/>
    <row r="844" ht="15.75" customHeight="1" s="1128"/>
    <row r="845" ht="15.75" customHeight="1" s="1128"/>
    <row r="846" ht="15.75" customHeight="1" s="1128"/>
    <row r="847" ht="15.75" customHeight="1" s="1128"/>
    <row r="848" ht="15.75" customHeight="1" s="1128"/>
    <row r="849" ht="15.75" customHeight="1" s="1128"/>
    <row r="850" ht="15.75" customHeight="1" s="1128"/>
    <row r="851" ht="15.75" customHeight="1" s="1128"/>
    <row r="852" ht="15.75" customHeight="1" s="1128"/>
    <row r="853" ht="15.75" customHeight="1" s="1128"/>
    <row r="854" ht="15.75" customHeight="1" s="1128"/>
    <row r="855" ht="15.75" customHeight="1" s="1128"/>
    <row r="856" ht="15.75" customHeight="1" s="1128"/>
    <row r="857" ht="15.75" customHeight="1" s="1128"/>
    <row r="858" ht="15.75" customHeight="1" s="1128"/>
    <row r="859" ht="15.75" customHeight="1" s="1128"/>
    <row r="860" ht="15.75" customHeight="1" s="1128"/>
    <row r="861" ht="15.75" customHeight="1" s="1128"/>
    <row r="862" ht="15.75" customHeight="1" s="1128"/>
    <row r="863" ht="15.75" customHeight="1" s="1128"/>
    <row r="864" ht="15.75" customHeight="1" s="1128"/>
    <row r="865" ht="15.75" customHeight="1" s="1128"/>
    <row r="866" ht="15.75" customHeight="1" s="1128"/>
    <row r="867" ht="15.75" customHeight="1" s="1128"/>
    <row r="868" ht="15.75" customHeight="1" s="1128"/>
    <row r="869" ht="15.75" customHeight="1" s="1128"/>
    <row r="870" ht="15.75" customHeight="1" s="1128"/>
    <row r="871" ht="15.75" customHeight="1" s="1128"/>
    <row r="872" ht="15.75" customHeight="1" s="1128"/>
    <row r="873" ht="15.75" customHeight="1" s="1128"/>
    <row r="874" ht="15.75" customHeight="1" s="1128"/>
    <row r="875" ht="15.75" customHeight="1" s="1128"/>
    <row r="876" ht="15.75" customHeight="1" s="1128"/>
    <row r="877" ht="15.75" customHeight="1" s="1128"/>
    <row r="878" ht="15.75" customHeight="1" s="1128"/>
    <row r="879" ht="15.75" customHeight="1" s="1128"/>
    <row r="880" ht="15.75" customHeight="1" s="1128"/>
    <row r="881" ht="15.75" customHeight="1" s="1128"/>
    <row r="882" ht="15.75" customHeight="1" s="1128"/>
    <row r="883" ht="15.75" customHeight="1" s="1128"/>
    <row r="884" ht="15.75" customHeight="1" s="1128"/>
    <row r="885" ht="15.75" customHeight="1" s="1128"/>
    <row r="886" ht="15.75" customHeight="1" s="1128"/>
    <row r="887" ht="15.75" customHeight="1" s="1128"/>
    <row r="888" ht="15.75" customHeight="1" s="1128"/>
    <row r="889" ht="15.75" customHeight="1" s="1128"/>
    <row r="890" ht="15.75" customHeight="1" s="1128"/>
    <row r="891" ht="15.75" customHeight="1" s="1128"/>
    <row r="892" ht="15.75" customHeight="1" s="1128"/>
    <row r="893" ht="15.75" customHeight="1" s="1128"/>
    <row r="894" ht="15.75" customHeight="1" s="1128"/>
    <row r="895" ht="15.75" customHeight="1" s="1128"/>
    <row r="896" ht="15.75" customHeight="1" s="1128"/>
    <row r="897" ht="15.75" customHeight="1" s="1128"/>
    <row r="898" ht="15.75" customHeight="1" s="1128"/>
    <row r="899" ht="15.75" customHeight="1" s="1128"/>
    <row r="900" ht="15.75" customHeight="1" s="1128"/>
    <row r="901" ht="15.75" customHeight="1" s="1128"/>
    <row r="902" ht="15.75" customHeight="1" s="1128"/>
    <row r="903" ht="15.75" customHeight="1" s="1128"/>
    <row r="904" ht="15.75" customHeight="1" s="1128"/>
    <row r="905" ht="15.75" customHeight="1" s="1128"/>
    <row r="906" ht="15.75" customHeight="1" s="1128"/>
    <row r="907" ht="15.75" customHeight="1" s="1128"/>
    <row r="908" ht="15.75" customHeight="1" s="1128"/>
    <row r="909" ht="15.75" customHeight="1" s="1128"/>
    <row r="910" ht="15.75" customHeight="1" s="1128"/>
    <row r="911" ht="15.75" customHeight="1" s="1128"/>
    <row r="912" ht="15.75" customHeight="1" s="1128"/>
    <row r="913" ht="15.75" customHeight="1" s="1128"/>
    <row r="914" ht="15.75" customHeight="1" s="1128"/>
    <row r="915" ht="15.75" customHeight="1" s="1128"/>
    <row r="916" ht="15.75" customHeight="1" s="1128"/>
    <row r="917" ht="15.75" customHeight="1" s="1128"/>
    <row r="918" ht="15.75" customHeight="1" s="1128"/>
    <row r="919" ht="15.75" customHeight="1" s="1128"/>
    <row r="920" ht="15.75" customHeight="1" s="1128"/>
    <row r="921" ht="15.75" customHeight="1" s="1128"/>
    <row r="922" ht="15.75" customHeight="1" s="1128"/>
    <row r="923" ht="15.75" customHeight="1" s="1128"/>
    <row r="924" ht="15.75" customHeight="1" s="1128"/>
    <row r="925" ht="15.75" customHeight="1" s="1128"/>
    <row r="926" ht="15.75" customHeight="1" s="1128"/>
    <row r="927" ht="15.75" customHeight="1" s="1128"/>
    <row r="928" ht="15.75" customHeight="1" s="1128"/>
    <row r="929" ht="15.75" customHeight="1" s="1128"/>
    <row r="930" ht="15.75" customHeight="1" s="1128"/>
    <row r="931" ht="15.75" customHeight="1" s="1128"/>
    <row r="932" ht="15.75" customHeight="1" s="1128"/>
    <row r="933" ht="15.75" customHeight="1" s="1128"/>
    <row r="934" ht="15.75" customHeight="1" s="1128"/>
    <row r="935" ht="15.75" customHeight="1" s="1128"/>
    <row r="936" ht="15.75" customHeight="1" s="1128"/>
    <row r="937" ht="15.75" customHeight="1" s="1128"/>
    <row r="938" ht="15.75" customHeight="1" s="1128"/>
    <row r="939" ht="15.75" customHeight="1" s="1128"/>
    <row r="940" ht="15.75" customHeight="1" s="1128"/>
    <row r="941" ht="15.75" customHeight="1" s="1128"/>
    <row r="942" ht="15.75" customHeight="1" s="1128"/>
    <row r="943" ht="15.75" customHeight="1" s="1128"/>
    <row r="944" ht="15.75" customHeight="1" s="1128"/>
    <row r="945" ht="15.75" customHeight="1" s="1128"/>
    <row r="946" ht="15.75" customHeight="1" s="1128"/>
    <row r="947" ht="15.75" customHeight="1" s="1128"/>
    <row r="948" ht="15.75" customHeight="1" s="1128"/>
    <row r="949" ht="15.75" customHeight="1" s="1128"/>
    <row r="950" ht="15.75" customHeight="1" s="1128"/>
    <row r="951" ht="15.75" customHeight="1" s="1128"/>
    <row r="952" ht="15.75" customHeight="1" s="1128"/>
    <row r="953" ht="15.75" customHeight="1" s="1128"/>
    <row r="954" ht="15.75" customHeight="1" s="1128"/>
    <row r="955" ht="15.75" customHeight="1" s="1128"/>
    <row r="956" ht="15.75" customHeight="1" s="1128"/>
    <row r="957" ht="15.75" customHeight="1" s="1128"/>
    <row r="958" ht="15.75" customHeight="1" s="1128"/>
    <row r="959" ht="15.75" customHeight="1" s="1128"/>
    <row r="960" ht="15.75" customHeight="1" s="1128"/>
    <row r="961" ht="15.75" customHeight="1" s="1128"/>
    <row r="962" ht="15.75" customHeight="1" s="1128"/>
    <row r="963" ht="15.75" customHeight="1" s="1128"/>
    <row r="964" ht="15.75" customHeight="1" s="1128"/>
    <row r="965" ht="15.75" customHeight="1" s="1128"/>
    <row r="966" ht="15.75" customHeight="1" s="1128"/>
    <row r="967" ht="15.75" customHeight="1" s="1128"/>
    <row r="968" ht="15.75" customHeight="1" s="1128"/>
    <row r="969" ht="15.75" customHeight="1" s="1128"/>
    <row r="970" ht="15.75" customHeight="1" s="1128"/>
    <row r="971" ht="15.75" customHeight="1" s="1128"/>
    <row r="972" ht="15.75" customHeight="1" s="1128"/>
    <row r="973" ht="15.75" customHeight="1" s="1128"/>
    <row r="974" ht="15.75" customHeight="1" s="1128"/>
    <row r="975" ht="15.75" customHeight="1" s="1128"/>
    <row r="976" ht="15.75" customHeight="1" s="1128"/>
    <row r="977" ht="15.75" customHeight="1" s="1128"/>
    <row r="978" ht="15.75" customHeight="1" s="1128"/>
    <row r="979" ht="15.75" customHeight="1" s="1128"/>
    <row r="980" ht="15.75" customHeight="1" s="1128"/>
    <row r="981" ht="15.75" customHeight="1" s="1128"/>
    <row r="982" ht="15.75" customHeight="1" s="1128"/>
    <row r="983" ht="15.75" customHeight="1" s="1128"/>
    <row r="984" ht="15.75" customHeight="1" s="1128"/>
    <row r="985" ht="15.75" customHeight="1" s="1128"/>
    <row r="986" ht="15.75" customHeight="1" s="1128"/>
    <row r="987" ht="15.75" customHeight="1" s="1128"/>
    <row r="988" ht="15.75" customHeight="1" s="1128"/>
    <row r="989" ht="15.75" customHeight="1" s="1128"/>
    <row r="990" ht="15.75" customHeight="1" s="1128"/>
    <row r="991" ht="15.75" customHeight="1" s="1128"/>
    <row r="992" ht="15.75" customHeight="1" s="1128"/>
    <row r="993" ht="15.75" customHeight="1" s="1128"/>
    <row r="994" ht="15.75" customHeight="1" s="1128"/>
    <row r="995" ht="15.75" customHeight="1" s="1128"/>
    <row r="996" ht="15.75" customHeight="1" s="1128"/>
    <row r="997" ht="15.75" customHeight="1" s="1128"/>
    <row r="998" ht="15.75" customHeight="1" s="1128"/>
    <row r="999" ht="15.75" customHeight="1" s="1128"/>
    <row r="1000" ht="15.75" customHeight="1" s="1128"/>
    <row r="1001" ht="15.75" customHeight="1" s="1128"/>
    <row r="1002" ht="15.75" customHeight="1" s="1128"/>
    <row r="1003" ht="15.75" customHeight="1" s="1128"/>
    <row r="1004" ht="15.75" customHeight="1" s="1128"/>
    <row r="1005" ht="15.75" customHeight="1" s="1128"/>
    <row r="1006" ht="15.75" customHeight="1" s="1128"/>
    <row r="1007" ht="15.75" customHeight="1" s="1128"/>
    <row r="1008" ht="15.75" customHeight="1" s="1128"/>
    <row r="1009" ht="15.75" customHeight="1" s="1128"/>
    <row r="1010" ht="15.75" customHeight="1" s="1128"/>
    <row r="1011" ht="15.75" customHeight="1" s="1128"/>
    <row r="1012" ht="15.75" customHeight="1" s="1128"/>
    <row r="1013" ht="15.75" customHeight="1" s="1128"/>
    <row r="1014" ht="15.75" customHeight="1" s="1128"/>
    <row r="1015" ht="15.75" customHeight="1" s="1128"/>
    <row r="1016" ht="15.75" customHeight="1" s="1128"/>
    <row r="1017" ht="15.75" customHeight="1" s="1128"/>
    <row r="1018" ht="15.75" customHeight="1" s="1128"/>
    <row r="1019" ht="15.75" customHeight="1" s="1128"/>
    <row r="1020" ht="15.75" customHeight="1" s="1128"/>
    <row r="1021" ht="15.75" customHeight="1" s="1128"/>
    <row r="1022" ht="15.75" customHeight="1" s="1128"/>
  </sheetData>
  <dataValidations count="3">
    <dataValidation sqref="B3:B17 B48:B66 B72:B77 B79:B82 B85:B86 B88:B89 B92:B94 B96:B98" showDropDown="0" showInputMessage="0" showErrorMessage="1" allowBlank="1" type="list">
      <formula1>"SSS,SS,S,AAA,AA,A,Blue,Green"</formula1>
    </dataValidation>
    <dataValidation sqref="C48:C66" showDropDown="0" showInputMessage="0" showErrorMessage="1" allowBlank="1" type="list">
      <formula1>"FAME,ART,FTH,CIV,TECH"</formula1>
    </dataValidation>
    <dataValidation sqref="C3:C17 C72:C77 C79:C82 C85:C86 C88:C89 C92:C94 C96:C98" showDropDown="0" showInputMessage="0" showErrorMessage="1" allowBlank="1" type="list">
      <formula1>"FAME,ART,FTH,CIV,TECH"</formula1>
    </dataValidation>
  </dataValidations>
  <pageMargins left="0.7" right="0.7" top="0.75" bottom="0.75" header="0" footer="0"/>
  <pageSetup orientation="landscape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8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6" customWidth="1" style="1128" min="1" max="1"/>
    <col width="7.09" customWidth="1" style="1128" min="2" max="2"/>
    <col width="7.82" customWidth="1" style="1128" min="3" max="3"/>
    <col width="8.09" customWidth="1" style="1128" min="4" max="4"/>
    <col width="11.73" customWidth="1" style="1128" min="5" max="5"/>
    <col width="6.09" customWidth="1" style="1128" min="6" max="6"/>
    <col width="9.73" customWidth="1" style="1128" min="7" max="7"/>
    <col width="10.09" customWidth="1" style="1128" min="8" max="8"/>
    <col width="16.91" customWidth="1" style="1128" min="9" max="9"/>
    <col width="8.82" customWidth="1" style="1128" min="10" max="10"/>
    <col width="138.73" customWidth="1" style="1128" min="11" max="11"/>
  </cols>
  <sheetData>
    <row r="1">
      <c r="A1" s="344" t="inlineStr">
        <is>
          <t>Name</t>
        </is>
      </c>
      <c r="B1" s="406" t="inlineStr">
        <is>
          <t>Rarity</t>
        </is>
      </c>
      <c r="C1" s="406" t="inlineStr">
        <is>
          <t>Type</t>
        </is>
      </c>
      <c r="D1" s="406" t="inlineStr">
        <is>
          <t>Base Output</t>
        </is>
      </c>
      <c r="E1" s="406" t="inlineStr">
        <is>
          <t>Awakening Output</t>
        </is>
      </c>
      <c r="F1" s="406" t="inlineStr">
        <is>
          <t>Base Cap</t>
        </is>
      </c>
      <c r="G1" s="406" t="inlineStr">
        <is>
          <t>Awakening Cap</t>
        </is>
      </c>
      <c r="H1" s="406" t="inlineStr">
        <is>
          <t>Ancient Lumber</t>
        </is>
      </c>
      <c r="I1" s="406" t="inlineStr">
        <is>
          <t>Awakening Ancient Lumber</t>
        </is>
      </c>
      <c r="J1" s="406" t="inlineStr">
        <is>
          <t>AFFECT Boost</t>
        </is>
      </c>
      <c r="K1" s="129" t="inlineStr">
        <is>
          <t>Source</t>
        </is>
      </c>
    </row>
    <row r="2">
      <c r="A2" s="434" t="inlineStr">
        <is>
          <t>INDIVIDUAL RELICS</t>
        </is>
      </c>
      <c r="B2" s="425" t="n"/>
      <c r="C2" s="425" t="n"/>
      <c r="D2" s="425" t="n"/>
      <c r="E2" s="425" t="n"/>
      <c r="F2" s="425" t="n"/>
      <c r="G2" s="425" t="n"/>
      <c r="H2" s="425" t="n"/>
      <c r="I2" s="425" t="n"/>
      <c r="J2" s="425" t="n"/>
      <c r="K2" s="418" t="n"/>
    </row>
    <row r="3">
      <c r="A3" s="357" t="inlineStr">
        <is>
          <t xml:space="preserve">   Julian Calendar</t>
        </is>
      </c>
      <c r="B3" s="425" t="inlineStr">
        <is>
          <t>SS</t>
        </is>
      </c>
      <c r="C3" s="425" t="inlineStr">
        <is>
          <t>CIV</t>
        </is>
      </c>
      <c r="D3" s="371" t="n">
        <v>22</v>
      </c>
      <c r="E3" s="371" t="n">
        <v>20</v>
      </c>
      <c r="F3" s="371" t="n">
        <v>22</v>
      </c>
      <c r="G3" s="425" t="n"/>
      <c r="H3" s="425" t="n"/>
      <c r="I3" s="425" t="n"/>
      <c r="J3" s="425" t="n"/>
      <c r="K3" s="418" t="inlineStr">
        <is>
          <t>Fragment Crafting (5.5%), Lottery Machine #1 (0.24%), Wishing (0.2%), Master Scrolls (1.9%), Grandmaster Scrolls (2.1%), CIV Master Scrolls (10.2%)</t>
        </is>
      </c>
    </row>
    <row r="4">
      <c r="A4" s="357" t="inlineStr">
        <is>
          <t xml:space="preserve">   Encyclopedia</t>
        </is>
      </c>
      <c r="B4" s="425" t="inlineStr">
        <is>
          <t>SSS</t>
        </is>
      </c>
      <c r="C4" s="415" t="inlineStr">
        <is>
          <t>FAME</t>
        </is>
      </c>
      <c r="D4" s="371" t="n">
        <v>24</v>
      </c>
      <c r="E4" s="371" t="n">
        <v>20</v>
      </c>
      <c r="F4" s="425" t="n"/>
      <c r="G4" s="425" t="n"/>
      <c r="H4" s="425" t="n"/>
      <c r="I4" s="425" t="n"/>
      <c r="J4" s="425" t="n"/>
      <c r="K4" s="418" t="inlineStr">
        <is>
          <t>Wish Box, Lottery Machine #1 (0.09%), Wishing (0.09%), Grandmaster Scrolls (0.81%), Relic Forge (120 Relic RF)</t>
        </is>
      </c>
    </row>
    <row r="5">
      <c r="A5" s="357" t="inlineStr">
        <is>
          <t xml:space="preserve">   Das Kapital</t>
        </is>
      </c>
      <c r="B5" s="425" t="inlineStr">
        <is>
          <t>SS</t>
        </is>
      </c>
      <c r="C5" s="425" t="inlineStr">
        <is>
          <t>CIV</t>
        </is>
      </c>
      <c r="D5" s="371" t="n">
        <v>22</v>
      </c>
      <c r="E5" s="425" t="n"/>
      <c r="F5" s="371" t="n">
        <v>22</v>
      </c>
      <c r="G5" s="425" t="n"/>
      <c r="H5" s="425" t="n"/>
      <c r="I5" s="425" t="n"/>
      <c r="J5" s="425" t="n"/>
      <c r="K5" s="418" t="inlineStr">
        <is>
          <t>Lottery Machine #1 (0.12%), Wishing (0.1%), Britland Treasure Maps (5%), Grandmaster Scrolls (1%), Relic Forge (100 Relic RF), beat Mr. Raccoon in combat</t>
        </is>
      </c>
    </row>
    <row r="6">
      <c r="A6" s="357" t="inlineStr">
        <is>
          <t xml:space="preserve">   Plato's Republic</t>
        </is>
      </c>
      <c r="B6" s="425" t="inlineStr">
        <is>
          <t>SS</t>
        </is>
      </c>
      <c r="C6" s="425" t="inlineStr">
        <is>
          <t>CIV</t>
        </is>
      </c>
      <c r="D6" s="371" t="n">
        <v>22</v>
      </c>
      <c r="E6" s="425" t="n"/>
      <c r="F6" s="425" t="n"/>
      <c r="G6" s="425" t="n"/>
      <c r="H6" s="425" t="n"/>
      <c r="I6" s="425" t="n"/>
      <c r="J6" s="425" t="n"/>
      <c r="K6" s="418" t="inlineStr">
        <is>
          <t>Lottery Machine #1 (0.12%), Wishing (0.1%), Grandmaster Scrolls (1%), Relic Forge (100 Relic RF)</t>
        </is>
      </c>
    </row>
    <row r="7">
      <c r="A7" s="357" t="inlineStr">
        <is>
          <t xml:space="preserve">   King Dangun Statue</t>
        </is>
      </c>
      <c r="B7" s="425" t="inlineStr">
        <is>
          <t>S</t>
        </is>
      </c>
      <c r="C7" s="425" t="inlineStr">
        <is>
          <t>FTH</t>
        </is>
      </c>
      <c r="D7" s="371" t="n">
        <v>20</v>
      </c>
      <c r="E7" s="425" t="n"/>
      <c r="F7" s="425" t="n"/>
      <c r="G7" s="425" t="n"/>
      <c r="H7" s="425" t="n"/>
      <c r="I7" s="425" t="n"/>
      <c r="J7" s="425" t="n"/>
      <c r="K7" s="418" t="inlineStr">
        <is>
          <t>Fragment Crafting (15.1%), Lottery Machine #1 (0.81%), Wishing (0.81%), Koryeo Treasure Map (5%), Relic Forge (90 Relic RF), Museum Value Pack I ($14.99)</t>
        </is>
      </c>
    </row>
    <row r="8">
      <c r="A8" s="357" t="inlineStr">
        <is>
          <t xml:space="preserve">   The Decameron</t>
        </is>
      </c>
      <c r="B8" s="425" t="inlineStr">
        <is>
          <t>AA</t>
        </is>
      </c>
      <c r="C8" s="425" t="inlineStr">
        <is>
          <t>CIV</t>
        </is>
      </c>
      <c r="D8" s="371" t="n">
        <v>16</v>
      </c>
      <c r="E8" s="371" t="n">
        <v>14</v>
      </c>
      <c r="F8" s="371" t="n">
        <v>16</v>
      </c>
      <c r="G8" s="425" t="n"/>
      <c r="H8" s="425" t="n"/>
      <c r="I8" s="425" t="n"/>
      <c r="J8" s="425" t="n"/>
      <c r="K8" s="418" t="inlineStr">
        <is>
          <t>Fragment Crafting (3.7%), Lottery Machine #1 (0.8%), Wishing (0.34%), Britland Treasure Maps (10%), Expert Scrolls (0.95%)</t>
        </is>
      </c>
    </row>
    <row r="9">
      <c r="A9" s="357" t="inlineStr">
        <is>
          <t xml:space="preserve">   Cavendish's Scale</t>
        </is>
      </c>
      <c r="B9" s="425" t="inlineStr">
        <is>
          <t>AAA</t>
        </is>
      </c>
      <c r="C9" s="425" t="inlineStr">
        <is>
          <t>TECH</t>
        </is>
      </c>
      <c r="D9" s="425" t="n"/>
      <c r="E9" s="425" t="n"/>
      <c r="F9" s="425" t="n"/>
      <c r="G9" s="425" t="n"/>
      <c r="H9" s="371" t="n">
        <v>18</v>
      </c>
      <c r="I9" s="371" t="n">
        <v>14</v>
      </c>
      <c r="J9" s="425" t="n"/>
      <c r="K9" s="418" t="inlineStr">
        <is>
          <t>Fragment Crafting (1.6%), Lottery Machine #1 (0.03%), Wishing (0.14%), Relic Forge (80 Relic RF)</t>
        </is>
      </c>
    </row>
    <row r="10">
      <c r="A10" s="357" t="inlineStr">
        <is>
          <t xml:space="preserve">   Peacock Throne</t>
        </is>
      </c>
      <c r="B10" s="425" t="inlineStr">
        <is>
          <t>AAA</t>
        </is>
      </c>
      <c r="C10" s="425" t="inlineStr">
        <is>
          <t>ART</t>
        </is>
      </c>
      <c r="D10" s="371" t="n">
        <v>5</v>
      </c>
      <c r="E10" s="371" t="n">
        <v>5</v>
      </c>
      <c r="F10" s="425" t="n"/>
      <c r="G10" s="425" t="n"/>
      <c r="H10" s="371" t="n"/>
      <c r="I10" s="371" t="n"/>
      <c r="J10" s="425" t="n"/>
      <c r="K10" s="418" t="inlineStr">
        <is>
          <t>Supreme Relic</t>
        </is>
      </c>
    </row>
    <row r="11">
      <c r="A11" s="357" t="inlineStr">
        <is>
          <t xml:space="preserve">   Klein Bottle</t>
        </is>
      </c>
      <c r="B11" s="425" t="inlineStr">
        <is>
          <t>Blue</t>
        </is>
      </c>
      <c r="C11" s="425" t="inlineStr">
        <is>
          <t>TECH</t>
        </is>
      </c>
      <c r="D11" s="371" t="n">
        <v>10</v>
      </c>
      <c r="E11" s="371" t="n">
        <v>10</v>
      </c>
      <c r="F11" s="425" t="n"/>
      <c r="G11" s="425" t="n"/>
      <c r="H11" s="425" t="n"/>
      <c r="I11" s="425" t="n"/>
      <c r="J11" s="425" t="n"/>
      <c r="K11" s="418" t="inlineStr">
        <is>
          <t>Lottery Machine #1 (0.07%), Wishing (2.6%), Novice Scrolls (1%)</t>
        </is>
      </c>
    </row>
    <row r="12">
      <c r="A12" s="434" t="inlineStr">
        <is>
          <t xml:space="preserve">   Campbell's Sextant</t>
        </is>
      </c>
      <c r="B12" s="425" t="inlineStr">
        <is>
          <t>Blue</t>
        </is>
      </c>
      <c r="C12" s="425" t="inlineStr">
        <is>
          <t>TECH</t>
        </is>
      </c>
      <c r="D12" s="425" t="n"/>
      <c r="E12" s="425" t="n"/>
      <c r="F12" s="371" t="n">
        <v>10</v>
      </c>
      <c r="G12" s="371" t="n">
        <v>10</v>
      </c>
      <c r="H12" s="425" t="n"/>
      <c r="I12" s="425" t="n"/>
      <c r="J12" s="425" t="n"/>
      <c r="K12" s="418" t="inlineStr">
        <is>
          <t>Lottery Machine #1 (0.7%), Wishing (2.6%), Tool Chest (2%), Novice Scrolls (1%)</t>
        </is>
      </c>
    </row>
    <row r="13">
      <c r="A13" s="362" t="inlineStr">
        <is>
          <t>MAX INDIVIDUAL RELICS</t>
        </is>
      </c>
      <c r="B13" s="411" t="n"/>
      <c r="C13" s="411" t="n"/>
      <c r="D13" s="364">
        <f>SUM(D3:E12)</f>
        <v/>
      </c>
      <c r="E13" s="411" t="n"/>
      <c r="F13" s="364">
        <f>SUM(F3:G12)</f>
        <v/>
      </c>
      <c r="G13" s="411" t="n"/>
      <c r="H13" s="364">
        <f>SUM(H3:I12)</f>
        <v/>
      </c>
      <c r="I13" s="411" t="n"/>
      <c r="J13" s="411" t="n"/>
      <c r="K13" s="426" t="n"/>
    </row>
    <row r="14">
      <c r="A14" s="434" t="n"/>
      <c r="B14" s="425" t="n"/>
      <c r="C14" s="425" t="n"/>
      <c r="D14" s="425" t="n"/>
      <c r="E14" s="425" t="n"/>
      <c r="F14" s="425" t="n"/>
      <c r="G14" s="425" t="n"/>
      <c r="H14" s="425" t="n"/>
      <c r="I14" s="425" t="n"/>
      <c r="J14" s="425" t="n"/>
      <c r="K14" s="418" t="n"/>
    </row>
    <row r="15">
      <c r="A15" s="344" t="inlineStr">
        <is>
          <t>PARTNER</t>
        </is>
      </c>
      <c r="B15" s="406" t="n"/>
      <c r="C15" s="406" t="n"/>
      <c r="D15" s="406" t="n"/>
      <c r="E15" s="406" t="n"/>
      <c r="F15" s="406" t="n"/>
      <c r="G15" s="406" t="n"/>
      <c r="H15" s="406" t="n"/>
      <c r="I15" s="406" t="n"/>
      <c r="J15" s="406" t="n"/>
      <c r="K15" s="129" t="n"/>
    </row>
    <row r="16">
      <c r="A16" s="362" t="inlineStr">
        <is>
          <t xml:space="preserve">   Advisor Zhuge</t>
        </is>
      </c>
      <c r="B16" s="411" t="n"/>
      <c r="C16" s="411" t="n"/>
      <c r="D16" s="364" t="n">
        <v>30</v>
      </c>
      <c r="E16" s="411" t="n"/>
      <c r="F16" s="411" t="n"/>
      <c r="G16" s="411" t="n"/>
      <c r="H16" s="411" t="n"/>
      <c r="I16" s="411" t="n"/>
      <c r="J16" s="411" t="n"/>
      <c r="K16" s="426" t="inlineStr">
        <is>
          <t>lv30</t>
        </is>
      </c>
    </row>
    <row r="17">
      <c r="A17" s="434" t="n"/>
      <c r="B17" s="425" t="n"/>
      <c r="C17" s="425" t="n"/>
      <c r="D17" s="425" t="n"/>
      <c r="E17" s="425" t="n"/>
      <c r="F17" s="425" t="n"/>
      <c r="G17" s="425" t="n"/>
      <c r="H17" s="425" t="n"/>
      <c r="I17" s="425" t="n"/>
      <c r="J17" s="425" t="n"/>
      <c r="K17" s="418" t="n"/>
    </row>
    <row r="18">
      <c r="A18" s="344" t="inlineStr">
        <is>
          <t>COLLECTORS TALENTS</t>
        </is>
      </c>
      <c r="B18" s="406" t="n"/>
      <c r="C18" s="406" t="n"/>
      <c r="D18" s="406" t="n"/>
      <c r="E18" s="406" t="n"/>
      <c r="F18" s="406" t="n"/>
      <c r="G18" s="406" t="n"/>
      <c r="H18" s="406" t="n"/>
      <c r="I18" s="406" t="n"/>
      <c r="J18" s="406" t="n"/>
      <c r="K18" s="407" t="n"/>
    </row>
    <row r="19">
      <c r="A19" s="362" t="inlineStr">
        <is>
          <t xml:space="preserve">   Civil Engineering</t>
        </is>
      </c>
      <c r="B19" s="411" t="n"/>
      <c r="C19" s="411" t="n"/>
      <c r="D19" s="411" t="n">
        <v>25</v>
      </c>
      <c r="E19" s="411" t="n"/>
      <c r="F19" s="411" t="n">
        <v>25</v>
      </c>
      <c r="G19" s="411" t="n"/>
      <c r="H19" s="411" t="n"/>
      <c r="I19" s="411" t="n"/>
      <c r="J19" s="411" t="n"/>
      <c r="K19" s="426" t="inlineStr">
        <is>
          <t>10 Blue Talent Points</t>
        </is>
      </c>
    </row>
    <row r="20">
      <c r="A20" s="434" t="n"/>
      <c r="B20" s="425" t="n"/>
      <c r="C20" s="425" t="n"/>
      <c r="D20" s="425" t="n"/>
      <c r="E20" s="425" t="n"/>
      <c r="F20" s="425" t="n"/>
      <c r="G20" s="425" t="n"/>
      <c r="H20" s="425" t="n"/>
      <c r="I20" s="425" t="n"/>
      <c r="J20" s="425" t="n"/>
      <c r="K20" s="418" t="n"/>
    </row>
    <row r="21">
      <c r="A21" s="413" t="inlineStr">
        <is>
          <t>ROBOTS</t>
        </is>
      </c>
      <c r="B21" s="431" t="n"/>
      <c r="C21" s="431" t="n"/>
      <c r="D21" s="431" t="n"/>
      <c r="E21" s="431" t="n"/>
      <c r="F21" s="431" t="n"/>
      <c r="G21" s="431" t="n"/>
      <c r="H21" s="431" t="n"/>
      <c r="I21" s="431" t="n"/>
      <c r="J21" s="431" t="n"/>
      <c r="K21" s="405" t="n"/>
    </row>
    <row r="22">
      <c r="A22" s="409" t="inlineStr">
        <is>
          <t xml:space="preserve">   Craftsman III</t>
        </is>
      </c>
      <c r="B22" s="410" t="n"/>
      <c r="C22" s="410" t="n"/>
      <c r="D22" s="410" t="n">
        <v>3</v>
      </c>
      <c r="E22" s="410" t="n"/>
      <c r="F22" s="410" t="n"/>
      <c r="G22" s="410" t="n"/>
      <c r="H22" s="410" t="n"/>
      <c r="I22" s="410" t="n"/>
      <c r="J22" s="410" t="n"/>
      <c r="K22" s="414" t="inlineStr">
        <is>
          <t>Wormhole Refiner (0.03%)</t>
        </is>
      </c>
    </row>
    <row r="23">
      <c r="A23" s="398" t="n"/>
      <c r="B23" s="432" t="n"/>
      <c r="C23" s="432" t="n"/>
      <c r="D23" s="432" t="n"/>
      <c r="E23" s="432" t="n"/>
      <c r="F23" s="432" t="n"/>
      <c r="G23" s="432" t="n"/>
      <c r="H23" s="432" t="n"/>
      <c r="I23" s="432" t="n"/>
      <c r="J23" s="432" t="n"/>
      <c r="K23" s="404" t="n"/>
    </row>
    <row r="24">
      <c r="A24" s="413" t="inlineStr">
        <is>
          <t>ORGAN</t>
        </is>
      </c>
      <c r="B24" s="431" t="n"/>
      <c r="C24" s="431" t="n"/>
      <c r="D24" s="431" t="n"/>
      <c r="E24" s="431" t="n"/>
      <c r="F24" s="431" t="n"/>
      <c r="G24" s="431" t="n"/>
      <c r="H24" s="431" t="n"/>
      <c r="I24" s="431" t="n"/>
      <c r="J24" s="406" t="n"/>
      <c r="K24" s="407" t="n"/>
    </row>
    <row r="25">
      <c r="A25" s="398" t="inlineStr">
        <is>
          <t xml:space="preserve">   Warp Horn</t>
        </is>
      </c>
      <c r="B25" s="432" t="n"/>
      <c r="C25" s="432" t="n"/>
      <c r="D25" s="432" t="n">
        <v>10</v>
      </c>
      <c r="E25" s="432" t="n"/>
      <c r="F25" s="432" t="n">
        <v>10</v>
      </c>
      <c r="G25" s="432" t="n"/>
      <c r="H25" s="432" t="n"/>
      <c r="I25" s="432" t="n"/>
      <c r="J25" s="425" t="n"/>
      <c r="K25" s="418" t="inlineStr">
        <is>
          <t>lv20</t>
        </is>
      </c>
    </row>
    <row r="26">
      <c r="A26" s="409" t="inlineStr">
        <is>
          <t xml:space="preserve">   Alveolus of Gaia</t>
        </is>
      </c>
      <c r="B26" s="410" t="n"/>
      <c r="C26" s="410" t="n"/>
      <c r="D26" s="410" t="n">
        <v>20</v>
      </c>
      <c r="E26" s="410" t="n"/>
      <c r="F26" s="410" t="n">
        <v>20</v>
      </c>
      <c r="G26" s="410" t="n"/>
      <c r="H26" s="410" t="n"/>
      <c r="I26" s="410" t="n"/>
      <c r="J26" s="411" t="n"/>
      <c r="K26" s="426" t="inlineStr">
        <is>
          <t>lv40</t>
        </is>
      </c>
    </row>
    <row r="27">
      <c r="A27" s="434" t="inlineStr">
        <is>
          <t>MAX ORGAN</t>
        </is>
      </c>
      <c r="B27" s="425" t="n"/>
      <c r="C27" s="425" t="n"/>
      <c r="D27" s="425">
        <f>SUM(D25:D26)</f>
        <v/>
      </c>
      <c r="E27" s="425" t="n"/>
      <c r="F27" s="425">
        <f>SUM(F25:F26)</f>
        <v/>
      </c>
      <c r="G27" s="425" t="n"/>
      <c r="H27" s="425">
        <f>SUM(H25:H26)</f>
        <v/>
      </c>
      <c r="I27" s="425" t="n"/>
      <c r="J27" s="425" t="n"/>
      <c r="K27" s="418" t="n"/>
    </row>
    <row r="28">
      <c r="A28" s="434" t="n"/>
      <c r="B28" s="425" t="n"/>
      <c r="C28" s="425" t="n"/>
      <c r="D28" s="425" t="n"/>
      <c r="E28" s="425" t="n"/>
      <c r="F28" s="425" t="n"/>
      <c r="G28" s="425" t="n"/>
      <c r="H28" s="425" t="n"/>
      <c r="I28" s="425" t="n"/>
      <c r="J28" s="425" t="n"/>
      <c r="K28" s="418" t="n"/>
    </row>
    <row r="29">
      <c r="A29" s="344" t="inlineStr">
        <is>
          <t>INTEL</t>
        </is>
      </c>
      <c r="B29" s="406" t="n"/>
      <c r="C29" s="406" t="n"/>
      <c r="D29" s="406" t="n"/>
      <c r="E29" s="406" t="n"/>
      <c r="F29" s="406" t="n"/>
      <c r="G29" s="406" t="n"/>
      <c r="H29" s="406" t="n"/>
      <c r="I29" s="406" t="n"/>
      <c r="J29" s="406" t="n"/>
      <c r="K29" s="129" t="n"/>
    </row>
    <row r="30">
      <c r="A30" s="362" t="inlineStr">
        <is>
          <t xml:space="preserve">   Cathay</t>
        </is>
      </c>
      <c r="B30" s="411" t="n"/>
      <c r="C30" s="411" t="n"/>
      <c r="D30" s="364" t="n">
        <v>10</v>
      </c>
      <c r="E30" s="411" t="n"/>
      <c r="F30" s="411" t="n"/>
      <c r="G30" s="411" t="n"/>
      <c r="H30" s="411" t="n"/>
      <c r="I30" s="411" t="n"/>
      <c r="J30" s="411" t="n"/>
      <c r="K30" s="426" t="n"/>
    </row>
    <row r="31">
      <c r="A31" s="434" t="n"/>
      <c r="B31" s="425" t="n"/>
      <c r="C31" s="425" t="n"/>
      <c r="D31" s="425" t="n"/>
      <c r="E31" s="425" t="n"/>
      <c r="F31" s="425" t="n"/>
      <c r="G31" s="425" t="n"/>
      <c r="H31" s="425" t="n"/>
      <c r="I31" s="425" t="n"/>
      <c r="J31" s="425" t="n"/>
      <c r="K31" s="418" t="n"/>
    </row>
    <row r="32">
      <c r="A32" s="413" t="inlineStr">
        <is>
          <t>ROCKET UPGRADES</t>
        </is>
      </c>
      <c r="B32" s="431" t="n"/>
      <c r="C32" s="431" t="n"/>
      <c r="D32" s="431" t="n"/>
      <c r="E32" s="431" t="n"/>
      <c r="F32" s="431" t="n"/>
      <c r="G32" s="431" t="n"/>
      <c r="H32" s="431" t="n"/>
      <c r="I32" s="431" t="n"/>
      <c r="J32" s="431" t="n"/>
      <c r="K32" s="405" t="n"/>
    </row>
    <row r="33">
      <c r="A33" s="409" t="inlineStr">
        <is>
          <t xml:space="preserve">   Eternal Hall</t>
        </is>
      </c>
      <c r="B33" s="410" t="n"/>
      <c r="C33" s="410" t="n"/>
      <c r="D33" s="410" t="n">
        <v>10</v>
      </c>
      <c r="E33" s="410" t="n"/>
      <c r="F33" s="410" t="n">
        <v>10</v>
      </c>
      <c r="G33" s="410" t="n"/>
      <c r="H33" s="410" t="n"/>
      <c r="I33" s="410" t="n"/>
      <c r="J33" s="410" t="n"/>
      <c r="K33" s="414" t="inlineStr">
        <is>
          <t>Lv5</t>
        </is>
      </c>
    </row>
    <row r="34">
      <c r="A34" s="398" t="n"/>
      <c r="B34" s="432" t="n"/>
      <c r="C34" s="432" t="n"/>
      <c r="D34" s="432" t="n"/>
      <c r="E34" s="432" t="n"/>
      <c r="F34" s="432" t="n"/>
      <c r="G34" s="432" t="n"/>
      <c r="H34" s="432" t="n"/>
      <c r="I34" s="432" t="n"/>
      <c r="J34" s="432" t="n"/>
      <c r="K34" s="404" t="n"/>
    </row>
    <row r="35">
      <c r="A35" s="413" t="inlineStr">
        <is>
          <t>AVATARS</t>
        </is>
      </c>
      <c r="B35" s="431" t="n"/>
      <c r="C35" s="431" t="n"/>
      <c r="D35" s="431" t="n"/>
      <c r="E35" s="431" t="n"/>
      <c r="F35" s="431" t="n"/>
      <c r="G35" s="431" t="n"/>
      <c r="H35" s="431" t="n"/>
      <c r="I35" s="431" t="n"/>
      <c r="J35" s="431" t="n"/>
      <c r="K35" s="405" t="n"/>
    </row>
    <row r="36">
      <c r="A36" s="409" t="inlineStr">
        <is>
          <t xml:space="preserve">   Mirage Avatar I Bonus</t>
        </is>
      </c>
      <c r="B36" s="410" t="n"/>
      <c r="C36" s="410" t="n"/>
      <c r="D36" s="410" t="n">
        <v>20</v>
      </c>
      <c r="E36" s="410" t="n"/>
      <c r="F36" s="410" t="n">
        <v>40</v>
      </c>
      <c r="G36" s="410" t="n"/>
      <c r="H36" s="410" t="n"/>
      <c r="I36" s="410" t="n"/>
      <c r="J36" s="410" t="n"/>
      <c r="K36" s="403" t="n"/>
    </row>
    <row r="37">
      <c r="A37" s="434" t="n"/>
      <c r="B37" s="425" t="n"/>
      <c r="C37" s="425" t="n"/>
      <c r="D37" s="425" t="n"/>
      <c r="E37" s="425" t="n"/>
      <c r="F37" s="425" t="n"/>
      <c r="G37" s="425" t="n"/>
      <c r="H37" s="425" t="n"/>
      <c r="I37" s="425" t="n"/>
      <c r="J37" s="425" t="n"/>
      <c r="K37" s="418" t="n"/>
    </row>
    <row r="38">
      <c r="A38" s="344" t="inlineStr">
        <is>
          <t>STAMPS</t>
        </is>
      </c>
      <c r="B38" s="406" t="n"/>
      <c r="C38" s="406" t="n"/>
      <c r="D38" s="406" t="n"/>
      <c r="E38" s="406" t="n"/>
      <c r="F38" s="406" t="n"/>
      <c r="G38" s="406" t="n"/>
      <c r="H38" s="406" t="n"/>
      <c r="I38" s="406" t="n"/>
      <c r="J38" s="406" t="n"/>
      <c r="K38" s="129" t="n"/>
    </row>
    <row r="39">
      <c r="A39" s="357" t="inlineStr">
        <is>
          <t xml:space="preserve">   Turing Award</t>
        </is>
      </c>
      <c r="B39" s="425" t="inlineStr">
        <is>
          <t>SSS</t>
        </is>
      </c>
      <c r="C39" s="425" t="inlineStr">
        <is>
          <t>FAME</t>
        </is>
      </c>
      <c r="D39" s="371" t="n">
        <v>30</v>
      </c>
      <c r="E39" s="425" t="n"/>
      <c r="F39" s="371" t="n"/>
      <c r="G39" s="425" t="n"/>
      <c r="H39" s="371" t="n">
        <v>30</v>
      </c>
      <c r="I39" s="425" t="n"/>
      <c r="J39" s="425" t="n">
        <v>15</v>
      </c>
      <c r="K39" s="418" t="inlineStr">
        <is>
          <t>Daily Pack Relic #26</t>
        </is>
      </c>
    </row>
    <row r="40">
      <c r="A40" s="357" t="inlineStr">
        <is>
          <t xml:space="preserve">   Prometheus Torch</t>
        </is>
      </c>
      <c r="B40" s="425" t="inlineStr">
        <is>
          <t>SSS</t>
        </is>
      </c>
      <c r="C40" s="425" t="inlineStr">
        <is>
          <t>FAME</t>
        </is>
      </c>
      <c r="D40" s="371" t="n">
        <v>30</v>
      </c>
      <c r="E40" s="425" t="n"/>
      <c r="F40" s="371" t="n">
        <v>30</v>
      </c>
      <c r="G40" s="425" t="n"/>
      <c r="H40" s="371" t="n">
        <v>30</v>
      </c>
      <c r="I40" s="425" t="n"/>
      <c r="J40" s="425" t="n"/>
      <c r="K40" s="418" t="inlineStr">
        <is>
          <t>Lottery Machine #1 (0.09%), Wishing (0.09%), Hellas Treasure Map, Grandmaster Scrolls (0.81%), Relic Forge (120 Relic RF)</t>
        </is>
      </c>
    </row>
    <row r="41">
      <c r="A41" s="357" t="inlineStr">
        <is>
          <t xml:space="preserve">   Nobel's Will</t>
        </is>
      </c>
      <c r="B41" s="425" t="inlineStr">
        <is>
          <t>SSS</t>
        </is>
      </c>
      <c r="C41" s="415" t="inlineStr">
        <is>
          <t>FAME</t>
        </is>
      </c>
      <c r="D41" s="371" t="n">
        <v>30</v>
      </c>
      <c r="E41" s="425" t="n"/>
      <c r="F41" s="371" t="n">
        <v>30</v>
      </c>
      <c r="G41" s="425" t="n"/>
      <c r="H41" s="425" t="n"/>
      <c r="I41" s="425" t="n"/>
      <c r="J41" s="371" t="n">
        <v>15</v>
      </c>
      <c r="K41" s="418" t="inlineStr">
        <is>
          <t>Lottery Machine #1 (0.09%), Wishing (0.08%), Grandmaster Scrolls (0.79%), Lottery Event 9/22/2023-9/28/2023</t>
        </is>
      </c>
    </row>
    <row r="42">
      <c r="A42" s="434" t="inlineStr">
        <is>
          <t xml:space="preserve">   Hammurabi Code</t>
        </is>
      </c>
      <c r="B42" s="425" t="inlineStr">
        <is>
          <t>SS</t>
        </is>
      </c>
      <c r="C42" s="415" t="inlineStr">
        <is>
          <t>FAME</t>
        </is>
      </c>
      <c r="D42" s="425" t="n"/>
      <c r="E42" s="425" t="n"/>
      <c r="F42" s="425" t="n"/>
      <c r="G42" s="425" t="n"/>
      <c r="H42" s="371" t="n">
        <v>30</v>
      </c>
      <c r="I42" s="425" t="n"/>
      <c r="J42" s="371" t="n">
        <v>15</v>
      </c>
      <c r="K42" s="418" t="inlineStr">
        <is>
          <t>Fragment Crafting (4.6%), Lottery Machine #1 (0.18%), Wishing (0.17%), Demon God Chest (5%), Grandmaster Scrolls (1.6%)</t>
        </is>
      </c>
    </row>
    <row r="43">
      <c r="A43" s="434" t="inlineStr">
        <is>
          <t xml:space="preserve">   Zircon of Jack Hills</t>
        </is>
      </c>
      <c r="B43" s="425" t="inlineStr">
        <is>
          <t>SS</t>
        </is>
      </c>
      <c r="C43" s="415" t="inlineStr">
        <is>
          <t>FAME</t>
        </is>
      </c>
      <c r="D43" s="371" t="n"/>
      <c r="E43" s="425" t="n"/>
      <c r="F43" s="371" t="n"/>
      <c r="G43" s="425" t="n"/>
      <c r="H43" s="425" t="n">
        <v>30</v>
      </c>
      <c r="I43" s="425" t="n"/>
      <c r="J43" s="425" t="n"/>
      <c r="K43" s="386" t="inlineStr">
        <is>
          <t>Lottery Machine #2 (0.47%)</t>
        </is>
      </c>
    </row>
    <row r="44">
      <c r="A44" s="434" t="inlineStr">
        <is>
          <t xml:space="preserve">   Ape's Footprint Fossil</t>
        </is>
      </c>
      <c r="B44" s="425" t="inlineStr">
        <is>
          <t>SS</t>
        </is>
      </c>
      <c r="C44" s="415" t="inlineStr">
        <is>
          <t>FAME</t>
        </is>
      </c>
      <c r="D44" s="371" t="n">
        <v>30</v>
      </c>
      <c r="E44" s="425" t="n"/>
      <c r="F44" s="371" t="n">
        <v>30</v>
      </c>
      <c r="G44" s="425" t="n"/>
      <c r="H44" s="425" t="n"/>
      <c r="I44" s="425" t="n"/>
      <c r="J44" s="425" t="n"/>
      <c r="K44" s="418" t="inlineStr">
        <is>
          <t>Super Species Chest (2.4%)</t>
        </is>
      </c>
    </row>
    <row r="45">
      <c r="A45" s="434" t="inlineStr">
        <is>
          <t xml:space="preserve">   Stockholm Declaration</t>
        </is>
      </c>
      <c r="B45" s="425" t="inlineStr">
        <is>
          <t>SS</t>
        </is>
      </c>
      <c r="C45" s="415" t="inlineStr">
        <is>
          <t>FAME</t>
        </is>
      </c>
      <c r="D45" s="371" t="n">
        <v>30</v>
      </c>
      <c r="E45" s="425" t="n"/>
      <c r="F45" s="425" t="n">
        <v>30</v>
      </c>
      <c r="G45" s="425" t="n"/>
      <c r="H45" s="425" t="n"/>
      <c r="I45" s="425" t="n"/>
      <c r="J45" s="425" t="n"/>
      <c r="K45" s="386" t="inlineStr">
        <is>
          <t>Lottery Machine #2 (0.47%), Indigent Nobleman (570K B-tads)</t>
        </is>
      </c>
    </row>
    <row r="46">
      <c r="A46" s="434" t="inlineStr">
        <is>
          <t xml:space="preserve">   Tetromino</t>
        </is>
      </c>
      <c r="B46" s="425" t="inlineStr">
        <is>
          <t>S</t>
        </is>
      </c>
      <c r="C46" s="415" t="inlineStr">
        <is>
          <t>FAME</t>
        </is>
      </c>
      <c r="D46" s="371" t="n">
        <v>30</v>
      </c>
      <c r="E46" s="425" t="n"/>
      <c r="F46" s="425" t="n"/>
      <c r="G46" s="425" t="n"/>
      <c r="H46" s="425" t="n"/>
      <c r="I46" s="425" t="n"/>
      <c r="J46" s="425" t="n"/>
      <c r="K46" s="418" t="inlineStr">
        <is>
          <t>Fragment Crafting (20.7%), Lottery Machine #1 (0.81%), Wishing (0.75%), Master Scrolls (6.5%), FAME Master Scrolls (31.5%), Relic Forge (90 Relic RF)</t>
        </is>
      </c>
    </row>
    <row r="47">
      <c r="A47" s="434" t="inlineStr">
        <is>
          <t xml:space="preserve">   Proclamation 95</t>
        </is>
      </c>
      <c r="B47" s="425" t="inlineStr">
        <is>
          <t>S</t>
        </is>
      </c>
      <c r="C47" s="415" t="inlineStr">
        <is>
          <t>FAME</t>
        </is>
      </c>
      <c r="D47" s="425" t="n"/>
      <c r="E47" s="425" t="n"/>
      <c r="F47" s="425" t="n"/>
      <c r="G47" s="425" t="n"/>
      <c r="H47" s="425" t="n"/>
      <c r="I47" s="425" t="n"/>
      <c r="J47" s="371" t="n">
        <v>15</v>
      </c>
      <c r="K47" s="418" t="inlineStr">
        <is>
          <t>Fragment Crafting (0.61), Lottery Machine #1 (0.24%), Wishing (0.22%), Master Scrolls (0.19%), Grandmaster Scrolls (2.1%), FAME Master Scroll (9.2%)</t>
        </is>
      </c>
    </row>
    <row r="48">
      <c r="A48" s="434" t="inlineStr">
        <is>
          <t xml:space="preserve">   Golden Finger</t>
        </is>
      </c>
      <c r="B48" s="425" t="inlineStr">
        <is>
          <t>S</t>
        </is>
      </c>
      <c r="C48" s="425" t="inlineStr">
        <is>
          <t>FTH</t>
        </is>
      </c>
      <c r="D48" s="371" t="n">
        <v>30</v>
      </c>
      <c r="E48" s="425" t="n"/>
      <c r="F48" s="425" t="n"/>
      <c r="G48" s="425" t="n"/>
      <c r="H48" s="425" t="n"/>
      <c r="I48" s="425" t="n"/>
      <c r="J48" s="425" t="n"/>
      <c r="K48" s="418" t="inlineStr">
        <is>
          <t>Fragment Crafting (15.1%), Lottery Machine #1 (0.81%), Wishing (0.53%), Master Scrolls (6.5%), FTH Master Scrolls (31.5%), Relic Forge (90 Relic RF), Rock in front of garage 999 taps, give Peter Jr. 42 0-star reviews in the same conversation</t>
        </is>
      </c>
    </row>
    <row r="49">
      <c r="A49" s="434" t="inlineStr">
        <is>
          <t xml:space="preserve">   Shroud of Turin</t>
        </is>
      </c>
      <c r="B49" s="425" t="inlineStr">
        <is>
          <t>S</t>
        </is>
      </c>
      <c r="C49" s="425" t="inlineStr">
        <is>
          <t>FTH</t>
        </is>
      </c>
      <c r="D49" s="425" t="n"/>
      <c r="E49" s="425" t="n"/>
      <c r="F49" s="425" t="n"/>
      <c r="G49" s="425" t="n"/>
      <c r="H49" s="371" t="n">
        <v>30</v>
      </c>
      <c r="I49" s="425" t="n"/>
      <c r="J49" s="425" t="n"/>
      <c r="K49" s="418" t="inlineStr">
        <is>
          <t>Fragment Crafting (15.1%), Lottery Machine #1 (0.81%), Wishing (0.53%), Relic Forge (90 Relic RF)</t>
        </is>
      </c>
    </row>
    <row r="50">
      <c r="A50" s="434" t="inlineStr">
        <is>
          <t xml:space="preserve">   Paradise Lost</t>
        </is>
      </c>
      <c r="B50" s="425" t="inlineStr">
        <is>
          <t>S</t>
        </is>
      </c>
      <c r="C50" s="425" t="inlineStr">
        <is>
          <t>CIV</t>
        </is>
      </c>
      <c r="D50" s="425" t="n"/>
      <c r="E50" s="425" t="n"/>
      <c r="F50" s="425" t="n"/>
      <c r="G50" s="425" t="n"/>
      <c r="H50" s="425" t="n"/>
      <c r="I50" s="425" t="n"/>
      <c r="J50" s="371" t="n">
        <v>15</v>
      </c>
      <c r="K50" s="418" t="inlineStr">
        <is>
          <t>Fragment Crafting (18.8%), Lottery Machine #1 (0.81%), Wishing (0.69%), Super Treasure Maps (15%), Master Scrolls (6.5%), CIV Master Scrolls (34.7%), Relic Forge (90 Relic RF)</t>
        </is>
      </c>
    </row>
    <row r="51">
      <c r="A51" s="434" t="inlineStr">
        <is>
          <t xml:space="preserve">   The Pieta</t>
        </is>
      </c>
      <c r="B51" s="425" t="inlineStr">
        <is>
          <t>S</t>
        </is>
      </c>
      <c r="C51" s="425" t="inlineStr">
        <is>
          <t>CIV</t>
        </is>
      </c>
      <c r="D51" s="425" t="n"/>
      <c r="E51" s="425" t="n"/>
      <c r="F51" s="425" t="n"/>
      <c r="G51" s="425" t="n"/>
      <c r="H51" s="425" t="n"/>
      <c r="I51" s="425" t="n"/>
      <c r="J51" s="371" t="n">
        <v>15</v>
      </c>
      <c r="K51" s="418" t="inlineStr">
        <is>
          <t>Fragment Crafting (18.8%), Lottery Machine #1 (0.81%), Wishing (0.69%), Relic Forge (90 Relic RF)</t>
        </is>
      </c>
    </row>
    <row r="52">
      <c r="A52" s="434" t="inlineStr">
        <is>
          <t xml:space="preserve">   The Last Supper</t>
        </is>
      </c>
      <c r="B52" s="425" t="inlineStr">
        <is>
          <t>S</t>
        </is>
      </c>
      <c r="C52" s="425" t="inlineStr">
        <is>
          <t>ART</t>
        </is>
      </c>
      <c r="D52" s="425" t="n"/>
      <c r="E52" s="425" t="n"/>
      <c r="F52" s="425" t="n"/>
      <c r="G52" s="425" t="n"/>
      <c r="H52" s="425" t="n"/>
      <c r="I52" s="425" t="n"/>
      <c r="J52" s="371" t="n">
        <v>15</v>
      </c>
      <c r="K52" s="418" t="inlineStr">
        <is>
          <t>Fragment Crafting (18.1%), Lottery Machine #1 (0.81%), Wishing (0.68%), Relic Forge (90 Relic RF)</t>
        </is>
      </c>
    </row>
    <row r="53">
      <c r="A53" s="434" t="inlineStr">
        <is>
          <t xml:space="preserve">   Ark of the Covenant</t>
        </is>
      </c>
      <c r="B53" s="425" t="inlineStr">
        <is>
          <t>S</t>
        </is>
      </c>
      <c r="C53" s="425" t="inlineStr">
        <is>
          <t>FTH</t>
        </is>
      </c>
      <c r="D53" s="425" t="n"/>
      <c r="E53" s="425" t="n"/>
      <c r="F53" s="425" t="n"/>
      <c r="G53" s="425" t="n"/>
      <c r="H53" s="425" t="n"/>
      <c r="I53" s="425" t="n"/>
      <c r="J53" s="371" t="n">
        <v>15</v>
      </c>
      <c r="K53" s="418" t="inlineStr">
        <is>
          <t>Fragment Crafting (15.1%), Lottery Machine #1 (0.81%), Wishing (0.53%), Relic Forge (90 Relic RF)</t>
        </is>
      </c>
    </row>
    <row r="54">
      <c r="A54" s="434" t="inlineStr">
        <is>
          <t xml:space="preserve">   Edison's Kinetoscope</t>
        </is>
      </c>
      <c r="B54" s="425" t="inlineStr">
        <is>
          <t>S</t>
        </is>
      </c>
      <c r="C54" s="425" t="inlineStr">
        <is>
          <t>TECH</t>
        </is>
      </c>
      <c r="D54" s="425" t="n"/>
      <c r="E54" s="425" t="n"/>
      <c r="F54" s="371" t="n">
        <v>30</v>
      </c>
      <c r="G54" s="425" t="n"/>
      <c r="H54" s="425" t="n"/>
      <c r="I54" s="425" t="n"/>
      <c r="J54" s="425" t="n"/>
      <c r="K54" s="418" t="inlineStr">
        <is>
          <t>Ad Shop</t>
        </is>
      </c>
    </row>
    <row r="55">
      <c r="A55" s="362" t="inlineStr">
        <is>
          <t>MAX LUMBER STAMPS</t>
        </is>
      </c>
      <c r="B55" s="411" t="n"/>
      <c r="C55" s="411" t="n"/>
      <c r="D55" s="364">
        <f>D39+D40+D41</f>
        <v/>
      </c>
      <c r="E55" s="411" t="n"/>
      <c r="F55" s="364">
        <f>F39+F40+F41</f>
        <v/>
      </c>
      <c r="G55" s="411" t="n"/>
      <c r="H55" s="364">
        <f>H39+H40+H41</f>
        <v/>
      </c>
      <c r="I55" s="411" t="n"/>
      <c r="J55" s="364">
        <f>J39+J40+J41</f>
        <v/>
      </c>
      <c r="K55" s="426" t="n"/>
    </row>
    <row r="56">
      <c r="A56" s="434" t="n"/>
      <c r="B56" s="425" t="n"/>
      <c r="C56" s="425" t="n"/>
      <c r="D56" s="425" t="n"/>
      <c r="E56" s="425" t="n"/>
      <c r="F56" s="425" t="n"/>
      <c r="G56" s="425" t="n"/>
      <c r="H56" s="425" t="n"/>
      <c r="I56" s="425" t="n"/>
      <c r="J56" s="425" t="n"/>
      <c r="K56" s="418" t="n"/>
    </row>
    <row r="57">
      <c r="A57" s="424" t="inlineStr">
        <is>
          <t>RESONANCE</t>
        </is>
      </c>
      <c r="B57" s="406" t="n"/>
      <c r="C57" s="406" t="n"/>
      <c r="D57" s="406" t="n"/>
      <c r="E57" s="406" t="n"/>
      <c r="F57" s="406" t="n"/>
      <c r="G57" s="406" t="n"/>
      <c r="H57" s="406" t="n"/>
      <c r="I57" s="406" t="n"/>
      <c r="J57" s="406" t="n"/>
      <c r="K57" s="129" t="n"/>
    </row>
    <row r="58">
      <c r="A58" s="434" t="inlineStr">
        <is>
          <t xml:space="preserve">  BLUE</t>
        </is>
      </c>
      <c r="B58" s="425" t="n"/>
      <c r="C58" s="425" t="n"/>
      <c r="D58" s="425" t="n"/>
      <c r="E58" s="425" t="n"/>
      <c r="F58" s="425" t="n"/>
      <c r="G58" s="425" t="n"/>
      <c r="H58" s="425" t="n"/>
      <c r="I58" s="425" t="n"/>
      <c r="J58" s="425" t="n"/>
      <c r="K58" s="418" t="n"/>
    </row>
    <row r="59">
      <c r="A59" s="434" t="inlineStr">
        <is>
          <t xml:space="preserve">    Output</t>
        </is>
      </c>
      <c r="B59" s="425" t="n"/>
      <c r="C59" s="425" t="n"/>
      <c r="D59" s="371" t="n">
        <v>10</v>
      </c>
      <c r="E59" s="425" t="n"/>
      <c r="F59" s="425" t="n"/>
      <c r="G59" s="425" t="n"/>
      <c r="H59" s="425" t="n"/>
      <c r="I59" s="425" t="n"/>
      <c r="J59" s="425" t="n"/>
      <c r="K59" s="418" t="n"/>
    </row>
    <row r="60">
      <c r="A60" s="434" t="inlineStr">
        <is>
          <t xml:space="preserve">      Holmes' Pipe</t>
        </is>
      </c>
      <c r="B60" s="425" t="inlineStr">
        <is>
          <t>Blue</t>
        </is>
      </c>
      <c r="C60" s="425" t="inlineStr">
        <is>
          <t>CIV</t>
        </is>
      </c>
      <c r="D60" s="425" t="n"/>
      <c r="E60" s="425" t="n"/>
      <c r="F60" s="425" t="n"/>
      <c r="G60" s="425" t="n"/>
      <c r="H60" s="425" t="n"/>
      <c r="I60" s="425" t="n"/>
      <c r="J60" s="425" t="n"/>
      <c r="K60" s="418" t="inlineStr">
        <is>
          <t>Lottery Machine #1 (0.36%), Wishing (10.3%), Novice Scrolls (5%)</t>
        </is>
      </c>
    </row>
    <row r="61">
      <c r="A61" s="434" t="inlineStr">
        <is>
          <t xml:space="preserve">      Sholes' Typewriter</t>
        </is>
      </c>
      <c r="B61" s="425" t="inlineStr">
        <is>
          <t>Blue</t>
        </is>
      </c>
      <c r="C61" s="425" t="inlineStr">
        <is>
          <t>CIV</t>
        </is>
      </c>
      <c r="D61" s="425" t="n"/>
      <c r="E61" s="425" t="n"/>
      <c r="F61" s="425" t="n"/>
      <c r="G61" s="425" t="n"/>
      <c r="H61" s="425" t="n"/>
      <c r="I61" s="425" t="n"/>
      <c r="J61" s="425" t="n"/>
      <c r="K61" s="418" t="inlineStr">
        <is>
          <t>Lottery Machine #1 (0.03%), Wishing (0.82%)</t>
        </is>
      </c>
    </row>
    <row r="62">
      <c r="A62" s="434" t="inlineStr">
        <is>
          <t xml:space="preserve">    Ancient Lumber</t>
        </is>
      </c>
      <c r="B62" s="425" t="n"/>
      <c r="C62" s="425" t="n"/>
      <c r="D62" s="425" t="n"/>
      <c r="E62" s="425" t="n"/>
      <c r="F62" s="425" t="n"/>
      <c r="G62" s="425" t="n"/>
      <c r="H62" s="371" t="n">
        <v>10</v>
      </c>
      <c r="I62" s="425" t="n"/>
      <c r="J62" s="425" t="n"/>
      <c r="K62" s="418" t="n"/>
    </row>
    <row r="63">
      <c r="A63" s="434" t="inlineStr">
        <is>
          <t xml:space="preserve">      Imperial Lamp</t>
        </is>
      </c>
      <c r="B63" s="425" t="inlineStr">
        <is>
          <t>Blue</t>
        </is>
      </c>
      <c r="C63" s="425" t="inlineStr">
        <is>
          <t>ART</t>
        </is>
      </c>
      <c r="D63" s="425" t="n"/>
      <c r="E63" s="425" t="n"/>
      <c r="F63" s="425" t="n"/>
      <c r="G63" s="425" t="n"/>
      <c r="H63" s="425" t="n"/>
      <c r="I63" s="425" t="n"/>
      <c r="J63" s="425" t="n"/>
      <c r="K63" s="418" t="inlineStr">
        <is>
          <t>Lottery Machine #1 (0.07%), Wishing (3%), Novice Scrolls (1%)</t>
        </is>
      </c>
    </row>
    <row r="64">
      <c r="A64" s="434" t="inlineStr">
        <is>
          <t xml:space="preserve">      Storyteller</t>
        </is>
      </c>
      <c r="B64" s="425" t="inlineStr">
        <is>
          <t>Blue</t>
        </is>
      </c>
      <c r="C64" s="425" t="inlineStr">
        <is>
          <t>ART</t>
        </is>
      </c>
      <c r="D64" s="425" t="n"/>
      <c r="E64" s="425" t="n"/>
      <c r="F64" s="425" t="n"/>
      <c r="G64" s="425" t="n"/>
      <c r="H64" s="425" t="n"/>
      <c r="I64" s="425" t="n"/>
      <c r="J64" s="425" t="n"/>
      <c r="K64" s="418" t="inlineStr">
        <is>
          <t>Lottery Machine #1 (0.36%), Wishing (15%), Novice Scrolls (5%)</t>
        </is>
      </c>
    </row>
    <row r="65">
      <c r="A65" s="434" t="inlineStr">
        <is>
          <t xml:space="preserve">  PURPLE</t>
        </is>
      </c>
      <c r="B65" s="425" t="n"/>
      <c r="C65" s="425" t="n"/>
      <c r="D65" s="425" t="n"/>
      <c r="E65" s="425" t="n"/>
      <c r="F65" s="425" t="n"/>
      <c r="G65" s="425" t="n"/>
      <c r="H65" s="425" t="n"/>
      <c r="I65" s="425" t="n"/>
      <c r="J65" s="425" t="n"/>
      <c r="K65" s="418" t="n"/>
    </row>
    <row r="66">
      <c r="A66" s="434" t="inlineStr">
        <is>
          <t xml:space="preserve">    Output</t>
        </is>
      </c>
      <c r="B66" s="425" t="n"/>
      <c r="C66" s="425" t="n"/>
      <c r="D66" s="371" t="n">
        <v>12</v>
      </c>
      <c r="E66" s="425" t="n"/>
      <c r="F66" s="425" t="n"/>
      <c r="G66" s="425" t="n"/>
      <c r="H66" s="425" t="n"/>
      <c r="I66" s="425" t="n"/>
      <c r="J66" s="425" t="n"/>
      <c r="K66" s="418" t="n"/>
    </row>
    <row r="67">
      <c r="A67" s="434" t="inlineStr">
        <is>
          <t xml:space="preserve">      Meditations</t>
        </is>
      </c>
      <c r="B67" s="425" t="inlineStr">
        <is>
          <t>A</t>
        </is>
      </c>
      <c r="C67" s="425" t="inlineStr">
        <is>
          <t>CIV</t>
        </is>
      </c>
      <c r="D67" s="425" t="n"/>
      <c r="E67" s="425" t="n"/>
      <c r="F67" s="425" t="n"/>
      <c r="G67" s="425" t="n"/>
      <c r="H67" s="425" t="n"/>
      <c r="I67" s="425" t="n"/>
      <c r="J67" s="425" t="n"/>
      <c r="K67" s="418" t="inlineStr">
        <is>
          <t>Fragment Crafting (29.9%), Lottery Machine #1 (0.66%), Wishing (2.7%), Expert Scrolls (7.6%)</t>
        </is>
      </c>
    </row>
    <row r="68">
      <c r="A68" s="434" t="inlineStr">
        <is>
          <t xml:space="preserve">      The Decameron</t>
        </is>
      </c>
      <c r="B68" s="425" t="inlineStr">
        <is>
          <t>AA</t>
        </is>
      </c>
      <c r="C68" s="425" t="inlineStr">
        <is>
          <t>CIV</t>
        </is>
      </c>
      <c r="D68" s="425" t="n"/>
      <c r="E68" s="425" t="n"/>
      <c r="F68" s="425" t="n"/>
      <c r="G68" s="425" t="n"/>
      <c r="H68" s="425" t="n"/>
      <c r="I68" s="425" t="n"/>
      <c r="J68" s="425" t="n"/>
      <c r="K68" s="418" t="inlineStr">
        <is>
          <t>Fragment Crafting (3.7%), Lottery Machine #1 (0.8%), Wishing (0.34%), Britland Treasure Maps (10%), Expert Scrolls (0.95%)</t>
        </is>
      </c>
    </row>
    <row r="69">
      <c r="A69" s="434" t="inlineStr">
        <is>
          <t xml:space="preserve">    Ancient Lumber</t>
        </is>
      </c>
      <c r="B69" s="425" t="n"/>
      <c r="C69" s="425" t="n"/>
      <c r="D69" s="425" t="n"/>
      <c r="E69" s="425" t="n"/>
      <c r="F69" s="425" t="n"/>
      <c r="G69" s="425" t="n"/>
      <c r="H69" s="371" t="n">
        <v>12</v>
      </c>
      <c r="I69" s="425" t="n"/>
      <c r="J69" s="425" t="n"/>
      <c r="K69" s="418" t="n"/>
    </row>
    <row r="70">
      <c r="A70" s="434" t="inlineStr">
        <is>
          <t xml:space="preserve">      Nuclear Football</t>
        </is>
      </c>
      <c r="B70" s="425" t="inlineStr">
        <is>
          <t>AAA</t>
        </is>
      </c>
      <c r="C70" s="425" t="inlineStr">
        <is>
          <t>TECH</t>
        </is>
      </c>
      <c r="D70" s="425" t="n"/>
      <c r="E70" s="425" t="n"/>
      <c r="F70" s="425" t="n"/>
      <c r="G70" s="425" t="n"/>
      <c r="H70" s="425" t="n"/>
      <c r="I70" s="425" t="n"/>
      <c r="J70" s="425" t="n"/>
      <c r="K70" s="418" t="inlineStr">
        <is>
          <t>Fragment Crafting (1.6%), Lottery Machine #1 (0.03%), Wishing (0.14%), Relic Forge (80 Relic RF)</t>
        </is>
      </c>
    </row>
    <row r="71">
      <c r="A71" s="434" t="inlineStr">
        <is>
          <t xml:space="preserve">      ARPAnet</t>
        </is>
      </c>
      <c r="B71" s="425" t="inlineStr">
        <is>
          <t>AAA</t>
        </is>
      </c>
      <c r="C71" s="425" t="inlineStr">
        <is>
          <t>FAME</t>
        </is>
      </c>
      <c r="D71" s="425" t="n"/>
      <c r="E71" s="425" t="n"/>
      <c r="F71" s="425" t="n"/>
      <c r="G71" s="425" t="n"/>
      <c r="H71" s="425" t="n"/>
      <c r="I71" s="425" t="n"/>
      <c r="J71" s="425" t="n"/>
      <c r="K71" s="418" t="inlineStr">
        <is>
          <t>Fragment Crafting (1.6%), Lottery Machine #1 (0.03%), Wishing (0.14%), Tool Chest(1.5%), Relic Forge (80 Relic RF)</t>
        </is>
      </c>
    </row>
    <row r="72">
      <c r="A72" s="434" t="inlineStr">
        <is>
          <t xml:space="preserve">  ORANGE</t>
        </is>
      </c>
      <c r="B72" s="425" t="n"/>
      <c r="C72" s="425" t="n"/>
      <c r="D72" s="425" t="n"/>
      <c r="E72" s="425" t="n"/>
      <c r="F72" s="425" t="n"/>
      <c r="G72" s="425" t="n"/>
      <c r="H72" s="425" t="n"/>
      <c r="I72" s="425" t="n"/>
      <c r="J72" s="425" t="n"/>
      <c r="K72" s="418" t="n"/>
    </row>
    <row r="73">
      <c r="A73" s="434" t="inlineStr">
        <is>
          <t xml:space="preserve">    Output</t>
        </is>
      </c>
      <c r="B73" s="425" t="n"/>
      <c r="C73" s="425" t="n"/>
      <c r="D73" s="371" t="n">
        <v>14</v>
      </c>
      <c r="E73" s="425" t="n"/>
      <c r="F73" s="425" t="n"/>
      <c r="G73" s="425" t="n"/>
      <c r="H73" s="425" t="n"/>
      <c r="I73" s="425" t="n"/>
      <c r="J73" s="425" t="n"/>
      <c r="K73" s="418" t="n"/>
    </row>
    <row r="74">
      <c r="A74" s="434" t="inlineStr">
        <is>
          <t xml:space="preserve">      Notre Dame Bell</t>
        </is>
      </c>
      <c r="B74" s="425" t="inlineStr">
        <is>
          <t>S</t>
        </is>
      </c>
      <c r="C74" s="425" t="inlineStr">
        <is>
          <t>CIV</t>
        </is>
      </c>
      <c r="D74" s="425" t="n"/>
      <c r="E74" s="425" t="n"/>
      <c r="F74" s="425" t="n"/>
      <c r="G74" s="425" t="n"/>
      <c r="H74" s="425" t="n"/>
      <c r="I74" s="425" t="n"/>
      <c r="J74" s="425" t="n"/>
      <c r="K74" s="418" t="inlineStr">
        <is>
          <t>Fragment Crafting (18.8%), Lottery Machine #1 (0.81%), Wishing (0.69%), Relic Forge (90 Relic RF)</t>
        </is>
      </c>
    </row>
    <row r="75">
      <c r="A75" s="434" t="inlineStr">
        <is>
          <t xml:space="preserve">      The Pieta</t>
        </is>
      </c>
      <c r="B75" s="425" t="inlineStr">
        <is>
          <t>S</t>
        </is>
      </c>
      <c r="C75" s="425" t="inlineStr">
        <is>
          <t>CIV</t>
        </is>
      </c>
      <c r="D75" s="425" t="n"/>
      <c r="E75" s="425" t="n"/>
      <c r="F75" s="425" t="n"/>
      <c r="G75" s="425" t="n"/>
      <c r="H75" s="425" t="n"/>
      <c r="I75" s="425" t="n"/>
      <c r="J75" s="425" t="n"/>
      <c r="K75" s="418" t="inlineStr">
        <is>
          <t>Fragment Crafting (18.8%), Lottery Machine #1 (0.81%), Wishing (0.69%), Relic Forge (90 Relic RF)</t>
        </is>
      </c>
    </row>
    <row r="76">
      <c r="A76" s="434" t="inlineStr">
        <is>
          <t xml:space="preserve">    Ancient Lumber</t>
        </is>
      </c>
      <c r="B76" s="425" t="n"/>
      <c r="C76" s="425" t="n"/>
      <c r="D76" s="425" t="n"/>
      <c r="E76" s="425" t="n"/>
      <c r="F76" s="425" t="n"/>
      <c r="G76" s="425" t="n"/>
      <c r="H76" s="371" t="n">
        <v>14</v>
      </c>
      <c r="I76" s="425" t="n"/>
      <c r="J76" s="425" t="n"/>
      <c r="K76" s="418" t="n"/>
    </row>
    <row r="77">
      <c r="A77" s="434" t="inlineStr">
        <is>
          <t xml:space="preserve">      Das Kapital</t>
        </is>
      </c>
      <c r="B77" s="425" t="inlineStr">
        <is>
          <t>SS</t>
        </is>
      </c>
      <c r="C77" s="425" t="inlineStr">
        <is>
          <t>CIV</t>
        </is>
      </c>
      <c r="D77" s="425" t="n"/>
      <c r="E77" s="425" t="n"/>
      <c r="F77" s="425" t="n"/>
      <c r="G77" s="425" t="n"/>
      <c r="H77" s="425" t="n"/>
      <c r="I77" s="425" t="n"/>
      <c r="J77" s="425" t="n"/>
      <c r="K77" s="418" t="inlineStr">
        <is>
          <t>Lottery Machine #1 (0.12%), Wishing (0.1%), Britland Treasure Maps (5%), Grandmaster Scrolls (1%), Relic Forge (100 Relic RF), beat Mr. Raccoon in combat</t>
        </is>
      </c>
    </row>
    <row r="78">
      <c r="A78" s="434" t="inlineStr">
        <is>
          <t xml:space="preserve">      The School of Athens</t>
        </is>
      </c>
      <c r="B78" s="425" t="inlineStr">
        <is>
          <t>SS</t>
        </is>
      </c>
      <c r="C78" s="425" t="inlineStr">
        <is>
          <t>ART</t>
        </is>
      </c>
      <c r="D78" s="425" t="n"/>
      <c r="E78" s="425" t="n"/>
      <c r="F78" s="425" t="n"/>
      <c r="G78" s="425" t="n"/>
      <c r="H78" s="425" t="n"/>
      <c r="I78" s="425" t="n"/>
      <c r="J78" s="425" t="n"/>
      <c r="K78" s="418" t="inlineStr">
        <is>
          <t>Fragment Crafting (5.3%), Lottery Machine #1 (0.24%), Wishing (0.2%), Super Treasure Maps (5%), Master Scrolls (1.9%), Grandmaster Scrolls (2.1%), ART Master Scrolls (10.2%)</t>
        </is>
      </c>
    </row>
    <row r="79">
      <c r="A79" s="362" t="inlineStr">
        <is>
          <t>MAX RESONANCE</t>
        </is>
      </c>
      <c r="B79" s="411" t="n"/>
      <c r="C79" s="411" t="n"/>
      <c r="D79" s="364" t="n">
        <v>36</v>
      </c>
      <c r="E79" s="411" t="n"/>
      <c r="F79" s="364" t="n">
        <v>0</v>
      </c>
      <c r="G79" s="411" t="n"/>
      <c r="H79" s="364" t="n">
        <v>36</v>
      </c>
      <c r="I79" s="411" t="n"/>
      <c r="J79" s="411" t="n"/>
      <c r="K79" s="426" t="n"/>
    </row>
    <row r="80">
      <c r="A80" s="425" t="n"/>
      <c r="B80" s="425" t="n"/>
      <c r="C80" s="425" t="n"/>
      <c r="D80" s="425" t="n"/>
      <c r="E80" s="425" t="n"/>
      <c r="F80" s="425" t="n"/>
      <c r="G80" s="425" t="n"/>
      <c r="H80" s="425" t="n"/>
      <c r="I80" s="425" t="n"/>
      <c r="J80" s="425" t="n"/>
      <c r="K80" s="425" t="n"/>
    </row>
    <row r="81">
      <c r="A81" s="425" t="n"/>
      <c r="B81" s="425" t="n"/>
      <c r="C81" s="425" t="n"/>
      <c r="D81" s="425" t="n"/>
      <c r="E81" s="425" t="n"/>
      <c r="F81" s="425" t="n"/>
      <c r="G81" s="425" t="n"/>
      <c r="H81" s="425" t="n"/>
      <c r="I81" s="425" t="n"/>
      <c r="J81" s="425" t="n"/>
      <c r="K81" s="425" t="n"/>
    </row>
    <row r="82">
      <c r="A82" s="450" t="inlineStr">
        <is>
          <t>Total Lumber Output</t>
        </is>
      </c>
      <c r="B82" s="428">
        <f>D13+D16+D27+D30+D55+D79+D36+D19+D33+D22</f>
        <v/>
      </c>
      <c r="C82" s="425" t="n"/>
      <c r="D82" s="425" t="n"/>
      <c r="E82" s="425" t="n"/>
      <c r="F82" s="425" t="n"/>
      <c r="G82" s="425" t="n"/>
      <c r="H82" s="425" t="n"/>
      <c r="I82" s="425" t="n"/>
      <c r="J82" s="425" t="n"/>
      <c r="K82" s="425" t="n"/>
    </row>
    <row r="83">
      <c r="A83" s="447" t="inlineStr">
        <is>
          <t>Total Lumber Cap</t>
        </is>
      </c>
      <c r="B83" s="115">
        <f>F13+F16+F27+F30+F55+F79+F36+F19+F33</f>
        <v/>
      </c>
      <c r="C83" s="425" t="n"/>
      <c r="D83" s="425" t="n"/>
      <c r="E83" s="425" t="n"/>
      <c r="F83" s="425" t="n"/>
      <c r="G83" s="425" t="n"/>
      <c r="H83" s="425" t="n"/>
      <c r="I83" s="425" t="n"/>
      <c r="J83" s="425" t="n"/>
      <c r="K83" s="425" t="n"/>
    </row>
    <row r="84">
      <c r="A84" s="447" t="inlineStr">
        <is>
          <t>Total Ancient Lumber Gen</t>
        </is>
      </c>
      <c r="B84" s="115">
        <f>H13+H16+H27+H55+H79+H30+H36+H19</f>
        <v/>
      </c>
      <c r="C84" s="425" t="n"/>
      <c r="D84" s="425" t="n"/>
      <c r="E84" s="425" t="n"/>
      <c r="F84" s="425" t="n"/>
      <c r="G84" s="425" t="n"/>
      <c r="H84" s="425" t="n"/>
      <c r="I84" s="425" t="n"/>
      <c r="J84" s="425" t="n"/>
      <c r="K84" s="425" t="n"/>
    </row>
  </sheetData>
  <dataValidations count="3">
    <dataValidation sqref="C39:C54" showDropDown="0" showInputMessage="0" showErrorMessage="1" allowBlank="1" type="list">
      <formula1>"FAME,ART,FTH,CIV,TECH"</formula1>
    </dataValidation>
    <dataValidation sqref="B3:B12 B39:B54 B60:B61 B63:B64 B67:B68 B70:B71 B74:B75 B77:B78" showDropDown="0" showInputMessage="0" showErrorMessage="1" allowBlank="1" type="list">
      <formula1>"SSS,SS,S,AAA,AA,A,Blue,Green"</formula1>
    </dataValidation>
    <dataValidation sqref="C3:C12 C60:C61 C63:C64 C67:C68 C70:C71 C74:C75 C77:C78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1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M9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5.18" customWidth="1" style="1128" min="1" max="1"/>
    <col width="8.09" customWidth="1" style="1128" min="2" max="2"/>
    <col width="7.82" customWidth="1" style="1128" min="3" max="3"/>
    <col width="8.09" customWidth="1" style="1128" min="4" max="4"/>
    <col width="11.73" customWidth="1" style="1128" min="5" max="5"/>
    <col width="6.09" customWidth="1" style="1128" min="6" max="6"/>
    <col width="9.73" customWidth="1" style="1128" min="7" max="7"/>
    <col width="10.09" customWidth="1" style="1128" min="8" max="8"/>
    <col width="16.91" customWidth="1" style="1128" min="9" max="9"/>
    <col width="8.82" customWidth="1" style="1128" min="10" max="10"/>
    <col width="121" customWidth="1" style="1128" min="11" max="11"/>
  </cols>
  <sheetData>
    <row r="1">
      <c r="A1" s="344" t="inlineStr">
        <is>
          <t>Name</t>
        </is>
      </c>
      <c r="B1" s="406" t="inlineStr">
        <is>
          <t>Rarity</t>
        </is>
      </c>
      <c r="C1" s="406" t="inlineStr">
        <is>
          <t>Type</t>
        </is>
      </c>
      <c r="D1" s="406" t="inlineStr">
        <is>
          <t>Base Output</t>
        </is>
      </c>
      <c r="E1" s="406" t="inlineStr">
        <is>
          <t>Awakening Output</t>
        </is>
      </c>
      <c r="F1" s="406" t="inlineStr">
        <is>
          <t>Base Cap</t>
        </is>
      </c>
      <c r="G1" s="406" t="inlineStr">
        <is>
          <t>Awakening Cap</t>
        </is>
      </c>
      <c r="H1" s="406" t="inlineStr">
        <is>
          <t>Ancient Fossil</t>
        </is>
      </c>
      <c r="I1" s="406" t="inlineStr">
        <is>
          <t>Awakening Ancient Fossil</t>
        </is>
      </c>
      <c r="J1" s="406" t="inlineStr">
        <is>
          <t>AFFECT Boost</t>
        </is>
      </c>
      <c r="K1" s="129" t="inlineStr">
        <is>
          <t>Source</t>
        </is>
      </c>
      <c r="L1" s="434" t="n"/>
      <c r="M1" s="425" t="n"/>
    </row>
    <row r="2">
      <c r="A2" s="434" t="inlineStr">
        <is>
          <t>INDIVIDUAL RELICS</t>
        </is>
      </c>
      <c r="B2" s="425" t="n"/>
      <c r="C2" s="425" t="n"/>
      <c r="D2" s="425" t="n"/>
      <c r="E2" s="425" t="n"/>
      <c r="F2" s="425" t="n"/>
      <c r="G2" s="425" t="n"/>
      <c r="H2" s="425" t="n"/>
      <c r="I2" s="425" t="n"/>
      <c r="J2" s="425" t="n"/>
      <c r="K2" s="418" t="n"/>
      <c r="L2" s="434" t="n"/>
      <c r="M2" s="425" t="n"/>
    </row>
    <row r="3">
      <c r="A3" s="357" t="inlineStr">
        <is>
          <t xml:space="preserve">   Cairo Declaration</t>
        </is>
      </c>
      <c r="B3" s="425" t="inlineStr">
        <is>
          <t>SS</t>
        </is>
      </c>
      <c r="C3" s="415" t="inlineStr">
        <is>
          <t>FAME</t>
        </is>
      </c>
      <c r="D3" s="371" t="n">
        <v>22</v>
      </c>
      <c r="E3" s="425" t="n"/>
      <c r="F3" s="371" t="n">
        <v>22</v>
      </c>
      <c r="G3" s="425" t="n"/>
      <c r="H3" s="371" t="n">
        <v>22</v>
      </c>
      <c r="I3" s="371" t="n">
        <v>20</v>
      </c>
      <c r="J3" s="425" t="n"/>
      <c r="K3" s="418" t="inlineStr">
        <is>
          <t>Fragment Crafting (4.6%), Lottery Machine (0.18%), Wishing (0.17%), Grandmaster Scrolls (1.6%)</t>
        </is>
      </c>
      <c r="L3" s="434" t="n"/>
      <c r="M3" s="425" t="n"/>
    </row>
    <row r="4">
      <c r="A4" s="357" t="inlineStr">
        <is>
          <t xml:space="preserve">   David</t>
        </is>
      </c>
      <c r="B4" s="425" t="inlineStr">
        <is>
          <t>SS</t>
        </is>
      </c>
      <c r="C4" s="425" t="inlineStr">
        <is>
          <t>ART</t>
        </is>
      </c>
      <c r="D4" s="371" t="n">
        <v>22</v>
      </c>
      <c r="E4" s="371" t="n">
        <v>20</v>
      </c>
      <c r="F4" s="371" t="n">
        <v>22</v>
      </c>
      <c r="G4" s="425" t="n"/>
      <c r="H4" s="425" t="n"/>
      <c r="I4" s="425" t="n"/>
      <c r="J4" s="425" t="n"/>
      <c r="K4" s="418" t="inlineStr">
        <is>
          <t>Fragment Crafting (4%), Lottery Machine (0.18%), Wishing (0.15%), Demon God Chest (5%), Grandmaster Scrolls (1.6%)</t>
        </is>
      </c>
      <c r="L4" s="434" t="n"/>
      <c r="M4" s="425" t="n"/>
    </row>
    <row r="5">
      <c r="A5" s="357" t="inlineStr">
        <is>
          <t xml:space="preserve">   Plato's Republic</t>
        </is>
      </c>
      <c r="B5" s="425" t="inlineStr">
        <is>
          <t>SS</t>
        </is>
      </c>
      <c r="C5" s="425" t="inlineStr">
        <is>
          <t>CIV</t>
        </is>
      </c>
      <c r="D5" s="371" t="n">
        <v>22</v>
      </c>
      <c r="E5" s="371" t="n">
        <v>20</v>
      </c>
      <c r="F5" s="425" t="n"/>
      <c r="G5" s="425" t="n"/>
      <c r="H5" s="425" t="n"/>
      <c r="I5" s="425" t="n"/>
      <c r="J5" s="425" t="n"/>
      <c r="K5" s="418" t="inlineStr">
        <is>
          <t>Lottery Machine (0.12%), Wishing (0.1%), Grandmaster Scrolls (1%), Relic Forge (100 Relic RF)</t>
        </is>
      </c>
      <c r="L5" s="434" t="n"/>
      <c r="M5" s="425" t="n"/>
    </row>
    <row r="6">
      <c r="A6" s="357" t="inlineStr">
        <is>
          <t xml:space="preserve">   King Dangun Statue</t>
        </is>
      </c>
      <c r="B6" s="425" t="inlineStr">
        <is>
          <t>S</t>
        </is>
      </c>
      <c r="C6" s="425" t="inlineStr">
        <is>
          <t>FTH</t>
        </is>
      </c>
      <c r="D6" s="371" t="n">
        <v>20</v>
      </c>
      <c r="E6" s="425" t="n"/>
      <c r="F6" s="425" t="n"/>
      <c r="G6" s="425" t="n"/>
      <c r="H6" s="425" t="n"/>
      <c r="I6" s="425" t="n"/>
      <c r="J6" s="425" t="n"/>
      <c r="K6" s="418" t="inlineStr">
        <is>
          <t>Fragment Crafting (15.1%), Lottery Machine (0.81%), Wishing (0.81%), Koryeo Treasure Map (5%), Relic Forge (90 Relic RF), Museum Value Pack I ($14.99)</t>
        </is>
      </c>
      <c r="L6" s="434" t="n"/>
      <c r="M6" s="425" t="n"/>
    </row>
    <row r="7">
      <c r="A7" s="357" t="inlineStr">
        <is>
          <t xml:space="preserve">   Galileo's Ball</t>
        </is>
      </c>
      <c r="B7" s="425" t="inlineStr">
        <is>
          <t>AAA</t>
        </is>
      </c>
      <c r="C7" s="415" t="inlineStr">
        <is>
          <t>FAME</t>
        </is>
      </c>
      <c r="D7" s="425" t="n"/>
      <c r="E7" s="425" t="n"/>
      <c r="F7" s="425" t="n"/>
      <c r="G7" s="425" t="n"/>
      <c r="H7" s="371" t="n">
        <v>18</v>
      </c>
      <c r="I7" s="371" t="n">
        <v>14</v>
      </c>
      <c r="J7" s="425" t="n"/>
      <c r="K7" s="418" t="inlineStr">
        <is>
          <t>Fragment Crafting (1.6%), Lottery Machine (0.03%), Wishing (0.14%), Relic Forge (80 Relic RF)</t>
        </is>
      </c>
      <c r="L7" s="434" t="n"/>
      <c r="M7" s="425" t="n"/>
    </row>
    <row r="8">
      <c r="A8" s="357" t="inlineStr">
        <is>
          <t xml:space="preserve">   Phoenician Tablet</t>
        </is>
      </c>
      <c r="B8" s="425" t="inlineStr">
        <is>
          <t>AA</t>
        </is>
      </c>
      <c r="C8" s="425" t="inlineStr">
        <is>
          <t>CIV</t>
        </is>
      </c>
      <c r="D8" s="371" t="n">
        <v>16</v>
      </c>
      <c r="E8" s="371" t="n">
        <v>14</v>
      </c>
      <c r="F8" s="371" t="n">
        <v>16</v>
      </c>
      <c r="G8" s="425" t="n"/>
      <c r="H8" s="425" t="n"/>
      <c r="I8" s="425" t="n"/>
      <c r="J8" s="425" t="n"/>
      <c r="K8" s="418" t="inlineStr">
        <is>
          <t>Fragment Crafting (3.7%), Lottery Machine (0.8%), Wishing (0.34%), Kemetic Treasure Maps (10%), Expert Scrolls (0.95%)</t>
        </is>
      </c>
      <c r="L8" s="434" t="n"/>
      <c r="M8" s="425" t="n"/>
    </row>
    <row r="9">
      <c r="A9" s="357" t="inlineStr">
        <is>
          <t xml:space="preserve">   Peacock Throne</t>
        </is>
      </c>
      <c r="B9" s="425" t="inlineStr">
        <is>
          <t>AAA</t>
        </is>
      </c>
      <c r="C9" s="425" t="inlineStr">
        <is>
          <t>ART</t>
        </is>
      </c>
      <c r="D9" s="371" t="n">
        <v>5</v>
      </c>
      <c r="E9" s="371" t="n">
        <v>5</v>
      </c>
      <c r="F9" s="425" t="n"/>
      <c r="G9" s="425" t="n"/>
      <c r="H9" s="371" t="n"/>
      <c r="I9" s="371" t="n"/>
      <c r="J9" s="425" t="n"/>
      <c r="K9" s="418" t="inlineStr">
        <is>
          <t>Supreme Relic</t>
        </is>
      </c>
      <c r="L9" s="434" t="n"/>
      <c r="M9" s="425" t="n"/>
    </row>
    <row r="10">
      <c r="A10" s="357" t="inlineStr">
        <is>
          <t xml:space="preserve">   Chronometer</t>
        </is>
      </c>
      <c r="B10" s="425" t="inlineStr">
        <is>
          <t>Blue</t>
        </is>
      </c>
      <c r="C10" s="425" t="inlineStr">
        <is>
          <t>TECH</t>
        </is>
      </c>
      <c r="D10" s="371" t="n">
        <v>10</v>
      </c>
      <c r="E10" s="371" t="n">
        <v>10</v>
      </c>
      <c r="F10" s="425" t="n"/>
      <c r="G10" s="425" t="n"/>
      <c r="H10" s="425" t="n"/>
      <c r="I10" s="425" t="n"/>
      <c r="J10" s="425" t="n"/>
      <c r="K10" s="418" t="inlineStr">
        <is>
          <t>Lottery Machine (0.03%), Wishing (1.1%), Tool Chest (2%)</t>
        </is>
      </c>
      <c r="L10" s="434" t="n"/>
      <c r="M10" s="425" t="n"/>
    </row>
    <row r="11">
      <c r="A11" s="434" t="inlineStr">
        <is>
          <t xml:space="preserve">   Costa Rica Stone</t>
        </is>
      </c>
      <c r="B11" s="425" t="inlineStr">
        <is>
          <t>Blue</t>
        </is>
      </c>
      <c r="C11" s="415" t="inlineStr">
        <is>
          <t>FAME</t>
        </is>
      </c>
      <c r="D11" s="425" t="n"/>
      <c r="E11" s="425" t="n"/>
      <c r="F11" s="371" t="n">
        <v>10</v>
      </c>
      <c r="G11" s="371" t="n">
        <v>10</v>
      </c>
      <c r="H11" s="425" t="n"/>
      <c r="I11" s="425" t="n"/>
      <c r="J11" s="425" t="n"/>
      <c r="K11" s="418" t="inlineStr">
        <is>
          <t>Lottery Machine (0.36%), Wishing (15.5%), Novice Scrolls (5%)</t>
        </is>
      </c>
      <c r="L11" s="434" t="n"/>
      <c r="M11" s="425" t="n"/>
    </row>
    <row r="12">
      <c r="A12" s="357" t="inlineStr">
        <is>
          <t xml:space="preserve">   Birdie</t>
        </is>
      </c>
      <c r="B12" s="425" t="inlineStr">
        <is>
          <t>Green</t>
        </is>
      </c>
      <c r="C12" s="425" t="inlineStr">
        <is>
          <t>FTH</t>
        </is>
      </c>
      <c r="D12" s="371" t="n">
        <v>6</v>
      </c>
      <c r="E12" s="425" t="n"/>
      <c r="F12" s="425" t="n"/>
      <c r="G12" s="425" t="n"/>
      <c r="H12" s="425" t="n"/>
      <c r="I12" s="425" t="n"/>
      <c r="J12" s="425" t="n"/>
      <c r="K12" s="418" t="inlineStr">
        <is>
          <t>Defeat Ronin Katsura</t>
        </is>
      </c>
      <c r="L12" s="434" t="n"/>
      <c r="M12" s="425" t="n"/>
    </row>
    <row r="13">
      <c r="A13" s="357" t="inlineStr">
        <is>
          <t xml:space="preserve">   Ancient Snail Fossil</t>
        </is>
      </c>
      <c r="B13" s="425" t="inlineStr">
        <is>
          <t>Green</t>
        </is>
      </c>
      <c r="C13" s="425" t="inlineStr">
        <is>
          <t>CIV</t>
        </is>
      </c>
      <c r="D13" s="371" t="n"/>
      <c r="E13" s="425" t="n"/>
      <c r="F13" s="371" t="n"/>
      <c r="G13" s="425" t="n"/>
      <c r="H13" s="371" t="n">
        <v>6</v>
      </c>
      <c r="I13" s="425" t="n"/>
      <c r="J13" s="425" t="n"/>
      <c r="K13" s="418" t="inlineStr">
        <is>
          <t>Zuckie's Ad Events</t>
        </is>
      </c>
      <c r="L13" s="434" t="n"/>
      <c r="M13" s="425" t="n"/>
    </row>
    <row r="14">
      <c r="A14" s="362" t="inlineStr">
        <is>
          <t>MAX INDIVIDUAL RELICS</t>
        </is>
      </c>
      <c r="B14" s="411" t="n"/>
      <c r="C14" s="411" t="n"/>
      <c r="D14" s="364">
        <f>sum(D3:E13)</f>
        <v/>
      </c>
      <c r="E14" s="411" t="n"/>
      <c r="F14" s="364">
        <f>sum(F3:G13)</f>
        <v/>
      </c>
      <c r="G14" s="411" t="n"/>
      <c r="H14" s="364">
        <f>sum(H3:I13)</f>
        <v/>
      </c>
      <c r="I14" s="411" t="n"/>
      <c r="J14" s="411" t="n"/>
      <c r="K14" s="426" t="n"/>
      <c r="L14" s="434" t="n"/>
      <c r="M14" s="425" t="n"/>
    </row>
    <row r="15">
      <c r="A15" s="434" t="n"/>
      <c r="B15" s="425" t="n"/>
      <c r="C15" s="425" t="n"/>
      <c r="D15" s="425" t="n"/>
      <c r="E15" s="425" t="n"/>
      <c r="F15" s="425" t="n"/>
      <c r="G15" s="425" t="n"/>
      <c r="H15" s="425" t="n"/>
      <c r="I15" s="425" t="n"/>
      <c r="J15" s="425" t="n"/>
      <c r="K15" s="425" t="n"/>
      <c r="L15" s="434" t="n"/>
      <c r="M15" s="425" t="n"/>
    </row>
    <row r="16">
      <c r="A16" s="344" t="inlineStr">
        <is>
          <t>PARTNER</t>
        </is>
      </c>
      <c r="B16" s="406" t="n"/>
      <c r="C16" s="406" t="n"/>
      <c r="D16" s="406" t="n"/>
      <c r="E16" s="406" t="n"/>
      <c r="F16" s="406" t="n"/>
      <c r="G16" s="406" t="n"/>
      <c r="H16" s="406" t="n"/>
      <c r="I16" s="406" t="n"/>
      <c r="J16" s="406" t="n"/>
      <c r="K16" s="129" t="n"/>
      <c r="L16" s="434" t="n"/>
      <c r="M16" s="425" t="n"/>
    </row>
    <row r="17">
      <c r="A17" s="362" t="inlineStr">
        <is>
          <t xml:space="preserve">   Taoist Yu Ji</t>
        </is>
      </c>
      <c r="B17" s="411" t="n"/>
      <c r="C17" s="411" t="n"/>
      <c r="D17" s="364" t="n">
        <v>30</v>
      </c>
      <c r="E17" s="411" t="n"/>
      <c r="F17" s="411" t="n"/>
      <c r="G17" s="411" t="n"/>
      <c r="H17" s="411" t="n"/>
      <c r="I17" s="411" t="n"/>
      <c r="J17" s="411" t="n"/>
      <c r="K17" s="426" t="inlineStr">
        <is>
          <t>lv30</t>
        </is>
      </c>
      <c r="L17" s="434" t="n"/>
      <c r="M17" s="425" t="n"/>
    </row>
    <row r="18">
      <c r="A18" s="434" t="n"/>
      <c r="B18" s="425" t="n"/>
      <c r="C18" s="425" t="n"/>
      <c r="D18" s="425" t="n"/>
      <c r="E18" s="425" t="n"/>
      <c r="F18" s="425" t="n"/>
      <c r="G18" s="425" t="n"/>
      <c r="H18" s="425" t="n"/>
      <c r="I18" s="425" t="n"/>
      <c r="J18" s="425" t="n"/>
      <c r="K18" s="425" t="n"/>
      <c r="L18" s="434" t="n"/>
      <c r="M18" s="425" t="n"/>
    </row>
    <row r="19">
      <c r="A19" s="344" t="inlineStr">
        <is>
          <t>COLLECTORS TALENTS</t>
        </is>
      </c>
      <c r="B19" s="406" t="n"/>
      <c r="C19" s="406" t="n"/>
      <c r="D19" s="406" t="n"/>
      <c r="E19" s="406" t="n"/>
      <c r="F19" s="406" t="n"/>
      <c r="G19" s="406" t="n"/>
      <c r="H19" s="406" t="n"/>
      <c r="I19" s="406" t="n"/>
      <c r="J19" s="406" t="n"/>
      <c r="K19" s="129" t="n"/>
      <c r="L19" s="434" t="n"/>
      <c r="M19" s="425" t="n"/>
    </row>
    <row r="20">
      <c r="A20" s="362" t="inlineStr">
        <is>
          <t xml:space="preserve">   Civil Engineering</t>
        </is>
      </c>
      <c r="B20" s="411" t="n"/>
      <c r="C20" s="411" t="n"/>
      <c r="D20" s="364" t="n">
        <v>25</v>
      </c>
      <c r="E20" s="411" t="n"/>
      <c r="F20" s="364" t="n">
        <v>25</v>
      </c>
      <c r="G20" s="411" t="n"/>
      <c r="H20" s="411" t="n"/>
      <c r="I20" s="411" t="n"/>
      <c r="J20" s="411" t="n"/>
      <c r="K20" s="426" t="inlineStr">
        <is>
          <t>10 Blue Talent Points</t>
        </is>
      </c>
      <c r="L20" s="434" t="n"/>
      <c r="M20" s="425" t="n"/>
    </row>
    <row r="21">
      <c r="A21" s="434" t="n"/>
      <c r="B21" s="425" t="n"/>
      <c r="C21" s="425" t="n"/>
      <c r="D21" s="425" t="n"/>
      <c r="E21" s="425" t="n"/>
      <c r="F21" s="425" t="n"/>
      <c r="G21" s="425" t="n"/>
      <c r="H21" s="425" t="n"/>
      <c r="I21" s="425" t="n"/>
      <c r="J21" s="425" t="n"/>
      <c r="K21" s="425" t="n"/>
      <c r="L21" s="434" t="n"/>
      <c r="M21" s="425" t="n"/>
    </row>
    <row r="22">
      <c r="A22" s="413" t="inlineStr">
        <is>
          <t>ROBOTS</t>
        </is>
      </c>
      <c r="B22" s="431" t="n"/>
      <c r="C22" s="431" t="n"/>
      <c r="D22" s="431" t="n"/>
      <c r="E22" s="431" t="n"/>
      <c r="F22" s="431" t="n"/>
      <c r="G22" s="431" t="n"/>
      <c r="H22" s="431" t="n"/>
      <c r="I22" s="431" t="n"/>
      <c r="J22" s="431" t="n"/>
      <c r="K22" s="405" t="n"/>
      <c r="L22" s="434" t="n"/>
      <c r="M22" s="425" t="n"/>
    </row>
    <row r="23">
      <c r="A23" s="409" t="inlineStr">
        <is>
          <t xml:space="preserve">   Surprise</t>
        </is>
      </c>
      <c r="B23" s="410" t="n"/>
      <c r="C23" s="410" t="n"/>
      <c r="D23" s="410" t="n">
        <v>3</v>
      </c>
      <c r="E23" s="410" t="n"/>
      <c r="F23" s="410" t="n"/>
      <c r="G23" s="410" t="n"/>
      <c r="H23" s="410" t="n"/>
      <c r="I23" s="410" t="n"/>
      <c r="J23" s="410" t="n"/>
      <c r="K23" s="414" t="inlineStr">
        <is>
          <t>Wormhole Refiner (0.03%)</t>
        </is>
      </c>
      <c r="L23" s="434" t="n"/>
      <c r="M23" s="425" t="n"/>
    </row>
    <row r="24">
      <c r="A24" s="398" t="n"/>
      <c r="B24" s="432" t="n"/>
      <c r="C24" s="432" t="n"/>
      <c r="D24" s="432" t="n"/>
      <c r="E24" s="432" t="n"/>
      <c r="F24" s="432" t="n"/>
      <c r="G24" s="432" t="n"/>
      <c r="H24" s="432" t="n"/>
      <c r="I24" s="432" t="n"/>
      <c r="J24" s="432" t="n"/>
      <c r="K24" s="404" t="n"/>
      <c r="L24" s="434" t="n"/>
      <c r="M24" s="425" t="n"/>
    </row>
    <row r="25">
      <c r="A25" s="344" t="inlineStr">
        <is>
          <t>ORGAN</t>
        </is>
      </c>
      <c r="B25" s="406" t="n"/>
      <c r="C25" s="406" t="n"/>
      <c r="D25" s="406" t="n"/>
      <c r="E25" s="406" t="n"/>
      <c r="F25" s="406" t="n"/>
      <c r="G25" s="406" t="n"/>
      <c r="H25" s="406" t="n"/>
      <c r="I25" s="406" t="n"/>
      <c r="J25" s="406" t="n"/>
      <c r="K25" s="129" t="n"/>
      <c r="L25" s="434" t="n"/>
      <c r="M25" s="425" t="n"/>
    </row>
    <row r="26">
      <c r="A26" s="434" t="inlineStr">
        <is>
          <t xml:space="preserve">   Warp Horn</t>
        </is>
      </c>
      <c r="B26" s="425" t="n"/>
      <c r="C26" s="425" t="n"/>
      <c r="D26" s="371" t="n">
        <v>10</v>
      </c>
      <c r="E26" s="425" t="n"/>
      <c r="F26" s="371" t="n">
        <v>10</v>
      </c>
      <c r="G26" s="425" t="n"/>
      <c r="H26" s="425" t="n"/>
      <c r="I26" s="425" t="n"/>
      <c r="J26" s="425" t="n"/>
      <c r="K26" s="418" t="inlineStr">
        <is>
          <t>lv20</t>
        </is>
      </c>
      <c r="L26" s="434" t="n"/>
      <c r="M26" s="425" t="n"/>
    </row>
    <row r="27">
      <c r="A27" s="362" t="inlineStr">
        <is>
          <t xml:space="preserve">   Alveolus of Gaia</t>
        </is>
      </c>
      <c r="B27" s="411" t="n"/>
      <c r="C27" s="411" t="n"/>
      <c r="D27" s="364" t="n">
        <v>20</v>
      </c>
      <c r="E27" s="411" t="n"/>
      <c r="F27" s="364" t="n">
        <v>20</v>
      </c>
      <c r="G27" s="411" t="n"/>
      <c r="H27" s="411" t="n"/>
      <c r="I27" s="411" t="n"/>
      <c r="J27" s="411" t="n"/>
      <c r="K27" s="426" t="inlineStr">
        <is>
          <t>lv40</t>
        </is>
      </c>
      <c r="L27" s="434" t="n"/>
      <c r="M27" s="425" t="n"/>
    </row>
    <row r="28">
      <c r="A28" s="434" t="inlineStr">
        <is>
          <t>MAX ORGAN</t>
        </is>
      </c>
      <c r="B28" s="425" t="n"/>
      <c r="C28" s="425" t="n"/>
      <c r="D28" s="425">
        <f>sum(D26:D27)</f>
        <v/>
      </c>
      <c r="E28" s="425" t="n"/>
      <c r="F28" s="425">
        <f>sum(F26:F27)</f>
        <v/>
      </c>
      <c r="G28" s="425" t="n"/>
      <c r="H28" s="425">
        <f>sum(H26:H27)</f>
        <v/>
      </c>
      <c r="I28" s="425" t="n"/>
      <c r="J28" s="425" t="n"/>
      <c r="K28" s="425" t="n"/>
      <c r="L28" s="434" t="n"/>
      <c r="M28" s="425" t="n"/>
    </row>
    <row r="29">
      <c r="A29" s="434" t="n"/>
      <c r="B29" s="425" t="n"/>
      <c r="C29" s="425" t="n"/>
      <c r="D29" s="425" t="n"/>
      <c r="E29" s="425" t="n"/>
      <c r="F29" s="425" t="n"/>
      <c r="G29" s="425" t="n"/>
      <c r="H29" s="425" t="n"/>
      <c r="I29" s="425" t="n"/>
      <c r="J29" s="425" t="n"/>
      <c r="K29" s="425" t="n"/>
      <c r="L29" s="434" t="n"/>
      <c r="M29" s="425" t="n"/>
    </row>
    <row r="30">
      <c r="A30" s="344" t="inlineStr">
        <is>
          <t>INTEL</t>
        </is>
      </c>
      <c r="B30" s="406" t="n"/>
      <c r="C30" s="406" t="n"/>
      <c r="D30" s="406" t="n"/>
      <c r="E30" s="406" t="n"/>
      <c r="F30" s="406" t="n"/>
      <c r="G30" s="406" t="n"/>
      <c r="H30" s="406" t="n"/>
      <c r="I30" s="406" t="n"/>
      <c r="J30" s="406" t="n"/>
      <c r="K30" s="129" t="n"/>
      <c r="L30" s="434" t="n"/>
      <c r="M30" s="425" t="n"/>
    </row>
    <row r="31">
      <c r="A31" s="362" t="inlineStr">
        <is>
          <t xml:space="preserve">   Cathay</t>
        </is>
      </c>
      <c r="B31" s="411" t="n"/>
      <c r="C31" s="411" t="n"/>
      <c r="D31" s="364" t="n">
        <v>10</v>
      </c>
      <c r="E31" s="411" t="n"/>
      <c r="F31" s="411" t="n"/>
      <c r="G31" s="411" t="n"/>
      <c r="H31" s="411" t="n"/>
      <c r="I31" s="411" t="n"/>
      <c r="J31" s="411" t="n"/>
      <c r="K31" s="426" t="n"/>
      <c r="L31" s="434" t="n"/>
      <c r="M31" s="425" t="n"/>
    </row>
    <row r="32">
      <c r="A32" s="434" t="n"/>
      <c r="B32" s="425" t="n"/>
      <c r="C32" s="425" t="n"/>
      <c r="D32" s="425" t="n"/>
      <c r="E32" s="425" t="n"/>
      <c r="F32" s="425" t="n"/>
      <c r="G32" s="425" t="n"/>
      <c r="H32" s="425" t="n"/>
      <c r="I32" s="425" t="n"/>
      <c r="J32" s="425" t="n"/>
      <c r="K32" s="425" t="n"/>
      <c r="L32" s="434" t="n"/>
      <c r="M32" s="425" t="n"/>
    </row>
    <row r="33">
      <c r="A33" s="413" t="inlineStr">
        <is>
          <t>ROCKET UPGRADES</t>
        </is>
      </c>
      <c r="B33" s="431" t="n"/>
      <c r="C33" s="431" t="n"/>
      <c r="D33" s="431" t="n"/>
      <c r="E33" s="431" t="n"/>
      <c r="F33" s="431" t="n"/>
      <c r="G33" s="431" t="n"/>
      <c r="H33" s="431" t="n"/>
      <c r="I33" s="431" t="n"/>
      <c r="J33" s="431" t="n"/>
      <c r="K33" s="405" t="n"/>
      <c r="L33" s="434" t="n"/>
      <c r="M33" s="425" t="n"/>
    </row>
    <row r="34">
      <c r="A34" s="409" t="inlineStr">
        <is>
          <t xml:space="preserve">   Eternal Hall</t>
        </is>
      </c>
      <c r="B34" s="410" t="n"/>
      <c r="C34" s="410" t="n"/>
      <c r="D34" s="410" t="n">
        <v>10</v>
      </c>
      <c r="E34" s="410" t="n"/>
      <c r="F34" s="410" t="n">
        <v>10</v>
      </c>
      <c r="G34" s="410" t="n"/>
      <c r="H34" s="410" t="n"/>
      <c r="I34" s="410" t="n"/>
      <c r="J34" s="410" t="n"/>
      <c r="K34" s="414" t="inlineStr">
        <is>
          <t>Lv5</t>
        </is>
      </c>
      <c r="L34" s="434" t="n"/>
      <c r="M34" s="425" t="n"/>
    </row>
    <row r="35">
      <c r="A35" s="398" t="n"/>
      <c r="B35" s="432" t="n"/>
      <c r="C35" s="432" t="n"/>
      <c r="D35" s="432" t="n"/>
      <c r="E35" s="432" t="n"/>
      <c r="F35" s="432" t="n"/>
      <c r="G35" s="432" t="n"/>
      <c r="H35" s="432" t="n"/>
      <c r="I35" s="432" t="n"/>
      <c r="J35" s="432" t="n"/>
      <c r="K35" s="404" t="n"/>
      <c r="L35" s="434" t="n"/>
      <c r="M35" s="425" t="n"/>
    </row>
    <row r="36">
      <c r="A36" s="344" t="inlineStr">
        <is>
          <t>AVATARS</t>
        </is>
      </c>
      <c r="B36" s="406" t="n"/>
      <c r="C36" s="406" t="n"/>
      <c r="D36" s="406" t="n"/>
      <c r="E36" s="406" t="n"/>
      <c r="F36" s="406" t="n"/>
      <c r="G36" s="406" t="n"/>
      <c r="H36" s="406" t="n"/>
      <c r="I36" s="406" t="n"/>
      <c r="J36" s="406" t="n"/>
      <c r="K36" s="129" t="n"/>
      <c r="L36" s="434" t="n"/>
      <c r="M36" s="425" t="n"/>
    </row>
    <row r="37">
      <c r="A37" s="362" t="inlineStr">
        <is>
          <t xml:space="preserve">   Mirage Avatar I Bonus</t>
        </is>
      </c>
      <c r="B37" s="411" t="n"/>
      <c r="C37" s="411" t="n"/>
      <c r="D37" s="364" t="n">
        <v>20</v>
      </c>
      <c r="E37" s="411" t="n"/>
      <c r="F37" s="364" t="n">
        <v>40</v>
      </c>
      <c r="G37" s="411" t="n"/>
      <c r="H37" s="411" t="n"/>
      <c r="I37" s="411" t="n"/>
      <c r="J37" s="411" t="n"/>
      <c r="K37" s="426" t="n"/>
      <c r="L37" s="434" t="n"/>
      <c r="M37" s="425" t="n"/>
    </row>
    <row r="38">
      <c r="A38" s="434" t="n"/>
      <c r="B38" s="425" t="n"/>
      <c r="C38" s="425" t="n"/>
      <c r="D38" s="425" t="n"/>
      <c r="E38" s="425" t="n"/>
      <c r="F38" s="425" t="n"/>
      <c r="G38" s="425" t="n"/>
      <c r="H38" s="425" t="n"/>
      <c r="I38" s="425" t="n"/>
      <c r="J38" s="425" t="n"/>
      <c r="K38" s="425" t="n"/>
      <c r="L38" s="434" t="n"/>
      <c r="M38" s="425" t="n"/>
    </row>
    <row r="39">
      <c r="A39" s="344" t="inlineStr">
        <is>
          <t>STAMPS</t>
        </is>
      </c>
      <c r="B39" s="406" t="n"/>
      <c r="C39" s="406" t="n"/>
      <c r="D39" s="406" t="n"/>
      <c r="E39" s="406" t="n"/>
      <c r="F39" s="406" t="n"/>
      <c r="G39" s="406" t="n"/>
      <c r="H39" s="406" t="n"/>
      <c r="I39" s="406" t="n"/>
      <c r="J39" s="406" t="n"/>
      <c r="K39" s="129" t="n"/>
      <c r="L39" s="434" t="n"/>
      <c r="M39" s="425" t="n"/>
    </row>
    <row r="40">
      <c r="A40" s="357" t="inlineStr">
        <is>
          <t xml:space="preserve">   Gaea's Hand</t>
        </is>
      </c>
      <c r="B40" s="425" t="inlineStr">
        <is>
          <t>SSS</t>
        </is>
      </c>
      <c r="C40" s="425" t="inlineStr">
        <is>
          <t>FTH</t>
        </is>
      </c>
      <c r="D40" s="371" t="n">
        <v>30</v>
      </c>
      <c r="E40" s="425" t="n"/>
      <c r="F40" s="371" t="n">
        <v>30</v>
      </c>
      <c r="G40" s="425" t="n"/>
      <c r="H40" s="371" t="n">
        <v>30</v>
      </c>
      <c r="I40" s="425" t="n"/>
      <c r="J40" s="425" t="n"/>
      <c r="K40" s="418" t="inlineStr">
        <is>
          <t>Wish Pack, Lottery Machine (0.09%), Wishing (0.06%), Grandmaster Scrolls (0.81%), Relic Forge (120 Relic RF)</t>
        </is>
      </c>
      <c r="L40" s="434" t="n"/>
      <c r="M40" s="425" t="n"/>
    </row>
    <row r="41">
      <c r="A41" s="357" t="inlineStr">
        <is>
          <t xml:space="preserve">   Aladdin Lamp</t>
        </is>
      </c>
      <c r="B41" s="425" t="inlineStr">
        <is>
          <t>SS</t>
        </is>
      </c>
      <c r="C41" s="425" t="inlineStr">
        <is>
          <t>FTH</t>
        </is>
      </c>
      <c r="D41" s="371" t="n">
        <v>30</v>
      </c>
      <c r="E41" s="425" t="n"/>
      <c r="F41" s="425" t="n"/>
      <c r="G41" s="425" t="n"/>
      <c r="H41" s="425" t="n"/>
      <c r="I41" s="425" t="n"/>
      <c r="J41" s="371" t="n">
        <v>15</v>
      </c>
      <c r="K41" s="418" t="inlineStr">
        <is>
          <t>Lottery Machine (0.12%), Wishing (0.08%), Grandmaster Scrolls (1%), Relic Forge (100 Relic RF), Altar Value Pack II ($49.99)</t>
        </is>
      </c>
      <c r="L41" s="434" t="n"/>
      <c r="M41" s="425" t="n"/>
    </row>
    <row r="42">
      <c r="A42" s="357" t="inlineStr">
        <is>
          <t xml:space="preserve">   Mahakala Scroll</t>
        </is>
      </c>
      <c r="B42" s="425" t="inlineStr">
        <is>
          <t>SSS</t>
        </is>
      </c>
      <c r="C42" s="425" t="inlineStr">
        <is>
          <t>FTH</t>
        </is>
      </c>
      <c r="D42" s="425" t="n"/>
      <c r="E42" s="425" t="n"/>
      <c r="F42" s="371" t="n">
        <v>30</v>
      </c>
      <c r="G42" s="425" t="n"/>
      <c r="H42" s="371" t="n">
        <v>30</v>
      </c>
      <c r="I42" s="425" t="n"/>
      <c r="J42" s="371" t="n">
        <v>15</v>
      </c>
      <c r="K42" s="418" t="inlineStr">
        <is>
          <t>Jinx Points Bonus Reward</t>
        </is>
      </c>
      <c r="L42" s="434" t="n"/>
      <c r="M42" s="425" t="n"/>
    </row>
    <row r="43">
      <c r="A43" s="357" t="inlineStr">
        <is>
          <t xml:space="preserve">   The Argo</t>
        </is>
      </c>
      <c r="B43" s="425" t="inlineStr">
        <is>
          <t>SSS</t>
        </is>
      </c>
      <c r="C43" s="425" t="inlineStr">
        <is>
          <t>FTH</t>
        </is>
      </c>
      <c r="D43" s="425" t="n"/>
      <c r="E43" s="425" t="n"/>
      <c r="F43" s="371" t="n">
        <v>30</v>
      </c>
      <c r="G43" s="425" t="n"/>
      <c r="H43" s="371" t="n">
        <v>30</v>
      </c>
      <c r="I43" s="425" t="n"/>
      <c r="J43" s="371" t="n">
        <v>15</v>
      </c>
      <c r="K43" s="418" t="inlineStr">
        <is>
          <t>Lottery Machine (0.09%), Summer Festival Sept. 1-15, 2023</t>
        </is>
      </c>
      <c r="L43" s="434" t="n"/>
      <c r="M43" s="425" t="n"/>
    </row>
    <row r="44">
      <c r="A44" s="434" t="inlineStr">
        <is>
          <t xml:space="preserve">   Golden Finger</t>
        </is>
      </c>
      <c r="B44" s="425" t="inlineStr">
        <is>
          <t>S</t>
        </is>
      </c>
      <c r="C44" s="425" t="inlineStr">
        <is>
          <t>FTH</t>
        </is>
      </c>
      <c r="D44" s="371" t="n">
        <v>30</v>
      </c>
      <c r="E44" s="425" t="n"/>
      <c r="F44" s="425" t="n"/>
      <c r="G44" s="425" t="n"/>
      <c r="H44" s="425" t="n"/>
      <c r="I44" s="425" t="n"/>
      <c r="J44" s="425" t="n"/>
      <c r="K44" s="418" t="inlineStr">
        <is>
          <t>Fragment Crafting (15.1%), Lottery Machine (0.81%), Wishing (0.53%), Master Scrolls (6.5%), FTH Master Scrolls (31.5%), Relic Forge (90 Relic RF)</t>
        </is>
      </c>
      <c r="L44" s="434" t="n"/>
      <c r="M44" s="425" t="n"/>
    </row>
    <row r="45">
      <c r="A45" s="434" t="inlineStr">
        <is>
          <t xml:space="preserve">   Shroud of Turin</t>
        </is>
      </c>
      <c r="B45" s="425" t="inlineStr">
        <is>
          <t>S</t>
        </is>
      </c>
      <c r="C45" s="425" t="inlineStr">
        <is>
          <t>FTH</t>
        </is>
      </c>
      <c r="D45" s="425" t="n"/>
      <c r="E45" s="425" t="n"/>
      <c r="F45" s="425" t="n"/>
      <c r="G45" s="425" t="n"/>
      <c r="H45" s="371" t="n">
        <v>30</v>
      </c>
      <c r="I45" s="425" t="n"/>
      <c r="J45" s="425" t="n"/>
      <c r="K45" s="418" t="inlineStr">
        <is>
          <t>Fragment Crafting (15.1%), Lottery Machine (0.81%), Wishing (0.53%), Relic Forge (90 Relic RF)</t>
        </is>
      </c>
      <c r="L45" s="434" t="n"/>
      <c r="M45" s="425" t="n"/>
    </row>
    <row r="46">
      <c r="A46" s="434" t="inlineStr">
        <is>
          <t xml:space="preserve">   Ark of the Covenant</t>
        </is>
      </c>
      <c r="B46" s="425" t="inlineStr">
        <is>
          <t>S</t>
        </is>
      </c>
      <c r="C46" s="425" t="inlineStr">
        <is>
          <t>FTH</t>
        </is>
      </c>
      <c r="D46" s="425" t="n"/>
      <c r="E46" s="425" t="n"/>
      <c r="F46" s="425" t="n"/>
      <c r="G46" s="425" t="n"/>
      <c r="H46" s="371" t="n">
        <v>30</v>
      </c>
      <c r="I46" s="425" t="n"/>
      <c r="J46" s="425" t="n"/>
      <c r="K46" s="418" t="inlineStr">
        <is>
          <t>Fragment Crafting (15.1%), Lottery Machine (0.81%), Wishing (0.53%), Relic Forge (90 Relic RF)</t>
        </is>
      </c>
      <c r="L46" s="434" t="n"/>
      <c r="M46" s="425" t="n"/>
    </row>
    <row r="47">
      <c r="A47" s="434" t="inlineStr">
        <is>
          <t xml:space="preserve">   3-Faced Statue</t>
        </is>
      </c>
      <c r="B47" s="425" t="inlineStr">
        <is>
          <t>S</t>
        </is>
      </c>
      <c r="C47" s="425" t="inlineStr">
        <is>
          <t>FTH</t>
        </is>
      </c>
      <c r="D47" s="425" t="n"/>
      <c r="E47" s="425" t="n"/>
      <c r="F47" s="425" t="n"/>
      <c r="G47" s="425" t="n"/>
      <c r="H47" s="425" t="n"/>
      <c r="I47" s="425" t="n"/>
      <c r="J47" s="371" t="n">
        <v>15</v>
      </c>
      <c r="K47" s="418" t="inlineStr">
        <is>
          <t>Fragment Crafting (4.4%), Lottery Machine (0.24%), Wishing (0.16%), Demon God Chest (5%), Master Scrolls (1.9%), Grandmaster Scrolls (2.1%), FTH Master Scrolls (9.2%), Indigent Nobleman (570K B-tads)</t>
        </is>
      </c>
      <c r="L47" s="434" t="n"/>
      <c r="M47" s="425" t="n"/>
    </row>
    <row r="48">
      <c r="A48" s="434" t="inlineStr">
        <is>
          <t xml:space="preserve">   The Key of Solomon</t>
        </is>
      </c>
      <c r="B48" s="425" t="inlineStr">
        <is>
          <t>SS</t>
        </is>
      </c>
      <c r="C48" s="425" t="inlineStr">
        <is>
          <t>FTH</t>
        </is>
      </c>
      <c r="D48" s="425" t="n"/>
      <c r="E48" s="425" t="n"/>
      <c r="F48" s="371" t="n">
        <v>30</v>
      </c>
      <c r="G48" s="425" t="n"/>
      <c r="H48" s="425" t="n"/>
      <c r="I48" s="425" t="n"/>
      <c r="J48" s="371" t="n">
        <v>15</v>
      </c>
      <c r="K48" s="418" t="inlineStr">
        <is>
          <t>T7f Demon Gene Research</t>
        </is>
      </c>
      <c r="L48" s="434" t="n"/>
      <c r="M48" s="425" t="n"/>
    </row>
    <row r="49">
      <c r="A49" s="434" t="inlineStr">
        <is>
          <t xml:space="preserve">   Edison's Kinetoscope</t>
        </is>
      </c>
      <c r="B49" s="425" t="inlineStr">
        <is>
          <t>S</t>
        </is>
      </c>
      <c r="C49" s="425" t="inlineStr">
        <is>
          <t>TECH</t>
        </is>
      </c>
      <c r="D49" s="371" t="n">
        <v>30</v>
      </c>
      <c r="E49" s="425" t="n"/>
      <c r="F49" s="425" t="n"/>
      <c r="G49" s="425" t="n"/>
      <c r="H49" s="425" t="n"/>
      <c r="I49" s="425" t="n"/>
      <c r="J49" s="425" t="n"/>
      <c r="K49" s="418" t="inlineStr">
        <is>
          <t>Ad Shop</t>
        </is>
      </c>
      <c r="L49" s="434" t="n"/>
      <c r="M49" s="425" t="n"/>
    </row>
    <row r="50">
      <c r="A50" s="434" t="inlineStr">
        <is>
          <t xml:space="preserve">   Venus de Milo</t>
        </is>
      </c>
      <c r="B50" s="425" t="inlineStr">
        <is>
          <t>SS</t>
        </is>
      </c>
      <c r="C50" s="425" t="inlineStr">
        <is>
          <t>ART</t>
        </is>
      </c>
      <c r="D50" s="371" t="n">
        <v>30</v>
      </c>
      <c r="E50" s="425" t="n"/>
      <c r="F50" s="425" t="n"/>
      <c r="G50" s="425" t="n"/>
      <c r="H50" s="425" t="n"/>
      <c r="I50" s="425" t="n"/>
      <c r="J50" s="425" t="n"/>
      <c r="K50" s="418" t="inlineStr">
        <is>
          <t>T7 Angel Gene Research</t>
        </is>
      </c>
      <c r="L50" s="434" t="n"/>
      <c r="M50" s="425" t="n"/>
    </row>
    <row r="51">
      <c r="A51" s="434" t="inlineStr">
        <is>
          <t xml:space="preserve">   The Pieta</t>
        </is>
      </c>
      <c r="B51" s="425" t="inlineStr">
        <is>
          <t>S</t>
        </is>
      </c>
      <c r="C51" s="425" t="inlineStr">
        <is>
          <t>CIV</t>
        </is>
      </c>
      <c r="D51" s="425" t="n"/>
      <c r="E51" s="425" t="n"/>
      <c r="F51" s="425" t="n"/>
      <c r="G51" s="425" t="n"/>
      <c r="H51" s="371" t="n">
        <v>30</v>
      </c>
      <c r="I51" s="425" t="n"/>
      <c r="J51" s="425" t="n"/>
      <c r="K51" s="418" t="inlineStr">
        <is>
          <t>Fragment Crafting (18.8%), Lottery Machine (0.81%), Wishing (0.69%), Relic Forge (90 Relic RF)</t>
        </is>
      </c>
      <c r="L51" s="434" t="n"/>
      <c r="M51" s="425" t="n"/>
    </row>
    <row r="52">
      <c r="A52" s="434" t="inlineStr">
        <is>
          <t xml:space="preserve">   Das Capital</t>
        </is>
      </c>
      <c r="B52" s="425" t="inlineStr">
        <is>
          <t>SS</t>
        </is>
      </c>
      <c r="C52" s="425" t="inlineStr">
        <is>
          <t>CIV</t>
        </is>
      </c>
      <c r="D52" s="425" t="n"/>
      <c r="E52" s="425" t="n"/>
      <c r="F52" s="425" t="n"/>
      <c r="G52" s="425" t="n"/>
      <c r="H52" s="425" t="n"/>
      <c r="I52" s="425" t="n"/>
      <c r="J52" s="371" t="n">
        <v>15</v>
      </c>
      <c r="K52" s="418" t="inlineStr">
        <is>
          <t>Lottery Machine (0.12%), Wishing (0.1%), Britland Treasure Maps (5%), Grandmaster Scrolls (1%), Relic Forge (100 Relic RF), beat Mr. Raccoon in combat</t>
        </is>
      </c>
      <c r="L52" s="434" t="n"/>
      <c r="M52" s="425" t="n"/>
    </row>
    <row r="53">
      <c r="A53" s="434" t="inlineStr">
        <is>
          <t xml:space="preserve">   Devol's Robot</t>
        </is>
      </c>
      <c r="B53" s="425" t="inlineStr">
        <is>
          <t>S</t>
        </is>
      </c>
      <c r="C53" s="425" t="inlineStr">
        <is>
          <t>TECH</t>
        </is>
      </c>
      <c r="D53" s="425" t="n"/>
      <c r="E53" s="425" t="n"/>
      <c r="F53" s="425" t="n"/>
      <c r="G53" s="425" t="n"/>
      <c r="H53" s="425" t="n"/>
      <c r="I53" s="425" t="n"/>
      <c r="J53" s="371" t="n">
        <v>15</v>
      </c>
      <c r="K53" s="418" t="inlineStr">
        <is>
          <t>Fragment Crafting (17.8%), Wishing (0.65%), Ad Chest (3%), Master Scrolls (6.5%), TECH Master Scrolls (31.5%), Relic Forge (90 Relic RF)</t>
        </is>
      </c>
      <c r="L53" s="434" t="n"/>
      <c r="M53" s="425" t="n"/>
    </row>
    <row r="54">
      <c r="A54" s="434" t="inlineStr">
        <is>
          <t xml:space="preserve">   Tetromino</t>
        </is>
      </c>
      <c r="B54" s="425" t="inlineStr">
        <is>
          <t>S</t>
        </is>
      </c>
      <c r="C54" s="415" t="inlineStr">
        <is>
          <t>FAME</t>
        </is>
      </c>
      <c r="D54" s="425" t="n"/>
      <c r="E54" s="425" t="n"/>
      <c r="F54" s="425" t="n"/>
      <c r="G54" s="425" t="n"/>
      <c r="H54" s="425" t="n"/>
      <c r="I54" s="425" t="n"/>
      <c r="J54" s="371" t="n">
        <v>15</v>
      </c>
      <c r="K54" s="418" t="inlineStr">
        <is>
          <t>Fragment Crafting (20.7%), Lottery Machine (0.81%), Wishing (0.75%), Master Scrolls (6.5%), FAME Master Scrolls (31.5%), Relic Forge (90 Relic RF)</t>
        </is>
      </c>
      <c r="L54" s="434" t="n"/>
      <c r="M54" s="425" t="n"/>
    </row>
    <row r="55">
      <c r="A55" s="434" t="inlineStr">
        <is>
          <t xml:space="preserve">   Element R.</t>
        </is>
      </c>
      <c r="B55" s="425" t="inlineStr">
        <is>
          <t>S</t>
        </is>
      </c>
      <c r="C55" s="425" t="inlineStr">
        <is>
          <t>TECH</t>
        </is>
      </c>
      <c r="D55" s="425" t="n"/>
      <c r="E55" s="425" t="n"/>
      <c r="F55" s="425" t="n"/>
      <c r="G55" s="425" t="n"/>
      <c r="H55" s="425" t="n"/>
      <c r="I55" s="425" t="n"/>
      <c r="J55" s="371" t="n">
        <v>15</v>
      </c>
      <c r="K55" s="418" t="inlineStr">
        <is>
          <t>Fragment Crafting (17.8%), Lottery Machine (0.81%), Wishing (0.65%), Relic Forge (90 Relic RF)</t>
        </is>
      </c>
      <c r="L55" s="434" t="n"/>
      <c r="M55" s="425" t="n"/>
    </row>
    <row r="56">
      <c r="A56" s="434" t="inlineStr">
        <is>
          <t xml:space="preserve">   The Thinker</t>
        </is>
      </c>
      <c r="B56" s="425" t="inlineStr">
        <is>
          <t>SS</t>
        </is>
      </c>
      <c r="C56" s="425" t="inlineStr">
        <is>
          <t>ART</t>
        </is>
      </c>
      <c r="D56" s="425" t="n"/>
      <c r="E56" s="425" t="n"/>
      <c r="F56" s="425" t="n"/>
      <c r="G56" s="425" t="n"/>
      <c r="H56" s="425" t="n"/>
      <c r="I56" s="425" t="n"/>
      <c r="J56" s="371" t="n">
        <v>15</v>
      </c>
      <c r="K56" s="418" t="inlineStr">
        <is>
          <t>Fragment Crafting (5.3%), Lottery Machine (0.24%), Wishing (0.2%), Demon God Chest (5%), Master Scrolls (1.9%), Grandmaster Scrolls (2.1%), ART Master Scrolls (10.2%)</t>
        </is>
      </c>
      <c r="L56" s="434" t="n"/>
      <c r="M56" s="425" t="n"/>
    </row>
    <row r="57">
      <c r="A57" s="434" t="inlineStr">
        <is>
          <t xml:space="preserve">   Watt Steam Engine</t>
        </is>
      </c>
      <c r="B57" s="425" t="inlineStr">
        <is>
          <t>SS</t>
        </is>
      </c>
      <c r="C57" s="425" t="inlineStr">
        <is>
          <t>TECH</t>
        </is>
      </c>
      <c r="D57" s="425" t="n"/>
      <c r="E57" s="425" t="n"/>
      <c r="F57" s="371" t="n">
        <v>30</v>
      </c>
      <c r="G57" s="425" t="n"/>
      <c r="H57" s="425" t="n"/>
      <c r="I57" s="425" t="n"/>
      <c r="J57" s="425" t="n"/>
      <c r="K57" s="418" t="inlineStr">
        <is>
          <t>Lottery Machine (0.12%), Wishing (0.1%), Grandmaster Scrolls (1%), Relic Forge (100 Relic RF), Fissure Value Pack II ($49.99), Fissure Value Pack III ($99.99)</t>
        </is>
      </c>
      <c r="L57" s="434" t="n"/>
      <c r="M57" s="425" t="n"/>
    </row>
    <row r="58">
      <c r="A58" s="434" t="inlineStr">
        <is>
          <t xml:space="preserve">   Plato's Republic</t>
        </is>
      </c>
      <c r="B58" s="425" t="inlineStr">
        <is>
          <t>SS</t>
        </is>
      </c>
      <c r="C58" s="425" t="inlineStr">
        <is>
          <t>CIV</t>
        </is>
      </c>
      <c r="D58" s="425" t="n"/>
      <c r="E58" s="425" t="n"/>
      <c r="F58" s="371" t="n">
        <v>30</v>
      </c>
      <c r="G58" s="425" t="n"/>
      <c r="H58" s="425" t="n"/>
      <c r="I58" s="425" t="n"/>
      <c r="J58" s="425" t="n"/>
      <c r="K58" s="418" t="inlineStr">
        <is>
          <t>Lottery Machine (0.12%), Wishing (0.1%), Grandmaster Scrolls (1%), Relic Forge (100 Relic RF)</t>
        </is>
      </c>
      <c r="L58" s="434" t="n"/>
      <c r="M58" s="425" t="n"/>
    </row>
    <row r="59">
      <c r="A59" s="434" t="inlineStr">
        <is>
          <t xml:space="preserve">   Paradise Lost</t>
        </is>
      </c>
      <c r="B59" s="425" t="inlineStr">
        <is>
          <t>S</t>
        </is>
      </c>
      <c r="C59" s="425" t="inlineStr">
        <is>
          <t>CIV</t>
        </is>
      </c>
      <c r="D59" s="425" t="n"/>
      <c r="E59" s="425" t="n"/>
      <c r="F59" s="371" t="n">
        <v>30</v>
      </c>
      <c r="G59" s="425" t="n"/>
      <c r="H59" s="425" t="n"/>
      <c r="I59" s="425" t="n"/>
      <c r="J59" s="425" t="n"/>
      <c r="K59" s="418" t="inlineStr">
        <is>
          <t>Fragment Crafting (18.8%), Lottery Machine (0.81%), Wishing (0.69%), Super Treasure Maps (15%), Master Scrolls (6.5%), CIV Master Scrolls (34.7%), Relic Forge (90 Relic RF)</t>
        </is>
      </c>
      <c r="L59" s="434" t="n"/>
      <c r="M59" s="425" t="n"/>
    </row>
    <row r="60">
      <c r="A60" s="362" t="inlineStr">
        <is>
          <t>MAX QUARRY STAMPS</t>
        </is>
      </c>
      <c r="B60" s="411" t="n"/>
      <c r="C60" s="411" t="n"/>
      <c r="D60" s="364">
        <f>D40+D42+D41</f>
        <v/>
      </c>
      <c r="E60" s="411" t="n"/>
      <c r="F60" s="364">
        <f>F40+F42+F41</f>
        <v/>
      </c>
      <c r="G60" s="411" t="n"/>
      <c r="H60" s="364">
        <f>H40+H42+H41</f>
        <v/>
      </c>
      <c r="I60" s="411" t="n"/>
      <c r="J60" s="364" t="n">
        <v>30</v>
      </c>
      <c r="K60" s="426" t="n"/>
      <c r="L60" s="434" t="n"/>
      <c r="M60" s="425" t="n"/>
    </row>
    <row r="61">
      <c r="A61" s="434" t="n"/>
      <c r="B61" s="425" t="n"/>
      <c r="C61" s="425" t="n"/>
      <c r="D61" s="425" t="n"/>
      <c r="E61" s="425" t="n"/>
      <c r="F61" s="425" t="n"/>
      <c r="G61" s="425" t="n"/>
      <c r="H61" s="425" t="n"/>
      <c r="I61" s="425" t="n"/>
      <c r="J61" s="425" t="n"/>
      <c r="K61" s="425" t="n"/>
      <c r="L61" s="434" t="n"/>
      <c r="M61" s="425" t="n"/>
    </row>
    <row r="62">
      <c r="A62" s="424" t="inlineStr">
        <is>
          <t>RESONANCE</t>
        </is>
      </c>
      <c r="B62" s="406" t="n"/>
      <c r="C62" s="406" t="n"/>
      <c r="D62" s="406" t="n"/>
      <c r="E62" s="406" t="n"/>
      <c r="F62" s="406" t="n"/>
      <c r="G62" s="406" t="n"/>
      <c r="H62" s="406" t="n"/>
      <c r="I62" s="406" t="n"/>
      <c r="J62" s="406" t="n"/>
      <c r="K62" s="129" t="n"/>
      <c r="L62" s="434" t="n"/>
      <c r="M62" s="425" t="n"/>
    </row>
    <row r="63">
      <c r="A63" s="434" t="inlineStr">
        <is>
          <t xml:space="preserve">  BLUE</t>
        </is>
      </c>
      <c r="B63" s="425" t="n"/>
      <c r="C63" s="425" t="n"/>
      <c r="D63" s="425" t="n"/>
      <c r="E63" s="425" t="n"/>
      <c r="F63" s="425" t="n"/>
      <c r="G63" s="425" t="n"/>
      <c r="H63" s="425" t="n"/>
      <c r="I63" s="425" t="n"/>
      <c r="J63" s="425" t="n"/>
      <c r="K63" s="418" t="n"/>
      <c r="L63" s="434" t="n"/>
      <c r="M63" s="425" t="n"/>
    </row>
    <row r="64">
      <c r="A64" s="434" t="inlineStr">
        <is>
          <t xml:space="preserve">    Output</t>
        </is>
      </c>
      <c r="B64" s="425" t="n"/>
      <c r="C64" s="425" t="n"/>
      <c r="D64" s="371" t="n">
        <v>12</v>
      </c>
      <c r="E64" s="425" t="n"/>
      <c r="F64" s="425" t="n"/>
      <c r="G64" s="425" t="n"/>
      <c r="H64" s="425" t="n"/>
      <c r="I64" s="425" t="n"/>
      <c r="J64" s="425" t="n"/>
      <c r="K64" s="418" t="n"/>
      <c r="L64" s="434" t="n"/>
      <c r="M64" s="425" t="n"/>
    </row>
    <row r="65">
      <c r="A65" s="434" t="inlineStr">
        <is>
          <t xml:space="preserve">      Haradic Cube</t>
        </is>
      </c>
      <c r="B65" s="425" t="inlineStr">
        <is>
          <t>Blue</t>
        </is>
      </c>
      <c r="C65" s="425" t="inlineStr">
        <is>
          <t>FTH</t>
        </is>
      </c>
      <c r="D65" s="425" t="n"/>
      <c r="E65" s="425" t="n"/>
      <c r="F65" s="425" t="n"/>
      <c r="G65" s="425" t="n"/>
      <c r="H65" s="425" t="n"/>
      <c r="I65" s="425" t="n"/>
      <c r="J65" s="425" t="n"/>
      <c r="K65" s="418" t="inlineStr">
        <is>
          <t>Lottery Machine (0.03%), Wishing (0.85%)</t>
        </is>
      </c>
      <c r="L65" s="434" t="n"/>
      <c r="M65" s="425" t="n"/>
    </row>
    <row r="66">
      <c r="A66" s="434" t="inlineStr">
        <is>
          <t xml:space="preserve">      Our Lady of Kazan</t>
        </is>
      </c>
      <c r="B66" s="425" t="inlineStr">
        <is>
          <t>Blue</t>
        </is>
      </c>
      <c r="C66" s="425" t="inlineStr">
        <is>
          <t>FTH</t>
        </is>
      </c>
      <c r="D66" s="425" t="n"/>
      <c r="E66" s="425" t="n"/>
      <c r="F66" s="425" t="n"/>
      <c r="G66" s="425" t="n"/>
      <c r="H66" s="425" t="n"/>
      <c r="I66" s="425" t="n"/>
      <c r="J66" s="425" t="n"/>
      <c r="K66" s="418" t="inlineStr">
        <is>
          <t>Lottery Machine (0.36%), Wishing (10.6%), Novice Scrolls (5%)</t>
        </is>
      </c>
      <c r="L66" s="434" t="n"/>
      <c r="M66" s="425" t="n"/>
    </row>
    <row r="67">
      <c r="A67" s="434" t="inlineStr">
        <is>
          <t xml:space="preserve">      Chair of Busby</t>
        </is>
      </c>
      <c r="B67" s="425" t="inlineStr">
        <is>
          <t>Blue</t>
        </is>
      </c>
      <c r="C67" s="425" t="inlineStr">
        <is>
          <t>FTH</t>
        </is>
      </c>
      <c r="D67" s="425" t="n"/>
      <c r="E67" s="425" t="n"/>
      <c r="F67" s="425" t="n"/>
      <c r="G67" s="425" t="n"/>
      <c r="H67" s="425" t="n"/>
      <c r="I67" s="425" t="n"/>
      <c r="J67" s="425" t="n"/>
      <c r="K67" s="418" t="inlineStr">
        <is>
          <t>Lottery Machine (0.03%), Wishing (0.85%)</t>
        </is>
      </c>
      <c r="L67" s="434" t="n"/>
      <c r="M67" s="425" t="n"/>
    </row>
    <row r="68">
      <c r="A68" s="434" t="inlineStr">
        <is>
          <t xml:space="preserve">    Ancient Fossil</t>
        </is>
      </c>
      <c r="B68" s="425" t="n"/>
      <c r="C68" s="425" t="n"/>
      <c r="D68" s="425" t="n"/>
      <c r="E68" s="425" t="n"/>
      <c r="F68" s="425" t="n"/>
      <c r="G68" s="425" t="n"/>
      <c r="H68" s="371" t="n">
        <v>12</v>
      </c>
      <c r="I68" s="425" t="n"/>
      <c r="J68" s="425" t="n"/>
      <c r="K68" s="418" t="n"/>
      <c r="L68" s="434" t="n"/>
      <c r="M68" s="425" t="n"/>
    </row>
    <row r="69">
      <c r="A69" s="434" t="inlineStr">
        <is>
          <t xml:space="preserve">      Peter Pan's Flute</t>
        </is>
      </c>
      <c r="B69" s="425" t="inlineStr">
        <is>
          <t>Blue</t>
        </is>
      </c>
      <c r="C69" s="415" t="inlineStr">
        <is>
          <t>FAME</t>
        </is>
      </c>
      <c r="D69" s="425" t="n"/>
      <c r="E69" s="425" t="n"/>
      <c r="F69" s="425" t="n"/>
      <c r="G69" s="425" t="n"/>
      <c r="H69" s="425" t="n"/>
      <c r="I69" s="425" t="n"/>
      <c r="J69" s="425" t="n"/>
      <c r="K69" s="418" t="inlineStr">
        <is>
          <t>Lottery Machine (0.03%), Wishing (1.2%), Britland Treasure Map (20%), Indigent Nobleman (72K B-tads)</t>
        </is>
      </c>
      <c r="L69" s="434" t="n"/>
      <c r="M69" s="425" t="n"/>
    </row>
    <row r="70">
      <c r="A70" s="434" t="inlineStr">
        <is>
          <t xml:space="preserve">      Spinning Jenny</t>
        </is>
      </c>
      <c r="B70" s="425" t="inlineStr">
        <is>
          <t>Blue</t>
        </is>
      </c>
      <c r="C70" s="425" t="inlineStr">
        <is>
          <t>TECH</t>
        </is>
      </c>
      <c r="D70" s="425" t="n"/>
      <c r="E70" s="425" t="n"/>
      <c r="F70" s="425" t="n"/>
      <c r="G70" s="425" t="n"/>
      <c r="H70" s="425" t="n"/>
      <c r="I70" s="425" t="n"/>
      <c r="J70" s="425" t="n"/>
      <c r="K70" s="418" t="inlineStr">
        <is>
          <t>Lottery Machine (0.36%), Wishing (13.2%), Tool Chest (2%), Novice Scroll (5%)</t>
        </is>
      </c>
      <c r="L70" s="434" t="n"/>
      <c r="M70" s="425" t="n"/>
    </row>
    <row r="71">
      <c r="A71" s="434" t="inlineStr">
        <is>
          <t xml:space="preserve">      Gregor Specimin</t>
        </is>
      </c>
      <c r="B71" s="425" t="inlineStr">
        <is>
          <t>Blue</t>
        </is>
      </c>
      <c r="C71" s="425" t="inlineStr">
        <is>
          <t>ART</t>
        </is>
      </c>
      <c r="D71" s="425" t="n"/>
      <c r="E71" s="425" t="n"/>
      <c r="F71" s="425" t="n"/>
      <c r="G71" s="425" t="n"/>
      <c r="H71" s="425" t="n"/>
      <c r="I71" s="425" t="n"/>
      <c r="J71" s="425" t="n"/>
      <c r="K71" s="418" t="inlineStr">
        <is>
          <t>Lottery Machine (0.03%), Wishing (1.2%), Evolution Chest (2%)</t>
        </is>
      </c>
      <c r="L71" s="434" t="n"/>
      <c r="M71" s="425" t="n"/>
    </row>
    <row r="72">
      <c r="A72" s="434" t="inlineStr">
        <is>
          <t xml:space="preserve">  PURPLE</t>
        </is>
      </c>
      <c r="B72" s="425" t="n"/>
      <c r="C72" s="425" t="n"/>
      <c r="D72" s="425" t="n"/>
      <c r="E72" s="425" t="n"/>
      <c r="F72" s="425" t="n"/>
      <c r="G72" s="425" t="n"/>
      <c r="H72" s="425" t="n"/>
      <c r="I72" s="425" t="n"/>
      <c r="J72" s="425" t="n"/>
      <c r="K72" s="418" t="n"/>
      <c r="L72" s="434" t="n"/>
      <c r="M72" s="425" t="n"/>
    </row>
    <row r="73">
      <c r="A73" s="434" t="inlineStr">
        <is>
          <t xml:space="preserve">    Output</t>
        </is>
      </c>
      <c r="B73" s="425" t="n"/>
      <c r="C73" s="425" t="n"/>
      <c r="D73" s="371" t="n">
        <v>12</v>
      </c>
      <c r="E73" s="425" t="n"/>
      <c r="F73" s="425" t="n"/>
      <c r="G73" s="425" t="n"/>
      <c r="H73" s="425" t="n"/>
      <c r="I73" s="425" t="n"/>
      <c r="J73" s="425" t="n"/>
      <c r="K73" s="418" t="n"/>
      <c r="L73" s="434" t="n"/>
      <c r="M73" s="425" t="n"/>
    </row>
    <row r="74">
      <c r="A74" s="434" t="inlineStr">
        <is>
          <t xml:space="preserve">      Death of Marat</t>
        </is>
      </c>
      <c r="B74" s="425" t="inlineStr">
        <is>
          <t>AA</t>
        </is>
      </c>
      <c r="C74" s="425" t="inlineStr">
        <is>
          <t>ART</t>
        </is>
      </c>
      <c r="D74" s="425" t="n"/>
      <c r="E74" s="425" t="n"/>
      <c r="F74" s="425" t="n"/>
      <c r="G74" s="425" t="n"/>
      <c r="H74" s="425" t="n"/>
      <c r="I74" s="425" t="n"/>
      <c r="J74" s="425" t="n"/>
      <c r="K74" s="418" t="inlineStr">
        <is>
          <t>Fragment Crafting (3.9%), Lottery Machine (0.08%), Wishing (0.36%), Expert Scrolls (0.95%), Indigent Nobleman (120K B-tads)</t>
        </is>
      </c>
      <c r="L74" s="434" t="n"/>
      <c r="M74" s="425" t="n"/>
    </row>
    <row r="75">
      <c r="A75" s="434" t="inlineStr">
        <is>
          <t xml:space="preserve">      Zoroaster's Torch</t>
        </is>
      </c>
      <c r="B75" s="425" t="inlineStr">
        <is>
          <t>AA</t>
        </is>
      </c>
      <c r="C75" s="425" t="inlineStr">
        <is>
          <t>FTH</t>
        </is>
      </c>
      <c r="D75" s="425" t="n"/>
      <c r="E75" s="425" t="n"/>
      <c r="F75" s="425" t="n"/>
      <c r="G75" s="425" t="n"/>
      <c r="H75" s="425" t="n"/>
      <c r="I75" s="425" t="n"/>
      <c r="J75" s="425" t="n"/>
      <c r="K75" s="418" t="inlineStr">
        <is>
          <t>Fragment Crafting (3.8%), Lottery Machine (0.08%), Wishing (0.35%), Hellas Treasure Maps (%), Expert Scrolls (0.95%)</t>
        </is>
      </c>
      <c r="L75" s="434" t="n"/>
      <c r="M75" s="425" t="n"/>
    </row>
    <row r="76">
      <c r="A76" s="434" t="inlineStr">
        <is>
          <t xml:space="preserve">      Meditations</t>
        </is>
      </c>
      <c r="B76" s="425" t="inlineStr">
        <is>
          <t>A</t>
        </is>
      </c>
      <c r="C76" s="425" t="inlineStr">
        <is>
          <t>CIV</t>
        </is>
      </c>
      <c r="D76" s="425" t="n"/>
      <c r="E76" s="425" t="n"/>
      <c r="F76" s="425" t="n"/>
      <c r="G76" s="425" t="n"/>
      <c r="H76" s="425" t="n"/>
      <c r="I76" s="425" t="n"/>
      <c r="J76" s="425" t="n"/>
      <c r="K76" s="418" t="inlineStr">
        <is>
          <t>Fragment Crafting (29.9%), Lottery Machine (0.66%), Wishing (2.7%), Expert Scrolls (7.6%)</t>
        </is>
      </c>
      <c r="L76" s="434" t="n"/>
      <c r="M76" s="425" t="n"/>
    </row>
    <row r="77">
      <c r="A77" s="434" t="inlineStr">
        <is>
          <t xml:space="preserve">    Ancient Fossil</t>
        </is>
      </c>
      <c r="B77" s="425" t="n"/>
      <c r="C77" s="425" t="n"/>
      <c r="D77" s="425" t="n"/>
      <c r="E77" s="425" t="n"/>
      <c r="F77" s="425" t="n"/>
      <c r="G77" s="425" t="n"/>
      <c r="H77" s="371" t="n">
        <v>12</v>
      </c>
      <c r="I77" s="425" t="n"/>
      <c r="J77" s="425" t="n"/>
      <c r="K77" s="418" t="n"/>
      <c r="L77" s="434" t="n"/>
      <c r="M77" s="425" t="n"/>
    </row>
    <row r="78">
      <c r="A78" s="434" t="inlineStr">
        <is>
          <t xml:space="preserve">      The Scream</t>
        </is>
      </c>
      <c r="B78" s="425" t="inlineStr">
        <is>
          <t>AAA</t>
        </is>
      </c>
      <c r="C78" s="425" t="inlineStr">
        <is>
          <t>ART</t>
        </is>
      </c>
      <c r="D78" s="425" t="n"/>
      <c r="E78" s="425" t="n"/>
      <c r="F78" s="425" t="n"/>
      <c r="G78" s="425" t="n"/>
      <c r="H78" s="425" t="n"/>
      <c r="I78" s="425" t="n"/>
      <c r="J78" s="425" t="n"/>
      <c r="K78" s="418" t="inlineStr">
        <is>
          <t>Fragment Crafting (1.6%), Lottery Machine (0.03%), Wishing (0.14%), Relic Forge (80 Relic RF)</t>
        </is>
      </c>
      <c r="L78" s="434" t="n"/>
      <c r="M78" s="425" t="n"/>
    </row>
    <row r="79">
      <c r="A79" s="434" t="inlineStr">
        <is>
          <t xml:space="preserve">      Guernica</t>
        </is>
      </c>
      <c r="B79" s="425" t="inlineStr">
        <is>
          <t>AAA</t>
        </is>
      </c>
      <c r="C79" s="425" t="inlineStr">
        <is>
          <t>ART</t>
        </is>
      </c>
      <c r="D79" s="425" t="n"/>
      <c r="E79" s="425" t="n"/>
      <c r="F79" s="425" t="n"/>
      <c r="G79" s="425" t="n"/>
      <c r="H79" s="425" t="n"/>
      <c r="I79" s="425" t="n"/>
      <c r="J79" s="425" t="n"/>
      <c r="K79" s="418" t="inlineStr">
        <is>
          <t>Fragment Crafting (1.6%), Lottery Machine (0.03%), Wishing (0.14%), Bharata Treasure Maps (%), Relic Forge (Relic RF 80)</t>
        </is>
      </c>
      <c r="L79" s="434" t="n"/>
      <c r="M79" s="425" t="n"/>
    </row>
    <row r="80">
      <c r="A80" s="434" t="inlineStr">
        <is>
          <t xml:space="preserve">  ORANGE</t>
        </is>
      </c>
      <c r="B80" s="425" t="n"/>
      <c r="C80" s="425" t="n"/>
      <c r="D80" s="425" t="n"/>
      <c r="E80" s="425" t="n"/>
      <c r="F80" s="425" t="n"/>
      <c r="G80" s="425" t="n"/>
      <c r="H80" s="425" t="n"/>
      <c r="I80" s="425" t="n"/>
      <c r="J80" s="425" t="n"/>
      <c r="K80" s="418" t="n"/>
      <c r="L80" s="434" t="n"/>
      <c r="M80" s="425" t="n"/>
    </row>
    <row r="81">
      <c r="A81" s="434" t="inlineStr">
        <is>
          <t xml:space="preserve">    Output</t>
        </is>
      </c>
      <c r="B81" s="425" t="n"/>
      <c r="C81" s="425" t="n"/>
      <c r="D81" s="371" t="n">
        <v>14</v>
      </c>
      <c r="E81" s="425" t="n"/>
      <c r="F81" s="425" t="n"/>
      <c r="G81" s="425" t="n"/>
      <c r="H81" s="425" t="n"/>
      <c r="I81" s="425" t="n"/>
      <c r="J81" s="425" t="n"/>
      <c r="K81" s="418" t="n"/>
      <c r="L81" s="434" t="n"/>
      <c r="M81" s="425" t="n"/>
    </row>
    <row r="82">
      <c r="A82" s="434" t="inlineStr">
        <is>
          <t xml:space="preserve">      Gaea's Hand</t>
        </is>
      </c>
      <c r="B82" s="425" t="inlineStr">
        <is>
          <t>SSS</t>
        </is>
      </c>
      <c r="C82" s="425" t="inlineStr">
        <is>
          <t>FTH</t>
        </is>
      </c>
      <c r="D82" s="425" t="n"/>
      <c r="E82" s="425" t="n"/>
      <c r="F82" s="425" t="n"/>
      <c r="G82" s="425" t="n"/>
      <c r="H82" s="425" t="n"/>
      <c r="I82" s="425" t="n"/>
      <c r="J82" s="425" t="n"/>
      <c r="K82" s="418" t="inlineStr">
        <is>
          <t>Wish Pack, Lottery Machine (0.09%), Wishing (0.06%), Grandmaster Scrolls (0.81%), Relic Forge (120 Relic RF)</t>
        </is>
      </c>
      <c r="L82" s="434" t="n"/>
      <c r="M82" s="425" t="n"/>
    </row>
    <row r="83">
      <c r="A83" s="434" t="inlineStr">
        <is>
          <t xml:space="preserve">      Unispark</t>
        </is>
      </c>
      <c r="B83" s="425" t="inlineStr">
        <is>
          <t>SSS</t>
        </is>
      </c>
      <c r="C83" s="425" t="inlineStr">
        <is>
          <t>TECH</t>
        </is>
      </c>
      <c r="D83" s="425" t="n"/>
      <c r="E83" s="425" t="n"/>
      <c r="F83" s="425" t="n"/>
      <c r="G83" s="425" t="n"/>
      <c r="H83" s="425" t="n"/>
      <c r="I83" s="425" t="n"/>
      <c r="J83" s="425" t="n"/>
      <c r="K83" s="418" t="inlineStr">
        <is>
          <t>Wishing (0.07%), Koryeo Treasure Map (0.01%), Relic Forge (120 Relic RF), Parama Ex Fight, Unispark Activation Lottery</t>
        </is>
      </c>
      <c r="L83" s="434" t="n"/>
      <c r="M83" s="425" t="n"/>
    </row>
    <row r="84">
      <c r="A84" s="434" t="inlineStr">
        <is>
          <t xml:space="preserve">    Ancient Fossil</t>
        </is>
      </c>
      <c r="B84" s="425" t="n"/>
      <c r="C84" s="425" t="n"/>
      <c r="D84" s="425" t="n"/>
      <c r="E84" s="425" t="n"/>
      <c r="F84" s="425" t="n"/>
      <c r="G84" s="425" t="n"/>
      <c r="H84" s="371" t="n">
        <v>14</v>
      </c>
      <c r="I84" s="425" t="n"/>
      <c r="J84" s="425" t="n"/>
      <c r="K84" s="418" t="n"/>
      <c r="L84" s="434" t="n"/>
      <c r="M84" s="425" t="n"/>
    </row>
    <row r="85">
      <c r="A85" s="434" t="inlineStr">
        <is>
          <t xml:space="preserve">      Iliad &amp; Odyssey</t>
        </is>
      </c>
      <c r="B85" s="425" t="inlineStr">
        <is>
          <t>SSS</t>
        </is>
      </c>
      <c r="C85" s="425" t="inlineStr">
        <is>
          <t>CIV</t>
        </is>
      </c>
      <c r="D85" s="425" t="n"/>
      <c r="E85" s="425" t="n"/>
      <c r="F85" s="425" t="n"/>
      <c r="G85" s="425" t="n"/>
      <c r="H85" s="425" t="n"/>
      <c r="I85" s="425" t="n"/>
      <c r="J85" s="425" t="n"/>
      <c r="K85" s="418" t="inlineStr">
        <is>
          <t>Daily Packs</t>
        </is>
      </c>
      <c r="L85" s="434" t="n"/>
      <c r="M85" s="425" t="n"/>
    </row>
    <row r="86">
      <c r="A86" s="434" t="inlineStr">
        <is>
          <t xml:space="preserve">      Arthur's Roundtable</t>
        </is>
      </c>
      <c r="B86" s="425" t="inlineStr">
        <is>
          <t>SSS</t>
        </is>
      </c>
      <c r="C86" s="425" t="inlineStr">
        <is>
          <t>CIV</t>
        </is>
      </c>
      <c r="D86" s="425" t="n"/>
      <c r="E86" s="425" t="n"/>
      <c r="F86" s="425" t="n"/>
      <c r="G86" s="425" t="n"/>
      <c r="H86" s="425" t="n"/>
      <c r="I86" s="425" t="n"/>
      <c r="J86" s="425" t="n"/>
      <c r="K86" s="418" t="inlineStr">
        <is>
          <t>Unknown</t>
        </is>
      </c>
      <c r="L86" s="434" t="n"/>
      <c r="M86" s="425" t="n"/>
    </row>
    <row r="87">
      <c r="A87" s="362" t="inlineStr">
        <is>
          <t>MAX RESONANCE</t>
        </is>
      </c>
      <c r="B87" s="411" t="n"/>
      <c r="C87" s="411" t="n"/>
      <c r="D87" s="364">
        <f>sum(D64:D86)</f>
        <v/>
      </c>
      <c r="E87" s="411" t="n"/>
      <c r="F87" s="364">
        <f>sum(F64:F86)</f>
        <v/>
      </c>
      <c r="G87" s="411" t="n"/>
      <c r="H87" s="364">
        <f>sum(H64:H86)</f>
        <v/>
      </c>
      <c r="I87" s="411" t="n"/>
      <c r="J87" s="411" t="n"/>
      <c r="K87" s="426" t="n"/>
      <c r="L87" s="434" t="n"/>
      <c r="M87" s="425" t="n"/>
    </row>
    <row r="88">
      <c r="A88" s="425" t="n"/>
      <c r="B88" s="425" t="n"/>
      <c r="C88" s="425" t="n"/>
      <c r="D88" s="425" t="n"/>
      <c r="E88" s="425" t="n"/>
      <c r="F88" s="425" t="n"/>
      <c r="G88" s="425" t="n"/>
      <c r="H88" s="425" t="n"/>
      <c r="I88" s="425" t="n"/>
      <c r="J88" s="425" t="n"/>
      <c r="K88" s="425" t="n"/>
      <c r="L88" s="425" t="n"/>
      <c r="M88" s="425" t="n"/>
    </row>
    <row r="89">
      <c r="A89" s="425" t="n"/>
      <c r="B89" s="425" t="n"/>
      <c r="C89" s="425" t="n"/>
      <c r="D89" s="425" t="n"/>
      <c r="E89" s="425" t="n"/>
      <c r="F89" s="425" t="n"/>
      <c r="G89" s="425" t="n"/>
      <c r="H89" s="425" t="n"/>
      <c r="I89" s="425" t="n"/>
      <c r="J89" s="425" t="n"/>
      <c r="K89" s="425" t="n"/>
      <c r="L89" s="425" t="n"/>
      <c r="M89" s="425" t="n"/>
    </row>
    <row r="90">
      <c r="A90" s="450" t="inlineStr">
        <is>
          <t>Total Stone Output</t>
        </is>
      </c>
      <c r="B90" s="428">
        <f>D14+D17+D20+D28+D31+D37+D60+D87+D34+D23</f>
        <v/>
      </c>
      <c r="C90" s="425" t="n"/>
      <c r="D90" s="425" t="n"/>
      <c r="E90" s="425" t="n"/>
      <c r="F90" s="425" t="n"/>
      <c r="G90" s="425" t="n"/>
      <c r="H90" s="425" t="n"/>
      <c r="I90" s="425" t="n"/>
      <c r="J90" s="425" t="n"/>
      <c r="K90" s="425" t="n"/>
      <c r="L90" s="425" t="n"/>
      <c r="M90" s="425" t="n"/>
    </row>
    <row r="91">
      <c r="A91" s="447" t="inlineStr">
        <is>
          <t>Total Stone Cap</t>
        </is>
      </c>
      <c r="B91" s="115">
        <f>F14+F17+F20+F28+F31+F37+F60+F87+F34</f>
        <v/>
      </c>
      <c r="C91" s="425" t="n"/>
      <c r="D91" s="425" t="n"/>
      <c r="E91" s="425" t="n"/>
      <c r="F91" s="425" t="n"/>
      <c r="G91" s="425" t="n"/>
      <c r="H91" s="425" t="n"/>
      <c r="I91" s="425" t="n"/>
      <c r="J91" s="425" t="n"/>
      <c r="K91" s="425" t="n"/>
      <c r="L91" s="425" t="n"/>
      <c r="M91" s="425" t="n"/>
    </row>
    <row r="92">
      <c r="A92" s="447" t="inlineStr">
        <is>
          <t>Total Ancient Fossil Gen</t>
        </is>
      </c>
      <c r="B92" s="115">
        <f>H14+H17+H20+H28+H31+H37+H60+H87</f>
        <v/>
      </c>
      <c r="C92" s="425" t="n"/>
      <c r="D92" s="425" t="n"/>
      <c r="E92" s="425" t="n"/>
      <c r="F92" s="425" t="n"/>
      <c r="G92" s="425" t="n"/>
      <c r="H92" s="425" t="n"/>
      <c r="I92" s="425" t="n"/>
      <c r="J92" s="425" t="n"/>
      <c r="K92" s="425" t="n"/>
      <c r="L92" s="425" t="n"/>
      <c r="M92" s="425" t="n"/>
    </row>
  </sheetData>
  <dataValidations count="3">
    <dataValidation sqref="B3:B13 B40:B59 B65:B67 B69:B71 B74:B76 B78:B79 B82:B83 B85:B86" showDropDown="0" showInputMessage="0" showErrorMessage="1" allowBlank="1" type="list">
      <formula1>"SSS,SS,S,AAA,AA,A,Blue,Green"</formula1>
    </dataValidation>
    <dataValidation sqref="C40:C59" showDropDown="0" showInputMessage="0" showErrorMessage="1" allowBlank="1" type="list">
      <formula1>"FAME,ART,FTH,CIV,TECH"</formula1>
    </dataValidation>
    <dataValidation sqref="C3:C13 C65:C67 C69:C71 C74:C76 C78:C79 C82:C83 C85:C86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1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K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5.18" customWidth="1" style="1128" min="1" max="1"/>
    <col width="11.73" customWidth="1" style="1128" min="5" max="5"/>
    <col width="9.73" customWidth="1" style="1128" min="7" max="7"/>
    <col width="10.09" customWidth="1" style="1128" min="8" max="8"/>
    <col width="16.91" customWidth="1" style="1128" min="9" max="9"/>
    <col width="121" customWidth="1" style="1128" min="11" max="11"/>
  </cols>
  <sheetData>
    <row r="1">
      <c r="A1" s="344" t="inlineStr">
        <is>
          <t>Name</t>
        </is>
      </c>
      <c r="B1" s="406" t="inlineStr">
        <is>
          <t>Rarity</t>
        </is>
      </c>
      <c r="C1" s="406" t="inlineStr">
        <is>
          <t>Type</t>
        </is>
      </c>
      <c r="D1" s="406" t="inlineStr">
        <is>
          <t>Base Output</t>
        </is>
      </c>
      <c r="E1" s="406" t="inlineStr">
        <is>
          <t>Awakening Output</t>
        </is>
      </c>
      <c r="F1" s="406" t="inlineStr">
        <is>
          <t>Base Cap</t>
        </is>
      </c>
      <c r="G1" s="406" t="inlineStr">
        <is>
          <t>Awakening Cap</t>
        </is>
      </c>
      <c r="H1" s="406" t="inlineStr">
        <is>
          <t>Nebula Chest</t>
        </is>
      </c>
      <c r="I1" s="406" t="inlineStr">
        <is>
          <t>Awakening Nebula Chest</t>
        </is>
      </c>
      <c r="J1" s="406" t="inlineStr">
        <is>
          <t>AFFECT Boost</t>
        </is>
      </c>
      <c r="K1" s="129" t="inlineStr">
        <is>
          <t>Source</t>
        </is>
      </c>
    </row>
    <row r="2">
      <c r="A2" s="434" t="inlineStr">
        <is>
          <t>INDIVIDUAL RELICS</t>
        </is>
      </c>
      <c r="B2" s="425" t="n"/>
      <c r="C2" s="425" t="n"/>
      <c r="D2" s="425" t="n"/>
      <c r="E2" s="425" t="n"/>
      <c r="F2" s="425" t="n"/>
      <c r="G2" s="425" t="n"/>
      <c r="H2" s="425" t="n"/>
      <c r="I2" s="425" t="n"/>
      <c r="J2" s="425" t="n"/>
      <c r="K2" s="418" t="n"/>
    </row>
    <row r="3">
      <c r="A3" s="357" t="inlineStr">
        <is>
          <t xml:space="preserve">   Olympic Torch</t>
        </is>
      </c>
      <c r="B3" s="425" t="inlineStr">
        <is>
          <t>SSS</t>
        </is>
      </c>
      <c r="C3" s="415" t="inlineStr">
        <is>
          <t>FAME</t>
        </is>
      </c>
      <c r="D3" s="371" t="n">
        <v>7.2</v>
      </c>
      <c r="E3" s="425" t="n">
        <v>6</v>
      </c>
      <c r="F3" s="371" t="n"/>
      <c r="G3" s="425" t="n"/>
      <c r="H3" s="371" t="n"/>
      <c r="I3" s="371" t="n"/>
      <c r="J3" s="425" t="n"/>
      <c r="K3" s="390" t="inlineStr">
        <is>
          <t>Wish Box Album Relic #3</t>
        </is>
      </c>
    </row>
    <row r="4">
      <c r="A4" s="357" t="inlineStr">
        <is>
          <t xml:space="preserve">   Outer Space Treaty</t>
        </is>
      </c>
      <c r="B4" s="425" t="inlineStr">
        <is>
          <t>SSS</t>
        </is>
      </c>
      <c r="C4" s="425" t="inlineStr">
        <is>
          <t>FAME</t>
        </is>
      </c>
      <c r="D4" s="371" t="n">
        <v>7.2</v>
      </c>
      <c r="E4" s="371" t="n">
        <v>6</v>
      </c>
      <c r="F4" s="371" t="n"/>
      <c r="G4" s="425" t="n"/>
      <c r="H4" s="425" t="n"/>
      <c r="I4" s="425" t="n"/>
      <c r="J4" s="425" t="n"/>
      <c r="K4" s="418" t="inlineStr">
        <is>
          <t>Star Chart Shop</t>
        </is>
      </c>
    </row>
    <row r="5">
      <c r="A5" s="357" t="inlineStr">
        <is>
          <t xml:space="preserve">   Great Mogul Diamond</t>
        </is>
      </c>
      <c r="B5" s="425" t="inlineStr">
        <is>
          <t>SSS</t>
        </is>
      </c>
      <c r="C5" s="425" t="inlineStr">
        <is>
          <t>ART</t>
        </is>
      </c>
      <c r="D5" s="371" t="n">
        <v>7.2</v>
      </c>
      <c r="E5" s="371" t="n">
        <v>6</v>
      </c>
      <c r="F5" s="371" t="n"/>
      <c r="G5" s="425" t="n"/>
      <c r="H5" s="425" t="n"/>
      <c r="I5" s="425" t="n"/>
      <c r="J5" s="425" t="n"/>
      <c r="K5" s="418" t="inlineStr">
        <is>
          <t>Badge Shop</t>
        </is>
      </c>
    </row>
    <row r="6">
      <c r="A6" s="357" t="inlineStr">
        <is>
          <t xml:space="preserve">   Narmer Palette</t>
        </is>
      </c>
      <c r="B6" s="425" t="inlineStr">
        <is>
          <t>SSS</t>
        </is>
      </c>
      <c r="C6" s="425" t="inlineStr">
        <is>
          <t>CIV</t>
        </is>
      </c>
      <c r="D6" s="371" t="n"/>
      <c r="E6" s="371" t="n"/>
      <c r="F6" s="425" t="n"/>
      <c r="G6" s="425" t="n"/>
      <c r="H6" s="425" t="n">
        <v>7.2</v>
      </c>
      <c r="I6" s="425" t="n">
        <v>6</v>
      </c>
      <c r="J6" s="425" t="n"/>
      <c r="K6" s="418" t="inlineStr">
        <is>
          <t>Traveler's Pack Reward #3</t>
        </is>
      </c>
    </row>
    <row r="7">
      <c r="A7" s="357" t="inlineStr">
        <is>
          <t xml:space="preserve">   Scales of Astraea</t>
        </is>
      </c>
      <c r="B7" s="425" t="inlineStr">
        <is>
          <t>SSS</t>
        </is>
      </c>
      <c r="C7" s="425" t="inlineStr">
        <is>
          <t>FTH</t>
        </is>
      </c>
      <c r="D7" s="371" t="n"/>
      <c r="E7" s="425" t="n"/>
      <c r="F7" s="425" t="n">
        <v>12</v>
      </c>
      <c r="G7" s="425" t="n">
        <v>10</v>
      </c>
      <c r="H7" s="425" t="n"/>
      <c r="I7" s="425" t="n"/>
      <c r="J7" s="425" t="n"/>
      <c r="K7" s="418" t="inlineStr">
        <is>
          <t>Star Chart Shop</t>
        </is>
      </c>
    </row>
    <row r="8">
      <c r="A8" s="357" t="inlineStr">
        <is>
          <t xml:space="preserve">   Indus Seal</t>
        </is>
      </c>
      <c r="B8" s="425" t="inlineStr">
        <is>
          <t>AAA</t>
        </is>
      </c>
      <c r="C8" s="425" t="inlineStr">
        <is>
          <t>CIV</t>
        </is>
      </c>
      <c r="D8" s="425" t="n"/>
      <c r="E8" s="425" t="n"/>
      <c r="F8" s="425" t="n">
        <v>9</v>
      </c>
      <c r="G8" s="425" t="n">
        <v>7</v>
      </c>
      <c r="H8" s="371" t="n">
        <v>5.4</v>
      </c>
      <c r="I8" s="371" t="n"/>
      <c r="J8" s="425" t="n"/>
      <c r="K8" s="386" t="inlineStr">
        <is>
          <t>Indigent Nobleman (210K B-tads)</t>
        </is>
      </c>
    </row>
    <row r="9">
      <c r="A9" s="357" t="inlineStr">
        <is>
          <t xml:space="preserve">   Djinn Theory</t>
        </is>
      </c>
      <c r="B9" s="425" t="inlineStr">
        <is>
          <t>AAA</t>
        </is>
      </c>
      <c r="C9" s="425" t="inlineStr">
        <is>
          <t>CIV</t>
        </is>
      </c>
      <c r="D9" s="371" t="n"/>
      <c r="E9" s="371" t="n"/>
      <c r="F9" s="371" t="n">
        <v>9</v>
      </c>
      <c r="G9" s="425" t="n">
        <v>7</v>
      </c>
      <c r="H9" s="425" t="n"/>
      <c r="I9" s="425" t="n"/>
      <c r="J9" s="425" t="n"/>
      <c r="K9" s="390" t="inlineStr">
        <is>
          <t>Lottery Box Relic #11</t>
        </is>
      </c>
    </row>
    <row r="10">
      <c r="A10" s="357" t="inlineStr">
        <is>
          <t xml:space="preserve">   Mesopotamian Wheel</t>
        </is>
      </c>
      <c r="B10" s="425" t="inlineStr">
        <is>
          <t>AAA</t>
        </is>
      </c>
      <c r="C10" s="425" t="inlineStr">
        <is>
          <t>FAME</t>
        </is>
      </c>
      <c r="D10" s="371" t="n">
        <v>5.4</v>
      </c>
      <c r="E10" s="371" t="n"/>
      <c r="F10" s="371" t="n"/>
      <c r="G10" s="425" t="n"/>
      <c r="H10" s="425" t="n"/>
      <c r="I10" s="425" t="n"/>
      <c r="J10" s="425" t="n"/>
      <c r="K10" s="390" t="inlineStr">
        <is>
          <t>Lottery Box Relic #17</t>
        </is>
      </c>
    </row>
    <row r="11">
      <c r="A11" s="357" t="inlineStr">
        <is>
          <t xml:space="preserve">   Biography of Great Artists</t>
        </is>
      </c>
      <c r="B11" s="425" t="inlineStr">
        <is>
          <t>AAA</t>
        </is>
      </c>
      <c r="C11" s="425" t="inlineStr">
        <is>
          <t>FAME</t>
        </is>
      </c>
      <c r="D11" s="371" t="n">
        <v>5.4</v>
      </c>
      <c r="E11" s="371" t="n">
        <v>4.2</v>
      </c>
      <c r="F11" s="371" t="n"/>
      <c r="G11" s="425" t="n"/>
      <c r="H11" s="425" t="n"/>
      <c r="I11" s="425" t="n"/>
      <c r="J11" s="425" t="n"/>
      <c r="K11" s="390" t="inlineStr">
        <is>
          <t>Lottery Box Relic #13</t>
        </is>
      </c>
    </row>
    <row r="12">
      <c r="A12" s="357" t="inlineStr">
        <is>
          <t xml:space="preserve">   Nishijin Fabric</t>
        </is>
      </c>
      <c r="B12" s="425" t="inlineStr">
        <is>
          <t>AAA</t>
        </is>
      </c>
      <c r="C12" s="425" t="inlineStr">
        <is>
          <t>ART</t>
        </is>
      </c>
      <c r="D12" s="371" t="n">
        <v>5.4</v>
      </c>
      <c r="E12" s="371" t="n">
        <v>4.2</v>
      </c>
      <c r="F12" s="371" t="n"/>
      <c r="G12" s="425" t="n"/>
      <c r="H12" s="425" t="n"/>
      <c r="I12" s="425" t="n"/>
      <c r="J12" s="425" t="n"/>
      <c r="K12" s="390" t="inlineStr">
        <is>
          <t>Lottery Box Relic #8</t>
        </is>
      </c>
    </row>
    <row r="13">
      <c r="A13" s="357" t="inlineStr">
        <is>
          <t xml:space="preserve">   Peacock Throne</t>
        </is>
      </c>
      <c r="B13" s="425" t="inlineStr">
        <is>
          <t>AAA</t>
        </is>
      </c>
      <c r="C13" s="425" t="inlineStr">
        <is>
          <t>ART</t>
        </is>
      </c>
      <c r="D13" s="371" t="n">
        <v>5</v>
      </c>
      <c r="E13" s="371" t="n">
        <v>5</v>
      </c>
      <c r="F13" s="425" t="n"/>
      <c r="G13" s="425" t="n"/>
      <c r="H13" s="371" t="n"/>
      <c r="I13" s="371" t="n"/>
      <c r="J13" s="425" t="n"/>
      <c r="K13" s="418" t="inlineStr">
        <is>
          <t>Supreme Relic Reward</t>
        </is>
      </c>
    </row>
    <row r="14">
      <c r="A14" s="357" t="inlineStr">
        <is>
          <t xml:space="preserve">   V8 Engine</t>
        </is>
      </c>
      <c r="B14" s="425" t="inlineStr">
        <is>
          <t>AAA</t>
        </is>
      </c>
      <c r="C14" s="425" t="inlineStr">
        <is>
          <t>TECH</t>
        </is>
      </c>
      <c r="D14" s="425" t="n">
        <v>3.6</v>
      </c>
      <c r="E14" s="425" t="n">
        <v>2.8</v>
      </c>
      <c r="F14" s="371" t="n"/>
      <c r="G14" s="371" t="n"/>
      <c r="H14" s="425" t="n"/>
      <c r="I14" s="425" t="n"/>
      <c r="J14" s="425" t="n"/>
      <c r="K14" s="390" t="inlineStr">
        <is>
          <t>Time Beacon Reward</t>
        </is>
      </c>
    </row>
    <row r="15">
      <c r="A15" s="434" t="inlineStr">
        <is>
          <t xml:space="preserve">   The Fifer</t>
        </is>
      </c>
      <c r="B15" s="425" t="inlineStr">
        <is>
          <t>AAA</t>
        </is>
      </c>
      <c r="C15" s="425" t="inlineStr">
        <is>
          <t>ART</t>
        </is>
      </c>
      <c r="D15" s="371" t="n"/>
      <c r="E15" s="371" t="n"/>
      <c r="F15" s="425" t="n">
        <v>9</v>
      </c>
      <c r="G15" s="425" t="n">
        <v>7</v>
      </c>
      <c r="H15" s="425" t="n"/>
      <c r="I15" s="425" t="n"/>
      <c r="J15" s="425" t="n"/>
      <c r="K15" s="390" t="inlineStr">
        <is>
          <t>Lottery Box Relic #6</t>
        </is>
      </c>
    </row>
    <row r="16">
      <c r="A16" s="362" t="inlineStr">
        <is>
          <t>MAX INDIVIDUAL RELICS</t>
        </is>
      </c>
      <c r="B16" s="411" t="n"/>
      <c r="C16" s="411" t="n"/>
      <c r="D16" s="364">
        <f>sum(D3:E15)</f>
        <v/>
      </c>
      <c r="E16" s="411" t="n"/>
      <c r="F16" s="364">
        <f>sum(F3:G15)</f>
        <v/>
      </c>
      <c r="G16" s="411" t="n"/>
      <c r="H16" s="364">
        <f>sum(H3:I15)</f>
        <v/>
      </c>
      <c r="I16" s="411" t="n"/>
      <c r="J16" s="411" t="n"/>
      <c r="K16" s="426" t="n"/>
    </row>
    <row r="17">
      <c r="A17" s="434" t="n"/>
      <c r="B17" s="425" t="n"/>
      <c r="C17" s="425" t="n"/>
      <c r="D17" s="425" t="n"/>
      <c r="E17" s="425" t="n"/>
      <c r="F17" s="425" t="n"/>
      <c r="G17" s="425" t="n"/>
      <c r="H17" s="425" t="n"/>
      <c r="I17" s="425" t="n"/>
      <c r="J17" s="425" t="n"/>
      <c r="K17" s="425" t="n"/>
    </row>
    <row r="18">
      <c r="A18" s="344" t="inlineStr">
        <is>
          <t>ORGAN</t>
        </is>
      </c>
      <c r="B18" s="406" t="n"/>
      <c r="C18" s="406" t="n"/>
      <c r="D18" s="406" t="n"/>
      <c r="E18" s="406" t="n"/>
      <c r="F18" s="406" t="n"/>
      <c r="G18" s="406" t="n"/>
      <c r="H18" s="406" t="n"/>
      <c r="I18" s="406" t="n"/>
      <c r="J18" s="406" t="n"/>
      <c r="K18" s="129" t="n"/>
    </row>
    <row r="19">
      <c r="A19" s="434" t="inlineStr">
        <is>
          <t xml:space="preserve">   Warp Horn</t>
        </is>
      </c>
      <c r="B19" s="425" t="n"/>
      <c r="C19" s="425" t="n"/>
      <c r="D19" s="371" t="n">
        <v>10</v>
      </c>
      <c r="E19" s="425" t="n"/>
      <c r="F19" s="371" t="n">
        <v>10</v>
      </c>
      <c r="G19" s="425" t="n"/>
      <c r="H19" s="425" t="n"/>
      <c r="I19" s="425" t="n"/>
      <c r="J19" s="425" t="n"/>
      <c r="K19" s="418" t="inlineStr">
        <is>
          <t>lv20</t>
        </is>
      </c>
    </row>
    <row r="20">
      <c r="A20" s="362" t="inlineStr">
        <is>
          <t xml:space="preserve">   Alveolus of Gaia</t>
        </is>
      </c>
      <c r="B20" s="411" t="n"/>
      <c r="C20" s="411" t="n"/>
      <c r="D20" s="364" t="n">
        <v>20</v>
      </c>
      <c r="E20" s="411" t="n"/>
      <c r="F20" s="364" t="n">
        <v>20</v>
      </c>
      <c r="G20" s="411" t="n"/>
      <c r="H20" s="411" t="n"/>
      <c r="I20" s="411" t="n"/>
      <c r="J20" s="411" t="n"/>
      <c r="K20" s="426" t="inlineStr">
        <is>
          <t>lv40</t>
        </is>
      </c>
    </row>
    <row r="21">
      <c r="A21" s="434" t="inlineStr">
        <is>
          <t>MAX ORGAN</t>
        </is>
      </c>
      <c r="B21" s="425" t="n"/>
      <c r="C21" s="425" t="n"/>
      <c r="D21" s="425">
        <f>sum(D19:D20)</f>
        <v/>
      </c>
      <c r="E21" s="425" t="n"/>
      <c r="F21" s="425">
        <f>sum(F19:F20)</f>
        <v/>
      </c>
      <c r="G21" s="425" t="n"/>
      <c r="H21" s="425">
        <f>sum(H19:H20)</f>
        <v/>
      </c>
      <c r="I21" s="425" t="n"/>
      <c r="J21" s="425" t="n"/>
      <c r="K21" s="425" t="n"/>
    </row>
    <row r="22">
      <c r="A22" s="434" t="n"/>
      <c r="B22" s="425" t="n"/>
      <c r="C22" s="425" t="n"/>
      <c r="D22" s="425" t="n"/>
      <c r="E22" s="425" t="n"/>
      <c r="F22" s="425" t="n"/>
      <c r="G22" s="425" t="n"/>
      <c r="H22" s="425" t="n"/>
      <c r="I22" s="425" t="n"/>
      <c r="J22" s="425" t="n"/>
      <c r="K22" s="425" t="n"/>
    </row>
    <row r="23">
      <c r="A23" s="413" t="inlineStr">
        <is>
          <t>ROCKET UPGRADES</t>
        </is>
      </c>
      <c r="B23" s="431" t="n"/>
      <c r="C23" s="431" t="n"/>
      <c r="D23" s="431" t="n"/>
      <c r="E23" s="431" t="n"/>
      <c r="F23" s="431" t="n"/>
      <c r="G23" s="431" t="n"/>
      <c r="H23" s="431" t="n"/>
      <c r="I23" s="431" t="n"/>
      <c r="J23" s="431" t="n"/>
      <c r="K23" s="405" t="n"/>
    </row>
    <row r="24">
      <c r="A24" s="409" t="inlineStr">
        <is>
          <t xml:space="preserve">   Eternal Hall</t>
        </is>
      </c>
      <c r="B24" s="410" t="n"/>
      <c r="C24" s="410" t="n"/>
      <c r="D24" s="410" t="n">
        <v>10</v>
      </c>
      <c r="E24" s="410" t="n"/>
      <c r="F24" s="410" t="n">
        <v>10</v>
      </c>
      <c r="G24" s="410" t="n"/>
      <c r="H24" s="410" t="n"/>
      <c r="I24" s="410" t="n"/>
      <c r="J24" s="410" t="n"/>
      <c r="K24" s="414" t="inlineStr">
        <is>
          <t>Lv5</t>
        </is>
      </c>
    </row>
    <row r="25">
      <c r="A25" s="398" t="n"/>
      <c r="B25" s="432" t="n"/>
      <c r="C25" s="432" t="n"/>
      <c r="D25" s="432" t="n"/>
      <c r="E25" s="432" t="n"/>
      <c r="F25" s="432" t="n"/>
      <c r="G25" s="432" t="n"/>
      <c r="H25" s="432" t="n"/>
      <c r="I25" s="432" t="n"/>
      <c r="J25" s="432" t="n"/>
      <c r="K25" s="404" t="n"/>
    </row>
    <row r="26">
      <c r="A26" s="344" t="inlineStr">
        <is>
          <t>AVATARS</t>
        </is>
      </c>
      <c r="B26" s="406" t="n"/>
      <c r="C26" s="406" t="n"/>
      <c r="D26" s="406" t="n"/>
      <c r="E26" s="406" t="n"/>
      <c r="F26" s="406" t="n"/>
      <c r="G26" s="406" t="n"/>
      <c r="H26" s="406" t="n"/>
      <c r="I26" s="406" t="n"/>
      <c r="J26" s="406" t="n"/>
      <c r="K26" s="129" t="n"/>
    </row>
    <row r="27">
      <c r="A27" s="362" t="inlineStr">
        <is>
          <t xml:space="preserve">   Mirage Avatar I Bonus</t>
        </is>
      </c>
      <c r="B27" s="411" t="n"/>
      <c r="C27" s="411" t="n"/>
      <c r="D27" s="364" t="n">
        <v>20</v>
      </c>
      <c r="E27" s="411" t="n"/>
      <c r="F27" s="364" t="n">
        <v>40</v>
      </c>
      <c r="G27" s="411" t="n"/>
      <c r="H27" s="411" t="n"/>
      <c r="I27" s="411" t="n"/>
      <c r="J27" s="411" t="n"/>
      <c r="K27" s="426" t="n"/>
    </row>
    <row r="28">
      <c r="A28" s="434" t="n"/>
      <c r="B28" s="425" t="n"/>
      <c r="C28" s="425" t="n"/>
      <c r="D28" s="425" t="n"/>
      <c r="E28" s="425" t="n"/>
      <c r="F28" s="425" t="n"/>
      <c r="G28" s="425" t="n"/>
      <c r="H28" s="425" t="n"/>
      <c r="I28" s="425" t="n"/>
      <c r="J28" s="425" t="n"/>
      <c r="K28" s="425" t="n"/>
    </row>
    <row r="29">
      <c r="A29" s="344" t="inlineStr">
        <is>
          <t>STAMPS</t>
        </is>
      </c>
      <c r="B29" s="406" t="n"/>
      <c r="C29" s="406" t="n"/>
      <c r="D29" s="406" t="n"/>
      <c r="E29" s="406" t="n"/>
      <c r="F29" s="406" t="n"/>
      <c r="G29" s="406" t="n"/>
      <c r="H29" s="406" t="n"/>
      <c r="I29" s="406" t="n"/>
      <c r="J29" s="406" t="n"/>
      <c r="K29" s="129" t="n"/>
    </row>
    <row r="30">
      <c r="A30" s="357" t="inlineStr">
        <is>
          <t xml:space="preserve">   Natural History</t>
        </is>
      </c>
      <c r="B30" s="425" t="inlineStr">
        <is>
          <t>SSS</t>
        </is>
      </c>
      <c r="C30" s="425" t="inlineStr">
        <is>
          <t>FAME</t>
        </is>
      </c>
      <c r="D30" s="371" t="n">
        <v>15</v>
      </c>
      <c r="E30" s="425" t="n"/>
      <c r="F30" s="425" t="n"/>
      <c r="G30" s="425" t="n"/>
      <c r="H30" s="425" t="n">
        <v>15</v>
      </c>
      <c r="I30" s="425" t="n"/>
      <c r="J30" s="425" t="n">
        <v>15</v>
      </c>
      <c r="K30" s="390" t="inlineStr">
        <is>
          <t>Lottery Machine #3 (?%)</t>
        </is>
      </c>
    </row>
    <row r="31">
      <c r="A31" s="434" t="inlineStr">
        <is>
          <t xml:space="preserve">   Outer Space Treaty</t>
        </is>
      </c>
      <c r="B31" s="425" t="inlineStr">
        <is>
          <t>SSS</t>
        </is>
      </c>
      <c r="C31" s="425" t="inlineStr">
        <is>
          <t>FAME</t>
        </is>
      </c>
      <c r="D31" s="371" t="n">
        <v>15</v>
      </c>
      <c r="E31" s="425" t="n"/>
      <c r="F31" s="425" t="n">
        <v>30</v>
      </c>
      <c r="G31" s="425" t="n"/>
      <c r="H31" s="425" t="n"/>
      <c r="I31" s="425" t="n"/>
      <c r="J31" s="425" t="n">
        <v>15</v>
      </c>
      <c r="K31" s="418" t="inlineStr">
        <is>
          <t>Star Chart Shop</t>
        </is>
      </c>
    </row>
    <row r="32">
      <c r="A32" s="357" t="inlineStr">
        <is>
          <t xml:space="preserve">   Ram in a Thicket</t>
        </is>
      </c>
      <c r="B32" s="425" t="inlineStr">
        <is>
          <t>SSS</t>
        </is>
      </c>
      <c r="C32" s="425" t="inlineStr">
        <is>
          <t>ART</t>
        </is>
      </c>
      <c r="D32" s="371" t="n">
        <v>15</v>
      </c>
      <c r="E32" s="425" t="n"/>
      <c r="F32" s="371" t="n">
        <v>30</v>
      </c>
      <c r="G32" s="425" t="n"/>
      <c r="H32" s="371" t="n"/>
      <c r="I32" s="425" t="n"/>
      <c r="J32" s="425" t="n">
        <v>15</v>
      </c>
      <c r="K32" s="390" t="inlineStr">
        <is>
          <t>Daily Pack Relic #43</t>
        </is>
      </c>
    </row>
    <row r="33">
      <c r="A33" s="434" t="inlineStr">
        <is>
          <t xml:space="preserve">   Constellations</t>
        </is>
      </c>
      <c r="B33" s="425" t="inlineStr">
        <is>
          <t>SSS</t>
        </is>
      </c>
      <c r="C33" s="425" t="inlineStr">
        <is>
          <t>ART</t>
        </is>
      </c>
      <c r="D33" s="371" t="n"/>
      <c r="E33" s="425" t="n"/>
      <c r="F33" s="371" t="n">
        <v>30</v>
      </c>
      <c r="G33" s="425" t="n"/>
      <c r="H33" s="371" t="n">
        <v>15</v>
      </c>
      <c r="I33" s="425" t="n"/>
      <c r="J33" s="425" t="n">
        <v>15</v>
      </c>
      <c r="K33" s="418" t="inlineStr">
        <is>
          <t>Star Chart Shop</t>
        </is>
      </c>
    </row>
    <row r="34">
      <c r="A34" s="357" t="inlineStr">
        <is>
          <t xml:space="preserve">   Scales of Astraea</t>
        </is>
      </c>
      <c r="B34" s="425" t="inlineStr">
        <is>
          <t>SSS</t>
        </is>
      </c>
      <c r="C34" s="425" t="inlineStr">
        <is>
          <t>FTH</t>
        </is>
      </c>
      <c r="D34" s="425" t="n">
        <v>15</v>
      </c>
      <c r="E34" s="425" t="n"/>
      <c r="F34" s="371" t="n"/>
      <c r="G34" s="425" t="n"/>
      <c r="H34" s="371" t="n">
        <v>15</v>
      </c>
      <c r="I34" s="425" t="n"/>
      <c r="J34" s="371" t="n">
        <v>15</v>
      </c>
      <c r="K34" s="418" t="inlineStr">
        <is>
          <t>Star Chart Shop</t>
        </is>
      </c>
    </row>
    <row r="35">
      <c r="A35" s="434" t="inlineStr">
        <is>
          <t xml:space="preserve">   Ra's Solar Barque</t>
        </is>
      </c>
      <c r="B35" s="425" t="inlineStr">
        <is>
          <t>SSS</t>
        </is>
      </c>
      <c r="C35" s="425" t="inlineStr">
        <is>
          <t>FTH</t>
        </is>
      </c>
      <c r="D35" s="371" t="n">
        <v>15</v>
      </c>
      <c r="E35" s="425" t="n"/>
      <c r="F35" s="425" t="n">
        <v>30</v>
      </c>
      <c r="G35" s="425" t="n"/>
      <c r="H35" s="425" t="n"/>
      <c r="I35" s="425" t="n"/>
      <c r="J35" s="371" t="n">
        <v>15</v>
      </c>
      <c r="K35" s="390" t="inlineStr">
        <is>
          <t>Traveler's Pack #14</t>
        </is>
      </c>
    </row>
    <row r="36">
      <c r="A36" s="357" t="inlineStr">
        <is>
          <t xml:space="preserve">   Anna Karenina</t>
        </is>
      </c>
      <c r="B36" s="425" t="inlineStr">
        <is>
          <t>SSS</t>
        </is>
      </c>
      <c r="C36" s="425" t="inlineStr">
        <is>
          <t>CIV</t>
        </is>
      </c>
      <c r="D36" s="371" t="n">
        <v>15</v>
      </c>
      <c r="E36" s="425" t="n"/>
      <c r="F36" s="425" t="n"/>
      <c r="G36" s="425" t="n"/>
      <c r="H36" s="425" t="n">
        <v>15</v>
      </c>
      <c r="I36" s="425" t="n"/>
      <c r="J36" s="371" t="n">
        <v>15</v>
      </c>
      <c r="K36" s="390" t="inlineStr">
        <is>
          <t>Daily Pack Relic #49</t>
        </is>
      </c>
    </row>
    <row r="37">
      <c r="A37" s="434" t="inlineStr">
        <is>
          <t xml:space="preserve">   Hevelius Chart</t>
        </is>
      </c>
      <c r="B37" s="425" t="inlineStr">
        <is>
          <t>SSS</t>
        </is>
      </c>
      <c r="C37" s="425" t="inlineStr">
        <is>
          <t>CIV</t>
        </is>
      </c>
      <c r="D37" s="371" t="n">
        <v>15</v>
      </c>
      <c r="E37" s="425" t="n"/>
      <c r="F37" s="425" t="n">
        <v>30</v>
      </c>
      <c r="G37" s="425" t="n"/>
      <c r="H37" s="425" t="n"/>
      <c r="I37" s="425" t="n"/>
      <c r="J37" s="371" t="n">
        <v>15</v>
      </c>
      <c r="K37" s="418" t="inlineStr">
        <is>
          <t>Star Chart Shop</t>
        </is>
      </c>
    </row>
    <row r="38">
      <c r="A38" s="357" t="inlineStr">
        <is>
          <t xml:space="preserve">   Messier Catalogue</t>
        </is>
      </c>
      <c r="B38" s="425" t="inlineStr">
        <is>
          <t>SSS</t>
        </is>
      </c>
      <c r="C38" s="425" t="inlineStr">
        <is>
          <t>TECH</t>
        </is>
      </c>
      <c r="D38" s="425" t="n">
        <v>15</v>
      </c>
      <c r="E38" s="425" t="n"/>
      <c r="F38" s="371" t="n">
        <v>30</v>
      </c>
      <c r="G38" s="425" t="n"/>
      <c r="H38" s="371" t="n">
        <v>15</v>
      </c>
      <c r="I38" s="425" t="n"/>
      <c r="J38" s="371" t="n"/>
      <c r="K38" s="418" t="inlineStr">
        <is>
          <t>Star Chart Shop</t>
        </is>
      </c>
    </row>
    <row r="39">
      <c r="A39" s="434" t="inlineStr">
        <is>
          <t xml:space="preserve">   Infin. Improb. Eng.</t>
        </is>
      </c>
      <c r="B39" s="425" t="inlineStr">
        <is>
          <t>SSS</t>
        </is>
      </c>
      <c r="C39" s="425" t="inlineStr">
        <is>
          <t>TECH</t>
        </is>
      </c>
      <c r="D39" s="425" t="n">
        <v>15</v>
      </c>
      <c r="E39" s="425" t="n"/>
      <c r="F39" s="371" t="n">
        <v>30</v>
      </c>
      <c r="G39" s="425" t="n"/>
      <c r="H39" s="371" t="n"/>
      <c r="I39" s="425" t="n"/>
      <c r="J39" s="371" t="n">
        <v>15</v>
      </c>
      <c r="K39" s="390" t="inlineStr">
        <is>
          <t>Daily Pack Relic #51</t>
        </is>
      </c>
    </row>
    <row r="40">
      <c r="A40" s="362" t="inlineStr">
        <is>
          <t>MAX QUANTUM AMP STAMPS</t>
        </is>
      </c>
      <c r="B40" s="411" t="n"/>
      <c r="C40" s="411" t="n"/>
      <c r="D40" s="364">
        <f>D30+D32+D34+D36+D38</f>
        <v/>
      </c>
      <c r="E40" s="411" t="n"/>
      <c r="F40" s="364">
        <f>F30+F32+F34+F36+F38</f>
        <v/>
      </c>
      <c r="G40" s="411" t="n"/>
      <c r="H40" s="364">
        <f>H30+H32+H34+H36+H38</f>
        <v/>
      </c>
      <c r="I40" s="411" t="n"/>
      <c r="J40" s="364">
        <f>J30+J32+J34+J36+J38</f>
        <v/>
      </c>
      <c r="K40" s="426" t="n"/>
    </row>
    <row r="41">
      <c r="A41" s="434" t="n"/>
      <c r="B41" s="425" t="n"/>
      <c r="C41" s="425" t="n"/>
      <c r="D41" s="425" t="n"/>
      <c r="E41" s="425" t="n"/>
      <c r="F41" s="425" t="n"/>
      <c r="G41" s="425" t="n"/>
      <c r="H41" s="425" t="n"/>
      <c r="I41" s="425" t="n"/>
      <c r="J41" s="425" t="n"/>
      <c r="K41" s="425" t="n"/>
    </row>
    <row r="42">
      <c r="A42" s="424" t="inlineStr">
        <is>
          <t>RESONANCE</t>
        </is>
      </c>
      <c r="B42" s="406" t="n"/>
      <c r="C42" s="406" t="n"/>
      <c r="D42" s="406" t="n"/>
      <c r="E42" s="406" t="n"/>
      <c r="F42" s="406" t="n"/>
      <c r="G42" s="406" t="n"/>
      <c r="H42" s="406" t="n"/>
      <c r="I42" s="406" t="n"/>
      <c r="J42" s="406" t="n"/>
      <c r="K42" s="129" t="n"/>
    </row>
    <row r="43">
      <c r="A43" s="434" t="inlineStr">
        <is>
          <t xml:space="preserve">  ORANGE</t>
        </is>
      </c>
      <c r="B43" s="425" t="n"/>
      <c r="C43" s="425" t="n"/>
      <c r="D43" s="425" t="n"/>
      <c r="E43" s="425" t="n"/>
      <c r="F43" s="425" t="n"/>
      <c r="G43" s="425" t="n"/>
      <c r="H43" s="425" t="n"/>
      <c r="I43" s="425" t="n"/>
      <c r="J43" s="425" t="n"/>
      <c r="K43" s="418" t="n"/>
    </row>
    <row r="44">
      <c r="A44" s="434" t="inlineStr">
        <is>
          <t xml:space="preserve">    Output</t>
        </is>
      </c>
      <c r="B44" s="425" t="n"/>
      <c r="C44" s="425" t="n"/>
      <c r="D44" s="371" t="n">
        <v>7</v>
      </c>
      <c r="E44" s="425" t="n"/>
      <c r="F44" s="425" t="n"/>
      <c r="G44" s="425" t="n"/>
      <c r="H44" s="425" t="n"/>
      <c r="I44" s="425" t="n"/>
      <c r="J44" s="425" t="n"/>
      <c r="K44" s="418" t="n"/>
    </row>
    <row r="45">
      <c r="A45" s="434" t="inlineStr">
        <is>
          <t xml:space="preserve">      Hevelius Chart</t>
        </is>
      </c>
      <c r="B45" s="425" t="inlineStr">
        <is>
          <t>SSS</t>
        </is>
      </c>
      <c r="C45" s="425" t="inlineStr">
        <is>
          <t>CIV</t>
        </is>
      </c>
      <c r="D45" s="425" t="n"/>
      <c r="E45" s="425" t="n"/>
      <c r="F45" s="425" t="n"/>
      <c r="G45" s="425" t="n"/>
      <c r="H45" s="425" t="n"/>
      <c r="I45" s="425" t="n"/>
      <c r="J45" s="425" t="n"/>
      <c r="K45" s="418" t="inlineStr">
        <is>
          <t>Star Chart Shop</t>
        </is>
      </c>
    </row>
    <row r="46">
      <c r="A46" s="434" t="inlineStr">
        <is>
          <t xml:space="preserve">      Mysterious Relic</t>
        </is>
      </c>
      <c r="B46" s="425" t="inlineStr">
        <is>
          <t>SSS</t>
        </is>
      </c>
      <c r="C46" s="425" t="n"/>
      <c r="D46" s="425" t="n"/>
      <c r="E46" s="425" t="n"/>
      <c r="F46" s="425" t="n"/>
      <c r="G46" s="425" t="n"/>
      <c r="H46" s="425" t="n"/>
      <c r="I46" s="425" t="n"/>
      <c r="J46" s="425" t="n"/>
      <c r="K46" s="418" t="n"/>
    </row>
    <row r="47">
      <c r="A47" s="434" t="inlineStr">
        <is>
          <t xml:space="preserve">    Cap 1</t>
        </is>
      </c>
      <c r="B47" s="425" t="n"/>
      <c r="C47" s="425" t="n"/>
      <c r="D47" s="425" t="n"/>
      <c r="E47" s="425" t="n"/>
      <c r="F47" s="425" t="n">
        <v>7</v>
      </c>
      <c r="G47" s="425" t="n"/>
      <c r="H47" s="371" t="n"/>
      <c r="I47" s="425" t="n"/>
      <c r="J47" s="425" t="n"/>
      <c r="K47" s="418" t="n"/>
    </row>
    <row r="48">
      <c r="A48" s="434" t="inlineStr">
        <is>
          <t xml:space="preserve">      Constellations</t>
        </is>
      </c>
      <c r="B48" s="425" t="inlineStr">
        <is>
          <t>SSS</t>
        </is>
      </c>
      <c r="C48" s="425" t="inlineStr">
        <is>
          <t>ART</t>
        </is>
      </c>
      <c r="D48" s="425" t="n"/>
      <c r="E48" s="425" t="n"/>
      <c r="F48" s="425" t="n"/>
      <c r="G48" s="425" t="n"/>
      <c r="H48" s="425" t="n"/>
      <c r="I48" s="425" t="n"/>
      <c r="J48" s="425" t="n"/>
      <c r="K48" s="418" t="inlineStr">
        <is>
          <t>Star Chart Shop</t>
        </is>
      </c>
    </row>
    <row r="49">
      <c r="A49" s="434" t="inlineStr">
        <is>
          <t xml:space="preserve">      Olympic Charter</t>
        </is>
      </c>
      <c r="B49" s="425" t="inlineStr">
        <is>
          <t>SSS</t>
        </is>
      </c>
      <c r="C49" s="425" t="inlineStr">
        <is>
          <t>FAME</t>
        </is>
      </c>
      <c r="D49" s="425" t="n"/>
      <c r="E49" s="425" t="n"/>
      <c r="F49" s="425" t="n"/>
      <c r="G49" s="425" t="n"/>
      <c r="H49" s="425" t="n"/>
      <c r="I49" s="425" t="n"/>
      <c r="J49" s="425" t="n"/>
      <c r="K49" s="201" t="inlineStr">
        <is>
          <t>Lottery Machine #2 (?%)</t>
        </is>
      </c>
    </row>
    <row r="50">
      <c r="A50" s="434" t="inlineStr">
        <is>
          <t xml:space="preserve">    Cap 2</t>
        </is>
      </c>
      <c r="B50" s="425" t="n"/>
      <c r="C50" s="425" t="n"/>
      <c r="D50" s="371" t="n"/>
      <c r="E50" s="425" t="n"/>
      <c r="F50" s="371" t="n">
        <v>7</v>
      </c>
      <c r="G50" s="425" t="n"/>
      <c r="H50" s="371" t="n"/>
      <c r="I50" s="425" t="n"/>
      <c r="J50" s="425" t="n"/>
      <c r="K50" s="418" t="n"/>
    </row>
    <row r="51">
      <c r="A51" s="434" t="inlineStr">
        <is>
          <t xml:space="preserve">      Energy Missile</t>
        </is>
      </c>
      <c r="B51" s="425" t="inlineStr">
        <is>
          <t>SSS</t>
        </is>
      </c>
      <c r="C51" s="425" t="inlineStr">
        <is>
          <t>TECH</t>
        </is>
      </c>
      <c r="D51" s="425" t="n"/>
      <c r="E51" s="425" t="n"/>
      <c r="F51" s="425" t="n"/>
      <c r="G51" s="425" t="n"/>
      <c r="H51" s="425" t="n"/>
      <c r="I51" s="425" t="n"/>
      <c r="J51" s="425" t="n"/>
      <c r="K51" s="418" t="inlineStr">
        <is>
          <t>Lucky Box Reward Batch no. 1-7</t>
        </is>
      </c>
    </row>
    <row r="52">
      <c r="A52" s="434" t="inlineStr">
        <is>
          <t xml:space="preserve">      Quark Model</t>
        </is>
      </c>
      <c r="B52" s="425" t="inlineStr">
        <is>
          <t>SSS</t>
        </is>
      </c>
      <c r="C52" s="425" t="inlineStr">
        <is>
          <t>TECH</t>
        </is>
      </c>
      <c r="D52" s="425" t="n"/>
      <c r="E52" s="425" t="n"/>
      <c r="F52" s="425" t="n"/>
      <c r="G52" s="425" t="n"/>
      <c r="H52" s="425" t="n"/>
      <c r="I52" s="425" t="n"/>
      <c r="J52" s="425" t="n"/>
      <c r="K52" s="418" t="inlineStr">
        <is>
          <t>Lucky Box Reward Batch no. 8-14</t>
        </is>
      </c>
    </row>
    <row r="53">
      <c r="A53" s="434" t="inlineStr">
        <is>
          <t xml:space="preserve">      MoCA</t>
        </is>
      </c>
      <c r="B53" s="425" t="inlineStr">
        <is>
          <t>SSS</t>
        </is>
      </c>
      <c r="C53" s="425" t="inlineStr">
        <is>
          <t>TECH</t>
        </is>
      </c>
      <c r="D53" s="371" t="n"/>
      <c r="E53" s="425" t="n"/>
      <c r="F53" s="371" t="n"/>
      <c r="G53" s="425" t="n"/>
      <c r="H53" s="371" t="n"/>
      <c r="I53" s="425" t="n"/>
      <c r="J53" s="425" t="n"/>
      <c r="K53" s="418" t="inlineStr">
        <is>
          <t>Lucky Box Reward Batch no. 15-21</t>
        </is>
      </c>
    </row>
    <row r="54">
      <c r="A54" s="362" t="inlineStr">
        <is>
          <t>MAX RESONANCE</t>
        </is>
      </c>
      <c r="B54" s="411" t="n"/>
      <c r="C54" s="411" t="n"/>
      <c r="D54" s="364">
        <f>sum(D43:D53)</f>
        <v/>
      </c>
      <c r="E54" s="411" t="n"/>
      <c r="F54" s="364">
        <f>sum(F43:F53)</f>
        <v/>
      </c>
      <c r="G54" s="411" t="n"/>
      <c r="H54" s="364">
        <f>sum(H43:H53)</f>
        <v/>
      </c>
      <c r="I54" s="411" t="n"/>
      <c r="J54" s="411" t="n"/>
      <c r="K54" s="426" t="n"/>
    </row>
    <row r="55">
      <c r="A55" s="425" t="n"/>
      <c r="B55" s="425" t="n"/>
      <c r="C55" s="425" t="n"/>
      <c r="D55" s="425" t="n"/>
      <c r="E55" s="425" t="n"/>
      <c r="F55" s="425" t="n"/>
      <c r="G55" s="425" t="n"/>
      <c r="H55" s="425" t="n"/>
      <c r="I55" s="425" t="n"/>
      <c r="J55" s="425" t="n"/>
      <c r="K55" s="425" t="n"/>
    </row>
    <row r="56">
      <c r="A56" s="425" t="n"/>
      <c r="B56" s="425" t="n"/>
      <c r="C56" s="425" t="n"/>
      <c r="D56" s="425" t="n"/>
      <c r="E56" s="425" t="n"/>
      <c r="F56" s="425" t="n"/>
      <c r="G56" s="425" t="n"/>
      <c r="H56" s="425" t="n"/>
      <c r="I56" s="425" t="n"/>
      <c r="J56" s="425" t="n"/>
      <c r="K56" s="425" t="n"/>
    </row>
    <row r="57">
      <c r="A57" s="450" t="inlineStr">
        <is>
          <t>Total Base Output</t>
        </is>
      </c>
      <c r="B57" s="428">
        <f>D16+D21+D27+D40+D54+D24</f>
        <v/>
      </c>
      <c r="C57" s="425" t="n"/>
      <c r="D57" s="425" t="n"/>
      <c r="E57" s="425" t="n"/>
      <c r="F57" s="425" t="n"/>
      <c r="G57" s="425" t="n"/>
      <c r="H57" s="425" t="n"/>
      <c r="I57" s="425" t="n"/>
      <c r="J57" s="425" t="n"/>
      <c r="K57" s="425" t="n"/>
    </row>
    <row r="58">
      <c r="A58" s="447" t="inlineStr">
        <is>
          <t>Total Base Cap</t>
        </is>
      </c>
      <c r="B58" s="115">
        <f>F16+F21+F27+F40+F54+F24</f>
        <v/>
      </c>
      <c r="C58" s="425" t="n"/>
      <c r="D58" s="425" t="n"/>
      <c r="E58" s="425" t="n"/>
      <c r="F58" s="425" t="n"/>
      <c r="G58" s="425" t="n"/>
      <c r="H58" s="425" t="n"/>
      <c r="I58" s="425" t="n"/>
      <c r="J58" s="425" t="n"/>
      <c r="K58" s="425" t="n"/>
    </row>
    <row r="59">
      <c r="A59" s="447" t="inlineStr">
        <is>
          <t>Total Nebula Chest</t>
        </is>
      </c>
      <c r="B59" s="115">
        <f>H16+H21+H27+H40+H54</f>
        <v/>
      </c>
      <c r="C59" s="425" t="n"/>
      <c r="D59" s="425" t="n"/>
      <c r="E59" s="425" t="n"/>
      <c r="F59" s="425" t="n"/>
      <c r="G59" s="425" t="n"/>
      <c r="H59" s="425" t="n"/>
      <c r="I59" s="425" t="n"/>
      <c r="J59" s="425" t="n"/>
      <c r="K59" s="425" t="n"/>
    </row>
  </sheetData>
  <dataValidations count="2">
    <dataValidation sqref="B3:B15 B30:B39 B45:B46 B48:B49 B51:B53" showDropDown="0" showInputMessage="0" showErrorMessage="1" allowBlank="1" type="list">
      <formula1>"SSS,SS,S,AAA,AA,A,Blue,Green"</formula1>
    </dataValidation>
    <dataValidation sqref="C3:C15 C30:C39 C45 C48:C49 C51:C53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327"/>
  <sheetViews>
    <sheetView workbookViewId="0">
      <selection activeCell="A1" sqref="A1"/>
    </sheetView>
  </sheetViews>
  <sheetFormatPr baseColWidth="8" defaultColWidth="9.18" defaultRowHeight="15" customHeight="1"/>
  <cols>
    <col width="19.91" customWidth="1" style="1128" min="1" max="1"/>
    <col width="7.73" customWidth="1" style="1128" min="4" max="4"/>
    <col width="11.82" customWidth="1" style="1128" min="5" max="6"/>
    <col width="11.73" customWidth="1" style="1128" min="7" max="7"/>
    <col width="4.09" customWidth="1" style="1128" min="8" max="8"/>
    <col width="3.27" customWidth="1" style="1128" min="9" max="9"/>
    <col width="4" customWidth="1" style="1128" min="10" max="10"/>
    <col width="3" customWidth="1" style="1128" min="11" max="11"/>
    <col width="3.36" customWidth="1" style="1128" min="12" max="12"/>
    <col width="6.73" customWidth="1" style="1128" min="13" max="13"/>
    <col width="3.82" customWidth="1" style="1128" min="14" max="14"/>
    <col width="7.73" customWidth="1" style="1128" min="15" max="15"/>
    <col width="7" customWidth="1" style="1128" min="16" max="16"/>
    <col width="7.36" customWidth="1" style="1128" min="17" max="17"/>
    <col width="4.36" customWidth="1" style="1128" min="18" max="18"/>
    <col width="7.82" customWidth="1" style="1128" min="20" max="20"/>
    <col width="5.55" customWidth="1" style="1128" min="21" max="21"/>
    <col width="8.449999999999999" customWidth="1" style="1128" min="22" max="22"/>
  </cols>
  <sheetData>
    <row r="1">
      <c r="A1" s="357" t="inlineStr">
        <is>
          <t>Dung Beetle</t>
        </is>
      </c>
      <c r="B1" s="406" t="n"/>
      <c r="C1" s="406" t="n"/>
      <c r="D1" s="967" t="inlineStr">
        <is>
          <t>Main AFFCT</t>
        </is>
      </c>
      <c r="E1" s="967" t="inlineStr">
        <is>
          <t>Stamp 1</t>
        </is>
      </c>
      <c r="F1" s="967" t="inlineStr">
        <is>
          <t>Stamp 2</t>
        </is>
      </c>
      <c r="G1" s="967" t="inlineStr">
        <is>
          <t>Stamp 3</t>
        </is>
      </c>
      <c r="H1" s="436" t="inlineStr">
        <is>
          <t>HP</t>
        </is>
      </c>
      <c r="I1" s="436" t="inlineStr">
        <is>
          <t>ATK</t>
        </is>
      </c>
      <c r="J1" s="436" t="inlineStr">
        <is>
          <t>RUSH</t>
        </is>
      </c>
      <c r="K1" s="436" t="inlineStr">
        <is>
          <t>DEF</t>
        </is>
      </c>
      <c r="L1" s="436" t="inlineStr">
        <is>
          <t>CRIT</t>
        </is>
      </c>
      <c r="M1" s="436" t="inlineStr">
        <is>
          <t>CRIT DMG</t>
        </is>
      </c>
      <c r="N1" s="436" t="inlineStr">
        <is>
          <t>DMG</t>
        </is>
      </c>
      <c r="O1" s="436" t="inlineStr">
        <is>
          <t>DMG Reduc</t>
        </is>
      </c>
      <c r="P1" s="436" t="inlineStr">
        <is>
          <t>Hero DMG</t>
        </is>
      </c>
      <c r="Q1" s="436" t="inlineStr">
        <is>
          <t>ELMT DMG</t>
        </is>
      </c>
      <c r="R1" s="436" t="inlineStr">
        <is>
          <t>AFFCT</t>
        </is>
      </c>
      <c r="S1" s="437" t="inlineStr">
        <is>
          <t>Source</t>
        </is>
      </c>
      <c r="Y1" s="438" t="inlineStr">
        <is>
          <t>AFFCT</t>
        </is>
      </c>
      <c r="Z1" s="438" t="inlineStr">
        <is>
          <t>FAME</t>
        </is>
      </c>
      <c r="AA1" s="438" t="inlineStr">
        <is>
          <t>Non-FAME</t>
        </is>
      </c>
      <c r="AB1" s="439" t="n"/>
    </row>
    <row r="2">
      <c r="A2" s="434" t="inlineStr">
        <is>
          <t>INDIVIDUAL RELICS</t>
        </is>
      </c>
      <c r="B2" s="425" t="n"/>
      <c r="C2" s="425" t="n"/>
      <c r="D2" s="425" t="n"/>
      <c r="E2" s="425" t="n"/>
      <c r="F2" s="425" t="n"/>
      <c r="G2" s="425" t="n"/>
      <c r="S2" s="418" t="n"/>
      <c r="Y2" s="449" t="n">
        <v>49</v>
      </c>
      <c r="Z2" s="441" t="n">
        <v>0.5</v>
      </c>
      <c r="AA2" s="449" t="n">
        <v>2.4</v>
      </c>
      <c r="AB2" s="442" t="n"/>
    </row>
    <row r="3">
      <c r="A3" s="450" t="inlineStr">
        <is>
          <t>Celestial Mechanics</t>
        </is>
      </c>
      <c r="B3" s="450" t="inlineStr">
        <is>
          <t>SSS</t>
        </is>
      </c>
      <c r="C3" s="450" t="inlineStr">
        <is>
          <t>FAME</t>
        </is>
      </c>
      <c r="D3" s="448" t="n">
        <v>109</v>
      </c>
      <c r="E3" s="448" t="inlineStr">
        <is>
          <t>All ELMT DMG +15</t>
        </is>
      </c>
      <c r="F3" s="450" t="inlineStr">
        <is>
          <t>RUSH +9%</t>
        </is>
      </c>
      <c r="G3" s="450" t="inlineStr">
        <is>
          <t>CRIT DMG +9%</t>
        </is>
      </c>
      <c r="H3" s="444" t="n"/>
      <c r="I3" s="444" t="n"/>
      <c r="J3" s="444" t="n">
        <v>9</v>
      </c>
      <c r="K3" s="444" t="n"/>
      <c r="L3" s="444" t="n"/>
      <c r="M3" s="444" t="n">
        <v>9</v>
      </c>
      <c r="N3" s="444" t="n"/>
      <c r="O3" s="444" t="n"/>
      <c r="P3" s="444" t="n"/>
      <c r="Q3" s="444" t="n">
        <v>75</v>
      </c>
      <c r="R3" s="444" t="n"/>
      <c r="S3" s="386" t="inlineStr">
        <is>
          <t>Lottery Machine No. 3 (0.12%)</t>
        </is>
      </c>
      <c r="Y3" s="449" t="n">
        <v>57</v>
      </c>
      <c r="Z3" s="441" t="n">
        <v>0.6</v>
      </c>
      <c r="AA3" s="449" t="n">
        <v>2.8</v>
      </c>
      <c r="AB3" s="442" t="n"/>
    </row>
    <row r="4">
      <c r="A4" s="450" t="inlineStr">
        <is>
          <t>Antarctic Treaty</t>
        </is>
      </c>
      <c r="B4" s="450" t="inlineStr">
        <is>
          <t>SSS</t>
        </is>
      </c>
      <c r="C4" s="450" t="inlineStr">
        <is>
          <t>FAME</t>
        </is>
      </c>
      <c r="D4" s="448" t="n">
        <v>108</v>
      </c>
      <c r="E4" s="448" t="inlineStr">
        <is>
          <t>Water DMG +60</t>
        </is>
      </c>
      <c r="F4" s="448" t="inlineStr">
        <is>
          <t>FAME +15</t>
        </is>
      </c>
      <c r="G4" s="450" t="inlineStr">
        <is>
          <t>CRIT DMG +9%</t>
        </is>
      </c>
      <c r="H4" s="444" t="n"/>
      <c r="I4" s="444" t="n"/>
      <c r="J4" s="444" t="n"/>
      <c r="K4" s="444" t="n"/>
      <c r="L4" s="444" t="n"/>
      <c r="M4" s="444" t="n">
        <v>9</v>
      </c>
      <c r="N4" s="444" t="n"/>
      <c r="O4" s="444" t="n"/>
      <c r="P4" s="444" t="n"/>
      <c r="Q4" s="444" t="n">
        <v>60</v>
      </c>
      <c r="R4" s="444" t="n">
        <v>15</v>
      </c>
      <c r="S4" s="386" t="inlineStr">
        <is>
          <t>Lottery Machine No. 2 (0.11%)</t>
        </is>
      </c>
      <c r="Y4" s="449" t="n">
        <v>66</v>
      </c>
      <c r="Z4" s="441" t="n">
        <v>0.7</v>
      </c>
      <c r="AA4" s="449" t="n">
        <v>3.3</v>
      </c>
      <c r="AB4" s="906" t="n"/>
    </row>
    <row r="5">
      <c r="A5" s="447" t="inlineStr">
        <is>
          <t>The Prince</t>
        </is>
      </c>
      <c r="B5" s="447" t="inlineStr">
        <is>
          <t>SSS</t>
        </is>
      </c>
      <c r="C5" s="447" t="inlineStr">
        <is>
          <t>FAME</t>
        </is>
      </c>
      <c r="D5" s="445" t="n">
        <v>106</v>
      </c>
      <c r="E5" s="445" t="inlineStr">
        <is>
          <t>ATK +6%</t>
        </is>
      </c>
      <c r="F5" s="447" t="inlineStr">
        <is>
          <t>FAME +15</t>
        </is>
      </c>
      <c r="G5" s="447" t="inlineStr">
        <is>
          <t>CRIT DMG +6%</t>
        </is>
      </c>
      <c r="H5" s="897" t="n"/>
      <c r="I5" s="447" t="n">
        <v>6</v>
      </c>
      <c r="J5" s="447" t="n"/>
      <c r="K5" s="447" t="n"/>
      <c r="L5" s="447" t="n"/>
      <c r="M5" s="447" t="n">
        <v>6</v>
      </c>
      <c r="N5" s="447" t="n"/>
      <c r="O5" s="447" t="n"/>
      <c r="P5" s="447" t="n"/>
      <c r="Q5" s="447" t="n"/>
      <c r="R5" s="447" t="n">
        <v>15</v>
      </c>
      <c r="S5" s="386" t="inlineStr">
        <is>
          <t>Lottery Machine No. 2 (0.11%)</t>
        </is>
      </c>
      <c r="Y5" s="449" t="n">
        <v>83</v>
      </c>
      <c r="Z5" s="449" t="n">
        <v>1</v>
      </c>
      <c r="AA5" s="441" t="n">
        <v>4.1</v>
      </c>
      <c r="AB5" s="906" t="n"/>
    </row>
    <row r="6">
      <c r="A6" s="450" t="inlineStr">
        <is>
          <t>Cross of Lorraine</t>
        </is>
      </c>
      <c r="B6" s="450" t="inlineStr">
        <is>
          <t>SS</t>
        </is>
      </c>
      <c r="C6" s="450" t="inlineStr">
        <is>
          <t>FAME</t>
        </is>
      </c>
      <c r="D6" s="448" t="n">
        <v>104</v>
      </c>
      <c r="E6" s="448" t="inlineStr">
        <is>
          <t>FAME +15</t>
        </is>
      </c>
      <c r="F6" s="448" t="inlineStr">
        <is>
          <t>ATK +6%</t>
        </is>
      </c>
      <c r="G6" s="450" t="n"/>
      <c r="H6" s="449" t="n"/>
      <c r="I6" s="450" t="n">
        <v>6</v>
      </c>
      <c r="J6" s="450" t="n"/>
      <c r="K6" s="450" t="n"/>
      <c r="L6" s="450" t="n"/>
      <c r="M6" s="450" t="n"/>
      <c r="N6" s="450" t="n"/>
      <c r="O6" s="450" t="n"/>
      <c r="P6" s="450" t="n"/>
      <c r="Q6" s="450" t="n"/>
      <c r="R6" s="450" t="n">
        <v>15</v>
      </c>
      <c r="S6" s="386" t="inlineStr">
        <is>
          <t>Lottery Machine No. 2 (?%)</t>
        </is>
      </c>
      <c r="Y6" s="449" t="n">
        <v>84</v>
      </c>
      <c r="Z6" s="449" t="n">
        <v>1</v>
      </c>
      <c r="AA6" s="441" t="n">
        <v>4.2</v>
      </c>
      <c r="AB6" s="442" t="n"/>
    </row>
    <row r="7">
      <c r="A7" s="450" t="inlineStr">
        <is>
          <t>Two-headed Serpent</t>
        </is>
      </c>
      <c r="B7" s="450" t="inlineStr">
        <is>
          <t>SSS</t>
        </is>
      </c>
      <c r="C7" s="450" t="inlineStr">
        <is>
          <t>ART</t>
        </is>
      </c>
      <c r="D7" s="448" t="n">
        <v>106</v>
      </c>
      <c r="E7" s="448" t="inlineStr">
        <is>
          <t>Hero DMG +6%</t>
        </is>
      </c>
      <c r="F7" s="450" t="inlineStr">
        <is>
          <t>Wind DMG +30</t>
        </is>
      </c>
      <c r="G7" s="450" t="inlineStr">
        <is>
          <t>ATK +9%</t>
        </is>
      </c>
      <c r="H7" s="444" t="n"/>
      <c r="I7" s="444" t="n">
        <v>9</v>
      </c>
      <c r="J7" s="444" t="n"/>
      <c r="K7" s="444" t="n"/>
      <c r="L7" s="444" t="n"/>
      <c r="M7" s="444" t="n"/>
      <c r="N7" s="444" t="n"/>
      <c r="O7" s="444" t="n"/>
      <c r="P7" s="444" t="n">
        <v>6</v>
      </c>
      <c r="Q7" s="444" t="n">
        <v>30</v>
      </c>
      <c r="R7" s="444" t="n"/>
      <c r="S7" s="386" t="inlineStr">
        <is>
          <t>Lottery Machine No. 2 (0.11%), Relic Forge (120 RF)</t>
        </is>
      </c>
      <c r="Y7" s="449" t="n">
        <v>85</v>
      </c>
      <c r="Z7" s="449" t="n">
        <v>1</v>
      </c>
      <c r="AA7" s="449" t="n">
        <v>4.2</v>
      </c>
      <c r="AB7" s="442" t="n"/>
    </row>
    <row r="8">
      <c r="A8" s="450" t="inlineStr">
        <is>
          <t>Ivan the Terrible</t>
        </is>
      </c>
      <c r="B8" s="450" t="inlineStr">
        <is>
          <t>SSS</t>
        </is>
      </c>
      <c r="C8" s="450" t="inlineStr">
        <is>
          <t>ART</t>
        </is>
      </c>
      <c r="D8" s="448" t="n">
        <v>109</v>
      </c>
      <c r="E8" s="448" t="inlineStr">
        <is>
          <t>Wind DMG +60</t>
        </is>
      </c>
      <c r="F8" s="450" t="inlineStr">
        <is>
          <t>DEF +9%</t>
        </is>
      </c>
      <c r="G8" s="450" t="inlineStr">
        <is>
          <t>RUSH +9%</t>
        </is>
      </c>
      <c r="H8" s="444" t="n"/>
      <c r="I8" s="444" t="n"/>
      <c r="J8" s="444" t="n">
        <v>9</v>
      </c>
      <c r="K8" s="444" t="n">
        <v>9</v>
      </c>
      <c r="L8" s="444" t="n"/>
      <c r="M8" s="444" t="n"/>
      <c r="N8" s="444" t="n"/>
      <c r="O8" s="444" t="n"/>
      <c r="P8" s="444" t="n"/>
      <c r="Q8" s="444" t="n">
        <v>60</v>
      </c>
      <c r="R8" s="444" t="n"/>
      <c r="S8" s="386" t="inlineStr">
        <is>
          <t>Lottery Machine No. 3 (0.12%)</t>
        </is>
      </c>
      <c r="Y8" s="449" t="n">
        <v>86</v>
      </c>
      <c r="Z8" s="449" t="n">
        <v>1</v>
      </c>
      <c r="AA8" s="449" t="n">
        <v>4.3</v>
      </c>
      <c r="AB8" s="442" t="n"/>
    </row>
    <row r="9">
      <c r="A9" s="450" t="inlineStr">
        <is>
          <t>Seated Voltaire</t>
        </is>
      </c>
      <c r="B9" s="450" t="inlineStr">
        <is>
          <t>SSS</t>
        </is>
      </c>
      <c r="C9" s="450" t="inlineStr">
        <is>
          <t>ART</t>
        </is>
      </c>
      <c r="D9" s="448" t="n">
        <v>106</v>
      </c>
      <c r="E9" s="448" t="inlineStr">
        <is>
          <t>DEF +6%</t>
        </is>
      </c>
      <c r="F9" s="450" t="inlineStr">
        <is>
          <t>ART +15</t>
        </is>
      </c>
      <c r="G9" s="450" t="inlineStr">
        <is>
          <t>Wind DMG +30</t>
        </is>
      </c>
      <c r="H9" s="449" t="n"/>
      <c r="I9" s="450" t="n"/>
      <c r="J9" s="450" t="n"/>
      <c r="K9" s="450" t="n">
        <v>6</v>
      </c>
      <c r="L9" s="450" t="n"/>
      <c r="M9" s="450" t="n"/>
      <c r="N9" s="450" t="n"/>
      <c r="O9" s="450" t="n"/>
      <c r="P9" s="450" t="n"/>
      <c r="Q9" s="450" t="n">
        <v>30</v>
      </c>
      <c r="R9" s="450" t="n">
        <v>15</v>
      </c>
      <c r="S9" s="386" t="inlineStr">
        <is>
          <t>Wish Box Relic Album #1</t>
        </is>
      </c>
      <c r="Y9" s="449" t="n">
        <v>87</v>
      </c>
      <c r="Z9" s="449" t="n">
        <v>1</v>
      </c>
      <c r="AA9" s="441" t="n">
        <v>4.3</v>
      </c>
      <c r="AB9" s="906" t="n"/>
    </row>
    <row r="10">
      <c r="A10" s="450" t="inlineStr">
        <is>
          <t>Woman at Her Toilette</t>
        </is>
      </c>
      <c r="B10" s="450" t="inlineStr">
        <is>
          <t>SSS</t>
        </is>
      </c>
      <c r="C10" s="450" t="inlineStr">
        <is>
          <t>ART</t>
        </is>
      </c>
      <c r="D10" s="448" t="n">
        <v>109</v>
      </c>
      <c r="E10" s="448" t="inlineStr">
        <is>
          <t>ATK +6%</t>
        </is>
      </c>
      <c r="F10" s="450" t="inlineStr">
        <is>
          <t>RUSH +6%</t>
        </is>
      </c>
      <c r="G10" s="450" t="inlineStr">
        <is>
          <t>ART +15</t>
        </is>
      </c>
      <c r="H10" s="444" t="n"/>
      <c r="I10" s="444" t="n">
        <v>6</v>
      </c>
      <c r="J10" s="444" t="n">
        <v>6</v>
      </c>
      <c r="K10" s="444" t="n"/>
      <c r="L10" s="444" t="n"/>
      <c r="M10" s="444" t="n"/>
      <c r="N10" s="444" t="n"/>
      <c r="O10" s="444" t="n"/>
      <c r="P10" s="444" t="n"/>
      <c r="Q10" s="444" t="n"/>
      <c r="R10" s="444" t="n">
        <v>15</v>
      </c>
      <c r="S10" s="418" t="inlineStr">
        <is>
          <t>Minion Skin Lottery</t>
        </is>
      </c>
      <c r="Y10" s="449" t="n">
        <v>88</v>
      </c>
      <c r="Z10" s="441" t="n">
        <v>1.1</v>
      </c>
      <c r="AA10" s="441" t="n">
        <v>4.4</v>
      </c>
      <c r="AB10" s="906" t="n"/>
    </row>
    <row r="11">
      <c r="A11" s="450" t="inlineStr">
        <is>
          <t>Vedas</t>
        </is>
      </c>
      <c r="B11" s="450" t="inlineStr">
        <is>
          <t>SSS</t>
        </is>
      </c>
      <c r="C11" s="450" t="inlineStr">
        <is>
          <t>FTH</t>
        </is>
      </c>
      <c r="D11" s="448" t="n">
        <v>108</v>
      </c>
      <c r="E11" s="448" t="inlineStr">
        <is>
          <t>DEF +9%</t>
        </is>
      </c>
      <c r="F11" s="450" t="inlineStr">
        <is>
          <t>FTH +15</t>
        </is>
      </c>
      <c r="G11" s="450" t="inlineStr">
        <is>
          <t>CRIT +9%</t>
        </is>
      </c>
      <c r="H11" s="444" t="n"/>
      <c r="I11" s="444" t="n"/>
      <c r="J11" s="444" t="n"/>
      <c r="K11" s="444" t="n">
        <v>9</v>
      </c>
      <c r="L11" s="444" t="n">
        <v>9</v>
      </c>
      <c r="M11" s="444" t="n"/>
      <c r="N11" s="444" t="n"/>
      <c r="O11" s="444" t="n"/>
      <c r="P11" s="444" t="n"/>
      <c r="Q11" s="444" t="n"/>
      <c r="R11" s="444" t="n">
        <v>15</v>
      </c>
      <c r="S11" s="418" t="inlineStr">
        <is>
          <t>Lottery Machine No. 2 (0.11%)</t>
        </is>
      </c>
      <c r="Y11" s="449" t="n">
        <v>89</v>
      </c>
      <c r="Z11" s="441" t="n">
        <v>1.1</v>
      </c>
      <c r="AA11" s="441" t="n">
        <v>4.4</v>
      </c>
      <c r="AB11" s="906" t="n"/>
    </row>
    <row r="12">
      <c r="A12" s="450" t="inlineStr">
        <is>
          <t>Akashic Records</t>
        </is>
      </c>
      <c r="B12" s="450" t="inlineStr">
        <is>
          <t>SSS</t>
        </is>
      </c>
      <c r="C12" s="450" t="inlineStr">
        <is>
          <t>FTH</t>
        </is>
      </c>
      <c r="D12" s="448" t="n">
        <v>106</v>
      </c>
      <c r="E12" s="448" t="inlineStr">
        <is>
          <t>FTH +15</t>
        </is>
      </c>
      <c r="F12" s="448" t="inlineStr">
        <is>
          <t>HP +9%</t>
        </is>
      </c>
      <c r="G12" s="450" t="inlineStr">
        <is>
          <t>DMG REDUC +6%</t>
        </is>
      </c>
      <c r="H12" s="444" t="n">
        <v>9</v>
      </c>
      <c r="I12" s="444" t="n"/>
      <c r="J12" s="444" t="n"/>
      <c r="K12" s="444" t="n"/>
      <c r="L12" s="444" t="n"/>
      <c r="M12" s="444" t="n"/>
      <c r="N12" s="444" t="n"/>
      <c r="O12" s="444" t="n">
        <v>6</v>
      </c>
      <c r="P12" s="444" t="n"/>
      <c r="Q12" s="444" t="n"/>
      <c r="R12" s="444" t="n">
        <v>15</v>
      </c>
      <c r="S12" s="386" t="inlineStr">
        <is>
          <t>Lottery Machine No. 3 (0.12%)</t>
        </is>
      </c>
      <c r="Y12" s="449" t="n">
        <v>90</v>
      </c>
      <c r="Z12" s="441" t="n">
        <v>1.1</v>
      </c>
      <c r="AA12" s="449" t="n">
        <v>4.5</v>
      </c>
      <c r="AB12" s="906" t="n"/>
    </row>
    <row r="13">
      <c r="A13" s="450" t="inlineStr">
        <is>
          <t>The Myth of Etana</t>
        </is>
      </c>
      <c r="B13" s="450" t="inlineStr">
        <is>
          <t>S</t>
        </is>
      </c>
      <c r="C13" s="450" t="inlineStr">
        <is>
          <t>FTH</t>
        </is>
      </c>
      <c r="D13" s="448" t="n">
        <v>100</v>
      </c>
      <c r="E13" s="448" t="inlineStr">
        <is>
          <t>CRIT +9%</t>
        </is>
      </c>
      <c r="F13" s="448" t="n"/>
      <c r="G13" s="450" t="n"/>
      <c r="H13" s="444" t="n"/>
      <c r="I13" s="444" t="n"/>
      <c r="J13" s="444" t="n"/>
      <c r="K13" s="444" t="n"/>
      <c r="L13" s="444" t="n">
        <v>9</v>
      </c>
      <c r="M13" s="444" t="n"/>
      <c r="N13" s="444" t="n"/>
      <c r="O13" s="444" t="n"/>
      <c r="P13" s="444" t="n"/>
      <c r="Q13" s="444" t="n"/>
      <c r="R13" s="444" t="n"/>
      <c r="S13" s="386" t="inlineStr">
        <is>
          <t>Lottery Machine No. 3 (1.63%)</t>
        </is>
      </c>
      <c r="Y13" s="449" t="n">
        <v>91</v>
      </c>
      <c r="Z13" s="441" t="n">
        <v>1.1</v>
      </c>
      <c r="AA13" s="449" t="n">
        <v>4.5</v>
      </c>
      <c r="AB13" s="906" t="n"/>
    </row>
    <row r="14">
      <c r="A14" s="450" t="inlineStr">
        <is>
          <t>Enuma Elish</t>
        </is>
      </c>
      <c r="B14" s="450" t="inlineStr">
        <is>
          <t>SSS</t>
        </is>
      </c>
      <c r="C14" s="450" t="inlineStr">
        <is>
          <t>FTH</t>
        </is>
      </c>
      <c r="D14" s="448" t="n">
        <v>107</v>
      </c>
      <c r="E14" s="448" t="inlineStr">
        <is>
          <t>FTH +15</t>
        </is>
      </c>
      <c r="F14" s="450" t="inlineStr">
        <is>
          <t>ATK +6%</t>
        </is>
      </c>
      <c r="G14" s="450" t="inlineStr">
        <is>
          <t>RUSH +6%</t>
        </is>
      </c>
      <c r="H14" s="449" t="n"/>
      <c r="I14" s="450" t="n">
        <v>6</v>
      </c>
      <c r="J14" s="450" t="n">
        <v>6</v>
      </c>
      <c r="K14" s="450" t="n"/>
      <c r="L14" s="450" t="n"/>
      <c r="M14" s="450" t="n"/>
      <c r="N14" s="450" t="n"/>
      <c r="O14" s="450" t="n"/>
      <c r="P14" s="450" t="n"/>
      <c r="Q14" s="450" t="n"/>
      <c r="R14" s="450" t="n">
        <v>15</v>
      </c>
      <c r="S14" s="418" t="inlineStr">
        <is>
          <t>Lottery Machine No. 2 (0.11%)</t>
        </is>
      </c>
      <c r="Y14" s="449" t="n">
        <v>92</v>
      </c>
      <c r="Z14" s="449" t="n">
        <v>1.1</v>
      </c>
      <c r="AA14" s="449" t="n">
        <v>4.6</v>
      </c>
      <c r="AB14" s="906" t="n"/>
    </row>
    <row r="15">
      <c r="A15" s="450" t="inlineStr">
        <is>
          <t>Beowulf</t>
        </is>
      </c>
      <c r="B15" s="450" t="inlineStr">
        <is>
          <t>SSS</t>
        </is>
      </c>
      <c r="C15" s="450" t="inlineStr">
        <is>
          <t>CIV</t>
        </is>
      </c>
      <c r="D15" s="448" t="n">
        <v>107</v>
      </c>
      <c r="E15" s="448" t="inlineStr">
        <is>
          <t>CIV +15</t>
        </is>
      </c>
      <c r="F15" s="448" t="inlineStr">
        <is>
          <t>Fire DMG +60</t>
        </is>
      </c>
      <c r="G15" s="450" t="inlineStr">
        <is>
          <t>Fire DMG +30</t>
        </is>
      </c>
      <c r="H15" s="444" t="n"/>
      <c r="I15" s="444" t="n"/>
      <c r="J15" s="444" t="n"/>
      <c r="K15" s="444" t="n"/>
      <c r="L15" s="444" t="n"/>
      <c r="M15" s="444" t="n"/>
      <c r="N15" s="444" t="n"/>
      <c r="O15" s="444" t="n"/>
      <c r="P15" s="444" t="n"/>
      <c r="Q15" s="444" t="n">
        <v>90</v>
      </c>
      <c r="R15" s="444" t="n">
        <v>15</v>
      </c>
      <c r="S15" s="418" t="inlineStr">
        <is>
          <t>Lottery Machine No. 2 (0.11%)</t>
        </is>
      </c>
      <c r="Y15" s="449" t="n">
        <v>93</v>
      </c>
      <c r="Z15" s="449" t="n">
        <v>1.1</v>
      </c>
      <c r="AA15" s="449" t="n">
        <v>4.6</v>
      </c>
      <c r="AB15" s="906" t="n"/>
    </row>
    <row r="16">
      <c r="A16" s="450" t="inlineStr">
        <is>
          <t>Of Human Bondage</t>
        </is>
      </c>
      <c r="B16" s="450" t="inlineStr">
        <is>
          <t>SSS</t>
        </is>
      </c>
      <c r="C16" s="450" t="inlineStr">
        <is>
          <t>CIV</t>
        </is>
      </c>
      <c r="D16" s="448" t="n">
        <v>109</v>
      </c>
      <c r="E16" s="448" t="inlineStr">
        <is>
          <t>CRIT +9%</t>
        </is>
      </c>
      <c r="F16" s="448" t="inlineStr">
        <is>
          <t>Hero DMG +6%</t>
        </is>
      </c>
      <c r="G16" s="450" t="inlineStr">
        <is>
          <t>Earth RES +60</t>
        </is>
      </c>
      <c r="H16" s="444" t="n"/>
      <c r="I16" s="444" t="n"/>
      <c r="J16" s="444" t="n"/>
      <c r="K16" s="444" t="n"/>
      <c r="L16" s="444" t="n">
        <v>9</v>
      </c>
      <c r="M16" s="444" t="n"/>
      <c r="N16" s="444" t="n"/>
      <c r="O16" s="444" t="n"/>
      <c r="P16" s="444" t="n">
        <v>6</v>
      </c>
      <c r="Q16" s="444" t="n"/>
      <c r="R16" s="444" t="n"/>
      <c r="S16" s="390" t="inlineStr">
        <is>
          <t>Daily Pack #??</t>
        </is>
      </c>
      <c r="Y16" s="449" t="n"/>
      <c r="Z16" s="449" t="n"/>
      <c r="AA16" s="449" t="n"/>
      <c r="AB16" s="906" t="n"/>
    </row>
    <row r="17">
      <c r="A17" s="450" t="inlineStr">
        <is>
          <t>Don Juan</t>
        </is>
      </c>
      <c r="B17" s="450" t="inlineStr">
        <is>
          <t>SSS</t>
        </is>
      </c>
      <c r="C17" s="450" t="inlineStr">
        <is>
          <t>CIV</t>
        </is>
      </c>
      <c r="D17" s="448" t="n">
        <v>106</v>
      </c>
      <c r="E17" s="448" t="inlineStr">
        <is>
          <t>CIV +15</t>
        </is>
      </c>
      <c r="F17" s="448" t="inlineStr">
        <is>
          <t>HP +9%</t>
        </is>
      </c>
      <c r="G17" s="450" t="inlineStr">
        <is>
          <t>ATK +9%</t>
        </is>
      </c>
      <c r="H17" s="444" t="n">
        <v>9</v>
      </c>
      <c r="I17" s="444" t="n">
        <v>9</v>
      </c>
      <c r="J17" s="444" t="n"/>
      <c r="K17" s="444" t="n"/>
      <c r="L17" s="444" t="n"/>
      <c r="M17" s="444" t="n"/>
      <c r="N17" s="444" t="n"/>
      <c r="O17" s="444" t="n"/>
      <c r="P17" s="444" t="n"/>
      <c r="Q17" s="444" t="n"/>
      <c r="R17" s="444" t="n">
        <v>15</v>
      </c>
      <c r="S17" s="390" t="inlineStr">
        <is>
          <t>Daily Pack #40</t>
        </is>
      </c>
      <c r="Y17" s="449" t="n">
        <v>94</v>
      </c>
      <c r="Z17" s="449" t="n">
        <v>1.1</v>
      </c>
      <c r="AA17" s="449" t="n">
        <v>4.7</v>
      </c>
      <c r="AB17" s="906" t="n"/>
    </row>
    <row r="18">
      <c r="A18" s="450" t="inlineStr">
        <is>
          <t>Frederick Portrait</t>
        </is>
      </c>
      <c r="B18" s="450" t="inlineStr">
        <is>
          <t>SSS</t>
        </is>
      </c>
      <c r="C18" s="450" t="inlineStr">
        <is>
          <t>CIV</t>
        </is>
      </c>
      <c r="D18" s="448" t="n">
        <v>106</v>
      </c>
      <c r="E18" s="448" t="inlineStr">
        <is>
          <t>HP +9%</t>
        </is>
      </c>
      <c r="F18" s="448" t="inlineStr">
        <is>
          <t>RUSH +9%</t>
        </is>
      </c>
      <c r="G18" s="450" t="inlineStr">
        <is>
          <t>Water DMG +60</t>
        </is>
      </c>
      <c r="H18" s="444" t="n">
        <v>9</v>
      </c>
      <c r="I18" s="444" t="n"/>
      <c r="J18" s="444" t="n">
        <v>9</v>
      </c>
      <c r="K18" s="444" t="n"/>
      <c r="L18" s="444" t="n"/>
      <c r="M18" s="444" t="n"/>
      <c r="N18" s="444" t="n"/>
      <c r="O18" s="444" t="n"/>
      <c r="P18" s="444" t="n"/>
      <c r="Q18" s="444" t="n">
        <v>60</v>
      </c>
      <c r="R18" s="444" t="n"/>
      <c r="S18" s="390" t="inlineStr">
        <is>
          <t>Unknown</t>
        </is>
      </c>
      <c r="Y18" s="449" t="n">
        <v>95</v>
      </c>
      <c r="Z18" s="441" t="n">
        <v>1.1</v>
      </c>
      <c r="AA18" s="449" t="n">
        <v>4.7</v>
      </c>
      <c r="AB18" s="906" t="n"/>
    </row>
    <row r="19">
      <c r="A19" s="450" t="inlineStr">
        <is>
          <t>Harem Wall Painting</t>
        </is>
      </c>
      <c r="B19" s="450" t="inlineStr">
        <is>
          <t>SS</t>
        </is>
      </c>
      <c r="C19" s="450" t="inlineStr">
        <is>
          <t>CIV</t>
        </is>
      </c>
      <c r="D19" s="448" t="n">
        <v>106</v>
      </c>
      <c r="E19" s="448" t="inlineStr">
        <is>
          <t>CIV +15</t>
        </is>
      </c>
      <c r="F19" s="448" t="inlineStr">
        <is>
          <t>RUSH +6%</t>
        </is>
      </c>
      <c r="G19" s="450" t="n"/>
      <c r="H19" s="449" t="n"/>
      <c r="I19" s="450" t="n"/>
      <c r="J19" s="450" t="n">
        <v>6</v>
      </c>
      <c r="K19" s="450" t="n"/>
      <c r="L19" s="450" t="n"/>
      <c r="M19" s="450" t="n"/>
      <c r="N19" s="450" t="n"/>
      <c r="O19" s="450" t="n"/>
      <c r="P19" s="450" t="n"/>
      <c r="Q19" s="450" t="n"/>
      <c r="R19" s="450" t="n">
        <v>15</v>
      </c>
      <c r="S19" s="418" t="inlineStr">
        <is>
          <t>Lottery Machine No. 2 (?%)</t>
        </is>
      </c>
      <c r="Y19" s="449" t="n">
        <v>96</v>
      </c>
      <c r="Z19" s="449" t="n">
        <v>1.2</v>
      </c>
      <c r="AA19" s="449" t="n">
        <v>4.8</v>
      </c>
      <c r="AB19" s="906" t="n"/>
    </row>
    <row r="20">
      <c r="A20" s="450" t="inlineStr">
        <is>
          <t>Volsunga Saga</t>
        </is>
      </c>
      <c r="B20" s="450" t="inlineStr">
        <is>
          <t>SSS</t>
        </is>
      </c>
      <c r="C20" s="450" t="inlineStr">
        <is>
          <t>CIV</t>
        </is>
      </c>
      <c r="D20" s="448" t="n">
        <v>109</v>
      </c>
      <c r="E20" s="448" t="inlineStr">
        <is>
          <t>CIV +15</t>
        </is>
      </c>
      <c r="F20" s="448" t="inlineStr">
        <is>
          <t>ATK +9%</t>
        </is>
      </c>
      <c r="G20" s="450" t="inlineStr">
        <is>
          <t>DEF +9%</t>
        </is>
      </c>
      <c r="H20" s="444" t="n"/>
      <c r="I20" s="444" t="n">
        <v>9</v>
      </c>
      <c r="J20" s="444" t="n"/>
      <c r="K20" s="444" t="n">
        <v>9</v>
      </c>
      <c r="L20" s="444" t="n"/>
      <c r="M20" s="444" t="n"/>
      <c r="N20" s="444" t="n"/>
      <c r="O20" s="444" t="n"/>
      <c r="P20" s="444" t="n"/>
      <c r="Q20" s="444" t="n"/>
      <c r="R20" s="444" t="n">
        <v>15</v>
      </c>
      <c r="S20" s="390" t="inlineStr">
        <is>
          <t>Gold Pack #6</t>
        </is>
      </c>
      <c r="Y20" s="449" t="n">
        <v>97</v>
      </c>
      <c r="Z20" s="449" t="n">
        <v>1.2</v>
      </c>
      <c r="AA20" s="449" t="n">
        <v>4.8</v>
      </c>
      <c r="AB20" s="906" t="n"/>
    </row>
    <row r="21">
      <c r="A21" s="450" t="inlineStr">
        <is>
          <t>The King in Yellow</t>
        </is>
      </c>
      <c r="B21" s="450" t="inlineStr">
        <is>
          <t>SSS</t>
        </is>
      </c>
      <c r="C21" s="450" t="inlineStr">
        <is>
          <t>TECH</t>
        </is>
      </c>
      <c r="D21" s="448" t="n">
        <v>109</v>
      </c>
      <c r="E21" s="448" t="inlineStr">
        <is>
          <t>TECH +15</t>
        </is>
      </c>
      <c r="F21" s="448" t="inlineStr">
        <is>
          <t>CRIT +9%</t>
        </is>
      </c>
      <c r="G21" s="450" t="inlineStr">
        <is>
          <t>CRIT DMG +9%</t>
        </is>
      </c>
      <c r="H21" s="444" t="n"/>
      <c r="I21" s="444" t="n"/>
      <c r="J21" s="444" t="n"/>
      <c r="K21" s="444" t="n"/>
      <c r="L21" s="444" t="n">
        <v>9</v>
      </c>
      <c r="M21" s="444" t="n">
        <v>9</v>
      </c>
      <c r="N21" s="444" t="n"/>
      <c r="O21" s="444" t="n"/>
      <c r="P21" s="444" t="n"/>
      <c r="Q21" s="444" t="n"/>
      <c r="R21" s="444" t="n">
        <v>15</v>
      </c>
      <c r="S21" s="390" t="inlineStr">
        <is>
          <t>Gold Pack #7</t>
        </is>
      </c>
      <c r="Y21" s="449" t="n">
        <v>98</v>
      </c>
      <c r="Z21" s="449" t="n">
        <v>1.2</v>
      </c>
      <c r="AA21" s="449" t="n">
        <v>4.9</v>
      </c>
      <c r="AB21" s="906" t="n"/>
    </row>
    <row r="22">
      <c r="A22" s="450" t="inlineStr">
        <is>
          <t>Goldbach Conjecture</t>
        </is>
      </c>
      <c r="B22" s="450" t="inlineStr">
        <is>
          <t>SSS</t>
        </is>
      </c>
      <c r="C22" s="450" t="inlineStr">
        <is>
          <t>TECH</t>
        </is>
      </c>
      <c r="D22" s="448" t="n">
        <v>108</v>
      </c>
      <c r="E22" s="448" t="inlineStr">
        <is>
          <t>ATK +9%</t>
        </is>
      </c>
      <c r="F22" s="448" t="inlineStr">
        <is>
          <t>DMG REDUC +6%</t>
        </is>
      </c>
      <c r="G22" s="450" t="inlineStr">
        <is>
          <t>TECH +15</t>
        </is>
      </c>
      <c r="H22" s="444" t="n"/>
      <c r="I22" s="444" t="n">
        <v>9</v>
      </c>
      <c r="J22" s="444" t="n"/>
      <c r="K22" s="444" t="n"/>
      <c r="L22" s="444" t="n"/>
      <c r="M22" s="444" t="n"/>
      <c r="N22" s="444" t="n"/>
      <c r="O22" s="444" t="n">
        <v>6</v>
      </c>
      <c r="P22" s="444" t="n"/>
      <c r="Q22" s="444" t="n"/>
      <c r="R22" s="444" t="n">
        <v>15</v>
      </c>
      <c r="S22" s="418" t="inlineStr">
        <is>
          <t>Traveler's Pack #2</t>
        </is>
      </c>
      <c r="Y22" s="449" t="n">
        <v>99</v>
      </c>
      <c r="Z22" s="449" t="n">
        <v>1.2</v>
      </c>
      <c r="AA22" s="449" t="n">
        <v>4.9</v>
      </c>
      <c r="AB22" s="906" t="n"/>
    </row>
    <row r="23">
      <c r="A23" s="450" t="inlineStr">
        <is>
          <t>Superstring Computer</t>
        </is>
      </c>
      <c r="B23" s="450" t="inlineStr">
        <is>
          <t>SSS</t>
        </is>
      </c>
      <c r="C23" s="450" t="inlineStr">
        <is>
          <t>TECH</t>
        </is>
      </c>
      <c r="D23" s="448" t="n">
        <v>109</v>
      </c>
      <c r="E23" s="448" t="inlineStr">
        <is>
          <t>RUSH +9%</t>
        </is>
      </c>
      <c r="F23" s="448" t="inlineStr">
        <is>
          <t>DEF +9%</t>
        </is>
      </c>
      <c r="G23" s="450" t="inlineStr">
        <is>
          <t>Earth DMG +60</t>
        </is>
      </c>
      <c r="H23" s="444" t="n"/>
      <c r="I23" s="444" t="n"/>
      <c r="J23" s="444" t="n">
        <v>9</v>
      </c>
      <c r="K23" s="444" t="n">
        <v>9</v>
      </c>
      <c r="L23" s="444" t="n"/>
      <c r="M23" s="444" t="n"/>
      <c r="N23" s="444" t="n"/>
      <c r="O23" s="444" t="n"/>
      <c r="P23" s="444" t="n"/>
      <c r="Q23" s="444" t="n">
        <v>60</v>
      </c>
      <c r="R23" s="444" t="n"/>
      <c r="S23" s="390" t="inlineStr">
        <is>
          <t>Clover Vendor Reward</t>
        </is>
      </c>
      <c r="Y23" s="449" t="n">
        <v>100</v>
      </c>
      <c r="Z23" s="449" t="n">
        <v>1.2</v>
      </c>
      <c r="AA23" s="449" t="n">
        <v>5</v>
      </c>
      <c r="AB23" s="906" t="n"/>
    </row>
    <row r="24">
      <c r="A24" s="450" t="inlineStr">
        <is>
          <t>TVC Engine</t>
        </is>
      </c>
      <c r="B24" s="450" t="inlineStr">
        <is>
          <t>S</t>
        </is>
      </c>
      <c r="C24" s="450" t="inlineStr">
        <is>
          <t>TECH</t>
        </is>
      </c>
      <c r="D24" s="448" t="n">
        <v>100</v>
      </c>
      <c r="E24" s="448" t="inlineStr">
        <is>
          <t>Earth DMG +60</t>
        </is>
      </c>
      <c r="F24" s="448" t="n"/>
      <c r="G24" s="450" t="n"/>
      <c r="H24" s="444" t="n"/>
      <c r="I24" s="444" t="n"/>
      <c r="J24" s="444" t="n"/>
      <c r="K24" s="444" t="n"/>
      <c r="L24" s="444" t="n"/>
      <c r="M24" s="444" t="n"/>
      <c r="N24" s="444" t="n"/>
      <c r="O24" s="444" t="n"/>
      <c r="P24" s="444" t="n"/>
      <c r="Q24" s="444" t="n">
        <v>60</v>
      </c>
      <c r="R24" s="444" t="n"/>
      <c r="S24" s="386" t="inlineStr">
        <is>
          <t>Lottery Machine No. 3 (1.63%)</t>
        </is>
      </c>
      <c r="Y24" s="449" t="n">
        <v>101</v>
      </c>
      <c r="Z24" s="449" t="n">
        <v>1.2</v>
      </c>
      <c r="AA24" s="449" t="n">
        <v>5</v>
      </c>
      <c r="AB24" s="906" t="n"/>
    </row>
    <row r="25">
      <c r="A25" s="450" t="inlineStr">
        <is>
          <t>CRISPR</t>
        </is>
      </c>
      <c r="B25" s="450" t="inlineStr">
        <is>
          <t>S</t>
        </is>
      </c>
      <c r="C25" s="450" t="inlineStr">
        <is>
          <t>TECH</t>
        </is>
      </c>
      <c r="D25" s="448" t="n">
        <v>98</v>
      </c>
      <c r="E25" s="448" t="inlineStr">
        <is>
          <t>DEF +9%</t>
        </is>
      </c>
      <c r="F25" s="448" t="n"/>
      <c r="G25" s="450" t="n"/>
      <c r="H25" s="444" t="n"/>
      <c r="I25" s="444" t="n"/>
      <c r="J25" s="444" t="n"/>
      <c r="K25" s="444" t="n">
        <v>9</v>
      </c>
      <c r="L25" s="444" t="n"/>
      <c r="M25" s="444" t="n"/>
      <c r="N25" s="444" t="n"/>
      <c r="O25" s="444" t="n"/>
      <c r="P25" s="444" t="n"/>
      <c r="Q25" s="444" t="n"/>
      <c r="R25" s="444" t="n"/>
      <c r="S25" s="426" t="inlineStr">
        <is>
          <t>Lottery Machine No. 2 (?%)</t>
        </is>
      </c>
      <c r="Y25" s="449" t="n">
        <v>102</v>
      </c>
      <c r="Z25" s="449" t="n">
        <v>1.2</v>
      </c>
      <c r="AA25" s="449" t="n">
        <v>5.1</v>
      </c>
      <c r="AB25" s="906" t="n"/>
    </row>
    <row r="26">
      <c r="A26" s="425" t="n"/>
      <c r="B26" s="425" t="n"/>
      <c r="C26" s="425" t="n"/>
      <c r="D26" s="425" t="n"/>
      <c r="E26" s="425" t="n"/>
      <c r="F26" s="425" t="n"/>
      <c r="G26" s="425" t="n"/>
      <c r="H26" s="425" t="n"/>
      <c r="Y26" s="449" t="n">
        <v>103</v>
      </c>
      <c r="Z26" s="449" t="n">
        <v>1.2</v>
      </c>
      <c r="AA26" s="449" t="n">
        <v>5.1</v>
      </c>
      <c r="AB26" s="906" t="n"/>
    </row>
    <row r="27">
      <c r="A27" s="425" t="n"/>
      <c r="B27" s="425" t="n"/>
      <c r="C27" s="425" t="n"/>
      <c r="D27" s="425" t="n"/>
      <c r="E27" s="425" t="n"/>
      <c r="F27" s="425" t="n"/>
      <c r="G27" s="425" t="n"/>
      <c r="H27" s="425" t="n"/>
      <c r="Y27" s="449" t="n">
        <v>104</v>
      </c>
      <c r="Z27" s="449" t="n">
        <v>1.3</v>
      </c>
      <c r="AA27" s="449" t="n">
        <v>5.2</v>
      </c>
      <c r="AB27" s="906" t="n"/>
    </row>
    <row r="28">
      <c r="A28" s="425" t="n"/>
      <c r="B28" s="425" t="n"/>
      <c r="C28" s="425" t="n"/>
      <c r="D28" s="425" t="n"/>
      <c r="E28" s="425" t="n"/>
      <c r="F28" s="425" t="n"/>
      <c r="G28" s="425" t="n"/>
      <c r="H28" s="425" t="n"/>
      <c r="Y28" s="449" t="n">
        <v>105</v>
      </c>
      <c r="Z28" s="449" t="n">
        <v>1.3</v>
      </c>
      <c r="AA28" s="449" t="n">
        <v>5.2</v>
      </c>
      <c r="AB28" s="906" t="n"/>
    </row>
    <row r="29">
      <c r="A29" s="425" t="n"/>
      <c r="B29" s="425" t="n"/>
      <c r="C29" s="425" t="n"/>
      <c r="D29" s="425" t="n"/>
      <c r="E29" s="425" t="n"/>
      <c r="F29" s="425" t="n"/>
      <c r="G29" s="425" t="n"/>
      <c r="H29" s="425" t="n"/>
      <c r="Y29" s="449" t="n">
        <v>106</v>
      </c>
      <c r="Z29" s="449" t="n">
        <v>1.3</v>
      </c>
      <c r="AA29" s="449" t="n">
        <v>5.3</v>
      </c>
      <c r="AB29" s="906" t="n"/>
    </row>
    <row r="30">
      <c r="A30" s="425" t="n"/>
      <c r="B30" s="425" t="n"/>
      <c r="C30" s="425" t="n"/>
      <c r="D30" s="425" t="n"/>
      <c r="E30" s="425" t="n"/>
      <c r="F30" s="425" t="n"/>
      <c r="G30" s="425" t="n"/>
      <c r="H30" s="425" t="n"/>
      <c r="Y30" s="449" t="n">
        <v>107</v>
      </c>
      <c r="Z30" s="449" t="n">
        <v>1.3</v>
      </c>
      <c r="AA30" s="449" t="n">
        <v>5.3</v>
      </c>
      <c r="AB30" s="906" t="n"/>
    </row>
    <row r="31">
      <c r="C31" s="451" t="inlineStr">
        <is>
          <t>Relic</t>
        </is>
      </c>
      <c r="D31" s="452" t="n"/>
      <c r="E31" s="453" t="inlineStr">
        <is>
          <t>Slot</t>
        </is>
      </c>
      <c r="F31" s="453" t="inlineStr">
        <is>
          <t>Stat</t>
        </is>
      </c>
      <c r="G31" s="453">
        <f>D1</f>
        <v/>
      </c>
      <c r="H31" s="454" t="inlineStr">
        <is>
          <t>HP</t>
        </is>
      </c>
      <c r="I31" s="454" t="inlineStr">
        <is>
          <t>ATK</t>
        </is>
      </c>
      <c r="J31" s="454" t="inlineStr">
        <is>
          <t>RUSH</t>
        </is>
      </c>
      <c r="K31" s="454" t="inlineStr">
        <is>
          <t>DEF</t>
        </is>
      </c>
      <c r="L31" s="454" t="inlineStr">
        <is>
          <t>CRIT</t>
        </is>
      </c>
      <c r="M31" s="454" t="inlineStr">
        <is>
          <t>CRIT DMG</t>
        </is>
      </c>
      <c r="N31" s="454" t="inlineStr">
        <is>
          <t>DMG</t>
        </is>
      </c>
      <c r="O31" s="454" t="inlineStr">
        <is>
          <t>DMG Reduc</t>
        </is>
      </c>
      <c r="P31" s="454" t="inlineStr">
        <is>
          <t>Hero DMG</t>
        </is>
      </c>
      <c r="Q31" s="454" t="inlineStr">
        <is>
          <t>ELMT DMG</t>
        </is>
      </c>
      <c r="R31" s="454" t="inlineStr">
        <is>
          <t>Alternatives</t>
        </is>
      </c>
      <c r="S31" s="1129" t="n"/>
      <c r="U31" s="444" t="n"/>
      <c r="V31" s="444" t="inlineStr">
        <is>
          <t>Boosted</t>
        </is>
      </c>
      <c r="W31" s="444" t="inlineStr">
        <is>
          <t>Damage</t>
        </is>
      </c>
      <c r="Y31" s="449" t="n">
        <v>108</v>
      </c>
      <c r="Z31" s="449" t="n">
        <v>1.3</v>
      </c>
      <c r="AA31" s="449" t="n">
        <v>5.4</v>
      </c>
      <c r="AB31" s="906" t="n"/>
    </row>
    <row r="32">
      <c r="C32" s="456">
        <f>A3</f>
        <v/>
      </c>
      <c r="D32" s="457" t="n"/>
      <c r="E32" s="458" t="inlineStr">
        <is>
          <t>FAME</t>
        </is>
      </c>
      <c r="F32" s="458" t="inlineStr">
        <is>
          <t>HARD</t>
        </is>
      </c>
      <c r="G32" s="550">
        <f>IFERROR(VLOOKUP($C32,$A$3:$R$25,4,FALSE),0)+IFERROR(VLOOKUP($C32,$A$3:$R$25,18,FALSE),0)</f>
        <v/>
      </c>
      <c r="H32" s="607">
        <f>IFERROR(VLOOKUP($C32,$A$3:$R$25,8,FALSE),0)+IFERROR(VLOOKUP($G32,$Y$2:$AA$50,2),0)</f>
        <v/>
      </c>
      <c r="I32" s="607">
        <f>IFERROR(VLOOKUP($C32,$A$3:$R$25,9,FALSE),0)+IFERROR(VLOOKUP($G32,$Y$2:$AA$50,2),0)</f>
        <v/>
      </c>
      <c r="J32" s="607">
        <f>IFERROR(VLOOKUP($C32,$A$3:$R$25,10,FALSE),0)+IFERROR(VLOOKUP($G32,$Y$2:$AA$50,2),0)</f>
        <v/>
      </c>
      <c r="K32" s="607">
        <f>IFERROR(VLOOKUP($C32,$A$3:$R$25,11,FALSE),0)+IFERROR(VLOOKUP($G32,$Y$2:$AA$50,2),0)</f>
        <v/>
      </c>
      <c r="L32" s="607">
        <f>XLOOKUP($C32,$A$3:$A$25,$L$3:$L$25,0)</f>
        <v/>
      </c>
      <c r="M32" s="607">
        <f>XLOOKUP($C32,$A$3:$A$25,$M$3:$M$25,0)</f>
        <v/>
      </c>
      <c r="N32" s="607">
        <f>XLOOKUP($C32,$A$3:$A$25,$N$3:$N$25,0)</f>
        <v/>
      </c>
      <c r="O32" s="607">
        <f>XLOOKUP($C32,$A$3:$A$25,$O$3:$O$25,0)</f>
        <v/>
      </c>
      <c r="P32" s="607">
        <f>XLOOKUP($C32,$A$3:$A$25,$P$3:$P$25,0)</f>
        <v/>
      </c>
      <c r="Q32" s="607">
        <f>XLOOKUP($C32,$A$3:$A$25,$Q$3:$Q$25,0)</f>
        <v/>
      </c>
      <c r="R32" s="592">
        <f>A5</f>
        <v/>
      </c>
      <c r="S32" s="1129" t="n"/>
      <c r="U32" s="444" t="inlineStr">
        <is>
          <t>Troop:</t>
        </is>
      </c>
      <c r="V32" s="444" t="n"/>
      <c r="W32" s="444" t="n"/>
      <c r="Y32" s="449" t="n">
        <v>109</v>
      </c>
      <c r="Z32" s="449" t="n">
        <v>1.3</v>
      </c>
      <c r="AA32" s="449" t="n">
        <v>5.4</v>
      </c>
      <c r="AB32" s="906" t="n"/>
    </row>
    <row r="33">
      <c r="C33" s="463">
        <f>A7</f>
        <v/>
      </c>
      <c r="D33" s="464" t="n"/>
      <c r="E33" s="472" t="inlineStr">
        <is>
          <t>ART</t>
        </is>
      </c>
      <c r="F33" s="472" t="inlineStr">
        <is>
          <t>HP</t>
        </is>
      </c>
      <c r="G33" s="466">
        <f>IFERROR(VLOOKUP($C33,$A$3:$R$25,4,FALSE),0)+IFERROR(VLOOKUP($C33,$A$3:$R$25,18,FALSE),0)</f>
        <v/>
      </c>
      <c r="H33" s="474">
        <f>IFERROR(VLOOKUP($C33,$A$3:$R$25,8,FALSE),0)+IFERROR(VLOOKUP($G33,$Y$2:$AA$50,3),0)</f>
        <v/>
      </c>
      <c r="I33" s="474">
        <f>XLOOKUP($C33,$A$3:$A$25,$I$3:$I$25,0)</f>
        <v/>
      </c>
      <c r="J33" s="474">
        <f>XLOOKUP($C33,$A$3:$A$25,$J$3:$J$25,0)</f>
        <v/>
      </c>
      <c r="K33" s="474">
        <f>XLOOKUP($C33,$A$3:$A$25,$K$3:$K$25,0)</f>
        <v/>
      </c>
      <c r="L33" s="474">
        <f>XLOOKUP($C33,$A$3:$A$25,$L$3:$L$25,0)</f>
        <v/>
      </c>
      <c r="M33" s="474">
        <f>XLOOKUP($C33,$A$3:$A$25,$M$3:$M$25,0)</f>
        <v/>
      </c>
      <c r="N33" s="474">
        <f>XLOOKUP($C33,$A$3:$A$25,$N$3:$N$25,0)</f>
        <v/>
      </c>
      <c r="O33" s="474">
        <f>XLOOKUP($C33,$A$3:$A$25,$O$3:$O$25,0)</f>
        <v/>
      </c>
      <c r="P33" s="474">
        <f>XLOOKUP($C33,$A$3:$A$25,$P$3:$P$25,0)</f>
        <v/>
      </c>
      <c r="Q33" s="474">
        <f>XLOOKUP($C33,$A$3:$A$25,$Q$3:$Q$25,0)</f>
        <v/>
      </c>
      <c r="R33" s="1130">
        <f>A10</f>
        <v/>
      </c>
      <c r="S33" s="1129" t="n"/>
      <c r="U33" s="444" t="inlineStr">
        <is>
          <t>ATK</t>
        </is>
      </c>
      <c r="V33" s="444">
        <f>$Z$66*(1+I37/100)</f>
        <v/>
      </c>
      <c r="W33" s="444">
        <f>((V33-$Z$73)*(V35+P37/100)*((V36/100)*V37 + (1-V36/100)*1)) + LOG(V33,5)*Q37*(V35+P37/100)</f>
        <v/>
      </c>
      <c r="Y33" s="449" t="n">
        <v>110</v>
      </c>
      <c r="Z33" s="441" t="n">
        <v>1.3</v>
      </c>
      <c r="AA33" s="449" t="n">
        <v>5.5</v>
      </c>
      <c r="AB33" s="906" t="n"/>
    </row>
    <row r="34">
      <c r="C34" s="456">
        <f>A14</f>
        <v/>
      </c>
      <c r="D34" s="457" t="n"/>
      <c r="E34" s="458" t="inlineStr">
        <is>
          <t>FTH</t>
        </is>
      </c>
      <c r="F34" s="458" t="inlineStr">
        <is>
          <t>RUSH</t>
        </is>
      </c>
      <c r="G34" s="550">
        <f>IFERROR(VLOOKUP($C34,$A$3:$R$25,4,FALSE),0)+IFERROR(VLOOKUP($C34,$A$3:$R$25,18,FALSE),0)</f>
        <v/>
      </c>
      <c r="H34" s="607">
        <f>XLOOKUP($C34,$A$3:$A$25,$H$3:$H$25,0)</f>
        <v/>
      </c>
      <c r="I34" s="607">
        <f>XLOOKUP($C34,$A$3:$A$25,$I$3:$I$25,0)</f>
        <v/>
      </c>
      <c r="J34" s="607">
        <f>IFERROR(VLOOKUP($C34,$A$3:$R$25,10,FALSE),0)+IFERROR(VLOOKUP(G34,$Y$2:$AA$50,3),0)</f>
        <v/>
      </c>
      <c r="K34" s="607">
        <f>XLOOKUP($C34,$A$3:$A$25,$K$3:$K$25,0)</f>
        <v/>
      </c>
      <c r="L34" s="607">
        <f>XLOOKUP($C34,$A$3:$A$25,$L$3:$L$25,0)</f>
        <v/>
      </c>
      <c r="M34" s="607">
        <f>XLOOKUP($C34,$A$3:$A$25,$M$3:$M$25,0)</f>
        <v/>
      </c>
      <c r="N34" s="607">
        <f>XLOOKUP($C34,$A$3:$A$25,$N$3:$N$25,0)</f>
        <v/>
      </c>
      <c r="O34" s="607">
        <f>XLOOKUP($C34,$A$3:$A$25,$O$3:$O$25,0)</f>
        <v/>
      </c>
      <c r="P34" s="607">
        <f>XLOOKUP($C34,$A$3:$A$25,$P$3:$P$25,0)</f>
        <v/>
      </c>
      <c r="Q34" s="607">
        <f>XLOOKUP($C34,$A$3:$A$25,$Q$3:$Q$25,0)</f>
        <v/>
      </c>
      <c r="R34" s="592">
        <f>A11</f>
        <v/>
      </c>
      <c r="S34" s="1129" t="n"/>
      <c r="U34" s="444" t="inlineStr">
        <is>
          <t>RUSH</t>
        </is>
      </c>
      <c r="V34" s="444">
        <f>$Z$67*(1+J37/100)</f>
        <v/>
      </c>
      <c r="W34" s="444">
        <f>(V34-$Z$73)*(V35+P37/100)*((V36/100)*V37 + (1-V36/100)*1) + LOG(V34,5)*Q37*(V35+P37/100)</f>
        <v/>
      </c>
      <c r="Y34" s="449" t="n">
        <v>111</v>
      </c>
      <c r="Z34" s="441" t="n">
        <v>1.3</v>
      </c>
      <c r="AA34" s="449" t="n">
        <v>5.5</v>
      </c>
      <c r="AB34" s="906" t="n"/>
    </row>
    <row r="35">
      <c r="C35" s="463">
        <f>A18</f>
        <v/>
      </c>
      <c r="D35" s="464" t="n"/>
      <c r="E35" s="472" t="inlineStr">
        <is>
          <t>CIV</t>
        </is>
      </c>
      <c r="F35" s="472" t="inlineStr">
        <is>
          <t>ATK</t>
        </is>
      </c>
      <c r="G35" s="466">
        <f>IFERROR(VLOOKUP($C35,$A$3:$R$25,4,FALSE),0)+IFERROR(VLOOKUP($C35,$A$3:$R$25,18,FALSE),0)</f>
        <v/>
      </c>
      <c r="H35" s="474">
        <f>XLOOKUP($C35,$A$3:$A$25,$H$3:$H$25,0)</f>
        <v/>
      </c>
      <c r="I35" s="474">
        <f>IFERROR(VLOOKUP($C35,$A$3:$R$25,9,FALSE),0)+IFERROR(VLOOKUP(G35,$Y$2:$AA$50,3),0)</f>
        <v/>
      </c>
      <c r="J35" s="474">
        <f>XLOOKUP($C35,$A$3:$A$25,$J$3:$J$25,0)</f>
        <v/>
      </c>
      <c r="K35" s="474">
        <f>XLOOKUP($C35,$A$3:$A$25,$K$3:$K$25,0)</f>
        <v/>
      </c>
      <c r="L35" s="474">
        <f>XLOOKUP($C35,$A$3:$A$25,$L$3:$L$25,0)</f>
        <v/>
      </c>
      <c r="M35" s="474">
        <f>XLOOKUP($C35,$A$3:$A$25,$M$3:$M$25,0)</f>
        <v/>
      </c>
      <c r="N35" s="474">
        <f>XLOOKUP($C35,$A$3:$A$25,$N$3:$N$25,0)</f>
        <v/>
      </c>
      <c r="O35" s="474">
        <f>XLOOKUP($C35,$A$3:$A$25,$O$3:$O$25,0)</f>
        <v/>
      </c>
      <c r="P35" s="474">
        <f>XLOOKUP($C35,$A$3:$A$25,$P$3:$P$25,0)</f>
        <v/>
      </c>
      <c r="Q35" s="474">
        <f>XLOOKUP($C35,$A$3:$A$25,$Q$3:$Q$25,0)</f>
        <v/>
      </c>
      <c r="R35" s="1130">
        <f>A19</f>
        <v/>
      </c>
      <c r="S35" s="1129" t="n"/>
      <c r="U35" s="444" t="inlineStr">
        <is>
          <t>DMG%</t>
        </is>
      </c>
      <c r="V35" s="444">
        <f>(1+($Z$68+N37)/100)</f>
        <v/>
      </c>
      <c r="W35" s="444" t="n"/>
      <c r="Y35" s="449" t="n">
        <v>112</v>
      </c>
      <c r="Z35" s="441" t="n">
        <v>1.4</v>
      </c>
      <c r="AA35" s="449" t="n">
        <v>5.6</v>
      </c>
      <c r="AB35" s="906" t="n"/>
    </row>
    <row r="36">
      <c r="C36" s="456">
        <f>A22</f>
        <v/>
      </c>
      <c r="D36" s="457" t="n"/>
      <c r="E36" s="458" t="inlineStr">
        <is>
          <t>TECH</t>
        </is>
      </c>
      <c r="F36" s="458" t="inlineStr">
        <is>
          <t>DEF</t>
        </is>
      </c>
      <c r="G36" s="550">
        <f>IFERROR(VLOOKUP($C36,$A$3:$R$25,4,FALSE),0)+IFERROR(VLOOKUP($C36,$A$3:$R$25,18,FALSE),0)</f>
        <v/>
      </c>
      <c r="H36" s="607">
        <f>XLOOKUP($C36,$A$3:$A$25,$H$3:$H$25,0)</f>
        <v/>
      </c>
      <c r="I36" s="607">
        <f>XLOOKUP($C36,$A$3:$A$25,$I$3:$I$25,0)</f>
        <v/>
      </c>
      <c r="J36" s="607">
        <f>XLOOKUP($C36,$A$3:$A$25,$J$3:$J$25,0)</f>
        <v/>
      </c>
      <c r="K36" s="607">
        <f>IFERROR(VLOOKUP($C36,$A$3:$R$25,11,FALSE),0)+IFERROR(VLOOKUP(G36,$Y$2:$AA$50,3),0)</f>
        <v/>
      </c>
      <c r="L36" s="607">
        <f>XLOOKUP($C36,$A$3:$A$25,$L$3:$L$25,0)</f>
        <v/>
      </c>
      <c r="M36" s="607">
        <f>XLOOKUP($C36,$A$3:$A$25,$M$3:$M$25,0)</f>
        <v/>
      </c>
      <c r="N36" s="607">
        <f>XLOOKUP($C36,$A$3:$A$25,$N$3:$N$25,0)</f>
        <v/>
      </c>
      <c r="O36" s="607">
        <f>XLOOKUP($C36,$A$3:$A$25,$O$3:$O$25,0)</f>
        <v/>
      </c>
      <c r="P36" s="607">
        <f>XLOOKUP($C36,$A$3:$A$25,$P$3:$P$25,0)</f>
        <v/>
      </c>
      <c r="Q36" s="607">
        <f>XLOOKUP($C36,$A$3:$A$25,$Q$3:$Q$25,0)</f>
        <v/>
      </c>
      <c r="R36" s="592" t="inlineStr">
        <is>
          <t>The Prince</t>
        </is>
      </c>
      <c r="S36" s="1129" t="n"/>
      <c r="U36" s="444" t="inlineStr">
        <is>
          <t>CRIT%</t>
        </is>
      </c>
      <c r="V36" s="444">
        <f>$Z$69+L37</f>
        <v/>
      </c>
      <c r="W36" s="444" t="n"/>
      <c r="Y36" s="449" t="n">
        <v>113</v>
      </c>
      <c r="Z36" s="441" t="n">
        <v>1.4</v>
      </c>
      <c r="AA36" s="449" t="n">
        <v>5.6</v>
      </c>
      <c r="AB36" s="906" t="n"/>
    </row>
    <row r="37">
      <c r="C37" s="471" t="inlineStr">
        <is>
          <t>Total</t>
        </is>
      </c>
      <c r="D37" s="464" t="n"/>
      <c r="E37" s="472" t="n"/>
      <c r="F37" s="472" t="n"/>
      <c r="G37" s="473" t="n"/>
      <c r="H37" s="474">
        <f>sum(H32:H36)</f>
        <v/>
      </c>
      <c r="I37" s="474">
        <f>sum(I32:I36)</f>
        <v/>
      </c>
      <c r="J37" s="474">
        <f>sum(J32:J36)</f>
        <v/>
      </c>
      <c r="K37" s="474">
        <f>sum(K32:K36)</f>
        <v/>
      </c>
      <c r="L37" s="474">
        <f>sum(L32:L36)</f>
        <v/>
      </c>
      <c r="M37" s="474">
        <f>sum(M32:M36)</f>
        <v/>
      </c>
      <c r="N37" s="474">
        <f>sum(N32:N36)</f>
        <v/>
      </c>
      <c r="O37" s="474">
        <f>sum(O32:O36)</f>
        <v/>
      </c>
      <c r="P37" s="474">
        <f>sum(P32:P36)</f>
        <v/>
      </c>
      <c r="Q37" s="474">
        <f>sum(Q32:Q36)</f>
        <v/>
      </c>
      <c r="R37" s="1130" t="n"/>
      <c r="S37" s="1129" t="n"/>
      <c r="U37" s="444" t="inlineStr">
        <is>
          <t>CRIT DMG%</t>
        </is>
      </c>
      <c r="V37" s="444">
        <f>1.5+($Z$70+M37)/100</f>
        <v/>
      </c>
      <c r="W37" s="444" t="n"/>
      <c r="Y37" s="449" t="n">
        <v>114</v>
      </c>
      <c r="Z37" s="449" t="n">
        <v>1.4</v>
      </c>
      <c r="AA37" s="441" t="n">
        <v>5.7</v>
      </c>
      <c r="AB37" s="906" t="n"/>
    </row>
    <row r="38">
      <c r="C38" s="593" t="inlineStr">
        <is>
          <t>Damage Per Round</t>
        </is>
      </c>
      <c r="D38" s="457" t="n"/>
      <c r="E38" s="476">
        <f>W33+W34</f>
        <v/>
      </c>
      <c r="F38" s="508" t="n"/>
      <c r="G38" s="515" t="n"/>
      <c r="H38" s="479" t="n"/>
      <c r="I38" s="479" t="n"/>
      <c r="J38" s="479" t="n"/>
      <c r="K38" s="479" t="n"/>
      <c r="L38" s="479" t="n"/>
      <c r="M38" s="479" t="n"/>
      <c r="N38" s="479" t="n"/>
      <c r="O38" s="479" t="n"/>
      <c r="P38" s="479" t="n"/>
      <c r="Q38" s="479" t="n"/>
      <c r="R38" s="479" t="n"/>
      <c r="S38" s="479" t="n"/>
      <c r="Y38" s="449" t="n">
        <v>115</v>
      </c>
      <c r="Z38" s="449" t="n">
        <v>1.4</v>
      </c>
      <c r="AA38" s="441" t="n">
        <v>5.7</v>
      </c>
      <c r="AB38" s="906" t="n"/>
    </row>
    <row r="39">
      <c r="Y39" s="449" t="n">
        <v>116</v>
      </c>
      <c r="Z39" s="449" t="n">
        <v>1.4</v>
      </c>
      <c r="AA39" s="449" t="n">
        <v>5.8</v>
      </c>
      <c r="AB39" s="442" t="n"/>
    </row>
    <row r="40">
      <c r="Y40" s="449" t="n">
        <v>117</v>
      </c>
      <c r="Z40" s="449" t="n">
        <v>1.4</v>
      </c>
      <c r="AA40" s="449" t="n">
        <v>5.8</v>
      </c>
      <c r="AB40" s="442" t="n"/>
    </row>
    <row r="41">
      <c r="A41" s="357" t="inlineStr">
        <is>
          <t>Goldfish</t>
        </is>
      </c>
      <c r="B41" s="406" t="n"/>
      <c r="C41" s="406" t="n"/>
      <c r="D41" s="967" t="inlineStr">
        <is>
          <t>Main AFFCT</t>
        </is>
      </c>
      <c r="E41" s="967" t="inlineStr">
        <is>
          <t>Stamp 1</t>
        </is>
      </c>
      <c r="F41" s="967" t="inlineStr">
        <is>
          <t>Stamp 2</t>
        </is>
      </c>
      <c r="G41" s="967" t="inlineStr">
        <is>
          <t>Stamp 3</t>
        </is>
      </c>
      <c r="H41" s="436" t="inlineStr">
        <is>
          <t>HP</t>
        </is>
      </c>
      <c r="I41" s="436" t="inlineStr">
        <is>
          <t>ATK</t>
        </is>
      </c>
      <c r="J41" s="436" t="inlineStr">
        <is>
          <t>RUSH</t>
        </is>
      </c>
      <c r="K41" s="436" t="inlineStr">
        <is>
          <t>DEF</t>
        </is>
      </c>
      <c r="L41" s="436" t="inlineStr">
        <is>
          <t>CRIT</t>
        </is>
      </c>
      <c r="M41" s="436" t="inlineStr">
        <is>
          <t>CRIT DMG</t>
        </is>
      </c>
      <c r="N41" s="436" t="inlineStr">
        <is>
          <t>DMG</t>
        </is>
      </c>
      <c r="O41" s="436" t="inlineStr">
        <is>
          <t>DMG Reduc</t>
        </is>
      </c>
      <c r="P41" s="436" t="inlineStr">
        <is>
          <t>Hero DMG</t>
        </is>
      </c>
      <c r="Q41" s="436" t="inlineStr">
        <is>
          <t>ELMT DMG</t>
        </is>
      </c>
      <c r="R41" s="436" t="inlineStr">
        <is>
          <t>AFFCT</t>
        </is>
      </c>
      <c r="S41" s="437" t="inlineStr">
        <is>
          <t>Source</t>
        </is>
      </c>
      <c r="Y41" s="449" t="n">
        <v>118</v>
      </c>
      <c r="Z41" s="449" t="n">
        <v>1.4</v>
      </c>
      <c r="AA41" s="441" t="n">
        <v>5.9</v>
      </c>
      <c r="AB41" s="906" t="n"/>
    </row>
    <row r="42">
      <c r="A42" s="434" t="inlineStr">
        <is>
          <t>INDIVIDUAL RELICS</t>
        </is>
      </c>
      <c r="B42" s="425" t="n"/>
      <c r="C42" s="425" t="n"/>
      <c r="D42" s="425" t="n"/>
      <c r="E42" s="425" t="n"/>
      <c r="F42" s="425" t="n"/>
      <c r="G42" s="425" t="n"/>
      <c r="S42" s="418" t="n"/>
      <c r="Y42" s="449" t="n">
        <v>119</v>
      </c>
      <c r="Z42" s="449" t="n">
        <v>1.4</v>
      </c>
      <c r="AA42" s="441" t="n">
        <v>5.9</v>
      </c>
      <c r="AB42" s="906" t="n"/>
    </row>
    <row r="43">
      <c r="A43" s="450" t="inlineStr">
        <is>
          <t>Kanner's Report</t>
        </is>
      </c>
      <c r="B43" s="450" t="inlineStr">
        <is>
          <t>SSS</t>
        </is>
      </c>
      <c r="C43" s="450" t="inlineStr">
        <is>
          <t>FAME</t>
        </is>
      </c>
      <c r="D43" s="448" t="n">
        <v>109</v>
      </c>
      <c r="E43" s="448" t="inlineStr">
        <is>
          <t>FAME +15</t>
        </is>
      </c>
      <c r="F43" s="450" t="inlineStr">
        <is>
          <t>All ELMT DMG +15</t>
        </is>
      </c>
      <c r="G43" s="450" t="inlineStr">
        <is>
          <t>HP +9%</t>
        </is>
      </c>
      <c r="H43" s="444" t="n">
        <v>9</v>
      </c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>
        <v>75</v>
      </c>
      <c r="R43" s="444" t="n">
        <v>15</v>
      </c>
      <c r="S43" s="418" t="inlineStr">
        <is>
          <t>Lottery Machine No. 2 (0.11%)</t>
        </is>
      </c>
      <c r="Y43" s="449" t="n">
        <v>120</v>
      </c>
      <c r="Z43" s="441" t="n">
        <v>1.5</v>
      </c>
      <c r="AA43" s="441" t="n">
        <v>6</v>
      </c>
      <c r="AB43" s="442" t="n"/>
    </row>
    <row r="44">
      <c r="A44" s="450" t="inlineStr">
        <is>
          <t>Science Magazine Vol. 1</t>
        </is>
      </c>
      <c r="B44" s="450" t="inlineStr">
        <is>
          <t>SSS</t>
        </is>
      </c>
      <c r="C44" s="450" t="inlineStr">
        <is>
          <t>FAME</t>
        </is>
      </c>
      <c r="D44" s="448" t="n">
        <v>107</v>
      </c>
      <c r="E44" s="448" t="inlineStr">
        <is>
          <t>AFFCT Check -150</t>
        </is>
      </c>
      <c r="F44" s="450" t="inlineStr">
        <is>
          <t>Hero DMG +6%</t>
        </is>
      </c>
      <c r="G44" s="450" t="inlineStr">
        <is>
          <t>DEF +9%</t>
        </is>
      </c>
      <c r="H44" s="444" t="n"/>
      <c r="I44" s="444" t="n"/>
      <c r="J44" s="444" t="n"/>
      <c r="K44" s="444" t="n">
        <v>9</v>
      </c>
      <c r="L44" s="444" t="n"/>
      <c r="M44" s="444" t="n"/>
      <c r="N44" s="444" t="n"/>
      <c r="O44" s="444" t="n"/>
      <c r="P44" s="444" t="n">
        <v>6</v>
      </c>
      <c r="Q44" s="444" t="n"/>
      <c r="R44" s="444" t="n"/>
      <c r="S44" s="418" t="inlineStr">
        <is>
          <t>Lottery Machine No. 2 (0.11%), Relic Forge (120 RF)</t>
        </is>
      </c>
      <c r="Y44" s="449" t="n">
        <v>121</v>
      </c>
      <c r="Z44" s="441" t="n">
        <v>1.5</v>
      </c>
      <c r="AA44" s="441" t="n">
        <v>6</v>
      </c>
      <c r="AB44" s="442" t="n"/>
    </row>
    <row r="45">
      <c r="A45" s="447" t="inlineStr">
        <is>
          <t>The Prince</t>
        </is>
      </c>
      <c r="B45" s="447" t="inlineStr">
        <is>
          <t>SSS</t>
        </is>
      </c>
      <c r="C45" s="447" t="inlineStr">
        <is>
          <t>FAME</t>
        </is>
      </c>
      <c r="D45" s="445" t="n">
        <v>106</v>
      </c>
      <c r="E45" s="445" t="inlineStr">
        <is>
          <t>ATK +6%</t>
        </is>
      </c>
      <c r="F45" s="447" t="inlineStr">
        <is>
          <t>FAME +15</t>
        </is>
      </c>
      <c r="G45" s="447" t="inlineStr">
        <is>
          <t>CRIT DMG +6%</t>
        </is>
      </c>
      <c r="H45" s="897" t="n"/>
      <c r="I45" s="447" t="n">
        <v>6</v>
      </c>
      <c r="J45" s="447" t="n"/>
      <c r="K45" s="447" t="n"/>
      <c r="L45" s="447" t="n"/>
      <c r="M45" s="447" t="n">
        <v>6</v>
      </c>
      <c r="N45" s="447" t="n"/>
      <c r="O45" s="447" t="n"/>
      <c r="P45" s="447" t="n"/>
      <c r="Q45" s="447" t="n"/>
      <c r="R45" s="447" t="n">
        <v>15</v>
      </c>
      <c r="S45" s="418" t="inlineStr">
        <is>
          <t>Lottery Machine No. 2 (0.11%)</t>
        </is>
      </c>
      <c r="Y45" s="449" t="n">
        <v>122</v>
      </c>
      <c r="Z45" s="449" t="n">
        <v>1.5</v>
      </c>
      <c r="AA45" s="449" t="n">
        <v>6.1</v>
      </c>
      <c r="AB45" s="442" t="n"/>
    </row>
    <row r="46">
      <c r="A46" s="450" t="inlineStr">
        <is>
          <t>Cross of Lorraine</t>
        </is>
      </c>
      <c r="B46" s="450" t="inlineStr">
        <is>
          <t>SS</t>
        </is>
      </c>
      <c r="C46" s="450" t="inlineStr">
        <is>
          <t>FAME</t>
        </is>
      </c>
      <c r="D46" s="448" t="n">
        <v>104</v>
      </c>
      <c r="E46" s="448" t="inlineStr">
        <is>
          <t>FAME +15</t>
        </is>
      </c>
      <c r="F46" s="448" t="inlineStr">
        <is>
          <t>ATK +6%</t>
        </is>
      </c>
      <c r="G46" s="450" t="n"/>
      <c r="H46" s="449" t="n"/>
      <c r="I46" s="450" t="n">
        <v>6</v>
      </c>
      <c r="J46" s="450" t="n"/>
      <c r="K46" s="450" t="n"/>
      <c r="L46" s="450" t="n"/>
      <c r="M46" s="450" t="n"/>
      <c r="N46" s="450" t="n"/>
      <c r="O46" s="450" t="n"/>
      <c r="P46" s="450" t="n"/>
      <c r="Q46" s="450" t="n"/>
      <c r="R46" s="450" t="n">
        <v>15</v>
      </c>
      <c r="S46" s="418" t="inlineStr">
        <is>
          <t>Lottery Machine No. 2 (?%)</t>
        </is>
      </c>
      <c r="Y46" s="449" t="n">
        <v>123</v>
      </c>
      <c r="Z46" s="441" t="n">
        <v>1.5</v>
      </c>
      <c r="AA46" s="449" t="n">
        <v>6.1</v>
      </c>
      <c r="AB46" s="442" t="n"/>
    </row>
    <row r="47">
      <c r="A47" s="450" t="inlineStr">
        <is>
          <t>The Kiss</t>
        </is>
      </c>
      <c r="B47" s="450" t="inlineStr">
        <is>
          <t>SSS</t>
        </is>
      </c>
      <c r="C47" s="450" t="inlineStr">
        <is>
          <t>ART</t>
        </is>
      </c>
      <c r="D47" s="448" t="n">
        <v>108</v>
      </c>
      <c r="E47" s="448" t="inlineStr">
        <is>
          <t>CRIT +9%</t>
        </is>
      </c>
      <c r="F47" s="450" t="inlineStr">
        <is>
          <t>Hero DMG +6%</t>
        </is>
      </c>
      <c r="G47" s="450" t="inlineStr">
        <is>
          <t>Water RES +60</t>
        </is>
      </c>
      <c r="H47" s="444" t="n"/>
      <c r="I47" s="444" t="n"/>
      <c r="J47" s="444" t="n"/>
      <c r="K47" s="444" t="n"/>
      <c r="L47" s="444" t="n">
        <v>9</v>
      </c>
      <c r="M47" s="444" t="n"/>
      <c r="N47" s="444" t="n"/>
      <c r="O47" s="444" t="n"/>
      <c r="P47" s="444" t="n">
        <v>6</v>
      </c>
      <c r="Q47" s="444" t="n"/>
      <c r="R47" s="444" t="n"/>
      <c r="S47" s="390" t="inlineStr">
        <is>
          <t>Daily Pack #62</t>
        </is>
      </c>
      <c r="Y47" s="449" t="n"/>
      <c r="Z47" s="441" t="n"/>
      <c r="AA47" s="449" t="n"/>
      <c r="AB47" s="906" t="n"/>
    </row>
    <row r="48">
      <c r="A48" s="450" t="inlineStr">
        <is>
          <t>Capitoline Wolf</t>
        </is>
      </c>
      <c r="B48" s="450" t="inlineStr">
        <is>
          <t>SSS</t>
        </is>
      </c>
      <c r="C48" s="450" t="inlineStr">
        <is>
          <t>ART</t>
        </is>
      </c>
      <c r="D48" s="448" t="n">
        <v>108</v>
      </c>
      <c r="E48" s="448" t="inlineStr">
        <is>
          <t>ART +15</t>
        </is>
      </c>
      <c r="F48" s="450" t="inlineStr">
        <is>
          <t>HP +9%</t>
        </is>
      </c>
      <c r="G48" s="450" t="inlineStr">
        <is>
          <t>RUSH +9%</t>
        </is>
      </c>
      <c r="H48" s="444" t="n">
        <v>9</v>
      </c>
      <c r="I48" s="444" t="n"/>
      <c r="J48" s="444" t="n">
        <v>9</v>
      </c>
      <c r="K48" s="444" t="n"/>
      <c r="L48" s="444" t="n"/>
      <c r="M48" s="444" t="n"/>
      <c r="N48" s="444" t="n"/>
      <c r="O48" s="444" t="n"/>
      <c r="P48" s="444" t="n"/>
      <c r="Q48" s="444" t="n"/>
      <c r="R48" s="444" t="n">
        <v>15</v>
      </c>
      <c r="S48" s="418" t="inlineStr">
        <is>
          <t>Lottery Machine No. 2 (0.11%)</t>
        </is>
      </c>
      <c r="Y48" s="449" t="n">
        <v>124</v>
      </c>
      <c r="Z48" s="441" t="n">
        <v>1.5</v>
      </c>
      <c r="AA48" s="449" t="n">
        <v>6.2</v>
      </c>
      <c r="AB48" s="906" t="n"/>
    </row>
    <row r="49">
      <c r="A49" s="450" t="inlineStr">
        <is>
          <t>The Resurrection</t>
        </is>
      </c>
      <c r="B49" s="450" t="inlineStr">
        <is>
          <t>SSS</t>
        </is>
      </c>
      <c r="C49" s="450" t="inlineStr">
        <is>
          <t>ART</t>
        </is>
      </c>
      <c r="D49" s="448" t="n">
        <v>107</v>
      </c>
      <c r="E49" s="448" t="inlineStr">
        <is>
          <t>ART +15</t>
        </is>
      </c>
      <c r="F49" s="450" t="inlineStr">
        <is>
          <t>DEF +9%</t>
        </is>
      </c>
      <c r="G49" s="450" t="inlineStr">
        <is>
          <t>ATK +9%</t>
        </is>
      </c>
      <c r="H49" s="444" t="n"/>
      <c r="I49" s="444" t="n">
        <v>9</v>
      </c>
      <c r="J49" s="444" t="n"/>
      <c r="K49" s="444" t="n">
        <v>9</v>
      </c>
      <c r="L49" s="444" t="n"/>
      <c r="M49" s="444" t="n"/>
      <c r="N49" s="444" t="n"/>
      <c r="O49" s="444" t="n"/>
      <c r="P49" s="444" t="n"/>
      <c r="Q49" s="444" t="n"/>
      <c r="R49" s="444" t="n">
        <v>15</v>
      </c>
      <c r="S49" s="418" t="inlineStr">
        <is>
          <t>Easter Event</t>
        </is>
      </c>
      <c r="Y49" s="449" t="n">
        <v>125</v>
      </c>
      <c r="Z49" s="441" t="n">
        <v>1.5</v>
      </c>
      <c r="AA49" s="449" t="n">
        <v>6.2</v>
      </c>
      <c r="AB49" s="906" t="n"/>
    </row>
    <row r="50">
      <c r="A50" s="450" t="inlineStr">
        <is>
          <t>Woman at Her Toilette</t>
        </is>
      </c>
      <c r="B50" s="450" t="inlineStr">
        <is>
          <t>SSS</t>
        </is>
      </c>
      <c r="C50" s="450" t="inlineStr">
        <is>
          <t>ART</t>
        </is>
      </c>
      <c r="D50" s="448" t="n">
        <v>109</v>
      </c>
      <c r="E50" s="448" t="inlineStr">
        <is>
          <t>ATK +6%</t>
        </is>
      </c>
      <c r="F50" s="450" t="inlineStr">
        <is>
          <t>RUSH +6%</t>
        </is>
      </c>
      <c r="G50" s="450" t="inlineStr">
        <is>
          <t>ART +15</t>
        </is>
      </c>
      <c r="H50" s="444" t="n"/>
      <c r="I50" s="444" t="n">
        <v>6</v>
      </c>
      <c r="J50" s="444" t="n">
        <v>6</v>
      </c>
      <c r="K50" s="444" t="n"/>
      <c r="L50" s="444" t="n"/>
      <c r="M50" s="444" t="n"/>
      <c r="N50" s="444" t="n"/>
      <c r="O50" s="444" t="n"/>
      <c r="P50" s="444" t="n"/>
      <c r="Q50" s="444" t="n"/>
      <c r="R50" s="444" t="n">
        <v>15</v>
      </c>
      <c r="S50" s="418" t="inlineStr">
        <is>
          <t>Minion Skin Lottery</t>
        </is>
      </c>
      <c r="Y50" s="449" t="n">
        <v>125</v>
      </c>
      <c r="Z50" s="441" t="n">
        <v>1.5</v>
      </c>
      <c r="AA50" s="449" t="n">
        <v>6.2</v>
      </c>
      <c r="AB50" s="906" t="n"/>
    </row>
    <row r="51">
      <c r="A51" s="450" t="inlineStr">
        <is>
          <t>Seated Voltaire</t>
        </is>
      </c>
      <c r="B51" s="450" t="inlineStr">
        <is>
          <t>SSS</t>
        </is>
      </c>
      <c r="C51" s="450" t="inlineStr">
        <is>
          <t>ART</t>
        </is>
      </c>
      <c r="D51" s="448" t="n">
        <v>106</v>
      </c>
      <c r="E51" s="448" t="inlineStr">
        <is>
          <t>DEF +6%</t>
        </is>
      </c>
      <c r="F51" s="450" t="inlineStr">
        <is>
          <t>ART +15</t>
        </is>
      </c>
      <c r="G51" s="450" t="inlineStr">
        <is>
          <t>Wind DMG +30</t>
        </is>
      </c>
      <c r="H51" s="449" t="n"/>
      <c r="I51" s="450" t="n"/>
      <c r="J51" s="450" t="n"/>
      <c r="K51" s="450" t="n">
        <v>6</v>
      </c>
      <c r="L51" s="450" t="n"/>
      <c r="M51" s="450" t="n"/>
      <c r="N51" s="450" t="n"/>
      <c r="O51" s="450" t="n"/>
      <c r="P51" s="450" t="n"/>
      <c r="Q51" s="450" t="n">
        <v>30</v>
      </c>
      <c r="R51" s="450" t="n">
        <v>15</v>
      </c>
      <c r="S51" s="418" t="inlineStr">
        <is>
          <t>Wish Box Relic Album #1</t>
        </is>
      </c>
      <c r="AB51" s="906" t="n"/>
    </row>
    <row r="52">
      <c r="A52" s="450" t="inlineStr">
        <is>
          <t>The Silver Key</t>
        </is>
      </c>
      <c r="B52" s="450" t="inlineStr">
        <is>
          <t>SSS</t>
        </is>
      </c>
      <c r="C52" s="450" t="inlineStr">
        <is>
          <t>FTH</t>
        </is>
      </c>
      <c r="D52" s="448" t="n">
        <v>108</v>
      </c>
      <c r="E52" s="448" t="inlineStr">
        <is>
          <t>ATK +9%</t>
        </is>
      </c>
      <c r="F52" s="450" t="inlineStr">
        <is>
          <t>Water RES +30</t>
        </is>
      </c>
      <c r="G52" s="450" t="inlineStr">
        <is>
          <t>Water DMG +60</t>
        </is>
      </c>
      <c r="H52" s="444" t="n"/>
      <c r="I52" s="444" t="n">
        <v>9</v>
      </c>
      <c r="J52" s="444" t="n"/>
      <c r="K52" s="444" t="n"/>
      <c r="L52" s="444" t="n"/>
      <c r="M52" s="444" t="n"/>
      <c r="N52" s="444" t="n"/>
      <c r="O52" s="444" t="n"/>
      <c r="P52" s="444" t="n"/>
      <c r="Q52" s="444" t="n">
        <v>60</v>
      </c>
      <c r="R52" s="444" t="n"/>
      <c r="S52" s="418" t="inlineStr">
        <is>
          <t>Lottery Machine No. 2 (0.11%), Rift Treasure Maps (0.01%)</t>
        </is>
      </c>
      <c r="AB52" s="906" t="n"/>
    </row>
    <row r="53">
      <c r="A53" s="450" t="inlineStr">
        <is>
          <t>Tauroctony</t>
        </is>
      </c>
      <c r="B53" s="450" t="inlineStr">
        <is>
          <t>SSS</t>
        </is>
      </c>
      <c r="C53" s="450" t="inlineStr">
        <is>
          <t>FTH</t>
        </is>
      </c>
      <c r="D53" s="448" t="n">
        <v>109</v>
      </c>
      <c r="E53" s="448" t="inlineStr">
        <is>
          <t>FTH +15</t>
        </is>
      </c>
      <c r="F53" s="448" t="inlineStr">
        <is>
          <t>Hero DMG +6%</t>
        </is>
      </c>
      <c r="G53" s="450" t="inlineStr">
        <is>
          <t>DMG REDUC +6%</t>
        </is>
      </c>
      <c r="H53" s="444" t="n"/>
      <c r="I53" s="444" t="n"/>
      <c r="J53" s="444" t="n"/>
      <c r="K53" s="444" t="n"/>
      <c r="L53" s="444" t="n"/>
      <c r="M53" s="444" t="n"/>
      <c r="N53" s="444" t="n"/>
      <c r="O53" s="444" t="n">
        <v>6</v>
      </c>
      <c r="P53" s="444" t="n">
        <v>6</v>
      </c>
      <c r="Q53" s="444" t="n"/>
      <c r="R53" s="444" t="n">
        <v>15</v>
      </c>
      <c r="S53" s="386" t="inlineStr">
        <is>
          <t>Daily Pack #29</t>
        </is>
      </c>
      <c r="AB53" s="906" t="n"/>
    </row>
    <row r="54">
      <c r="A54" s="450" t="inlineStr">
        <is>
          <t>Ymir's Treasure Chest</t>
        </is>
      </c>
      <c r="B54" s="450" t="inlineStr">
        <is>
          <t>SS</t>
        </is>
      </c>
      <c r="C54" s="450" t="inlineStr">
        <is>
          <t>FTH</t>
        </is>
      </c>
      <c r="D54" s="448" t="n">
        <v>104</v>
      </c>
      <c r="E54" s="448" t="inlineStr">
        <is>
          <t>CRIT DMG +9%</t>
        </is>
      </c>
      <c r="F54" s="448" t="inlineStr">
        <is>
          <t>Fire DMG +60</t>
        </is>
      </c>
      <c r="G54" s="450" t="n"/>
      <c r="H54" s="444" t="n"/>
      <c r="I54" s="444" t="n"/>
      <c r="J54" s="444" t="n"/>
      <c r="K54" s="444" t="n"/>
      <c r="L54" s="444" t="n"/>
      <c r="M54" s="444" t="n">
        <v>9</v>
      </c>
      <c r="N54" s="444" t="n"/>
      <c r="O54" s="444" t="n"/>
      <c r="P54" s="444" t="n"/>
      <c r="Q54" s="444" t="n">
        <v>60</v>
      </c>
      <c r="R54" s="444" t="n"/>
      <c r="S54" s="386" t="inlineStr">
        <is>
          <t>Lottery Machine No. 3 (0.36%)</t>
        </is>
      </c>
      <c r="AB54" s="906" t="n"/>
    </row>
    <row r="55">
      <c r="A55" s="450" t="inlineStr">
        <is>
          <t>Enuma Elish</t>
        </is>
      </c>
      <c r="B55" s="450" t="inlineStr">
        <is>
          <t>SSS</t>
        </is>
      </c>
      <c r="C55" s="450" t="inlineStr">
        <is>
          <t>FTH</t>
        </is>
      </c>
      <c r="D55" s="448" t="n">
        <v>107</v>
      </c>
      <c r="E55" s="448" t="inlineStr">
        <is>
          <t>FTH +15</t>
        </is>
      </c>
      <c r="F55" s="450" t="inlineStr">
        <is>
          <t>ATK +6%</t>
        </is>
      </c>
      <c r="G55" s="450" t="inlineStr">
        <is>
          <t>RUSH +6%</t>
        </is>
      </c>
      <c r="H55" s="449" t="n"/>
      <c r="I55" s="450" t="n">
        <v>6</v>
      </c>
      <c r="J55" s="450" t="n">
        <v>6</v>
      </c>
      <c r="K55" s="450" t="n"/>
      <c r="L55" s="450" t="n"/>
      <c r="M55" s="450" t="n"/>
      <c r="N55" s="450" t="n"/>
      <c r="O55" s="450" t="n"/>
      <c r="P55" s="450" t="n"/>
      <c r="Q55" s="450" t="n"/>
      <c r="R55" s="450" t="n">
        <v>15</v>
      </c>
      <c r="S55" s="418" t="inlineStr">
        <is>
          <t>Lottery Machine No. 2 (0.11%)</t>
        </is>
      </c>
    </row>
    <row r="56">
      <c r="A56" s="450" t="inlineStr">
        <is>
          <t>Bronze Goblet</t>
        </is>
      </c>
      <c r="B56" s="450" t="inlineStr">
        <is>
          <t>SSS</t>
        </is>
      </c>
      <c r="C56" s="450" t="inlineStr">
        <is>
          <t>CIV</t>
        </is>
      </c>
      <c r="D56" s="448" t="n">
        <v>107</v>
      </c>
      <c r="E56" s="448" t="inlineStr">
        <is>
          <t>ATK +9%</t>
        </is>
      </c>
      <c r="F56" s="448" t="inlineStr">
        <is>
          <t>Water DMG +60</t>
        </is>
      </c>
      <c r="G56" s="450" t="inlineStr">
        <is>
          <t>Hero DMG +6%</t>
        </is>
      </c>
      <c r="H56" s="444" t="n"/>
      <c r="I56" s="444" t="n">
        <v>9</v>
      </c>
      <c r="J56" s="444" t="n"/>
      <c r="K56" s="444" t="n"/>
      <c r="L56" s="444" t="n"/>
      <c r="M56" s="444" t="n"/>
      <c r="N56" s="444" t="n"/>
      <c r="O56" s="444" t="n"/>
      <c r="P56" s="444" t="n">
        <v>6</v>
      </c>
      <c r="Q56" s="444" t="n">
        <v>60</v>
      </c>
      <c r="R56" s="444" t="n"/>
      <c r="S56" s="390" t="inlineStr">
        <is>
          <t>Lottery Machine No. 2 (?%)</t>
        </is>
      </c>
    </row>
    <row r="57">
      <c r="A57" s="450" t="inlineStr">
        <is>
          <t>Metaphysics</t>
        </is>
      </c>
      <c r="B57" s="450" t="inlineStr">
        <is>
          <t>SSS</t>
        </is>
      </c>
      <c r="C57" s="450" t="inlineStr">
        <is>
          <t>CIV</t>
        </is>
      </c>
      <c r="D57" s="448" t="n">
        <v>109</v>
      </c>
      <c r="E57" s="448" t="inlineStr">
        <is>
          <t>CIV +15</t>
        </is>
      </c>
      <c r="F57" s="448" t="inlineStr">
        <is>
          <t>DMG REDUC +6%</t>
        </is>
      </c>
      <c r="G57" s="450" t="inlineStr">
        <is>
          <t>HP +9%</t>
        </is>
      </c>
      <c r="H57" s="444" t="n">
        <v>9</v>
      </c>
      <c r="I57" s="444" t="n"/>
      <c r="J57" s="444" t="n"/>
      <c r="K57" s="444" t="n"/>
      <c r="L57" s="444" t="n"/>
      <c r="M57" s="444" t="n"/>
      <c r="N57" s="444" t="n"/>
      <c r="O57" s="444" t="n">
        <v>6</v>
      </c>
      <c r="P57" s="444" t="n"/>
      <c r="Q57" s="444" t="n"/>
      <c r="R57" s="444" t="n">
        <v>15</v>
      </c>
      <c r="S57" s="386" t="inlineStr">
        <is>
          <t>Traveler's Pack #10</t>
        </is>
      </c>
    </row>
    <row r="58">
      <c r="A58" s="450" t="inlineStr">
        <is>
          <t>Harem Wall Painting</t>
        </is>
      </c>
      <c r="B58" s="450" t="inlineStr">
        <is>
          <t>SS</t>
        </is>
      </c>
      <c r="C58" s="450" t="inlineStr">
        <is>
          <t>CIV</t>
        </is>
      </c>
      <c r="D58" s="448" t="n">
        <v>102</v>
      </c>
      <c r="E58" s="448" t="inlineStr">
        <is>
          <t>CIV +15</t>
        </is>
      </c>
      <c r="F58" s="448" t="inlineStr">
        <is>
          <t>RUSH +6%</t>
        </is>
      </c>
      <c r="G58" s="450" t="n"/>
      <c r="H58" s="449" t="n"/>
      <c r="I58" s="450" t="n"/>
      <c r="J58" s="450" t="n">
        <v>6</v>
      </c>
      <c r="K58" s="450" t="n"/>
      <c r="L58" s="450" t="n"/>
      <c r="M58" s="450" t="n"/>
      <c r="N58" s="450" t="n"/>
      <c r="O58" s="450" t="n"/>
      <c r="P58" s="450" t="n"/>
      <c r="Q58" s="450" t="n"/>
      <c r="R58" s="450" t="n">
        <v>15</v>
      </c>
      <c r="S58" s="418" t="inlineStr">
        <is>
          <t>Lottery Machine No. 2 (?%)</t>
        </is>
      </c>
    </row>
    <row r="59">
      <c r="A59" s="450" t="inlineStr">
        <is>
          <t>Volsunga Saga</t>
        </is>
      </c>
      <c r="B59" s="450" t="inlineStr">
        <is>
          <t>SSS</t>
        </is>
      </c>
      <c r="C59" s="450" t="inlineStr">
        <is>
          <t>CIV</t>
        </is>
      </c>
      <c r="D59" s="448" t="n">
        <v>109</v>
      </c>
      <c r="E59" s="448" t="inlineStr">
        <is>
          <t>CIV +15</t>
        </is>
      </c>
      <c r="F59" s="448" t="inlineStr">
        <is>
          <t>ATK +9%</t>
        </is>
      </c>
      <c r="G59" s="450" t="inlineStr">
        <is>
          <t>DEF +9%</t>
        </is>
      </c>
      <c r="H59" s="444" t="n"/>
      <c r="I59" s="444" t="n">
        <v>9</v>
      </c>
      <c r="J59" s="444" t="n"/>
      <c r="K59" s="444" t="n">
        <v>9</v>
      </c>
      <c r="L59" s="444" t="n"/>
      <c r="M59" s="444" t="n"/>
      <c r="N59" s="444" t="n"/>
      <c r="O59" s="444" t="n"/>
      <c r="P59" s="444" t="n"/>
      <c r="Q59" s="444" t="n"/>
      <c r="R59" s="444" t="n">
        <v>15</v>
      </c>
      <c r="S59" s="390" t="inlineStr">
        <is>
          <t>Gold Pack #6</t>
        </is>
      </c>
    </row>
    <row r="60">
      <c r="A60" s="450" t="inlineStr">
        <is>
          <t>The King in Yellow</t>
        </is>
      </c>
      <c r="B60" s="450" t="inlineStr">
        <is>
          <t>SSS</t>
        </is>
      </c>
      <c r="C60" s="450" t="inlineStr">
        <is>
          <t>TECH</t>
        </is>
      </c>
      <c r="D60" s="448" t="n">
        <v>109</v>
      </c>
      <c r="E60" s="448" t="inlineStr">
        <is>
          <t>TECH +15</t>
        </is>
      </c>
      <c r="F60" s="448" t="inlineStr">
        <is>
          <t>CRIT +9%</t>
        </is>
      </c>
      <c r="G60" s="450" t="inlineStr">
        <is>
          <t>CRIT DMG +9%</t>
        </is>
      </c>
      <c r="H60" s="444" t="n"/>
      <c r="I60" s="444" t="n"/>
      <c r="J60" s="444" t="n"/>
      <c r="K60" s="444" t="n"/>
      <c r="L60" s="444" t="n">
        <v>9</v>
      </c>
      <c r="M60" s="444" t="n">
        <v>9</v>
      </c>
      <c r="N60" s="444" t="n"/>
      <c r="O60" s="444" t="n"/>
      <c r="P60" s="444" t="n"/>
      <c r="Q60" s="444" t="n"/>
      <c r="R60" s="444" t="n">
        <v>15</v>
      </c>
      <c r="S60" s="390" t="inlineStr">
        <is>
          <t>Gold Pack #7</t>
        </is>
      </c>
    </row>
    <row r="61">
      <c r="A61" s="450" t="inlineStr">
        <is>
          <t>Antimatter Bomb</t>
        </is>
      </c>
      <c r="B61" s="450" t="inlineStr">
        <is>
          <t>SSS</t>
        </is>
      </c>
      <c r="C61" s="450" t="inlineStr">
        <is>
          <t>TECH</t>
        </is>
      </c>
      <c r="D61" s="448" t="n">
        <v>108</v>
      </c>
      <c r="E61" s="448" t="inlineStr">
        <is>
          <t>RUSH +9%</t>
        </is>
      </c>
      <c r="F61" s="448" t="inlineStr">
        <is>
          <t>Hero DMG +6%</t>
        </is>
      </c>
      <c r="G61" s="450" t="inlineStr">
        <is>
          <t>CRIT +9%</t>
        </is>
      </c>
      <c r="H61" s="444" t="n"/>
      <c r="I61" s="444" t="n"/>
      <c r="J61" s="444" t="n">
        <v>9</v>
      </c>
      <c r="K61" s="444" t="n"/>
      <c r="L61" s="444" t="n">
        <v>9</v>
      </c>
      <c r="M61" s="444" t="n"/>
      <c r="N61" s="444" t="n"/>
      <c r="O61" s="444" t="n">
        <v>6</v>
      </c>
      <c r="P61" s="444" t="n"/>
      <c r="Q61" s="444" t="n"/>
      <c r="R61" s="444" t="n"/>
      <c r="S61" s="386" t="inlineStr">
        <is>
          <t>Daily Silver Pack #4</t>
        </is>
      </c>
    </row>
    <row r="62">
      <c r="A62" s="450" t="inlineStr">
        <is>
          <t>Xuanyuan Compass Chariot</t>
        </is>
      </c>
      <c r="B62" s="450" t="inlineStr">
        <is>
          <t>SSS</t>
        </is>
      </c>
      <c r="C62" s="450" t="inlineStr">
        <is>
          <t>TECH</t>
        </is>
      </c>
      <c r="D62" s="448" t="n">
        <v>107</v>
      </c>
      <c r="E62" s="448" t="inlineStr">
        <is>
          <t>Fire DMG +60</t>
        </is>
      </c>
      <c r="F62" s="448" t="inlineStr">
        <is>
          <t>ATK +9%</t>
        </is>
      </c>
      <c r="G62" s="450" t="inlineStr">
        <is>
          <t>Hero DMG +6%</t>
        </is>
      </c>
      <c r="H62" s="444" t="n"/>
      <c r="I62" s="444" t="n">
        <v>9</v>
      </c>
      <c r="J62" s="444" t="n"/>
      <c r="K62" s="444" t="n"/>
      <c r="L62" s="444" t="n"/>
      <c r="M62" s="444" t="n"/>
      <c r="N62" s="444" t="n"/>
      <c r="O62" s="444" t="n"/>
      <c r="P62" s="444" t="n">
        <v>6</v>
      </c>
      <c r="Q62" s="444" t="n">
        <v>60</v>
      </c>
      <c r="R62" s="444" t="n"/>
      <c r="S62" s="390" t="inlineStr">
        <is>
          <t>Wish Box Relic Album #??</t>
        </is>
      </c>
    </row>
    <row r="63">
      <c r="A63" s="450" t="inlineStr">
        <is>
          <t>Photon Rocket Engine</t>
        </is>
      </c>
      <c r="B63" s="450" t="inlineStr">
        <is>
          <t>SSS</t>
        </is>
      </c>
      <c r="C63" s="450" t="inlineStr">
        <is>
          <t>TECH</t>
        </is>
      </c>
      <c r="D63" s="448" t="n">
        <v>108</v>
      </c>
      <c r="E63" s="448" t="inlineStr">
        <is>
          <t>TECH +15</t>
        </is>
      </c>
      <c r="F63" s="448" t="inlineStr">
        <is>
          <t>CRIT +9%</t>
        </is>
      </c>
      <c r="G63" s="450" t="inlineStr">
        <is>
          <t>DEF +9%</t>
        </is>
      </c>
      <c r="H63" s="444" t="n"/>
      <c r="I63" s="444" t="n"/>
      <c r="J63" s="444" t="n"/>
      <c r="K63" s="444" t="n">
        <v>9</v>
      </c>
      <c r="L63" s="444" t="n">
        <v>9</v>
      </c>
      <c r="M63" s="444" t="n"/>
      <c r="N63" s="444" t="n"/>
      <c r="O63" s="444" t="n"/>
      <c r="P63" s="444" t="n"/>
      <c r="Q63" s="444" t="n"/>
      <c r="R63" s="444" t="n">
        <v>15</v>
      </c>
      <c r="S63" s="480" t="inlineStr">
        <is>
          <t>Lottery Machine No.3 (?%)</t>
        </is>
      </c>
    </row>
    <row r="64">
      <c r="A64" s="425" t="n"/>
      <c r="B64" s="425" t="n"/>
      <c r="C64" s="425" t="n"/>
      <c r="D64" s="425" t="n"/>
      <c r="E64" s="425" t="n"/>
      <c r="F64" s="425" t="n"/>
      <c r="G64" s="425" t="n"/>
      <c r="H64" s="425" t="n"/>
      <c r="Y64" s="449" t="n"/>
      <c r="Z64" s="449" t="inlineStr">
        <is>
          <t>Base</t>
        </is>
      </c>
    </row>
    <row r="65">
      <c r="A65" s="425" t="n"/>
      <c r="B65" s="425" t="n"/>
      <c r="C65" s="425" t="n"/>
      <c r="D65" s="425" t="n"/>
      <c r="E65" s="425" t="n"/>
      <c r="F65" s="425" t="n"/>
      <c r="G65" s="425" t="n"/>
      <c r="H65" s="425" t="n"/>
      <c r="Y65" s="449" t="inlineStr">
        <is>
          <t>Troop:</t>
        </is>
      </c>
      <c r="Z65" s="449" t="n"/>
    </row>
    <row r="66">
      <c r="A66" s="425" t="n"/>
      <c r="B66" s="425" t="n"/>
      <c r="C66" s="425" t="n"/>
      <c r="D66" s="425" t="n"/>
      <c r="E66" s="425" t="n"/>
      <c r="F66" s="425" t="n"/>
      <c r="G66" s="425" t="n"/>
      <c r="H66" s="425" t="n"/>
      <c r="Y66" s="449" t="inlineStr">
        <is>
          <t>ATK</t>
        </is>
      </c>
      <c r="Z66" s="449" t="n">
        <v>977000</v>
      </c>
    </row>
    <row r="67">
      <c r="A67" s="425" t="n"/>
      <c r="B67" s="425" t="n"/>
      <c r="C67" s="425" t="n"/>
      <c r="D67" s="425" t="n"/>
      <c r="E67" s="425" t="n"/>
      <c r="F67" s="425" t="n"/>
      <c r="G67" s="425" t="n"/>
      <c r="H67" s="425" t="n"/>
      <c r="Y67" s="449" t="inlineStr">
        <is>
          <t>RUSH</t>
        </is>
      </c>
      <c r="Z67" s="449" t="n">
        <v>1010000</v>
      </c>
    </row>
    <row r="68">
      <c r="A68" s="425" t="n"/>
      <c r="B68" s="425" t="n"/>
      <c r="C68" s="425" t="n"/>
      <c r="D68" s="425" t="n"/>
      <c r="E68" s="425" t="n"/>
      <c r="F68" s="425" t="n"/>
      <c r="G68" s="425" t="n"/>
      <c r="H68" s="425" t="n"/>
      <c r="Y68" s="449" t="inlineStr">
        <is>
          <t>DMG%</t>
        </is>
      </c>
      <c r="Z68" s="449" t="n">
        <v>13</v>
      </c>
    </row>
    <row r="69">
      <c r="C69" s="481" t="inlineStr">
        <is>
          <t>Relic</t>
        </is>
      </c>
      <c r="D69" s="482" t="n"/>
      <c r="E69" s="483" t="inlineStr">
        <is>
          <t>Slot</t>
        </is>
      </c>
      <c r="F69" s="483" t="inlineStr">
        <is>
          <t>Stat</t>
        </is>
      </c>
      <c r="G69" s="483">
        <f>D41</f>
        <v/>
      </c>
      <c r="H69" s="484" t="inlineStr">
        <is>
          <t>HP</t>
        </is>
      </c>
      <c r="I69" s="484" t="inlineStr">
        <is>
          <t>ATK</t>
        </is>
      </c>
      <c r="J69" s="484" t="inlineStr">
        <is>
          <t>RUSH</t>
        </is>
      </c>
      <c r="K69" s="484" t="inlineStr">
        <is>
          <t>DEF</t>
        </is>
      </c>
      <c r="L69" s="484" t="inlineStr">
        <is>
          <t>CRIT</t>
        </is>
      </c>
      <c r="M69" s="484" t="inlineStr">
        <is>
          <t>CRIT DMG</t>
        </is>
      </c>
      <c r="N69" s="484" t="inlineStr">
        <is>
          <t>DMG</t>
        </is>
      </c>
      <c r="O69" s="484" t="inlineStr">
        <is>
          <t>DMG Reduc</t>
        </is>
      </c>
      <c r="P69" s="484" t="inlineStr">
        <is>
          <t>Hero DMG</t>
        </is>
      </c>
      <c r="Q69" s="484" t="inlineStr">
        <is>
          <t>ELMT DMG</t>
        </is>
      </c>
      <c r="R69" s="484" t="inlineStr">
        <is>
          <t>Alternatives</t>
        </is>
      </c>
      <c r="S69" s="1129" t="n"/>
      <c r="U69" s="444" t="n"/>
      <c r="V69" s="444" t="inlineStr">
        <is>
          <t>Boosted</t>
        </is>
      </c>
      <c r="W69" s="444" t="inlineStr">
        <is>
          <t>Damage</t>
        </is>
      </c>
      <c r="Y69" s="449" t="inlineStr">
        <is>
          <t>CRIT%</t>
        </is>
      </c>
      <c r="Z69" s="449" t="n">
        <v>14</v>
      </c>
    </row>
    <row r="70">
      <c r="C70" s="456">
        <f>A44</f>
        <v/>
      </c>
      <c r="D70" s="457" t="n"/>
      <c r="E70" s="458" t="inlineStr">
        <is>
          <t>FAME</t>
        </is>
      </c>
      <c r="F70" s="458" t="inlineStr">
        <is>
          <t>HARD</t>
        </is>
      </c>
      <c r="G70" s="550">
        <f>IFERROR(VLOOKUP($C70,$A$43:$R$63,4,FALSE),0)+IFERROR(VLOOKUP($C70,$A$43:$R$63,18,FALSE),0)</f>
        <v/>
      </c>
      <c r="H70" s="607">
        <f>IFERROR(VLOOKUP($C70,$A$43:$R$63,8,FALSE),0)+IFERROR(VLOOKUP($G70,$Y$2:$AA$50,2),0)</f>
        <v/>
      </c>
      <c r="I70" s="607">
        <f>IFERROR(VLOOKUP($C70,$A$43:$R$63,9,FALSE),0)+IFERROR(VLOOKUP($G70,$Y$2:$AA$50,2),0)</f>
        <v/>
      </c>
      <c r="J70" s="607">
        <f>IFERROR(VLOOKUP($C70,$A$43:$R$63,10,FALSE),0)+IFERROR(VLOOKUP($G70,$Y$2:$AA$50,2),0)</f>
        <v/>
      </c>
      <c r="K70" s="607">
        <f>IFERROR(VLOOKUP($C70,$A$43:$R$63,11,FALSE),0)+IFERROR(VLOOKUP($G70,$Y$2:$AA$50,2),0)</f>
        <v/>
      </c>
      <c r="L70" s="607">
        <f>XLOOKUP($C70,$A$43:$A$63,$L$43:$L$63,0)</f>
        <v/>
      </c>
      <c r="M70" s="607">
        <f>XLOOKUP($C70,$A$43:$A$63,$M$43:$M$63,0)</f>
        <v/>
      </c>
      <c r="N70" s="607">
        <f>XLOOKUP($C70,$A$43:$A$63,$N$43:$N$63,0)</f>
        <v/>
      </c>
      <c r="O70" s="607">
        <f>XLOOKUP($C70,$A$43:$A$63,$O$43:$O$63,0)</f>
        <v/>
      </c>
      <c r="P70" s="607">
        <f>XLOOKUP($C70,$A$43:$A$63,$P$43:$P$63,0)</f>
        <v/>
      </c>
      <c r="Q70" s="607">
        <f>XLOOKUP($C70,$A$43:$A$63,$Q$43:$Q$63,0)</f>
        <v/>
      </c>
      <c r="R70" s="592">
        <f>A45</f>
        <v/>
      </c>
      <c r="S70" s="1129" t="n"/>
      <c r="U70" s="444" t="inlineStr">
        <is>
          <t>Troop:</t>
        </is>
      </c>
      <c r="V70" s="444" t="n"/>
      <c r="W70" s="444" t="n"/>
      <c r="Y70" s="449" t="inlineStr">
        <is>
          <t>CRIT DMG%</t>
        </is>
      </c>
      <c r="Z70" s="449" t="n">
        <v>0</v>
      </c>
    </row>
    <row r="71">
      <c r="C71" s="486">
        <f>A48</f>
        <v/>
      </c>
      <c r="D71" s="487" t="n"/>
      <c r="E71" s="494" t="inlineStr">
        <is>
          <t>ART</t>
        </is>
      </c>
      <c r="F71" s="494" t="inlineStr">
        <is>
          <t>HP</t>
        </is>
      </c>
      <c r="G71" s="489">
        <f>IFERROR(VLOOKUP($C71,$A$43:$R$63,4,FALSE),0)+IFERROR(VLOOKUP($C71,$A$43:$R$63,18,FALSE),0)</f>
        <v/>
      </c>
      <c r="H71" s="496">
        <f>IFERROR(VLOOKUP($C71,$A$43:$R$63,8,FALSE),0)+IFERROR(VLOOKUP($G71,$Y$2:$AA$50,3),0)</f>
        <v/>
      </c>
      <c r="I71" s="496">
        <f>XLOOKUP($C71,$A$43:$A$63,$I$43:$I$63,0)</f>
        <v/>
      </c>
      <c r="J71" s="496">
        <f>XLOOKUP($C71,$A$43:$A$63,$J$43:$J$63,0)</f>
        <v/>
      </c>
      <c r="K71" s="496">
        <f>XLOOKUP($C71,$A$43:$A$63,$K$43:$K$63,0)</f>
        <v/>
      </c>
      <c r="L71" s="496">
        <f>XLOOKUP($C71,$A$43:$A$63,$L$43:$L$63,0)</f>
        <v/>
      </c>
      <c r="M71" s="496">
        <f>XLOOKUP($C71,$A$43:$A$63,$M$43:$M$63,0)</f>
        <v/>
      </c>
      <c r="N71" s="496">
        <f>XLOOKUP($C71,$A$43:$A$63,$N$43:$N$63,0)</f>
        <v/>
      </c>
      <c r="O71" s="496">
        <f>XLOOKUP($C71,$A$43:$A$63,$O$43:$O$63,0)</f>
        <v/>
      </c>
      <c r="P71" s="496">
        <f>XLOOKUP($C71,$A$43:$A$63,$P$43:$P$63,0)</f>
        <v/>
      </c>
      <c r="Q71" s="496">
        <f>XLOOKUP($C71,$A$43:$A$63,$Q$43:$Q$63,0)</f>
        <v/>
      </c>
      <c r="R71" s="1131">
        <f>A48</f>
        <v/>
      </c>
      <c r="S71" s="1129" t="n"/>
      <c r="U71" s="444" t="inlineStr">
        <is>
          <t>ATK</t>
        </is>
      </c>
      <c r="V71" s="444">
        <f>$Z$66*(1+I75/100)</f>
        <v/>
      </c>
      <c r="W71" s="444">
        <f>((V71-$Z$73)*(V73+P75/100)*((V74/100)*V75 + (1-V74/100)*1)) + LOG(V71,5)*Q75*(V73+P75/100)</f>
        <v/>
      </c>
      <c r="Y71" s="449" t="n"/>
      <c r="Z71" s="449" t="n"/>
    </row>
    <row r="72">
      <c r="C72" s="456">
        <f>A55</f>
        <v/>
      </c>
      <c r="D72" s="457" t="n"/>
      <c r="E72" s="458" t="inlineStr">
        <is>
          <t>FTH</t>
        </is>
      </c>
      <c r="F72" s="458" t="inlineStr">
        <is>
          <t>RUSH</t>
        </is>
      </c>
      <c r="G72" s="550">
        <f>IFERROR(VLOOKUP($C72,$A$43:$R$63,4,FALSE),0)+IFERROR(VLOOKUP($C72,$A$43:$R$63,18,FALSE),0)</f>
        <v/>
      </c>
      <c r="H72" s="607">
        <f>XLOOKUP($C72,$A$43:$A$63,$H$43:$H$63,0)</f>
        <v/>
      </c>
      <c r="I72" s="607">
        <f>XLOOKUP($C72,$A$43:$A$63,$I$43:$I$63,0)</f>
        <v/>
      </c>
      <c r="J72" s="607">
        <f>IFERROR(VLOOKUP($C72,$A$43:$R$63,10,FALSE),0)+IFERROR(VLOOKUP(G72,$Y$2:$AA$50,3),0)</f>
        <v/>
      </c>
      <c r="K72" s="607">
        <f>XLOOKUP($C72,$A$43:$A$63,$K$43:$K$63,0)</f>
        <v/>
      </c>
      <c r="L72" s="607">
        <f>XLOOKUP($C72,$A$43:$A$63,$L$43:$L$63,0)</f>
        <v/>
      </c>
      <c r="M72" s="607">
        <f>XLOOKUP($C72,$A$43:$A$63,$M$43:$M$63,0)</f>
        <v/>
      </c>
      <c r="N72" s="607">
        <f>XLOOKUP($C72,$A$43:$A$63,$N$43:$N$63,0)</f>
        <v/>
      </c>
      <c r="O72" s="607">
        <f>XLOOKUP($C72,$A$43:$A$63,$O$43:$O$63,0)</f>
        <v/>
      </c>
      <c r="P72" s="607">
        <f>XLOOKUP($C72,$A$43:$A$63,$P$43:$P$63,0)</f>
        <v/>
      </c>
      <c r="Q72" s="607">
        <f>XLOOKUP($C72,$A$43:$A$63,$Q$43:$Q$63,0)</f>
        <v/>
      </c>
      <c r="R72" s="592">
        <f>A52</f>
        <v/>
      </c>
      <c r="S72" s="1129" t="n"/>
      <c r="U72" s="444" t="inlineStr">
        <is>
          <t>RUSH</t>
        </is>
      </c>
      <c r="V72" s="444">
        <f>$Z$67*(1+J75/100)</f>
        <v/>
      </c>
      <c r="W72" s="444">
        <f>(V72-$Z$73)*(V73+P75/100)*((V74/100)*V75 + (1-V74/100)*1) + LOG(V72,5)*Q75*(V73+P75/100)</f>
        <v/>
      </c>
      <c r="Y72" s="449" t="inlineStr">
        <is>
          <t>Enemy:</t>
        </is>
      </c>
      <c r="Z72" s="449" t="n"/>
    </row>
    <row r="73">
      <c r="C73" s="486">
        <f>A56</f>
        <v/>
      </c>
      <c r="D73" s="487" t="n"/>
      <c r="E73" s="494" t="inlineStr">
        <is>
          <t>CIV</t>
        </is>
      </c>
      <c r="F73" s="494" t="inlineStr">
        <is>
          <t>ATK</t>
        </is>
      </c>
      <c r="G73" s="489">
        <f>IFERROR(VLOOKUP($C73,$A$43:$R$63,4,FALSE),0)+IFERROR(VLOOKUP($C73,$A$43:$R$63,18,FALSE),0)</f>
        <v/>
      </c>
      <c r="H73" s="496">
        <f>XLOOKUP($C73,$A$43:$A$63,$H$43:$H$63,0)</f>
        <v/>
      </c>
      <c r="I73" s="496">
        <f>IFERROR(VLOOKUP($C73,$A$43:$R$63,9,FALSE),0)+IFERROR(VLOOKUP(G73,$Y$2:$AA$50,3),0)</f>
        <v/>
      </c>
      <c r="J73" s="496">
        <f>XLOOKUP($C73,$A$43:$A$63,$J$43:$J$63,0)</f>
        <v/>
      </c>
      <c r="K73" s="496">
        <f>XLOOKUP($C73,$A$43:$A$63,$K$43:$K$63,0)</f>
        <v/>
      </c>
      <c r="L73" s="496">
        <f>XLOOKUP($C73,$A$43:$A$63,$L$43:$L$63,0)</f>
        <v/>
      </c>
      <c r="M73" s="496">
        <f>XLOOKUP($C73,$A$43:$A$63,$M$43:$M$63,0)</f>
        <v/>
      </c>
      <c r="N73" s="496">
        <f>XLOOKUP($C73,$A$43:$A$63,$N$43:$N$63,0)</f>
        <v/>
      </c>
      <c r="O73" s="496">
        <f>XLOOKUP($C73,$A$43:$A$63,$O$43:$O$63,0)</f>
        <v/>
      </c>
      <c r="P73" s="496">
        <f>XLOOKUP($C73,$A$43:$A$63,$P$43:$P$63,0)</f>
        <v/>
      </c>
      <c r="Q73" s="496">
        <f>XLOOKUP($C73,$A$43:$A$63,$Q$43:$Q$63,0)</f>
        <v/>
      </c>
      <c r="R73" s="1131">
        <f>A58</f>
        <v/>
      </c>
      <c r="S73" s="1129" t="n"/>
      <c r="U73" s="444" t="inlineStr">
        <is>
          <t>DMG%</t>
        </is>
      </c>
      <c r="V73" s="444">
        <f>(1+($Z$68+N75)/100)</f>
        <v/>
      </c>
      <c r="W73" s="444" t="n"/>
      <c r="Y73" s="449" t="inlineStr">
        <is>
          <t>DEF</t>
        </is>
      </c>
      <c r="Z73" s="449" t="n">
        <v>764000</v>
      </c>
    </row>
    <row r="74">
      <c r="C74" s="456">
        <f>A61</f>
        <v/>
      </c>
      <c r="D74" s="457" t="n"/>
      <c r="E74" s="458" t="inlineStr">
        <is>
          <t>TECH</t>
        </is>
      </c>
      <c r="F74" s="458" t="inlineStr">
        <is>
          <t>DEF</t>
        </is>
      </c>
      <c r="G74" s="550">
        <f>IFERROR(VLOOKUP($C74,$A$43:$R$63,4,FALSE),0)+IFERROR(VLOOKUP($C74,$A$43:$R$63,18,FALSE),0)</f>
        <v/>
      </c>
      <c r="H74" s="607">
        <f>XLOOKUP($C74,$A$43:$A$63,$H$43:$H$63,0)</f>
        <v/>
      </c>
      <c r="I74" s="607">
        <f>XLOOKUP($C74,$A$43:$A$63,$I$43:$I$63,0)</f>
        <v/>
      </c>
      <c r="J74" s="607">
        <f>XLOOKUP($C74,$A$43:$A$63,$J$43:$J$63,0)</f>
        <v/>
      </c>
      <c r="K74" s="607">
        <f>IFERROR(VLOOKUP($C74,$A$43:$R$63,11,FALSE),0)+IFERROR(VLOOKUP(G74,$Y$2:$AA$50,3),0)</f>
        <v/>
      </c>
      <c r="L74" s="607">
        <f>XLOOKUP($C74,$A$43:$A$63,$L$43:$L$63,0)</f>
        <v/>
      </c>
      <c r="M74" s="607">
        <f>XLOOKUP($C74,$A$43:$A$63,$M$43:$M$63,0)</f>
        <v/>
      </c>
      <c r="N74" s="607">
        <f>XLOOKUP($C74,$A$43:$A$63,$N$43:$N$63,0)</f>
        <v/>
      </c>
      <c r="O74" s="607">
        <f>XLOOKUP($C74,$A$43:$A$63,$O$43:$O$63,0)</f>
        <v/>
      </c>
      <c r="P74" s="607">
        <f>XLOOKUP($C74,$A$43:$A$63,$P$43:$P$63,0)</f>
        <v/>
      </c>
      <c r="Q74" s="607">
        <f>XLOOKUP($C74,$A$43:$A$63,$Q$43:$Q$63,0)</f>
        <v/>
      </c>
      <c r="R74" s="592" t="inlineStr">
        <is>
          <t>The Prince</t>
        </is>
      </c>
      <c r="S74" s="1129" t="n"/>
      <c r="U74" s="444" t="inlineStr">
        <is>
          <t>CRIT%</t>
        </is>
      </c>
      <c r="V74" s="444">
        <f>$Z$69+L75</f>
        <v/>
      </c>
      <c r="W74" s="444" t="n"/>
    </row>
    <row r="75">
      <c r="C75" s="493" t="inlineStr">
        <is>
          <t>Total</t>
        </is>
      </c>
      <c r="D75" s="487" t="n"/>
      <c r="E75" s="494" t="n"/>
      <c r="F75" s="494" t="n"/>
      <c r="G75" s="495" t="n"/>
      <c r="H75" s="496">
        <f>sum(H70:H74)</f>
        <v/>
      </c>
      <c r="I75" s="496">
        <f>sum(I70:I74)</f>
        <v/>
      </c>
      <c r="J75" s="496">
        <f>sum(J70:J74)</f>
        <v/>
      </c>
      <c r="K75" s="496">
        <f>sum(K70:K74)</f>
        <v/>
      </c>
      <c r="L75" s="496">
        <f>sum(L70:L74)</f>
        <v/>
      </c>
      <c r="M75" s="496">
        <f>sum(M70:M74)</f>
        <v/>
      </c>
      <c r="N75" s="496">
        <f>sum(N70:N74)</f>
        <v/>
      </c>
      <c r="O75" s="496">
        <f>sum(O70:O74)</f>
        <v/>
      </c>
      <c r="P75" s="496">
        <f>sum(P70:P74)</f>
        <v/>
      </c>
      <c r="Q75" s="496">
        <f>sum(Q70:Q74)</f>
        <v/>
      </c>
      <c r="R75" s="1131" t="n"/>
      <c r="S75" s="1129" t="n"/>
      <c r="U75" s="444" t="inlineStr">
        <is>
          <t>CRIT DMG%</t>
        </is>
      </c>
      <c r="V75" s="444">
        <f>1.5+($Z$70+M75)/100</f>
        <v/>
      </c>
      <c r="W75" s="444" t="n"/>
    </row>
    <row r="76">
      <c r="C76" s="593" t="inlineStr">
        <is>
          <t>Damage Per Round</t>
        </is>
      </c>
      <c r="D76" s="457" t="n"/>
      <c r="E76" s="476">
        <f>W71+W72</f>
        <v/>
      </c>
      <c r="F76" s="508" t="n"/>
      <c r="G76" s="515" t="n"/>
      <c r="H76" s="479" t="n"/>
      <c r="I76" s="479" t="n"/>
      <c r="J76" s="479" t="n"/>
      <c r="K76" s="479" t="n"/>
      <c r="L76" s="479" t="n"/>
      <c r="M76" s="479" t="n"/>
      <c r="N76" s="479" t="n"/>
      <c r="O76" s="479" t="n"/>
      <c r="P76" s="479" t="n"/>
      <c r="Q76" s="479" t="n"/>
      <c r="R76" s="479" t="n"/>
      <c r="S76" s="479" t="n"/>
    </row>
    <row r="77">
      <c r="C77" s="497" t="n"/>
      <c r="D77" s="498" t="n"/>
      <c r="E77" s="499" t="n"/>
      <c r="F77" s="499" t="n"/>
      <c r="G77" s="489" t="n"/>
      <c r="H77" s="500" t="n">
        <v>16.4</v>
      </c>
      <c r="I77" s="500" t="n">
        <v>13.3</v>
      </c>
      <c r="J77" s="500" t="n">
        <v>37.4</v>
      </c>
      <c r="K77" s="500" t="n">
        <v>15.7</v>
      </c>
      <c r="L77" s="500" t="n"/>
      <c r="M77" s="500" t="n"/>
      <c r="N77" s="500" t="n"/>
      <c r="O77" s="500" t="n"/>
      <c r="P77" s="500" t="n"/>
      <c r="Q77" s="500" t="n"/>
      <c r="R77" s="500" t="n"/>
      <c r="S77" s="500" t="n"/>
    </row>
    <row r="78"/>
    <row r="79">
      <c r="A79" s="357" t="inlineStr">
        <is>
          <t>Surf Clam</t>
        </is>
      </c>
      <c r="B79" s="406" t="n"/>
      <c r="C79" s="406" t="n"/>
      <c r="D79" s="967" t="inlineStr">
        <is>
          <t>Main AFFCT</t>
        </is>
      </c>
      <c r="E79" s="967" t="inlineStr">
        <is>
          <t>Stamp 1</t>
        </is>
      </c>
      <c r="F79" s="967" t="inlineStr">
        <is>
          <t>Stamp 2</t>
        </is>
      </c>
      <c r="G79" s="967" t="inlineStr">
        <is>
          <t>Stamp 3</t>
        </is>
      </c>
      <c r="H79" s="436" t="inlineStr">
        <is>
          <t>HP</t>
        </is>
      </c>
      <c r="I79" s="436" t="inlineStr">
        <is>
          <t>ATK</t>
        </is>
      </c>
      <c r="J79" s="436" t="inlineStr">
        <is>
          <t>RUSH</t>
        </is>
      </c>
      <c r="K79" s="436" t="inlineStr">
        <is>
          <t>DEF</t>
        </is>
      </c>
      <c r="L79" s="436" t="inlineStr">
        <is>
          <t>CRIT</t>
        </is>
      </c>
      <c r="M79" s="436" t="inlineStr">
        <is>
          <t>CRIT DMG</t>
        </is>
      </c>
      <c r="N79" s="436" t="inlineStr">
        <is>
          <t>DMG</t>
        </is>
      </c>
      <c r="O79" s="436" t="inlineStr">
        <is>
          <t>DMG Reduc</t>
        </is>
      </c>
      <c r="P79" s="436" t="inlineStr">
        <is>
          <t>Hero DMG</t>
        </is>
      </c>
      <c r="Q79" s="436" t="inlineStr">
        <is>
          <t>ELMT DMG</t>
        </is>
      </c>
      <c r="R79" s="436" t="inlineStr">
        <is>
          <t>AFFCT</t>
        </is>
      </c>
      <c r="S79" s="437" t="inlineStr">
        <is>
          <t>Source</t>
        </is>
      </c>
    </row>
    <row r="80">
      <c r="A80" s="434" t="inlineStr">
        <is>
          <t>INDIVIDUAL RELICS</t>
        </is>
      </c>
      <c r="B80" s="425" t="n"/>
      <c r="C80" s="425" t="n"/>
      <c r="D80" s="425" t="n"/>
      <c r="E80" s="425" t="n"/>
      <c r="F80" s="425" t="n"/>
      <c r="G80" s="425" t="n"/>
      <c r="S80" s="418" t="n"/>
    </row>
    <row r="81">
      <c r="A81" s="450" t="inlineStr">
        <is>
          <t>Potsdam Declaration</t>
        </is>
      </c>
      <c r="B81" s="450" t="inlineStr">
        <is>
          <t>SSS</t>
        </is>
      </c>
      <c r="C81" s="450" t="inlineStr">
        <is>
          <t>FAME</t>
        </is>
      </c>
      <c r="D81" s="448" t="n">
        <v>108</v>
      </c>
      <c r="E81" s="448" t="inlineStr">
        <is>
          <t>CRIT +9%</t>
        </is>
      </c>
      <c r="F81" s="450" t="inlineStr">
        <is>
          <t>Crit DMG +9%</t>
        </is>
      </c>
      <c r="G81" s="450" t="inlineStr">
        <is>
          <t>Hero DMG +6%</t>
        </is>
      </c>
      <c r="H81" s="444" t="n"/>
      <c r="I81" s="444" t="n"/>
      <c r="J81" s="444" t="n"/>
      <c r="K81" s="444" t="n"/>
      <c r="L81" s="444" t="n">
        <v>9</v>
      </c>
      <c r="M81" s="444" t="n">
        <v>9</v>
      </c>
      <c r="N81" s="444" t="n"/>
      <c r="O81" s="444" t="n"/>
      <c r="P81" s="444" t="n">
        <v>6</v>
      </c>
      <c r="Q81" s="444" t="n"/>
      <c r="R81" s="444" t="n"/>
      <c r="S81" s="418" t="inlineStr">
        <is>
          <t>Daily Gold Pack #4</t>
        </is>
      </c>
    </row>
    <row r="82">
      <c r="A82" s="447" t="inlineStr">
        <is>
          <t>The Prince</t>
        </is>
      </c>
      <c r="B82" s="447" t="inlineStr">
        <is>
          <t>SSS</t>
        </is>
      </c>
      <c r="C82" s="447" t="inlineStr">
        <is>
          <t>FAME</t>
        </is>
      </c>
      <c r="D82" s="445" t="n">
        <v>106</v>
      </c>
      <c r="E82" s="445" t="inlineStr">
        <is>
          <t>ATK +6%</t>
        </is>
      </c>
      <c r="F82" s="447" t="inlineStr">
        <is>
          <t>FAME +15</t>
        </is>
      </c>
      <c r="G82" s="447" t="inlineStr">
        <is>
          <t>CRIT DMG +6%</t>
        </is>
      </c>
      <c r="H82" s="897" t="n"/>
      <c r="I82" s="447" t="n">
        <v>6</v>
      </c>
      <c r="J82" s="447" t="n"/>
      <c r="K82" s="447" t="n"/>
      <c r="L82" s="447" t="n"/>
      <c r="M82" s="447" t="n">
        <v>6</v>
      </c>
      <c r="N82" s="447" t="n"/>
      <c r="O82" s="447" t="n"/>
      <c r="P82" s="447" t="n"/>
      <c r="Q82" s="447" t="n"/>
      <c r="R82" s="447" t="n">
        <v>15</v>
      </c>
      <c r="S82" s="418" t="inlineStr">
        <is>
          <t>Lottery Machine No. 2 (0.11%)</t>
        </is>
      </c>
    </row>
    <row r="83">
      <c r="A83" s="450" t="inlineStr">
        <is>
          <t>Cross of Lorraine</t>
        </is>
      </c>
      <c r="B83" s="450" t="inlineStr">
        <is>
          <t>SS</t>
        </is>
      </c>
      <c r="C83" s="450" t="inlineStr">
        <is>
          <t>FAME</t>
        </is>
      </c>
      <c r="D83" s="448" t="n">
        <v>104</v>
      </c>
      <c r="E83" s="448" t="inlineStr">
        <is>
          <t>FAME +15</t>
        </is>
      </c>
      <c r="F83" s="448" t="inlineStr">
        <is>
          <t>ATK +6%</t>
        </is>
      </c>
      <c r="G83" s="450" t="n"/>
      <c r="H83" s="449" t="n"/>
      <c r="I83" s="450" t="n">
        <v>6</v>
      </c>
      <c r="J83" s="450" t="n"/>
      <c r="K83" s="450" t="n"/>
      <c r="L83" s="450" t="n"/>
      <c r="M83" s="450" t="n"/>
      <c r="N83" s="450" t="n"/>
      <c r="O83" s="450" t="n"/>
      <c r="P83" s="450" t="n"/>
      <c r="Q83" s="450" t="n"/>
      <c r="R83" s="450" t="n">
        <v>15</v>
      </c>
      <c r="S83" s="418" t="inlineStr">
        <is>
          <t>Lottery Machine No. 2 (?%)</t>
        </is>
      </c>
    </row>
    <row r="84">
      <c r="A84" s="450" t="inlineStr">
        <is>
          <t>Louis XIV Portrait</t>
        </is>
      </c>
      <c r="B84" s="450" t="inlineStr">
        <is>
          <t>SSS</t>
        </is>
      </c>
      <c r="C84" s="450" t="inlineStr">
        <is>
          <t>ART</t>
        </is>
      </c>
      <c r="D84" s="448" t="n">
        <v>107</v>
      </c>
      <c r="E84" s="448" t="inlineStr">
        <is>
          <t>HP +9%</t>
        </is>
      </c>
      <c r="F84" s="450" t="inlineStr">
        <is>
          <t>CRIT +9%</t>
        </is>
      </c>
      <c r="G84" s="450" t="inlineStr">
        <is>
          <t>ART +15</t>
        </is>
      </c>
      <c r="H84" s="444" t="n">
        <v>9</v>
      </c>
      <c r="I84" s="444" t="n"/>
      <c r="J84" s="444" t="n"/>
      <c r="K84" s="444" t="n"/>
      <c r="L84" s="444" t="n">
        <v>9</v>
      </c>
      <c r="M84" s="444" t="n"/>
      <c r="N84" s="444" t="n"/>
      <c r="O84" s="444" t="n"/>
      <c r="P84" s="444" t="n"/>
      <c r="Q84" s="444" t="n"/>
      <c r="R84" s="444" t="n">
        <v>15</v>
      </c>
      <c r="S84" s="390" t="inlineStr">
        <is>
          <t>Lottery Machine No.2 (?%)</t>
        </is>
      </c>
    </row>
    <row r="85">
      <c r="A85" s="450" t="inlineStr">
        <is>
          <t>Hunter in the Snow</t>
        </is>
      </c>
      <c r="B85" s="450" t="inlineStr">
        <is>
          <t>SSS</t>
        </is>
      </c>
      <c r="C85" s="450" t="inlineStr">
        <is>
          <t>ART</t>
        </is>
      </c>
      <c r="D85" s="448" t="n">
        <v>106</v>
      </c>
      <c r="E85" s="448" t="inlineStr">
        <is>
          <t>ART +15</t>
        </is>
      </c>
      <c r="F85" s="450" t="inlineStr">
        <is>
          <t>HP +9%</t>
        </is>
      </c>
      <c r="G85" s="450" t="inlineStr">
        <is>
          <t>All ELMT DMG +15</t>
        </is>
      </c>
      <c r="H85" s="444" t="n">
        <v>9</v>
      </c>
      <c r="I85" s="444" t="n"/>
      <c r="J85" s="444" t="n"/>
      <c r="K85" s="444" t="n"/>
      <c r="L85" s="444" t="n"/>
      <c r="M85" s="444" t="n"/>
      <c r="N85" s="444" t="n"/>
      <c r="O85" s="444" t="n"/>
      <c r="P85" s="444" t="n"/>
      <c r="Q85" s="444" t="n">
        <v>75</v>
      </c>
      <c r="R85" s="444" t="n">
        <v>15</v>
      </c>
      <c r="S85" s="390" t="inlineStr">
        <is>
          <t>Lottery Machine No.3 (?%)</t>
        </is>
      </c>
    </row>
    <row r="86">
      <c r="A86" s="450" t="inlineStr">
        <is>
          <t>Woman at Her Toilette</t>
        </is>
      </c>
      <c r="B86" s="450" t="inlineStr">
        <is>
          <t>SSS</t>
        </is>
      </c>
      <c r="C86" s="450" t="inlineStr">
        <is>
          <t>ART</t>
        </is>
      </c>
      <c r="D86" s="448" t="n">
        <v>109</v>
      </c>
      <c r="E86" s="448" t="inlineStr">
        <is>
          <t>ATK +6%</t>
        </is>
      </c>
      <c r="F86" s="450" t="inlineStr">
        <is>
          <t>RUSH +6%</t>
        </is>
      </c>
      <c r="G86" s="450" t="inlineStr">
        <is>
          <t>ART +15</t>
        </is>
      </c>
      <c r="H86" s="444" t="n"/>
      <c r="I86" s="444" t="n">
        <v>6</v>
      </c>
      <c r="J86" s="444" t="n">
        <v>6</v>
      </c>
      <c r="K86" s="444" t="n"/>
      <c r="L86" s="444" t="n"/>
      <c r="M86" s="444" t="n"/>
      <c r="N86" s="444" t="n"/>
      <c r="O86" s="444" t="n"/>
      <c r="P86" s="444" t="n"/>
      <c r="Q86" s="444" t="n"/>
      <c r="R86" s="444" t="n">
        <v>15</v>
      </c>
      <c r="S86" s="418" t="inlineStr">
        <is>
          <t>Minion Skin Lottery</t>
        </is>
      </c>
    </row>
    <row r="87">
      <c r="A87" s="450" t="inlineStr">
        <is>
          <t>Seated Voltaire</t>
        </is>
      </c>
      <c r="B87" s="450" t="inlineStr">
        <is>
          <t>SSS</t>
        </is>
      </c>
      <c r="C87" s="450" t="inlineStr">
        <is>
          <t>ART</t>
        </is>
      </c>
      <c r="D87" s="448" t="n">
        <v>106</v>
      </c>
      <c r="E87" s="448" t="inlineStr">
        <is>
          <t>DEF +6%</t>
        </is>
      </c>
      <c r="F87" s="450" t="inlineStr">
        <is>
          <t>ART +15</t>
        </is>
      </c>
      <c r="G87" s="450" t="inlineStr">
        <is>
          <t>Wind DMG +30</t>
        </is>
      </c>
      <c r="H87" s="449" t="n"/>
      <c r="I87" s="450" t="n"/>
      <c r="J87" s="450" t="n"/>
      <c r="K87" s="450" t="n">
        <v>6</v>
      </c>
      <c r="L87" s="450" t="n"/>
      <c r="M87" s="450" t="n"/>
      <c r="N87" s="450" t="n"/>
      <c r="O87" s="450" t="n"/>
      <c r="P87" s="450" t="n"/>
      <c r="Q87" s="450" t="n">
        <v>30</v>
      </c>
      <c r="R87" s="450" t="n">
        <v>15</v>
      </c>
      <c r="S87" s="418" t="inlineStr">
        <is>
          <t>Wish Box Relic Album #1</t>
        </is>
      </c>
    </row>
    <row r="88">
      <c r="A88" s="450" t="inlineStr">
        <is>
          <t>Head of Bhairava</t>
        </is>
      </c>
      <c r="B88" s="450" t="inlineStr">
        <is>
          <t>SSS</t>
        </is>
      </c>
      <c r="C88" s="450" t="inlineStr">
        <is>
          <t>FTH</t>
        </is>
      </c>
      <c r="D88" s="448" t="n">
        <v>107</v>
      </c>
      <c r="E88" s="448" t="inlineStr">
        <is>
          <t>FTH +15</t>
        </is>
      </c>
      <c r="F88" s="450" t="inlineStr">
        <is>
          <t>CRIT DMG +9%</t>
        </is>
      </c>
      <c r="G88" s="450" t="inlineStr">
        <is>
          <t>ATK +9%</t>
        </is>
      </c>
      <c r="H88" s="444" t="n"/>
      <c r="I88" s="444" t="n">
        <v>9</v>
      </c>
      <c r="J88" s="444" t="n"/>
      <c r="K88" s="444" t="n"/>
      <c r="L88" s="444" t="n"/>
      <c r="M88" s="444" t="n">
        <v>9</v>
      </c>
      <c r="N88" s="444" t="n"/>
      <c r="O88" s="444" t="n"/>
      <c r="P88" s="444" t="n"/>
      <c r="Q88" s="444" t="n"/>
      <c r="R88" s="444" t="n">
        <v>15</v>
      </c>
      <c r="S88" s="386" t="inlineStr">
        <is>
          <t>Daily Pack #17</t>
        </is>
      </c>
    </row>
    <row r="89">
      <c r="A89" s="450" t="inlineStr">
        <is>
          <t>Washington Portrait</t>
        </is>
      </c>
      <c r="B89" s="450" t="inlineStr">
        <is>
          <t>SSS</t>
        </is>
      </c>
      <c r="C89" s="450" t="inlineStr">
        <is>
          <t>FTH</t>
        </is>
      </c>
      <c r="D89" s="448" t="n">
        <v>108</v>
      </c>
      <c r="E89" s="448" t="inlineStr">
        <is>
          <t>FTH +15</t>
        </is>
      </c>
      <c r="F89" s="450" t="inlineStr">
        <is>
          <t>DMG REDUC +6%</t>
        </is>
      </c>
      <c r="G89" s="450" t="inlineStr">
        <is>
          <t>HP +9%</t>
        </is>
      </c>
      <c r="H89" s="444" t="n">
        <v>9</v>
      </c>
      <c r="I89" s="444" t="n"/>
      <c r="J89" s="444" t="n"/>
      <c r="K89" s="444" t="n"/>
      <c r="L89" s="444" t="n"/>
      <c r="M89" s="444" t="n"/>
      <c r="N89" s="444" t="n"/>
      <c r="O89" s="444" t="n">
        <v>6</v>
      </c>
      <c r="P89" s="444" t="n"/>
      <c r="Q89" s="444" t="n"/>
      <c r="R89" s="444" t="n">
        <v>15</v>
      </c>
      <c r="S89" s="390" t="inlineStr">
        <is>
          <t>Unknown</t>
        </is>
      </c>
    </row>
    <row r="90">
      <c r="A90" s="450" t="inlineStr">
        <is>
          <t>Enuma Elish</t>
        </is>
      </c>
      <c r="B90" s="450" t="inlineStr">
        <is>
          <t>SSS</t>
        </is>
      </c>
      <c r="C90" s="450" t="inlineStr">
        <is>
          <t>FTH</t>
        </is>
      </c>
      <c r="D90" s="448" t="n">
        <v>107</v>
      </c>
      <c r="E90" s="448" t="inlineStr">
        <is>
          <t>FTH +15</t>
        </is>
      </c>
      <c r="F90" s="450" t="inlineStr">
        <is>
          <t>ATK +6%</t>
        </is>
      </c>
      <c r="G90" s="450" t="inlineStr">
        <is>
          <t>RUSH +6%</t>
        </is>
      </c>
      <c r="H90" s="449" t="n"/>
      <c r="I90" s="450" t="n">
        <v>6</v>
      </c>
      <c r="J90" s="450" t="n">
        <v>6</v>
      </c>
      <c r="K90" s="450" t="n"/>
      <c r="L90" s="450" t="n"/>
      <c r="M90" s="450" t="n"/>
      <c r="N90" s="450" t="n"/>
      <c r="O90" s="450" t="n"/>
      <c r="P90" s="450" t="n"/>
      <c r="Q90" s="450" t="n"/>
      <c r="R90" s="450" t="n">
        <v>15</v>
      </c>
      <c r="S90" s="418" t="inlineStr">
        <is>
          <t>Lottery Machine No. 2 (0.11%)</t>
        </is>
      </c>
    </row>
    <row r="91">
      <c r="A91" s="450" t="inlineStr">
        <is>
          <t>Isabella I Portrait</t>
        </is>
      </c>
      <c r="B91" s="450" t="inlineStr">
        <is>
          <t>SSS</t>
        </is>
      </c>
      <c r="C91" s="450" t="inlineStr">
        <is>
          <t>CIV</t>
        </is>
      </c>
      <c r="D91" s="448" t="n">
        <v>107</v>
      </c>
      <c r="E91" s="448" t="inlineStr">
        <is>
          <t>CIV +15</t>
        </is>
      </c>
      <c r="F91" s="448" t="inlineStr">
        <is>
          <t>CRIT +9%</t>
        </is>
      </c>
      <c r="G91" s="450" t="inlineStr">
        <is>
          <t>CRIT DMG +9%</t>
        </is>
      </c>
      <c r="H91" s="444" t="n"/>
      <c r="I91" s="444" t="n"/>
      <c r="J91" s="444" t="n"/>
      <c r="K91" s="444" t="n"/>
      <c r="L91" s="444" t="n">
        <v>9</v>
      </c>
      <c r="M91" s="444" t="n">
        <v>9</v>
      </c>
      <c r="N91" s="444" t="n"/>
      <c r="O91" s="444" t="n"/>
      <c r="P91" s="444" t="n"/>
      <c r="Q91" s="444" t="n"/>
      <c r="R91" s="444" t="n">
        <v>15</v>
      </c>
      <c r="S91" s="390" t="inlineStr">
        <is>
          <t>Unknown</t>
        </is>
      </c>
    </row>
    <row r="92">
      <c r="A92" s="450" t="inlineStr">
        <is>
          <t>Four-goat Square Zun</t>
        </is>
      </c>
      <c r="B92" s="450" t="inlineStr">
        <is>
          <t>SSS</t>
        </is>
      </c>
      <c r="C92" s="450" t="inlineStr">
        <is>
          <t>CIV</t>
        </is>
      </c>
      <c r="D92" s="448" t="n">
        <v>108</v>
      </c>
      <c r="E92" s="448" t="inlineStr">
        <is>
          <t>CIV +15</t>
        </is>
      </c>
      <c r="F92" s="448" t="inlineStr">
        <is>
          <t>ATK +9%</t>
        </is>
      </c>
      <c r="G92" s="450" t="inlineStr">
        <is>
          <t>DEF +9%</t>
        </is>
      </c>
      <c r="H92" s="444" t="n"/>
      <c r="I92" s="444" t="n">
        <v>9</v>
      </c>
      <c r="J92" s="444" t="n"/>
      <c r="K92" s="444" t="n">
        <v>9</v>
      </c>
      <c r="L92" s="444" t="n"/>
      <c r="M92" s="444" t="n"/>
      <c r="N92" s="444" t="n"/>
      <c r="O92" s="444" t="n"/>
      <c r="P92" s="444" t="n"/>
      <c r="Q92" s="444" t="n"/>
      <c r="R92" s="444" t="n">
        <v>15</v>
      </c>
      <c r="S92" s="386" t="inlineStr">
        <is>
          <t>Lottery Machine No.3 (0.12%)</t>
        </is>
      </c>
    </row>
    <row r="93">
      <c r="A93" s="450" t="inlineStr">
        <is>
          <t>Crime and Punishment</t>
        </is>
      </c>
      <c r="B93" s="450" t="inlineStr">
        <is>
          <t>SSS</t>
        </is>
      </c>
      <c r="C93" s="450" t="inlineStr">
        <is>
          <t>CIV</t>
        </is>
      </c>
      <c r="D93" s="448" t="n">
        <v>106</v>
      </c>
      <c r="E93" s="448" t="inlineStr">
        <is>
          <t>ATK +9%</t>
        </is>
      </c>
      <c r="F93" s="448" t="inlineStr">
        <is>
          <t>DEF +9%</t>
        </is>
      </c>
      <c r="G93" s="450" t="inlineStr">
        <is>
          <t>CIV +15</t>
        </is>
      </c>
      <c r="H93" s="444" t="n"/>
      <c r="I93" s="444" t="n">
        <v>9</v>
      </c>
      <c r="J93" s="444" t="n"/>
      <c r="K93" s="444" t="n">
        <v>9</v>
      </c>
      <c r="L93" s="444" t="n"/>
      <c r="M93" s="444" t="n"/>
      <c r="N93" s="444" t="n"/>
      <c r="O93" s="444" t="n"/>
      <c r="P93" s="444" t="n"/>
      <c r="Q93" s="444" t="n"/>
      <c r="R93" s="444" t="n">
        <v>15</v>
      </c>
      <c r="S93" s="418" t="inlineStr">
        <is>
          <t>Lottery Machine No. 2 (0.11%)</t>
        </is>
      </c>
    </row>
    <row r="94">
      <c r="A94" s="450" t="inlineStr">
        <is>
          <t>Harem Wall Painting</t>
        </is>
      </c>
      <c r="B94" s="450" t="inlineStr">
        <is>
          <t>SS</t>
        </is>
      </c>
      <c r="C94" s="450" t="inlineStr">
        <is>
          <t>CIV</t>
        </is>
      </c>
      <c r="D94" s="448" t="n">
        <v>106</v>
      </c>
      <c r="E94" s="448" t="inlineStr">
        <is>
          <t>CIV +15</t>
        </is>
      </c>
      <c r="F94" s="448" t="inlineStr">
        <is>
          <t>RUSH +6%</t>
        </is>
      </c>
      <c r="G94" s="450" t="n"/>
      <c r="H94" s="449" t="n"/>
      <c r="I94" s="450" t="n"/>
      <c r="J94" s="450" t="n">
        <v>6</v>
      </c>
      <c r="K94" s="450" t="n"/>
      <c r="L94" s="450" t="n"/>
      <c r="M94" s="450" t="n"/>
      <c r="N94" s="450" t="n"/>
      <c r="O94" s="450" t="n"/>
      <c r="P94" s="450" t="n"/>
      <c r="Q94" s="450" t="n"/>
      <c r="R94" s="450" t="n">
        <v>15</v>
      </c>
      <c r="S94" s="418" t="inlineStr">
        <is>
          <t>Lottery Machine No. 2 (?%)</t>
        </is>
      </c>
    </row>
    <row r="95">
      <c r="A95" s="450" t="inlineStr">
        <is>
          <t>Volsunga Saga</t>
        </is>
      </c>
      <c r="B95" s="450" t="inlineStr">
        <is>
          <t>SSS</t>
        </is>
      </c>
      <c r="C95" s="450" t="inlineStr">
        <is>
          <t>CIV</t>
        </is>
      </c>
      <c r="D95" s="448" t="n">
        <v>109</v>
      </c>
      <c r="E95" s="448" t="inlineStr">
        <is>
          <t>CIV +15</t>
        </is>
      </c>
      <c r="F95" s="448" t="inlineStr">
        <is>
          <t>ATK +9%</t>
        </is>
      </c>
      <c r="G95" s="450" t="inlineStr">
        <is>
          <t>DEF +9%</t>
        </is>
      </c>
      <c r="H95" s="444" t="n"/>
      <c r="I95" s="444" t="n">
        <v>9</v>
      </c>
      <c r="J95" s="444" t="n"/>
      <c r="K95" s="444" t="n">
        <v>9</v>
      </c>
      <c r="L95" s="444" t="n"/>
      <c r="M95" s="444" t="n"/>
      <c r="N95" s="444" t="n"/>
      <c r="O95" s="444" t="n"/>
      <c r="P95" s="444" t="n"/>
      <c r="Q95" s="444" t="n"/>
      <c r="R95" s="444" t="n">
        <v>15</v>
      </c>
      <c r="S95" s="390" t="inlineStr">
        <is>
          <t>Gold Pack #6</t>
        </is>
      </c>
    </row>
    <row r="96">
      <c r="A96" s="450" t="inlineStr">
        <is>
          <t>The King in Yellow</t>
        </is>
      </c>
      <c r="B96" s="450" t="inlineStr">
        <is>
          <t>SSS</t>
        </is>
      </c>
      <c r="C96" s="450" t="inlineStr">
        <is>
          <t>TECH</t>
        </is>
      </c>
      <c r="D96" s="448" t="n">
        <v>109</v>
      </c>
      <c r="E96" s="448" t="inlineStr">
        <is>
          <t>TECH +15</t>
        </is>
      </c>
      <c r="F96" s="448" t="inlineStr">
        <is>
          <t>CRIT +9%</t>
        </is>
      </c>
      <c r="G96" s="450" t="inlineStr">
        <is>
          <t>CRIT DMG +9%</t>
        </is>
      </c>
      <c r="H96" s="444" t="n"/>
      <c r="I96" s="444" t="n"/>
      <c r="J96" s="444" t="n"/>
      <c r="K96" s="444" t="n"/>
      <c r="L96" s="444" t="n">
        <v>9</v>
      </c>
      <c r="M96" s="444" t="n">
        <v>9</v>
      </c>
      <c r="N96" s="444" t="n"/>
      <c r="O96" s="444" t="n"/>
      <c r="P96" s="444" t="n"/>
      <c r="Q96" s="444" t="n"/>
      <c r="R96" s="444" t="n">
        <v>15</v>
      </c>
      <c r="S96" s="390" t="inlineStr">
        <is>
          <t>Gold Pack #7</t>
        </is>
      </c>
    </row>
    <row r="97">
      <c r="A97" s="450" t="inlineStr">
        <is>
          <t>Black Body</t>
        </is>
      </c>
      <c r="B97" s="450" t="inlineStr">
        <is>
          <t>SSS</t>
        </is>
      </c>
      <c r="C97" s="450" t="inlineStr">
        <is>
          <t>TECH</t>
        </is>
      </c>
      <c r="D97" s="448" t="n">
        <v>108</v>
      </c>
      <c r="E97" s="448" t="inlineStr">
        <is>
          <t>TECH +15</t>
        </is>
      </c>
      <c r="F97" s="448" t="inlineStr">
        <is>
          <t>RUSH +9%</t>
        </is>
      </c>
      <c r="G97" s="450" t="inlineStr">
        <is>
          <t>CRIT DMG +9%</t>
        </is>
      </c>
      <c r="H97" s="444" t="n"/>
      <c r="I97" s="444" t="n"/>
      <c r="J97" s="444" t="n">
        <v>9</v>
      </c>
      <c r="K97" s="444" t="n"/>
      <c r="L97" s="444" t="n"/>
      <c r="M97" s="444" t="n">
        <v>9</v>
      </c>
      <c r="N97" s="444" t="n"/>
      <c r="O97" s="444" t="n"/>
      <c r="P97" s="444" t="n"/>
      <c r="Q97" s="444" t="n"/>
      <c r="R97" s="444" t="n">
        <v>15</v>
      </c>
      <c r="S97" s="418" t="inlineStr">
        <is>
          <t>Lottery Machine No. 2 (0.11%)</t>
        </is>
      </c>
    </row>
    <row r="98">
      <c r="A98" s="450" t="inlineStr">
        <is>
          <t>Talos' Bronze Gears</t>
        </is>
      </c>
      <c r="B98" s="450" t="inlineStr">
        <is>
          <t>SSS</t>
        </is>
      </c>
      <c r="C98" s="450" t="inlineStr">
        <is>
          <t>TECH</t>
        </is>
      </c>
      <c r="D98" s="448" t="n">
        <v>108</v>
      </c>
      <c r="E98" s="448" t="inlineStr">
        <is>
          <t>Wind RES +60</t>
        </is>
      </c>
      <c r="F98" s="448" t="inlineStr">
        <is>
          <t>DEF +9%</t>
        </is>
      </c>
      <c r="G98" s="450" t="inlineStr">
        <is>
          <t>Hero DMG +6%</t>
        </is>
      </c>
      <c r="H98" s="444" t="n"/>
      <c r="I98" s="444" t="n"/>
      <c r="J98" s="444" t="n"/>
      <c r="K98" s="444" t="n">
        <v>9</v>
      </c>
      <c r="L98" s="444" t="n"/>
      <c r="M98" s="444" t="n"/>
      <c r="N98" s="444" t="n"/>
      <c r="O98" s="444" t="n"/>
      <c r="P98" s="444" t="n">
        <v>6</v>
      </c>
      <c r="Q98" s="444" t="n"/>
      <c r="R98" s="444" t="n"/>
      <c r="S98" s="390" t="inlineStr">
        <is>
          <t>Wish Box Relic Album #??</t>
        </is>
      </c>
    </row>
    <row r="99">
      <c r="A99" s="450" t="inlineStr">
        <is>
          <t>Phase-Shift Spatial Gate</t>
        </is>
      </c>
      <c r="B99" s="450" t="inlineStr">
        <is>
          <t>SSS</t>
        </is>
      </c>
      <c r="C99" s="450" t="inlineStr">
        <is>
          <t>TECH</t>
        </is>
      </c>
      <c r="D99" s="448" t="n">
        <v>108</v>
      </c>
      <c r="E99" s="448" t="inlineStr">
        <is>
          <t>Earth DMG +60</t>
        </is>
      </c>
      <c r="F99" s="448" t="inlineStr">
        <is>
          <t>DMG REDUC +6%</t>
        </is>
      </c>
      <c r="G99" s="450" t="inlineStr">
        <is>
          <t>RUSH +9%</t>
        </is>
      </c>
      <c r="H99" s="444" t="n"/>
      <c r="I99" s="444" t="n"/>
      <c r="J99" s="444" t="n">
        <v>9</v>
      </c>
      <c r="K99" s="444" t="n"/>
      <c r="L99" s="444" t="n"/>
      <c r="M99" s="444" t="n"/>
      <c r="N99" s="444" t="n"/>
      <c r="O99" s="444" t="n">
        <v>6</v>
      </c>
      <c r="P99" s="444" t="n"/>
      <c r="Q99" s="444" t="n">
        <v>60</v>
      </c>
      <c r="R99" s="444" t="n"/>
      <c r="S99" s="390" t="inlineStr">
        <is>
          <t>Daily Pack #46</t>
        </is>
      </c>
    </row>
    <row r="100">
      <c r="A100" s="450" t="inlineStr">
        <is>
          <t>Capsian Sea Monster</t>
        </is>
      </c>
      <c r="B100" s="450" t="inlineStr">
        <is>
          <t>SS</t>
        </is>
      </c>
      <c r="C100" s="450" t="inlineStr">
        <is>
          <t>TECH</t>
        </is>
      </c>
      <c r="D100" s="448" t="n">
        <v>105</v>
      </c>
      <c r="E100" s="448" t="inlineStr">
        <is>
          <t>Water DMG +60</t>
        </is>
      </c>
      <c r="F100" s="448" t="inlineStr">
        <is>
          <t>Water RES +60</t>
        </is>
      </c>
      <c r="G100" s="450" t="inlineStr">
        <is>
          <t>RUSH +9%</t>
        </is>
      </c>
      <c r="H100" s="444" t="n"/>
      <c r="I100" s="444" t="n"/>
      <c r="J100" s="444" t="n">
        <v>9</v>
      </c>
      <c r="K100" s="444" t="n"/>
      <c r="L100" s="444" t="n"/>
      <c r="M100" s="444" t="n"/>
      <c r="N100" s="444" t="n"/>
      <c r="O100" s="444" t="n"/>
      <c r="P100" s="444" t="n"/>
      <c r="Q100" s="444" t="n">
        <v>60</v>
      </c>
      <c r="R100" s="444" t="n"/>
      <c r="S100" s="970" t="inlineStr">
        <is>
          <t>Lottery Machine No.3 (0.48%)</t>
        </is>
      </c>
    </row>
    <row r="101">
      <c r="A101" s="425" t="n"/>
      <c r="B101" s="425" t="n"/>
      <c r="C101" s="425" t="n"/>
      <c r="D101" s="425" t="n"/>
      <c r="E101" s="425" t="n"/>
      <c r="F101" s="425" t="n"/>
      <c r="G101" s="425" t="n"/>
      <c r="H101" s="425" t="n"/>
    </row>
    <row r="102">
      <c r="A102" s="425" t="n"/>
      <c r="B102" s="425" t="n"/>
      <c r="C102" s="425" t="n"/>
      <c r="D102" s="425" t="n"/>
      <c r="E102" s="425" t="n"/>
      <c r="F102" s="425" t="n"/>
      <c r="G102" s="425" t="n"/>
      <c r="H102" s="425" t="n"/>
    </row>
    <row r="103">
      <c r="A103" s="425" t="n"/>
      <c r="B103" s="425" t="n"/>
      <c r="C103" s="425" t="n"/>
      <c r="D103" s="425" t="n"/>
      <c r="E103" s="425" t="n"/>
      <c r="F103" s="425" t="n"/>
      <c r="G103" s="425" t="n"/>
      <c r="H103" s="425" t="n"/>
    </row>
    <row r="104">
      <c r="A104" s="425" t="n"/>
      <c r="B104" s="425" t="n"/>
      <c r="C104" s="425" t="n"/>
      <c r="D104" s="425" t="n"/>
      <c r="E104" s="425" t="n"/>
      <c r="F104" s="425" t="n"/>
      <c r="G104" s="425" t="n"/>
      <c r="H104" s="425" t="n"/>
    </row>
    <row r="105">
      <c r="A105" s="425" t="n"/>
      <c r="B105" s="425" t="n"/>
      <c r="C105" s="425" t="n"/>
      <c r="D105" s="425" t="n"/>
      <c r="E105" s="425" t="n"/>
      <c r="F105" s="425" t="n"/>
      <c r="G105" s="425" t="n"/>
      <c r="H105" s="425" t="n"/>
    </row>
    <row r="106">
      <c r="C106" s="501" t="inlineStr">
        <is>
          <t>Relic</t>
        </is>
      </c>
      <c r="D106" s="502" t="n"/>
      <c r="E106" s="503" t="inlineStr">
        <is>
          <t>Slot</t>
        </is>
      </c>
      <c r="F106" s="503" t="inlineStr">
        <is>
          <t>Stat</t>
        </is>
      </c>
      <c r="G106" s="503">
        <f>D79</f>
        <v/>
      </c>
      <c r="H106" s="504" t="inlineStr">
        <is>
          <t>HP</t>
        </is>
      </c>
      <c r="I106" s="504" t="inlineStr">
        <is>
          <t>ATK</t>
        </is>
      </c>
      <c r="J106" s="504" t="inlineStr">
        <is>
          <t>RUSH</t>
        </is>
      </c>
      <c r="K106" s="504" t="inlineStr">
        <is>
          <t>DEF</t>
        </is>
      </c>
      <c r="L106" s="504" t="inlineStr">
        <is>
          <t>CRIT</t>
        </is>
      </c>
      <c r="M106" s="504" t="inlineStr">
        <is>
          <t>CRIT DMG</t>
        </is>
      </c>
      <c r="N106" s="504" t="inlineStr">
        <is>
          <t>DMG</t>
        </is>
      </c>
      <c r="O106" s="504" t="inlineStr">
        <is>
          <t>DMG Reduc</t>
        </is>
      </c>
      <c r="P106" s="504" t="inlineStr">
        <is>
          <t>Hero DMG</t>
        </is>
      </c>
      <c r="Q106" s="504" t="inlineStr">
        <is>
          <t>ELMT DMG</t>
        </is>
      </c>
      <c r="R106" s="504" t="inlineStr">
        <is>
          <t>Alternatives</t>
        </is>
      </c>
      <c r="S106" s="1129" t="n"/>
      <c r="U106" s="444" t="n"/>
      <c r="V106" s="444" t="inlineStr">
        <is>
          <t>Boosted</t>
        </is>
      </c>
      <c r="W106" s="444" t="inlineStr">
        <is>
          <t>Damage</t>
        </is>
      </c>
    </row>
    <row r="107">
      <c r="A107" s="883" t="n"/>
      <c r="C107" s="507">
        <f>A81</f>
        <v/>
      </c>
      <c r="E107" s="508" t="inlineStr">
        <is>
          <t>FAME</t>
        </is>
      </c>
      <c r="F107" s="508" t="inlineStr">
        <is>
          <t>HARD</t>
        </is>
      </c>
      <c r="G107" s="515">
        <f>IFERROR(VLOOKUP($C107,$A$80:$R$100,4,FALSE),0)+IFERROR(VLOOKUP($C107,$A$80:$R$100,18,FALSE),0)</f>
        <v/>
      </c>
      <c r="H107" s="607">
        <f>IFERROR(VLOOKUP($C107,$A$80:$R$100,8,FALSE),0)+IFERROR(VLOOKUP(G107,$Y$2:$AA$50,2),0)</f>
        <v/>
      </c>
      <c r="I107" s="607">
        <f>IFERROR(VLOOKUP($C107,$A$80:$R$100,9,FALSE),0)+IFERROR(VLOOKUP(G107,$Y$2:$AA$50,2),0)</f>
        <v/>
      </c>
      <c r="J107" s="607">
        <f>IFERROR(VLOOKUP($C107,$A$80:$R$100,10,FALSE),0)+IFERROR(VLOOKUP(G107,$Y$2:$AA$50,2),0)</f>
        <v/>
      </c>
      <c r="K107" s="607">
        <f>IFERROR(VLOOKUP($C107,$A$80:$R$100,11,FALSE),0)+IFERROR(VLOOKUP(G107,$Y$2:$AA$50,2),0)</f>
        <v/>
      </c>
      <c r="L107" s="607">
        <f>XLOOKUP($C107,$A$80:$A$100,$L$80:$L$100,0)</f>
        <v/>
      </c>
      <c r="M107" s="607">
        <f>XLOOKUP($C107,$A$80:$A$100,$M$80:$M$100,0)</f>
        <v/>
      </c>
      <c r="N107" s="607">
        <f>XLOOKUP($C107,$A$80:$A$100,$N$80:$N$100,0)</f>
        <v/>
      </c>
      <c r="O107" s="607">
        <f>XLOOKUP($C107,$A$80:$A$100,$O$80:$O$100,0)</f>
        <v/>
      </c>
      <c r="P107" s="607">
        <f>XLOOKUP($C107,$A$80:$A$100,$P$80:$P$100,0)</f>
        <v/>
      </c>
      <c r="Q107" s="607">
        <f>XLOOKUP($C107,$A$80:$A$100,$Q$80:$Q$100,0)</f>
        <v/>
      </c>
      <c r="R107" s="592">
        <f>A82</f>
        <v/>
      </c>
      <c r="S107" s="1129" t="n"/>
      <c r="U107" s="444" t="inlineStr">
        <is>
          <t>Troop:</t>
        </is>
      </c>
      <c r="V107" s="444" t="n"/>
      <c r="W107" s="444" t="n"/>
    </row>
    <row r="108">
      <c r="C108" s="509">
        <f>A86</f>
        <v/>
      </c>
      <c r="D108" s="510" t="n"/>
      <c r="E108" s="520" t="inlineStr">
        <is>
          <t>ART</t>
        </is>
      </c>
      <c r="F108" s="520" t="inlineStr">
        <is>
          <t>HP</t>
        </is>
      </c>
      <c r="G108" s="512">
        <f>IFERROR(VLOOKUP($C108,$A$80:$R$100,4,FALSE),0)+IFERROR(VLOOKUP($C108,$A$80:$R$100,18,FALSE),0)</f>
        <v/>
      </c>
      <c r="H108" s="521">
        <f>IFERROR(VLOOKUP($C108,$A$80:$R$100,8,FALSE),0)+IFERROR(VLOOKUP($G108,$Y$2:$AA$50,3),0)</f>
        <v/>
      </c>
      <c r="I108" s="521">
        <f>XLOOKUP($C108,$A$80:$A$100,$I$80:$I$100,0)</f>
        <v/>
      </c>
      <c r="J108" s="521">
        <f>XLOOKUP($C108,$A$80:$A$100,$J$80:$J$100,0)</f>
        <v/>
      </c>
      <c r="K108" s="521">
        <f>XLOOKUP($C108,$A$80:$A$100,$K$80:$K$100,0)</f>
        <v/>
      </c>
      <c r="L108" s="521">
        <f>XLOOKUP($C108,$A$80:$A$100,$L$80:$L$100,0)</f>
        <v/>
      </c>
      <c r="M108" s="521">
        <f>XLOOKUP($C108,$A$80:$A$100,$M$80:$M$100,0)</f>
        <v/>
      </c>
      <c r="N108" s="521">
        <f>XLOOKUP($C108,$A$80:$A$100,$N$80:$N$100,0)</f>
        <v/>
      </c>
      <c r="O108" s="521">
        <f>XLOOKUP($C108,$A$80:$A$100,$O$80:$O$100,0)</f>
        <v/>
      </c>
      <c r="P108" s="521">
        <f>XLOOKUP($C108,$A$80:$A$100,$P$80:$P$100,0)</f>
        <v/>
      </c>
      <c r="Q108" s="521">
        <f>XLOOKUP($C108,$A$80:$A$100,$Q$80:$Q$100,0)</f>
        <v/>
      </c>
      <c r="R108" s="1132">
        <f>A84</f>
        <v/>
      </c>
      <c r="S108" s="1129" t="n"/>
      <c r="U108" s="444" t="inlineStr">
        <is>
          <t>ATK</t>
        </is>
      </c>
      <c r="V108" s="444">
        <f>$Z$66*(1+I112/100)</f>
        <v/>
      </c>
      <c r="W108" s="444">
        <f>((V108-$Z$73)*(V110+P112/100)*((V111/100)*V112 + (1-V111/100)*1)) + LOG(V108,5)*Q112*(V110+P112/100)</f>
        <v/>
      </c>
    </row>
    <row r="109">
      <c r="C109" s="507">
        <f>A90</f>
        <v/>
      </c>
      <c r="E109" s="508" t="inlineStr">
        <is>
          <t>FTH</t>
        </is>
      </c>
      <c r="F109" s="508" t="inlineStr">
        <is>
          <t>RUSH</t>
        </is>
      </c>
      <c r="G109" s="515" t="n">
        <v>57</v>
      </c>
      <c r="H109" s="607">
        <f>XLOOKUP($C109,$A$80:$A$100,$H$80:$H$100,0)</f>
        <v/>
      </c>
      <c r="I109" s="607">
        <f>XLOOKUP($C109,$A$80:$A$100,$I$80:$I$100,0)</f>
        <v/>
      </c>
      <c r="J109" s="607">
        <f>IFERROR(VLOOKUP($C109,$A$80:$R$100,10,FALSE),0)+IFERROR(VLOOKUP(G109,$Y$2:$AA$50,3),0)</f>
        <v/>
      </c>
      <c r="K109" s="607">
        <f>XLOOKUP($C109,$A$80:$A$100,$K$80:$K$100,0)</f>
        <v/>
      </c>
      <c r="L109" s="607">
        <f>XLOOKUP($C109,$A$80:$A$100,$L$80:$L$100,0)</f>
        <v/>
      </c>
      <c r="M109" s="607">
        <f>XLOOKUP($C109,$A$80:$A$100,$M$80:$M$100,0)</f>
        <v/>
      </c>
      <c r="N109" s="607">
        <f>XLOOKUP($C109,$A$80:$A$100,$N$80:$N$100,0)</f>
        <v/>
      </c>
      <c r="O109" s="607">
        <f>XLOOKUP($C109,$A$80:$A$100,$O$80:$O$100,0)</f>
        <v/>
      </c>
      <c r="P109" s="607">
        <f>XLOOKUP($C109,$A$80:$A$100,$P$80:$P$100,0)</f>
        <v/>
      </c>
      <c r="Q109" s="607">
        <f>XLOOKUP($C109,$A$80:$A$100,$Q$80:$Q$100,0)</f>
        <v/>
      </c>
      <c r="R109" s="592">
        <f>A83</f>
        <v/>
      </c>
      <c r="S109" s="1129" t="n"/>
      <c r="U109" s="444" t="inlineStr">
        <is>
          <t>RUSH</t>
        </is>
      </c>
      <c r="V109" s="444">
        <f>$Z$67*(1+J112/100)</f>
        <v/>
      </c>
      <c r="W109" s="444">
        <f>(V109-$Z$73)*(V110+P112/100)*((V111/100)*V112 + (1-V111/100)*1) + LOG(V109,5)*Q112*(V110+P112/100)</f>
        <v/>
      </c>
    </row>
    <row r="110">
      <c r="C110" s="509">
        <f>A91</f>
        <v/>
      </c>
      <c r="D110" s="510" t="n"/>
      <c r="E110" s="520" t="inlineStr">
        <is>
          <t>CIV</t>
        </is>
      </c>
      <c r="F110" s="520" t="inlineStr">
        <is>
          <t>ATK</t>
        </is>
      </c>
      <c r="G110" s="512">
        <f>IFERROR(VLOOKUP($C110,$A$80:$R$100,4,FALSE),0)+IFERROR(VLOOKUP($C110,$A$80:$R$100,18,FALSE),0)</f>
        <v/>
      </c>
      <c r="H110" s="521">
        <f>XLOOKUP($C110,$A$80:$A$100,$H$80:$H$100,0)</f>
        <v/>
      </c>
      <c r="I110" s="521">
        <f>IFERROR(VLOOKUP($C110,$A$80:$R$100,9,FALSE),0)+IFERROR(VLOOKUP(G110,$Y$2:$AA$50,3),0)</f>
        <v/>
      </c>
      <c r="J110" s="521">
        <f>XLOOKUP($C110,$A$80:$A$100,$J$80:$J$100,0)</f>
        <v/>
      </c>
      <c r="K110" s="521">
        <f>XLOOKUP($C110,$A$80:$A$100,$K$80:$K$100,0)</f>
        <v/>
      </c>
      <c r="L110" s="521">
        <f>XLOOKUP($C110,$A$80:$A$100,$L$80:$L$100,0)</f>
        <v/>
      </c>
      <c r="M110" s="521">
        <f>XLOOKUP($C110,$A$80:$A$100,$M$80:$M$100,0)</f>
        <v/>
      </c>
      <c r="N110" s="521">
        <f>XLOOKUP($C110,$A$80:$A$100,$N$80:$N$100,0)</f>
        <v/>
      </c>
      <c r="O110" s="521">
        <f>XLOOKUP($C110,$A$80:$A$100,$O$80:$O$100,0)</f>
        <v/>
      </c>
      <c r="P110" s="521">
        <f>XLOOKUP($C110,$A$80:$A$100,$P$80:$P$100,0)</f>
        <v/>
      </c>
      <c r="Q110" s="521">
        <f>XLOOKUP($C110,$A$80:$A$100,$Q$80:$Q$100,0)</f>
        <v/>
      </c>
      <c r="R110" s="1132">
        <f>A93</f>
        <v/>
      </c>
      <c r="S110" s="1129" t="n"/>
      <c r="U110" s="444" t="inlineStr">
        <is>
          <t>DMG%</t>
        </is>
      </c>
      <c r="V110" s="444">
        <f>(1+($Z$68+N112)/100)</f>
        <v/>
      </c>
      <c r="W110" s="444" t="n"/>
    </row>
    <row r="111">
      <c r="C111" s="516">
        <f>A97</f>
        <v/>
      </c>
      <c r="E111" s="517" t="inlineStr">
        <is>
          <t>TECH</t>
        </is>
      </c>
      <c r="F111" s="517" t="inlineStr">
        <is>
          <t>DEF</t>
        </is>
      </c>
      <c r="G111" s="518">
        <f>IFERROR(VLOOKUP($C111,$A$80:$R$100,4,FALSE),0)+IFERROR(VLOOKUP($C111,$A$80:$R$100,18,FALSE),0)</f>
        <v/>
      </c>
      <c r="H111" s="607">
        <f>XLOOKUP($C111,$A$80:$A$100,$H$80:$H$100,0)</f>
        <v/>
      </c>
      <c r="I111" s="607">
        <f>XLOOKUP($C111,$A$80:$A$100,$I$80:$I$100,0)</f>
        <v/>
      </c>
      <c r="J111" s="607">
        <f>XLOOKUP($C111,$A$80:$A$100,$J$80:$J$100,0)</f>
        <v/>
      </c>
      <c r="K111" s="607">
        <f>IFERROR(VLOOKUP($C111,$A$80:$R$100,11,FALSE),0)+IFERROR(VLOOKUP(G111,$Y$2:$AA$50,3),0)</f>
        <v/>
      </c>
      <c r="L111" s="607">
        <f>XLOOKUP($C111,$A$80:$A$100,$L$80:$L$100,0)</f>
        <v/>
      </c>
      <c r="M111" s="607">
        <f>XLOOKUP($C111,$A$80:$A$100,$M$80:$M$100,0)</f>
        <v/>
      </c>
      <c r="N111" s="607">
        <f>XLOOKUP($C111,$A$80:$A$100,$N$80:$N$100,0)</f>
        <v/>
      </c>
      <c r="O111" s="607">
        <f>XLOOKUP($C111,$A$80:$A$100,$O$80:$O$100,0)</f>
        <v/>
      </c>
      <c r="P111" s="607">
        <f>XLOOKUP($C111,$A$80:$A$100,$P$80:$P$100,0)</f>
        <v/>
      </c>
      <c r="Q111" s="607">
        <f>XLOOKUP($C111,$A$80:$A$100,$Q$80:$Q$100,0)</f>
        <v/>
      </c>
      <c r="R111" s="592" t="inlineStr">
        <is>
          <t>The Prince</t>
        </is>
      </c>
      <c r="S111" s="1129" t="n"/>
      <c r="U111" s="444" t="inlineStr">
        <is>
          <t>CRIT%</t>
        </is>
      </c>
      <c r="V111" s="444">
        <f>$Z$69+L112</f>
        <v/>
      </c>
      <c r="W111" s="444" t="n"/>
    </row>
    <row r="112">
      <c r="C112" s="519" t="inlineStr">
        <is>
          <t>Total</t>
        </is>
      </c>
      <c r="D112" s="510" t="n"/>
      <c r="E112" s="520" t="n"/>
      <c r="F112" s="520" t="n"/>
      <c r="G112" s="512" t="n"/>
      <c r="H112" s="521">
        <f>sum(H107:H111)</f>
        <v/>
      </c>
      <c r="I112" s="521">
        <f>sum(I107:I111)</f>
        <v/>
      </c>
      <c r="J112" s="521">
        <f>sum(J107:J111)</f>
        <v/>
      </c>
      <c r="K112" s="521">
        <f>sum(K107:K111)</f>
        <v/>
      </c>
      <c r="L112" s="521">
        <f>sum(L107:L111)</f>
        <v/>
      </c>
      <c r="M112" s="521">
        <f>sum(M107:M111)</f>
        <v/>
      </c>
      <c r="N112" s="521">
        <f>sum(N107:N111)</f>
        <v/>
      </c>
      <c r="O112" s="521">
        <f>sum(O107:O111)</f>
        <v/>
      </c>
      <c r="P112" s="521">
        <f>sum(P107:P111)</f>
        <v/>
      </c>
      <c r="Q112" s="521">
        <f>sum(Q107:Q111)</f>
        <v/>
      </c>
      <c r="R112" s="1132" t="n"/>
      <c r="S112" s="1129" t="n"/>
      <c r="U112" s="444" t="inlineStr">
        <is>
          <t>CRIT DMG%</t>
        </is>
      </c>
      <c r="V112" s="444">
        <f>1.5+($Z$70+M112)/100</f>
        <v/>
      </c>
      <c r="W112" s="444" t="n"/>
    </row>
    <row r="113">
      <c r="C113" s="593" t="inlineStr">
        <is>
          <t>Damage Per Round</t>
        </is>
      </c>
      <c r="D113" s="457" t="n"/>
      <c r="E113" s="476">
        <f>W108+W109</f>
        <v/>
      </c>
      <c r="F113" s="508" t="n"/>
      <c r="G113" s="515" t="n"/>
      <c r="H113" s="479" t="n"/>
      <c r="I113" s="479" t="n"/>
      <c r="J113" s="479" t="n"/>
      <c r="K113" s="479" t="n"/>
      <c r="L113" s="479" t="n"/>
      <c r="M113" s="479" t="n"/>
      <c r="N113" s="479" t="n"/>
      <c r="O113" s="479" t="n"/>
      <c r="P113" s="479" t="n"/>
      <c r="Q113" s="479" t="n"/>
      <c r="R113" s="479" t="n"/>
    </row>
    <row r="114"/>
    <row r="115"/>
    <row r="116"/>
    <row r="117"/>
    <row r="118"/>
    <row r="119">
      <c r="A119" s="357" t="inlineStr">
        <is>
          <t>Hamster</t>
        </is>
      </c>
      <c r="B119" s="406" t="n"/>
      <c r="C119" s="406" t="n"/>
      <c r="D119" s="967" t="inlineStr">
        <is>
          <t>Main AFFCT</t>
        </is>
      </c>
      <c r="E119" s="967" t="inlineStr">
        <is>
          <t>Stamp 1</t>
        </is>
      </c>
      <c r="F119" s="967" t="inlineStr">
        <is>
          <t>Stamp 2</t>
        </is>
      </c>
      <c r="G119" s="967" t="inlineStr">
        <is>
          <t>Stamp 3</t>
        </is>
      </c>
      <c r="H119" s="436" t="inlineStr">
        <is>
          <t>HP</t>
        </is>
      </c>
      <c r="I119" s="436" t="inlineStr">
        <is>
          <t>ATK</t>
        </is>
      </c>
      <c r="J119" s="436" t="inlineStr">
        <is>
          <t>RUSH</t>
        </is>
      </c>
      <c r="K119" s="436" t="inlineStr">
        <is>
          <t>DEF</t>
        </is>
      </c>
      <c r="L119" s="436" t="inlineStr">
        <is>
          <t>CRIT</t>
        </is>
      </c>
      <c r="M119" s="436" t="inlineStr">
        <is>
          <t>CRIT DMG</t>
        </is>
      </c>
      <c r="N119" s="436" t="inlineStr">
        <is>
          <t>DMG</t>
        </is>
      </c>
      <c r="O119" s="436" t="inlineStr">
        <is>
          <t>DMG Reduc</t>
        </is>
      </c>
      <c r="P119" s="436" t="inlineStr">
        <is>
          <t>Hero DMG</t>
        </is>
      </c>
      <c r="Q119" s="436" t="inlineStr">
        <is>
          <t>ELMT DMG</t>
        </is>
      </c>
      <c r="R119" s="436" t="inlineStr">
        <is>
          <t>AFFCT</t>
        </is>
      </c>
      <c r="S119" s="437" t="inlineStr">
        <is>
          <t>Source</t>
        </is>
      </c>
    </row>
    <row r="120">
      <c r="A120" s="434" t="inlineStr">
        <is>
          <t>INDIVIDUAL RELICS</t>
        </is>
      </c>
      <c r="B120" s="425" t="n"/>
      <c r="C120" s="425" t="n"/>
      <c r="D120" s="425" t="n"/>
      <c r="E120" s="425" t="n"/>
      <c r="F120" s="425" t="n"/>
      <c r="G120" s="425" t="n"/>
      <c r="S120" s="418" t="n"/>
    </row>
    <row r="121">
      <c r="A121" s="450" t="inlineStr">
        <is>
          <t>Book of Five Rings</t>
        </is>
      </c>
      <c r="B121" s="450" t="inlineStr">
        <is>
          <t>SSS</t>
        </is>
      </c>
      <c r="C121" s="450" t="inlineStr">
        <is>
          <t>FAME</t>
        </is>
      </c>
      <c r="D121" s="448" t="n">
        <v>109</v>
      </c>
      <c r="E121" s="448" t="inlineStr">
        <is>
          <t>FAME +15</t>
        </is>
      </c>
      <c r="F121" s="450" t="inlineStr">
        <is>
          <t>Earth DMG +60</t>
        </is>
      </c>
      <c r="G121" s="450" t="inlineStr">
        <is>
          <t>ATK +9%</t>
        </is>
      </c>
      <c r="H121" s="444" t="n"/>
      <c r="I121" s="444" t="n">
        <v>9</v>
      </c>
      <c r="J121" s="444" t="n"/>
      <c r="K121" s="444" t="n"/>
      <c r="L121" s="444" t="n"/>
      <c r="M121" s="444" t="n"/>
      <c r="N121" s="444" t="n"/>
      <c r="O121" s="444" t="n"/>
      <c r="P121" s="444" t="n"/>
      <c r="Q121" s="444" t="n">
        <v>60</v>
      </c>
      <c r="R121" s="444" t="n">
        <v>15</v>
      </c>
      <c r="S121" s="390" t="inlineStr">
        <is>
          <t>Lottery Machine No.3 (?%)</t>
        </is>
      </c>
    </row>
    <row r="122">
      <c r="A122" s="450" t="inlineStr">
        <is>
          <t>Lucy the Ape</t>
        </is>
      </c>
      <c r="B122" s="450" t="inlineStr">
        <is>
          <t>SSS</t>
        </is>
      </c>
      <c r="C122" s="450" t="inlineStr">
        <is>
          <t>FAME</t>
        </is>
      </c>
      <c r="D122" s="448" t="n">
        <v>109</v>
      </c>
      <c r="E122" s="448" t="inlineStr">
        <is>
          <t>FAME +15</t>
        </is>
      </c>
      <c r="F122" s="450" t="inlineStr">
        <is>
          <t>HP +9%</t>
        </is>
      </c>
      <c r="G122" s="450" t="inlineStr">
        <is>
          <t>Earth DMG +60</t>
        </is>
      </c>
      <c r="H122" s="444" t="n">
        <v>9</v>
      </c>
      <c r="I122" s="444" t="n"/>
      <c r="J122" s="444" t="n"/>
      <c r="K122" s="444" t="n"/>
      <c r="L122" s="444" t="n"/>
      <c r="M122" s="444" t="n"/>
      <c r="N122" s="444" t="n"/>
      <c r="O122" s="444" t="n"/>
      <c r="P122" s="444" t="n"/>
      <c r="Q122" s="444" t="n">
        <v>60</v>
      </c>
      <c r="R122" s="444" t="n">
        <v>15</v>
      </c>
      <c r="S122" s="386" t="inlineStr">
        <is>
          <t>Lottery Machine No.2 (0.11%), Wish Box #1</t>
        </is>
      </c>
    </row>
    <row r="123">
      <c r="A123" s="450" t="inlineStr">
        <is>
          <t>Grimmy Award</t>
        </is>
      </c>
      <c r="B123" s="450" t="inlineStr">
        <is>
          <t>SS</t>
        </is>
      </c>
      <c r="C123" s="450" t="inlineStr">
        <is>
          <t>FAME</t>
        </is>
      </c>
      <c r="D123" s="448" t="n">
        <v>104</v>
      </c>
      <c r="E123" s="448" t="inlineStr">
        <is>
          <t>AFFCT Checks -150</t>
        </is>
      </c>
      <c r="F123" s="448" t="inlineStr">
        <is>
          <t>HP +9%</t>
        </is>
      </c>
      <c r="G123" s="450" t="n"/>
      <c r="H123" s="444" t="n">
        <v>9</v>
      </c>
      <c r="I123" s="444" t="n"/>
      <c r="J123" s="444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386" t="inlineStr">
        <is>
          <t>Lottery Machine No.2 (?%)</t>
        </is>
      </c>
    </row>
    <row r="124">
      <c r="A124" s="447" t="inlineStr">
        <is>
          <t>The Prince</t>
        </is>
      </c>
      <c r="B124" s="447" t="inlineStr">
        <is>
          <t>SSS</t>
        </is>
      </c>
      <c r="C124" s="447" t="inlineStr">
        <is>
          <t>FAME</t>
        </is>
      </c>
      <c r="D124" s="445" t="n">
        <v>106</v>
      </c>
      <c r="E124" s="445" t="inlineStr">
        <is>
          <t>ATK +6%</t>
        </is>
      </c>
      <c r="F124" s="447" t="inlineStr">
        <is>
          <t>FAME +15</t>
        </is>
      </c>
      <c r="G124" s="447" t="inlineStr">
        <is>
          <t>CRIT DMG +6%</t>
        </is>
      </c>
      <c r="H124" s="897" t="n"/>
      <c r="I124" s="447" t="n">
        <v>6</v>
      </c>
      <c r="J124" s="447" t="n"/>
      <c r="K124" s="447" t="n"/>
      <c r="L124" s="447" t="n"/>
      <c r="M124" s="447" t="n">
        <v>6</v>
      </c>
      <c r="N124" s="447" t="n"/>
      <c r="O124" s="447" t="n"/>
      <c r="P124" s="447" t="n"/>
      <c r="Q124" s="447" t="n"/>
      <c r="R124" s="447" t="n">
        <v>15</v>
      </c>
      <c r="S124" s="418" t="inlineStr">
        <is>
          <t>Lottery Machine No. 2 (0.11%)</t>
        </is>
      </c>
    </row>
    <row r="125">
      <c r="A125" s="450" t="inlineStr">
        <is>
          <t>Cross of Lorraine</t>
        </is>
      </c>
      <c r="B125" s="450" t="inlineStr">
        <is>
          <t>SS</t>
        </is>
      </c>
      <c r="C125" s="450" t="inlineStr">
        <is>
          <t>FAME</t>
        </is>
      </c>
      <c r="D125" s="448" t="n">
        <v>104</v>
      </c>
      <c r="E125" s="448" t="inlineStr">
        <is>
          <t>FAME +15</t>
        </is>
      </c>
      <c r="F125" s="448" t="inlineStr">
        <is>
          <t>ATK +6%</t>
        </is>
      </c>
      <c r="G125" s="450" t="n"/>
      <c r="H125" s="449" t="n"/>
      <c r="I125" s="450" t="n">
        <v>6</v>
      </c>
      <c r="J125" s="450" t="n"/>
      <c r="K125" s="450" t="n"/>
      <c r="L125" s="450" t="n"/>
      <c r="M125" s="450" t="n"/>
      <c r="N125" s="450" t="n"/>
      <c r="O125" s="450" t="n"/>
      <c r="P125" s="450" t="n"/>
      <c r="Q125" s="450" t="n"/>
      <c r="R125" s="450" t="n">
        <v>15</v>
      </c>
      <c r="S125" s="418" t="inlineStr">
        <is>
          <t>Lottery Machine No. 2 (?%)</t>
        </is>
      </c>
    </row>
    <row r="126">
      <c r="A126" s="450" t="inlineStr">
        <is>
          <t>Ra-Hotep Couple</t>
        </is>
      </c>
      <c r="B126" s="450" t="inlineStr">
        <is>
          <t>SSS</t>
        </is>
      </c>
      <c r="C126" s="450" t="inlineStr">
        <is>
          <t>ART</t>
        </is>
      </c>
      <c r="D126" s="448" t="n">
        <v>106</v>
      </c>
      <c r="E126" s="448" t="inlineStr">
        <is>
          <t>Wind DMG +60</t>
        </is>
      </c>
      <c r="F126" s="450" t="inlineStr">
        <is>
          <t>CRIT DMG +9%</t>
        </is>
      </c>
      <c r="G126" s="450" t="inlineStr">
        <is>
          <t>Water DMG +60</t>
        </is>
      </c>
      <c r="H126" s="444" t="n"/>
      <c r="I126" s="444" t="n"/>
      <c r="J126" s="444" t="n"/>
      <c r="K126" s="444" t="n"/>
      <c r="L126" s="444" t="n"/>
      <c r="M126" s="444" t="n">
        <v>9</v>
      </c>
      <c r="N126" s="444" t="n"/>
      <c r="O126" s="444" t="n"/>
      <c r="P126" s="444" t="n"/>
      <c r="Q126" s="444" t="n">
        <v>120</v>
      </c>
      <c r="R126" s="444" t="n"/>
      <c r="S126" s="390" t="inlineStr">
        <is>
          <t>Daily Packs #48</t>
        </is>
      </c>
    </row>
    <row r="127">
      <c r="A127" s="450" t="inlineStr">
        <is>
          <t>Oxus Treasure</t>
        </is>
      </c>
      <c r="B127" s="450" t="inlineStr">
        <is>
          <t>SSS</t>
        </is>
      </c>
      <c r="C127" s="450" t="inlineStr">
        <is>
          <t>ART</t>
        </is>
      </c>
      <c r="D127" s="448" t="n">
        <v>108</v>
      </c>
      <c r="E127" s="448" t="inlineStr">
        <is>
          <t>CRIT +9%</t>
        </is>
      </c>
      <c r="F127" s="450" t="inlineStr">
        <is>
          <t>AFFCT Checks -150</t>
        </is>
      </c>
      <c r="G127" s="450" t="inlineStr">
        <is>
          <t>ART +15</t>
        </is>
      </c>
      <c r="H127" s="444" t="n"/>
      <c r="I127" s="444" t="n"/>
      <c r="J127" s="444" t="n"/>
      <c r="K127" s="444" t="n"/>
      <c r="L127" s="444" t="n">
        <v>9</v>
      </c>
      <c r="M127" s="444" t="n"/>
      <c r="N127" s="444" t="n"/>
      <c r="O127" s="444" t="n"/>
      <c r="P127" s="444" t="n"/>
      <c r="Q127" s="444" t="n"/>
      <c r="R127" s="444" t="n">
        <v>15</v>
      </c>
      <c r="S127" s="386" t="inlineStr">
        <is>
          <t>Lottery Machine No.2 (0.11%), Relic Forge (120 RF)</t>
        </is>
      </c>
    </row>
    <row r="128">
      <c r="A128" s="450" t="inlineStr">
        <is>
          <t>Veiled Lady</t>
        </is>
      </c>
      <c r="B128" s="450" t="inlineStr">
        <is>
          <t>SS</t>
        </is>
      </c>
      <c r="C128" s="450" t="inlineStr">
        <is>
          <t>ART</t>
        </is>
      </c>
      <c r="D128" s="448" t="n">
        <v>103</v>
      </c>
      <c r="E128" s="448" t="inlineStr">
        <is>
          <t>RUSH +9%</t>
        </is>
      </c>
      <c r="F128" s="450" t="inlineStr">
        <is>
          <t>ART +15</t>
        </is>
      </c>
      <c r="G128" s="450" t="n"/>
      <c r="H128" s="444" t="n"/>
      <c r="I128" s="444" t="n"/>
      <c r="J128" s="444" t="n">
        <v>9</v>
      </c>
      <c r="K128" s="444" t="n"/>
      <c r="L128" s="444" t="n"/>
      <c r="M128" s="444" t="n"/>
      <c r="N128" s="444" t="n"/>
      <c r="O128" s="444" t="n"/>
      <c r="P128" s="444" t="n"/>
      <c r="Q128" s="444" t="n"/>
      <c r="R128" s="444" t="n">
        <v>15</v>
      </c>
      <c r="S128" s="386" t="inlineStr">
        <is>
          <t>Lottery Machine No.2 (?%)</t>
        </is>
      </c>
    </row>
    <row r="129">
      <c r="A129" s="450" t="inlineStr">
        <is>
          <t>Suger's Eagle</t>
        </is>
      </c>
      <c r="B129" s="450" t="inlineStr">
        <is>
          <t>S</t>
        </is>
      </c>
      <c r="C129" s="450" t="inlineStr">
        <is>
          <t>ART</t>
        </is>
      </c>
      <c r="D129" s="448" t="n">
        <v>99</v>
      </c>
      <c r="E129" s="448" t="inlineStr">
        <is>
          <t>RUSH +9%</t>
        </is>
      </c>
      <c r="F129" s="450" t="n"/>
      <c r="G129" s="450" t="n"/>
      <c r="H129" s="444" t="n"/>
      <c r="I129" s="444" t="n"/>
      <c r="J129" s="444" t="n">
        <v>9</v>
      </c>
      <c r="K129" s="444" t="n"/>
      <c r="L129" s="444" t="n"/>
      <c r="M129" s="444" t="n"/>
      <c r="N129" s="444" t="n"/>
      <c r="O129" s="444" t="n"/>
      <c r="P129" s="444" t="n"/>
      <c r="Q129" s="444" t="n"/>
      <c r="R129" s="444" t="n"/>
      <c r="S129" s="386" t="inlineStr">
        <is>
          <t>Lottery Machine No.2 (?%)</t>
        </is>
      </c>
    </row>
    <row r="130">
      <c r="A130" s="450" t="inlineStr">
        <is>
          <t>Last Self Portrait</t>
        </is>
      </c>
      <c r="B130" s="450" t="inlineStr">
        <is>
          <t>SSS</t>
        </is>
      </c>
      <c r="C130" s="450" t="inlineStr">
        <is>
          <t>ART</t>
        </is>
      </c>
      <c r="D130" s="448" t="n">
        <v>107</v>
      </c>
      <c r="E130" s="448" t="inlineStr">
        <is>
          <t>ART +15</t>
        </is>
      </c>
      <c r="F130" s="450" t="inlineStr">
        <is>
          <t>Earth DMG +60</t>
        </is>
      </c>
      <c r="G130" s="450" t="inlineStr">
        <is>
          <t>HP +9%</t>
        </is>
      </c>
      <c r="H130" s="444" t="n">
        <v>9</v>
      </c>
      <c r="I130" s="444" t="n"/>
      <c r="J130" s="444" t="n"/>
      <c r="K130" s="444" t="n"/>
      <c r="L130" s="444" t="n"/>
      <c r="M130" s="444" t="n"/>
      <c r="N130" s="444" t="n"/>
      <c r="O130" s="444" t="n"/>
      <c r="P130" s="444" t="n"/>
      <c r="Q130" s="444" t="n">
        <v>60</v>
      </c>
      <c r="R130" s="444" t="n">
        <v>15</v>
      </c>
      <c r="S130" s="386" t="inlineStr">
        <is>
          <t>Daily Packs #15</t>
        </is>
      </c>
    </row>
    <row r="131">
      <c r="A131" s="450" t="inlineStr">
        <is>
          <t>Panther Brooch</t>
        </is>
      </c>
      <c r="B131" s="450" t="inlineStr">
        <is>
          <t>SS</t>
        </is>
      </c>
      <c r="C131" s="450" t="inlineStr">
        <is>
          <t>ART</t>
        </is>
      </c>
      <c r="D131" s="448" t="n">
        <v>102</v>
      </c>
      <c r="E131" s="448" t="inlineStr">
        <is>
          <t>AFFCT Checks -150</t>
        </is>
      </c>
      <c r="F131" s="450" t="inlineStr">
        <is>
          <t>Earth DMG +60</t>
        </is>
      </c>
      <c r="G131" s="450" t="n"/>
      <c r="H131" s="444" t="n"/>
      <c r="I131" s="444" t="n"/>
      <c r="J131" s="444" t="n"/>
      <c r="K131" s="444" t="n"/>
      <c r="L131" s="444" t="n"/>
      <c r="M131" s="444" t="n"/>
      <c r="N131" s="444" t="n"/>
      <c r="O131" s="444" t="n"/>
      <c r="P131" s="444" t="n"/>
      <c r="Q131" s="444" t="n">
        <v>60</v>
      </c>
      <c r="R131" s="444" t="n"/>
      <c r="S131" s="386" t="inlineStr">
        <is>
          <t>Lottery Machine No.2 (?%)</t>
        </is>
      </c>
    </row>
    <row r="132">
      <c r="A132" s="450" t="inlineStr">
        <is>
          <t>Woman at Her Toilette</t>
        </is>
      </c>
      <c r="B132" s="450" t="inlineStr">
        <is>
          <t>SSS</t>
        </is>
      </c>
      <c r="C132" s="450" t="inlineStr">
        <is>
          <t>ART</t>
        </is>
      </c>
      <c r="D132" s="448" t="n">
        <v>109</v>
      </c>
      <c r="E132" s="448" t="inlineStr">
        <is>
          <t>ATK +6%</t>
        </is>
      </c>
      <c r="F132" s="450" t="inlineStr">
        <is>
          <t>RUSH +6%</t>
        </is>
      </c>
      <c r="G132" s="450" t="inlineStr">
        <is>
          <t>ART +15</t>
        </is>
      </c>
      <c r="H132" s="444" t="n"/>
      <c r="I132" s="444" t="n">
        <v>6</v>
      </c>
      <c r="J132" s="444" t="n">
        <v>6</v>
      </c>
      <c r="K132" s="444" t="n"/>
      <c r="L132" s="444" t="n"/>
      <c r="M132" s="444" t="n"/>
      <c r="N132" s="444" t="n"/>
      <c r="O132" s="444" t="n"/>
      <c r="P132" s="444" t="n"/>
      <c r="Q132" s="444" t="n"/>
      <c r="R132" s="444" t="n">
        <v>15</v>
      </c>
      <c r="S132" s="418" t="inlineStr">
        <is>
          <t>Minion Skin Lottery</t>
        </is>
      </c>
    </row>
    <row r="133">
      <c r="A133" s="450" t="inlineStr">
        <is>
          <t>Seated Voltaire</t>
        </is>
      </c>
      <c r="B133" s="450" t="inlineStr">
        <is>
          <t>SSS</t>
        </is>
      </c>
      <c r="C133" s="450" t="inlineStr">
        <is>
          <t>ART</t>
        </is>
      </c>
      <c r="D133" s="448" t="n">
        <v>106</v>
      </c>
      <c r="E133" s="448" t="inlineStr">
        <is>
          <t>DEF +6%</t>
        </is>
      </c>
      <c r="F133" s="450" t="inlineStr">
        <is>
          <t>ART +15</t>
        </is>
      </c>
      <c r="G133" s="450" t="inlineStr">
        <is>
          <t>Wind DMG +30</t>
        </is>
      </c>
      <c r="H133" s="449" t="n"/>
      <c r="I133" s="450" t="n"/>
      <c r="J133" s="450" t="n"/>
      <c r="K133" s="450" t="n">
        <v>6</v>
      </c>
      <c r="L133" s="450" t="n"/>
      <c r="M133" s="450" t="n"/>
      <c r="N133" s="450" t="n"/>
      <c r="O133" s="450" t="n"/>
      <c r="P133" s="450" t="n"/>
      <c r="Q133" s="450" t="n">
        <v>30</v>
      </c>
      <c r="R133" s="450" t="n">
        <v>15</v>
      </c>
      <c r="S133" s="418" t="inlineStr">
        <is>
          <t>Wish Box Relic Album</t>
        </is>
      </c>
    </row>
    <row r="134">
      <c r="A134" s="450" t="inlineStr">
        <is>
          <t>Throne of St. Peter</t>
        </is>
      </c>
      <c r="B134" s="450" t="inlineStr">
        <is>
          <t>SSS</t>
        </is>
      </c>
      <c r="C134" s="450" t="inlineStr">
        <is>
          <t>FTH</t>
        </is>
      </c>
      <c r="D134" s="448" t="n">
        <v>109</v>
      </c>
      <c r="E134" s="448" t="inlineStr">
        <is>
          <t>DEF +9%</t>
        </is>
      </c>
      <c r="F134" s="450" t="inlineStr">
        <is>
          <t>Fire DMG +60</t>
        </is>
      </c>
      <c r="G134" s="450" t="inlineStr">
        <is>
          <t>Wind DMG +60</t>
        </is>
      </c>
      <c r="H134" s="444" t="n"/>
      <c r="I134" s="444" t="n"/>
      <c r="J134" s="444" t="n"/>
      <c r="K134" s="444" t="n">
        <v>9</v>
      </c>
      <c r="L134" s="444" t="n"/>
      <c r="M134" s="444" t="n"/>
      <c r="N134" s="444" t="n"/>
      <c r="O134" s="444" t="n"/>
      <c r="P134" s="444" t="n"/>
      <c r="Q134" s="444" t="n">
        <v>120</v>
      </c>
      <c r="R134" s="444" t="n"/>
      <c r="S134" s="386" t="inlineStr">
        <is>
          <t>Lottery Machine No.3 (0.12%)</t>
        </is>
      </c>
    </row>
    <row r="135">
      <c r="A135" s="450" t="inlineStr">
        <is>
          <t>Orphic Egg</t>
        </is>
      </c>
      <c r="B135" s="450" t="inlineStr">
        <is>
          <t>SSS</t>
        </is>
      </c>
      <c r="C135" s="450" t="inlineStr">
        <is>
          <t>FTH</t>
        </is>
      </c>
      <c r="D135" s="448" t="n">
        <v>107</v>
      </c>
      <c r="E135" s="448" t="inlineStr">
        <is>
          <t>HP +9%</t>
        </is>
      </c>
      <c r="F135" s="450" t="inlineStr">
        <is>
          <t>FTH +15</t>
        </is>
      </c>
      <c r="G135" s="450" t="inlineStr">
        <is>
          <t>DMG REDUC +6%</t>
        </is>
      </c>
      <c r="H135" s="444" t="n">
        <v>9</v>
      </c>
      <c r="I135" s="444" t="n"/>
      <c r="J135" s="444" t="n"/>
      <c r="K135" s="444" t="n"/>
      <c r="L135" s="444" t="n"/>
      <c r="M135" s="444" t="n"/>
      <c r="N135" s="444" t="n"/>
      <c r="O135" s="444" t="n">
        <v>6</v>
      </c>
      <c r="P135" s="444" t="n"/>
      <c r="Q135" s="444" t="n"/>
      <c r="R135" s="444" t="n">
        <v>15</v>
      </c>
      <c r="S135" s="386" t="inlineStr">
        <is>
          <t>Lottery Machine No.2 (0.11%), Relic Forge (120 RF)</t>
        </is>
      </c>
    </row>
    <row r="136">
      <c r="A136" s="450" t="inlineStr">
        <is>
          <t>Silmarils</t>
        </is>
      </c>
      <c r="B136" s="450" t="inlineStr">
        <is>
          <t>SS</t>
        </is>
      </c>
      <c r="C136" s="450" t="inlineStr">
        <is>
          <t>FTH</t>
        </is>
      </c>
      <c r="D136" s="448" t="n">
        <v>101</v>
      </c>
      <c r="E136" s="448" t="inlineStr">
        <is>
          <t>ATK +9%</t>
        </is>
      </c>
      <c r="F136" s="450" t="inlineStr">
        <is>
          <t>FTH +15</t>
        </is>
      </c>
      <c r="G136" s="450" t="n"/>
      <c r="H136" s="444" t="n"/>
      <c r="I136" s="444" t="n">
        <v>9</v>
      </c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4" t="n">
        <v>15</v>
      </c>
      <c r="S136" s="386" t="inlineStr">
        <is>
          <t>Lottery Machine No.2 (?%)</t>
        </is>
      </c>
    </row>
    <row r="137">
      <c r="A137" s="450" t="inlineStr">
        <is>
          <t>R'lyeh Text</t>
        </is>
      </c>
      <c r="B137" s="450" t="inlineStr">
        <is>
          <t>SS</t>
        </is>
      </c>
      <c r="C137" s="450" t="inlineStr">
        <is>
          <t>FTH</t>
        </is>
      </c>
      <c r="D137" s="448" t="n">
        <v>105</v>
      </c>
      <c r="E137" s="448" t="inlineStr">
        <is>
          <t>Hero DMG +6%</t>
        </is>
      </c>
      <c r="F137" s="450" t="n"/>
      <c r="G137" s="450" t="n"/>
      <c r="H137" s="444" t="n"/>
      <c r="I137" s="444" t="n"/>
      <c r="J137" s="444" t="n"/>
      <c r="K137" s="444" t="n"/>
      <c r="L137" s="444" t="n"/>
      <c r="M137" s="444" t="n"/>
      <c r="N137" s="444" t="n"/>
      <c r="O137" s="444" t="n"/>
      <c r="P137" s="444" t="n">
        <v>6</v>
      </c>
      <c r="Q137" s="444" t="n"/>
      <c r="R137" s="444" t="n"/>
      <c r="S137" s="386" t="inlineStr">
        <is>
          <t>Lottery Machine No.2 (?%)</t>
        </is>
      </c>
    </row>
    <row r="138">
      <c r="A138" s="450" t="inlineStr">
        <is>
          <t>Lamassu Statue</t>
        </is>
      </c>
      <c r="B138" s="450" t="inlineStr">
        <is>
          <t>S</t>
        </is>
      </c>
      <c r="C138" s="450" t="inlineStr">
        <is>
          <t>FTH</t>
        </is>
      </c>
      <c r="D138" s="448" t="n">
        <v>97</v>
      </c>
      <c r="E138" s="448" t="inlineStr">
        <is>
          <t>ATK +9%</t>
        </is>
      </c>
      <c r="F138" s="450" t="n"/>
      <c r="G138" s="450" t="n"/>
      <c r="H138" s="444" t="n"/>
      <c r="I138" s="444" t="n">
        <v>9</v>
      </c>
      <c r="J138" s="444" t="n"/>
      <c r="K138" s="444" t="n"/>
      <c r="L138" s="444" t="n"/>
      <c r="M138" s="444" t="n"/>
      <c r="N138" s="444" t="n"/>
      <c r="O138" s="444" t="n"/>
      <c r="P138" s="444" t="n"/>
      <c r="Q138" s="444" t="n"/>
      <c r="R138" s="444" t="n"/>
      <c r="S138" s="386" t="inlineStr">
        <is>
          <t>Lottery Machine No.2 (?%)</t>
        </is>
      </c>
    </row>
    <row r="139">
      <c r="A139" s="450" t="inlineStr">
        <is>
          <t>Dream Stele</t>
        </is>
      </c>
      <c r="B139" s="450" t="inlineStr">
        <is>
          <t>SS</t>
        </is>
      </c>
      <c r="C139" s="450" t="inlineStr">
        <is>
          <t>FTH</t>
        </is>
      </c>
      <c r="D139" s="448" t="n">
        <v>102</v>
      </c>
      <c r="E139" s="448" t="inlineStr">
        <is>
          <t>Wind DMG +60</t>
        </is>
      </c>
      <c r="F139" s="450" t="n"/>
      <c r="G139" s="450" t="n"/>
      <c r="H139" s="444" t="n"/>
      <c r="I139" s="444" t="n"/>
      <c r="J139" s="444" t="n"/>
      <c r="K139" s="444" t="n"/>
      <c r="L139" s="444" t="n"/>
      <c r="M139" s="444" t="n"/>
      <c r="N139" s="444" t="n"/>
      <c r="O139" s="444" t="n"/>
      <c r="P139" s="444" t="n"/>
      <c r="Q139" s="444" t="n">
        <v>60</v>
      </c>
      <c r="R139" s="444" t="n"/>
      <c r="S139" s="386" t="inlineStr">
        <is>
          <t>Lottery Machine No.2 (?%)</t>
        </is>
      </c>
    </row>
    <row r="140">
      <c r="A140" s="450" t="inlineStr">
        <is>
          <t>Enuma Elish</t>
        </is>
      </c>
      <c r="B140" s="450" t="inlineStr">
        <is>
          <t>SSS</t>
        </is>
      </c>
      <c r="C140" s="450" t="inlineStr">
        <is>
          <t>FTH</t>
        </is>
      </c>
      <c r="D140" s="448" t="n">
        <v>107</v>
      </c>
      <c r="E140" s="448" t="inlineStr">
        <is>
          <t>FTH +15</t>
        </is>
      </c>
      <c r="F140" s="450" t="inlineStr">
        <is>
          <t>ATK +6%</t>
        </is>
      </c>
      <c r="G140" s="450" t="inlineStr">
        <is>
          <t>RUSH +6%</t>
        </is>
      </c>
      <c r="H140" s="449" t="n"/>
      <c r="I140" s="450" t="n">
        <v>6</v>
      </c>
      <c r="J140" s="450" t="n">
        <v>6</v>
      </c>
      <c r="K140" s="450" t="n"/>
      <c r="L140" s="450" t="n"/>
      <c r="M140" s="450" t="n"/>
      <c r="N140" s="450" t="n"/>
      <c r="O140" s="450" t="n"/>
      <c r="P140" s="450" t="n"/>
      <c r="Q140" s="450" t="n"/>
      <c r="R140" s="450" t="n">
        <v>15</v>
      </c>
      <c r="S140" s="418" t="inlineStr">
        <is>
          <t>Lottery Machine No. 2 (0.11%)</t>
        </is>
      </c>
    </row>
    <row r="141">
      <c r="A141" s="450" t="inlineStr">
        <is>
          <t>Aeneid</t>
        </is>
      </c>
      <c r="B141" s="450" t="inlineStr">
        <is>
          <t>SSS</t>
        </is>
      </c>
      <c r="C141" s="450" t="inlineStr">
        <is>
          <t>CIV</t>
        </is>
      </c>
      <c r="D141" s="448" t="n">
        <v>109</v>
      </c>
      <c r="E141" s="448" t="inlineStr">
        <is>
          <t>Hero DMG +6%</t>
        </is>
      </c>
      <c r="F141" s="448" t="inlineStr">
        <is>
          <t>CIV +15</t>
        </is>
      </c>
      <c r="G141" s="450" t="inlineStr">
        <is>
          <t>CRIT DMG +9%</t>
        </is>
      </c>
      <c r="H141" s="444" t="n"/>
      <c r="I141" s="444" t="n"/>
      <c r="J141" s="444" t="n"/>
      <c r="K141" s="444" t="n"/>
      <c r="L141" s="444" t="n"/>
      <c r="M141" s="444" t="n">
        <v>9</v>
      </c>
      <c r="N141" s="444" t="n"/>
      <c r="O141" s="444" t="n"/>
      <c r="P141" s="444" t="n">
        <v>6</v>
      </c>
      <c r="Q141" s="444" t="n"/>
      <c r="R141" s="444" t="n">
        <v>15</v>
      </c>
      <c r="S141" s="386" t="inlineStr">
        <is>
          <t>Lottery Machine No.2 (0.12%), Relic Forge (120 RF)</t>
        </is>
      </c>
    </row>
    <row r="142">
      <c r="A142" s="450" t="inlineStr">
        <is>
          <t>Epitaph of Sikelos</t>
        </is>
      </c>
      <c r="B142" s="450" t="inlineStr">
        <is>
          <t>SSS</t>
        </is>
      </c>
      <c r="C142" s="450" t="inlineStr">
        <is>
          <t>CIV</t>
        </is>
      </c>
      <c r="D142" s="448" t="n">
        <v>108</v>
      </c>
      <c r="E142" s="448" t="inlineStr">
        <is>
          <t>CIV +15</t>
        </is>
      </c>
      <c r="F142" s="448" t="inlineStr">
        <is>
          <t>ATK +9%</t>
        </is>
      </c>
      <c r="G142" s="450" t="inlineStr">
        <is>
          <t>HP +9%</t>
        </is>
      </c>
      <c r="H142" s="444" t="n">
        <v>9</v>
      </c>
      <c r="I142" s="444" t="n">
        <v>9</v>
      </c>
      <c r="J142" s="444" t="n"/>
      <c r="K142" s="444" t="n"/>
      <c r="L142" s="444" t="n"/>
      <c r="M142" s="444" t="n"/>
      <c r="N142" s="444" t="n"/>
      <c r="O142" s="444" t="n"/>
      <c r="P142" s="444" t="n"/>
      <c r="Q142" s="444" t="n"/>
      <c r="R142" s="444" t="n">
        <v>15</v>
      </c>
      <c r="S142" s="390" t="inlineStr">
        <is>
          <t>Lottery Machine No.3 (?%)</t>
        </is>
      </c>
    </row>
    <row r="143">
      <c r="A143" s="450" t="inlineStr">
        <is>
          <t>Eight Proposals</t>
        </is>
      </c>
      <c r="B143" s="450" t="inlineStr">
        <is>
          <t>SS</t>
        </is>
      </c>
      <c r="C143" s="450" t="inlineStr">
        <is>
          <t>CIV</t>
        </is>
      </c>
      <c r="D143" s="448" t="n">
        <v>102</v>
      </c>
      <c r="E143" s="448" t="inlineStr">
        <is>
          <t>AFFCT Checks -150</t>
        </is>
      </c>
      <c r="F143" s="448" t="inlineStr">
        <is>
          <t>HP +9%</t>
        </is>
      </c>
      <c r="G143" s="450" t="n"/>
      <c r="H143" s="444" t="n">
        <v>9</v>
      </c>
      <c r="I143" s="444" t="n"/>
      <c r="J143" s="444" t="n"/>
      <c r="K143" s="444" t="n"/>
      <c r="L143" s="444" t="n"/>
      <c r="M143" s="444" t="n"/>
      <c r="N143" s="444" t="n"/>
      <c r="O143" s="444" t="n"/>
      <c r="P143" s="444" t="n"/>
      <c r="Q143" s="444" t="n"/>
      <c r="R143" s="444" t="n"/>
      <c r="S143" s="386" t="inlineStr">
        <is>
          <t>Lottery Machine No.2 (?%)</t>
        </is>
      </c>
    </row>
    <row r="144">
      <c r="A144" s="450" t="inlineStr">
        <is>
          <t>Trajan's Column</t>
        </is>
      </c>
      <c r="B144" s="450" t="inlineStr">
        <is>
          <t>SS</t>
        </is>
      </c>
      <c r="C144" s="450" t="inlineStr">
        <is>
          <t>CIV</t>
        </is>
      </c>
      <c r="D144" s="448" t="n">
        <v>101</v>
      </c>
      <c r="E144" s="448" t="inlineStr">
        <is>
          <t>HP +6%</t>
        </is>
      </c>
      <c r="F144" s="448" t="inlineStr">
        <is>
          <t>HP +9%</t>
        </is>
      </c>
      <c r="G144" s="450" t="n"/>
      <c r="H144" s="444" t="n">
        <v>15</v>
      </c>
      <c r="I144" s="444" t="n"/>
      <c r="J144" s="444" t="n"/>
      <c r="K144" s="444" t="n"/>
      <c r="L144" s="444" t="n"/>
      <c r="M144" s="444" t="n"/>
      <c r="N144" s="444" t="n"/>
      <c r="O144" s="444" t="n"/>
      <c r="P144" s="444" t="n"/>
      <c r="Q144" s="444" t="n"/>
      <c r="R144" s="444" t="n"/>
      <c r="S144" s="386" t="inlineStr">
        <is>
          <t>Lottery Machine No.2 (?%)</t>
        </is>
      </c>
    </row>
    <row r="145">
      <c r="A145" s="450" t="inlineStr">
        <is>
          <t>Palermo Stone</t>
        </is>
      </c>
      <c r="B145" s="450" t="inlineStr">
        <is>
          <t>S</t>
        </is>
      </c>
      <c r="C145" s="450" t="inlineStr">
        <is>
          <t>CIV</t>
        </is>
      </c>
      <c r="D145" s="448" t="n">
        <v>96</v>
      </c>
      <c r="E145" s="448" t="inlineStr">
        <is>
          <t>HP +9%</t>
        </is>
      </c>
      <c r="F145" s="448" t="n"/>
      <c r="G145" s="450" t="n"/>
      <c r="H145" s="444" t="n">
        <v>9</v>
      </c>
      <c r="I145" s="444" t="n"/>
      <c r="J145" s="444" t="n"/>
      <c r="K145" s="444" t="n"/>
      <c r="L145" s="444" t="n"/>
      <c r="M145" s="444" t="n"/>
      <c r="N145" s="444" t="n"/>
      <c r="O145" s="444" t="n"/>
      <c r="P145" s="444" t="n"/>
      <c r="Q145" s="444" t="n"/>
      <c r="R145" s="444" t="n"/>
      <c r="S145" s="386" t="inlineStr">
        <is>
          <t>Lottery Machine No.2 (?%), Rift Treasure Maps (5%)</t>
        </is>
      </c>
    </row>
    <row r="146">
      <c r="A146" s="450" t="inlineStr">
        <is>
          <t>Harem Wall Painting</t>
        </is>
      </c>
      <c r="B146" s="450" t="inlineStr">
        <is>
          <t>SS</t>
        </is>
      </c>
      <c r="C146" s="450" t="inlineStr">
        <is>
          <t>CIV</t>
        </is>
      </c>
      <c r="D146" s="448" t="n">
        <v>106</v>
      </c>
      <c r="E146" s="448" t="inlineStr">
        <is>
          <t>CIV +15</t>
        </is>
      </c>
      <c r="F146" s="448" t="inlineStr">
        <is>
          <t>RUSH +6%</t>
        </is>
      </c>
      <c r="G146" s="450" t="n"/>
      <c r="H146" s="449" t="n"/>
      <c r="I146" s="450" t="n"/>
      <c r="J146" s="450" t="n">
        <v>6</v>
      </c>
      <c r="K146" s="450" t="n"/>
      <c r="L146" s="450" t="n"/>
      <c r="M146" s="450" t="n"/>
      <c r="N146" s="450" t="n"/>
      <c r="O146" s="450" t="n"/>
      <c r="P146" s="450" t="n"/>
      <c r="Q146" s="450" t="n"/>
      <c r="R146" s="450" t="n">
        <v>15</v>
      </c>
      <c r="S146" s="418" t="inlineStr">
        <is>
          <t>Lottery Machine No. 2 (?%)</t>
        </is>
      </c>
    </row>
    <row r="147">
      <c r="A147" s="450" t="inlineStr">
        <is>
          <t>Volsunga Saga</t>
        </is>
      </c>
      <c r="B147" s="450" t="inlineStr">
        <is>
          <t>SSS</t>
        </is>
      </c>
      <c r="C147" s="450" t="inlineStr">
        <is>
          <t>CIV</t>
        </is>
      </c>
      <c r="D147" s="448" t="n">
        <v>109</v>
      </c>
      <c r="E147" s="448" t="inlineStr">
        <is>
          <t>CIV +15</t>
        </is>
      </c>
      <c r="F147" s="448" t="inlineStr">
        <is>
          <t>ATK +9%</t>
        </is>
      </c>
      <c r="G147" s="450" t="inlineStr">
        <is>
          <t>DEF +9%</t>
        </is>
      </c>
      <c r="H147" s="444" t="n"/>
      <c r="I147" s="444" t="n">
        <v>9</v>
      </c>
      <c r="J147" s="444" t="n"/>
      <c r="K147" s="444" t="n">
        <v>9</v>
      </c>
      <c r="L147" s="444" t="n"/>
      <c r="M147" s="444" t="n"/>
      <c r="N147" s="444" t="n"/>
      <c r="O147" s="444" t="n"/>
      <c r="P147" s="444" t="n"/>
      <c r="Q147" s="444" t="n"/>
      <c r="R147" s="444" t="n">
        <v>15</v>
      </c>
      <c r="S147" s="390" t="inlineStr">
        <is>
          <t>Gold Pack #6</t>
        </is>
      </c>
    </row>
    <row r="148">
      <c r="A148" s="450" t="inlineStr">
        <is>
          <t>The King in Yellow</t>
        </is>
      </c>
      <c r="B148" s="450" t="inlineStr">
        <is>
          <t>SSS</t>
        </is>
      </c>
      <c r="C148" s="450" t="inlineStr">
        <is>
          <t>TECH</t>
        </is>
      </c>
      <c r="D148" s="448" t="n">
        <v>109</v>
      </c>
      <c r="E148" s="448" t="inlineStr">
        <is>
          <t>TECH +15</t>
        </is>
      </c>
      <c r="F148" s="448" t="inlineStr">
        <is>
          <t>CRIT +9%</t>
        </is>
      </c>
      <c r="G148" s="450" t="inlineStr">
        <is>
          <t>CRIT DMG +9%</t>
        </is>
      </c>
      <c r="H148" s="444" t="n"/>
      <c r="I148" s="444" t="n"/>
      <c r="J148" s="444" t="n"/>
      <c r="K148" s="444" t="n"/>
      <c r="L148" s="444" t="n">
        <v>9</v>
      </c>
      <c r="M148" s="444" t="n">
        <v>9</v>
      </c>
      <c r="N148" s="444" t="n"/>
      <c r="O148" s="444" t="n"/>
      <c r="P148" s="444" t="n"/>
      <c r="Q148" s="444" t="n"/>
      <c r="R148" s="444" t="n">
        <v>15</v>
      </c>
      <c r="S148" s="390" t="inlineStr">
        <is>
          <t>Gold Pack #7</t>
        </is>
      </c>
    </row>
    <row r="149">
      <c r="A149" s="450" t="inlineStr">
        <is>
          <t>Wilford's Engine</t>
        </is>
      </c>
      <c r="B149" s="450" t="inlineStr">
        <is>
          <t>SSS</t>
        </is>
      </c>
      <c r="C149" s="450" t="inlineStr">
        <is>
          <t>TECH</t>
        </is>
      </c>
      <c r="D149" s="448" t="n">
        <v>109</v>
      </c>
      <c r="E149" s="448" t="inlineStr">
        <is>
          <t>TECH +15</t>
        </is>
      </c>
      <c r="F149" s="448" t="inlineStr">
        <is>
          <t>Fire DMG +60</t>
        </is>
      </c>
      <c r="G149" s="450" t="inlineStr">
        <is>
          <t>RUSH +9%</t>
        </is>
      </c>
      <c r="H149" s="444" t="n"/>
      <c r="I149" s="444" t="n"/>
      <c r="J149" s="444" t="n">
        <v>9</v>
      </c>
      <c r="K149" s="444" t="n"/>
      <c r="L149" s="444" t="n"/>
      <c r="M149" s="444" t="n"/>
      <c r="N149" s="444" t="n"/>
      <c r="O149" s="444" t="n"/>
      <c r="P149" s="444" t="n"/>
      <c r="Q149" s="444" t="n">
        <v>60</v>
      </c>
      <c r="R149" s="444" t="n">
        <v>15</v>
      </c>
      <c r="S149" s="386" t="inlineStr">
        <is>
          <t>Lottery Machine No.2 (0.11%), Relic Forge (120 RF)</t>
        </is>
      </c>
    </row>
    <row r="150">
      <c r="A150" s="450" t="inlineStr">
        <is>
          <t>Rods from God</t>
        </is>
      </c>
      <c r="B150" s="450" t="inlineStr">
        <is>
          <t>SSS</t>
        </is>
      </c>
      <c r="C150" s="450" t="inlineStr">
        <is>
          <t>TECH</t>
        </is>
      </c>
      <c r="D150" s="448" t="n">
        <v>107</v>
      </c>
      <c r="E150" s="448" t="inlineStr">
        <is>
          <t>TECH +15</t>
        </is>
      </c>
      <c r="F150" s="448" t="inlineStr">
        <is>
          <t>DEF +9%</t>
        </is>
      </c>
      <c r="G150" s="450" t="inlineStr">
        <is>
          <t>DMG REDUC +6%</t>
        </is>
      </c>
      <c r="H150" s="444" t="n"/>
      <c r="I150" s="444" t="n"/>
      <c r="J150" s="444" t="n"/>
      <c r="K150" s="444" t="n">
        <v>9</v>
      </c>
      <c r="L150" s="444" t="n"/>
      <c r="M150" s="444" t="n"/>
      <c r="N150" s="444" t="n"/>
      <c r="O150" s="444" t="n">
        <v>6</v>
      </c>
      <c r="P150" s="444" t="n"/>
      <c r="Q150" s="444" t="n"/>
      <c r="R150" s="444" t="n">
        <v>15</v>
      </c>
      <c r="S150" s="386" t="inlineStr">
        <is>
          <t>Lottery Machine No.3 (0.12%)</t>
        </is>
      </c>
    </row>
    <row r="151">
      <c r="A151" s="450" t="inlineStr">
        <is>
          <t>Ruska's Microscope</t>
        </is>
      </c>
      <c r="B151" s="450" t="inlineStr">
        <is>
          <t>SS</t>
        </is>
      </c>
      <c r="C151" s="450" t="inlineStr">
        <is>
          <t>TECH</t>
        </is>
      </c>
      <c r="D151" s="448" t="n">
        <v>102</v>
      </c>
      <c r="E151" s="448" t="inlineStr">
        <is>
          <t>TECH +15</t>
        </is>
      </c>
      <c r="F151" s="448" t="inlineStr">
        <is>
          <t>DEF +9%</t>
        </is>
      </c>
      <c r="G151" s="450" t="n"/>
      <c r="H151" s="444" t="n"/>
      <c r="I151" s="444" t="n"/>
      <c r="J151" s="444" t="n"/>
      <c r="K151" s="444" t="n">
        <v>9</v>
      </c>
      <c r="L151" s="444" t="n"/>
      <c r="M151" s="444" t="n"/>
      <c r="N151" s="444" t="n"/>
      <c r="O151" s="444" t="n"/>
      <c r="P151" s="444" t="n"/>
      <c r="Q151" s="444" t="n"/>
      <c r="R151" s="444" t="n">
        <v>15</v>
      </c>
      <c r="S151" s="386" t="inlineStr">
        <is>
          <t>Lottery Machine No.2 (?%)</t>
        </is>
      </c>
    </row>
    <row r="152">
      <c r="A152" s="450" t="inlineStr">
        <is>
          <t>DIffraction Device</t>
        </is>
      </c>
      <c r="B152" s="450" t="inlineStr">
        <is>
          <t>S</t>
        </is>
      </c>
      <c r="C152" s="450" t="inlineStr">
        <is>
          <t>TECH</t>
        </is>
      </c>
      <c r="D152" s="448" t="n">
        <v>97</v>
      </c>
      <c r="E152" s="448" t="inlineStr">
        <is>
          <t>DEF +9%</t>
        </is>
      </c>
      <c r="F152" s="448" t="n"/>
      <c r="G152" s="450" t="n"/>
      <c r="H152" s="444" t="n"/>
      <c r="I152" s="444" t="n"/>
      <c r="J152" s="444" t="n"/>
      <c r="K152" s="444" t="n">
        <v>9</v>
      </c>
      <c r="L152" s="444" t="n"/>
      <c r="M152" s="444" t="n"/>
      <c r="N152" s="444" t="n"/>
      <c r="O152" s="444" t="n"/>
      <c r="P152" s="444" t="n"/>
      <c r="Q152" s="444" t="n"/>
      <c r="R152" s="444" t="n"/>
      <c r="S152" s="970" t="inlineStr">
        <is>
          <t>Lottery Machine No.2 (?%)</t>
        </is>
      </c>
    </row>
    <row r="153">
      <c r="A153" s="425" t="n"/>
      <c r="B153" s="425" t="n"/>
      <c r="C153" s="425" t="n"/>
      <c r="D153" s="425" t="n"/>
      <c r="E153" s="425" t="n"/>
      <c r="F153" s="425" t="n"/>
      <c r="G153" s="425" t="n"/>
      <c r="H153" s="425" t="n"/>
    </row>
    <row r="154">
      <c r="A154" s="425" t="n"/>
      <c r="B154" s="425" t="n"/>
      <c r="C154" s="425" t="n"/>
      <c r="D154" s="425" t="n"/>
      <c r="E154" s="425" t="n"/>
      <c r="F154" s="425" t="n"/>
      <c r="G154" s="425" t="n"/>
      <c r="H154" s="425" t="n"/>
    </row>
    <row r="155">
      <c r="A155" s="425" t="n"/>
      <c r="B155" s="425" t="n"/>
      <c r="C155" s="425" t="n"/>
      <c r="D155" s="425" t="n"/>
      <c r="E155" s="425" t="n"/>
      <c r="F155" s="425" t="n"/>
      <c r="G155" s="425" t="n"/>
      <c r="H155" s="425" t="n"/>
    </row>
    <row r="156">
      <c r="A156" s="425" t="n"/>
      <c r="B156" s="425" t="n"/>
      <c r="C156" s="425" t="n"/>
      <c r="D156" s="425" t="n"/>
      <c r="E156" s="425" t="n"/>
      <c r="F156" s="425" t="n"/>
      <c r="G156" s="425" t="n"/>
      <c r="H156" s="425" t="n"/>
    </row>
    <row r="157">
      <c r="A157" s="425" t="n"/>
      <c r="B157" s="425" t="n"/>
      <c r="C157" s="425" t="n"/>
      <c r="D157" s="425" t="n"/>
      <c r="E157" s="425" t="n"/>
      <c r="F157" s="425" t="n"/>
      <c r="G157" s="425" t="n"/>
      <c r="H157" s="425" t="n"/>
    </row>
    <row r="158">
      <c r="C158" s="522" t="inlineStr">
        <is>
          <t>Relic</t>
        </is>
      </c>
      <c r="D158" s="523" t="n"/>
      <c r="E158" s="524" t="inlineStr">
        <is>
          <t>Slot</t>
        </is>
      </c>
      <c r="F158" s="524" t="inlineStr">
        <is>
          <t>Stat</t>
        </is>
      </c>
      <c r="G158" s="524">
        <f>D119</f>
        <v/>
      </c>
      <c r="H158" s="641" t="inlineStr">
        <is>
          <t>HP</t>
        </is>
      </c>
      <c r="I158" s="641" t="inlineStr">
        <is>
          <t>ATK</t>
        </is>
      </c>
      <c r="J158" s="641" t="inlineStr">
        <is>
          <t>RUSH</t>
        </is>
      </c>
      <c r="K158" s="641" t="inlineStr">
        <is>
          <t>DEF</t>
        </is>
      </c>
      <c r="L158" s="641" t="inlineStr">
        <is>
          <t>CRIT</t>
        </is>
      </c>
      <c r="M158" s="641" t="inlineStr">
        <is>
          <t>CRIT DMG</t>
        </is>
      </c>
      <c r="N158" s="641" t="inlineStr">
        <is>
          <t>DMG</t>
        </is>
      </c>
      <c r="O158" s="641" t="inlineStr">
        <is>
          <t>DMG Reduc</t>
        </is>
      </c>
      <c r="P158" s="641" t="inlineStr">
        <is>
          <t>Hero DMG</t>
        </is>
      </c>
      <c r="Q158" s="641" t="inlineStr">
        <is>
          <t>ELMT DMG</t>
        </is>
      </c>
      <c r="R158" s="641" t="inlineStr">
        <is>
          <t>Alternatives</t>
        </is>
      </c>
      <c r="S158" s="1129" t="n"/>
      <c r="U158" s="444" t="n"/>
      <c r="V158" s="444" t="inlineStr">
        <is>
          <t>Boosted</t>
        </is>
      </c>
      <c r="W158" s="444" t="inlineStr">
        <is>
          <t>Damage</t>
        </is>
      </c>
    </row>
    <row r="159">
      <c r="C159" s="456">
        <f>A121</f>
        <v/>
      </c>
      <c r="D159" s="457" t="n"/>
      <c r="E159" s="458" t="inlineStr">
        <is>
          <t>FAME</t>
        </is>
      </c>
      <c r="F159" s="458" t="inlineStr">
        <is>
          <t>HARD</t>
        </is>
      </c>
      <c r="G159" s="550">
        <f>IFERROR(VLOOKUP($C159,$A$121:$R$152,4,FALSE),0)+IFERROR(VLOOKUP($C159,$A$121:$R$152,18,FALSE),0)</f>
        <v/>
      </c>
      <c r="H159" s="607">
        <f>IFERROR(VLOOKUP($C159,$A$121:$R$152,8,FALSE),0)+IFERROR(VLOOKUP($G159,$Y$2:$AA$50,2),0)</f>
        <v/>
      </c>
      <c r="I159" s="607">
        <f>IFERROR(VLOOKUP($C159,$A$121:$R$152,9,FALSE),0)+IFERROR(VLOOKUP($G159,$Y$2:$AA$50,2),0)</f>
        <v/>
      </c>
      <c r="J159" s="607">
        <f>IFERROR(VLOOKUP($C159,$A$121:$R$152,10,FALSE),0)+IFERROR(VLOOKUP($G159,$Y$2:$AA$50,2),0)</f>
        <v/>
      </c>
      <c r="K159" s="607">
        <f>IFERROR(VLOOKUP($C159,$A$121:$R$152,11,FALSE),0)+IFERROR(VLOOKUP($G159,$Y$2:$AA$50,2),0)</f>
        <v/>
      </c>
      <c r="L159" s="607">
        <f>XLOOKUP($C159,$A$121:$A$152,$L$121:$L$152,0)</f>
        <v/>
      </c>
      <c r="M159" s="607">
        <f>XLOOKUP($C159,$A$121:$A$152,$M$121:$M$152,0)</f>
        <v/>
      </c>
      <c r="N159" s="607">
        <f>XLOOKUP($C159,$A$121:$A$152,$N$121:$N$152,0)</f>
        <v/>
      </c>
      <c r="O159" s="607">
        <f>XLOOKUP($C159,$A$121:$A$152,$O$121:$O$152,0)</f>
        <v/>
      </c>
      <c r="P159" s="607">
        <f>XLOOKUP($C159,$A$121:$A$152,$P$121:$P$152,0)</f>
        <v/>
      </c>
      <c r="Q159" s="607">
        <f>XLOOKUP($C159,$A$121:$A$152,$Q$121:$Q$152,0)</f>
        <v/>
      </c>
      <c r="R159" s="592">
        <f>A124</f>
        <v/>
      </c>
      <c r="S159" s="1129" t="n"/>
      <c r="U159" s="444" t="inlineStr">
        <is>
          <t>Troop:</t>
        </is>
      </c>
      <c r="V159" s="444" t="n"/>
      <c r="W159" s="444" t="n"/>
    </row>
    <row r="160">
      <c r="C160" s="527">
        <f>A132</f>
        <v/>
      </c>
      <c r="D160" s="528" t="n"/>
      <c r="E160" s="535" t="inlineStr">
        <is>
          <t>ART</t>
        </is>
      </c>
      <c r="F160" s="535" t="inlineStr">
        <is>
          <t>HP</t>
        </is>
      </c>
      <c r="G160" s="530">
        <f>IFERROR(VLOOKUP($C160,$A$121:$R$152,4,FALSE),0)+IFERROR(VLOOKUP($C160,$A$121:$R$152,18,FALSE),0)</f>
        <v/>
      </c>
      <c r="H160" s="647">
        <f>IFERROR(VLOOKUP($C160,$A$121:$R$152,8,FALSE),0)+IFERROR(VLOOKUP($G160,$Y$2:$AA$50,3),0)</f>
        <v/>
      </c>
      <c r="I160" s="647">
        <f>XLOOKUP($C160,$A$121:$A$152,$I$121:$I$152,0)</f>
        <v/>
      </c>
      <c r="J160" s="647">
        <f>XLOOKUP($C160,$A$121:$A$152,$J$121:$J$152,0)</f>
        <v/>
      </c>
      <c r="K160" s="647">
        <f>XLOOKUP($C160,$A$121:$A$152,$K$121:$K$152,0)</f>
        <v/>
      </c>
      <c r="L160" s="647">
        <f>XLOOKUP($C160,$A$121:$A$152,$L$121:$L$152,0)</f>
        <v/>
      </c>
      <c r="M160" s="647">
        <f>XLOOKUP($C160,$A$121:$A$152,$M$121:$M$152,0)</f>
        <v/>
      </c>
      <c r="N160" s="647">
        <f>XLOOKUP($C160,$A$121:$A$152,$N$121:$N$152,0)</f>
        <v/>
      </c>
      <c r="O160" s="647">
        <f>XLOOKUP($C160,$A$121:$A$152,$O$121:$O$152,0)</f>
        <v/>
      </c>
      <c r="P160" s="647">
        <f>XLOOKUP($C160,$A$121:$A$152,$P$121:$P$152,0)</f>
        <v/>
      </c>
      <c r="Q160" s="647">
        <f>XLOOKUP($C160,$A$121:$A$152,$Q$121:$Q$152,0)</f>
        <v/>
      </c>
      <c r="R160" s="1133">
        <f>A128</f>
        <v/>
      </c>
      <c r="S160" s="1129" t="n"/>
      <c r="U160" s="444" t="inlineStr">
        <is>
          <t>ATK</t>
        </is>
      </c>
      <c r="V160" s="444">
        <f>$Z$66*(1+I164/100)</f>
        <v/>
      </c>
      <c r="W160" s="444">
        <f>((V160-$Z$73)*(V162+P164/100)*((V163/100)*V164 + (1-V163/100)*1)) + LOG(V160,5)*Q164*(V162+P164/100)</f>
        <v/>
      </c>
    </row>
    <row r="161">
      <c r="C161" s="456">
        <f>A140</f>
        <v/>
      </c>
      <c r="D161" s="457" t="n"/>
      <c r="E161" s="458" t="inlineStr">
        <is>
          <t>FTH</t>
        </is>
      </c>
      <c r="F161" s="458" t="inlineStr">
        <is>
          <t>RUSH</t>
        </is>
      </c>
      <c r="G161" s="550">
        <f>IFERROR(VLOOKUP($C161,$A$121:$R$152,4,FALSE),0)+IFERROR(VLOOKUP($C161,$A$121:$R$152,18,FALSE),0)</f>
        <v/>
      </c>
      <c r="H161" s="607">
        <f>XLOOKUP($C161,$A$121:$A$152,$H$121:$H$152,0)</f>
        <v/>
      </c>
      <c r="I161" s="607">
        <f>XLOOKUP($C161,$A$121:$A$152,$I$121:$I$152,0)</f>
        <v/>
      </c>
      <c r="J161" s="607">
        <f>IFERROR(VLOOKUP($C161,$A$121:$R$152,10,FALSE),0)+IFERROR(VLOOKUP(G161,$Y$2:$AA$50,3),0)</f>
        <v/>
      </c>
      <c r="K161" s="607">
        <f>XLOOKUP($C161,$A$121:$A$152,$K$121:$K$152,0)</f>
        <v/>
      </c>
      <c r="L161" s="607">
        <f>XLOOKUP($C161,$A$121:$A$152,$L$121:$L$152,0)</f>
        <v/>
      </c>
      <c r="M161" s="607">
        <f>XLOOKUP($C161,$A$121:$A$152,$M$121:$M$152,0)</f>
        <v/>
      </c>
      <c r="N161" s="607">
        <f>XLOOKUP($C161,$A$121:$A$152,$N$121:$N$152,0)</f>
        <v/>
      </c>
      <c r="O161" s="607">
        <f>XLOOKUP($C161,$A$121:$A$152,$O$121:$O$152,0)</f>
        <v/>
      </c>
      <c r="P161" s="607">
        <f>XLOOKUP($C161,$A$121:$A$152,$P$121:$P$152,0)</f>
        <v/>
      </c>
      <c r="Q161" s="607">
        <f>XLOOKUP($C161,$A$121:$A$152,$Q$121:$Q$152,0)</f>
        <v/>
      </c>
      <c r="R161" s="592">
        <f>A137</f>
        <v/>
      </c>
      <c r="S161" s="1129" t="n"/>
      <c r="U161" s="444" t="inlineStr">
        <is>
          <t>RUSH</t>
        </is>
      </c>
      <c r="V161" s="444">
        <f>$Z$67*(1+J164/100)</f>
        <v/>
      </c>
      <c r="W161" s="444">
        <f>(V161-$Z$73)*(V162+P164/100)*((V163/100)*V164 + (1-V163/100)*1) + LOG(V161,5)*Q164*(V162+P164/100)</f>
        <v/>
      </c>
    </row>
    <row r="162">
      <c r="C162" s="527">
        <f>A141</f>
        <v/>
      </c>
      <c r="D162" s="528" t="n"/>
      <c r="E162" s="535" t="inlineStr">
        <is>
          <t>CIV</t>
        </is>
      </c>
      <c r="F162" s="535" t="inlineStr">
        <is>
          <t>ATK</t>
        </is>
      </c>
      <c r="G162" s="530">
        <f>IFERROR(VLOOKUP($C162,$A$121:$R$152,4,FALSE),0)+IFERROR(VLOOKUP($C162,$A$121:$R$152,18,FALSE),0)</f>
        <v/>
      </c>
      <c r="H162" s="647">
        <f>XLOOKUP($C162,$A$121:$A$152,$H$121:$H$152,0)</f>
        <v/>
      </c>
      <c r="I162" s="647">
        <f>IFERROR(VLOOKUP($C162,$A$121:$R$152,9,FALSE),0)+IFERROR(VLOOKUP(G162,$Y$2:$AA$50,3),0)</f>
        <v/>
      </c>
      <c r="J162" s="647">
        <f>XLOOKUP($C162,$A$121:$A$152,$J$121:$J$152,0)</f>
        <v/>
      </c>
      <c r="K162" s="647">
        <f>XLOOKUP($C162,$A$121:$A$152,$K$121:$K$152,0)</f>
        <v/>
      </c>
      <c r="L162" s="647">
        <f>XLOOKUP($C162,$A$121:$A$152,$L$121:$L$152,0)</f>
        <v/>
      </c>
      <c r="M162" s="647">
        <f>XLOOKUP($C162,$A$121:$A$152,$M$121:$M$152,0)</f>
        <v/>
      </c>
      <c r="N162" s="647">
        <f>XLOOKUP($C162,$A$121:$A$152,$N$121:$N$152,0)</f>
        <v/>
      </c>
      <c r="O162" s="647">
        <f>XLOOKUP($C162,$A$121:$A$152,$O$121:$O$152,0)</f>
        <v/>
      </c>
      <c r="P162" s="647">
        <f>XLOOKUP($C162,$A$121:$A$152,$P$121:$P$152,0)</f>
        <v/>
      </c>
      <c r="Q162" s="647">
        <f>XLOOKUP($C162,$A$121:$A$152,$Q$121:$Q$152,0)</f>
        <v/>
      </c>
      <c r="R162" s="1133">
        <f>A142</f>
        <v/>
      </c>
      <c r="S162" s="1129" t="n"/>
      <c r="U162" s="444" t="inlineStr">
        <is>
          <t>DMG%</t>
        </is>
      </c>
      <c r="V162" s="444">
        <f>(1+($Z$68+N164)/100)</f>
        <v/>
      </c>
      <c r="W162" s="444" t="n"/>
    </row>
    <row r="163">
      <c r="C163" s="456">
        <f>A149</f>
        <v/>
      </c>
      <c r="D163" s="457" t="n"/>
      <c r="E163" s="458" t="inlineStr">
        <is>
          <t>TECH</t>
        </is>
      </c>
      <c r="F163" s="458" t="inlineStr">
        <is>
          <t>DEF</t>
        </is>
      </c>
      <c r="G163" s="550">
        <f>IFERROR(VLOOKUP($C163,$A$121:$R$152,4,FALSE),0)+IFERROR(VLOOKUP($C163,$A$121:$R$152,18,FALSE),0)</f>
        <v/>
      </c>
      <c r="H163" s="607">
        <f>XLOOKUP($C163,$A$121:$A$152,$H$121:$H$152,0)</f>
        <v/>
      </c>
      <c r="I163" s="607">
        <f>XLOOKUP($C163,$A$121:$A$152,$I$121:$I$152,0)</f>
        <v/>
      </c>
      <c r="J163" s="607">
        <f>XLOOKUP($C163,$A$121:$A$152,$J$121:$J$152,0)</f>
        <v/>
      </c>
      <c r="K163" s="607">
        <f>IFERROR(VLOOKUP($C163,$A$121:$R$152,11,FALSE),0)+IFERROR(VLOOKUP(G163,$Y$2:$AA$50,3),0)</f>
        <v/>
      </c>
      <c r="L163" s="607">
        <f>XLOOKUP($C163,$A$121:$A$152,$L$121:$L$152,0)</f>
        <v/>
      </c>
      <c r="M163" s="607">
        <f>XLOOKUP($C163,$A$121:$A$152,$M$121:$M$152,0)</f>
        <v/>
      </c>
      <c r="N163" s="607">
        <f>XLOOKUP($C163,$A$121:$A$152,$N$121:$N$152,0)</f>
        <v/>
      </c>
      <c r="O163" s="607">
        <f>XLOOKUP($C163,$A$121:$A$152,$O$121:$O$152,0)</f>
        <v/>
      </c>
      <c r="P163" s="607">
        <f>XLOOKUP($C163,$A$121:$A$152,$P$121:$P$152,0)</f>
        <v/>
      </c>
      <c r="Q163" s="607">
        <f>XLOOKUP($C163,$A$121:$A$152,$Q$121:$Q$152,0)</f>
        <v/>
      </c>
      <c r="R163" s="592" t="inlineStr">
        <is>
          <t>The Prince</t>
        </is>
      </c>
      <c r="S163" s="1129" t="n"/>
      <c r="U163" s="444" t="inlineStr">
        <is>
          <t>CRIT%</t>
        </is>
      </c>
      <c r="V163" s="444">
        <f>$Z$69+L164</f>
        <v/>
      </c>
      <c r="W163" s="444" t="n"/>
    </row>
    <row r="164">
      <c r="C164" s="534" t="inlineStr">
        <is>
          <t>Total</t>
        </is>
      </c>
      <c r="D164" s="528" t="n"/>
      <c r="E164" s="535" t="n"/>
      <c r="F164" s="535" t="n"/>
      <c r="G164" s="536" t="n"/>
      <c r="H164" s="647">
        <f>sum(H159:H163)</f>
        <v/>
      </c>
      <c r="I164" s="647">
        <f>sum(I159:I163)</f>
        <v/>
      </c>
      <c r="J164" s="647">
        <f>sum(J159:J163)</f>
        <v/>
      </c>
      <c r="K164" s="647">
        <f>sum(K159:K163)</f>
        <v/>
      </c>
      <c r="L164" s="647">
        <f>sum(L159:L163)</f>
        <v/>
      </c>
      <c r="M164" s="647">
        <f>sum(M159:M163)</f>
        <v/>
      </c>
      <c r="N164" s="647">
        <f>sum(N159:N163)</f>
        <v/>
      </c>
      <c r="O164" s="647">
        <f>sum(O159:O163)</f>
        <v/>
      </c>
      <c r="P164" s="647">
        <f>sum(P159:P163)</f>
        <v/>
      </c>
      <c r="Q164" s="647">
        <f>sum(Q159:Q163)</f>
        <v/>
      </c>
      <c r="R164" s="1133" t="n"/>
      <c r="S164" s="1129" t="n"/>
      <c r="U164" s="444" t="inlineStr">
        <is>
          <t>CRIT DMG%</t>
        </is>
      </c>
      <c r="V164" s="444">
        <f>1.5+($Z$70+M164)/100</f>
        <v/>
      </c>
      <c r="W164" s="444" t="n"/>
    </row>
    <row r="165">
      <c r="C165" s="593" t="inlineStr">
        <is>
          <t>Damage Per Round</t>
        </is>
      </c>
      <c r="D165" s="457" t="n"/>
      <c r="E165" s="476">
        <f>W160+W161</f>
        <v/>
      </c>
      <c r="F165" s="508" t="n"/>
      <c r="G165" s="515" t="n"/>
      <c r="H165" s="479" t="n"/>
      <c r="I165" s="479" t="n"/>
      <c r="J165" s="479" t="n"/>
      <c r="K165" s="479" t="n"/>
      <c r="L165" s="479" t="n"/>
      <c r="M165" s="479" t="n"/>
      <c r="N165" s="479" t="n"/>
      <c r="O165" s="479" t="n"/>
      <c r="P165" s="479" t="n"/>
      <c r="Q165" s="479" t="n"/>
      <c r="R165" s="479" t="n"/>
      <c r="S165" s="479" t="n"/>
    </row>
    <row r="166"/>
    <row r="167"/>
    <row r="168"/>
    <row r="169">
      <c r="A169" s="424" t="inlineStr">
        <is>
          <t>Mantis</t>
        </is>
      </c>
      <c r="B169" s="406" t="n"/>
      <c r="C169" s="406" t="n"/>
      <c r="D169" s="967" t="inlineStr">
        <is>
          <t>Main AFFCT</t>
        </is>
      </c>
      <c r="E169" s="967" t="inlineStr">
        <is>
          <t>Stamp 1</t>
        </is>
      </c>
      <c r="F169" s="967" t="inlineStr">
        <is>
          <t>Stamp 2</t>
        </is>
      </c>
      <c r="G169" s="967" t="inlineStr">
        <is>
          <t>Stamp 3</t>
        </is>
      </c>
      <c r="H169" s="436" t="inlineStr">
        <is>
          <t>HP</t>
        </is>
      </c>
      <c r="I169" s="436" t="inlineStr">
        <is>
          <t>ATK</t>
        </is>
      </c>
      <c r="J169" s="436" t="inlineStr">
        <is>
          <t>RUSH</t>
        </is>
      </c>
      <c r="K169" s="436" t="inlineStr">
        <is>
          <t>DEF</t>
        </is>
      </c>
      <c r="L169" s="436" t="inlineStr">
        <is>
          <t>CRIT</t>
        </is>
      </c>
      <c r="M169" s="436" t="inlineStr">
        <is>
          <t>CRIT DMG</t>
        </is>
      </c>
      <c r="N169" s="436" t="inlineStr">
        <is>
          <t>DMG</t>
        </is>
      </c>
      <c r="O169" s="436" t="inlineStr">
        <is>
          <t>DMG Reduc</t>
        </is>
      </c>
      <c r="P169" s="436" t="inlineStr">
        <is>
          <t>Hero DMG</t>
        </is>
      </c>
      <c r="Q169" s="436" t="inlineStr">
        <is>
          <t>ELMT DMG</t>
        </is>
      </c>
      <c r="R169" s="436" t="inlineStr">
        <is>
          <t>AFFCT</t>
        </is>
      </c>
      <c r="S169" s="437" t="inlineStr">
        <is>
          <t>Source</t>
        </is>
      </c>
    </row>
    <row r="170">
      <c r="A170" s="434" t="inlineStr">
        <is>
          <t>INDIVIDUAL RELICS</t>
        </is>
      </c>
      <c r="B170" s="425" t="n"/>
      <c r="C170" s="425" t="n"/>
      <c r="D170" s="425" t="n"/>
      <c r="E170" s="425" t="n"/>
      <c r="F170" s="425" t="n"/>
      <c r="G170" s="425" t="n"/>
      <c r="S170" s="418" t="n"/>
    </row>
    <row r="171">
      <c r="A171" s="450" t="inlineStr">
        <is>
          <t>Pillars of Creation</t>
        </is>
      </c>
      <c r="B171" s="450" t="inlineStr">
        <is>
          <t>SSS</t>
        </is>
      </c>
      <c r="C171" s="450" t="inlineStr">
        <is>
          <t>FAME</t>
        </is>
      </c>
      <c r="D171" s="448" t="n">
        <v>111</v>
      </c>
      <c r="E171" s="448" t="inlineStr">
        <is>
          <t>FAME +15</t>
        </is>
      </c>
      <c r="F171" s="450" t="inlineStr">
        <is>
          <t>Earth DMG +60</t>
        </is>
      </c>
      <c r="G171" s="450" t="inlineStr">
        <is>
          <t>ATK +9%</t>
        </is>
      </c>
      <c r="H171" s="444" t="n"/>
      <c r="I171" s="444" t="n">
        <v>9</v>
      </c>
      <c r="J171" s="444" t="n"/>
      <c r="K171" s="444" t="n"/>
      <c r="L171" s="444" t="n"/>
      <c r="M171" s="444" t="n"/>
      <c r="N171" s="444" t="n"/>
      <c r="O171" s="444" t="n"/>
      <c r="P171" s="444" t="n"/>
      <c r="Q171" s="444" t="n">
        <v>60</v>
      </c>
      <c r="R171" s="444" t="n">
        <v>15</v>
      </c>
      <c r="S171" s="418" t="inlineStr">
        <is>
          <t>Lottery Machine No. 2 (0.11%)</t>
        </is>
      </c>
    </row>
    <row r="172">
      <c r="A172" s="450" t="inlineStr">
        <is>
          <t>WHC</t>
        </is>
      </c>
      <c r="B172" s="450" t="inlineStr">
        <is>
          <t>SSS</t>
        </is>
      </c>
      <c r="C172" s="450" t="inlineStr">
        <is>
          <t>FAME</t>
        </is>
      </c>
      <c r="D172" s="448" t="n">
        <v>106</v>
      </c>
      <c r="E172" s="448" t="inlineStr">
        <is>
          <t>DEF +9%</t>
        </is>
      </c>
      <c r="F172" s="450" t="inlineStr">
        <is>
          <t>DMG REDUC +6%</t>
        </is>
      </c>
      <c r="G172" s="450" t="inlineStr">
        <is>
          <t>Water DMG +60</t>
        </is>
      </c>
      <c r="H172" s="444" t="n"/>
      <c r="I172" s="444" t="n"/>
      <c r="J172" s="444" t="n"/>
      <c r="K172" s="444" t="n">
        <v>9</v>
      </c>
      <c r="L172" s="444" t="n"/>
      <c r="M172" s="444" t="n"/>
      <c r="N172" s="444" t="n"/>
      <c r="O172" s="444" t="n">
        <v>6</v>
      </c>
      <c r="P172" s="444" t="n"/>
      <c r="Q172" s="444" t="n">
        <v>60</v>
      </c>
      <c r="R172" s="444" t="n"/>
      <c r="S172" s="390" t="inlineStr">
        <is>
          <t>Lottery Machine No. 3 (?%), Museum Operations Value Pack III</t>
        </is>
      </c>
    </row>
    <row r="173">
      <c r="A173" s="447" t="inlineStr">
        <is>
          <t>The Prince</t>
        </is>
      </c>
      <c r="B173" s="447" t="inlineStr">
        <is>
          <t>SSS</t>
        </is>
      </c>
      <c r="C173" s="447" t="inlineStr">
        <is>
          <t>FAME</t>
        </is>
      </c>
      <c r="D173" s="445" t="n">
        <v>106</v>
      </c>
      <c r="E173" s="445" t="inlineStr">
        <is>
          <t>ATK +6%</t>
        </is>
      </c>
      <c r="F173" s="447" t="inlineStr">
        <is>
          <t>FAME +15</t>
        </is>
      </c>
      <c r="G173" s="447" t="inlineStr">
        <is>
          <t>CRIT DMG +6%</t>
        </is>
      </c>
      <c r="H173" s="897" t="n"/>
      <c r="I173" s="447" t="n">
        <v>6</v>
      </c>
      <c r="J173" s="447" t="n"/>
      <c r="K173" s="447" t="n"/>
      <c r="L173" s="447" t="n"/>
      <c r="M173" s="447" t="n">
        <v>6</v>
      </c>
      <c r="N173" s="447" t="n"/>
      <c r="O173" s="447" t="n"/>
      <c r="P173" s="447" t="n"/>
      <c r="Q173" s="447" t="n"/>
      <c r="R173" s="447" t="n">
        <v>15</v>
      </c>
      <c r="S173" s="418" t="inlineStr">
        <is>
          <t>Lottery Machine No. 2 (0.11%)</t>
        </is>
      </c>
    </row>
    <row r="174">
      <c r="A174" s="450" t="inlineStr">
        <is>
          <t>Cross of Lorraine</t>
        </is>
      </c>
      <c r="B174" s="450" t="inlineStr">
        <is>
          <t>SS</t>
        </is>
      </c>
      <c r="C174" s="450" t="inlineStr">
        <is>
          <t>FAME</t>
        </is>
      </c>
      <c r="D174" s="448" t="n">
        <v>104</v>
      </c>
      <c r="E174" s="448" t="inlineStr">
        <is>
          <t>FAME +15</t>
        </is>
      </c>
      <c r="F174" s="448" t="inlineStr">
        <is>
          <t>ATK +6%</t>
        </is>
      </c>
      <c r="G174" s="450" t="n"/>
      <c r="H174" s="449" t="n"/>
      <c r="I174" s="450" t="n">
        <v>6</v>
      </c>
      <c r="J174" s="450" t="n"/>
      <c r="K174" s="450" t="n"/>
      <c r="L174" s="450" t="n"/>
      <c r="M174" s="450" t="n"/>
      <c r="N174" s="450" t="n"/>
      <c r="O174" s="450" t="n"/>
      <c r="P174" s="450" t="n"/>
      <c r="Q174" s="450" t="n"/>
      <c r="R174" s="450" t="n">
        <v>15</v>
      </c>
      <c r="S174" s="418" t="inlineStr">
        <is>
          <t>Lottery Machine No. 2 (?%)</t>
        </is>
      </c>
    </row>
    <row r="175">
      <c r="A175" s="450" t="inlineStr">
        <is>
          <t>Herma of Pericles</t>
        </is>
      </c>
      <c r="B175" s="450" t="inlineStr">
        <is>
          <t>SSS</t>
        </is>
      </c>
      <c r="C175" s="450" t="inlineStr">
        <is>
          <t>ART</t>
        </is>
      </c>
      <c r="D175" s="448" t="n">
        <v>109</v>
      </c>
      <c r="E175" s="448" t="inlineStr">
        <is>
          <t>CRIT DMG +9%</t>
        </is>
      </c>
      <c r="F175" s="450" t="inlineStr">
        <is>
          <t>Wind DMG +60</t>
        </is>
      </c>
      <c r="G175" s="450" t="inlineStr">
        <is>
          <t>Hero DMG +6%</t>
        </is>
      </c>
      <c r="H175" s="444" t="n"/>
      <c r="I175" s="444" t="n"/>
      <c r="J175" s="444" t="n"/>
      <c r="K175" s="444" t="n"/>
      <c r="L175" s="444" t="n"/>
      <c r="M175" s="444" t="n">
        <v>9</v>
      </c>
      <c r="N175" s="444" t="n"/>
      <c r="O175" s="444" t="n"/>
      <c r="P175" s="444" t="n">
        <v>6</v>
      </c>
      <c r="Q175" s="444" t="n">
        <v>60</v>
      </c>
      <c r="R175" s="444" t="n"/>
      <c r="S175" s="386" t="inlineStr">
        <is>
          <t>Daily Pack #19</t>
        </is>
      </c>
    </row>
    <row r="176">
      <c r="A176" s="450" t="inlineStr">
        <is>
          <t>Arnolfini Portrait</t>
        </is>
      </c>
      <c r="B176" s="450" t="inlineStr">
        <is>
          <t>SSS</t>
        </is>
      </c>
      <c r="C176" s="450" t="inlineStr">
        <is>
          <t>ART</t>
        </is>
      </c>
      <c r="D176" s="448" t="n">
        <v>107</v>
      </c>
      <c r="E176" s="448" t="inlineStr">
        <is>
          <t>Earth DMG +60</t>
        </is>
      </c>
      <c r="F176" s="450" t="inlineStr">
        <is>
          <t>HP +9%</t>
        </is>
      </c>
      <c r="G176" s="450" t="inlineStr">
        <is>
          <t>WInd DMG +60</t>
        </is>
      </c>
      <c r="H176" s="444" t="n">
        <v>9</v>
      </c>
      <c r="I176" s="444" t="n"/>
      <c r="J176" s="444" t="n"/>
      <c r="K176" s="444" t="n"/>
      <c r="L176" s="444" t="n"/>
      <c r="M176" s="444" t="n"/>
      <c r="N176" s="444" t="n"/>
      <c r="O176" s="444" t="n"/>
      <c r="P176" s="444" t="n"/>
      <c r="Q176" s="444" t="n">
        <v>120</v>
      </c>
      <c r="R176" s="444" t="n"/>
      <c r="S176" s="390" t="inlineStr">
        <is>
          <t>Daily Packs #53</t>
        </is>
      </c>
    </row>
    <row r="177">
      <c r="A177" s="450" t="inlineStr">
        <is>
          <t>Woman at Her Toilette</t>
        </is>
      </c>
      <c r="B177" s="450" t="inlineStr">
        <is>
          <t>SSS</t>
        </is>
      </c>
      <c r="C177" s="450" t="inlineStr">
        <is>
          <t>ART</t>
        </is>
      </c>
      <c r="D177" s="448" t="n">
        <v>109</v>
      </c>
      <c r="E177" s="448" t="inlineStr">
        <is>
          <t>ATK +6%</t>
        </is>
      </c>
      <c r="F177" s="450" t="inlineStr">
        <is>
          <t>RUSH +6%</t>
        </is>
      </c>
      <c r="G177" s="450" t="inlineStr">
        <is>
          <t>ART +15</t>
        </is>
      </c>
      <c r="H177" s="444" t="n"/>
      <c r="I177" s="444" t="n">
        <v>6</v>
      </c>
      <c r="J177" s="444" t="n">
        <v>6</v>
      </c>
      <c r="K177" s="444" t="n"/>
      <c r="L177" s="444" t="n"/>
      <c r="M177" s="444" t="n"/>
      <c r="N177" s="444" t="n"/>
      <c r="O177" s="444" t="n"/>
      <c r="P177" s="444" t="n"/>
      <c r="Q177" s="444" t="n"/>
      <c r="R177" s="444" t="n">
        <v>15</v>
      </c>
      <c r="S177" s="418" t="inlineStr">
        <is>
          <t>Minion Skin Lottery</t>
        </is>
      </c>
    </row>
    <row r="178">
      <c r="A178" s="450" t="inlineStr">
        <is>
          <t>Seated Voltaire</t>
        </is>
      </c>
      <c r="B178" s="450" t="inlineStr">
        <is>
          <t>SSS</t>
        </is>
      </c>
      <c r="C178" s="450" t="inlineStr">
        <is>
          <t>ART</t>
        </is>
      </c>
      <c r="D178" s="448" t="n">
        <v>106</v>
      </c>
      <c r="E178" s="448" t="inlineStr">
        <is>
          <t>DEF +6%</t>
        </is>
      </c>
      <c r="F178" s="450" t="inlineStr">
        <is>
          <t>ART +15</t>
        </is>
      </c>
      <c r="G178" s="450" t="inlineStr">
        <is>
          <t>Wind DMG +30</t>
        </is>
      </c>
      <c r="H178" s="449" t="n"/>
      <c r="I178" s="450" t="n"/>
      <c r="J178" s="450" t="n"/>
      <c r="K178" s="450" t="n">
        <v>6</v>
      </c>
      <c r="L178" s="450" t="n"/>
      <c r="M178" s="450" t="n"/>
      <c r="N178" s="450" t="n"/>
      <c r="O178" s="450" t="n"/>
      <c r="P178" s="450" t="n"/>
      <c r="Q178" s="450" t="n">
        <v>30</v>
      </c>
      <c r="R178" s="450" t="n">
        <v>15</v>
      </c>
      <c r="S178" s="418" t="inlineStr">
        <is>
          <t>Wish Box Relic Album #1</t>
        </is>
      </c>
    </row>
    <row r="179">
      <c r="A179" s="450" t="inlineStr">
        <is>
          <t>Book of Exodus</t>
        </is>
      </c>
      <c r="B179" s="450" t="inlineStr">
        <is>
          <t>SSS</t>
        </is>
      </c>
      <c r="C179" s="450" t="inlineStr">
        <is>
          <t>FTH</t>
        </is>
      </c>
      <c r="D179" s="448" t="n">
        <v>107</v>
      </c>
      <c r="E179" s="448" t="inlineStr">
        <is>
          <t>ATK +9%</t>
        </is>
      </c>
      <c r="F179" s="450" t="inlineStr">
        <is>
          <t>RUSH +9%</t>
        </is>
      </c>
      <c r="G179" s="450" t="inlineStr">
        <is>
          <t>FTH +15</t>
        </is>
      </c>
      <c r="H179" s="444" t="n"/>
      <c r="I179" s="444" t="n">
        <v>9</v>
      </c>
      <c r="J179" s="444" t="n">
        <v>9</v>
      </c>
      <c r="K179" s="444" t="n"/>
      <c r="L179" s="444" t="n"/>
      <c r="M179" s="444" t="n"/>
      <c r="N179" s="444" t="n"/>
      <c r="O179" s="444" t="n"/>
      <c r="P179" s="444" t="n"/>
      <c r="Q179" s="444" t="n"/>
      <c r="R179" s="444" t="n">
        <v>15</v>
      </c>
      <c r="S179" s="386" t="inlineStr">
        <is>
          <t>Traveler's Pack #7</t>
        </is>
      </c>
    </row>
    <row r="180">
      <c r="A180" s="450" t="inlineStr">
        <is>
          <t>Avesta</t>
        </is>
      </c>
      <c r="B180" s="450" t="inlineStr">
        <is>
          <t>SSS</t>
        </is>
      </c>
      <c r="C180" s="450" t="inlineStr">
        <is>
          <t>FTH</t>
        </is>
      </c>
      <c r="D180" s="448" t="n">
        <v>107</v>
      </c>
      <c r="E180" s="448" t="inlineStr">
        <is>
          <t>FTH +15</t>
        </is>
      </c>
      <c r="F180" s="450" t="inlineStr">
        <is>
          <t>DMG REDUC +6%</t>
        </is>
      </c>
      <c r="G180" s="450" t="inlineStr">
        <is>
          <t>DEF +9%</t>
        </is>
      </c>
      <c r="H180" s="444" t="n"/>
      <c r="I180" s="444" t="n"/>
      <c r="J180" s="444" t="n"/>
      <c r="K180" s="444" t="n">
        <v>9</v>
      </c>
      <c r="L180" s="444" t="n"/>
      <c r="M180" s="444" t="n"/>
      <c r="N180" s="444" t="n"/>
      <c r="O180" s="444" t="n">
        <v>6</v>
      </c>
      <c r="P180" s="444" t="n"/>
      <c r="Q180" s="444" t="n"/>
      <c r="R180" s="444" t="n">
        <v>15</v>
      </c>
      <c r="S180" s="386" t="inlineStr">
        <is>
          <t>Daily Silver Pack #7</t>
        </is>
      </c>
    </row>
    <row r="181">
      <c r="A181" s="450" t="inlineStr">
        <is>
          <t>Enuma Elish</t>
        </is>
      </c>
      <c r="B181" s="450" t="inlineStr">
        <is>
          <t>SSS</t>
        </is>
      </c>
      <c r="C181" s="450" t="inlineStr">
        <is>
          <t>FTH</t>
        </is>
      </c>
      <c r="D181" s="448" t="n">
        <v>107</v>
      </c>
      <c r="E181" s="448" t="inlineStr">
        <is>
          <t>FTH +15</t>
        </is>
      </c>
      <c r="F181" s="450" t="inlineStr">
        <is>
          <t>ATK +6%</t>
        </is>
      </c>
      <c r="G181" s="450" t="inlineStr">
        <is>
          <t>RUSH +6%</t>
        </is>
      </c>
      <c r="H181" s="449" t="n"/>
      <c r="I181" s="450" t="n">
        <v>6</v>
      </c>
      <c r="J181" s="450" t="n">
        <v>6</v>
      </c>
      <c r="K181" s="450" t="n"/>
      <c r="L181" s="450" t="n"/>
      <c r="M181" s="450" t="n"/>
      <c r="N181" s="450" t="n"/>
      <c r="O181" s="450" t="n"/>
      <c r="P181" s="450" t="n"/>
      <c r="Q181" s="450" t="n"/>
      <c r="R181" s="450" t="n">
        <v>15</v>
      </c>
      <c r="S181" s="418" t="inlineStr">
        <is>
          <t>Lottery Machine No. 2 (0.11%)</t>
        </is>
      </c>
    </row>
    <row r="182">
      <c r="A182" s="450" t="inlineStr">
        <is>
          <t>History of Animals</t>
        </is>
      </c>
      <c r="B182" s="450" t="inlineStr">
        <is>
          <t>SSS</t>
        </is>
      </c>
      <c r="C182" s="450" t="inlineStr">
        <is>
          <t>CIV</t>
        </is>
      </c>
      <c r="D182" s="448" t="n">
        <v>108</v>
      </c>
      <c r="E182" s="448" t="inlineStr">
        <is>
          <t>CIV +15</t>
        </is>
      </c>
      <c r="F182" s="448" t="inlineStr">
        <is>
          <t>ATK +9%</t>
        </is>
      </c>
      <c r="G182" s="450" t="inlineStr">
        <is>
          <t>Hero DMG +6%</t>
        </is>
      </c>
      <c r="H182" s="444" t="n"/>
      <c r="I182" s="444" t="n">
        <v>9</v>
      </c>
      <c r="J182" s="444" t="n"/>
      <c r="K182" s="444" t="n"/>
      <c r="L182" s="444" t="n"/>
      <c r="M182" s="444" t="n"/>
      <c r="N182" s="444" t="n"/>
      <c r="O182" s="444" t="n"/>
      <c r="P182" s="444" t="n">
        <v>6</v>
      </c>
      <c r="Q182" s="444" t="n">
        <v>60</v>
      </c>
      <c r="R182" s="444" t="n">
        <v>15</v>
      </c>
      <c r="S182" s="386" t="inlineStr">
        <is>
          <t>Squence Value Pack III</t>
        </is>
      </c>
    </row>
    <row r="183">
      <c r="A183" s="450" t="inlineStr">
        <is>
          <t>Dead Sea Scrolls</t>
        </is>
      </c>
      <c r="B183" s="450" t="inlineStr">
        <is>
          <t>SSS</t>
        </is>
      </c>
      <c r="C183" s="450" t="inlineStr">
        <is>
          <t>CIV</t>
        </is>
      </c>
      <c r="D183" s="448" t="n">
        <v>109</v>
      </c>
      <c r="E183" s="448" t="inlineStr">
        <is>
          <t>Water DMG +60</t>
        </is>
      </c>
      <c r="F183" s="448" t="inlineStr">
        <is>
          <t>RUSH +9%</t>
        </is>
      </c>
      <c r="G183" s="450" t="inlineStr">
        <is>
          <t>CRIT +9%</t>
        </is>
      </c>
      <c r="H183" s="444" t="n"/>
      <c r="I183" s="444" t="n"/>
      <c r="J183" s="444" t="n">
        <v>9</v>
      </c>
      <c r="K183" s="444" t="n"/>
      <c r="L183" s="444" t="n">
        <v>9</v>
      </c>
      <c r="M183" s="444" t="n"/>
      <c r="N183" s="444" t="n"/>
      <c r="O183" s="444" t="n"/>
      <c r="P183" s="444" t="n"/>
      <c r="Q183" s="444" t="n">
        <v>60</v>
      </c>
      <c r="R183" s="444" t="n"/>
      <c r="S183" s="386" t="inlineStr">
        <is>
          <t>Daily Pack #13</t>
        </is>
      </c>
    </row>
    <row r="184">
      <c r="A184" s="450" t="inlineStr">
        <is>
          <t>Qin Bronze Chariot</t>
        </is>
      </c>
      <c r="B184" s="450" t="inlineStr">
        <is>
          <t>SSS</t>
        </is>
      </c>
      <c r="C184" s="450" t="inlineStr">
        <is>
          <t>CIV</t>
        </is>
      </c>
      <c r="D184" s="448" t="n">
        <v>108</v>
      </c>
      <c r="E184" s="448" t="inlineStr">
        <is>
          <t>CIV +15</t>
        </is>
      </c>
      <c r="F184" s="448" t="inlineStr">
        <is>
          <t>Fire DMG +60</t>
        </is>
      </c>
      <c r="G184" s="450" t="inlineStr">
        <is>
          <t>ATK +9%</t>
        </is>
      </c>
      <c r="H184" s="444" t="n"/>
      <c r="I184" s="444" t="n">
        <v>9</v>
      </c>
      <c r="J184" s="444" t="n"/>
      <c r="K184" s="444" t="n"/>
      <c r="L184" s="444" t="n"/>
      <c r="M184" s="444" t="n"/>
      <c r="N184" s="444" t="n"/>
      <c r="O184" s="444" t="n"/>
      <c r="P184" s="444" t="n"/>
      <c r="Q184" s="444" t="n">
        <v>60</v>
      </c>
      <c r="R184" s="444" t="n">
        <v>15</v>
      </c>
      <c r="S184" s="386" t="inlineStr">
        <is>
          <t>Lottery Machine No. 3 (0.12%)</t>
        </is>
      </c>
    </row>
    <row r="185">
      <c r="A185" s="450" t="inlineStr">
        <is>
          <t>Remains of Sipán Lord</t>
        </is>
      </c>
      <c r="B185" s="450" t="inlineStr">
        <is>
          <t>SS</t>
        </is>
      </c>
      <c r="C185" s="450" t="inlineStr">
        <is>
          <t>CIV</t>
        </is>
      </c>
      <c r="D185" s="448" t="n">
        <v>105</v>
      </c>
      <c r="E185" s="448" t="inlineStr">
        <is>
          <t>Earth DMG +60</t>
        </is>
      </c>
      <c r="F185" s="448" t="inlineStr">
        <is>
          <t>ATK +9%</t>
        </is>
      </c>
      <c r="G185" s="450" t="n"/>
      <c r="H185" s="444" t="n"/>
      <c r="I185" s="444" t="n">
        <v>9</v>
      </c>
      <c r="J185" s="444" t="n"/>
      <c r="K185" s="444" t="n"/>
      <c r="L185" s="444" t="n"/>
      <c r="M185" s="444" t="n"/>
      <c r="N185" s="444" t="n"/>
      <c r="O185" s="444" t="n"/>
      <c r="P185" s="444" t="n"/>
      <c r="Q185" s="444" t="n">
        <v>60</v>
      </c>
      <c r="R185" s="444" t="n"/>
      <c r="S185" s="386" t="inlineStr">
        <is>
          <t>Lottery Machine No. 3 (0.24%)</t>
        </is>
      </c>
    </row>
    <row r="186">
      <c r="A186" s="450" t="inlineStr">
        <is>
          <t>Harem Wall Painting</t>
        </is>
      </c>
      <c r="B186" s="450" t="inlineStr">
        <is>
          <t>SS</t>
        </is>
      </c>
      <c r="C186" s="450" t="inlineStr">
        <is>
          <t>CIV</t>
        </is>
      </c>
      <c r="D186" s="448" t="n">
        <v>106</v>
      </c>
      <c r="E186" s="448" t="inlineStr">
        <is>
          <t>CIV +15</t>
        </is>
      </c>
      <c r="F186" s="448" t="inlineStr">
        <is>
          <t>RUSH +6%</t>
        </is>
      </c>
      <c r="G186" s="450" t="n"/>
      <c r="H186" s="449" t="n"/>
      <c r="I186" s="450" t="n"/>
      <c r="J186" s="450" t="n">
        <v>6</v>
      </c>
      <c r="K186" s="450" t="n"/>
      <c r="L186" s="450" t="n"/>
      <c r="M186" s="450" t="n"/>
      <c r="N186" s="450" t="n"/>
      <c r="O186" s="450" t="n"/>
      <c r="P186" s="450" t="n"/>
      <c r="Q186" s="450" t="n"/>
      <c r="R186" s="450" t="n">
        <v>15</v>
      </c>
      <c r="S186" s="418" t="inlineStr">
        <is>
          <t>Lottery Machine No. 2 (?%)</t>
        </is>
      </c>
    </row>
    <row r="187">
      <c r="A187" s="450" t="inlineStr">
        <is>
          <t>Volsunga Saga</t>
        </is>
      </c>
      <c r="B187" s="450" t="inlineStr">
        <is>
          <t>SSS</t>
        </is>
      </c>
      <c r="C187" s="450" t="inlineStr">
        <is>
          <t>CIV</t>
        </is>
      </c>
      <c r="D187" s="448" t="n">
        <v>109</v>
      </c>
      <c r="E187" s="448" t="inlineStr">
        <is>
          <t>CIV +15</t>
        </is>
      </c>
      <c r="F187" s="448" t="inlineStr">
        <is>
          <t>ATK +9%</t>
        </is>
      </c>
      <c r="G187" s="450" t="inlineStr">
        <is>
          <t>DEF +9%</t>
        </is>
      </c>
      <c r="H187" s="444" t="n"/>
      <c r="I187" s="444" t="n">
        <v>9</v>
      </c>
      <c r="J187" s="444" t="n"/>
      <c r="K187" s="444" t="n">
        <v>9</v>
      </c>
      <c r="L187" s="444" t="n"/>
      <c r="M187" s="444" t="n"/>
      <c r="N187" s="444" t="n"/>
      <c r="O187" s="444" t="n"/>
      <c r="P187" s="444" t="n"/>
      <c r="Q187" s="444" t="n"/>
      <c r="R187" s="444" t="n">
        <v>15</v>
      </c>
      <c r="S187" s="390" t="inlineStr">
        <is>
          <t>Gold Pack #6</t>
        </is>
      </c>
    </row>
    <row r="188">
      <c r="A188" s="450" t="inlineStr">
        <is>
          <t>The King in Yellow</t>
        </is>
      </c>
      <c r="B188" s="450" t="inlineStr">
        <is>
          <t>SSS</t>
        </is>
      </c>
      <c r="C188" s="450" t="inlineStr">
        <is>
          <t>TECH</t>
        </is>
      </c>
      <c r="D188" s="448" t="n">
        <v>109</v>
      </c>
      <c r="E188" s="448" t="inlineStr">
        <is>
          <t>TECH +15</t>
        </is>
      </c>
      <c r="F188" s="448" t="inlineStr">
        <is>
          <t>CRIT +9%</t>
        </is>
      </c>
      <c r="G188" s="450" t="inlineStr">
        <is>
          <t>CRIT DMG +9%</t>
        </is>
      </c>
      <c r="H188" s="444" t="n"/>
      <c r="I188" s="444" t="n"/>
      <c r="J188" s="444" t="n"/>
      <c r="K188" s="444" t="n"/>
      <c r="L188" s="444" t="n">
        <v>9</v>
      </c>
      <c r="M188" s="444" t="n">
        <v>9</v>
      </c>
      <c r="N188" s="444" t="n"/>
      <c r="O188" s="444" t="n"/>
      <c r="P188" s="444" t="n"/>
      <c r="Q188" s="444" t="n"/>
      <c r="R188" s="444" t="n">
        <v>15</v>
      </c>
      <c r="S188" s="390" t="inlineStr">
        <is>
          <t>Gold Pack #7</t>
        </is>
      </c>
    </row>
    <row r="189">
      <c r="A189" s="450" t="inlineStr">
        <is>
          <t>Hypercube</t>
        </is>
      </c>
      <c r="B189" s="450" t="inlineStr">
        <is>
          <t>SSS</t>
        </is>
      </c>
      <c r="C189" s="450" t="inlineStr">
        <is>
          <t>TECH</t>
        </is>
      </c>
      <c r="D189" s="448" t="n">
        <v>108</v>
      </c>
      <c r="E189" s="448" t="inlineStr">
        <is>
          <t>Wind DMG +60</t>
        </is>
      </c>
      <c r="F189" s="448" t="inlineStr">
        <is>
          <t>HP +9%</t>
        </is>
      </c>
      <c r="G189" s="450" t="inlineStr">
        <is>
          <t>Hero DMG +6%</t>
        </is>
      </c>
      <c r="H189" s="444" t="n">
        <v>9</v>
      </c>
      <c r="I189" s="444" t="n"/>
      <c r="J189" s="444" t="n"/>
      <c r="K189" s="444" t="n"/>
      <c r="L189" s="444" t="n"/>
      <c r="M189" s="444" t="n"/>
      <c r="N189" s="444" t="n"/>
      <c r="O189" s="444" t="n"/>
      <c r="P189" s="444" t="n">
        <v>6</v>
      </c>
      <c r="Q189" s="444" t="n">
        <v>60</v>
      </c>
      <c r="R189" s="444" t="n"/>
      <c r="S189" s="390" t="inlineStr">
        <is>
          <t>Wish Box Relic Album #11</t>
        </is>
      </c>
    </row>
    <row r="190">
      <c r="A190" s="450" t="inlineStr">
        <is>
          <t>Ebers Papyrus</t>
        </is>
      </c>
      <c r="B190" s="450" t="inlineStr">
        <is>
          <t>SSS</t>
        </is>
      </c>
      <c r="C190" s="450" t="inlineStr">
        <is>
          <t>TECH</t>
        </is>
      </c>
      <c r="D190" s="448" t="n">
        <v>106</v>
      </c>
      <c r="E190" s="448" t="inlineStr">
        <is>
          <t>HP +9%</t>
        </is>
      </c>
      <c r="F190" s="448" t="inlineStr">
        <is>
          <t>DEF +9%</t>
        </is>
      </c>
      <c r="G190" s="450" t="inlineStr">
        <is>
          <t>TECH +15</t>
        </is>
      </c>
      <c r="H190" s="444" t="n">
        <v>9</v>
      </c>
      <c r="I190" s="444" t="n"/>
      <c r="J190" s="444" t="n"/>
      <c r="K190" s="444" t="n">
        <v>9</v>
      </c>
      <c r="L190" s="444" t="n"/>
      <c r="M190" s="444" t="n"/>
      <c r="N190" s="444" t="n"/>
      <c r="O190" s="444" t="n"/>
      <c r="P190" s="444" t="n"/>
      <c r="Q190" s="444" t="n"/>
      <c r="R190" s="444" t="n">
        <v>15</v>
      </c>
      <c r="S190" s="480" t="inlineStr">
        <is>
          <t>Lottery Machine No.2 (?%), Relic Forge (120 RF)</t>
        </is>
      </c>
    </row>
    <row r="191">
      <c r="A191" s="425" t="n"/>
      <c r="B191" s="425" t="n"/>
      <c r="C191" s="425" t="n"/>
      <c r="D191" s="425" t="n"/>
      <c r="E191" s="425" t="n"/>
      <c r="F191" s="425" t="n"/>
      <c r="G191" s="425" t="n"/>
      <c r="H191" s="425" t="n"/>
    </row>
    <row r="192">
      <c r="A192" s="425" t="n"/>
      <c r="B192" s="425" t="n"/>
      <c r="C192" s="425" t="n"/>
      <c r="D192" s="425" t="n"/>
      <c r="E192" s="425" t="n"/>
      <c r="F192" s="425" t="n"/>
      <c r="G192" s="425" t="n"/>
      <c r="H192" s="425" t="n"/>
    </row>
    <row r="193">
      <c r="A193" s="425" t="n"/>
      <c r="B193" s="425" t="n"/>
      <c r="C193" s="425" t="n"/>
      <c r="D193" s="425" t="n"/>
      <c r="E193" s="425" t="n"/>
      <c r="F193" s="425" t="n"/>
      <c r="G193" s="425" t="n"/>
      <c r="H193" s="425" t="n"/>
    </row>
    <row r="194">
      <c r="A194" s="425" t="n"/>
      <c r="B194" s="425" t="n"/>
      <c r="C194" s="425" t="n"/>
      <c r="D194" s="425" t="n"/>
      <c r="E194" s="425" t="n"/>
      <c r="F194" s="425" t="n"/>
      <c r="G194" s="425" t="n"/>
      <c r="H194" s="425" t="n"/>
    </row>
    <row r="195">
      <c r="A195" s="425" t="n"/>
      <c r="B195" s="425" t="n"/>
      <c r="C195" s="425" t="n"/>
      <c r="D195" s="425" t="n"/>
      <c r="E195" s="425" t="n"/>
      <c r="F195" s="425" t="n"/>
      <c r="G195" s="425" t="n"/>
      <c r="H195" s="425" t="n"/>
    </row>
    <row r="196">
      <c r="C196" s="538" t="inlineStr">
        <is>
          <t>Relic</t>
        </is>
      </c>
      <c r="D196" s="539" t="n"/>
      <c r="E196" s="540" t="inlineStr">
        <is>
          <t>Slot</t>
        </is>
      </c>
      <c r="F196" s="540" t="inlineStr">
        <is>
          <t>Stat</t>
        </is>
      </c>
      <c r="G196" s="540">
        <f>D156</f>
        <v/>
      </c>
      <c r="H196" s="541" t="inlineStr">
        <is>
          <t>HP</t>
        </is>
      </c>
      <c r="I196" s="541" t="inlineStr">
        <is>
          <t>ATK</t>
        </is>
      </c>
      <c r="J196" s="541" t="inlineStr">
        <is>
          <t>RUSH</t>
        </is>
      </c>
      <c r="K196" s="541" t="inlineStr">
        <is>
          <t>DEF</t>
        </is>
      </c>
      <c r="L196" s="541" t="inlineStr">
        <is>
          <t>CRIT</t>
        </is>
      </c>
      <c r="M196" s="541" t="inlineStr">
        <is>
          <t>CRIT DMG</t>
        </is>
      </c>
      <c r="N196" s="541" t="inlineStr">
        <is>
          <t>DMG</t>
        </is>
      </c>
      <c r="O196" s="541" t="inlineStr">
        <is>
          <t>DMG Reduc</t>
        </is>
      </c>
      <c r="P196" s="541" t="inlineStr">
        <is>
          <t>Hero DMG</t>
        </is>
      </c>
      <c r="Q196" s="541" t="inlineStr">
        <is>
          <t>ELMT DMG</t>
        </is>
      </c>
      <c r="R196" s="541" t="inlineStr">
        <is>
          <t>Alternatives</t>
        </is>
      </c>
      <c r="S196" s="1129" t="n"/>
      <c r="U196" s="444" t="n"/>
      <c r="V196" s="444" t="inlineStr">
        <is>
          <t>Boosted</t>
        </is>
      </c>
      <c r="W196" s="444" t="inlineStr">
        <is>
          <t>Damage</t>
        </is>
      </c>
    </row>
    <row r="197">
      <c r="C197" s="456">
        <f>A171</f>
        <v/>
      </c>
      <c r="D197" s="457" t="n"/>
      <c r="E197" s="458" t="inlineStr">
        <is>
          <t>FAME</t>
        </is>
      </c>
      <c r="F197" s="458" t="inlineStr">
        <is>
          <t>HARD</t>
        </is>
      </c>
      <c r="G197" s="550">
        <f>IFERROR(VLOOKUP($C197,$A$170:$R$190,4,FALSE),0)+IFERROR(VLOOKUP($C197,$A$170:$R$190,18,FALSE),0)</f>
        <v/>
      </c>
      <c r="H197" s="607">
        <f>IFERROR(VLOOKUP($C197,$A$170:$R$190,8,FALSE),0)+IFERROR(VLOOKUP($G197,$Y$2:$AA$50,2),0)</f>
        <v/>
      </c>
      <c r="I197" s="607">
        <f>IFERROR(VLOOKUP($C197,$A$170:$R$190,9,FALSE),0)+IFERROR(VLOOKUP($G197,$Y$2:$AA$50,2),0)</f>
        <v/>
      </c>
      <c r="J197" s="607">
        <f>IFERROR(VLOOKUP($C197,$A$170:$R$190,10,FALSE),0)+IFERROR(VLOOKUP($G197,$Y$2:$AA$50,2),0)</f>
        <v/>
      </c>
      <c r="K197" s="607">
        <f>IFERROR(VLOOKUP($C197,$A$170:$R$190,11,FALSE),0)+IFERROR(VLOOKUP($G197,$Y$2:$AA$50,2),0)</f>
        <v/>
      </c>
      <c r="L197" s="607">
        <f>XLOOKUP($C197,$A$170:$A$190,$L$170:$L$190,0)</f>
        <v/>
      </c>
      <c r="M197" s="607">
        <f>XLOOKUP($C197,$A$170:$A$190,$M$170:$M$190,0)</f>
        <v/>
      </c>
      <c r="N197" s="607">
        <f>XLOOKUP($C197,$A$170:$A$190,$N$170:$N$190,0)</f>
        <v/>
      </c>
      <c r="O197" s="607">
        <f>XLOOKUP($C197,$A$170:$A$190,$O$170:$O$190,0)</f>
        <v/>
      </c>
      <c r="P197" s="607">
        <f>XLOOKUP($C197,$A$170:$A$190,$P$170:$P$190,0)</f>
        <v/>
      </c>
      <c r="Q197" s="607">
        <f>XLOOKUP($C197,$A$170:$A$190,$Q$170:$Q$190,0)</f>
        <v/>
      </c>
      <c r="R197" s="592">
        <f>A173</f>
        <v/>
      </c>
      <c r="S197" s="1129" t="n"/>
      <c r="U197" s="444" t="inlineStr">
        <is>
          <t>Troop:</t>
        </is>
      </c>
      <c r="V197" s="444" t="n"/>
      <c r="W197" s="444" t="n"/>
    </row>
    <row r="198">
      <c r="C198" s="543">
        <f>A177</f>
        <v/>
      </c>
      <c r="D198" s="544" t="n"/>
      <c r="E198" s="552" t="inlineStr">
        <is>
          <t>ART</t>
        </is>
      </c>
      <c r="F198" s="552" t="inlineStr">
        <is>
          <t>HP</t>
        </is>
      </c>
      <c r="G198" s="546">
        <f>IFERROR(VLOOKUP($C198,$A$170:$R$190,4,FALSE),0)+IFERROR(VLOOKUP($C198,$A$170:$R$190,18,FALSE),0)</f>
        <v/>
      </c>
      <c r="H198" s="554">
        <f>IFERROR(VLOOKUP($C198,$A$170:$R$190,8,FALSE),0)+IFERROR(VLOOKUP($G198,$Y$2:$AA$50,3),0)</f>
        <v/>
      </c>
      <c r="I198" s="554">
        <f>XLOOKUP($C198,$A$170:$A$190,$I$170:$I$190,0)</f>
        <v/>
      </c>
      <c r="J198" s="554">
        <f>XLOOKUP($C198,$A$170:$A$190,$J$170:$J$190,0)</f>
        <v/>
      </c>
      <c r="K198" s="554">
        <f>XLOOKUP($C198,$A$170:$A$190,$K$170:$K$190,0)</f>
        <v/>
      </c>
      <c r="L198" s="554">
        <f>XLOOKUP($C198,$A$170:$A$190,$L$170:$L$190,0)</f>
        <v/>
      </c>
      <c r="M198" s="554">
        <f>XLOOKUP($C198,$A$170:$A$190,$M$170:$M$190,0)</f>
        <v/>
      </c>
      <c r="N198" s="554">
        <f>XLOOKUP($C198,$A$170:$A$190,$N$170:$N$190,0)</f>
        <v/>
      </c>
      <c r="O198" s="554">
        <f>XLOOKUP($C198,$A$170:$A$190,$O$170:$O$190,0)</f>
        <v/>
      </c>
      <c r="P198" s="554">
        <f>XLOOKUP($C198,$A$170:$A$190,$P$170:$P$190,0)</f>
        <v/>
      </c>
      <c r="Q198" s="554">
        <f>XLOOKUP($C198,$A$170:$A$190,$Q$170:$Q$190,0)</f>
        <v/>
      </c>
      <c r="R198" s="1134">
        <f>A175</f>
        <v/>
      </c>
      <c r="S198" s="1129" t="n"/>
      <c r="U198" s="444" t="inlineStr">
        <is>
          <t>ATK</t>
        </is>
      </c>
      <c r="V198" s="444">
        <f>$Z$66*(1+I202/100)</f>
        <v/>
      </c>
      <c r="W198" s="444">
        <f>((V198-$Z$73)*(V200+P202/100)*((V201/100)*V202 + (1-V201/100)*1)) + LOG(V198,5)*Q202*(V200+P202/100)</f>
        <v/>
      </c>
    </row>
    <row r="199">
      <c r="C199" s="456">
        <f>A179</f>
        <v/>
      </c>
      <c r="D199" s="457" t="n"/>
      <c r="E199" s="458" t="inlineStr">
        <is>
          <t>FTH</t>
        </is>
      </c>
      <c r="F199" s="458" t="inlineStr">
        <is>
          <t>RUSH</t>
        </is>
      </c>
      <c r="G199" s="550">
        <f>IFERROR(VLOOKUP($C199,$A$170:$R$190,4,FALSE),0)+IFERROR(VLOOKUP($C199,$A$170:$R$190,18,FALSE),0)</f>
        <v/>
      </c>
      <c r="H199" s="607">
        <f>XLOOKUP($C199,$A$170:$A$190,$H$170:$H$190,0)</f>
        <v/>
      </c>
      <c r="I199" s="607">
        <f>XLOOKUP($C199,$A$170:$A$190,$I$170:$I$190,0)</f>
        <v/>
      </c>
      <c r="J199" s="607">
        <f>IFERROR(VLOOKUP($C199,$A$170:$R$190,10,FALSE),0)+IFERROR(VLOOKUP(G199,$Y$2:$AA$50,3),0)</f>
        <v/>
      </c>
      <c r="K199" s="607">
        <f>XLOOKUP($C199,$A$170:$A$190,$K$170:$K$190,0)</f>
        <v/>
      </c>
      <c r="L199" s="607">
        <f>XLOOKUP($C199,$A$170:$A$190,$L$170:$L$190,0)</f>
        <v/>
      </c>
      <c r="M199" s="607">
        <f>XLOOKUP($C199,$A$170:$A$190,$M$170:$M$190,0)</f>
        <v/>
      </c>
      <c r="N199" s="607">
        <f>XLOOKUP($C199,$A$170:$A$190,$N$170:$N$190,0)</f>
        <v/>
      </c>
      <c r="O199" s="607">
        <f>XLOOKUP($C199,$A$170:$A$190,$O$170:$O$190,0)</f>
        <v/>
      </c>
      <c r="P199" s="607">
        <f>XLOOKUP($C199,$A$170:$A$190,$P$170:$P$190,0)</f>
        <v/>
      </c>
      <c r="Q199" s="607">
        <f>XLOOKUP($C199,$A$170:$A$190,$Q$170:$Q$190,0)</f>
        <v/>
      </c>
      <c r="R199" s="592">
        <f>A181</f>
        <v/>
      </c>
      <c r="S199" s="1129" t="n"/>
      <c r="U199" s="444" t="inlineStr">
        <is>
          <t>RUSH</t>
        </is>
      </c>
      <c r="V199" s="444">
        <f>$Z$67*(1+J202/100)</f>
        <v/>
      </c>
      <c r="W199" s="444">
        <f>(V199-$Z$73)*(V200+P202/100)*((V201/100)*V202 + (1-V201/100)*1) + LOG(V199,5)*Q202*(V200+P202/100)</f>
        <v/>
      </c>
    </row>
    <row r="200">
      <c r="C200" s="543">
        <f>A182</f>
        <v/>
      </c>
      <c r="D200" s="544" t="n"/>
      <c r="E200" s="552" t="inlineStr">
        <is>
          <t>CIV</t>
        </is>
      </c>
      <c r="F200" s="552" t="inlineStr">
        <is>
          <t>ATK</t>
        </is>
      </c>
      <c r="G200" s="546">
        <f>IFERROR(VLOOKUP($C200,$A$170:$R$190,4,FALSE),0)+IFERROR(VLOOKUP($C200,$A$170:$R$190,18,FALSE),0)</f>
        <v/>
      </c>
      <c r="H200" s="554">
        <f>XLOOKUP($C200,$A$170:$A$190,$H$170:$H$190,0)</f>
        <v/>
      </c>
      <c r="I200" s="554">
        <f>IFERROR(VLOOKUP($C200,$A$170:$R$190,9,FALSE),0)+IFERROR(VLOOKUP(G200,$Y$2:$AA$50,3),0)</f>
        <v/>
      </c>
      <c r="J200" s="554">
        <f>XLOOKUP($C200,$A$170:$A$190,$J$170:$J$190,0)</f>
        <v/>
      </c>
      <c r="K200" s="554">
        <f>XLOOKUP($C200,$A$170:$A$190,$K$170:$K$190,0)</f>
        <v/>
      </c>
      <c r="L200" s="554">
        <f>XLOOKUP($C200,$A$170:$A$190,$L$170:$L$190,0)</f>
        <v/>
      </c>
      <c r="M200" s="554">
        <f>XLOOKUP($C200,$A$170:$A$190,$M$170:$M$190,0)</f>
        <v/>
      </c>
      <c r="N200" s="554">
        <f>XLOOKUP($C200,$A$170:$A$190,$N$170:$N$190,0)</f>
        <v/>
      </c>
      <c r="O200" s="554">
        <f>XLOOKUP($C200,$A$170:$A$190,$O$170:$O$190,0)</f>
        <v/>
      </c>
      <c r="P200" s="554">
        <f>XLOOKUP($C200,$A$170:$A$190,$P$170:$P$190,0)</f>
        <v/>
      </c>
      <c r="Q200" s="554">
        <f>XLOOKUP($C200,$A$170:$A$190,$Q$170:$Q$190,0)</f>
        <v/>
      </c>
      <c r="R200" s="1134">
        <f>A183</f>
        <v/>
      </c>
      <c r="S200" s="1129" t="n"/>
      <c r="U200" s="444" t="inlineStr">
        <is>
          <t>DMG%</t>
        </is>
      </c>
      <c r="V200" s="444">
        <f>(1+($Z$68+N202)/100)</f>
        <v/>
      </c>
      <c r="W200" s="444" t="n"/>
    </row>
    <row r="201">
      <c r="C201" s="456">
        <f>A181</f>
        <v/>
      </c>
      <c r="D201" s="457" t="n"/>
      <c r="E201" s="458" t="inlineStr">
        <is>
          <t>TECH</t>
        </is>
      </c>
      <c r="F201" s="458" t="inlineStr">
        <is>
          <t>DEF</t>
        </is>
      </c>
      <c r="G201" s="550" t="n">
        <v>72</v>
      </c>
      <c r="H201" s="607">
        <f>XLOOKUP($C201,$A$170:$A$190,$H$170:$H$190,0)</f>
        <v/>
      </c>
      <c r="I201" s="607">
        <f>XLOOKUP($C201,$A$170:$A$190,$I$170:$I$190,0)</f>
        <v/>
      </c>
      <c r="J201" s="607">
        <f>XLOOKUP($C201,$A$170:$A$190,$J$170:$J$190,0)</f>
        <v/>
      </c>
      <c r="K201" s="607">
        <f>IFERROR(VLOOKUP($C201,$A$170:$R$190,11,FALSE),0)+IFERROR(VLOOKUP(G201,$Y$2:$AA$50,3),0)</f>
        <v/>
      </c>
      <c r="L201" s="607">
        <f>XLOOKUP($C201,$A$170:$A$190,$L$170:$L$190,0)</f>
        <v/>
      </c>
      <c r="M201" s="607">
        <f>XLOOKUP($C201,$A$170:$A$190,$M$170:$M$190,0)</f>
        <v/>
      </c>
      <c r="N201" s="607">
        <f>XLOOKUP($C201,$A$170:$A$190,$N$170:$N$190,0)</f>
        <v/>
      </c>
      <c r="O201" s="607">
        <f>XLOOKUP($C201,$A$170:$A$190,$O$170:$O$190,0)</f>
        <v/>
      </c>
      <c r="P201" s="607">
        <f>XLOOKUP($C201,$A$170:$A$190,$P$170:$P$190,0)</f>
        <v/>
      </c>
      <c r="Q201" s="607">
        <f>XLOOKUP($C201,$A$170:$A$190,$Q$170:$Q$190,0)</f>
        <v/>
      </c>
      <c r="R201" s="592">
        <f>A189</f>
        <v/>
      </c>
      <c r="S201" s="1129" t="n"/>
      <c r="U201" s="444" t="inlineStr">
        <is>
          <t>CRIT%</t>
        </is>
      </c>
      <c r="V201" s="444">
        <f>$Z$69+L202</f>
        <v/>
      </c>
      <c r="W201" s="444" t="n"/>
    </row>
    <row r="202">
      <c r="C202" s="551" t="inlineStr">
        <is>
          <t>Total</t>
        </is>
      </c>
      <c r="D202" s="544" t="n"/>
      <c r="E202" s="552" t="n"/>
      <c r="F202" s="552" t="n"/>
      <c r="G202" s="553" t="n"/>
      <c r="H202" s="554">
        <f>sum(H197:H201)</f>
        <v/>
      </c>
      <c r="I202" s="554">
        <f>sum(I197:I201)</f>
        <v/>
      </c>
      <c r="J202" s="554">
        <f>sum(J197:J201)</f>
        <v/>
      </c>
      <c r="K202" s="554">
        <f>sum(K197:K201)</f>
        <v/>
      </c>
      <c r="L202" s="554">
        <f>sum(L197:L201)</f>
        <v/>
      </c>
      <c r="M202" s="554">
        <f>sum(M197:M201)</f>
        <v/>
      </c>
      <c r="N202" s="554">
        <f>sum(N197:N201)</f>
        <v/>
      </c>
      <c r="O202" s="554">
        <f>sum(O197:O201)</f>
        <v/>
      </c>
      <c r="P202" s="554">
        <f>sum(P197:P201)</f>
        <v/>
      </c>
      <c r="Q202" s="554">
        <f>sum(Q197:Q201)</f>
        <v/>
      </c>
      <c r="R202" s="1135" t="inlineStr"/>
      <c r="S202" s="1129" t="n"/>
      <c r="U202" s="444" t="inlineStr">
        <is>
          <t>CRIT DMG%</t>
        </is>
      </c>
      <c r="V202" s="444">
        <f>1.5+($Z$70+M202)/100</f>
        <v/>
      </c>
      <c r="W202" s="444" t="n"/>
    </row>
    <row r="203">
      <c r="C203" s="593" t="inlineStr">
        <is>
          <t>Damage Per Round</t>
        </is>
      </c>
      <c r="D203" s="457" t="n"/>
      <c r="E203" s="476">
        <f>W198+W199</f>
        <v/>
      </c>
      <c r="F203" s="508" t="n"/>
      <c r="G203" s="515" t="n"/>
      <c r="H203" s="479" t="n"/>
      <c r="I203" s="479" t="n"/>
      <c r="J203" s="479" t="n"/>
      <c r="K203" s="479" t="n"/>
      <c r="L203" s="479" t="n"/>
      <c r="M203" s="479" t="n"/>
      <c r="N203" s="479" t="n"/>
      <c r="O203" s="479" t="n"/>
      <c r="P203" s="479" t="n"/>
      <c r="Q203" s="479" t="n"/>
      <c r="R203" s="479" t="n"/>
      <c r="S203" s="479" t="n"/>
    </row>
    <row r="204"/>
    <row r="205"/>
    <row r="206"/>
    <row r="207">
      <c r="A207" s="556" t="inlineStr">
        <is>
          <t>Minion Sim</t>
        </is>
      </c>
      <c r="B207" s="557" t="n"/>
      <c r="C207" s="557" t="n"/>
      <c r="D207" s="559" t="inlineStr">
        <is>
          <t>Main AFFCT</t>
        </is>
      </c>
      <c r="E207" s="559" t="inlineStr">
        <is>
          <t>Stamp 1</t>
        </is>
      </c>
      <c r="F207" s="559" t="inlineStr">
        <is>
          <t>Stamp 2</t>
        </is>
      </c>
      <c r="G207" s="559" t="inlineStr">
        <is>
          <t>Stamp 3</t>
        </is>
      </c>
      <c r="H207" s="559" t="inlineStr">
        <is>
          <t>HP</t>
        </is>
      </c>
      <c r="I207" s="559" t="inlineStr">
        <is>
          <t>ATK</t>
        </is>
      </c>
      <c r="J207" s="559" t="inlineStr">
        <is>
          <t>RUSH</t>
        </is>
      </c>
      <c r="K207" s="559" t="inlineStr">
        <is>
          <t>DEF</t>
        </is>
      </c>
      <c r="L207" s="559" t="inlineStr">
        <is>
          <t>CRIT</t>
        </is>
      </c>
      <c r="M207" s="559" t="inlineStr">
        <is>
          <t>CRIT DMG</t>
        </is>
      </c>
      <c r="N207" s="559" t="inlineStr">
        <is>
          <t>DMG</t>
        </is>
      </c>
      <c r="O207" s="559" t="inlineStr">
        <is>
          <t>DMG Reduc</t>
        </is>
      </c>
      <c r="P207" s="559" t="inlineStr">
        <is>
          <t>Hero DMG</t>
        </is>
      </c>
      <c r="Q207" s="559" t="inlineStr">
        <is>
          <t>ELMT DMG</t>
        </is>
      </c>
      <c r="R207" s="559" t="inlineStr">
        <is>
          <t>AFFCT</t>
        </is>
      </c>
      <c r="S207" s="560" t="inlineStr">
        <is>
          <t>Sub AFFCT</t>
        </is>
      </c>
      <c r="T207" s="561" t="inlineStr">
        <is>
          <t>Source</t>
        </is>
      </c>
    </row>
    <row r="208">
      <c r="A208" s="434" t="inlineStr">
        <is>
          <t>INDIVIDUAL RELICS</t>
        </is>
      </c>
      <c r="B208" s="425" t="n"/>
      <c r="C208" s="425" t="n"/>
      <c r="D208" s="425" t="n"/>
      <c r="E208" s="425" t="n"/>
      <c r="F208" s="425" t="n"/>
      <c r="G208" s="425" t="n"/>
      <c r="T208" s="418" t="n"/>
    </row>
    <row r="209">
      <c r="A209" s="450" t="inlineStr">
        <is>
          <t>Utopia</t>
        </is>
      </c>
      <c r="B209" s="450" t="inlineStr">
        <is>
          <t>SSS</t>
        </is>
      </c>
      <c r="C209" s="450" t="inlineStr">
        <is>
          <t>FAME</t>
        </is>
      </c>
      <c r="D209" s="448" t="n">
        <v>108</v>
      </c>
      <c r="E209" s="448" t="inlineStr">
        <is>
          <t>FAME +15</t>
        </is>
      </c>
      <c r="F209" s="450" t="inlineStr">
        <is>
          <t>HARD +3%</t>
        </is>
      </c>
      <c r="G209" s="450" t="inlineStr">
        <is>
          <t>DMG REDUC +6%</t>
        </is>
      </c>
      <c r="H209" s="444" t="n">
        <v>3</v>
      </c>
      <c r="I209" s="444" t="n">
        <v>3</v>
      </c>
      <c r="J209" s="444" t="n">
        <v>3</v>
      </c>
      <c r="K209" s="444" t="n">
        <v>3</v>
      </c>
      <c r="L209" s="444" t="n"/>
      <c r="M209" s="444" t="n"/>
      <c r="N209" s="444" t="n"/>
      <c r="O209" s="444" t="n">
        <v>6</v>
      </c>
      <c r="P209" s="444" t="n"/>
      <c r="Q209" s="444" t="n"/>
      <c r="R209" s="444" t="n">
        <v>15</v>
      </c>
      <c r="S209" s="444" t="n"/>
      <c r="T209" s="386" t="inlineStr">
        <is>
          <t>Lottery Machine No. 3 (0.12%)</t>
        </is>
      </c>
    </row>
    <row r="210">
      <c r="A210" s="450" t="inlineStr">
        <is>
          <t>L'Art de la Guerre</t>
        </is>
      </c>
      <c r="B210" s="450" t="inlineStr">
        <is>
          <t>SSS</t>
        </is>
      </c>
      <c r="C210" s="450" t="inlineStr">
        <is>
          <t>FAME</t>
        </is>
      </c>
      <c r="D210" s="448" t="n">
        <v>107</v>
      </c>
      <c r="E210" s="448" t="inlineStr">
        <is>
          <t>RUSH +9%</t>
        </is>
      </c>
      <c r="F210" s="450" t="inlineStr">
        <is>
          <t>CRIT +9%</t>
        </is>
      </c>
      <c r="G210" s="450" t="inlineStr">
        <is>
          <t>ATK +9%</t>
        </is>
      </c>
      <c r="H210" s="444" t="n"/>
      <c r="I210" s="444" t="n">
        <v>9</v>
      </c>
      <c r="J210" s="444" t="n">
        <v>9</v>
      </c>
      <c r="K210" s="444" t="n"/>
      <c r="L210" s="444" t="n">
        <v>9</v>
      </c>
      <c r="M210" s="444" t="n"/>
      <c r="N210" s="444" t="n"/>
      <c r="O210" s="444" t="n"/>
      <c r="P210" s="444" t="n"/>
      <c r="Q210" s="444" t="n"/>
      <c r="R210" s="444" t="n"/>
      <c r="S210" s="444" t="n">
        <v>49</v>
      </c>
      <c r="T210" s="386" t="inlineStr">
        <is>
          <t>Star Chart Shop</t>
        </is>
      </c>
    </row>
    <row r="211">
      <c r="A211" s="450" t="inlineStr">
        <is>
          <t>Olympic Torch</t>
        </is>
      </c>
      <c r="B211" s="450" t="inlineStr">
        <is>
          <t>SSS</t>
        </is>
      </c>
      <c r="C211" s="450" t="inlineStr">
        <is>
          <t>FAME</t>
        </is>
      </c>
      <c r="D211" s="448" t="n">
        <v>108</v>
      </c>
      <c r="E211" s="448" t="inlineStr">
        <is>
          <t>HP +9%</t>
        </is>
      </c>
      <c r="F211" s="450" t="inlineStr">
        <is>
          <t>DEF +9%</t>
        </is>
      </c>
      <c r="G211" s="450" t="inlineStr">
        <is>
          <t>FAME +15</t>
        </is>
      </c>
      <c r="H211" s="444" t="n">
        <v>9</v>
      </c>
      <c r="I211" s="444" t="n"/>
      <c r="J211" s="444" t="n"/>
      <c r="K211" s="444" t="n">
        <v>9</v>
      </c>
      <c r="L211" s="444" t="n"/>
      <c r="M211" s="444" t="n"/>
      <c r="N211" s="444" t="n"/>
      <c r="O211" s="444" t="n"/>
      <c r="P211" s="444" t="n"/>
      <c r="Q211" s="444" t="n"/>
      <c r="R211" s="444" t="n">
        <v>15</v>
      </c>
      <c r="S211" s="444" t="n"/>
      <c r="T211" s="386" t="inlineStr">
        <is>
          <t>Wish Box Relic Album #3</t>
        </is>
      </c>
    </row>
    <row r="212">
      <c r="A212" s="450" t="inlineStr">
        <is>
          <t>Locarno Treaties</t>
        </is>
      </c>
      <c r="B212" s="450" t="inlineStr">
        <is>
          <t>SS</t>
        </is>
      </c>
      <c r="C212" s="450" t="inlineStr">
        <is>
          <t>FAME</t>
        </is>
      </c>
      <c r="D212" s="448" t="n">
        <v>103</v>
      </c>
      <c r="E212" s="448" t="inlineStr">
        <is>
          <t>Water DMG +60</t>
        </is>
      </c>
      <c r="F212" s="450" t="n"/>
      <c r="G212" s="450" t="n"/>
      <c r="H212" s="444" t="n"/>
      <c r="I212" s="444" t="n"/>
      <c r="J212" s="444" t="n"/>
      <c r="K212" s="444" t="n"/>
      <c r="L212" s="444" t="n"/>
      <c r="M212" s="444" t="n"/>
      <c r="N212" s="444" t="n"/>
      <c r="O212" s="444" t="n"/>
      <c r="P212" s="444" t="n"/>
      <c r="Q212" s="444" t="n">
        <v>60</v>
      </c>
      <c r="R212" s="444" t="n"/>
      <c r="S212" s="444" t="n"/>
      <c r="T212" s="386" t="inlineStr">
        <is>
          <t>Lottery Machine No. 3 (0.48%)</t>
        </is>
      </c>
    </row>
    <row r="213">
      <c r="A213" s="450" t="inlineStr">
        <is>
          <t>Bronze Longhu Cup</t>
        </is>
      </c>
      <c r="B213" s="450" t="inlineStr">
        <is>
          <t>SSS</t>
        </is>
      </c>
      <c r="C213" s="450" t="inlineStr">
        <is>
          <t>ART</t>
        </is>
      </c>
      <c r="D213" s="448" t="n">
        <v>109</v>
      </c>
      <c r="E213" s="448" t="inlineStr">
        <is>
          <t>DMG +6%</t>
        </is>
      </c>
      <c r="F213" s="450" t="inlineStr">
        <is>
          <t>CRIT DMG +9%</t>
        </is>
      </c>
      <c r="G213" s="450" t="inlineStr">
        <is>
          <t>RUSH +9%</t>
        </is>
      </c>
      <c r="H213" s="444" t="n"/>
      <c r="I213" s="444" t="n"/>
      <c r="J213" s="444" t="n">
        <v>9</v>
      </c>
      <c r="K213" s="444" t="n"/>
      <c r="L213" s="444" t="n"/>
      <c r="M213" s="444" t="n">
        <v>9</v>
      </c>
      <c r="N213" s="444" t="n">
        <v>6</v>
      </c>
      <c r="O213" s="444" t="n"/>
      <c r="P213" s="444" t="n"/>
      <c r="Q213" s="444" t="n"/>
      <c r="R213" s="444" t="n"/>
      <c r="S213" s="444" t="n"/>
      <c r="T213" s="386" t="inlineStr">
        <is>
          <t>Lottery Machine No. 2 (0.12%), Relic Forge (120 RF)</t>
        </is>
      </c>
    </row>
    <row r="214">
      <c r="A214" s="450" t="inlineStr">
        <is>
          <t>La Marseillaise</t>
        </is>
      </c>
      <c r="B214" s="450" t="inlineStr">
        <is>
          <t>SSS</t>
        </is>
      </c>
      <c r="C214" s="450" t="inlineStr">
        <is>
          <t>ART</t>
        </is>
      </c>
      <c r="D214" s="448" t="n">
        <v>108</v>
      </c>
      <c r="E214" s="448" t="inlineStr">
        <is>
          <t>Fire DMG +60</t>
        </is>
      </c>
      <c r="F214" s="450" t="inlineStr">
        <is>
          <t>ART +15</t>
        </is>
      </c>
      <c r="G214" s="450" t="inlineStr">
        <is>
          <t>Water DMG +60</t>
        </is>
      </c>
      <c r="H214" s="444" t="n"/>
      <c r="I214" s="444" t="n"/>
      <c r="J214" s="444" t="n"/>
      <c r="K214" s="444" t="n"/>
      <c r="L214" s="444" t="n"/>
      <c r="M214" s="444" t="n"/>
      <c r="N214" s="444" t="n"/>
      <c r="O214" s="444" t="n"/>
      <c r="P214" s="444" t="n"/>
      <c r="Q214" s="444" t="n">
        <v>120</v>
      </c>
      <c r="R214" s="444" t="n">
        <v>15</v>
      </c>
      <c r="S214" s="444" t="n"/>
      <c r="T214" s="386" t="inlineStr">
        <is>
          <t>Star Chart Shop</t>
        </is>
      </c>
    </row>
    <row r="215">
      <c r="A215" s="450" t="inlineStr">
        <is>
          <t>The Persistent Memory</t>
        </is>
      </c>
      <c r="B215" s="450" t="inlineStr">
        <is>
          <t>SS</t>
        </is>
      </c>
      <c r="C215" s="450" t="inlineStr">
        <is>
          <t>ART</t>
        </is>
      </c>
      <c r="D215" s="448" t="n">
        <v>105</v>
      </c>
      <c r="E215" s="448" t="inlineStr">
        <is>
          <t>Water DMG +60</t>
        </is>
      </c>
      <c r="F215" s="450" t="inlineStr">
        <is>
          <t>CRIT +9%</t>
        </is>
      </c>
      <c r="G215" s="450" t="n"/>
      <c r="H215" s="444" t="n"/>
      <c r="I215" s="444" t="n"/>
      <c r="J215" s="444" t="n"/>
      <c r="K215" s="444" t="n"/>
      <c r="L215" s="444" t="n">
        <v>9</v>
      </c>
      <c r="M215" s="444" t="n"/>
      <c r="N215" s="444" t="n"/>
      <c r="O215" s="444" t="n"/>
      <c r="P215" s="444" t="n"/>
      <c r="Q215" s="444" t="n">
        <v>60</v>
      </c>
      <c r="R215" s="444" t="n"/>
      <c r="S215" s="444" t="n"/>
      <c r="T215" s="386" t="inlineStr">
        <is>
          <t>Lottery Machine No. 3 (0.48%)</t>
        </is>
      </c>
    </row>
    <row r="216">
      <c r="A216" s="450" t="inlineStr">
        <is>
          <t>Antigone</t>
        </is>
      </c>
      <c r="B216" s="450" t="inlineStr">
        <is>
          <t>S</t>
        </is>
      </c>
      <c r="C216" s="450" t="inlineStr">
        <is>
          <t>ART</t>
        </is>
      </c>
      <c r="D216" s="448" t="n">
        <v>99</v>
      </c>
      <c r="E216" s="448" t="inlineStr">
        <is>
          <t>Regen +1200</t>
        </is>
      </c>
      <c r="F216" s="450" t="n"/>
      <c r="G216" s="450" t="n"/>
      <c r="H216" s="444" t="n"/>
      <c r="I216" s="444" t="n"/>
      <c r="J216" s="444" t="n"/>
      <c r="K216" s="444" t="n"/>
      <c r="L216" s="444" t="n"/>
      <c r="M216" s="444" t="n"/>
      <c r="N216" s="444" t="n"/>
      <c r="O216" s="444" t="n"/>
      <c r="P216" s="444" t="n"/>
      <c r="Q216" s="444" t="n"/>
      <c r="R216" s="444" t="n"/>
      <c r="S216" s="444" t="n"/>
      <c r="T216" s="386" t="inlineStr">
        <is>
          <t>Lottery Machine No. 3 (1.63%)</t>
        </is>
      </c>
    </row>
    <row r="217">
      <c r="A217" s="450" t="inlineStr">
        <is>
          <t>Arthur's Christmas Crown</t>
        </is>
      </c>
      <c r="B217" s="450" t="inlineStr">
        <is>
          <t>SSS</t>
        </is>
      </c>
      <c r="C217" s="450" t="inlineStr">
        <is>
          <t>FTH</t>
        </is>
      </c>
      <c r="D217" s="448" t="n">
        <v>106</v>
      </c>
      <c r="E217" s="448" t="inlineStr">
        <is>
          <t>FTH +15</t>
        </is>
      </c>
      <c r="F217" s="450" t="inlineStr">
        <is>
          <t>DEF +9%</t>
        </is>
      </c>
      <c r="G217" s="450" t="inlineStr">
        <is>
          <t>HP +9%</t>
        </is>
      </c>
      <c r="H217" s="444" t="n">
        <v>9</v>
      </c>
      <c r="I217" s="444" t="n"/>
      <c r="J217" s="444" t="n"/>
      <c r="K217" s="444" t="n">
        <v>9</v>
      </c>
      <c r="L217" s="444" t="n"/>
      <c r="M217" s="444" t="n"/>
      <c r="N217" s="444" t="n"/>
      <c r="O217" s="444" t="n"/>
      <c r="P217" s="444" t="n"/>
      <c r="Q217" s="444" t="n"/>
      <c r="R217" s="444" t="n">
        <v>15</v>
      </c>
      <c r="S217" s="444" t="n"/>
      <c r="T217" s="386" t="inlineStr">
        <is>
          <t>Christmas 2025 Event</t>
        </is>
      </c>
    </row>
    <row r="218">
      <c r="A218" s="450" t="inlineStr">
        <is>
          <t>Talmud</t>
        </is>
      </c>
      <c r="B218" s="450" t="inlineStr">
        <is>
          <t>SSS</t>
        </is>
      </c>
      <c r="C218" s="450" t="inlineStr">
        <is>
          <t>FTH</t>
        </is>
      </c>
      <c r="D218" s="448" t="n">
        <v>109</v>
      </c>
      <c r="E218" s="448" t="inlineStr">
        <is>
          <t>FTH +15</t>
        </is>
      </c>
      <c r="F218" s="450" t="inlineStr">
        <is>
          <t>ATK +9%</t>
        </is>
      </c>
      <c r="G218" s="450" t="inlineStr">
        <is>
          <t>Fire DMG +60</t>
        </is>
      </c>
      <c r="H218" s="444" t="n"/>
      <c r="I218" s="444" t="n">
        <v>9</v>
      </c>
      <c r="J218" s="444" t="n"/>
      <c r="K218" s="444" t="n"/>
      <c r="L218" s="444" t="n"/>
      <c r="M218" s="444" t="n"/>
      <c r="N218" s="444" t="n"/>
      <c r="O218" s="444" t="n"/>
      <c r="P218" s="444" t="n"/>
      <c r="Q218" s="444" t="n">
        <v>60</v>
      </c>
      <c r="R218" s="444" t="n">
        <v>15</v>
      </c>
      <c r="S218" s="444" t="n"/>
      <c r="T218" s="386" t="inlineStr">
        <is>
          <t>Daily Pack #25</t>
        </is>
      </c>
    </row>
    <row r="219">
      <c r="A219" s="450" t="inlineStr">
        <is>
          <t>Ludovisi Ares</t>
        </is>
      </c>
      <c r="B219" s="450" t="inlineStr">
        <is>
          <t>SSS</t>
        </is>
      </c>
      <c r="C219" s="450" t="inlineStr">
        <is>
          <t>FTH</t>
        </is>
      </c>
      <c r="D219" s="448" t="n">
        <v>109</v>
      </c>
      <c r="E219" s="448" t="inlineStr">
        <is>
          <t>FTH +15</t>
        </is>
      </c>
      <c r="F219" s="450" t="inlineStr">
        <is>
          <t>HP +9%</t>
        </is>
      </c>
      <c r="G219" s="450" t="inlineStr">
        <is>
          <t>Regen +1200</t>
        </is>
      </c>
      <c r="H219" s="444" t="n">
        <v>9</v>
      </c>
      <c r="I219" s="444" t="n"/>
      <c r="J219" s="444" t="n"/>
      <c r="K219" s="444" t="n"/>
      <c r="L219" s="444" t="n"/>
      <c r="M219" s="444" t="n"/>
      <c r="N219" s="444" t="n"/>
      <c r="O219" s="444" t="n"/>
      <c r="P219" s="444" t="n"/>
      <c r="Q219" s="444" t="n"/>
      <c r="R219" s="444" t="n">
        <v>15</v>
      </c>
      <c r="S219" s="444" t="n"/>
      <c r="T219" s="386" t="inlineStr">
        <is>
          <t>Star Chart Shop</t>
        </is>
      </c>
    </row>
    <row r="220">
      <c r="A220" s="450" t="inlineStr">
        <is>
          <t>Investiture of Gods</t>
        </is>
      </c>
      <c r="B220" s="450" t="inlineStr">
        <is>
          <t>S</t>
        </is>
      </c>
      <c r="C220" s="450" t="inlineStr">
        <is>
          <t>FTH</t>
        </is>
      </c>
      <c r="D220" s="448" t="n">
        <v>97</v>
      </c>
      <c r="E220" s="448" t="inlineStr">
        <is>
          <t>Water DMG +60</t>
        </is>
      </c>
      <c r="F220" s="448" t="n"/>
      <c r="G220" s="450" t="n"/>
      <c r="H220" s="444" t="n"/>
      <c r="I220" s="444" t="n"/>
      <c r="J220" s="444" t="n"/>
      <c r="K220" s="444" t="n"/>
      <c r="L220" s="444" t="n"/>
      <c r="M220" s="444" t="n"/>
      <c r="N220" s="444" t="n"/>
      <c r="O220" s="444" t="n"/>
      <c r="P220" s="444" t="n"/>
      <c r="Q220" s="444" t="n">
        <v>60</v>
      </c>
      <c r="R220" s="444" t="n"/>
      <c r="S220" s="444" t="n"/>
      <c r="T220" s="386" t="inlineStr">
        <is>
          <t>Lottery Machine No. 3 (1.63%)</t>
        </is>
      </c>
    </row>
    <row r="221">
      <c r="A221" s="450" t="inlineStr">
        <is>
          <t>Maya Mural</t>
        </is>
      </c>
      <c r="B221" s="450" t="inlineStr">
        <is>
          <t>SSS</t>
        </is>
      </c>
      <c r="C221" s="450" t="inlineStr">
        <is>
          <t>CIV</t>
        </is>
      </c>
      <c r="D221" s="448" t="n">
        <v>108</v>
      </c>
      <c r="E221" s="448" t="inlineStr">
        <is>
          <t>DMG +6%</t>
        </is>
      </c>
      <c r="F221" s="448" t="inlineStr">
        <is>
          <t>DEF +9%</t>
        </is>
      </c>
      <c r="G221" s="450" t="inlineStr">
        <is>
          <t>Wind DMG +60</t>
        </is>
      </c>
      <c r="H221" s="444" t="n"/>
      <c r="I221" s="444" t="n"/>
      <c r="J221" s="444" t="n"/>
      <c r="K221" s="444" t="n">
        <v>9</v>
      </c>
      <c r="L221" s="444" t="n"/>
      <c r="M221" s="444" t="n"/>
      <c r="N221" s="444" t="n">
        <v>6</v>
      </c>
      <c r="O221" s="444" t="n"/>
      <c r="P221" s="444" t="n"/>
      <c r="Q221" s="444" t="n">
        <v>60</v>
      </c>
      <c r="R221" s="444" t="n"/>
      <c r="S221" s="444" t="n">
        <v>68</v>
      </c>
      <c r="T221" s="386" t="inlineStr">
        <is>
          <t>Star Chart Shop</t>
        </is>
      </c>
    </row>
    <row r="222">
      <c r="A222" s="450" t="inlineStr">
        <is>
          <t>Golden Key Award</t>
        </is>
      </c>
      <c r="B222" s="450" t="inlineStr">
        <is>
          <t>SSS</t>
        </is>
      </c>
      <c r="C222" s="450" t="inlineStr">
        <is>
          <t>CIV</t>
        </is>
      </c>
      <c r="D222" s="448" t="n">
        <v>108</v>
      </c>
      <c r="E222" s="448" t="inlineStr">
        <is>
          <t>CIV +15</t>
        </is>
      </c>
      <c r="F222" s="448" t="inlineStr">
        <is>
          <t>HP +9%</t>
        </is>
      </c>
      <c r="G222" s="450" t="inlineStr">
        <is>
          <t>HARD +3%</t>
        </is>
      </c>
      <c r="H222" s="444" t="n">
        <v>12</v>
      </c>
      <c r="I222" s="444" t="n">
        <v>3</v>
      </c>
      <c r="J222" s="444" t="n">
        <v>3</v>
      </c>
      <c r="K222" s="444" t="n">
        <v>3</v>
      </c>
      <c r="L222" s="444" t="n"/>
      <c r="M222" s="444" t="n"/>
      <c r="N222" s="444" t="n"/>
      <c r="O222" s="444" t="n"/>
      <c r="P222" s="444" t="n"/>
      <c r="Q222" s="444" t="n"/>
      <c r="R222" s="444" t="n">
        <v>15</v>
      </c>
      <c r="S222" s="444" t="n"/>
      <c r="T222" s="386" t="inlineStr">
        <is>
          <t>Decor Bonus</t>
        </is>
      </c>
    </row>
    <row r="223">
      <c r="A223" s="450" t="inlineStr">
        <is>
          <t>SSB Trophy</t>
        </is>
      </c>
      <c r="B223" s="450" t="inlineStr">
        <is>
          <t>SSS</t>
        </is>
      </c>
      <c r="C223" s="450" t="inlineStr">
        <is>
          <t>CIV</t>
        </is>
      </c>
      <c r="D223" s="448" t="n">
        <v>106</v>
      </c>
      <c r="E223" s="448" t="inlineStr">
        <is>
          <t>HP +9%</t>
        </is>
      </c>
      <c r="F223" s="448" t="inlineStr">
        <is>
          <t>DEF +9%</t>
        </is>
      </c>
      <c r="G223" s="450" t="inlineStr">
        <is>
          <t>CIV +15</t>
        </is>
      </c>
      <c r="H223" s="444" t="n">
        <v>9</v>
      </c>
      <c r="I223" s="444" t="n"/>
      <c r="J223" s="444" t="n"/>
      <c r="K223" s="444" t="n">
        <v>9</v>
      </c>
      <c r="L223" s="444" t="n"/>
      <c r="M223" s="444" t="n"/>
      <c r="N223" s="444" t="n"/>
      <c r="O223" s="444" t="n"/>
      <c r="P223" s="444" t="n"/>
      <c r="Q223" s="444" t="n"/>
      <c r="R223" s="444" t="n">
        <v>15</v>
      </c>
      <c r="S223" s="444" t="n"/>
      <c r="T223" s="386" t="inlineStr">
        <is>
          <t>Lottery Machine No. 2 (0.11%)</t>
        </is>
      </c>
    </row>
    <row r="224">
      <c r="A224" s="450" t="inlineStr">
        <is>
          <t>Riemann Hypothesis</t>
        </is>
      </c>
      <c r="B224" s="450" t="inlineStr">
        <is>
          <t>SSS</t>
        </is>
      </c>
      <c r="C224" s="450" t="inlineStr">
        <is>
          <t>TECH</t>
        </is>
      </c>
      <c r="D224" s="448" t="n">
        <v>107</v>
      </c>
      <c r="E224" s="448" t="inlineStr">
        <is>
          <t>ATK +9%</t>
        </is>
      </c>
      <c r="F224" s="448" t="inlineStr">
        <is>
          <t>RUSH +9%</t>
        </is>
      </c>
      <c r="G224" s="450" t="inlineStr">
        <is>
          <t>Wind DMG +60</t>
        </is>
      </c>
      <c r="H224" s="444" t="n"/>
      <c r="I224" s="444" t="n">
        <v>9</v>
      </c>
      <c r="J224" s="444" t="n">
        <v>9</v>
      </c>
      <c r="K224" s="444" t="n"/>
      <c r="L224" s="444" t="n"/>
      <c r="M224" s="444" t="n"/>
      <c r="N224" s="444" t="n"/>
      <c r="O224" s="444" t="n"/>
      <c r="P224" s="444" t="n"/>
      <c r="Q224" s="444" t="n">
        <v>60</v>
      </c>
      <c r="R224" s="444" t="n"/>
      <c r="S224" s="444" t="n"/>
      <c r="T224" s="390" t="inlineStr">
        <is>
          <t>Lottery Machine No. 2 (?%), Relic Forge (120 RF)</t>
        </is>
      </c>
    </row>
    <row r="225">
      <c r="A225" s="450" t="inlineStr">
        <is>
          <t>Big Bang Theory</t>
        </is>
      </c>
      <c r="B225" s="450" t="inlineStr">
        <is>
          <t>SSS</t>
        </is>
      </c>
      <c r="C225" s="450" t="inlineStr">
        <is>
          <t>TECH</t>
        </is>
      </c>
      <c r="D225" s="448" t="n">
        <v>106</v>
      </c>
      <c r="E225" s="448" t="inlineStr">
        <is>
          <t>TECH +15</t>
        </is>
      </c>
      <c r="F225" s="448" t="inlineStr">
        <is>
          <t>HP +9%</t>
        </is>
      </c>
      <c r="G225" s="450" t="inlineStr">
        <is>
          <t>HP Regen +9%</t>
        </is>
      </c>
      <c r="H225" s="444" t="n">
        <v>9</v>
      </c>
      <c r="I225" s="444" t="n"/>
      <c r="J225" s="444" t="n"/>
      <c r="K225" s="444" t="n"/>
      <c r="L225" s="444" t="n"/>
      <c r="M225" s="444" t="n"/>
      <c r="N225" s="444" t="n"/>
      <c r="O225" s="444" t="n"/>
      <c r="P225" s="444" t="n"/>
      <c r="Q225" s="444" t="n"/>
      <c r="R225" s="444" t="n">
        <v>15</v>
      </c>
      <c r="S225" s="444" t="n"/>
      <c r="T225" s="386" t="inlineStr">
        <is>
          <t>Daily Pack #28</t>
        </is>
      </c>
    </row>
    <row r="226">
      <c r="A226" s="450" t="inlineStr">
        <is>
          <t>SAGE</t>
        </is>
      </c>
      <c r="B226" s="450" t="inlineStr">
        <is>
          <t>SSS</t>
        </is>
      </c>
      <c r="C226" s="450" t="inlineStr">
        <is>
          <t>TECH</t>
        </is>
      </c>
      <c r="D226" s="448" t="n">
        <v>108</v>
      </c>
      <c r="E226" s="448" t="inlineStr">
        <is>
          <t>Earth DMG +60</t>
        </is>
      </c>
      <c r="F226" s="448" t="inlineStr">
        <is>
          <t>HARD +3%</t>
        </is>
      </c>
      <c r="G226" s="450" t="inlineStr">
        <is>
          <t>TECH +15</t>
        </is>
      </c>
      <c r="H226" s="444" t="n">
        <v>3</v>
      </c>
      <c r="I226" s="444" t="n">
        <v>3</v>
      </c>
      <c r="J226" s="444" t="n">
        <v>3</v>
      </c>
      <c r="K226" s="444" t="n">
        <v>3</v>
      </c>
      <c r="L226" s="444" t="n"/>
      <c r="M226" s="444" t="n"/>
      <c r="N226" s="444" t="n"/>
      <c r="O226" s="444" t="n"/>
      <c r="P226" s="444" t="n"/>
      <c r="Q226" s="444" t="n">
        <v>60</v>
      </c>
      <c r="R226" s="444" t="n">
        <v>15</v>
      </c>
      <c r="S226" s="444" t="n"/>
      <c r="T226" s="970" t="inlineStr">
        <is>
          <t>Star Chart Shop</t>
        </is>
      </c>
    </row>
    <row r="227">
      <c r="A227" s="425" t="n"/>
      <c r="B227" s="425" t="n"/>
      <c r="C227" s="425" t="n"/>
      <c r="D227" s="425" t="n"/>
      <c r="E227" s="425" t="n"/>
      <c r="F227" s="425" t="n"/>
      <c r="G227" s="425" t="n"/>
      <c r="H227" s="425" t="n"/>
    </row>
    <row r="228">
      <c r="A228" s="425" t="n"/>
      <c r="B228" s="425" t="n"/>
      <c r="C228" s="425" t="n"/>
      <c r="D228" s="425" t="n"/>
      <c r="E228" s="425" t="n"/>
      <c r="F228" s="425" t="n"/>
      <c r="G228" s="425" t="n"/>
      <c r="H228" s="425" t="n"/>
    </row>
    <row r="229">
      <c r="A229" s="425" t="n"/>
      <c r="B229" s="425" t="n"/>
      <c r="C229" s="425" t="n"/>
      <c r="D229" s="425" t="n"/>
      <c r="E229" s="425" t="n"/>
      <c r="F229" s="425" t="n"/>
      <c r="G229" s="425" t="n"/>
      <c r="H229" s="425" t="n"/>
    </row>
    <row r="230">
      <c r="A230" s="425" t="n"/>
      <c r="B230" s="425" t="n"/>
      <c r="C230" s="425" t="n"/>
      <c r="D230" s="425" t="n"/>
      <c r="E230" s="425" t="n"/>
      <c r="F230" s="425" t="n"/>
      <c r="G230" s="425" t="n"/>
      <c r="H230" s="425" t="n"/>
    </row>
    <row r="231">
      <c r="A231" s="425" t="n"/>
      <c r="B231" s="425" t="n"/>
      <c r="C231" s="425" t="n"/>
      <c r="D231" s="425" t="n"/>
      <c r="E231" s="425" t="n"/>
      <c r="F231" s="425" t="n"/>
      <c r="G231" s="425" t="n"/>
      <c r="H231" s="425" t="n"/>
    </row>
    <row r="232">
      <c r="B232" s="562" t="inlineStr">
        <is>
          <t>Relic</t>
        </is>
      </c>
      <c r="C232" s="563" t="n"/>
      <c r="D232" s="564" t="inlineStr">
        <is>
          <t>Slot</t>
        </is>
      </c>
      <c r="E232" s="564" t="inlineStr">
        <is>
          <t>Stat</t>
        </is>
      </c>
      <c r="F232" s="565" t="inlineStr">
        <is>
          <t>Type</t>
        </is>
      </c>
      <c r="G232" s="564" t="inlineStr">
        <is>
          <t>AFFCT</t>
        </is>
      </c>
      <c r="H232" s="566" t="inlineStr">
        <is>
          <t>HP</t>
        </is>
      </c>
      <c r="I232" s="566" t="inlineStr">
        <is>
          <t>ATK</t>
        </is>
      </c>
      <c r="J232" s="566" t="inlineStr">
        <is>
          <t>RUSH</t>
        </is>
      </c>
      <c r="K232" s="566" t="inlineStr">
        <is>
          <t>DEF</t>
        </is>
      </c>
      <c r="L232" s="566" t="inlineStr">
        <is>
          <t>CRIT</t>
        </is>
      </c>
      <c r="M232" s="566" t="inlineStr">
        <is>
          <t>CRIT DMG</t>
        </is>
      </c>
      <c r="N232" s="566" t="inlineStr">
        <is>
          <t>DMG</t>
        </is>
      </c>
      <c r="O232" s="566" t="inlineStr">
        <is>
          <t>DMG Reduc</t>
        </is>
      </c>
      <c r="P232" s="566" t="inlineStr">
        <is>
          <t>Hero DMG</t>
        </is>
      </c>
      <c r="Q232" s="566" t="inlineStr">
        <is>
          <t>ELMT DMG</t>
        </is>
      </c>
      <c r="R232" s="1136" t="inlineStr">
        <is>
          <t>Alternatives</t>
        </is>
      </c>
      <c r="S232" s="1129" t="n"/>
    </row>
    <row r="233">
      <c r="B233" s="593">
        <f>A209</f>
        <v/>
      </c>
      <c r="C233" s="457" t="n"/>
      <c r="D233" s="458" t="inlineStr">
        <is>
          <t>FAME</t>
        </is>
      </c>
      <c r="E233" s="458" t="inlineStr">
        <is>
          <t>HARD</t>
        </is>
      </c>
      <c r="F233" s="568">
        <f>XLOOKUP($B233,$A$208:$A$226,$C$208:$C$226,0)</f>
        <v/>
      </c>
      <c r="G233" s="569">
        <f>IF(D233=F233, IFERROR(VLOOKUP($B233,$A$208:$S$226, 4,FALSE),0) + IFERROR(VLOOKUP($B233,$A$208:$S$226, 18,FALSE),0), IFERROR(VLOOKUP($B233,$A$208:$S$226, 19,FALSE),0))</f>
        <v/>
      </c>
      <c r="H233" s="570">
        <f>IFERROR(VLOOKUP($B233,$A$208:$Q$226,8,FALSE),0)+IFERROR(VLOOKUP($G233,$Y$2:$AA$50,2),0)</f>
        <v/>
      </c>
      <c r="I233" s="570">
        <f>IFERROR(VLOOKUP($B233,$A$208:$Q$226,9,FALSE),0)+IFERROR(VLOOKUP($G233,$Y$2:$AA$50,2),0)</f>
        <v/>
      </c>
      <c r="J233" s="570">
        <f>IFERROR(VLOOKUP($B233,$A$208:$Q$226,10,FALSE),0)+IFERROR(VLOOKUP($G233,$Y$2:$AA$50,2),0)</f>
        <v/>
      </c>
      <c r="K233" s="570">
        <f>IFERROR(VLOOKUP($B233,$A$208:$Q$226,11,FALSE),0)+IFERROR(VLOOKUP($G233,$Y$2:$AA$50,2),0)</f>
        <v/>
      </c>
      <c r="L233" s="570">
        <f>XLOOKUP($B233,$A$208:$A$226,$L$208:$L$226,0)</f>
        <v/>
      </c>
      <c r="M233" s="570">
        <f>XLOOKUP($B233,$A$208:$A$226,$M$208:$M$226,0)</f>
        <v/>
      </c>
      <c r="N233" s="570">
        <f>XLOOKUP($B233,$A$208:$A$226,$N$208:$N$226,0)</f>
        <v/>
      </c>
      <c r="O233" s="570">
        <f>XLOOKUP($B233,$A$208:$A$226,$O$208:$O$226,0)</f>
        <v/>
      </c>
      <c r="P233" s="570">
        <f>XLOOKUP($B233,$A$208:$A$226,$P$208:$P$226,0)</f>
        <v/>
      </c>
      <c r="Q233" s="570">
        <f>XLOOKUP($B233,$A$208:$A$226,$Q$208:$Q$226,0)</f>
        <v/>
      </c>
      <c r="R233" s="1137">
        <f>A211</f>
        <v/>
      </c>
      <c r="S233" s="1129" t="n"/>
    </row>
    <row r="234">
      <c r="B234" s="571">
        <f>A213</f>
        <v/>
      </c>
      <c r="D234" s="572" t="inlineStr">
        <is>
          <t>ART</t>
        </is>
      </c>
      <c r="E234" s="572" t="inlineStr">
        <is>
          <t>HP</t>
        </is>
      </c>
      <c r="F234" s="573">
        <f>XLOOKUP($B234,$A$208:$A$226,$C$208:$C$226,0)</f>
        <v/>
      </c>
      <c r="G234" s="574">
        <f>IF(D234=F234, IFERROR(VLOOKUP($B234,$A$208:$S$226, 4,FALSE),0) + IFERROR(VLOOKUP($B234,$A$208:$S$226, 18,FALSE),0), IFERROR(VLOOKUP($B234,$A$208:$S$226, 19,FALSE),0))</f>
        <v/>
      </c>
      <c r="H234" s="575">
        <f>IFERROR(VLOOKUP($B234,$A$208:$Q$226,8,FALSE),0)+IFERROR(VLOOKUP($G234,$Y$2:$AA$50,3),0)</f>
        <v/>
      </c>
      <c r="I234" s="575">
        <f>XLOOKUP($B234,$A$208:$A$226,$I$208:$I$226,0)</f>
        <v/>
      </c>
      <c r="J234" s="575">
        <f>XLOOKUP($B234,$A$208:$A$226,$J$208:$J$226,0)</f>
        <v/>
      </c>
      <c r="K234" s="575">
        <f>XLOOKUP($B234,$A$208:$A$226,$K$208:$K$226,0)</f>
        <v/>
      </c>
      <c r="L234" s="575">
        <f>XLOOKUP($B234,$A$208:$A$226,$L$208:$L$226,0)</f>
        <v/>
      </c>
      <c r="M234" s="575">
        <f>XLOOKUP($B234,$A$208:$A$226,$M$208:$M$226,0)</f>
        <v/>
      </c>
      <c r="N234" s="575">
        <f>XLOOKUP($B234,$A$208:$A$226,$N$208:$N$226,0)</f>
        <v/>
      </c>
      <c r="O234" s="575">
        <f>XLOOKUP($B234,$A$208:$A$226,$O$208:$O$226,0)</f>
        <v/>
      </c>
      <c r="P234" s="575">
        <f>XLOOKUP($B234,$A$208:$A$226,$P$208:$P$226,0)</f>
        <v/>
      </c>
      <c r="Q234" s="575">
        <f>XLOOKUP($B234,$A$208:$A$226,$Q$208:$Q$226,0)</f>
        <v/>
      </c>
      <c r="R234" s="1138">
        <f>A215</f>
        <v/>
      </c>
      <c r="S234" s="1139" t="n"/>
    </row>
    <row r="235">
      <c r="B235" s="593">
        <f>A221</f>
        <v/>
      </c>
      <c r="C235" s="457" t="n"/>
      <c r="D235" s="458" t="inlineStr">
        <is>
          <t>FTH</t>
        </is>
      </c>
      <c r="E235" s="458" t="inlineStr">
        <is>
          <t>RUSH</t>
        </is>
      </c>
      <c r="F235" s="568">
        <f>XLOOKUP($B235,$A$208:$A$226,$C$208:$C$226,0)</f>
        <v/>
      </c>
      <c r="G235" s="569">
        <f>IF(D235=F235, IFERROR(VLOOKUP($B235,$A$208:$S$226, 4,FALSE),0) + IFERROR(VLOOKUP($B235,$A$208:$S$226, 18,FALSE),0), IFERROR(VLOOKUP($B235,$A$208:$S$226, 19,FALSE),0))</f>
        <v/>
      </c>
      <c r="H235" s="570">
        <f>XLOOKUP($B235,$A$208:$A$226,$H$208:$H$226,0)</f>
        <v/>
      </c>
      <c r="I235" s="570">
        <f>XLOOKUP($B235,$A$208:$A$226,$I$208:$I$226,0)</f>
        <v/>
      </c>
      <c r="J235" s="570">
        <f>IFERROR(VLOOKUP($B235,$A$208:$Q$226,10,FALSE),0)+IFERROR(VLOOKUP($G235,$Y$2:$AA$50,3),0)</f>
        <v/>
      </c>
      <c r="K235" s="570">
        <f>XLOOKUP($B235,$A$208:$A$226,$K$208:$K$226,0)</f>
        <v/>
      </c>
      <c r="L235" s="570">
        <f>XLOOKUP($B235,$A$208:$A$226,$L$208:$L$226,0)</f>
        <v/>
      </c>
      <c r="M235" s="570">
        <f>XLOOKUP($B235,$A$208:$A$226,$M$208:$M$226,0)</f>
        <v/>
      </c>
      <c r="N235" s="570">
        <f>XLOOKUP($B235,$A$208:$A$226,$N$208:$N$226,0)</f>
        <v/>
      </c>
      <c r="O235" s="570">
        <f>XLOOKUP($B235,$A$208:$A$226,$O$208:$O$226,0)</f>
        <v/>
      </c>
      <c r="P235" s="570">
        <f>XLOOKUP($B235,$A$208:$A$226,$P$208:$P$226,0)</f>
        <v/>
      </c>
      <c r="Q235" s="570">
        <f>XLOOKUP($B235,$A$208:$A$226,$Q$208:$Q$226,0)</f>
        <v/>
      </c>
      <c r="R235" s="1137">
        <f>A210</f>
        <v/>
      </c>
      <c r="S235" s="1129" t="n"/>
    </row>
    <row r="236">
      <c r="B236" s="571">
        <f>A223</f>
        <v/>
      </c>
      <c r="D236" s="572" t="inlineStr">
        <is>
          <t>CIV</t>
        </is>
      </c>
      <c r="E236" s="572" t="inlineStr">
        <is>
          <t>ATK</t>
        </is>
      </c>
      <c r="F236" s="573">
        <f>XLOOKUP($B236,$A$208:$A$226,$C$208:$C$226,0)</f>
        <v/>
      </c>
      <c r="G236" s="574">
        <f>IF(D236=F236, IFERROR(VLOOKUP($B236,$A$208:$S$226, 4,FALSE),0) + IFERROR(VLOOKUP($B236,$A$208:$S$226, 18,FALSE),0), IFERROR(VLOOKUP($B236,$A$208:$S$226, 19,FALSE),0))</f>
        <v/>
      </c>
      <c r="H236" s="575">
        <f>XLOOKUP($B236,$A$208:$A$226,$H$208:$H$226,0)</f>
        <v/>
      </c>
      <c r="I236" s="575">
        <f>IFERROR(VLOOKUP($B236,$A$208:$Q$226,9,FALSE),0)+IFERROR(VLOOKUP($G236,$Y$2:$AA$50,3),0)</f>
        <v/>
      </c>
      <c r="J236" s="575">
        <f>XLOOKUP($B236,$A$208:$A$226,$J$208:$J$226,0)</f>
        <v/>
      </c>
      <c r="K236" s="575">
        <f>XLOOKUP($B236,$A$208:$A$226,$K$208:$K$226,0)</f>
        <v/>
      </c>
      <c r="L236" s="575">
        <f>XLOOKUP($B236,$A$208:$A$226,$L$208:$L$226,0)</f>
        <v/>
      </c>
      <c r="M236" s="575">
        <f>XLOOKUP($B236,$A$208:$A$226,$M$208:$M$226,0)</f>
        <v/>
      </c>
      <c r="N236" s="575">
        <f>XLOOKUP($B236,$A$208:$A$226,$N$208:$N$226,0)</f>
        <v/>
      </c>
      <c r="O236" s="575">
        <f>XLOOKUP($B236,$A$208:$A$226,$O$208:$O$226,0)</f>
        <v/>
      </c>
      <c r="P236" s="575">
        <f>XLOOKUP($B236,$A$208:$A$226,$P$208:$P$226,0)</f>
        <v/>
      </c>
      <c r="Q236" s="575">
        <f>XLOOKUP($B236,$A$208:$A$226,$Q$208:$Q$226,0)</f>
        <v/>
      </c>
      <c r="R236" s="1138">
        <f>A221</f>
        <v/>
      </c>
      <c r="S236" s="1139" t="n"/>
    </row>
    <row r="237">
      <c r="B237" s="593">
        <f>A224</f>
        <v/>
      </c>
      <c r="C237" s="457" t="n"/>
      <c r="D237" s="458" t="inlineStr">
        <is>
          <t>TECH</t>
        </is>
      </c>
      <c r="E237" s="458" t="inlineStr">
        <is>
          <t>DEF</t>
        </is>
      </c>
      <c r="F237" s="568">
        <f>XLOOKUP($B237,$A$208:$A$226,$C$208:$C$226,0)</f>
        <v/>
      </c>
      <c r="G237" s="569">
        <f>IF(D237=F237, IFERROR(VLOOKUP($B237,$A$208:$S$226, 4,FALSE),0) + IFERROR(VLOOKUP($B237,$A$208:$S$226, 18,FALSE),0), IFERROR(VLOOKUP($B237,$A$208:$S$226, 19,FALSE),0))</f>
        <v/>
      </c>
      <c r="H237" s="570">
        <f>XLOOKUP($B237,$A$208:$A$226,$H$208:$H$226,0)</f>
        <v/>
      </c>
      <c r="I237" s="570">
        <f>XLOOKUP($B237,$A$208:$A$226,$I$208:$I$226,0)</f>
        <v/>
      </c>
      <c r="J237" s="570">
        <f>XLOOKUP($B237,$A$208:$A$226,$J$208:$J$226,0)</f>
        <v/>
      </c>
      <c r="K237" s="570">
        <f>IFERROR(VLOOKUP($B237,$A$208:$Q$226,11,FALSE),0)+IFERROR(VLOOKUP($G237,$Y$2:$AA$50,3),0)</f>
        <v/>
      </c>
      <c r="L237" s="570">
        <f>XLOOKUP($B237,$A$208:$A$226,$L$208:$L$226,0)</f>
        <v/>
      </c>
      <c r="M237" s="570">
        <f>XLOOKUP($B237,$A$208:$A$226,$M$208:$M$226,0)</f>
        <v/>
      </c>
      <c r="N237" s="570">
        <f>XLOOKUP($B237,$A$208:$A$226,$N$208:$N$226,0)</f>
        <v/>
      </c>
      <c r="O237" s="570">
        <f>XLOOKUP($B237,$A$208:$A$226,$O$208:$O$226,0)</f>
        <v/>
      </c>
      <c r="P237" s="570">
        <f>XLOOKUP($B237,$A$208:$A$226,$P$208:$P$226,0)</f>
        <v/>
      </c>
      <c r="Q237" s="570">
        <f>XLOOKUP($B237,$A$208:$A$226,$Q$208:$Q$226,0)</f>
        <v/>
      </c>
      <c r="R237" s="1137">
        <f>A226</f>
        <v/>
      </c>
      <c r="S237" s="1129" t="n"/>
    </row>
    <row r="238">
      <c r="B238" s="577" t="inlineStr">
        <is>
          <t>Total</t>
        </is>
      </c>
      <c r="C238" s="578" t="n"/>
      <c r="D238" s="579" t="n"/>
      <c r="E238" s="579" t="n"/>
      <c r="F238" s="580" t="n"/>
      <c r="G238" s="581" t="n"/>
      <c r="H238" s="575">
        <f>sum(H233:H237)</f>
        <v/>
      </c>
      <c r="I238" s="575">
        <f>sum(I233:I237)</f>
        <v/>
      </c>
      <c r="J238" s="575">
        <f>sum(J233:J237)</f>
        <v/>
      </c>
      <c r="K238" s="575">
        <f>sum(K233:K237)</f>
        <v/>
      </c>
      <c r="L238" s="575">
        <f>sum(L233:L237)</f>
        <v/>
      </c>
      <c r="M238" s="575">
        <f>sum(M233:M237)</f>
        <v/>
      </c>
      <c r="N238" s="575">
        <f>sum(N233:N237)</f>
        <v/>
      </c>
      <c r="O238" s="575">
        <f>sum(O233:O237)</f>
        <v/>
      </c>
      <c r="P238" s="575">
        <f>sum(P233:P237)</f>
        <v/>
      </c>
      <c r="Q238" s="575">
        <f>sum(Q233:Q237)</f>
        <v/>
      </c>
      <c r="R238" s="582" t="n"/>
      <c r="S238" s="583" t="n"/>
    </row>
    <row r="239"/>
    <row r="240"/>
    <row r="241"/>
    <row r="242"/>
    <row r="243">
      <c r="A243" s="584" t="inlineStr">
        <is>
          <t>Exploration Egg</t>
        </is>
      </c>
      <c r="B243" s="585" t="n"/>
      <c r="C243" s="585" t="n"/>
      <c r="D243" s="586" t="inlineStr">
        <is>
          <t>Main AFFCT</t>
        </is>
      </c>
      <c r="E243" s="586" t="inlineStr">
        <is>
          <t>Stamp 1</t>
        </is>
      </c>
      <c r="F243" s="586" t="inlineStr">
        <is>
          <t>Stamp 2</t>
        </is>
      </c>
      <c r="G243" s="586" t="inlineStr">
        <is>
          <t>Stamp 3</t>
        </is>
      </c>
      <c r="H243" s="586" t="inlineStr">
        <is>
          <t>Source</t>
        </is>
      </c>
      <c r="I243" s="1140" t="n"/>
      <c r="J243" s="1140" t="n"/>
      <c r="K243" s="1140" t="n"/>
      <c r="L243" s="1129" t="n"/>
    </row>
    <row r="244">
      <c r="A244" s="602" t="inlineStr">
        <is>
          <t>Plants &amp; Birds</t>
        </is>
      </c>
      <c r="B244" s="606" t="inlineStr">
        <is>
          <t>SSS</t>
        </is>
      </c>
      <c r="C244" s="606" t="inlineStr">
        <is>
          <t>ART</t>
        </is>
      </c>
      <c r="D244" s="607" t="n">
        <v>108</v>
      </c>
      <c r="E244" s="592" t="inlineStr">
        <is>
          <t>Efficiency +30%</t>
        </is>
      </c>
      <c r="F244" s="592" t="inlineStr">
        <is>
          <t>ART +15</t>
        </is>
      </c>
      <c r="G244" s="592" t="inlineStr">
        <is>
          <t>Blue -&gt; Purple +6%</t>
        </is>
      </c>
      <c r="H244" s="606" t="inlineStr">
        <is>
          <t>Exploration Egg (0.08%)</t>
        </is>
      </c>
      <c r="I244" s="1140" t="n"/>
      <c r="J244" s="1140" t="n"/>
      <c r="K244" s="1140" t="n"/>
      <c r="L244" s="1129" t="n"/>
    </row>
    <row r="245">
      <c r="A245" s="608" t="inlineStr">
        <is>
          <t>St. Matthew's Passion</t>
        </is>
      </c>
      <c r="B245" s="604" t="inlineStr">
        <is>
          <t>SSS</t>
        </is>
      </c>
      <c r="C245" s="604" t="inlineStr">
        <is>
          <t>ART</t>
        </is>
      </c>
      <c r="D245" s="663" t="n">
        <v>108</v>
      </c>
      <c r="E245" s="598" t="inlineStr">
        <is>
          <t>Efficiency +30%</t>
        </is>
      </c>
      <c r="F245" s="598" t="inlineStr">
        <is>
          <t>Green -&gt; Blue 6%</t>
        </is>
      </c>
      <c r="G245" s="598" t="inlineStr">
        <is>
          <t>Purple -&gt; Orange 3%</t>
        </is>
      </c>
      <c r="H245" s="662" t="inlineStr">
        <is>
          <t>Lottery Machine No. 3 (0.12%)</t>
        </is>
      </c>
      <c r="I245" s="1140" t="n"/>
      <c r="J245" s="1140" t="n"/>
      <c r="K245" s="1140" t="n"/>
      <c r="L245" s="1129" t="n"/>
    </row>
    <row r="246">
      <c r="A246" s="602" t="inlineStr">
        <is>
          <t>Woman with a Veil</t>
        </is>
      </c>
      <c r="B246" s="606" t="inlineStr">
        <is>
          <t>SSS</t>
        </is>
      </c>
      <c r="C246" s="606" t="inlineStr">
        <is>
          <t>ART</t>
        </is>
      </c>
      <c r="D246" s="607" t="n">
        <v>109</v>
      </c>
      <c r="E246" s="592" t="inlineStr">
        <is>
          <t>ART +15</t>
        </is>
      </c>
      <c r="F246" s="592" t="inlineStr">
        <is>
          <t>Efficiency +30%</t>
        </is>
      </c>
      <c r="G246" s="592" t="inlineStr">
        <is>
          <t>Blue -&gt; Purple +6%</t>
        </is>
      </c>
      <c r="H246" s="1141" t="inlineStr">
        <is>
          <t>Lottery Machine No. 3 (0.12%)</t>
        </is>
      </c>
      <c r="I246" s="1140" t="n"/>
      <c r="J246" s="1140" t="n"/>
      <c r="K246" s="1140" t="n"/>
      <c r="L246" s="1129" t="n"/>
    </row>
    <row r="247">
      <c r="A247" s="604" t="inlineStr">
        <is>
          <t>Coronation of Napoleon</t>
        </is>
      </c>
      <c r="B247" s="604" t="inlineStr">
        <is>
          <t>SSS</t>
        </is>
      </c>
      <c r="C247" s="604" t="inlineStr">
        <is>
          <t>ART</t>
        </is>
      </c>
      <c r="D247" s="663" t="n">
        <v>109</v>
      </c>
      <c r="E247" s="598" t="inlineStr">
        <is>
          <t>ART +15</t>
        </is>
      </c>
      <c r="F247" s="598" t="inlineStr">
        <is>
          <t>Efficiency +30%</t>
        </is>
      </c>
      <c r="G247" s="598" t="inlineStr">
        <is>
          <t>Green -&gt; Blue +6%</t>
        </is>
      </c>
      <c r="H247" s="662" t="inlineStr">
        <is>
          <t>Lottery Machine No. 3 (0.12%)</t>
        </is>
      </c>
      <c r="I247" s="1140" t="n"/>
      <c r="J247" s="1140" t="n"/>
      <c r="K247" s="1140" t="n"/>
      <c r="L247" s="1129" t="n"/>
    </row>
    <row r="248">
      <c r="A248" s="606" t="inlineStr">
        <is>
          <t>The Magic Flute</t>
        </is>
      </c>
      <c r="B248" s="606" t="inlineStr">
        <is>
          <t>SSS</t>
        </is>
      </c>
      <c r="C248" s="606" t="inlineStr">
        <is>
          <t>ART</t>
        </is>
      </c>
      <c r="D248" s="607" t="n">
        <v>109</v>
      </c>
      <c r="E248" s="592" t="inlineStr">
        <is>
          <t>ART +15</t>
        </is>
      </c>
      <c r="F248" s="592" t="inlineStr">
        <is>
          <t>Efficiency +30%</t>
        </is>
      </c>
      <c r="G248" s="592" t="inlineStr">
        <is>
          <t>Green -&gt; Blue +6%</t>
        </is>
      </c>
      <c r="H248" s="1141" t="inlineStr">
        <is>
          <t>Lottery Machine No. 3 (0.12%)</t>
        </is>
      </c>
      <c r="I248" s="1140" t="n"/>
      <c r="J248" s="1140" t="n"/>
      <c r="K248" s="1140" t="n"/>
      <c r="L248" s="1129" t="n"/>
    </row>
    <row r="249">
      <c r="A249" s="604" t="inlineStr">
        <is>
          <t>Agamemnon Ambassadors</t>
        </is>
      </c>
      <c r="B249" s="604" t="inlineStr">
        <is>
          <t>Blue</t>
        </is>
      </c>
      <c r="C249" s="604" t="inlineStr">
        <is>
          <t>ART</t>
        </is>
      </c>
      <c r="D249" s="663" t="n">
        <v>46</v>
      </c>
      <c r="E249" s="598" t="inlineStr">
        <is>
          <t>Green -&gt; Blue 1%</t>
        </is>
      </c>
      <c r="F249" s="598" t="n"/>
      <c r="G249" s="598" t="n"/>
      <c r="H249" s="662" t="inlineStr">
        <is>
          <t>Lottery Machine No. 3 (?%)</t>
        </is>
      </c>
      <c r="I249" s="1140" t="n"/>
      <c r="J249" s="1140" t="n"/>
      <c r="K249" s="1140" t="n"/>
      <c r="L249" s="1129" t="n"/>
    </row>
    <row r="250"/>
    <row r="251"/>
    <row r="252">
      <c r="A252" s="584" t="inlineStr">
        <is>
          <t>Lucky Egg</t>
        </is>
      </c>
      <c r="B252" s="585" t="n"/>
      <c r="C252" s="585" t="n"/>
      <c r="D252" s="586" t="inlineStr">
        <is>
          <t>Main AFFCT</t>
        </is>
      </c>
      <c r="E252" s="586" t="inlineStr">
        <is>
          <t>Stamp 1</t>
        </is>
      </c>
      <c r="F252" s="586" t="inlineStr">
        <is>
          <t>Stamp 2</t>
        </is>
      </c>
      <c r="G252" s="586" t="inlineStr">
        <is>
          <t>Stamp 3</t>
        </is>
      </c>
      <c r="H252" s="586" t="inlineStr">
        <is>
          <t>Source</t>
        </is>
      </c>
      <c r="I252" s="1140" t="n"/>
      <c r="J252" s="1140" t="n"/>
      <c r="K252" s="1140" t="n"/>
      <c r="L252" s="1129" t="n"/>
    </row>
    <row r="253">
      <c r="A253" s="602" t="inlineStr">
        <is>
          <t>World Hawk</t>
        </is>
      </c>
      <c r="B253" s="606" t="inlineStr">
        <is>
          <t>SSS</t>
        </is>
      </c>
      <c r="C253" s="606" t="inlineStr">
        <is>
          <t>TECH</t>
        </is>
      </c>
      <c r="D253" s="607" t="n">
        <v>108</v>
      </c>
      <c r="E253" s="592" t="inlineStr">
        <is>
          <t>Efficiency +30%</t>
        </is>
      </c>
      <c r="F253" s="592" t="inlineStr">
        <is>
          <t>Green -&gt; Blue 6%</t>
        </is>
      </c>
      <c r="G253" s="592" t="inlineStr">
        <is>
          <t>Blue -&gt; Purple +6%</t>
        </is>
      </c>
      <c r="H253" s="606" t="inlineStr">
        <is>
          <t>Lucky Egg (0.08%)</t>
        </is>
      </c>
      <c r="I253" s="1140" t="n"/>
      <c r="J253" s="1140" t="n"/>
      <c r="K253" s="1140" t="n"/>
      <c r="L253" s="1129" t="n"/>
    </row>
    <row r="254">
      <c r="A254" s="608" t="inlineStr">
        <is>
          <t>Webb Space Telescope</t>
        </is>
      </c>
      <c r="B254" s="604" t="inlineStr">
        <is>
          <t>SSS</t>
        </is>
      </c>
      <c r="C254" s="604" t="inlineStr">
        <is>
          <t>TECH</t>
        </is>
      </c>
      <c r="D254" s="663" t="n">
        <v>109</v>
      </c>
      <c r="E254" s="598" t="inlineStr">
        <is>
          <t>TECH +15</t>
        </is>
      </c>
      <c r="F254" s="598" t="inlineStr">
        <is>
          <t>Efficiency +30%</t>
        </is>
      </c>
      <c r="G254" s="598" t="inlineStr">
        <is>
          <t>Purple -&gt; Orange 3%</t>
        </is>
      </c>
      <c r="H254" s="662" t="inlineStr">
        <is>
          <t>Lottery Machine No. 3 (0.12%)</t>
        </is>
      </c>
      <c r="I254" s="1140" t="n"/>
      <c r="J254" s="1140" t="n"/>
      <c r="K254" s="1140" t="n"/>
      <c r="L254" s="1129" t="n"/>
    </row>
    <row r="255">
      <c r="A255" s="606" t="inlineStr">
        <is>
          <t>Die Traumdeutung</t>
        </is>
      </c>
      <c r="B255" s="606" t="inlineStr">
        <is>
          <t>SSS</t>
        </is>
      </c>
      <c r="C255" s="606" t="inlineStr">
        <is>
          <t>TECH</t>
        </is>
      </c>
      <c r="D255" s="607" t="n">
        <v>108</v>
      </c>
      <c r="E255" s="592" t="inlineStr">
        <is>
          <t>TECH +15</t>
        </is>
      </c>
      <c r="F255" s="592" t="inlineStr">
        <is>
          <t>Efficiency +30%</t>
        </is>
      </c>
      <c r="G255" s="592" t="inlineStr">
        <is>
          <t>Blue -&gt; Purple +6%</t>
        </is>
      </c>
      <c r="H255" s="1141" t="inlineStr">
        <is>
          <t>Lottery Machine No. 3 (0.12%)</t>
        </is>
      </c>
      <c r="I255" s="1140" t="n"/>
      <c r="J255" s="1140" t="n"/>
      <c r="K255" s="1140" t="n"/>
      <c r="L255" s="1129" t="n"/>
    </row>
    <row r="256">
      <c r="A256" s="604" t="inlineStr">
        <is>
          <t>Basic Chemistry</t>
        </is>
      </c>
      <c r="B256" s="604" t="inlineStr">
        <is>
          <t>SSS</t>
        </is>
      </c>
      <c r="C256" s="604" t="inlineStr">
        <is>
          <t>TECH</t>
        </is>
      </c>
      <c r="D256" s="663" t="n">
        <v>109</v>
      </c>
      <c r="E256" s="598" t="inlineStr">
        <is>
          <t>TECH +15</t>
        </is>
      </c>
      <c r="F256" s="598" t="inlineStr">
        <is>
          <t>Efficiency +30%</t>
        </is>
      </c>
      <c r="G256" s="598" t="inlineStr">
        <is>
          <t>Green -&gt; Blue +6%</t>
        </is>
      </c>
      <c r="H256" s="662" t="inlineStr">
        <is>
          <t>Lottery Machine No. 3 (0.12%)</t>
        </is>
      </c>
      <c r="I256" s="1140" t="n"/>
      <c r="J256" s="1140" t="n"/>
      <c r="K256" s="1140" t="n"/>
      <c r="L256" s="1129" t="n"/>
    </row>
    <row r="257">
      <c r="A257" s="606" t="inlineStr">
        <is>
          <t>Spirit Phenomenology</t>
        </is>
      </c>
      <c r="B257" s="606" t="inlineStr">
        <is>
          <t>SSS</t>
        </is>
      </c>
      <c r="C257" s="606" t="inlineStr">
        <is>
          <t>TECH</t>
        </is>
      </c>
      <c r="D257" s="607" t="n">
        <v>109</v>
      </c>
      <c r="E257" s="592" t="inlineStr">
        <is>
          <t>TECH +15</t>
        </is>
      </c>
      <c r="F257" s="592" t="inlineStr">
        <is>
          <t>Efficiency +30%</t>
        </is>
      </c>
      <c r="G257" s="592" t="inlineStr">
        <is>
          <t>Green -&gt; Blue +6%</t>
        </is>
      </c>
      <c r="H257" s="1141" t="inlineStr">
        <is>
          <t>Lottery Machine No. 3 (0.12%)</t>
        </is>
      </c>
      <c r="I257" s="1140" t="n"/>
      <c r="J257" s="1140" t="n"/>
      <c r="K257" s="1140" t="n"/>
      <c r="L257" s="1129" t="n"/>
    </row>
    <row r="258"/>
    <row r="259"/>
    <row r="260">
      <c r="A260" s="584" t="inlineStr">
        <is>
          <t>Wishing Egg</t>
        </is>
      </c>
      <c r="B260" s="585" t="n"/>
      <c r="C260" s="585" t="n"/>
      <c r="D260" s="586" t="inlineStr">
        <is>
          <t>Main AFFCT</t>
        </is>
      </c>
      <c r="E260" s="586" t="inlineStr">
        <is>
          <t>Stamp 1</t>
        </is>
      </c>
      <c r="F260" s="586" t="inlineStr">
        <is>
          <t>Stamp 2</t>
        </is>
      </c>
      <c r="G260" s="586" t="inlineStr">
        <is>
          <t>Stamp 3</t>
        </is>
      </c>
      <c r="H260" s="586" t="inlineStr">
        <is>
          <t>Source</t>
        </is>
      </c>
      <c r="I260" s="1140" t="n"/>
      <c r="J260" s="1140" t="n"/>
      <c r="K260" s="1140" t="n"/>
      <c r="L260" s="1129" t="n"/>
    </row>
    <row r="261">
      <c r="A261" s="602" t="inlineStr">
        <is>
          <t>Stray Birds</t>
        </is>
      </c>
      <c r="B261" s="606" t="inlineStr">
        <is>
          <t>SSS</t>
        </is>
      </c>
      <c r="C261" s="606" t="inlineStr">
        <is>
          <t>CIV</t>
        </is>
      </c>
      <c r="D261" s="607" t="n">
        <v>107</v>
      </c>
      <c r="E261" s="592" t="inlineStr">
        <is>
          <t>Efficiency +30%</t>
        </is>
      </c>
      <c r="F261" s="592" t="inlineStr">
        <is>
          <t>Green -&gt; Blue 6%</t>
        </is>
      </c>
      <c r="G261" s="592" t="inlineStr">
        <is>
          <t>Blue -&gt; Purple +6%</t>
        </is>
      </c>
      <c r="H261" s="606" t="inlineStr">
        <is>
          <t>Wishing Egg (0.08%)</t>
        </is>
      </c>
      <c r="I261" s="1140" t="n"/>
      <c r="J261" s="1140" t="n"/>
      <c r="K261" s="1140" t="n"/>
      <c r="L261" s="1129" t="n"/>
    </row>
    <row r="262">
      <c r="A262" s="608" t="inlineStr">
        <is>
          <t>Poetics Edda</t>
        </is>
      </c>
      <c r="B262" s="604" t="inlineStr">
        <is>
          <t>SSS</t>
        </is>
      </c>
      <c r="C262" s="604" t="inlineStr">
        <is>
          <t>CIV</t>
        </is>
      </c>
      <c r="D262" s="663" t="n">
        <v>107</v>
      </c>
      <c r="E262" s="598" t="inlineStr">
        <is>
          <t>CIV +15</t>
        </is>
      </c>
      <c r="F262" s="598" t="inlineStr">
        <is>
          <t>Efficiency +30%</t>
        </is>
      </c>
      <c r="G262" s="598" t="inlineStr">
        <is>
          <t>Purple -&gt; Orange 3%</t>
        </is>
      </c>
      <c r="H262" s="662" t="inlineStr">
        <is>
          <t>Lottery Machine No. 3 (0.12%)</t>
        </is>
      </c>
      <c r="I262" s="1140" t="n"/>
      <c r="J262" s="1140" t="n"/>
      <c r="K262" s="1140" t="n"/>
      <c r="L262" s="1129" t="n"/>
    </row>
    <row r="263">
      <c r="A263" s="602" t="inlineStr">
        <is>
          <t>Confessiones</t>
        </is>
      </c>
      <c r="B263" s="606" t="inlineStr">
        <is>
          <t>SSS</t>
        </is>
      </c>
      <c r="C263" s="606" t="inlineStr">
        <is>
          <t>CIV</t>
        </is>
      </c>
      <c r="D263" s="607" t="n">
        <v>109</v>
      </c>
      <c r="E263" s="592" t="inlineStr">
        <is>
          <t>CIV +15</t>
        </is>
      </c>
      <c r="F263" s="592" t="inlineStr">
        <is>
          <t>Efficiency +30%</t>
        </is>
      </c>
      <c r="G263" s="592" t="inlineStr">
        <is>
          <t>Blue -&gt; Purple +6%</t>
        </is>
      </c>
      <c r="H263" s="1141" t="inlineStr">
        <is>
          <t>Lottery Machine No. 3 (0.12%)</t>
        </is>
      </c>
      <c r="I263" s="1140" t="n"/>
      <c r="J263" s="1140" t="n"/>
      <c r="K263" s="1140" t="n"/>
      <c r="L263" s="1129" t="n"/>
    </row>
    <row r="264">
      <c r="A264" s="608" t="inlineStr">
        <is>
          <t>Hamlet</t>
        </is>
      </c>
      <c r="B264" s="604" t="inlineStr">
        <is>
          <t>SSS</t>
        </is>
      </c>
      <c r="C264" s="604" t="inlineStr">
        <is>
          <t>CIV</t>
        </is>
      </c>
      <c r="D264" s="663" t="n">
        <v>108</v>
      </c>
      <c r="E264" s="598" t="inlineStr">
        <is>
          <t>CIV +15</t>
        </is>
      </c>
      <c r="F264" s="598" t="inlineStr">
        <is>
          <t>Efficiency +30%</t>
        </is>
      </c>
      <c r="G264" s="598" t="inlineStr">
        <is>
          <t>Green -&gt; Blue +6%</t>
        </is>
      </c>
      <c r="H264" s="1150" t="inlineStr">
        <is>
          <t>Unknown</t>
        </is>
      </c>
      <c r="I264" s="662" t="n"/>
      <c r="J264" s="662" t="n"/>
      <c r="K264" s="662" t="n"/>
      <c r="L264" s="662" t="n"/>
    </row>
    <row r="265">
      <c r="A265" s="602" t="inlineStr">
        <is>
          <t>100 Years of Solitude</t>
        </is>
      </c>
      <c r="B265" s="606" t="inlineStr">
        <is>
          <t>SSS</t>
        </is>
      </c>
      <c r="C265" s="606" t="inlineStr">
        <is>
          <t>CIV</t>
        </is>
      </c>
      <c r="D265" s="607" t="n">
        <v>109</v>
      </c>
      <c r="E265" s="592" t="inlineStr">
        <is>
          <t>CIV +15</t>
        </is>
      </c>
      <c r="F265" s="592" t="inlineStr">
        <is>
          <t>Efficiency +30%</t>
        </is>
      </c>
      <c r="G265" s="592" t="inlineStr">
        <is>
          <t>Green -&gt; Blue +6%</t>
        </is>
      </c>
      <c r="H265" s="1141" t="inlineStr">
        <is>
          <t>Lottery Machine No. 3 (0.12%)</t>
        </is>
      </c>
      <c r="I265" s="1140" t="n"/>
      <c r="J265" s="1140" t="n"/>
      <c r="K265" s="1140" t="n"/>
      <c r="L265" s="1129" t="n"/>
    </row>
    <row r="266">
      <c r="A266" s="604" t="inlineStr">
        <is>
          <t>Turkic Stone People</t>
        </is>
      </c>
      <c r="B266" s="604" t="inlineStr">
        <is>
          <t>Blue</t>
        </is>
      </c>
      <c r="C266" s="604" t="inlineStr">
        <is>
          <t>CIV</t>
        </is>
      </c>
      <c r="D266" s="663" t="n">
        <v>46</v>
      </c>
      <c r="E266" s="598" t="inlineStr">
        <is>
          <t>Green -&gt; Blue 1%</t>
        </is>
      </c>
      <c r="F266" s="598" t="n"/>
      <c r="G266" s="598" t="n"/>
      <c r="H266" s="662" t="inlineStr">
        <is>
          <t>Lottery Machine No. 3 (?%)</t>
        </is>
      </c>
      <c r="I266" s="1140" t="n"/>
      <c r="J266" s="1140" t="n"/>
      <c r="K266" s="1140" t="n"/>
      <c r="L266" s="1129" t="n"/>
    </row>
    <row r="267"/>
    <row r="268"/>
    <row r="269">
      <c r="A269" s="584" t="inlineStr">
        <is>
          <t>Offering Egg</t>
        </is>
      </c>
      <c r="B269" s="585" t="n"/>
      <c r="C269" s="585" t="n"/>
      <c r="D269" s="586" t="inlineStr">
        <is>
          <t>Main AFFCT</t>
        </is>
      </c>
      <c r="E269" s="586" t="inlineStr">
        <is>
          <t>Stamp 1</t>
        </is>
      </c>
      <c r="F269" s="586" t="inlineStr">
        <is>
          <t>Stamp 2</t>
        </is>
      </c>
      <c r="G269" s="586" t="inlineStr">
        <is>
          <t>Stamp 3</t>
        </is>
      </c>
      <c r="H269" s="586" t="inlineStr">
        <is>
          <t>Source</t>
        </is>
      </c>
      <c r="I269" s="1140" t="n"/>
      <c r="J269" s="1140" t="n"/>
      <c r="K269" s="1140" t="n"/>
      <c r="L269" s="1129" t="n"/>
    </row>
    <row r="270">
      <c r="A270" s="602" t="inlineStr">
        <is>
          <t>Luan Feather</t>
        </is>
      </c>
      <c r="B270" s="606" t="inlineStr">
        <is>
          <t>SSS</t>
        </is>
      </c>
      <c r="C270" s="606" t="inlineStr">
        <is>
          <t>FTH</t>
        </is>
      </c>
      <c r="D270" s="607" t="n">
        <v>108</v>
      </c>
      <c r="E270" s="592" t="inlineStr">
        <is>
          <t>Efficiency +30%</t>
        </is>
      </c>
      <c r="F270" s="592" t="inlineStr">
        <is>
          <t>FTH +15</t>
        </is>
      </c>
      <c r="G270" s="592" t="inlineStr">
        <is>
          <t>Blue -&gt; Purple +6%</t>
        </is>
      </c>
      <c r="H270" s="606" t="inlineStr">
        <is>
          <t>Offering Egg (0.08%)</t>
        </is>
      </c>
      <c r="I270" s="1140" t="n"/>
      <c r="J270" s="1140" t="n"/>
      <c r="K270" s="1140" t="n"/>
      <c r="L270" s="1129" t="n"/>
    </row>
    <row r="271">
      <c r="A271" s="604" t="inlineStr">
        <is>
          <t>Primavera</t>
        </is>
      </c>
      <c r="B271" s="604" t="inlineStr">
        <is>
          <t>SSS</t>
        </is>
      </c>
      <c r="C271" s="604" t="inlineStr">
        <is>
          <t>FTH</t>
        </is>
      </c>
      <c r="D271" s="663" t="n">
        <v>109</v>
      </c>
      <c r="E271" s="598" t="inlineStr">
        <is>
          <t>FTH +15</t>
        </is>
      </c>
      <c r="F271" s="598" t="inlineStr">
        <is>
          <t>Efficiency +30%</t>
        </is>
      </c>
      <c r="G271" s="598" t="inlineStr">
        <is>
          <t>Green -&gt; Blue +6%</t>
        </is>
      </c>
      <c r="H271" s="662" t="inlineStr">
        <is>
          <t>Lottery Machine No. 3 (0.12%)</t>
        </is>
      </c>
      <c r="I271" s="1140" t="n"/>
      <c r="J271" s="1140" t="n"/>
      <c r="K271" s="1140" t="n"/>
      <c r="L271" s="1129" t="n"/>
    </row>
    <row r="272">
      <c r="A272" s="606" t="inlineStr">
        <is>
          <t>Bacio di Guida</t>
        </is>
      </c>
      <c r="B272" s="606" t="inlineStr">
        <is>
          <t>SSS</t>
        </is>
      </c>
      <c r="C272" s="606" t="inlineStr">
        <is>
          <t>FTH</t>
        </is>
      </c>
      <c r="D272" s="607" t="n">
        <v>106</v>
      </c>
      <c r="E272" s="592" t="inlineStr">
        <is>
          <t>Efficiency +30%</t>
        </is>
      </c>
      <c r="F272" s="592" t="inlineStr">
        <is>
          <t>Green -&gt; Blue +6%</t>
        </is>
      </c>
      <c r="G272" s="592" t="inlineStr">
        <is>
          <t>Blue -&gt; Purple +6%</t>
        </is>
      </c>
      <c r="H272" s="1141" t="inlineStr">
        <is>
          <t>Lottery Machine No. 3 (0.12%)</t>
        </is>
      </c>
      <c r="I272" s="1140" t="n"/>
      <c r="J272" s="1140" t="n"/>
      <c r="K272" s="1140" t="n"/>
      <c r="L272" s="1129" t="n"/>
    </row>
    <row r="273">
      <c r="A273" s="604" t="inlineStr">
        <is>
          <t>The Triumph of Bacchus</t>
        </is>
      </c>
      <c r="B273" s="604" t="inlineStr">
        <is>
          <t>SSS</t>
        </is>
      </c>
      <c r="C273" s="604" t="inlineStr">
        <is>
          <t>FTH</t>
        </is>
      </c>
      <c r="D273" s="663" t="n">
        <v>108</v>
      </c>
      <c r="E273" s="598" t="inlineStr">
        <is>
          <t>FTH +15</t>
        </is>
      </c>
      <c r="F273" s="598" t="inlineStr">
        <is>
          <t>Efficiency +30%</t>
        </is>
      </c>
      <c r="G273" s="598" t="inlineStr">
        <is>
          <t>Green -&gt; Blue +6%</t>
        </is>
      </c>
      <c r="H273" s="662" t="inlineStr">
        <is>
          <t>Lottery Machine No. 3 (0.12%)</t>
        </is>
      </c>
      <c r="I273" s="1140" t="n"/>
      <c r="J273" s="1140" t="n"/>
      <c r="K273" s="1140" t="n"/>
      <c r="L273" s="1129" t="n"/>
    </row>
    <row r="274">
      <c r="A274" s="602" t="inlineStr">
        <is>
          <t>Tain Bó Cúailnge</t>
        </is>
      </c>
      <c r="B274" s="606" t="inlineStr">
        <is>
          <t>SSS</t>
        </is>
      </c>
      <c r="C274" s="606" t="inlineStr">
        <is>
          <t>FTH</t>
        </is>
      </c>
      <c r="D274" s="607" t="n">
        <v>108</v>
      </c>
      <c r="E274" s="592" t="inlineStr">
        <is>
          <t>FTH +15</t>
        </is>
      </c>
      <c r="F274" s="592" t="inlineStr">
        <is>
          <t>Efficiency +30%</t>
        </is>
      </c>
      <c r="G274" s="592" t="inlineStr">
        <is>
          <t>Purple -&gt; Orange 3%</t>
        </is>
      </c>
      <c r="H274" s="1141" t="inlineStr">
        <is>
          <t>Lottery Machine No. 3 (0.12%)</t>
        </is>
      </c>
      <c r="I274" s="1140" t="n"/>
      <c r="J274" s="1140" t="n"/>
      <c r="K274" s="1140" t="n"/>
      <c r="L274" s="1129" t="n"/>
    </row>
    <row r="275">
      <c r="A275" s="604" t="inlineStr">
        <is>
          <t>Nicholas's Testament</t>
        </is>
      </c>
      <c r="B275" s="604" t="inlineStr">
        <is>
          <t>Blue</t>
        </is>
      </c>
      <c r="C275" s="604" t="inlineStr">
        <is>
          <t>FTH</t>
        </is>
      </c>
      <c r="D275" s="663" t="n">
        <v>47</v>
      </c>
      <c r="E275" s="598" t="inlineStr">
        <is>
          <t>Green -&gt; Blue 1%</t>
        </is>
      </c>
      <c r="F275" s="598" t="n"/>
      <c r="G275" s="598" t="n"/>
      <c r="H275" s="662" t="inlineStr">
        <is>
          <t>Lottery Machine No. 3 (?%)</t>
        </is>
      </c>
      <c r="I275" s="1140" t="n"/>
      <c r="J275" s="1140" t="n"/>
      <c r="K275" s="1140" t="n"/>
      <c r="L275" s="1129" t="n"/>
    </row>
    <row r="276"/>
    <row r="277"/>
    <row r="278"/>
    <row r="279"/>
    <row r="280">
      <c r="A280" s="611" t="inlineStr">
        <is>
          <t>Forest Sanctum</t>
        </is>
      </c>
      <c r="B280" s="612" t="n"/>
      <c r="C280" s="612" t="n"/>
      <c r="D280" s="613" t="inlineStr">
        <is>
          <t>Main AFFCT</t>
        </is>
      </c>
      <c r="E280" s="613" t="inlineStr">
        <is>
          <t>Source</t>
        </is>
      </c>
      <c r="F280" s="1140" t="n"/>
      <c r="G280" s="1140" t="n"/>
      <c r="H280" s="1140" t="n"/>
      <c r="I280" s="1129" t="n"/>
    </row>
    <row r="281">
      <c r="A281" s="606" t="inlineStr">
        <is>
          <t>Alfred Statue</t>
        </is>
      </c>
      <c r="B281" s="606" t="inlineStr">
        <is>
          <t>SSS</t>
        </is>
      </c>
      <c r="C281" s="606" t="inlineStr">
        <is>
          <t>FAME</t>
        </is>
      </c>
      <c r="D281" s="607" t="n">
        <v>106</v>
      </c>
      <c r="E281" s="1142" t="inlineStr">
        <is>
          <t>Unknown</t>
        </is>
      </c>
      <c r="F281" s="1140" t="n"/>
      <c r="G281" s="1140" t="n"/>
      <c r="H281" s="1140" t="n"/>
      <c r="I281" s="1129" t="n"/>
    </row>
    <row r="282">
      <c r="A282" s="623" t="inlineStr">
        <is>
          <t>Three Days to See</t>
        </is>
      </c>
      <c r="B282" s="623" t="inlineStr">
        <is>
          <t>SSS</t>
        </is>
      </c>
      <c r="C282" s="623" t="inlineStr">
        <is>
          <t>FAME</t>
        </is>
      </c>
      <c r="D282" s="619" t="n">
        <v>108</v>
      </c>
      <c r="E282" s="1143" t="inlineStr">
        <is>
          <t>Unknown</t>
        </is>
      </c>
      <c r="F282" s="1140" t="n"/>
      <c r="G282" s="1140" t="n"/>
      <c r="H282" s="1140" t="n"/>
      <c r="I282" s="1129" t="n"/>
    </row>
    <row r="283">
      <c r="A283" s="606" t="inlineStr">
        <is>
          <t>Boy with a Pipe</t>
        </is>
      </c>
      <c r="B283" s="606" t="inlineStr">
        <is>
          <t>SSS</t>
        </is>
      </c>
      <c r="C283" s="606" t="inlineStr">
        <is>
          <t>ART</t>
        </is>
      </c>
      <c r="D283" s="607" t="n">
        <v>108</v>
      </c>
      <c r="E283" s="1141" t="inlineStr">
        <is>
          <t>Lottery Machine No. 3 (0.11%)</t>
        </is>
      </c>
      <c r="F283" s="1140" t="n"/>
      <c r="G283" s="1140" t="n"/>
      <c r="H283" s="1140" t="n"/>
      <c r="I283" s="1129" t="n"/>
    </row>
    <row r="284">
      <c r="A284" s="623" t="inlineStr">
        <is>
          <t>Vairocana Statue</t>
        </is>
      </c>
      <c r="B284" s="623" t="inlineStr">
        <is>
          <t>SSS</t>
        </is>
      </c>
      <c r="C284" s="623" t="inlineStr">
        <is>
          <t>FTH</t>
        </is>
      </c>
      <c r="D284" s="619" t="n">
        <v>106</v>
      </c>
      <c r="E284" s="1144" t="inlineStr">
        <is>
          <t>Weekly Special Reward #7</t>
        </is>
      </c>
      <c r="F284" s="1140" t="n"/>
      <c r="G284" s="1140" t="n"/>
      <c r="H284" s="1140" t="n"/>
      <c r="I284" s="1129" t="n"/>
    </row>
    <row r="285">
      <c r="A285" s="606" t="inlineStr">
        <is>
          <t>Owl Stele</t>
        </is>
      </c>
      <c r="B285" s="606" t="inlineStr">
        <is>
          <t>SSS</t>
        </is>
      </c>
      <c r="C285" s="606" t="inlineStr">
        <is>
          <t>FTH</t>
        </is>
      </c>
      <c r="D285" s="607" t="n">
        <v>107</v>
      </c>
      <c r="E285" s="1141" t="inlineStr">
        <is>
          <t>Value Pack, Relic Forge (120 RF)</t>
        </is>
      </c>
      <c r="F285" s="1140" t="n"/>
      <c r="G285" s="1140" t="n"/>
      <c r="H285" s="1140" t="n"/>
      <c r="I285" s="1129" t="n"/>
    </row>
    <row r="286">
      <c r="A286" s="623" t="inlineStr">
        <is>
          <t>CEDAW</t>
        </is>
      </c>
      <c r="B286" s="623" t="inlineStr">
        <is>
          <t>SSS</t>
        </is>
      </c>
      <c r="C286" s="623" t="inlineStr">
        <is>
          <t>CIV</t>
        </is>
      </c>
      <c r="D286" s="619" t="n">
        <v>107</v>
      </c>
      <c r="E286" s="1143" t="inlineStr">
        <is>
          <t>Unknown</t>
        </is>
      </c>
      <c r="F286" s="1140" t="n"/>
      <c r="G286" s="1140" t="n"/>
      <c r="H286" s="1140" t="n"/>
      <c r="I286" s="1129" t="n"/>
    </row>
    <row r="287">
      <c r="A287" s="606" t="inlineStr">
        <is>
          <t>Earth Size Fix</t>
        </is>
      </c>
      <c r="B287" s="606" t="inlineStr">
        <is>
          <t>SSS</t>
        </is>
      </c>
      <c r="C287" s="606" t="inlineStr">
        <is>
          <t>TECH</t>
        </is>
      </c>
      <c r="D287" s="607" t="n">
        <v>108</v>
      </c>
      <c r="E287" s="1141" t="inlineStr">
        <is>
          <t>Traveler's Pack #11</t>
        </is>
      </c>
      <c r="F287" s="1140" t="n"/>
      <c r="G287" s="1140" t="n"/>
      <c r="H287" s="1140" t="n"/>
      <c r="I287" s="1129" t="n"/>
    </row>
    <row r="288"/>
    <row r="289"/>
    <row r="290">
      <c r="A290" s="625" t="inlineStr">
        <is>
          <t>Frost Sanctum</t>
        </is>
      </c>
      <c r="B290" s="626" t="n"/>
      <c r="C290" s="626" t="n"/>
      <c r="D290" s="627" t="inlineStr">
        <is>
          <t>Main AFFCT</t>
        </is>
      </c>
      <c r="E290" s="627" t="inlineStr">
        <is>
          <t>Source</t>
        </is>
      </c>
      <c r="F290" s="1140" t="n"/>
      <c r="G290" s="1140" t="n"/>
      <c r="H290" s="1140" t="n"/>
      <c r="I290" s="1129" t="n"/>
    </row>
    <row r="291">
      <c r="A291" s="606" t="inlineStr">
        <is>
          <t>Head of Hammurabi</t>
        </is>
      </c>
      <c r="B291" s="606" t="inlineStr">
        <is>
          <t>SSS</t>
        </is>
      </c>
      <c r="C291" s="606" t="inlineStr">
        <is>
          <t>FAME</t>
        </is>
      </c>
      <c r="D291" s="607" t="n">
        <v>109</v>
      </c>
      <c r="E291" s="1142" t="inlineStr">
        <is>
          <t>Lottery Machine No. 3 (0.11%)</t>
        </is>
      </c>
      <c r="F291" s="1140" t="n"/>
      <c r="G291" s="1140" t="n"/>
      <c r="H291" s="1140" t="n"/>
      <c r="I291" s="1129" t="n"/>
    </row>
    <row r="292">
      <c r="A292" s="636" t="inlineStr">
        <is>
          <t>Water Lillies</t>
        </is>
      </c>
      <c r="B292" s="636" t="inlineStr">
        <is>
          <t>SSS</t>
        </is>
      </c>
      <c r="C292" s="636" t="inlineStr">
        <is>
          <t>ART</t>
        </is>
      </c>
      <c r="D292" s="637" t="n">
        <v>109</v>
      </c>
      <c r="E292" s="1145" t="inlineStr">
        <is>
          <t>Traveler's Pack #9</t>
        </is>
      </c>
      <c r="F292" s="1140" t="n"/>
      <c r="G292" s="1140" t="n"/>
      <c r="H292" s="1140" t="n"/>
      <c r="I292" s="1129" t="n"/>
    </row>
    <row r="293">
      <c r="A293" s="606" t="inlineStr">
        <is>
          <t>Adoration of Shepards</t>
        </is>
      </c>
      <c r="B293" s="606" t="inlineStr">
        <is>
          <t>SSS</t>
        </is>
      </c>
      <c r="C293" s="606" t="inlineStr">
        <is>
          <t>ART</t>
        </is>
      </c>
      <c r="D293" s="607" t="n">
        <v>109</v>
      </c>
      <c r="E293" s="1142" t="inlineStr">
        <is>
          <t>Lottery Machine No. 3 (0.11%)</t>
        </is>
      </c>
      <c r="F293" s="1140" t="n"/>
      <c r="G293" s="1140" t="n"/>
      <c r="H293" s="1140" t="n"/>
      <c r="I293" s="1129" t="n"/>
    </row>
    <row r="294">
      <c r="A294" s="636" t="inlineStr">
        <is>
          <t>Temple Pediment</t>
        </is>
      </c>
      <c r="B294" s="636" t="inlineStr">
        <is>
          <t>SSS</t>
        </is>
      </c>
      <c r="C294" s="636" t="inlineStr">
        <is>
          <t>FTH</t>
        </is>
      </c>
      <c r="D294" s="637" t="n">
        <v>104</v>
      </c>
      <c r="E294" s="1145" t="inlineStr">
        <is>
          <t>Value Pack, Relic Forge (120 RF)</t>
        </is>
      </c>
      <c r="F294" s="1140" t="n"/>
      <c r="G294" s="1140" t="n"/>
      <c r="H294" s="1140" t="n"/>
      <c r="I294" s="1129" t="n"/>
    </row>
    <row r="295">
      <c r="A295" s="606" t="inlineStr">
        <is>
          <t>The High Priestess</t>
        </is>
      </c>
      <c r="B295" s="606" t="inlineStr">
        <is>
          <t>SSS</t>
        </is>
      </c>
      <c r="C295" s="606" t="inlineStr">
        <is>
          <t>FTH</t>
        </is>
      </c>
      <c r="D295" s="607" t="n">
        <v>106</v>
      </c>
      <c r="E295" s="1141" t="inlineStr">
        <is>
          <t>Weekly Event Pack Privilege Purchase</t>
        </is>
      </c>
      <c r="F295" s="1140" t="n"/>
      <c r="G295" s="1140" t="n"/>
      <c r="H295" s="1140" t="n"/>
      <c r="I295" s="1129" t="n"/>
    </row>
    <row r="296">
      <c r="A296" s="636" t="inlineStr">
        <is>
          <t>Treatise on the Great</t>
        </is>
      </c>
      <c r="B296" s="636" t="inlineStr">
        <is>
          <t>SSS</t>
        </is>
      </c>
      <c r="C296" s="636" t="inlineStr">
        <is>
          <t>FTH</t>
        </is>
      </c>
      <c r="D296" s="637" t="n">
        <v>106</v>
      </c>
      <c r="E296" s="1145" t="inlineStr">
        <is>
          <t>Daily Silver Pack #10</t>
        </is>
      </c>
      <c r="F296" s="1140" t="n"/>
      <c r="G296" s="1140" t="n"/>
      <c r="H296" s="1140" t="n"/>
      <c r="I296" s="1129" t="n"/>
    </row>
    <row r="297">
      <c r="A297" s="606" t="inlineStr">
        <is>
          <t>Euphronios Krater</t>
        </is>
      </c>
      <c r="B297" s="606" t="inlineStr">
        <is>
          <t>SSS</t>
        </is>
      </c>
      <c r="C297" s="606" t="inlineStr">
        <is>
          <t>CIV</t>
        </is>
      </c>
      <c r="D297" s="607" t="n">
        <v>106</v>
      </c>
      <c r="E297" s="1141" t="inlineStr">
        <is>
          <t>Kaleido Valley Shop</t>
        </is>
      </c>
      <c r="F297" s="1140" t="n"/>
      <c r="G297" s="1140" t="n"/>
      <c r="H297" s="1140" t="n"/>
      <c r="I297" s="1129" t="n"/>
    </row>
    <row r="298">
      <c r="A298" s="636" t="inlineStr">
        <is>
          <t>Johann Wilhelm's Statue</t>
        </is>
      </c>
      <c r="B298" s="636" t="inlineStr">
        <is>
          <t>SSS</t>
        </is>
      </c>
      <c r="C298" s="636" t="inlineStr">
        <is>
          <t>TECH</t>
        </is>
      </c>
      <c r="D298" s="637" t="n">
        <v>108</v>
      </c>
      <c r="E298" s="1146" t="inlineStr">
        <is>
          <t>Lottery Machine No. 3 (0.11%)</t>
        </is>
      </c>
      <c r="F298" s="1140" t="n"/>
      <c r="G298" s="1140" t="n"/>
      <c r="H298" s="1140" t="n"/>
      <c r="I298" s="1129" t="n"/>
    </row>
    <row r="299">
      <c r="A299" s="606" t="inlineStr">
        <is>
          <t>M-Theory</t>
        </is>
      </c>
      <c r="B299" s="606" t="inlineStr">
        <is>
          <t>SSS</t>
        </is>
      </c>
      <c r="C299" s="606" t="inlineStr">
        <is>
          <t>TECH</t>
        </is>
      </c>
      <c r="D299" s="607" t="n">
        <v>108</v>
      </c>
      <c r="E299" s="1141" t="inlineStr">
        <is>
          <t>Clover Vendor Reward</t>
        </is>
      </c>
      <c r="F299" s="1140" t="n"/>
      <c r="G299" s="1140" t="n"/>
      <c r="H299" s="1140" t="n"/>
      <c r="I299" s="1129" t="n"/>
    </row>
    <row r="300"/>
    <row r="301"/>
    <row r="302">
      <c r="A302" s="639" t="inlineStr">
        <is>
          <t>Desert Sanctum</t>
        </is>
      </c>
      <c r="B302" s="640" t="n"/>
      <c r="C302" s="640" t="n"/>
      <c r="D302" s="641" t="inlineStr">
        <is>
          <t>Main AFFCT</t>
        </is>
      </c>
      <c r="E302" s="641" t="inlineStr">
        <is>
          <t>Source</t>
        </is>
      </c>
      <c r="F302" s="1140" t="n"/>
      <c r="G302" s="1140" t="n"/>
      <c r="H302" s="1140" t="n"/>
      <c r="I302" s="1129" t="n"/>
    </row>
    <row r="303">
      <c r="A303" s="606" t="inlineStr">
        <is>
          <t>Celebrity Biography</t>
        </is>
      </c>
      <c r="B303" s="606" t="inlineStr">
        <is>
          <t>SSS</t>
        </is>
      </c>
      <c r="C303" s="606" t="inlineStr">
        <is>
          <t>FAME</t>
        </is>
      </c>
      <c r="D303" s="607" t="n">
        <v>107</v>
      </c>
      <c r="E303" s="1141" t="inlineStr">
        <is>
          <t>Lottery Machine No. 3 (0.11%)</t>
        </is>
      </c>
      <c r="F303" s="1140" t="n"/>
      <c r="G303" s="1140" t="n"/>
      <c r="H303" s="1140" t="n"/>
      <c r="I303" s="1129" t="n"/>
    </row>
    <row r="304">
      <c r="A304" s="646" t="inlineStr">
        <is>
          <t>Hans Christian Andersen Award</t>
        </is>
      </c>
      <c r="B304" s="646" t="inlineStr">
        <is>
          <t>SSS</t>
        </is>
      </c>
      <c r="C304" s="646" t="inlineStr">
        <is>
          <t>FAME</t>
        </is>
      </c>
      <c r="D304" s="647" t="n">
        <v>107</v>
      </c>
      <c r="E304" s="1147" t="inlineStr">
        <is>
          <t>Daily Pack Relic #60</t>
        </is>
      </c>
      <c r="F304" s="1140" t="n"/>
      <c r="G304" s="1140" t="n"/>
      <c r="H304" s="1140" t="n"/>
      <c r="I304" s="1129" t="n"/>
    </row>
    <row r="305">
      <c r="A305" s="606" t="inlineStr">
        <is>
          <t>The Battle of San Romano</t>
        </is>
      </c>
      <c r="B305" s="606" t="inlineStr">
        <is>
          <t>SSS</t>
        </is>
      </c>
      <c r="C305" s="606" t="inlineStr">
        <is>
          <t>ART</t>
        </is>
      </c>
      <c r="D305" s="607" t="n">
        <v>108</v>
      </c>
      <c r="E305" s="1141" t="inlineStr">
        <is>
          <t>Lottery Machine No. 3 (0.11%)</t>
        </is>
      </c>
      <c r="F305" s="1140" t="n"/>
      <c r="G305" s="1140" t="n"/>
      <c r="H305" s="1140" t="n"/>
      <c r="I305" s="1129" t="n"/>
    </row>
    <row r="306">
      <c r="A306" s="646" t="inlineStr">
        <is>
          <t>Crazy Horse Memorial</t>
        </is>
      </c>
      <c r="B306" s="646" t="inlineStr">
        <is>
          <t>SSS</t>
        </is>
      </c>
      <c r="C306" s="646" t="inlineStr">
        <is>
          <t>FTH</t>
        </is>
      </c>
      <c r="D306" s="647" t="n">
        <v>107</v>
      </c>
      <c r="E306" s="1148" t="inlineStr">
        <is>
          <t>Kaleido Valley Fortune Teller Reward</t>
        </is>
      </c>
      <c r="F306" s="1140" t="n"/>
      <c r="G306" s="1140" t="n"/>
      <c r="H306" s="1140" t="n"/>
      <c r="I306" s="1129" t="n"/>
    </row>
    <row r="307">
      <c r="A307" s="606" t="inlineStr">
        <is>
          <t>Flying Horse of Gansu</t>
        </is>
      </c>
      <c r="B307" s="606" t="inlineStr">
        <is>
          <t>SSS</t>
        </is>
      </c>
      <c r="C307" s="606" t="inlineStr">
        <is>
          <t>CIV</t>
        </is>
      </c>
      <c r="D307" s="607" t="n">
        <v>106</v>
      </c>
      <c r="E307" s="1141" t="inlineStr">
        <is>
          <t>Lottery Machine No. 3 (0.11%)</t>
        </is>
      </c>
      <c r="F307" s="1140" t="n"/>
      <c r="G307" s="1140" t="n"/>
      <c r="H307" s="1140" t="n"/>
      <c r="I307" s="1129" t="n"/>
    </row>
    <row r="308">
      <c r="A308" s="646" t="inlineStr">
        <is>
          <t>Poincare Conjecture</t>
        </is>
      </c>
      <c r="B308" s="646" t="inlineStr">
        <is>
          <t>SSS</t>
        </is>
      </c>
      <c r="C308" s="646" t="inlineStr">
        <is>
          <t>TECH</t>
        </is>
      </c>
      <c r="D308" s="647" t="n">
        <v>106</v>
      </c>
      <c r="E308" s="1148" t="inlineStr">
        <is>
          <t>Daily Pack Relic #33</t>
        </is>
      </c>
      <c r="F308" s="1140" t="n"/>
      <c r="G308" s="1140" t="n"/>
      <c r="H308" s="1140" t="n"/>
      <c r="I308" s="1129" t="n"/>
    </row>
    <row r="309"/>
    <row r="310"/>
    <row r="311">
      <c r="A311" s="649" t="inlineStr">
        <is>
          <t>Swamp Sanctum</t>
        </is>
      </c>
      <c r="B311" s="650" t="n"/>
      <c r="C311" s="650" t="n"/>
      <c r="D311" s="651" t="inlineStr">
        <is>
          <t>Main AFFCT</t>
        </is>
      </c>
      <c r="E311" s="651" t="inlineStr">
        <is>
          <t>Source</t>
        </is>
      </c>
      <c r="F311" s="1140" t="n"/>
      <c r="G311" s="1140" t="n"/>
      <c r="H311" s="1140" t="n"/>
      <c r="I311" s="1129" t="n"/>
    </row>
    <row r="312">
      <c r="A312" s="606" t="inlineStr">
        <is>
          <t>Faberge Egg</t>
        </is>
      </c>
      <c r="B312" s="606" t="inlineStr">
        <is>
          <t>SSS</t>
        </is>
      </c>
      <c r="C312" s="606" t="inlineStr">
        <is>
          <t>FAME</t>
        </is>
      </c>
      <c r="D312" s="607" t="n">
        <v>109</v>
      </c>
      <c r="E312" s="1141" t="inlineStr">
        <is>
          <t>Lottery Machine No. 3 (0.11%)</t>
        </is>
      </c>
      <c r="F312" s="1140" t="n"/>
      <c r="G312" s="1140" t="n"/>
      <c r="H312" s="1140" t="n"/>
      <c r="I312" s="1129" t="n"/>
    </row>
    <row r="313">
      <c r="A313" s="660" t="inlineStr">
        <is>
          <t>The Yellow Christ</t>
        </is>
      </c>
      <c r="B313" s="660" t="inlineStr">
        <is>
          <t>SSS</t>
        </is>
      </c>
      <c r="C313" s="660" t="inlineStr">
        <is>
          <t>ART</t>
        </is>
      </c>
      <c r="D313" s="661" t="n">
        <v>108</v>
      </c>
      <c r="E313" s="1149" t="inlineStr">
        <is>
          <t>Traveler's Pack #12</t>
        </is>
      </c>
      <c r="F313" s="1140" t="n"/>
      <c r="G313" s="1140" t="n"/>
      <c r="H313" s="1140" t="n"/>
      <c r="I313" s="1129" t="n"/>
    </row>
    <row r="314">
      <c r="A314" s="606" t="inlineStr">
        <is>
          <t>Pnakotic Manuscripts</t>
        </is>
      </c>
      <c r="B314" s="606" t="inlineStr">
        <is>
          <t>SSS</t>
        </is>
      </c>
      <c r="C314" s="606" t="inlineStr">
        <is>
          <t>FTH</t>
        </is>
      </c>
      <c r="D314" s="607" t="n">
        <v>107</v>
      </c>
      <c r="E314" s="1141" t="inlineStr">
        <is>
          <t>Lottery Machine No. 3 (0.11%)</t>
        </is>
      </c>
      <c r="F314" s="1140" t="n"/>
      <c r="G314" s="1140" t="n"/>
      <c r="H314" s="1140" t="n"/>
      <c r="I314" s="1129" t="n"/>
    </row>
    <row r="315">
      <c r="A315" s="660" t="inlineStr">
        <is>
          <t>Fenian Cycle</t>
        </is>
      </c>
      <c r="B315" s="660" t="inlineStr">
        <is>
          <t>SSS</t>
        </is>
      </c>
      <c r="C315" s="660" t="inlineStr">
        <is>
          <t>CIV</t>
        </is>
      </c>
      <c r="D315" s="661" t="n">
        <v>106</v>
      </c>
      <c r="E315" s="1149" t="inlineStr">
        <is>
          <t>Daily Pack Relic #34</t>
        </is>
      </c>
      <c r="F315" s="1140" t="n"/>
      <c r="G315" s="1140" t="n"/>
      <c r="H315" s="1140" t="n"/>
      <c r="I315" s="1129" t="n"/>
    </row>
    <row r="316">
      <c r="A316" s="606" t="inlineStr">
        <is>
          <t>Apollo Lunar Module</t>
        </is>
      </c>
      <c r="B316" s="606" t="inlineStr">
        <is>
          <t>SSS</t>
        </is>
      </c>
      <c r="C316" s="606" t="inlineStr">
        <is>
          <t>TECH</t>
        </is>
      </c>
      <c r="D316" s="607" t="n">
        <v>108</v>
      </c>
      <c r="E316" s="1141" t="inlineStr">
        <is>
          <t>Weekly Special Reward #6</t>
        </is>
      </c>
      <c r="F316" s="1140" t="n"/>
      <c r="G316" s="1140" t="n"/>
      <c r="H316" s="1140" t="n"/>
      <c r="I316" s="1129" t="n"/>
    </row>
    <row r="317"/>
    <row r="318"/>
    <row r="319">
      <c r="A319" s="584" t="inlineStr">
        <is>
          <t>Prairie Sanctum</t>
        </is>
      </c>
      <c r="B319" s="585" t="n"/>
      <c r="C319" s="585" t="n"/>
      <c r="D319" s="586" t="inlineStr">
        <is>
          <t>Main AFFCT</t>
        </is>
      </c>
      <c r="E319" s="586" t="inlineStr">
        <is>
          <t>Source</t>
        </is>
      </c>
      <c r="F319" s="1140" t="n"/>
      <c r="G319" s="1140" t="n"/>
      <c r="H319" s="1140" t="n"/>
      <c r="I319" s="1129" t="n"/>
    </row>
    <row r="320">
      <c r="A320" s="606" t="inlineStr">
        <is>
          <t>Guinness World Records</t>
        </is>
      </c>
      <c r="B320" s="606" t="inlineStr">
        <is>
          <t>SSS</t>
        </is>
      </c>
      <c r="C320" s="606" t="inlineStr">
        <is>
          <t>FAME</t>
        </is>
      </c>
      <c r="D320" s="607" t="n">
        <v>107</v>
      </c>
      <c r="E320" s="1141" t="inlineStr">
        <is>
          <t>Lottery Machine No. 3 (0.11%)</t>
        </is>
      </c>
      <c r="F320" s="1140" t="n"/>
      <c r="G320" s="1140" t="n"/>
      <c r="H320" s="1140" t="n"/>
      <c r="I320" s="1129" t="n"/>
    </row>
    <row r="321">
      <c r="A321" s="604" t="inlineStr">
        <is>
          <t>Guiguzi Descends the Mountain</t>
        </is>
      </c>
      <c r="B321" s="662" t="inlineStr">
        <is>
          <t>SSS</t>
        </is>
      </c>
      <c r="C321" s="662" t="inlineStr">
        <is>
          <t>ART</t>
        </is>
      </c>
      <c r="D321" s="663" t="n">
        <v>107</v>
      </c>
      <c r="E321" s="1150" t="inlineStr">
        <is>
          <t>Unknown</t>
        </is>
      </c>
      <c r="F321" s="1140" t="n"/>
      <c r="G321" s="1140" t="n"/>
      <c r="H321" s="1140" t="n"/>
      <c r="I321" s="1129" t="n"/>
    </row>
    <row r="322">
      <c r="A322" s="606" t="inlineStr">
        <is>
          <t>Serenade for Strings in G Major</t>
        </is>
      </c>
      <c r="B322" s="606" t="inlineStr">
        <is>
          <t>SSS</t>
        </is>
      </c>
      <c r="C322" s="606" t="inlineStr">
        <is>
          <t>ART</t>
        </is>
      </c>
      <c r="D322" s="607" t="n">
        <v>107</v>
      </c>
      <c r="E322" s="1142" t="inlineStr">
        <is>
          <t>Daily Pack Relic #56</t>
        </is>
      </c>
      <c r="F322" s="1140" t="n"/>
      <c r="G322" s="1140" t="n"/>
      <c r="H322" s="1140" t="n"/>
      <c r="I322" s="1129" t="n"/>
    </row>
    <row r="323">
      <c r="A323" s="604" t="inlineStr">
        <is>
          <t>Burghers of Calais</t>
        </is>
      </c>
      <c r="B323" s="604" t="inlineStr">
        <is>
          <t>SSS</t>
        </is>
      </c>
      <c r="C323" s="604" t="inlineStr">
        <is>
          <t>ART</t>
        </is>
      </c>
      <c r="D323" s="663" t="n">
        <v>108</v>
      </c>
      <c r="E323" s="1150" t="inlineStr">
        <is>
          <t>Lottery Machine No. 3 (0.11%)</t>
        </is>
      </c>
      <c r="F323" s="1140" t="n"/>
      <c r="G323" s="1140" t="n"/>
      <c r="H323" s="1140" t="n"/>
      <c r="I323" s="1129" t="n"/>
    </row>
    <row r="324">
      <c r="A324" s="606" t="inlineStr">
        <is>
          <t>The Grand Odalisque</t>
        </is>
      </c>
      <c r="B324" s="606" t="inlineStr">
        <is>
          <t>SSS</t>
        </is>
      </c>
      <c r="C324" s="606" t="inlineStr">
        <is>
          <t>ART</t>
        </is>
      </c>
      <c r="D324" s="607" t="n">
        <v>108</v>
      </c>
      <c r="E324" s="1142" t="inlineStr">
        <is>
          <t>Traveler's Pack #?</t>
        </is>
      </c>
      <c r="F324" s="1140" t="n"/>
      <c r="G324" s="1140" t="n"/>
      <c r="H324" s="1140" t="n"/>
      <c r="I324" s="1129" t="n"/>
    </row>
    <row r="325">
      <c r="A325" s="604" t="inlineStr">
        <is>
          <t>Crown of Thorns</t>
        </is>
      </c>
      <c r="B325" s="604" t="inlineStr">
        <is>
          <t>SSS</t>
        </is>
      </c>
      <c r="C325" s="604" t="inlineStr">
        <is>
          <t>FTH</t>
        </is>
      </c>
      <c r="D325" s="663" t="n">
        <v>107</v>
      </c>
      <c r="E325" s="662" t="inlineStr">
        <is>
          <t>Kaleido Valley Fortune Teller Reward</t>
        </is>
      </c>
      <c r="F325" s="1140" t="n"/>
      <c r="G325" s="1140" t="n"/>
      <c r="H325" s="1140" t="n"/>
      <c r="I325" s="1129" t="n"/>
    </row>
    <row r="326">
      <c r="A326" s="606" t="inlineStr">
        <is>
          <t>Philosophy Meditations</t>
        </is>
      </c>
      <c r="B326" s="606" t="inlineStr">
        <is>
          <t>SSS</t>
        </is>
      </c>
      <c r="C326" s="606" t="inlineStr">
        <is>
          <t>CIV</t>
        </is>
      </c>
      <c r="D326" s="607" t="n">
        <v>106</v>
      </c>
      <c r="E326" s="1141" t="inlineStr">
        <is>
          <t>Daily Pack Relic #30</t>
        </is>
      </c>
      <c r="F326" s="1140" t="n"/>
      <c r="G326" s="1140" t="n"/>
      <c r="H326" s="1140" t="n"/>
      <c r="I326" s="1129" t="n"/>
    </row>
    <row r="327">
      <c r="A327" s="604" t="inlineStr">
        <is>
          <t>The Principia</t>
        </is>
      </c>
      <c r="B327" s="604" t="inlineStr">
        <is>
          <t>SSS</t>
        </is>
      </c>
      <c r="C327" s="604" t="inlineStr">
        <is>
          <t>TECH</t>
        </is>
      </c>
      <c r="D327" s="663" t="n">
        <v>109</v>
      </c>
      <c r="E327" s="662" t="inlineStr">
        <is>
          <t>Daily Pack Relic #38</t>
        </is>
      </c>
      <c r="F327" s="1140" t="n"/>
      <c r="G327" s="1140" t="n"/>
      <c r="H327" s="1140" t="n"/>
      <c r="I327" s="1129" t="n"/>
    </row>
  </sheetData>
  <mergeCells count="107">
    <mergeCell ref="E298:I298"/>
    <mergeCell ref="H275:L275"/>
    <mergeCell ref="R237:S237"/>
    <mergeCell ref="E303:I303"/>
    <mergeCell ref="E312:I312"/>
    <mergeCell ref="E290:I290"/>
    <mergeCell ref="R69:S69"/>
    <mergeCell ref="R196:S196"/>
    <mergeCell ref="H252:L252"/>
    <mergeCell ref="H261:L261"/>
    <mergeCell ref="R158:S158"/>
    <mergeCell ref="E280:I280"/>
    <mergeCell ref="E314:I314"/>
    <mergeCell ref="R198:S198"/>
    <mergeCell ref="R70:S70"/>
    <mergeCell ref="H253:L253"/>
    <mergeCell ref="R235:S235"/>
    <mergeCell ref="R32:S32"/>
    <mergeCell ref="R159:S159"/>
    <mergeCell ref="R112:S112"/>
    <mergeCell ref="H246:L246"/>
    <mergeCell ref="R106:S106"/>
    <mergeCell ref="E315:I315"/>
    <mergeCell ref="R200:S200"/>
    <mergeCell ref="R161:S161"/>
    <mergeCell ref="E305:I305"/>
    <mergeCell ref="H273:L273"/>
    <mergeCell ref="H248:L248"/>
    <mergeCell ref="E292:I292"/>
    <mergeCell ref="R202:S202"/>
    <mergeCell ref="R33:S33"/>
    <mergeCell ref="H263:L263"/>
    <mergeCell ref="R107:S107"/>
    <mergeCell ref="H272:L272"/>
    <mergeCell ref="E307:I307"/>
    <mergeCell ref="R73:S73"/>
    <mergeCell ref="E294:I294"/>
    <mergeCell ref="H265:L265"/>
    <mergeCell ref="H274:L274"/>
    <mergeCell ref="R197:S197"/>
    <mergeCell ref="H255:L255"/>
    <mergeCell ref="E293:I293"/>
    <mergeCell ref="R34:S34"/>
    <mergeCell ref="R108:S108"/>
    <mergeCell ref="R236:S236"/>
    <mergeCell ref="R36:S36"/>
    <mergeCell ref="R110:S110"/>
    <mergeCell ref="E311:I311"/>
    <mergeCell ref="E320:I320"/>
    <mergeCell ref="E304:I304"/>
    <mergeCell ref="R109:S109"/>
    <mergeCell ref="H243:L243"/>
    <mergeCell ref="E306:I306"/>
    <mergeCell ref="R72:S72"/>
    <mergeCell ref="R199:S199"/>
    <mergeCell ref="E283:I283"/>
    <mergeCell ref="R71:S71"/>
    <mergeCell ref="H254:L254"/>
    <mergeCell ref="R111:S111"/>
    <mergeCell ref="E285:I285"/>
    <mergeCell ref="H256:L256"/>
    <mergeCell ref="E322:I322"/>
    <mergeCell ref="R162:S162"/>
    <mergeCell ref="H271:L271"/>
    <mergeCell ref="R233:S233"/>
    <mergeCell ref="E324:I324"/>
    <mergeCell ref="R164:S164"/>
    <mergeCell ref="E308:I308"/>
    <mergeCell ref="R74:S74"/>
    <mergeCell ref="E295:I295"/>
    <mergeCell ref="R35:S35"/>
    <mergeCell ref="R163:S163"/>
    <mergeCell ref="H266:L266"/>
    <mergeCell ref="E319:I319"/>
    <mergeCell ref="E287:I287"/>
    <mergeCell ref="E281:I281"/>
    <mergeCell ref="R75:S75"/>
    <mergeCell ref="H249:L249"/>
    <mergeCell ref="E296:I296"/>
    <mergeCell ref="H245:L245"/>
    <mergeCell ref="E321:I321"/>
    <mergeCell ref="H260:L260"/>
    <mergeCell ref="E326:I326"/>
    <mergeCell ref="H269:L269"/>
    <mergeCell ref="E282:I282"/>
    <mergeCell ref="H244:L244"/>
    <mergeCell ref="E323:I323"/>
    <mergeCell ref="E297:I297"/>
    <mergeCell ref="E313:I313"/>
    <mergeCell ref="E299:I299"/>
    <mergeCell ref="R31:S31"/>
    <mergeCell ref="H270:L270"/>
    <mergeCell ref="R37:S37"/>
    <mergeCell ref="R160:S160"/>
    <mergeCell ref="H247:L247"/>
    <mergeCell ref="E291:I291"/>
    <mergeCell ref="R232:S232"/>
    <mergeCell ref="R201:S201"/>
    <mergeCell ref="H257:L257"/>
    <mergeCell ref="H262:L262"/>
    <mergeCell ref="E284:I284"/>
    <mergeCell ref="E316:I316"/>
    <mergeCell ref="R234:S234"/>
    <mergeCell ref="E325:I325"/>
    <mergeCell ref="E286:I286"/>
    <mergeCell ref="E327:I327"/>
    <mergeCell ref="E302:I302"/>
  </mergeCells>
  <dataValidations count="2">
    <dataValidation sqref="B3:B25 B43:B63 B81:B100 B121:B152 B171:B190 B209:B226 B244:B249 B253:B257 B261:B266 B270:B275 B281:B287 B291:B299 B303:B308 B312:B316 B320:B327" showDropDown="0" showInputMessage="0" showErrorMessage="1" allowBlank="1" type="list">
      <formula1>"SSS,SS,S,AAA,AA,A,Blue,Green"</formula1>
    </dataValidation>
    <dataValidation sqref="C3:C25 C43:C63 C81:C100 C121:C152 C171:C190 C209:C226 C244:C249 C253:C257 C261:C266 C270:C275 C281:C287 C291:C299 C303:C308 C312:C316 C320:C327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1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</tableParts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J49"/>
  <sheetViews>
    <sheetView workbookViewId="0">
      <selection activeCell="A1" sqref="A1"/>
    </sheetView>
  </sheetViews>
  <sheetFormatPr baseColWidth="8" defaultColWidth="9.18" defaultRowHeight="15" customHeight="1"/>
  <cols>
    <col width="15.18" customWidth="1" style="1128" min="1" max="1"/>
    <col width="100.91" customWidth="1" style="1128" min="10" max="10"/>
  </cols>
  <sheetData>
    <row r="1">
      <c r="A1" s="344" t="inlineStr">
        <is>
          <t>Name</t>
        </is>
      </c>
      <c r="B1" s="406" t="inlineStr">
        <is>
          <t>Rarity</t>
        </is>
      </c>
      <c r="C1" s="406" t="inlineStr">
        <is>
          <t>Type</t>
        </is>
      </c>
      <c r="D1" s="406" t="inlineStr">
        <is>
          <t>Btad Cost</t>
        </is>
      </c>
      <c r="E1" s="406" t="inlineStr">
        <is>
          <t>Awakening Btad Cost</t>
        </is>
      </c>
      <c r="F1" s="406" t="inlineStr">
        <is>
          <t>Wood Cost</t>
        </is>
      </c>
      <c r="G1" s="406" t="inlineStr">
        <is>
          <t>Awakening Wood Cost</t>
        </is>
      </c>
      <c r="H1" s="406" t="inlineStr">
        <is>
          <t>Stone Cost</t>
        </is>
      </c>
      <c r="I1" s="406" t="inlineStr">
        <is>
          <t>Awakening Stone Cost</t>
        </is>
      </c>
      <c r="J1" s="129" t="inlineStr">
        <is>
          <t>Source</t>
        </is>
      </c>
    </row>
    <row r="2">
      <c r="A2" s="434" t="inlineStr">
        <is>
          <t>TADPOLE POND</t>
        </is>
      </c>
      <c r="B2" s="425" t="n"/>
      <c r="C2" s="425" t="n"/>
      <c r="D2" s="425" t="n"/>
      <c r="E2" s="425" t="n"/>
      <c r="F2" s="425" t="n"/>
      <c r="G2" s="425" t="n"/>
      <c r="H2" s="425" t="n"/>
      <c r="I2" s="425" t="n"/>
      <c r="J2" s="418" t="n"/>
    </row>
    <row r="3">
      <c r="A3" s="357" t="inlineStr">
        <is>
          <t>Golden Finger</t>
        </is>
      </c>
      <c r="B3" s="425" t="inlineStr">
        <is>
          <t>S</t>
        </is>
      </c>
      <c r="C3" s="425" t="inlineStr">
        <is>
          <t>FTH</t>
        </is>
      </c>
      <c r="D3" s="371" t="n">
        <v>10</v>
      </c>
      <c r="E3" s="425" t="n"/>
      <c r="F3" s="371" t="n"/>
      <c r="G3" s="425" t="n"/>
      <c r="H3" s="371" t="n"/>
      <c r="I3" s="371" t="n"/>
      <c r="J3" s="418" t="inlineStr">
        <is>
          <t>Fragment Crafting (15.1%), Lottery Machine #1 (0.81%), Wishing (0.53%), Master Scrolls (6.5%), FTH Master Scrolls (31.5%), Relic Forge (90 Relic RF)</t>
        </is>
      </c>
    </row>
    <row r="4">
      <c r="A4" s="357" t="inlineStr">
        <is>
          <t>Epic of Gilgamesh</t>
        </is>
      </c>
      <c r="B4" s="425" t="inlineStr">
        <is>
          <t>SS</t>
        </is>
      </c>
      <c r="C4" s="425" t="inlineStr">
        <is>
          <t>CIV</t>
        </is>
      </c>
      <c r="D4" s="371" t="n"/>
      <c r="E4" s="371" t="n"/>
      <c r="F4" s="371" t="n"/>
      <c r="G4" s="425" t="n"/>
      <c r="H4" s="425" t="n"/>
      <c r="I4" s="425" t="n">
        <v>10</v>
      </c>
      <c r="J4" s="418" t="inlineStr">
        <is>
          <t>Fragment Crafting (4.1%), Lottery Machine #1 (0.18%), Wishing (0.15%), Dragon Chest (5%), Grandmaster Scrolls (1.5%)</t>
        </is>
      </c>
    </row>
    <row r="5">
      <c r="A5" s="357" t="inlineStr">
        <is>
          <t>Haulers on Volga</t>
        </is>
      </c>
      <c r="B5" s="425" t="inlineStr">
        <is>
          <t>AAA</t>
        </is>
      </c>
      <c r="C5" s="425" t="inlineStr">
        <is>
          <t>ART</t>
        </is>
      </c>
      <c r="D5" s="371" t="n"/>
      <c r="E5" s="425" t="n"/>
      <c r="F5" s="425" t="n">
        <v>9</v>
      </c>
      <c r="G5" s="425" t="n"/>
      <c r="H5" s="425" t="n"/>
      <c r="I5" s="425" t="n"/>
      <c r="J5" s="418" t="inlineStr">
        <is>
          <t>Fragment Crafting (1.6%), Lottery Machine #1 (0.03%), Wishing (0.14%), Relic Forge (Relic RF 80)</t>
        </is>
      </c>
    </row>
    <row r="6">
      <c r="A6" s="666" t="inlineStr">
        <is>
          <t>San Plate</t>
        </is>
      </c>
      <c r="B6" s="425" t="inlineStr">
        <is>
          <t>AAA</t>
        </is>
      </c>
      <c r="C6" s="415" t="inlineStr">
        <is>
          <t>FAME</t>
        </is>
      </c>
      <c r="D6" s="669" t="n"/>
      <c r="E6" s="669" t="n"/>
      <c r="F6" s="669" t="n">
        <v>9</v>
      </c>
      <c r="G6" s="669" t="n">
        <v>7</v>
      </c>
      <c r="H6" s="669" t="n"/>
      <c r="I6" s="669" t="n"/>
      <c r="J6" s="667" t="inlineStr">
        <is>
          <t>Museum Operation Reward</t>
        </is>
      </c>
    </row>
    <row r="7">
      <c r="A7" s="357" t="inlineStr">
        <is>
          <t>Observatory</t>
        </is>
      </c>
      <c r="B7" s="425" t="inlineStr">
        <is>
          <t>A</t>
        </is>
      </c>
      <c r="C7" s="425" t="inlineStr">
        <is>
          <t>TECH</t>
        </is>
      </c>
      <c r="D7" s="425" t="n"/>
      <c r="E7" s="425" t="n"/>
      <c r="F7" s="425" t="n"/>
      <c r="G7" s="425" t="n"/>
      <c r="H7" s="371" t="n">
        <v>7</v>
      </c>
      <c r="I7" s="371" t="n">
        <v>7</v>
      </c>
      <c r="J7" s="386" t="inlineStr">
        <is>
          <t>Fragment Crafting (31.5%), Lottery Machine #1 (0.66%), Wishing (2.9%), Fungus Chest (1.5%), Expert Scrolls (7.6%)</t>
        </is>
      </c>
    </row>
    <row r="8">
      <c r="A8" s="357" t="inlineStr">
        <is>
          <t>Boy with Goose</t>
        </is>
      </c>
      <c r="B8" s="425" t="inlineStr">
        <is>
          <t>A</t>
        </is>
      </c>
      <c r="C8" s="425" t="inlineStr">
        <is>
          <t>ART</t>
        </is>
      </c>
      <c r="D8" s="371" t="n">
        <v>7</v>
      </c>
      <c r="E8" s="371" t="n">
        <v>7</v>
      </c>
      <c r="F8" s="371" t="n"/>
      <c r="G8" s="425" t="n"/>
      <c r="H8" s="425" t="n"/>
      <c r="I8" s="425" t="n"/>
      <c r="J8" s="386" t="inlineStr">
        <is>
          <t>Fragment Crafting (31.2%), Lottery Machine #1 (0.66%), Wishing (2.8%), Expert Scrolls (7.6%)</t>
        </is>
      </c>
    </row>
    <row r="9">
      <c r="A9" s="362" t="inlineStr">
        <is>
          <t>MAX TADPOLE POND</t>
        </is>
      </c>
      <c r="B9" s="411" t="n"/>
      <c r="C9" s="411" t="n"/>
      <c r="D9" s="364">
        <f>sum(D3:E8)</f>
        <v/>
      </c>
      <c r="E9" s="411" t="n"/>
      <c r="F9" s="364">
        <f>sum(F3:G8)</f>
        <v/>
      </c>
      <c r="G9" s="411" t="n"/>
      <c r="H9" s="364">
        <f>sum(H3:I8)</f>
        <v/>
      </c>
      <c r="I9" s="411" t="n"/>
      <c r="J9" s="426" t="n"/>
    </row>
    <row r="10">
      <c r="A10" s="434" t="n"/>
      <c r="B10" s="425" t="n"/>
      <c r="C10" s="425" t="n"/>
      <c r="D10" s="425" t="n"/>
      <c r="E10" s="425" t="n"/>
      <c r="F10" s="425" t="n"/>
      <c r="G10" s="425" t="n"/>
      <c r="H10" s="425" t="n"/>
      <c r="I10" s="425" t="n"/>
      <c r="J10" s="425" t="n"/>
    </row>
    <row r="11">
      <c r="A11" s="344" t="inlineStr">
        <is>
          <t>Name</t>
        </is>
      </c>
      <c r="B11" s="406" t="inlineStr">
        <is>
          <t>Rarity</t>
        </is>
      </c>
      <c r="C11" s="406" t="inlineStr">
        <is>
          <t>Type</t>
        </is>
      </c>
      <c r="D11" s="406" t="inlineStr">
        <is>
          <t>Btad Cost</t>
        </is>
      </c>
      <c r="E11" s="406" t="inlineStr">
        <is>
          <t>Awakening Btad Cost</t>
        </is>
      </c>
      <c r="F11" s="406" t="inlineStr">
        <is>
          <t>Wood Cost</t>
        </is>
      </c>
      <c r="G11" s="406" t="inlineStr">
        <is>
          <t>Awakening Wood Cost</t>
        </is>
      </c>
      <c r="H11" s="406" t="inlineStr">
        <is>
          <t>Stone Cost</t>
        </is>
      </c>
      <c r="I11" s="406" t="inlineStr">
        <is>
          <t>Awakening Stone Cost</t>
        </is>
      </c>
      <c r="J11" s="129" t="inlineStr">
        <is>
          <t>Source</t>
        </is>
      </c>
    </row>
    <row r="12">
      <c r="A12" s="434" t="inlineStr">
        <is>
          <t>FUNGUS FARM</t>
        </is>
      </c>
      <c r="B12" s="425" t="n"/>
      <c r="C12" s="425" t="n"/>
      <c r="D12" s="425" t="n"/>
      <c r="E12" s="425" t="n"/>
      <c r="F12" s="425" t="n"/>
      <c r="G12" s="425" t="n"/>
      <c r="H12" s="425" t="n"/>
      <c r="I12" s="425" t="n"/>
      <c r="J12" s="418" t="n"/>
    </row>
    <row r="13">
      <c r="A13" s="357" t="inlineStr">
        <is>
          <t>Golden Finger</t>
        </is>
      </c>
      <c r="B13" s="425" t="inlineStr">
        <is>
          <t>S</t>
        </is>
      </c>
      <c r="C13" s="425" t="inlineStr">
        <is>
          <t>FTH</t>
        </is>
      </c>
      <c r="D13" s="371" t="n">
        <v>10</v>
      </c>
      <c r="E13" s="425" t="n"/>
      <c r="F13" s="371" t="n"/>
      <c r="G13" s="425" t="n"/>
      <c r="H13" s="371" t="n"/>
      <c r="I13" s="371" t="n"/>
      <c r="J13" s="418" t="inlineStr">
        <is>
          <t>Fragment Crafting (15.1%), Lottery Machine #1 (0.81%), Wishing (0.53%), Master Scrolls (6.5%), FTH Master Scrolls (31.5%), Relic Forge (90 Relic RF)</t>
        </is>
      </c>
    </row>
    <row r="14">
      <c r="A14" s="668" t="inlineStr">
        <is>
          <t>Fuchun Mountains</t>
        </is>
      </c>
      <c r="B14" s="425" t="inlineStr">
        <is>
          <t>AA</t>
        </is>
      </c>
      <c r="C14" s="425" t="inlineStr">
        <is>
          <t>ART</t>
        </is>
      </c>
      <c r="D14" s="669" t="n"/>
      <c r="E14" s="669" t="n"/>
      <c r="F14" s="669" t="n">
        <v>8</v>
      </c>
      <c r="G14" s="669" t="n">
        <v>7</v>
      </c>
      <c r="H14" s="669" t="n"/>
      <c r="I14" s="669" t="n"/>
      <c r="J14" s="1095" t="inlineStr">
        <is>
          <t>Fragment Crafting (3.9%), Lottery Machine #1 (0.08%), Wishing (0.36%), Expert Scrolls (0.95%)</t>
        </is>
      </c>
    </row>
    <row r="15">
      <c r="A15" s="357" t="inlineStr">
        <is>
          <t>Boy with Goose</t>
        </is>
      </c>
      <c r="B15" s="425" t="inlineStr">
        <is>
          <t>A</t>
        </is>
      </c>
      <c r="C15" s="425" t="inlineStr">
        <is>
          <t>ART</t>
        </is>
      </c>
      <c r="D15" s="371" t="n">
        <v>7</v>
      </c>
      <c r="E15" s="371" t="n"/>
      <c r="F15" s="371" t="n"/>
      <c r="G15" s="425" t="n"/>
      <c r="H15" s="425" t="n"/>
      <c r="I15" s="425" t="n"/>
      <c r="J15" s="386" t="inlineStr">
        <is>
          <t>Fragment Crafting (31.2%), Lottery Machine #1 (0.66%), Wishing (2.8%), Expert Scrolls (7.6%)</t>
        </is>
      </c>
    </row>
    <row r="16">
      <c r="A16" s="668" t="inlineStr">
        <is>
          <t>Rosetta Stone</t>
        </is>
      </c>
      <c r="B16" s="425" t="inlineStr">
        <is>
          <t>A</t>
        </is>
      </c>
      <c r="C16" s="425" t="inlineStr">
        <is>
          <t>FAME</t>
        </is>
      </c>
      <c r="D16" s="669" t="n"/>
      <c r="E16" s="669" t="n"/>
      <c r="F16" s="669" t="n"/>
      <c r="G16" s="669" t="n"/>
      <c r="H16" s="669" t="n">
        <v>7</v>
      </c>
      <c r="I16" s="669" t="n"/>
      <c r="J16" s="1095" t="inlineStr">
        <is>
          <t>Fragment Crafting (31%), Lottery Machine #1 (0.66%), Wishing (2.8%), Kemetic Treasure Maps (10%), Expert Scrolls (7.6%)</t>
        </is>
      </c>
    </row>
    <row r="17">
      <c r="A17" s="670" t="inlineStr">
        <is>
          <t>MAX FUNGUS FARM</t>
        </is>
      </c>
      <c r="B17" s="1093" t="n"/>
      <c r="C17" s="1093" t="n"/>
      <c r="D17" s="1093">
        <f>sum(D13:E16)</f>
        <v/>
      </c>
      <c r="E17" s="1093" t="n"/>
      <c r="F17" s="1093">
        <f>sum(F13:G16)</f>
        <v/>
      </c>
      <c r="G17" s="1093" t="n"/>
      <c r="H17" s="1093">
        <f>sum(H13:I16)</f>
        <v/>
      </c>
      <c r="I17" s="1093" t="n"/>
      <c r="J17" s="965" t="n"/>
    </row>
    <row r="18">
      <c r="A18" s="906" t="n"/>
      <c r="B18" s="906" t="n"/>
      <c r="C18" s="906" t="n"/>
      <c r="D18" s="906" t="n"/>
      <c r="F18" s="906" t="n"/>
      <c r="H18" s="906" t="n"/>
      <c r="J18" s="906" t="n"/>
    </row>
    <row r="19">
      <c r="A19" s="906" t="n"/>
      <c r="B19" s="906" t="n"/>
      <c r="C19" s="906" t="n"/>
      <c r="D19" s="906" t="n"/>
      <c r="F19" s="906" t="n"/>
      <c r="H19" s="906" t="n"/>
      <c r="J19" s="906" t="n"/>
    </row>
    <row r="20">
      <c r="A20" s="677" t="inlineStr">
        <is>
          <t>Name</t>
        </is>
      </c>
      <c r="B20" s="1089" t="inlineStr">
        <is>
          <t>Rarity</t>
        </is>
      </c>
      <c r="C20" s="1089" t="inlineStr">
        <is>
          <t>Type</t>
        </is>
      </c>
      <c r="D20" s="1089" t="inlineStr">
        <is>
          <t>Btad Cost</t>
        </is>
      </c>
      <c r="E20" s="1089" t="inlineStr">
        <is>
          <t>Awakening Btad Cost</t>
        </is>
      </c>
      <c r="F20" s="1089" t="inlineStr">
        <is>
          <t>Wood Cost</t>
        </is>
      </c>
      <c r="G20" s="1089" t="inlineStr">
        <is>
          <t>Awakening Wood Cost</t>
        </is>
      </c>
      <c r="H20" s="1089" t="inlineStr">
        <is>
          <t>Stone Cost</t>
        </is>
      </c>
      <c r="I20" s="1089" t="inlineStr">
        <is>
          <t>Awakening Stone Cost</t>
        </is>
      </c>
      <c r="J20" s="1090" t="inlineStr">
        <is>
          <t>Source</t>
        </is>
      </c>
    </row>
    <row r="21">
      <c r="A21" s="1091" t="inlineStr">
        <is>
          <t>TIME MACHINE</t>
        </is>
      </c>
      <c r="B21" s="669" t="n"/>
      <c r="C21" s="669" t="n"/>
      <c r="D21" s="669" t="n"/>
      <c r="E21" s="669" t="n"/>
      <c r="F21" s="669" t="n"/>
      <c r="G21" s="669" t="n"/>
      <c r="H21" s="669" t="n"/>
      <c r="I21" s="669" t="n"/>
      <c r="J21" s="1095" t="n"/>
    </row>
    <row r="22">
      <c r="A22" s="357" t="inlineStr">
        <is>
          <t>Golden Finger</t>
        </is>
      </c>
      <c r="B22" s="425" t="inlineStr">
        <is>
          <t>S</t>
        </is>
      </c>
      <c r="C22" s="425" t="inlineStr">
        <is>
          <t>FTH</t>
        </is>
      </c>
      <c r="D22" s="371" t="n">
        <v>10</v>
      </c>
      <c r="E22" s="425" t="n">
        <v>10</v>
      </c>
      <c r="F22" s="371" t="n"/>
      <c r="G22" s="425" t="n"/>
      <c r="H22" s="371" t="n"/>
      <c r="I22" s="371" t="n"/>
      <c r="J22" s="418" t="inlineStr">
        <is>
          <t>Fragment Crafting (15.1%), Lottery Machine #1 (0.81%), Wishing (0.53%), Master Scrolls (6.5%), FTH Master Scrolls (31.5%), Relic Forge (90 Relic RF)</t>
        </is>
      </c>
    </row>
    <row r="23">
      <c r="A23" s="668" t="inlineStr">
        <is>
          <t>Bell's Telephone</t>
        </is>
      </c>
      <c r="B23" s="425" t="inlineStr">
        <is>
          <t>AAA</t>
        </is>
      </c>
      <c r="C23" s="425" t="inlineStr">
        <is>
          <t>TECH</t>
        </is>
      </c>
      <c r="D23" s="669" t="n">
        <v>9</v>
      </c>
      <c r="E23" s="669" t="n"/>
      <c r="F23" s="669" t="n"/>
      <c r="G23" s="669" t="n"/>
      <c r="H23" s="669" t="n"/>
      <c r="I23" s="669" t="n"/>
      <c r="J23" s="1095" t="inlineStr">
        <is>
          <t>Fragment Crafting (1.6%), Lottery Machine #1 (0.03%), Wishes (0.14%), Relic Forge (80 Relic RF)</t>
        </is>
      </c>
    </row>
    <row r="24">
      <c r="A24" s="668" t="inlineStr">
        <is>
          <t>ENIAC Prototype</t>
        </is>
      </c>
      <c r="B24" s="425" t="inlineStr">
        <is>
          <t>AA</t>
        </is>
      </c>
      <c r="C24" s="425" t="inlineStr">
        <is>
          <t>TECH</t>
        </is>
      </c>
      <c r="D24" s="669" t="n"/>
      <c r="E24" s="669" t="n"/>
      <c r="F24" s="669" t="n">
        <v>8</v>
      </c>
      <c r="G24" s="669" t="n"/>
      <c r="H24" s="669" t="n">
        <v>8</v>
      </c>
      <c r="I24" s="669" t="n">
        <v>7</v>
      </c>
      <c r="J24" s="1095" t="inlineStr">
        <is>
          <t>Fragment Crafting (3.9%), Lottery Machine #1 (0.08%), Wishing (0.36%), Murikan Treasure Map (10%), Expert Scrolls (0.95%)</t>
        </is>
      </c>
    </row>
    <row r="25">
      <c r="A25" s="668" t="inlineStr">
        <is>
          <t>Franklin's Kite</t>
        </is>
      </c>
      <c r="B25" s="425" t="inlineStr">
        <is>
          <t>Blue</t>
        </is>
      </c>
      <c r="C25" s="415" t="inlineStr">
        <is>
          <t>FAME</t>
        </is>
      </c>
      <c r="D25" s="669" t="n">
        <v>5</v>
      </c>
      <c r="E25" s="669" t="n">
        <v>5</v>
      </c>
      <c r="F25" s="669" t="n"/>
      <c r="G25" s="669" t="n"/>
      <c r="H25" s="669" t="n"/>
      <c r="I25" s="669" t="n"/>
      <c r="J25" s="1095" t="inlineStr">
        <is>
          <t>Lottery Machine #1 (0.07%), Wishing (3.1%), Murikan Treasure Map (20%), Novice Scrolls (1%)</t>
        </is>
      </c>
    </row>
    <row r="26">
      <c r="A26" s="670" t="inlineStr">
        <is>
          <t>MAX TIME MACHINE</t>
        </is>
      </c>
      <c r="B26" s="1093" t="n"/>
      <c r="C26" s="1093" t="n"/>
      <c r="D26" s="1093">
        <f>sum(D22:E25)</f>
        <v/>
      </c>
      <c r="E26" s="1093" t="n"/>
      <c r="F26" s="1093">
        <f>sum(F22:G25)</f>
        <v/>
      </c>
      <c r="G26" s="1093" t="n"/>
      <c r="H26" s="1093">
        <f>sum(H22:I25)</f>
        <v/>
      </c>
      <c r="I26" s="1093" t="n"/>
      <c r="J26" s="965" t="n"/>
    </row>
    <row r="27">
      <c r="A27" s="906" t="n"/>
      <c r="B27" s="906" t="n"/>
      <c r="C27" s="906" t="n"/>
      <c r="J27" s="906" t="n"/>
    </row>
    <row r="28">
      <c r="A28" s="906" t="n"/>
      <c r="B28" s="906" t="n"/>
      <c r="C28" s="906" t="n"/>
      <c r="J28" s="906" t="n"/>
    </row>
    <row r="29">
      <c r="A29" s="677" t="inlineStr">
        <is>
          <t>Name</t>
        </is>
      </c>
      <c r="B29" s="1089" t="inlineStr">
        <is>
          <t>Rarity</t>
        </is>
      </c>
      <c r="C29" s="1089" t="inlineStr">
        <is>
          <t>Type</t>
        </is>
      </c>
      <c r="D29" s="1089" t="inlineStr">
        <is>
          <t>Btad Cost</t>
        </is>
      </c>
      <c r="E29" s="1089" t="inlineStr">
        <is>
          <t>Awakening Btad Cost</t>
        </is>
      </c>
      <c r="F29" s="1089" t="inlineStr">
        <is>
          <t>Wood Cost</t>
        </is>
      </c>
      <c r="G29" s="1089" t="inlineStr">
        <is>
          <t>Awakening Wood Cost</t>
        </is>
      </c>
      <c r="H29" s="1089" t="inlineStr">
        <is>
          <t>Stone Cost</t>
        </is>
      </c>
      <c r="I29" s="1089" t="inlineStr">
        <is>
          <t>Awakening Stone Cost</t>
        </is>
      </c>
      <c r="J29" s="1090" t="inlineStr">
        <is>
          <t>Source</t>
        </is>
      </c>
    </row>
    <row r="30">
      <c r="A30" s="1091" t="inlineStr">
        <is>
          <t>LUMBER CAMP</t>
        </is>
      </c>
      <c r="B30" s="669" t="n"/>
      <c r="C30" s="669" t="n"/>
      <c r="D30" s="669" t="n"/>
      <c r="E30" s="669" t="n"/>
      <c r="F30" s="669" t="n"/>
      <c r="G30" s="669" t="n"/>
      <c r="H30" s="669" t="n"/>
      <c r="I30" s="669" t="n"/>
      <c r="J30" s="1095" t="n"/>
    </row>
    <row r="31">
      <c r="A31" s="668" t="inlineStr">
        <is>
          <t>The Tales of Genji</t>
        </is>
      </c>
      <c r="B31" s="425" t="inlineStr">
        <is>
          <t>S</t>
        </is>
      </c>
      <c r="C31" s="425" t="inlineStr">
        <is>
          <t>CIV</t>
        </is>
      </c>
      <c r="D31" s="669" t="n">
        <v>10</v>
      </c>
      <c r="E31" s="669" t="n">
        <v>10</v>
      </c>
      <c r="F31" s="669" t="n">
        <v>10</v>
      </c>
      <c r="G31" s="669" t="n"/>
      <c r="H31" s="669" t="n">
        <v>10</v>
      </c>
      <c r="I31" s="669" t="n"/>
      <c r="J31" s="1095" t="inlineStr">
        <is>
          <t>Fragment Crafting (18.8%), Lottery Machine #1 (0.81%), Wishing (0.69%), Yamato Treasure Map (5%), Master Scroll (6.5%), CIV Master Scroll (37.5%), Relic Forge (90 Relic RF)</t>
        </is>
      </c>
    </row>
    <row r="32">
      <c r="A32" s="668" t="inlineStr">
        <is>
          <t>Plantagenet Badge</t>
        </is>
      </c>
      <c r="B32" s="425" t="inlineStr">
        <is>
          <t>AAA</t>
        </is>
      </c>
      <c r="C32" s="415" t="inlineStr">
        <is>
          <t>FAME</t>
        </is>
      </c>
      <c r="D32" s="669" t="n">
        <v>9</v>
      </c>
      <c r="E32" s="669" t="n"/>
      <c r="F32" s="669" t="n"/>
      <c r="G32" s="669" t="n"/>
      <c r="H32" s="669" t="n">
        <v>9</v>
      </c>
      <c r="I32" s="669" t="n">
        <v>7</v>
      </c>
      <c r="J32" s="1095" t="inlineStr">
        <is>
          <t>Fragment Crafting (1.6%), Lottery Machine #1 (0.03%), Wishing (0.14%), Relic Forge (80 Relic RF)</t>
        </is>
      </c>
    </row>
    <row r="33">
      <c r="A33" s="668" t="inlineStr">
        <is>
          <t>Pine Trees Screen</t>
        </is>
      </c>
      <c r="B33" s="425" t="inlineStr">
        <is>
          <t>AA</t>
        </is>
      </c>
      <c r="C33" s="425" t="inlineStr">
        <is>
          <t>ART</t>
        </is>
      </c>
      <c r="D33" s="669" t="n"/>
      <c r="E33" s="669" t="n"/>
      <c r="F33" s="669" t="n">
        <v>8</v>
      </c>
      <c r="G33" s="669" t="n">
        <v>7</v>
      </c>
      <c r="H33" s="669" t="n"/>
      <c r="I33" s="669" t="n"/>
      <c r="J33" s="1095" t="inlineStr">
        <is>
          <t>Fragment Crafting (3.9%), Lottery Machine #1 (0.08%), Wishing (0.36%), Yamato Treasure Maps (10%), Expert Scrolls (0.95%)</t>
        </is>
      </c>
    </row>
    <row r="34">
      <c r="A34" s="670" t="inlineStr">
        <is>
          <t>MAX LUMBER CAMP</t>
        </is>
      </c>
      <c r="B34" s="1093" t="n"/>
      <c r="C34" s="1093" t="n"/>
      <c r="D34" s="1093">
        <f>sum(D31:E33)</f>
        <v/>
      </c>
      <c r="E34" s="1093" t="n"/>
      <c r="F34" s="1093">
        <f>sum(F31:G33)</f>
        <v/>
      </c>
      <c r="G34" s="1093" t="n"/>
      <c r="H34" s="1093">
        <f>sum(H31:I33)</f>
        <v/>
      </c>
      <c r="I34" s="1093" t="n"/>
      <c r="J34" s="965" t="n"/>
    </row>
    <row r="35"/>
    <row r="36"/>
    <row r="37">
      <c r="A37" s="344" t="inlineStr">
        <is>
          <t>Name</t>
        </is>
      </c>
      <c r="B37" s="406" t="inlineStr">
        <is>
          <t>Rarity</t>
        </is>
      </c>
      <c r="C37" s="406" t="inlineStr">
        <is>
          <t>Type</t>
        </is>
      </c>
      <c r="D37" s="406" t="inlineStr">
        <is>
          <t>Btad Cost</t>
        </is>
      </c>
      <c r="E37" s="406" t="inlineStr">
        <is>
          <t>Awakening Btad Cost</t>
        </is>
      </c>
      <c r="F37" s="406" t="inlineStr">
        <is>
          <t>Wood Cost</t>
        </is>
      </c>
      <c r="G37" s="406" t="inlineStr">
        <is>
          <t>Awakening Wood Cost</t>
        </is>
      </c>
      <c r="H37" s="406" t="inlineStr">
        <is>
          <t>Stone Cost</t>
        </is>
      </c>
      <c r="I37" s="406" t="inlineStr">
        <is>
          <t>Awakening Stone Cost</t>
        </is>
      </c>
      <c r="J37" s="129" t="inlineStr">
        <is>
          <t>Source</t>
        </is>
      </c>
    </row>
    <row r="38">
      <c r="A38" s="434" t="inlineStr">
        <is>
          <t>QUARRY</t>
        </is>
      </c>
      <c r="B38" s="425" t="n"/>
      <c r="C38" s="425" t="n"/>
      <c r="D38" s="425" t="n"/>
      <c r="E38" s="425" t="n"/>
      <c r="F38" s="425" t="n"/>
      <c r="G38" s="425" t="n"/>
      <c r="H38" s="425" t="n"/>
      <c r="I38" s="425" t="n"/>
      <c r="J38" s="418" t="n"/>
    </row>
    <row r="39">
      <c r="A39" s="357" t="inlineStr">
        <is>
          <t>Epic of Gilgamesh</t>
        </is>
      </c>
      <c r="B39" s="425" t="inlineStr">
        <is>
          <t>SS</t>
        </is>
      </c>
      <c r="C39" s="425" t="inlineStr">
        <is>
          <t>CIV</t>
        </is>
      </c>
      <c r="D39" s="371" t="n">
        <v>11</v>
      </c>
      <c r="E39" s="371" t="n"/>
      <c r="F39" s="371" t="n">
        <v>11</v>
      </c>
      <c r="G39" s="425" t="n"/>
      <c r="H39" s="425" t="n">
        <v>11</v>
      </c>
      <c r="I39" s="425" t="n"/>
      <c r="J39" s="418" t="inlineStr">
        <is>
          <t>Fragment Crafting (4.1%), Lottery Machine #1 (0.18%), Wishing (0.15%), Dragon Chest (5%), Grandmaster Scrolls (1.5%)</t>
        </is>
      </c>
    </row>
    <row r="40">
      <c r="A40" s="357" t="inlineStr">
        <is>
          <t>Killing Stone</t>
        </is>
      </c>
      <c r="B40" s="425" t="inlineStr">
        <is>
          <t>AAA</t>
        </is>
      </c>
      <c r="C40" s="425" t="inlineStr">
        <is>
          <t>FTH</t>
        </is>
      </c>
      <c r="D40" s="371" t="n"/>
      <c r="E40" s="425" t="n"/>
      <c r="F40" s="425" t="n"/>
      <c r="G40" s="425" t="n"/>
      <c r="H40" s="425" t="n">
        <v>9</v>
      </c>
      <c r="I40" s="425" t="n"/>
      <c r="J40" s="418" t="inlineStr">
        <is>
          <t>Fragment Crafting (1.5%), Lottery Machine #1 (0.03%), Wishing (0.14%), Relic Forge (80 Relic RF)</t>
        </is>
      </c>
    </row>
    <row r="41">
      <c r="A41" s="357" t="inlineStr">
        <is>
          <t>Spirit of Laws</t>
        </is>
      </c>
      <c r="B41" s="425" t="inlineStr">
        <is>
          <t>AA</t>
        </is>
      </c>
      <c r="C41" s="415" t="inlineStr">
        <is>
          <t>FAME</t>
        </is>
      </c>
      <c r="D41" s="425" t="n">
        <v>8</v>
      </c>
      <c r="E41" s="425" t="n">
        <v>7</v>
      </c>
      <c r="F41" s="425" t="n">
        <v>8</v>
      </c>
      <c r="G41" s="425" t="n"/>
      <c r="H41" s="371" t="n"/>
      <c r="I41" s="371" t="n"/>
      <c r="J41" s="386" t="inlineStr">
        <is>
          <t>Fragment Crafting (3.9%), Lottery Machine #1 (0.08%), Wishing (0.35%), Expert Scrolls (0.95%)</t>
        </is>
      </c>
    </row>
    <row r="42">
      <c r="A42" s="357" t="inlineStr">
        <is>
          <t>Musician Figure</t>
        </is>
      </c>
      <c r="B42" s="425" t="inlineStr">
        <is>
          <t>Blue</t>
        </is>
      </c>
      <c r="C42" s="425" t="inlineStr">
        <is>
          <t>CIV</t>
        </is>
      </c>
      <c r="D42" s="371" t="n">
        <v>5</v>
      </c>
      <c r="E42" s="371" t="n">
        <v>5</v>
      </c>
      <c r="F42" s="425" t="n"/>
      <c r="G42" s="425" t="n"/>
      <c r="H42" s="425" t="n"/>
      <c r="I42" s="425" t="n"/>
      <c r="J42" s="386" t="inlineStr">
        <is>
          <t>Lottery Machine #1 (0.03%), Wish (0.82%), Cathay Treasure Maps (20%)</t>
        </is>
      </c>
    </row>
    <row r="43">
      <c r="A43" s="362" t="inlineStr">
        <is>
          <t>MAX QUARRY</t>
        </is>
      </c>
      <c r="B43" s="411" t="n"/>
      <c r="C43" s="411" t="n"/>
      <c r="D43" s="364">
        <f>sum(D39:E42)</f>
        <v/>
      </c>
      <c r="E43" s="411" t="n"/>
      <c r="F43" s="364">
        <f>sum(F39:G42)</f>
        <v/>
      </c>
      <c r="G43" s="411" t="n"/>
      <c r="H43" s="364">
        <f>sum(H39:I42)</f>
        <v/>
      </c>
      <c r="I43" s="411" t="n"/>
      <c r="J43" s="426" t="n"/>
    </row>
    <row r="44"/>
    <row r="45"/>
    <row r="46">
      <c r="A46" s="344" t="inlineStr">
        <is>
          <t>Name</t>
        </is>
      </c>
      <c r="B46" s="406" t="inlineStr">
        <is>
          <t>Rarity</t>
        </is>
      </c>
      <c r="C46" s="406" t="inlineStr">
        <is>
          <t>Type</t>
        </is>
      </c>
      <c r="D46" s="406" t="inlineStr">
        <is>
          <t>Btad Cost</t>
        </is>
      </c>
      <c r="E46" s="406" t="inlineStr">
        <is>
          <t>Awakening Btad Cost</t>
        </is>
      </c>
      <c r="F46" s="406" t="inlineStr">
        <is>
          <t>Wood Cost</t>
        </is>
      </c>
      <c r="G46" s="406" t="inlineStr">
        <is>
          <t>Awakening Wood Cost</t>
        </is>
      </c>
      <c r="H46" s="406" t="inlineStr">
        <is>
          <t>Stone Cost</t>
        </is>
      </c>
      <c r="I46" s="406" t="inlineStr">
        <is>
          <t>Awakening Stone Cost</t>
        </is>
      </c>
      <c r="J46" s="129" t="inlineStr">
        <is>
          <t>Source</t>
        </is>
      </c>
    </row>
    <row r="47">
      <c r="A47" s="434" t="inlineStr">
        <is>
          <t>QUANTUM AMP</t>
        </is>
      </c>
      <c r="B47" s="425" t="n"/>
      <c r="C47" s="425" t="n"/>
      <c r="D47" s="425" t="n"/>
      <c r="E47" s="425" t="n"/>
      <c r="F47" s="425" t="n"/>
      <c r="G47" s="425" t="n"/>
      <c r="H47" s="425" t="n"/>
      <c r="I47" s="425" t="n"/>
      <c r="J47" s="418" t="n"/>
    </row>
    <row r="48">
      <c r="A48" s="357" t="inlineStr">
        <is>
          <t>Almagest</t>
        </is>
      </c>
      <c r="B48" s="425" t="inlineStr">
        <is>
          <t>Green</t>
        </is>
      </c>
      <c r="C48" s="425" t="inlineStr">
        <is>
          <t>TECH</t>
        </is>
      </c>
      <c r="D48" s="371" t="n">
        <v>1.8</v>
      </c>
      <c r="E48" s="371" t="n"/>
      <c r="F48" s="425" t="n"/>
      <c r="G48" s="425" t="n"/>
      <c r="H48" s="425" t="n"/>
      <c r="I48" s="425" t="n"/>
      <c r="J48" s="386" t="inlineStr">
        <is>
          <t>Star Chart Shop</t>
        </is>
      </c>
    </row>
    <row r="49">
      <c r="A49" s="362" t="inlineStr">
        <is>
          <t>MAX QUANTUM AMP</t>
        </is>
      </c>
      <c r="B49" s="411" t="n"/>
      <c r="C49" s="411" t="n"/>
      <c r="D49" s="364">
        <f>sum(D48:E48)</f>
        <v/>
      </c>
      <c r="E49" s="411" t="n"/>
      <c r="F49" s="364">
        <f>sum(F48:G48)</f>
        <v/>
      </c>
      <c r="G49" s="411" t="n"/>
      <c r="H49" s="364">
        <f>sum(H48:I48)</f>
        <v/>
      </c>
      <c r="I49" s="411" t="n"/>
      <c r="J49" s="426" t="n"/>
    </row>
  </sheetData>
  <dataValidations count="2">
    <dataValidation sqref="B3:B8 B13:B16 B22:B25 B31:B33 B39:B42 B48" showDropDown="0" showInputMessage="0" showErrorMessage="1" allowBlank="1" type="list">
      <formula1>"SSS,SS,S,AAA,AA,A,Blue,Green"</formula1>
    </dataValidation>
    <dataValidation sqref="C3:C8 C13:C16 C22:C25 C31:C33 C39:C42 C48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I6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6.82" customWidth="1" style="1128" min="1" max="1"/>
    <col width="9.73" customWidth="1" style="1128" min="4" max="4"/>
    <col width="8.82" customWidth="1" style="1128" min="5" max="5"/>
    <col width="9" customWidth="1" style="1128" min="6" max="6"/>
    <col width="10.73" customWidth="1" style="1128" min="7" max="7"/>
    <col width="38.09" customWidth="1" style="1128" min="8" max="8"/>
  </cols>
  <sheetData>
    <row r="1">
      <c r="A1" s="344" t="inlineStr">
        <is>
          <t>Name</t>
        </is>
      </c>
      <c r="B1" s="406" t="inlineStr">
        <is>
          <t>Rarity</t>
        </is>
      </c>
      <c r="C1" s="406" t="inlineStr">
        <is>
          <t>Type</t>
        </is>
      </c>
      <c r="D1" s="406" t="inlineStr">
        <is>
          <t>White -&gt; Green</t>
        </is>
      </c>
      <c r="E1" s="406" t="inlineStr">
        <is>
          <t>Green -&gt; Blue</t>
        </is>
      </c>
      <c r="F1" s="406" t="inlineStr">
        <is>
          <t>Blue -&gt; Purple</t>
        </is>
      </c>
      <c r="G1" s="406" t="inlineStr">
        <is>
          <t>Purple -&gt; Orange</t>
        </is>
      </c>
      <c r="H1" s="129" t="inlineStr">
        <is>
          <t>Source</t>
        </is>
      </c>
    </row>
    <row r="2">
      <c r="A2" s="434" t="inlineStr">
        <is>
          <t>INDIVIDUAL RELICS</t>
        </is>
      </c>
      <c r="B2" s="425" t="n"/>
      <c r="C2" s="425" t="n"/>
      <c r="D2" s="425" t="n"/>
      <c r="E2" s="425" t="n"/>
      <c r="F2" s="425" t="n"/>
      <c r="G2" s="425" t="n"/>
      <c r="H2" s="418" t="n"/>
    </row>
    <row r="3">
      <c r="A3" s="357" t="inlineStr">
        <is>
          <t xml:space="preserve">  Divine Comedy</t>
        </is>
      </c>
      <c r="B3" s="425" t="inlineStr">
        <is>
          <t>SSS</t>
        </is>
      </c>
      <c r="C3" s="415" t="inlineStr">
        <is>
          <t>CIV</t>
        </is>
      </c>
      <c r="D3" s="371" t="n"/>
      <c r="E3" s="425" t="n">
        <v>1</v>
      </c>
      <c r="F3" s="371" t="n">
        <v>2.4</v>
      </c>
      <c r="G3" s="425" t="n"/>
      <c r="H3" s="418" t="inlineStr">
        <is>
          <t>Lottery Machine #1 (0.09%), Wishing (0.08%), Grandmaster Scrolls (0.81%), Relic Forge (120 Relic RF)</t>
        </is>
      </c>
    </row>
    <row r="4">
      <c r="A4" s="357" t="inlineStr">
        <is>
          <t xml:space="preserve">  Lotus Chalice</t>
        </is>
      </c>
      <c r="B4" s="425" t="inlineStr">
        <is>
          <t>SSS</t>
        </is>
      </c>
      <c r="C4" s="425" t="inlineStr">
        <is>
          <t>ART</t>
        </is>
      </c>
      <c r="D4" s="371" t="n"/>
      <c r="E4" s="371" t="n"/>
      <c r="F4" s="371" t="n">
        <v>3.4</v>
      </c>
      <c r="G4" s="425" t="n"/>
      <c r="H4" s="418" t="inlineStr">
        <is>
          <t>Wish Box, Lottery Machine #1 (0.09%), Wishing (0.08%), Kemetic Treasure Chests (0.01%), Grandmaster Scrolls (0.81%), Relic Forge (120 Relic RF)</t>
        </is>
      </c>
    </row>
    <row r="5">
      <c r="A5" s="357" t="inlineStr">
        <is>
          <t xml:space="preserve">  Mahakala Scroll</t>
        </is>
      </c>
      <c r="B5" s="425" t="inlineStr">
        <is>
          <t>SSS</t>
        </is>
      </c>
      <c r="C5" s="425" t="inlineStr">
        <is>
          <t>FTH</t>
        </is>
      </c>
      <c r="D5" s="371" t="n"/>
      <c r="E5" s="371" t="n">
        <v>2.4</v>
      </c>
      <c r="F5" s="371" t="n">
        <v>2.4</v>
      </c>
      <c r="G5" s="425" t="n">
        <v>3.4</v>
      </c>
      <c r="H5" s="418" t="inlineStr">
        <is>
          <t>Jinx Points Bonus Reward</t>
        </is>
      </c>
    </row>
    <row r="6">
      <c r="A6" s="357" t="inlineStr">
        <is>
          <t xml:space="preserve">  Ode to Joy</t>
        </is>
      </c>
      <c r="B6" s="425" t="inlineStr">
        <is>
          <t>SSS</t>
        </is>
      </c>
      <c r="C6" s="425" t="inlineStr">
        <is>
          <t>ART</t>
        </is>
      </c>
      <c r="D6" s="371" t="n"/>
      <c r="E6" s="371" t="n"/>
      <c r="F6" s="425" t="n"/>
      <c r="G6" s="425" t="n">
        <v>2.4</v>
      </c>
      <c r="H6" s="386" t="inlineStr">
        <is>
          <t>Lottery Machine #2 (0.12%)</t>
        </is>
      </c>
    </row>
    <row r="7">
      <c r="A7" s="357" t="inlineStr">
        <is>
          <t xml:space="preserve">  Swan Lake</t>
        </is>
      </c>
      <c r="B7" s="425" t="inlineStr">
        <is>
          <t>SS</t>
        </is>
      </c>
      <c r="C7" s="425" t="inlineStr">
        <is>
          <t>ART</t>
        </is>
      </c>
      <c r="D7" s="371" t="n">
        <v>3.2</v>
      </c>
      <c r="E7" s="425" t="n">
        <v>2.2</v>
      </c>
      <c r="F7" s="425" t="n"/>
      <c r="G7" s="425" t="n"/>
      <c r="H7" s="418" t="inlineStr">
        <is>
          <t>Lottery Machine #1 (0.12%), Wishing (0.1%), Grandmaster Scrolls (1%), Relic Forge (100 Relic RF)</t>
        </is>
      </c>
    </row>
    <row r="8">
      <c r="A8" s="357" t="inlineStr">
        <is>
          <t xml:space="preserve">  Truth Crystal</t>
        </is>
      </c>
      <c r="B8" s="425" t="inlineStr">
        <is>
          <t>AAA</t>
        </is>
      </c>
      <c r="C8" s="425" t="inlineStr">
        <is>
          <t>CIV</t>
        </is>
      </c>
      <c r="D8" s="425" t="n"/>
      <c r="E8" s="425" t="n"/>
      <c r="F8" s="425" t="n">
        <v>2.5</v>
      </c>
      <c r="G8" s="425" t="n"/>
      <c r="H8" s="386" t="inlineStr">
        <is>
          <t>Fragment Crafting (1.5%), Lottery Machine #1 (0.03%), Wishing (0.14%), Relic Forge (80 Relic RF), Nebula Chest (1.5%)</t>
        </is>
      </c>
    </row>
    <row r="9">
      <c r="A9" s="357" t="inlineStr">
        <is>
          <t xml:space="preserve">  Nocturnes</t>
        </is>
      </c>
      <c r="B9" s="425" t="inlineStr">
        <is>
          <t>Blue</t>
        </is>
      </c>
      <c r="C9" s="425" t="inlineStr">
        <is>
          <t>ART</t>
        </is>
      </c>
      <c r="D9" s="371" t="n"/>
      <c r="E9" s="371" t="n">
        <v>1.5</v>
      </c>
      <c r="F9" s="425" t="n"/>
      <c r="G9" s="425" t="n"/>
      <c r="H9" s="418" t="inlineStr">
        <is>
          <t>Lottery Machine #1 (0.03%), Wishing (1.2%)</t>
        </is>
      </c>
    </row>
    <row r="10">
      <c r="A10" s="357" t="inlineStr">
        <is>
          <t xml:space="preserve">  Color Bead No. 6</t>
        </is>
      </c>
      <c r="B10" s="425" t="inlineStr">
        <is>
          <t>Green</t>
        </is>
      </c>
      <c r="C10" s="425" t="inlineStr">
        <is>
          <t>CIV</t>
        </is>
      </c>
      <c r="D10" s="425" t="n"/>
      <c r="E10" s="425" t="n">
        <v>0.6</v>
      </c>
      <c r="F10" s="371" t="n"/>
      <c r="G10" s="371" t="n"/>
      <c r="H10" s="386" t="inlineStr">
        <is>
          <t>It Takes 5 minigame</t>
        </is>
      </c>
    </row>
    <row r="11">
      <c r="A11" s="357" t="inlineStr">
        <is>
          <t xml:space="preserve">  Spirit Bead</t>
        </is>
      </c>
      <c r="B11" s="425" t="inlineStr">
        <is>
          <t>Green</t>
        </is>
      </c>
      <c r="C11" s="425" t="inlineStr">
        <is>
          <t>FTH</t>
        </is>
      </c>
      <c r="D11" s="425" t="n"/>
      <c r="E11" s="425" t="n"/>
      <c r="F11" s="371" t="n">
        <v>0.6</v>
      </c>
      <c r="G11" s="371" t="n"/>
      <c r="H11" s="386" t="inlineStr">
        <is>
          <t>Defeat Deity Taiyi</t>
        </is>
      </c>
    </row>
    <row r="12">
      <c r="A12" s="357" t="inlineStr">
        <is>
          <t xml:space="preserve">  Golden Ball Award</t>
        </is>
      </c>
      <c r="B12" s="425" t="inlineStr">
        <is>
          <t>Green</t>
        </is>
      </c>
      <c r="C12" s="425" t="inlineStr">
        <is>
          <t>CIV</t>
        </is>
      </c>
      <c r="D12" s="425" t="n"/>
      <c r="E12" s="425" t="n"/>
      <c r="F12" s="371" t="n"/>
      <c r="G12" s="371" t="n">
        <v>1.5</v>
      </c>
      <c r="H12" s="386" t="inlineStr">
        <is>
          <t>Domain Avatar Score Reward</t>
        </is>
      </c>
    </row>
    <row r="13">
      <c r="A13" s="357" t="n"/>
      <c r="B13" s="425" t="n"/>
      <c r="C13" s="425" t="n"/>
      <c r="D13" s="371" t="n"/>
      <c r="E13" s="371" t="n"/>
      <c r="F13" s="371" t="n"/>
      <c r="G13" s="425" t="n"/>
      <c r="H13" s="390" t="n"/>
    </row>
    <row r="14">
      <c r="A14" s="357" t="inlineStr">
        <is>
          <t>Resonance: Orange</t>
        </is>
      </c>
      <c r="B14" s="425" t="n"/>
      <c r="C14" s="425" t="n"/>
      <c r="D14" s="371" t="n"/>
      <c r="E14" s="371" t="n"/>
      <c r="F14" s="371" t="n"/>
      <c r="G14" s="425" t="n">
        <v>2.4</v>
      </c>
      <c r="H14" s="390" t="n"/>
    </row>
    <row r="15">
      <c r="A15" s="434" t="inlineStr">
        <is>
          <t xml:space="preserve">  Deep Navy Computer</t>
        </is>
      </c>
      <c r="B15" s="425" t="inlineStr">
        <is>
          <t>SSS</t>
        </is>
      </c>
      <c r="C15" s="425" t="inlineStr">
        <is>
          <t>TECH</t>
        </is>
      </c>
      <c r="D15" s="371" t="n"/>
      <c r="E15" s="371" t="n"/>
      <c r="F15" s="371" t="n"/>
      <c r="G15" s="425" t="n"/>
      <c r="H15" s="386" t="inlineStr">
        <is>
          <t>Lottery Machine #2 (0.12%)</t>
        </is>
      </c>
    </row>
    <row r="16">
      <c r="A16" s="434" t="inlineStr">
        <is>
          <t xml:space="preserve">  Kepler Telescope</t>
        </is>
      </c>
      <c r="B16" s="425" t="inlineStr">
        <is>
          <t>SSS</t>
        </is>
      </c>
      <c r="C16" s="425" t="inlineStr">
        <is>
          <t>TECH</t>
        </is>
      </c>
      <c r="D16" s="371" t="n"/>
      <c r="E16" s="371" t="n"/>
      <c r="F16" s="371" t="n"/>
      <c r="G16" s="425" t="n"/>
      <c r="H16" s="386" t="inlineStr">
        <is>
          <t>Weekly Special Relic #1</t>
        </is>
      </c>
    </row>
    <row r="17">
      <c r="A17" s="434" t="inlineStr">
        <is>
          <t xml:space="preserve">  Nautilus</t>
        </is>
      </c>
      <c r="B17" s="425" t="inlineStr">
        <is>
          <t>SSS</t>
        </is>
      </c>
      <c r="C17" s="425" t="inlineStr">
        <is>
          <t>TECH</t>
        </is>
      </c>
      <c r="D17" s="371" t="n"/>
      <c r="E17" s="371" t="n"/>
      <c r="F17" s="425" t="n"/>
      <c r="G17" s="425" t="n"/>
      <c r="H17" s="386" t="inlineStr">
        <is>
          <t>Daily Pack Relic #8</t>
        </is>
      </c>
    </row>
    <row r="18">
      <c r="A18" s="434" t="inlineStr">
        <is>
          <t xml:space="preserve">  AH602</t>
        </is>
      </c>
      <c r="B18" s="425" t="inlineStr">
        <is>
          <t>SSS</t>
        </is>
      </c>
      <c r="C18" s="425" t="inlineStr">
        <is>
          <t>TECH</t>
        </is>
      </c>
      <c r="D18" s="371" t="n"/>
      <c r="E18" s="371" t="n"/>
      <c r="F18" s="425" t="n"/>
      <c r="G18" s="425" t="n"/>
      <c r="H18" s="386" t="inlineStr">
        <is>
          <t>Lottery Machine #2 (0.12%), Relic Forge (120 RF), 120 Objects Shot Down Reward</t>
        </is>
      </c>
    </row>
    <row r="19">
      <c r="A19" s="434" t="inlineStr">
        <is>
          <t xml:space="preserve">  5th Element</t>
        </is>
      </c>
      <c r="B19" s="425" t="inlineStr">
        <is>
          <t>SS</t>
        </is>
      </c>
      <c r="C19" s="425" t="inlineStr">
        <is>
          <t>TECH</t>
        </is>
      </c>
      <c r="D19" s="371" t="n"/>
      <c r="E19" s="371" t="n"/>
      <c r="F19" s="425" t="n"/>
      <c r="G19" s="425" t="n"/>
      <c r="H19" s="386" t="inlineStr">
        <is>
          <t>Fragment Crafting (5.2%), Lottery Machine #1 (0.24%), Wishing (0.19%), Master Scrolls (1.9%), Grandmaster Scrolls (2.1%), TECH Master Scrolls (9.2%)</t>
        </is>
      </c>
    </row>
    <row r="20">
      <c r="A20" s="434" t="inlineStr">
        <is>
          <t xml:space="preserve">  Dyson Sphere</t>
        </is>
      </c>
      <c r="B20" s="425" t="inlineStr">
        <is>
          <t>SSS</t>
        </is>
      </c>
      <c r="C20" s="425" t="inlineStr">
        <is>
          <t>TECH</t>
        </is>
      </c>
      <c r="D20" s="371" t="n"/>
      <c r="E20" s="371" t="n"/>
      <c r="F20" s="425" t="n"/>
      <c r="G20" s="425" t="n"/>
      <c r="H20" s="386" t="inlineStr">
        <is>
          <t>Lottery Machine #1 (0.09%), Wishing (0.07%), Grandmaster Scrolls (0.81%), Relic Forge (120 Relic RF)</t>
        </is>
      </c>
    </row>
    <row r="21">
      <c r="A21" s="357" t="inlineStr">
        <is>
          <t>Resonance: Purple</t>
        </is>
      </c>
      <c r="B21" s="425" t="n"/>
      <c r="C21" s="425" t="n"/>
      <c r="D21" s="371" t="n"/>
      <c r="E21" s="371" t="n"/>
      <c r="F21" s="371" t="n">
        <v>1.8</v>
      </c>
      <c r="G21" s="425" t="n"/>
      <c r="H21" s="390" t="n"/>
    </row>
    <row r="22">
      <c r="A22" s="434" t="inlineStr">
        <is>
          <t xml:space="preserve">  Tesla Coil</t>
        </is>
      </c>
      <c r="B22" s="425" t="inlineStr">
        <is>
          <t>AAA</t>
        </is>
      </c>
      <c r="C22" s="425" t="inlineStr">
        <is>
          <t>TECH</t>
        </is>
      </c>
      <c r="D22" s="371" t="n"/>
      <c r="E22" s="371" t="n"/>
      <c r="F22" s="371" t="n"/>
      <c r="G22" s="425" t="n"/>
      <c r="H22" s="386" t="inlineStr">
        <is>
          <t>Fragment Crafting (1.6%), Lottery Machine #1 (0.03%), Wishing (0.14%), Tool Chest (1.5%), Relic Forge (80 Relic RF)</t>
        </is>
      </c>
    </row>
    <row r="23">
      <c r="A23" s="434" t="inlineStr">
        <is>
          <t xml:space="preserve">  The Starry Night</t>
        </is>
      </c>
      <c r="B23" s="425" t="inlineStr">
        <is>
          <t>AA</t>
        </is>
      </c>
      <c r="C23" s="425" t="inlineStr">
        <is>
          <t>ART</t>
        </is>
      </c>
      <c r="D23" s="371" t="n"/>
      <c r="E23" s="371" t="n"/>
      <c r="F23" s="371" t="n"/>
      <c r="G23" s="425" t="n"/>
      <c r="H23" s="386" t="inlineStr">
        <is>
          <t>Fragment Crafting (3.9%), Lottery Machine #1 (0.08%), Wishing (0.36%), Expert Scrolls (0.95%), Nebula Chest (1.5%)</t>
        </is>
      </c>
    </row>
    <row r="24">
      <c r="A24" s="434" t="inlineStr">
        <is>
          <t xml:space="preserve">  Voynich Script</t>
        </is>
      </c>
      <c r="B24" s="425" t="inlineStr">
        <is>
          <t>AAA</t>
        </is>
      </c>
      <c r="C24" s="425" t="inlineStr">
        <is>
          <t>CIV</t>
        </is>
      </c>
      <c r="D24" s="371" t="n"/>
      <c r="E24" s="371" t="n"/>
      <c r="F24" s="425" t="n"/>
      <c r="G24" s="425" t="n"/>
      <c r="H24" s="386" t="inlineStr">
        <is>
          <t>Form Evo Pack</t>
        </is>
      </c>
    </row>
    <row r="25">
      <c r="A25" s="434" t="inlineStr">
        <is>
          <t xml:space="preserve">  Corinthian Pillar</t>
        </is>
      </c>
      <c r="B25" s="425" t="inlineStr">
        <is>
          <t>AAA</t>
        </is>
      </c>
      <c r="C25" s="425" t="inlineStr">
        <is>
          <t>FTH</t>
        </is>
      </c>
      <c r="D25" s="371" t="n"/>
      <c r="E25" s="371" t="n"/>
      <c r="F25" s="425" t="n"/>
      <c r="G25" s="425" t="n"/>
      <c r="H25" s="386" t="inlineStr">
        <is>
          <t>Fragment Crafting (1.5%), Lottery Machine #1 (0.03%), Wishing (0.14%), Relic Forge (80 Relic RF)</t>
        </is>
      </c>
    </row>
    <row r="26">
      <c r="A26" s="434" t="inlineStr">
        <is>
          <t xml:space="preserve">  Gordian Knot</t>
        </is>
      </c>
      <c r="B26" s="425" t="inlineStr">
        <is>
          <t>AAA</t>
        </is>
      </c>
      <c r="C26" s="425" t="inlineStr">
        <is>
          <t>FAME</t>
        </is>
      </c>
      <c r="D26" s="371" t="n"/>
      <c r="E26" s="371" t="n"/>
      <c r="F26" s="425" t="n"/>
      <c r="G26" s="425" t="n"/>
      <c r="H26" s="386" t="inlineStr">
        <is>
          <t>Fragment Crafting (1.6%), Lottery Machine #1 (0.03%), Wishing (0.14%), Relic Forge (80 Relic RF)</t>
        </is>
      </c>
    </row>
    <row r="27">
      <c r="A27" s="357" t="inlineStr">
        <is>
          <t>Resonance: Blue</t>
        </is>
      </c>
      <c r="B27" s="425" t="n"/>
      <c r="C27" s="425" t="n"/>
      <c r="D27" s="371" t="n"/>
      <c r="E27" s="371" t="n">
        <v>1.6</v>
      </c>
      <c r="F27" s="371" t="n"/>
      <c r="G27" s="425" t="n"/>
      <c r="H27" s="390" t="n"/>
    </row>
    <row r="28">
      <c r="A28" s="434" t="inlineStr">
        <is>
          <t xml:space="preserve">  Throne of Pope</t>
        </is>
      </c>
      <c r="B28" s="425" t="inlineStr">
        <is>
          <t>Blue</t>
        </is>
      </c>
      <c r="C28" s="425" t="inlineStr">
        <is>
          <t>FTH</t>
        </is>
      </c>
      <c r="D28" s="371" t="n"/>
      <c r="E28" s="371" t="n"/>
      <c r="F28" s="371" t="n"/>
      <c r="G28" s="425" t="n"/>
      <c r="H28" s="386" t="inlineStr">
        <is>
          <t>Lottery Machine #1 (0.36%), Wishing (10.6%), Novice Scrolls (5%)</t>
        </is>
      </c>
    </row>
    <row r="29">
      <c r="A29" s="434" t="inlineStr">
        <is>
          <t xml:space="preserve">  Sleeping Gypsy</t>
        </is>
      </c>
      <c r="B29" s="425" t="inlineStr">
        <is>
          <t>Blue</t>
        </is>
      </c>
      <c r="C29" s="425" t="inlineStr">
        <is>
          <t>ART</t>
        </is>
      </c>
      <c r="D29" s="371" t="n"/>
      <c r="E29" s="371" t="n"/>
      <c r="F29" s="371" t="n"/>
      <c r="G29" s="425" t="n"/>
      <c r="H29" s="386" t="inlineStr">
        <is>
          <t>Lottery Machine #1 (0.03%), Wishing (1.2%)</t>
        </is>
      </c>
    </row>
    <row r="30">
      <c r="A30" s="434" t="inlineStr">
        <is>
          <t xml:space="preserve">  Pumpkin Coach</t>
        </is>
      </c>
      <c r="B30" s="425" t="inlineStr">
        <is>
          <t>Blue</t>
        </is>
      </c>
      <c r="C30" s="425" t="inlineStr">
        <is>
          <t>CIV</t>
        </is>
      </c>
      <c r="D30" s="371" t="n"/>
      <c r="E30" s="371" t="n"/>
      <c r="F30" s="425" t="n"/>
      <c r="G30" s="425" t="n"/>
      <c r="H30" s="386" t="inlineStr">
        <is>
          <t>Lottery Machine #1 (0.07%), Wishing (2.1%), Novice Scrolls (1%)</t>
        </is>
      </c>
    </row>
    <row r="31">
      <c r="A31" s="434" t="inlineStr">
        <is>
          <t xml:space="preserve">  Penicillin Sample</t>
        </is>
      </c>
      <c r="B31" s="425" t="inlineStr">
        <is>
          <t>Blue</t>
        </is>
      </c>
      <c r="C31" s="425" t="inlineStr">
        <is>
          <t>TECH</t>
        </is>
      </c>
      <c r="D31" s="371" t="n"/>
      <c r="E31" s="371" t="n"/>
      <c r="F31" s="425" t="n"/>
      <c r="G31" s="425" t="n"/>
      <c r="H31" s="386" t="inlineStr">
        <is>
          <t>Lottery Machine #1 (0.03%), Wishing (1.1%), Evolution Chest (2%)</t>
        </is>
      </c>
    </row>
    <row r="32">
      <c r="A32" s="434" t="inlineStr">
        <is>
          <t xml:space="preserve">  Faraday's Dynamo</t>
        </is>
      </c>
      <c r="B32" s="425" t="inlineStr">
        <is>
          <t>Blue</t>
        </is>
      </c>
      <c r="C32" s="425" t="inlineStr">
        <is>
          <t>TECH</t>
        </is>
      </c>
      <c r="D32" s="371" t="n"/>
      <c r="E32" s="371" t="n"/>
      <c r="F32" s="425" t="n"/>
      <c r="G32" s="425" t="n"/>
      <c r="H32" s="386" t="inlineStr">
        <is>
          <t>Lottery Machine #1 (0.07%), Wishing (2.6%), Tool Chest (2%), Novice Scrolls (1%)</t>
        </is>
      </c>
    </row>
    <row r="33">
      <c r="A33" s="357" t="inlineStr">
        <is>
          <t>Resonance: Blue</t>
        </is>
      </c>
      <c r="B33" s="425" t="n"/>
      <c r="C33" s="425" t="n"/>
      <c r="D33" s="371" t="n">
        <v>1</v>
      </c>
      <c r="E33" s="371" t="n"/>
      <c r="F33" s="371" t="n"/>
      <c r="G33" s="425" t="n"/>
      <c r="H33" s="390" t="n"/>
    </row>
    <row r="34">
      <c r="A34" s="434" t="inlineStr">
        <is>
          <t xml:space="preserve">  Klein Bottle</t>
        </is>
      </c>
      <c r="B34" s="425" t="inlineStr">
        <is>
          <t>Blue</t>
        </is>
      </c>
      <c r="C34" s="425" t="inlineStr">
        <is>
          <t>TECH</t>
        </is>
      </c>
      <c r="D34" s="371" t="n"/>
      <c r="E34" s="371" t="n"/>
      <c r="F34" s="371" t="n"/>
      <c r="G34" s="425" t="n"/>
      <c r="H34" s="386" t="inlineStr">
        <is>
          <t>Lottery Machine #1 (0.07%), Wishing (2.6%), Novice Scrolls (1%)</t>
        </is>
      </c>
    </row>
    <row r="35">
      <c r="A35" s="434" t="inlineStr">
        <is>
          <t xml:space="preserve">  Spinning Jenny</t>
        </is>
      </c>
      <c r="B35" s="425" t="inlineStr">
        <is>
          <t>Blue</t>
        </is>
      </c>
      <c r="C35" s="425" t="inlineStr">
        <is>
          <t>ART</t>
        </is>
      </c>
      <c r="D35" s="371" t="n"/>
      <c r="E35" s="371" t="n"/>
      <c r="F35" s="371" t="n"/>
      <c r="G35" s="425" t="n"/>
      <c r="H35" s="386" t="inlineStr">
        <is>
          <t>Lottery Machine #1 (0.36%), Wishing (13.2%), Tool Chest (2%), Novice Scroll (5%)</t>
        </is>
      </c>
    </row>
    <row r="36">
      <c r="A36" s="434" t="n"/>
      <c r="B36" s="425" t="n"/>
      <c r="C36" s="425" t="n"/>
      <c r="D36" s="371" t="n"/>
      <c r="E36" s="371" t="n"/>
      <c r="F36" s="425" t="n"/>
      <c r="G36" s="425" t="n"/>
      <c r="H36" s="390" t="n"/>
    </row>
    <row r="37">
      <c r="A37" s="362" t="inlineStr">
        <is>
          <t>MAX INDIVIDUAL RELICS</t>
        </is>
      </c>
      <c r="B37" s="411" t="n"/>
      <c r="C37" s="411" t="n"/>
      <c r="D37" s="364">
        <f>sum(D3:D36)</f>
        <v/>
      </c>
      <c r="E37" s="364">
        <f>sum(E3:E36)</f>
        <v/>
      </c>
      <c r="F37" s="364">
        <f>sum(F3:F36)</f>
        <v/>
      </c>
      <c r="G37" s="364">
        <f>sum(G3:G36)</f>
        <v/>
      </c>
      <c r="H37" s="426" t="n"/>
    </row>
    <row r="38">
      <c r="A38" s="702" t="n"/>
      <c r="H38" s="907" t="n"/>
    </row>
    <row r="39">
      <c r="A39" s="702" t="n"/>
      <c r="H39" s="907" t="n"/>
    </row>
    <row r="40">
      <c r="A40" s="344" t="inlineStr">
        <is>
          <t>PARTNER</t>
        </is>
      </c>
      <c r="B40" s="406" t="n"/>
      <c r="C40" s="406" t="n"/>
      <c r="D40" s="406" t="n"/>
      <c r="E40" s="406" t="n"/>
      <c r="F40" s="406" t="n"/>
      <c r="G40" s="406" t="n"/>
      <c r="H40" s="129" t="n"/>
      <c r="I40" s="434" t="n"/>
    </row>
    <row r="41">
      <c r="A41" s="362" t="inlineStr">
        <is>
          <t xml:space="preserve">  Nito UR</t>
        </is>
      </c>
      <c r="B41" s="411" t="n"/>
      <c r="C41" s="411" t="n"/>
      <c r="D41" s="364" t="n"/>
      <c r="E41" s="411" t="n"/>
      <c r="F41" s="411" t="n">
        <v>9</v>
      </c>
      <c r="G41" s="411" t="n"/>
      <c r="H41" s="426" t="inlineStr">
        <is>
          <t>lv30</t>
        </is>
      </c>
      <c r="I41" s="434" t="n"/>
    </row>
    <row r="42">
      <c r="A42" s="434" t="n"/>
      <c r="B42" s="425" t="n"/>
      <c r="C42" s="425" t="n"/>
      <c r="D42" s="425" t="n"/>
      <c r="E42" s="425" t="n"/>
      <c r="F42" s="425" t="n"/>
      <c r="G42" s="425" t="n"/>
      <c r="H42" s="418" t="n"/>
      <c r="I42" s="425" t="n"/>
    </row>
    <row r="43">
      <c r="A43" s="344" t="inlineStr">
        <is>
          <t>COLLECTORS TALENTS</t>
        </is>
      </c>
      <c r="B43" s="406" t="n"/>
      <c r="C43" s="406" t="n"/>
      <c r="D43" s="406" t="n"/>
      <c r="E43" s="406" t="n"/>
      <c r="F43" s="406" t="n"/>
      <c r="G43" s="406" t="n"/>
      <c r="H43" s="129" t="n"/>
      <c r="I43" s="434" t="n"/>
    </row>
    <row r="44">
      <c r="A44" s="434" t="inlineStr">
        <is>
          <t xml:space="preserve">  Jewelry Expert</t>
        </is>
      </c>
      <c r="B44" s="425" t="n"/>
      <c r="C44" s="425" t="n"/>
      <c r="D44" s="371" t="n"/>
      <c r="E44" s="425" t="n"/>
      <c r="F44" s="371" t="n">
        <v>5</v>
      </c>
      <c r="G44" s="425" t="n"/>
      <c r="H44" s="418" t="inlineStr">
        <is>
          <t>5 Purple Talent Points</t>
        </is>
      </c>
      <c r="I44" s="434" t="n"/>
    </row>
    <row r="45">
      <c r="A45" s="434" t="inlineStr">
        <is>
          <t xml:space="preserve">  Jewelry Master</t>
        </is>
      </c>
      <c r="B45" s="425" t="n"/>
      <c r="C45" s="425" t="n"/>
      <c r="D45" s="371" t="n"/>
      <c r="E45" s="425" t="n"/>
      <c r="F45" s="371" t="n"/>
      <c r="G45" s="425" t="n">
        <v>5</v>
      </c>
      <c r="H45" s="418" t="inlineStr">
        <is>
          <t>5 Orange Talent Points</t>
        </is>
      </c>
      <c r="I45" s="434" t="n"/>
    </row>
    <row r="46">
      <c r="A46" s="362" t="inlineStr">
        <is>
          <t>MAX COLLECTORS TALENTS</t>
        </is>
      </c>
      <c r="B46" s="411" t="n"/>
      <c r="C46" s="411" t="n"/>
      <c r="D46" s="364">
        <f>sum(D44:D45)</f>
        <v/>
      </c>
      <c r="E46" s="364">
        <f>sum(E44:E45)</f>
        <v/>
      </c>
      <c r="F46" s="364">
        <f>sum(F44:F45)</f>
        <v/>
      </c>
      <c r="G46" s="364">
        <f>sum(G44:G45)</f>
        <v/>
      </c>
      <c r="H46" s="426" t="n"/>
      <c r="I46" s="434" t="n"/>
    </row>
    <row r="47">
      <c r="A47" s="434" t="n"/>
      <c r="B47" s="425" t="n"/>
      <c r="C47" s="425" t="n"/>
      <c r="D47" s="425" t="n"/>
      <c r="E47" s="425" t="n"/>
      <c r="F47" s="425" t="n"/>
      <c r="G47" s="425" t="n"/>
      <c r="H47" s="418" t="n"/>
      <c r="I47" s="425" t="n"/>
    </row>
    <row r="48">
      <c r="A48" s="344" t="inlineStr">
        <is>
          <t>ORGAN</t>
        </is>
      </c>
      <c r="B48" s="406" t="n"/>
      <c r="C48" s="406" t="n"/>
      <c r="D48" s="406" t="n"/>
      <c r="E48" s="406" t="n"/>
      <c r="F48" s="406" t="n"/>
      <c r="G48" s="406" t="n"/>
      <c r="H48" s="129" t="n"/>
      <c r="I48" s="434" t="n"/>
    </row>
    <row r="49">
      <c r="A49" s="362" t="inlineStr">
        <is>
          <t xml:space="preserve">  Fire Slug's Eye</t>
        </is>
      </c>
      <c r="B49" s="411" t="n"/>
      <c r="C49" s="411" t="n"/>
      <c r="D49" s="364" t="n">
        <v>10</v>
      </c>
      <c r="E49" s="411" t="n"/>
      <c r="F49" s="364" t="n"/>
      <c r="G49" s="411" t="n"/>
      <c r="H49" s="426" t="n"/>
      <c r="I49" s="434" t="n"/>
    </row>
    <row r="50">
      <c r="A50" s="434" t="n"/>
      <c r="B50" s="425" t="n"/>
      <c r="C50" s="425" t="n"/>
      <c r="D50" s="425" t="n"/>
      <c r="E50" s="425" t="n"/>
      <c r="F50" s="425" t="n"/>
      <c r="G50" s="425" t="n"/>
      <c r="H50" s="418" t="n"/>
      <c r="I50" s="425" t="n"/>
    </row>
    <row r="51">
      <c r="A51" s="413" t="inlineStr">
        <is>
          <t>ROCKET UPGRADES</t>
        </is>
      </c>
      <c r="B51" s="431" t="n"/>
      <c r="C51" s="431" t="n"/>
      <c r="D51" s="431" t="n"/>
      <c r="E51" s="431" t="n"/>
      <c r="F51" s="431" t="n"/>
      <c r="G51" s="431" t="n"/>
      <c r="H51" s="397" t="n"/>
      <c r="I51" s="398" t="n"/>
    </row>
    <row r="52">
      <c r="A52" s="409" t="inlineStr">
        <is>
          <t xml:space="preserve">  Revelation Hall</t>
        </is>
      </c>
      <c r="B52" s="410" t="n"/>
      <c r="C52" s="410" t="n"/>
      <c r="D52" s="410" t="n"/>
      <c r="E52" s="410" t="n"/>
      <c r="F52" s="410" t="n">
        <v>2.5</v>
      </c>
      <c r="G52" s="410" t="n">
        <v>2.5</v>
      </c>
      <c r="H52" s="414" t="inlineStr">
        <is>
          <t>lv5</t>
        </is>
      </c>
      <c r="I52" s="398" t="n"/>
    </row>
    <row r="53"/>
    <row r="54"/>
    <row r="55"/>
    <row r="56"/>
    <row r="57">
      <c r="A57" s="677" t="inlineStr">
        <is>
          <t>Totals</t>
        </is>
      </c>
      <c r="B57" s="1090" t="n"/>
    </row>
    <row r="58">
      <c r="A58" s="1091" t="inlineStr">
        <is>
          <t>White -&gt; Green</t>
        </is>
      </c>
      <c r="B58" s="1095">
        <f>D37+D41+D46+D49+D52</f>
        <v/>
      </c>
    </row>
    <row r="59">
      <c r="A59" s="1091" t="inlineStr">
        <is>
          <t>Green -&gt; Blue</t>
        </is>
      </c>
      <c r="B59" s="1095">
        <f>E37+E41+E46+E49+E52</f>
        <v/>
      </c>
    </row>
    <row r="60">
      <c r="A60" s="1091" t="inlineStr">
        <is>
          <t>Blue -&gt; Purple</t>
        </is>
      </c>
      <c r="B60" s="1095">
        <f>F37+F41+F46+F52</f>
        <v/>
      </c>
    </row>
    <row r="61">
      <c r="A61" s="670" t="inlineStr">
        <is>
          <t>Purple -&gt; Orange</t>
        </is>
      </c>
      <c r="B61" s="965">
        <f>G37+G46+G41+G49+G52</f>
        <v/>
      </c>
    </row>
  </sheetData>
  <dataValidations count="2">
    <dataValidation sqref="B3:B12 B15:B20 B22:B26 B28:B32 B34:B35" showDropDown="0" showInputMessage="0" showErrorMessage="1" allowBlank="1" type="list">
      <formula1>"SSS,SS,S,AAA,AA,A,Blue,Green"</formula1>
    </dataValidation>
    <dataValidation sqref="C3:C36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N38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2.36" customWidth="1" style="1128" min="1" max="1"/>
    <col width="5.27" customWidth="1" style="1128" min="7" max="7"/>
    <col width="17.27" customWidth="1" style="1128" min="8" max="8"/>
    <col width="14" customWidth="1" style="1128" min="9" max="9"/>
    <col width="10.91" customWidth="1" style="1128" min="10" max="10"/>
    <col width="10.55" customWidth="1" style="1128" min="12" max="12"/>
    <col width="10.73" customWidth="1" style="1128" min="13" max="13"/>
  </cols>
  <sheetData>
    <row r="1">
      <c r="A1" s="906" t="n"/>
      <c r="B1" s="679" t="inlineStr">
        <is>
          <t>HP</t>
        </is>
      </c>
      <c r="C1" s="679" t="inlineStr">
        <is>
          <t>ATK</t>
        </is>
      </c>
      <c r="D1" s="679" t="inlineStr">
        <is>
          <t>DEF</t>
        </is>
      </c>
      <c r="E1" s="679" t="inlineStr">
        <is>
          <t>RUSH</t>
        </is>
      </c>
    </row>
    <row r="2">
      <c r="A2" s="680" t="inlineStr">
        <is>
          <t>ZOMBIE</t>
        </is>
      </c>
      <c r="B2" s="738" t="n"/>
      <c r="C2" s="738" t="n"/>
      <c r="D2" s="738" t="n"/>
      <c r="E2" s="685" t="n"/>
    </row>
    <row r="3">
      <c r="A3" s="853" t="inlineStr">
        <is>
          <t>Tomb Guardian</t>
        </is>
      </c>
      <c r="B3" s="738" t="n"/>
      <c r="C3" s="738" t="n"/>
      <c r="D3" s="738" t="n"/>
      <c r="E3" s="685" t="n"/>
      <c r="H3" s="1151" t="inlineStr">
        <is>
          <t>Minion Base Stats Growth Factor Multiplier</t>
        </is>
      </c>
      <c r="I3" s="1152" t="n"/>
      <c r="J3" s="1153" t="n"/>
      <c r="L3" s="1154" t="inlineStr">
        <is>
          <t>Minion Total Base Stats</t>
        </is>
      </c>
      <c r="M3" s="1140" t="n"/>
      <c r="N3" s="1129" t="n"/>
    </row>
    <row r="4">
      <c r="A4" s="691" t="inlineStr">
        <is>
          <t>Growth Factor</t>
        </is>
      </c>
      <c r="B4" s="692">
        <f>(B13-B11)/4</f>
        <v/>
      </c>
      <c r="C4" s="692">
        <f>(C13-C11)/4</f>
        <v/>
      </c>
      <c r="D4" s="692">
        <f>(D13-D11)/4</f>
        <v/>
      </c>
      <c r="E4" s="693">
        <f>(E13-E11)/4</f>
        <v/>
      </c>
      <c r="H4" s="703" t="n"/>
      <c r="I4" s="704" t="inlineStr">
        <is>
          <t>Non-Dragon</t>
        </is>
      </c>
      <c r="J4" s="704" t="inlineStr">
        <is>
          <t>Dragon</t>
        </is>
      </c>
      <c r="L4" s="703" t="n"/>
      <c r="M4" s="704" t="inlineStr">
        <is>
          <t>Non-Dragon</t>
        </is>
      </c>
      <c r="N4" s="704" t="inlineStr">
        <is>
          <t>Dragon</t>
        </is>
      </c>
    </row>
    <row r="5">
      <c r="A5" s="853" t="inlineStr">
        <is>
          <t>T1</t>
        </is>
      </c>
      <c r="B5" s="906">
        <f>B6-B$28</f>
        <v/>
      </c>
      <c r="C5" s="906">
        <f>C6-C$28</f>
        <v/>
      </c>
      <c r="D5" s="906">
        <f>D6-D$28</f>
        <v/>
      </c>
      <c r="E5" s="907">
        <f>E6-E$28</f>
        <v/>
      </c>
      <c r="H5" s="700" t="inlineStr">
        <is>
          <t>T1</t>
        </is>
      </c>
      <c r="I5" s="701" t="n">
        <v>2</v>
      </c>
      <c r="J5" s="701" t="n">
        <v>2.5</v>
      </c>
      <c r="L5" s="700" t="inlineStr">
        <is>
          <t>T1</t>
        </is>
      </c>
      <c r="M5" s="701">
        <f>'Offering Speed'!$C$67*I5</f>
        <v/>
      </c>
      <c r="N5" s="701">
        <f>'Offering Speed'!$C$68*J5</f>
        <v/>
      </c>
    </row>
    <row r="6">
      <c r="A6" s="702" t="inlineStr">
        <is>
          <t>T2</t>
        </is>
      </c>
      <c r="B6" s="906">
        <f>B7-B$28</f>
        <v/>
      </c>
      <c r="C6" s="906">
        <f>C7-C$28</f>
        <v/>
      </c>
      <c r="D6" s="906">
        <f>D7-D$28</f>
        <v/>
      </c>
      <c r="E6" s="907">
        <f>E7-E$28</f>
        <v/>
      </c>
      <c r="H6" s="704" t="inlineStr">
        <is>
          <t>T2</t>
        </is>
      </c>
      <c r="I6" s="703" t="n">
        <v>3</v>
      </c>
      <c r="J6" s="703" t="n">
        <v>3.5</v>
      </c>
      <c r="L6" s="704" t="inlineStr">
        <is>
          <t>T2</t>
        </is>
      </c>
      <c r="M6" s="703">
        <f>'Offering Speed'!$C$67*I6</f>
        <v/>
      </c>
      <c r="N6" s="703">
        <f>'Offering Speed'!$C$68*J6</f>
        <v/>
      </c>
    </row>
    <row r="7">
      <c r="A7" s="702" t="inlineStr">
        <is>
          <t>T3</t>
        </is>
      </c>
      <c r="B7" s="906">
        <f>B8-B$28</f>
        <v/>
      </c>
      <c r="C7" s="906">
        <f>C8-C$28</f>
        <v/>
      </c>
      <c r="D7" s="906">
        <f>D8-D$28</f>
        <v/>
      </c>
      <c r="E7" s="907">
        <f>E8-E$28</f>
        <v/>
      </c>
      <c r="H7" s="700" t="inlineStr">
        <is>
          <t>T3</t>
        </is>
      </c>
      <c r="I7" s="701" t="n">
        <v>4</v>
      </c>
      <c r="J7" s="701" t="n">
        <v>4.5</v>
      </c>
      <c r="L7" s="700" t="inlineStr">
        <is>
          <t>T3</t>
        </is>
      </c>
      <c r="M7" s="701">
        <f>'Offering Speed'!$C$67*I7</f>
        <v/>
      </c>
      <c r="N7" s="701">
        <f>'Offering Speed'!$C$68*J7</f>
        <v/>
      </c>
    </row>
    <row r="8">
      <c r="A8" s="702" t="inlineStr">
        <is>
          <t>T4</t>
        </is>
      </c>
      <c r="B8" s="906">
        <f>B9-B$28</f>
        <v/>
      </c>
      <c r="C8" s="906">
        <f>C9-C$28</f>
        <v/>
      </c>
      <c r="D8" s="906">
        <f>D9-D$28</f>
        <v/>
      </c>
      <c r="E8" s="907">
        <f>E9-E$28</f>
        <v/>
      </c>
      <c r="H8" s="704" t="inlineStr">
        <is>
          <t>T4</t>
        </is>
      </c>
      <c r="I8" s="703" t="n">
        <v>5</v>
      </c>
      <c r="J8" s="703" t="n">
        <v>5.5</v>
      </c>
      <c r="L8" s="704" t="inlineStr">
        <is>
          <t>T4</t>
        </is>
      </c>
      <c r="M8" s="703">
        <f>'Offering Speed'!$C$67*I8</f>
        <v/>
      </c>
      <c r="N8" s="703">
        <f>'Offering Speed'!$C$68*J8</f>
        <v/>
      </c>
    </row>
    <row r="9">
      <c r="A9" s="702" t="inlineStr">
        <is>
          <t>T5</t>
        </is>
      </c>
      <c r="B9" s="906">
        <f>B10-B$28</f>
        <v/>
      </c>
      <c r="C9" s="906">
        <f>C10-C$28</f>
        <v/>
      </c>
      <c r="D9" s="906">
        <f>D10-D$28</f>
        <v/>
      </c>
      <c r="E9" s="907">
        <f>E10-E$28</f>
        <v/>
      </c>
      <c r="H9" s="700" t="inlineStr">
        <is>
          <t>T5</t>
        </is>
      </c>
      <c r="I9" s="701" t="n">
        <v>6</v>
      </c>
      <c r="J9" s="701" t="n">
        <v>6.5</v>
      </c>
      <c r="L9" s="700" t="inlineStr">
        <is>
          <t>T5</t>
        </is>
      </c>
      <c r="M9" s="701">
        <f>'Offering Speed'!$C$67*I9</f>
        <v/>
      </c>
      <c r="N9" s="701">
        <f>'Offering Speed'!$C$68*J9</f>
        <v/>
      </c>
    </row>
    <row r="10">
      <c r="A10" s="702" t="inlineStr">
        <is>
          <t>T6</t>
        </is>
      </c>
      <c r="B10" s="906">
        <f>B11-B$28</f>
        <v/>
      </c>
      <c r="C10" s="906">
        <f>C11-C$28</f>
        <v/>
      </c>
      <c r="D10" s="906">
        <f>D11-D$28</f>
        <v/>
      </c>
      <c r="E10" s="907">
        <f>E11-E$28</f>
        <v/>
      </c>
      <c r="H10" s="704" t="inlineStr">
        <is>
          <t>T6</t>
        </is>
      </c>
      <c r="I10" s="703" t="n">
        <v>7</v>
      </c>
      <c r="J10" s="703" t="n">
        <v>7.5</v>
      </c>
      <c r="L10" s="704" t="inlineStr">
        <is>
          <t>T6</t>
        </is>
      </c>
      <c r="M10" s="703">
        <f>'Offering Speed'!$C$67*I10</f>
        <v/>
      </c>
      <c r="N10" s="703">
        <f>'Offering Speed'!$C$68*J10</f>
        <v/>
      </c>
    </row>
    <row r="11">
      <c r="A11" s="702" t="inlineStr">
        <is>
          <t>T7</t>
        </is>
      </c>
      <c r="B11" s="906" t="n">
        <v>1280</v>
      </c>
      <c r="C11" s="906" t="n">
        <v>112</v>
      </c>
      <c r="D11" s="906" t="n">
        <v>80</v>
      </c>
      <c r="E11" s="907" t="n">
        <v>80</v>
      </c>
      <c r="H11" s="700" t="inlineStr">
        <is>
          <t>T7</t>
        </is>
      </c>
      <c r="I11" s="701" t="n">
        <v>8</v>
      </c>
      <c r="J11" s="701" t="n">
        <v>8.5</v>
      </c>
      <c r="L11" s="700" t="inlineStr">
        <is>
          <t>T7</t>
        </is>
      </c>
      <c r="M11" s="701">
        <f>'Offering Speed'!$C$67*I11</f>
        <v/>
      </c>
      <c r="N11" s="701">
        <f>'Offering Speed'!$C$68*J11</f>
        <v/>
      </c>
    </row>
    <row r="12">
      <c r="A12" s="702" t="inlineStr">
        <is>
          <t>T8</t>
        </is>
      </c>
      <c r="B12" s="906" t="n">
        <v>1440</v>
      </c>
      <c r="C12" s="906" t="n">
        <v>126</v>
      </c>
      <c r="D12" s="906" t="n">
        <v>90</v>
      </c>
      <c r="E12" s="907" t="n">
        <v>90</v>
      </c>
      <c r="H12" s="704" t="inlineStr">
        <is>
          <t>T8</t>
        </is>
      </c>
      <c r="I12" s="703" t="n">
        <v>9</v>
      </c>
      <c r="J12" s="703" t="n">
        <v>10.5</v>
      </c>
      <c r="L12" s="704" t="inlineStr">
        <is>
          <t>T8</t>
        </is>
      </c>
      <c r="M12" s="703">
        <f>'Offering Speed'!$C$67*I12</f>
        <v/>
      </c>
      <c r="N12" s="703">
        <f>'Offering Speed'!$C$68*J12</f>
        <v/>
      </c>
    </row>
    <row r="13">
      <c r="A13" s="1092" t="inlineStr">
        <is>
          <t>T9</t>
        </is>
      </c>
      <c r="B13" s="706" t="n">
        <v>1920</v>
      </c>
      <c r="C13" s="706" t="n">
        <v>168</v>
      </c>
      <c r="D13" s="706" t="n">
        <v>120</v>
      </c>
      <c r="E13" s="909" t="n">
        <v>120</v>
      </c>
      <c r="H13" s="700" t="inlineStr">
        <is>
          <t>T9</t>
        </is>
      </c>
      <c r="I13" s="701" t="n">
        <v>12</v>
      </c>
      <c r="J13" s="701" t="n">
        <v>14</v>
      </c>
      <c r="L13" s="700" t="inlineStr">
        <is>
          <t>T9</t>
        </is>
      </c>
      <c r="M13" s="701">
        <f>'Offering Speed'!$C$67*I13</f>
        <v/>
      </c>
      <c r="N13" s="701">
        <f>'Offering Speed'!$C$68*J13</f>
        <v/>
      </c>
    </row>
    <row r="14">
      <c r="A14" s="702" t="n"/>
      <c r="E14" s="907" t="n"/>
    </row>
    <row r="15">
      <c r="A15" s="853" t="inlineStr">
        <is>
          <t>Undead Turtle</t>
        </is>
      </c>
      <c r="B15" s="738" t="n"/>
      <c r="C15" s="738" t="n"/>
      <c r="D15" s="738" t="n"/>
      <c r="E15" s="685" t="n"/>
    </row>
    <row r="16">
      <c r="A16" s="691" t="inlineStr">
        <is>
          <t>Growth Factor</t>
        </is>
      </c>
      <c r="B16" s="692">
        <f>(B25-B23)/4</f>
        <v/>
      </c>
      <c r="C16" s="692">
        <f>(C25-C23)/4</f>
        <v/>
      </c>
      <c r="D16" s="692">
        <f>(D25-D23)/4</f>
        <v/>
      </c>
      <c r="E16" s="693">
        <f>(E25-E23)/4</f>
        <v/>
      </c>
    </row>
    <row r="17">
      <c r="A17" s="853" t="inlineStr">
        <is>
          <t>T1</t>
        </is>
      </c>
      <c r="B17" s="906">
        <f>B18-B$16</f>
        <v/>
      </c>
      <c r="C17" s="906">
        <f>C18-C$16</f>
        <v/>
      </c>
      <c r="D17" s="906">
        <f>D18-D$16</f>
        <v/>
      </c>
      <c r="E17" s="907">
        <f>E18-E$16</f>
        <v/>
      </c>
      <c r="H17" s="895" t="n"/>
      <c r="I17" s="709" t="inlineStr">
        <is>
          <t>HP</t>
        </is>
      </c>
      <c r="J17" s="709" t="inlineStr">
        <is>
          <t>ATK</t>
        </is>
      </c>
      <c r="K17" s="709" t="inlineStr">
        <is>
          <t>DEF</t>
        </is>
      </c>
      <c r="L17" s="709" t="inlineStr">
        <is>
          <t>RUSH</t>
        </is>
      </c>
      <c r="M17" s="710" t="inlineStr">
        <is>
          <t>HARD SUM</t>
        </is>
      </c>
    </row>
    <row r="18">
      <c r="A18" s="702" t="inlineStr">
        <is>
          <t>T2</t>
        </is>
      </c>
      <c r="B18" s="906">
        <f>B19-B$16</f>
        <v/>
      </c>
      <c r="C18" s="906">
        <f>C19-C$16</f>
        <v/>
      </c>
      <c r="D18" s="906">
        <f>D19-D$16</f>
        <v/>
      </c>
      <c r="E18" s="907">
        <f>E19-E$16</f>
        <v/>
      </c>
      <c r="H18" s="711">
        <f>A3</f>
        <v/>
      </c>
      <c r="I18" s="712">
        <f>B4</f>
        <v/>
      </c>
      <c r="J18" s="713">
        <f>C4</f>
        <v/>
      </c>
      <c r="K18" s="712">
        <f>D4</f>
        <v/>
      </c>
      <c r="L18" s="712">
        <f>E4</f>
        <v/>
      </c>
      <c r="M18" s="714">
        <f>I18/10+J18+K18+L18</f>
        <v/>
      </c>
    </row>
    <row r="19">
      <c r="A19" s="702" t="inlineStr">
        <is>
          <t>T3</t>
        </is>
      </c>
      <c r="B19" s="906">
        <f>B20-B$16</f>
        <v/>
      </c>
      <c r="C19" s="906">
        <f>C20-C$16</f>
        <v/>
      </c>
      <c r="D19" s="906">
        <f>D20-D$16</f>
        <v/>
      </c>
      <c r="E19" s="907">
        <f>E20-E$16</f>
        <v/>
      </c>
      <c r="H19" s="715">
        <f>A15</f>
        <v/>
      </c>
      <c r="I19" s="716">
        <f>B16</f>
        <v/>
      </c>
      <c r="J19" s="717">
        <f>C16</f>
        <v/>
      </c>
      <c r="K19" s="716">
        <f>D16</f>
        <v/>
      </c>
      <c r="L19" s="716">
        <f>E16</f>
        <v/>
      </c>
      <c r="M19" s="718">
        <f>I19/10+J19+K19+L19</f>
        <v/>
      </c>
    </row>
    <row r="20">
      <c r="A20" s="702" t="inlineStr">
        <is>
          <t>T4</t>
        </is>
      </c>
      <c r="B20" s="906">
        <f>B21-B$16</f>
        <v/>
      </c>
      <c r="C20" s="906">
        <f>C21-C$16</f>
        <v/>
      </c>
      <c r="D20" s="906">
        <f>D21-D$16</f>
        <v/>
      </c>
      <c r="E20" s="907">
        <f>E21-E$16</f>
        <v/>
      </c>
      <c r="H20" s="715">
        <f>A27</f>
        <v/>
      </c>
      <c r="I20" s="716">
        <f>B28</f>
        <v/>
      </c>
      <c r="J20" s="717">
        <f>C28</f>
        <v/>
      </c>
      <c r="K20" s="716">
        <f>D28</f>
        <v/>
      </c>
      <c r="L20" s="716">
        <f>E28</f>
        <v/>
      </c>
      <c r="M20" s="718">
        <f>I20/10+J20+K20+L20</f>
        <v/>
      </c>
    </row>
    <row r="21">
      <c r="A21" s="702" t="inlineStr">
        <is>
          <t>T5</t>
        </is>
      </c>
      <c r="B21" s="906">
        <f>B22-B$16</f>
        <v/>
      </c>
      <c r="C21" s="906">
        <f>C22-C$16</f>
        <v/>
      </c>
      <c r="D21" s="906">
        <f>D22-D$16</f>
        <v/>
      </c>
      <c r="E21" s="907">
        <f>E22-E$16</f>
        <v/>
      </c>
      <c r="H21" s="715">
        <f>A39</f>
        <v/>
      </c>
      <c r="I21" s="716">
        <f>B40</f>
        <v/>
      </c>
      <c r="J21" s="717">
        <f>C40</f>
        <v/>
      </c>
      <c r="K21" s="716">
        <f>D40</f>
        <v/>
      </c>
      <c r="L21" s="716">
        <f>E40</f>
        <v/>
      </c>
      <c r="M21" s="718">
        <f>I21/10+J21+K21+L21</f>
        <v/>
      </c>
    </row>
    <row r="22">
      <c r="A22" s="702" t="inlineStr">
        <is>
          <t>T6</t>
        </is>
      </c>
      <c r="B22" s="906">
        <f>B23-B$16</f>
        <v/>
      </c>
      <c r="C22" s="906">
        <f>C23-C$16</f>
        <v/>
      </c>
      <c r="D22" s="906">
        <f>D23-D$16</f>
        <v/>
      </c>
      <c r="E22" s="907">
        <f>E23-E$16</f>
        <v/>
      </c>
      <c r="H22" s="719">
        <f>A51</f>
        <v/>
      </c>
      <c r="I22" s="720">
        <f>B52</f>
        <v/>
      </c>
      <c r="J22" s="721">
        <f>C52</f>
        <v/>
      </c>
      <c r="K22" s="720">
        <f>D52</f>
        <v/>
      </c>
      <c r="L22" s="720">
        <f>E52</f>
        <v/>
      </c>
      <c r="M22" s="722">
        <f>I22/10+J22+K22+L22</f>
        <v/>
      </c>
    </row>
    <row r="23">
      <c r="A23" s="702" t="inlineStr">
        <is>
          <t>T7</t>
        </is>
      </c>
      <c r="B23" s="906" t="n">
        <v>1320</v>
      </c>
      <c r="C23" s="906" t="n">
        <v>108</v>
      </c>
      <c r="D23" s="906" t="n">
        <v>80</v>
      </c>
      <c r="E23" s="907" t="n">
        <v>80</v>
      </c>
      <c r="H23" s="723">
        <f>A67</f>
        <v/>
      </c>
      <c r="I23" s="724">
        <f>B68</f>
        <v/>
      </c>
      <c r="J23" s="725">
        <f>C68</f>
        <v/>
      </c>
      <c r="K23" s="724">
        <f>D68</f>
        <v/>
      </c>
      <c r="L23" s="724">
        <f>E68</f>
        <v/>
      </c>
      <c r="M23" s="726">
        <f>I23/10+J23+K23+L23</f>
        <v/>
      </c>
    </row>
    <row r="24">
      <c r="A24" s="702" t="inlineStr">
        <is>
          <t>T8</t>
        </is>
      </c>
      <c r="B24" s="906" t="n">
        <v>1485</v>
      </c>
      <c r="C24" s="906" t="n">
        <v>122</v>
      </c>
      <c r="D24" s="906" t="n">
        <v>90</v>
      </c>
      <c r="E24" s="907" t="n">
        <v>90</v>
      </c>
      <c r="H24" s="727">
        <f>A79</f>
        <v/>
      </c>
      <c r="I24" s="728">
        <f>B80</f>
        <v/>
      </c>
      <c r="J24" s="498">
        <f>C80</f>
        <v/>
      </c>
      <c r="K24" s="728">
        <f>D80</f>
        <v/>
      </c>
      <c r="L24" s="728">
        <f>E80</f>
        <v/>
      </c>
      <c r="M24" s="729">
        <f>I24/10+J24+K24+L24</f>
        <v/>
      </c>
    </row>
    <row r="25">
      <c r="A25" s="1092" t="inlineStr">
        <is>
          <t>T9</t>
        </is>
      </c>
      <c r="B25" s="706" t="n">
        <v>1980</v>
      </c>
      <c r="C25" s="706" t="n">
        <v>162</v>
      </c>
      <c r="D25" s="706" t="n">
        <v>120</v>
      </c>
      <c r="E25" s="909" t="n">
        <v>120</v>
      </c>
      <c r="H25" s="727">
        <f>A91</f>
        <v/>
      </c>
      <c r="I25" s="728">
        <f>B92</f>
        <v/>
      </c>
      <c r="J25" s="498">
        <f>C92</f>
        <v/>
      </c>
      <c r="K25" s="728">
        <f>D92</f>
        <v/>
      </c>
      <c r="L25" s="728">
        <f>E92</f>
        <v/>
      </c>
      <c r="M25" s="729">
        <f>I25/10+J25+K25+L25</f>
        <v/>
      </c>
    </row>
    <row r="26">
      <c r="A26" s="702" t="n"/>
      <c r="E26" s="907" t="n"/>
      <c r="H26" s="727">
        <f>A103</f>
        <v/>
      </c>
      <c r="I26" s="728">
        <f>B104</f>
        <v/>
      </c>
      <c r="J26" s="498">
        <f>C104</f>
        <v/>
      </c>
      <c r="K26" s="728">
        <f>D104</f>
        <v/>
      </c>
      <c r="L26" s="728">
        <f>E104</f>
        <v/>
      </c>
      <c r="M26" s="729">
        <f>I26/10+J26+K26+L26</f>
        <v/>
      </c>
    </row>
    <row r="27">
      <c r="A27" s="853" t="inlineStr">
        <is>
          <t>Wraith</t>
        </is>
      </c>
      <c r="B27" s="738" t="n"/>
      <c r="C27" s="738" t="n"/>
      <c r="D27" s="738" t="n"/>
      <c r="E27" s="685" t="n"/>
      <c r="H27" s="730">
        <f>A115</f>
        <v/>
      </c>
      <c r="I27" s="731">
        <f>B116</f>
        <v/>
      </c>
      <c r="J27" s="732">
        <f>C116</f>
        <v/>
      </c>
      <c r="K27" s="731">
        <f>D116</f>
        <v/>
      </c>
      <c r="L27" s="731">
        <f>E116</f>
        <v/>
      </c>
      <c r="M27" s="733">
        <f>I27/10+J27+K27+L27</f>
        <v/>
      </c>
    </row>
    <row r="28">
      <c r="A28" s="691" t="inlineStr">
        <is>
          <t>Growth Factor</t>
        </is>
      </c>
      <c r="B28" s="692">
        <f>(B37-B35)/4</f>
        <v/>
      </c>
      <c r="C28" s="692">
        <f>(C37-C35)/4</f>
        <v/>
      </c>
      <c r="D28" s="692">
        <f>(D37-D35)/4</f>
        <v/>
      </c>
      <c r="E28" s="693">
        <f>(E37-E35)/4</f>
        <v/>
      </c>
      <c r="H28" s="734">
        <f>A131</f>
        <v/>
      </c>
      <c r="I28" s="735">
        <f>B132</f>
        <v/>
      </c>
      <c r="J28" s="736">
        <f>C132</f>
        <v/>
      </c>
      <c r="K28" s="735">
        <f>D132</f>
        <v/>
      </c>
      <c r="L28" s="735">
        <f>E132</f>
        <v/>
      </c>
      <c r="M28" s="737">
        <f>I28/10+J28+K28+L28</f>
        <v/>
      </c>
    </row>
    <row r="29">
      <c r="A29" s="853" t="inlineStr">
        <is>
          <t>T1</t>
        </is>
      </c>
      <c r="B29" s="738">
        <f>B30-B$4</f>
        <v/>
      </c>
      <c r="C29" s="738">
        <f>C30-C$4</f>
        <v/>
      </c>
      <c r="D29" s="738">
        <f>D30-D$4</f>
        <v/>
      </c>
      <c r="E29" s="685">
        <f>E30-E$4</f>
        <v/>
      </c>
      <c r="H29" s="739">
        <f>A143</f>
        <v/>
      </c>
      <c r="I29" s="740">
        <f>B144</f>
        <v/>
      </c>
      <c r="J29" s="741">
        <f>C144</f>
        <v/>
      </c>
      <c r="K29" s="740">
        <f>D144</f>
        <v/>
      </c>
      <c r="L29" s="740">
        <f>E144</f>
        <v/>
      </c>
      <c r="M29" s="742">
        <f>I29/10+J29+K29+L29</f>
        <v/>
      </c>
    </row>
    <row r="30">
      <c r="A30" s="702" t="inlineStr">
        <is>
          <t>T2</t>
        </is>
      </c>
      <c r="B30" s="906">
        <f>B31-B$4</f>
        <v/>
      </c>
      <c r="C30" s="906">
        <f>C31-C$4</f>
        <v/>
      </c>
      <c r="D30" s="906">
        <f>D31-D$4</f>
        <v/>
      </c>
      <c r="E30" s="907">
        <f>E31-E$4</f>
        <v/>
      </c>
      <c r="H30" s="739">
        <f>A155</f>
        <v/>
      </c>
      <c r="I30" s="740">
        <f>B156</f>
        <v/>
      </c>
      <c r="J30" s="741">
        <f>C156</f>
        <v/>
      </c>
      <c r="K30" s="740">
        <f>D156</f>
        <v/>
      </c>
      <c r="L30" s="740">
        <f>E156</f>
        <v/>
      </c>
      <c r="M30" s="742">
        <f>I30/10+J30+K30+L30</f>
        <v/>
      </c>
    </row>
    <row r="31">
      <c r="A31" s="702" t="inlineStr">
        <is>
          <t>T3</t>
        </is>
      </c>
      <c r="B31" s="906">
        <f>B32-B$4</f>
        <v/>
      </c>
      <c r="C31" s="906">
        <f>C32-C$4</f>
        <v/>
      </c>
      <c r="D31" s="906">
        <f>D32-D$4</f>
        <v/>
      </c>
      <c r="E31" s="907">
        <f>E32-E$4</f>
        <v/>
      </c>
      <c r="H31" s="739">
        <f>A167</f>
        <v/>
      </c>
      <c r="I31" s="740">
        <f>B168</f>
        <v/>
      </c>
      <c r="J31" s="741">
        <f>C168</f>
        <v/>
      </c>
      <c r="K31" s="740">
        <f>D168</f>
        <v/>
      </c>
      <c r="L31" s="740">
        <f>E168</f>
        <v/>
      </c>
      <c r="M31" s="742">
        <f>I31/10+J31+K31+L31</f>
        <v/>
      </c>
    </row>
    <row r="32">
      <c r="A32" s="702" t="inlineStr">
        <is>
          <t>T4</t>
        </is>
      </c>
      <c r="B32" s="906">
        <f>B33-B$4</f>
        <v/>
      </c>
      <c r="C32" s="906">
        <f>C33-C$4</f>
        <v/>
      </c>
      <c r="D32" s="906">
        <f>D33-D$4</f>
        <v/>
      </c>
      <c r="E32" s="907">
        <f>E33-E$4</f>
        <v/>
      </c>
      <c r="H32" s="743">
        <f>A179</f>
        <v/>
      </c>
      <c r="I32" s="744">
        <f>B180</f>
        <v/>
      </c>
      <c r="J32" s="745">
        <f>C180</f>
        <v/>
      </c>
      <c r="K32" s="744">
        <f>D180</f>
        <v/>
      </c>
      <c r="L32" s="744">
        <f>E180</f>
        <v/>
      </c>
      <c r="M32" s="746">
        <f>I32/10+J32+K32+L32</f>
        <v/>
      </c>
    </row>
    <row r="33">
      <c r="A33" s="702" t="inlineStr">
        <is>
          <t>T5</t>
        </is>
      </c>
      <c r="B33" s="906">
        <f>B34-B$4</f>
        <v/>
      </c>
      <c r="C33" s="906">
        <f>C34-C$4</f>
        <v/>
      </c>
      <c r="D33" s="906">
        <f>D34-D$4</f>
        <v/>
      </c>
      <c r="E33" s="907">
        <f>E34-E$4</f>
        <v/>
      </c>
      <c r="H33" s="747">
        <f>A195</f>
        <v/>
      </c>
      <c r="I33" s="748">
        <f>B196</f>
        <v/>
      </c>
      <c r="J33" s="749">
        <f>C196</f>
        <v/>
      </c>
      <c r="K33" s="748">
        <f>D196</f>
        <v/>
      </c>
      <c r="L33" s="748">
        <f>E196</f>
        <v/>
      </c>
      <c r="M33" s="750">
        <f>I33/10+J33+K33+L33</f>
        <v/>
      </c>
    </row>
    <row r="34">
      <c r="A34" s="702" t="inlineStr">
        <is>
          <t>T6</t>
        </is>
      </c>
      <c r="B34" s="906">
        <f>B35-B$4</f>
        <v/>
      </c>
      <c r="C34" s="906">
        <f>C35-C$4</f>
        <v/>
      </c>
      <c r="D34" s="906">
        <f>D35-D$4</f>
        <v/>
      </c>
      <c r="E34" s="907">
        <f>E35-E$4</f>
        <v/>
      </c>
      <c r="H34" s="751">
        <f>A207</f>
        <v/>
      </c>
      <c r="I34" s="752">
        <f>B208</f>
        <v/>
      </c>
      <c r="J34" s="753">
        <f>C208</f>
        <v/>
      </c>
      <c r="K34" s="752">
        <f>D208</f>
        <v/>
      </c>
      <c r="L34" s="752">
        <f>E208</f>
        <v/>
      </c>
      <c r="M34" s="754">
        <f>I34/10+J34+K34+L34</f>
        <v/>
      </c>
    </row>
    <row r="35">
      <c r="A35" s="702" t="inlineStr">
        <is>
          <t>T7</t>
        </is>
      </c>
      <c r="B35" s="906" t="n">
        <v>1240</v>
      </c>
      <c r="C35" s="906" t="n">
        <v>116</v>
      </c>
      <c r="D35" s="906" t="n">
        <v>80</v>
      </c>
      <c r="E35" s="907" t="n">
        <v>80</v>
      </c>
      <c r="H35" s="751">
        <f>A219</f>
        <v/>
      </c>
      <c r="I35" s="752">
        <f>B220</f>
        <v/>
      </c>
      <c r="J35" s="753">
        <f>C220</f>
        <v/>
      </c>
      <c r="K35" s="752">
        <f>D220</f>
        <v/>
      </c>
      <c r="L35" s="752">
        <f>E220</f>
        <v/>
      </c>
      <c r="M35" s="754">
        <f>I35/10+J35+K35+L35</f>
        <v/>
      </c>
    </row>
    <row r="36">
      <c r="A36" s="702" t="inlineStr">
        <is>
          <t>T8</t>
        </is>
      </c>
      <c r="B36" s="906" t="n">
        <v>1395</v>
      </c>
      <c r="C36" s="906" t="n">
        <v>131</v>
      </c>
      <c r="D36" s="906" t="n">
        <v>90</v>
      </c>
      <c r="E36" s="907" t="n">
        <v>90</v>
      </c>
      <c r="H36" s="751">
        <f>A231</f>
        <v/>
      </c>
      <c r="I36" s="752">
        <f>B232</f>
        <v/>
      </c>
      <c r="J36" s="753">
        <f>C232</f>
        <v/>
      </c>
      <c r="K36" s="752">
        <f>D232</f>
        <v/>
      </c>
      <c r="L36" s="752">
        <f>E232</f>
        <v/>
      </c>
      <c r="M36" s="754">
        <f>I36/10+J36+K36+L36</f>
        <v/>
      </c>
    </row>
    <row r="37">
      <c r="A37" s="1092" t="inlineStr">
        <is>
          <t>T9</t>
        </is>
      </c>
      <c r="B37" s="706" t="n">
        <v>1860</v>
      </c>
      <c r="C37" s="706" t="n">
        <v>174</v>
      </c>
      <c r="D37" s="706" t="n">
        <v>120</v>
      </c>
      <c r="E37" s="909" t="n">
        <v>120</v>
      </c>
      <c r="H37" s="755">
        <f>A243</f>
        <v/>
      </c>
      <c r="I37" s="756">
        <f>B244</f>
        <v/>
      </c>
      <c r="J37" s="757">
        <f>C244</f>
        <v/>
      </c>
      <c r="K37" s="756">
        <f>D244</f>
        <v/>
      </c>
      <c r="L37" s="756">
        <f>E244</f>
        <v/>
      </c>
      <c r="M37" s="758">
        <f>I37/10+J37+K37+L37</f>
        <v/>
      </c>
    </row>
    <row r="38">
      <c r="A38" s="702" t="n"/>
      <c r="E38" s="907" t="n"/>
      <c r="H38" s="759">
        <f>A259</f>
        <v/>
      </c>
      <c r="I38" s="760">
        <f>B260</f>
        <v/>
      </c>
      <c r="J38" s="760">
        <f>C260</f>
        <v/>
      </c>
      <c r="K38" s="760">
        <f>D260</f>
        <v/>
      </c>
      <c r="L38" s="760">
        <f>E260</f>
        <v/>
      </c>
      <c r="M38" s="761">
        <f>I38/10+J38+K38+L38</f>
        <v/>
      </c>
    </row>
    <row r="39">
      <c r="A39" s="853" t="inlineStr">
        <is>
          <t>Mummy</t>
        </is>
      </c>
      <c r="B39" s="738" t="n"/>
      <c r="C39" s="738" t="n"/>
      <c r="D39" s="738" t="n"/>
      <c r="E39" s="685" t="n"/>
      <c r="H39" s="759">
        <f>A271</f>
        <v/>
      </c>
      <c r="I39" s="760">
        <f>B272</f>
        <v/>
      </c>
      <c r="J39" s="760">
        <f>C272</f>
        <v/>
      </c>
      <c r="K39" s="760">
        <f>D272</f>
        <v/>
      </c>
      <c r="L39" s="759">
        <f>E272</f>
        <v/>
      </c>
      <c r="M39" s="760">
        <f>I39/10+J39+K39+L39</f>
        <v/>
      </c>
    </row>
    <row r="40">
      <c r="A40" s="691" t="inlineStr">
        <is>
          <t>Growth Factor</t>
        </is>
      </c>
      <c r="B40" s="692">
        <f>(B49-B47)/4</f>
        <v/>
      </c>
      <c r="C40" s="692">
        <f>(C49-C47)/4</f>
        <v/>
      </c>
      <c r="D40" s="692">
        <f>(D49-D47)/4</f>
        <v/>
      </c>
      <c r="E40" s="693">
        <f>(E49-E47)/4</f>
        <v/>
      </c>
      <c r="H40" s="759">
        <f>A283</f>
        <v/>
      </c>
      <c r="I40" s="760">
        <f>B284</f>
        <v/>
      </c>
      <c r="J40" s="760">
        <f>C284</f>
        <v/>
      </c>
      <c r="K40" s="760">
        <f>D284</f>
        <v/>
      </c>
      <c r="L40" s="759">
        <f>E284</f>
        <v/>
      </c>
      <c r="M40" s="760">
        <f>I40/10+J40+K40+L40</f>
        <v/>
      </c>
    </row>
    <row r="41">
      <c r="A41" s="853" t="inlineStr">
        <is>
          <t>T1</t>
        </is>
      </c>
      <c r="B41" s="906">
        <f>B42-B$40</f>
        <v/>
      </c>
      <c r="C41" s="906">
        <f>C42-C$40</f>
        <v/>
      </c>
      <c r="D41" s="906">
        <f>D42-D$40</f>
        <v/>
      </c>
      <c r="E41" s="907">
        <f>E42-E$40</f>
        <v/>
      </c>
      <c r="H41" s="759">
        <f>A295</f>
        <v/>
      </c>
      <c r="I41" s="760">
        <f>B296</f>
        <v/>
      </c>
      <c r="J41" s="760">
        <f>C296</f>
        <v/>
      </c>
      <c r="K41" s="760">
        <f>D296</f>
        <v/>
      </c>
      <c r="L41" s="759">
        <f>E296</f>
        <v/>
      </c>
      <c r="M41" s="760">
        <f>I41/10+J41+K41+L41</f>
        <v/>
      </c>
    </row>
    <row r="42">
      <c r="A42" s="702" t="inlineStr">
        <is>
          <t>T2</t>
        </is>
      </c>
      <c r="B42" s="906">
        <f>B43-B$40</f>
        <v/>
      </c>
      <c r="C42" s="906">
        <f>C43-C$40</f>
        <v/>
      </c>
      <c r="D42" s="906">
        <f>D43-D$40</f>
        <v/>
      </c>
      <c r="E42" s="907">
        <f>E43-E$40</f>
        <v/>
      </c>
      <c r="H42" s="759">
        <f>A307</f>
        <v/>
      </c>
      <c r="I42" s="760">
        <f>B308</f>
        <v/>
      </c>
      <c r="J42" s="760">
        <f>C308</f>
        <v/>
      </c>
      <c r="K42" s="760">
        <f>D308</f>
        <v/>
      </c>
      <c r="L42" s="760">
        <f>E308</f>
        <v/>
      </c>
      <c r="M42" s="762">
        <f>I42/10+J42+K42+L42</f>
        <v/>
      </c>
    </row>
    <row r="43">
      <c r="A43" s="702" t="inlineStr">
        <is>
          <t>T3</t>
        </is>
      </c>
      <c r="B43" s="906">
        <f>B44-B$40</f>
        <v/>
      </c>
      <c r="C43" s="906">
        <f>C44-C$40</f>
        <v/>
      </c>
      <c r="D43" s="906">
        <f>D44-D$40</f>
        <v/>
      </c>
      <c r="E43" s="907">
        <f>E44-E$40</f>
        <v/>
      </c>
      <c r="H43" s="763">
        <f>A323</f>
        <v/>
      </c>
      <c r="I43" s="764">
        <f>B324</f>
        <v/>
      </c>
      <c r="J43" s="765">
        <f>C324</f>
        <v/>
      </c>
      <c r="K43" s="764">
        <f>D324</f>
        <v/>
      </c>
      <c r="L43" s="764">
        <f>E324</f>
        <v/>
      </c>
      <c r="M43" s="766">
        <f>I43/10+J43+K43+L43</f>
        <v/>
      </c>
    </row>
    <row r="44">
      <c r="A44" s="702" t="inlineStr">
        <is>
          <t>T4</t>
        </is>
      </c>
      <c r="B44" s="906">
        <f>B45-B$40</f>
        <v/>
      </c>
      <c r="C44" s="906">
        <f>C45-C$40</f>
        <v/>
      </c>
      <c r="D44" s="906">
        <f>D45-D$40</f>
        <v/>
      </c>
      <c r="E44" s="907">
        <f>E45-E$40</f>
        <v/>
      </c>
      <c r="H44" s="767">
        <f>A335</f>
        <v/>
      </c>
      <c r="I44" s="768">
        <f>B336</f>
        <v/>
      </c>
      <c r="J44" s="769">
        <f>C336</f>
        <v/>
      </c>
      <c r="K44" s="768">
        <f>D336</f>
        <v/>
      </c>
      <c r="L44" s="768">
        <f>E336</f>
        <v/>
      </c>
      <c r="M44" s="766">
        <f>I44/10+J44+K44+L44</f>
        <v/>
      </c>
    </row>
    <row r="45">
      <c r="A45" s="702" t="inlineStr">
        <is>
          <t>T5</t>
        </is>
      </c>
      <c r="B45" s="906">
        <f>B46-B$40</f>
        <v/>
      </c>
      <c r="C45" s="906">
        <f>C46-C$40</f>
        <v/>
      </c>
      <c r="D45" s="906">
        <f>D46-D$40</f>
        <v/>
      </c>
      <c r="E45" s="907">
        <f>E46-E$40</f>
        <v/>
      </c>
      <c r="H45" s="767">
        <f>A347</f>
        <v/>
      </c>
      <c r="I45" s="768">
        <f>B348</f>
        <v/>
      </c>
      <c r="J45" s="769">
        <f>C348</f>
        <v/>
      </c>
      <c r="K45" s="768">
        <f>D348</f>
        <v/>
      </c>
      <c r="L45" s="768">
        <f>E348</f>
        <v/>
      </c>
      <c r="M45" s="766">
        <f>I45/10+J45+K45+L45</f>
        <v/>
      </c>
    </row>
    <row r="46">
      <c r="A46" s="702" t="inlineStr">
        <is>
          <t>T6</t>
        </is>
      </c>
      <c r="B46" s="906">
        <f>B47-B$40</f>
        <v/>
      </c>
      <c r="C46" s="906">
        <f>C47-C$40</f>
        <v/>
      </c>
      <c r="D46" s="906">
        <f>D47-D$40</f>
        <v/>
      </c>
      <c r="E46" s="907">
        <f>E47-E$40</f>
        <v/>
      </c>
      <c r="H46" s="767">
        <f>A359</f>
        <v/>
      </c>
      <c r="I46" s="768">
        <f>B360</f>
        <v/>
      </c>
      <c r="J46" s="769">
        <f>C360</f>
        <v/>
      </c>
      <c r="K46" s="768">
        <f>D360</f>
        <v/>
      </c>
      <c r="L46" s="768">
        <f>E360</f>
        <v/>
      </c>
      <c r="M46" s="766">
        <f>I46/10+J46+K46+L46</f>
        <v/>
      </c>
    </row>
    <row r="47">
      <c r="A47" s="702" t="inlineStr">
        <is>
          <t>T7</t>
        </is>
      </c>
      <c r="B47" s="906" t="n">
        <v>1320</v>
      </c>
      <c r="C47" s="906" t="n">
        <v>112</v>
      </c>
      <c r="D47" s="906" t="n">
        <v>84</v>
      </c>
      <c r="E47" s="907" t="n">
        <v>72</v>
      </c>
      <c r="H47" s="770">
        <f>A371</f>
        <v/>
      </c>
      <c r="I47" s="771">
        <f>B372</f>
        <v/>
      </c>
      <c r="J47" s="772">
        <f>C372</f>
        <v/>
      </c>
      <c r="K47" s="771">
        <f>D372</f>
        <v/>
      </c>
      <c r="L47" s="771">
        <f>E372</f>
        <v/>
      </c>
      <c r="M47" s="773">
        <f>I47/10+J47+K47+L47</f>
        <v/>
      </c>
    </row>
    <row r="48">
      <c r="A48" s="702" t="inlineStr">
        <is>
          <t>T8</t>
        </is>
      </c>
      <c r="B48" s="906" t="n">
        <v>1485</v>
      </c>
      <c r="C48" s="906" t="n">
        <v>126</v>
      </c>
      <c r="D48" s="906" t="n">
        <v>95</v>
      </c>
      <c r="E48" s="907" t="n">
        <v>81</v>
      </c>
    </row>
    <row r="49">
      <c r="A49" s="1092" t="inlineStr">
        <is>
          <t>T9</t>
        </is>
      </c>
      <c r="B49" s="706" t="n">
        <v>1980</v>
      </c>
      <c r="C49" s="706" t="n">
        <v>168</v>
      </c>
      <c r="D49" s="706" t="n">
        <v>126</v>
      </c>
      <c r="E49" s="909" t="n">
        <v>108</v>
      </c>
    </row>
    <row r="50">
      <c r="A50" s="702" t="n"/>
      <c r="E50" s="907" t="n"/>
    </row>
    <row r="51">
      <c r="A51" s="853" t="inlineStr">
        <is>
          <t>Baby Bud</t>
        </is>
      </c>
      <c r="B51" s="738" t="n"/>
      <c r="C51" s="738" t="n"/>
      <c r="D51" s="738" t="n"/>
      <c r="E51" s="685" t="n"/>
    </row>
    <row r="52">
      <c r="A52" s="691" t="inlineStr">
        <is>
          <t>Growth Factor</t>
        </is>
      </c>
      <c r="B52" s="692">
        <f>(B61-B59)/4</f>
        <v/>
      </c>
      <c r="C52" s="692">
        <f>(C61-C59)/4</f>
        <v/>
      </c>
      <c r="D52" s="692">
        <f>(D61-D59)/4</f>
        <v/>
      </c>
      <c r="E52" s="693">
        <f>(E61-E59)/4</f>
        <v/>
      </c>
    </row>
    <row r="53">
      <c r="A53" s="702" t="inlineStr">
        <is>
          <t>T1</t>
        </is>
      </c>
      <c r="B53" s="906" t="n">
        <v>310</v>
      </c>
      <c r="C53" s="906" t="n">
        <v>30</v>
      </c>
      <c r="D53" s="906" t="n">
        <v>18</v>
      </c>
      <c r="E53" s="907" t="n">
        <v>21</v>
      </c>
    </row>
    <row r="54">
      <c r="A54" s="702" t="inlineStr">
        <is>
          <t>T2</t>
        </is>
      </c>
      <c r="B54" s="906" t="n">
        <v>465</v>
      </c>
      <c r="C54" s="906" t="n">
        <v>45</v>
      </c>
      <c r="D54" s="906" t="n">
        <v>27</v>
      </c>
      <c r="E54" s="907" t="n">
        <v>32</v>
      </c>
    </row>
    <row r="55">
      <c r="A55" s="702" t="inlineStr">
        <is>
          <t>T3</t>
        </is>
      </c>
      <c r="B55" s="906" t="n">
        <v>620</v>
      </c>
      <c r="C55" s="906" t="n">
        <v>60</v>
      </c>
      <c r="D55" s="906" t="n">
        <v>36</v>
      </c>
      <c r="E55" s="907" t="n">
        <v>42</v>
      </c>
    </row>
    <row r="56">
      <c r="A56" s="702" t="inlineStr">
        <is>
          <t>T4</t>
        </is>
      </c>
      <c r="B56" s="906" t="n">
        <v>775</v>
      </c>
      <c r="C56" s="906" t="n">
        <v>75</v>
      </c>
      <c r="D56" s="906" t="n">
        <v>45</v>
      </c>
      <c r="E56" s="907" t="n">
        <v>53</v>
      </c>
    </row>
    <row r="57">
      <c r="A57" s="702" t="inlineStr">
        <is>
          <t>T5</t>
        </is>
      </c>
      <c r="B57" s="906" t="n">
        <v>930</v>
      </c>
      <c r="C57" s="906" t="n">
        <v>90</v>
      </c>
      <c r="D57" s="906" t="n">
        <v>54</v>
      </c>
      <c r="E57" s="907" t="n">
        <v>63</v>
      </c>
    </row>
    <row r="58">
      <c r="A58" s="702" t="inlineStr">
        <is>
          <t>T6</t>
        </is>
      </c>
      <c r="B58" s="906" t="n">
        <v>1085</v>
      </c>
      <c r="C58" s="906" t="n">
        <v>105</v>
      </c>
      <c r="D58" s="906" t="n">
        <v>63</v>
      </c>
      <c r="E58" s="907" t="n">
        <v>74</v>
      </c>
    </row>
    <row r="59">
      <c r="A59" s="702" t="inlineStr">
        <is>
          <t>T7</t>
        </is>
      </c>
      <c r="B59" s="906" t="n">
        <v>1240</v>
      </c>
      <c r="C59" s="906" t="n">
        <v>120</v>
      </c>
      <c r="D59" s="906" t="n">
        <v>72</v>
      </c>
      <c r="E59" s="907" t="n">
        <v>84</v>
      </c>
    </row>
    <row r="60">
      <c r="A60" s="702" t="inlineStr">
        <is>
          <t>T8</t>
        </is>
      </c>
      <c r="B60" s="906" t="n">
        <v>1395</v>
      </c>
      <c r="C60" s="906" t="n">
        <v>135</v>
      </c>
      <c r="D60" s="906" t="n">
        <v>81</v>
      </c>
      <c r="E60" s="907" t="n">
        <v>95</v>
      </c>
    </row>
    <row r="61">
      <c r="A61" s="1092" t="inlineStr">
        <is>
          <t>T9</t>
        </is>
      </c>
      <c r="B61" s="706" t="n">
        <v>1860</v>
      </c>
      <c r="C61" s="706" t="n">
        <v>180</v>
      </c>
      <c r="D61" s="706" t="n">
        <v>108</v>
      </c>
      <c r="E61" s="909" t="n">
        <v>126</v>
      </c>
    </row>
    <row r="62"/>
    <row r="63"/>
    <row r="64"/>
    <row r="65"/>
    <row r="66">
      <c r="A66" s="680" t="inlineStr">
        <is>
          <t>DEMON</t>
        </is>
      </c>
      <c r="B66" s="738" t="n"/>
      <c r="C66" s="738" t="n"/>
      <c r="D66" s="738" t="n"/>
      <c r="E66" s="685" t="n"/>
    </row>
    <row r="67">
      <c r="A67" s="774" t="inlineStr">
        <is>
          <t>Ironball Thrower</t>
        </is>
      </c>
      <c r="B67" s="738" t="n"/>
      <c r="C67" s="738" t="n"/>
      <c r="D67" s="738" t="n"/>
      <c r="E67" s="685" t="n"/>
    </row>
    <row r="68">
      <c r="A68" s="691" t="inlineStr">
        <is>
          <t>Growth Factor</t>
        </is>
      </c>
      <c r="B68" s="692">
        <f>(B77-B75)/4</f>
        <v/>
      </c>
      <c r="C68" s="692">
        <f>(C77-C75)/4</f>
        <v/>
      </c>
      <c r="D68" s="692">
        <f>(D77-D75)/4</f>
        <v/>
      </c>
      <c r="E68" s="693">
        <f>(E77-E75)/4</f>
        <v/>
      </c>
    </row>
    <row r="69">
      <c r="A69" s="853" t="inlineStr">
        <is>
          <t>T1</t>
        </is>
      </c>
      <c r="B69" s="906">
        <f>B70-B$68</f>
        <v/>
      </c>
      <c r="C69" s="906">
        <f>C70-C$68</f>
        <v/>
      </c>
      <c r="D69" s="906">
        <f>D70-D$68</f>
        <v/>
      </c>
      <c r="E69" s="907">
        <f>E70-E$68</f>
        <v/>
      </c>
    </row>
    <row r="70">
      <c r="A70" s="702" t="inlineStr">
        <is>
          <t>T2</t>
        </is>
      </c>
      <c r="B70" s="906">
        <f>B71-B$68</f>
        <v/>
      </c>
      <c r="C70" s="906">
        <f>C71-C$68</f>
        <v/>
      </c>
      <c r="D70" s="906">
        <f>D71-D$68</f>
        <v/>
      </c>
      <c r="E70" s="907">
        <f>E71-E$68</f>
        <v/>
      </c>
    </row>
    <row r="71">
      <c r="A71" s="702" t="inlineStr">
        <is>
          <t>T3</t>
        </is>
      </c>
      <c r="B71" s="906">
        <f>B72-B$68</f>
        <v/>
      </c>
      <c r="C71" s="906">
        <f>C72-C$68</f>
        <v/>
      </c>
      <c r="D71" s="906">
        <f>D72-D$68</f>
        <v/>
      </c>
      <c r="E71" s="907">
        <f>E72-E$68</f>
        <v/>
      </c>
    </row>
    <row r="72">
      <c r="A72" s="702" t="inlineStr">
        <is>
          <t>T4</t>
        </is>
      </c>
      <c r="B72" s="906">
        <f>B73-B$68</f>
        <v/>
      </c>
      <c r="C72" s="906">
        <f>C73-C$68</f>
        <v/>
      </c>
      <c r="D72" s="906">
        <f>D73-D$68</f>
        <v/>
      </c>
      <c r="E72" s="907">
        <f>E73-E$68</f>
        <v/>
      </c>
    </row>
    <row r="73">
      <c r="A73" s="702" t="inlineStr">
        <is>
          <t>T5</t>
        </is>
      </c>
      <c r="B73" s="906">
        <f>B74-B$68</f>
        <v/>
      </c>
      <c r="C73" s="906">
        <f>C74-C$68</f>
        <v/>
      </c>
      <c r="D73" s="906">
        <f>D74-D$68</f>
        <v/>
      </c>
      <c r="E73" s="907">
        <f>E74-E$68</f>
        <v/>
      </c>
    </row>
    <row r="74">
      <c r="A74" s="702" t="inlineStr">
        <is>
          <t>T6</t>
        </is>
      </c>
      <c r="B74" s="906">
        <f>B75-B$68</f>
        <v/>
      </c>
      <c r="C74" s="906">
        <f>C75-C$68</f>
        <v/>
      </c>
      <c r="D74" s="906">
        <f>D75-D$68</f>
        <v/>
      </c>
      <c r="E74" s="907">
        <f>E75-E$68</f>
        <v/>
      </c>
    </row>
    <row r="75">
      <c r="A75" s="702" t="inlineStr">
        <is>
          <t>T7</t>
        </is>
      </c>
      <c r="B75" s="906" t="n">
        <v>800</v>
      </c>
      <c r="C75" s="906" t="n">
        <v>120</v>
      </c>
      <c r="D75" s="906" t="n">
        <v>88</v>
      </c>
      <c r="E75" s="907" t="n">
        <v>112</v>
      </c>
    </row>
    <row r="76">
      <c r="A76" s="702" t="inlineStr">
        <is>
          <t>T8</t>
        </is>
      </c>
      <c r="B76" s="906" t="n">
        <v>900</v>
      </c>
      <c r="C76" s="906" t="n">
        <v>135</v>
      </c>
      <c r="D76" s="906" t="n">
        <v>99</v>
      </c>
      <c r="E76" s="907" t="n">
        <v>126</v>
      </c>
    </row>
    <row r="77">
      <c r="A77" s="1092" t="inlineStr">
        <is>
          <t>T9</t>
        </is>
      </c>
      <c r="B77" s="706" t="n">
        <v>1200</v>
      </c>
      <c r="C77" s="706" t="n">
        <v>180</v>
      </c>
      <c r="D77" s="706" t="n">
        <v>132</v>
      </c>
      <c r="E77" s="909" t="n">
        <v>168</v>
      </c>
    </row>
    <row r="78">
      <c r="A78" s="702" t="n"/>
      <c r="E78" s="907" t="n"/>
    </row>
    <row r="79">
      <c r="A79" s="774" t="inlineStr">
        <is>
          <t>Nightmare Steed</t>
        </is>
      </c>
      <c r="B79" s="738" t="n"/>
      <c r="C79" s="738" t="n"/>
      <c r="D79" s="738" t="n"/>
      <c r="E79" s="685" t="n"/>
    </row>
    <row r="80">
      <c r="A80" s="691" t="inlineStr">
        <is>
          <t>Growth Factor</t>
        </is>
      </c>
      <c r="B80" s="692">
        <f>(B89-B87)/4</f>
        <v/>
      </c>
      <c r="C80" s="692">
        <f>(C89-C87)/4</f>
        <v/>
      </c>
      <c r="D80" s="692">
        <f>(D89-D87)/4</f>
        <v/>
      </c>
      <c r="E80" s="693">
        <f>(E89-E87)/4</f>
        <v/>
      </c>
    </row>
    <row r="81">
      <c r="A81" s="853" t="inlineStr">
        <is>
          <t>T1</t>
        </is>
      </c>
      <c r="B81" s="906">
        <f>B82-B$80</f>
        <v/>
      </c>
      <c r="C81" s="906">
        <f>C82-C$80</f>
        <v/>
      </c>
      <c r="D81" s="906">
        <f>D82-D$80</f>
        <v/>
      </c>
      <c r="E81" s="907">
        <f>E82-E$80</f>
        <v/>
      </c>
    </row>
    <row r="82">
      <c r="A82" s="702" t="inlineStr">
        <is>
          <t>T2</t>
        </is>
      </c>
      <c r="B82" s="906">
        <f>B83-B$80</f>
        <v/>
      </c>
      <c r="C82" s="906">
        <f>C83-C$80</f>
        <v/>
      </c>
      <c r="D82" s="906">
        <f>D83-D$80</f>
        <v/>
      </c>
      <c r="E82" s="907">
        <f>E83-E$80</f>
        <v/>
      </c>
    </row>
    <row r="83">
      <c r="A83" s="702" t="inlineStr">
        <is>
          <t>T3</t>
        </is>
      </c>
      <c r="B83" s="906">
        <f>B84-B$80</f>
        <v/>
      </c>
      <c r="C83" s="906">
        <f>C84-C$80</f>
        <v/>
      </c>
      <c r="D83" s="906">
        <f>D84-D$80</f>
        <v/>
      </c>
      <c r="E83" s="907">
        <f>E84-E$80</f>
        <v/>
      </c>
    </row>
    <row r="84">
      <c r="A84" s="702" t="inlineStr">
        <is>
          <t>T4</t>
        </is>
      </c>
      <c r="B84" s="906">
        <f>B85-B$80</f>
        <v/>
      </c>
      <c r="C84" s="906">
        <f>C85-C$80</f>
        <v/>
      </c>
      <c r="D84" s="906">
        <f>D85-D$80</f>
        <v/>
      </c>
      <c r="E84" s="907">
        <f>E85-E$80</f>
        <v/>
      </c>
    </row>
    <row r="85">
      <c r="A85" s="702" t="inlineStr">
        <is>
          <t>T5</t>
        </is>
      </c>
      <c r="B85" s="906">
        <f>B86-B$80</f>
        <v/>
      </c>
      <c r="C85" s="906">
        <f>C86-C$80</f>
        <v/>
      </c>
      <c r="D85" s="906">
        <f>D86-D$80</f>
        <v/>
      </c>
      <c r="E85" s="907">
        <f>E86-E$80</f>
        <v/>
      </c>
    </row>
    <row r="86">
      <c r="A86" s="702" t="inlineStr">
        <is>
          <t>T6</t>
        </is>
      </c>
      <c r="B86" s="906">
        <f>B87-B$80</f>
        <v/>
      </c>
      <c r="C86" s="906">
        <f>C87-C$80</f>
        <v/>
      </c>
      <c r="D86" s="906">
        <f>D87-D$80</f>
        <v/>
      </c>
      <c r="E86" s="907">
        <f>E87-E$80</f>
        <v/>
      </c>
    </row>
    <row r="87">
      <c r="A87" s="702" t="inlineStr">
        <is>
          <t>T7</t>
        </is>
      </c>
      <c r="B87" s="906" t="n">
        <v>800</v>
      </c>
      <c r="C87" s="906" t="n">
        <v>120</v>
      </c>
      <c r="D87" s="906" t="n">
        <v>84</v>
      </c>
      <c r="E87" s="907" t="n">
        <v>116</v>
      </c>
    </row>
    <row r="88">
      <c r="A88" s="702" t="inlineStr">
        <is>
          <t>T8</t>
        </is>
      </c>
      <c r="B88" s="906" t="n">
        <v>900</v>
      </c>
      <c r="C88" s="906" t="n">
        <v>135</v>
      </c>
      <c r="D88" s="906" t="n">
        <v>95</v>
      </c>
      <c r="E88" s="907" t="n">
        <v>131</v>
      </c>
    </row>
    <row r="89">
      <c r="A89" s="1092" t="inlineStr">
        <is>
          <t>T9</t>
        </is>
      </c>
      <c r="B89" s="706" t="n">
        <v>1200</v>
      </c>
      <c r="C89" s="706" t="n">
        <v>180</v>
      </c>
      <c r="D89" s="706" t="n">
        <v>126</v>
      </c>
      <c r="E89" s="909" t="n">
        <v>174</v>
      </c>
    </row>
    <row r="90">
      <c r="A90" s="702" t="n"/>
      <c r="E90" s="907" t="n"/>
    </row>
    <row r="91">
      <c r="A91" s="774" t="inlineStr">
        <is>
          <t>Imp</t>
        </is>
      </c>
      <c r="B91" s="738" t="n"/>
      <c r="C91" s="738" t="n"/>
      <c r="D91" s="738" t="n"/>
      <c r="E91" s="685" t="n"/>
    </row>
    <row r="92">
      <c r="A92" s="691" t="inlineStr">
        <is>
          <t>Growth Factor</t>
        </is>
      </c>
      <c r="B92" s="692">
        <f>(B101-B99)/4</f>
        <v/>
      </c>
      <c r="C92" s="692">
        <f>(C101-C99)/4</f>
        <v/>
      </c>
      <c r="D92" s="692">
        <f>(D101-D99)/4</f>
        <v/>
      </c>
      <c r="E92" s="693">
        <f>(E101-E99)/4</f>
        <v/>
      </c>
    </row>
    <row r="93">
      <c r="A93" s="853" t="inlineStr">
        <is>
          <t>T1</t>
        </is>
      </c>
      <c r="B93" s="906">
        <f>B94-B$92</f>
        <v/>
      </c>
      <c r="C93" s="906">
        <f>C94-C$92</f>
        <v/>
      </c>
      <c r="D93" s="906">
        <f>D94-D$92</f>
        <v/>
      </c>
      <c r="E93" s="907">
        <f>E94-E$92</f>
        <v/>
      </c>
    </row>
    <row r="94">
      <c r="A94" s="702" t="inlineStr">
        <is>
          <t>T2</t>
        </is>
      </c>
      <c r="B94" s="906">
        <f>B95-B$92</f>
        <v/>
      </c>
      <c r="C94" s="906">
        <f>C95-C$92</f>
        <v/>
      </c>
      <c r="D94" s="906">
        <f>D95-D$92</f>
        <v/>
      </c>
      <c r="E94" s="907">
        <f>E95-E$92</f>
        <v/>
      </c>
    </row>
    <row r="95">
      <c r="A95" s="702" t="inlineStr">
        <is>
          <t>T3</t>
        </is>
      </c>
      <c r="B95" s="906">
        <f>B96-B$92</f>
        <v/>
      </c>
      <c r="C95" s="906">
        <f>C96-C$92</f>
        <v/>
      </c>
      <c r="D95" s="906">
        <f>D96-D$92</f>
        <v/>
      </c>
      <c r="E95" s="907">
        <f>E96-E$92</f>
        <v/>
      </c>
    </row>
    <row r="96">
      <c r="A96" s="702" t="inlineStr">
        <is>
          <t>T4</t>
        </is>
      </c>
      <c r="B96" s="906">
        <f>B97-B$92</f>
        <v/>
      </c>
      <c r="C96" s="906">
        <f>C97-C$92</f>
        <v/>
      </c>
      <c r="D96" s="906">
        <f>D97-D$92</f>
        <v/>
      </c>
      <c r="E96" s="907">
        <f>E97-E$92</f>
        <v/>
      </c>
    </row>
    <row r="97">
      <c r="A97" s="702" t="inlineStr">
        <is>
          <t>T5</t>
        </is>
      </c>
      <c r="B97" s="906">
        <f>B98-B$92</f>
        <v/>
      </c>
      <c r="C97" s="906">
        <f>C98-C$92</f>
        <v/>
      </c>
      <c r="D97" s="906">
        <f>D98-D$92</f>
        <v/>
      </c>
      <c r="E97" s="907">
        <f>E98-E$92</f>
        <v/>
      </c>
    </row>
    <row r="98">
      <c r="A98" s="702" t="inlineStr">
        <is>
          <t>T6</t>
        </is>
      </c>
      <c r="B98" s="906">
        <f>B99-B$92</f>
        <v/>
      </c>
      <c r="C98" s="906">
        <f>C99-C$92</f>
        <v/>
      </c>
      <c r="D98" s="906">
        <f>D99-D$92</f>
        <v/>
      </c>
      <c r="E98" s="907">
        <f>E99-E$92</f>
        <v/>
      </c>
    </row>
    <row r="99">
      <c r="A99" s="702" t="inlineStr">
        <is>
          <t>T7</t>
        </is>
      </c>
      <c r="B99" s="906" t="n">
        <v>880</v>
      </c>
      <c r="C99" s="906" t="n">
        <v>124</v>
      </c>
      <c r="D99" s="906" t="n">
        <v>84</v>
      </c>
      <c r="E99" s="907" t="n">
        <v>104</v>
      </c>
    </row>
    <row r="100">
      <c r="A100" s="702" t="inlineStr">
        <is>
          <t>T8</t>
        </is>
      </c>
      <c r="B100" s="906" t="n">
        <v>990</v>
      </c>
      <c r="C100" s="906" t="n">
        <v>140</v>
      </c>
      <c r="D100" s="906" t="n">
        <v>95</v>
      </c>
      <c r="E100" s="907" t="n">
        <v>117</v>
      </c>
    </row>
    <row r="101">
      <c r="A101" s="1092" t="inlineStr">
        <is>
          <t>T9</t>
        </is>
      </c>
      <c r="B101" s="706" t="n">
        <v>1320</v>
      </c>
      <c r="C101" s="706" t="n">
        <v>186</v>
      </c>
      <c r="D101" s="706" t="n">
        <v>126</v>
      </c>
      <c r="E101" s="909" t="n">
        <v>156</v>
      </c>
    </row>
    <row r="102">
      <c r="A102" s="702" t="n"/>
      <c r="E102" s="907" t="n"/>
    </row>
    <row r="103">
      <c r="A103" s="774" t="inlineStr">
        <is>
          <t>Berserker</t>
        </is>
      </c>
      <c r="B103" s="738" t="n"/>
      <c r="C103" s="738" t="n"/>
      <c r="D103" s="738" t="n"/>
      <c r="E103" s="685" t="n"/>
    </row>
    <row r="104">
      <c r="A104" s="691" t="inlineStr">
        <is>
          <t>Growth Factor</t>
        </is>
      </c>
      <c r="B104" s="692">
        <f>(B113-B111)/4</f>
        <v/>
      </c>
      <c r="C104" s="692">
        <f>(C113-C111)/4</f>
        <v/>
      </c>
      <c r="D104" s="692">
        <f>(D113-D111)/4</f>
        <v/>
      </c>
      <c r="E104" s="693">
        <f>(E113-E111)/4</f>
        <v/>
      </c>
    </row>
    <row r="105">
      <c r="A105" s="853" t="inlineStr">
        <is>
          <t>T1</t>
        </is>
      </c>
      <c r="B105" s="906" t="n">
        <v>230</v>
      </c>
      <c r="C105" s="906" t="n">
        <v>30</v>
      </c>
      <c r="D105" s="906" t="n">
        <v>20</v>
      </c>
      <c r="E105" s="907" t="n">
        <v>27</v>
      </c>
    </row>
    <row r="106">
      <c r="A106" s="702" t="inlineStr">
        <is>
          <t>T2</t>
        </is>
      </c>
      <c r="B106" s="906" t="n">
        <v>345</v>
      </c>
      <c r="C106" s="906" t="n">
        <v>45</v>
      </c>
      <c r="D106" s="906" t="n">
        <v>30</v>
      </c>
      <c r="E106" s="907" t="n">
        <v>41</v>
      </c>
    </row>
    <row r="107">
      <c r="A107" s="702" t="inlineStr">
        <is>
          <t>T3</t>
        </is>
      </c>
      <c r="B107" s="906" t="n">
        <v>460</v>
      </c>
      <c r="C107" s="906" t="n">
        <v>60</v>
      </c>
      <c r="D107" s="906" t="n">
        <v>40</v>
      </c>
      <c r="E107" s="907" t="n">
        <v>54</v>
      </c>
    </row>
    <row r="108">
      <c r="A108" s="702" t="inlineStr">
        <is>
          <t>T4</t>
        </is>
      </c>
      <c r="B108" s="906" t="n">
        <v>575</v>
      </c>
      <c r="C108" s="906" t="n">
        <v>75</v>
      </c>
      <c r="D108" s="906" t="n">
        <v>50</v>
      </c>
      <c r="E108" s="907" t="n">
        <v>68</v>
      </c>
    </row>
    <row r="109">
      <c r="A109" s="702" t="inlineStr">
        <is>
          <t>T5</t>
        </is>
      </c>
      <c r="B109" s="906" t="n">
        <v>690</v>
      </c>
      <c r="C109" s="906" t="n">
        <v>90</v>
      </c>
      <c r="D109" s="906" t="n">
        <v>60</v>
      </c>
      <c r="E109" s="907" t="n">
        <v>81</v>
      </c>
    </row>
    <row r="110">
      <c r="A110" s="702" t="inlineStr">
        <is>
          <t>T6</t>
        </is>
      </c>
      <c r="B110" s="906" t="n">
        <v>805</v>
      </c>
      <c r="C110" s="906" t="n">
        <v>105</v>
      </c>
      <c r="D110" s="906" t="n">
        <v>70</v>
      </c>
      <c r="E110" s="907" t="n">
        <v>95</v>
      </c>
    </row>
    <row r="111">
      <c r="A111" s="702" t="inlineStr">
        <is>
          <t>T7</t>
        </is>
      </c>
      <c r="B111" s="906" t="n">
        <v>920</v>
      </c>
      <c r="C111" s="906" t="n">
        <v>120</v>
      </c>
      <c r="D111" s="906" t="n">
        <v>80</v>
      </c>
      <c r="E111" s="907" t="n">
        <v>108</v>
      </c>
    </row>
    <row r="112">
      <c r="A112" s="702" t="inlineStr">
        <is>
          <t>T8</t>
        </is>
      </c>
      <c r="B112" s="906" t="n">
        <v>1035</v>
      </c>
      <c r="C112" s="906" t="n">
        <v>135</v>
      </c>
      <c r="D112" s="906" t="n">
        <v>90</v>
      </c>
      <c r="E112" s="907" t="n">
        <v>122</v>
      </c>
    </row>
    <row r="113">
      <c r="A113" s="1092" t="inlineStr">
        <is>
          <t>T9</t>
        </is>
      </c>
      <c r="B113" s="706" t="n">
        <v>1380</v>
      </c>
      <c r="C113" s="706" t="n">
        <v>180</v>
      </c>
      <c r="D113" s="706" t="n">
        <v>120</v>
      </c>
      <c r="E113" s="909" t="n">
        <v>162</v>
      </c>
    </row>
    <row r="114">
      <c r="A114" s="702" t="n"/>
      <c r="E114" s="907" t="n"/>
    </row>
    <row r="115">
      <c r="A115" s="774" t="inlineStr">
        <is>
          <t>Vampire</t>
        </is>
      </c>
      <c r="B115" s="738" t="n"/>
      <c r="C115" s="738" t="n"/>
      <c r="D115" s="738" t="n"/>
      <c r="E115" s="685" t="n"/>
    </row>
    <row r="116">
      <c r="A116" s="691" t="inlineStr">
        <is>
          <t>Growth Factor</t>
        </is>
      </c>
      <c r="B116" s="692">
        <f>(B125-B123)/4</f>
        <v/>
      </c>
      <c r="C116" s="692">
        <f>(C125-C123)/4</f>
        <v/>
      </c>
      <c r="D116" s="692">
        <f>(D125-D123)/4</f>
        <v/>
      </c>
      <c r="E116" s="693">
        <f>(E125-E123)/4</f>
        <v/>
      </c>
    </row>
    <row r="117">
      <c r="A117" s="702" t="inlineStr">
        <is>
          <t>T1</t>
        </is>
      </c>
      <c r="B117" s="906">
        <f>B118-B$116</f>
        <v/>
      </c>
      <c r="C117" s="906">
        <f>C118-C$116</f>
        <v/>
      </c>
      <c r="D117" s="906">
        <f>D118-D$116</f>
        <v/>
      </c>
      <c r="E117" s="907">
        <f>E118-E$116</f>
        <v/>
      </c>
    </row>
    <row r="118">
      <c r="A118" s="702" t="inlineStr">
        <is>
          <t>T2</t>
        </is>
      </c>
      <c r="B118" s="906">
        <f>B119-B$116</f>
        <v/>
      </c>
      <c r="C118" s="906">
        <f>C119-C$116</f>
        <v/>
      </c>
      <c r="D118" s="906">
        <f>D119-D$116</f>
        <v/>
      </c>
      <c r="E118" s="907">
        <f>E119-E$116</f>
        <v/>
      </c>
    </row>
    <row r="119">
      <c r="A119" s="702" t="inlineStr">
        <is>
          <t>T3</t>
        </is>
      </c>
      <c r="B119" s="906">
        <f>B120-B$116</f>
        <v/>
      </c>
      <c r="C119" s="906">
        <f>C120-C$116</f>
        <v/>
      </c>
      <c r="D119" s="906">
        <f>D120-D$116</f>
        <v/>
      </c>
      <c r="E119" s="907">
        <f>E120-E$116</f>
        <v/>
      </c>
    </row>
    <row r="120">
      <c r="A120" s="702" t="inlineStr">
        <is>
          <t>T4</t>
        </is>
      </c>
      <c r="B120" s="906">
        <f>B121-B$116</f>
        <v/>
      </c>
      <c r="C120" s="906">
        <f>C121-C$116</f>
        <v/>
      </c>
      <c r="D120" s="906">
        <f>D121-D$116</f>
        <v/>
      </c>
      <c r="E120" s="907">
        <f>E121-E$116</f>
        <v/>
      </c>
    </row>
    <row r="121">
      <c r="A121" s="702" t="inlineStr">
        <is>
          <t>T5</t>
        </is>
      </c>
      <c r="B121" s="906">
        <f>B122-B$116</f>
        <v/>
      </c>
      <c r="C121" s="906">
        <f>C122-C$116</f>
        <v/>
      </c>
      <c r="D121" s="906">
        <f>D122-D$116</f>
        <v/>
      </c>
      <c r="E121" s="907">
        <f>E122-E$116</f>
        <v/>
      </c>
    </row>
    <row r="122">
      <c r="A122" s="702" t="inlineStr">
        <is>
          <t>T6</t>
        </is>
      </c>
      <c r="B122" s="906">
        <f>B123-B$116</f>
        <v/>
      </c>
      <c r="C122" s="906">
        <f>C123-C$116</f>
        <v/>
      </c>
      <c r="D122" s="906">
        <f>D123-D$116</f>
        <v/>
      </c>
      <c r="E122" s="907">
        <f>E123-E$116</f>
        <v/>
      </c>
    </row>
    <row r="123">
      <c r="A123" s="702" t="inlineStr">
        <is>
          <t>T7</t>
        </is>
      </c>
      <c r="B123" s="906" t="n">
        <v>840</v>
      </c>
      <c r="C123" s="906" t="n">
        <v>128</v>
      </c>
      <c r="D123" s="906" t="n">
        <v>76</v>
      </c>
      <c r="E123" s="907" t="n">
        <v>112</v>
      </c>
    </row>
    <row r="124">
      <c r="A124" s="702" t="inlineStr">
        <is>
          <t>T8</t>
        </is>
      </c>
      <c r="B124" s="906" t="n">
        <v>945</v>
      </c>
      <c r="C124" s="906" t="n">
        <v>144</v>
      </c>
      <c r="D124" s="906" t="n">
        <v>86</v>
      </c>
      <c r="E124" s="907" t="n">
        <v>126</v>
      </c>
    </row>
    <row r="125">
      <c r="A125" s="1092" t="inlineStr">
        <is>
          <t>T9</t>
        </is>
      </c>
      <c r="B125" s="706" t="n">
        <v>1260</v>
      </c>
      <c r="C125" s="706" t="n">
        <v>192</v>
      </c>
      <c r="D125" s="706" t="n">
        <v>114</v>
      </c>
      <c r="E125" s="909" t="n">
        <v>168</v>
      </c>
    </row>
    <row r="126"/>
    <row r="127"/>
    <row r="128"/>
    <row r="129"/>
    <row r="130">
      <c r="A130" s="680" t="inlineStr">
        <is>
          <t>ANGEL</t>
        </is>
      </c>
      <c r="B130" s="738" t="n"/>
      <c r="C130" s="738" t="n"/>
      <c r="D130" s="738" t="n"/>
      <c r="E130" s="685" t="n"/>
    </row>
    <row r="131">
      <c r="A131" s="853" t="inlineStr">
        <is>
          <t>Koryeon Snail</t>
        </is>
      </c>
      <c r="B131" s="738" t="n"/>
      <c r="C131" s="738" t="n"/>
      <c r="D131" s="738" t="n"/>
      <c r="E131" s="685" t="n"/>
    </row>
    <row r="132">
      <c r="A132" s="691" t="inlineStr">
        <is>
          <t>Growth Factor</t>
        </is>
      </c>
      <c r="B132" s="692">
        <f>(B141-B139)/4</f>
        <v/>
      </c>
      <c r="C132" s="692">
        <f>(C141-C139)/4</f>
        <v/>
      </c>
      <c r="D132" s="692">
        <f>(D141-D139)/4</f>
        <v/>
      </c>
      <c r="E132" s="693">
        <f>(E141-E139)/4</f>
        <v/>
      </c>
    </row>
    <row r="133">
      <c r="A133" s="702" t="inlineStr">
        <is>
          <t>T1</t>
        </is>
      </c>
      <c r="B133" s="906">
        <f>B134-B$132</f>
        <v/>
      </c>
      <c r="C133" s="906">
        <f>C134-C$132</f>
        <v/>
      </c>
      <c r="D133" s="906">
        <f>D134-D$132</f>
        <v/>
      </c>
      <c r="E133" s="907">
        <f>E134-E$132</f>
        <v/>
      </c>
    </row>
    <row r="134">
      <c r="A134" s="702" t="inlineStr">
        <is>
          <t>T2</t>
        </is>
      </c>
      <c r="B134" s="906">
        <f>B135-B$132</f>
        <v/>
      </c>
      <c r="C134" s="906">
        <f>C135-C$132</f>
        <v/>
      </c>
      <c r="D134" s="906">
        <f>D135-D$132</f>
        <v/>
      </c>
      <c r="E134" s="907">
        <f>E135-E$132</f>
        <v/>
      </c>
    </row>
    <row r="135">
      <c r="A135" s="702" t="inlineStr">
        <is>
          <t>T3</t>
        </is>
      </c>
      <c r="B135" s="906">
        <f>B136-B$132</f>
        <v/>
      </c>
      <c r="C135" s="906">
        <f>C136-C$132</f>
        <v/>
      </c>
      <c r="D135" s="906">
        <f>D136-D$132</f>
        <v/>
      </c>
      <c r="E135" s="907">
        <f>E136-E$132</f>
        <v/>
      </c>
    </row>
    <row r="136">
      <c r="A136" s="702" t="inlineStr">
        <is>
          <t>T4</t>
        </is>
      </c>
      <c r="B136" s="906">
        <f>B137-B$132</f>
        <v/>
      </c>
      <c r="C136" s="906">
        <f>C137-C$132</f>
        <v/>
      </c>
      <c r="D136" s="906">
        <f>D137-D$132</f>
        <v/>
      </c>
      <c r="E136" s="907">
        <f>E137-E$132</f>
        <v/>
      </c>
    </row>
    <row r="137">
      <c r="A137" s="702" t="inlineStr">
        <is>
          <t>T5</t>
        </is>
      </c>
      <c r="B137" s="906">
        <f>B138-B$132</f>
        <v/>
      </c>
      <c r="C137" s="906">
        <f>C138-C$132</f>
        <v/>
      </c>
      <c r="D137" s="906">
        <f>D138-D$132</f>
        <v/>
      </c>
      <c r="E137" s="907">
        <f>E138-E$132</f>
        <v/>
      </c>
    </row>
    <row r="138">
      <c r="A138" s="702" t="inlineStr">
        <is>
          <t>T6</t>
        </is>
      </c>
      <c r="B138" s="906">
        <f>B139-B$132</f>
        <v/>
      </c>
      <c r="C138" s="906">
        <f>C139-C$132</f>
        <v/>
      </c>
      <c r="D138" s="906">
        <f>D139-D$132</f>
        <v/>
      </c>
      <c r="E138" s="907">
        <f>E139-E$132</f>
        <v/>
      </c>
    </row>
    <row r="139">
      <c r="A139" s="702" t="inlineStr">
        <is>
          <t>T7</t>
        </is>
      </c>
      <c r="B139" s="906" t="n">
        <v>1240</v>
      </c>
      <c r="C139" s="906" t="n">
        <v>80</v>
      </c>
      <c r="D139" s="906" t="n">
        <v>76</v>
      </c>
      <c r="E139" s="907" t="n">
        <v>120</v>
      </c>
    </row>
    <row r="140">
      <c r="A140" s="702" t="inlineStr">
        <is>
          <t>T8</t>
        </is>
      </c>
      <c r="B140" s="906" t="n">
        <v>1395</v>
      </c>
      <c r="C140" s="906" t="n">
        <v>90</v>
      </c>
      <c r="D140" s="906" t="n">
        <v>86</v>
      </c>
      <c r="E140" s="907" t="n">
        <v>135</v>
      </c>
    </row>
    <row r="141">
      <c r="A141" s="1092" t="inlineStr">
        <is>
          <t>T9</t>
        </is>
      </c>
      <c r="B141" s="706" t="n">
        <v>1860</v>
      </c>
      <c r="C141" s="706" t="n">
        <v>120</v>
      </c>
      <c r="D141" s="706" t="n">
        <v>114</v>
      </c>
      <c r="E141" s="909" t="n">
        <v>180</v>
      </c>
    </row>
    <row r="142">
      <c r="A142" s="702" t="n"/>
      <c r="E142" s="907" t="n"/>
    </row>
    <row r="143">
      <c r="A143" s="853" t="inlineStr">
        <is>
          <t>Stan</t>
        </is>
      </c>
      <c r="B143" s="738" t="n"/>
      <c r="C143" s="738" t="n"/>
      <c r="D143" s="738" t="n"/>
      <c r="E143" s="685" t="n"/>
    </row>
    <row r="144">
      <c r="A144" s="691" t="inlineStr">
        <is>
          <t>Growth Factor</t>
        </is>
      </c>
      <c r="B144" s="692">
        <f>(B153-B151)/4</f>
        <v/>
      </c>
      <c r="C144" s="692">
        <f>(C153-C151)/4</f>
        <v/>
      </c>
      <c r="D144" s="692">
        <f>(D153-D151)/4</f>
        <v/>
      </c>
      <c r="E144" s="693">
        <f>(E153-E151)/4</f>
        <v/>
      </c>
    </row>
    <row r="145">
      <c r="A145" s="702" t="inlineStr">
        <is>
          <t>T1</t>
        </is>
      </c>
      <c r="B145" s="906">
        <f>B146-B$144</f>
        <v/>
      </c>
      <c r="C145" s="906">
        <f>C146-C$144</f>
        <v/>
      </c>
      <c r="D145" s="906">
        <f>D146-D$144</f>
        <v/>
      </c>
      <c r="E145" s="907">
        <f>E146-E$144</f>
        <v/>
      </c>
    </row>
    <row r="146">
      <c r="A146" s="702" t="inlineStr">
        <is>
          <t>T2</t>
        </is>
      </c>
      <c r="B146" s="906">
        <f>B147-B$144</f>
        <v/>
      </c>
      <c r="C146" s="906">
        <f>C147-C$144</f>
        <v/>
      </c>
      <c r="D146" s="906">
        <f>D147-D$144</f>
        <v/>
      </c>
      <c r="E146" s="907">
        <f>E147-E$144</f>
        <v/>
      </c>
    </row>
    <row r="147">
      <c r="A147" s="702" t="inlineStr">
        <is>
          <t>T3</t>
        </is>
      </c>
      <c r="B147" s="906">
        <f>B148-B$144</f>
        <v/>
      </c>
      <c r="C147" s="906">
        <f>C148-C$144</f>
        <v/>
      </c>
      <c r="D147" s="906">
        <f>D148-D$144</f>
        <v/>
      </c>
      <c r="E147" s="907">
        <f>E148-E$144</f>
        <v/>
      </c>
    </row>
    <row r="148">
      <c r="A148" s="702" t="inlineStr">
        <is>
          <t>T4</t>
        </is>
      </c>
      <c r="B148" s="906">
        <f>B149-B$144</f>
        <v/>
      </c>
      <c r="C148" s="906">
        <f>C149-C$144</f>
        <v/>
      </c>
      <c r="D148" s="906">
        <f>D149-D$144</f>
        <v/>
      </c>
      <c r="E148" s="907">
        <f>E149-E$144</f>
        <v/>
      </c>
    </row>
    <row r="149">
      <c r="A149" s="702" t="inlineStr">
        <is>
          <t>T5</t>
        </is>
      </c>
      <c r="B149" s="906">
        <f>B150-B$144</f>
        <v/>
      </c>
      <c r="C149" s="906">
        <f>C150-C$144</f>
        <v/>
      </c>
      <c r="D149" s="906">
        <f>D150-D$144</f>
        <v/>
      </c>
      <c r="E149" s="907">
        <f>E150-E$144</f>
        <v/>
      </c>
    </row>
    <row r="150">
      <c r="A150" s="702" t="inlineStr">
        <is>
          <t>T6</t>
        </is>
      </c>
      <c r="B150" s="906">
        <f>B151-B$144</f>
        <v/>
      </c>
      <c r="C150" s="906">
        <f>C151-C$144</f>
        <v/>
      </c>
      <c r="D150" s="906">
        <f>D151-D$144</f>
        <v/>
      </c>
      <c r="E150" s="907">
        <f>E151-E$144</f>
        <v/>
      </c>
    </row>
    <row r="151">
      <c r="A151" s="702" t="inlineStr">
        <is>
          <t>T7</t>
        </is>
      </c>
      <c r="B151" s="906" t="n">
        <v>1240</v>
      </c>
      <c r="C151" s="906" t="n">
        <v>80</v>
      </c>
      <c r="D151" s="906" t="n">
        <v>68</v>
      </c>
      <c r="E151" s="907" t="n">
        <v>128</v>
      </c>
    </row>
    <row r="152">
      <c r="A152" s="702" t="inlineStr">
        <is>
          <t>T8</t>
        </is>
      </c>
      <c r="B152" s="906" t="n">
        <v>1395</v>
      </c>
      <c r="C152" s="906" t="n">
        <v>90</v>
      </c>
      <c r="D152" s="906" t="n">
        <v>77</v>
      </c>
      <c r="E152" s="907" t="n">
        <v>144</v>
      </c>
    </row>
    <row r="153">
      <c r="A153" s="1092" t="inlineStr">
        <is>
          <t>T9</t>
        </is>
      </c>
      <c r="B153" s="706" t="n">
        <v>1860</v>
      </c>
      <c r="C153" s="706" t="n">
        <v>120</v>
      </c>
      <c r="D153" s="706" t="n">
        <v>102</v>
      </c>
      <c r="E153" s="909" t="n">
        <v>192</v>
      </c>
    </row>
    <row r="154">
      <c r="A154" s="702" t="n"/>
      <c r="E154" s="907" t="n"/>
    </row>
    <row r="155">
      <c r="A155" s="853" t="inlineStr">
        <is>
          <t>Catcolyte</t>
        </is>
      </c>
      <c r="B155" s="738" t="n"/>
      <c r="C155" s="738" t="n"/>
      <c r="D155" s="738" t="n"/>
      <c r="E155" s="685" t="n"/>
    </row>
    <row r="156">
      <c r="A156" s="691" t="inlineStr">
        <is>
          <t>Growth Factor</t>
        </is>
      </c>
      <c r="B156" s="692">
        <f>(B165-B163)/4</f>
        <v/>
      </c>
      <c r="C156" s="692">
        <f>(C165-C163)/4</f>
        <v/>
      </c>
      <c r="D156" s="692">
        <f>(D165-D163)/4</f>
        <v/>
      </c>
      <c r="E156" s="693">
        <f>(E165-E163)/4</f>
        <v/>
      </c>
    </row>
    <row r="157">
      <c r="A157" s="702" t="inlineStr">
        <is>
          <t>T1</t>
        </is>
      </c>
      <c r="B157" s="906">
        <f>B158-B$156</f>
        <v/>
      </c>
      <c r="C157" s="906">
        <f>C158-C$156</f>
        <v/>
      </c>
      <c r="D157" s="906">
        <f>D158-D$156</f>
        <v/>
      </c>
      <c r="E157" s="907">
        <f>E158-E$156</f>
        <v/>
      </c>
    </row>
    <row r="158">
      <c r="A158" s="702" t="inlineStr">
        <is>
          <t>T2</t>
        </is>
      </c>
      <c r="B158" s="906">
        <f>B159-B$156</f>
        <v/>
      </c>
      <c r="C158" s="906">
        <f>C159-C$156</f>
        <v/>
      </c>
      <c r="D158" s="906">
        <f>D159-D$156</f>
        <v/>
      </c>
      <c r="E158" s="907">
        <f>E159-E$156</f>
        <v/>
      </c>
    </row>
    <row r="159">
      <c r="A159" s="702" t="inlineStr">
        <is>
          <t>T3</t>
        </is>
      </c>
      <c r="B159" s="906">
        <f>B160-B$156</f>
        <v/>
      </c>
      <c r="C159" s="906">
        <f>C160-C$156</f>
        <v/>
      </c>
      <c r="D159" s="906">
        <f>D160-D$156</f>
        <v/>
      </c>
      <c r="E159" s="907">
        <f>E160-E$156</f>
        <v/>
      </c>
    </row>
    <row r="160">
      <c r="A160" s="702" t="inlineStr">
        <is>
          <t>T4</t>
        </is>
      </c>
      <c r="B160" s="906">
        <f>B161-B$156</f>
        <v/>
      </c>
      <c r="C160" s="906">
        <f>C161-C$156</f>
        <v/>
      </c>
      <c r="D160" s="906">
        <f>D161-D$156</f>
        <v/>
      </c>
      <c r="E160" s="907">
        <f>E161-E$156</f>
        <v/>
      </c>
    </row>
    <row r="161">
      <c r="A161" s="702" t="inlineStr">
        <is>
          <t>T5</t>
        </is>
      </c>
      <c r="B161" s="906">
        <f>B162-B$156</f>
        <v/>
      </c>
      <c r="C161" s="906">
        <f>C162-C$156</f>
        <v/>
      </c>
      <c r="D161" s="906">
        <f>D162-D$156</f>
        <v/>
      </c>
      <c r="E161" s="907">
        <f>E162-E$156</f>
        <v/>
      </c>
    </row>
    <row r="162">
      <c r="A162" s="702" t="inlineStr">
        <is>
          <t>T6</t>
        </is>
      </c>
      <c r="B162" s="906">
        <f>B163-B$156</f>
        <v/>
      </c>
      <c r="C162" s="906">
        <f>C163-C$156</f>
        <v/>
      </c>
      <c r="D162" s="906">
        <f>D163-D$156</f>
        <v/>
      </c>
      <c r="E162" s="907">
        <f>E163-E$156</f>
        <v/>
      </c>
    </row>
    <row r="163">
      <c r="A163" s="702" t="inlineStr">
        <is>
          <t>T7</t>
        </is>
      </c>
      <c r="B163" s="906" t="n">
        <v>1240</v>
      </c>
      <c r="C163" s="906" t="n">
        <v>80</v>
      </c>
      <c r="D163" s="906" t="n">
        <v>72</v>
      </c>
      <c r="E163" s="907" t="n">
        <v>124</v>
      </c>
    </row>
    <row r="164">
      <c r="A164" s="702" t="inlineStr">
        <is>
          <t>T8</t>
        </is>
      </c>
      <c r="B164" s="906" t="n">
        <v>1395</v>
      </c>
      <c r="C164" s="906" t="n">
        <v>90</v>
      </c>
      <c r="D164" s="906" t="n">
        <v>81</v>
      </c>
      <c r="E164" s="907" t="n">
        <v>140</v>
      </c>
    </row>
    <row r="165">
      <c r="A165" s="1092" t="inlineStr">
        <is>
          <t>T9</t>
        </is>
      </c>
      <c r="B165" s="706" t="n">
        <v>1860</v>
      </c>
      <c r="C165" s="706" t="n">
        <v>120</v>
      </c>
      <c r="D165" s="706" t="n">
        <v>108</v>
      </c>
      <c r="E165" s="909" t="n">
        <v>186</v>
      </c>
    </row>
    <row r="166">
      <c r="A166" s="702" t="n"/>
      <c r="E166" s="907" t="n"/>
    </row>
    <row r="167">
      <c r="A167" s="853" t="inlineStr">
        <is>
          <t>Sanctum Warrior</t>
        </is>
      </c>
      <c r="B167" s="738" t="n"/>
      <c r="C167" s="738" t="n"/>
      <c r="D167" s="738" t="n"/>
      <c r="E167" s="685" t="n"/>
    </row>
    <row r="168">
      <c r="A168" s="691" t="inlineStr">
        <is>
          <t>Growth Factor</t>
        </is>
      </c>
      <c r="B168" s="692">
        <f>(B177-B175)/4</f>
        <v/>
      </c>
      <c r="C168" s="692">
        <f>(C177-C175)/4</f>
        <v/>
      </c>
      <c r="D168" s="692">
        <f>(D177-D175)/4</f>
        <v/>
      </c>
      <c r="E168" s="693">
        <f>(E177-E175)/4</f>
        <v/>
      </c>
    </row>
    <row r="169">
      <c r="A169" s="702" t="inlineStr">
        <is>
          <t>T1</t>
        </is>
      </c>
      <c r="B169" s="906">
        <f>B170-B$168</f>
        <v/>
      </c>
      <c r="C169" s="906">
        <f>C170-C$168</f>
        <v/>
      </c>
      <c r="D169" s="906">
        <f>D170-D$168</f>
        <v/>
      </c>
      <c r="E169" s="907">
        <f>E170-E$168</f>
        <v/>
      </c>
    </row>
    <row r="170">
      <c r="A170" s="702" t="inlineStr">
        <is>
          <t>T2</t>
        </is>
      </c>
      <c r="B170" s="906">
        <f>B171-B$168</f>
        <v/>
      </c>
      <c r="C170" s="906">
        <f>C171-C$168</f>
        <v/>
      </c>
      <c r="D170" s="906">
        <f>D171-D$168</f>
        <v/>
      </c>
      <c r="E170" s="907">
        <f>E171-E$168</f>
        <v/>
      </c>
    </row>
    <row r="171">
      <c r="A171" s="702" t="inlineStr">
        <is>
          <t>T3</t>
        </is>
      </c>
      <c r="B171" s="906">
        <f>B172-B$168</f>
        <v/>
      </c>
      <c r="C171" s="906">
        <f>C172-C$168</f>
        <v/>
      </c>
      <c r="D171" s="906">
        <f>D172-D$168</f>
        <v/>
      </c>
      <c r="E171" s="907">
        <f>E172-E$168</f>
        <v/>
      </c>
    </row>
    <row r="172">
      <c r="A172" s="702" t="inlineStr">
        <is>
          <t>T4</t>
        </is>
      </c>
      <c r="B172" s="906">
        <f>B173-B$168</f>
        <v/>
      </c>
      <c r="C172" s="906">
        <f>C173-C$168</f>
        <v/>
      </c>
      <c r="D172" s="906">
        <f>D173-D$168</f>
        <v/>
      </c>
      <c r="E172" s="907">
        <f>E173-E$168</f>
        <v/>
      </c>
    </row>
    <row r="173">
      <c r="A173" s="702" t="inlineStr">
        <is>
          <t>T5</t>
        </is>
      </c>
      <c r="B173" s="906">
        <f>B174-B$168</f>
        <v/>
      </c>
      <c r="C173" s="906">
        <f>C174-C$168</f>
        <v/>
      </c>
      <c r="D173" s="906">
        <f>D174-D$168</f>
        <v/>
      </c>
      <c r="E173" s="907">
        <f>E174-E$168</f>
        <v/>
      </c>
    </row>
    <row r="174">
      <c r="A174" s="702" t="inlineStr">
        <is>
          <t>T6</t>
        </is>
      </c>
      <c r="B174" s="906">
        <f>B175-B$168</f>
        <v/>
      </c>
      <c r="C174" s="906">
        <f>C175-C$168</f>
        <v/>
      </c>
      <c r="D174" s="906">
        <f>D175-D$168</f>
        <v/>
      </c>
      <c r="E174" s="907">
        <f>E175-E$168</f>
        <v/>
      </c>
    </row>
    <row r="175">
      <c r="A175" s="702" t="inlineStr">
        <is>
          <t>T7</t>
        </is>
      </c>
      <c r="B175" s="906" t="n">
        <v>1280</v>
      </c>
      <c r="C175" s="906" t="n">
        <v>76</v>
      </c>
      <c r="D175" s="906" t="n">
        <v>72</v>
      </c>
      <c r="E175" s="907" t="n">
        <v>124</v>
      </c>
    </row>
    <row r="176">
      <c r="A176" s="702" t="inlineStr">
        <is>
          <t>T8</t>
        </is>
      </c>
      <c r="B176" s="906" t="n">
        <v>1440</v>
      </c>
      <c r="C176" s="906" t="n">
        <v>86</v>
      </c>
      <c r="D176" s="906" t="n">
        <v>81</v>
      </c>
      <c r="E176" s="907" t="n">
        <v>140</v>
      </c>
    </row>
    <row r="177">
      <c r="A177" s="1092" t="inlineStr">
        <is>
          <t>T9</t>
        </is>
      </c>
      <c r="B177" s="706" t="n">
        <v>1920</v>
      </c>
      <c r="C177" s="706" t="n">
        <v>114</v>
      </c>
      <c r="D177" s="706" t="n">
        <v>108</v>
      </c>
      <c r="E177" s="909" t="n">
        <v>186</v>
      </c>
    </row>
    <row r="178">
      <c r="A178" s="702" t="n"/>
      <c r="E178" s="907" t="n"/>
    </row>
    <row r="179">
      <c r="A179" s="853" t="inlineStr">
        <is>
          <t>Gaiastapo</t>
        </is>
      </c>
      <c r="B179" s="738" t="n"/>
      <c r="C179" s="738" t="n"/>
      <c r="D179" s="738" t="n"/>
      <c r="E179" s="685" t="n"/>
    </row>
    <row r="180">
      <c r="A180" s="691" t="inlineStr">
        <is>
          <t>Growth Factor</t>
        </is>
      </c>
      <c r="B180" s="692">
        <f>(B189-B187)/4</f>
        <v/>
      </c>
      <c r="C180" s="692">
        <f>(C189-C187)/4</f>
        <v/>
      </c>
      <c r="D180" s="692">
        <f>(D189-D187)/4</f>
        <v/>
      </c>
      <c r="E180" s="693">
        <f>(E189-E187)/4</f>
        <v/>
      </c>
    </row>
    <row r="181">
      <c r="A181" s="702" t="inlineStr">
        <is>
          <t>T1</t>
        </is>
      </c>
      <c r="B181" s="906" t="n">
        <v>290</v>
      </c>
      <c r="C181" s="906" t="n">
        <v>18</v>
      </c>
      <c r="D181" s="906" t="n">
        <v>20</v>
      </c>
      <c r="E181" s="907" t="n">
        <v>33</v>
      </c>
    </row>
    <row r="182">
      <c r="A182" s="702" t="inlineStr">
        <is>
          <t>T2</t>
        </is>
      </c>
      <c r="B182" s="906" t="n">
        <v>435</v>
      </c>
      <c r="C182" s="906" t="n">
        <v>27</v>
      </c>
      <c r="D182" s="906" t="n">
        <v>30</v>
      </c>
      <c r="E182" s="907" t="n">
        <v>50</v>
      </c>
    </row>
    <row r="183">
      <c r="A183" s="702" t="inlineStr">
        <is>
          <t>T3</t>
        </is>
      </c>
      <c r="B183" s="906" t="n">
        <v>580</v>
      </c>
      <c r="C183" s="906" t="n">
        <v>36</v>
      </c>
      <c r="D183" s="906" t="n">
        <v>40</v>
      </c>
      <c r="E183" s="907" t="n">
        <v>66</v>
      </c>
    </row>
    <row r="184">
      <c r="A184" s="702" t="inlineStr">
        <is>
          <t>T4</t>
        </is>
      </c>
      <c r="B184" s="906" t="n">
        <v>725</v>
      </c>
      <c r="C184" s="906" t="n">
        <v>45</v>
      </c>
      <c r="D184" s="906" t="n">
        <v>50</v>
      </c>
      <c r="E184" s="907" t="n">
        <v>83</v>
      </c>
    </row>
    <row r="185">
      <c r="A185" s="702" t="inlineStr">
        <is>
          <t>T5</t>
        </is>
      </c>
      <c r="B185" s="906" t="n">
        <v>870</v>
      </c>
      <c r="C185" s="906" t="n">
        <v>54</v>
      </c>
      <c r="D185" s="906" t="n">
        <v>60</v>
      </c>
      <c r="E185" s="907" t="n">
        <v>99</v>
      </c>
    </row>
    <row r="186">
      <c r="A186" s="702" t="inlineStr">
        <is>
          <t>T6</t>
        </is>
      </c>
      <c r="B186" s="906" t="n">
        <v>1015</v>
      </c>
      <c r="C186" s="906" t="n">
        <v>63</v>
      </c>
      <c r="D186" s="906" t="n">
        <v>70</v>
      </c>
      <c r="E186" s="907" t="n">
        <v>116</v>
      </c>
    </row>
    <row r="187">
      <c r="A187" s="702" t="inlineStr">
        <is>
          <t>T7</t>
        </is>
      </c>
      <c r="B187" s="906" t="n">
        <v>1160</v>
      </c>
      <c r="C187" s="906" t="n">
        <v>72</v>
      </c>
      <c r="D187" s="906" t="n">
        <v>80</v>
      </c>
      <c r="E187" s="907" t="n">
        <v>132</v>
      </c>
    </row>
    <row r="188">
      <c r="A188" s="702" t="inlineStr">
        <is>
          <t>T8</t>
        </is>
      </c>
      <c r="B188" s="906" t="n">
        <v>1305</v>
      </c>
      <c r="C188" s="906" t="n">
        <v>81</v>
      </c>
      <c r="D188" s="906" t="n">
        <v>90</v>
      </c>
      <c r="E188" s="907" t="n">
        <v>149</v>
      </c>
    </row>
    <row r="189">
      <c r="A189" s="1092" t="inlineStr">
        <is>
          <t>T9</t>
        </is>
      </c>
      <c r="B189" s="706" t="n">
        <v>1740</v>
      </c>
      <c r="C189" s="706" t="n">
        <v>108</v>
      </c>
      <c r="D189" s="706" t="n">
        <v>120</v>
      </c>
      <c r="E189" s="909" t="n">
        <v>198</v>
      </c>
    </row>
    <row r="190"/>
    <row r="191"/>
    <row r="192"/>
    <row r="193"/>
    <row r="194">
      <c r="A194" s="680" t="inlineStr">
        <is>
          <t>MUTANT</t>
        </is>
      </c>
      <c r="B194" s="738" t="n"/>
      <c r="C194" s="738" t="n"/>
      <c r="D194" s="738" t="n"/>
      <c r="E194" s="685" t="n"/>
    </row>
    <row r="195">
      <c r="A195" s="774" t="inlineStr">
        <is>
          <t>Chika</t>
        </is>
      </c>
      <c r="B195" s="738" t="n"/>
      <c r="C195" s="738" t="n"/>
      <c r="D195" s="738" t="n"/>
      <c r="E195" s="685" t="n"/>
    </row>
    <row r="196">
      <c r="A196" s="691" t="inlineStr">
        <is>
          <t>Growth Factor</t>
        </is>
      </c>
      <c r="B196" s="692">
        <f>(B205-B203)/4</f>
        <v/>
      </c>
      <c r="C196" s="692">
        <f>(C205-C203)/4</f>
        <v/>
      </c>
      <c r="D196" s="692">
        <f>(D205-D203)/4</f>
        <v/>
      </c>
      <c r="E196" s="693">
        <f>(E205-E203)/4</f>
        <v/>
      </c>
    </row>
    <row r="197">
      <c r="A197" s="702" t="inlineStr">
        <is>
          <t>T1</t>
        </is>
      </c>
      <c r="B197" s="906">
        <f>B198-B$196</f>
        <v/>
      </c>
      <c r="C197" s="906">
        <f>C198-C$196</f>
        <v/>
      </c>
      <c r="D197" s="906">
        <f>D198-D$196</f>
        <v/>
      </c>
      <c r="E197" s="907">
        <f>E198-E$196</f>
        <v/>
      </c>
    </row>
    <row r="198">
      <c r="A198" s="702" t="inlineStr">
        <is>
          <t>T2</t>
        </is>
      </c>
      <c r="B198" s="906">
        <f>B199-B$196</f>
        <v/>
      </c>
      <c r="C198" s="906">
        <f>C199-C$196</f>
        <v/>
      </c>
      <c r="D198" s="906">
        <f>D199-D$196</f>
        <v/>
      </c>
      <c r="E198" s="907">
        <f>E199-E$196</f>
        <v/>
      </c>
    </row>
    <row r="199">
      <c r="A199" s="702" t="inlineStr">
        <is>
          <t>T3</t>
        </is>
      </c>
      <c r="B199" s="906">
        <f>B200-B$196</f>
        <v/>
      </c>
      <c r="C199" s="906">
        <f>C200-C$196</f>
        <v/>
      </c>
      <c r="D199" s="906">
        <f>D200-D$196</f>
        <v/>
      </c>
      <c r="E199" s="907">
        <f>E200-E$196</f>
        <v/>
      </c>
    </row>
    <row r="200">
      <c r="A200" s="702" t="inlineStr">
        <is>
          <t>T4</t>
        </is>
      </c>
      <c r="B200" s="906">
        <f>B201-B$196</f>
        <v/>
      </c>
      <c r="C200" s="906">
        <f>C201-C$196</f>
        <v/>
      </c>
      <c r="D200" s="906">
        <f>D201-D$196</f>
        <v/>
      </c>
      <c r="E200" s="907">
        <f>E201-E$196</f>
        <v/>
      </c>
    </row>
    <row r="201">
      <c r="A201" s="702" t="inlineStr">
        <is>
          <t>T5</t>
        </is>
      </c>
      <c r="B201" s="906">
        <f>B202-B$196</f>
        <v/>
      </c>
      <c r="C201" s="906">
        <f>C202-C$196</f>
        <v/>
      </c>
      <c r="D201" s="906">
        <f>D202-D$196</f>
        <v/>
      </c>
      <c r="E201" s="907">
        <f>E202-E$196</f>
        <v/>
      </c>
    </row>
    <row r="202">
      <c r="A202" s="702" t="inlineStr">
        <is>
          <t>T6</t>
        </is>
      </c>
      <c r="B202" s="906">
        <f>B203-B$196</f>
        <v/>
      </c>
      <c r="C202" s="906">
        <f>C203-C$196</f>
        <v/>
      </c>
      <c r="D202" s="906">
        <f>D203-D$196</f>
        <v/>
      </c>
      <c r="E202" s="907">
        <f>E203-E$196</f>
        <v/>
      </c>
    </row>
    <row r="203">
      <c r="A203" s="702" t="inlineStr">
        <is>
          <t>T7</t>
        </is>
      </c>
      <c r="B203" s="906" t="n">
        <v>880</v>
      </c>
      <c r="C203" s="906" t="n">
        <v>120</v>
      </c>
      <c r="D203" s="906" t="n">
        <v>72</v>
      </c>
      <c r="E203" s="907" t="n">
        <v>120</v>
      </c>
    </row>
    <row r="204">
      <c r="A204" s="702" t="inlineStr">
        <is>
          <t>T8</t>
        </is>
      </c>
      <c r="B204" s="906" t="n">
        <v>990</v>
      </c>
      <c r="C204" s="906" t="n">
        <v>135</v>
      </c>
      <c r="D204" s="906" t="n">
        <v>81</v>
      </c>
      <c r="E204" s="907" t="n">
        <v>135</v>
      </c>
    </row>
    <row r="205">
      <c r="A205" s="1092" t="inlineStr">
        <is>
          <t>T9</t>
        </is>
      </c>
      <c r="B205" s="706" t="n">
        <v>1320</v>
      </c>
      <c r="C205" s="706" t="n">
        <v>180</v>
      </c>
      <c r="D205" s="706" t="n">
        <v>108</v>
      </c>
      <c r="E205" s="909" t="n">
        <v>180</v>
      </c>
    </row>
    <row r="206">
      <c r="A206" s="702" t="n"/>
      <c r="E206" s="907" t="n"/>
    </row>
    <row r="207">
      <c r="A207" s="774" t="inlineStr">
        <is>
          <t>Minorino</t>
        </is>
      </c>
      <c r="B207" s="738" t="n"/>
      <c r="C207" s="738" t="n"/>
      <c r="D207" s="738" t="n"/>
      <c r="E207" s="685" t="n"/>
    </row>
    <row r="208">
      <c r="A208" s="691" t="inlineStr">
        <is>
          <t>Growth Factor</t>
        </is>
      </c>
      <c r="B208" s="692">
        <f>(B217-B215)/4</f>
        <v/>
      </c>
      <c r="C208" s="692">
        <f>(C217-C215)/4</f>
        <v/>
      </c>
      <c r="D208" s="692">
        <f>(D217-D215)/4</f>
        <v/>
      </c>
      <c r="E208" s="693">
        <f>(E217-E215)/4</f>
        <v/>
      </c>
    </row>
    <row r="209">
      <c r="A209" s="702" t="inlineStr">
        <is>
          <t>T1</t>
        </is>
      </c>
      <c r="B209" s="906">
        <f>B210-B$208</f>
        <v/>
      </c>
      <c r="C209" s="906">
        <f>C210-C$208</f>
        <v/>
      </c>
      <c r="D209" s="906">
        <f>D210-D$208</f>
        <v/>
      </c>
      <c r="E209" s="907">
        <f>E210-E$208</f>
        <v/>
      </c>
    </row>
    <row r="210">
      <c r="A210" s="702" t="inlineStr">
        <is>
          <t>T2</t>
        </is>
      </c>
      <c r="B210" s="906">
        <f>B211-B$208</f>
        <v/>
      </c>
      <c r="C210" s="906">
        <f>C211-C$208</f>
        <v/>
      </c>
      <c r="D210" s="906">
        <f>D211-D$208</f>
        <v/>
      </c>
      <c r="E210" s="907">
        <f>E211-E$208</f>
        <v/>
      </c>
    </row>
    <row r="211">
      <c r="A211" s="702" t="inlineStr">
        <is>
          <t>T3</t>
        </is>
      </c>
      <c r="B211" s="906">
        <f>B212-B$208</f>
        <v/>
      </c>
      <c r="C211" s="906">
        <f>C212-C$208</f>
        <v/>
      </c>
      <c r="D211" s="906">
        <f>D212-D$208</f>
        <v/>
      </c>
      <c r="E211" s="907">
        <f>E212-E$208</f>
        <v/>
      </c>
    </row>
    <row r="212">
      <c r="A212" s="702" t="inlineStr">
        <is>
          <t>T4</t>
        </is>
      </c>
      <c r="B212" s="906">
        <f>B213-B$208</f>
        <v/>
      </c>
      <c r="C212" s="906">
        <f>C213-C$208</f>
        <v/>
      </c>
      <c r="D212" s="906">
        <f>D213-D$208</f>
        <v/>
      </c>
      <c r="E212" s="907">
        <f>E213-E$208</f>
        <v/>
      </c>
    </row>
    <row r="213">
      <c r="A213" s="702" t="inlineStr">
        <is>
          <t>T5</t>
        </is>
      </c>
      <c r="B213" s="906">
        <f>B214-B$208</f>
        <v/>
      </c>
      <c r="C213" s="906">
        <f>C214-C$208</f>
        <v/>
      </c>
      <c r="D213" s="906">
        <f>D214-D$208</f>
        <v/>
      </c>
      <c r="E213" s="907">
        <f>E214-E$208</f>
        <v/>
      </c>
    </row>
    <row r="214">
      <c r="A214" s="702" t="inlineStr">
        <is>
          <t>T6</t>
        </is>
      </c>
      <c r="B214" s="906">
        <f>B215-B$208</f>
        <v/>
      </c>
      <c r="C214" s="906">
        <f>C215-C$208</f>
        <v/>
      </c>
      <c r="D214" s="906">
        <f>D215-D$208</f>
        <v/>
      </c>
      <c r="E214" s="907">
        <f>E215-E$208</f>
        <v/>
      </c>
    </row>
    <row r="215">
      <c r="A215" s="702" t="inlineStr">
        <is>
          <t>T7</t>
        </is>
      </c>
      <c r="B215" s="906" t="n">
        <v>960</v>
      </c>
      <c r="C215" s="906" t="n">
        <v>116</v>
      </c>
      <c r="D215" s="906" t="n">
        <v>72</v>
      </c>
      <c r="E215" s="907" t="n">
        <v>116</v>
      </c>
    </row>
    <row r="216">
      <c r="A216" s="702" t="inlineStr">
        <is>
          <t>T8</t>
        </is>
      </c>
      <c r="B216" s="906" t="n">
        <v>1080</v>
      </c>
      <c r="C216" s="906" t="n">
        <v>131</v>
      </c>
      <c r="D216" s="906" t="n">
        <v>81</v>
      </c>
      <c r="E216" s="907" t="n">
        <v>131</v>
      </c>
    </row>
    <row r="217">
      <c r="A217" s="1092" t="inlineStr">
        <is>
          <t>T9</t>
        </is>
      </c>
      <c r="B217" s="706" t="n">
        <v>1440</v>
      </c>
      <c r="C217" s="706" t="n">
        <v>174</v>
      </c>
      <c r="D217" s="706" t="n">
        <v>108</v>
      </c>
      <c r="E217" s="909" t="n">
        <v>174</v>
      </c>
    </row>
    <row r="218">
      <c r="A218" s="702" t="n"/>
      <c r="E218" s="907" t="n"/>
    </row>
    <row r="219">
      <c r="A219" s="774" t="inlineStr">
        <is>
          <t>Demonic Tentacle</t>
        </is>
      </c>
      <c r="B219" s="738" t="n"/>
      <c r="C219" s="738" t="n"/>
      <c r="D219" s="738" t="n"/>
      <c r="E219" s="685" t="n"/>
    </row>
    <row r="220">
      <c r="A220" s="691" t="inlineStr">
        <is>
          <t>Growth Factor</t>
        </is>
      </c>
      <c r="B220" s="692">
        <f>(B229-B227)/4</f>
        <v/>
      </c>
      <c r="C220" s="692">
        <f>(C229-C227)/4</f>
        <v/>
      </c>
      <c r="D220" s="692">
        <f>(D229-D227)/4</f>
        <v/>
      </c>
      <c r="E220" s="693">
        <f>(E229-E227)/4</f>
        <v/>
      </c>
    </row>
    <row r="221">
      <c r="A221" s="702" t="inlineStr">
        <is>
          <t>T1</t>
        </is>
      </c>
      <c r="B221" s="906">
        <f>B222-B$220</f>
        <v/>
      </c>
      <c r="C221" s="906">
        <f>C222-C$220</f>
        <v/>
      </c>
      <c r="D221" s="906">
        <f>D222-D$220</f>
        <v/>
      </c>
      <c r="E221" s="907">
        <f>E222-E$220</f>
        <v/>
      </c>
    </row>
    <row r="222">
      <c r="A222" s="702" t="inlineStr">
        <is>
          <t>T2</t>
        </is>
      </c>
      <c r="B222" s="906">
        <f>B223-B$220</f>
        <v/>
      </c>
      <c r="C222" s="906">
        <f>C223-C$220</f>
        <v/>
      </c>
      <c r="D222" s="906">
        <f>D223-D$220</f>
        <v/>
      </c>
      <c r="E222" s="907">
        <f>E223-E$220</f>
        <v/>
      </c>
    </row>
    <row r="223">
      <c r="A223" s="702" t="inlineStr">
        <is>
          <t>T3</t>
        </is>
      </c>
      <c r="B223" s="906">
        <f>B224-B$220</f>
        <v/>
      </c>
      <c r="C223" s="906">
        <f>C224-C$220</f>
        <v/>
      </c>
      <c r="D223" s="906">
        <f>D224-D$220</f>
        <v/>
      </c>
      <c r="E223" s="907">
        <f>E224-E$220</f>
        <v/>
      </c>
    </row>
    <row r="224">
      <c r="A224" s="702" t="inlineStr">
        <is>
          <t>T4</t>
        </is>
      </c>
      <c r="B224" s="906">
        <f>B225-B$220</f>
        <v/>
      </c>
      <c r="C224" s="906">
        <f>C225-C$220</f>
        <v/>
      </c>
      <c r="D224" s="906">
        <f>D225-D$220</f>
        <v/>
      </c>
      <c r="E224" s="907">
        <f>E225-E$220</f>
        <v/>
      </c>
    </row>
    <row r="225">
      <c r="A225" s="702" t="inlineStr">
        <is>
          <t>T5</t>
        </is>
      </c>
      <c r="B225" s="906">
        <f>B226-B$220</f>
        <v/>
      </c>
      <c r="C225" s="906">
        <f>C226-C$220</f>
        <v/>
      </c>
      <c r="D225" s="906">
        <f>D226-D$220</f>
        <v/>
      </c>
      <c r="E225" s="907">
        <f>E226-E$220</f>
        <v/>
      </c>
    </row>
    <row r="226">
      <c r="A226" s="702" t="inlineStr">
        <is>
          <t>T6</t>
        </is>
      </c>
      <c r="B226" s="906">
        <f>B227-B$220</f>
        <v/>
      </c>
      <c r="C226" s="906">
        <f>C227-C$220</f>
        <v/>
      </c>
      <c r="D226" s="906">
        <f>D227-D$220</f>
        <v/>
      </c>
      <c r="E226" s="907">
        <f>E227-E$220</f>
        <v/>
      </c>
    </row>
    <row r="227">
      <c r="A227" s="702" t="inlineStr">
        <is>
          <t>T7</t>
        </is>
      </c>
      <c r="B227" s="906" t="n">
        <v>880</v>
      </c>
      <c r="C227" s="906" t="n">
        <v>116</v>
      </c>
      <c r="D227" s="906" t="n">
        <v>72</v>
      </c>
      <c r="E227" s="907" t="n">
        <v>124</v>
      </c>
    </row>
    <row r="228">
      <c r="A228" s="702" t="inlineStr">
        <is>
          <t>T8</t>
        </is>
      </c>
      <c r="B228" s="906" t="n">
        <v>990</v>
      </c>
      <c r="C228" s="906" t="n">
        <v>131</v>
      </c>
      <c r="D228" s="906" t="n">
        <v>81</v>
      </c>
      <c r="E228" s="907" t="n">
        <v>140</v>
      </c>
    </row>
    <row r="229">
      <c r="A229" s="1092" t="inlineStr">
        <is>
          <t>T9</t>
        </is>
      </c>
      <c r="B229" s="706" t="n">
        <v>1320</v>
      </c>
      <c r="C229" s="706" t="n">
        <v>174</v>
      </c>
      <c r="D229" s="706" t="n">
        <v>108</v>
      </c>
      <c r="E229" s="909" t="n">
        <v>186</v>
      </c>
    </row>
    <row r="230">
      <c r="A230" s="702" t="n"/>
      <c r="E230" s="907" t="n"/>
    </row>
    <row r="231">
      <c r="A231" s="774" t="inlineStr">
        <is>
          <t>Little Monk</t>
        </is>
      </c>
      <c r="B231" s="738" t="n"/>
      <c r="C231" s="738" t="n"/>
      <c r="D231" s="738" t="n"/>
      <c r="E231" s="685" t="n"/>
    </row>
    <row r="232">
      <c r="A232" s="691" t="inlineStr">
        <is>
          <t>Growth Factor</t>
        </is>
      </c>
      <c r="B232" s="692">
        <f>(B241-B239)/4</f>
        <v/>
      </c>
      <c r="C232" s="692">
        <f>(C241-C239)/4</f>
        <v/>
      </c>
      <c r="D232" s="692">
        <f>(D241-D239)/4</f>
        <v/>
      </c>
      <c r="E232" s="693">
        <f>(E241-E239)/4</f>
        <v/>
      </c>
    </row>
    <row r="233">
      <c r="A233" s="702" t="inlineStr">
        <is>
          <t>T1</t>
        </is>
      </c>
      <c r="B233" s="906">
        <f>B234-B$232</f>
        <v/>
      </c>
      <c r="C233" s="906">
        <f>C234-C$232</f>
        <v/>
      </c>
      <c r="D233" s="906">
        <f>D234-D$232</f>
        <v/>
      </c>
      <c r="E233" s="907">
        <f>E234-E$232</f>
        <v/>
      </c>
    </row>
    <row r="234">
      <c r="A234" s="702" t="inlineStr">
        <is>
          <t>T2</t>
        </is>
      </c>
      <c r="B234" s="906">
        <f>B235-B$232</f>
        <v/>
      </c>
      <c r="C234" s="906">
        <f>C235-C$232</f>
        <v/>
      </c>
      <c r="D234" s="906">
        <f>D235-D$232</f>
        <v/>
      </c>
      <c r="E234" s="907">
        <f>E235-E$232</f>
        <v/>
      </c>
    </row>
    <row r="235">
      <c r="A235" s="702" t="inlineStr">
        <is>
          <t>T3</t>
        </is>
      </c>
      <c r="B235" s="906">
        <f>B236-B$232</f>
        <v/>
      </c>
      <c r="C235" s="906">
        <f>C236-C$232</f>
        <v/>
      </c>
      <c r="D235" s="906">
        <f>D236-D$232</f>
        <v/>
      </c>
      <c r="E235" s="907">
        <f>E236-E$232</f>
        <v/>
      </c>
    </row>
    <row r="236">
      <c r="A236" s="702" t="inlineStr">
        <is>
          <t>T4</t>
        </is>
      </c>
      <c r="B236" s="906">
        <f>B237-B$232</f>
        <v/>
      </c>
      <c r="C236" s="906">
        <f>C237-C$232</f>
        <v/>
      </c>
      <c r="D236" s="906">
        <f>D237-D$232</f>
        <v/>
      </c>
      <c r="E236" s="907">
        <f>E237-E$232</f>
        <v/>
      </c>
    </row>
    <row r="237">
      <c r="A237" s="702" t="inlineStr">
        <is>
          <t>T5</t>
        </is>
      </c>
      <c r="B237" s="906">
        <f>B238-B$232</f>
        <v/>
      </c>
      <c r="C237" s="906">
        <f>C238-C$232</f>
        <v/>
      </c>
      <c r="D237" s="906">
        <f>D238-D$232</f>
        <v/>
      </c>
      <c r="E237" s="907">
        <f>E238-E$232</f>
        <v/>
      </c>
    </row>
    <row r="238">
      <c r="A238" s="702" t="inlineStr">
        <is>
          <t>T6</t>
        </is>
      </c>
      <c r="B238" s="906">
        <f>B239-B$232</f>
        <v/>
      </c>
      <c r="C238" s="906">
        <f>C239-C$232</f>
        <v/>
      </c>
      <c r="D238" s="906">
        <f>D239-D$232</f>
        <v/>
      </c>
      <c r="E238" s="907">
        <f>E239-E$232</f>
        <v/>
      </c>
    </row>
    <row r="239">
      <c r="A239" s="702" t="inlineStr">
        <is>
          <t>T7</t>
        </is>
      </c>
      <c r="B239" s="906" t="n">
        <v>840</v>
      </c>
      <c r="C239" s="906" t="n">
        <v>120</v>
      </c>
      <c r="D239" s="906" t="n">
        <v>76</v>
      </c>
      <c r="E239" s="907" t="n">
        <v>120</v>
      </c>
    </row>
    <row r="240">
      <c r="A240" s="702" t="inlineStr">
        <is>
          <t>T8</t>
        </is>
      </c>
      <c r="B240" s="906" t="n">
        <v>945</v>
      </c>
      <c r="C240" s="906" t="n">
        <v>135</v>
      </c>
      <c r="D240" s="906" t="n">
        <v>86</v>
      </c>
      <c r="E240" s="907" t="n">
        <v>135</v>
      </c>
    </row>
    <row r="241">
      <c r="A241" s="1092" t="inlineStr">
        <is>
          <t>T9</t>
        </is>
      </c>
      <c r="B241" s="706" t="n">
        <v>1260</v>
      </c>
      <c r="C241" s="706" t="n">
        <v>180</v>
      </c>
      <c r="D241" s="706" t="n">
        <v>114</v>
      </c>
      <c r="E241" s="909" t="n">
        <v>180</v>
      </c>
    </row>
    <row r="242">
      <c r="A242" s="702" t="n"/>
      <c r="E242" s="907" t="n"/>
    </row>
    <row r="243">
      <c r="A243" s="774" t="inlineStr">
        <is>
          <t>Roachikun</t>
        </is>
      </c>
      <c r="B243" s="738" t="n"/>
      <c r="C243" s="738" t="n"/>
      <c r="D243" s="738" t="n"/>
      <c r="E243" s="685" t="n"/>
    </row>
    <row r="244">
      <c r="A244" s="691" t="inlineStr">
        <is>
          <t>Growth Factor</t>
        </is>
      </c>
      <c r="B244" s="692">
        <f>(B253-B251)/4</f>
        <v/>
      </c>
      <c r="C244" s="692">
        <f>(C253-C251)/4</f>
        <v/>
      </c>
      <c r="D244" s="692">
        <f>(D253-D251)/4</f>
        <v/>
      </c>
      <c r="E244" s="693">
        <f>(E253-E251)/4</f>
        <v/>
      </c>
    </row>
    <row r="245">
      <c r="A245" s="702" t="inlineStr">
        <is>
          <t>T1</t>
        </is>
      </c>
      <c r="B245" s="906" t="n">
        <v>190</v>
      </c>
      <c r="C245" s="906" t="n">
        <v>30</v>
      </c>
      <c r="D245" s="906" t="n">
        <v>18</v>
      </c>
      <c r="E245" s="907" t="n">
        <v>33</v>
      </c>
    </row>
    <row r="246">
      <c r="A246" s="702" t="inlineStr">
        <is>
          <t>T2</t>
        </is>
      </c>
      <c r="B246" s="906" t="n">
        <v>285</v>
      </c>
      <c r="C246" s="906" t="n">
        <v>45</v>
      </c>
      <c r="D246" s="906" t="n">
        <v>27</v>
      </c>
      <c r="E246" s="907" t="n">
        <v>50</v>
      </c>
    </row>
    <row r="247">
      <c r="A247" s="702" t="inlineStr">
        <is>
          <t>T3</t>
        </is>
      </c>
      <c r="B247" s="906" t="n">
        <v>380</v>
      </c>
      <c r="C247" s="906" t="n">
        <v>60</v>
      </c>
      <c r="D247" s="906" t="n">
        <v>36</v>
      </c>
      <c r="E247" s="907" t="n">
        <v>66</v>
      </c>
    </row>
    <row r="248">
      <c r="A248" s="702" t="inlineStr">
        <is>
          <t>T4</t>
        </is>
      </c>
      <c r="B248" s="906" t="n">
        <v>475</v>
      </c>
      <c r="C248" s="906" t="n">
        <v>75</v>
      </c>
      <c r="D248" s="906" t="n">
        <v>45</v>
      </c>
      <c r="E248" s="907" t="n">
        <v>83</v>
      </c>
    </row>
    <row r="249">
      <c r="A249" s="702" t="inlineStr">
        <is>
          <t>T5</t>
        </is>
      </c>
      <c r="B249" s="906" t="n">
        <v>570</v>
      </c>
      <c r="C249" s="906" t="n">
        <v>90</v>
      </c>
      <c r="D249" s="906" t="n">
        <v>54</v>
      </c>
      <c r="E249" s="907" t="n">
        <v>99</v>
      </c>
    </row>
    <row r="250">
      <c r="A250" s="702" t="inlineStr">
        <is>
          <t>T6</t>
        </is>
      </c>
      <c r="B250" s="906" t="n">
        <v>665</v>
      </c>
      <c r="C250" s="906" t="n">
        <v>105</v>
      </c>
      <c r="D250" s="906" t="n">
        <v>63</v>
      </c>
      <c r="E250" s="907" t="n">
        <v>116</v>
      </c>
    </row>
    <row r="251">
      <c r="A251" s="702" t="inlineStr">
        <is>
          <t>T7</t>
        </is>
      </c>
      <c r="B251" s="906" t="n">
        <v>760</v>
      </c>
      <c r="C251" s="906" t="n">
        <v>120</v>
      </c>
      <c r="D251" s="906" t="n">
        <v>72</v>
      </c>
      <c r="E251" s="907" t="n">
        <v>132</v>
      </c>
    </row>
    <row r="252">
      <c r="A252" s="702" t="inlineStr">
        <is>
          <t>T8</t>
        </is>
      </c>
      <c r="B252" s="906" t="n">
        <v>855</v>
      </c>
      <c r="C252" s="906" t="n">
        <v>135</v>
      </c>
      <c r="D252" s="906" t="n">
        <v>81</v>
      </c>
      <c r="E252" s="907" t="n">
        <v>149</v>
      </c>
    </row>
    <row r="253">
      <c r="A253" s="1092" t="inlineStr">
        <is>
          <t>T9</t>
        </is>
      </c>
      <c r="B253" s="706" t="n">
        <v>1140</v>
      </c>
      <c r="C253" s="706" t="n">
        <v>180</v>
      </c>
      <c r="D253" s="706" t="n">
        <v>108</v>
      </c>
      <c r="E253" s="909" t="n">
        <v>198</v>
      </c>
    </row>
    <row r="254"/>
    <row r="255"/>
    <row r="256"/>
    <row r="257"/>
    <row r="258">
      <c r="A258" s="680" t="inlineStr">
        <is>
          <t>MECHA</t>
        </is>
      </c>
      <c r="B258" s="738" t="n"/>
      <c r="C258" s="738" t="n"/>
      <c r="D258" s="738" t="n"/>
      <c r="E258" s="685" t="n"/>
    </row>
    <row r="259">
      <c r="A259" s="774" t="inlineStr">
        <is>
          <t>Mechanic</t>
        </is>
      </c>
      <c r="B259" s="738" t="n"/>
      <c r="C259" s="738" t="n"/>
      <c r="D259" s="738" t="n"/>
      <c r="E259" s="685" t="n"/>
    </row>
    <row r="260">
      <c r="A260" s="691" t="inlineStr">
        <is>
          <t>Growth Factor</t>
        </is>
      </c>
      <c r="B260" s="692">
        <f>B261/2</f>
        <v/>
      </c>
      <c r="C260" s="692">
        <f>C261/2</f>
        <v/>
      </c>
      <c r="D260" s="692">
        <f>D261/2</f>
        <v/>
      </c>
      <c r="E260" s="692">
        <f>E261/2</f>
        <v/>
      </c>
    </row>
    <row r="261">
      <c r="A261" s="702" t="inlineStr">
        <is>
          <t>T1</t>
        </is>
      </c>
      <c r="B261" s="906" t="n">
        <v>240</v>
      </c>
      <c r="C261" s="906" t="n">
        <v>23</v>
      </c>
      <c r="D261" s="906" t="n">
        <v>21</v>
      </c>
      <c r="E261" s="907" t="n">
        <v>32</v>
      </c>
    </row>
    <row r="262">
      <c r="A262" s="702" t="inlineStr">
        <is>
          <t>T2</t>
        </is>
      </c>
      <c r="B262" s="906">
        <f>B261+B$260</f>
        <v/>
      </c>
      <c r="C262" s="906">
        <f>C261+C$260</f>
        <v/>
      </c>
      <c r="D262" s="906">
        <f>D261+D$260</f>
        <v/>
      </c>
      <c r="E262" s="907">
        <f>E261+E$260</f>
        <v/>
      </c>
    </row>
    <row r="263">
      <c r="A263" s="702" t="inlineStr">
        <is>
          <t>T3</t>
        </is>
      </c>
      <c r="B263" s="906">
        <f>B262+B$260</f>
        <v/>
      </c>
      <c r="C263" s="906">
        <f>C262+C$260</f>
        <v/>
      </c>
      <c r="D263" s="906">
        <f>D262+D$260</f>
        <v/>
      </c>
      <c r="E263" s="907">
        <f>E262+E$260</f>
        <v/>
      </c>
    </row>
    <row r="264">
      <c r="A264" s="702" t="inlineStr">
        <is>
          <t>T4</t>
        </is>
      </c>
      <c r="B264" s="906">
        <f>B263+B$260</f>
        <v/>
      </c>
      <c r="C264" s="906">
        <f>C263+C$260</f>
        <v/>
      </c>
      <c r="D264" s="906">
        <f>D263+D$260</f>
        <v/>
      </c>
      <c r="E264" s="907">
        <f>E263+E$260</f>
        <v/>
      </c>
    </row>
    <row r="265">
      <c r="A265" s="702" t="inlineStr">
        <is>
          <t>T5</t>
        </is>
      </c>
      <c r="B265" s="906">
        <f>B264+B$260</f>
        <v/>
      </c>
      <c r="C265" s="906">
        <f>C264+C$260</f>
        <v/>
      </c>
      <c r="D265" s="906">
        <f>D264+D$260</f>
        <v/>
      </c>
      <c r="E265" s="907">
        <f>E264+E$260</f>
        <v/>
      </c>
    </row>
    <row r="266">
      <c r="A266" s="702" t="inlineStr">
        <is>
          <t>T6</t>
        </is>
      </c>
      <c r="B266" s="906">
        <f>B265+B$260</f>
        <v/>
      </c>
      <c r="C266" s="906">
        <f>C265+C$260</f>
        <v/>
      </c>
      <c r="D266" s="906">
        <f>D265+D$260</f>
        <v/>
      </c>
      <c r="E266" s="907">
        <f>E265+E$260</f>
        <v/>
      </c>
    </row>
    <row r="267">
      <c r="A267" s="702" t="inlineStr">
        <is>
          <t>T7</t>
        </is>
      </c>
      <c r="B267" s="906">
        <f>B266+B$260</f>
        <v/>
      </c>
      <c r="C267" s="906">
        <f>C266+C$260</f>
        <v/>
      </c>
      <c r="D267" s="906">
        <f>D266+D$260</f>
        <v/>
      </c>
      <c r="E267" s="907">
        <f>E266+E$260</f>
        <v/>
      </c>
    </row>
    <row r="268">
      <c r="A268" s="702" t="inlineStr">
        <is>
          <t>T8</t>
        </is>
      </c>
      <c r="B268" s="906" t="n">
        <v>1080</v>
      </c>
      <c r="C268" s="906" t="n">
        <v>104</v>
      </c>
      <c r="D268" s="906" t="n">
        <v>95</v>
      </c>
      <c r="E268" s="907" t="n">
        <v>144</v>
      </c>
    </row>
    <row r="269">
      <c r="A269" s="1092" t="inlineStr">
        <is>
          <t>T9</t>
        </is>
      </c>
      <c r="B269" s="706">
        <f>B268+3*B260</f>
        <v/>
      </c>
      <c r="C269" s="706">
        <f>C268+3*C260</f>
        <v/>
      </c>
      <c r="D269" s="706">
        <f>D268+3*D260</f>
        <v/>
      </c>
      <c r="E269" s="909">
        <f>E268+3*E260</f>
        <v/>
      </c>
    </row>
    <row r="270">
      <c r="A270" s="702" t="n"/>
      <c r="E270" s="907" t="n"/>
    </row>
    <row r="271">
      <c r="A271" s="774" t="inlineStr">
        <is>
          <t>Wood Golem</t>
        </is>
      </c>
      <c r="B271" s="738" t="n"/>
      <c r="C271" s="738" t="n"/>
      <c r="D271" s="738" t="n"/>
      <c r="E271" s="685" t="n"/>
    </row>
    <row r="272">
      <c r="A272" s="691" t="inlineStr">
        <is>
          <t>Growth Factor</t>
        </is>
      </c>
      <c r="B272" s="692">
        <f>B273/2</f>
        <v/>
      </c>
      <c r="C272" s="692">
        <f>C273/2</f>
        <v/>
      </c>
      <c r="D272" s="692">
        <f>D273/2</f>
        <v/>
      </c>
      <c r="E272" s="693">
        <f>E273/2</f>
        <v/>
      </c>
    </row>
    <row r="273">
      <c r="A273" s="702" t="inlineStr">
        <is>
          <t>T1</t>
        </is>
      </c>
      <c r="B273" s="906" t="n">
        <v>250</v>
      </c>
      <c r="C273" s="906" t="n">
        <v>23</v>
      </c>
      <c r="D273" s="906" t="n">
        <v>21</v>
      </c>
      <c r="E273" s="907" t="n">
        <v>31</v>
      </c>
    </row>
    <row r="274">
      <c r="A274" s="702" t="inlineStr">
        <is>
          <t>T2</t>
        </is>
      </c>
      <c r="B274" s="775">
        <f>B273+B$272</f>
        <v/>
      </c>
      <c r="C274" s="775">
        <f>C273+C$272</f>
        <v/>
      </c>
      <c r="D274" s="775">
        <f>D273+D$272</f>
        <v/>
      </c>
      <c r="E274" s="776">
        <f>E273+E$272</f>
        <v/>
      </c>
    </row>
    <row r="275">
      <c r="A275" s="702" t="inlineStr">
        <is>
          <t>T3</t>
        </is>
      </c>
      <c r="B275" s="775">
        <f>B274+B$272</f>
        <v/>
      </c>
      <c r="C275" s="775">
        <f>C274+C$272</f>
        <v/>
      </c>
      <c r="D275" s="775">
        <f>D274+D$272</f>
        <v/>
      </c>
      <c r="E275" s="776">
        <f>E274+E$272</f>
        <v/>
      </c>
    </row>
    <row r="276">
      <c r="A276" s="702" t="inlineStr">
        <is>
          <t>T4</t>
        </is>
      </c>
      <c r="B276" s="775">
        <f>B275+B$272</f>
        <v/>
      </c>
      <c r="C276" s="775">
        <f>C275+C$272</f>
        <v/>
      </c>
      <c r="D276" s="775">
        <f>D275+D$272</f>
        <v/>
      </c>
      <c r="E276" s="776">
        <f>E275+E$272</f>
        <v/>
      </c>
    </row>
    <row r="277">
      <c r="A277" s="702" t="inlineStr">
        <is>
          <t>T5</t>
        </is>
      </c>
      <c r="B277" s="775">
        <f>B276+B$272</f>
        <v/>
      </c>
      <c r="C277" s="775">
        <f>C276+C$272</f>
        <v/>
      </c>
      <c r="D277" s="775">
        <f>D276+D$272</f>
        <v/>
      </c>
      <c r="E277" s="776">
        <f>E276+E$272</f>
        <v/>
      </c>
    </row>
    <row r="278">
      <c r="A278" s="702" t="inlineStr">
        <is>
          <t>T6</t>
        </is>
      </c>
      <c r="B278" s="775">
        <f>B277+B$272</f>
        <v/>
      </c>
      <c r="C278" s="775">
        <f>C277+C$272</f>
        <v/>
      </c>
      <c r="D278" s="775">
        <f>D277+D$272</f>
        <v/>
      </c>
      <c r="E278" s="776">
        <f>E277+E$272</f>
        <v/>
      </c>
    </row>
    <row r="279">
      <c r="A279" s="702" t="inlineStr">
        <is>
          <t>T7</t>
        </is>
      </c>
      <c r="B279" s="775">
        <f>B278+B$272</f>
        <v/>
      </c>
      <c r="C279" s="775">
        <f>C278+C$272</f>
        <v/>
      </c>
      <c r="D279" s="775">
        <f>D278+D$272</f>
        <v/>
      </c>
      <c r="E279" s="776">
        <f>E278+E$272</f>
        <v/>
      </c>
    </row>
    <row r="280">
      <c r="A280" s="702" t="inlineStr">
        <is>
          <t>T8</t>
        </is>
      </c>
      <c r="B280" s="906" t="n">
        <v>1125</v>
      </c>
      <c r="C280" s="906" t="n">
        <v>104</v>
      </c>
      <c r="D280" s="906" t="n">
        <v>95</v>
      </c>
      <c r="E280" s="907" t="n">
        <v>140</v>
      </c>
    </row>
    <row r="281">
      <c r="A281" s="1092" t="inlineStr">
        <is>
          <t>T9</t>
        </is>
      </c>
      <c r="B281" s="706">
        <f>B280+3*B272</f>
        <v/>
      </c>
      <c r="C281" s="706">
        <f>C280+3*C272</f>
        <v/>
      </c>
      <c r="D281" s="706">
        <f>D280+3*D272</f>
        <v/>
      </c>
      <c r="E281" s="909">
        <f>E280+3*E272</f>
        <v/>
      </c>
    </row>
    <row r="282">
      <c r="A282" s="777" t="n"/>
      <c r="B282" s="906" t="n"/>
      <c r="C282" s="906" t="n"/>
      <c r="D282" s="906" t="n"/>
      <c r="E282" s="907" t="n"/>
    </row>
    <row r="283">
      <c r="A283" s="774" t="inlineStr">
        <is>
          <t>Keyboard Warrior</t>
        </is>
      </c>
      <c r="B283" s="738" t="n"/>
      <c r="C283" s="738" t="n"/>
      <c r="D283" s="738" t="n"/>
      <c r="E283" s="685" t="n"/>
    </row>
    <row r="284">
      <c r="A284" s="691" t="inlineStr">
        <is>
          <t>Growth Factor</t>
        </is>
      </c>
      <c r="B284" s="692">
        <f>B285/2</f>
        <v/>
      </c>
      <c r="C284" s="692">
        <f>C285/2</f>
        <v/>
      </c>
      <c r="D284" s="692">
        <f>D285/2</f>
        <v/>
      </c>
      <c r="E284" s="693">
        <f>E285/2</f>
        <v/>
      </c>
    </row>
    <row r="285">
      <c r="A285" s="702" t="inlineStr">
        <is>
          <t>T1</t>
        </is>
      </c>
      <c r="B285" s="906" t="n">
        <v>250</v>
      </c>
      <c r="C285" s="906" t="n">
        <v>22</v>
      </c>
      <c r="D285" s="906" t="n">
        <v>22</v>
      </c>
      <c r="E285" s="907" t="n">
        <v>31</v>
      </c>
    </row>
    <row r="286">
      <c r="A286" s="702" t="inlineStr">
        <is>
          <t>T2</t>
        </is>
      </c>
      <c r="B286" s="775">
        <f>B285+B$284</f>
        <v/>
      </c>
      <c r="C286" s="775">
        <f>C285+C$284</f>
        <v/>
      </c>
      <c r="D286" s="775">
        <f>D285+D$284</f>
        <v/>
      </c>
      <c r="E286" s="776">
        <f>E285+E$284</f>
        <v/>
      </c>
    </row>
    <row r="287">
      <c r="A287" s="702" t="inlineStr">
        <is>
          <t>T3</t>
        </is>
      </c>
      <c r="B287" s="775">
        <f>B286+B$284</f>
        <v/>
      </c>
      <c r="C287" s="775">
        <f>C286+C$284</f>
        <v/>
      </c>
      <c r="D287" s="775">
        <f>D286+D$284</f>
        <v/>
      </c>
      <c r="E287" s="776">
        <f>E286+E$284</f>
        <v/>
      </c>
    </row>
    <row r="288">
      <c r="A288" s="702" t="inlineStr">
        <is>
          <t>T4</t>
        </is>
      </c>
      <c r="B288" s="775">
        <f>B287+B$284</f>
        <v/>
      </c>
      <c r="C288" s="775">
        <f>C287+C$284</f>
        <v/>
      </c>
      <c r="D288" s="775">
        <f>D287+D$284</f>
        <v/>
      </c>
      <c r="E288" s="776">
        <f>E287+E$284</f>
        <v/>
      </c>
    </row>
    <row r="289">
      <c r="A289" s="702" t="inlineStr">
        <is>
          <t>T5</t>
        </is>
      </c>
      <c r="B289" s="775">
        <f>B288+B$284</f>
        <v/>
      </c>
      <c r="C289" s="775">
        <f>C288+C$284</f>
        <v/>
      </c>
      <c r="D289" s="775">
        <f>D288+D$284</f>
        <v/>
      </c>
      <c r="E289" s="776">
        <f>E288+E$284</f>
        <v/>
      </c>
    </row>
    <row r="290">
      <c r="A290" s="702" t="inlineStr">
        <is>
          <t>T6</t>
        </is>
      </c>
      <c r="B290" s="775">
        <f>B289+B$284</f>
        <v/>
      </c>
      <c r="C290" s="775">
        <f>C289+C$284</f>
        <v/>
      </c>
      <c r="D290" s="775">
        <f>D289+D$284</f>
        <v/>
      </c>
      <c r="E290" s="776">
        <f>E289+E$284</f>
        <v/>
      </c>
    </row>
    <row r="291">
      <c r="A291" s="702" t="inlineStr">
        <is>
          <t>T7</t>
        </is>
      </c>
      <c r="B291" s="775">
        <f>B290+B$284</f>
        <v/>
      </c>
      <c r="C291" s="775">
        <f>C290+C$284</f>
        <v/>
      </c>
      <c r="D291" s="775">
        <f>D290+D$284</f>
        <v/>
      </c>
      <c r="E291" s="776">
        <f>E290+E$284</f>
        <v/>
      </c>
    </row>
    <row r="292">
      <c r="A292" s="702" t="inlineStr">
        <is>
          <t>T8</t>
        </is>
      </c>
      <c r="B292" s="906" t="n">
        <v>1125</v>
      </c>
      <c r="C292" s="906" t="n">
        <v>99</v>
      </c>
      <c r="D292" s="906" t="n">
        <v>99</v>
      </c>
      <c r="E292" s="907" t="n">
        <v>140</v>
      </c>
    </row>
    <row r="293">
      <c r="A293" s="1092" t="inlineStr">
        <is>
          <t>T9</t>
        </is>
      </c>
      <c r="B293" s="706">
        <f>B292+3*B284</f>
        <v/>
      </c>
      <c r="C293" s="706">
        <f>C292+3*C284</f>
        <v/>
      </c>
      <c r="D293" s="706">
        <f>D292+3*D284</f>
        <v/>
      </c>
      <c r="E293" s="909">
        <f>E292+3*E284</f>
        <v/>
      </c>
    </row>
    <row r="294">
      <c r="A294" s="702" t="n"/>
      <c r="E294" s="907" t="n"/>
    </row>
    <row r="295">
      <c r="A295" s="774" t="inlineStr">
        <is>
          <t>Snail Mech</t>
        </is>
      </c>
      <c r="B295" s="738" t="n"/>
      <c r="C295" s="738" t="n"/>
      <c r="D295" s="738" t="n"/>
      <c r="E295" s="685" t="n"/>
    </row>
    <row r="296">
      <c r="A296" s="691" t="inlineStr">
        <is>
          <t>Growth Factor</t>
        </is>
      </c>
      <c r="B296" s="692">
        <f>B297/2</f>
        <v/>
      </c>
      <c r="C296" s="692">
        <f>C297/2</f>
        <v/>
      </c>
      <c r="D296" s="692">
        <f>D297/2</f>
        <v/>
      </c>
      <c r="E296" s="693">
        <f>E297/2</f>
        <v/>
      </c>
    </row>
    <row r="297">
      <c r="A297" s="702" t="inlineStr">
        <is>
          <t>T1</t>
        </is>
      </c>
      <c r="B297" s="906" t="n">
        <v>260</v>
      </c>
      <c r="C297" s="906" t="n">
        <v>23</v>
      </c>
      <c r="D297" s="906" t="n">
        <v>21</v>
      </c>
      <c r="E297" s="907" t="n">
        <v>30</v>
      </c>
    </row>
    <row r="298">
      <c r="A298" s="702" t="inlineStr">
        <is>
          <t>T2</t>
        </is>
      </c>
      <c r="B298" s="775">
        <f>B297+B$296</f>
        <v/>
      </c>
      <c r="C298" s="775">
        <f>C297+C$296</f>
        <v/>
      </c>
      <c r="D298" s="775">
        <f>D297+D$296</f>
        <v/>
      </c>
      <c r="E298" s="776">
        <f>E297+E$296</f>
        <v/>
      </c>
    </row>
    <row r="299">
      <c r="A299" s="702" t="inlineStr">
        <is>
          <t>T3</t>
        </is>
      </c>
      <c r="B299" s="775">
        <f>B298+B$296</f>
        <v/>
      </c>
      <c r="C299" s="775">
        <f>C298+C$296</f>
        <v/>
      </c>
      <c r="D299" s="775">
        <f>D298+D$296</f>
        <v/>
      </c>
      <c r="E299" s="776">
        <f>E298+E$296</f>
        <v/>
      </c>
    </row>
    <row r="300">
      <c r="A300" s="702" t="inlineStr">
        <is>
          <t>T4</t>
        </is>
      </c>
      <c r="B300" s="775">
        <f>B299+B$296</f>
        <v/>
      </c>
      <c r="C300" s="775">
        <f>C299+C$296</f>
        <v/>
      </c>
      <c r="D300" s="775">
        <f>D299+D$296</f>
        <v/>
      </c>
      <c r="E300" s="776">
        <f>E299+E$296</f>
        <v/>
      </c>
    </row>
    <row r="301">
      <c r="A301" s="702" t="inlineStr">
        <is>
          <t>T5</t>
        </is>
      </c>
      <c r="B301" s="775">
        <f>B300+B$296</f>
        <v/>
      </c>
      <c r="C301" s="775">
        <f>C300+C$296</f>
        <v/>
      </c>
      <c r="D301" s="775">
        <f>D300+D$296</f>
        <v/>
      </c>
      <c r="E301" s="776">
        <f>E300+E$296</f>
        <v/>
      </c>
    </row>
    <row r="302">
      <c r="A302" s="702" t="inlineStr">
        <is>
          <t>T6</t>
        </is>
      </c>
      <c r="B302" s="775">
        <f>B301+B$296</f>
        <v/>
      </c>
      <c r="C302" s="775">
        <f>C301+C$296</f>
        <v/>
      </c>
      <c r="D302" s="775">
        <f>D301+D$296</f>
        <v/>
      </c>
      <c r="E302" s="776">
        <f>E301+E$296</f>
        <v/>
      </c>
    </row>
    <row r="303">
      <c r="A303" s="702" t="inlineStr">
        <is>
          <t>T7</t>
        </is>
      </c>
      <c r="B303" s="775">
        <f>B302+B$296</f>
        <v/>
      </c>
      <c r="C303" s="775">
        <f>C302+C$296</f>
        <v/>
      </c>
      <c r="D303" s="775">
        <f>D302+D$296</f>
        <v/>
      </c>
      <c r="E303" s="776">
        <f>E302+E$296</f>
        <v/>
      </c>
    </row>
    <row r="304">
      <c r="A304" s="702" t="inlineStr">
        <is>
          <t>T8</t>
        </is>
      </c>
      <c r="B304" s="906" t="n">
        <v>1170</v>
      </c>
      <c r="C304" s="906" t="n">
        <v>104</v>
      </c>
      <c r="D304" s="906" t="n">
        <v>95</v>
      </c>
      <c r="E304" s="907" t="n">
        <v>135</v>
      </c>
    </row>
    <row r="305">
      <c r="A305" s="1092" t="inlineStr">
        <is>
          <t>T9</t>
        </is>
      </c>
      <c r="B305" s="706">
        <f>B304+3*B296</f>
        <v/>
      </c>
      <c r="C305" s="706">
        <f>C304+3*C296</f>
        <v/>
      </c>
      <c r="D305" s="706">
        <f>D304+3*D296</f>
        <v/>
      </c>
      <c r="E305" s="909">
        <f>E304+3*E296</f>
        <v/>
      </c>
    </row>
    <row r="306">
      <c r="A306" s="702" t="n"/>
      <c r="E306" s="907" t="n"/>
    </row>
    <row r="307">
      <c r="A307" s="774" t="inlineStr">
        <is>
          <t>NeuroMecha</t>
        </is>
      </c>
      <c r="B307" s="738" t="n"/>
      <c r="C307" s="738" t="n"/>
      <c r="D307" s="738" t="n"/>
      <c r="E307" s="685" t="n"/>
    </row>
    <row r="308">
      <c r="A308" s="691" t="inlineStr">
        <is>
          <t>Growth Factor</t>
        </is>
      </c>
      <c r="B308" s="692" t="n">
        <v>125</v>
      </c>
      <c r="C308" s="692" t="n">
        <v>10</v>
      </c>
      <c r="D308" s="692" t="n">
        <v>10</v>
      </c>
      <c r="E308" s="693" t="n">
        <v>17.5</v>
      </c>
    </row>
    <row r="309">
      <c r="A309" s="702" t="inlineStr">
        <is>
          <t>T1</t>
        </is>
      </c>
      <c r="B309" s="906">
        <f>B308*2</f>
        <v/>
      </c>
      <c r="C309" s="906">
        <f>C308*2</f>
        <v/>
      </c>
      <c r="D309" s="906">
        <f>D308*2</f>
        <v/>
      </c>
      <c r="E309" s="906">
        <f>E308*2</f>
        <v/>
      </c>
    </row>
    <row r="310">
      <c r="A310" s="702" t="inlineStr">
        <is>
          <t>T2</t>
        </is>
      </c>
      <c r="B310" s="775">
        <f>B309+B$296</f>
        <v/>
      </c>
      <c r="C310" s="775">
        <f>C309+C$296</f>
        <v/>
      </c>
      <c r="D310" s="775">
        <f>D309+D$296</f>
        <v/>
      </c>
      <c r="E310" s="776">
        <f>E309+E$296</f>
        <v/>
      </c>
    </row>
    <row r="311">
      <c r="A311" s="702" t="inlineStr">
        <is>
          <t>T3</t>
        </is>
      </c>
      <c r="B311" s="775">
        <f>B310+B$296</f>
        <v/>
      </c>
      <c r="C311" s="775">
        <f>C310+C$296</f>
        <v/>
      </c>
      <c r="D311" s="775">
        <f>D310+D$296</f>
        <v/>
      </c>
      <c r="E311" s="776">
        <f>E310+E$296</f>
        <v/>
      </c>
    </row>
    <row r="312">
      <c r="A312" s="702" t="inlineStr">
        <is>
          <t>T4</t>
        </is>
      </c>
      <c r="B312" s="775">
        <f>B311+B$296</f>
        <v/>
      </c>
      <c r="C312" s="775">
        <f>C311+C$296</f>
        <v/>
      </c>
      <c r="D312" s="775">
        <f>D311+D$296</f>
        <v/>
      </c>
      <c r="E312" s="776">
        <f>E311+E$296</f>
        <v/>
      </c>
    </row>
    <row r="313">
      <c r="A313" s="702" t="inlineStr">
        <is>
          <t>T5</t>
        </is>
      </c>
      <c r="B313" s="775">
        <f>B312+B$296</f>
        <v/>
      </c>
      <c r="C313" s="775">
        <f>C312+C$296</f>
        <v/>
      </c>
      <c r="D313" s="775">
        <f>D312+D$296</f>
        <v/>
      </c>
      <c r="E313" s="776">
        <f>E312+E$296</f>
        <v/>
      </c>
    </row>
    <row r="314">
      <c r="A314" s="702" t="inlineStr">
        <is>
          <t>T6</t>
        </is>
      </c>
      <c r="B314" s="775">
        <f>B313+B$296</f>
        <v/>
      </c>
      <c r="C314" s="775">
        <f>C313+C$296</f>
        <v/>
      </c>
      <c r="D314" s="775">
        <f>D313+D$296</f>
        <v/>
      </c>
      <c r="E314" s="776">
        <f>E313+E$296</f>
        <v/>
      </c>
    </row>
    <row r="315">
      <c r="A315" s="702" t="inlineStr">
        <is>
          <t>T7</t>
        </is>
      </c>
      <c r="B315" s="775">
        <f>B314+B$296</f>
        <v/>
      </c>
      <c r="C315" s="775">
        <f>C314+C$296</f>
        <v/>
      </c>
      <c r="D315" s="775">
        <f>D314+D$296</f>
        <v/>
      </c>
      <c r="E315" s="776">
        <f>E314+E$296</f>
        <v/>
      </c>
    </row>
    <row r="316">
      <c r="A316" s="702" t="inlineStr">
        <is>
          <t>T8</t>
        </is>
      </c>
      <c r="B316" s="906" t="n">
        <v>1170</v>
      </c>
      <c r="C316" s="906" t="n">
        <v>104</v>
      </c>
      <c r="D316" s="906" t="n">
        <v>95</v>
      </c>
      <c r="E316" s="907" t="n">
        <v>135</v>
      </c>
    </row>
    <row r="317">
      <c r="A317" s="1092" t="inlineStr">
        <is>
          <t>T9</t>
        </is>
      </c>
      <c r="B317" s="706">
        <f>B316+3*B308</f>
        <v/>
      </c>
      <c r="C317" s="706">
        <f>C316+3*C308</f>
        <v/>
      </c>
      <c r="D317" s="706">
        <f>D316+3*D308</f>
        <v/>
      </c>
      <c r="E317" s="909">
        <f>E316+3*E308</f>
        <v/>
      </c>
    </row>
    <row r="318">
      <c r="A318" s="780" t="n"/>
      <c r="E318" s="907" t="n"/>
    </row>
    <row r="319">
      <c r="A319" s="780" t="n"/>
      <c r="E319" s="907" t="n"/>
    </row>
    <row r="320">
      <c r="A320" s="780" t="n"/>
      <c r="E320" s="907" t="n"/>
    </row>
    <row r="321">
      <c r="A321" s="780" t="n"/>
      <c r="E321" s="907" t="n"/>
    </row>
    <row r="322">
      <c r="A322" s="680" t="inlineStr">
        <is>
          <t>DRAGON</t>
        </is>
      </c>
      <c r="B322" s="738" t="n"/>
      <c r="C322" s="738" t="n"/>
      <c r="D322" s="738" t="n"/>
      <c r="E322" s="685" t="n"/>
    </row>
    <row r="323">
      <c r="A323" s="853" t="inlineStr">
        <is>
          <t>Drawn Dragon</t>
        </is>
      </c>
      <c r="B323" s="738" t="n"/>
      <c r="C323" s="738" t="n"/>
      <c r="D323" s="738" t="n"/>
      <c r="E323" s="685" t="n"/>
    </row>
    <row r="324">
      <c r="A324" s="691" t="inlineStr">
        <is>
          <t>Growth Factor</t>
        </is>
      </c>
      <c r="B324" s="692">
        <f>(B332-B331)/2</f>
        <v/>
      </c>
      <c r="C324" s="692">
        <f>(C332-C331)/2</f>
        <v/>
      </c>
      <c r="D324" s="692">
        <f>(D332-D331)/2</f>
        <v/>
      </c>
      <c r="E324" s="693">
        <f>(E332-E331)/2</f>
        <v/>
      </c>
    </row>
    <row r="325">
      <c r="A325" s="702" t="inlineStr">
        <is>
          <t>T1</t>
        </is>
      </c>
      <c r="B325" s="906">
        <f>B326-B$324</f>
        <v/>
      </c>
      <c r="C325" s="906">
        <f>C326-C$324</f>
        <v/>
      </c>
      <c r="D325" s="906">
        <f>D326-D$324</f>
        <v/>
      </c>
      <c r="E325" s="907">
        <f>E326-E$324</f>
        <v/>
      </c>
    </row>
    <row r="326">
      <c r="A326" s="702" t="inlineStr">
        <is>
          <t>T2</t>
        </is>
      </c>
      <c r="B326" s="906">
        <f>B327-B$324</f>
        <v/>
      </c>
      <c r="C326" s="906">
        <f>C327-C$324</f>
        <v/>
      </c>
      <c r="D326" s="906">
        <f>D327-D$324</f>
        <v/>
      </c>
      <c r="E326" s="907">
        <f>E327-E$324</f>
        <v/>
      </c>
    </row>
    <row r="327">
      <c r="A327" s="702" t="inlineStr">
        <is>
          <t>T3</t>
        </is>
      </c>
      <c r="B327" s="906">
        <f>B328-B$324</f>
        <v/>
      </c>
      <c r="C327" s="906">
        <f>C328-C$324</f>
        <v/>
      </c>
      <c r="D327" s="906">
        <f>D328-D$324</f>
        <v/>
      </c>
      <c r="E327" s="907">
        <f>E328-E$324</f>
        <v/>
      </c>
    </row>
    <row r="328">
      <c r="A328" s="702" t="inlineStr">
        <is>
          <t>T4</t>
        </is>
      </c>
      <c r="B328" s="906">
        <f>B329-B$324</f>
        <v/>
      </c>
      <c r="C328" s="906">
        <f>C329-C$324</f>
        <v/>
      </c>
      <c r="D328" s="906">
        <f>D329-D$324</f>
        <v/>
      </c>
      <c r="E328" s="907">
        <f>E329-E$324</f>
        <v/>
      </c>
    </row>
    <row r="329">
      <c r="A329" s="702" t="inlineStr">
        <is>
          <t>T5</t>
        </is>
      </c>
      <c r="B329" s="906">
        <f>B330-B$324</f>
        <v/>
      </c>
      <c r="C329" s="906">
        <f>C330-C$324</f>
        <v/>
      </c>
      <c r="D329" s="906">
        <f>D330-D$324</f>
        <v/>
      </c>
      <c r="E329" s="907">
        <f>E330-E$324</f>
        <v/>
      </c>
    </row>
    <row r="330">
      <c r="A330" s="702" t="inlineStr">
        <is>
          <t>T6</t>
        </is>
      </c>
      <c r="B330" s="906">
        <f>B331-B$324</f>
        <v/>
      </c>
      <c r="C330" s="906">
        <f>C331-C$324</f>
        <v/>
      </c>
      <c r="D330" s="906">
        <f>D331-D$324</f>
        <v/>
      </c>
      <c r="E330" s="907">
        <f>E331-E$324</f>
        <v/>
      </c>
    </row>
    <row r="331">
      <c r="A331" s="702" t="inlineStr">
        <is>
          <t>T7</t>
        </is>
      </c>
      <c r="B331" s="906" t="n">
        <v>935</v>
      </c>
      <c r="C331" s="906" t="n">
        <v>140</v>
      </c>
      <c r="D331" s="906" t="n">
        <v>85</v>
      </c>
      <c r="E331" s="907" t="n">
        <v>128</v>
      </c>
    </row>
    <row r="332">
      <c r="A332" s="702" t="inlineStr">
        <is>
          <t>T8</t>
        </is>
      </c>
      <c r="B332" s="906" t="n">
        <v>1155</v>
      </c>
      <c r="C332" s="906" t="n">
        <v>173</v>
      </c>
      <c r="D332" s="906" t="n">
        <v>105</v>
      </c>
      <c r="E332" s="907" t="n">
        <v>158</v>
      </c>
    </row>
    <row r="333">
      <c r="A333" s="1092" t="inlineStr">
        <is>
          <t>T9</t>
        </is>
      </c>
      <c r="B333" s="706" t="n">
        <v>1540</v>
      </c>
      <c r="C333" s="706" t="n">
        <v>231</v>
      </c>
      <c r="D333" s="706" t="n">
        <v>140</v>
      </c>
      <c r="E333" s="909" t="n">
        <v>210</v>
      </c>
    </row>
    <row r="334">
      <c r="A334" s="702" t="n"/>
      <c r="E334" s="907" t="n"/>
    </row>
    <row r="335">
      <c r="A335" s="853" t="inlineStr">
        <is>
          <t>Slug Dragonling</t>
        </is>
      </c>
      <c r="B335" s="738" t="n"/>
      <c r="C335" s="738" t="n"/>
      <c r="D335" s="738" t="n"/>
      <c r="E335" s="685" t="n"/>
    </row>
    <row r="336">
      <c r="A336" s="691" t="inlineStr">
        <is>
          <t>Growth Factor</t>
        </is>
      </c>
      <c r="B336" s="692">
        <f>(B344-B343)/2</f>
        <v/>
      </c>
      <c r="C336" s="692">
        <f>(C344-C343)/2</f>
        <v/>
      </c>
      <c r="D336" s="692">
        <f>(D344-D343)/2</f>
        <v/>
      </c>
      <c r="E336" s="693">
        <f>(E344-E343)/2</f>
        <v/>
      </c>
    </row>
    <row r="337">
      <c r="A337" s="702" t="inlineStr">
        <is>
          <t>T1</t>
        </is>
      </c>
      <c r="B337" s="906">
        <f>B338-B$336</f>
        <v/>
      </c>
      <c r="C337" s="906">
        <f>C338-C$336</f>
        <v/>
      </c>
      <c r="D337" s="906">
        <f>D338-D$336</f>
        <v/>
      </c>
      <c r="E337" s="907">
        <f>E338-E$336</f>
        <v/>
      </c>
    </row>
    <row r="338">
      <c r="A338" s="702" t="inlineStr">
        <is>
          <t>T2</t>
        </is>
      </c>
      <c r="B338" s="906">
        <f>B339-B$336</f>
        <v/>
      </c>
      <c r="C338" s="906">
        <f>C339-C$336</f>
        <v/>
      </c>
      <c r="D338" s="906">
        <f>D339-D$336</f>
        <v/>
      </c>
      <c r="E338" s="907">
        <f>E339-E$336</f>
        <v/>
      </c>
    </row>
    <row r="339">
      <c r="A339" s="702" t="inlineStr">
        <is>
          <t>T3</t>
        </is>
      </c>
      <c r="B339" s="906">
        <f>B340-B$336</f>
        <v/>
      </c>
      <c r="C339" s="906">
        <f>C340-C$336</f>
        <v/>
      </c>
      <c r="D339" s="906">
        <f>D340-D$336</f>
        <v/>
      </c>
      <c r="E339" s="907">
        <f>E340-E$336</f>
        <v/>
      </c>
    </row>
    <row r="340">
      <c r="A340" s="702" t="inlineStr">
        <is>
          <t>T4</t>
        </is>
      </c>
      <c r="B340" s="906">
        <f>B341-B$336</f>
        <v/>
      </c>
      <c r="C340" s="906">
        <f>C341-C$336</f>
        <v/>
      </c>
      <c r="D340" s="906">
        <f>D341-D$336</f>
        <v/>
      </c>
      <c r="E340" s="907">
        <f>E341-E$336</f>
        <v/>
      </c>
    </row>
    <row r="341">
      <c r="A341" s="702" t="inlineStr">
        <is>
          <t>T5</t>
        </is>
      </c>
      <c r="B341" s="906">
        <f>B342-B$336</f>
        <v/>
      </c>
      <c r="C341" s="906">
        <f>C342-C$336</f>
        <v/>
      </c>
      <c r="D341" s="906">
        <f>D342-D$336</f>
        <v/>
      </c>
      <c r="E341" s="907">
        <f>E342-E$336</f>
        <v/>
      </c>
    </row>
    <row r="342">
      <c r="A342" s="702" t="inlineStr">
        <is>
          <t>T6</t>
        </is>
      </c>
      <c r="B342" s="906">
        <f>B343-B$336</f>
        <v/>
      </c>
      <c r="C342" s="906">
        <f>C343-C$336</f>
        <v/>
      </c>
      <c r="D342" s="906">
        <f>D343-D$336</f>
        <v/>
      </c>
      <c r="E342" s="907">
        <f>E343-E$336</f>
        <v/>
      </c>
    </row>
    <row r="343">
      <c r="A343" s="702" t="inlineStr">
        <is>
          <t>T7</t>
        </is>
      </c>
      <c r="B343" s="906" t="n">
        <v>1275</v>
      </c>
      <c r="C343" s="906" t="n">
        <v>128</v>
      </c>
      <c r="D343" s="906" t="n">
        <v>85</v>
      </c>
      <c r="E343" s="907" t="n">
        <v>106</v>
      </c>
    </row>
    <row r="344">
      <c r="A344" s="702" t="inlineStr">
        <is>
          <t>T8</t>
        </is>
      </c>
      <c r="B344" s="906" t="n">
        <v>1575</v>
      </c>
      <c r="C344" s="906" t="n">
        <v>158</v>
      </c>
      <c r="D344" s="906" t="n">
        <v>105</v>
      </c>
      <c r="E344" s="907" t="n">
        <v>131</v>
      </c>
    </row>
    <row r="345">
      <c r="A345" s="1092" t="inlineStr">
        <is>
          <t>T9</t>
        </is>
      </c>
      <c r="B345" s="706" t="n">
        <v>2100</v>
      </c>
      <c r="C345" s="706" t="n">
        <v>210</v>
      </c>
      <c r="D345" s="706" t="n">
        <v>140</v>
      </c>
      <c r="E345" s="909" t="n">
        <v>175</v>
      </c>
    </row>
    <row r="346">
      <c r="A346" s="702" t="n"/>
      <c r="E346" s="907" t="n"/>
    </row>
    <row r="347">
      <c r="A347" s="853" t="inlineStr">
        <is>
          <t>Nanosaur</t>
        </is>
      </c>
      <c r="B347" s="738" t="n"/>
      <c r="C347" s="738" t="n"/>
      <c r="D347" s="738" t="n"/>
      <c r="E347" s="685" t="n"/>
    </row>
    <row r="348">
      <c r="A348" s="691" t="inlineStr">
        <is>
          <t>Growth Factor</t>
        </is>
      </c>
      <c r="B348" s="692">
        <f>(B356-B355)/2</f>
        <v/>
      </c>
      <c r="C348" s="692">
        <f>(C356-C355)/2</f>
        <v/>
      </c>
      <c r="D348" s="692">
        <f>(D356-D355)/2</f>
        <v/>
      </c>
      <c r="E348" s="693">
        <f>(E356-E355)/2</f>
        <v/>
      </c>
    </row>
    <row r="349">
      <c r="A349" s="702" t="inlineStr">
        <is>
          <t>T1</t>
        </is>
      </c>
      <c r="B349" s="906">
        <f>B350-B$348</f>
        <v/>
      </c>
      <c r="C349" s="906">
        <f>C350-C$348</f>
        <v/>
      </c>
      <c r="D349" s="906">
        <f>D350-D$348</f>
        <v/>
      </c>
      <c r="E349" s="907">
        <f>E350-E$348</f>
        <v/>
      </c>
    </row>
    <row r="350">
      <c r="A350" s="702" t="inlineStr">
        <is>
          <t>T2</t>
        </is>
      </c>
      <c r="B350" s="906">
        <f>B351-B$348</f>
        <v/>
      </c>
      <c r="C350" s="906">
        <f>C351-C$348</f>
        <v/>
      </c>
      <c r="D350" s="906">
        <f>D351-D$348</f>
        <v/>
      </c>
      <c r="E350" s="907">
        <f>E351-E$348</f>
        <v/>
      </c>
    </row>
    <row r="351">
      <c r="A351" s="702" t="inlineStr">
        <is>
          <t>T3</t>
        </is>
      </c>
      <c r="B351" s="906">
        <f>B352-B$348</f>
        <v/>
      </c>
      <c r="C351" s="906">
        <f>C352-C$348</f>
        <v/>
      </c>
      <c r="D351" s="906">
        <f>D352-D$348</f>
        <v/>
      </c>
      <c r="E351" s="907">
        <f>E352-E$348</f>
        <v/>
      </c>
    </row>
    <row r="352">
      <c r="A352" s="702" t="inlineStr">
        <is>
          <t>T4</t>
        </is>
      </c>
      <c r="B352" s="906">
        <f>B353-B$348</f>
        <v/>
      </c>
      <c r="C352" s="906">
        <f>C353-C$348</f>
        <v/>
      </c>
      <c r="D352" s="906">
        <f>D353-D$348</f>
        <v/>
      </c>
      <c r="E352" s="907">
        <f>E353-E$348</f>
        <v/>
      </c>
    </row>
    <row r="353">
      <c r="A353" s="702" t="inlineStr">
        <is>
          <t>T5</t>
        </is>
      </c>
      <c r="B353" s="906">
        <f>B354-B$348</f>
        <v/>
      </c>
      <c r="C353" s="906">
        <f>C354-C$348</f>
        <v/>
      </c>
      <c r="D353" s="906">
        <f>D354-D$348</f>
        <v/>
      </c>
      <c r="E353" s="907">
        <f>E354-E$348</f>
        <v/>
      </c>
    </row>
    <row r="354">
      <c r="A354" s="702" t="inlineStr">
        <is>
          <t>T6</t>
        </is>
      </c>
      <c r="B354" s="906">
        <f>B355-B$348</f>
        <v/>
      </c>
      <c r="C354" s="906">
        <f>C355-C$348</f>
        <v/>
      </c>
      <c r="D354" s="906">
        <f>D355-D$348</f>
        <v/>
      </c>
      <c r="E354" s="907">
        <f>E355-E$348</f>
        <v/>
      </c>
    </row>
    <row r="355">
      <c r="A355" s="702" t="inlineStr">
        <is>
          <t>T7</t>
        </is>
      </c>
      <c r="B355" s="906" t="n">
        <v>1105</v>
      </c>
      <c r="C355" s="906" t="n">
        <v>132</v>
      </c>
      <c r="D355" s="906" t="n">
        <v>85</v>
      </c>
      <c r="E355" s="907" t="n">
        <v>119</v>
      </c>
    </row>
    <row r="356">
      <c r="A356" s="702" t="inlineStr">
        <is>
          <t>T8</t>
        </is>
      </c>
      <c r="B356" s="906" t="n">
        <v>1365</v>
      </c>
      <c r="C356" s="906" t="n">
        <v>163</v>
      </c>
      <c r="D356" s="906" t="n">
        <v>105</v>
      </c>
      <c r="E356" s="907" t="n">
        <v>147</v>
      </c>
    </row>
    <row r="357">
      <c r="A357" s="1092" t="inlineStr">
        <is>
          <t>T9</t>
        </is>
      </c>
      <c r="B357" s="706" t="n">
        <v>1820</v>
      </c>
      <c r="C357" s="706" t="n">
        <v>217</v>
      </c>
      <c r="D357" s="706" t="n">
        <v>140</v>
      </c>
      <c r="E357" s="909" t="n">
        <v>196</v>
      </c>
    </row>
    <row r="358">
      <c r="A358" s="702" t="n"/>
      <c r="E358" s="907" t="n"/>
    </row>
    <row r="359">
      <c r="A359" s="853" t="inlineStr">
        <is>
          <t>Frost Drake</t>
        </is>
      </c>
      <c r="B359" s="738" t="n"/>
      <c r="C359" s="738" t="n"/>
      <c r="D359" s="738" t="n"/>
      <c r="E359" s="685" t="n"/>
    </row>
    <row r="360">
      <c r="A360" s="691" t="inlineStr">
        <is>
          <t>Growth Factor</t>
        </is>
      </c>
      <c r="B360" s="692">
        <f>(B368-B367)/2</f>
        <v/>
      </c>
      <c r="C360" s="692">
        <f>(C368-C367)/2</f>
        <v/>
      </c>
      <c r="D360" s="692">
        <f>(D368-D367)/2</f>
        <v/>
      </c>
      <c r="E360" s="693">
        <f>(E368-E367)/2</f>
        <v/>
      </c>
    </row>
    <row r="361">
      <c r="A361" s="702" t="inlineStr">
        <is>
          <t>T1</t>
        </is>
      </c>
      <c r="B361" s="906">
        <f>B362-B$360</f>
        <v/>
      </c>
      <c r="C361" s="906">
        <f>C362-C$360</f>
        <v/>
      </c>
      <c r="D361" s="906">
        <f>D362-D$360</f>
        <v/>
      </c>
      <c r="E361" s="907">
        <f>E362-E$360</f>
        <v/>
      </c>
    </row>
    <row r="362">
      <c r="A362" s="702" t="inlineStr">
        <is>
          <t>T2</t>
        </is>
      </c>
      <c r="B362" s="906">
        <f>B363-B$360</f>
        <v/>
      </c>
      <c r="C362" s="906">
        <f>C363-C$360</f>
        <v/>
      </c>
      <c r="D362" s="906">
        <f>D363-D$360</f>
        <v/>
      </c>
      <c r="E362" s="907">
        <f>E363-E$360</f>
        <v/>
      </c>
    </row>
    <row r="363">
      <c r="A363" s="702" t="inlineStr">
        <is>
          <t>T3</t>
        </is>
      </c>
      <c r="B363" s="906">
        <f>B364-B$360</f>
        <v/>
      </c>
      <c r="C363" s="906">
        <f>C364-C$360</f>
        <v/>
      </c>
      <c r="D363" s="906">
        <f>D364-D$360</f>
        <v/>
      </c>
      <c r="E363" s="907">
        <f>E364-E$360</f>
        <v/>
      </c>
    </row>
    <row r="364">
      <c r="A364" s="702" t="inlineStr">
        <is>
          <t>T4</t>
        </is>
      </c>
      <c r="B364" s="906">
        <f>B365-B$360</f>
        <v/>
      </c>
      <c r="C364" s="906">
        <f>C365-C$360</f>
        <v/>
      </c>
      <c r="D364" s="906">
        <f>D365-D$360</f>
        <v/>
      </c>
      <c r="E364" s="907">
        <f>E365-E$360</f>
        <v/>
      </c>
    </row>
    <row r="365">
      <c r="A365" s="702" t="inlineStr">
        <is>
          <t>T5</t>
        </is>
      </c>
      <c r="B365" s="906">
        <f>B366-B$360</f>
        <v/>
      </c>
      <c r="C365" s="906">
        <f>C366-C$360</f>
        <v/>
      </c>
      <c r="D365" s="906">
        <f>D366-D$360</f>
        <v/>
      </c>
      <c r="E365" s="907">
        <f>E366-E$360</f>
        <v/>
      </c>
    </row>
    <row r="366">
      <c r="A366" s="702" t="inlineStr">
        <is>
          <t>T6</t>
        </is>
      </c>
      <c r="B366" s="906">
        <f>B367-B$360</f>
        <v/>
      </c>
      <c r="C366" s="906">
        <f>C367-C$360</f>
        <v/>
      </c>
      <c r="D366" s="906">
        <f>D367-D$360</f>
        <v/>
      </c>
      <c r="E366" s="907">
        <f>E367-E$360</f>
        <v/>
      </c>
    </row>
    <row r="367">
      <c r="A367" s="702" t="inlineStr">
        <is>
          <t>T7</t>
        </is>
      </c>
      <c r="B367" s="906" t="n">
        <v>850</v>
      </c>
      <c r="C367" s="906" t="n">
        <v>149</v>
      </c>
      <c r="D367" s="906" t="n">
        <v>85</v>
      </c>
      <c r="E367" s="907" t="n">
        <v>128</v>
      </c>
    </row>
    <row r="368">
      <c r="A368" s="702" t="inlineStr">
        <is>
          <t>T8</t>
        </is>
      </c>
      <c r="B368" s="906" t="n">
        <v>1050</v>
      </c>
      <c r="C368" s="906" t="n">
        <v>184</v>
      </c>
      <c r="D368" s="906" t="n">
        <v>105</v>
      </c>
      <c r="E368" s="907" t="n">
        <v>158</v>
      </c>
    </row>
    <row r="369">
      <c r="A369" s="1092" t="inlineStr">
        <is>
          <t>T9</t>
        </is>
      </c>
      <c r="B369" s="706" t="n">
        <v>1400</v>
      </c>
      <c r="C369" s="706" t="n">
        <v>245</v>
      </c>
      <c r="D369" s="706" t="n">
        <v>140</v>
      </c>
      <c r="E369" s="909" t="n">
        <v>210</v>
      </c>
    </row>
    <row r="370">
      <c r="A370" s="702" t="n"/>
      <c r="E370" s="907" t="n"/>
    </row>
    <row r="371">
      <c r="A371" s="853" t="inlineStr">
        <is>
          <t>Jaden Embryo</t>
        </is>
      </c>
      <c r="B371" s="738" t="n"/>
      <c r="C371" s="738" t="n"/>
      <c r="D371" s="738" t="n"/>
      <c r="E371" s="685" t="n"/>
    </row>
    <row r="372">
      <c r="A372" s="691" t="inlineStr">
        <is>
          <t>Growth Factor</t>
        </is>
      </c>
      <c r="B372" s="692">
        <f>(B380-B379)/2</f>
        <v/>
      </c>
      <c r="C372" s="692">
        <f>(C380-C379)/2</f>
        <v/>
      </c>
      <c r="D372" s="692">
        <f>(D380-D379)/2</f>
        <v/>
      </c>
      <c r="E372" s="693">
        <f>(E380-E379)/2</f>
        <v/>
      </c>
    </row>
    <row r="373">
      <c r="A373" s="702" t="inlineStr">
        <is>
          <t>T1</t>
        </is>
      </c>
      <c r="B373" s="906" t="n">
        <v>250</v>
      </c>
      <c r="C373" s="906" t="n">
        <v>45</v>
      </c>
      <c r="D373" s="906" t="n">
        <v>21</v>
      </c>
      <c r="E373" s="907" t="n">
        <v>40</v>
      </c>
    </row>
    <row r="374">
      <c r="A374" s="702" t="inlineStr">
        <is>
          <t>T2</t>
        </is>
      </c>
      <c r="B374" s="906" t="n">
        <v>350</v>
      </c>
      <c r="C374" s="906" t="n">
        <v>63</v>
      </c>
      <c r="D374" s="906" t="n">
        <v>30</v>
      </c>
      <c r="E374" s="907" t="n">
        <v>56</v>
      </c>
    </row>
    <row r="375">
      <c r="A375" s="702" t="inlineStr">
        <is>
          <t>T3</t>
        </is>
      </c>
      <c r="B375" s="906" t="n">
        <v>450</v>
      </c>
      <c r="C375" s="906" t="n">
        <v>81</v>
      </c>
      <c r="D375" s="906" t="n">
        <v>38</v>
      </c>
      <c r="E375" s="907" t="n">
        <v>72</v>
      </c>
    </row>
    <row r="376">
      <c r="A376" s="702" t="inlineStr">
        <is>
          <t>T4</t>
        </is>
      </c>
      <c r="B376" s="906" t="n">
        <v>550</v>
      </c>
      <c r="C376" s="906" t="n">
        <v>99</v>
      </c>
      <c r="D376" s="906" t="n">
        <v>47</v>
      </c>
      <c r="E376" s="907" t="n">
        <v>88</v>
      </c>
    </row>
    <row r="377">
      <c r="A377" s="702" t="inlineStr">
        <is>
          <t>T5</t>
        </is>
      </c>
      <c r="B377" s="906" t="n">
        <v>650</v>
      </c>
      <c r="C377" s="906" t="n">
        <v>117</v>
      </c>
      <c r="D377" s="906" t="n">
        <v>55</v>
      </c>
      <c r="E377" s="907" t="n">
        <v>104</v>
      </c>
    </row>
    <row r="378">
      <c r="A378" s="702" t="inlineStr">
        <is>
          <t>T6</t>
        </is>
      </c>
      <c r="B378" s="906" t="n">
        <v>750</v>
      </c>
      <c r="C378" s="906" t="n">
        <v>135</v>
      </c>
      <c r="D378" s="906" t="n">
        <v>64</v>
      </c>
      <c r="E378" s="907" t="n">
        <v>120</v>
      </c>
    </row>
    <row r="379">
      <c r="A379" s="702" t="inlineStr">
        <is>
          <t>T7</t>
        </is>
      </c>
      <c r="B379" s="906" t="n">
        <v>850</v>
      </c>
      <c r="C379" s="906" t="n">
        <v>153</v>
      </c>
      <c r="D379" s="906" t="n">
        <v>72</v>
      </c>
      <c r="E379" s="907" t="n">
        <v>136</v>
      </c>
    </row>
    <row r="380">
      <c r="A380" s="702" t="inlineStr">
        <is>
          <t>T8</t>
        </is>
      </c>
      <c r="B380" s="906" t="n">
        <v>1050</v>
      </c>
      <c r="C380" s="906" t="n">
        <v>189</v>
      </c>
      <c r="D380" s="906" t="n">
        <v>89</v>
      </c>
      <c r="E380" s="907" t="n">
        <v>168</v>
      </c>
    </row>
    <row r="381">
      <c r="A381" s="1092" t="inlineStr">
        <is>
          <t>T9</t>
        </is>
      </c>
      <c r="B381" s="706" t="n">
        <v>1400</v>
      </c>
      <c r="C381" s="706" t="n">
        <v>252</v>
      </c>
      <c r="D381" s="706" t="n">
        <v>119</v>
      </c>
      <c r="E381" s="909" t="n">
        <v>224</v>
      </c>
    </row>
  </sheetData>
  <mergeCells count="2">
    <mergeCell ref="H3:J3"/>
    <mergeCell ref="L3:N3"/>
  </mergeCells>
  <pageMargins left="0.75" right="0.75" top="1" bottom="1" header="0.5" footer="0.5"/>
  <tableParts count="3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  <tablePart xmlns:r="http://schemas.openxmlformats.org/officeDocument/2006/relationships" r:id="rId29"/>
    <tablePart xmlns:r="http://schemas.openxmlformats.org/officeDocument/2006/relationships" r:id="rId30"/>
  </tableParts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6"/>
  <sheetViews>
    <sheetView workbookViewId="0">
      <selection activeCell="A1" sqref="A1"/>
    </sheetView>
  </sheetViews>
  <sheetFormatPr baseColWidth="8" defaultColWidth="9.18" defaultRowHeight="15" customHeight="1"/>
  <cols>
    <col width="11.27" customWidth="1" style="1128" min="1" max="1"/>
    <col width="11.36" customWidth="1" style="1128" min="2" max="2"/>
  </cols>
  <sheetData>
    <row r="1">
      <c r="A1" s="669" t="n"/>
      <c r="B1" s="669" t="n"/>
      <c r="C1" s="669" t="n"/>
      <c r="D1" s="669" t="n"/>
      <c r="E1" s="669" t="n"/>
      <c r="F1" s="669" t="n"/>
      <c r="G1" s="669" t="n"/>
      <c r="H1" s="669" t="n"/>
      <c r="I1" s="669" t="n"/>
      <c r="J1" s="669" t="n"/>
      <c r="K1" s="669" t="n"/>
      <c r="L1" s="669" t="n"/>
      <c r="M1" s="669" t="n"/>
      <c r="N1" s="669" t="n"/>
      <c r="O1" s="669" t="n"/>
      <c r="P1" s="669" t="n"/>
      <c r="Q1" s="669" t="n"/>
      <c r="R1" s="669" t="n"/>
      <c r="S1" s="669" t="n"/>
      <c r="T1" s="669" t="n"/>
      <c r="U1" s="669" t="n"/>
      <c r="V1" s="669" t="n"/>
      <c r="W1" s="669" t="n"/>
      <c r="X1" s="669" t="n"/>
      <c r="Y1" s="669" t="n"/>
      <c r="Z1" s="669" t="n"/>
    </row>
    <row r="2">
      <c r="C2" s="781" t="n"/>
      <c r="D2" s="781" t="n"/>
      <c r="E2" s="781" t="n"/>
      <c r="F2" s="781" t="n"/>
      <c r="G2" s="781" t="n"/>
      <c r="H2" s="781" t="n"/>
      <c r="I2" s="669" t="n"/>
      <c r="J2" s="669" t="n"/>
      <c r="K2" s="669" t="n"/>
      <c r="L2" s="669" t="n"/>
      <c r="M2" s="669" t="n"/>
      <c r="N2" s="669" t="n"/>
      <c r="O2" s="669" t="n"/>
      <c r="P2" s="669" t="n"/>
      <c r="Q2" s="669" t="n"/>
      <c r="R2" s="669" t="n"/>
      <c r="S2" s="669" t="n"/>
      <c r="T2" s="669" t="n"/>
      <c r="U2" s="669" t="n"/>
      <c r="V2" s="669" t="n"/>
      <c r="W2" s="669" t="n"/>
      <c r="X2" s="669" t="n"/>
      <c r="Y2" s="669" t="n"/>
      <c r="Z2" s="669" t="n"/>
    </row>
    <row r="3">
      <c r="A3" s="1006" t="inlineStr">
        <is>
          <t>Partner</t>
        </is>
      </c>
      <c r="B3" s="798" t="inlineStr">
        <is>
          <t>Son of Will</t>
        </is>
      </c>
      <c r="C3" s="784" t="n"/>
      <c r="D3" s="785" t="n"/>
      <c r="E3" s="784" t="n"/>
      <c r="F3" s="784" t="n"/>
      <c r="G3" s="786" t="n"/>
      <c r="H3" s="669" t="n"/>
      <c r="I3" s="669" t="n"/>
      <c r="J3" s="669" t="n"/>
      <c r="K3" s="669" t="n"/>
      <c r="L3" s="669" t="n"/>
      <c r="M3" s="669" t="n"/>
      <c r="N3" s="669" t="n"/>
      <c r="O3" s="669" t="n"/>
      <c r="P3" s="669" t="n"/>
      <c r="Q3" s="669" t="n"/>
      <c r="R3" s="669" t="n"/>
      <c r="S3" s="669" t="n"/>
      <c r="T3" s="669" t="n"/>
      <c r="U3" s="669" t="n"/>
      <c r="V3" s="669" t="n"/>
      <c r="W3" s="669" t="n"/>
      <c r="X3" s="669" t="n"/>
      <c r="Y3" s="669" t="n"/>
      <c r="Z3" s="669" t="n"/>
    </row>
    <row r="4">
      <c r="A4" s="1006" t="inlineStr">
        <is>
          <t>Specialty</t>
        </is>
      </c>
      <c r="B4" s="1103">
        <f>XLOOKUP($B$3,$A$23:$A$51,$H$23:$H$51,0)</f>
        <v/>
      </c>
      <c r="C4" s="669" t="n"/>
      <c r="D4" s="669" t="n"/>
      <c r="E4" s="669" t="n"/>
      <c r="F4" s="669" t="n"/>
      <c r="G4" s="1095" t="n"/>
      <c r="H4" s="669" t="n"/>
      <c r="I4" s="669" t="n"/>
      <c r="J4" s="669" t="n"/>
      <c r="K4" s="669" t="n"/>
      <c r="L4" s="669" t="n"/>
      <c r="M4" s="669" t="n"/>
      <c r="N4" s="669" t="n"/>
      <c r="O4" s="669" t="n"/>
      <c r="P4" s="669" t="n"/>
      <c r="Q4" s="669" t="n"/>
      <c r="R4" s="669" t="n"/>
      <c r="S4" s="669" t="n"/>
      <c r="T4" s="669" t="n"/>
      <c r="U4" s="669" t="n"/>
      <c r="V4" s="669" t="n"/>
      <c r="W4" s="669" t="n"/>
      <c r="X4" s="669" t="n"/>
      <c r="Y4" s="669" t="n"/>
      <c r="Z4" s="669" t="n"/>
    </row>
    <row r="5">
      <c r="A5" s="788" t="n"/>
      <c r="B5" s="669" t="n"/>
      <c r="C5" s="669" t="n"/>
      <c r="D5" s="669" t="n"/>
      <c r="E5" s="669" t="n"/>
      <c r="F5" s="669" t="n"/>
      <c r="G5" s="1095" t="n"/>
      <c r="H5" s="669" t="n"/>
      <c r="I5" s="669" t="n"/>
      <c r="J5" s="669" t="n"/>
      <c r="K5" s="669" t="n"/>
      <c r="L5" s="669" t="n"/>
      <c r="M5" s="669" t="n"/>
      <c r="N5" s="669" t="n"/>
      <c r="O5" s="669" t="n"/>
      <c r="P5" s="669" t="n"/>
      <c r="Q5" s="669" t="n"/>
      <c r="R5" s="669" t="n"/>
      <c r="S5" s="669" t="n"/>
      <c r="T5" s="669" t="n"/>
      <c r="U5" s="669" t="n"/>
      <c r="V5" s="669" t="n"/>
      <c r="W5" s="669" t="n"/>
      <c r="X5" s="669" t="n"/>
      <c r="Y5" s="669" t="n"/>
      <c r="Z5" s="669" t="n"/>
    </row>
    <row r="6">
      <c r="A6" s="1103" t="n"/>
      <c r="B6" s="1006" t="inlineStr">
        <is>
          <t>Zombie</t>
        </is>
      </c>
      <c r="C6" s="1006" t="inlineStr">
        <is>
          <t>Demon</t>
        </is>
      </c>
      <c r="D6" s="1006" t="inlineStr">
        <is>
          <t>Angel</t>
        </is>
      </c>
      <c r="E6" s="1006" t="inlineStr">
        <is>
          <t>Mutant</t>
        </is>
      </c>
      <c r="F6" s="1006" t="inlineStr">
        <is>
          <t>Mecha</t>
        </is>
      </c>
      <c r="G6" s="1006" t="inlineStr">
        <is>
          <t>Dragon</t>
        </is>
      </c>
      <c r="H6" s="669" t="n"/>
      <c r="I6" s="669" t="n"/>
      <c r="J6" s="669" t="n"/>
      <c r="K6" s="669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</row>
    <row r="7">
      <c r="A7" s="1006" t="inlineStr">
        <is>
          <t>Starting Skill</t>
        </is>
      </c>
      <c r="B7" s="1108">
        <f>XLOOKUP($B$3,$A$23:$A$51,$B$23:$B$51,0)</f>
        <v/>
      </c>
      <c r="C7" s="1108">
        <f>XLOOKUP($B$3,$A$23:$A$51,$C$23:$C$51,0)</f>
        <v/>
      </c>
      <c r="D7" s="1108">
        <f>XLOOKUP($B$3,$A$23:$A$51,$D$23:$D$51,0)</f>
        <v/>
      </c>
      <c r="E7" s="1108">
        <f>XLOOKUP($B$3,$A$23:$A$51,$E$23:$E$51,0)</f>
        <v/>
      </c>
      <c r="F7" s="1108">
        <f>XLOOKUP($B$3,$A$23:$A$51,$F$23:$F$51,0)</f>
        <v/>
      </c>
      <c r="G7" s="1108">
        <f>XLOOKUP($B$3,$A$23:$A$51,$G$23:$G$51,0)</f>
        <v/>
      </c>
      <c r="H7" s="1037" t="n"/>
      <c r="I7" s="669" t="n"/>
      <c r="J7" s="669" t="n"/>
      <c r="K7" s="669" t="n"/>
      <c r="L7" s="669" t="n"/>
      <c r="M7" s="669" t="n"/>
      <c r="N7" s="669" t="n"/>
      <c r="O7" s="669" t="n"/>
      <c r="P7" s="669" t="n"/>
      <c r="Q7" s="669" t="n"/>
      <c r="R7" s="669" t="n"/>
      <c r="S7" s="669" t="n"/>
      <c r="T7" s="669" t="n"/>
      <c r="U7" s="669" t="n"/>
      <c r="V7" s="669" t="n"/>
      <c r="W7" s="669" t="n"/>
      <c r="X7" s="669" t="n"/>
      <c r="Y7" s="669" t="n"/>
      <c r="Z7" s="669" t="n"/>
    </row>
    <row r="8">
      <c r="A8" s="1006" t="inlineStr">
        <is>
          <t>Target</t>
        </is>
      </c>
      <c r="B8" s="1017" t="n">
        <v>93</v>
      </c>
      <c r="C8" s="1017" t="n">
        <v>93</v>
      </c>
      <c r="D8" s="1017" t="n">
        <v>95</v>
      </c>
      <c r="E8" s="1017" t="n">
        <v>93</v>
      </c>
      <c r="F8" s="1017" t="n">
        <v>93</v>
      </c>
      <c r="G8" s="1017" t="n">
        <v>93</v>
      </c>
      <c r="H8" s="1037" t="n"/>
      <c r="I8" s="669" t="n"/>
      <c r="J8" s="669" t="n"/>
      <c r="K8" s="669" t="n"/>
      <c r="L8" s="669" t="n"/>
      <c r="M8" s="669" t="n"/>
      <c r="N8" s="669" t="n"/>
      <c r="O8" s="669" t="n"/>
      <c r="P8" s="669" t="n"/>
      <c r="Q8" s="669" t="n"/>
      <c r="R8" s="669" t="n"/>
      <c r="S8" s="669" t="n"/>
      <c r="T8" s="669" t="n"/>
      <c r="U8" s="669" t="n"/>
      <c r="V8" s="669" t="n"/>
      <c r="W8" s="669" t="n"/>
      <c r="X8" s="669" t="n"/>
      <c r="Y8" s="669" t="n"/>
      <c r="Z8" s="669" t="n"/>
    </row>
    <row r="9">
      <c r="A9" s="1006" t="inlineStr">
        <is>
          <t>Manual Cost</t>
        </is>
      </c>
      <c r="B9" s="1108">
        <f>IF(B8&lt;=B7,0,SUM(INDEX($B:$B,76+B7):INDEX($B:$B,75+B8))*IF(B6=$B$4,0.5,1))</f>
        <v/>
      </c>
      <c r="C9" s="1108">
        <f>IF(C8&lt;=C7,0,SUM(INDEX($B:$B,76+C7):INDEX($B:$B,75+C8))*IF(C6=$B$4,0.5,1))</f>
        <v/>
      </c>
      <c r="D9" s="1108">
        <f>IF(D8&lt;=D7,0,SUM(INDEX($B:$B,76+D7):INDEX($B:$B,75+D8))*IF(D6=$B$4,0.5,1))</f>
        <v/>
      </c>
      <c r="E9" s="1108">
        <f>IF(E8&lt;=E7,0,SUM(INDEX($B:$B,76+E7):INDEX($B:$B,75+E8))*IF(E6=$B$4,0.5,1))</f>
        <v/>
      </c>
      <c r="F9" s="1108">
        <f>IF(F8&lt;=F7,0,SUM(INDEX($B:$B,76+F7):INDEX($B:$B,75+F8))*IF(F6=$B$4,0.5,1))</f>
        <v/>
      </c>
      <c r="G9" s="1108">
        <f>IF(G8&lt;=G7,0,SUM(INDEX($B:$B,76+G7):INDEX($B:$B,75+G8))*IF(G6=$B$4,0.5,1))</f>
        <v/>
      </c>
      <c r="H9" s="1037" t="n"/>
      <c r="I9" s="669" t="n"/>
      <c r="J9" s="669" t="n"/>
      <c r="K9" s="669" t="n"/>
      <c r="L9" s="669" t="n"/>
      <c r="M9" s="669" t="n"/>
      <c r="N9" s="669" t="n"/>
      <c r="O9" s="669" t="n"/>
      <c r="P9" s="669" t="n"/>
      <c r="Q9" s="669" t="n"/>
      <c r="R9" s="669" t="n"/>
      <c r="S9" s="669" t="n"/>
      <c r="T9" s="669" t="n"/>
      <c r="U9" s="669" t="n"/>
      <c r="V9" s="669" t="n"/>
      <c r="W9" s="669" t="n"/>
      <c r="X9" s="669" t="n"/>
      <c r="Y9" s="669" t="n"/>
      <c r="Z9" s="669" t="n"/>
    </row>
    <row r="10">
      <c r="A10" s="788" t="n"/>
      <c r="B10" s="791" t="n"/>
      <c r="C10" s="669" t="n"/>
      <c r="D10" s="669" t="n"/>
      <c r="E10" s="669" t="n"/>
      <c r="F10" s="669" t="n"/>
      <c r="G10" s="1095" t="n"/>
      <c r="H10" s="1037" t="n"/>
      <c r="I10" s="669" t="n"/>
      <c r="J10" s="669" t="n"/>
      <c r="K10" s="669" t="n"/>
      <c r="L10" s="669" t="n"/>
      <c r="M10" s="669" t="n"/>
      <c r="N10" s="669" t="n"/>
      <c r="O10" s="669" t="n"/>
      <c r="P10" s="669" t="n"/>
      <c r="Q10" s="669" t="n"/>
      <c r="R10" s="669" t="n"/>
      <c r="S10" s="669" t="n"/>
      <c r="T10" s="669" t="n"/>
      <c r="U10" s="669" t="n"/>
      <c r="V10" s="669" t="n"/>
      <c r="W10" s="669" t="n"/>
      <c r="X10" s="669" t="n"/>
      <c r="Y10" s="669" t="n"/>
      <c r="Z10" s="669" t="n"/>
    </row>
    <row r="11">
      <c r="A11" s="792" t="inlineStr">
        <is>
          <t>Decor Bonus</t>
        </is>
      </c>
      <c r="B11" s="1067" t="b">
        <v>0</v>
      </c>
      <c r="C11" s="669" t="n"/>
      <c r="D11" s="669" t="n"/>
      <c r="E11" s="669" t="n"/>
      <c r="F11" s="669" t="n"/>
      <c r="G11" s="1095" t="n"/>
      <c r="H11" s="1037" t="n"/>
      <c r="I11" s="669" t="n"/>
      <c r="J11" s="669" t="n"/>
      <c r="K11" s="669" t="n"/>
      <c r="L11" s="669" t="n"/>
      <c r="M11" s="669" t="n"/>
      <c r="N11" s="669" t="n"/>
      <c r="O11" s="669" t="n"/>
      <c r="P11" s="669" t="n"/>
      <c r="Q11" s="669" t="n"/>
      <c r="R11" s="669" t="n"/>
      <c r="S11" s="669" t="n"/>
      <c r="T11" s="669" t="n"/>
      <c r="U11" s="669" t="n"/>
      <c r="V11" s="669" t="n"/>
      <c r="W11" s="669" t="n"/>
      <c r="X11" s="669" t="n"/>
      <c r="Y11" s="669" t="n"/>
      <c r="Z11" s="669" t="n"/>
    </row>
    <row r="12">
      <c r="A12" s="792" t="inlineStr">
        <is>
          <t>Partner Level</t>
        </is>
      </c>
      <c r="B12" s="1109">
        <f>IFERROR(VLOOKUP(SUM(B8:G8)+IF(B11,10,0),D76:E105,2, TRUE),0)</f>
        <v/>
      </c>
      <c r="C12" s="1093" t="n"/>
      <c r="D12" s="1093" t="n"/>
      <c r="E12" s="1093" t="n"/>
      <c r="F12" s="1093" t="n"/>
      <c r="G12" s="965" t="n"/>
      <c r="H12" s="669" t="n"/>
      <c r="I12" s="669" t="n"/>
      <c r="J12" s="669" t="n"/>
      <c r="K12" s="669" t="n"/>
      <c r="L12" s="669" t="n"/>
      <c r="M12" s="669" t="n"/>
      <c r="N12" s="669" t="n"/>
      <c r="O12" s="669" t="n"/>
      <c r="P12" s="669" t="n"/>
      <c r="Q12" s="669" t="n"/>
      <c r="R12" s="669" t="n"/>
      <c r="S12" s="669" t="n"/>
      <c r="T12" s="669" t="n"/>
      <c r="U12" s="669" t="n"/>
      <c r="V12" s="669" t="n"/>
      <c r="W12" s="669" t="n"/>
      <c r="X12" s="669" t="n"/>
      <c r="Y12" s="669" t="n"/>
      <c r="Z12" s="669" t="n"/>
    </row>
    <row r="13">
      <c r="A13" s="669" t="n"/>
      <c r="B13" s="669" t="n"/>
      <c r="C13" s="669" t="n"/>
      <c r="D13" s="669" t="n"/>
      <c r="E13" s="669" t="n"/>
      <c r="F13" s="669" t="n"/>
      <c r="G13" s="669" t="n"/>
      <c r="H13" s="669" t="n"/>
      <c r="I13" s="669" t="n"/>
      <c r="J13" s="669" t="n"/>
      <c r="K13" s="669" t="n"/>
      <c r="L13" s="669" t="n"/>
      <c r="M13" s="669" t="n"/>
      <c r="N13" s="669" t="n"/>
      <c r="O13" s="669" t="n"/>
      <c r="P13" s="669" t="n"/>
      <c r="Q13" s="669" t="n"/>
      <c r="R13" s="669" t="n"/>
      <c r="S13" s="669" t="n"/>
      <c r="T13" s="669" t="n"/>
      <c r="U13" s="669" t="n"/>
      <c r="V13" s="669" t="n"/>
      <c r="W13" s="669" t="n"/>
      <c r="X13" s="669" t="n"/>
      <c r="Y13" s="669" t="n"/>
      <c r="Z13" s="669" t="n"/>
    </row>
    <row r="14">
      <c r="A14" s="669" t="n"/>
      <c r="B14" s="669" t="n"/>
      <c r="C14" s="669" t="n"/>
      <c r="D14" s="669" t="n"/>
      <c r="E14" s="669" t="n"/>
      <c r="F14" s="669" t="n"/>
      <c r="G14" s="669" t="n"/>
      <c r="H14" s="669" t="n"/>
      <c r="I14" s="669" t="n"/>
      <c r="J14" s="669" t="n"/>
      <c r="K14" s="669" t="n"/>
      <c r="L14" s="669" t="n"/>
      <c r="M14" s="669" t="n"/>
      <c r="N14" s="669" t="n"/>
      <c r="O14" s="669" t="n"/>
      <c r="P14" s="669" t="n"/>
      <c r="Q14" s="669" t="n"/>
      <c r="R14" s="669" t="n"/>
      <c r="S14" s="669" t="n"/>
      <c r="T14" s="669" t="n"/>
      <c r="U14" s="669" t="n"/>
      <c r="V14" s="669" t="n"/>
      <c r="W14" s="669" t="n"/>
      <c r="X14" s="669" t="n"/>
      <c r="Y14" s="669" t="n"/>
      <c r="Z14" s="669" t="n"/>
    </row>
    <row r="15">
      <c r="A15" s="669" t="n"/>
      <c r="B15" s="669" t="n"/>
      <c r="C15" s="669" t="n"/>
      <c r="D15" s="669" t="n"/>
      <c r="E15" s="669" t="n"/>
      <c r="F15" s="669" t="n"/>
      <c r="G15" s="669" t="n"/>
      <c r="H15" s="669" t="n"/>
      <c r="I15" s="669" t="n"/>
      <c r="J15" s="669" t="n"/>
      <c r="K15" s="669" t="n"/>
      <c r="L15" s="669" t="n"/>
      <c r="M15" s="669" t="n"/>
      <c r="N15" s="669" t="n"/>
      <c r="O15" s="669" t="n"/>
      <c r="P15" s="669" t="n"/>
      <c r="Q15" s="669" t="n"/>
      <c r="R15" s="669" t="n"/>
      <c r="S15" s="669" t="n"/>
      <c r="T15" s="669" t="n"/>
      <c r="U15" s="669" t="n"/>
      <c r="V15" s="669" t="n"/>
      <c r="W15" s="669" t="n"/>
      <c r="X15" s="669" t="n"/>
      <c r="Y15" s="669" t="n"/>
      <c r="Z15" s="669" t="n"/>
    </row>
    <row r="16">
      <c r="A16" s="669" t="n"/>
      <c r="B16" s="669" t="n"/>
      <c r="C16" s="669" t="n"/>
      <c r="D16" s="669" t="n"/>
      <c r="E16" s="669" t="n"/>
      <c r="F16" s="669" t="n"/>
      <c r="G16" s="669" t="n"/>
      <c r="H16" s="669" t="n"/>
      <c r="I16" s="669" t="n"/>
      <c r="J16" s="669" t="n"/>
      <c r="K16" s="669" t="n"/>
      <c r="L16" s="669" t="n"/>
      <c r="M16" s="669" t="n"/>
      <c r="N16" s="669" t="n"/>
      <c r="O16" s="669" t="n"/>
      <c r="P16" s="669" t="n"/>
      <c r="Q16" s="669" t="n"/>
      <c r="R16" s="669" t="n"/>
      <c r="S16" s="669" t="n"/>
      <c r="T16" s="669" t="n"/>
      <c r="U16" s="669" t="n"/>
      <c r="V16" s="669" t="n"/>
      <c r="W16" s="669" t="n"/>
      <c r="X16" s="669" t="n"/>
      <c r="Y16" s="669" t="n"/>
      <c r="Z16" s="669" t="n"/>
    </row>
    <row r="17">
      <c r="A17" s="669" t="n"/>
      <c r="B17" s="669" t="n"/>
      <c r="C17" s="669" t="n"/>
      <c r="D17" s="669" t="n"/>
      <c r="E17" s="669" t="n"/>
      <c r="F17" s="669" t="n"/>
      <c r="G17" s="669" t="n"/>
      <c r="H17" s="669" t="n"/>
      <c r="I17" s="669" t="n"/>
      <c r="J17" s="669" t="n"/>
      <c r="K17" s="669" t="n"/>
      <c r="L17" s="669" t="n"/>
      <c r="M17" s="669" t="n"/>
      <c r="N17" s="669" t="n"/>
      <c r="O17" s="669" t="n"/>
      <c r="P17" s="669" t="n"/>
      <c r="Q17" s="669" t="n"/>
      <c r="R17" s="669" t="n"/>
      <c r="S17" s="669" t="n"/>
      <c r="T17" s="669" t="n"/>
      <c r="U17" s="669" t="n"/>
      <c r="V17" s="669" t="n"/>
      <c r="W17" s="669" t="n"/>
      <c r="X17" s="669" t="n"/>
      <c r="Y17" s="669" t="n"/>
      <c r="Z17" s="669" t="n"/>
    </row>
    <row r="18">
      <c r="A18" s="669" t="n"/>
      <c r="B18" s="669" t="n"/>
      <c r="C18" s="669" t="n"/>
      <c r="D18" s="669" t="n"/>
      <c r="E18" s="669" t="n"/>
      <c r="F18" s="669" t="n"/>
      <c r="G18" s="669" t="n"/>
      <c r="H18" s="669" t="n"/>
      <c r="I18" s="669" t="n"/>
      <c r="J18" s="669" t="n"/>
      <c r="K18" s="669" t="n"/>
      <c r="L18" s="669" t="n"/>
      <c r="M18" s="669" t="n"/>
      <c r="N18" s="669" t="n"/>
      <c r="O18" s="669" t="n"/>
      <c r="P18" s="669" t="n"/>
      <c r="Q18" s="669" t="n"/>
      <c r="R18" s="669" t="n"/>
      <c r="S18" s="669" t="n"/>
      <c r="T18" s="669" t="n"/>
      <c r="U18" s="669" t="n"/>
      <c r="V18" s="669" t="n"/>
      <c r="W18" s="669" t="n"/>
      <c r="X18" s="669" t="n"/>
      <c r="Y18" s="669" t="n"/>
      <c r="Z18" s="669" t="n"/>
    </row>
    <row r="19">
      <c r="A19" s="669" t="n"/>
      <c r="B19" s="669" t="n"/>
      <c r="C19" s="669" t="n"/>
      <c r="D19" s="669" t="n"/>
      <c r="E19" s="669" t="n"/>
      <c r="F19" s="669" t="n"/>
      <c r="G19" s="669" t="n"/>
      <c r="H19" s="669" t="n"/>
      <c r="I19" s="669" t="n"/>
      <c r="J19" s="669" t="n"/>
      <c r="K19" s="669" t="n"/>
      <c r="L19" s="669" t="n"/>
      <c r="M19" s="669" t="n"/>
      <c r="N19" s="669" t="n"/>
      <c r="O19" s="669" t="n"/>
      <c r="P19" s="669" t="n"/>
      <c r="Q19" s="669" t="n"/>
      <c r="R19" s="669" t="n"/>
      <c r="S19" s="669" t="n"/>
      <c r="T19" s="669" t="n"/>
      <c r="U19" s="669" t="n"/>
      <c r="V19" s="669" t="n"/>
      <c r="W19" s="669" t="n"/>
      <c r="X19" s="669" t="n"/>
      <c r="Y19" s="669" t="n"/>
      <c r="Z19" s="669" t="n"/>
    </row>
    <row r="20">
      <c r="A20" s="669" t="n"/>
      <c r="B20" s="669" t="n"/>
      <c r="C20" s="669" t="n"/>
      <c r="D20" s="669" t="n"/>
      <c r="E20" s="669" t="n"/>
      <c r="F20" s="669" t="n"/>
      <c r="G20" s="669" t="n"/>
      <c r="H20" s="669" t="n"/>
      <c r="I20" s="669" t="n"/>
      <c r="J20" s="669" t="n"/>
      <c r="K20" s="669" t="n"/>
      <c r="L20" s="669" t="n"/>
      <c r="M20" s="669" t="n"/>
      <c r="N20" s="669" t="n"/>
      <c r="O20" s="669" t="n"/>
      <c r="P20" s="669" t="n"/>
      <c r="Q20" s="669" t="n"/>
      <c r="R20" s="669" t="n"/>
      <c r="S20" s="669" t="n"/>
      <c r="T20" s="669" t="n"/>
      <c r="U20" s="669" t="n"/>
      <c r="V20" s="669" t="n"/>
      <c r="W20" s="669" t="n"/>
      <c r="X20" s="669" t="n"/>
      <c r="Y20" s="669" t="n"/>
      <c r="Z20" s="669" t="n"/>
    </row>
    <row r="21">
      <c r="A21" s="669" t="n"/>
      <c r="B21" s="669" t="n"/>
      <c r="C21" s="669" t="n"/>
      <c r="D21" s="669" t="n"/>
      <c r="E21" s="669" t="n"/>
      <c r="F21" s="669" t="n"/>
      <c r="G21" s="669" t="n"/>
      <c r="H21" s="669" t="n"/>
      <c r="I21" s="669" t="n"/>
      <c r="J21" s="669" t="n"/>
      <c r="K21" s="669" t="n"/>
      <c r="L21" s="669" t="n"/>
      <c r="M21" s="669" t="n"/>
      <c r="N21" s="669" t="n"/>
      <c r="O21" s="669" t="n"/>
      <c r="P21" s="669" t="n"/>
      <c r="Q21" s="669" t="n"/>
      <c r="R21" s="669" t="n"/>
      <c r="S21" s="669" t="n"/>
      <c r="T21" s="669" t="n"/>
      <c r="U21" s="669" t="n"/>
      <c r="V21" s="669" t="n"/>
      <c r="W21" s="669" t="n"/>
      <c r="X21" s="669" t="n"/>
      <c r="Y21" s="669" t="n"/>
      <c r="Z21" s="669" t="n"/>
    </row>
    <row r="22">
      <c r="A22" s="797" t="inlineStr">
        <is>
          <t>Partner</t>
        </is>
      </c>
      <c r="B22" s="797" t="inlineStr">
        <is>
          <t>Zombie</t>
        </is>
      </c>
      <c r="C22" s="797" t="inlineStr">
        <is>
          <t>Demon</t>
        </is>
      </c>
      <c r="D22" s="797" t="inlineStr">
        <is>
          <t>Angel</t>
        </is>
      </c>
      <c r="E22" s="797" t="inlineStr">
        <is>
          <t>Mutant</t>
        </is>
      </c>
      <c r="F22" s="797" t="inlineStr">
        <is>
          <t>Mecha</t>
        </is>
      </c>
      <c r="G22" s="797" t="inlineStr">
        <is>
          <t>Dragon</t>
        </is>
      </c>
      <c r="H22" s="797" t="inlineStr">
        <is>
          <t>Specialty</t>
        </is>
      </c>
      <c r="I22" s="669" t="n"/>
      <c r="J22" s="669" t="n"/>
      <c r="K22" s="669" t="n"/>
      <c r="L22" s="669" t="n"/>
      <c r="M22" s="669" t="n"/>
      <c r="N22" s="669" t="n"/>
      <c r="O22" s="669" t="n"/>
      <c r="P22" s="669" t="n"/>
      <c r="Q22" s="669" t="n"/>
      <c r="R22" s="669" t="n"/>
      <c r="S22" s="669" t="n"/>
      <c r="T22" s="669" t="n"/>
      <c r="U22" s="669" t="n"/>
      <c r="V22" s="669" t="n"/>
      <c r="W22" s="669" t="n"/>
      <c r="X22" s="669" t="n"/>
      <c r="Y22" s="669" t="n"/>
      <c r="Z22" s="669" t="n"/>
    </row>
    <row r="23">
      <c r="A23" s="798" t="inlineStr">
        <is>
          <t>Kim Chi-yum</t>
        </is>
      </c>
      <c r="B23" s="798" t="n">
        <v>43</v>
      </c>
      <c r="C23" s="798" t="n">
        <v>32</v>
      </c>
      <c r="D23" s="798" t="n">
        <v>70</v>
      </c>
      <c r="E23" s="798" t="n">
        <v>19</v>
      </c>
      <c r="F23" s="798" t="n">
        <v>11</v>
      </c>
      <c r="G23" s="798" t="n">
        <v>25</v>
      </c>
      <c r="H23" s="798" t="inlineStr">
        <is>
          <t>Angel</t>
        </is>
      </c>
      <c r="I23" s="669" t="n"/>
      <c r="J23" s="669" t="n"/>
      <c r="K23" s="669" t="n"/>
      <c r="L23" s="669" t="n"/>
      <c r="M23" s="669" t="n"/>
      <c r="N23" s="669" t="n"/>
      <c r="O23" s="669" t="n"/>
      <c r="P23" s="669" t="n"/>
      <c r="Q23" s="669" t="n"/>
      <c r="R23" s="669" t="n"/>
      <c r="S23" s="669" t="n"/>
      <c r="T23" s="669" t="n"/>
      <c r="U23" s="669" t="n"/>
      <c r="V23" s="669" t="n"/>
      <c r="W23" s="669" t="n"/>
      <c r="X23" s="669" t="n"/>
      <c r="Y23" s="669" t="n"/>
      <c r="Z23" s="669" t="n"/>
    </row>
    <row r="24">
      <c r="A24" s="798" t="inlineStr">
        <is>
          <t>Athena</t>
        </is>
      </c>
      <c r="B24" s="798" t="n">
        <v>16</v>
      </c>
      <c r="C24" s="798" t="n">
        <v>18</v>
      </c>
      <c r="D24" s="798" t="n">
        <v>76</v>
      </c>
      <c r="E24" s="798" t="n">
        <v>38</v>
      </c>
      <c r="F24" s="798" t="n">
        <v>22</v>
      </c>
      <c r="G24" s="798" t="n">
        <v>30</v>
      </c>
      <c r="H24" s="798" t="inlineStr">
        <is>
          <t>Angel</t>
        </is>
      </c>
      <c r="I24" s="669" t="n"/>
      <c r="J24" s="669" t="n"/>
      <c r="K24" s="669" t="n"/>
      <c r="L24" s="669" t="n"/>
      <c r="M24" s="669" t="n"/>
      <c r="N24" s="669" t="n"/>
      <c r="O24" s="669" t="n"/>
      <c r="P24" s="669" t="n"/>
      <c r="Q24" s="669" t="n"/>
      <c r="R24" s="669" t="n"/>
      <c r="S24" s="669" t="n"/>
      <c r="T24" s="669" t="n"/>
      <c r="U24" s="669" t="n"/>
      <c r="V24" s="669" t="n"/>
      <c r="W24" s="669" t="n"/>
      <c r="X24" s="669" t="n"/>
      <c r="Y24" s="669" t="n"/>
      <c r="Z24" s="669" t="n"/>
    </row>
    <row r="25">
      <c r="A25" s="798" t="inlineStr">
        <is>
          <t>Toraemon</t>
        </is>
      </c>
      <c r="B25" s="798" t="n">
        <v>12</v>
      </c>
      <c r="C25" s="798" t="n">
        <v>20</v>
      </c>
      <c r="D25" s="798" t="n">
        <v>73</v>
      </c>
      <c r="E25" s="798" t="n">
        <v>42</v>
      </c>
      <c r="F25" s="798" t="n">
        <v>22</v>
      </c>
      <c r="G25" s="798" t="n">
        <v>31</v>
      </c>
      <c r="H25" s="798" t="inlineStr">
        <is>
          <t>Angel</t>
        </is>
      </c>
      <c r="I25" s="669" t="n"/>
      <c r="J25" s="669" t="n"/>
      <c r="K25" s="669" t="n"/>
      <c r="L25" s="669" t="n"/>
      <c r="M25" s="669" t="n"/>
      <c r="N25" s="669" t="n"/>
      <c r="O25" s="669" t="n"/>
      <c r="P25" s="669" t="n"/>
      <c r="Q25" s="669" t="n"/>
      <c r="R25" s="669" t="n"/>
      <c r="S25" s="669" t="n"/>
      <c r="T25" s="669" t="n"/>
      <c r="U25" s="669" t="n"/>
      <c r="V25" s="669" t="n"/>
      <c r="W25" s="669" t="n"/>
      <c r="X25" s="669" t="n"/>
      <c r="Y25" s="669" t="n"/>
      <c r="Z25" s="669" t="n"/>
    </row>
    <row r="26">
      <c r="A26" s="798" t="inlineStr">
        <is>
          <t>Leeku</t>
        </is>
      </c>
      <c r="B26" s="798" t="n">
        <v>8</v>
      </c>
      <c r="C26" s="798" t="n">
        <v>25</v>
      </c>
      <c r="D26" s="798" t="n">
        <v>71</v>
      </c>
      <c r="E26" s="798" t="n">
        <v>16</v>
      </c>
      <c r="F26" s="798" t="n">
        <v>55</v>
      </c>
      <c r="G26" s="798" t="n">
        <v>25</v>
      </c>
      <c r="H26" s="798" t="inlineStr">
        <is>
          <t>Angel</t>
        </is>
      </c>
      <c r="I26" s="669" t="n"/>
      <c r="J26" s="669" t="n"/>
      <c r="K26" s="669" t="n"/>
      <c r="L26" s="669" t="n"/>
      <c r="M26" s="669" t="n"/>
      <c r="N26" s="669" t="n"/>
      <c r="O26" s="669" t="n"/>
      <c r="P26" s="669" t="n"/>
      <c r="Q26" s="669" t="n"/>
      <c r="R26" s="669" t="n"/>
      <c r="S26" s="669" t="n"/>
      <c r="T26" s="669" t="n"/>
      <c r="U26" s="669" t="n"/>
      <c r="V26" s="669" t="n"/>
      <c r="W26" s="669" t="n"/>
      <c r="X26" s="669" t="n"/>
      <c r="Y26" s="669" t="n"/>
      <c r="Z26" s="669" t="n"/>
    </row>
    <row r="27">
      <c r="A27" s="798" t="inlineStr">
        <is>
          <t>Son of Will</t>
        </is>
      </c>
      <c r="B27" s="798" t="n">
        <v>22</v>
      </c>
      <c r="C27" s="798" t="n">
        <v>36</v>
      </c>
      <c r="D27" s="798" t="n">
        <v>75</v>
      </c>
      <c r="E27" s="798" t="n">
        <v>19</v>
      </c>
      <c r="F27" s="798" t="n">
        <v>25</v>
      </c>
      <c r="G27" s="798" t="n">
        <v>23</v>
      </c>
      <c r="H27" s="798" t="inlineStr">
        <is>
          <t>Angel</t>
        </is>
      </c>
      <c r="I27" s="669" t="n"/>
      <c r="J27" s="669" t="n"/>
      <c r="K27" s="669" t="n"/>
      <c r="L27" s="669" t="n"/>
      <c r="M27" s="669" t="n"/>
      <c r="N27" s="669" t="n"/>
      <c r="O27" s="669" t="n"/>
      <c r="P27" s="669" t="n"/>
      <c r="Q27" s="669" t="n"/>
      <c r="R27" s="669" t="n"/>
      <c r="S27" s="669" t="n"/>
      <c r="T27" s="669" t="n"/>
      <c r="U27" s="669" t="n"/>
      <c r="V27" s="669" t="n"/>
      <c r="W27" s="669" t="n"/>
      <c r="X27" s="669" t="n"/>
      <c r="Y27" s="669" t="n"/>
      <c r="Z27" s="669" t="n"/>
    </row>
    <row r="28">
      <c r="A28" s="800" t="inlineStr">
        <is>
          <t>Prince Nerd</t>
        </is>
      </c>
      <c r="B28" s="800" t="n">
        <v>70</v>
      </c>
      <c r="C28" s="800" t="n">
        <v>45</v>
      </c>
      <c r="D28" s="800" t="n">
        <v>8</v>
      </c>
      <c r="E28" s="800" t="n">
        <v>18</v>
      </c>
      <c r="F28" s="800" t="n">
        <v>29</v>
      </c>
      <c r="G28" s="800" t="n">
        <v>30</v>
      </c>
      <c r="H28" s="800" t="inlineStr">
        <is>
          <t>Zombie</t>
        </is>
      </c>
      <c r="I28" s="669" t="n"/>
      <c r="J28" s="669" t="n"/>
      <c r="K28" s="669" t="n"/>
      <c r="L28" s="669" t="n"/>
      <c r="M28" s="669" t="n"/>
      <c r="N28" s="669" t="n"/>
      <c r="O28" s="669" t="n"/>
      <c r="P28" s="669" t="n"/>
      <c r="Q28" s="669" t="n"/>
      <c r="R28" s="669" t="n"/>
      <c r="S28" s="669" t="n"/>
      <c r="T28" s="669" t="n"/>
      <c r="U28" s="669" t="n"/>
      <c r="V28" s="669" t="n"/>
      <c r="W28" s="669" t="n"/>
      <c r="X28" s="669" t="n"/>
      <c r="Y28" s="669" t="n"/>
      <c r="Z28" s="669" t="n"/>
    </row>
    <row r="29">
      <c r="A29" s="800" t="inlineStr">
        <is>
          <t>Ghost Zadako</t>
        </is>
      </c>
      <c r="B29" s="800" t="n">
        <v>73</v>
      </c>
      <c r="C29" s="800" t="n">
        <v>20</v>
      </c>
      <c r="D29" s="800" t="n">
        <v>12</v>
      </c>
      <c r="E29" s="800" t="n">
        <v>22</v>
      </c>
      <c r="F29" s="800" t="n">
        <v>42</v>
      </c>
      <c r="G29" s="800" t="n">
        <v>31</v>
      </c>
      <c r="H29" s="800" t="inlineStr">
        <is>
          <t>Zombie</t>
        </is>
      </c>
      <c r="I29" s="669" t="n"/>
      <c r="J29" s="669" t="n"/>
      <c r="K29" s="669" t="n"/>
      <c r="L29" s="669" t="n"/>
      <c r="M29" s="669" t="n"/>
      <c r="N29" s="669" t="n"/>
      <c r="O29" s="669" t="n"/>
      <c r="P29" s="669" t="n"/>
      <c r="Q29" s="669" t="n"/>
      <c r="R29" s="669" t="n"/>
      <c r="S29" s="669" t="n"/>
      <c r="T29" s="669" t="n"/>
      <c r="U29" s="669" t="n"/>
      <c r="V29" s="669" t="n"/>
      <c r="W29" s="669" t="n"/>
      <c r="X29" s="669" t="n"/>
      <c r="Y29" s="669" t="n"/>
      <c r="Z29" s="669" t="n"/>
    </row>
    <row r="30">
      <c r="A30" s="800" t="inlineStr">
        <is>
          <t>Sewer Turtle</t>
        </is>
      </c>
      <c r="B30" s="800" t="n">
        <v>71</v>
      </c>
      <c r="C30" s="800" t="n">
        <v>12</v>
      </c>
      <c r="D30" s="800" t="n">
        <v>43</v>
      </c>
      <c r="E30" s="800" t="n">
        <v>32</v>
      </c>
      <c r="F30" s="800" t="n">
        <v>25</v>
      </c>
      <c r="G30" s="800" t="n">
        <v>17</v>
      </c>
      <c r="H30" s="800" t="inlineStr">
        <is>
          <t>Zombie</t>
        </is>
      </c>
      <c r="I30" s="669" t="n"/>
      <c r="J30" s="669" t="n"/>
      <c r="K30" s="669" t="n"/>
      <c r="L30" s="669" t="n"/>
      <c r="M30" s="669" t="n"/>
      <c r="N30" s="669" t="n"/>
      <c r="O30" s="669" t="n"/>
      <c r="P30" s="669" t="n"/>
      <c r="Q30" s="669" t="n"/>
      <c r="R30" s="669" t="n"/>
      <c r="S30" s="669" t="n"/>
      <c r="T30" s="669" t="n"/>
      <c r="U30" s="669" t="n"/>
      <c r="V30" s="669" t="n"/>
      <c r="W30" s="669" t="n"/>
      <c r="X30" s="669" t="n"/>
      <c r="Y30" s="669" t="n"/>
      <c r="Z30" s="669" t="n"/>
    </row>
    <row r="31">
      <c r="A31" s="800" t="inlineStr">
        <is>
          <t>Nito UR</t>
        </is>
      </c>
      <c r="B31" s="800" t="n">
        <v>71</v>
      </c>
      <c r="C31" s="800" t="n">
        <v>14</v>
      </c>
      <c r="D31" s="800" t="n">
        <v>41</v>
      </c>
      <c r="E31" s="800" t="n">
        <v>30</v>
      </c>
      <c r="F31" s="800" t="n">
        <v>25</v>
      </c>
      <c r="G31" s="800" t="n">
        <v>19</v>
      </c>
      <c r="H31" s="800" t="inlineStr">
        <is>
          <t>Zombie</t>
        </is>
      </c>
      <c r="I31" s="669" t="n"/>
      <c r="J31" s="669" t="n"/>
      <c r="K31" s="669" t="n"/>
      <c r="L31" s="669" t="n"/>
      <c r="M31" s="669" t="n"/>
      <c r="N31" s="669" t="n"/>
      <c r="O31" s="669" t="n"/>
      <c r="P31" s="669" t="n"/>
      <c r="Q31" s="669" t="n"/>
      <c r="R31" s="669" t="n"/>
      <c r="S31" s="669" t="n"/>
      <c r="T31" s="669" t="n"/>
      <c r="U31" s="669" t="n"/>
      <c r="V31" s="669" t="n"/>
      <c r="W31" s="669" t="n"/>
      <c r="X31" s="669" t="n"/>
      <c r="Y31" s="669" t="n"/>
      <c r="Z31" s="669" t="n"/>
    </row>
    <row r="32">
      <c r="A32" s="800" t="inlineStr">
        <is>
          <t>Babyeater</t>
        </is>
      </c>
      <c r="B32" s="800" t="n">
        <v>76</v>
      </c>
      <c r="C32" s="800" t="n">
        <v>32</v>
      </c>
      <c r="D32" s="800" t="n">
        <v>27</v>
      </c>
      <c r="E32" s="800" t="n">
        <v>43</v>
      </c>
      <c r="F32" s="800" t="n">
        <v>18</v>
      </c>
      <c r="G32" s="800" t="n">
        <v>4</v>
      </c>
      <c r="H32" s="800" t="inlineStr">
        <is>
          <t>Zombie</t>
        </is>
      </c>
      <c r="I32" s="669" t="n"/>
      <c r="J32" s="669" t="n"/>
      <c r="K32" s="669" t="n"/>
      <c r="L32" s="669" t="n"/>
      <c r="M32" s="669" t="n"/>
      <c r="N32" s="669" t="n"/>
      <c r="O32" s="669" t="n"/>
      <c r="P32" s="669" t="n"/>
      <c r="Q32" s="669" t="n"/>
      <c r="R32" s="669" t="n"/>
      <c r="S32" s="669" t="n"/>
      <c r="T32" s="669" t="n"/>
      <c r="U32" s="669" t="n"/>
      <c r="V32" s="669" t="n"/>
      <c r="W32" s="669" t="n"/>
      <c r="X32" s="669" t="n"/>
      <c r="Y32" s="669" t="n"/>
      <c r="Z32" s="669" t="n"/>
    </row>
    <row r="33">
      <c r="A33" s="802" t="inlineStr">
        <is>
          <t>Big Gal Park</t>
        </is>
      </c>
      <c r="B33" s="802" t="n">
        <v>22</v>
      </c>
      <c r="C33" s="802" t="n">
        <v>71</v>
      </c>
      <c r="D33" s="802" t="n">
        <v>32</v>
      </c>
      <c r="E33" s="802" t="n">
        <v>42</v>
      </c>
      <c r="F33" s="802" t="n">
        <v>14</v>
      </c>
      <c r="G33" s="802" t="n">
        <v>19</v>
      </c>
      <c r="H33" s="802" t="inlineStr">
        <is>
          <t>Demon</t>
        </is>
      </c>
      <c r="I33" s="669" t="n"/>
      <c r="J33" s="669" t="n"/>
      <c r="K33" s="669" t="n"/>
      <c r="L33" s="669" t="n"/>
      <c r="M33" s="669" t="n"/>
      <c r="N33" s="669" t="n"/>
      <c r="O33" s="669" t="n"/>
      <c r="P33" s="669" t="n"/>
      <c r="Q33" s="669" t="n"/>
      <c r="R33" s="669" t="n"/>
      <c r="S33" s="669" t="n"/>
      <c r="T33" s="669" t="n"/>
      <c r="U33" s="669" t="n"/>
      <c r="V33" s="669" t="n"/>
      <c r="W33" s="669" t="n"/>
      <c r="X33" s="669" t="n"/>
      <c r="Y33" s="669" t="n"/>
      <c r="Z33" s="669" t="n"/>
    </row>
    <row r="34">
      <c r="A34" s="802" t="inlineStr">
        <is>
          <t>Red Doe</t>
        </is>
      </c>
      <c r="B34" s="802" t="n">
        <v>8</v>
      </c>
      <c r="C34" s="802" t="n">
        <v>70</v>
      </c>
      <c r="D34" s="802" t="n">
        <v>47</v>
      </c>
      <c r="E34" s="802" t="n">
        <v>24</v>
      </c>
      <c r="F34" s="802" t="n">
        <v>26</v>
      </c>
      <c r="G34" s="802" t="n">
        <v>25</v>
      </c>
      <c r="H34" s="802" t="inlineStr">
        <is>
          <t>Demon</t>
        </is>
      </c>
      <c r="I34" s="669" t="n"/>
      <c r="J34" s="669" t="n"/>
      <c r="K34" s="669" t="n"/>
      <c r="L34" s="669" t="n"/>
      <c r="M34" s="669" t="n"/>
      <c r="N34" s="669" t="n"/>
      <c r="O34" s="669" t="n"/>
      <c r="P34" s="669" t="n"/>
      <c r="Q34" s="669" t="n"/>
      <c r="R34" s="669" t="n"/>
      <c r="S34" s="669" t="n"/>
      <c r="T34" s="669" t="n"/>
      <c r="U34" s="669" t="n"/>
      <c r="V34" s="669" t="n"/>
      <c r="W34" s="669" t="n"/>
      <c r="X34" s="669" t="n"/>
      <c r="Y34" s="669" t="n"/>
      <c r="Z34" s="669" t="n"/>
    </row>
    <row r="35">
      <c r="A35" s="802" t="inlineStr">
        <is>
          <t>Sleuth Doom</t>
        </is>
      </c>
      <c r="B35" s="802" t="n">
        <v>11</v>
      </c>
      <c r="C35" s="802" t="n">
        <v>72</v>
      </c>
      <c r="D35" s="802" t="n">
        <v>45</v>
      </c>
      <c r="E35" s="802" t="n">
        <v>25</v>
      </c>
      <c r="F35" s="802" t="n">
        <v>23</v>
      </c>
      <c r="G35" s="802" t="n">
        <v>24</v>
      </c>
      <c r="H35" s="802" t="inlineStr">
        <is>
          <t>Demon</t>
        </is>
      </c>
      <c r="I35" s="669" t="n"/>
      <c r="J35" s="669" t="n"/>
      <c r="K35" s="669" t="n"/>
      <c r="L35" s="669" t="n"/>
      <c r="M35" s="669" t="n"/>
      <c r="N35" s="669" t="n"/>
      <c r="O35" s="669" t="n"/>
      <c r="P35" s="669" t="n"/>
      <c r="Q35" s="669" t="n"/>
      <c r="R35" s="669" t="n"/>
      <c r="S35" s="669" t="n"/>
      <c r="T35" s="669" t="n"/>
      <c r="U35" s="669" t="n"/>
      <c r="V35" s="669" t="n"/>
      <c r="W35" s="669" t="n"/>
      <c r="X35" s="669" t="n"/>
      <c r="Y35" s="669" t="n"/>
      <c r="Z35" s="669" t="n"/>
    </row>
    <row r="36">
      <c r="A36" s="802" t="inlineStr">
        <is>
          <t>Neandergal</t>
        </is>
      </c>
      <c r="B36" s="802" t="n">
        <v>25</v>
      </c>
      <c r="C36" s="802" t="n">
        <v>71</v>
      </c>
      <c r="D36" s="802" t="n">
        <v>17</v>
      </c>
      <c r="E36" s="802" t="n">
        <v>40</v>
      </c>
      <c r="F36" s="802" t="n">
        <v>30</v>
      </c>
      <c r="G36" s="802" t="n">
        <v>16</v>
      </c>
      <c r="H36" s="802" t="inlineStr">
        <is>
          <t>Demon</t>
        </is>
      </c>
      <c r="I36" s="669" t="n"/>
      <c r="J36" s="669" t="n"/>
      <c r="K36" s="669" t="n"/>
      <c r="L36" s="669" t="n"/>
      <c r="M36" s="669" t="n"/>
      <c r="N36" s="669" t="n"/>
      <c r="O36" s="669" t="n"/>
      <c r="P36" s="669" t="n"/>
      <c r="Q36" s="669" t="n"/>
      <c r="R36" s="669" t="n"/>
      <c r="S36" s="669" t="n"/>
      <c r="T36" s="669" t="n"/>
      <c r="U36" s="669" t="n"/>
      <c r="V36" s="669" t="n"/>
      <c r="W36" s="669" t="n"/>
      <c r="X36" s="669" t="n"/>
      <c r="Y36" s="669" t="n"/>
      <c r="Z36" s="669" t="n"/>
    </row>
    <row r="37">
      <c r="A37" s="802" t="inlineStr">
        <is>
          <t>Fallen Noble</t>
        </is>
      </c>
      <c r="B37" s="802" t="n">
        <v>47</v>
      </c>
      <c r="C37" s="802" t="n">
        <v>76</v>
      </c>
      <c r="D37" s="802" t="n">
        <v>26</v>
      </c>
      <c r="E37" s="802" t="n">
        <v>23</v>
      </c>
      <c r="F37" s="802" t="n">
        <v>4</v>
      </c>
      <c r="G37" s="802" t="n">
        <v>25</v>
      </c>
      <c r="H37" s="802" t="inlineStr">
        <is>
          <t>Demon</t>
        </is>
      </c>
      <c r="I37" s="669" t="n"/>
      <c r="J37" s="669" t="n"/>
      <c r="K37" s="669" t="n"/>
      <c r="L37" s="669" t="n"/>
      <c r="M37" s="669" t="n"/>
      <c r="N37" s="669" t="n"/>
      <c r="O37" s="669" t="n"/>
      <c r="P37" s="669" t="n"/>
      <c r="Q37" s="669" t="n"/>
      <c r="R37" s="669" t="n"/>
      <c r="S37" s="669" t="n"/>
      <c r="T37" s="669" t="n"/>
      <c r="U37" s="669" t="n"/>
      <c r="V37" s="669" t="n"/>
      <c r="W37" s="669" t="n"/>
      <c r="X37" s="669" t="n"/>
      <c r="Y37" s="669" t="n"/>
      <c r="Z37" s="669" t="n"/>
    </row>
    <row r="38">
      <c r="A38" s="804" t="inlineStr">
        <is>
          <t>Chichikaka</t>
        </is>
      </c>
      <c r="B38" s="804" t="n">
        <v>31</v>
      </c>
      <c r="C38" s="804" t="n">
        <v>35</v>
      </c>
      <c r="D38" s="804" t="n">
        <v>17</v>
      </c>
      <c r="E38" s="804" t="n">
        <v>71</v>
      </c>
      <c r="F38" s="804" t="n">
        <v>35</v>
      </c>
      <c r="G38" s="804" t="n">
        <v>11</v>
      </c>
      <c r="H38" s="804" t="inlineStr">
        <is>
          <t>Mutant</t>
        </is>
      </c>
      <c r="I38" s="669" t="n"/>
      <c r="J38" s="669" t="n"/>
      <c r="K38" s="669" t="n"/>
      <c r="L38" s="669" t="n"/>
      <c r="M38" s="669" t="n"/>
      <c r="N38" s="669" t="n"/>
      <c r="O38" s="669" t="n"/>
      <c r="P38" s="669" t="n"/>
      <c r="Q38" s="669" t="n"/>
      <c r="R38" s="669" t="n"/>
      <c r="S38" s="669" t="n"/>
      <c r="T38" s="669" t="n"/>
      <c r="U38" s="669" t="n"/>
      <c r="V38" s="669" t="n"/>
      <c r="W38" s="669" t="n"/>
      <c r="X38" s="669" t="n"/>
      <c r="Y38" s="669" t="n"/>
      <c r="Z38" s="669" t="n"/>
    </row>
    <row r="39">
      <c r="A39" s="804" t="inlineStr">
        <is>
          <t>Lee Gi-na</t>
        </is>
      </c>
      <c r="B39" s="804" t="n">
        <v>43</v>
      </c>
      <c r="C39" s="804" t="n">
        <v>32</v>
      </c>
      <c r="D39" s="804" t="n">
        <v>29</v>
      </c>
      <c r="E39" s="804" t="n">
        <v>71</v>
      </c>
      <c r="F39" s="804" t="n">
        <v>11</v>
      </c>
      <c r="G39" s="804" t="n">
        <v>15</v>
      </c>
      <c r="H39" s="804" t="inlineStr">
        <is>
          <t>Mutant</t>
        </is>
      </c>
      <c r="I39" s="669" t="n"/>
      <c r="J39" s="669" t="n"/>
      <c r="K39" s="669" t="n"/>
      <c r="L39" s="669" t="n"/>
      <c r="M39" s="669" t="n"/>
      <c r="N39" s="669" t="n"/>
      <c r="O39" s="669" t="n"/>
      <c r="P39" s="669" t="n"/>
      <c r="Q39" s="669" t="n"/>
      <c r="R39" s="669" t="n"/>
      <c r="S39" s="669" t="n"/>
      <c r="T39" s="669" t="n"/>
      <c r="U39" s="669" t="n"/>
      <c r="V39" s="669" t="n"/>
      <c r="W39" s="669" t="n"/>
      <c r="X39" s="669" t="n"/>
      <c r="Y39" s="669" t="n"/>
      <c r="Z39" s="669" t="n"/>
    </row>
    <row r="40">
      <c r="A40" s="804" t="inlineStr">
        <is>
          <t>Demon Chan-hee</t>
        </is>
      </c>
      <c r="B40" s="804" t="n">
        <v>34</v>
      </c>
      <c r="C40" s="804" t="n">
        <v>30</v>
      </c>
      <c r="D40" s="804" t="n">
        <v>29</v>
      </c>
      <c r="E40" s="804" t="n">
        <v>71</v>
      </c>
      <c r="F40" s="804" t="n">
        <v>16</v>
      </c>
      <c r="G40" s="804" t="n">
        <v>20</v>
      </c>
      <c r="H40" s="804" t="inlineStr">
        <is>
          <t>Mutant</t>
        </is>
      </c>
      <c r="I40" s="669" t="n"/>
      <c r="J40" s="669" t="n"/>
      <c r="K40" s="669" t="n"/>
      <c r="L40" s="669" t="n"/>
      <c r="M40" s="669" t="n"/>
      <c r="N40" s="669" t="n"/>
      <c r="O40" s="669" t="n"/>
      <c r="P40" s="669" t="n"/>
      <c r="Q40" s="669" t="n"/>
      <c r="R40" s="669" t="n"/>
      <c r="S40" s="669" t="n"/>
      <c r="T40" s="669" t="n"/>
      <c r="U40" s="669" t="n"/>
      <c r="V40" s="669" t="n"/>
      <c r="W40" s="669" t="n"/>
      <c r="X40" s="669" t="n"/>
      <c r="Y40" s="669" t="n"/>
      <c r="Z40" s="669" t="n"/>
    </row>
    <row r="41">
      <c r="A41" s="804" t="inlineStr">
        <is>
          <t>Female Daemon</t>
        </is>
      </c>
      <c r="B41" s="804" t="n">
        <v>31</v>
      </c>
      <c r="C41" s="804" t="n">
        <v>32</v>
      </c>
      <c r="D41" s="804" t="n">
        <v>17</v>
      </c>
      <c r="E41" s="804" t="n">
        <v>74</v>
      </c>
      <c r="F41" s="804" t="n">
        <v>33</v>
      </c>
      <c r="G41" s="804" t="n">
        <v>13</v>
      </c>
      <c r="H41" s="804" t="inlineStr">
        <is>
          <t>Mutant</t>
        </is>
      </c>
      <c r="I41" s="669" t="n"/>
      <c r="J41" s="669" t="n"/>
      <c r="K41" s="669" t="n"/>
      <c r="L41" s="669" t="n"/>
      <c r="M41" s="669" t="n"/>
      <c r="N41" s="669" t="n"/>
      <c r="O41" s="669" t="n"/>
      <c r="P41" s="669" t="n"/>
      <c r="Q41" s="669" t="n"/>
      <c r="R41" s="669" t="n"/>
      <c r="S41" s="669" t="n"/>
      <c r="T41" s="669" t="n"/>
      <c r="U41" s="669" t="n"/>
      <c r="V41" s="669" t="n"/>
      <c r="W41" s="669" t="n"/>
      <c r="X41" s="669" t="n"/>
      <c r="Y41" s="669" t="n"/>
      <c r="Z41" s="669" t="n"/>
    </row>
    <row r="42">
      <c r="A42" s="804" t="inlineStr">
        <is>
          <t>Roachikun</t>
        </is>
      </c>
      <c r="B42" s="804" t="n">
        <v>28</v>
      </c>
      <c r="C42" s="804" t="n">
        <v>45</v>
      </c>
      <c r="D42" s="804" t="n">
        <v>23</v>
      </c>
      <c r="E42" s="804" t="n">
        <v>75</v>
      </c>
      <c r="F42" s="804" t="n">
        <v>9</v>
      </c>
      <c r="G42" s="804" t="n">
        <v>20</v>
      </c>
      <c r="H42" s="804" t="inlineStr">
        <is>
          <t>Mutant</t>
        </is>
      </c>
      <c r="I42" s="669" t="n"/>
      <c r="J42" s="669" t="n"/>
      <c r="K42" s="669" t="n"/>
      <c r="L42" s="669" t="n"/>
      <c r="M42" s="669" t="n"/>
      <c r="N42" s="669" t="n"/>
      <c r="O42" s="669" t="n"/>
      <c r="P42" s="669" t="n"/>
      <c r="Q42" s="669" t="n"/>
      <c r="R42" s="669" t="n"/>
      <c r="S42" s="669" t="n"/>
      <c r="T42" s="669" t="n"/>
      <c r="U42" s="669" t="n"/>
      <c r="V42" s="669" t="n"/>
      <c r="W42" s="669" t="n"/>
      <c r="X42" s="669" t="n"/>
      <c r="Y42" s="669" t="n"/>
      <c r="Z42" s="669" t="n"/>
    </row>
    <row r="43">
      <c r="A43" s="1006" t="inlineStr">
        <is>
          <t>Jiro Toyato</t>
        </is>
      </c>
      <c r="B43" s="1006" t="n">
        <v>17</v>
      </c>
      <c r="C43" s="1006" t="n">
        <v>30</v>
      </c>
      <c r="D43" s="1006" t="n">
        <v>28</v>
      </c>
      <c r="E43" s="1006" t="n">
        <v>34</v>
      </c>
      <c r="F43" s="1006" t="n">
        <v>71</v>
      </c>
      <c r="G43" s="1006" t="n">
        <v>20</v>
      </c>
      <c r="H43" s="1006" t="inlineStr">
        <is>
          <t>Mecha</t>
        </is>
      </c>
      <c r="I43" s="669" t="n"/>
      <c r="J43" s="669" t="n"/>
      <c r="K43" s="669" t="n"/>
      <c r="L43" s="669" t="n"/>
      <c r="M43" s="669" t="n"/>
      <c r="N43" s="669" t="n"/>
      <c r="O43" s="669" t="n"/>
      <c r="P43" s="669" t="n"/>
      <c r="Q43" s="669" t="n"/>
      <c r="R43" s="669" t="n"/>
      <c r="S43" s="669" t="n"/>
      <c r="T43" s="669" t="n"/>
      <c r="U43" s="669" t="n"/>
      <c r="V43" s="669" t="n"/>
      <c r="W43" s="669" t="n"/>
      <c r="X43" s="669" t="n"/>
      <c r="Y43" s="669" t="n"/>
      <c r="Z43" s="669" t="n"/>
    </row>
    <row r="44">
      <c r="A44" s="1006" t="inlineStr">
        <is>
          <t>Zhuge Liang</t>
        </is>
      </c>
      <c r="B44" s="1006" t="n">
        <v>16</v>
      </c>
      <c r="C44" s="1006" t="n">
        <v>40</v>
      </c>
      <c r="D44" s="1006" t="n">
        <v>19</v>
      </c>
      <c r="E44" s="1006" t="n">
        <v>24</v>
      </c>
      <c r="F44" s="1006" t="n">
        <v>73</v>
      </c>
      <c r="G44" s="1006" t="n">
        <v>28</v>
      </c>
      <c r="H44" s="1006" t="inlineStr">
        <is>
          <t>Mecha</t>
        </is>
      </c>
      <c r="I44" s="669" t="n"/>
      <c r="J44" s="669" t="n"/>
      <c r="K44" s="669" t="n"/>
      <c r="L44" s="669" t="n"/>
      <c r="M44" s="669" t="n"/>
      <c r="N44" s="669" t="n"/>
      <c r="O44" s="669" t="n"/>
      <c r="P44" s="669" t="n"/>
      <c r="Q44" s="669" t="n"/>
      <c r="R44" s="669" t="n"/>
      <c r="S44" s="669" t="n"/>
      <c r="T44" s="669" t="n"/>
      <c r="U44" s="669" t="n"/>
      <c r="V44" s="669" t="n"/>
      <c r="W44" s="669" t="n"/>
      <c r="X44" s="669" t="n"/>
      <c r="Y44" s="669" t="n"/>
      <c r="Z44" s="669" t="n"/>
    </row>
    <row r="45">
      <c r="A45" s="1006" t="inlineStr">
        <is>
          <t>Peter Jr.</t>
        </is>
      </c>
      <c r="B45" s="1006" t="n">
        <v>30</v>
      </c>
      <c r="C45" s="1006" t="n">
        <v>25</v>
      </c>
      <c r="D45" s="1006" t="n">
        <v>21</v>
      </c>
      <c r="E45" s="1006" t="n">
        <v>18</v>
      </c>
      <c r="F45" s="1006" t="n">
        <v>71</v>
      </c>
      <c r="G45" s="1006" t="n">
        <v>35</v>
      </c>
      <c r="H45" s="1006" t="inlineStr">
        <is>
          <t>Mecha</t>
        </is>
      </c>
      <c r="I45" s="669" t="n"/>
      <c r="J45" s="669" t="n"/>
      <c r="K45" s="669" t="n"/>
      <c r="L45" s="669" t="n"/>
      <c r="M45" s="669" t="n"/>
      <c r="N45" s="669" t="n"/>
      <c r="O45" s="669" t="n"/>
      <c r="P45" s="669" t="n"/>
      <c r="Q45" s="669" t="n"/>
      <c r="R45" s="669" t="n"/>
      <c r="S45" s="669" t="n"/>
      <c r="T45" s="669" t="n"/>
      <c r="U45" s="669" t="n"/>
      <c r="V45" s="669" t="n"/>
      <c r="W45" s="669" t="n"/>
      <c r="X45" s="669" t="n"/>
      <c r="Y45" s="669" t="n"/>
      <c r="Z45" s="669" t="n"/>
    </row>
    <row r="46">
      <c r="A46" s="1006" t="inlineStr">
        <is>
          <t>Snail Mech</t>
        </is>
      </c>
      <c r="B46" s="1006" t="n">
        <v>40</v>
      </c>
      <c r="C46" s="1006" t="n">
        <v>25</v>
      </c>
      <c r="D46" s="1006" t="n">
        <v>16</v>
      </c>
      <c r="E46" s="1006" t="n">
        <v>17</v>
      </c>
      <c r="F46" s="1006" t="n">
        <v>71</v>
      </c>
      <c r="G46" s="1006" t="n">
        <v>31</v>
      </c>
      <c r="H46" s="1006" t="inlineStr">
        <is>
          <t>Mecha</t>
        </is>
      </c>
      <c r="I46" s="669" t="n"/>
      <c r="J46" s="669" t="n"/>
      <c r="K46" s="669" t="n"/>
      <c r="L46" s="669" t="n"/>
      <c r="M46" s="669" t="n"/>
      <c r="N46" s="669" t="n"/>
      <c r="O46" s="669" t="n"/>
      <c r="P46" s="669" t="n"/>
      <c r="Q46" s="669" t="n"/>
      <c r="R46" s="669" t="n"/>
      <c r="S46" s="669" t="n"/>
      <c r="T46" s="669" t="n"/>
      <c r="U46" s="669" t="n"/>
      <c r="V46" s="669" t="n"/>
      <c r="W46" s="669" t="n"/>
      <c r="X46" s="669" t="n"/>
      <c r="Y46" s="669" t="n"/>
      <c r="Z46" s="669" t="n"/>
    </row>
    <row r="47">
      <c r="A47" s="806" t="inlineStr">
        <is>
          <t>Taoist Yu Ji</t>
        </is>
      </c>
      <c r="B47" s="806" t="n">
        <v>35</v>
      </c>
      <c r="C47" s="806" t="n">
        <v>32</v>
      </c>
      <c r="D47" s="806" t="n">
        <v>2</v>
      </c>
      <c r="E47" s="806" t="n">
        <v>29</v>
      </c>
      <c r="F47" s="806" t="n">
        <v>32</v>
      </c>
      <c r="G47" s="806" t="n">
        <v>70</v>
      </c>
      <c r="H47" s="806" t="inlineStr">
        <is>
          <t>Dragon</t>
        </is>
      </c>
      <c r="I47" s="669" t="n"/>
      <c r="J47" s="669" t="n"/>
      <c r="K47" s="669" t="n"/>
      <c r="L47" s="669" t="n"/>
      <c r="M47" s="669" t="n"/>
      <c r="N47" s="669" t="n"/>
      <c r="O47" s="669" t="n"/>
      <c r="P47" s="669" t="n"/>
      <c r="Q47" s="669" t="n"/>
      <c r="R47" s="669" t="n"/>
      <c r="S47" s="669" t="n"/>
      <c r="T47" s="669" t="n"/>
      <c r="U47" s="669" t="n"/>
      <c r="V47" s="669" t="n"/>
      <c r="W47" s="669" t="n"/>
      <c r="X47" s="669" t="n"/>
      <c r="Y47" s="669" t="n"/>
      <c r="Z47" s="669" t="n"/>
    </row>
    <row r="48">
      <c r="A48" s="806" t="inlineStr">
        <is>
          <t>Mosasaur</t>
        </is>
      </c>
      <c r="B48" s="806" t="n">
        <v>35</v>
      </c>
      <c r="C48" s="806" t="n">
        <v>30</v>
      </c>
      <c r="D48" s="806" t="n">
        <v>8</v>
      </c>
      <c r="E48" s="806" t="n">
        <v>25</v>
      </c>
      <c r="F48" s="806" t="n">
        <v>30</v>
      </c>
      <c r="G48" s="806" t="n">
        <v>72</v>
      </c>
      <c r="H48" s="806" t="inlineStr">
        <is>
          <t>Dragon</t>
        </is>
      </c>
      <c r="I48" s="669" t="n"/>
      <c r="J48" s="669" t="n"/>
      <c r="K48" s="669" t="n"/>
      <c r="L48" s="669" t="n"/>
      <c r="M48" s="669" t="n"/>
      <c r="N48" s="669" t="n"/>
      <c r="O48" s="669" t="n"/>
      <c r="P48" s="669" t="n"/>
      <c r="Q48" s="669" t="n"/>
      <c r="R48" s="669" t="n"/>
      <c r="S48" s="669" t="n"/>
      <c r="T48" s="669" t="n"/>
      <c r="U48" s="669" t="n"/>
      <c r="V48" s="669" t="n"/>
      <c r="W48" s="669" t="n"/>
      <c r="X48" s="669" t="n"/>
      <c r="Y48" s="669" t="n"/>
      <c r="Z48" s="669" t="n"/>
    </row>
    <row r="49">
      <c r="A49" s="806" t="inlineStr">
        <is>
          <t>Slug Dragon Tutor</t>
        </is>
      </c>
      <c r="B49" s="806" t="n">
        <v>17</v>
      </c>
      <c r="C49" s="806" t="n">
        <v>31</v>
      </c>
      <c r="D49" s="806" t="n">
        <v>29</v>
      </c>
      <c r="E49" s="806" t="n">
        <v>34</v>
      </c>
      <c r="F49" s="806" t="n">
        <v>16</v>
      </c>
      <c r="G49" s="806" t="n">
        <v>73</v>
      </c>
      <c r="H49" s="806" t="inlineStr">
        <is>
          <t>Dragon</t>
        </is>
      </c>
      <c r="I49" s="669" t="n"/>
      <c r="J49" s="669" t="n"/>
      <c r="K49" s="669" t="n"/>
      <c r="L49" s="669" t="n"/>
      <c r="M49" s="669" t="n"/>
      <c r="N49" s="669" t="n"/>
      <c r="O49" s="669" t="n"/>
      <c r="P49" s="669" t="n"/>
      <c r="Q49" s="669" t="n"/>
      <c r="R49" s="669" t="n"/>
      <c r="S49" s="669" t="n"/>
      <c r="T49" s="669" t="n"/>
      <c r="U49" s="669" t="n"/>
      <c r="V49" s="669" t="n"/>
      <c r="W49" s="669" t="n"/>
      <c r="X49" s="669" t="n"/>
      <c r="Y49" s="669" t="n"/>
      <c r="Z49" s="669" t="n"/>
    </row>
    <row r="50">
      <c r="A50" s="806" t="inlineStr">
        <is>
          <t>Must-Not-Name</t>
        </is>
      </c>
      <c r="B50" s="806" t="n">
        <v>10</v>
      </c>
      <c r="C50" s="806" t="n">
        <v>41</v>
      </c>
      <c r="D50" s="806" t="n">
        <v>12</v>
      </c>
      <c r="E50" s="806" t="n">
        <v>22</v>
      </c>
      <c r="F50" s="806" t="n">
        <v>46</v>
      </c>
      <c r="G50" s="806" t="n">
        <v>71</v>
      </c>
      <c r="H50" s="806" t="inlineStr">
        <is>
          <t>Dragon</t>
        </is>
      </c>
      <c r="I50" s="669" t="n"/>
      <c r="J50" s="669" t="n"/>
      <c r="K50" s="669" t="n"/>
      <c r="L50" s="669" t="n"/>
      <c r="M50" s="669" t="n"/>
      <c r="N50" s="669" t="n"/>
      <c r="O50" s="669" t="n"/>
      <c r="P50" s="669" t="n"/>
      <c r="Q50" s="669" t="n"/>
      <c r="R50" s="669" t="n"/>
      <c r="S50" s="669" t="n"/>
      <c r="T50" s="669" t="n"/>
      <c r="U50" s="669" t="n"/>
      <c r="V50" s="669" t="n"/>
      <c r="W50" s="669" t="n"/>
      <c r="X50" s="669" t="n"/>
      <c r="Y50" s="669" t="n"/>
      <c r="Z50" s="669" t="n"/>
    </row>
    <row r="51">
      <c r="A51" s="806" t="inlineStr">
        <is>
          <t>Dragoness Hub</t>
        </is>
      </c>
      <c r="B51" s="806" t="n">
        <v>33</v>
      </c>
      <c r="C51" s="806" t="n">
        <v>20</v>
      </c>
      <c r="D51" s="806" t="n">
        <v>18</v>
      </c>
      <c r="E51" s="806" t="n">
        <v>26</v>
      </c>
      <c r="F51" s="806" t="n">
        <v>27</v>
      </c>
      <c r="G51" s="806" t="n">
        <v>76</v>
      </c>
      <c r="H51" s="806" t="inlineStr">
        <is>
          <t>Dragon</t>
        </is>
      </c>
      <c r="I51" s="669" t="n"/>
      <c r="J51" s="669" t="n"/>
      <c r="K51" s="669" t="n"/>
      <c r="L51" s="669" t="n"/>
      <c r="M51" s="669" t="n"/>
      <c r="N51" s="669" t="n"/>
      <c r="O51" s="669" t="n"/>
      <c r="P51" s="669" t="n"/>
      <c r="Q51" s="669" t="n"/>
      <c r="R51" s="669" t="n"/>
      <c r="S51" s="669" t="n"/>
      <c r="T51" s="669" t="n"/>
      <c r="U51" s="669" t="n"/>
      <c r="V51" s="669" t="n"/>
      <c r="W51" s="669" t="n"/>
      <c r="X51" s="669" t="n"/>
      <c r="Y51" s="669" t="n"/>
      <c r="Z51" s="669" t="n"/>
    </row>
    <row r="52">
      <c r="I52" s="669" t="n"/>
      <c r="J52" s="669" t="n"/>
      <c r="K52" s="669" t="n"/>
      <c r="L52" s="669" t="n"/>
      <c r="M52" s="669" t="n"/>
      <c r="N52" s="669" t="n"/>
      <c r="O52" s="669" t="n"/>
      <c r="P52" s="669" t="n"/>
      <c r="Q52" s="669" t="n"/>
      <c r="R52" s="669" t="n"/>
      <c r="S52" s="669" t="n"/>
      <c r="T52" s="669" t="n"/>
      <c r="U52" s="669" t="n"/>
      <c r="V52" s="669" t="n"/>
      <c r="W52" s="669" t="n"/>
      <c r="X52" s="669" t="n"/>
      <c r="Y52" s="669" t="n"/>
      <c r="Z52" s="669" t="n"/>
    </row>
    <row r="53">
      <c r="I53" s="669" t="n"/>
      <c r="J53" s="669" t="n"/>
      <c r="K53" s="669" t="n"/>
      <c r="L53" s="669" t="n"/>
      <c r="M53" s="669" t="n"/>
      <c r="N53" s="669" t="n"/>
      <c r="O53" s="669" t="n"/>
      <c r="P53" s="669" t="n"/>
      <c r="Q53" s="669" t="n"/>
      <c r="R53" s="669" t="n"/>
      <c r="S53" s="669" t="n"/>
      <c r="T53" s="669" t="n"/>
      <c r="U53" s="669" t="n"/>
      <c r="V53" s="669" t="n"/>
      <c r="W53" s="669" t="n"/>
      <c r="X53" s="669" t="n"/>
      <c r="Y53" s="669" t="n"/>
      <c r="Z53" s="669" t="n"/>
    </row>
    <row r="54">
      <c r="I54" s="669" t="n"/>
      <c r="J54" s="669" t="n"/>
      <c r="K54" s="669" t="n"/>
      <c r="L54" s="669" t="n"/>
      <c r="M54" s="669" t="n"/>
      <c r="N54" s="669" t="n"/>
      <c r="O54" s="669" t="n"/>
      <c r="P54" s="669" t="n"/>
      <c r="Q54" s="669" t="n"/>
      <c r="R54" s="669" t="n"/>
      <c r="S54" s="669" t="n"/>
      <c r="T54" s="669" t="n"/>
      <c r="U54" s="669" t="n"/>
      <c r="V54" s="669" t="n"/>
      <c r="W54" s="669" t="n"/>
      <c r="X54" s="669" t="n"/>
      <c r="Y54" s="669" t="n"/>
      <c r="Z54" s="669" t="n"/>
    </row>
    <row r="55">
      <c r="I55" s="669" t="n"/>
      <c r="J55" s="669" t="n"/>
      <c r="K55" s="669" t="n"/>
      <c r="L55" s="669" t="n"/>
      <c r="M55" s="669" t="n"/>
      <c r="N55" s="669" t="n"/>
      <c r="O55" s="669" t="n"/>
      <c r="P55" s="669" t="n"/>
      <c r="Q55" s="669" t="n"/>
      <c r="R55" s="669" t="n"/>
      <c r="S55" s="669" t="n"/>
      <c r="T55" s="669" t="n"/>
      <c r="U55" s="669" t="n"/>
      <c r="V55" s="669" t="n"/>
      <c r="W55" s="669" t="n"/>
      <c r="X55" s="669" t="n"/>
      <c r="Y55" s="669" t="n"/>
      <c r="Z55" s="669" t="n"/>
    </row>
    <row r="56">
      <c r="I56" s="669" t="n"/>
      <c r="J56" s="669" t="n"/>
      <c r="K56" s="669" t="n"/>
      <c r="L56" s="669" t="n"/>
      <c r="M56" s="669" t="n"/>
      <c r="N56" s="669" t="n"/>
      <c r="O56" s="669" t="n"/>
      <c r="P56" s="669" t="n"/>
      <c r="Q56" s="669" t="n"/>
      <c r="R56" s="669" t="n"/>
      <c r="S56" s="669" t="n"/>
      <c r="T56" s="669" t="n"/>
      <c r="U56" s="669" t="n"/>
      <c r="V56" s="669" t="n"/>
      <c r="W56" s="669" t="n"/>
      <c r="X56" s="669" t="n"/>
      <c r="Y56" s="669" t="n"/>
      <c r="Z56" s="669" t="n"/>
    </row>
    <row r="57">
      <c r="I57" s="669" t="n"/>
      <c r="J57" s="669" t="n"/>
      <c r="K57" s="669" t="n"/>
      <c r="L57" s="669" t="n"/>
      <c r="M57" s="669" t="n"/>
      <c r="N57" s="669" t="n"/>
      <c r="O57" s="669" t="n"/>
      <c r="P57" s="669" t="n"/>
      <c r="Q57" s="669" t="n"/>
      <c r="R57" s="669" t="n"/>
      <c r="S57" s="669" t="n"/>
      <c r="T57" s="669" t="n"/>
      <c r="U57" s="669" t="n"/>
      <c r="V57" s="669" t="n"/>
      <c r="W57" s="669" t="n"/>
      <c r="X57" s="669" t="n"/>
      <c r="Y57" s="669" t="n"/>
      <c r="Z57" s="669" t="n"/>
    </row>
    <row r="58">
      <c r="I58" s="669" t="n"/>
      <c r="J58" s="669" t="n"/>
      <c r="K58" s="669" t="n"/>
      <c r="L58" s="669" t="n"/>
      <c r="M58" s="669" t="n"/>
      <c r="N58" s="669" t="n"/>
      <c r="O58" s="669" t="n"/>
      <c r="P58" s="669" t="n"/>
      <c r="Q58" s="669" t="n"/>
      <c r="R58" s="669" t="n"/>
      <c r="S58" s="669" t="n"/>
      <c r="T58" s="669" t="n"/>
      <c r="U58" s="669" t="n"/>
      <c r="V58" s="669" t="n"/>
      <c r="W58" s="669" t="n"/>
      <c r="X58" s="669" t="n"/>
      <c r="Y58" s="669" t="n"/>
      <c r="Z58" s="669" t="n"/>
    </row>
    <row r="59">
      <c r="I59" s="669" t="n"/>
      <c r="J59" s="669" t="n"/>
      <c r="K59" s="669" t="n"/>
      <c r="L59" s="669" t="n"/>
      <c r="M59" s="669" t="n"/>
      <c r="N59" s="669" t="n"/>
      <c r="O59" s="669" t="n"/>
      <c r="P59" s="669" t="n"/>
      <c r="Q59" s="669" t="n"/>
      <c r="R59" s="669" t="n"/>
      <c r="S59" s="669" t="n"/>
      <c r="T59" s="669" t="n"/>
      <c r="U59" s="669" t="n"/>
      <c r="V59" s="669" t="n"/>
      <c r="W59" s="669" t="n"/>
      <c r="X59" s="669" t="n"/>
      <c r="Y59" s="669" t="n"/>
      <c r="Z59" s="669" t="n"/>
    </row>
    <row r="60">
      <c r="I60" s="669" t="n"/>
      <c r="J60" s="669" t="n"/>
      <c r="K60" s="669" t="n"/>
      <c r="L60" s="669" t="n"/>
      <c r="M60" s="669" t="n"/>
      <c r="N60" s="669" t="n"/>
      <c r="O60" s="669" t="n"/>
      <c r="P60" s="669" t="n"/>
      <c r="Q60" s="669" t="n"/>
      <c r="R60" s="669" t="n"/>
      <c r="S60" s="669" t="n"/>
      <c r="T60" s="669" t="n"/>
      <c r="U60" s="669" t="n"/>
      <c r="V60" s="669" t="n"/>
      <c r="W60" s="669" t="n"/>
      <c r="X60" s="669" t="n"/>
      <c r="Y60" s="669" t="n"/>
      <c r="Z60" s="669" t="n"/>
    </row>
    <row r="61">
      <c r="I61" s="669" t="n"/>
      <c r="J61" s="669" t="n"/>
      <c r="K61" s="669" t="n"/>
      <c r="L61" s="669" t="n"/>
      <c r="M61" s="669" t="n"/>
      <c r="N61" s="669" t="n"/>
      <c r="O61" s="669" t="n"/>
      <c r="P61" s="669" t="n"/>
      <c r="Q61" s="669" t="n"/>
      <c r="R61" s="669" t="n"/>
      <c r="S61" s="669" t="n"/>
      <c r="T61" s="669" t="n"/>
      <c r="U61" s="669" t="n"/>
      <c r="V61" s="669" t="n"/>
      <c r="W61" s="669" t="n"/>
      <c r="X61" s="669" t="n"/>
      <c r="Y61" s="669" t="n"/>
      <c r="Z61" s="669" t="n"/>
    </row>
    <row r="62">
      <c r="I62" s="669" t="n"/>
      <c r="J62" s="669" t="n"/>
      <c r="K62" s="669" t="n"/>
      <c r="L62" s="669" t="n"/>
      <c r="M62" s="669" t="n"/>
      <c r="N62" s="669" t="n"/>
      <c r="O62" s="669" t="n"/>
      <c r="P62" s="669" t="n"/>
      <c r="Q62" s="669" t="n"/>
      <c r="R62" s="669" t="n"/>
      <c r="S62" s="669" t="n"/>
      <c r="T62" s="669" t="n"/>
      <c r="U62" s="669" t="n"/>
      <c r="V62" s="669" t="n"/>
      <c r="W62" s="669" t="n"/>
      <c r="X62" s="669" t="n"/>
      <c r="Y62" s="669" t="n"/>
      <c r="Z62" s="669" t="n"/>
    </row>
    <row r="63">
      <c r="I63" s="669" t="n"/>
      <c r="J63" s="669" t="n"/>
      <c r="K63" s="669" t="n"/>
      <c r="L63" s="669" t="n"/>
      <c r="M63" s="669" t="n"/>
      <c r="N63" s="669" t="n"/>
      <c r="O63" s="669" t="n"/>
      <c r="P63" s="669" t="n"/>
      <c r="Q63" s="669" t="n"/>
      <c r="R63" s="669" t="n"/>
      <c r="S63" s="669" t="n"/>
      <c r="T63" s="669" t="n"/>
      <c r="U63" s="669" t="n"/>
      <c r="V63" s="669" t="n"/>
      <c r="W63" s="669" t="n"/>
      <c r="X63" s="669" t="n"/>
      <c r="Y63" s="669" t="n"/>
      <c r="Z63" s="669" t="n"/>
    </row>
    <row r="64">
      <c r="A64" s="669" t="n"/>
      <c r="B64" s="669" t="n"/>
      <c r="C64" s="669" t="n"/>
      <c r="D64" s="669" t="n"/>
      <c r="E64" s="669" t="n"/>
      <c r="F64" s="669" t="n"/>
      <c r="G64" s="669" t="n"/>
      <c r="H64" s="669" t="n"/>
      <c r="I64" s="669" t="n"/>
      <c r="J64" s="669" t="n"/>
      <c r="K64" s="669" t="n"/>
      <c r="L64" s="669" t="n"/>
      <c r="M64" s="669" t="n"/>
      <c r="N64" s="669" t="n"/>
      <c r="O64" s="669" t="n"/>
      <c r="P64" s="669" t="n"/>
      <c r="Q64" s="669" t="n"/>
      <c r="R64" s="669" t="n"/>
      <c r="S64" s="669" t="n"/>
      <c r="T64" s="669" t="n"/>
      <c r="U64" s="669" t="n"/>
      <c r="V64" s="669" t="n"/>
      <c r="W64" s="669" t="n"/>
      <c r="X64" s="669" t="n"/>
      <c r="Y64" s="669" t="n"/>
      <c r="Z64" s="669" t="n"/>
    </row>
    <row r="65">
      <c r="A65" s="669" t="n"/>
      <c r="B65" s="669" t="n"/>
      <c r="C65" s="669" t="n"/>
      <c r="D65" s="669" t="n"/>
      <c r="E65" s="669" t="n"/>
      <c r="F65" s="669" t="n"/>
      <c r="G65" s="669" t="n"/>
      <c r="H65" s="669" t="n"/>
      <c r="I65" s="669" t="n"/>
      <c r="J65" s="669" t="n"/>
      <c r="K65" s="669" t="n"/>
      <c r="L65" s="669" t="n"/>
      <c r="M65" s="669" t="n"/>
      <c r="N65" s="669" t="n"/>
      <c r="O65" s="669" t="n"/>
      <c r="P65" s="669" t="n"/>
      <c r="Q65" s="669" t="n"/>
      <c r="R65" s="669" t="n"/>
      <c r="S65" s="669" t="n"/>
      <c r="T65" s="669" t="n"/>
      <c r="U65" s="669" t="n"/>
      <c r="V65" s="669" t="n"/>
      <c r="W65" s="669" t="n"/>
      <c r="X65" s="669" t="n"/>
      <c r="Y65" s="669" t="n"/>
      <c r="Z65" s="669" t="n"/>
    </row>
    <row r="66">
      <c r="A66" s="669" t="n"/>
      <c r="B66" s="669" t="n"/>
      <c r="C66" s="669" t="n"/>
      <c r="D66" s="669" t="n"/>
      <c r="E66" s="669" t="n"/>
      <c r="F66" s="669" t="n"/>
      <c r="G66" s="669" t="n"/>
      <c r="H66" s="669" t="n"/>
      <c r="I66" s="669" t="n"/>
      <c r="J66" s="669" t="n"/>
      <c r="K66" s="669" t="n"/>
      <c r="L66" s="669" t="n"/>
      <c r="M66" s="669" t="n"/>
      <c r="N66" s="669" t="n"/>
      <c r="O66" s="669" t="n"/>
      <c r="P66" s="669" t="n"/>
      <c r="Q66" s="669" t="n"/>
      <c r="R66" s="669" t="n"/>
      <c r="S66" s="669" t="n"/>
      <c r="T66" s="669" t="n"/>
      <c r="U66" s="669" t="n"/>
      <c r="V66" s="669" t="n"/>
      <c r="W66" s="669" t="n"/>
      <c r="X66" s="669" t="n"/>
      <c r="Y66" s="669" t="n"/>
      <c r="Z66" s="669" t="n"/>
    </row>
    <row r="67">
      <c r="A67" s="669" t="n"/>
      <c r="B67" s="669" t="n"/>
      <c r="C67" s="669" t="n"/>
      <c r="D67" s="669" t="n"/>
      <c r="E67" s="669" t="n"/>
      <c r="F67" s="669" t="n"/>
      <c r="G67" s="669" t="n"/>
      <c r="H67" s="669" t="n"/>
      <c r="I67" s="669" t="n"/>
      <c r="J67" s="669" t="n"/>
      <c r="K67" s="669" t="n"/>
      <c r="L67" s="669" t="n"/>
      <c r="M67" s="669" t="n"/>
      <c r="N67" s="669" t="n"/>
      <c r="O67" s="669" t="n"/>
      <c r="P67" s="669" t="n"/>
      <c r="Q67" s="669" t="n"/>
      <c r="R67" s="669" t="n"/>
      <c r="S67" s="669" t="n"/>
      <c r="T67" s="669" t="n"/>
      <c r="U67" s="669" t="n"/>
      <c r="V67" s="669" t="n"/>
      <c r="W67" s="669" t="n"/>
      <c r="X67" s="669" t="n"/>
      <c r="Y67" s="669" t="n"/>
      <c r="Z67" s="669" t="n"/>
    </row>
    <row r="68">
      <c r="A68" s="669" t="n"/>
      <c r="B68" s="669" t="n"/>
      <c r="C68" s="669" t="n"/>
      <c r="D68" s="669" t="n"/>
      <c r="E68" s="669" t="n"/>
      <c r="F68" s="669" t="n"/>
      <c r="G68" s="669" t="n"/>
      <c r="H68" s="669" t="n"/>
      <c r="I68" s="669" t="n"/>
      <c r="J68" s="669" t="n"/>
      <c r="K68" s="669" t="n"/>
      <c r="L68" s="669" t="n"/>
      <c r="M68" s="669" t="n"/>
      <c r="N68" s="669" t="n"/>
      <c r="O68" s="669" t="n"/>
      <c r="P68" s="669" t="n"/>
      <c r="Q68" s="669" t="n"/>
      <c r="R68" s="669" t="n"/>
      <c r="S68" s="669" t="n"/>
      <c r="T68" s="669" t="n"/>
      <c r="U68" s="669" t="n"/>
      <c r="V68" s="669" t="n"/>
      <c r="W68" s="669" t="n"/>
      <c r="X68" s="669" t="n"/>
      <c r="Y68" s="669" t="n"/>
      <c r="Z68" s="669" t="n"/>
    </row>
    <row r="69">
      <c r="A69" s="669" t="n"/>
      <c r="B69" s="669" t="n"/>
      <c r="C69" s="669" t="n"/>
      <c r="D69" s="669" t="n"/>
      <c r="E69" s="669" t="n"/>
      <c r="F69" s="669" t="n"/>
      <c r="G69" s="669" t="n"/>
      <c r="H69" s="669" t="n"/>
      <c r="I69" s="669" t="n"/>
      <c r="J69" s="669" t="n"/>
      <c r="K69" s="669" t="n"/>
      <c r="L69" s="669" t="n"/>
      <c r="M69" s="669" t="n"/>
      <c r="N69" s="669" t="n"/>
      <c r="O69" s="669" t="n"/>
      <c r="P69" s="669" t="n"/>
      <c r="Q69" s="669" t="n"/>
      <c r="R69" s="669" t="n"/>
      <c r="S69" s="669" t="n"/>
      <c r="T69" s="669" t="n"/>
      <c r="U69" s="669" t="n"/>
      <c r="V69" s="669" t="n"/>
      <c r="W69" s="669" t="n"/>
      <c r="X69" s="669" t="n"/>
      <c r="Y69" s="669" t="n"/>
      <c r="Z69" s="669" t="n"/>
    </row>
    <row r="70">
      <c r="A70" s="669" t="n"/>
      <c r="B70" s="669" t="n"/>
      <c r="C70" s="669" t="n"/>
      <c r="D70" s="669" t="n"/>
      <c r="E70" s="669" t="n"/>
      <c r="F70" s="669" t="n"/>
      <c r="G70" s="669" t="n"/>
      <c r="H70" s="669" t="n"/>
      <c r="I70" s="669" t="n"/>
      <c r="J70" s="669" t="n"/>
      <c r="K70" s="669" t="n"/>
      <c r="L70" s="669" t="n"/>
      <c r="M70" s="669" t="n"/>
      <c r="N70" s="669" t="n"/>
      <c r="O70" s="669" t="n"/>
      <c r="P70" s="669" t="n"/>
      <c r="Q70" s="669" t="n"/>
      <c r="R70" s="669" t="n"/>
      <c r="S70" s="669" t="n"/>
      <c r="T70" s="669" t="n"/>
      <c r="U70" s="669" t="n"/>
      <c r="V70" s="669" t="n"/>
      <c r="W70" s="669" t="n"/>
      <c r="X70" s="669" t="n"/>
      <c r="Y70" s="669" t="n"/>
      <c r="Z70" s="669" t="n"/>
    </row>
    <row r="71">
      <c r="A71" s="669" t="n"/>
      <c r="B71" s="669" t="n"/>
      <c r="C71" s="669" t="n"/>
      <c r="D71" s="669" t="n"/>
      <c r="E71" s="669" t="n"/>
      <c r="F71" s="669" t="n"/>
      <c r="G71" s="669" t="n"/>
      <c r="H71" s="669" t="n"/>
      <c r="I71" s="669" t="n"/>
      <c r="J71" s="669" t="n"/>
      <c r="K71" s="669" t="n"/>
      <c r="L71" s="669" t="n"/>
      <c r="M71" s="669" t="n"/>
      <c r="N71" s="669" t="n"/>
      <c r="O71" s="669" t="n"/>
      <c r="P71" s="669" t="n"/>
      <c r="Q71" s="669" t="n"/>
      <c r="R71" s="669" t="n"/>
      <c r="S71" s="669" t="n"/>
      <c r="T71" s="669" t="n"/>
      <c r="U71" s="669" t="n"/>
      <c r="V71" s="669" t="n"/>
      <c r="W71" s="669" t="n"/>
      <c r="X71" s="669" t="n"/>
      <c r="Y71" s="669" t="n"/>
      <c r="Z71" s="669" t="n"/>
    </row>
    <row r="72">
      <c r="A72" s="669" t="n"/>
      <c r="B72" s="669" t="n"/>
      <c r="C72" s="669" t="n"/>
      <c r="D72" s="669" t="n"/>
      <c r="E72" s="669" t="n"/>
      <c r="F72" s="669" t="n"/>
      <c r="G72" s="669" t="n"/>
      <c r="H72" s="669" t="n"/>
      <c r="I72" s="669" t="n"/>
      <c r="J72" s="669" t="n"/>
      <c r="K72" s="669" t="n"/>
      <c r="L72" s="669" t="n"/>
      <c r="M72" s="669" t="n"/>
      <c r="N72" s="669" t="n"/>
      <c r="O72" s="669" t="n"/>
      <c r="P72" s="669" t="n"/>
      <c r="Q72" s="669" t="n"/>
      <c r="R72" s="669" t="n"/>
      <c r="S72" s="669" t="n"/>
      <c r="T72" s="669" t="n"/>
      <c r="U72" s="669" t="n"/>
      <c r="V72" s="669" t="n"/>
      <c r="W72" s="669" t="n"/>
      <c r="X72" s="669" t="n"/>
      <c r="Y72" s="669" t="n"/>
      <c r="Z72" s="669" t="n"/>
    </row>
    <row r="73">
      <c r="A73" s="669" t="n"/>
      <c r="B73" s="669" t="n"/>
      <c r="C73" s="669" t="n"/>
      <c r="D73" s="669" t="n"/>
      <c r="E73" s="669" t="n"/>
      <c r="F73" s="669" t="n"/>
      <c r="G73" s="669" t="n"/>
      <c r="H73" s="669" t="n"/>
      <c r="I73" s="669" t="n"/>
      <c r="J73" s="669" t="n"/>
      <c r="K73" s="669" t="n"/>
      <c r="L73" s="669" t="n"/>
      <c r="M73" s="669" t="n"/>
      <c r="N73" s="669" t="n"/>
      <c r="O73" s="669" t="n"/>
      <c r="P73" s="669" t="n"/>
      <c r="Q73" s="669" t="n"/>
      <c r="R73" s="669" t="n"/>
      <c r="S73" s="669" t="n"/>
      <c r="T73" s="669" t="n"/>
      <c r="U73" s="669" t="n"/>
      <c r="V73" s="669" t="n"/>
      <c r="W73" s="669" t="n"/>
      <c r="X73" s="669" t="n"/>
      <c r="Y73" s="669" t="n"/>
      <c r="Z73" s="669" t="n"/>
    </row>
    <row r="74">
      <c r="A74" s="669" t="n"/>
      <c r="B74" s="669" t="n"/>
      <c r="C74" s="669" t="n"/>
      <c r="D74" s="669" t="n"/>
      <c r="E74" s="669" t="n"/>
      <c r="F74" s="669" t="n"/>
      <c r="G74" s="669" t="n"/>
      <c r="H74" s="669" t="n"/>
      <c r="I74" s="669" t="n"/>
      <c r="J74" s="669" t="n"/>
      <c r="K74" s="669" t="n"/>
      <c r="L74" s="669" t="n"/>
      <c r="M74" s="669" t="n"/>
      <c r="N74" s="669" t="n"/>
      <c r="O74" s="669" t="n"/>
      <c r="P74" s="669" t="n"/>
      <c r="Q74" s="669" t="n"/>
      <c r="R74" s="669" t="n"/>
      <c r="S74" s="669" t="n"/>
      <c r="T74" s="669" t="n"/>
      <c r="U74" s="669" t="n"/>
      <c r="V74" s="669" t="n"/>
      <c r="W74" s="669" t="n"/>
      <c r="X74" s="669" t="n"/>
      <c r="Y74" s="669" t="n"/>
      <c r="Z74" s="669" t="n"/>
    </row>
    <row r="75">
      <c r="A75" s="807" t="inlineStr">
        <is>
          <t>Research Level</t>
        </is>
      </c>
      <c r="B75" s="807" t="inlineStr">
        <is>
          <t>Manual Cost</t>
        </is>
      </c>
      <c r="C75" s="669" t="n"/>
      <c r="D75" s="1067" t="inlineStr">
        <is>
          <t>Total Research</t>
        </is>
      </c>
      <c r="E75" s="1067" t="inlineStr">
        <is>
          <t>Partner Level</t>
        </is>
      </c>
      <c r="G75" s="669" t="n"/>
      <c r="H75" s="669" t="n"/>
      <c r="I75" s="669" t="n"/>
      <c r="J75" s="669" t="n"/>
      <c r="K75" s="669" t="n"/>
      <c r="L75" s="669" t="n"/>
      <c r="M75" s="669" t="n"/>
      <c r="N75" s="669" t="n"/>
      <c r="O75" s="669" t="n"/>
      <c r="P75" s="669" t="n"/>
      <c r="Q75" s="669" t="n"/>
      <c r="R75" s="669" t="n"/>
      <c r="S75" s="669" t="n"/>
      <c r="T75" s="669" t="n"/>
      <c r="U75" s="669" t="n"/>
      <c r="V75" s="669" t="n"/>
      <c r="W75" s="669" t="n"/>
      <c r="X75" s="669" t="n"/>
      <c r="Y75" s="669" t="n"/>
      <c r="Z75" s="669" t="n"/>
    </row>
    <row r="76">
      <c r="A76" s="1103" t="n">
        <v>1</v>
      </c>
      <c r="B76" s="1103" t="n">
        <v>1</v>
      </c>
      <c r="C76" s="669" t="n"/>
      <c r="D76" s="1067" t="n">
        <v>0</v>
      </c>
      <c r="E76" s="1067" t="n">
        <v>1</v>
      </c>
      <c r="G76" s="669" t="n"/>
      <c r="H76" s="669" t="n"/>
      <c r="I76" s="669" t="n"/>
      <c r="J76" s="669" t="n"/>
      <c r="K76" s="669" t="n"/>
      <c r="L76" s="669" t="n"/>
      <c r="M76" s="669" t="n"/>
      <c r="N76" s="669" t="n"/>
      <c r="O76" s="669" t="n"/>
      <c r="P76" s="669" t="n"/>
      <c r="Q76" s="669" t="n"/>
      <c r="R76" s="669" t="n"/>
      <c r="S76" s="669" t="n"/>
      <c r="T76" s="669" t="n"/>
      <c r="U76" s="669" t="n"/>
      <c r="V76" s="669" t="n"/>
      <c r="W76" s="669" t="n"/>
      <c r="X76" s="669" t="n"/>
      <c r="Y76" s="669" t="n"/>
      <c r="Z76" s="669" t="n"/>
    </row>
    <row r="77">
      <c r="A77" s="1103" t="n">
        <v>2</v>
      </c>
      <c r="B77" s="1103" t="n">
        <v>1</v>
      </c>
      <c r="C77" s="669" t="n"/>
      <c r="D77" s="1067" t="n">
        <v>180</v>
      </c>
      <c r="E77" s="1067" t="n">
        <v>2</v>
      </c>
      <c r="G77" s="669" t="n"/>
      <c r="H77" s="669" t="n"/>
      <c r="I77" s="669" t="n"/>
      <c r="J77" s="669" t="n"/>
      <c r="K77" s="669" t="n"/>
      <c r="L77" s="669" t="n"/>
      <c r="M77" s="669" t="n"/>
      <c r="N77" s="669" t="n"/>
      <c r="O77" s="669" t="n"/>
      <c r="P77" s="669" t="n"/>
      <c r="Q77" s="669" t="n"/>
      <c r="R77" s="669" t="n"/>
      <c r="S77" s="669" t="n"/>
      <c r="T77" s="669" t="n"/>
      <c r="U77" s="669" t="n"/>
      <c r="V77" s="669" t="n"/>
      <c r="W77" s="669" t="n"/>
      <c r="X77" s="669" t="n"/>
      <c r="Y77" s="669" t="n"/>
      <c r="Z77" s="669" t="n"/>
    </row>
    <row r="78">
      <c r="A78" s="1103" t="n">
        <v>3</v>
      </c>
      <c r="B78" s="1103" t="n">
        <v>1</v>
      </c>
      <c r="C78" s="669" t="n"/>
      <c r="D78" s="1067" t="n">
        <v>190</v>
      </c>
      <c r="E78" s="1067" t="n">
        <v>3</v>
      </c>
      <c r="G78" s="669" t="n"/>
      <c r="H78" s="669" t="n"/>
      <c r="I78" s="669" t="n"/>
      <c r="J78" s="669" t="n"/>
      <c r="K78" s="669" t="n"/>
      <c r="L78" s="669" t="n"/>
      <c r="M78" s="669" t="n"/>
      <c r="N78" s="669" t="n"/>
      <c r="O78" s="669" t="n"/>
      <c r="P78" s="669" t="n"/>
      <c r="Q78" s="669" t="n"/>
      <c r="R78" s="669" t="n"/>
      <c r="S78" s="669" t="n"/>
      <c r="T78" s="669" t="n"/>
      <c r="U78" s="669" t="n"/>
      <c r="V78" s="669" t="n"/>
      <c r="W78" s="669" t="n"/>
      <c r="X78" s="669" t="n"/>
      <c r="Y78" s="669" t="n"/>
      <c r="Z78" s="669" t="n"/>
    </row>
    <row r="79">
      <c r="A79" s="1103" t="n">
        <v>4</v>
      </c>
      <c r="B79" s="1103" t="n">
        <v>1</v>
      </c>
      <c r="C79" s="669" t="n"/>
      <c r="D79" s="1067" t="n">
        <v>200</v>
      </c>
      <c r="E79" s="1067" t="n">
        <v>4</v>
      </c>
      <c r="G79" s="669" t="n"/>
      <c r="H79" s="669" t="n"/>
      <c r="I79" s="669" t="n"/>
      <c r="J79" s="669" t="n"/>
      <c r="K79" s="669" t="n"/>
      <c r="L79" s="669" t="n"/>
      <c r="M79" s="669" t="n"/>
      <c r="N79" s="669" t="n"/>
      <c r="O79" s="669" t="n"/>
      <c r="P79" s="669" t="n"/>
      <c r="Q79" s="669" t="n"/>
      <c r="R79" s="669" t="n"/>
      <c r="S79" s="669" t="n"/>
      <c r="T79" s="669" t="n"/>
      <c r="U79" s="669" t="n"/>
      <c r="V79" s="669" t="n"/>
      <c r="W79" s="669" t="n"/>
      <c r="X79" s="669" t="n"/>
      <c r="Y79" s="669" t="n"/>
      <c r="Z79" s="669" t="n"/>
    </row>
    <row r="80">
      <c r="A80" s="1103" t="n">
        <v>5</v>
      </c>
      <c r="B80" s="1103" t="n">
        <v>1</v>
      </c>
      <c r="C80" s="669" t="n"/>
      <c r="D80" s="1067" t="n">
        <v>210</v>
      </c>
      <c r="E80" s="1067" t="n">
        <v>5</v>
      </c>
      <c r="G80" s="669" t="n"/>
      <c r="H80" s="669" t="n"/>
      <c r="I80" s="669" t="n"/>
      <c r="J80" s="669" t="n"/>
      <c r="K80" s="669" t="n"/>
      <c r="L80" s="669" t="n"/>
      <c r="M80" s="669" t="n"/>
      <c r="N80" s="669" t="n"/>
      <c r="O80" s="669" t="n"/>
      <c r="P80" s="669" t="n"/>
      <c r="Q80" s="669" t="n"/>
      <c r="R80" s="669" t="n"/>
      <c r="S80" s="669" t="n"/>
      <c r="T80" s="669" t="n"/>
      <c r="U80" s="669" t="n"/>
      <c r="V80" s="669" t="n"/>
      <c r="W80" s="669" t="n"/>
      <c r="X80" s="669" t="n"/>
      <c r="Y80" s="669" t="n"/>
      <c r="Z80" s="669" t="n"/>
    </row>
    <row r="81">
      <c r="A81" s="1103" t="n">
        <v>6</v>
      </c>
      <c r="B81" s="1103" t="n">
        <v>1</v>
      </c>
      <c r="C81" s="669" t="n"/>
      <c r="D81" s="1067" t="n">
        <v>220</v>
      </c>
      <c r="E81" s="1067" t="n">
        <v>6</v>
      </c>
      <c r="G81" s="669" t="n"/>
      <c r="H81" s="669" t="n"/>
      <c r="I81" s="669" t="n"/>
      <c r="J81" s="669" t="n"/>
      <c r="K81" s="669" t="n"/>
      <c r="L81" s="669" t="n"/>
      <c r="M81" s="669" t="n"/>
      <c r="N81" s="669" t="n"/>
      <c r="O81" s="669" t="n"/>
      <c r="P81" s="669" t="n"/>
      <c r="Q81" s="669" t="n"/>
      <c r="R81" s="669" t="n"/>
      <c r="S81" s="669" t="n"/>
      <c r="T81" s="669" t="n"/>
      <c r="U81" s="669" t="n"/>
      <c r="V81" s="669" t="n"/>
      <c r="W81" s="669" t="n"/>
      <c r="X81" s="669" t="n"/>
      <c r="Y81" s="669" t="n"/>
      <c r="Z81" s="669" t="n"/>
    </row>
    <row r="82">
      <c r="A82" s="1103" t="n">
        <v>7</v>
      </c>
      <c r="B82" s="1103" t="n">
        <v>1</v>
      </c>
      <c r="C82" s="669" t="n"/>
      <c r="D82" s="1067" t="n">
        <v>230</v>
      </c>
      <c r="E82" s="1067" t="n">
        <v>7</v>
      </c>
      <c r="G82" s="669" t="n"/>
      <c r="H82" s="669" t="n"/>
      <c r="I82" s="669" t="n"/>
      <c r="J82" s="669" t="n"/>
      <c r="K82" s="669" t="n"/>
      <c r="L82" s="669" t="n"/>
      <c r="M82" s="669" t="n"/>
      <c r="N82" s="669" t="n"/>
      <c r="O82" s="669" t="n"/>
      <c r="P82" s="669" t="n"/>
      <c r="Q82" s="669" t="n"/>
      <c r="R82" s="669" t="n"/>
      <c r="S82" s="669" t="n"/>
      <c r="T82" s="669" t="n"/>
      <c r="U82" s="669" t="n"/>
      <c r="V82" s="669" t="n"/>
      <c r="W82" s="669" t="n"/>
      <c r="X82" s="669" t="n"/>
      <c r="Y82" s="669" t="n"/>
      <c r="Z82" s="669" t="n"/>
    </row>
    <row r="83">
      <c r="A83" s="1103" t="n">
        <v>8</v>
      </c>
      <c r="B83" s="1103" t="n">
        <v>1</v>
      </c>
      <c r="C83" s="669" t="n"/>
      <c r="D83" s="1067" t="n">
        <v>240</v>
      </c>
      <c r="E83" s="1067" t="n">
        <v>8</v>
      </c>
      <c r="G83" s="669" t="n"/>
      <c r="H83" s="669" t="n"/>
      <c r="I83" s="669" t="n"/>
      <c r="J83" s="669" t="n"/>
      <c r="K83" s="669" t="n"/>
      <c r="L83" s="669" t="n"/>
      <c r="M83" s="669" t="n"/>
      <c r="N83" s="669" t="n"/>
      <c r="O83" s="669" t="n"/>
      <c r="P83" s="669" t="n"/>
      <c r="Q83" s="669" t="n"/>
      <c r="R83" s="669" t="n"/>
      <c r="S83" s="669" t="n"/>
      <c r="T83" s="669" t="n"/>
      <c r="U83" s="669" t="n"/>
      <c r="V83" s="669" t="n"/>
      <c r="W83" s="669" t="n"/>
      <c r="X83" s="669" t="n"/>
      <c r="Y83" s="669" t="n"/>
      <c r="Z83" s="669" t="n"/>
    </row>
    <row r="84">
      <c r="A84" s="1103" t="n">
        <v>9</v>
      </c>
      <c r="B84" s="1103" t="n">
        <v>1</v>
      </c>
      <c r="C84" s="669" t="n"/>
      <c r="D84" s="1067" t="n">
        <v>250</v>
      </c>
      <c r="E84" s="1067" t="n">
        <v>9</v>
      </c>
      <c r="G84" s="669" t="n"/>
      <c r="H84" s="669" t="n"/>
      <c r="I84" s="669" t="n"/>
      <c r="J84" s="669" t="n"/>
      <c r="K84" s="669" t="n"/>
      <c r="L84" s="669" t="n"/>
      <c r="M84" s="669" t="n"/>
      <c r="N84" s="669" t="n"/>
      <c r="O84" s="669" t="n"/>
      <c r="P84" s="669" t="n"/>
      <c r="Q84" s="669" t="n"/>
      <c r="R84" s="669" t="n"/>
      <c r="S84" s="669" t="n"/>
      <c r="T84" s="669" t="n"/>
      <c r="U84" s="669" t="n"/>
      <c r="V84" s="669" t="n"/>
      <c r="W84" s="669" t="n"/>
      <c r="X84" s="669" t="n"/>
      <c r="Y84" s="669" t="n"/>
      <c r="Z84" s="669" t="n"/>
    </row>
    <row r="85">
      <c r="A85" s="1103" t="n">
        <v>10</v>
      </c>
      <c r="B85" s="1103" t="n">
        <v>1</v>
      </c>
      <c r="C85" s="669" t="n"/>
      <c r="D85" s="1067" t="n">
        <v>260</v>
      </c>
      <c r="E85" s="1067" t="n">
        <v>10</v>
      </c>
      <c r="G85" s="669" t="n"/>
      <c r="H85" s="669" t="n"/>
      <c r="I85" s="669" t="n"/>
      <c r="J85" s="669" t="n"/>
      <c r="K85" s="669" t="n"/>
      <c r="L85" s="669" t="n"/>
      <c r="M85" s="669" t="n"/>
      <c r="N85" s="669" t="n"/>
      <c r="O85" s="669" t="n"/>
      <c r="P85" s="669" t="n"/>
      <c r="Q85" s="669" t="n"/>
      <c r="R85" s="669" t="n"/>
      <c r="S85" s="669" t="n"/>
      <c r="T85" s="669" t="n"/>
      <c r="U85" s="669" t="n"/>
      <c r="V85" s="669" t="n"/>
      <c r="W85" s="669" t="n"/>
      <c r="X85" s="669" t="n"/>
      <c r="Y85" s="669" t="n"/>
      <c r="Z85" s="669" t="n"/>
    </row>
    <row r="86">
      <c r="A86" s="1103" t="n">
        <v>11</v>
      </c>
      <c r="B86" s="1103" t="n">
        <v>2</v>
      </c>
      <c r="C86" s="669" t="n"/>
      <c r="D86" s="1067" t="n">
        <v>270</v>
      </c>
      <c r="E86" s="1067" t="n">
        <v>11</v>
      </c>
      <c r="G86" s="669" t="n"/>
      <c r="H86" s="669" t="n"/>
      <c r="I86" s="669" t="n"/>
      <c r="J86" s="669" t="n"/>
      <c r="K86" s="669" t="n"/>
      <c r="L86" s="669" t="n"/>
      <c r="M86" s="669" t="n"/>
      <c r="N86" s="669" t="n"/>
      <c r="O86" s="669" t="n"/>
      <c r="P86" s="669" t="n"/>
      <c r="Q86" s="669" t="n"/>
      <c r="R86" s="669" t="n"/>
      <c r="S86" s="669" t="n"/>
      <c r="T86" s="669" t="n"/>
      <c r="U86" s="669" t="n"/>
      <c r="V86" s="669" t="n"/>
      <c r="W86" s="669" t="n"/>
      <c r="X86" s="669" t="n"/>
      <c r="Y86" s="669" t="n"/>
      <c r="Z86" s="669" t="n"/>
    </row>
    <row r="87">
      <c r="A87" s="1103" t="n">
        <v>12</v>
      </c>
      <c r="B87" s="1103" t="n">
        <v>2</v>
      </c>
      <c r="C87" s="669" t="n"/>
      <c r="D87" s="1067" t="n">
        <v>285</v>
      </c>
      <c r="E87" s="1067" t="n">
        <v>12</v>
      </c>
      <c r="G87" s="669" t="n"/>
      <c r="H87" s="669" t="n"/>
      <c r="I87" s="669" t="n"/>
      <c r="J87" s="669" t="n"/>
      <c r="K87" s="669" t="n"/>
      <c r="L87" s="669" t="n"/>
      <c r="M87" s="669" t="n"/>
      <c r="N87" s="669" t="n"/>
      <c r="O87" s="669" t="n"/>
      <c r="P87" s="669" t="n"/>
      <c r="Q87" s="669" t="n"/>
      <c r="R87" s="669" t="n"/>
      <c r="S87" s="669" t="n"/>
      <c r="T87" s="669" t="n"/>
      <c r="U87" s="669" t="n"/>
      <c r="V87" s="669" t="n"/>
      <c r="W87" s="669" t="n"/>
      <c r="X87" s="669" t="n"/>
      <c r="Y87" s="669" t="n"/>
      <c r="Z87" s="669" t="n"/>
    </row>
    <row r="88">
      <c r="A88" s="1103" t="n">
        <v>13</v>
      </c>
      <c r="B88" s="1103" t="n">
        <v>2</v>
      </c>
      <c r="C88" s="669" t="n"/>
      <c r="D88" s="1067" t="n">
        <v>300</v>
      </c>
      <c r="E88" s="1067" t="n">
        <v>13</v>
      </c>
      <c r="G88" s="669" t="n"/>
      <c r="H88" s="669" t="n"/>
      <c r="I88" s="669" t="n"/>
      <c r="J88" s="669" t="n"/>
      <c r="K88" s="669" t="n"/>
      <c r="L88" s="669" t="n"/>
      <c r="M88" s="669" t="n"/>
      <c r="N88" s="669" t="n"/>
      <c r="O88" s="669" t="n"/>
      <c r="P88" s="669" t="n"/>
      <c r="Q88" s="669" t="n"/>
      <c r="R88" s="669" t="n"/>
      <c r="S88" s="669" t="n"/>
      <c r="T88" s="669" t="n"/>
      <c r="U88" s="669" t="n"/>
      <c r="V88" s="669" t="n"/>
      <c r="W88" s="669" t="n"/>
      <c r="X88" s="669" t="n"/>
      <c r="Y88" s="669" t="n"/>
      <c r="Z88" s="669" t="n"/>
    </row>
    <row r="89">
      <c r="A89" s="1103" t="n">
        <v>14</v>
      </c>
      <c r="B89" s="1103" t="n">
        <v>2</v>
      </c>
      <c r="C89" s="669" t="n"/>
      <c r="D89" s="1067" t="n">
        <v>315</v>
      </c>
      <c r="E89" s="1067" t="n">
        <v>14</v>
      </c>
      <c r="G89" s="669" t="n"/>
      <c r="H89" s="669" t="n"/>
      <c r="I89" s="669" t="n"/>
      <c r="J89" s="669" t="n"/>
      <c r="K89" s="669" t="n"/>
      <c r="L89" s="669" t="n"/>
      <c r="M89" s="669" t="n"/>
      <c r="N89" s="669" t="n"/>
      <c r="O89" s="669" t="n"/>
      <c r="P89" s="669" t="n"/>
      <c r="Q89" s="669" t="n"/>
      <c r="R89" s="669" t="n"/>
      <c r="S89" s="669" t="n"/>
      <c r="T89" s="669" t="n"/>
      <c r="U89" s="669" t="n"/>
      <c r="V89" s="669" t="n"/>
      <c r="W89" s="669" t="n"/>
      <c r="X89" s="669" t="n"/>
      <c r="Y89" s="669" t="n"/>
      <c r="Z89" s="669" t="n"/>
    </row>
    <row r="90">
      <c r="A90" s="1103" t="n">
        <v>15</v>
      </c>
      <c r="B90" s="1103" t="n">
        <v>2</v>
      </c>
      <c r="C90" s="669" t="n"/>
      <c r="D90" s="1067" t="n">
        <v>330</v>
      </c>
      <c r="E90" s="1067" t="n">
        <v>15</v>
      </c>
      <c r="G90" s="669" t="n"/>
      <c r="H90" s="669" t="n"/>
      <c r="I90" s="669" t="n"/>
      <c r="J90" s="669" t="n"/>
      <c r="K90" s="669" t="n"/>
      <c r="L90" s="669" t="n"/>
      <c r="M90" s="669" t="n"/>
      <c r="N90" s="669" t="n"/>
      <c r="O90" s="669" t="n"/>
      <c r="P90" s="669" t="n"/>
      <c r="Q90" s="669" t="n"/>
      <c r="R90" s="669" t="n"/>
      <c r="S90" s="669" t="n"/>
      <c r="T90" s="669" t="n"/>
      <c r="U90" s="669" t="n"/>
      <c r="V90" s="669" t="n"/>
      <c r="W90" s="669" t="n"/>
      <c r="X90" s="669" t="n"/>
      <c r="Y90" s="669" t="n"/>
      <c r="Z90" s="669" t="n"/>
    </row>
    <row r="91">
      <c r="A91" s="1103" t="n">
        <v>16</v>
      </c>
      <c r="B91" s="1103" t="n">
        <v>2</v>
      </c>
      <c r="C91" s="669" t="n"/>
      <c r="D91" s="1067" t="n">
        <v>345</v>
      </c>
      <c r="E91" s="1067" t="n">
        <v>16</v>
      </c>
      <c r="G91" s="669" t="n"/>
      <c r="H91" s="669" t="n"/>
      <c r="I91" s="669" t="n"/>
      <c r="J91" s="669" t="n"/>
      <c r="K91" s="669" t="n"/>
      <c r="L91" s="669" t="n"/>
      <c r="M91" s="669" t="n"/>
      <c r="N91" s="669" t="n"/>
      <c r="O91" s="669" t="n"/>
      <c r="P91" s="669" t="n"/>
      <c r="Q91" s="669" t="n"/>
      <c r="R91" s="669" t="n"/>
      <c r="S91" s="669" t="n"/>
      <c r="T91" s="669" t="n"/>
      <c r="U91" s="669" t="n"/>
      <c r="V91" s="669" t="n"/>
      <c r="W91" s="669" t="n"/>
      <c r="X91" s="669" t="n"/>
      <c r="Y91" s="669" t="n"/>
      <c r="Z91" s="669" t="n"/>
    </row>
    <row r="92">
      <c r="A92" s="1103" t="n">
        <v>17</v>
      </c>
      <c r="B92" s="1103" t="n">
        <v>2</v>
      </c>
      <c r="C92" s="669" t="n"/>
      <c r="D92" s="1067" t="n">
        <v>360</v>
      </c>
      <c r="E92" s="1067" t="n">
        <v>17</v>
      </c>
      <c r="G92" s="669" t="n"/>
      <c r="H92" s="669" t="n"/>
      <c r="I92" s="669" t="n"/>
      <c r="J92" s="669" t="n"/>
      <c r="K92" s="669" t="n"/>
      <c r="L92" s="669" t="n"/>
      <c r="M92" s="669" t="n"/>
      <c r="N92" s="669" t="n"/>
      <c r="O92" s="669" t="n"/>
      <c r="P92" s="669" t="n"/>
      <c r="Q92" s="669" t="n"/>
      <c r="R92" s="669" t="n"/>
      <c r="S92" s="669" t="n"/>
      <c r="T92" s="669" t="n"/>
      <c r="U92" s="669" t="n"/>
      <c r="V92" s="669" t="n"/>
      <c r="W92" s="669" t="n"/>
      <c r="X92" s="669" t="n"/>
      <c r="Y92" s="669" t="n"/>
      <c r="Z92" s="669" t="n"/>
    </row>
    <row r="93">
      <c r="A93" s="1103" t="n">
        <v>18</v>
      </c>
      <c r="B93" s="1103" t="n">
        <v>2</v>
      </c>
      <c r="C93" s="669" t="n"/>
      <c r="D93" s="1067" t="n">
        <v>375</v>
      </c>
      <c r="E93" s="1067" t="n">
        <v>18</v>
      </c>
      <c r="G93" s="669" t="n"/>
      <c r="H93" s="669" t="n"/>
      <c r="I93" s="669" t="n"/>
      <c r="J93" s="669" t="n"/>
      <c r="K93" s="669" t="n"/>
      <c r="L93" s="669" t="n"/>
      <c r="M93" s="669" t="n"/>
      <c r="N93" s="669" t="n"/>
      <c r="O93" s="669" t="n"/>
      <c r="P93" s="669" t="n"/>
      <c r="Q93" s="669" t="n"/>
      <c r="R93" s="669" t="n"/>
      <c r="S93" s="669" t="n"/>
      <c r="T93" s="669" t="n"/>
      <c r="U93" s="669" t="n"/>
      <c r="V93" s="669" t="n"/>
      <c r="W93" s="669" t="n"/>
      <c r="X93" s="669" t="n"/>
      <c r="Y93" s="669" t="n"/>
      <c r="Z93" s="669" t="n"/>
    </row>
    <row r="94">
      <c r="A94" s="1103" t="n">
        <v>19</v>
      </c>
      <c r="B94" s="1103" t="n">
        <v>2</v>
      </c>
      <c r="C94" s="669" t="n"/>
      <c r="D94" s="1067" t="n">
        <v>390</v>
      </c>
      <c r="E94" s="1067" t="n">
        <v>19</v>
      </c>
      <c r="G94" s="669" t="n"/>
      <c r="H94" s="669" t="n"/>
      <c r="I94" s="669" t="n"/>
      <c r="J94" s="669" t="n"/>
      <c r="K94" s="669" t="n"/>
      <c r="L94" s="669" t="n"/>
      <c r="M94" s="669" t="n"/>
      <c r="N94" s="669" t="n"/>
      <c r="O94" s="669" t="n"/>
      <c r="P94" s="669" t="n"/>
      <c r="Q94" s="669" t="n"/>
      <c r="R94" s="669" t="n"/>
      <c r="S94" s="669" t="n"/>
      <c r="T94" s="669" t="n"/>
      <c r="U94" s="669" t="n"/>
      <c r="V94" s="669" t="n"/>
      <c r="W94" s="669" t="n"/>
      <c r="X94" s="669" t="n"/>
      <c r="Y94" s="669" t="n"/>
      <c r="Z94" s="669" t="n"/>
    </row>
    <row r="95">
      <c r="A95" s="1103" t="n">
        <v>20</v>
      </c>
      <c r="B95" s="1103" t="n">
        <v>2</v>
      </c>
      <c r="C95" s="669" t="n"/>
      <c r="D95" s="1067" t="n">
        <v>405</v>
      </c>
      <c r="E95" s="1067" t="n">
        <v>20</v>
      </c>
      <c r="G95" s="669" t="n"/>
      <c r="H95" s="669" t="n"/>
      <c r="I95" s="669" t="n"/>
      <c r="J95" s="669" t="n"/>
      <c r="K95" s="669" t="n"/>
      <c r="L95" s="669" t="n"/>
      <c r="M95" s="669" t="n"/>
      <c r="N95" s="669" t="n"/>
      <c r="O95" s="669" t="n"/>
      <c r="P95" s="669" t="n"/>
      <c r="Q95" s="669" t="n"/>
      <c r="R95" s="669" t="n"/>
      <c r="S95" s="669" t="n"/>
      <c r="T95" s="669" t="n"/>
      <c r="U95" s="669" t="n"/>
      <c r="V95" s="669" t="n"/>
      <c r="W95" s="669" t="n"/>
      <c r="X95" s="669" t="n"/>
      <c r="Y95" s="669" t="n"/>
      <c r="Z95" s="669" t="n"/>
    </row>
    <row r="96">
      <c r="A96" s="1103" t="n">
        <v>21</v>
      </c>
      <c r="B96" s="1103" t="n">
        <v>3</v>
      </c>
      <c r="C96" s="669" t="n"/>
      <c r="D96" s="1067" t="n">
        <v>420</v>
      </c>
      <c r="E96" s="1067" t="n">
        <v>21</v>
      </c>
      <c r="G96" s="669" t="n"/>
      <c r="H96" s="669" t="n"/>
      <c r="I96" s="669" t="n"/>
      <c r="J96" s="669" t="n"/>
      <c r="K96" s="669" t="n"/>
      <c r="L96" s="669" t="n"/>
      <c r="M96" s="669" t="n"/>
      <c r="N96" s="669" t="n"/>
      <c r="O96" s="669" t="n"/>
      <c r="P96" s="669" t="n"/>
      <c r="Q96" s="669" t="n"/>
      <c r="R96" s="669" t="n"/>
      <c r="S96" s="669" t="n"/>
      <c r="T96" s="669" t="n"/>
      <c r="U96" s="669" t="n"/>
      <c r="V96" s="669" t="n"/>
      <c r="W96" s="669" t="n"/>
      <c r="X96" s="669" t="n"/>
      <c r="Y96" s="669" t="n"/>
      <c r="Z96" s="669" t="n"/>
    </row>
    <row r="97">
      <c r="A97" s="1103" t="n">
        <v>22</v>
      </c>
      <c r="B97" s="1103" t="n">
        <v>3</v>
      </c>
      <c r="C97" s="669" t="n"/>
      <c r="D97" s="1067" t="n">
        <v>440</v>
      </c>
      <c r="E97" s="1067" t="n">
        <v>22</v>
      </c>
      <c r="G97" s="669" t="n"/>
      <c r="H97" s="669" t="n"/>
      <c r="I97" s="669" t="n"/>
      <c r="J97" s="669" t="n"/>
      <c r="K97" s="669" t="n"/>
      <c r="L97" s="669" t="n"/>
      <c r="M97" s="669" t="n"/>
      <c r="N97" s="669" t="n"/>
      <c r="O97" s="669" t="n"/>
      <c r="P97" s="669" t="n"/>
      <c r="Q97" s="669" t="n"/>
      <c r="R97" s="669" t="n"/>
      <c r="S97" s="669" t="n"/>
      <c r="T97" s="669" t="n"/>
      <c r="U97" s="669" t="n"/>
      <c r="V97" s="669" t="n"/>
      <c r="W97" s="669" t="n"/>
      <c r="X97" s="669" t="n"/>
      <c r="Y97" s="669" t="n"/>
      <c r="Z97" s="669" t="n"/>
    </row>
    <row r="98">
      <c r="A98" s="1103" t="n">
        <v>23</v>
      </c>
      <c r="B98" s="1103" t="n">
        <v>3</v>
      </c>
      <c r="C98" s="669" t="n"/>
      <c r="D98" s="1067" t="n">
        <v>460</v>
      </c>
      <c r="E98" s="1067" t="n">
        <v>23</v>
      </c>
      <c r="G98" s="669" t="n"/>
      <c r="H98" s="669" t="n"/>
      <c r="I98" s="669" t="n"/>
      <c r="J98" s="669" t="n"/>
      <c r="K98" s="669" t="n"/>
      <c r="L98" s="669" t="n"/>
      <c r="M98" s="669" t="n"/>
      <c r="N98" s="669" t="n"/>
      <c r="O98" s="669" t="n"/>
      <c r="P98" s="669" t="n"/>
      <c r="Q98" s="669" t="n"/>
      <c r="R98" s="669" t="n"/>
      <c r="S98" s="669" t="n"/>
      <c r="T98" s="669" t="n"/>
      <c r="U98" s="669" t="n"/>
      <c r="V98" s="669" t="n"/>
      <c r="W98" s="669" t="n"/>
      <c r="X98" s="669" t="n"/>
      <c r="Y98" s="669" t="n"/>
      <c r="Z98" s="669" t="n"/>
    </row>
    <row r="99">
      <c r="A99" s="1103" t="n">
        <v>24</v>
      </c>
      <c r="B99" s="1103" t="n">
        <v>3</v>
      </c>
      <c r="C99" s="669" t="n"/>
      <c r="D99" s="1067" t="n">
        <v>480</v>
      </c>
      <c r="E99" s="1067" t="n">
        <v>24</v>
      </c>
      <c r="G99" s="669" t="n"/>
      <c r="H99" s="669" t="n"/>
      <c r="I99" s="669" t="n"/>
      <c r="J99" s="669" t="n"/>
      <c r="K99" s="669" t="n"/>
      <c r="L99" s="669" t="n"/>
      <c r="M99" s="669" t="n"/>
      <c r="N99" s="669" t="n"/>
      <c r="O99" s="669" t="n"/>
      <c r="P99" s="669" t="n"/>
      <c r="Q99" s="669" t="n"/>
      <c r="R99" s="669" t="n"/>
      <c r="S99" s="669" t="n"/>
      <c r="T99" s="669" t="n"/>
      <c r="U99" s="669" t="n"/>
      <c r="V99" s="669" t="n"/>
      <c r="W99" s="669" t="n"/>
      <c r="X99" s="669" t="n"/>
      <c r="Y99" s="669" t="n"/>
      <c r="Z99" s="669" t="n"/>
    </row>
    <row r="100">
      <c r="A100" s="1103" t="n">
        <v>25</v>
      </c>
      <c r="B100" s="1103" t="n">
        <v>3</v>
      </c>
      <c r="C100" s="669" t="n"/>
      <c r="D100" s="1067" t="n">
        <v>500</v>
      </c>
      <c r="E100" s="1067" t="n">
        <v>25</v>
      </c>
      <c r="G100" s="669" t="n"/>
      <c r="H100" s="669" t="n"/>
      <c r="I100" s="669" t="n"/>
      <c r="J100" s="669" t="n"/>
      <c r="K100" s="669" t="n"/>
      <c r="L100" s="669" t="n"/>
      <c r="M100" s="669" t="n"/>
      <c r="N100" s="669" t="n"/>
      <c r="O100" s="669" t="n"/>
      <c r="P100" s="669" t="n"/>
      <c r="Q100" s="669" t="n"/>
      <c r="R100" s="669" t="n"/>
      <c r="S100" s="669" t="n"/>
      <c r="T100" s="669" t="n"/>
      <c r="U100" s="669" t="n"/>
      <c r="V100" s="669" t="n"/>
      <c r="W100" s="669" t="n"/>
      <c r="X100" s="669" t="n"/>
      <c r="Y100" s="669" t="n"/>
      <c r="Z100" s="669" t="n"/>
    </row>
    <row r="101">
      <c r="A101" s="1103" t="n">
        <v>26</v>
      </c>
      <c r="B101" s="1103" t="n">
        <v>3</v>
      </c>
      <c r="C101" s="669" t="n"/>
      <c r="D101" s="1067" t="n">
        <v>520</v>
      </c>
      <c r="E101" s="1067" t="n">
        <v>26</v>
      </c>
      <c r="G101" s="669" t="n"/>
      <c r="H101" s="669" t="n"/>
      <c r="I101" s="669" t="n"/>
      <c r="J101" s="669" t="n"/>
      <c r="K101" s="669" t="n"/>
      <c r="L101" s="669" t="n"/>
      <c r="M101" s="669" t="n"/>
      <c r="N101" s="669" t="n"/>
      <c r="O101" s="669" t="n"/>
      <c r="P101" s="669" t="n"/>
      <c r="Q101" s="669" t="n"/>
      <c r="R101" s="669" t="n"/>
      <c r="S101" s="669" t="n"/>
      <c r="T101" s="669" t="n"/>
      <c r="U101" s="669" t="n"/>
      <c r="V101" s="669" t="n"/>
      <c r="W101" s="669" t="n"/>
      <c r="X101" s="669" t="n"/>
      <c r="Y101" s="669" t="n"/>
      <c r="Z101" s="669" t="n"/>
    </row>
    <row r="102">
      <c r="A102" s="1103" t="n">
        <v>27</v>
      </c>
      <c r="B102" s="1103" t="n">
        <v>3</v>
      </c>
      <c r="C102" s="669" t="n"/>
      <c r="D102" s="1067" t="n">
        <v>540</v>
      </c>
      <c r="E102" s="1067" t="n">
        <v>27</v>
      </c>
      <c r="G102" s="669" t="n"/>
      <c r="H102" s="669" t="n"/>
      <c r="I102" s="669" t="n"/>
      <c r="J102" s="669" t="n"/>
      <c r="K102" s="669" t="n"/>
      <c r="L102" s="669" t="n"/>
      <c r="M102" s="669" t="n"/>
      <c r="N102" s="669" t="n"/>
      <c r="O102" s="669" t="n"/>
      <c r="P102" s="669" t="n"/>
      <c r="Q102" s="669" t="n"/>
      <c r="R102" s="669" t="n"/>
      <c r="S102" s="669" t="n"/>
      <c r="T102" s="669" t="n"/>
      <c r="U102" s="669" t="n"/>
      <c r="V102" s="669" t="n"/>
      <c r="W102" s="669" t="n"/>
      <c r="X102" s="669" t="n"/>
      <c r="Y102" s="669" t="n"/>
      <c r="Z102" s="669" t="n"/>
    </row>
    <row r="103">
      <c r="A103" s="1103" t="n">
        <v>28</v>
      </c>
      <c r="B103" s="1103" t="n">
        <v>3</v>
      </c>
      <c r="C103" s="669" t="n"/>
      <c r="D103" s="1067" t="n">
        <v>560</v>
      </c>
      <c r="E103" s="1067" t="n">
        <v>28</v>
      </c>
      <c r="G103" s="669" t="n"/>
      <c r="H103" s="669" t="n"/>
      <c r="I103" s="669" t="n"/>
      <c r="J103" s="669" t="n"/>
      <c r="K103" s="669" t="n"/>
      <c r="L103" s="669" t="n"/>
      <c r="M103" s="669" t="n"/>
      <c r="N103" s="669" t="n"/>
      <c r="O103" s="669" t="n"/>
      <c r="P103" s="669" t="n"/>
      <c r="Q103" s="669" t="n"/>
      <c r="R103" s="669" t="n"/>
      <c r="S103" s="669" t="n"/>
      <c r="T103" s="669" t="n"/>
      <c r="U103" s="669" t="n"/>
      <c r="V103" s="669" t="n"/>
      <c r="W103" s="669" t="n"/>
      <c r="X103" s="669" t="n"/>
      <c r="Y103" s="669" t="n"/>
      <c r="Z103" s="669" t="n"/>
    </row>
    <row r="104">
      <c r="A104" s="1103" t="n">
        <v>29</v>
      </c>
      <c r="B104" s="1103" t="n">
        <v>3</v>
      </c>
      <c r="C104" s="669" t="n"/>
      <c r="D104" s="1067" t="n">
        <v>580</v>
      </c>
      <c r="E104" s="1067" t="n">
        <v>29</v>
      </c>
      <c r="G104" s="669" t="n"/>
      <c r="H104" s="669" t="n"/>
      <c r="I104" s="669" t="n"/>
      <c r="J104" s="669" t="n"/>
      <c r="K104" s="669" t="n"/>
      <c r="L104" s="669" t="n"/>
      <c r="M104" s="669" t="n"/>
      <c r="N104" s="669" t="n"/>
      <c r="O104" s="669" t="n"/>
      <c r="P104" s="669" t="n"/>
      <c r="Q104" s="669" t="n"/>
      <c r="R104" s="669" t="n"/>
      <c r="S104" s="669" t="n"/>
      <c r="T104" s="669" t="n"/>
      <c r="U104" s="669" t="n"/>
      <c r="V104" s="669" t="n"/>
      <c r="W104" s="669" t="n"/>
      <c r="X104" s="669" t="n"/>
      <c r="Y104" s="669" t="n"/>
      <c r="Z104" s="669" t="n"/>
    </row>
    <row r="105">
      <c r="A105" s="1103" t="n">
        <v>30</v>
      </c>
      <c r="B105" s="1103" t="n">
        <v>3</v>
      </c>
      <c r="C105" s="669" t="n"/>
      <c r="D105" s="1067" t="n">
        <v>600</v>
      </c>
      <c r="E105" s="1067" t="n">
        <v>30</v>
      </c>
      <c r="G105" s="669" t="n"/>
      <c r="H105" s="669" t="n"/>
      <c r="I105" s="669" t="n"/>
      <c r="J105" s="669" t="n"/>
      <c r="K105" s="669" t="n"/>
      <c r="L105" s="669" t="n"/>
      <c r="M105" s="669" t="n"/>
      <c r="N105" s="669" t="n"/>
      <c r="O105" s="669" t="n"/>
      <c r="P105" s="669" t="n"/>
      <c r="Q105" s="669" t="n"/>
      <c r="R105" s="669" t="n"/>
      <c r="S105" s="669" t="n"/>
      <c r="T105" s="669" t="n"/>
      <c r="U105" s="669" t="n"/>
      <c r="V105" s="669" t="n"/>
      <c r="W105" s="669" t="n"/>
      <c r="X105" s="669" t="n"/>
      <c r="Y105" s="669" t="n"/>
      <c r="Z105" s="669" t="n"/>
    </row>
    <row r="106">
      <c r="A106" s="1103" t="n">
        <v>31</v>
      </c>
      <c r="B106" s="1103" t="n">
        <v>4</v>
      </c>
      <c r="C106" s="669" t="n"/>
      <c r="D106" s="669" t="n"/>
      <c r="E106" s="669" t="n"/>
      <c r="F106" s="669" t="n"/>
      <c r="G106" s="669" t="n"/>
      <c r="H106" s="669" t="n"/>
      <c r="I106" s="669" t="n"/>
      <c r="J106" s="669" t="n"/>
      <c r="K106" s="669" t="n"/>
      <c r="L106" s="669" t="n"/>
      <c r="M106" s="669" t="n"/>
      <c r="N106" s="669" t="n"/>
      <c r="O106" s="669" t="n"/>
      <c r="P106" s="669" t="n"/>
      <c r="Q106" s="669" t="n"/>
      <c r="R106" s="669" t="n"/>
      <c r="S106" s="669" t="n"/>
      <c r="T106" s="669" t="n"/>
      <c r="U106" s="669" t="n"/>
      <c r="V106" s="669" t="n"/>
      <c r="W106" s="669" t="n"/>
      <c r="X106" s="669" t="n"/>
      <c r="Y106" s="669" t="n"/>
      <c r="Z106" s="669" t="n"/>
    </row>
    <row r="107">
      <c r="A107" s="1103" t="n">
        <v>32</v>
      </c>
      <c r="B107" s="1103" t="n">
        <v>4</v>
      </c>
      <c r="C107" s="669" t="n"/>
      <c r="D107" s="669" t="n"/>
      <c r="E107" s="669" t="n"/>
      <c r="F107" s="669" t="n"/>
      <c r="G107" s="669" t="n"/>
      <c r="H107" s="669" t="n"/>
      <c r="I107" s="669" t="n"/>
      <c r="J107" s="669" t="n"/>
      <c r="K107" s="669" t="n"/>
      <c r="L107" s="669" t="n"/>
      <c r="M107" s="669" t="n"/>
      <c r="N107" s="669" t="n"/>
      <c r="O107" s="669" t="n"/>
      <c r="P107" s="669" t="n"/>
      <c r="Q107" s="669" t="n"/>
      <c r="R107" s="669" t="n"/>
      <c r="S107" s="669" t="n"/>
      <c r="T107" s="669" t="n"/>
      <c r="U107" s="669" t="n"/>
      <c r="V107" s="669" t="n"/>
      <c r="W107" s="669" t="n"/>
      <c r="X107" s="669" t="n"/>
      <c r="Y107" s="669" t="n"/>
      <c r="Z107" s="669" t="n"/>
    </row>
    <row r="108">
      <c r="A108" s="1103" t="n">
        <v>33</v>
      </c>
      <c r="B108" s="1103" t="n">
        <v>4</v>
      </c>
      <c r="C108" s="669" t="n"/>
      <c r="D108" s="669" t="n"/>
      <c r="E108" s="669" t="n"/>
      <c r="F108" s="669" t="n"/>
      <c r="G108" s="669" t="n"/>
      <c r="H108" s="669" t="n"/>
      <c r="I108" s="669" t="n"/>
      <c r="J108" s="669" t="n"/>
      <c r="K108" s="669" t="n"/>
      <c r="L108" s="669" t="n"/>
      <c r="M108" s="669" t="n"/>
      <c r="N108" s="669" t="n"/>
      <c r="O108" s="669" t="n"/>
      <c r="P108" s="669" t="n"/>
      <c r="Q108" s="669" t="n"/>
      <c r="R108" s="669" t="n"/>
      <c r="S108" s="669" t="n"/>
      <c r="T108" s="669" t="n"/>
      <c r="U108" s="669" t="n"/>
      <c r="V108" s="669" t="n"/>
      <c r="W108" s="669" t="n"/>
      <c r="X108" s="669" t="n"/>
      <c r="Y108" s="669" t="n"/>
      <c r="Z108" s="669" t="n"/>
    </row>
    <row r="109">
      <c r="A109" s="1103" t="n">
        <v>34</v>
      </c>
      <c r="B109" s="1103" t="n">
        <v>4</v>
      </c>
      <c r="C109" s="669" t="n"/>
      <c r="D109" s="669" t="n"/>
      <c r="E109" s="669" t="n"/>
      <c r="F109" s="669" t="n"/>
      <c r="G109" s="669" t="n"/>
      <c r="H109" s="669" t="n"/>
      <c r="I109" s="669" t="n"/>
      <c r="J109" s="669" t="n"/>
      <c r="K109" s="669" t="n"/>
      <c r="L109" s="669" t="n"/>
      <c r="M109" s="669" t="n"/>
      <c r="N109" s="669" t="n"/>
      <c r="O109" s="669" t="n"/>
      <c r="P109" s="669" t="n"/>
      <c r="Q109" s="669" t="n"/>
      <c r="R109" s="669" t="n"/>
      <c r="S109" s="669" t="n"/>
      <c r="T109" s="669" t="n"/>
      <c r="U109" s="669" t="n"/>
      <c r="V109" s="669" t="n"/>
      <c r="W109" s="669" t="n"/>
      <c r="X109" s="669" t="n"/>
      <c r="Y109" s="669" t="n"/>
      <c r="Z109" s="669" t="n"/>
    </row>
    <row r="110">
      <c r="A110" s="1103" t="n">
        <v>35</v>
      </c>
      <c r="B110" s="1103" t="n">
        <v>4</v>
      </c>
      <c r="C110" s="669" t="n"/>
      <c r="D110" s="669" t="n"/>
      <c r="E110" s="669" t="n"/>
      <c r="F110" s="669" t="n"/>
      <c r="G110" s="669" t="n"/>
      <c r="H110" s="669" t="n"/>
      <c r="I110" s="669" t="n"/>
      <c r="J110" s="669" t="n"/>
      <c r="K110" s="669" t="n"/>
      <c r="L110" s="669" t="n"/>
      <c r="M110" s="669" t="n"/>
      <c r="N110" s="669" t="n"/>
      <c r="O110" s="669" t="n"/>
      <c r="P110" s="669" t="n"/>
      <c r="Q110" s="669" t="n"/>
      <c r="R110" s="669" t="n"/>
      <c r="S110" s="669" t="n"/>
      <c r="T110" s="669" t="n"/>
      <c r="U110" s="669" t="n"/>
      <c r="V110" s="669" t="n"/>
      <c r="W110" s="669" t="n"/>
      <c r="X110" s="669" t="n"/>
      <c r="Y110" s="669" t="n"/>
      <c r="Z110" s="669" t="n"/>
    </row>
    <row r="111">
      <c r="A111" s="1103" t="n">
        <v>36</v>
      </c>
      <c r="B111" s="1103" t="n">
        <v>4</v>
      </c>
      <c r="C111" s="669" t="n"/>
      <c r="D111" s="669" t="n"/>
      <c r="E111" s="669" t="n"/>
      <c r="F111" s="669" t="n"/>
      <c r="G111" s="669" t="n"/>
      <c r="H111" s="669" t="n"/>
      <c r="I111" s="669" t="n"/>
      <c r="J111" s="669" t="n"/>
      <c r="K111" s="669" t="n"/>
      <c r="L111" s="669" t="n"/>
      <c r="M111" s="669" t="n"/>
      <c r="N111" s="669" t="n"/>
      <c r="O111" s="669" t="n"/>
      <c r="P111" s="669" t="n"/>
      <c r="Q111" s="669" t="n"/>
      <c r="R111" s="669" t="n"/>
      <c r="S111" s="669" t="n"/>
      <c r="T111" s="669" t="n"/>
      <c r="U111" s="669" t="n"/>
      <c r="V111" s="669" t="n"/>
      <c r="W111" s="669" t="n"/>
      <c r="X111" s="669" t="n"/>
      <c r="Y111" s="669" t="n"/>
      <c r="Z111" s="669" t="n"/>
    </row>
    <row r="112">
      <c r="A112" s="1103" t="n">
        <v>37</v>
      </c>
      <c r="B112" s="1103" t="n">
        <v>4</v>
      </c>
      <c r="C112" s="669" t="n"/>
      <c r="D112" s="669" t="n"/>
      <c r="E112" s="669" t="n"/>
      <c r="F112" s="669" t="n"/>
      <c r="G112" s="669" t="n"/>
      <c r="H112" s="669" t="n"/>
      <c r="I112" s="669" t="n"/>
      <c r="J112" s="669" t="n"/>
      <c r="K112" s="669" t="n"/>
      <c r="L112" s="669" t="n"/>
      <c r="M112" s="669" t="n"/>
      <c r="N112" s="669" t="n"/>
      <c r="O112" s="669" t="n"/>
      <c r="P112" s="669" t="n"/>
      <c r="Q112" s="669" t="n"/>
      <c r="R112" s="669" t="n"/>
      <c r="S112" s="669" t="n"/>
      <c r="T112" s="669" t="n"/>
      <c r="U112" s="669" t="n"/>
      <c r="V112" s="669" t="n"/>
      <c r="W112" s="669" t="n"/>
      <c r="X112" s="669" t="n"/>
      <c r="Y112" s="669" t="n"/>
      <c r="Z112" s="669" t="n"/>
    </row>
    <row r="113">
      <c r="A113" s="1103" t="n">
        <v>38</v>
      </c>
      <c r="B113" s="1103" t="n">
        <v>4</v>
      </c>
      <c r="C113" s="669" t="n"/>
      <c r="D113" s="669" t="n"/>
      <c r="E113" s="669" t="n"/>
      <c r="F113" s="669" t="n"/>
      <c r="G113" s="669" t="n"/>
      <c r="H113" s="669" t="n"/>
      <c r="I113" s="669" t="n"/>
      <c r="J113" s="669" t="n"/>
      <c r="K113" s="669" t="n"/>
      <c r="L113" s="669" t="n"/>
      <c r="M113" s="669" t="n"/>
      <c r="N113" s="669" t="n"/>
      <c r="O113" s="669" t="n"/>
      <c r="P113" s="669" t="n"/>
      <c r="Q113" s="669" t="n"/>
      <c r="R113" s="669" t="n"/>
      <c r="S113" s="669" t="n"/>
      <c r="T113" s="669" t="n"/>
      <c r="U113" s="669" t="n"/>
      <c r="V113" s="669" t="n"/>
      <c r="W113" s="669" t="n"/>
      <c r="X113" s="669" t="n"/>
      <c r="Y113" s="669" t="n"/>
      <c r="Z113" s="669" t="n"/>
    </row>
    <row r="114">
      <c r="A114" s="1103" t="n">
        <v>39</v>
      </c>
      <c r="B114" s="1103" t="n">
        <v>4</v>
      </c>
      <c r="C114" s="669" t="n"/>
      <c r="D114" s="669" t="n"/>
      <c r="E114" s="669" t="n"/>
      <c r="F114" s="669" t="n"/>
      <c r="G114" s="669" t="n"/>
      <c r="H114" s="669" t="n"/>
      <c r="I114" s="669" t="n"/>
      <c r="J114" s="669" t="n"/>
      <c r="K114" s="669" t="n"/>
      <c r="L114" s="669" t="n"/>
      <c r="M114" s="669" t="n"/>
      <c r="N114" s="669" t="n"/>
      <c r="O114" s="669" t="n"/>
      <c r="P114" s="669" t="n"/>
      <c r="Q114" s="669" t="n"/>
      <c r="R114" s="669" t="n"/>
      <c r="S114" s="669" t="n"/>
      <c r="T114" s="669" t="n"/>
      <c r="U114" s="669" t="n"/>
      <c r="V114" s="669" t="n"/>
      <c r="W114" s="669" t="n"/>
      <c r="X114" s="669" t="n"/>
      <c r="Y114" s="669" t="n"/>
      <c r="Z114" s="669" t="n"/>
    </row>
    <row r="115">
      <c r="A115" s="1103" t="n">
        <v>40</v>
      </c>
      <c r="B115" s="1103" t="n">
        <v>4</v>
      </c>
      <c r="C115" s="669" t="n"/>
      <c r="D115" s="669" t="n"/>
      <c r="E115" s="669" t="n"/>
      <c r="F115" s="669" t="n"/>
      <c r="G115" s="669" t="n"/>
      <c r="H115" s="669" t="n"/>
      <c r="I115" s="669" t="n"/>
      <c r="J115" s="669" t="n"/>
      <c r="K115" s="669" t="n"/>
      <c r="L115" s="669" t="n"/>
      <c r="M115" s="669" t="n"/>
      <c r="N115" s="669" t="n"/>
      <c r="O115" s="669" t="n"/>
      <c r="P115" s="669" t="n"/>
      <c r="Q115" s="669" t="n"/>
      <c r="R115" s="669" t="n"/>
      <c r="S115" s="669" t="n"/>
      <c r="T115" s="669" t="n"/>
      <c r="U115" s="669" t="n"/>
      <c r="V115" s="669" t="n"/>
      <c r="W115" s="669" t="n"/>
      <c r="X115" s="669" t="n"/>
      <c r="Y115" s="669" t="n"/>
      <c r="Z115" s="669" t="n"/>
    </row>
    <row r="116">
      <c r="A116" s="1103" t="n">
        <v>41</v>
      </c>
      <c r="B116" s="1103" t="n">
        <v>5</v>
      </c>
      <c r="C116" s="669" t="n"/>
      <c r="D116" s="669" t="n"/>
      <c r="E116" s="669" t="n"/>
      <c r="F116" s="669" t="n"/>
      <c r="G116" s="669" t="n"/>
      <c r="H116" s="669" t="n"/>
      <c r="I116" s="669" t="n"/>
      <c r="J116" s="669" t="n"/>
      <c r="K116" s="669" t="n"/>
      <c r="L116" s="669" t="n"/>
      <c r="M116" s="669" t="n"/>
      <c r="N116" s="669" t="n"/>
      <c r="O116" s="669" t="n"/>
      <c r="P116" s="669" t="n"/>
      <c r="Q116" s="669" t="n"/>
      <c r="R116" s="669" t="n"/>
      <c r="S116" s="669" t="n"/>
      <c r="T116" s="669" t="n"/>
      <c r="U116" s="669" t="n"/>
      <c r="V116" s="669" t="n"/>
      <c r="W116" s="669" t="n"/>
      <c r="X116" s="669" t="n"/>
      <c r="Y116" s="669" t="n"/>
      <c r="Z116" s="669" t="n"/>
    </row>
    <row r="117">
      <c r="A117" s="1103" t="n">
        <v>42</v>
      </c>
      <c r="B117" s="1103" t="n">
        <v>5</v>
      </c>
      <c r="C117" s="669" t="n"/>
      <c r="D117" s="669" t="n"/>
      <c r="E117" s="669" t="n"/>
      <c r="F117" s="669" t="n"/>
      <c r="G117" s="669" t="n"/>
      <c r="H117" s="669" t="n"/>
      <c r="I117" s="669" t="n"/>
      <c r="J117" s="669" t="n"/>
      <c r="K117" s="669" t="n"/>
      <c r="L117" s="669" t="n"/>
      <c r="M117" s="669" t="n"/>
      <c r="N117" s="669" t="n"/>
      <c r="O117" s="669" t="n"/>
      <c r="P117" s="669" t="n"/>
      <c r="Q117" s="669" t="n"/>
      <c r="R117" s="669" t="n"/>
      <c r="S117" s="669" t="n"/>
      <c r="T117" s="669" t="n"/>
      <c r="U117" s="669" t="n"/>
      <c r="V117" s="669" t="n"/>
      <c r="W117" s="669" t="n"/>
      <c r="X117" s="669" t="n"/>
      <c r="Y117" s="669" t="n"/>
      <c r="Z117" s="669" t="n"/>
    </row>
    <row r="118">
      <c r="A118" s="1103" t="n">
        <v>43</v>
      </c>
      <c r="B118" s="1103" t="n">
        <v>5</v>
      </c>
      <c r="C118" s="669" t="n"/>
      <c r="D118" s="669" t="n"/>
      <c r="E118" s="669" t="n"/>
      <c r="F118" s="669" t="n"/>
      <c r="G118" s="669" t="n"/>
      <c r="H118" s="669" t="n"/>
      <c r="I118" s="669" t="n"/>
      <c r="J118" s="669" t="n"/>
      <c r="K118" s="669" t="n"/>
      <c r="L118" s="669" t="n"/>
      <c r="M118" s="669" t="n"/>
      <c r="N118" s="669" t="n"/>
      <c r="O118" s="669" t="n"/>
      <c r="P118" s="669" t="n"/>
      <c r="Q118" s="669" t="n"/>
      <c r="R118" s="669" t="n"/>
      <c r="S118" s="669" t="n"/>
      <c r="T118" s="669" t="n"/>
      <c r="U118" s="669" t="n"/>
      <c r="V118" s="669" t="n"/>
      <c r="W118" s="669" t="n"/>
      <c r="X118" s="669" t="n"/>
      <c r="Y118" s="669" t="n"/>
      <c r="Z118" s="669" t="n"/>
    </row>
    <row r="119">
      <c r="A119" s="1103" t="n">
        <v>44</v>
      </c>
      <c r="B119" s="1103" t="n">
        <v>5</v>
      </c>
      <c r="C119" s="669" t="n"/>
      <c r="D119" s="669" t="n"/>
      <c r="E119" s="669" t="n"/>
      <c r="F119" s="669" t="n"/>
      <c r="G119" s="669" t="n"/>
      <c r="H119" s="669" t="n"/>
      <c r="I119" s="669" t="n"/>
      <c r="J119" s="669" t="n"/>
      <c r="K119" s="669" t="n"/>
      <c r="L119" s="669" t="n"/>
      <c r="M119" s="669" t="n"/>
      <c r="N119" s="669" t="n"/>
      <c r="O119" s="669" t="n"/>
      <c r="P119" s="669" t="n"/>
      <c r="Q119" s="669" t="n"/>
      <c r="R119" s="669" t="n"/>
      <c r="S119" s="669" t="n"/>
      <c r="T119" s="669" t="n"/>
      <c r="U119" s="669" t="n"/>
      <c r="V119" s="669" t="n"/>
      <c r="W119" s="669" t="n"/>
      <c r="X119" s="669" t="n"/>
      <c r="Y119" s="669" t="n"/>
      <c r="Z119" s="669" t="n"/>
    </row>
    <row r="120">
      <c r="A120" s="1103" t="n">
        <v>45</v>
      </c>
      <c r="B120" s="1103" t="n">
        <v>5</v>
      </c>
      <c r="C120" s="669" t="n"/>
      <c r="D120" s="669" t="n"/>
      <c r="E120" s="669" t="n"/>
      <c r="F120" s="669" t="n"/>
      <c r="G120" s="669" t="n"/>
      <c r="H120" s="669" t="n"/>
      <c r="I120" s="669" t="n"/>
      <c r="J120" s="669" t="n"/>
      <c r="K120" s="669" t="n"/>
      <c r="L120" s="669" t="n"/>
      <c r="M120" s="669" t="n"/>
      <c r="N120" s="669" t="n"/>
      <c r="O120" s="669" t="n"/>
      <c r="P120" s="669" t="n"/>
      <c r="Q120" s="669" t="n"/>
      <c r="R120" s="669" t="n"/>
      <c r="S120" s="669" t="n"/>
      <c r="T120" s="669" t="n"/>
      <c r="U120" s="669" t="n"/>
      <c r="V120" s="669" t="n"/>
      <c r="W120" s="669" t="n"/>
      <c r="X120" s="669" t="n"/>
      <c r="Y120" s="669" t="n"/>
      <c r="Z120" s="669" t="n"/>
    </row>
    <row r="121">
      <c r="A121" s="1103" t="n">
        <v>46</v>
      </c>
      <c r="B121" s="1103" t="n">
        <v>5</v>
      </c>
      <c r="C121" s="669" t="n"/>
      <c r="D121" s="669" t="n"/>
      <c r="E121" s="669" t="n"/>
      <c r="F121" s="669" t="n"/>
      <c r="G121" s="669" t="n"/>
      <c r="H121" s="669" t="n"/>
      <c r="I121" s="669" t="n"/>
      <c r="J121" s="669" t="n"/>
      <c r="K121" s="669" t="n"/>
      <c r="L121" s="669" t="n"/>
      <c r="M121" s="669" t="n"/>
      <c r="N121" s="669" t="n"/>
      <c r="O121" s="669" t="n"/>
      <c r="P121" s="669" t="n"/>
      <c r="Q121" s="669" t="n"/>
      <c r="R121" s="669" t="n"/>
      <c r="S121" s="669" t="n"/>
      <c r="T121" s="669" t="n"/>
      <c r="U121" s="669" t="n"/>
      <c r="V121" s="669" t="n"/>
      <c r="W121" s="669" t="n"/>
      <c r="X121" s="669" t="n"/>
      <c r="Y121" s="669" t="n"/>
      <c r="Z121" s="669" t="n"/>
    </row>
    <row r="122">
      <c r="A122" s="1103" t="n">
        <v>47</v>
      </c>
      <c r="B122" s="1103" t="n">
        <v>5</v>
      </c>
      <c r="C122" s="669" t="n"/>
      <c r="D122" s="669" t="n"/>
      <c r="E122" s="669" t="n"/>
      <c r="F122" s="669" t="n"/>
      <c r="G122" s="669" t="n"/>
      <c r="H122" s="669" t="n"/>
      <c r="I122" s="669" t="n"/>
      <c r="J122" s="669" t="n"/>
      <c r="K122" s="669" t="n"/>
      <c r="L122" s="669" t="n"/>
      <c r="M122" s="669" t="n"/>
      <c r="N122" s="669" t="n"/>
      <c r="O122" s="669" t="n"/>
      <c r="P122" s="669" t="n"/>
      <c r="Q122" s="669" t="n"/>
      <c r="R122" s="669" t="n"/>
      <c r="S122" s="669" t="n"/>
      <c r="T122" s="669" t="n"/>
      <c r="U122" s="669" t="n"/>
      <c r="V122" s="669" t="n"/>
      <c r="W122" s="669" t="n"/>
      <c r="X122" s="669" t="n"/>
      <c r="Y122" s="669" t="n"/>
      <c r="Z122" s="669" t="n"/>
    </row>
    <row r="123">
      <c r="A123" s="1103" t="n">
        <v>48</v>
      </c>
      <c r="B123" s="1103" t="n">
        <v>5</v>
      </c>
      <c r="C123" s="669" t="n"/>
      <c r="D123" s="669" t="n"/>
      <c r="E123" s="669" t="n"/>
      <c r="F123" s="669" t="n"/>
      <c r="G123" s="669" t="n"/>
      <c r="H123" s="669" t="n"/>
      <c r="I123" s="669" t="n"/>
      <c r="J123" s="669" t="n"/>
      <c r="K123" s="669" t="n"/>
      <c r="L123" s="669" t="n"/>
      <c r="M123" s="669" t="n"/>
      <c r="N123" s="669" t="n"/>
      <c r="O123" s="669" t="n"/>
      <c r="P123" s="669" t="n"/>
      <c r="Q123" s="669" t="n"/>
      <c r="R123" s="669" t="n"/>
      <c r="S123" s="669" t="n"/>
      <c r="T123" s="669" t="n"/>
      <c r="U123" s="669" t="n"/>
      <c r="V123" s="669" t="n"/>
      <c r="W123" s="669" t="n"/>
      <c r="X123" s="669" t="n"/>
      <c r="Y123" s="669" t="n"/>
      <c r="Z123" s="669" t="n"/>
    </row>
    <row r="124">
      <c r="A124" s="1103" t="n">
        <v>49</v>
      </c>
      <c r="B124" s="1103" t="n">
        <v>5</v>
      </c>
      <c r="C124" s="669" t="n"/>
      <c r="D124" s="669" t="n"/>
      <c r="E124" s="669" t="n"/>
      <c r="F124" s="669" t="n"/>
      <c r="G124" s="669" t="n"/>
      <c r="H124" s="669" t="n"/>
      <c r="I124" s="669" t="n"/>
      <c r="J124" s="669" t="n"/>
      <c r="K124" s="669" t="n"/>
      <c r="L124" s="669" t="n"/>
      <c r="M124" s="669" t="n"/>
      <c r="N124" s="669" t="n"/>
      <c r="O124" s="669" t="n"/>
      <c r="P124" s="669" t="n"/>
      <c r="Q124" s="669" t="n"/>
      <c r="R124" s="669" t="n"/>
      <c r="S124" s="669" t="n"/>
      <c r="T124" s="669" t="n"/>
      <c r="U124" s="669" t="n"/>
      <c r="V124" s="669" t="n"/>
      <c r="W124" s="669" t="n"/>
      <c r="X124" s="669" t="n"/>
      <c r="Y124" s="669" t="n"/>
      <c r="Z124" s="669" t="n"/>
    </row>
    <row r="125">
      <c r="A125" s="1103" t="n">
        <v>50</v>
      </c>
      <c r="B125" s="1103" t="n">
        <v>5</v>
      </c>
      <c r="C125" s="669" t="n"/>
      <c r="D125" s="669" t="n"/>
      <c r="E125" s="669" t="n"/>
      <c r="F125" s="669" t="n"/>
      <c r="G125" s="669" t="n"/>
      <c r="H125" s="669" t="n"/>
      <c r="I125" s="669" t="n"/>
      <c r="J125" s="669" t="n"/>
      <c r="K125" s="669" t="n"/>
      <c r="L125" s="669" t="n"/>
      <c r="M125" s="669" t="n"/>
      <c r="N125" s="669" t="n"/>
      <c r="O125" s="669" t="n"/>
      <c r="P125" s="669" t="n"/>
      <c r="Q125" s="669" t="n"/>
      <c r="R125" s="669" t="n"/>
      <c r="S125" s="669" t="n"/>
      <c r="T125" s="669" t="n"/>
      <c r="U125" s="669" t="n"/>
      <c r="V125" s="669" t="n"/>
      <c r="W125" s="669" t="n"/>
      <c r="X125" s="669" t="n"/>
      <c r="Y125" s="669" t="n"/>
      <c r="Z125" s="669" t="n"/>
    </row>
    <row r="126">
      <c r="A126" s="1103" t="n">
        <v>51</v>
      </c>
      <c r="B126" s="1103" t="n">
        <v>10</v>
      </c>
      <c r="C126" s="669" t="n"/>
      <c r="D126" s="669" t="n"/>
      <c r="E126" s="669" t="n"/>
      <c r="F126" s="669" t="n"/>
      <c r="G126" s="669" t="n"/>
      <c r="H126" s="669" t="n"/>
      <c r="I126" s="669" t="n"/>
      <c r="J126" s="669" t="n"/>
      <c r="K126" s="669" t="n"/>
      <c r="L126" s="669" t="n"/>
      <c r="M126" s="669" t="n"/>
      <c r="N126" s="669" t="n"/>
      <c r="O126" s="669" t="n"/>
      <c r="P126" s="669" t="n"/>
      <c r="Q126" s="669" t="n"/>
      <c r="R126" s="669" t="n"/>
      <c r="S126" s="669" t="n"/>
      <c r="T126" s="669" t="n"/>
      <c r="U126" s="669" t="n"/>
      <c r="V126" s="669" t="n"/>
      <c r="W126" s="669" t="n"/>
      <c r="X126" s="669" t="n"/>
      <c r="Y126" s="669" t="n"/>
      <c r="Z126" s="669" t="n"/>
    </row>
    <row r="127">
      <c r="A127" s="1103" t="n">
        <v>52</v>
      </c>
      <c r="B127" s="1103" t="n">
        <v>10</v>
      </c>
      <c r="C127" s="669" t="n"/>
      <c r="D127" s="669" t="n"/>
      <c r="E127" s="669" t="n"/>
      <c r="F127" s="669" t="n"/>
      <c r="G127" s="669" t="n"/>
      <c r="H127" s="669" t="n"/>
      <c r="I127" s="669" t="n"/>
      <c r="J127" s="669" t="n"/>
      <c r="K127" s="669" t="n"/>
      <c r="L127" s="669" t="n"/>
      <c r="M127" s="669" t="n"/>
      <c r="N127" s="669" t="n"/>
      <c r="O127" s="669" t="n"/>
      <c r="P127" s="669" t="n"/>
      <c r="Q127" s="669" t="n"/>
      <c r="R127" s="669" t="n"/>
      <c r="S127" s="669" t="n"/>
      <c r="T127" s="669" t="n"/>
      <c r="U127" s="669" t="n"/>
      <c r="V127" s="669" t="n"/>
      <c r="W127" s="669" t="n"/>
      <c r="X127" s="669" t="n"/>
      <c r="Y127" s="669" t="n"/>
      <c r="Z127" s="669" t="n"/>
    </row>
    <row r="128">
      <c r="A128" s="1103" t="n">
        <v>53</v>
      </c>
      <c r="B128" s="1103" t="n">
        <v>10</v>
      </c>
      <c r="C128" s="669" t="n"/>
      <c r="D128" s="669" t="n"/>
      <c r="E128" s="669" t="n"/>
      <c r="F128" s="669" t="n"/>
      <c r="G128" s="669" t="n"/>
      <c r="H128" s="669" t="n"/>
      <c r="I128" s="669" t="n"/>
      <c r="J128" s="669" t="n"/>
      <c r="K128" s="669" t="n"/>
      <c r="L128" s="669" t="n"/>
      <c r="M128" s="669" t="n"/>
      <c r="N128" s="669" t="n"/>
      <c r="O128" s="669" t="n"/>
      <c r="P128" s="669" t="n"/>
      <c r="Q128" s="669" t="n"/>
      <c r="R128" s="669" t="n"/>
      <c r="S128" s="669" t="n"/>
      <c r="T128" s="669" t="n"/>
      <c r="U128" s="669" t="n"/>
      <c r="V128" s="669" t="n"/>
      <c r="W128" s="669" t="n"/>
      <c r="X128" s="669" t="n"/>
      <c r="Y128" s="669" t="n"/>
      <c r="Z128" s="669" t="n"/>
    </row>
    <row r="129">
      <c r="A129" s="1103" t="n">
        <v>54</v>
      </c>
      <c r="B129" s="1103" t="n">
        <v>10</v>
      </c>
      <c r="C129" s="669" t="n"/>
      <c r="D129" s="669" t="n"/>
      <c r="E129" s="669" t="n"/>
      <c r="F129" s="669" t="n"/>
      <c r="G129" s="669" t="n"/>
      <c r="H129" s="669" t="n"/>
      <c r="I129" s="669" t="n"/>
      <c r="J129" s="669" t="n"/>
      <c r="K129" s="669" t="n"/>
      <c r="L129" s="669" t="n"/>
      <c r="M129" s="669" t="n"/>
      <c r="N129" s="669" t="n"/>
      <c r="O129" s="669" t="n"/>
      <c r="P129" s="669" t="n"/>
      <c r="Q129" s="669" t="n"/>
      <c r="R129" s="669" t="n"/>
      <c r="S129" s="669" t="n"/>
      <c r="T129" s="669" t="n"/>
      <c r="U129" s="669" t="n"/>
      <c r="V129" s="669" t="n"/>
      <c r="W129" s="669" t="n"/>
      <c r="X129" s="669" t="n"/>
      <c r="Y129" s="669" t="n"/>
      <c r="Z129" s="669" t="n"/>
    </row>
    <row r="130">
      <c r="A130" s="1103" t="n">
        <v>55</v>
      </c>
      <c r="B130" s="1103" t="n">
        <v>10</v>
      </c>
      <c r="C130" s="669" t="n"/>
      <c r="D130" s="669" t="n"/>
      <c r="E130" s="669" t="n"/>
      <c r="F130" s="669" t="n"/>
      <c r="G130" s="669" t="n"/>
      <c r="H130" s="669" t="n"/>
      <c r="I130" s="669" t="n"/>
      <c r="J130" s="669" t="n"/>
      <c r="K130" s="669" t="n"/>
      <c r="L130" s="669" t="n"/>
      <c r="M130" s="669" t="n"/>
      <c r="N130" s="669" t="n"/>
      <c r="O130" s="669" t="n"/>
      <c r="P130" s="669" t="n"/>
      <c r="Q130" s="669" t="n"/>
      <c r="R130" s="669" t="n"/>
      <c r="S130" s="669" t="n"/>
      <c r="T130" s="669" t="n"/>
      <c r="U130" s="669" t="n"/>
      <c r="V130" s="669" t="n"/>
      <c r="W130" s="669" t="n"/>
      <c r="X130" s="669" t="n"/>
      <c r="Y130" s="669" t="n"/>
      <c r="Z130" s="669" t="n"/>
    </row>
    <row r="131">
      <c r="A131" s="1103" t="n">
        <v>56</v>
      </c>
      <c r="B131" s="1103" t="n">
        <v>10</v>
      </c>
      <c r="C131" s="669" t="n"/>
      <c r="D131" s="669" t="n"/>
      <c r="E131" s="669" t="n"/>
      <c r="F131" s="669" t="n"/>
      <c r="G131" s="669" t="n"/>
      <c r="H131" s="669" t="n"/>
      <c r="I131" s="669" t="n"/>
      <c r="J131" s="669" t="n"/>
      <c r="K131" s="669" t="n"/>
      <c r="L131" s="669" t="n"/>
      <c r="M131" s="669" t="n"/>
      <c r="N131" s="669" t="n"/>
      <c r="O131" s="669" t="n"/>
      <c r="P131" s="669" t="n"/>
      <c r="Q131" s="669" t="n"/>
      <c r="R131" s="669" t="n"/>
      <c r="S131" s="669" t="n"/>
      <c r="T131" s="669" t="n"/>
      <c r="U131" s="669" t="n"/>
      <c r="V131" s="669" t="n"/>
      <c r="W131" s="669" t="n"/>
      <c r="X131" s="669" t="n"/>
      <c r="Y131" s="669" t="n"/>
      <c r="Z131" s="669" t="n"/>
    </row>
    <row r="132">
      <c r="A132" s="1103" t="n">
        <v>57</v>
      </c>
      <c r="B132" s="1103" t="n">
        <v>10</v>
      </c>
      <c r="C132" s="669" t="n"/>
      <c r="D132" s="669" t="n"/>
      <c r="E132" s="669" t="n"/>
      <c r="F132" s="669" t="n"/>
      <c r="G132" s="669" t="n"/>
      <c r="H132" s="669" t="n"/>
      <c r="I132" s="669" t="n"/>
      <c r="J132" s="669" t="n"/>
      <c r="K132" s="669" t="n"/>
      <c r="L132" s="669" t="n"/>
      <c r="M132" s="669" t="n"/>
      <c r="N132" s="669" t="n"/>
      <c r="O132" s="669" t="n"/>
      <c r="P132" s="669" t="n"/>
      <c r="Q132" s="669" t="n"/>
      <c r="R132" s="669" t="n"/>
      <c r="S132" s="669" t="n"/>
      <c r="T132" s="669" t="n"/>
      <c r="U132" s="669" t="n"/>
      <c r="V132" s="669" t="n"/>
      <c r="W132" s="669" t="n"/>
      <c r="X132" s="669" t="n"/>
      <c r="Y132" s="669" t="n"/>
      <c r="Z132" s="669" t="n"/>
    </row>
    <row r="133">
      <c r="A133" s="1103" t="n">
        <v>58</v>
      </c>
      <c r="B133" s="1103" t="n">
        <v>10</v>
      </c>
      <c r="C133" s="669" t="n"/>
      <c r="D133" s="669" t="n"/>
      <c r="E133" s="669" t="n"/>
      <c r="F133" s="669" t="n"/>
      <c r="G133" s="669" t="n"/>
      <c r="H133" s="669" t="n"/>
      <c r="I133" s="669" t="n"/>
      <c r="J133" s="669" t="n"/>
      <c r="K133" s="669" t="n"/>
      <c r="L133" s="669" t="n"/>
      <c r="M133" s="669" t="n"/>
      <c r="N133" s="669" t="n"/>
      <c r="O133" s="669" t="n"/>
      <c r="P133" s="669" t="n"/>
      <c r="Q133" s="669" t="n"/>
      <c r="R133" s="669" t="n"/>
      <c r="S133" s="669" t="n"/>
      <c r="T133" s="669" t="n"/>
      <c r="U133" s="669" t="n"/>
      <c r="V133" s="669" t="n"/>
      <c r="W133" s="669" t="n"/>
      <c r="X133" s="669" t="n"/>
      <c r="Y133" s="669" t="n"/>
      <c r="Z133" s="669" t="n"/>
    </row>
    <row r="134">
      <c r="A134" s="1103" t="n">
        <v>59</v>
      </c>
      <c r="B134" s="1103" t="n">
        <v>10</v>
      </c>
      <c r="C134" s="669" t="n"/>
      <c r="D134" s="669" t="n"/>
      <c r="E134" s="669" t="n"/>
      <c r="F134" s="669" t="n"/>
      <c r="G134" s="669" t="n"/>
      <c r="H134" s="669" t="n"/>
      <c r="I134" s="669" t="n"/>
      <c r="J134" s="669" t="n"/>
      <c r="K134" s="669" t="n"/>
      <c r="L134" s="669" t="n"/>
      <c r="M134" s="669" t="n"/>
      <c r="N134" s="669" t="n"/>
      <c r="O134" s="669" t="n"/>
      <c r="P134" s="669" t="n"/>
      <c r="Q134" s="669" t="n"/>
      <c r="R134" s="669" t="n"/>
      <c r="S134" s="669" t="n"/>
      <c r="T134" s="669" t="n"/>
      <c r="U134" s="669" t="n"/>
      <c r="V134" s="669" t="n"/>
      <c r="W134" s="669" t="n"/>
      <c r="X134" s="669" t="n"/>
      <c r="Y134" s="669" t="n"/>
      <c r="Z134" s="669" t="n"/>
    </row>
    <row r="135">
      <c r="A135" s="1103" t="n">
        <v>60</v>
      </c>
      <c r="B135" s="1103" t="n">
        <v>10</v>
      </c>
      <c r="C135" s="669" t="n"/>
      <c r="D135" s="669" t="n"/>
      <c r="E135" s="669" t="n"/>
      <c r="F135" s="669" t="n"/>
      <c r="G135" s="669" t="n"/>
      <c r="H135" s="669" t="n"/>
      <c r="I135" s="669" t="n"/>
      <c r="J135" s="669" t="n"/>
      <c r="K135" s="669" t="n"/>
      <c r="L135" s="669" t="n"/>
      <c r="M135" s="669" t="n"/>
      <c r="N135" s="669" t="n"/>
      <c r="O135" s="669" t="n"/>
      <c r="P135" s="669" t="n"/>
      <c r="Q135" s="669" t="n"/>
      <c r="R135" s="669" t="n"/>
      <c r="S135" s="669" t="n"/>
      <c r="T135" s="669" t="n"/>
      <c r="U135" s="669" t="n"/>
      <c r="V135" s="669" t="n"/>
      <c r="W135" s="669" t="n"/>
      <c r="X135" s="669" t="n"/>
      <c r="Y135" s="669" t="n"/>
      <c r="Z135" s="669" t="n"/>
    </row>
    <row r="136">
      <c r="A136" s="1103" t="n">
        <v>61</v>
      </c>
      <c r="B136" s="1103" t="n">
        <v>20</v>
      </c>
      <c r="C136" s="669" t="n"/>
      <c r="D136" s="669" t="n"/>
      <c r="E136" s="669" t="n"/>
      <c r="F136" s="669" t="n"/>
      <c r="G136" s="669" t="n"/>
      <c r="H136" s="669" t="n"/>
      <c r="I136" s="669" t="n"/>
      <c r="J136" s="669" t="n"/>
      <c r="K136" s="669" t="n"/>
      <c r="L136" s="669" t="n"/>
      <c r="M136" s="669" t="n"/>
      <c r="N136" s="669" t="n"/>
      <c r="O136" s="669" t="n"/>
      <c r="P136" s="669" t="n"/>
      <c r="Q136" s="669" t="n"/>
      <c r="R136" s="669" t="n"/>
      <c r="S136" s="669" t="n"/>
      <c r="T136" s="669" t="n"/>
      <c r="U136" s="669" t="n"/>
      <c r="V136" s="669" t="n"/>
      <c r="W136" s="669" t="n"/>
      <c r="X136" s="669" t="n"/>
      <c r="Y136" s="669" t="n"/>
      <c r="Z136" s="669" t="n"/>
    </row>
    <row r="137">
      <c r="A137" s="1103" t="n">
        <v>62</v>
      </c>
      <c r="B137" s="1103" t="n">
        <v>20</v>
      </c>
      <c r="C137" s="669" t="n"/>
      <c r="D137" s="669" t="n"/>
      <c r="E137" s="669" t="n"/>
      <c r="F137" s="669" t="n"/>
      <c r="G137" s="669" t="n"/>
      <c r="H137" s="669" t="n"/>
      <c r="I137" s="669" t="n"/>
      <c r="J137" s="669" t="n"/>
      <c r="K137" s="669" t="n"/>
      <c r="L137" s="669" t="n"/>
      <c r="M137" s="669" t="n"/>
      <c r="N137" s="669" t="n"/>
      <c r="O137" s="669" t="n"/>
      <c r="P137" s="669" t="n"/>
      <c r="Q137" s="669" t="n"/>
      <c r="R137" s="669" t="n"/>
      <c r="S137" s="669" t="n"/>
      <c r="T137" s="669" t="n"/>
      <c r="U137" s="669" t="n"/>
      <c r="V137" s="669" t="n"/>
      <c r="W137" s="669" t="n"/>
      <c r="X137" s="669" t="n"/>
      <c r="Y137" s="669" t="n"/>
      <c r="Z137" s="669" t="n"/>
    </row>
    <row r="138">
      <c r="A138" s="1103" t="n">
        <v>63</v>
      </c>
      <c r="B138" s="1103" t="n">
        <v>20</v>
      </c>
      <c r="C138" s="669" t="n"/>
      <c r="D138" s="669" t="n"/>
      <c r="E138" s="669" t="n"/>
      <c r="F138" s="669" t="n"/>
      <c r="G138" s="669" t="n"/>
      <c r="H138" s="669" t="n"/>
      <c r="I138" s="669" t="n"/>
      <c r="J138" s="669" t="n"/>
      <c r="K138" s="669" t="n"/>
      <c r="L138" s="669" t="n"/>
      <c r="M138" s="669" t="n"/>
      <c r="N138" s="669" t="n"/>
      <c r="O138" s="669" t="n"/>
      <c r="P138" s="669" t="n"/>
      <c r="Q138" s="669" t="n"/>
      <c r="R138" s="669" t="n"/>
      <c r="S138" s="669" t="n"/>
      <c r="T138" s="669" t="n"/>
      <c r="U138" s="669" t="n"/>
      <c r="V138" s="669" t="n"/>
      <c r="W138" s="669" t="n"/>
      <c r="X138" s="669" t="n"/>
      <c r="Y138" s="669" t="n"/>
      <c r="Z138" s="669" t="n"/>
    </row>
    <row r="139">
      <c r="A139" s="1103" t="n">
        <v>64</v>
      </c>
      <c r="B139" s="1103" t="n">
        <v>20</v>
      </c>
      <c r="C139" s="669" t="n"/>
      <c r="D139" s="669" t="n"/>
      <c r="E139" s="669" t="n"/>
      <c r="F139" s="669" t="n"/>
      <c r="G139" s="669" t="n"/>
      <c r="H139" s="669" t="n"/>
      <c r="I139" s="669" t="n"/>
      <c r="J139" s="669" t="n"/>
      <c r="K139" s="669" t="n"/>
      <c r="L139" s="669" t="n"/>
      <c r="M139" s="669" t="n"/>
      <c r="N139" s="669" t="n"/>
      <c r="O139" s="669" t="n"/>
      <c r="P139" s="669" t="n"/>
      <c r="Q139" s="669" t="n"/>
      <c r="R139" s="669" t="n"/>
      <c r="S139" s="669" t="n"/>
      <c r="T139" s="669" t="n"/>
      <c r="U139" s="669" t="n"/>
      <c r="V139" s="669" t="n"/>
      <c r="W139" s="669" t="n"/>
      <c r="X139" s="669" t="n"/>
      <c r="Y139" s="669" t="n"/>
      <c r="Z139" s="669" t="n"/>
    </row>
    <row r="140">
      <c r="A140" s="1103" t="n">
        <v>65</v>
      </c>
      <c r="B140" s="1103" t="n">
        <v>20</v>
      </c>
      <c r="C140" s="669" t="n"/>
      <c r="D140" s="669" t="n"/>
      <c r="E140" s="669" t="n"/>
      <c r="F140" s="669" t="n"/>
      <c r="G140" s="669" t="n"/>
      <c r="H140" s="669" t="n"/>
      <c r="I140" s="669" t="n"/>
      <c r="J140" s="669" t="n"/>
      <c r="K140" s="669" t="n"/>
      <c r="L140" s="669" t="n"/>
      <c r="M140" s="669" t="n"/>
      <c r="N140" s="669" t="n"/>
      <c r="O140" s="669" t="n"/>
      <c r="P140" s="669" t="n"/>
      <c r="Q140" s="669" t="n"/>
      <c r="R140" s="669" t="n"/>
      <c r="S140" s="669" t="n"/>
      <c r="T140" s="669" t="n"/>
      <c r="U140" s="669" t="n"/>
      <c r="V140" s="669" t="n"/>
      <c r="W140" s="669" t="n"/>
      <c r="X140" s="669" t="n"/>
      <c r="Y140" s="669" t="n"/>
      <c r="Z140" s="669" t="n"/>
    </row>
    <row r="141">
      <c r="A141" s="1103" t="n">
        <v>66</v>
      </c>
      <c r="B141" s="1103" t="n">
        <v>20</v>
      </c>
      <c r="C141" s="669" t="n"/>
      <c r="D141" s="669" t="n"/>
      <c r="E141" s="669" t="n"/>
      <c r="F141" s="669" t="n"/>
      <c r="G141" s="669" t="n"/>
      <c r="H141" s="669" t="n"/>
      <c r="I141" s="669" t="n"/>
      <c r="J141" s="669" t="n"/>
      <c r="K141" s="669" t="n"/>
      <c r="L141" s="669" t="n"/>
      <c r="M141" s="669" t="n"/>
      <c r="N141" s="669" t="n"/>
      <c r="O141" s="669" t="n"/>
      <c r="P141" s="669" t="n"/>
      <c r="Q141" s="669" t="n"/>
      <c r="R141" s="669" t="n"/>
      <c r="S141" s="669" t="n"/>
      <c r="T141" s="669" t="n"/>
      <c r="U141" s="669" t="n"/>
      <c r="V141" s="669" t="n"/>
      <c r="W141" s="669" t="n"/>
      <c r="X141" s="669" t="n"/>
      <c r="Y141" s="669" t="n"/>
      <c r="Z141" s="669" t="n"/>
    </row>
    <row r="142">
      <c r="A142" s="1103" t="n">
        <v>67</v>
      </c>
      <c r="B142" s="1103" t="n">
        <v>20</v>
      </c>
      <c r="C142" s="669" t="n"/>
      <c r="D142" s="669" t="n"/>
      <c r="E142" s="669" t="n"/>
      <c r="F142" s="669" t="n"/>
      <c r="G142" s="669" t="n"/>
      <c r="H142" s="669" t="n"/>
      <c r="I142" s="669" t="n"/>
      <c r="J142" s="669" t="n"/>
      <c r="K142" s="669" t="n"/>
      <c r="L142" s="669" t="n"/>
      <c r="M142" s="669" t="n"/>
      <c r="N142" s="669" t="n"/>
      <c r="O142" s="669" t="n"/>
      <c r="P142" s="669" t="n"/>
      <c r="Q142" s="669" t="n"/>
      <c r="R142" s="669" t="n"/>
      <c r="S142" s="669" t="n"/>
      <c r="T142" s="669" t="n"/>
      <c r="U142" s="669" t="n"/>
      <c r="V142" s="669" t="n"/>
      <c r="W142" s="669" t="n"/>
      <c r="X142" s="669" t="n"/>
      <c r="Y142" s="669" t="n"/>
      <c r="Z142" s="669" t="n"/>
    </row>
    <row r="143">
      <c r="A143" s="1103" t="n">
        <v>68</v>
      </c>
      <c r="B143" s="1103" t="n">
        <v>20</v>
      </c>
      <c r="C143" s="669" t="n"/>
      <c r="D143" s="669" t="n"/>
      <c r="E143" s="669" t="n"/>
      <c r="F143" s="669" t="n"/>
      <c r="G143" s="669" t="n"/>
      <c r="H143" s="669" t="n"/>
      <c r="I143" s="669" t="n"/>
      <c r="J143" s="669" t="n"/>
      <c r="K143" s="669" t="n"/>
      <c r="L143" s="669" t="n"/>
      <c r="M143" s="669" t="n"/>
      <c r="N143" s="669" t="n"/>
      <c r="O143" s="669" t="n"/>
      <c r="P143" s="669" t="n"/>
      <c r="Q143" s="669" t="n"/>
      <c r="R143" s="669" t="n"/>
      <c r="S143" s="669" t="n"/>
      <c r="T143" s="669" t="n"/>
      <c r="U143" s="669" t="n"/>
      <c r="V143" s="669" t="n"/>
      <c r="W143" s="669" t="n"/>
      <c r="X143" s="669" t="n"/>
      <c r="Y143" s="669" t="n"/>
      <c r="Z143" s="669" t="n"/>
    </row>
    <row r="144">
      <c r="A144" s="1103" t="n">
        <v>69</v>
      </c>
      <c r="B144" s="1103" t="n">
        <v>20</v>
      </c>
      <c r="C144" s="669" t="n"/>
      <c r="D144" s="669" t="n"/>
      <c r="E144" s="669" t="n"/>
      <c r="F144" s="669" t="n"/>
      <c r="G144" s="669" t="n"/>
      <c r="H144" s="669" t="n"/>
      <c r="I144" s="669" t="n"/>
      <c r="J144" s="669" t="n"/>
      <c r="K144" s="669" t="n"/>
      <c r="L144" s="669" t="n"/>
      <c r="M144" s="669" t="n"/>
      <c r="N144" s="669" t="n"/>
      <c r="O144" s="669" t="n"/>
      <c r="P144" s="669" t="n"/>
      <c r="Q144" s="669" t="n"/>
      <c r="R144" s="669" t="n"/>
      <c r="S144" s="669" t="n"/>
      <c r="T144" s="669" t="n"/>
      <c r="U144" s="669" t="n"/>
      <c r="V144" s="669" t="n"/>
      <c r="W144" s="669" t="n"/>
      <c r="X144" s="669" t="n"/>
      <c r="Y144" s="669" t="n"/>
      <c r="Z144" s="669" t="n"/>
    </row>
    <row r="145">
      <c r="A145" s="1103" t="n">
        <v>70</v>
      </c>
      <c r="B145" s="1103" t="n">
        <v>20</v>
      </c>
      <c r="C145" s="669" t="n"/>
      <c r="D145" s="669" t="n"/>
      <c r="E145" s="669" t="n"/>
      <c r="F145" s="669" t="n"/>
      <c r="G145" s="669" t="n"/>
      <c r="H145" s="669" t="n"/>
      <c r="I145" s="669" t="n"/>
      <c r="J145" s="669" t="n"/>
      <c r="K145" s="669" t="n"/>
      <c r="L145" s="669" t="n"/>
      <c r="M145" s="669" t="n"/>
      <c r="N145" s="669" t="n"/>
      <c r="O145" s="669" t="n"/>
      <c r="P145" s="669" t="n"/>
      <c r="Q145" s="669" t="n"/>
      <c r="R145" s="669" t="n"/>
      <c r="S145" s="669" t="n"/>
      <c r="T145" s="669" t="n"/>
      <c r="U145" s="669" t="n"/>
      <c r="V145" s="669" t="n"/>
      <c r="W145" s="669" t="n"/>
      <c r="X145" s="669" t="n"/>
      <c r="Y145" s="669" t="n"/>
      <c r="Z145" s="669" t="n"/>
    </row>
    <row r="146">
      <c r="A146" s="1103" t="n">
        <v>71</v>
      </c>
      <c r="B146" s="1103" t="n">
        <v>40</v>
      </c>
      <c r="C146" s="669" t="n"/>
      <c r="D146" s="669" t="n"/>
      <c r="E146" s="669" t="n"/>
      <c r="F146" s="669" t="n"/>
      <c r="G146" s="669" t="n"/>
      <c r="H146" s="669" t="n"/>
      <c r="I146" s="669" t="n"/>
      <c r="J146" s="669" t="n"/>
      <c r="K146" s="669" t="n"/>
      <c r="L146" s="669" t="n"/>
      <c r="M146" s="669" t="n"/>
      <c r="N146" s="669" t="n"/>
      <c r="O146" s="669" t="n"/>
      <c r="P146" s="669" t="n"/>
      <c r="Q146" s="669" t="n"/>
      <c r="R146" s="669" t="n"/>
      <c r="S146" s="669" t="n"/>
      <c r="T146" s="669" t="n"/>
      <c r="U146" s="669" t="n"/>
      <c r="V146" s="669" t="n"/>
      <c r="W146" s="669" t="n"/>
      <c r="X146" s="669" t="n"/>
      <c r="Y146" s="669" t="n"/>
      <c r="Z146" s="669" t="n"/>
    </row>
    <row r="147">
      <c r="A147" s="1103" t="n">
        <v>72</v>
      </c>
      <c r="B147" s="1103" t="n">
        <v>40</v>
      </c>
      <c r="C147" s="669" t="n"/>
      <c r="D147" s="669" t="n"/>
      <c r="E147" s="669" t="n"/>
      <c r="F147" s="669" t="n"/>
      <c r="G147" s="669" t="n"/>
      <c r="H147" s="669" t="n"/>
      <c r="I147" s="669" t="n"/>
      <c r="J147" s="669" t="n"/>
      <c r="K147" s="669" t="n"/>
      <c r="L147" s="669" t="n"/>
      <c r="M147" s="669" t="n"/>
      <c r="N147" s="669" t="n"/>
      <c r="O147" s="669" t="n"/>
      <c r="P147" s="669" t="n"/>
      <c r="Q147" s="669" t="n"/>
      <c r="R147" s="669" t="n"/>
      <c r="S147" s="669" t="n"/>
      <c r="T147" s="669" t="n"/>
      <c r="U147" s="669" t="n"/>
      <c r="V147" s="669" t="n"/>
      <c r="W147" s="669" t="n"/>
      <c r="X147" s="669" t="n"/>
      <c r="Y147" s="669" t="n"/>
      <c r="Z147" s="669" t="n"/>
    </row>
    <row r="148">
      <c r="A148" s="1103" t="n">
        <v>73</v>
      </c>
      <c r="B148" s="1103" t="n">
        <v>40</v>
      </c>
      <c r="C148" s="669" t="n"/>
      <c r="D148" s="669" t="n"/>
      <c r="E148" s="669" t="n"/>
      <c r="F148" s="669" t="n"/>
      <c r="G148" s="669" t="n"/>
      <c r="H148" s="669" t="n"/>
      <c r="I148" s="669" t="n"/>
      <c r="J148" s="669" t="n"/>
      <c r="K148" s="669" t="n"/>
      <c r="L148" s="669" t="n"/>
      <c r="M148" s="669" t="n"/>
      <c r="N148" s="669" t="n"/>
      <c r="O148" s="669" t="n"/>
      <c r="P148" s="669" t="n"/>
      <c r="Q148" s="669" t="n"/>
      <c r="R148" s="669" t="n"/>
      <c r="S148" s="669" t="n"/>
      <c r="T148" s="669" t="n"/>
      <c r="U148" s="669" t="n"/>
      <c r="V148" s="669" t="n"/>
      <c r="W148" s="669" t="n"/>
      <c r="X148" s="669" t="n"/>
      <c r="Y148" s="669" t="n"/>
      <c r="Z148" s="669" t="n"/>
    </row>
    <row r="149">
      <c r="A149" s="1103" t="n">
        <v>74</v>
      </c>
      <c r="B149" s="1103" t="n">
        <v>40</v>
      </c>
      <c r="C149" s="669" t="n"/>
      <c r="D149" s="669" t="n"/>
      <c r="E149" s="669" t="n"/>
      <c r="F149" s="669" t="n"/>
      <c r="G149" s="669" t="n"/>
      <c r="H149" s="669" t="n"/>
      <c r="I149" s="669" t="n"/>
      <c r="J149" s="669" t="n"/>
      <c r="K149" s="669" t="n"/>
      <c r="L149" s="669" t="n"/>
      <c r="M149" s="669" t="n"/>
      <c r="N149" s="669" t="n"/>
      <c r="O149" s="669" t="n"/>
      <c r="P149" s="669" t="n"/>
      <c r="Q149" s="669" t="n"/>
      <c r="R149" s="669" t="n"/>
      <c r="S149" s="669" t="n"/>
      <c r="T149" s="669" t="n"/>
      <c r="U149" s="669" t="n"/>
      <c r="V149" s="669" t="n"/>
      <c r="W149" s="669" t="n"/>
      <c r="X149" s="669" t="n"/>
      <c r="Y149" s="669" t="n"/>
      <c r="Z149" s="669" t="n"/>
    </row>
    <row r="150">
      <c r="A150" s="1103" t="n">
        <v>75</v>
      </c>
      <c r="B150" s="1103" t="n">
        <v>40</v>
      </c>
      <c r="C150" s="669" t="n"/>
      <c r="D150" s="669" t="n"/>
      <c r="E150" s="669" t="n"/>
      <c r="F150" s="669" t="n"/>
      <c r="G150" s="669" t="n"/>
      <c r="H150" s="669" t="n"/>
      <c r="I150" s="669" t="n"/>
      <c r="J150" s="669" t="n"/>
      <c r="K150" s="669" t="n"/>
      <c r="L150" s="669" t="n"/>
      <c r="M150" s="669" t="n"/>
      <c r="N150" s="669" t="n"/>
      <c r="O150" s="669" t="n"/>
      <c r="P150" s="669" t="n"/>
      <c r="Q150" s="669" t="n"/>
      <c r="R150" s="669" t="n"/>
      <c r="S150" s="669" t="n"/>
      <c r="T150" s="669" t="n"/>
      <c r="U150" s="669" t="n"/>
      <c r="V150" s="669" t="n"/>
      <c r="W150" s="669" t="n"/>
      <c r="X150" s="669" t="n"/>
      <c r="Y150" s="669" t="n"/>
      <c r="Z150" s="669" t="n"/>
    </row>
    <row r="151">
      <c r="A151" s="1103" t="n">
        <v>76</v>
      </c>
      <c r="B151" s="1103" t="n">
        <v>40</v>
      </c>
      <c r="C151" s="669" t="n"/>
      <c r="D151" s="669" t="n"/>
      <c r="E151" s="669" t="n"/>
      <c r="F151" s="669" t="n"/>
      <c r="G151" s="669" t="n"/>
      <c r="H151" s="669" t="n"/>
      <c r="I151" s="669" t="n"/>
      <c r="J151" s="669" t="n"/>
      <c r="K151" s="669" t="n"/>
      <c r="L151" s="669" t="n"/>
      <c r="M151" s="669" t="n"/>
      <c r="N151" s="669" t="n"/>
      <c r="O151" s="669" t="n"/>
      <c r="P151" s="669" t="n"/>
      <c r="Q151" s="669" t="n"/>
      <c r="R151" s="669" t="n"/>
      <c r="S151" s="669" t="n"/>
      <c r="T151" s="669" t="n"/>
      <c r="U151" s="669" t="n"/>
      <c r="V151" s="669" t="n"/>
      <c r="W151" s="669" t="n"/>
      <c r="X151" s="669" t="n"/>
      <c r="Y151" s="669" t="n"/>
      <c r="Z151" s="669" t="n"/>
    </row>
    <row r="152">
      <c r="A152" s="1103" t="n">
        <v>77</v>
      </c>
      <c r="B152" s="1103" t="n">
        <v>40</v>
      </c>
      <c r="C152" s="669" t="n"/>
      <c r="D152" s="669" t="n"/>
      <c r="E152" s="669" t="n"/>
      <c r="F152" s="669" t="n"/>
      <c r="G152" s="669" t="n"/>
      <c r="H152" s="669" t="n"/>
      <c r="I152" s="669" t="n"/>
      <c r="J152" s="669" t="n"/>
      <c r="K152" s="669" t="n"/>
      <c r="L152" s="669" t="n"/>
      <c r="M152" s="669" t="n"/>
      <c r="N152" s="669" t="n"/>
      <c r="O152" s="669" t="n"/>
      <c r="P152" s="669" t="n"/>
      <c r="Q152" s="669" t="n"/>
      <c r="R152" s="669" t="n"/>
      <c r="S152" s="669" t="n"/>
      <c r="T152" s="669" t="n"/>
      <c r="U152" s="669" t="n"/>
      <c r="V152" s="669" t="n"/>
      <c r="W152" s="669" t="n"/>
      <c r="X152" s="669" t="n"/>
      <c r="Y152" s="669" t="n"/>
      <c r="Z152" s="669" t="n"/>
    </row>
    <row r="153">
      <c r="A153" s="1103" t="n">
        <v>78</v>
      </c>
      <c r="B153" s="1103" t="n">
        <v>40</v>
      </c>
      <c r="C153" s="669" t="n"/>
      <c r="D153" s="669" t="n"/>
      <c r="E153" s="669" t="n"/>
      <c r="F153" s="669" t="n"/>
      <c r="G153" s="669" t="n"/>
      <c r="H153" s="669" t="n"/>
      <c r="I153" s="669" t="n"/>
      <c r="J153" s="669" t="n"/>
      <c r="K153" s="669" t="n"/>
      <c r="L153" s="669" t="n"/>
      <c r="M153" s="669" t="n"/>
      <c r="N153" s="669" t="n"/>
      <c r="O153" s="669" t="n"/>
      <c r="P153" s="669" t="n"/>
      <c r="Q153" s="669" t="n"/>
      <c r="R153" s="669" t="n"/>
      <c r="S153" s="669" t="n"/>
      <c r="T153" s="669" t="n"/>
      <c r="U153" s="669" t="n"/>
      <c r="V153" s="669" t="n"/>
      <c r="W153" s="669" t="n"/>
      <c r="X153" s="669" t="n"/>
      <c r="Y153" s="669" t="n"/>
      <c r="Z153" s="669" t="n"/>
    </row>
    <row r="154">
      <c r="A154" s="1103" t="n">
        <v>79</v>
      </c>
      <c r="B154" s="1103" t="n">
        <v>40</v>
      </c>
      <c r="C154" s="669" t="n"/>
      <c r="D154" s="669" t="n"/>
      <c r="E154" s="669" t="n"/>
      <c r="F154" s="669" t="n"/>
      <c r="G154" s="669" t="n"/>
      <c r="H154" s="669" t="n"/>
      <c r="I154" s="669" t="n"/>
      <c r="J154" s="669" t="n"/>
      <c r="K154" s="669" t="n"/>
      <c r="L154" s="669" t="n"/>
      <c r="M154" s="669" t="n"/>
      <c r="N154" s="669" t="n"/>
      <c r="O154" s="669" t="n"/>
      <c r="P154" s="669" t="n"/>
      <c r="Q154" s="669" t="n"/>
      <c r="R154" s="669" t="n"/>
      <c r="S154" s="669" t="n"/>
      <c r="T154" s="669" t="n"/>
      <c r="U154" s="669" t="n"/>
      <c r="V154" s="669" t="n"/>
      <c r="W154" s="669" t="n"/>
      <c r="X154" s="669" t="n"/>
      <c r="Y154" s="669" t="n"/>
      <c r="Z154" s="669" t="n"/>
    </row>
    <row r="155">
      <c r="A155" s="1103" t="n">
        <v>80</v>
      </c>
      <c r="B155" s="1103" t="n">
        <v>40</v>
      </c>
      <c r="C155" s="669" t="n"/>
      <c r="D155" s="669" t="n"/>
      <c r="E155" s="669" t="n"/>
      <c r="F155" s="669" t="n"/>
      <c r="G155" s="669" t="n"/>
      <c r="H155" s="669" t="n"/>
      <c r="I155" s="669" t="n"/>
      <c r="J155" s="669" t="n"/>
      <c r="K155" s="669" t="n"/>
      <c r="L155" s="669" t="n"/>
      <c r="M155" s="669" t="n"/>
      <c r="N155" s="669" t="n"/>
      <c r="O155" s="669" t="n"/>
      <c r="P155" s="669" t="n"/>
      <c r="Q155" s="669" t="n"/>
      <c r="R155" s="669" t="n"/>
      <c r="S155" s="669" t="n"/>
      <c r="T155" s="669" t="n"/>
      <c r="U155" s="669" t="n"/>
      <c r="V155" s="669" t="n"/>
      <c r="W155" s="669" t="n"/>
      <c r="X155" s="669" t="n"/>
      <c r="Y155" s="669" t="n"/>
      <c r="Z155" s="669" t="n"/>
    </row>
    <row r="156">
      <c r="A156" s="1103" t="n">
        <v>81</v>
      </c>
      <c r="B156" s="1103" t="n">
        <v>60</v>
      </c>
      <c r="C156" s="669" t="n"/>
      <c r="D156" s="669" t="n"/>
      <c r="E156" s="669" t="n"/>
      <c r="F156" s="669" t="n"/>
      <c r="G156" s="669" t="n"/>
      <c r="H156" s="669" t="n"/>
      <c r="I156" s="669" t="n"/>
      <c r="J156" s="669" t="n"/>
      <c r="K156" s="669" t="n"/>
      <c r="L156" s="669" t="n"/>
      <c r="M156" s="669" t="n"/>
      <c r="N156" s="669" t="n"/>
      <c r="O156" s="669" t="n"/>
      <c r="P156" s="669" t="n"/>
      <c r="Q156" s="669" t="n"/>
      <c r="R156" s="669" t="n"/>
      <c r="S156" s="669" t="n"/>
      <c r="T156" s="669" t="n"/>
      <c r="U156" s="669" t="n"/>
      <c r="V156" s="669" t="n"/>
      <c r="W156" s="669" t="n"/>
      <c r="X156" s="669" t="n"/>
      <c r="Y156" s="669" t="n"/>
      <c r="Z156" s="669" t="n"/>
    </row>
    <row r="157">
      <c r="A157" s="1103" t="n">
        <v>82</v>
      </c>
      <c r="B157" s="1103" t="n">
        <v>60</v>
      </c>
      <c r="C157" s="669" t="n"/>
      <c r="D157" s="669" t="n"/>
      <c r="E157" s="669" t="n"/>
      <c r="F157" s="669" t="n"/>
      <c r="G157" s="669" t="n"/>
      <c r="H157" s="669" t="n"/>
      <c r="I157" s="669" t="n"/>
      <c r="J157" s="669" t="n"/>
      <c r="K157" s="669" t="n"/>
      <c r="L157" s="669" t="n"/>
      <c r="M157" s="669" t="n"/>
      <c r="N157" s="669" t="n"/>
      <c r="O157" s="669" t="n"/>
      <c r="P157" s="669" t="n"/>
      <c r="Q157" s="669" t="n"/>
      <c r="R157" s="669" t="n"/>
      <c r="S157" s="669" t="n"/>
      <c r="T157" s="669" t="n"/>
      <c r="U157" s="669" t="n"/>
      <c r="V157" s="669" t="n"/>
      <c r="W157" s="669" t="n"/>
      <c r="X157" s="669" t="n"/>
      <c r="Y157" s="669" t="n"/>
      <c r="Z157" s="669" t="n"/>
    </row>
    <row r="158">
      <c r="A158" s="1103" t="n">
        <v>83</v>
      </c>
      <c r="B158" s="1103" t="n">
        <v>60</v>
      </c>
      <c r="C158" s="669" t="n"/>
      <c r="D158" s="669" t="n"/>
      <c r="E158" s="669" t="n"/>
      <c r="F158" s="669" t="n"/>
      <c r="G158" s="669" t="n"/>
      <c r="H158" s="669" t="n"/>
      <c r="I158" s="669" t="n"/>
      <c r="J158" s="669" t="n"/>
      <c r="K158" s="669" t="n"/>
      <c r="L158" s="669" t="n"/>
      <c r="M158" s="669" t="n"/>
      <c r="N158" s="669" t="n"/>
      <c r="O158" s="669" t="n"/>
      <c r="P158" s="669" t="n"/>
      <c r="Q158" s="669" t="n"/>
      <c r="R158" s="669" t="n"/>
      <c r="S158" s="669" t="n"/>
      <c r="T158" s="669" t="n"/>
      <c r="U158" s="669" t="n"/>
      <c r="V158" s="669" t="n"/>
      <c r="W158" s="669" t="n"/>
      <c r="X158" s="669" t="n"/>
      <c r="Y158" s="669" t="n"/>
      <c r="Z158" s="669" t="n"/>
    </row>
    <row r="159">
      <c r="A159" s="1103" t="n">
        <v>84</v>
      </c>
      <c r="B159" s="1103" t="n">
        <v>60</v>
      </c>
      <c r="C159" s="669" t="n"/>
      <c r="D159" s="669" t="n"/>
      <c r="E159" s="669" t="n"/>
      <c r="F159" s="669" t="n"/>
      <c r="G159" s="669" t="n"/>
      <c r="H159" s="669" t="n"/>
      <c r="I159" s="669" t="n"/>
      <c r="J159" s="669" t="n"/>
      <c r="K159" s="669" t="n"/>
      <c r="L159" s="669" t="n"/>
      <c r="M159" s="669" t="n"/>
      <c r="N159" s="669" t="n"/>
      <c r="O159" s="669" t="n"/>
      <c r="P159" s="669" t="n"/>
      <c r="Q159" s="669" t="n"/>
      <c r="R159" s="669" t="n"/>
      <c r="S159" s="669" t="n"/>
      <c r="T159" s="669" t="n"/>
      <c r="U159" s="669" t="n"/>
      <c r="V159" s="669" t="n"/>
      <c r="W159" s="669" t="n"/>
      <c r="X159" s="669" t="n"/>
      <c r="Y159" s="669" t="n"/>
      <c r="Z159" s="669" t="n"/>
    </row>
    <row r="160">
      <c r="A160" s="1103" t="n">
        <v>85</v>
      </c>
      <c r="B160" s="1103" t="n">
        <v>60</v>
      </c>
      <c r="C160" s="669" t="n"/>
      <c r="D160" s="669" t="n"/>
      <c r="E160" s="669" t="n"/>
      <c r="F160" s="669" t="n"/>
      <c r="G160" s="669" t="n"/>
      <c r="H160" s="669" t="n"/>
      <c r="I160" s="669" t="n"/>
      <c r="J160" s="669" t="n"/>
      <c r="K160" s="669" t="n"/>
      <c r="L160" s="669" t="n"/>
      <c r="M160" s="669" t="n"/>
      <c r="N160" s="669" t="n"/>
      <c r="O160" s="669" t="n"/>
      <c r="P160" s="669" t="n"/>
      <c r="Q160" s="669" t="n"/>
      <c r="R160" s="669" t="n"/>
      <c r="S160" s="669" t="n"/>
      <c r="T160" s="669" t="n"/>
      <c r="U160" s="669" t="n"/>
      <c r="V160" s="669" t="n"/>
      <c r="W160" s="669" t="n"/>
      <c r="X160" s="669" t="n"/>
      <c r="Y160" s="669" t="n"/>
      <c r="Z160" s="669" t="n"/>
    </row>
    <row r="161">
      <c r="A161" s="1103" t="n">
        <v>86</v>
      </c>
      <c r="B161" s="1103" t="n">
        <v>60</v>
      </c>
      <c r="C161" s="669" t="n"/>
      <c r="D161" s="669" t="n"/>
      <c r="E161" s="669" t="n"/>
      <c r="F161" s="669" t="n"/>
      <c r="G161" s="669" t="n"/>
      <c r="H161" s="669" t="n"/>
      <c r="I161" s="669" t="n"/>
      <c r="J161" s="669" t="n"/>
      <c r="K161" s="669" t="n"/>
      <c r="L161" s="669" t="n"/>
      <c r="M161" s="669" t="n"/>
      <c r="N161" s="669" t="n"/>
      <c r="O161" s="669" t="n"/>
      <c r="P161" s="669" t="n"/>
      <c r="Q161" s="669" t="n"/>
      <c r="R161" s="669" t="n"/>
      <c r="S161" s="669" t="n"/>
      <c r="T161" s="669" t="n"/>
      <c r="U161" s="669" t="n"/>
      <c r="V161" s="669" t="n"/>
      <c r="W161" s="669" t="n"/>
      <c r="X161" s="669" t="n"/>
      <c r="Y161" s="669" t="n"/>
      <c r="Z161" s="669" t="n"/>
    </row>
    <row r="162">
      <c r="A162" s="1103" t="n">
        <v>87</v>
      </c>
      <c r="B162" s="1103" t="n">
        <v>60</v>
      </c>
      <c r="C162" s="669" t="n"/>
      <c r="D162" s="669" t="n"/>
      <c r="E162" s="669" t="n"/>
      <c r="F162" s="669" t="n"/>
      <c r="G162" s="669" t="n"/>
      <c r="H162" s="669" t="n"/>
      <c r="I162" s="669" t="n"/>
      <c r="J162" s="669" t="n"/>
      <c r="K162" s="669" t="n"/>
      <c r="L162" s="669" t="n"/>
      <c r="M162" s="669" t="n"/>
      <c r="N162" s="669" t="n"/>
      <c r="O162" s="669" t="n"/>
      <c r="P162" s="669" t="n"/>
      <c r="Q162" s="669" t="n"/>
      <c r="R162" s="669" t="n"/>
      <c r="S162" s="669" t="n"/>
      <c r="T162" s="669" t="n"/>
      <c r="U162" s="669" t="n"/>
      <c r="V162" s="669" t="n"/>
      <c r="W162" s="669" t="n"/>
      <c r="X162" s="669" t="n"/>
      <c r="Y162" s="669" t="n"/>
      <c r="Z162" s="669" t="n"/>
    </row>
    <row r="163">
      <c r="A163" s="1103" t="n">
        <v>88</v>
      </c>
      <c r="B163" s="1103" t="n">
        <v>60</v>
      </c>
      <c r="C163" s="669" t="n"/>
      <c r="D163" s="669" t="n"/>
      <c r="E163" s="669" t="n"/>
      <c r="F163" s="669" t="n"/>
      <c r="G163" s="669" t="n"/>
      <c r="H163" s="669" t="n"/>
      <c r="I163" s="669" t="n"/>
      <c r="J163" s="669" t="n"/>
      <c r="K163" s="669" t="n"/>
      <c r="L163" s="669" t="n"/>
      <c r="M163" s="669" t="n"/>
      <c r="N163" s="669" t="n"/>
      <c r="O163" s="669" t="n"/>
      <c r="P163" s="669" t="n"/>
      <c r="Q163" s="669" t="n"/>
      <c r="R163" s="669" t="n"/>
      <c r="S163" s="669" t="n"/>
      <c r="T163" s="669" t="n"/>
      <c r="U163" s="669" t="n"/>
      <c r="V163" s="669" t="n"/>
      <c r="W163" s="669" t="n"/>
      <c r="X163" s="669" t="n"/>
      <c r="Y163" s="669" t="n"/>
      <c r="Z163" s="669" t="n"/>
    </row>
    <row r="164">
      <c r="A164" s="1103" t="n">
        <v>89</v>
      </c>
      <c r="B164" s="1103" t="n">
        <v>60</v>
      </c>
      <c r="C164" s="669" t="n"/>
      <c r="D164" s="669" t="n"/>
      <c r="E164" s="669" t="n"/>
      <c r="F164" s="669" t="n"/>
      <c r="G164" s="669" t="n"/>
      <c r="H164" s="669" t="n"/>
      <c r="I164" s="669" t="n"/>
      <c r="J164" s="669" t="n"/>
      <c r="K164" s="669" t="n"/>
      <c r="L164" s="669" t="n"/>
      <c r="M164" s="669" t="n"/>
      <c r="N164" s="669" t="n"/>
      <c r="O164" s="669" t="n"/>
      <c r="P164" s="669" t="n"/>
      <c r="Q164" s="669" t="n"/>
      <c r="R164" s="669" t="n"/>
      <c r="S164" s="669" t="n"/>
      <c r="T164" s="669" t="n"/>
      <c r="U164" s="669" t="n"/>
      <c r="V164" s="669" t="n"/>
      <c r="W164" s="669" t="n"/>
      <c r="X164" s="669" t="n"/>
      <c r="Y164" s="669" t="n"/>
      <c r="Z164" s="669" t="n"/>
    </row>
    <row r="165">
      <c r="A165" s="1103" t="n">
        <v>90</v>
      </c>
      <c r="B165" s="1103" t="n">
        <v>60</v>
      </c>
      <c r="C165" s="669" t="n"/>
      <c r="D165" s="669" t="n"/>
      <c r="E165" s="669" t="n"/>
      <c r="F165" s="669" t="n"/>
      <c r="G165" s="669" t="n"/>
      <c r="H165" s="669" t="n"/>
      <c r="I165" s="669" t="n"/>
      <c r="J165" s="669" t="n"/>
      <c r="K165" s="669" t="n"/>
      <c r="L165" s="669" t="n"/>
      <c r="M165" s="669" t="n"/>
      <c r="N165" s="669" t="n"/>
      <c r="O165" s="669" t="n"/>
      <c r="P165" s="669" t="n"/>
      <c r="Q165" s="669" t="n"/>
      <c r="R165" s="669" t="n"/>
      <c r="S165" s="669" t="n"/>
      <c r="T165" s="669" t="n"/>
      <c r="U165" s="669" t="n"/>
      <c r="V165" s="669" t="n"/>
      <c r="W165" s="669" t="n"/>
      <c r="X165" s="669" t="n"/>
      <c r="Y165" s="669" t="n"/>
      <c r="Z165" s="669" t="n"/>
    </row>
    <row r="166">
      <c r="A166" s="1103" t="n">
        <v>91</v>
      </c>
      <c r="B166" s="1103" t="n">
        <v>80</v>
      </c>
      <c r="C166" s="669" t="n"/>
      <c r="D166" s="669" t="n"/>
      <c r="E166" s="669" t="n"/>
      <c r="F166" s="669" t="n"/>
      <c r="G166" s="669" t="n"/>
      <c r="H166" s="669" t="n"/>
      <c r="I166" s="669" t="n"/>
      <c r="J166" s="669" t="n"/>
      <c r="K166" s="669" t="n"/>
      <c r="L166" s="669" t="n"/>
      <c r="M166" s="669" t="n"/>
      <c r="N166" s="669" t="n"/>
      <c r="O166" s="669" t="n"/>
      <c r="P166" s="669" t="n"/>
      <c r="Q166" s="669" t="n"/>
      <c r="R166" s="669" t="n"/>
      <c r="S166" s="669" t="n"/>
      <c r="T166" s="669" t="n"/>
      <c r="U166" s="669" t="n"/>
      <c r="V166" s="669" t="n"/>
      <c r="W166" s="669" t="n"/>
      <c r="X166" s="669" t="n"/>
      <c r="Y166" s="669" t="n"/>
      <c r="Z166" s="669" t="n"/>
    </row>
    <row r="167">
      <c r="A167" s="1103" t="n">
        <v>92</v>
      </c>
      <c r="B167" s="1103" t="n">
        <v>80</v>
      </c>
      <c r="C167" s="669" t="n"/>
      <c r="D167" s="669" t="n"/>
      <c r="E167" s="669" t="n"/>
      <c r="F167" s="669" t="n"/>
      <c r="G167" s="669" t="n"/>
      <c r="H167" s="669" t="n"/>
      <c r="I167" s="669" t="n"/>
      <c r="J167" s="669" t="n"/>
      <c r="K167" s="669" t="n"/>
      <c r="L167" s="669" t="n"/>
      <c r="M167" s="669" t="n"/>
      <c r="N167" s="669" t="n"/>
      <c r="O167" s="669" t="n"/>
      <c r="P167" s="669" t="n"/>
      <c r="Q167" s="669" t="n"/>
      <c r="R167" s="669" t="n"/>
      <c r="S167" s="669" t="n"/>
      <c r="T167" s="669" t="n"/>
      <c r="U167" s="669" t="n"/>
      <c r="V167" s="669" t="n"/>
      <c r="W167" s="669" t="n"/>
      <c r="X167" s="669" t="n"/>
      <c r="Y167" s="669" t="n"/>
      <c r="Z167" s="669" t="n"/>
    </row>
    <row r="168">
      <c r="A168" s="1103" t="n">
        <v>93</v>
      </c>
      <c r="B168" s="1103" t="n">
        <v>80</v>
      </c>
      <c r="C168" s="669" t="n"/>
      <c r="D168" s="669" t="n"/>
      <c r="E168" s="669" t="n"/>
      <c r="F168" s="669" t="n"/>
      <c r="G168" s="669" t="n"/>
      <c r="H168" s="669" t="n"/>
      <c r="I168" s="669" t="n"/>
      <c r="J168" s="669" t="n"/>
      <c r="K168" s="669" t="n"/>
      <c r="L168" s="669" t="n"/>
      <c r="M168" s="669" t="n"/>
      <c r="N168" s="669" t="n"/>
      <c r="O168" s="669" t="n"/>
      <c r="P168" s="669" t="n"/>
      <c r="Q168" s="669" t="n"/>
      <c r="R168" s="669" t="n"/>
      <c r="S168" s="669" t="n"/>
      <c r="T168" s="669" t="n"/>
      <c r="U168" s="669" t="n"/>
      <c r="V168" s="669" t="n"/>
      <c r="W168" s="669" t="n"/>
      <c r="X168" s="669" t="n"/>
      <c r="Y168" s="669" t="n"/>
      <c r="Z168" s="669" t="n"/>
    </row>
    <row r="169">
      <c r="A169" s="1103" t="n">
        <v>94</v>
      </c>
      <c r="B169" s="1103" t="n">
        <v>80</v>
      </c>
      <c r="C169" s="669" t="n"/>
      <c r="D169" s="669" t="n"/>
      <c r="E169" s="669" t="n"/>
      <c r="F169" s="669" t="n"/>
      <c r="G169" s="669" t="n"/>
      <c r="H169" s="669" t="n"/>
      <c r="I169" s="669" t="n"/>
      <c r="J169" s="669" t="n"/>
      <c r="K169" s="669" t="n"/>
      <c r="L169" s="669" t="n"/>
      <c r="M169" s="669" t="n"/>
      <c r="N169" s="669" t="n"/>
      <c r="O169" s="669" t="n"/>
      <c r="P169" s="669" t="n"/>
      <c r="Q169" s="669" t="n"/>
      <c r="R169" s="669" t="n"/>
      <c r="S169" s="669" t="n"/>
      <c r="T169" s="669" t="n"/>
      <c r="U169" s="669" t="n"/>
      <c r="V169" s="669" t="n"/>
      <c r="W169" s="669" t="n"/>
      <c r="X169" s="669" t="n"/>
      <c r="Y169" s="669" t="n"/>
      <c r="Z169" s="669" t="n"/>
    </row>
    <row r="170">
      <c r="A170" s="1103" t="n">
        <v>95</v>
      </c>
      <c r="B170" s="1103" t="n">
        <v>80</v>
      </c>
      <c r="C170" s="669" t="n"/>
      <c r="D170" s="669" t="n"/>
      <c r="E170" s="669" t="n"/>
      <c r="F170" s="669" t="n"/>
      <c r="G170" s="669" t="n"/>
      <c r="H170" s="669" t="n"/>
      <c r="I170" s="669" t="n"/>
      <c r="J170" s="669" t="n"/>
      <c r="K170" s="669" t="n"/>
      <c r="L170" s="669" t="n"/>
      <c r="M170" s="669" t="n"/>
      <c r="N170" s="669" t="n"/>
      <c r="O170" s="669" t="n"/>
      <c r="P170" s="669" t="n"/>
      <c r="Q170" s="669" t="n"/>
      <c r="R170" s="669" t="n"/>
      <c r="S170" s="669" t="n"/>
      <c r="T170" s="669" t="n"/>
      <c r="U170" s="669" t="n"/>
      <c r="V170" s="669" t="n"/>
      <c r="W170" s="669" t="n"/>
      <c r="X170" s="669" t="n"/>
      <c r="Y170" s="669" t="n"/>
      <c r="Z170" s="669" t="n"/>
    </row>
    <row r="171">
      <c r="A171" s="1103" t="n">
        <v>96</v>
      </c>
      <c r="B171" s="1103" t="n">
        <v>100</v>
      </c>
      <c r="C171" s="669" t="n"/>
      <c r="D171" s="669" t="n"/>
      <c r="E171" s="669" t="n"/>
      <c r="F171" s="669" t="n"/>
      <c r="G171" s="669" t="n"/>
      <c r="H171" s="669" t="n"/>
      <c r="I171" s="669" t="n"/>
      <c r="J171" s="669" t="n"/>
      <c r="K171" s="669" t="n"/>
      <c r="L171" s="669" t="n"/>
      <c r="M171" s="669" t="n"/>
      <c r="N171" s="669" t="n"/>
      <c r="O171" s="669" t="n"/>
      <c r="P171" s="669" t="n"/>
      <c r="Q171" s="669" t="n"/>
      <c r="R171" s="669" t="n"/>
      <c r="S171" s="669" t="n"/>
      <c r="T171" s="669" t="n"/>
      <c r="U171" s="669" t="n"/>
      <c r="V171" s="669" t="n"/>
      <c r="W171" s="669" t="n"/>
      <c r="X171" s="669" t="n"/>
      <c r="Y171" s="669" t="n"/>
      <c r="Z171" s="669" t="n"/>
    </row>
    <row r="172">
      <c r="A172" s="1103" t="n">
        <v>97</v>
      </c>
      <c r="B172" s="1103" t="n">
        <v>200</v>
      </c>
      <c r="C172" s="669" t="n"/>
      <c r="D172" s="669" t="n"/>
      <c r="E172" s="669" t="n"/>
      <c r="F172" s="669" t="n"/>
      <c r="G172" s="669" t="n"/>
      <c r="H172" s="669" t="n"/>
      <c r="I172" s="669" t="n"/>
      <c r="J172" s="669" t="n"/>
      <c r="K172" s="669" t="n"/>
      <c r="L172" s="669" t="n"/>
      <c r="M172" s="669" t="n"/>
      <c r="N172" s="669" t="n"/>
      <c r="O172" s="669" t="n"/>
      <c r="P172" s="669" t="n"/>
      <c r="Q172" s="669" t="n"/>
      <c r="R172" s="669" t="n"/>
      <c r="S172" s="669" t="n"/>
      <c r="T172" s="669" t="n"/>
      <c r="U172" s="669" t="n"/>
      <c r="V172" s="669" t="n"/>
      <c r="W172" s="669" t="n"/>
      <c r="X172" s="669" t="n"/>
      <c r="Y172" s="669" t="n"/>
      <c r="Z172" s="669" t="n"/>
    </row>
    <row r="173">
      <c r="A173" s="1103" t="n">
        <v>98</v>
      </c>
      <c r="B173" s="1103" t="n">
        <v>400</v>
      </c>
      <c r="C173" s="669" t="n"/>
      <c r="D173" s="669" t="n"/>
      <c r="E173" s="669" t="n"/>
      <c r="F173" s="669" t="n"/>
      <c r="G173" s="669" t="n"/>
      <c r="H173" s="669" t="n"/>
      <c r="I173" s="669" t="n"/>
      <c r="J173" s="669" t="n"/>
      <c r="K173" s="669" t="n"/>
      <c r="L173" s="669" t="n"/>
      <c r="M173" s="669" t="n"/>
      <c r="N173" s="669" t="n"/>
      <c r="O173" s="669" t="n"/>
      <c r="P173" s="669" t="n"/>
      <c r="Q173" s="669" t="n"/>
      <c r="R173" s="669" t="n"/>
      <c r="S173" s="669" t="n"/>
      <c r="T173" s="669" t="n"/>
      <c r="U173" s="669" t="n"/>
      <c r="V173" s="669" t="n"/>
      <c r="W173" s="669" t="n"/>
      <c r="X173" s="669" t="n"/>
      <c r="Y173" s="669" t="n"/>
      <c r="Z173" s="669" t="n"/>
    </row>
    <row r="174">
      <c r="A174" s="1103" t="n">
        <v>99</v>
      </c>
      <c r="B174" s="1103" t="n">
        <v>600</v>
      </c>
      <c r="C174" s="669" t="n"/>
      <c r="D174" s="669" t="n"/>
      <c r="E174" s="669" t="n"/>
      <c r="F174" s="669" t="n"/>
      <c r="G174" s="669" t="n"/>
      <c r="H174" s="669" t="n"/>
      <c r="I174" s="669" t="n"/>
      <c r="J174" s="669" t="n"/>
      <c r="K174" s="669" t="n"/>
      <c r="L174" s="669" t="n"/>
      <c r="M174" s="669" t="n"/>
      <c r="N174" s="669" t="n"/>
      <c r="O174" s="669" t="n"/>
      <c r="P174" s="669" t="n"/>
      <c r="Q174" s="669" t="n"/>
      <c r="R174" s="669" t="n"/>
      <c r="S174" s="669" t="n"/>
      <c r="T174" s="669" t="n"/>
      <c r="U174" s="669" t="n"/>
      <c r="V174" s="669" t="n"/>
      <c r="W174" s="669" t="n"/>
      <c r="X174" s="669" t="n"/>
      <c r="Y174" s="669" t="n"/>
      <c r="Z174" s="669" t="n"/>
    </row>
    <row r="175">
      <c r="A175" s="1103" t="n">
        <v>100</v>
      </c>
      <c r="B175" s="1103" t="n">
        <v>800</v>
      </c>
      <c r="C175" s="669" t="n"/>
      <c r="D175" s="669" t="n"/>
      <c r="E175" s="669" t="n"/>
      <c r="F175" s="669" t="n"/>
      <c r="G175" s="669" t="n"/>
      <c r="H175" s="669" t="n"/>
      <c r="I175" s="669" t="n"/>
      <c r="J175" s="669" t="n"/>
      <c r="K175" s="669" t="n"/>
      <c r="L175" s="669" t="n"/>
      <c r="M175" s="669" t="n"/>
      <c r="N175" s="669" t="n"/>
      <c r="O175" s="669" t="n"/>
      <c r="P175" s="669" t="n"/>
      <c r="Q175" s="669" t="n"/>
      <c r="R175" s="669" t="n"/>
      <c r="S175" s="669" t="n"/>
      <c r="T175" s="669" t="n"/>
      <c r="U175" s="669" t="n"/>
      <c r="V175" s="669" t="n"/>
      <c r="W175" s="669" t="n"/>
      <c r="X175" s="669" t="n"/>
      <c r="Y175" s="669" t="n"/>
      <c r="Z175" s="669" t="n"/>
    </row>
    <row r="176">
      <c r="A176" s="669" t="n"/>
      <c r="B176" s="669" t="n"/>
      <c r="C176" s="669" t="n"/>
      <c r="D176" s="669" t="n"/>
      <c r="E176" s="669" t="n"/>
      <c r="F176" s="669" t="n"/>
      <c r="G176" s="669" t="n"/>
      <c r="H176" s="669" t="n"/>
      <c r="I176" s="669" t="n"/>
      <c r="J176" s="669" t="n"/>
      <c r="K176" s="669" t="n"/>
      <c r="L176" s="669" t="n"/>
      <c r="M176" s="669" t="n"/>
      <c r="N176" s="669" t="n"/>
      <c r="O176" s="669" t="n"/>
      <c r="P176" s="669" t="n"/>
      <c r="Q176" s="669" t="n"/>
      <c r="R176" s="669" t="n"/>
      <c r="S176" s="669" t="n"/>
      <c r="T176" s="669" t="n"/>
      <c r="U176" s="669" t="n"/>
      <c r="V176" s="669" t="n"/>
      <c r="W176" s="669" t="n"/>
      <c r="X176" s="669" t="n"/>
      <c r="Y176" s="669" t="n"/>
      <c r="Z176" s="669" t="n"/>
    </row>
    <row r="177">
      <c r="A177" s="669" t="n"/>
      <c r="B177" s="669" t="n"/>
      <c r="C177" s="669" t="n"/>
      <c r="D177" s="669" t="n"/>
      <c r="E177" s="669" t="n"/>
      <c r="F177" s="669" t="n"/>
      <c r="G177" s="669" t="n"/>
      <c r="H177" s="669" t="n"/>
      <c r="I177" s="669" t="n"/>
      <c r="J177" s="669" t="n"/>
      <c r="K177" s="669" t="n"/>
      <c r="L177" s="669" t="n"/>
      <c r="M177" s="669" t="n"/>
      <c r="N177" s="669" t="n"/>
      <c r="O177" s="669" t="n"/>
      <c r="P177" s="669" t="n"/>
      <c r="Q177" s="669" t="n"/>
      <c r="R177" s="669" t="n"/>
      <c r="S177" s="669" t="n"/>
      <c r="T177" s="669" t="n"/>
      <c r="U177" s="669" t="n"/>
      <c r="V177" s="669" t="n"/>
      <c r="W177" s="669" t="n"/>
      <c r="X177" s="669" t="n"/>
      <c r="Y177" s="669" t="n"/>
      <c r="Z177" s="669" t="n"/>
    </row>
    <row r="178">
      <c r="A178" s="669" t="n"/>
      <c r="B178" s="669" t="n"/>
      <c r="C178" s="669" t="n"/>
      <c r="D178" s="669" t="n"/>
      <c r="E178" s="669" t="n"/>
      <c r="F178" s="669" t="n"/>
      <c r="G178" s="669" t="n"/>
      <c r="H178" s="669" t="n"/>
      <c r="I178" s="669" t="n"/>
      <c r="J178" s="669" t="n"/>
      <c r="K178" s="669" t="n"/>
      <c r="L178" s="669" t="n"/>
      <c r="M178" s="669" t="n"/>
      <c r="N178" s="669" t="n"/>
      <c r="O178" s="669" t="n"/>
      <c r="P178" s="669" t="n"/>
      <c r="Q178" s="669" t="n"/>
      <c r="R178" s="669" t="n"/>
      <c r="S178" s="669" t="n"/>
      <c r="T178" s="669" t="n"/>
      <c r="U178" s="669" t="n"/>
      <c r="V178" s="669" t="n"/>
      <c r="W178" s="669" t="n"/>
      <c r="X178" s="669" t="n"/>
      <c r="Y178" s="669" t="n"/>
      <c r="Z178" s="669" t="n"/>
    </row>
    <row r="179">
      <c r="A179" s="669" t="n"/>
      <c r="B179" s="669" t="n"/>
      <c r="C179" s="669" t="n"/>
      <c r="D179" s="669" t="n"/>
      <c r="E179" s="669" t="n"/>
      <c r="F179" s="669" t="n"/>
      <c r="G179" s="669" t="n"/>
      <c r="H179" s="669" t="n"/>
      <c r="I179" s="669" t="n"/>
      <c r="J179" s="669" t="n"/>
      <c r="K179" s="669" t="n"/>
      <c r="L179" s="669" t="n"/>
      <c r="M179" s="669" t="n"/>
      <c r="N179" s="669" t="n"/>
      <c r="O179" s="669" t="n"/>
      <c r="P179" s="669" t="n"/>
      <c r="Q179" s="669" t="n"/>
      <c r="R179" s="669" t="n"/>
      <c r="S179" s="669" t="n"/>
      <c r="T179" s="669" t="n"/>
      <c r="U179" s="669" t="n"/>
      <c r="V179" s="669" t="n"/>
      <c r="W179" s="669" t="n"/>
      <c r="X179" s="669" t="n"/>
      <c r="Y179" s="669" t="n"/>
      <c r="Z179" s="669" t="n"/>
    </row>
    <row r="180">
      <c r="A180" s="669" t="n"/>
      <c r="B180" s="669" t="n"/>
      <c r="C180" s="669" t="n"/>
      <c r="D180" s="669" t="n"/>
      <c r="E180" s="669" t="n"/>
      <c r="F180" s="669" t="n"/>
      <c r="G180" s="669" t="n"/>
      <c r="H180" s="669" t="n"/>
      <c r="I180" s="669" t="n"/>
      <c r="J180" s="669" t="n"/>
      <c r="K180" s="669" t="n"/>
      <c r="L180" s="669" t="n"/>
      <c r="M180" s="669" t="n"/>
      <c r="N180" s="669" t="n"/>
      <c r="O180" s="669" t="n"/>
      <c r="P180" s="669" t="n"/>
      <c r="Q180" s="669" t="n"/>
      <c r="R180" s="669" t="n"/>
      <c r="S180" s="669" t="n"/>
      <c r="T180" s="669" t="n"/>
      <c r="U180" s="669" t="n"/>
      <c r="V180" s="669" t="n"/>
      <c r="W180" s="669" t="n"/>
      <c r="X180" s="669" t="n"/>
      <c r="Y180" s="669" t="n"/>
      <c r="Z180" s="669" t="n"/>
    </row>
    <row r="181">
      <c r="A181" s="669" t="n"/>
      <c r="B181" s="669" t="n"/>
      <c r="C181" s="669" t="n"/>
      <c r="D181" s="669" t="n"/>
      <c r="E181" s="669" t="n"/>
      <c r="F181" s="669" t="n"/>
      <c r="G181" s="669" t="n"/>
      <c r="H181" s="669" t="n"/>
      <c r="I181" s="669" t="n"/>
      <c r="J181" s="669" t="n"/>
      <c r="K181" s="669" t="n"/>
      <c r="L181" s="669" t="n"/>
      <c r="M181" s="669" t="n"/>
      <c r="N181" s="669" t="n"/>
      <c r="O181" s="669" t="n"/>
      <c r="P181" s="669" t="n"/>
      <c r="Q181" s="669" t="n"/>
      <c r="R181" s="669" t="n"/>
      <c r="S181" s="669" t="n"/>
      <c r="T181" s="669" t="n"/>
      <c r="U181" s="669" t="n"/>
      <c r="V181" s="669" t="n"/>
      <c r="W181" s="669" t="n"/>
      <c r="X181" s="669" t="n"/>
      <c r="Y181" s="669" t="n"/>
      <c r="Z181" s="669" t="n"/>
    </row>
    <row r="182">
      <c r="A182" s="669" t="n"/>
      <c r="B182" s="669" t="n"/>
      <c r="C182" s="669" t="n"/>
      <c r="D182" s="669" t="n"/>
      <c r="E182" s="669" t="n"/>
      <c r="F182" s="669" t="n"/>
      <c r="G182" s="669" t="n"/>
      <c r="H182" s="669" t="n"/>
      <c r="I182" s="669" t="n"/>
      <c r="J182" s="669" t="n"/>
      <c r="K182" s="669" t="n"/>
      <c r="L182" s="669" t="n"/>
      <c r="M182" s="669" t="n"/>
      <c r="N182" s="669" t="n"/>
      <c r="O182" s="669" t="n"/>
      <c r="P182" s="669" t="n"/>
      <c r="Q182" s="669" t="n"/>
      <c r="R182" s="669" t="n"/>
      <c r="S182" s="669" t="n"/>
      <c r="T182" s="669" t="n"/>
      <c r="U182" s="669" t="n"/>
      <c r="V182" s="669" t="n"/>
      <c r="W182" s="669" t="n"/>
      <c r="X182" s="669" t="n"/>
      <c r="Y182" s="669" t="n"/>
      <c r="Z182" s="669" t="n"/>
    </row>
    <row r="183">
      <c r="A183" s="669" t="n"/>
      <c r="B183" s="669" t="n"/>
      <c r="C183" s="669" t="n"/>
      <c r="D183" s="669" t="n"/>
      <c r="E183" s="669" t="n"/>
      <c r="F183" s="669" t="n"/>
      <c r="G183" s="669" t="n"/>
      <c r="H183" s="669" t="n"/>
      <c r="I183" s="669" t="n"/>
      <c r="J183" s="669" t="n"/>
      <c r="K183" s="669" t="n"/>
      <c r="L183" s="669" t="n"/>
      <c r="M183" s="669" t="n"/>
      <c r="N183" s="669" t="n"/>
      <c r="O183" s="669" t="n"/>
      <c r="P183" s="669" t="n"/>
      <c r="Q183" s="669" t="n"/>
      <c r="R183" s="669" t="n"/>
      <c r="S183" s="669" t="n"/>
      <c r="T183" s="669" t="n"/>
      <c r="U183" s="669" t="n"/>
      <c r="V183" s="669" t="n"/>
      <c r="W183" s="669" t="n"/>
      <c r="X183" s="669" t="n"/>
      <c r="Y183" s="669" t="n"/>
      <c r="Z183" s="669" t="n"/>
    </row>
    <row r="184">
      <c r="A184" s="669" t="n"/>
      <c r="B184" s="669" t="n"/>
      <c r="C184" s="669" t="n"/>
      <c r="D184" s="669" t="n"/>
      <c r="E184" s="669" t="n"/>
      <c r="F184" s="669" t="n"/>
      <c r="G184" s="669" t="n"/>
      <c r="H184" s="669" t="n"/>
      <c r="I184" s="669" t="n"/>
      <c r="J184" s="669" t="n"/>
      <c r="K184" s="669" t="n"/>
      <c r="L184" s="669" t="n"/>
      <c r="M184" s="669" t="n"/>
      <c r="N184" s="669" t="n"/>
      <c r="O184" s="669" t="n"/>
      <c r="P184" s="669" t="n"/>
      <c r="Q184" s="669" t="n"/>
      <c r="R184" s="669" t="n"/>
      <c r="S184" s="669" t="n"/>
      <c r="T184" s="669" t="n"/>
      <c r="U184" s="669" t="n"/>
      <c r="V184" s="669" t="n"/>
      <c r="W184" s="669" t="n"/>
      <c r="X184" s="669" t="n"/>
      <c r="Y184" s="669" t="n"/>
      <c r="Z184" s="669" t="n"/>
    </row>
    <row r="185">
      <c r="A185" s="669" t="n"/>
      <c r="B185" s="669" t="n"/>
      <c r="C185" s="669" t="n"/>
      <c r="D185" s="669" t="n"/>
      <c r="E185" s="669" t="n"/>
      <c r="F185" s="669" t="n"/>
      <c r="G185" s="669" t="n"/>
      <c r="H185" s="669" t="n"/>
      <c r="I185" s="669" t="n"/>
      <c r="J185" s="669" t="n"/>
      <c r="K185" s="669" t="n"/>
      <c r="L185" s="669" t="n"/>
      <c r="M185" s="669" t="n"/>
      <c r="N185" s="669" t="n"/>
      <c r="O185" s="669" t="n"/>
      <c r="P185" s="669" t="n"/>
      <c r="Q185" s="669" t="n"/>
      <c r="R185" s="669" t="n"/>
      <c r="S185" s="669" t="n"/>
      <c r="T185" s="669" t="n"/>
      <c r="U185" s="669" t="n"/>
      <c r="V185" s="669" t="n"/>
      <c r="W185" s="669" t="n"/>
      <c r="X185" s="669" t="n"/>
      <c r="Y185" s="669" t="n"/>
      <c r="Z185" s="669" t="n"/>
    </row>
    <row r="186">
      <c r="A186" s="669" t="n"/>
      <c r="B186" s="669" t="n"/>
      <c r="C186" s="669" t="n"/>
      <c r="D186" s="669" t="n"/>
      <c r="E186" s="669" t="n"/>
      <c r="F186" s="669" t="n"/>
      <c r="G186" s="669" t="n"/>
      <c r="H186" s="669" t="n"/>
      <c r="I186" s="669" t="n"/>
      <c r="J186" s="669" t="n"/>
      <c r="K186" s="669" t="n"/>
      <c r="L186" s="669" t="n"/>
      <c r="M186" s="669" t="n"/>
      <c r="N186" s="669" t="n"/>
      <c r="O186" s="669" t="n"/>
      <c r="P186" s="669" t="n"/>
      <c r="Q186" s="669" t="n"/>
      <c r="R186" s="669" t="n"/>
      <c r="S186" s="669" t="n"/>
      <c r="T186" s="669" t="n"/>
      <c r="U186" s="669" t="n"/>
      <c r="V186" s="669" t="n"/>
      <c r="W186" s="669" t="n"/>
      <c r="X186" s="669" t="n"/>
      <c r="Y186" s="669" t="n"/>
      <c r="Z186" s="669" t="n"/>
    </row>
    <row r="187">
      <c r="A187" s="669" t="n"/>
      <c r="B187" s="669" t="n"/>
      <c r="C187" s="669" t="n"/>
      <c r="D187" s="669" t="n"/>
      <c r="E187" s="669" t="n"/>
      <c r="F187" s="669" t="n"/>
      <c r="G187" s="669" t="n"/>
      <c r="H187" s="669" t="n"/>
      <c r="I187" s="669" t="n"/>
      <c r="J187" s="669" t="n"/>
      <c r="K187" s="669" t="n"/>
      <c r="L187" s="669" t="n"/>
      <c r="M187" s="669" t="n"/>
      <c r="N187" s="669" t="n"/>
      <c r="O187" s="669" t="n"/>
      <c r="P187" s="669" t="n"/>
      <c r="Q187" s="669" t="n"/>
      <c r="R187" s="669" t="n"/>
      <c r="S187" s="669" t="n"/>
      <c r="T187" s="669" t="n"/>
      <c r="U187" s="669" t="n"/>
      <c r="V187" s="669" t="n"/>
      <c r="W187" s="669" t="n"/>
      <c r="X187" s="669" t="n"/>
      <c r="Y187" s="669" t="n"/>
      <c r="Z187" s="669" t="n"/>
    </row>
    <row r="188">
      <c r="A188" s="669" t="n"/>
      <c r="B188" s="669" t="n"/>
      <c r="C188" s="669" t="n"/>
      <c r="D188" s="669" t="n"/>
      <c r="E188" s="669" t="n"/>
      <c r="F188" s="669" t="n"/>
      <c r="G188" s="669" t="n"/>
      <c r="H188" s="669" t="n"/>
      <c r="I188" s="669" t="n"/>
      <c r="J188" s="669" t="n"/>
      <c r="K188" s="669" t="n"/>
      <c r="L188" s="669" t="n"/>
      <c r="M188" s="669" t="n"/>
      <c r="N188" s="669" t="n"/>
      <c r="O188" s="669" t="n"/>
      <c r="P188" s="669" t="n"/>
      <c r="Q188" s="669" t="n"/>
      <c r="R188" s="669" t="n"/>
      <c r="S188" s="669" t="n"/>
      <c r="T188" s="669" t="n"/>
      <c r="U188" s="669" t="n"/>
      <c r="V188" s="669" t="n"/>
      <c r="W188" s="669" t="n"/>
      <c r="X188" s="669" t="n"/>
      <c r="Y188" s="669" t="n"/>
      <c r="Z188" s="669" t="n"/>
    </row>
    <row r="189">
      <c r="A189" s="669" t="n"/>
      <c r="B189" s="669" t="n"/>
      <c r="C189" s="669" t="n"/>
      <c r="D189" s="669" t="n"/>
      <c r="E189" s="669" t="n"/>
      <c r="F189" s="669" t="n"/>
      <c r="G189" s="669" t="n"/>
      <c r="H189" s="669" t="n"/>
      <c r="I189" s="669" t="n"/>
      <c r="J189" s="669" t="n"/>
      <c r="K189" s="669" t="n"/>
      <c r="L189" s="669" t="n"/>
      <c r="M189" s="669" t="n"/>
      <c r="N189" s="669" t="n"/>
      <c r="O189" s="669" t="n"/>
      <c r="P189" s="669" t="n"/>
      <c r="Q189" s="669" t="n"/>
      <c r="R189" s="669" t="n"/>
      <c r="S189" s="669" t="n"/>
      <c r="T189" s="669" t="n"/>
      <c r="U189" s="669" t="n"/>
      <c r="V189" s="669" t="n"/>
      <c r="W189" s="669" t="n"/>
      <c r="X189" s="669" t="n"/>
      <c r="Y189" s="669" t="n"/>
      <c r="Z189" s="669" t="n"/>
    </row>
    <row r="190">
      <c r="A190" s="669" t="n"/>
      <c r="B190" s="669" t="n"/>
      <c r="C190" s="669" t="n"/>
      <c r="D190" s="669" t="n"/>
      <c r="E190" s="669" t="n"/>
      <c r="F190" s="669" t="n"/>
      <c r="G190" s="669" t="n"/>
      <c r="H190" s="669" t="n"/>
      <c r="I190" s="669" t="n"/>
      <c r="J190" s="669" t="n"/>
      <c r="K190" s="669" t="n"/>
      <c r="L190" s="669" t="n"/>
      <c r="M190" s="669" t="n"/>
      <c r="N190" s="669" t="n"/>
      <c r="O190" s="669" t="n"/>
      <c r="P190" s="669" t="n"/>
      <c r="Q190" s="669" t="n"/>
      <c r="R190" s="669" t="n"/>
      <c r="S190" s="669" t="n"/>
      <c r="T190" s="669" t="n"/>
      <c r="U190" s="669" t="n"/>
      <c r="V190" s="669" t="n"/>
      <c r="W190" s="669" t="n"/>
      <c r="X190" s="669" t="n"/>
      <c r="Y190" s="669" t="n"/>
      <c r="Z190" s="669" t="n"/>
    </row>
    <row r="191">
      <c r="A191" s="669" t="n"/>
      <c r="B191" s="669" t="n"/>
      <c r="C191" s="669" t="n"/>
      <c r="D191" s="669" t="n"/>
      <c r="E191" s="669" t="n"/>
      <c r="F191" s="669" t="n"/>
      <c r="G191" s="669" t="n"/>
      <c r="H191" s="669" t="n"/>
      <c r="I191" s="669" t="n"/>
      <c r="J191" s="669" t="n"/>
      <c r="K191" s="669" t="n"/>
      <c r="L191" s="669" t="n"/>
      <c r="M191" s="669" t="n"/>
      <c r="N191" s="669" t="n"/>
      <c r="O191" s="669" t="n"/>
      <c r="P191" s="669" t="n"/>
      <c r="Q191" s="669" t="n"/>
      <c r="R191" s="669" t="n"/>
      <c r="S191" s="669" t="n"/>
      <c r="T191" s="669" t="n"/>
      <c r="U191" s="669" t="n"/>
      <c r="V191" s="669" t="n"/>
      <c r="W191" s="669" t="n"/>
      <c r="X191" s="669" t="n"/>
      <c r="Y191" s="669" t="n"/>
      <c r="Z191" s="669" t="n"/>
    </row>
    <row r="192">
      <c r="A192" s="669" t="n"/>
      <c r="B192" s="669" t="n"/>
      <c r="C192" s="669" t="n"/>
      <c r="D192" s="669" t="n"/>
      <c r="E192" s="669" t="n"/>
      <c r="F192" s="669" t="n"/>
      <c r="G192" s="669" t="n"/>
      <c r="H192" s="669" t="n"/>
      <c r="I192" s="669" t="n"/>
      <c r="J192" s="669" t="n"/>
      <c r="K192" s="669" t="n"/>
      <c r="L192" s="669" t="n"/>
      <c r="M192" s="669" t="n"/>
      <c r="N192" s="669" t="n"/>
      <c r="O192" s="669" t="n"/>
      <c r="P192" s="669" t="n"/>
      <c r="Q192" s="669" t="n"/>
      <c r="R192" s="669" t="n"/>
      <c r="S192" s="669" t="n"/>
      <c r="T192" s="669" t="n"/>
      <c r="U192" s="669" t="n"/>
      <c r="V192" s="669" t="n"/>
      <c r="W192" s="669" t="n"/>
      <c r="X192" s="669" t="n"/>
      <c r="Y192" s="669" t="n"/>
      <c r="Z192" s="669" t="n"/>
    </row>
    <row r="193">
      <c r="A193" s="669" t="n"/>
      <c r="B193" s="669" t="n"/>
      <c r="C193" s="669" t="n"/>
      <c r="D193" s="669" t="n"/>
      <c r="E193" s="669" t="n"/>
      <c r="F193" s="669" t="n"/>
      <c r="G193" s="669" t="n"/>
      <c r="H193" s="669" t="n"/>
      <c r="I193" s="669" t="n"/>
      <c r="J193" s="669" t="n"/>
      <c r="K193" s="669" t="n"/>
      <c r="L193" s="669" t="n"/>
      <c r="M193" s="669" t="n"/>
      <c r="N193" s="669" t="n"/>
      <c r="O193" s="669" t="n"/>
      <c r="P193" s="669" t="n"/>
      <c r="Q193" s="669" t="n"/>
      <c r="R193" s="669" t="n"/>
      <c r="S193" s="669" t="n"/>
      <c r="T193" s="669" t="n"/>
      <c r="U193" s="669" t="n"/>
      <c r="V193" s="669" t="n"/>
      <c r="W193" s="669" t="n"/>
      <c r="X193" s="669" t="n"/>
      <c r="Y193" s="669" t="n"/>
      <c r="Z193" s="669" t="n"/>
    </row>
    <row r="194">
      <c r="A194" s="669" t="n"/>
      <c r="B194" s="669" t="n"/>
      <c r="C194" s="669" t="n"/>
      <c r="D194" s="669" t="n"/>
      <c r="E194" s="669" t="n"/>
      <c r="F194" s="669" t="n"/>
      <c r="G194" s="669" t="n"/>
      <c r="H194" s="669" t="n"/>
      <c r="I194" s="669" t="n"/>
      <c r="J194" s="669" t="n"/>
      <c r="K194" s="669" t="n"/>
      <c r="L194" s="669" t="n"/>
      <c r="M194" s="669" t="n"/>
      <c r="N194" s="669" t="n"/>
      <c r="O194" s="669" t="n"/>
      <c r="P194" s="669" t="n"/>
      <c r="Q194" s="669" t="n"/>
      <c r="R194" s="669" t="n"/>
      <c r="S194" s="669" t="n"/>
      <c r="T194" s="669" t="n"/>
      <c r="U194" s="669" t="n"/>
      <c r="V194" s="669" t="n"/>
      <c r="W194" s="669" t="n"/>
      <c r="X194" s="669" t="n"/>
      <c r="Y194" s="669" t="n"/>
      <c r="Z194" s="669" t="n"/>
    </row>
    <row r="195">
      <c r="A195" s="669" t="n"/>
      <c r="B195" s="669" t="n"/>
      <c r="C195" s="669" t="n"/>
      <c r="D195" s="669" t="n"/>
      <c r="E195" s="669" t="n"/>
      <c r="F195" s="669" t="n"/>
      <c r="G195" s="669" t="n"/>
      <c r="H195" s="669" t="n"/>
      <c r="I195" s="669" t="n"/>
      <c r="J195" s="669" t="n"/>
      <c r="K195" s="669" t="n"/>
      <c r="L195" s="669" t="n"/>
      <c r="M195" s="669" t="n"/>
      <c r="N195" s="669" t="n"/>
      <c r="O195" s="669" t="n"/>
      <c r="P195" s="669" t="n"/>
      <c r="Q195" s="669" t="n"/>
      <c r="R195" s="669" t="n"/>
      <c r="S195" s="669" t="n"/>
      <c r="T195" s="669" t="n"/>
      <c r="U195" s="669" t="n"/>
      <c r="V195" s="669" t="n"/>
      <c r="W195" s="669" t="n"/>
      <c r="X195" s="669" t="n"/>
      <c r="Y195" s="669" t="n"/>
      <c r="Z195" s="669" t="n"/>
    </row>
    <row r="196">
      <c r="A196" s="669" t="n"/>
      <c r="B196" s="669" t="n"/>
      <c r="C196" s="669" t="n"/>
      <c r="D196" s="669" t="n"/>
      <c r="E196" s="669" t="n"/>
      <c r="F196" s="669" t="n"/>
      <c r="G196" s="669" t="n"/>
      <c r="H196" s="669" t="n"/>
      <c r="I196" s="669" t="n"/>
      <c r="J196" s="669" t="n"/>
      <c r="K196" s="669" t="n"/>
      <c r="L196" s="669" t="n"/>
      <c r="M196" s="669" t="n"/>
      <c r="N196" s="669" t="n"/>
      <c r="O196" s="669" t="n"/>
      <c r="P196" s="669" t="n"/>
      <c r="Q196" s="669" t="n"/>
      <c r="R196" s="669" t="n"/>
      <c r="S196" s="669" t="n"/>
      <c r="T196" s="669" t="n"/>
      <c r="U196" s="669" t="n"/>
      <c r="V196" s="669" t="n"/>
      <c r="W196" s="669" t="n"/>
      <c r="X196" s="669" t="n"/>
      <c r="Y196" s="669" t="n"/>
      <c r="Z196" s="669" t="n"/>
    </row>
    <row r="197">
      <c r="A197" s="669" t="n"/>
      <c r="B197" s="669" t="n"/>
      <c r="C197" s="669" t="n"/>
      <c r="D197" s="669" t="n"/>
      <c r="E197" s="669" t="n"/>
      <c r="F197" s="669" t="n"/>
      <c r="G197" s="669" t="n"/>
      <c r="H197" s="669" t="n"/>
      <c r="I197" s="669" t="n"/>
      <c r="J197" s="669" t="n"/>
      <c r="K197" s="669" t="n"/>
      <c r="L197" s="669" t="n"/>
      <c r="M197" s="669" t="n"/>
      <c r="N197" s="669" t="n"/>
      <c r="O197" s="669" t="n"/>
      <c r="P197" s="669" t="n"/>
      <c r="Q197" s="669" t="n"/>
      <c r="R197" s="669" t="n"/>
      <c r="S197" s="669" t="n"/>
      <c r="T197" s="669" t="n"/>
      <c r="U197" s="669" t="n"/>
      <c r="V197" s="669" t="n"/>
      <c r="W197" s="669" t="n"/>
      <c r="X197" s="669" t="n"/>
      <c r="Y197" s="669" t="n"/>
      <c r="Z197" s="669" t="n"/>
    </row>
    <row r="198">
      <c r="A198" s="669" t="n"/>
      <c r="B198" s="669" t="n"/>
      <c r="C198" s="669" t="n"/>
      <c r="D198" s="669" t="n"/>
      <c r="E198" s="669" t="n"/>
      <c r="F198" s="669" t="n"/>
      <c r="G198" s="669" t="n"/>
      <c r="H198" s="669" t="n"/>
      <c r="I198" s="669" t="n"/>
      <c r="J198" s="669" t="n"/>
      <c r="K198" s="669" t="n"/>
      <c r="L198" s="669" t="n"/>
      <c r="M198" s="669" t="n"/>
      <c r="N198" s="669" t="n"/>
      <c r="O198" s="669" t="n"/>
      <c r="P198" s="669" t="n"/>
      <c r="Q198" s="669" t="n"/>
      <c r="R198" s="669" t="n"/>
      <c r="S198" s="669" t="n"/>
      <c r="T198" s="669" t="n"/>
      <c r="U198" s="669" t="n"/>
      <c r="V198" s="669" t="n"/>
      <c r="W198" s="669" t="n"/>
      <c r="X198" s="669" t="n"/>
      <c r="Y198" s="669" t="n"/>
      <c r="Z198" s="669" t="n"/>
    </row>
    <row r="199">
      <c r="A199" s="669" t="n"/>
      <c r="B199" s="669" t="n"/>
      <c r="C199" s="669" t="n"/>
      <c r="D199" s="669" t="n"/>
      <c r="E199" s="669" t="n"/>
      <c r="F199" s="669" t="n"/>
      <c r="G199" s="669" t="n"/>
      <c r="H199" s="669" t="n"/>
      <c r="I199" s="669" t="n"/>
      <c r="J199" s="669" t="n"/>
      <c r="K199" s="669" t="n"/>
      <c r="L199" s="669" t="n"/>
      <c r="M199" s="669" t="n"/>
      <c r="N199" s="669" t="n"/>
      <c r="O199" s="669" t="n"/>
      <c r="P199" s="669" t="n"/>
      <c r="Q199" s="669" t="n"/>
      <c r="R199" s="669" t="n"/>
      <c r="S199" s="669" t="n"/>
      <c r="T199" s="669" t="n"/>
      <c r="U199" s="669" t="n"/>
      <c r="V199" s="669" t="n"/>
      <c r="W199" s="669" t="n"/>
      <c r="X199" s="669" t="n"/>
      <c r="Y199" s="669" t="n"/>
      <c r="Z199" s="669" t="n"/>
    </row>
    <row r="200">
      <c r="A200" s="669" t="n"/>
      <c r="B200" s="669" t="n"/>
      <c r="C200" s="669" t="n"/>
      <c r="D200" s="669" t="n"/>
      <c r="E200" s="669" t="n"/>
      <c r="F200" s="669" t="n"/>
      <c r="G200" s="669" t="n"/>
      <c r="H200" s="669" t="n"/>
      <c r="I200" s="669" t="n"/>
      <c r="J200" s="669" t="n"/>
      <c r="K200" s="669" t="n"/>
      <c r="L200" s="669" t="n"/>
      <c r="M200" s="669" t="n"/>
      <c r="N200" s="669" t="n"/>
      <c r="O200" s="669" t="n"/>
      <c r="P200" s="669" t="n"/>
      <c r="Q200" s="669" t="n"/>
      <c r="R200" s="669" t="n"/>
      <c r="S200" s="669" t="n"/>
      <c r="T200" s="669" t="n"/>
      <c r="U200" s="669" t="n"/>
      <c r="V200" s="669" t="n"/>
      <c r="W200" s="669" t="n"/>
      <c r="X200" s="669" t="n"/>
      <c r="Y200" s="669" t="n"/>
      <c r="Z200" s="669" t="n"/>
    </row>
    <row r="201">
      <c r="A201" s="669" t="n"/>
      <c r="B201" s="669" t="n"/>
      <c r="C201" s="669" t="n"/>
      <c r="D201" s="669" t="n"/>
      <c r="E201" s="669" t="n"/>
      <c r="F201" s="669" t="n"/>
      <c r="G201" s="669" t="n"/>
      <c r="H201" s="669" t="n"/>
      <c r="I201" s="669" t="n"/>
      <c r="J201" s="669" t="n"/>
      <c r="K201" s="669" t="n"/>
      <c r="L201" s="669" t="n"/>
      <c r="M201" s="669" t="n"/>
      <c r="N201" s="669" t="n"/>
      <c r="O201" s="669" t="n"/>
      <c r="P201" s="669" t="n"/>
      <c r="Q201" s="669" t="n"/>
      <c r="R201" s="669" t="n"/>
      <c r="S201" s="669" t="n"/>
      <c r="T201" s="669" t="n"/>
      <c r="U201" s="669" t="n"/>
      <c r="V201" s="669" t="n"/>
      <c r="W201" s="669" t="n"/>
      <c r="X201" s="669" t="n"/>
      <c r="Y201" s="669" t="n"/>
      <c r="Z201" s="669" t="n"/>
    </row>
    <row r="202">
      <c r="A202" s="669" t="n"/>
      <c r="B202" s="669" t="n"/>
      <c r="C202" s="669" t="n"/>
      <c r="D202" s="669" t="n"/>
      <c r="E202" s="669" t="n"/>
      <c r="F202" s="669" t="n"/>
      <c r="G202" s="669" t="n"/>
      <c r="H202" s="669" t="n"/>
      <c r="I202" s="669" t="n"/>
      <c r="J202" s="669" t="n"/>
      <c r="K202" s="669" t="n"/>
      <c r="L202" s="669" t="n"/>
      <c r="M202" s="669" t="n"/>
      <c r="N202" s="669" t="n"/>
      <c r="O202" s="669" t="n"/>
      <c r="P202" s="669" t="n"/>
      <c r="Q202" s="669" t="n"/>
      <c r="R202" s="669" t="n"/>
      <c r="S202" s="669" t="n"/>
      <c r="T202" s="669" t="n"/>
      <c r="U202" s="669" t="n"/>
      <c r="V202" s="669" t="n"/>
      <c r="W202" s="669" t="n"/>
      <c r="X202" s="669" t="n"/>
      <c r="Y202" s="669" t="n"/>
      <c r="Z202" s="669" t="n"/>
    </row>
    <row r="203">
      <c r="A203" s="669" t="n"/>
      <c r="B203" s="669" t="n"/>
      <c r="C203" s="669" t="n"/>
      <c r="D203" s="669" t="n"/>
      <c r="E203" s="669" t="n"/>
      <c r="F203" s="669" t="n"/>
      <c r="G203" s="669" t="n"/>
      <c r="H203" s="669" t="n"/>
      <c r="I203" s="669" t="n"/>
      <c r="J203" s="669" t="n"/>
      <c r="K203" s="669" t="n"/>
      <c r="L203" s="669" t="n"/>
      <c r="M203" s="669" t="n"/>
      <c r="N203" s="669" t="n"/>
      <c r="O203" s="669" t="n"/>
      <c r="P203" s="669" t="n"/>
      <c r="Q203" s="669" t="n"/>
      <c r="R203" s="669" t="n"/>
      <c r="S203" s="669" t="n"/>
      <c r="T203" s="669" t="n"/>
      <c r="U203" s="669" t="n"/>
      <c r="V203" s="669" t="n"/>
      <c r="W203" s="669" t="n"/>
      <c r="X203" s="669" t="n"/>
      <c r="Y203" s="669" t="n"/>
      <c r="Z203" s="669" t="n"/>
    </row>
    <row r="204">
      <c r="A204" s="669" t="n"/>
      <c r="B204" s="669" t="n"/>
      <c r="C204" s="669" t="n"/>
      <c r="D204" s="669" t="n"/>
      <c r="E204" s="669" t="n"/>
      <c r="F204" s="669" t="n"/>
      <c r="G204" s="669" t="n"/>
      <c r="H204" s="669" t="n"/>
      <c r="I204" s="669" t="n"/>
      <c r="J204" s="669" t="n"/>
      <c r="K204" s="669" t="n"/>
      <c r="L204" s="669" t="n"/>
      <c r="M204" s="669" t="n"/>
      <c r="N204" s="669" t="n"/>
      <c r="O204" s="669" t="n"/>
      <c r="P204" s="669" t="n"/>
      <c r="Q204" s="669" t="n"/>
      <c r="R204" s="669" t="n"/>
      <c r="S204" s="669" t="n"/>
      <c r="T204" s="669" t="n"/>
      <c r="U204" s="669" t="n"/>
      <c r="V204" s="669" t="n"/>
      <c r="W204" s="669" t="n"/>
      <c r="X204" s="669" t="n"/>
      <c r="Y204" s="669" t="n"/>
      <c r="Z204" s="669" t="n"/>
    </row>
    <row r="205">
      <c r="A205" s="669" t="n"/>
      <c r="B205" s="669" t="n"/>
      <c r="C205" s="669" t="n"/>
      <c r="D205" s="669" t="n"/>
      <c r="E205" s="669" t="n"/>
      <c r="F205" s="669" t="n"/>
      <c r="G205" s="669" t="n"/>
      <c r="H205" s="669" t="n"/>
      <c r="I205" s="669" t="n"/>
      <c r="J205" s="669" t="n"/>
      <c r="K205" s="669" t="n"/>
      <c r="L205" s="669" t="n"/>
      <c r="M205" s="669" t="n"/>
      <c r="N205" s="669" t="n"/>
      <c r="O205" s="669" t="n"/>
      <c r="P205" s="669" t="n"/>
      <c r="Q205" s="669" t="n"/>
      <c r="R205" s="669" t="n"/>
      <c r="S205" s="669" t="n"/>
      <c r="T205" s="669" t="n"/>
      <c r="U205" s="669" t="n"/>
      <c r="V205" s="669" t="n"/>
      <c r="W205" s="669" t="n"/>
      <c r="X205" s="669" t="n"/>
      <c r="Y205" s="669" t="n"/>
      <c r="Z205" s="669" t="n"/>
    </row>
    <row r="206">
      <c r="A206" s="669" t="n"/>
      <c r="B206" s="669" t="n"/>
      <c r="C206" s="669" t="n"/>
      <c r="D206" s="669" t="n"/>
      <c r="E206" s="669" t="n"/>
      <c r="F206" s="669" t="n"/>
      <c r="G206" s="669" t="n"/>
      <c r="H206" s="669" t="n"/>
      <c r="I206" s="669" t="n"/>
      <c r="J206" s="669" t="n"/>
      <c r="K206" s="669" t="n"/>
      <c r="L206" s="669" t="n"/>
      <c r="M206" s="669" t="n"/>
      <c r="N206" s="669" t="n"/>
      <c r="O206" s="669" t="n"/>
      <c r="P206" s="669" t="n"/>
      <c r="Q206" s="669" t="n"/>
      <c r="R206" s="669" t="n"/>
      <c r="S206" s="669" t="n"/>
      <c r="T206" s="669" t="n"/>
      <c r="U206" s="669" t="n"/>
      <c r="V206" s="669" t="n"/>
      <c r="W206" s="669" t="n"/>
      <c r="X206" s="669" t="n"/>
      <c r="Y206" s="669" t="n"/>
      <c r="Z206" s="669" t="n"/>
    </row>
    <row r="207">
      <c r="A207" s="669" t="n"/>
      <c r="B207" s="669" t="n"/>
      <c r="C207" s="669" t="n"/>
      <c r="D207" s="669" t="n"/>
      <c r="E207" s="669" t="n"/>
      <c r="F207" s="669" t="n"/>
      <c r="G207" s="669" t="n"/>
      <c r="H207" s="669" t="n"/>
      <c r="I207" s="669" t="n"/>
      <c r="J207" s="669" t="n"/>
      <c r="K207" s="669" t="n"/>
      <c r="L207" s="669" t="n"/>
      <c r="M207" s="669" t="n"/>
      <c r="N207" s="669" t="n"/>
      <c r="O207" s="669" t="n"/>
      <c r="P207" s="669" t="n"/>
      <c r="Q207" s="669" t="n"/>
      <c r="R207" s="669" t="n"/>
      <c r="S207" s="669" t="n"/>
      <c r="T207" s="669" t="n"/>
      <c r="U207" s="669" t="n"/>
      <c r="V207" s="669" t="n"/>
      <c r="W207" s="669" t="n"/>
      <c r="X207" s="669" t="n"/>
      <c r="Y207" s="669" t="n"/>
      <c r="Z207" s="669" t="n"/>
    </row>
    <row r="208">
      <c r="A208" s="669" t="n"/>
      <c r="B208" s="669" t="n"/>
      <c r="C208" s="669" t="n"/>
      <c r="D208" s="669" t="n"/>
      <c r="E208" s="669" t="n"/>
      <c r="F208" s="669" t="n"/>
      <c r="G208" s="669" t="n"/>
      <c r="H208" s="669" t="n"/>
      <c r="I208" s="669" t="n"/>
      <c r="J208" s="669" t="n"/>
      <c r="K208" s="669" t="n"/>
      <c r="L208" s="669" t="n"/>
      <c r="M208" s="669" t="n"/>
      <c r="N208" s="669" t="n"/>
      <c r="O208" s="669" t="n"/>
      <c r="P208" s="669" t="n"/>
      <c r="Q208" s="669" t="n"/>
      <c r="R208" s="669" t="n"/>
      <c r="S208" s="669" t="n"/>
      <c r="T208" s="669" t="n"/>
      <c r="U208" s="669" t="n"/>
      <c r="V208" s="669" t="n"/>
      <c r="W208" s="669" t="n"/>
      <c r="X208" s="669" t="n"/>
      <c r="Y208" s="669" t="n"/>
      <c r="Z208" s="669" t="n"/>
    </row>
    <row r="209">
      <c r="A209" s="669" t="n"/>
      <c r="B209" s="669" t="n"/>
      <c r="C209" s="669" t="n"/>
      <c r="D209" s="669" t="n"/>
      <c r="E209" s="669" t="n"/>
      <c r="F209" s="669" t="n"/>
      <c r="G209" s="669" t="n"/>
      <c r="H209" s="669" t="n"/>
      <c r="I209" s="669" t="n"/>
      <c r="J209" s="669" t="n"/>
      <c r="K209" s="669" t="n"/>
      <c r="L209" s="669" t="n"/>
      <c r="M209" s="669" t="n"/>
      <c r="N209" s="669" t="n"/>
      <c r="O209" s="669" t="n"/>
      <c r="P209" s="669" t="n"/>
      <c r="Q209" s="669" t="n"/>
      <c r="R209" s="669" t="n"/>
      <c r="S209" s="669" t="n"/>
      <c r="T209" s="669" t="n"/>
      <c r="U209" s="669" t="n"/>
      <c r="V209" s="669" t="n"/>
      <c r="W209" s="669" t="n"/>
      <c r="X209" s="669" t="n"/>
      <c r="Y209" s="669" t="n"/>
      <c r="Z209" s="669" t="n"/>
    </row>
    <row r="210">
      <c r="A210" s="669" t="n"/>
      <c r="B210" s="669" t="n"/>
      <c r="C210" s="669" t="n"/>
      <c r="D210" s="669" t="n"/>
      <c r="E210" s="669" t="n"/>
      <c r="F210" s="669" t="n"/>
      <c r="G210" s="669" t="n"/>
      <c r="H210" s="669" t="n"/>
      <c r="I210" s="669" t="n"/>
      <c r="J210" s="669" t="n"/>
      <c r="K210" s="669" t="n"/>
      <c r="L210" s="669" t="n"/>
      <c r="M210" s="669" t="n"/>
      <c r="N210" s="669" t="n"/>
      <c r="O210" s="669" t="n"/>
      <c r="P210" s="669" t="n"/>
      <c r="Q210" s="669" t="n"/>
      <c r="R210" s="669" t="n"/>
      <c r="S210" s="669" t="n"/>
      <c r="T210" s="669" t="n"/>
      <c r="U210" s="669" t="n"/>
      <c r="V210" s="669" t="n"/>
      <c r="W210" s="669" t="n"/>
      <c r="X210" s="669" t="n"/>
      <c r="Y210" s="669" t="n"/>
      <c r="Z210" s="669" t="n"/>
    </row>
    <row r="211">
      <c r="A211" s="669" t="n"/>
      <c r="B211" s="669" t="n"/>
      <c r="C211" s="669" t="n"/>
      <c r="D211" s="669" t="n"/>
      <c r="E211" s="669" t="n"/>
      <c r="F211" s="669" t="n"/>
      <c r="G211" s="669" t="n"/>
      <c r="H211" s="669" t="n"/>
      <c r="I211" s="669" t="n"/>
      <c r="J211" s="669" t="n"/>
      <c r="K211" s="669" t="n"/>
      <c r="L211" s="669" t="n"/>
      <c r="M211" s="669" t="n"/>
      <c r="N211" s="669" t="n"/>
      <c r="O211" s="669" t="n"/>
      <c r="P211" s="669" t="n"/>
      <c r="Q211" s="669" t="n"/>
      <c r="R211" s="669" t="n"/>
      <c r="S211" s="669" t="n"/>
      <c r="T211" s="669" t="n"/>
      <c r="U211" s="669" t="n"/>
      <c r="V211" s="669" t="n"/>
      <c r="W211" s="669" t="n"/>
      <c r="X211" s="669" t="n"/>
      <c r="Y211" s="669" t="n"/>
      <c r="Z211" s="669" t="n"/>
    </row>
    <row r="212">
      <c r="A212" s="669" t="n"/>
      <c r="B212" s="669" t="n"/>
      <c r="C212" s="669" t="n"/>
      <c r="D212" s="669" t="n"/>
      <c r="E212" s="669" t="n"/>
      <c r="F212" s="669" t="n"/>
      <c r="G212" s="669" t="n"/>
      <c r="H212" s="669" t="n"/>
      <c r="I212" s="669" t="n"/>
      <c r="J212" s="669" t="n"/>
      <c r="K212" s="669" t="n"/>
      <c r="L212" s="669" t="n"/>
      <c r="M212" s="669" t="n"/>
      <c r="N212" s="669" t="n"/>
      <c r="O212" s="669" t="n"/>
      <c r="P212" s="669" t="n"/>
      <c r="Q212" s="669" t="n"/>
      <c r="R212" s="669" t="n"/>
      <c r="S212" s="669" t="n"/>
      <c r="T212" s="669" t="n"/>
      <c r="U212" s="669" t="n"/>
      <c r="V212" s="669" t="n"/>
      <c r="W212" s="669" t="n"/>
      <c r="X212" s="669" t="n"/>
      <c r="Y212" s="669" t="n"/>
      <c r="Z212" s="669" t="n"/>
    </row>
    <row r="213">
      <c r="A213" s="669" t="n"/>
      <c r="B213" s="669" t="n"/>
      <c r="C213" s="669" t="n"/>
      <c r="D213" s="669" t="n"/>
      <c r="E213" s="669" t="n"/>
      <c r="F213" s="669" t="n"/>
      <c r="G213" s="669" t="n"/>
      <c r="H213" s="669" t="n"/>
      <c r="I213" s="669" t="n"/>
      <c r="J213" s="669" t="n"/>
      <c r="K213" s="669" t="n"/>
      <c r="L213" s="669" t="n"/>
      <c r="M213" s="669" t="n"/>
      <c r="N213" s="669" t="n"/>
      <c r="O213" s="669" t="n"/>
      <c r="P213" s="669" t="n"/>
      <c r="Q213" s="669" t="n"/>
      <c r="R213" s="669" t="n"/>
      <c r="S213" s="669" t="n"/>
      <c r="T213" s="669" t="n"/>
      <c r="U213" s="669" t="n"/>
      <c r="V213" s="669" t="n"/>
      <c r="W213" s="669" t="n"/>
      <c r="X213" s="669" t="n"/>
      <c r="Y213" s="669" t="n"/>
      <c r="Z213" s="669" t="n"/>
    </row>
    <row r="214">
      <c r="A214" s="669" t="n"/>
      <c r="B214" s="669" t="n"/>
      <c r="C214" s="669" t="n"/>
      <c r="D214" s="669" t="n"/>
      <c r="E214" s="669" t="n"/>
      <c r="F214" s="669" t="n"/>
      <c r="G214" s="669" t="n"/>
      <c r="H214" s="669" t="n"/>
      <c r="I214" s="669" t="n"/>
      <c r="J214" s="669" t="n"/>
      <c r="K214" s="669" t="n"/>
      <c r="L214" s="669" t="n"/>
      <c r="M214" s="669" t="n"/>
      <c r="N214" s="669" t="n"/>
      <c r="O214" s="669" t="n"/>
      <c r="P214" s="669" t="n"/>
      <c r="Q214" s="669" t="n"/>
      <c r="R214" s="669" t="n"/>
      <c r="S214" s="669" t="n"/>
      <c r="T214" s="669" t="n"/>
      <c r="U214" s="669" t="n"/>
      <c r="V214" s="669" t="n"/>
      <c r="W214" s="669" t="n"/>
      <c r="X214" s="669" t="n"/>
      <c r="Y214" s="669" t="n"/>
      <c r="Z214" s="669" t="n"/>
    </row>
    <row r="215">
      <c r="A215" s="669" t="n"/>
      <c r="B215" s="669" t="n"/>
      <c r="C215" s="669" t="n"/>
      <c r="D215" s="669" t="n"/>
      <c r="E215" s="669" t="n"/>
      <c r="F215" s="669" t="n"/>
      <c r="G215" s="669" t="n"/>
      <c r="H215" s="669" t="n"/>
      <c r="I215" s="669" t="n"/>
      <c r="J215" s="669" t="n"/>
      <c r="K215" s="669" t="n"/>
      <c r="L215" s="669" t="n"/>
      <c r="M215" s="669" t="n"/>
      <c r="N215" s="669" t="n"/>
      <c r="O215" s="669" t="n"/>
      <c r="P215" s="669" t="n"/>
      <c r="Q215" s="669" t="n"/>
      <c r="R215" s="669" t="n"/>
      <c r="S215" s="669" t="n"/>
      <c r="T215" s="669" t="n"/>
      <c r="U215" s="669" t="n"/>
      <c r="V215" s="669" t="n"/>
      <c r="W215" s="669" t="n"/>
      <c r="X215" s="669" t="n"/>
      <c r="Y215" s="669" t="n"/>
      <c r="Z215" s="669" t="n"/>
    </row>
    <row r="216">
      <c r="A216" s="669" t="n"/>
      <c r="B216" s="669" t="n"/>
      <c r="C216" s="669" t="n"/>
      <c r="D216" s="669" t="n"/>
      <c r="E216" s="669" t="n"/>
      <c r="F216" s="669" t="n"/>
      <c r="G216" s="669" t="n"/>
      <c r="H216" s="669" t="n"/>
      <c r="I216" s="669" t="n"/>
      <c r="J216" s="669" t="n"/>
      <c r="K216" s="669" t="n"/>
      <c r="L216" s="669" t="n"/>
      <c r="M216" s="669" t="n"/>
      <c r="N216" s="669" t="n"/>
      <c r="O216" s="669" t="n"/>
      <c r="P216" s="669" t="n"/>
      <c r="Q216" s="669" t="n"/>
      <c r="R216" s="669" t="n"/>
      <c r="S216" s="669" t="n"/>
      <c r="T216" s="669" t="n"/>
      <c r="U216" s="669" t="n"/>
      <c r="V216" s="669" t="n"/>
      <c r="W216" s="669" t="n"/>
      <c r="X216" s="669" t="n"/>
      <c r="Y216" s="669" t="n"/>
      <c r="Z216" s="669" t="n"/>
    </row>
    <row r="217">
      <c r="A217" s="669" t="n"/>
      <c r="B217" s="669" t="n"/>
      <c r="C217" s="669" t="n"/>
      <c r="D217" s="669" t="n"/>
      <c r="E217" s="669" t="n"/>
      <c r="F217" s="669" t="n"/>
      <c r="G217" s="669" t="n"/>
      <c r="H217" s="669" t="n"/>
      <c r="I217" s="669" t="n"/>
      <c r="J217" s="669" t="n"/>
      <c r="K217" s="669" t="n"/>
      <c r="L217" s="669" t="n"/>
      <c r="M217" s="669" t="n"/>
      <c r="N217" s="669" t="n"/>
      <c r="O217" s="669" t="n"/>
      <c r="P217" s="669" t="n"/>
      <c r="Q217" s="669" t="n"/>
      <c r="R217" s="669" t="n"/>
      <c r="S217" s="669" t="n"/>
      <c r="T217" s="669" t="n"/>
      <c r="U217" s="669" t="n"/>
      <c r="V217" s="669" t="n"/>
      <c r="W217" s="669" t="n"/>
      <c r="X217" s="669" t="n"/>
      <c r="Y217" s="669" t="n"/>
      <c r="Z217" s="669" t="n"/>
    </row>
    <row r="218">
      <c r="A218" s="669" t="n"/>
      <c r="B218" s="669" t="n"/>
      <c r="C218" s="669" t="n"/>
      <c r="D218" s="669" t="n"/>
      <c r="E218" s="669" t="n"/>
      <c r="F218" s="669" t="n"/>
      <c r="G218" s="669" t="n"/>
      <c r="H218" s="669" t="n"/>
      <c r="I218" s="669" t="n"/>
      <c r="J218" s="669" t="n"/>
      <c r="K218" s="669" t="n"/>
      <c r="L218" s="669" t="n"/>
      <c r="M218" s="669" t="n"/>
      <c r="N218" s="669" t="n"/>
      <c r="O218" s="669" t="n"/>
      <c r="P218" s="669" t="n"/>
      <c r="Q218" s="669" t="n"/>
      <c r="R218" s="669" t="n"/>
      <c r="S218" s="669" t="n"/>
      <c r="T218" s="669" t="n"/>
      <c r="U218" s="669" t="n"/>
      <c r="V218" s="669" t="n"/>
      <c r="W218" s="669" t="n"/>
      <c r="X218" s="669" t="n"/>
      <c r="Y218" s="669" t="n"/>
      <c r="Z218" s="669" t="n"/>
    </row>
    <row r="219">
      <c r="A219" s="669" t="n"/>
      <c r="B219" s="669" t="n"/>
      <c r="C219" s="669" t="n"/>
      <c r="D219" s="669" t="n"/>
      <c r="E219" s="669" t="n"/>
      <c r="F219" s="669" t="n"/>
      <c r="G219" s="669" t="n"/>
      <c r="H219" s="669" t="n"/>
      <c r="I219" s="669" t="n"/>
      <c r="J219" s="669" t="n"/>
      <c r="K219" s="669" t="n"/>
      <c r="L219" s="669" t="n"/>
      <c r="M219" s="669" t="n"/>
      <c r="N219" s="669" t="n"/>
      <c r="O219" s="669" t="n"/>
      <c r="P219" s="669" t="n"/>
      <c r="Q219" s="669" t="n"/>
      <c r="R219" s="669" t="n"/>
      <c r="S219" s="669" t="n"/>
      <c r="T219" s="669" t="n"/>
      <c r="U219" s="669" t="n"/>
      <c r="V219" s="669" t="n"/>
      <c r="W219" s="669" t="n"/>
      <c r="X219" s="669" t="n"/>
      <c r="Y219" s="669" t="n"/>
      <c r="Z219" s="669" t="n"/>
    </row>
    <row r="220">
      <c r="A220" s="669" t="n"/>
      <c r="B220" s="669" t="n"/>
      <c r="C220" s="669" t="n"/>
      <c r="D220" s="669" t="n"/>
      <c r="E220" s="669" t="n"/>
      <c r="F220" s="669" t="n"/>
      <c r="G220" s="669" t="n"/>
      <c r="H220" s="669" t="n"/>
      <c r="I220" s="669" t="n"/>
      <c r="J220" s="669" t="n"/>
      <c r="K220" s="669" t="n"/>
      <c r="L220" s="669" t="n"/>
      <c r="M220" s="669" t="n"/>
      <c r="N220" s="669" t="n"/>
      <c r="O220" s="669" t="n"/>
      <c r="P220" s="669" t="n"/>
      <c r="Q220" s="669" t="n"/>
      <c r="R220" s="669" t="n"/>
      <c r="S220" s="669" t="n"/>
      <c r="T220" s="669" t="n"/>
      <c r="U220" s="669" t="n"/>
      <c r="V220" s="669" t="n"/>
      <c r="W220" s="669" t="n"/>
      <c r="X220" s="669" t="n"/>
      <c r="Y220" s="669" t="n"/>
      <c r="Z220" s="669" t="n"/>
    </row>
    <row r="221">
      <c r="A221" s="669" t="n"/>
      <c r="B221" s="669" t="n"/>
      <c r="C221" s="669" t="n"/>
      <c r="D221" s="669" t="n"/>
      <c r="E221" s="669" t="n"/>
      <c r="F221" s="669" t="n"/>
      <c r="G221" s="669" t="n"/>
      <c r="H221" s="669" t="n"/>
      <c r="I221" s="669" t="n"/>
      <c r="J221" s="669" t="n"/>
      <c r="K221" s="669" t="n"/>
      <c r="L221" s="669" t="n"/>
      <c r="M221" s="669" t="n"/>
      <c r="N221" s="669" t="n"/>
      <c r="O221" s="669" t="n"/>
      <c r="P221" s="669" t="n"/>
      <c r="Q221" s="669" t="n"/>
      <c r="R221" s="669" t="n"/>
      <c r="S221" s="669" t="n"/>
      <c r="T221" s="669" t="n"/>
      <c r="U221" s="669" t="n"/>
      <c r="V221" s="669" t="n"/>
      <c r="W221" s="669" t="n"/>
      <c r="X221" s="669" t="n"/>
      <c r="Y221" s="669" t="n"/>
      <c r="Z221" s="669" t="n"/>
    </row>
    <row r="222">
      <c r="A222" s="669" t="n"/>
      <c r="B222" s="669" t="n"/>
      <c r="C222" s="669" t="n"/>
      <c r="D222" s="669" t="n"/>
      <c r="E222" s="669" t="n"/>
      <c r="F222" s="669" t="n"/>
      <c r="G222" s="669" t="n"/>
      <c r="H222" s="669" t="n"/>
      <c r="I222" s="669" t="n"/>
      <c r="J222" s="669" t="n"/>
      <c r="K222" s="669" t="n"/>
      <c r="L222" s="669" t="n"/>
      <c r="M222" s="669" t="n"/>
      <c r="N222" s="669" t="n"/>
      <c r="O222" s="669" t="n"/>
      <c r="P222" s="669" t="n"/>
      <c r="Q222" s="669" t="n"/>
      <c r="R222" s="669" t="n"/>
      <c r="S222" s="669" t="n"/>
      <c r="T222" s="669" t="n"/>
      <c r="U222" s="669" t="n"/>
      <c r="V222" s="669" t="n"/>
      <c r="W222" s="669" t="n"/>
      <c r="X222" s="669" t="n"/>
      <c r="Y222" s="669" t="n"/>
      <c r="Z222" s="669" t="n"/>
    </row>
    <row r="223">
      <c r="A223" s="669" t="n"/>
      <c r="B223" s="669" t="n"/>
      <c r="C223" s="669" t="n"/>
      <c r="D223" s="669" t="n"/>
      <c r="E223" s="669" t="n"/>
      <c r="F223" s="669" t="n"/>
      <c r="G223" s="669" t="n"/>
      <c r="H223" s="669" t="n"/>
      <c r="I223" s="669" t="n"/>
      <c r="J223" s="669" t="n"/>
      <c r="K223" s="669" t="n"/>
      <c r="L223" s="669" t="n"/>
      <c r="M223" s="669" t="n"/>
      <c r="N223" s="669" t="n"/>
      <c r="O223" s="669" t="n"/>
      <c r="P223" s="669" t="n"/>
      <c r="Q223" s="669" t="n"/>
      <c r="R223" s="669" t="n"/>
      <c r="S223" s="669" t="n"/>
      <c r="T223" s="669" t="n"/>
      <c r="U223" s="669" t="n"/>
      <c r="V223" s="669" t="n"/>
      <c r="W223" s="669" t="n"/>
      <c r="X223" s="669" t="n"/>
      <c r="Y223" s="669" t="n"/>
      <c r="Z223" s="669" t="n"/>
    </row>
    <row r="224">
      <c r="A224" s="669" t="n"/>
      <c r="B224" s="669" t="n"/>
      <c r="C224" s="669" t="n"/>
      <c r="D224" s="669" t="n"/>
      <c r="E224" s="669" t="n"/>
      <c r="F224" s="669" t="n"/>
      <c r="G224" s="669" t="n"/>
      <c r="H224" s="669" t="n"/>
      <c r="I224" s="669" t="n"/>
      <c r="J224" s="669" t="n"/>
      <c r="K224" s="669" t="n"/>
      <c r="L224" s="669" t="n"/>
      <c r="M224" s="669" t="n"/>
      <c r="N224" s="669" t="n"/>
      <c r="O224" s="669" t="n"/>
      <c r="P224" s="669" t="n"/>
      <c r="Q224" s="669" t="n"/>
      <c r="R224" s="669" t="n"/>
      <c r="S224" s="669" t="n"/>
      <c r="T224" s="669" t="n"/>
      <c r="U224" s="669" t="n"/>
      <c r="V224" s="669" t="n"/>
      <c r="W224" s="669" t="n"/>
      <c r="X224" s="669" t="n"/>
      <c r="Y224" s="669" t="n"/>
      <c r="Z224" s="669" t="n"/>
    </row>
    <row r="225">
      <c r="A225" s="669" t="n"/>
      <c r="B225" s="669" t="n"/>
      <c r="C225" s="669" t="n"/>
      <c r="D225" s="669" t="n"/>
      <c r="E225" s="669" t="n"/>
      <c r="F225" s="669" t="n"/>
      <c r="G225" s="669" t="n"/>
      <c r="H225" s="669" t="n"/>
      <c r="I225" s="669" t="n"/>
      <c r="J225" s="669" t="n"/>
      <c r="K225" s="669" t="n"/>
      <c r="L225" s="669" t="n"/>
      <c r="M225" s="669" t="n"/>
      <c r="N225" s="669" t="n"/>
      <c r="O225" s="669" t="n"/>
      <c r="P225" s="669" t="n"/>
      <c r="Q225" s="669" t="n"/>
      <c r="R225" s="669" t="n"/>
      <c r="S225" s="669" t="n"/>
      <c r="T225" s="669" t="n"/>
      <c r="U225" s="669" t="n"/>
      <c r="V225" s="669" t="n"/>
      <c r="W225" s="669" t="n"/>
      <c r="X225" s="669" t="n"/>
      <c r="Y225" s="669" t="n"/>
      <c r="Z225" s="669" t="n"/>
    </row>
    <row r="226">
      <c r="A226" s="669" t="n"/>
      <c r="B226" s="669" t="n"/>
      <c r="C226" s="669" t="n"/>
      <c r="D226" s="669" t="n"/>
      <c r="E226" s="669" t="n"/>
      <c r="F226" s="669" t="n"/>
      <c r="G226" s="669" t="n"/>
      <c r="H226" s="669" t="n"/>
      <c r="I226" s="669" t="n"/>
      <c r="J226" s="669" t="n"/>
      <c r="K226" s="669" t="n"/>
      <c r="L226" s="669" t="n"/>
      <c r="M226" s="669" t="n"/>
      <c r="N226" s="669" t="n"/>
      <c r="O226" s="669" t="n"/>
      <c r="P226" s="669" t="n"/>
      <c r="Q226" s="669" t="n"/>
      <c r="R226" s="669" t="n"/>
      <c r="S226" s="669" t="n"/>
      <c r="T226" s="669" t="n"/>
      <c r="U226" s="669" t="n"/>
      <c r="V226" s="669" t="n"/>
      <c r="W226" s="669" t="n"/>
      <c r="X226" s="669" t="n"/>
      <c r="Y226" s="669" t="n"/>
      <c r="Z226" s="669" t="n"/>
    </row>
    <row r="227">
      <c r="A227" s="669" t="n"/>
      <c r="B227" s="669" t="n"/>
      <c r="C227" s="669" t="n"/>
      <c r="D227" s="669" t="n"/>
      <c r="E227" s="669" t="n"/>
      <c r="F227" s="669" t="n"/>
      <c r="G227" s="669" t="n"/>
      <c r="H227" s="669" t="n"/>
      <c r="I227" s="669" t="n"/>
      <c r="J227" s="669" t="n"/>
      <c r="K227" s="669" t="n"/>
      <c r="L227" s="669" t="n"/>
      <c r="M227" s="669" t="n"/>
      <c r="N227" s="669" t="n"/>
      <c r="O227" s="669" t="n"/>
      <c r="P227" s="669" t="n"/>
      <c r="Q227" s="669" t="n"/>
      <c r="R227" s="669" t="n"/>
      <c r="S227" s="669" t="n"/>
      <c r="T227" s="669" t="n"/>
      <c r="U227" s="669" t="n"/>
      <c r="V227" s="669" t="n"/>
      <c r="W227" s="669" t="n"/>
      <c r="X227" s="669" t="n"/>
      <c r="Y227" s="669" t="n"/>
      <c r="Z227" s="669" t="n"/>
    </row>
    <row r="228">
      <c r="A228" s="669" t="n"/>
      <c r="B228" s="669" t="n"/>
      <c r="C228" s="669" t="n"/>
      <c r="D228" s="669" t="n"/>
      <c r="E228" s="669" t="n"/>
      <c r="F228" s="669" t="n"/>
      <c r="G228" s="669" t="n"/>
      <c r="H228" s="669" t="n"/>
      <c r="I228" s="669" t="n"/>
      <c r="J228" s="669" t="n"/>
      <c r="K228" s="669" t="n"/>
      <c r="L228" s="669" t="n"/>
      <c r="M228" s="669" t="n"/>
      <c r="N228" s="669" t="n"/>
      <c r="O228" s="669" t="n"/>
      <c r="P228" s="669" t="n"/>
      <c r="Q228" s="669" t="n"/>
      <c r="R228" s="669" t="n"/>
      <c r="S228" s="669" t="n"/>
      <c r="T228" s="669" t="n"/>
      <c r="U228" s="669" t="n"/>
      <c r="V228" s="669" t="n"/>
      <c r="W228" s="669" t="n"/>
      <c r="X228" s="669" t="n"/>
      <c r="Y228" s="669" t="n"/>
      <c r="Z228" s="669" t="n"/>
    </row>
    <row r="229">
      <c r="A229" s="669" t="n"/>
      <c r="B229" s="669" t="n"/>
      <c r="C229" s="669" t="n"/>
      <c r="D229" s="669" t="n"/>
      <c r="E229" s="669" t="n"/>
      <c r="F229" s="669" t="n"/>
      <c r="G229" s="669" t="n"/>
      <c r="H229" s="669" t="n"/>
      <c r="I229" s="669" t="n"/>
      <c r="J229" s="669" t="n"/>
      <c r="K229" s="669" t="n"/>
      <c r="L229" s="669" t="n"/>
      <c r="M229" s="669" t="n"/>
      <c r="N229" s="669" t="n"/>
      <c r="O229" s="669" t="n"/>
      <c r="P229" s="669" t="n"/>
      <c r="Q229" s="669" t="n"/>
      <c r="R229" s="669" t="n"/>
      <c r="S229" s="669" t="n"/>
      <c r="T229" s="669" t="n"/>
      <c r="U229" s="669" t="n"/>
      <c r="V229" s="669" t="n"/>
      <c r="W229" s="669" t="n"/>
      <c r="X229" s="669" t="n"/>
      <c r="Y229" s="669" t="n"/>
      <c r="Z229" s="669" t="n"/>
    </row>
    <row r="230">
      <c r="A230" s="669" t="n"/>
      <c r="B230" s="669" t="n"/>
      <c r="C230" s="669" t="n"/>
      <c r="D230" s="669" t="n"/>
      <c r="E230" s="669" t="n"/>
      <c r="F230" s="669" t="n"/>
      <c r="G230" s="669" t="n"/>
      <c r="H230" s="669" t="n"/>
      <c r="I230" s="669" t="n"/>
      <c r="J230" s="669" t="n"/>
      <c r="K230" s="669" t="n"/>
      <c r="L230" s="669" t="n"/>
      <c r="M230" s="669" t="n"/>
      <c r="N230" s="669" t="n"/>
      <c r="O230" s="669" t="n"/>
      <c r="P230" s="669" t="n"/>
      <c r="Q230" s="669" t="n"/>
      <c r="R230" s="669" t="n"/>
      <c r="S230" s="669" t="n"/>
      <c r="T230" s="669" t="n"/>
      <c r="U230" s="669" t="n"/>
      <c r="V230" s="669" t="n"/>
      <c r="W230" s="669" t="n"/>
      <c r="X230" s="669" t="n"/>
      <c r="Y230" s="669" t="n"/>
      <c r="Z230" s="669" t="n"/>
    </row>
    <row r="231">
      <c r="A231" s="669" t="n"/>
      <c r="B231" s="669" t="n"/>
      <c r="C231" s="669" t="n"/>
      <c r="D231" s="669" t="n"/>
      <c r="E231" s="669" t="n"/>
      <c r="F231" s="669" t="n"/>
      <c r="G231" s="669" t="n"/>
      <c r="H231" s="669" t="n"/>
      <c r="I231" s="669" t="n"/>
      <c r="J231" s="669" t="n"/>
      <c r="K231" s="669" t="n"/>
      <c r="L231" s="669" t="n"/>
      <c r="M231" s="669" t="n"/>
      <c r="N231" s="669" t="n"/>
      <c r="O231" s="669" t="n"/>
      <c r="P231" s="669" t="n"/>
      <c r="Q231" s="669" t="n"/>
      <c r="R231" s="669" t="n"/>
      <c r="S231" s="669" t="n"/>
      <c r="T231" s="669" t="n"/>
      <c r="U231" s="669" t="n"/>
      <c r="V231" s="669" t="n"/>
      <c r="W231" s="669" t="n"/>
      <c r="X231" s="669" t="n"/>
      <c r="Y231" s="669" t="n"/>
      <c r="Z231" s="669" t="n"/>
    </row>
    <row r="232">
      <c r="A232" s="669" t="n"/>
      <c r="B232" s="669" t="n"/>
      <c r="C232" s="669" t="n"/>
      <c r="D232" s="669" t="n"/>
      <c r="E232" s="669" t="n"/>
      <c r="F232" s="669" t="n"/>
      <c r="G232" s="669" t="n"/>
      <c r="H232" s="669" t="n"/>
      <c r="I232" s="669" t="n"/>
      <c r="J232" s="669" t="n"/>
      <c r="K232" s="669" t="n"/>
      <c r="L232" s="669" t="n"/>
      <c r="M232" s="669" t="n"/>
      <c r="N232" s="669" t="n"/>
      <c r="O232" s="669" t="n"/>
      <c r="P232" s="669" t="n"/>
      <c r="Q232" s="669" t="n"/>
      <c r="R232" s="669" t="n"/>
      <c r="S232" s="669" t="n"/>
      <c r="T232" s="669" t="n"/>
      <c r="U232" s="669" t="n"/>
      <c r="V232" s="669" t="n"/>
      <c r="W232" s="669" t="n"/>
      <c r="X232" s="669" t="n"/>
      <c r="Y232" s="669" t="n"/>
      <c r="Z232" s="669" t="n"/>
    </row>
    <row r="233">
      <c r="A233" s="669" t="n"/>
      <c r="B233" s="669" t="n"/>
      <c r="C233" s="669" t="n"/>
      <c r="D233" s="669" t="n"/>
      <c r="E233" s="669" t="n"/>
      <c r="F233" s="669" t="n"/>
      <c r="G233" s="669" t="n"/>
      <c r="H233" s="669" t="n"/>
      <c r="I233" s="669" t="n"/>
      <c r="J233" s="669" t="n"/>
      <c r="K233" s="669" t="n"/>
      <c r="L233" s="669" t="n"/>
      <c r="M233" s="669" t="n"/>
      <c r="N233" s="669" t="n"/>
      <c r="O233" s="669" t="n"/>
      <c r="P233" s="669" t="n"/>
      <c r="Q233" s="669" t="n"/>
      <c r="R233" s="669" t="n"/>
      <c r="S233" s="669" t="n"/>
      <c r="T233" s="669" t="n"/>
      <c r="U233" s="669" t="n"/>
      <c r="V233" s="669" t="n"/>
      <c r="W233" s="669" t="n"/>
      <c r="X233" s="669" t="n"/>
      <c r="Y233" s="669" t="n"/>
      <c r="Z233" s="669" t="n"/>
    </row>
    <row r="234">
      <c r="A234" s="669" t="n"/>
      <c r="B234" s="669" t="n"/>
      <c r="C234" s="669" t="n"/>
      <c r="D234" s="669" t="n"/>
      <c r="E234" s="669" t="n"/>
      <c r="F234" s="669" t="n"/>
      <c r="G234" s="669" t="n"/>
      <c r="H234" s="669" t="n"/>
      <c r="I234" s="669" t="n"/>
      <c r="J234" s="669" t="n"/>
      <c r="K234" s="669" t="n"/>
      <c r="L234" s="669" t="n"/>
      <c r="M234" s="669" t="n"/>
      <c r="N234" s="669" t="n"/>
      <c r="O234" s="669" t="n"/>
      <c r="P234" s="669" t="n"/>
      <c r="Q234" s="669" t="n"/>
      <c r="R234" s="669" t="n"/>
      <c r="S234" s="669" t="n"/>
      <c r="T234" s="669" t="n"/>
      <c r="U234" s="669" t="n"/>
      <c r="V234" s="669" t="n"/>
      <c r="W234" s="669" t="n"/>
      <c r="X234" s="669" t="n"/>
      <c r="Y234" s="669" t="n"/>
      <c r="Z234" s="669" t="n"/>
    </row>
    <row r="235">
      <c r="A235" s="669" t="n"/>
      <c r="B235" s="669" t="n"/>
      <c r="C235" s="669" t="n"/>
      <c r="D235" s="669" t="n"/>
      <c r="E235" s="669" t="n"/>
      <c r="F235" s="669" t="n"/>
      <c r="G235" s="669" t="n"/>
      <c r="H235" s="669" t="n"/>
      <c r="I235" s="669" t="n"/>
      <c r="J235" s="669" t="n"/>
      <c r="K235" s="669" t="n"/>
      <c r="L235" s="669" t="n"/>
      <c r="M235" s="669" t="n"/>
      <c r="N235" s="669" t="n"/>
      <c r="O235" s="669" t="n"/>
      <c r="P235" s="669" t="n"/>
      <c r="Q235" s="669" t="n"/>
      <c r="R235" s="669" t="n"/>
      <c r="S235" s="669" t="n"/>
      <c r="T235" s="669" t="n"/>
      <c r="U235" s="669" t="n"/>
      <c r="V235" s="669" t="n"/>
      <c r="W235" s="669" t="n"/>
      <c r="X235" s="669" t="n"/>
      <c r="Y235" s="669" t="n"/>
      <c r="Z235" s="669" t="n"/>
    </row>
    <row r="236">
      <c r="A236" s="669" t="n"/>
      <c r="B236" s="669" t="n"/>
      <c r="C236" s="669" t="n"/>
      <c r="D236" s="669" t="n"/>
      <c r="E236" s="669" t="n"/>
      <c r="F236" s="669" t="n"/>
      <c r="G236" s="669" t="n"/>
      <c r="H236" s="669" t="n"/>
      <c r="I236" s="669" t="n"/>
      <c r="J236" s="669" t="n"/>
      <c r="K236" s="669" t="n"/>
      <c r="L236" s="669" t="n"/>
      <c r="M236" s="669" t="n"/>
      <c r="N236" s="669" t="n"/>
      <c r="O236" s="669" t="n"/>
      <c r="P236" s="669" t="n"/>
      <c r="Q236" s="669" t="n"/>
      <c r="R236" s="669" t="n"/>
      <c r="S236" s="669" t="n"/>
      <c r="T236" s="669" t="n"/>
      <c r="U236" s="669" t="n"/>
      <c r="V236" s="669" t="n"/>
      <c r="W236" s="669" t="n"/>
      <c r="X236" s="669" t="n"/>
      <c r="Y236" s="669" t="n"/>
      <c r="Z236" s="669" t="n"/>
    </row>
    <row r="237">
      <c r="A237" s="669" t="n"/>
      <c r="B237" s="669" t="n"/>
      <c r="C237" s="669" t="n"/>
      <c r="D237" s="669" t="n"/>
      <c r="E237" s="669" t="n"/>
      <c r="F237" s="669" t="n"/>
      <c r="G237" s="669" t="n"/>
      <c r="H237" s="669" t="n"/>
      <c r="I237" s="669" t="n"/>
      <c r="J237" s="669" t="n"/>
      <c r="K237" s="669" t="n"/>
      <c r="L237" s="669" t="n"/>
      <c r="M237" s="669" t="n"/>
      <c r="N237" s="669" t="n"/>
      <c r="O237" s="669" t="n"/>
      <c r="P237" s="669" t="n"/>
      <c r="Q237" s="669" t="n"/>
      <c r="R237" s="669" t="n"/>
      <c r="S237" s="669" t="n"/>
      <c r="T237" s="669" t="n"/>
      <c r="U237" s="669" t="n"/>
      <c r="V237" s="669" t="n"/>
      <c r="W237" s="669" t="n"/>
      <c r="X237" s="669" t="n"/>
      <c r="Y237" s="669" t="n"/>
      <c r="Z237" s="669" t="n"/>
    </row>
    <row r="238">
      <c r="A238" s="669" t="n"/>
      <c r="B238" s="669" t="n"/>
      <c r="C238" s="669" t="n"/>
      <c r="D238" s="669" t="n"/>
      <c r="E238" s="669" t="n"/>
      <c r="F238" s="669" t="n"/>
      <c r="G238" s="669" t="n"/>
      <c r="H238" s="669" t="n"/>
      <c r="I238" s="669" t="n"/>
      <c r="J238" s="669" t="n"/>
      <c r="K238" s="669" t="n"/>
      <c r="L238" s="669" t="n"/>
      <c r="M238" s="669" t="n"/>
      <c r="N238" s="669" t="n"/>
      <c r="O238" s="669" t="n"/>
      <c r="P238" s="669" t="n"/>
      <c r="Q238" s="669" t="n"/>
      <c r="R238" s="669" t="n"/>
      <c r="S238" s="669" t="n"/>
      <c r="T238" s="669" t="n"/>
      <c r="U238" s="669" t="n"/>
      <c r="V238" s="669" t="n"/>
      <c r="W238" s="669" t="n"/>
      <c r="X238" s="669" t="n"/>
      <c r="Y238" s="669" t="n"/>
      <c r="Z238" s="669" t="n"/>
    </row>
    <row r="239">
      <c r="A239" s="669" t="n"/>
      <c r="B239" s="669" t="n"/>
      <c r="C239" s="669" t="n"/>
      <c r="D239" s="669" t="n"/>
      <c r="E239" s="669" t="n"/>
      <c r="F239" s="669" t="n"/>
      <c r="G239" s="669" t="n"/>
      <c r="H239" s="669" t="n"/>
      <c r="I239" s="669" t="n"/>
      <c r="J239" s="669" t="n"/>
      <c r="K239" s="669" t="n"/>
      <c r="L239" s="669" t="n"/>
      <c r="M239" s="669" t="n"/>
      <c r="N239" s="669" t="n"/>
      <c r="O239" s="669" t="n"/>
      <c r="P239" s="669" t="n"/>
      <c r="Q239" s="669" t="n"/>
      <c r="R239" s="669" t="n"/>
      <c r="S239" s="669" t="n"/>
      <c r="T239" s="669" t="n"/>
      <c r="U239" s="669" t="n"/>
      <c r="V239" s="669" t="n"/>
      <c r="W239" s="669" t="n"/>
      <c r="X239" s="669" t="n"/>
      <c r="Y239" s="669" t="n"/>
      <c r="Z239" s="669" t="n"/>
    </row>
    <row r="240">
      <c r="A240" s="669" t="n"/>
      <c r="B240" s="669" t="n"/>
      <c r="C240" s="669" t="n"/>
      <c r="D240" s="669" t="n"/>
      <c r="E240" s="669" t="n"/>
      <c r="F240" s="669" t="n"/>
      <c r="G240" s="669" t="n"/>
      <c r="H240" s="669" t="n"/>
      <c r="I240" s="669" t="n"/>
      <c r="J240" s="669" t="n"/>
      <c r="K240" s="669" t="n"/>
      <c r="L240" s="669" t="n"/>
      <c r="M240" s="669" t="n"/>
      <c r="N240" s="669" t="n"/>
      <c r="O240" s="669" t="n"/>
      <c r="P240" s="669" t="n"/>
      <c r="Q240" s="669" t="n"/>
      <c r="R240" s="669" t="n"/>
      <c r="S240" s="669" t="n"/>
      <c r="T240" s="669" t="n"/>
      <c r="U240" s="669" t="n"/>
      <c r="V240" s="669" t="n"/>
      <c r="W240" s="669" t="n"/>
      <c r="X240" s="669" t="n"/>
      <c r="Y240" s="669" t="n"/>
      <c r="Z240" s="669" t="n"/>
    </row>
    <row r="241">
      <c r="A241" s="669" t="n"/>
      <c r="B241" s="669" t="n"/>
      <c r="C241" s="669" t="n"/>
      <c r="D241" s="669" t="n"/>
      <c r="E241" s="669" t="n"/>
      <c r="F241" s="669" t="n"/>
      <c r="G241" s="669" t="n"/>
      <c r="H241" s="669" t="n"/>
      <c r="I241" s="669" t="n"/>
      <c r="J241" s="669" t="n"/>
      <c r="K241" s="669" t="n"/>
      <c r="L241" s="669" t="n"/>
      <c r="M241" s="669" t="n"/>
      <c r="N241" s="669" t="n"/>
      <c r="O241" s="669" t="n"/>
      <c r="P241" s="669" t="n"/>
      <c r="Q241" s="669" t="n"/>
      <c r="R241" s="669" t="n"/>
      <c r="S241" s="669" t="n"/>
      <c r="T241" s="669" t="n"/>
      <c r="U241" s="669" t="n"/>
      <c r="V241" s="669" t="n"/>
      <c r="W241" s="669" t="n"/>
      <c r="X241" s="669" t="n"/>
      <c r="Y241" s="669" t="n"/>
      <c r="Z241" s="669" t="n"/>
    </row>
    <row r="242">
      <c r="A242" s="669" t="n"/>
      <c r="B242" s="669" t="n"/>
      <c r="C242" s="669" t="n"/>
      <c r="D242" s="669" t="n"/>
      <c r="E242" s="669" t="n"/>
      <c r="F242" s="669" t="n"/>
      <c r="G242" s="669" t="n"/>
      <c r="H242" s="669" t="n"/>
      <c r="I242" s="669" t="n"/>
      <c r="J242" s="669" t="n"/>
      <c r="K242" s="669" t="n"/>
      <c r="L242" s="669" t="n"/>
      <c r="M242" s="669" t="n"/>
      <c r="N242" s="669" t="n"/>
      <c r="O242" s="669" t="n"/>
      <c r="P242" s="669" t="n"/>
      <c r="Q242" s="669" t="n"/>
      <c r="R242" s="669" t="n"/>
      <c r="S242" s="669" t="n"/>
      <c r="T242" s="669" t="n"/>
      <c r="U242" s="669" t="n"/>
      <c r="V242" s="669" t="n"/>
      <c r="W242" s="669" t="n"/>
      <c r="X242" s="669" t="n"/>
      <c r="Y242" s="669" t="n"/>
      <c r="Z242" s="669" t="n"/>
    </row>
    <row r="243">
      <c r="A243" s="669" t="n"/>
      <c r="B243" s="669" t="n"/>
      <c r="C243" s="669" t="n"/>
      <c r="D243" s="669" t="n"/>
      <c r="E243" s="669" t="n"/>
      <c r="F243" s="669" t="n"/>
      <c r="G243" s="669" t="n"/>
      <c r="H243" s="669" t="n"/>
      <c r="I243" s="669" t="n"/>
      <c r="J243" s="669" t="n"/>
      <c r="K243" s="669" t="n"/>
      <c r="L243" s="669" t="n"/>
      <c r="M243" s="669" t="n"/>
      <c r="N243" s="669" t="n"/>
      <c r="O243" s="669" t="n"/>
      <c r="P243" s="669" t="n"/>
      <c r="Q243" s="669" t="n"/>
      <c r="R243" s="669" t="n"/>
      <c r="S243" s="669" t="n"/>
      <c r="T243" s="669" t="n"/>
      <c r="U243" s="669" t="n"/>
      <c r="V243" s="669" t="n"/>
      <c r="W243" s="669" t="n"/>
      <c r="X243" s="669" t="n"/>
      <c r="Y243" s="669" t="n"/>
      <c r="Z243" s="669" t="n"/>
    </row>
    <row r="244">
      <c r="A244" s="669" t="n"/>
      <c r="B244" s="669" t="n"/>
      <c r="C244" s="669" t="n"/>
      <c r="D244" s="669" t="n"/>
      <c r="E244" s="669" t="n"/>
      <c r="F244" s="669" t="n"/>
      <c r="G244" s="669" t="n"/>
      <c r="H244" s="669" t="n"/>
      <c r="I244" s="669" t="n"/>
      <c r="J244" s="669" t="n"/>
      <c r="K244" s="669" t="n"/>
      <c r="L244" s="669" t="n"/>
      <c r="M244" s="669" t="n"/>
      <c r="N244" s="669" t="n"/>
      <c r="O244" s="669" t="n"/>
      <c r="P244" s="669" t="n"/>
      <c r="Q244" s="669" t="n"/>
      <c r="R244" s="669" t="n"/>
      <c r="S244" s="669" t="n"/>
      <c r="T244" s="669" t="n"/>
      <c r="U244" s="669" t="n"/>
      <c r="V244" s="669" t="n"/>
      <c r="W244" s="669" t="n"/>
      <c r="X244" s="669" t="n"/>
      <c r="Y244" s="669" t="n"/>
      <c r="Z244" s="669" t="n"/>
    </row>
    <row r="245">
      <c r="A245" s="669" t="n"/>
      <c r="B245" s="669" t="n"/>
      <c r="C245" s="669" t="n"/>
      <c r="D245" s="669" t="n"/>
      <c r="E245" s="669" t="n"/>
      <c r="F245" s="669" t="n"/>
      <c r="G245" s="669" t="n"/>
      <c r="H245" s="669" t="n"/>
      <c r="I245" s="669" t="n"/>
      <c r="J245" s="669" t="n"/>
      <c r="K245" s="669" t="n"/>
      <c r="L245" s="669" t="n"/>
      <c r="M245" s="669" t="n"/>
      <c r="N245" s="669" t="n"/>
      <c r="O245" s="669" t="n"/>
      <c r="P245" s="669" t="n"/>
      <c r="Q245" s="669" t="n"/>
      <c r="R245" s="669" t="n"/>
      <c r="S245" s="669" t="n"/>
      <c r="T245" s="669" t="n"/>
      <c r="U245" s="669" t="n"/>
      <c r="V245" s="669" t="n"/>
      <c r="W245" s="669" t="n"/>
      <c r="X245" s="669" t="n"/>
      <c r="Y245" s="669" t="n"/>
      <c r="Z245" s="669" t="n"/>
    </row>
    <row r="246">
      <c r="A246" s="669" t="n"/>
      <c r="B246" s="669" t="n"/>
      <c r="C246" s="669" t="n"/>
      <c r="D246" s="669" t="n"/>
      <c r="E246" s="669" t="n"/>
      <c r="F246" s="669" t="n"/>
      <c r="G246" s="669" t="n"/>
      <c r="H246" s="669" t="n"/>
      <c r="I246" s="669" t="n"/>
      <c r="J246" s="669" t="n"/>
      <c r="K246" s="669" t="n"/>
      <c r="L246" s="669" t="n"/>
      <c r="M246" s="669" t="n"/>
      <c r="N246" s="669" t="n"/>
      <c r="O246" s="669" t="n"/>
      <c r="P246" s="669" t="n"/>
      <c r="Q246" s="669" t="n"/>
      <c r="R246" s="669" t="n"/>
      <c r="S246" s="669" t="n"/>
      <c r="T246" s="669" t="n"/>
      <c r="U246" s="669" t="n"/>
      <c r="V246" s="669" t="n"/>
      <c r="W246" s="669" t="n"/>
      <c r="X246" s="669" t="n"/>
      <c r="Y246" s="669" t="n"/>
      <c r="Z246" s="669" t="n"/>
    </row>
    <row r="247">
      <c r="A247" s="669" t="n"/>
      <c r="B247" s="669" t="n"/>
      <c r="C247" s="669" t="n"/>
      <c r="D247" s="669" t="n"/>
      <c r="E247" s="669" t="n"/>
      <c r="F247" s="669" t="n"/>
      <c r="G247" s="669" t="n"/>
      <c r="H247" s="669" t="n"/>
      <c r="I247" s="669" t="n"/>
      <c r="J247" s="669" t="n"/>
      <c r="K247" s="669" t="n"/>
      <c r="L247" s="669" t="n"/>
      <c r="M247" s="669" t="n"/>
      <c r="N247" s="669" t="n"/>
      <c r="O247" s="669" t="n"/>
      <c r="P247" s="669" t="n"/>
      <c r="Q247" s="669" t="n"/>
      <c r="R247" s="669" t="n"/>
      <c r="S247" s="669" t="n"/>
      <c r="T247" s="669" t="n"/>
      <c r="U247" s="669" t="n"/>
      <c r="V247" s="669" t="n"/>
      <c r="W247" s="669" t="n"/>
      <c r="X247" s="669" t="n"/>
      <c r="Y247" s="669" t="n"/>
      <c r="Z247" s="669" t="n"/>
    </row>
    <row r="248">
      <c r="A248" s="669" t="n"/>
      <c r="B248" s="669" t="n"/>
      <c r="C248" s="669" t="n"/>
      <c r="D248" s="669" t="n"/>
      <c r="E248" s="669" t="n"/>
      <c r="F248" s="669" t="n"/>
      <c r="G248" s="669" t="n"/>
      <c r="H248" s="669" t="n"/>
      <c r="I248" s="669" t="n"/>
      <c r="J248" s="669" t="n"/>
      <c r="K248" s="669" t="n"/>
      <c r="L248" s="669" t="n"/>
      <c r="M248" s="669" t="n"/>
      <c r="N248" s="669" t="n"/>
      <c r="O248" s="669" t="n"/>
      <c r="P248" s="669" t="n"/>
      <c r="Q248" s="669" t="n"/>
      <c r="R248" s="669" t="n"/>
      <c r="S248" s="669" t="n"/>
      <c r="T248" s="669" t="n"/>
      <c r="U248" s="669" t="n"/>
      <c r="V248" s="669" t="n"/>
      <c r="W248" s="669" t="n"/>
      <c r="X248" s="669" t="n"/>
      <c r="Y248" s="669" t="n"/>
      <c r="Z248" s="669" t="n"/>
    </row>
    <row r="249">
      <c r="A249" s="669" t="n"/>
      <c r="B249" s="669" t="n"/>
      <c r="C249" s="669" t="n"/>
      <c r="D249" s="669" t="n"/>
      <c r="E249" s="669" t="n"/>
      <c r="F249" s="669" t="n"/>
      <c r="G249" s="669" t="n"/>
      <c r="H249" s="669" t="n"/>
      <c r="I249" s="669" t="n"/>
      <c r="J249" s="669" t="n"/>
      <c r="K249" s="669" t="n"/>
      <c r="L249" s="669" t="n"/>
      <c r="M249" s="669" t="n"/>
      <c r="N249" s="669" t="n"/>
      <c r="O249" s="669" t="n"/>
      <c r="P249" s="669" t="n"/>
      <c r="Q249" s="669" t="n"/>
      <c r="R249" s="669" t="n"/>
      <c r="S249" s="669" t="n"/>
      <c r="T249" s="669" t="n"/>
      <c r="U249" s="669" t="n"/>
      <c r="V249" s="669" t="n"/>
      <c r="W249" s="669" t="n"/>
      <c r="X249" s="669" t="n"/>
      <c r="Y249" s="669" t="n"/>
      <c r="Z249" s="669" t="n"/>
    </row>
    <row r="250">
      <c r="A250" s="669" t="n"/>
      <c r="B250" s="669" t="n"/>
      <c r="C250" s="669" t="n"/>
      <c r="D250" s="669" t="n"/>
      <c r="E250" s="669" t="n"/>
      <c r="F250" s="669" t="n"/>
      <c r="G250" s="669" t="n"/>
      <c r="H250" s="669" t="n"/>
      <c r="I250" s="669" t="n"/>
      <c r="J250" s="669" t="n"/>
      <c r="K250" s="669" t="n"/>
      <c r="L250" s="669" t="n"/>
      <c r="M250" s="669" t="n"/>
      <c r="N250" s="669" t="n"/>
      <c r="O250" s="669" t="n"/>
      <c r="P250" s="669" t="n"/>
      <c r="Q250" s="669" t="n"/>
      <c r="R250" s="669" t="n"/>
      <c r="S250" s="669" t="n"/>
      <c r="T250" s="669" t="n"/>
      <c r="U250" s="669" t="n"/>
      <c r="V250" s="669" t="n"/>
      <c r="W250" s="669" t="n"/>
      <c r="X250" s="669" t="n"/>
      <c r="Y250" s="669" t="n"/>
      <c r="Z250" s="669" t="n"/>
    </row>
    <row r="251">
      <c r="A251" s="669" t="n"/>
      <c r="B251" s="669" t="n"/>
      <c r="C251" s="669" t="n"/>
      <c r="D251" s="669" t="n"/>
      <c r="E251" s="669" t="n"/>
      <c r="F251" s="669" t="n"/>
      <c r="G251" s="669" t="n"/>
      <c r="H251" s="669" t="n"/>
      <c r="I251" s="669" t="n"/>
      <c r="J251" s="669" t="n"/>
      <c r="K251" s="669" t="n"/>
      <c r="L251" s="669" t="n"/>
      <c r="M251" s="669" t="n"/>
      <c r="N251" s="669" t="n"/>
      <c r="O251" s="669" t="n"/>
      <c r="P251" s="669" t="n"/>
      <c r="Q251" s="669" t="n"/>
      <c r="R251" s="669" t="n"/>
      <c r="S251" s="669" t="n"/>
      <c r="T251" s="669" t="n"/>
      <c r="U251" s="669" t="n"/>
      <c r="V251" s="669" t="n"/>
      <c r="W251" s="669" t="n"/>
      <c r="X251" s="669" t="n"/>
      <c r="Y251" s="669" t="n"/>
      <c r="Z251" s="669" t="n"/>
    </row>
    <row r="252">
      <c r="A252" s="669" t="n"/>
      <c r="B252" s="669" t="n"/>
      <c r="C252" s="669" t="n"/>
      <c r="D252" s="669" t="n"/>
      <c r="E252" s="669" t="n"/>
      <c r="F252" s="669" t="n"/>
      <c r="G252" s="669" t="n"/>
      <c r="H252" s="669" t="n"/>
      <c r="I252" s="669" t="n"/>
      <c r="J252" s="669" t="n"/>
      <c r="K252" s="669" t="n"/>
      <c r="L252" s="669" t="n"/>
      <c r="M252" s="669" t="n"/>
      <c r="N252" s="669" t="n"/>
      <c r="O252" s="669" t="n"/>
      <c r="P252" s="669" t="n"/>
      <c r="Q252" s="669" t="n"/>
      <c r="R252" s="669" t="n"/>
      <c r="S252" s="669" t="n"/>
      <c r="T252" s="669" t="n"/>
      <c r="U252" s="669" t="n"/>
      <c r="V252" s="669" t="n"/>
      <c r="W252" s="669" t="n"/>
      <c r="X252" s="669" t="n"/>
      <c r="Y252" s="669" t="n"/>
      <c r="Z252" s="669" t="n"/>
    </row>
    <row r="253">
      <c r="A253" s="669" t="n"/>
      <c r="B253" s="669" t="n"/>
      <c r="C253" s="669" t="n"/>
      <c r="D253" s="669" t="n"/>
      <c r="E253" s="669" t="n"/>
      <c r="F253" s="669" t="n"/>
      <c r="G253" s="669" t="n"/>
      <c r="H253" s="669" t="n"/>
      <c r="I253" s="669" t="n"/>
      <c r="J253" s="669" t="n"/>
      <c r="K253" s="669" t="n"/>
      <c r="L253" s="669" t="n"/>
      <c r="M253" s="669" t="n"/>
      <c r="N253" s="669" t="n"/>
      <c r="O253" s="669" t="n"/>
      <c r="P253" s="669" t="n"/>
      <c r="Q253" s="669" t="n"/>
      <c r="R253" s="669" t="n"/>
      <c r="S253" s="669" t="n"/>
      <c r="T253" s="669" t="n"/>
      <c r="U253" s="669" t="n"/>
      <c r="V253" s="669" t="n"/>
      <c r="W253" s="669" t="n"/>
      <c r="X253" s="669" t="n"/>
      <c r="Y253" s="669" t="n"/>
      <c r="Z253" s="669" t="n"/>
    </row>
    <row r="254">
      <c r="A254" s="669" t="n"/>
      <c r="B254" s="669" t="n"/>
      <c r="C254" s="669" t="n"/>
      <c r="D254" s="669" t="n"/>
      <c r="E254" s="669" t="n"/>
      <c r="F254" s="669" t="n"/>
      <c r="G254" s="669" t="n"/>
      <c r="H254" s="669" t="n"/>
      <c r="I254" s="669" t="n"/>
      <c r="J254" s="669" t="n"/>
      <c r="K254" s="669" t="n"/>
      <c r="L254" s="669" t="n"/>
      <c r="M254" s="669" t="n"/>
      <c r="N254" s="669" t="n"/>
      <c r="O254" s="669" t="n"/>
      <c r="P254" s="669" t="n"/>
      <c r="Q254" s="669" t="n"/>
      <c r="R254" s="669" t="n"/>
      <c r="S254" s="669" t="n"/>
      <c r="T254" s="669" t="n"/>
      <c r="U254" s="669" t="n"/>
      <c r="V254" s="669" t="n"/>
      <c r="W254" s="669" t="n"/>
      <c r="X254" s="669" t="n"/>
      <c r="Y254" s="669" t="n"/>
      <c r="Z254" s="669" t="n"/>
    </row>
    <row r="255">
      <c r="A255" s="669" t="n"/>
      <c r="B255" s="669" t="n"/>
      <c r="C255" s="669" t="n"/>
      <c r="D255" s="669" t="n"/>
      <c r="E255" s="669" t="n"/>
      <c r="F255" s="669" t="n"/>
      <c r="G255" s="669" t="n"/>
      <c r="H255" s="669" t="n"/>
      <c r="I255" s="669" t="n"/>
      <c r="J255" s="669" t="n"/>
      <c r="K255" s="669" t="n"/>
      <c r="L255" s="669" t="n"/>
      <c r="M255" s="669" t="n"/>
      <c r="N255" s="669" t="n"/>
      <c r="O255" s="669" t="n"/>
      <c r="P255" s="669" t="n"/>
      <c r="Q255" s="669" t="n"/>
      <c r="R255" s="669" t="n"/>
      <c r="S255" s="669" t="n"/>
      <c r="T255" s="669" t="n"/>
      <c r="U255" s="669" t="n"/>
      <c r="V255" s="669" t="n"/>
      <c r="W255" s="669" t="n"/>
      <c r="X255" s="669" t="n"/>
      <c r="Y255" s="669" t="n"/>
      <c r="Z255" s="669" t="n"/>
    </row>
    <row r="256">
      <c r="A256" s="669" t="n"/>
      <c r="B256" s="669" t="n"/>
      <c r="C256" s="669" t="n"/>
      <c r="D256" s="669" t="n"/>
      <c r="E256" s="669" t="n"/>
      <c r="F256" s="669" t="n"/>
      <c r="G256" s="669" t="n"/>
      <c r="H256" s="669" t="n"/>
      <c r="I256" s="669" t="n"/>
      <c r="J256" s="669" t="n"/>
      <c r="K256" s="669" t="n"/>
      <c r="L256" s="669" t="n"/>
      <c r="M256" s="669" t="n"/>
      <c r="N256" s="669" t="n"/>
      <c r="O256" s="669" t="n"/>
      <c r="P256" s="669" t="n"/>
      <c r="Q256" s="669" t="n"/>
      <c r="R256" s="669" t="n"/>
      <c r="S256" s="669" t="n"/>
      <c r="T256" s="669" t="n"/>
      <c r="U256" s="669" t="n"/>
      <c r="V256" s="669" t="n"/>
      <c r="W256" s="669" t="n"/>
      <c r="X256" s="669" t="n"/>
      <c r="Y256" s="669" t="n"/>
      <c r="Z256" s="669" t="n"/>
    </row>
    <row r="257">
      <c r="A257" s="669" t="n"/>
      <c r="B257" s="669" t="n"/>
      <c r="C257" s="669" t="n"/>
      <c r="D257" s="669" t="n"/>
      <c r="E257" s="669" t="n"/>
      <c r="F257" s="669" t="n"/>
      <c r="G257" s="669" t="n"/>
      <c r="H257" s="669" t="n"/>
      <c r="I257" s="669" t="n"/>
      <c r="J257" s="669" t="n"/>
      <c r="K257" s="669" t="n"/>
      <c r="L257" s="669" t="n"/>
      <c r="M257" s="669" t="n"/>
      <c r="N257" s="669" t="n"/>
      <c r="O257" s="669" t="n"/>
      <c r="P257" s="669" t="n"/>
      <c r="Q257" s="669" t="n"/>
      <c r="R257" s="669" t="n"/>
      <c r="S257" s="669" t="n"/>
      <c r="T257" s="669" t="n"/>
      <c r="U257" s="669" t="n"/>
      <c r="V257" s="669" t="n"/>
      <c r="W257" s="669" t="n"/>
      <c r="X257" s="669" t="n"/>
      <c r="Y257" s="669" t="n"/>
      <c r="Z257" s="669" t="n"/>
    </row>
    <row r="258">
      <c r="A258" s="669" t="n"/>
      <c r="B258" s="669" t="n"/>
      <c r="C258" s="669" t="n"/>
      <c r="D258" s="669" t="n"/>
      <c r="E258" s="669" t="n"/>
      <c r="F258" s="669" t="n"/>
      <c r="G258" s="669" t="n"/>
      <c r="H258" s="669" t="n"/>
      <c r="I258" s="669" t="n"/>
      <c r="J258" s="669" t="n"/>
      <c r="K258" s="669" t="n"/>
      <c r="L258" s="669" t="n"/>
      <c r="M258" s="669" t="n"/>
      <c r="N258" s="669" t="n"/>
      <c r="O258" s="669" t="n"/>
      <c r="P258" s="669" t="n"/>
      <c r="Q258" s="669" t="n"/>
      <c r="R258" s="669" t="n"/>
      <c r="S258" s="669" t="n"/>
      <c r="T258" s="669" t="n"/>
      <c r="U258" s="669" t="n"/>
      <c r="V258" s="669" t="n"/>
      <c r="W258" s="669" t="n"/>
      <c r="X258" s="669" t="n"/>
      <c r="Y258" s="669" t="n"/>
      <c r="Z258" s="669" t="n"/>
    </row>
    <row r="259">
      <c r="A259" s="669" t="n"/>
      <c r="B259" s="669" t="n"/>
      <c r="C259" s="669" t="n"/>
      <c r="D259" s="669" t="n"/>
      <c r="E259" s="669" t="n"/>
      <c r="F259" s="669" t="n"/>
      <c r="G259" s="669" t="n"/>
      <c r="H259" s="669" t="n"/>
      <c r="I259" s="669" t="n"/>
      <c r="J259" s="669" t="n"/>
      <c r="K259" s="669" t="n"/>
      <c r="L259" s="669" t="n"/>
      <c r="M259" s="669" t="n"/>
      <c r="N259" s="669" t="n"/>
      <c r="O259" s="669" t="n"/>
      <c r="P259" s="669" t="n"/>
      <c r="Q259" s="669" t="n"/>
      <c r="R259" s="669" t="n"/>
      <c r="S259" s="669" t="n"/>
      <c r="T259" s="669" t="n"/>
      <c r="U259" s="669" t="n"/>
      <c r="V259" s="669" t="n"/>
      <c r="W259" s="669" t="n"/>
      <c r="X259" s="669" t="n"/>
      <c r="Y259" s="669" t="n"/>
      <c r="Z259" s="669" t="n"/>
    </row>
    <row r="260">
      <c r="A260" s="669" t="n"/>
      <c r="B260" s="669" t="n"/>
      <c r="C260" s="669" t="n"/>
      <c r="D260" s="669" t="n"/>
      <c r="E260" s="669" t="n"/>
      <c r="F260" s="669" t="n"/>
      <c r="G260" s="669" t="n"/>
      <c r="H260" s="669" t="n"/>
      <c r="I260" s="669" t="n"/>
      <c r="J260" s="669" t="n"/>
      <c r="K260" s="669" t="n"/>
      <c r="L260" s="669" t="n"/>
      <c r="M260" s="669" t="n"/>
      <c r="N260" s="669" t="n"/>
      <c r="O260" s="669" t="n"/>
      <c r="P260" s="669" t="n"/>
      <c r="Q260" s="669" t="n"/>
      <c r="R260" s="669" t="n"/>
      <c r="S260" s="669" t="n"/>
      <c r="T260" s="669" t="n"/>
      <c r="U260" s="669" t="n"/>
      <c r="V260" s="669" t="n"/>
      <c r="W260" s="669" t="n"/>
      <c r="X260" s="669" t="n"/>
      <c r="Y260" s="669" t="n"/>
      <c r="Z260" s="669" t="n"/>
    </row>
    <row r="261">
      <c r="A261" s="669" t="n"/>
      <c r="B261" s="669" t="n"/>
      <c r="C261" s="669" t="n"/>
      <c r="D261" s="669" t="n"/>
      <c r="E261" s="669" t="n"/>
      <c r="F261" s="669" t="n"/>
      <c r="G261" s="669" t="n"/>
      <c r="H261" s="669" t="n"/>
      <c r="I261" s="669" t="n"/>
      <c r="J261" s="669" t="n"/>
      <c r="K261" s="669" t="n"/>
      <c r="L261" s="669" t="n"/>
      <c r="M261" s="669" t="n"/>
      <c r="N261" s="669" t="n"/>
      <c r="O261" s="669" t="n"/>
      <c r="P261" s="669" t="n"/>
      <c r="Q261" s="669" t="n"/>
      <c r="R261" s="669" t="n"/>
      <c r="S261" s="669" t="n"/>
      <c r="T261" s="669" t="n"/>
      <c r="U261" s="669" t="n"/>
      <c r="V261" s="669" t="n"/>
      <c r="W261" s="669" t="n"/>
      <c r="X261" s="669" t="n"/>
      <c r="Y261" s="669" t="n"/>
      <c r="Z261" s="669" t="n"/>
    </row>
    <row r="262">
      <c r="A262" s="669" t="n"/>
      <c r="B262" s="669" t="n"/>
      <c r="C262" s="669" t="n"/>
      <c r="D262" s="669" t="n"/>
      <c r="E262" s="669" t="n"/>
      <c r="F262" s="669" t="n"/>
      <c r="G262" s="669" t="n"/>
      <c r="H262" s="669" t="n"/>
      <c r="I262" s="669" t="n"/>
      <c r="J262" s="669" t="n"/>
      <c r="K262" s="669" t="n"/>
      <c r="L262" s="669" t="n"/>
      <c r="M262" s="669" t="n"/>
      <c r="N262" s="669" t="n"/>
      <c r="O262" s="669" t="n"/>
      <c r="P262" s="669" t="n"/>
      <c r="Q262" s="669" t="n"/>
      <c r="R262" s="669" t="n"/>
      <c r="S262" s="669" t="n"/>
      <c r="T262" s="669" t="n"/>
      <c r="U262" s="669" t="n"/>
      <c r="V262" s="669" t="n"/>
      <c r="W262" s="669" t="n"/>
      <c r="X262" s="669" t="n"/>
      <c r="Y262" s="669" t="n"/>
      <c r="Z262" s="669" t="n"/>
    </row>
    <row r="263">
      <c r="A263" s="669" t="n"/>
      <c r="B263" s="669" t="n"/>
      <c r="C263" s="669" t="n"/>
      <c r="D263" s="669" t="n"/>
      <c r="E263" s="669" t="n"/>
      <c r="F263" s="669" t="n"/>
      <c r="G263" s="669" t="n"/>
      <c r="H263" s="669" t="n"/>
      <c r="I263" s="669" t="n"/>
      <c r="J263" s="669" t="n"/>
      <c r="K263" s="669" t="n"/>
      <c r="L263" s="669" t="n"/>
      <c r="M263" s="669" t="n"/>
      <c r="N263" s="669" t="n"/>
      <c r="O263" s="669" t="n"/>
      <c r="P263" s="669" t="n"/>
      <c r="Q263" s="669" t="n"/>
      <c r="R263" s="669" t="n"/>
      <c r="S263" s="669" t="n"/>
      <c r="T263" s="669" t="n"/>
      <c r="U263" s="669" t="n"/>
      <c r="V263" s="669" t="n"/>
      <c r="W263" s="669" t="n"/>
      <c r="X263" s="669" t="n"/>
      <c r="Y263" s="669" t="n"/>
      <c r="Z263" s="669" t="n"/>
    </row>
    <row r="264">
      <c r="A264" s="669" t="n"/>
      <c r="B264" s="669" t="n"/>
      <c r="C264" s="669" t="n"/>
      <c r="D264" s="669" t="n"/>
      <c r="E264" s="669" t="n"/>
      <c r="F264" s="669" t="n"/>
      <c r="G264" s="669" t="n"/>
      <c r="H264" s="669" t="n"/>
      <c r="I264" s="669" t="n"/>
      <c r="J264" s="669" t="n"/>
      <c r="K264" s="669" t="n"/>
      <c r="L264" s="669" t="n"/>
      <c r="M264" s="669" t="n"/>
      <c r="N264" s="669" t="n"/>
      <c r="O264" s="669" t="n"/>
      <c r="P264" s="669" t="n"/>
      <c r="Q264" s="669" t="n"/>
      <c r="R264" s="669" t="n"/>
      <c r="S264" s="669" t="n"/>
      <c r="T264" s="669" t="n"/>
      <c r="U264" s="669" t="n"/>
      <c r="V264" s="669" t="n"/>
      <c r="W264" s="669" t="n"/>
      <c r="X264" s="669" t="n"/>
      <c r="Y264" s="669" t="n"/>
      <c r="Z264" s="669" t="n"/>
    </row>
    <row r="265">
      <c r="A265" s="669" t="n"/>
      <c r="B265" s="669" t="n"/>
      <c r="C265" s="669" t="n"/>
      <c r="D265" s="669" t="n"/>
      <c r="E265" s="669" t="n"/>
      <c r="F265" s="669" t="n"/>
      <c r="G265" s="669" t="n"/>
      <c r="H265" s="669" t="n"/>
      <c r="I265" s="669" t="n"/>
      <c r="J265" s="669" t="n"/>
      <c r="K265" s="669" t="n"/>
      <c r="L265" s="669" t="n"/>
      <c r="M265" s="669" t="n"/>
      <c r="N265" s="669" t="n"/>
      <c r="O265" s="669" t="n"/>
      <c r="P265" s="669" t="n"/>
      <c r="Q265" s="669" t="n"/>
      <c r="R265" s="669" t="n"/>
      <c r="S265" s="669" t="n"/>
      <c r="T265" s="669" t="n"/>
      <c r="U265" s="669" t="n"/>
      <c r="V265" s="669" t="n"/>
      <c r="W265" s="669" t="n"/>
      <c r="X265" s="669" t="n"/>
      <c r="Y265" s="669" t="n"/>
      <c r="Z265" s="669" t="n"/>
    </row>
    <row r="266">
      <c r="A266" s="669" t="n"/>
      <c r="B266" s="669" t="n"/>
      <c r="C266" s="669" t="n"/>
      <c r="D266" s="669" t="n"/>
      <c r="E266" s="669" t="n"/>
      <c r="F266" s="669" t="n"/>
      <c r="G266" s="669" t="n"/>
      <c r="H266" s="669" t="n"/>
      <c r="I266" s="669" t="n"/>
      <c r="J266" s="669" t="n"/>
      <c r="K266" s="669" t="n"/>
      <c r="L266" s="669" t="n"/>
      <c r="M266" s="669" t="n"/>
      <c r="N266" s="669" t="n"/>
      <c r="O266" s="669" t="n"/>
      <c r="P266" s="669" t="n"/>
      <c r="Q266" s="669" t="n"/>
      <c r="R266" s="669" t="n"/>
      <c r="S266" s="669" t="n"/>
      <c r="T266" s="669" t="n"/>
      <c r="U266" s="669" t="n"/>
      <c r="V266" s="669" t="n"/>
      <c r="W266" s="669" t="n"/>
      <c r="X266" s="669" t="n"/>
      <c r="Y266" s="669" t="n"/>
      <c r="Z266" s="669" t="n"/>
    </row>
    <row r="267">
      <c r="A267" s="669" t="n"/>
      <c r="B267" s="669" t="n"/>
      <c r="C267" s="669" t="n"/>
      <c r="D267" s="669" t="n"/>
      <c r="E267" s="669" t="n"/>
      <c r="F267" s="669" t="n"/>
      <c r="G267" s="669" t="n"/>
      <c r="H267" s="669" t="n"/>
      <c r="I267" s="669" t="n"/>
      <c r="J267" s="669" t="n"/>
      <c r="K267" s="669" t="n"/>
      <c r="L267" s="669" t="n"/>
      <c r="M267" s="669" t="n"/>
      <c r="N267" s="669" t="n"/>
      <c r="O267" s="669" t="n"/>
      <c r="P267" s="669" t="n"/>
      <c r="Q267" s="669" t="n"/>
      <c r="R267" s="669" t="n"/>
      <c r="S267" s="669" t="n"/>
      <c r="T267" s="669" t="n"/>
      <c r="U267" s="669" t="n"/>
      <c r="V267" s="669" t="n"/>
      <c r="W267" s="669" t="n"/>
      <c r="X267" s="669" t="n"/>
      <c r="Y267" s="669" t="n"/>
      <c r="Z267" s="669" t="n"/>
    </row>
    <row r="268">
      <c r="A268" s="669" t="n"/>
      <c r="B268" s="669" t="n"/>
      <c r="C268" s="669" t="n"/>
      <c r="D268" s="669" t="n"/>
      <c r="E268" s="669" t="n"/>
      <c r="F268" s="669" t="n"/>
      <c r="G268" s="669" t="n"/>
      <c r="H268" s="669" t="n"/>
      <c r="I268" s="669" t="n"/>
      <c r="J268" s="669" t="n"/>
      <c r="K268" s="669" t="n"/>
      <c r="L268" s="669" t="n"/>
      <c r="M268" s="669" t="n"/>
      <c r="N268" s="669" t="n"/>
      <c r="O268" s="669" t="n"/>
      <c r="P268" s="669" t="n"/>
      <c r="Q268" s="669" t="n"/>
      <c r="R268" s="669" t="n"/>
      <c r="S268" s="669" t="n"/>
      <c r="T268" s="669" t="n"/>
      <c r="U268" s="669" t="n"/>
      <c r="V268" s="669" t="n"/>
      <c r="W268" s="669" t="n"/>
      <c r="X268" s="669" t="n"/>
      <c r="Y268" s="669" t="n"/>
      <c r="Z268" s="669" t="n"/>
    </row>
    <row r="269">
      <c r="A269" s="669" t="n"/>
      <c r="B269" s="669" t="n"/>
      <c r="C269" s="669" t="n"/>
      <c r="D269" s="669" t="n"/>
      <c r="E269" s="669" t="n"/>
      <c r="F269" s="669" t="n"/>
      <c r="G269" s="669" t="n"/>
      <c r="H269" s="669" t="n"/>
      <c r="I269" s="669" t="n"/>
      <c r="J269" s="669" t="n"/>
      <c r="K269" s="669" t="n"/>
      <c r="L269" s="669" t="n"/>
      <c r="M269" s="669" t="n"/>
      <c r="N269" s="669" t="n"/>
      <c r="O269" s="669" t="n"/>
      <c r="P269" s="669" t="n"/>
      <c r="Q269" s="669" t="n"/>
      <c r="R269" s="669" t="n"/>
      <c r="S269" s="669" t="n"/>
      <c r="T269" s="669" t="n"/>
      <c r="U269" s="669" t="n"/>
      <c r="V269" s="669" t="n"/>
      <c r="W269" s="669" t="n"/>
      <c r="X269" s="669" t="n"/>
      <c r="Y269" s="669" t="n"/>
      <c r="Z269" s="669" t="n"/>
    </row>
    <row r="270">
      <c r="A270" s="669" t="n"/>
      <c r="B270" s="669" t="n"/>
      <c r="C270" s="669" t="n"/>
      <c r="D270" s="669" t="n"/>
      <c r="E270" s="669" t="n"/>
      <c r="F270" s="669" t="n"/>
      <c r="G270" s="669" t="n"/>
      <c r="H270" s="669" t="n"/>
      <c r="I270" s="669" t="n"/>
      <c r="J270" s="669" t="n"/>
      <c r="K270" s="669" t="n"/>
      <c r="L270" s="669" t="n"/>
      <c r="M270" s="669" t="n"/>
      <c r="N270" s="669" t="n"/>
      <c r="O270" s="669" t="n"/>
      <c r="P270" s="669" t="n"/>
      <c r="Q270" s="669" t="n"/>
      <c r="R270" s="669" t="n"/>
      <c r="S270" s="669" t="n"/>
      <c r="T270" s="669" t="n"/>
      <c r="U270" s="669" t="n"/>
      <c r="V270" s="669" t="n"/>
      <c r="W270" s="669" t="n"/>
      <c r="X270" s="669" t="n"/>
      <c r="Y270" s="669" t="n"/>
      <c r="Z270" s="669" t="n"/>
    </row>
    <row r="271">
      <c r="A271" s="669" t="n"/>
      <c r="B271" s="669" t="n"/>
      <c r="C271" s="669" t="n"/>
      <c r="D271" s="669" t="n"/>
      <c r="E271" s="669" t="n"/>
      <c r="F271" s="669" t="n"/>
      <c r="G271" s="669" t="n"/>
      <c r="H271" s="669" t="n"/>
      <c r="I271" s="669" t="n"/>
      <c r="J271" s="669" t="n"/>
      <c r="K271" s="669" t="n"/>
      <c r="L271" s="669" t="n"/>
      <c r="M271" s="669" t="n"/>
      <c r="N271" s="669" t="n"/>
      <c r="O271" s="669" t="n"/>
      <c r="P271" s="669" t="n"/>
      <c r="Q271" s="669" t="n"/>
      <c r="R271" s="669" t="n"/>
      <c r="S271" s="669" t="n"/>
      <c r="T271" s="669" t="n"/>
      <c r="U271" s="669" t="n"/>
      <c r="V271" s="669" t="n"/>
      <c r="W271" s="669" t="n"/>
      <c r="X271" s="669" t="n"/>
      <c r="Y271" s="669" t="n"/>
      <c r="Z271" s="669" t="n"/>
    </row>
    <row r="272">
      <c r="A272" s="669" t="n"/>
      <c r="B272" s="669" t="n"/>
      <c r="C272" s="669" t="n"/>
      <c r="D272" s="669" t="n"/>
      <c r="E272" s="669" t="n"/>
      <c r="F272" s="669" t="n"/>
      <c r="G272" s="669" t="n"/>
      <c r="H272" s="669" t="n"/>
      <c r="I272" s="669" t="n"/>
      <c r="J272" s="669" t="n"/>
      <c r="K272" s="669" t="n"/>
      <c r="L272" s="669" t="n"/>
      <c r="M272" s="669" t="n"/>
      <c r="N272" s="669" t="n"/>
      <c r="O272" s="669" t="n"/>
      <c r="P272" s="669" t="n"/>
      <c r="Q272" s="669" t="n"/>
      <c r="R272" s="669" t="n"/>
      <c r="S272" s="669" t="n"/>
      <c r="T272" s="669" t="n"/>
      <c r="U272" s="669" t="n"/>
      <c r="V272" s="669" t="n"/>
      <c r="W272" s="669" t="n"/>
      <c r="X272" s="669" t="n"/>
      <c r="Y272" s="669" t="n"/>
      <c r="Z272" s="669" t="n"/>
    </row>
    <row r="273">
      <c r="A273" s="669" t="n"/>
      <c r="B273" s="669" t="n"/>
      <c r="C273" s="669" t="n"/>
      <c r="D273" s="669" t="n"/>
      <c r="E273" s="669" t="n"/>
      <c r="F273" s="669" t="n"/>
      <c r="G273" s="669" t="n"/>
      <c r="H273" s="669" t="n"/>
      <c r="I273" s="669" t="n"/>
      <c r="J273" s="669" t="n"/>
      <c r="K273" s="669" t="n"/>
      <c r="L273" s="669" t="n"/>
      <c r="M273" s="669" t="n"/>
      <c r="N273" s="669" t="n"/>
      <c r="O273" s="669" t="n"/>
      <c r="P273" s="669" t="n"/>
      <c r="Q273" s="669" t="n"/>
      <c r="R273" s="669" t="n"/>
      <c r="S273" s="669" t="n"/>
      <c r="T273" s="669" t="n"/>
      <c r="U273" s="669" t="n"/>
      <c r="V273" s="669" t="n"/>
      <c r="W273" s="669" t="n"/>
      <c r="X273" s="669" t="n"/>
      <c r="Y273" s="669" t="n"/>
      <c r="Z273" s="669" t="n"/>
    </row>
    <row r="274">
      <c r="A274" s="669" t="n"/>
      <c r="B274" s="669" t="n"/>
      <c r="C274" s="669" t="n"/>
      <c r="D274" s="669" t="n"/>
      <c r="E274" s="669" t="n"/>
      <c r="F274" s="669" t="n"/>
      <c r="G274" s="669" t="n"/>
      <c r="H274" s="669" t="n"/>
      <c r="I274" s="669" t="n"/>
      <c r="J274" s="669" t="n"/>
      <c r="K274" s="669" t="n"/>
      <c r="L274" s="669" t="n"/>
      <c r="M274" s="669" t="n"/>
      <c r="N274" s="669" t="n"/>
      <c r="O274" s="669" t="n"/>
      <c r="P274" s="669" t="n"/>
      <c r="Q274" s="669" t="n"/>
      <c r="R274" s="669" t="n"/>
      <c r="S274" s="669" t="n"/>
      <c r="T274" s="669" t="n"/>
      <c r="U274" s="669" t="n"/>
      <c r="V274" s="669" t="n"/>
      <c r="W274" s="669" t="n"/>
      <c r="X274" s="669" t="n"/>
      <c r="Y274" s="669" t="n"/>
      <c r="Z274" s="669" t="n"/>
    </row>
    <row r="275">
      <c r="A275" s="669" t="n"/>
      <c r="B275" s="669" t="n"/>
      <c r="C275" s="669" t="n"/>
      <c r="D275" s="669" t="n"/>
      <c r="E275" s="669" t="n"/>
      <c r="F275" s="669" t="n"/>
      <c r="G275" s="669" t="n"/>
      <c r="H275" s="669" t="n"/>
      <c r="I275" s="669" t="n"/>
      <c r="J275" s="669" t="n"/>
      <c r="K275" s="669" t="n"/>
      <c r="L275" s="669" t="n"/>
      <c r="M275" s="669" t="n"/>
      <c r="N275" s="669" t="n"/>
      <c r="O275" s="669" t="n"/>
      <c r="P275" s="669" t="n"/>
      <c r="Q275" s="669" t="n"/>
      <c r="R275" s="669" t="n"/>
      <c r="S275" s="669" t="n"/>
      <c r="T275" s="669" t="n"/>
      <c r="U275" s="669" t="n"/>
      <c r="V275" s="669" t="n"/>
      <c r="W275" s="669" t="n"/>
      <c r="X275" s="669" t="n"/>
      <c r="Y275" s="669" t="n"/>
      <c r="Z275" s="669" t="n"/>
    </row>
    <row r="276">
      <c r="A276" s="669" t="n"/>
      <c r="B276" s="669" t="n"/>
      <c r="C276" s="669" t="n"/>
      <c r="D276" s="669" t="n"/>
      <c r="E276" s="669" t="n"/>
      <c r="F276" s="669" t="n"/>
      <c r="G276" s="669" t="n"/>
      <c r="H276" s="669" t="n"/>
      <c r="I276" s="669" t="n"/>
      <c r="J276" s="669" t="n"/>
      <c r="K276" s="669" t="n"/>
      <c r="L276" s="669" t="n"/>
      <c r="M276" s="669" t="n"/>
      <c r="N276" s="669" t="n"/>
      <c r="O276" s="669" t="n"/>
      <c r="P276" s="669" t="n"/>
      <c r="Q276" s="669" t="n"/>
      <c r="R276" s="669" t="n"/>
      <c r="S276" s="669" t="n"/>
      <c r="T276" s="669" t="n"/>
      <c r="U276" s="669" t="n"/>
      <c r="V276" s="669" t="n"/>
      <c r="W276" s="669" t="n"/>
      <c r="X276" s="669" t="n"/>
      <c r="Y276" s="669" t="n"/>
      <c r="Z276" s="669" t="n"/>
    </row>
    <row r="277">
      <c r="A277" s="669" t="n"/>
      <c r="B277" s="669" t="n"/>
      <c r="C277" s="669" t="n"/>
      <c r="D277" s="669" t="n"/>
      <c r="E277" s="669" t="n"/>
      <c r="F277" s="669" t="n"/>
      <c r="G277" s="669" t="n"/>
      <c r="H277" s="669" t="n"/>
      <c r="I277" s="669" t="n"/>
      <c r="J277" s="669" t="n"/>
      <c r="K277" s="669" t="n"/>
      <c r="L277" s="669" t="n"/>
      <c r="M277" s="669" t="n"/>
      <c r="N277" s="669" t="n"/>
      <c r="O277" s="669" t="n"/>
      <c r="P277" s="669" t="n"/>
      <c r="Q277" s="669" t="n"/>
      <c r="R277" s="669" t="n"/>
      <c r="S277" s="669" t="n"/>
      <c r="T277" s="669" t="n"/>
      <c r="U277" s="669" t="n"/>
      <c r="V277" s="669" t="n"/>
      <c r="W277" s="669" t="n"/>
      <c r="X277" s="669" t="n"/>
      <c r="Y277" s="669" t="n"/>
      <c r="Z277" s="669" t="n"/>
    </row>
    <row r="278">
      <c r="A278" s="669" t="n"/>
      <c r="B278" s="669" t="n"/>
      <c r="C278" s="669" t="n"/>
      <c r="D278" s="669" t="n"/>
      <c r="E278" s="669" t="n"/>
      <c r="F278" s="669" t="n"/>
      <c r="G278" s="669" t="n"/>
      <c r="H278" s="669" t="n"/>
      <c r="I278" s="669" t="n"/>
      <c r="J278" s="669" t="n"/>
      <c r="K278" s="669" t="n"/>
      <c r="L278" s="669" t="n"/>
      <c r="M278" s="669" t="n"/>
      <c r="N278" s="669" t="n"/>
      <c r="O278" s="669" t="n"/>
      <c r="P278" s="669" t="n"/>
      <c r="Q278" s="669" t="n"/>
      <c r="R278" s="669" t="n"/>
      <c r="S278" s="669" t="n"/>
      <c r="T278" s="669" t="n"/>
      <c r="U278" s="669" t="n"/>
      <c r="V278" s="669" t="n"/>
      <c r="W278" s="669" t="n"/>
      <c r="X278" s="669" t="n"/>
      <c r="Y278" s="669" t="n"/>
      <c r="Z278" s="669" t="n"/>
    </row>
    <row r="279">
      <c r="A279" s="669" t="n"/>
      <c r="B279" s="669" t="n"/>
      <c r="C279" s="669" t="n"/>
      <c r="D279" s="669" t="n"/>
      <c r="E279" s="669" t="n"/>
      <c r="F279" s="669" t="n"/>
      <c r="G279" s="669" t="n"/>
      <c r="H279" s="669" t="n"/>
      <c r="I279" s="669" t="n"/>
      <c r="J279" s="669" t="n"/>
      <c r="K279" s="669" t="n"/>
      <c r="L279" s="669" t="n"/>
      <c r="M279" s="669" t="n"/>
      <c r="N279" s="669" t="n"/>
      <c r="O279" s="669" t="n"/>
      <c r="P279" s="669" t="n"/>
      <c r="Q279" s="669" t="n"/>
      <c r="R279" s="669" t="n"/>
      <c r="S279" s="669" t="n"/>
      <c r="T279" s="669" t="n"/>
      <c r="U279" s="669" t="n"/>
      <c r="V279" s="669" t="n"/>
      <c r="W279" s="669" t="n"/>
      <c r="X279" s="669" t="n"/>
      <c r="Y279" s="669" t="n"/>
      <c r="Z279" s="669" t="n"/>
    </row>
    <row r="280">
      <c r="A280" s="669" t="n"/>
      <c r="B280" s="669" t="n"/>
      <c r="C280" s="669" t="n"/>
      <c r="D280" s="669" t="n"/>
      <c r="E280" s="669" t="n"/>
      <c r="F280" s="669" t="n"/>
      <c r="G280" s="669" t="n"/>
      <c r="H280" s="669" t="n"/>
      <c r="I280" s="669" t="n"/>
      <c r="J280" s="669" t="n"/>
      <c r="K280" s="669" t="n"/>
      <c r="L280" s="669" t="n"/>
      <c r="M280" s="669" t="n"/>
      <c r="N280" s="669" t="n"/>
      <c r="O280" s="669" t="n"/>
      <c r="P280" s="669" t="n"/>
      <c r="Q280" s="669" t="n"/>
      <c r="R280" s="669" t="n"/>
      <c r="S280" s="669" t="n"/>
      <c r="T280" s="669" t="n"/>
      <c r="U280" s="669" t="n"/>
      <c r="V280" s="669" t="n"/>
      <c r="W280" s="669" t="n"/>
      <c r="X280" s="669" t="n"/>
      <c r="Y280" s="669" t="n"/>
      <c r="Z280" s="669" t="n"/>
    </row>
    <row r="281">
      <c r="A281" s="669" t="n"/>
      <c r="B281" s="669" t="n"/>
      <c r="C281" s="669" t="n"/>
      <c r="D281" s="669" t="n"/>
      <c r="E281" s="669" t="n"/>
      <c r="F281" s="669" t="n"/>
      <c r="G281" s="669" t="n"/>
      <c r="H281" s="669" t="n"/>
      <c r="I281" s="669" t="n"/>
      <c r="J281" s="669" t="n"/>
      <c r="K281" s="669" t="n"/>
      <c r="L281" s="669" t="n"/>
      <c r="M281" s="669" t="n"/>
      <c r="N281" s="669" t="n"/>
      <c r="O281" s="669" t="n"/>
      <c r="P281" s="669" t="n"/>
      <c r="Q281" s="669" t="n"/>
      <c r="R281" s="669" t="n"/>
      <c r="S281" s="669" t="n"/>
      <c r="T281" s="669" t="n"/>
      <c r="U281" s="669" t="n"/>
      <c r="V281" s="669" t="n"/>
      <c r="W281" s="669" t="n"/>
      <c r="X281" s="669" t="n"/>
      <c r="Y281" s="669" t="n"/>
      <c r="Z281" s="669" t="n"/>
    </row>
    <row r="282">
      <c r="A282" s="669" t="n"/>
      <c r="B282" s="669" t="n"/>
      <c r="C282" s="669" t="n"/>
      <c r="D282" s="669" t="n"/>
      <c r="E282" s="669" t="n"/>
      <c r="F282" s="669" t="n"/>
      <c r="G282" s="669" t="n"/>
      <c r="H282" s="669" t="n"/>
      <c r="I282" s="669" t="n"/>
      <c r="J282" s="669" t="n"/>
      <c r="K282" s="669" t="n"/>
      <c r="L282" s="669" t="n"/>
      <c r="M282" s="669" t="n"/>
      <c r="N282" s="669" t="n"/>
      <c r="O282" s="669" t="n"/>
      <c r="P282" s="669" t="n"/>
      <c r="Q282" s="669" t="n"/>
      <c r="R282" s="669" t="n"/>
      <c r="S282" s="669" t="n"/>
      <c r="T282" s="669" t="n"/>
      <c r="U282" s="669" t="n"/>
      <c r="V282" s="669" t="n"/>
      <c r="W282" s="669" t="n"/>
      <c r="X282" s="669" t="n"/>
      <c r="Y282" s="669" t="n"/>
      <c r="Z282" s="669" t="n"/>
    </row>
    <row r="283">
      <c r="A283" s="669" t="n"/>
      <c r="B283" s="669" t="n"/>
      <c r="C283" s="669" t="n"/>
      <c r="D283" s="669" t="n"/>
      <c r="E283" s="669" t="n"/>
      <c r="F283" s="669" t="n"/>
      <c r="G283" s="669" t="n"/>
      <c r="H283" s="669" t="n"/>
      <c r="I283" s="669" t="n"/>
      <c r="J283" s="669" t="n"/>
      <c r="K283" s="669" t="n"/>
      <c r="L283" s="669" t="n"/>
      <c r="M283" s="669" t="n"/>
      <c r="N283" s="669" t="n"/>
      <c r="O283" s="669" t="n"/>
      <c r="P283" s="669" t="n"/>
      <c r="Q283" s="669" t="n"/>
      <c r="R283" s="669" t="n"/>
      <c r="S283" s="669" t="n"/>
      <c r="T283" s="669" t="n"/>
      <c r="U283" s="669" t="n"/>
      <c r="V283" s="669" t="n"/>
      <c r="W283" s="669" t="n"/>
      <c r="X283" s="669" t="n"/>
      <c r="Y283" s="669" t="n"/>
      <c r="Z283" s="669" t="n"/>
    </row>
    <row r="284">
      <c r="A284" s="669" t="n"/>
      <c r="B284" s="669" t="n"/>
      <c r="C284" s="669" t="n"/>
      <c r="D284" s="669" t="n"/>
      <c r="E284" s="669" t="n"/>
      <c r="F284" s="669" t="n"/>
      <c r="G284" s="669" t="n"/>
      <c r="H284" s="669" t="n"/>
      <c r="I284" s="669" t="n"/>
      <c r="J284" s="669" t="n"/>
      <c r="K284" s="669" t="n"/>
      <c r="L284" s="669" t="n"/>
      <c r="M284" s="669" t="n"/>
      <c r="N284" s="669" t="n"/>
      <c r="O284" s="669" t="n"/>
      <c r="P284" s="669" t="n"/>
      <c r="Q284" s="669" t="n"/>
      <c r="R284" s="669" t="n"/>
      <c r="S284" s="669" t="n"/>
      <c r="T284" s="669" t="n"/>
      <c r="U284" s="669" t="n"/>
      <c r="V284" s="669" t="n"/>
      <c r="W284" s="669" t="n"/>
      <c r="X284" s="669" t="n"/>
      <c r="Y284" s="669" t="n"/>
      <c r="Z284" s="669" t="n"/>
    </row>
    <row r="285">
      <c r="A285" s="669" t="n"/>
      <c r="B285" s="669" t="n"/>
      <c r="C285" s="669" t="n"/>
      <c r="D285" s="669" t="n"/>
      <c r="E285" s="669" t="n"/>
      <c r="F285" s="669" t="n"/>
      <c r="G285" s="669" t="n"/>
      <c r="H285" s="669" t="n"/>
      <c r="I285" s="669" t="n"/>
      <c r="J285" s="669" t="n"/>
      <c r="K285" s="669" t="n"/>
      <c r="L285" s="669" t="n"/>
      <c r="M285" s="669" t="n"/>
      <c r="N285" s="669" t="n"/>
      <c r="O285" s="669" t="n"/>
      <c r="P285" s="669" t="n"/>
      <c r="Q285" s="669" t="n"/>
      <c r="R285" s="669" t="n"/>
      <c r="S285" s="669" t="n"/>
      <c r="T285" s="669" t="n"/>
      <c r="U285" s="669" t="n"/>
      <c r="V285" s="669" t="n"/>
      <c r="W285" s="669" t="n"/>
      <c r="X285" s="669" t="n"/>
      <c r="Y285" s="669" t="n"/>
      <c r="Z285" s="669" t="n"/>
    </row>
    <row r="286">
      <c r="A286" s="669" t="n"/>
      <c r="B286" s="669" t="n"/>
      <c r="C286" s="669" t="n"/>
      <c r="D286" s="669" t="n"/>
      <c r="E286" s="669" t="n"/>
      <c r="F286" s="669" t="n"/>
      <c r="G286" s="669" t="n"/>
      <c r="H286" s="669" t="n"/>
      <c r="I286" s="669" t="n"/>
      <c r="J286" s="669" t="n"/>
      <c r="K286" s="669" t="n"/>
      <c r="L286" s="669" t="n"/>
      <c r="M286" s="669" t="n"/>
      <c r="N286" s="669" t="n"/>
      <c r="O286" s="669" t="n"/>
      <c r="P286" s="669" t="n"/>
      <c r="Q286" s="669" t="n"/>
      <c r="R286" s="669" t="n"/>
      <c r="S286" s="669" t="n"/>
      <c r="T286" s="669" t="n"/>
      <c r="U286" s="669" t="n"/>
      <c r="V286" s="669" t="n"/>
      <c r="W286" s="669" t="n"/>
      <c r="X286" s="669" t="n"/>
      <c r="Y286" s="669" t="n"/>
      <c r="Z286" s="669" t="n"/>
    </row>
    <row r="287">
      <c r="A287" s="669" t="n"/>
      <c r="B287" s="669" t="n"/>
      <c r="C287" s="669" t="n"/>
      <c r="D287" s="669" t="n"/>
      <c r="E287" s="669" t="n"/>
      <c r="F287" s="669" t="n"/>
      <c r="G287" s="669" t="n"/>
      <c r="H287" s="669" t="n"/>
      <c r="I287" s="669" t="n"/>
      <c r="J287" s="669" t="n"/>
      <c r="K287" s="669" t="n"/>
      <c r="L287" s="669" t="n"/>
      <c r="M287" s="669" t="n"/>
      <c r="N287" s="669" t="n"/>
      <c r="O287" s="669" t="n"/>
      <c r="P287" s="669" t="n"/>
      <c r="Q287" s="669" t="n"/>
      <c r="R287" s="669" t="n"/>
      <c r="S287" s="669" t="n"/>
      <c r="T287" s="669" t="n"/>
      <c r="U287" s="669" t="n"/>
      <c r="V287" s="669" t="n"/>
      <c r="W287" s="669" t="n"/>
      <c r="X287" s="669" t="n"/>
      <c r="Y287" s="669" t="n"/>
      <c r="Z287" s="669" t="n"/>
    </row>
    <row r="288">
      <c r="A288" s="669" t="n"/>
      <c r="B288" s="669" t="n"/>
      <c r="C288" s="669" t="n"/>
      <c r="D288" s="669" t="n"/>
      <c r="E288" s="669" t="n"/>
      <c r="F288" s="669" t="n"/>
      <c r="G288" s="669" t="n"/>
      <c r="H288" s="669" t="n"/>
      <c r="I288" s="669" t="n"/>
      <c r="J288" s="669" t="n"/>
      <c r="K288" s="669" t="n"/>
      <c r="L288" s="669" t="n"/>
      <c r="M288" s="669" t="n"/>
      <c r="N288" s="669" t="n"/>
      <c r="O288" s="669" t="n"/>
      <c r="P288" s="669" t="n"/>
      <c r="Q288" s="669" t="n"/>
      <c r="R288" s="669" t="n"/>
      <c r="S288" s="669" t="n"/>
      <c r="T288" s="669" t="n"/>
      <c r="U288" s="669" t="n"/>
      <c r="V288" s="669" t="n"/>
      <c r="W288" s="669" t="n"/>
      <c r="X288" s="669" t="n"/>
      <c r="Y288" s="669" t="n"/>
      <c r="Z288" s="669" t="n"/>
    </row>
    <row r="289">
      <c r="A289" s="669" t="n"/>
      <c r="B289" s="669" t="n"/>
      <c r="C289" s="669" t="n"/>
      <c r="D289" s="669" t="n"/>
      <c r="E289" s="669" t="n"/>
      <c r="F289" s="669" t="n"/>
      <c r="G289" s="669" t="n"/>
      <c r="H289" s="669" t="n"/>
      <c r="I289" s="669" t="n"/>
      <c r="J289" s="669" t="n"/>
      <c r="K289" s="669" t="n"/>
      <c r="L289" s="669" t="n"/>
      <c r="M289" s="669" t="n"/>
      <c r="N289" s="669" t="n"/>
      <c r="O289" s="669" t="n"/>
      <c r="P289" s="669" t="n"/>
      <c r="Q289" s="669" t="n"/>
      <c r="R289" s="669" t="n"/>
      <c r="S289" s="669" t="n"/>
      <c r="T289" s="669" t="n"/>
      <c r="U289" s="669" t="n"/>
      <c r="V289" s="669" t="n"/>
      <c r="W289" s="669" t="n"/>
      <c r="X289" s="669" t="n"/>
      <c r="Y289" s="669" t="n"/>
      <c r="Z289" s="669" t="n"/>
    </row>
    <row r="290">
      <c r="A290" s="669" t="n"/>
      <c r="B290" s="669" t="n"/>
      <c r="C290" s="669" t="n"/>
      <c r="D290" s="669" t="n"/>
      <c r="E290" s="669" t="n"/>
      <c r="F290" s="669" t="n"/>
      <c r="G290" s="669" t="n"/>
      <c r="H290" s="669" t="n"/>
      <c r="I290" s="669" t="n"/>
      <c r="J290" s="669" t="n"/>
      <c r="K290" s="669" t="n"/>
      <c r="L290" s="669" t="n"/>
      <c r="M290" s="669" t="n"/>
      <c r="N290" s="669" t="n"/>
      <c r="O290" s="669" t="n"/>
      <c r="P290" s="669" t="n"/>
      <c r="Q290" s="669" t="n"/>
      <c r="R290" s="669" t="n"/>
      <c r="S290" s="669" t="n"/>
      <c r="T290" s="669" t="n"/>
      <c r="U290" s="669" t="n"/>
      <c r="V290" s="669" t="n"/>
      <c r="W290" s="669" t="n"/>
      <c r="X290" s="669" t="n"/>
      <c r="Y290" s="669" t="n"/>
      <c r="Z290" s="669" t="n"/>
    </row>
    <row r="291">
      <c r="A291" s="669" t="n"/>
      <c r="B291" s="669" t="n"/>
      <c r="C291" s="669" t="n"/>
      <c r="D291" s="669" t="n"/>
      <c r="E291" s="669" t="n"/>
      <c r="F291" s="669" t="n"/>
      <c r="G291" s="669" t="n"/>
      <c r="H291" s="669" t="n"/>
      <c r="I291" s="669" t="n"/>
      <c r="J291" s="669" t="n"/>
      <c r="K291" s="669" t="n"/>
      <c r="L291" s="669" t="n"/>
      <c r="M291" s="669" t="n"/>
      <c r="N291" s="669" t="n"/>
      <c r="O291" s="669" t="n"/>
      <c r="P291" s="669" t="n"/>
      <c r="Q291" s="669" t="n"/>
      <c r="R291" s="669" t="n"/>
      <c r="S291" s="669" t="n"/>
      <c r="T291" s="669" t="n"/>
      <c r="U291" s="669" t="n"/>
      <c r="V291" s="669" t="n"/>
      <c r="W291" s="669" t="n"/>
      <c r="X291" s="669" t="n"/>
      <c r="Y291" s="669" t="n"/>
      <c r="Z291" s="669" t="n"/>
    </row>
    <row r="292">
      <c r="A292" s="669" t="n"/>
      <c r="B292" s="669" t="n"/>
      <c r="C292" s="669" t="n"/>
      <c r="D292" s="669" t="n"/>
      <c r="E292" s="669" t="n"/>
      <c r="F292" s="669" t="n"/>
      <c r="G292" s="669" t="n"/>
      <c r="H292" s="669" t="n"/>
      <c r="I292" s="669" t="n"/>
      <c r="J292" s="669" t="n"/>
      <c r="K292" s="669" t="n"/>
      <c r="L292" s="669" t="n"/>
      <c r="M292" s="669" t="n"/>
      <c r="N292" s="669" t="n"/>
      <c r="O292" s="669" t="n"/>
      <c r="P292" s="669" t="n"/>
      <c r="Q292" s="669" t="n"/>
      <c r="R292" s="669" t="n"/>
      <c r="S292" s="669" t="n"/>
      <c r="T292" s="669" t="n"/>
      <c r="U292" s="669" t="n"/>
      <c r="V292" s="669" t="n"/>
      <c r="W292" s="669" t="n"/>
      <c r="X292" s="669" t="n"/>
      <c r="Y292" s="669" t="n"/>
      <c r="Z292" s="669" t="n"/>
    </row>
    <row r="293">
      <c r="A293" s="669" t="n"/>
      <c r="B293" s="669" t="n"/>
      <c r="C293" s="669" t="n"/>
      <c r="D293" s="669" t="n"/>
      <c r="E293" s="669" t="n"/>
      <c r="F293" s="669" t="n"/>
      <c r="G293" s="669" t="n"/>
      <c r="H293" s="669" t="n"/>
      <c r="I293" s="669" t="n"/>
      <c r="J293" s="669" t="n"/>
      <c r="K293" s="669" t="n"/>
      <c r="L293" s="669" t="n"/>
      <c r="M293" s="669" t="n"/>
      <c r="N293" s="669" t="n"/>
      <c r="O293" s="669" t="n"/>
      <c r="P293" s="669" t="n"/>
      <c r="Q293" s="669" t="n"/>
      <c r="R293" s="669" t="n"/>
      <c r="S293" s="669" t="n"/>
      <c r="T293" s="669" t="n"/>
      <c r="U293" s="669" t="n"/>
      <c r="V293" s="669" t="n"/>
      <c r="W293" s="669" t="n"/>
      <c r="X293" s="669" t="n"/>
      <c r="Y293" s="669" t="n"/>
      <c r="Z293" s="669" t="n"/>
    </row>
    <row r="294">
      <c r="A294" s="669" t="n"/>
      <c r="B294" s="669" t="n"/>
      <c r="C294" s="669" t="n"/>
      <c r="D294" s="669" t="n"/>
      <c r="E294" s="669" t="n"/>
      <c r="F294" s="669" t="n"/>
      <c r="G294" s="669" t="n"/>
      <c r="H294" s="669" t="n"/>
      <c r="I294" s="669" t="n"/>
      <c r="J294" s="669" t="n"/>
      <c r="K294" s="669" t="n"/>
      <c r="L294" s="669" t="n"/>
      <c r="M294" s="669" t="n"/>
      <c r="N294" s="669" t="n"/>
      <c r="O294" s="669" t="n"/>
      <c r="P294" s="669" t="n"/>
      <c r="Q294" s="669" t="n"/>
      <c r="R294" s="669" t="n"/>
      <c r="S294" s="669" t="n"/>
      <c r="T294" s="669" t="n"/>
      <c r="U294" s="669" t="n"/>
      <c r="V294" s="669" t="n"/>
      <c r="W294" s="669" t="n"/>
      <c r="X294" s="669" t="n"/>
      <c r="Y294" s="669" t="n"/>
      <c r="Z294" s="669" t="n"/>
    </row>
    <row r="295">
      <c r="A295" s="669" t="n"/>
      <c r="B295" s="669" t="n"/>
      <c r="C295" s="669" t="n"/>
      <c r="D295" s="669" t="n"/>
      <c r="E295" s="669" t="n"/>
      <c r="F295" s="669" t="n"/>
      <c r="G295" s="669" t="n"/>
      <c r="H295" s="669" t="n"/>
      <c r="I295" s="669" t="n"/>
      <c r="J295" s="669" t="n"/>
      <c r="K295" s="669" t="n"/>
      <c r="L295" s="669" t="n"/>
      <c r="M295" s="669" t="n"/>
      <c r="N295" s="669" t="n"/>
      <c r="O295" s="669" t="n"/>
      <c r="P295" s="669" t="n"/>
      <c r="Q295" s="669" t="n"/>
      <c r="R295" s="669" t="n"/>
      <c r="S295" s="669" t="n"/>
      <c r="T295" s="669" t="n"/>
      <c r="U295" s="669" t="n"/>
      <c r="V295" s="669" t="n"/>
      <c r="W295" s="669" t="n"/>
      <c r="X295" s="669" t="n"/>
      <c r="Y295" s="669" t="n"/>
      <c r="Z295" s="669" t="n"/>
    </row>
    <row r="296">
      <c r="A296" s="669" t="n"/>
      <c r="B296" s="669" t="n"/>
      <c r="C296" s="669" t="n"/>
      <c r="D296" s="669" t="n"/>
      <c r="E296" s="669" t="n"/>
      <c r="F296" s="669" t="n"/>
      <c r="G296" s="669" t="n"/>
      <c r="H296" s="669" t="n"/>
      <c r="I296" s="669" t="n"/>
      <c r="J296" s="669" t="n"/>
      <c r="K296" s="669" t="n"/>
      <c r="L296" s="669" t="n"/>
      <c r="M296" s="669" t="n"/>
      <c r="N296" s="669" t="n"/>
      <c r="O296" s="669" t="n"/>
      <c r="P296" s="669" t="n"/>
      <c r="Q296" s="669" t="n"/>
      <c r="R296" s="669" t="n"/>
      <c r="S296" s="669" t="n"/>
      <c r="T296" s="669" t="n"/>
      <c r="U296" s="669" t="n"/>
      <c r="V296" s="669" t="n"/>
      <c r="W296" s="669" t="n"/>
      <c r="X296" s="669" t="n"/>
      <c r="Y296" s="669" t="n"/>
      <c r="Z296" s="669" t="n"/>
    </row>
    <row r="297">
      <c r="A297" s="669" t="n"/>
      <c r="B297" s="669" t="n"/>
      <c r="C297" s="669" t="n"/>
      <c r="D297" s="669" t="n"/>
      <c r="E297" s="669" t="n"/>
      <c r="F297" s="669" t="n"/>
      <c r="G297" s="669" t="n"/>
      <c r="H297" s="669" t="n"/>
      <c r="I297" s="669" t="n"/>
      <c r="J297" s="669" t="n"/>
      <c r="K297" s="669" t="n"/>
      <c r="L297" s="669" t="n"/>
      <c r="M297" s="669" t="n"/>
      <c r="N297" s="669" t="n"/>
      <c r="O297" s="669" t="n"/>
      <c r="P297" s="669" t="n"/>
      <c r="Q297" s="669" t="n"/>
      <c r="R297" s="669" t="n"/>
      <c r="S297" s="669" t="n"/>
      <c r="T297" s="669" t="n"/>
      <c r="U297" s="669" t="n"/>
      <c r="V297" s="669" t="n"/>
      <c r="W297" s="669" t="n"/>
      <c r="X297" s="669" t="n"/>
      <c r="Y297" s="669" t="n"/>
      <c r="Z297" s="669" t="n"/>
    </row>
    <row r="298">
      <c r="A298" s="669" t="n"/>
      <c r="B298" s="669" t="n"/>
      <c r="C298" s="669" t="n"/>
      <c r="D298" s="669" t="n"/>
      <c r="E298" s="669" t="n"/>
      <c r="F298" s="669" t="n"/>
      <c r="G298" s="669" t="n"/>
      <c r="H298" s="669" t="n"/>
      <c r="I298" s="669" t="n"/>
      <c r="J298" s="669" t="n"/>
      <c r="K298" s="669" t="n"/>
      <c r="L298" s="669" t="n"/>
      <c r="M298" s="669" t="n"/>
      <c r="N298" s="669" t="n"/>
      <c r="O298" s="669" t="n"/>
      <c r="P298" s="669" t="n"/>
      <c r="Q298" s="669" t="n"/>
      <c r="R298" s="669" t="n"/>
      <c r="S298" s="669" t="n"/>
      <c r="T298" s="669" t="n"/>
      <c r="U298" s="669" t="n"/>
      <c r="V298" s="669" t="n"/>
      <c r="W298" s="669" t="n"/>
      <c r="X298" s="669" t="n"/>
      <c r="Y298" s="669" t="n"/>
      <c r="Z298" s="669" t="n"/>
    </row>
    <row r="299">
      <c r="A299" s="669" t="n"/>
      <c r="B299" s="669" t="n"/>
      <c r="C299" s="669" t="n"/>
      <c r="D299" s="669" t="n"/>
      <c r="E299" s="669" t="n"/>
      <c r="F299" s="669" t="n"/>
      <c r="G299" s="669" t="n"/>
      <c r="H299" s="669" t="n"/>
      <c r="I299" s="669" t="n"/>
      <c r="J299" s="669" t="n"/>
      <c r="K299" s="669" t="n"/>
      <c r="L299" s="669" t="n"/>
      <c r="M299" s="669" t="n"/>
      <c r="N299" s="669" t="n"/>
      <c r="O299" s="669" t="n"/>
      <c r="P299" s="669" t="n"/>
      <c r="Q299" s="669" t="n"/>
      <c r="R299" s="669" t="n"/>
      <c r="S299" s="669" t="n"/>
      <c r="T299" s="669" t="n"/>
      <c r="U299" s="669" t="n"/>
      <c r="V299" s="669" t="n"/>
      <c r="W299" s="669" t="n"/>
      <c r="X299" s="669" t="n"/>
      <c r="Y299" s="669" t="n"/>
      <c r="Z299" s="669" t="n"/>
    </row>
    <row r="300">
      <c r="A300" s="669" t="n"/>
      <c r="B300" s="669" t="n"/>
      <c r="C300" s="669" t="n"/>
      <c r="D300" s="669" t="n"/>
      <c r="E300" s="669" t="n"/>
      <c r="F300" s="669" t="n"/>
      <c r="G300" s="669" t="n"/>
      <c r="H300" s="669" t="n"/>
      <c r="I300" s="669" t="n"/>
      <c r="J300" s="669" t="n"/>
      <c r="K300" s="669" t="n"/>
      <c r="L300" s="669" t="n"/>
      <c r="M300" s="669" t="n"/>
      <c r="N300" s="669" t="n"/>
      <c r="O300" s="669" t="n"/>
      <c r="P300" s="669" t="n"/>
      <c r="Q300" s="669" t="n"/>
      <c r="R300" s="669" t="n"/>
      <c r="S300" s="669" t="n"/>
      <c r="T300" s="669" t="n"/>
      <c r="U300" s="669" t="n"/>
      <c r="V300" s="669" t="n"/>
      <c r="W300" s="669" t="n"/>
      <c r="X300" s="669" t="n"/>
      <c r="Y300" s="669" t="n"/>
      <c r="Z300" s="669" t="n"/>
    </row>
    <row r="301">
      <c r="A301" s="669" t="n"/>
      <c r="B301" s="669" t="n"/>
      <c r="C301" s="669" t="n"/>
      <c r="D301" s="669" t="n"/>
      <c r="E301" s="669" t="n"/>
      <c r="F301" s="669" t="n"/>
      <c r="G301" s="669" t="n"/>
      <c r="H301" s="669" t="n"/>
      <c r="I301" s="669" t="n"/>
      <c r="J301" s="669" t="n"/>
      <c r="K301" s="669" t="n"/>
      <c r="L301" s="669" t="n"/>
      <c r="M301" s="669" t="n"/>
      <c r="N301" s="669" t="n"/>
      <c r="O301" s="669" t="n"/>
      <c r="P301" s="669" t="n"/>
      <c r="Q301" s="669" t="n"/>
      <c r="R301" s="669" t="n"/>
      <c r="S301" s="669" t="n"/>
      <c r="T301" s="669" t="n"/>
      <c r="U301" s="669" t="n"/>
      <c r="V301" s="669" t="n"/>
      <c r="W301" s="669" t="n"/>
      <c r="X301" s="669" t="n"/>
      <c r="Y301" s="669" t="n"/>
      <c r="Z301" s="669" t="n"/>
    </row>
    <row r="302">
      <c r="A302" s="669" t="n"/>
      <c r="B302" s="669" t="n"/>
      <c r="C302" s="669" t="n"/>
      <c r="D302" s="669" t="n"/>
      <c r="E302" s="669" t="n"/>
      <c r="F302" s="669" t="n"/>
      <c r="G302" s="669" t="n"/>
      <c r="H302" s="669" t="n"/>
      <c r="I302" s="669" t="n"/>
      <c r="J302" s="669" t="n"/>
      <c r="K302" s="669" t="n"/>
      <c r="L302" s="669" t="n"/>
      <c r="M302" s="669" t="n"/>
      <c r="N302" s="669" t="n"/>
      <c r="O302" s="669" t="n"/>
      <c r="P302" s="669" t="n"/>
      <c r="Q302" s="669" t="n"/>
      <c r="R302" s="669" t="n"/>
      <c r="S302" s="669" t="n"/>
      <c r="T302" s="669" t="n"/>
      <c r="U302" s="669" t="n"/>
      <c r="V302" s="669" t="n"/>
      <c r="W302" s="669" t="n"/>
      <c r="X302" s="669" t="n"/>
      <c r="Y302" s="669" t="n"/>
      <c r="Z302" s="669" t="n"/>
    </row>
    <row r="303">
      <c r="A303" s="669" t="n"/>
      <c r="B303" s="669" t="n"/>
      <c r="C303" s="669" t="n"/>
      <c r="D303" s="669" t="n"/>
      <c r="E303" s="669" t="n"/>
      <c r="F303" s="669" t="n"/>
      <c r="G303" s="669" t="n"/>
      <c r="H303" s="669" t="n"/>
      <c r="I303" s="669" t="n"/>
      <c r="J303" s="669" t="n"/>
      <c r="K303" s="669" t="n"/>
      <c r="L303" s="669" t="n"/>
      <c r="M303" s="669" t="n"/>
      <c r="N303" s="669" t="n"/>
      <c r="O303" s="669" t="n"/>
      <c r="P303" s="669" t="n"/>
      <c r="Q303" s="669" t="n"/>
      <c r="R303" s="669" t="n"/>
      <c r="S303" s="669" t="n"/>
      <c r="T303" s="669" t="n"/>
      <c r="U303" s="669" t="n"/>
      <c r="V303" s="669" t="n"/>
      <c r="W303" s="669" t="n"/>
      <c r="X303" s="669" t="n"/>
      <c r="Y303" s="669" t="n"/>
      <c r="Z303" s="669" t="n"/>
    </row>
    <row r="304">
      <c r="A304" s="669" t="n"/>
      <c r="B304" s="669" t="n"/>
      <c r="C304" s="669" t="n"/>
      <c r="D304" s="669" t="n"/>
      <c r="E304" s="669" t="n"/>
      <c r="F304" s="669" t="n"/>
      <c r="G304" s="669" t="n"/>
      <c r="H304" s="669" t="n"/>
      <c r="I304" s="669" t="n"/>
      <c r="J304" s="669" t="n"/>
      <c r="K304" s="669" t="n"/>
      <c r="L304" s="669" t="n"/>
      <c r="M304" s="669" t="n"/>
      <c r="N304" s="669" t="n"/>
      <c r="O304" s="669" t="n"/>
      <c r="P304" s="669" t="n"/>
      <c r="Q304" s="669" t="n"/>
      <c r="R304" s="669" t="n"/>
      <c r="S304" s="669" t="n"/>
      <c r="T304" s="669" t="n"/>
      <c r="U304" s="669" t="n"/>
      <c r="V304" s="669" t="n"/>
      <c r="W304" s="669" t="n"/>
      <c r="X304" s="669" t="n"/>
      <c r="Y304" s="669" t="n"/>
      <c r="Z304" s="669" t="n"/>
    </row>
    <row r="305">
      <c r="A305" s="669" t="n"/>
      <c r="B305" s="669" t="n"/>
      <c r="C305" s="669" t="n"/>
      <c r="D305" s="669" t="n"/>
      <c r="E305" s="669" t="n"/>
      <c r="F305" s="669" t="n"/>
      <c r="G305" s="669" t="n"/>
      <c r="H305" s="669" t="n"/>
      <c r="I305" s="669" t="n"/>
      <c r="J305" s="669" t="n"/>
      <c r="K305" s="669" t="n"/>
      <c r="L305" s="669" t="n"/>
      <c r="M305" s="669" t="n"/>
      <c r="N305" s="669" t="n"/>
      <c r="O305" s="669" t="n"/>
      <c r="P305" s="669" t="n"/>
      <c r="Q305" s="669" t="n"/>
      <c r="R305" s="669" t="n"/>
      <c r="S305" s="669" t="n"/>
      <c r="T305" s="669" t="n"/>
      <c r="U305" s="669" t="n"/>
      <c r="V305" s="669" t="n"/>
      <c r="W305" s="669" t="n"/>
      <c r="X305" s="669" t="n"/>
      <c r="Y305" s="669" t="n"/>
      <c r="Z305" s="669" t="n"/>
    </row>
    <row r="306">
      <c r="A306" s="669" t="n"/>
      <c r="B306" s="669" t="n"/>
      <c r="C306" s="669" t="n"/>
      <c r="D306" s="669" t="n"/>
      <c r="E306" s="669" t="n"/>
      <c r="F306" s="669" t="n"/>
      <c r="G306" s="669" t="n"/>
      <c r="H306" s="669" t="n"/>
      <c r="I306" s="669" t="n"/>
      <c r="J306" s="669" t="n"/>
      <c r="K306" s="669" t="n"/>
      <c r="L306" s="669" t="n"/>
      <c r="M306" s="669" t="n"/>
      <c r="N306" s="669" t="n"/>
      <c r="O306" s="669" t="n"/>
      <c r="P306" s="669" t="n"/>
      <c r="Q306" s="669" t="n"/>
      <c r="R306" s="669" t="n"/>
      <c r="S306" s="669" t="n"/>
      <c r="T306" s="669" t="n"/>
      <c r="U306" s="669" t="n"/>
      <c r="V306" s="669" t="n"/>
      <c r="W306" s="669" t="n"/>
      <c r="X306" s="669" t="n"/>
      <c r="Y306" s="669" t="n"/>
      <c r="Z306" s="669" t="n"/>
    </row>
    <row r="307">
      <c r="A307" s="669" t="n"/>
      <c r="B307" s="669" t="n"/>
      <c r="C307" s="669" t="n"/>
      <c r="D307" s="669" t="n"/>
      <c r="E307" s="669" t="n"/>
      <c r="F307" s="669" t="n"/>
      <c r="G307" s="669" t="n"/>
      <c r="H307" s="669" t="n"/>
      <c r="I307" s="669" t="n"/>
      <c r="J307" s="669" t="n"/>
      <c r="K307" s="669" t="n"/>
      <c r="L307" s="669" t="n"/>
      <c r="M307" s="669" t="n"/>
      <c r="N307" s="669" t="n"/>
      <c r="O307" s="669" t="n"/>
      <c r="P307" s="669" t="n"/>
      <c r="Q307" s="669" t="n"/>
      <c r="R307" s="669" t="n"/>
      <c r="S307" s="669" t="n"/>
      <c r="T307" s="669" t="n"/>
      <c r="U307" s="669" t="n"/>
      <c r="V307" s="669" t="n"/>
      <c r="W307" s="669" t="n"/>
      <c r="X307" s="669" t="n"/>
      <c r="Y307" s="669" t="n"/>
      <c r="Z307" s="669" t="n"/>
    </row>
    <row r="308">
      <c r="A308" s="669" t="n"/>
      <c r="B308" s="669" t="n"/>
      <c r="C308" s="669" t="n"/>
      <c r="D308" s="669" t="n"/>
      <c r="E308" s="669" t="n"/>
      <c r="F308" s="669" t="n"/>
      <c r="G308" s="669" t="n"/>
      <c r="H308" s="669" t="n"/>
      <c r="I308" s="669" t="n"/>
      <c r="J308" s="669" t="n"/>
      <c r="K308" s="669" t="n"/>
      <c r="L308" s="669" t="n"/>
      <c r="M308" s="669" t="n"/>
      <c r="N308" s="669" t="n"/>
      <c r="O308" s="669" t="n"/>
      <c r="P308" s="669" t="n"/>
      <c r="Q308" s="669" t="n"/>
      <c r="R308" s="669" t="n"/>
      <c r="S308" s="669" t="n"/>
      <c r="T308" s="669" t="n"/>
      <c r="U308" s="669" t="n"/>
      <c r="V308" s="669" t="n"/>
      <c r="W308" s="669" t="n"/>
      <c r="X308" s="669" t="n"/>
      <c r="Y308" s="669" t="n"/>
      <c r="Z308" s="669" t="n"/>
    </row>
    <row r="309">
      <c r="A309" s="669" t="n"/>
      <c r="B309" s="669" t="n"/>
      <c r="C309" s="669" t="n"/>
      <c r="D309" s="669" t="n"/>
      <c r="E309" s="669" t="n"/>
      <c r="F309" s="669" t="n"/>
      <c r="G309" s="669" t="n"/>
      <c r="H309" s="669" t="n"/>
      <c r="I309" s="669" t="n"/>
      <c r="J309" s="669" t="n"/>
      <c r="K309" s="669" t="n"/>
      <c r="L309" s="669" t="n"/>
      <c r="M309" s="669" t="n"/>
      <c r="N309" s="669" t="n"/>
      <c r="O309" s="669" t="n"/>
      <c r="P309" s="669" t="n"/>
      <c r="Q309" s="669" t="n"/>
      <c r="R309" s="669" t="n"/>
      <c r="S309" s="669" t="n"/>
      <c r="T309" s="669" t="n"/>
      <c r="U309" s="669" t="n"/>
      <c r="V309" s="669" t="n"/>
      <c r="W309" s="669" t="n"/>
      <c r="X309" s="669" t="n"/>
      <c r="Y309" s="669" t="n"/>
      <c r="Z309" s="669" t="n"/>
    </row>
    <row r="310">
      <c r="A310" s="669" t="n"/>
      <c r="B310" s="669" t="n"/>
      <c r="C310" s="669" t="n"/>
      <c r="D310" s="669" t="n"/>
      <c r="E310" s="669" t="n"/>
      <c r="F310" s="669" t="n"/>
      <c r="G310" s="669" t="n"/>
      <c r="H310" s="669" t="n"/>
      <c r="I310" s="669" t="n"/>
      <c r="J310" s="669" t="n"/>
      <c r="K310" s="669" t="n"/>
      <c r="L310" s="669" t="n"/>
      <c r="M310" s="669" t="n"/>
      <c r="N310" s="669" t="n"/>
      <c r="O310" s="669" t="n"/>
      <c r="P310" s="669" t="n"/>
      <c r="Q310" s="669" t="n"/>
      <c r="R310" s="669" t="n"/>
      <c r="S310" s="669" t="n"/>
      <c r="T310" s="669" t="n"/>
      <c r="U310" s="669" t="n"/>
      <c r="V310" s="669" t="n"/>
      <c r="W310" s="669" t="n"/>
      <c r="X310" s="669" t="n"/>
      <c r="Y310" s="669" t="n"/>
      <c r="Z310" s="669" t="n"/>
    </row>
    <row r="311">
      <c r="A311" s="669" t="n"/>
      <c r="B311" s="669" t="n"/>
      <c r="C311" s="669" t="n"/>
      <c r="D311" s="669" t="n"/>
      <c r="E311" s="669" t="n"/>
      <c r="F311" s="669" t="n"/>
      <c r="G311" s="669" t="n"/>
      <c r="H311" s="669" t="n"/>
      <c r="I311" s="669" t="n"/>
      <c r="J311" s="669" t="n"/>
      <c r="K311" s="669" t="n"/>
      <c r="L311" s="669" t="n"/>
      <c r="M311" s="669" t="n"/>
      <c r="N311" s="669" t="n"/>
      <c r="O311" s="669" t="n"/>
      <c r="P311" s="669" t="n"/>
      <c r="Q311" s="669" t="n"/>
      <c r="R311" s="669" t="n"/>
      <c r="S311" s="669" t="n"/>
      <c r="T311" s="669" t="n"/>
      <c r="U311" s="669" t="n"/>
      <c r="V311" s="669" t="n"/>
      <c r="W311" s="669" t="n"/>
      <c r="X311" s="669" t="n"/>
      <c r="Y311" s="669" t="n"/>
      <c r="Z311" s="669" t="n"/>
    </row>
    <row r="312">
      <c r="A312" s="669" t="n"/>
      <c r="B312" s="669" t="n"/>
      <c r="C312" s="669" t="n"/>
      <c r="D312" s="669" t="n"/>
      <c r="E312" s="669" t="n"/>
      <c r="F312" s="669" t="n"/>
      <c r="G312" s="669" t="n"/>
      <c r="H312" s="669" t="n"/>
      <c r="I312" s="669" t="n"/>
      <c r="J312" s="669" t="n"/>
      <c r="K312" s="669" t="n"/>
      <c r="L312" s="669" t="n"/>
      <c r="M312" s="669" t="n"/>
      <c r="N312" s="669" t="n"/>
      <c r="O312" s="669" t="n"/>
      <c r="P312" s="669" t="n"/>
      <c r="Q312" s="669" t="n"/>
      <c r="R312" s="669" t="n"/>
      <c r="S312" s="669" t="n"/>
      <c r="T312" s="669" t="n"/>
      <c r="U312" s="669" t="n"/>
      <c r="V312" s="669" t="n"/>
      <c r="W312" s="669" t="n"/>
      <c r="X312" s="669" t="n"/>
      <c r="Y312" s="669" t="n"/>
      <c r="Z312" s="669" t="n"/>
    </row>
    <row r="313">
      <c r="A313" s="669" t="n"/>
      <c r="B313" s="669" t="n"/>
      <c r="C313" s="669" t="n"/>
      <c r="D313" s="669" t="n"/>
      <c r="E313" s="669" t="n"/>
      <c r="F313" s="669" t="n"/>
      <c r="G313" s="669" t="n"/>
      <c r="H313" s="669" t="n"/>
      <c r="I313" s="669" t="n"/>
      <c r="J313" s="669" t="n"/>
      <c r="K313" s="669" t="n"/>
      <c r="L313" s="669" t="n"/>
      <c r="M313" s="669" t="n"/>
      <c r="N313" s="669" t="n"/>
      <c r="O313" s="669" t="n"/>
      <c r="P313" s="669" t="n"/>
      <c r="Q313" s="669" t="n"/>
      <c r="R313" s="669" t="n"/>
      <c r="S313" s="669" t="n"/>
      <c r="T313" s="669" t="n"/>
      <c r="U313" s="669" t="n"/>
      <c r="V313" s="669" t="n"/>
      <c r="W313" s="669" t="n"/>
      <c r="X313" s="669" t="n"/>
      <c r="Y313" s="669" t="n"/>
      <c r="Z313" s="669" t="n"/>
    </row>
    <row r="314">
      <c r="A314" s="669" t="n"/>
      <c r="B314" s="669" t="n"/>
      <c r="C314" s="669" t="n"/>
      <c r="D314" s="669" t="n"/>
      <c r="E314" s="669" t="n"/>
      <c r="F314" s="669" t="n"/>
      <c r="G314" s="669" t="n"/>
      <c r="H314" s="669" t="n"/>
      <c r="I314" s="669" t="n"/>
      <c r="J314" s="669" t="n"/>
      <c r="K314" s="669" t="n"/>
      <c r="L314" s="669" t="n"/>
      <c r="M314" s="669" t="n"/>
      <c r="N314" s="669" t="n"/>
      <c r="O314" s="669" t="n"/>
      <c r="P314" s="669" t="n"/>
      <c r="Q314" s="669" t="n"/>
      <c r="R314" s="669" t="n"/>
      <c r="S314" s="669" t="n"/>
      <c r="T314" s="669" t="n"/>
      <c r="U314" s="669" t="n"/>
      <c r="V314" s="669" t="n"/>
      <c r="W314" s="669" t="n"/>
      <c r="X314" s="669" t="n"/>
      <c r="Y314" s="669" t="n"/>
      <c r="Z314" s="669" t="n"/>
    </row>
    <row r="315">
      <c r="A315" s="669" t="n"/>
      <c r="B315" s="669" t="n"/>
      <c r="C315" s="669" t="n"/>
      <c r="D315" s="669" t="n"/>
      <c r="E315" s="669" t="n"/>
      <c r="F315" s="669" t="n"/>
      <c r="G315" s="669" t="n"/>
      <c r="H315" s="669" t="n"/>
      <c r="I315" s="669" t="n"/>
      <c r="J315" s="669" t="n"/>
      <c r="K315" s="669" t="n"/>
      <c r="L315" s="669" t="n"/>
      <c r="M315" s="669" t="n"/>
      <c r="N315" s="669" t="n"/>
      <c r="O315" s="669" t="n"/>
      <c r="P315" s="669" t="n"/>
      <c r="Q315" s="669" t="n"/>
      <c r="R315" s="669" t="n"/>
      <c r="S315" s="669" t="n"/>
      <c r="T315" s="669" t="n"/>
      <c r="U315" s="669" t="n"/>
      <c r="V315" s="669" t="n"/>
      <c r="W315" s="669" t="n"/>
      <c r="X315" s="669" t="n"/>
      <c r="Y315" s="669" t="n"/>
      <c r="Z315" s="669" t="n"/>
    </row>
    <row r="316">
      <c r="A316" s="669" t="n"/>
      <c r="B316" s="669" t="n"/>
      <c r="C316" s="669" t="n"/>
      <c r="D316" s="669" t="n"/>
      <c r="E316" s="669" t="n"/>
      <c r="F316" s="669" t="n"/>
      <c r="G316" s="669" t="n"/>
      <c r="H316" s="669" t="n"/>
      <c r="I316" s="669" t="n"/>
      <c r="J316" s="669" t="n"/>
      <c r="K316" s="669" t="n"/>
      <c r="L316" s="669" t="n"/>
      <c r="M316" s="669" t="n"/>
      <c r="N316" s="669" t="n"/>
      <c r="O316" s="669" t="n"/>
      <c r="P316" s="669" t="n"/>
      <c r="Q316" s="669" t="n"/>
      <c r="R316" s="669" t="n"/>
      <c r="S316" s="669" t="n"/>
      <c r="T316" s="669" t="n"/>
      <c r="U316" s="669" t="n"/>
      <c r="V316" s="669" t="n"/>
      <c r="W316" s="669" t="n"/>
      <c r="X316" s="669" t="n"/>
      <c r="Y316" s="669" t="n"/>
      <c r="Z316" s="669" t="n"/>
    </row>
    <row r="317">
      <c r="A317" s="669" t="n"/>
      <c r="B317" s="669" t="n"/>
      <c r="C317" s="669" t="n"/>
      <c r="D317" s="669" t="n"/>
      <c r="E317" s="669" t="n"/>
      <c r="F317" s="669" t="n"/>
      <c r="G317" s="669" t="n"/>
      <c r="H317" s="669" t="n"/>
      <c r="I317" s="669" t="n"/>
      <c r="J317" s="669" t="n"/>
      <c r="K317" s="669" t="n"/>
      <c r="L317" s="669" t="n"/>
      <c r="M317" s="669" t="n"/>
      <c r="N317" s="669" t="n"/>
      <c r="O317" s="669" t="n"/>
      <c r="P317" s="669" t="n"/>
      <c r="Q317" s="669" t="n"/>
      <c r="R317" s="669" t="n"/>
      <c r="S317" s="669" t="n"/>
      <c r="T317" s="669" t="n"/>
      <c r="U317" s="669" t="n"/>
      <c r="V317" s="669" t="n"/>
      <c r="W317" s="669" t="n"/>
      <c r="X317" s="669" t="n"/>
      <c r="Y317" s="669" t="n"/>
      <c r="Z317" s="669" t="n"/>
    </row>
    <row r="318">
      <c r="A318" s="669" t="n"/>
      <c r="B318" s="669" t="n"/>
      <c r="C318" s="669" t="n"/>
      <c r="D318" s="669" t="n"/>
      <c r="E318" s="669" t="n"/>
      <c r="F318" s="669" t="n"/>
      <c r="G318" s="669" t="n"/>
      <c r="H318" s="669" t="n"/>
      <c r="I318" s="669" t="n"/>
      <c r="J318" s="669" t="n"/>
      <c r="K318" s="669" t="n"/>
      <c r="L318" s="669" t="n"/>
      <c r="M318" s="669" t="n"/>
      <c r="N318" s="669" t="n"/>
      <c r="O318" s="669" t="n"/>
      <c r="P318" s="669" t="n"/>
      <c r="Q318" s="669" t="n"/>
      <c r="R318" s="669" t="n"/>
      <c r="S318" s="669" t="n"/>
      <c r="T318" s="669" t="n"/>
      <c r="U318" s="669" t="n"/>
      <c r="V318" s="669" t="n"/>
      <c r="W318" s="669" t="n"/>
      <c r="X318" s="669" t="n"/>
      <c r="Y318" s="669" t="n"/>
      <c r="Z318" s="669" t="n"/>
    </row>
    <row r="319">
      <c r="A319" s="669" t="n"/>
      <c r="B319" s="669" t="n"/>
      <c r="C319" s="669" t="n"/>
      <c r="D319" s="669" t="n"/>
      <c r="E319" s="669" t="n"/>
      <c r="F319" s="669" t="n"/>
      <c r="G319" s="669" t="n"/>
      <c r="H319" s="669" t="n"/>
      <c r="I319" s="669" t="n"/>
      <c r="J319" s="669" t="n"/>
      <c r="K319" s="669" t="n"/>
      <c r="L319" s="669" t="n"/>
      <c r="M319" s="669" t="n"/>
      <c r="N319" s="669" t="n"/>
      <c r="O319" s="669" t="n"/>
      <c r="P319" s="669" t="n"/>
      <c r="Q319" s="669" t="n"/>
      <c r="R319" s="669" t="n"/>
      <c r="S319" s="669" t="n"/>
      <c r="T319" s="669" t="n"/>
      <c r="U319" s="669" t="n"/>
      <c r="V319" s="669" t="n"/>
      <c r="W319" s="669" t="n"/>
      <c r="X319" s="669" t="n"/>
      <c r="Y319" s="669" t="n"/>
      <c r="Z319" s="669" t="n"/>
    </row>
    <row r="320">
      <c r="A320" s="669" t="n"/>
      <c r="B320" s="669" t="n"/>
      <c r="C320" s="669" t="n"/>
      <c r="D320" s="669" t="n"/>
      <c r="E320" s="669" t="n"/>
      <c r="F320" s="669" t="n"/>
      <c r="G320" s="669" t="n"/>
      <c r="H320" s="669" t="n"/>
      <c r="I320" s="669" t="n"/>
      <c r="J320" s="669" t="n"/>
      <c r="K320" s="669" t="n"/>
      <c r="L320" s="669" t="n"/>
      <c r="M320" s="669" t="n"/>
      <c r="N320" s="669" t="n"/>
      <c r="O320" s="669" t="n"/>
      <c r="P320" s="669" t="n"/>
      <c r="Q320" s="669" t="n"/>
      <c r="R320" s="669" t="n"/>
      <c r="S320" s="669" t="n"/>
      <c r="T320" s="669" t="n"/>
      <c r="U320" s="669" t="n"/>
      <c r="V320" s="669" t="n"/>
      <c r="W320" s="669" t="n"/>
      <c r="X320" s="669" t="n"/>
      <c r="Y320" s="669" t="n"/>
      <c r="Z320" s="669" t="n"/>
    </row>
    <row r="321">
      <c r="A321" s="669" t="n"/>
      <c r="B321" s="669" t="n"/>
      <c r="C321" s="669" t="n"/>
      <c r="D321" s="669" t="n"/>
      <c r="E321" s="669" t="n"/>
      <c r="F321" s="669" t="n"/>
      <c r="G321" s="669" t="n"/>
      <c r="H321" s="669" t="n"/>
      <c r="I321" s="669" t="n"/>
      <c r="J321" s="669" t="n"/>
      <c r="K321" s="669" t="n"/>
      <c r="L321" s="669" t="n"/>
      <c r="M321" s="669" t="n"/>
      <c r="N321" s="669" t="n"/>
      <c r="O321" s="669" t="n"/>
      <c r="P321" s="669" t="n"/>
      <c r="Q321" s="669" t="n"/>
      <c r="R321" s="669" t="n"/>
      <c r="S321" s="669" t="n"/>
      <c r="T321" s="669" t="n"/>
      <c r="U321" s="669" t="n"/>
      <c r="V321" s="669" t="n"/>
      <c r="W321" s="669" t="n"/>
      <c r="X321" s="669" t="n"/>
      <c r="Y321" s="669" t="n"/>
      <c r="Z321" s="669" t="n"/>
    </row>
    <row r="322">
      <c r="A322" s="669" t="n"/>
      <c r="B322" s="669" t="n"/>
      <c r="C322" s="669" t="n"/>
      <c r="D322" s="669" t="n"/>
      <c r="E322" s="669" t="n"/>
      <c r="F322" s="669" t="n"/>
      <c r="G322" s="669" t="n"/>
      <c r="H322" s="669" t="n"/>
      <c r="I322" s="669" t="n"/>
      <c r="J322" s="669" t="n"/>
      <c r="K322" s="669" t="n"/>
      <c r="L322" s="669" t="n"/>
      <c r="M322" s="669" t="n"/>
      <c r="N322" s="669" t="n"/>
      <c r="O322" s="669" t="n"/>
      <c r="P322" s="669" t="n"/>
      <c r="Q322" s="669" t="n"/>
      <c r="R322" s="669" t="n"/>
      <c r="S322" s="669" t="n"/>
      <c r="T322" s="669" t="n"/>
      <c r="U322" s="669" t="n"/>
      <c r="V322" s="669" t="n"/>
      <c r="W322" s="669" t="n"/>
      <c r="X322" s="669" t="n"/>
      <c r="Y322" s="669" t="n"/>
      <c r="Z322" s="669" t="n"/>
    </row>
    <row r="323">
      <c r="A323" s="669" t="n"/>
      <c r="B323" s="669" t="n"/>
      <c r="C323" s="669" t="n"/>
      <c r="D323" s="669" t="n"/>
      <c r="E323" s="669" t="n"/>
      <c r="F323" s="669" t="n"/>
      <c r="G323" s="669" t="n"/>
      <c r="H323" s="669" t="n"/>
      <c r="I323" s="669" t="n"/>
      <c r="J323" s="669" t="n"/>
      <c r="K323" s="669" t="n"/>
      <c r="L323" s="669" t="n"/>
      <c r="M323" s="669" t="n"/>
      <c r="N323" s="669" t="n"/>
      <c r="O323" s="669" t="n"/>
      <c r="P323" s="669" t="n"/>
      <c r="Q323" s="669" t="n"/>
      <c r="R323" s="669" t="n"/>
      <c r="S323" s="669" t="n"/>
      <c r="T323" s="669" t="n"/>
      <c r="U323" s="669" t="n"/>
      <c r="V323" s="669" t="n"/>
      <c r="W323" s="669" t="n"/>
      <c r="X323" s="669" t="n"/>
      <c r="Y323" s="669" t="n"/>
      <c r="Z323" s="669" t="n"/>
    </row>
    <row r="324">
      <c r="A324" s="669" t="n"/>
      <c r="B324" s="669" t="n"/>
      <c r="C324" s="669" t="n"/>
      <c r="D324" s="669" t="n"/>
      <c r="E324" s="669" t="n"/>
      <c r="F324" s="669" t="n"/>
      <c r="G324" s="669" t="n"/>
      <c r="H324" s="669" t="n"/>
      <c r="I324" s="669" t="n"/>
      <c r="J324" s="669" t="n"/>
      <c r="K324" s="669" t="n"/>
      <c r="L324" s="669" t="n"/>
      <c r="M324" s="669" t="n"/>
      <c r="N324" s="669" t="n"/>
      <c r="O324" s="669" t="n"/>
      <c r="P324" s="669" t="n"/>
      <c r="Q324" s="669" t="n"/>
      <c r="R324" s="669" t="n"/>
      <c r="S324" s="669" t="n"/>
      <c r="T324" s="669" t="n"/>
      <c r="U324" s="669" t="n"/>
      <c r="V324" s="669" t="n"/>
      <c r="W324" s="669" t="n"/>
      <c r="X324" s="669" t="n"/>
      <c r="Y324" s="669" t="n"/>
      <c r="Z324" s="669" t="n"/>
    </row>
    <row r="325">
      <c r="A325" s="669" t="n"/>
      <c r="B325" s="669" t="n"/>
      <c r="C325" s="669" t="n"/>
      <c r="D325" s="669" t="n"/>
      <c r="E325" s="669" t="n"/>
      <c r="F325" s="669" t="n"/>
      <c r="G325" s="669" t="n"/>
      <c r="H325" s="669" t="n"/>
      <c r="I325" s="669" t="n"/>
      <c r="J325" s="669" t="n"/>
      <c r="K325" s="669" t="n"/>
      <c r="L325" s="669" t="n"/>
      <c r="M325" s="669" t="n"/>
      <c r="N325" s="669" t="n"/>
      <c r="O325" s="669" t="n"/>
      <c r="P325" s="669" t="n"/>
      <c r="Q325" s="669" t="n"/>
      <c r="R325" s="669" t="n"/>
      <c r="S325" s="669" t="n"/>
      <c r="T325" s="669" t="n"/>
      <c r="U325" s="669" t="n"/>
      <c r="V325" s="669" t="n"/>
      <c r="W325" s="669" t="n"/>
      <c r="X325" s="669" t="n"/>
      <c r="Y325" s="669" t="n"/>
      <c r="Z325" s="669" t="n"/>
    </row>
    <row r="326">
      <c r="A326" s="669" t="n"/>
      <c r="B326" s="669" t="n"/>
      <c r="C326" s="669" t="n"/>
      <c r="D326" s="669" t="n"/>
      <c r="E326" s="669" t="n"/>
      <c r="F326" s="669" t="n"/>
      <c r="G326" s="669" t="n"/>
      <c r="H326" s="669" t="n"/>
      <c r="I326" s="669" t="n"/>
      <c r="J326" s="669" t="n"/>
      <c r="K326" s="669" t="n"/>
      <c r="L326" s="669" t="n"/>
      <c r="M326" s="669" t="n"/>
      <c r="N326" s="669" t="n"/>
      <c r="O326" s="669" t="n"/>
      <c r="P326" s="669" t="n"/>
      <c r="Q326" s="669" t="n"/>
      <c r="R326" s="669" t="n"/>
      <c r="S326" s="669" t="n"/>
      <c r="T326" s="669" t="n"/>
      <c r="U326" s="669" t="n"/>
      <c r="V326" s="669" t="n"/>
      <c r="W326" s="669" t="n"/>
      <c r="X326" s="669" t="n"/>
      <c r="Y326" s="669" t="n"/>
      <c r="Z326" s="669" t="n"/>
    </row>
    <row r="327">
      <c r="A327" s="669" t="n"/>
      <c r="B327" s="669" t="n"/>
      <c r="C327" s="669" t="n"/>
      <c r="D327" s="669" t="n"/>
      <c r="E327" s="669" t="n"/>
      <c r="F327" s="669" t="n"/>
      <c r="G327" s="669" t="n"/>
      <c r="H327" s="669" t="n"/>
      <c r="I327" s="669" t="n"/>
      <c r="J327" s="669" t="n"/>
      <c r="K327" s="669" t="n"/>
      <c r="L327" s="669" t="n"/>
      <c r="M327" s="669" t="n"/>
      <c r="N327" s="669" t="n"/>
      <c r="O327" s="669" t="n"/>
      <c r="P327" s="669" t="n"/>
      <c r="Q327" s="669" t="n"/>
      <c r="R327" s="669" t="n"/>
      <c r="S327" s="669" t="n"/>
      <c r="T327" s="669" t="n"/>
      <c r="U327" s="669" t="n"/>
      <c r="V327" s="669" t="n"/>
      <c r="W327" s="669" t="n"/>
      <c r="X327" s="669" t="n"/>
      <c r="Y327" s="669" t="n"/>
      <c r="Z327" s="669" t="n"/>
    </row>
    <row r="328">
      <c r="A328" s="669" t="n"/>
      <c r="B328" s="669" t="n"/>
      <c r="C328" s="669" t="n"/>
      <c r="D328" s="669" t="n"/>
      <c r="E328" s="669" t="n"/>
      <c r="F328" s="669" t="n"/>
      <c r="G328" s="669" t="n"/>
      <c r="H328" s="669" t="n"/>
      <c r="I328" s="669" t="n"/>
      <c r="J328" s="669" t="n"/>
      <c r="K328" s="669" t="n"/>
      <c r="L328" s="669" t="n"/>
      <c r="M328" s="669" t="n"/>
      <c r="N328" s="669" t="n"/>
      <c r="O328" s="669" t="n"/>
      <c r="P328" s="669" t="n"/>
      <c r="Q328" s="669" t="n"/>
      <c r="R328" s="669" t="n"/>
      <c r="S328" s="669" t="n"/>
      <c r="T328" s="669" t="n"/>
      <c r="U328" s="669" t="n"/>
      <c r="V328" s="669" t="n"/>
      <c r="W328" s="669" t="n"/>
      <c r="X328" s="669" t="n"/>
      <c r="Y328" s="669" t="n"/>
      <c r="Z328" s="669" t="n"/>
    </row>
    <row r="329">
      <c r="A329" s="669" t="n"/>
      <c r="B329" s="669" t="n"/>
      <c r="C329" s="669" t="n"/>
      <c r="D329" s="669" t="n"/>
      <c r="E329" s="669" t="n"/>
      <c r="F329" s="669" t="n"/>
      <c r="G329" s="669" t="n"/>
      <c r="H329" s="669" t="n"/>
      <c r="I329" s="669" t="n"/>
      <c r="J329" s="669" t="n"/>
      <c r="K329" s="669" t="n"/>
      <c r="L329" s="669" t="n"/>
      <c r="M329" s="669" t="n"/>
      <c r="N329" s="669" t="n"/>
      <c r="O329" s="669" t="n"/>
      <c r="P329" s="669" t="n"/>
      <c r="Q329" s="669" t="n"/>
      <c r="R329" s="669" t="n"/>
      <c r="S329" s="669" t="n"/>
      <c r="T329" s="669" t="n"/>
      <c r="U329" s="669" t="n"/>
      <c r="V329" s="669" t="n"/>
      <c r="W329" s="669" t="n"/>
      <c r="X329" s="669" t="n"/>
      <c r="Y329" s="669" t="n"/>
      <c r="Z329" s="669" t="n"/>
    </row>
    <row r="330">
      <c r="A330" s="669" t="n"/>
      <c r="B330" s="669" t="n"/>
      <c r="C330" s="669" t="n"/>
      <c r="D330" s="669" t="n"/>
      <c r="E330" s="669" t="n"/>
      <c r="F330" s="669" t="n"/>
      <c r="G330" s="669" t="n"/>
      <c r="H330" s="669" t="n"/>
      <c r="I330" s="669" t="n"/>
      <c r="J330" s="669" t="n"/>
      <c r="K330" s="669" t="n"/>
      <c r="L330" s="669" t="n"/>
      <c r="M330" s="669" t="n"/>
      <c r="N330" s="669" t="n"/>
      <c r="O330" s="669" t="n"/>
      <c r="P330" s="669" t="n"/>
      <c r="Q330" s="669" t="n"/>
      <c r="R330" s="669" t="n"/>
      <c r="S330" s="669" t="n"/>
      <c r="T330" s="669" t="n"/>
      <c r="U330" s="669" t="n"/>
      <c r="V330" s="669" t="n"/>
      <c r="W330" s="669" t="n"/>
      <c r="X330" s="669" t="n"/>
      <c r="Y330" s="669" t="n"/>
      <c r="Z330" s="669" t="n"/>
    </row>
    <row r="331">
      <c r="A331" s="669" t="n"/>
      <c r="B331" s="669" t="n"/>
      <c r="C331" s="669" t="n"/>
      <c r="D331" s="669" t="n"/>
      <c r="E331" s="669" t="n"/>
      <c r="F331" s="669" t="n"/>
      <c r="G331" s="669" t="n"/>
      <c r="H331" s="669" t="n"/>
      <c r="I331" s="669" t="n"/>
      <c r="J331" s="669" t="n"/>
      <c r="K331" s="669" t="n"/>
      <c r="L331" s="669" t="n"/>
      <c r="M331" s="669" t="n"/>
      <c r="N331" s="669" t="n"/>
      <c r="O331" s="669" t="n"/>
      <c r="P331" s="669" t="n"/>
      <c r="Q331" s="669" t="n"/>
      <c r="R331" s="669" t="n"/>
      <c r="S331" s="669" t="n"/>
      <c r="T331" s="669" t="n"/>
      <c r="U331" s="669" t="n"/>
      <c r="V331" s="669" t="n"/>
      <c r="W331" s="669" t="n"/>
      <c r="X331" s="669" t="n"/>
      <c r="Y331" s="669" t="n"/>
      <c r="Z331" s="669" t="n"/>
    </row>
    <row r="332">
      <c r="A332" s="669" t="n"/>
      <c r="B332" s="669" t="n"/>
      <c r="C332" s="669" t="n"/>
      <c r="D332" s="669" t="n"/>
      <c r="E332" s="669" t="n"/>
      <c r="F332" s="669" t="n"/>
      <c r="G332" s="669" t="n"/>
      <c r="H332" s="669" t="n"/>
      <c r="I332" s="669" t="n"/>
      <c r="J332" s="669" t="n"/>
      <c r="K332" s="669" t="n"/>
      <c r="L332" s="669" t="n"/>
      <c r="M332" s="669" t="n"/>
      <c r="N332" s="669" t="n"/>
      <c r="O332" s="669" t="n"/>
      <c r="P332" s="669" t="n"/>
      <c r="Q332" s="669" t="n"/>
      <c r="R332" s="669" t="n"/>
      <c r="S332" s="669" t="n"/>
      <c r="T332" s="669" t="n"/>
      <c r="U332" s="669" t="n"/>
      <c r="V332" s="669" t="n"/>
      <c r="W332" s="669" t="n"/>
      <c r="X332" s="669" t="n"/>
      <c r="Y332" s="669" t="n"/>
      <c r="Z332" s="669" t="n"/>
    </row>
    <row r="333">
      <c r="A333" s="669" t="n"/>
      <c r="B333" s="669" t="n"/>
      <c r="C333" s="669" t="n"/>
      <c r="D333" s="669" t="n"/>
      <c r="E333" s="669" t="n"/>
      <c r="F333" s="669" t="n"/>
      <c r="G333" s="669" t="n"/>
      <c r="H333" s="669" t="n"/>
      <c r="I333" s="669" t="n"/>
      <c r="J333" s="669" t="n"/>
      <c r="K333" s="669" t="n"/>
      <c r="L333" s="669" t="n"/>
      <c r="M333" s="669" t="n"/>
      <c r="N333" s="669" t="n"/>
      <c r="O333" s="669" t="n"/>
      <c r="P333" s="669" t="n"/>
      <c r="Q333" s="669" t="n"/>
      <c r="R333" s="669" t="n"/>
      <c r="S333" s="669" t="n"/>
      <c r="T333" s="669" t="n"/>
      <c r="U333" s="669" t="n"/>
      <c r="V333" s="669" t="n"/>
      <c r="W333" s="669" t="n"/>
      <c r="X333" s="669" t="n"/>
      <c r="Y333" s="669" t="n"/>
      <c r="Z333" s="669" t="n"/>
    </row>
    <row r="334">
      <c r="A334" s="669" t="n"/>
      <c r="B334" s="669" t="n"/>
      <c r="C334" s="669" t="n"/>
      <c r="D334" s="669" t="n"/>
      <c r="E334" s="669" t="n"/>
      <c r="F334" s="669" t="n"/>
      <c r="G334" s="669" t="n"/>
      <c r="H334" s="669" t="n"/>
      <c r="I334" s="669" t="n"/>
      <c r="J334" s="669" t="n"/>
      <c r="K334" s="669" t="n"/>
      <c r="L334" s="669" t="n"/>
      <c r="M334" s="669" t="n"/>
      <c r="N334" s="669" t="n"/>
      <c r="O334" s="669" t="n"/>
      <c r="P334" s="669" t="n"/>
      <c r="Q334" s="669" t="n"/>
      <c r="R334" s="669" t="n"/>
      <c r="S334" s="669" t="n"/>
      <c r="T334" s="669" t="n"/>
      <c r="U334" s="669" t="n"/>
      <c r="V334" s="669" t="n"/>
      <c r="W334" s="669" t="n"/>
      <c r="X334" s="669" t="n"/>
      <c r="Y334" s="669" t="n"/>
      <c r="Z334" s="669" t="n"/>
    </row>
    <row r="335">
      <c r="A335" s="669" t="n"/>
      <c r="B335" s="669" t="n"/>
      <c r="C335" s="669" t="n"/>
      <c r="D335" s="669" t="n"/>
      <c r="E335" s="669" t="n"/>
      <c r="F335" s="669" t="n"/>
      <c r="G335" s="669" t="n"/>
      <c r="H335" s="669" t="n"/>
      <c r="I335" s="669" t="n"/>
      <c r="J335" s="669" t="n"/>
      <c r="K335" s="669" t="n"/>
      <c r="L335" s="669" t="n"/>
      <c r="M335" s="669" t="n"/>
      <c r="N335" s="669" t="n"/>
      <c r="O335" s="669" t="n"/>
      <c r="P335" s="669" t="n"/>
      <c r="Q335" s="669" t="n"/>
      <c r="R335" s="669" t="n"/>
      <c r="S335" s="669" t="n"/>
      <c r="T335" s="669" t="n"/>
      <c r="U335" s="669" t="n"/>
      <c r="V335" s="669" t="n"/>
      <c r="W335" s="669" t="n"/>
      <c r="X335" s="669" t="n"/>
      <c r="Y335" s="669" t="n"/>
      <c r="Z335" s="669" t="n"/>
    </row>
    <row r="336">
      <c r="A336" s="669" t="n"/>
      <c r="B336" s="669" t="n"/>
      <c r="C336" s="669" t="n"/>
      <c r="D336" s="669" t="n"/>
      <c r="E336" s="669" t="n"/>
      <c r="F336" s="669" t="n"/>
      <c r="G336" s="669" t="n"/>
      <c r="H336" s="669" t="n"/>
      <c r="I336" s="669" t="n"/>
      <c r="J336" s="669" t="n"/>
      <c r="K336" s="669" t="n"/>
      <c r="L336" s="669" t="n"/>
      <c r="M336" s="669" t="n"/>
      <c r="N336" s="669" t="n"/>
      <c r="O336" s="669" t="n"/>
      <c r="P336" s="669" t="n"/>
      <c r="Q336" s="669" t="n"/>
      <c r="R336" s="669" t="n"/>
      <c r="S336" s="669" t="n"/>
      <c r="T336" s="669" t="n"/>
      <c r="U336" s="669" t="n"/>
      <c r="V336" s="669" t="n"/>
      <c r="W336" s="669" t="n"/>
      <c r="X336" s="669" t="n"/>
      <c r="Y336" s="669" t="n"/>
      <c r="Z336" s="669" t="n"/>
    </row>
    <row r="337">
      <c r="A337" s="669" t="n"/>
      <c r="B337" s="669" t="n"/>
      <c r="C337" s="669" t="n"/>
      <c r="D337" s="669" t="n"/>
      <c r="E337" s="669" t="n"/>
      <c r="F337" s="669" t="n"/>
      <c r="G337" s="669" t="n"/>
      <c r="H337" s="669" t="n"/>
      <c r="I337" s="669" t="n"/>
      <c r="J337" s="669" t="n"/>
      <c r="K337" s="669" t="n"/>
      <c r="L337" s="669" t="n"/>
      <c r="M337" s="669" t="n"/>
      <c r="N337" s="669" t="n"/>
      <c r="O337" s="669" t="n"/>
      <c r="P337" s="669" t="n"/>
      <c r="Q337" s="669" t="n"/>
      <c r="R337" s="669" t="n"/>
      <c r="S337" s="669" t="n"/>
      <c r="T337" s="669" t="n"/>
      <c r="U337" s="669" t="n"/>
      <c r="V337" s="669" t="n"/>
      <c r="W337" s="669" t="n"/>
      <c r="X337" s="669" t="n"/>
      <c r="Y337" s="669" t="n"/>
      <c r="Z337" s="669" t="n"/>
    </row>
    <row r="338">
      <c r="A338" s="669" t="n"/>
      <c r="B338" s="669" t="n"/>
      <c r="C338" s="669" t="n"/>
      <c r="D338" s="669" t="n"/>
      <c r="E338" s="669" t="n"/>
      <c r="F338" s="669" t="n"/>
      <c r="G338" s="669" t="n"/>
      <c r="H338" s="669" t="n"/>
      <c r="I338" s="669" t="n"/>
      <c r="J338" s="669" t="n"/>
      <c r="K338" s="669" t="n"/>
      <c r="L338" s="669" t="n"/>
      <c r="M338" s="669" t="n"/>
      <c r="N338" s="669" t="n"/>
      <c r="O338" s="669" t="n"/>
      <c r="P338" s="669" t="n"/>
      <c r="Q338" s="669" t="n"/>
      <c r="R338" s="669" t="n"/>
      <c r="S338" s="669" t="n"/>
      <c r="T338" s="669" t="n"/>
      <c r="U338" s="669" t="n"/>
      <c r="V338" s="669" t="n"/>
      <c r="W338" s="669" t="n"/>
      <c r="X338" s="669" t="n"/>
      <c r="Y338" s="669" t="n"/>
      <c r="Z338" s="669" t="n"/>
    </row>
    <row r="339">
      <c r="A339" s="669" t="n"/>
      <c r="B339" s="669" t="n"/>
      <c r="C339" s="669" t="n"/>
      <c r="D339" s="669" t="n"/>
      <c r="E339" s="669" t="n"/>
      <c r="F339" s="669" t="n"/>
      <c r="G339" s="669" t="n"/>
      <c r="H339" s="669" t="n"/>
      <c r="I339" s="669" t="n"/>
      <c r="J339" s="669" t="n"/>
      <c r="K339" s="669" t="n"/>
      <c r="L339" s="669" t="n"/>
      <c r="M339" s="669" t="n"/>
      <c r="N339" s="669" t="n"/>
      <c r="O339" s="669" t="n"/>
      <c r="P339" s="669" t="n"/>
      <c r="Q339" s="669" t="n"/>
      <c r="R339" s="669" t="n"/>
      <c r="S339" s="669" t="n"/>
      <c r="T339" s="669" t="n"/>
      <c r="U339" s="669" t="n"/>
      <c r="V339" s="669" t="n"/>
      <c r="W339" s="669" t="n"/>
      <c r="X339" s="669" t="n"/>
      <c r="Y339" s="669" t="n"/>
      <c r="Z339" s="669" t="n"/>
    </row>
    <row r="340">
      <c r="A340" s="669" t="n"/>
      <c r="B340" s="669" t="n"/>
      <c r="C340" s="669" t="n"/>
      <c r="D340" s="669" t="n"/>
      <c r="E340" s="669" t="n"/>
      <c r="F340" s="669" t="n"/>
      <c r="G340" s="669" t="n"/>
      <c r="H340" s="669" t="n"/>
      <c r="I340" s="669" t="n"/>
      <c r="J340" s="669" t="n"/>
      <c r="K340" s="669" t="n"/>
      <c r="L340" s="669" t="n"/>
      <c r="M340" s="669" t="n"/>
      <c r="N340" s="669" t="n"/>
      <c r="O340" s="669" t="n"/>
      <c r="P340" s="669" t="n"/>
      <c r="Q340" s="669" t="n"/>
      <c r="R340" s="669" t="n"/>
      <c r="S340" s="669" t="n"/>
      <c r="T340" s="669" t="n"/>
      <c r="U340" s="669" t="n"/>
      <c r="V340" s="669" t="n"/>
      <c r="W340" s="669" t="n"/>
      <c r="X340" s="669" t="n"/>
      <c r="Y340" s="669" t="n"/>
      <c r="Z340" s="669" t="n"/>
    </row>
    <row r="341">
      <c r="A341" s="669" t="n"/>
      <c r="B341" s="669" t="n"/>
      <c r="C341" s="669" t="n"/>
      <c r="D341" s="669" t="n"/>
      <c r="E341" s="669" t="n"/>
      <c r="F341" s="669" t="n"/>
      <c r="G341" s="669" t="n"/>
      <c r="H341" s="669" t="n"/>
      <c r="I341" s="669" t="n"/>
      <c r="J341" s="669" t="n"/>
      <c r="K341" s="669" t="n"/>
      <c r="L341" s="669" t="n"/>
      <c r="M341" s="669" t="n"/>
      <c r="N341" s="669" t="n"/>
      <c r="O341" s="669" t="n"/>
      <c r="P341" s="669" t="n"/>
      <c r="Q341" s="669" t="n"/>
      <c r="R341" s="669" t="n"/>
      <c r="S341" s="669" t="n"/>
      <c r="T341" s="669" t="n"/>
      <c r="U341" s="669" t="n"/>
      <c r="V341" s="669" t="n"/>
      <c r="W341" s="669" t="n"/>
      <c r="X341" s="669" t="n"/>
      <c r="Y341" s="669" t="n"/>
      <c r="Z341" s="669" t="n"/>
    </row>
    <row r="342">
      <c r="A342" s="669" t="n"/>
      <c r="B342" s="669" t="n"/>
      <c r="C342" s="669" t="n"/>
      <c r="D342" s="669" t="n"/>
      <c r="E342" s="669" t="n"/>
      <c r="F342" s="669" t="n"/>
      <c r="G342" s="669" t="n"/>
      <c r="H342" s="669" t="n"/>
      <c r="I342" s="669" t="n"/>
      <c r="J342" s="669" t="n"/>
      <c r="K342" s="669" t="n"/>
      <c r="L342" s="669" t="n"/>
      <c r="M342" s="669" t="n"/>
      <c r="N342" s="669" t="n"/>
      <c r="O342" s="669" t="n"/>
      <c r="P342" s="669" t="n"/>
      <c r="Q342" s="669" t="n"/>
      <c r="R342" s="669" t="n"/>
      <c r="S342" s="669" t="n"/>
      <c r="T342" s="669" t="n"/>
      <c r="U342" s="669" t="n"/>
      <c r="V342" s="669" t="n"/>
      <c r="W342" s="669" t="n"/>
      <c r="X342" s="669" t="n"/>
      <c r="Y342" s="669" t="n"/>
      <c r="Z342" s="669" t="n"/>
    </row>
    <row r="343">
      <c r="A343" s="669" t="n"/>
      <c r="B343" s="669" t="n"/>
      <c r="C343" s="669" t="n"/>
      <c r="D343" s="669" t="n"/>
      <c r="E343" s="669" t="n"/>
      <c r="F343" s="669" t="n"/>
      <c r="G343" s="669" t="n"/>
      <c r="H343" s="669" t="n"/>
      <c r="I343" s="669" t="n"/>
      <c r="J343" s="669" t="n"/>
      <c r="K343" s="669" t="n"/>
      <c r="L343" s="669" t="n"/>
      <c r="M343" s="669" t="n"/>
      <c r="N343" s="669" t="n"/>
      <c r="O343" s="669" t="n"/>
      <c r="P343" s="669" t="n"/>
      <c r="Q343" s="669" t="n"/>
      <c r="R343" s="669" t="n"/>
      <c r="S343" s="669" t="n"/>
      <c r="T343" s="669" t="n"/>
      <c r="U343" s="669" t="n"/>
      <c r="V343" s="669" t="n"/>
      <c r="W343" s="669" t="n"/>
      <c r="X343" s="669" t="n"/>
      <c r="Y343" s="669" t="n"/>
      <c r="Z343" s="669" t="n"/>
    </row>
    <row r="344">
      <c r="A344" s="669" t="n"/>
      <c r="B344" s="669" t="n"/>
      <c r="C344" s="669" t="n"/>
      <c r="D344" s="669" t="n"/>
      <c r="E344" s="669" t="n"/>
      <c r="F344" s="669" t="n"/>
      <c r="G344" s="669" t="n"/>
      <c r="H344" s="669" t="n"/>
      <c r="I344" s="669" t="n"/>
      <c r="J344" s="669" t="n"/>
      <c r="K344" s="669" t="n"/>
      <c r="L344" s="669" t="n"/>
      <c r="M344" s="669" t="n"/>
      <c r="N344" s="669" t="n"/>
      <c r="O344" s="669" t="n"/>
      <c r="P344" s="669" t="n"/>
      <c r="Q344" s="669" t="n"/>
      <c r="R344" s="669" t="n"/>
      <c r="S344" s="669" t="n"/>
      <c r="T344" s="669" t="n"/>
      <c r="U344" s="669" t="n"/>
      <c r="V344" s="669" t="n"/>
      <c r="W344" s="669" t="n"/>
      <c r="X344" s="669" t="n"/>
      <c r="Y344" s="669" t="n"/>
      <c r="Z344" s="669" t="n"/>
    </row>
    <row r="345">
      <c r="A345" s="669" t="n"/>
      <c r="B345" s="669" t="n"/>
      <c r="C345" s="669" t="n"/>
      <c r="D345" s="669" t="n"/>
      <c r="E345" s="669" t="n"/>
      <c r="F345" s="669" t="n"/>
      <c r="G345" s="669" t="n"/>
      <c r="H345" s="669" t="n"/>
      <c r="I345" s="669" t="n"/>
      <c r="J345" s="669" t="n"/>
      <c r="K345" s="669" t="n"/>
      <c r="L345" s="669" t="n"/>
      <c r="M345" s="669" t="n"/>
      <c r="N345" s="669" t="n"/>
      <c r="O345" s="669" t="n"/>
      <c r="P345" s="669" t="n"/>
      <c r="Q345" s="669" t="n"/>
      <c r="R345" s="669" t="n"/>
      <c r="S345" s="669" t="n"/>
      <c r="T345" s="669" t="n"/>
      <c r="U345" s="669" t="n"/>
      <c r="V345" s="669" t="n"/>
      <c r="W345" s="669" t="n"/>
      <c r="X345" s="669" t="n"/>
      <c r="Y345" s="669" t="n"/>
      <c r="Z345" s="669" t="n"/>
    </row>
    <row r="346">
      <c r="A346" s="669" t="n"/>
      <c r="B346" s="669" t="n"/>
      <c r="C346" s="669" t="n"/>
      <c r="D346" s="669" t="n"/>
      <c r="E346" s="669" t="n"/>
      <c r="F346" s="669" t="n"/>
      <c r="G346" s="669" t="n"/>
      <c r="H346" s="669" t="n"/>
      <c r="I346" s="669" t="n"/>
      <c r="J346" s="669" t="n"/>
      <c r="K346" s="669" t="n"/>
      <c r="L346" s="669" t="n"/>
      <c r="M346" s="669" t="n"/>
      <c r="N346" s="669" t="n"/>
      <c r="O346" s="669" t="n"/>
      <c r="P346" s="669" t="n"/>
      <c r="Q346" s="669" t="n"/>
      <c r="R346" s="669" t="n"/>
      <c r="S346" s="669" t="n"/>
      <c r="T346" s="669" t="n"/>
      <c r="U346" s="669" t="n"/>
      <c r="V346" s="669" t="n"/>
      <c r="W346" s="669" t="n"/>
      <c r="X346" s="669" t="n"/>
      <c r="Y346" s="669" t="n"/>
      <c r="Z346" s="669" t="n"/>
    </row>
    <row r="347">
      <c r="A347" s="669" t="n"/>
      <c r="B347" s="669" t="n"/>
      <c r="C347" s="669" t="n"/>
      <c r="D347" s="669" t="n"/>
      <c r="E347" s="669" t="n"/>
      <c r="F347" s="669" t="n"/>
      <c r="G347" s="669" t="n"/>
      <c r="H347" s="669" t="n"/>
      <c r="I347" s="669" t="n"/>
      <c r="J347" s="669" t="n"/>
      <c r="K347" s="669" t="n"/>
      <c r="L347" s="669" t="n"/>
      <c r="M347" s="669" t="n"/>
      <c r="N347" s="669" t="n"/>
      <c r="O347" s="669" t="n"/>
      <c r="P347" s="669" t="n"/>
      <c r="Q347" s="669" t="n"/>
      <c r="R347" s="669" t="n"/>
      <c r="S347" s="669" t="n"/>
      <c r="T347" s="669" t="n"/>
      <c r="U347" s="669" t="n"/>
      <c r="V347" s="669" t="n"/>
      <c r="W347" s="669" t="n"/>
      <c r="X347" s="669" t="n"/>
      <c r="Y347" s="669" t="n"/>
      <c r="Z347" s="669" t="n"/>
    </row>
    <row r="348">
      <c r="A348" s="669" t="n"/>
      <c r="B348" s="669" t="n"/>
      <c r="C348" s="669" t="n"/>
      <c r="D348" s="669" t="n"/>
      <c r="E348" s="669" t="n"/>
      <c r="F348" s="669" t="n"/>
      <c r="G348" s="669" t="n"/>
      <c r="H348" s="669" t="n"/>
      <c r="I348" s="669" t="n"/>
      <c r="J348" s="669" t="n"/>
      <c r="K348" s="669" t="n"/>
      <c r="L348" s="669" t="n"/>
      <c r="M348" s="669" t="n"/>
      <c r="N348" s="669" t="n"/>
      <c r="O348" s="669" t="n"/>
      <c r="P348" s="669" t="n"/>
      <c r="Q348" s="669" t="n"/>
      <c r="R348" s="669" t="n"/>
      <c r="S348" s="669" t="n"/>
      <c r="T348" s="669" t="n"/>
      <c r="U348" s="669" t="n"/>
      <c r="V348" s="669" t="n"/>
      <c r="W348" s="669" t="n"/>
      <c r="X348" s="669" t="n"/>
      <c r="Y348" s="669" t="n"/>
      <c r="Z348" s="669" t="n"/>
    </row>
    <row r="349">
      <c r="A349" s="669" t="n"/>
      <c r="B349" s="669" t="n"/>
      <c r="C349" s="669" t="n"/>
      <c r="D349" s="669" t="n"/>
      <c r="E349" s="669" t="n"/>
      <c r="F349" s="669" t="n"/>
      <c r="G349" s="669" t="n"/>
      <c r="H349" s="669" t="n"/>
      <c r="I349" s="669" t="n"/>
      <c r="J349" s="669" t="n"/>
      <c r="K349" s="669" t="n"/>
      <c r="L349" s="669" t="n"/>
      <c r="M349" s="669" t="n"/>
      <c r="N349" s="669" t="n"/>
      <c r="O349" s="669" t="n"/>
      <c r="P349" s="669" t="n"/>
      <c r="Q349" s="669" t="n"/>
      <c r="R349" s="669" t="n"/>
      <c r="S349" s="669" t="n"/>
      <c r="T349" s="669" t="n"/>
      <c r="U349" s="669" t="n"/>
      <c r="V349" s="669" t="n"/>
      <c r="W349" s="669" t="n"/>
      <c r="X349" s="669" t="n"/>
      <c r="Y349" s="669" t="n"/>
      <c r="Z349" s="669" t="n"/>
    </row>
    <row r="350">
      <c r="A350" s="669" t="n"/>
      <c r="B350" s="669" t="n"/>
      <c r="C350" s="669" t="n"/>
      <c r="D350" s="669" t="n"/>
      <c r="E350" s="669" t="n"/>
      <c r="F350" s="669" t="n"/>
      <c r="G350" s="669" t="n"/>
      <c r="H350" s="669" t="n"/>
      <c r="I350" s="669" t="n"/>
      <c r="J350" s="669" t="n"/>
      <c r="K350" s="669" t="n"/>
      <c r="L350" s="669" t="n"/>
      <c r="M350" s="669" t="n"/>
      <c r="N350" s="669" t="n"/>
      <c r="O350" s="669" t="n"/>
      <c r="P350" s="669" t="n"/>
      <c r="Q350" s="669" t="n"/>
      <c r="R350" s="669" t="n"/>
      <c r="S350" s="669" t="n"/>
      <c r="T350" s="669" t="n"/>
      <c r="U350" s="669" t="n"/>
      <c r="V350" s="669" t="n"/>
      <c r="W350" s="669" t="n"/>
      <c r="X350" s="669" t="n"/>
      <c r="Y350" s="669" t="n"/>
      <c r="Z350" s="669" t="n"/>
    </row>
    <row r="351">
      <c r="A351" s="669" t="n"/>
      <c r="B351" s="669" t="n"/>
      <c r="C351" s="669" t="n"/>
      <c r="D351" s="669" t="n"/>
      <c r="E351" s="669" t="n"/>
      <c r="F351" s="669" t="n"/>
      <c r="G351" s="669" t="n"/>
      <c r="H351" s="669" t="n"/>
      <c r="I351" s="669" t="n"/>
      <c r="J351" s="669" t="n"/>
      <c r="K351" s="669" t="n"/>
      <c r="L351" s="669" t="n"/>
      <c r="M351" s="669" t="n"/>
      <c r="N351" s="669" t="n"/>
      <c r="O351" s="669" t="n"/>
      <c r="P351" s="669" t="n"/>
      <c r="Q351" s="669" t="n"/>
      <c r="R351" s="669" t="n"/>
      <c r="S351" s="669" t="n"/>
      <c r="T351" s="669" t="n"/>
      <c r="U351" s="669" t="n"/>
      <c r="V351" s="669" t="n"/>
      <c r="W351" s="669" t="n"/>
      <c r="X351" s="669" t="n"/>
      <c r="Y351" s="669" t="n"/>
      <c r="Z351" s="669" t="n"/>
    </row>
    <row r="352">
      <c r="A352" s="669" t="n"/>
      <c r="B352" s="669" t="n"/>
      <c r="C352" s="669" t="n"/>
      <c r="D352" s="669" t="n"/>
      <c r="E352" s="669" t="n"/>
      <c r="F352" s="669" t="n"/>
      <c r="G352" s="669" t="n"/>
      <c r="H352" s="669" t="n"/>
      <c r="I352" s="669" t="n"/>
      <c r="J352" s="669" t="n"/>
      <c r="K352" s="669" t="n"/>
      <c r="L352" s="669" t="n"/>
      <c r="M352" s="669" t="n"/>
      <c r="N352" s="669" t="n"/>
      <c r="O352" s="669" t="n"/>
      <c r="P352" s="669" t="n"/>
      <c r="Q352" s="669" t="n"/>
      <c r="R352" s="669" t="n"/>
      <c r="S352" s="669" t="n"/>
      <c r="T352" s="669" t="n"/>
      <c r="U352" s="669" t="n"/>
      <c r="V352" s="669" t="n"/>
      <c r="W352" s="669" t="n"/>
      <c r="X352" s="669" t="n"/>
      <c r="Y352" s="669" t="n"/>
      <c r="Z352" s="669" t="n"/>
    </row>
    <row r="353">
      <c r="A353" s="669" t="n"/>
      <c r="B353" s="669" t="n"/>
      <c r="C353" s="669" t="n"/>
      <c r="D353" s="669" t="n"/>
      <c r="E353" s="669" t="n"/>
      <c r="F353" s="669" t="n"/>
      <c r="G353" s="669" t="n"/>
      <c r="H353" s="669" t="n"/>
      <c r="I353" s="669" t="n"/>
      <c r="J353" s="669" t="n"/>
      <c r="K353" s="669" t="n"/>
      <c r="L353" s="669" t="n"/>
      <c r="M353" s="669" t="n"/>
      <c r="N353" s="669" t="n"/>
      <c r="O353" s="669" t="n"/>
      <c r="P353" s="669" t="n"/>
      <c r="Q353" s="669" t="n"/>
      <c r="R353" s="669" t="n"/>
      <c r="S353" s="669" t="n"/>
      <c r="T353" s="669" t="n"/>
      <c r="U353" s="669" t="n"/>
      <c r="V353" s="669" t="n"/>
      <c r="W353" s="669" t="n"/>
      <c r="X353" s="669" t="n"/>
      <c r="Y353" s="669" t="n"/>
      <c r="Z353" s="669" t="n"/>
    </row>
    <row r="354">
      <c r="A354" s="669" t="n"/>
      <c r="B354" s="669" t="n"/>
      <c r="C354" s="669" t="n"/>
      <c r="D354" s="669" t="n"/>
      <c r="E354" s="669" t="n"/>
      <c r="F354" s="669" t="n"/>
      <c r="G354" s="669" t="n"/>
      <c r="H354" s="669" t="n"/>
      <c r="I354" s="669" t="n"/>
      <c r="J354" s="669" t="n"/>
      <c r="K354" s="669" t="n"/>
      <c r="L354" s="669" t="n"/>
      <c r="M354" s="669" t="n"/>
      <c r="N354" s="669" t="n"/>
      <c r="O354" s="669" t="n"/>
      <c r="P354" s="669" t="n"/>
      <c r="Q354" s="669" t="n"/>
      <c r="R354" s="669" t="n"/>
      <c r="S354" s="669" t="n"/>
      <c r="T354" s="669" t="n"/>
      <c r="U354" s="669" t="n"/>
      <c r="V354" s="669" t="n"/>
      <c r="W354" s="669" t="n"/>
      <c r="X354" s="669" t="n"/>
      <c r="Y354" s="669" t="n"/>
      <c r="Z354" s="669" t="n"/>
    </row>
    <row r="355">
      <c r="A355" s="669" t="n"/>
      <c r="B355" s="669" t="n"/>
      <c r="C355" s="669" t="n"/>
      <c r="D355" s="669" t="n"/>
      <c r="E355" s="669" t="n"/>
      <c r="F355" s="669" t="n"/>
      <c r="G355" s="669" t="n"/>
      <c r="H355" s="669" t="n"/>
      <c r="I355" s="669" t="n"/>
      <c r="J355" s="669" t="n"/>
      <c r="K355" s="669" t="n"/>
      <c r="L355" s="669" t="n"/>
      <c r="M355" s="669" t="n"/>
      <c r="N355" s="669" t="n"/>
      <c r="O355" s="669" t="n"/>
      <c r="P355" s="669" t="n"/>
      <c r="Q355" s="669" t="n"/>
      <c r="R355" s="669" t="n"/>
      <c r="S355" s="669" t="n"/>
      <c r="T355" s="669" t="n"/>
      <c r="U355" s="669" t="n"/>
      <c r="V355" s="669" t="n"/>
      <c r="W355" s="669" t="n"/>
      <c r="X355" s="669" t="n"/>
      <c r="Y355" s="669" t="n"/>
      <c r="Z355" s="669" t="n"/>
    </row>
    <row r="356">
      <c r="A356" s="669" t="n"/>
      <c r="B356" s="669" t="n"/>
      <c r="C356" s="669" t="n"/>
      <c r="D356" s="669" t="n"/>
      <c r="E356" s="669" t="n"/>
      <c r="F356" s="669" t="n"/>
      <c r="G356" s="669" t="n"/>
      <c r="H356" s="669" t="n"/>
      <c r="I356" s="669" t="n"/>
      <c r="J356" s="669" t="n"/>
      <c r="K356" s="669" t="n"/>
      <c r="L356" s="669" t="n"/>
      <c r="M356" s="669" t="n"/>
      <c r="N356" s="669" t="n"/>
      <c r="O356" s="669" t="n"/>
      <c r="P356" s="669" t="n"/>
      <c r="Q356" s="669" t="n"/>
      <c r="R356" s="669" t="n"/>
      <c r="S356" s="669" t="n"/>
      <c r="T356" s="669" t="n"/>
      <c r="U356" s="669" t="n"/>
      <c r="V356" s="669" t="n"/>
      <c r="W356" s="669" t="n"/>
      <c r="X356" s="669" t="n"/>
      <c r="Y356" s="669" t="n"/>
      <c r="Z356" s="669" t="n"/>
    </row>
    <row r="357">
      <c r="A357" s="669" t="n"/>
      <c r="B357" s="669" t="n"/>
      <c r="C357" s="669" t="n"/>
      <c r="D357" s="669" t="n"/>
      <c r="E357" s="669" t="n"/>
      <c r="F357" s="669" t="n"/>
      <c r="G357" s="669" t="n"/>
      <c r="H357" s="669" t="n"/>
      <c r="I357" s="669" t="n"/>
      <c r="J357" s="669" t="n"/>
      <c r="K357" s="669" t="n"/>
      <c r="L357" s="669" t="n"/>
      <c r="M357" s="669" t="n"/>
      <c r="N357" s="669" t="n"/>
      <c r="O357" s="669" t="n"/>
      <c r="P357" s="669" t="n"/>
      <c r="Q357" s="669" t="n"/>
      <c r="R357" s="669" t="n"/>
      <c r="S357" s="669" t="n"/>
      <c r="T357" s="669" t="n"/>
      <c r="U357" s="669" t="n"/>
      <c r="V357" s="669" t="n"/>
      <c r="W357" s="669" t="n"/>
      <c r="X357" s="669" t="n"/>
      <c r="Y357" s="669" t="n"/>
      <c r="Z357" s="669" t="n"/>
    </row>
    <row r="358">
      <c r="A358" s="669" t="n"/>
      <c r="B358" s="669" t="n"/>
      <c r="C358" s="669" t="n"/>
      <c r="D358" s="669" t="n"/>
      <c r="E358" s="669" t="n"/>
      <c r="F358" s="669" t="n"/>
      <c r="G358" s="669" t="n"/>
      <c r="H358" s="669" t="n"/>
      <c r="I358" s="669" t="n"/>
      <c r="J358" s="669" t="n"/>
      <c r="K358" s="669" t="n"/>
      <c r="L358" s="669" t="n"/>
      <c r="M358" s="669" t="n"/>
      <c r="N358" s="669" t="n"/>
      <c r="O358" s="669" t="n"/>
      <c r="P358" s="669" t="n"/>
      <c r="Q358" s="669" t="n"/>
      <c r="R358" s="669" t="n"/>
      <c r="S358" s="669" t="n"/>
      <c r="T358" s="669" t="n"/>
      <c r="U358" s="669" t="n"/>
      <c r="V358" s="669" t="n"/>
      <c r="W358" s="669" t="n"/>
      <c r="X358" s="669" t="n"/>
      <c r="Y358" s="669" t="n"/>
      <c r="Z358" s="669" t="n"/>
    </row>
    <row r="359">
      <c r="A359" s="669" t="n"/>
      <c r="B359" s="669" t="n"/>
      <c r="C359" s="669" t="n"/>
      <c r="D359" s="669" t="n"/>
      <c r="E359" s="669" t="n"/>
      <c r="F359" s="669" t="n"/>
      <c r="G359" s="669" t="n"/>
      <c r="H359" s="669" t="n"/>
      <c r="I359" s="669" t="n"/>
      <c r="J359" s="669" t="n"/>
      <c r="K359" s="669" t="n"/>
      <c r="L359" s="669" t="n"/>
      <c r="M359" s="669" t="n"/>
      <c r="N359" s="669" t="n"/>
      <c r="O359" s="669" t="n"/>
      <c r="P359" s="669" t="n"/>
      <c r="Q359" s="669" t="n"/>
      <c r="R359" s="669" t="n"/>
      <c r="S359" s="669" t="n"/>
      <c r="T359" s="669" t="n"/>
      <c r="U359" s="669" t="n"/>
      <c r="V359" s="669" t="n"/>
      <c r="W359" s="669" t="n"/>
      <c r="X359" s="669" t="n"/>
      <c r="Y359" s="669" t="n"/>
      <c r="Z359" s="669" t="n"/>
    </row>
    <row r="360">
      <c r="A360" s="669" t="n"/>
      <c r="B360" s="669" t="n"/>
      <c r="C360" s="669" t="n"/>
      <c r="D360" s="669" t="n"/>
      <c r="E360" s="669" t="n"/>
      <c r="F360" s="669" t="n"/>
      <c r="G360" s="669" t="n"/>
      <c r="H360" s="669" t="n"/>
      <c r="I360" s="669" t="n"/>
      <c r="J360" s="669" t="n"/>
      <c r="K360" s="669" t="n"/>
      <c r="L360" s="669" t="n"/>
      <c r="M360" s="669" t="n"/>
      <c r="N360" s="669" t="n"/>
      <c r="O360" s="669" t="n"/>
      <c r="P360" s="669" t="n"/>
      <c r="Q360" s="669" t="n"/>
      <c r="R360" s="669" t="n"/>
      <c r="S360" s="669" t="n"/>
      <c r="T360" s="669" t="n"/>
      <c r="U360" s="669" t="n"/>
      <c r="V360" s="669" t="n"/>
      <c r="W360" s="669" t="n"/>
      <c r="X360" s="669" t="n"/>
      <c r="Y360" s="669" t="n"/>
      <c r="Z360" s="669" t="n"/>
    </row>
    <row r="361">
      <c r="A361" s="669" t="n"/>
      <c r="B361" s="669" t="n"/>
      <c r="C361" s="669" t="n"/>
      <c r="D361" s="669" t="n"/>
      <c r="E361" s="669" t="n"/>
      <c r="F361" s="669" t="n"/>
      <c r="G361" s="669" t="n"/>
      <c r="H361" s="669" t="n"/>
      <c r="I361" s="669" t="n"/>
      <c r="J361" s="669" t="n"/>
      <c r="K361" s="669" t="n"/>
      <c r="L361" s="669" t="n"/>
      <c r="M361" s="669" t="n"/>
      <c r="N361" s="669" t="n"/>
      <c r="O361" s="669" t="n"/>
      <c r="P361" s="669" t="n"/>
      <c r="Q361" s="669" t="n"/>
      <c r="R361" s="669" t="n"/>
      <c r="S361" s="669" t="n"/>
      <c r="T361" s="669" t="n"/>
      <c r="U361" s="669" t="n"/>
      <c r="V361" s="669" t="n"/>
      <c r="W361" s="669" t="n"/>
      <c r="X361" s="669" t="n"/>
      <c r="Y361" s="669" t="n"/>
      <c r="Z361" s="669" t="n"/>
    </row>
    <row r="362">
      <c r="A362" s="669" t="n"/>
      <c r="B362" s="669" t="n"/>
      <c r="C362" s="669" t="n"/>
      <c r="D362" s="669" t="n"/>
      <c r="E362" s="669" t="n"/>
      <c r="F362" s="669" t="n"/>
      <c r="G362" s="669" t="n"/>
      <c r="H362" s="669" t="n"/>
      <c r="I362" s="669" t="n"/>
      <c r="J362" s="669" t="n"/>
      <c r="K362" s="669" t="n"/>
      <c r="L362" s="669" t="n"/>
      <c r="M362" s="669" t="n"/>
      <c r="N362" s="669" t="n"/>
      <c r="O362" s="669" t="n"/>
      <c r="P362" s="669" t="n"/>
      <c r="Q362" s="669" t="n"/>
      <c r="R362" s="669" t="n"/>
      <c r="S362" s="669" t="n"/>
      <c r="T362" s="669" t="n"/>
      <c r="U362" s="669" t="n"/>
      <c r="V362" s="669" t="n"/>
      <c r="W362" s="669" t="n"/>
      <c r="X362" s="669" t="n"/>
      <c r="Y362" s="669" t="n"/>
      <c r="Z362" s="669" t="n"/>
    </row>
    <row r="363">
      <c r="A363" s="669" t="n"/>
      <c r="B363" s="669" t="n"/>
      <c r="C363" s="669" t="n"/>
      <c r="D363" s="669" t="n"/>
      <c r="E363" s="669" t="n"/>
      <c r="F363" s="669" t="n"/>
      <c r="G363" s="669" t="n"/>
      <c r="H363" s="669" t="n"/>
      <c r="I363" s="669" t="n"/>
      <c r="J363" s="669" t="n"/>
      <c r="K363" s="669" t="n"/>
      <c r="L363" s="669" t="n"/>
      <c r="M363" s="669" t="n"/>
      <c r="N363" s="669" t="n"/>
      <c r="O363" s="669" t="n"/>
      <c r="P363" s="669" t="n"/>
      <c r="Q363" s="669" t="n"/>
      <c r="R363" s="669" t="n"/>
      <c r="S363" s="669" t="n"/>
      <c r="T363" s="669" t="n"/>
      <c r="U363" s="669" t="n"/>
      <c r="V363" s="669" t="n"/>
      <c r="W363" s="669" t="n"/>
      <c r="X363" s="669" t="n"/>
      <c r="Y363" s="669" t="n"/>
      <c r="Z363" s="669" t="n"/>
    </row>
    <row r="364">
      <c r="A364" s="669" t="n"/>
      <c r="B364" s="669" t="n"/>
      <c r="C364" s="669" t="n"/>
      <c r="D364" s="669" t="n"/>
      <c r="E364" s="669" t="n"/>
      <c r="F364" s="669" t="n"/>
      <c r="G364" s="669" t="n"/>
      <c r="H364" s="669" t="n"/>
      <c r="I364" s="669" t="n"/>
      <c r="J364" s="669" t="n"/>
      <c r="K364" s="669" t="n"/>
      <c r="L364" s="669" t="n"/>
      <c r="M364" s="669" t="n"/>
      <c r="N364" s="669" t="n"/>
      <c r="O364" s="669" t="n"/>
      <c r="P364" s="669" t="n"/>
      <c r="Q364" s="669" t="n"/>
      <c r="R364" s="669" t="n"/>
      <c r="S364" s="669" t="n"/>
      <c r="T364" s="669" t="n"/>
      <c r="U364" s="669" t="n"/>
      <c r="V364" s="669" t="n"/>
      <c r="W364" s="669" t="n"/>
      <c r="X364" s="669" t="n"/>
      <c r="Y364" s="669" t="n"/>
      <c r="Z364" s="669" t="n"/>
    </row>
    <row r="365">
      <c r="A365" s="669" t="n"/>
      <c r="B365" s="669" t="n"/>
      <c r="C365" s="669" t="n"/>
      <c r="D365" s="669" t="n"/>
      <c r="E365" s="669" t="n"/>
      <c r="F365" s="669" t="n"/>
      <c r="G365" s="669" t="n"/>
      <c r="H365" s="669" t="n"/>
      <c r="I365" s="669" t="n"/>
      <c r="J365" s="669" t="n"/>
      <c r="K365" s="669" t="n"/>
      <c r="L365" s="669" t="n"/>
      <c r="M365" s="669" t="n"/>
      <c r="N365" s="669" t="n"/>
      <c r="O365" s="669" t="n"/>
      <c r="P365" s="669" t="n"/>
      <c r="Q365" s="669" t="n"/>
      <c r="R365" s="669" t="n"/>
      <c r="S365" s="669" t="n"/>
      <c r="T365" s="669" t="n"/>
      <c r="U365" s="669" t="n"/>
      <c r="V365" s="669" t="n"/>
      <c r="W365" s="669" t="n"/>
      <c r="X365" s="669" t="n"/>
      <c r="Y365" s="669" t="n"/>
      <c r="Z365" s="669" t="n"/>
    </row>
    <row r="366">
      <c r="A366" s="669" t="n"/>
      <c r="B366" s="669" t="n"/>
      <c r="C366" s="669" t="n"/>
      <c r="D366" s="669" t="n"/>
      <c r="E366" s="669" t="n"/>
      <c r="F366" s="669" t="n"/>
      <c r="G366" s="669" t="n"/>
      <c r="H366" s="669" t="n"/>
      <c r="I366" s="669" t="n"/>
      <c r="J366" s="669" t="n"/>
      <c r="K366" s="669" t="n"/>
      <c r="L366" s="669" t="n"/>
      <c r="M366" s="669" t="n"/>
      <c r="N366" s="669" t="n"/>
      <c r="O366" s="669" t="n"/>
      <c r="P366" s="669" t="n"/>
      <c r="Q366" s="669" t="n"/>
      <c r="R366" s="669" t="n"/>
      <c r="S366" s="669" t="n"/>
      <c r="T366" s="669" t="n"/>
      <c r="U366" s="669" t="n"/>
      <c r="V366" s="669" t="n"/>
      <c r="W366" s="669" t="n"/>
      <c r="X366" s="669" t="n"/>
      <c r="Y366" s="669" t="n"/>
      <c r="Z366" s="669" t="n"/>
    </row>
    <row r="367">
      <c r="A367" s="669" t="n"/>
      <c r="B367" s="669" t="n"/>
      <c r="C367" s="669" t="n"/>
      <c r="D367" s="669" t="n"/>
      <c r="E367" s="669" t="n"/>
      <c r="F367" s="669" t="n"/>
      <c r="G367" s="669" t="n"/>
      <c r="H367" s="669" t="n"/>
      <c r="I367" s="669" t="n"/>
      <c r="J367" s="669" t="n"/>
      <c r="K367" s="669" t="n"/>
      <c r="L367" s="669" t="n"/>
      <c r="M367" s="669" t="n"/>
      <c r="N367" s="669" t="n"/>
      <c r="O367" s="669" t="n"/>
      <c r="P367" s="669" t="n"/>
      <c r="Q367" s="669" t="n"/>
      <c r="R367" s="669" t="n"/>
      <c r="S367" s="669" t="n"/>
      <c r="T367" s="669" t="n"/>
      <c r="U367" s="669" t="n"/>
      <c r="V367" s="669" t="n"/>
      <c r="W367" s="669" t="n"/>
      <c r="X367" s="669" t="n"/>
      <c r="Y367" s="669" t="n"/>
      <c r="Z367" s="669" t="n"/>
    </row>
    <row r="368">
      <c r="A368" s="669" t="n"/>
      <c r="B368" s="669" t="n"/>
      <c r="C368" s="669" t="n"/>
      <c r="D368" s="669" t="n"/>
      <c r="E368" s="669" t="n"/>
      <c r="F368" s="669" t="n"/>
      <c r="G368" s="669" t="n"/>
      <c r="H368" s="669" t="n"/>
      <c r="I368" s="669" t="n"/>
      <c r="J368" s="669" t="n"/>
      <c r="K368" s="669" t="n"/>
      <c r="L368" s="669" t="n"/>
      <c r="M368" s="669" t="n"/>
      <c r="N368" s="669" t="n"/>
      <c r="O368" s="669" t="n"/>
      <c r="P368" s="669" t="n"/>
      <c r="Q368" s="669" t="n"/>
      <c r="R368" s="669" t="n"/>
      <c r="S368" s="669" t="n"/>
      <c r="T368" s="669" t="n"/>
      <c r="U368" s="669" t="n"/>
      <c r="V368" s="669" t="n"/>
      <c r="W368" s="669" t="n"/>
      <c r="X368" s="669" t="n"/>
      <c r="Y368" s="669" t="n"/>
      <c r="Z368" s="669" t="n"/>
    </row>
    <row r="369">
      <c r="A369" s="669" t="n"/>
      <c r="B369" s="669" t="n"/>
      <c r="C369" s="669" t="n"/>
      <c r="D369" s="669" t="n"/>
      <c r="E369" s="669" t="n"/>
      <c r="F369" s="669" t="n"/>
      <c r="G369" s="669" t="n"/>
      <c r="H369" s="669" t="n"/>
      <c r="I369" s="669" t="n"/>
      <c r="J369" s="669" t="n"/>
      <c r="K369" s="669" t="n"/>
      <c r="L369" s="669" t="n"/>
      <c r="M369" s="669" t="n"/>
      <c r="N369" s="669" t="n"/>
      <c r="O369" s="669" t="n"/>
      <c r="P369" s="669" t="n"/>
      <c r="Q369" s="669" t="n"/>
      <c r="R369" s="669" t="n"/>
      <c r="S369" s="669" t="n"/>
      <c r="T369" s="669" t="n"/>
      <c r="U369" s="669" t="n"/>
      <c r="V369" s="669" t="n"/>
      <c r="W369" s="669" t="n"/>
      <c r="X369" s="669" t="n"/>
      <c r="Y369" s="669" t="n"/>
      <c r="Z369" s="669" t="n"/>
    </row>
    <row r="370">
      <c r="A370" s="669" t="n"/>
      <c r="B370" s="669" t="n"/>
      <c r="C370" s="669" t="n"/>
      <c r="D370" s="669" t="n"/>
      <c r="E370" s="669" t="n"/>
      <c r="F370" s="669" t="n"/>
      <c r="G370" s="669" t="n"/>
      <c r="H370" s="669" t="n"/>
      <c r="I370" s="669" t="n"/>
      <c r="J370" s="669" t="n"/>
      <c r="K370" s="669" t="n"/>
      <c r="L370" s="669" t="n"/>
      <c r="M370" s="669" t="n"/>
      <c r="N370" s="669" t="n"/>
      <c r="O370" s="669" t="n"/>
      <c r="P370" s="669" t="n"/>
      <c r="Q370" s="669" t="n"/>
      <c r="R370" s="669" t="n"/>
      <c r="S370" s="669" t="n"/>
      <c r="T370" s="669" t="n"/>
      <c r="U370" s="669" t="n"/>
      <c r="V370" s="669" t="n"/>
      <c r="W370" s="669" t="n"/>
      <c r="X370" s="669" t="n"/>
      <c r="Y370" s="669" t="n"/>
      <c r="Z370" s="669" t="n"/>
    </row>
    <row r="371">
      <c r="A371" s="669" t="n"/>
      <c r="B371" s="669" t="n"/>
      <c r="C371" s="669" t="n"/>
      <c r="D371" s="669" t="n"/>
      <c r="E371" s="669" t="n"/>
      <c r="F371" s="669" t="n"/>
      <c r="G371" s="669" t="n"/>
      <c r="H371" s="669" t="n"/>
      <c r="I371" s="669" t="n"/>
      <c r="J371" s="669" t="n"/>
      <c r="K371" s="669" t="n"/>
      <c r="L371" s="669" t="n"/>
      <c r="M371" s="669" t="n"/>
      <c r="N371" s="669" t="n"/>
      <c r="O371" s="669" t="n"/>
      <c r="P371" s="669" t="n"/>
      <c r="Q371" s="669" t="n"/>
      <c r="R371" s="669" t="n"/>
      <c r="S371" s="669" t="n"/>
      <c r="T371" s="669" t="n"/>
      <c r="U371" s="669" t="n"/>
      <c r="V371" s="669" t="n"/>
      <c r="W371" s="669" t="n"/>
      <c r="X371" s="669" t="n"/>
      <c r="Y371" s="669" t="n"/>
      <c r="Z371" s="669" t="n"/>
    </row>
    <row r="372">
      <c r="A372" s="669" t="n"/>
      <c r="B372" s="669" t="n"/>
      <c r="C372" s="669" t="n"/>
      <c r="D372" s="669" t="n"/>
      <c r="E372" s="669" t="n"/>
      <c r="F372" s="669" t="n"/>
      <c r="G372" s="669" t="n"/>
      <c r="H372" s="669" t="n"/>
      <c r="I372" s="669" t="n"/>
      <c r="J372" s="669" t="n"/>
      <c r="K372" s="669" t="n"/>
      <c r="L372" s="669" t="n"/>
      <c r="M372" s="669" t="n"/>
      <c r="N372" s="669" t="n"/>
      <c r="O372" s="669" t="n"/>
      <c r="P372" s="669" t="n"/>
      <c r="Q372" s="669" t="n"/>
      <c r="R372" s="669" t="n"/>
      <c r="S372" s="669" t="n"/>
      <c r="T372" s="669" t="n"/>
      <c r="U372" s="669" t="n"/>
      <c r="V372" s="669" t="n"/>
      <c r="W372" s="669" t="n"/>
      <c r="X372" s="669" t="n"/>
      <c r="Y372" s="669" t="n"/>
      <c r="Z372" s="669" t="n"/>
    </row>
    <row r="373">
      <c r="A373" s="669" t="n"/>
      <c r="B373" s="669" t="n"/>
      <c r="C373" s="669" t="n"/>
      <c r="D373" s="669" t="n"/>
      <c r="E373" s="669" t="n"/>
      <c r="F373" s="669" t="n"/>
      <c r="G373" s="669" t="n"/>
      <c r="H373" s="669" t="n"/>
      <c r="I373" s="669" t="n"/>
      <c r="J373" s="669" t="n"/>
      <c r="K373" s="669" t="n"/>
      <c r="L373" s="669" t="n"/>
      <c r="M373" s="669" t="n"/>
      <c r="N373" s="669" t="n"/>
      <c r="O373" s="669" t="n"/>
      <c r="P373" s="669" t="n"/>
      <c r="Q373" s="669" t="n"/>
      <c r="R373" s="669" t="n"/>
      <c r="S373" s="669" t="n"/>
      <c r="T373" s="669" t="n"/>
      <c r="U373" s="669" t="n"/>
      <c r="V373" s="669" t="n"/>
      <c r="W373" s="669" t="n"/>
      <c r="X373" s="669" t="n"/>
      <c r="Y373" s="669" t="n"/>
      <c r="Z373" s="669" t="n"/>
    </row>
    <row r="374">
      <c r="A374" s="669" t="n"/>
      <c r="B374" s="669" t="n"/>
      <c r="C374" s="669" t="n"/>
      <c r="D374" s="669" t="n"/>
      <c r="E374" s="669" t="n"/>
      <c r="F374" s="669" t="n"/>
      <c r="G374" s="669" t="n"/>
      <c r="H374" s="669" t="n"/>
      <c r="I374" s="669" t="n"/>
      <c r="J374" s="669" t="n"/>
      <c r="K374" s="669" t="n"/>
      <c r="L374" s="669" t="n"/>
      <c r="M374" s="669" t="n"/>
      <c r="N374" s="669" t="n"/>
      <c r="O374" s="669" t="n"/>
      <c r="P374" s="669" t="n"/>
      <c r="Q374" s="669" t="n"/>
      <c r="R374" s="669" t="n"/>
      <c r="S374" s="669" t="n"/>
      <c r="T374" s="669" t="n"/>
      <c r="U374" s="669" t="n"/>
      <c r="V374" s="669" t="n"/>
      <c r="W374" s="669" t="n"/>
      <c r="X374" s="669" t="n"/>
      <c r="Y374" s="669" t="n"/>
      <c r="Z374" s="669" t="n"/>
    </row>
    <row r="375">
      <c r="A375" s="669" t="n"/>
      <c r="B375" s="669" t="n"/>
      <c r="C375" s="669" t="n"/>
      <c r="D375" s="669" t="n"/>
      <c r="E375" s="669" t="n"/>
      <c r="F375" s="669" t="n"/>
      <c r="G375" s="669" t="n"/>
      <c r="H375" s="669" t="n"/>
      <c r="I375" s="669" t="n"/>
      <c r="J375" s="669" t="n"/>
      <c r="K375" s="669" t="n"/>
      <c r="L375" s="669" t="n"/>
      <c r="M375" s="669" t="n"/>
      <c r="N375" s="669" t="n"/>
      <c r="O375" s="669" t="n"/>
      <c r="P375" s="669" t="n"/>
      <c r="Q375" s="669" t="n"/>
      <c r="R375" s="669" t="n"/>
      <c r="S375" s="669" t="n"/>
      <c r="T375" s="669" t="n"/>
      <c r="U375" s="669" t="n"/>
      <c r="V375" s="669" t="n"/>
      <c r="W375" s="669" t="n"/>
      <c r="X375" s="669" t="n"/>
      <c r="Y375" s="669" t="n"/>
      <c r="Z375" s="669" t="n"/>
    </row>
    <row r="376">
      <c r="A376" s="669" t="n"/>
      <c r="B376" s="669" t="n"/>
      <c r="C376" s="669" t="n"/>
      <c r="D376" s="669" t="n"/>
      <c r="E376" s="669" t="n"/>
      <c r="F376" s="669" t="n"/>
      <c r="G376" s="669" t="n"/>
      <c r="H376" s="669" t="n"/>
      <c r="I376" s="669" t="n"/>
      <c r="J376" s="669" t="n"/>
      <c r="K376" s="669" t="n"/>
      <c r="L376" s="669" t="n"/>
      <c r="M376" s="669" t="n"/>
      <c r="N376" s="669" t="n"/>
      <c r="O376" s="669" t="n"/>
      <c r="P376" s="669" t="n"/>
      <c r="Q376" s="669" t="n"/>
      <c r="R376" s="669" t="n"/>
      <c r="S376" s="669" t="n"/>
      <c r="T376" s="669" t="n"/>
      <c r="U376" s="669" t="n"/>
      <c r="V376" s="669" t="n"/>
      <c r="W376" s="669" t="n"/>
      <c r="X376" s="669" t="n"/>
      <c r="Y376" s="669" t="n"/>
      <c r="Z376" s="669" t="n"/>
    </row>
    <row r="377">
      <c r="A377" s="669" t="n"/>
      <c r="B377" s="669" t="n"/>
      <c r="C377" s="669" t="n"/>
      <c r="D377" s="669" t="n"/>
      <c r="E377" s="669" t="n"/>
      <c r="F377" s="669" t="n"/>
      <c r="G377" s="669" t="n"/>
      <c r="H377" s="669" t="n"/>
      <c r="I377" s="669" t="n"/>
      <c r="J377" s="669" t="n"/>
      <c r="K377" s="669" t="n"/>
      <c r="L377" s="669" t="n"/>
      <c r="M377" s="669" t="n"/>
      <c r="N377" s="669" t="n"/>
      <c r="O377" s="669" t="n"/>
      <c r="P377" s="669" t="n"/>
      <c r="Q377" s="669" t="n"/>
      <c r="R377" s="669" t="n"/>
      <c r="S377" s="669" t="n"/>
      <c r="T377" s="669" t="n"/>
      <c r="U377" s="669" t="n"/>
      <c r="V377" s="669" t="n"/>
      <c r="W377" s="669" t="n"/>
      <c r="X377" s="669" t="n"/>
      <c r="Y377" s="669" t="n"/>
      <c r="Z377" s="669" t="n"/>
    </row>
    <row r="378">
      <c r="A378" s="669" t="n"/>
      <c r="B378" s="669" t="n"/>
      <c r="C378" s="669" t="n"/>
      <c r="D378" s="669" t="n"/>
      <c r="E378" s="669" t="n"/>
      <c r="F378" s="669" t="n"/>
      <c r="G378" s="669" t="n"/>
      <c r="H378" s="669" t="n"/>
      <c r="I378" s="669" t="n"/>
      <c r="J378" s="669" t="n"/>
      <c r="K378" s="669" t="n"/>
      <c r="L378" s="669" t="n"/>
      <c r="M378" s="669" t="n"/>
      <c r="N378" s="669" t="n"/>
      <c r="O378" s="669" t="n"/>
      <c r="P378" s="669" t="n"/>
      <c r="Q378" s="669" t="n"/>
      <c r="R378" s="669" t="n"/>
      <c r="S378" s="669" t="n"/>
      <c r="T378" s="669" t="n"/>
      <c r="U378" s="669" t="n"/>
      <c r="V378" s="669" t="n"/>
      <c r="W378" s="669" t="n"/>
      <c r="X378" s="669" t="n"/>
      <c r="Y378" s="669" t="n"/>
      <c r="Z378" s="669" t="n"/>
    </row>
    <row r="379">
      <c r="A379" s="669" t="n"/>
      <c r="B379" s="669" t="n"/>
      <c r="C379" s="669" t="n"/>
      <c r="D379" s="669" t="n"/>
      <c r="E379" s="669" t="n"/>
      <c r="F379" s="669" t="n"/>
      <c r="G379" s="669" t="n"/>
      <c r="H379" s="669" t="n"/>
      <c r="I379" s="669" t="n"/>
      <c r="J379" s="669" t="n"/>
      <c r="K379" s="669" t="n"/>
      <c r="L379" s="669" t="n"/>
      <c r="M379" s="669" t="n"/>
      <c r="N379" s="669" t="n"/>
      <c r="O379" s="669" t="n"/>
      <c r="P379" s="669" t="n"/>
      <c r="Q379" s="669" t="n"/>
      <c r="R379" s="669" t="n"/>
      <c r="S379" s="669" t="n"/>
      <c r="T379" s="669" t="n"/>
      <c r="U379" s="669" t="n"/>
      <c r="V379" s="669" t="n"/>
      <c r="W379" s="669" t="n"/>
      <c r="X379" s="669" t="n"/>
      <c r="Y379" s="669" t="n"/>
      <c r="Z379" s="669" t="n"/>
    </row>
    <row r="380">
      <c r="A380" s="669" t="n"/>
      <c r="B380" s="669" t="n"/>
      <c r="C380" s="669" t="n"/>
      <c r="D380" s="669" t="n"/>
      <c r="E380" s="669" t="n"/>
      <c r="F380" s="669" t="n"/>
      <c r="G380" s="669" t="n"/>
      <c r="H380" s="669" t="n"/>
      <c r="I380" s="669" t="n"/>
      <c r="J380" s="669" t="n"/>
      <c r="K380" s="669" t="n"/>
      <c r="L380" s="669" t="n"/>
      <c r="M380" s="669" t="n"/>
      <c r="N380" s="669" t="n"/>
      <c r="O380" s="669" t="n"/>
      <c r="P380" s="669" t="n"/>
      <c r="Q380" s="669" t="n"/>
      <c r="R380" s="669" t="n"/>
      <c r="S380" s="669" t="n"/>
      <c r="T380" s="669" t="n"/>
      <c r="U380" s="669" t="n"/>
      <c r="V380" s="669" t="n"/>
      <c r="W380" s="669" t="n"/>
      <c r="X380" s="669" t="n"/>
      <c r="Y380" s="669" t="n"/>
      <c r="Z380" s="669" t="n"/>
    </row>
    <row r="381">
      <c r="A381" s="669" t="n"/>
      <c r="B381" s="669" t="n"/>
      <c r="C381" s="669" t="n"/>
      <c r="D381" s="669" t="n"/>
      <c r="E381" s="669" t="n"/>
      <c r="F381" s="669" t="n"/>
      <c r="G381" s="669" t="n"/>
      <c r="H381" s="669" t="n"/>
      <c r="I381" s="669" t="n"/>
      <c r="J381" s="669" t="n"/>
      <c r="K381" s="669" t="n"/>
      <c r="L381" s="669" t="n"/>
      <c r="M381" s="669" t="n"/>
      <c r="N381" s="669" t="n"/>
      <c r="O381" s="669" t="n"/>
      <c r="P381" s="669" t="n"/>
      <c r="Q381" s="669" t="n"/>
      <c r="R381" s="669" t="n"/>
      <c r="S381" s="669" t="n"/>
      <c r="T381" s="669" t="n"/>
      <c r="U381" s="669" t="n"/>
      <c r="V381" s="669" t="n"/>
      <c r="W381" s="669" t="n"/>
      <c r="X381" s="669" t="n"/>
      <c r="Y381" s="669" t="n"/>
      <c r="Z381" s="669" t="n"/>
    </row>
    <row r="382">
      <c r="A382" s="669" t="n"/>
      <c r="B382" s="669" t="n"/>
      <c r="C382" s="669" t="n"/>
      <c r="D382" s="669" t="n"/>
      <c r="E382" s="669" t="n"/>
      <c r="F382" s="669" t="n"/>
      <c r="G382" s="669" t="n"/>
      <c r="H382" s="669" t="n"/>
      <c r="I382" s="669" t="n"/>
      <c r="J382" s="669" t="n"/>
      <c r="K382" s="669" t="n"/>
      <c r="L382" s="669" t="n"/>
      <c r="M382" s="669" t="n"/>
      <c r="N382" s="669" t="n"/>
      <c r="O382" s="669" t="n"/>
      <c r="P382" s="669" t="n"/>
      <c r="Q382" s="669" t="n"/>
      <c r="R382" s="669" t="n"/>
      <c r="S382" s="669" t="n"/>
      <c r="T382" s="669" t="n"/>
      <c r="U382" s="669" t="n"/>
      <c r="V382" s="669" t="n"/>
      <c r="W382" s="669" t="n"/>
      <c r="X382" s="669" t="n"/>
      <c r="Y382" s="669" t="n"/>
      <c r="Z382" s="669" t="n"/>
    </row>
    <row r="383">
      <c r="A383" s="669" t="n"/>
      <c r="B383" s="669" t="n"/>
      <c r="C383" s="669" t="n"/>
      <c r="D383" s="669" t="n"/>
      <c r="E383" s="669" t="n"/>
      <c r="F383" s="669" t="n"/>
      <c r="G383" s="669" t="n"/>
      <c r="H383" s="669" t="n"/>
      <c r="I383" s="669" t="n"/>
      <c r="J383" s="669" t="n"/>
      <c r="K383" s="669" t="n"/>
      <c r="L383" s="669" t="n"/>
      <c r="M383" s="669" t="n"/>
      <c r="N383" s="669" t="n"/>
      <c r="O383" s="669" t="n"/>
      <c r="P383" s="669" t="n"/>
      <c r="Q383" s="669" t="n"/>
      <c r="R383" s="669" t="n"/>
      <c r="S383" s="669" t="n"/>
      <c r="T383" s="669" t="n"/>
      <c r="U383" s="669" t="n"/>
      <c r="V383" s="669" t="n"/>
      <c r="W383" s="669" t="n"/>
      <c r="X383" s="669" t="n"/>
      <c r="Y383" s="669" t="n"/>
      <c r="Z383" s="669" t="n"/>
    </row>
    <row r="384">
      <c r="A384" s="669" t="n"/>
      <c r="B384" s="669" t="n"/>
      <c r="C384" s="669" t="n"/>
      <c r="D384" s="669" t="n"/>
      <c r="E384" s="669" t="n"/>
      <c r="F384" s="669" t="n"/>
      <c r="G384" s="669" t="n"/>
      <c r="H384" s="669" t="n"/>
      <c r="I384" s="669" t="n"/>
      <c r="J384" s="669" t="n"/>
      <c r="K384" s="669" t="n"/>
      <c r="L384" s="669" t="n"/>
      <c r="M384" s="669" t="n"/>
      <c r="N384" s="669" t="n"/>
      <c r="O384" s="669" t="n"/>
      <c r="P384" s="669" t="n"/>
      <c r="Q384" s="669" t="n"/>
      <c r="R384" s="669" t="n"/>
      <c r="S384" s="669" t="n"/>
      <c r="T384" s="669" t="n"/>
      <c r="U384" s="669" t="n"/>
      <c r="V384" s="669" t="n"/>
      <c r="W384" s="669" t="n"/>
      <c r="X384" s="669" t="n"/>
      <c r="Y384" s="669" t="n"/>
      <c r="Z384" s="669" t="n"/>
    </row>
    <row r="385">
      <c r="A385" s="669" t="n"/>
      <c r="B385" s="669" t="n"/>
      <c r="C385" s="669" t="n"/>
      <c r="D385" s="669" t="n"/>
      <c r="E385" s="669" t="n"/>
      <c r="F385" s="669" t="n"/>
      <c r="G385" s="669" t="n"/>
      <c r="H385" s="669" t="n"/>
      <c r="I385" s="669" t="n"/>
      <c r="J385" s="669" t="n"/>
      <c r="K385" s="669" t="n"/>
      <c r="L385" s="669" t="n"/>
      <c r="M385" s="669" t="n"/>
      <c r="N385" s="669" t="n"/>
      <c r="O385" s="669" t="n"/>
      <c r="P385" s="669" t="n"/>
      <c r="Q385" s="669" t="n"/>
      <c r="R385" s="669" t="n"/>
      <c r="S385" s="669" t="n"/>
      <c r="T385" s="669" t="n"/>
      <c r="U385" s="669" t="n"/>
      <c r="V385" s="669" t="n"/>
      <c r="W385" s="669" t="n"/>
      <c r="X385" s="669" t="n"/>
      <c r="Y385" s="669" t="n"/>
      <c r="Z385" s="669" t="n"/>
    </row>
    <row r="386">
      <c r="A386" s="669" t="n"/>
      <c r="B386" s="669" t="n"/>
      <c r="C386" s="669" t="n"/>
      <c r="D386" s="669" t="n"/>
      <c r="E386" s="669" t="n"/>
      <c r="F386" s="669" t="n"/>
      <c r="G386" s="669" t="n"/>
      <c r="H386" s="669" t="n"/>
      <c r="I386" s="669" t="n"/>
      <c r="J386" s="669" t="n"/>
      <c r="K386" s="669" t="n"/>
      <c r="L386" s="669" t="n"/>
      <c r="M386" s="669" t="n"/>
      <c r="N386" s="669" t="n"/>
      <c r="O386" s="669" t="n"/>
      <c r="P386" s="669" t="n"/>
      <c r="Q386" s="669" t="n"/>
      <c r="R386" s="669" t="n"/>
      <c r="S386" s="669" t="n"/>
      <c r="T386" s="669" t="n"/>
      <c r="U386" s="669" t="n"/>
      <c r="V386" s="669" t="n"/>
      <c r="W386" s="669" t="n"/>
      <c r="X386" s="669" t="n"/>
      <c r="Y386" s="669" t="n"/>
      <c r="Z386" s="669" t="n"/>
    </row>
    <row r="387">
      <c r="A387" s="669" t="n"/>
      <c r="B387" s="669" t="n"/>
      <c r="C387" s="669" t="n"/>
      <c r="D387" s="669" t="n"/>
      <c r="E387" s="669" t="n"/>
      <c r="F387" s="669" t="n"/>
      <c r="G387" s="669" t="n"/>
      <c r="H387" s="669" t="n"/>
      <c r="I387" s="669" t="n"/>
      <c r="J387" s="669" t="n"/>
      <c r="K387" s="669" t="n"/>
      <c r="L387" s="669" t="n"/>
      <c r="M387" s="669" t="n"/>
      <c r="N387" s="669" t="n"/>
      <c r="O387" s="669" t="n"/>
      <c r="P387" s="669" t="n"/>
      <c r="Q387" s="669" t="n"/>
      <c r="R387" s="669" t="n"/>
      <c r="S387" s="669" t="n"/>
      <c r="T387" s="669" t="n"/>
      <c r="U387" s="669" t="n"/>
      <c r="V387" s="669" t="n"/>
      <c r="W387" s="669" t="n"/>
      <c r="X387" s="669" t="n"/>
      <c r="Y387" s="669" t="n"/>
      <c r="Z387" s="669" t="n"/>
    </row>
    <row r="388">
      <c r="A388" s="669" t="n"/>
      <c r="B388" s="669" t="n"/>
      <c r="C388" s="669" t="n"/>
      <c r="D388" s="669" t="n"/>
      <c r="E388" s="669" t="n"/>
      <c r="F388" s="669" t="n"/>
      <c r="G388" s="669" t="n"/>
      <c r="H388" s="669" t="n"/>
      <c r="I388" s="669" t="n"/>
      <c r="J388" s="669" t="n"/>
      <c r="K388" s="669" t="n"/>
      <c r="L388" s="669" t="n"/>
      <c r="M388" s="669" t="n"/>
      <c r="N388" s="669" t="n"/>
      <c r="O388" s="669" t="n"/>
      <c r="P388" s="669" t="n"/>
      <c r="Q388" s="669" t="n"/>
      <c r="R388" s="669" t="n"/>
      <c r="S388" s="669" t="n"/>
      <c r="T388" s="669" t="n"/>
      <c r="U388" s="669" t="n"/>
      <c r="V388" s="669" t="n"/>
      <c r="W388" s="669" t="n"/>
      <c r="X388" s="669" t="n"/>
      <c r="Y388" s="669" t="n"/>
      <c r="Z388" s="669" t="n"/>
    </row>
    <row r="389">
      <c r="A389" s="669" t="n"/>
      <c r="B389" s="669" t="n"/>
      <c r="C389" s="669" t="n"/>
      <c r="D389" s="669" t="n"/>
      <c r="E389" s="669" t="n"/>
      <c r="F389" s="669" t="n"/>
      <c r="G389" s="669" t="n"/>
      <c r="H389" s="669" t="n"/>
      <c r="I389" s="669" t="n"/>
      <c r="J389" s="669" t="n"/>
      <c r="K389" s="669" t="n"/>
      <c r="L389" s="669" t="n"/>
      <c r="M389" s="669" t="n"/>
      <c r="N389" s="669" t="n"/>
      <c r="O389" s="669" t="n"/>
      <c r="P389" s="669" t="n"/>
      <c r="Q389" s="669" t="n"/>
      <c r="R389" s="669" t="n"/>
      <c r="S389" s="669" t="n"/>
      <c r="T389" s="669" t="n"/>
      <c r="U389" s="669" t="n"/>
      <c r="V389" s="669" t="n"/>
      <c r="W389" s="669" t="n"/>
      <c r="X389" s="669" t="n"/>
      <c r="Y389" s="669" t="n"/>
      <c r="Z389" s="669" t="n"/>
    </row>
    <row r="390">
      <c r="A390" s="669" t="n"/>
      <c r="B390" s="669" t="n"/>
      <c r="C390" s="669" t="n"/>
      <c r="D390" s="669" t="n"/>
      <c r="E390" s="669" t="n"/>
      <c r="F390" s="669" t="n"/>
      <c r="G390" s="669" t="n"/>
      <c r="H390" s="669" t="n"/>
      <c r="I390" s="669" t="n"/>
      <c r="J390" s="669" t="n"/>
      <c r="K390" s="669" t="n"/>
      <c r="L390" s="669" t="n"/>
      <c r="M390" s="669" t="n"/>
      <c r="N390" s="669" t="n"/>
      <c r="O390" s="669" t="n"/>
      <c r="P390" s="669" t="n"/>
      <c r="Q390" s="669" t="n"/>
      <c r="R390" s="669" t="n"/>
      <c r="S390" s="669" t="n"/>
      <c r="T390" s="669" t="n"/>
      <c r="U390" s="669" t="n"/>
      <c r="V390" s="669" t="n"/>
      <c r="W390" s="669" t="n"/>
      <c r="X390" s="669" t="n"/>
      <c r="Y390" s="669" t="n"/>
      <c r="Z390" s="669" t="n"/>
    </row>
    <row r="391">
      <c r="A391" s="669" t="n"/>
      <c r="B391" s="669" t="n"/>
      <c r="C391" s="669" t="n"/>
      <c r="D391" s="669" t="n"/>
      <c r="E391" s="669" t="n"/>
      <c r="F391" s="669" t="n"/>
      <c r="G391" s="669" t="n"/>
      <c r="H391" s="669" t="n"/>
      <c r="I391" s="669" t="n"/>
      <c r="J391" s="669" t="n"/>
      <c r="K391" s="669" t="n"/>
      <c r="L391" s="669" t="n"/>
      <c r="M391" s="669" t="n"/>
      <c r="N391" s="669" t="n"/>
      <c r="O391" s="669" t="n"/>
      <c r="P391" s="669" t="n"/>
      <c r="Q391" s="669" t="n"/>
      <c r="R391" s="669" t="n"/>
      <c r="S391" s="669" t="n"/>
      <c r="T391" s="669" t="n"/>
      <c r="U391" s="669" t="n"/>
      <c r="V391" s="669" t="n"/>
      <c r="W391" s="669" t="n"/>
      <c r="X391" s="669" t="n"/>
      <c r="Y391" s="669" t="n"/>
      <c r="Z391" s="669" t="n"/>
    </row>
    <row r="392">
      <c r="A392" s="669" t="n"/>
      <c r="B392" s="669" t="n"/>
      <c r="C392" s="669" t="n"/>
      <c r="D392" s="669" t="n"/>
      <c r="E392" s="669" t="n"/>
      <c r="F392" s="669" t="n"/>
      <c r="G392" s="669" t="n"/>
      <c r="H392" s="669" t="n"/>
      <c r="I392" s="669" t="n"/>
      <c r="J392" s="669" t="n"/>
      <c r="K392" s="669" t="n"/>
      <c r="L392" s="669" t="n"/>
      <c r="M392" s="669" t="n"/>
      <c r="N392" s="669" t="n"/>
      <c r="O392" s="669" t="n"/>
      <c r="P392" s="669" t="n"/>
      <c r="Q392" s="669" t="n"/>
      <c r="R392" s="669" t="n"/>
      <c r="S392" s="669" t="n"/>
      <c r="T392" s="669" t="n"/>
      <c r="U392" s="669" t="n"/>
      <c r="V392" s="669" t="n"/>
      <c r="W392" s="669" t="n"/>
      <c r="X392" s="669" t="n"/>
      <c r="Y392" s="669" t="n"/>
      <c r="Z392" s="669" t="n"/>
    </row>
    <row r="393">
      <c r="A393" s="669" t="n"/>
      <c r="B393" s="669" t="n"/>
      <c r="C393" s="669" t="n"/>
      <c r="D393" s="669" t="n"/>
      <c r="E393" s="669" t="n"/>
      <c r="F393" s="669" t="n"/>
      <c r="G393" s="669" t="n"/>
      <c r="H393" s="669" t="n"/>
      <c r="I393" s="669" t="n"/>
      <c r="J393" s="669" t="n"/>
      <c r="K393" s="669" t="n"/>
      <c r="L393" s="669" t="n"/>
      <c r="M393" s="669" t="n"/>
      <c r="N393" s="669" t="n"/>
      <c r="O393" s="669" t="n"/>
      <c r="P393" s="669" t="n"/>
      <c r="Q393" s="669" t="n"/>
      <c r="R393" s="669" t="n"/>
      <c r="S393" s="669" t="n"/>
      <c r="T393" s="669" t="n"/>
      <c r="U393" s="669" t="n"/>
      <c r="V393" s="669" t="n"/>
      <c r="W393" s="669" t="n"/>
      <c r="X393" s="669" t="n"/>
      <c r="Y393" s="669" t="n"/>
      <c r="Z393" s="669" t="n"/>
    </row>
    <row r="394">
      <c r="A394" s="669" t="n"/>
      <c r="B394" s="669" t="n"/>
      <c r="C394" s="669" t="n"/>
      <c r="D394" s="669" t="n"/>
      <c r="E394" s="669" t="n"/>
      <c r="F394" s="669" t="n"/>
      <c r="G394" s="669" t="n"/>
      <c r="H394" s="669" t="n"/>
      <c r="I394" s="669" t="n"/>
      <c r="J394" s="669" t="n"/>
      <c r="K394" s="669" t="n"/>
      <c r="L394" s="669" t="n"/>
      <c r="M394" s="669" t="n"/>
      <c r="N394" s="669" t="n"/>
      <c r="O394" s="669" t="n"/>
      <c r="P394" s="669" t="n"/>
      <c r="Q394" s="669" t="n"/>
      <c r="R394" s="669" t="n"/>
      <c r="S394" s="669" t="n"/>
      <c r="T394" s="669" t="n"/>
      <c r="U394" s="669" t="n"/>
      <c r="V394" s="669" t="n"/>
      <c r="W394" s="669" t="n"/>
      <c r="X394" s="669" t="n"/>
      <c r="Y394" s="669" t="n"/>
      <c r="Z394" s="669" t="n"/>
    </row>
    <row r="395">
      <c r="A395" s="669" t="n"/>
      <c r="B395" s="669" t="n"/>
      <c r="C395" s="669" t="n"/>
      <c r="D395" s="669" t="n"/>
      <c r="E395" s="669" t="n"/>
      <c r="F395" s="669" t="n"/>
      <c r="G395" s="669" t="n"/>
      <c r="H395" s="669" t="n"/>
      <c r="I395" s="669" t="n"/>
      <c r="J395" s="669" t="n"/>
      <c r="K395" s="669" t="n"/>
      <c r="L395" s="669" t="n"/>
      <c r="M395" s="669" t="n"/>
      <c r="N395" s="669" t="n"/>
      <c r="O395" s="669" t="n"/>
      <c r="P395" s="669" t="n"/>
      <c r="Q395" s="669" t="n"/>
      <c r="R395" s="669" t="n"/>
      <c r="S395" s="669" t="n"/>
      <c r="T395" s="669" t="n"/>
      <c r="U395" s="669" t="n"/>
      <c r="V395" s="669" t="n"/>
      <c r="W395" s="669" t="n"/>
      <c r="X395" s="669" t="n"/>
      <c r="Y395" s="669" t="n"/>
      <c r="Z395" s="669" t="n"/>
    </row>
    <row r="396">
      <c r="A396" s="669" t="n"/>
      <c r="B396" s="669" t="n"/>
      <c r="C396" s="669" t="n"/>
      <c r="D396" s="669" t="n"/>
      <c r="E396" s="669" t="n"/>
      <c r="F396" s="669" t="n"/>
      <c r="G396" s="669" t="n"/>
      <c r="H396" s="669" t="n"/>
      <c r="I396" s="669" t="n"/>
      <c r="J396" s="669" t="n"/>
      <c r="K396" s="669" t="n"/>
      <c r="L396" s="669" t="n"/>
      <c r="M396" s="669" t="n"/>
      <c r="N396" s="669" t="n"/>
      <c r="O396" s="669" t="n"/>
      <c r="P396" s="669" t="n"/>
      <c r="Q396" s="669" t="n"/>
      <c r="R396" s="669" t="n"/>
      <c r="S396" s="669" t="n"/>
      <c r="T396" s="669" t="n"/>
      <c r="U396" s="669" t="n"/>
      <c r="V396" s="669" t="n"/>
      <c r="W396" s="669" t="n"/>
      <c r="X396" s="669" t="n"/>
      <c r="Y396" s="669" t="n"/>
      <c r="Z396" s="669" t="n"/>
    </row>
    <row r="397">
      <c r="A397" s="669" t="n"/>
      <c r="B397" s="669" t="n"/>
      <c r="C397" s="669" t="n"/>
      <c r="D397" s="669" t="n"/>
      <c r="E397" s="669" t="n"/>
      <c r="F397" s="669" t="n"/>
      <c r="G397" s="669" t="n"/>
      <c r="H397" s="669" t="n"/>
      <c r="I397" s="669" t="n"/>
      <c r="J397" s="669" t="n"/>
      <c r="K397" s="669" t="n"/>
      <c r="L397" s="669" t="n"/>
      <c r="M397" s="669" t="n"/>
      <c r="N397" s="669" t="n"/>
      <c r="O397" s="669" t="n"/>
      <c r="P397" s="669" t="n"/>
      <c r="Q397" s="669" t="n"/>
      <c r="R397" s="669" t="n"/>
      <c r="S397" s="669" t="n"/>
      <c r="T397" s="669" t="n"/>
      <c r="U397" s="669" t="n"/>
      <c r="V397" s="669" t="n"/>
      <c r="W397" s="669" t="n"/>
      <c r="X397" s="669" t="n"/>
      <c r="Y397" s="669" t="n"/>
      <c r="Z397" s="669" t="n"/>
    </row>
    <row r="398">
      <c r="A398" s="669" t="n"/>
      <c r="B398" s="669" t="n"/>
      <c r="C398" s="669" t="n"/>
      <c r="D398" s="669" t="n"/>
      <c r="E398" s="669" t="n"/>
      <c r="F398" s="669" t="n"/>
      <c r="G398" s="669" t="n"/>
      <c r="H398" s="669" t="n"/>
      <c r="I398" s="669" t="n"/>
      <c r="J398" s="669" t="n"/>
      <c r="K398" s="669" t="n"/>
      <c r="L398" s="669" t="n"/>
      <c r="M398" s="669" t="n"/>
      <c r="N398" s="669" t="n"/>
      <c r="O398" s="669" t="n"/>
      <c r="P398" s="669" t="n"/>
      <c r="Q398" s="669" t="n"/>
      <c r="R398" s="669" t="n"/>
      <c r="S398" s="669" t="n"/>
      <c r="T398" s="669" t="n"/>
      <c r="U398" s="669" t="n"/>
      <c r="V398" s="669" t="n"/>
      <c r="W398" s="669" t="n"/>
      <c r="X398" s="669" t="n"/>
      <c r="Y398" s="669" t="n"/>
      <c r="Z398" s="669" t="n"/>
    </row>
    <row r="399">
      <c r="A399" s="669" t="n"/>
      <c r="B399" s="669" t="n"/>
      <c r="C399" s="669" t="n"/>
      <c r="D399" s="669" t="n"/>
      <c r="E399" s="669" t="n"/>
      <c r="F399" s="669" t="n"/>
      <c r="G399" s="669" t="n"/>
      <c r="H399" s="669" t="n"/>
      <c r="I399" s="669" t="n"/>
      <c r="J399" s="669" t="n"/>
      <c r="K399" s="669" t="n"/>
      <c r="L399" s="669" t="n"/>
      <c r="M399" s="669" t="n"/>
      <c r="N399" s="669" t="n"/>
      <c r="O399" s="669" t="n"/>
      <c r="P399" s="669" t="n"/>
      <c r="Q399" s="669" t="n"/>
      <c r="R399" s="669" t="n"/>
      <c r="S399" s="669" t="n"/>
      <c r="T399" s="669" t="n"/>
      <c r="U399" s="669" t="n"/>
      <c r="V399" s="669" t="n"/>
      <c r="W399" s="669" t="n"/>
      <c r="X399" s="669" t="n"/>
      <c r="Y399" s="669" t="n"/>
      <c r="Z399" s="669" t="n"/>
    </row>
    <row r="400">
      <c r="A400" s="669" t="n"/>
      <c r="B400" s="669" t="n"/>
      <c r="C400" s="669" t="n"/>
      <c r="D400" s="669" t="n"/>
      <c r="E400" s="669" t="n"/>
      <c r="F400" s="669" t="n"/>
      <c r="G400" s="669" t="n"/>
      <c r="H400" s="669" t="n"/>
      <c r="I400" s="669" t="n"/>
      <c r="J400" s="669" t="n"/>
      <c r="K400" s="669" t="n"/>
      <c r="L400" s="669" t="n"/>
      <c r="M400" s="669" t="n"/>
      <c r="N400" s="669" t="n"/>
      <c r="O400" s="669" t="n"/>
      <c r="P400" s="669" t="n"/>
      <c r="Q400" s="669" t="n"/>
      <c r="R400" s="669" t="n"/>
      <c r="S400" s="669" t="n"/>
      <c r="T400" s="669" t="n"/>
      <c r="U400" s="669" t="n"/>
      <c r="V400" s="669" t="n"/>
      <c r="W400" s="669" t="n"/>
      <c r="X400" s="669" t="n"/>
      <c r="Y400" s="669" t="n"/>
      <c r="Z400" s="669" t="n"/>
    </row>
    <row r="401">
      <c r="A401" s="669" t="n"/>
      <c r="B401" s="669" t="n"/>
      <c r="C401" s="669" t="n"/>
      <c r="D401" s="669" t="n"/>
      <c r="E401" s="669" t="n"/>
      <c r="F401" s="669" t="n"/>
      <c r="G401" s="669" t="n"/>
      <c r="H401" s="669" t="n"/>
      <c r="I401" s="669" t="n"/>
      <c r="J401" s="669" t="n"/>
      <c r="K401" s="669" t="n"/>
      <c r="L401" s="669" t="n"/>
      <c r="M401" s="669" t="n"/>
      <c r="N401" s="669" t="n"/>
      <c r="O401" s="669" t="n"/>
      <c r="P401" s="669" t="n"/>
      <c r="Q401" s="669" t="n"/>
      <c r="R401" s="669" t="n"/>
      <c r="S401" s="669" t="n"/>
      <c r="T401" s="669" t="n"/>
      <c r="U401" s="669" t="n"/>
      <c r="V401" s="669" t="n"/>
      <c r="W401" s="669" t="n"/>
      <c r="X401" s="669" t="n"/>
      <c r="Y401" s="669" t="n"/>
      <c r="Z401" s="669" t="n"/>
    </row>
    <row r="402">
      <c r="A402" s="669" t="n"/>
      <c r="B402" s="669" t="n"/>
      <c r="C402" s="669" t="n"/>
      <c r="D402" s="669" t="n"/>
      <c r="E402" s="669" t="n"/>
      <c r="F402" s="669" t="n"/>
      <c r="G402" s="669" t="n"/>
      <c r="H402" s="669" t="n"/>
      <c r="I402" s="669" t="n"/>
      <c r="J402" s="669" t="n"/>
      <c r="K402" s="669" t="n"/>
      <c r="L402" s="669" t="n"/>
      <c r="M402" s="669" t="n"/>
      <c r="N402" s="669" t="n"/>
      <c r="O402" s="669" t="n"/>
      <c r="P402" s="669" t="n"/>
      <c r="Q402" s="669" t="n"/>
      <c r="R402" s="669" t="n"/>
      <c r="S402" s="669" t="n"/>
      <c r="T402" s="669" t="n"/>
      <c r="U402" s="669" t="n"/>
      <c r="V402" s="669" t="n"/>
      <c r="W402" s="669" t="n"/>
      <c r="X402" s="669" t="n"/>
      <c r="Y402" s="669" t="n"/>
      <c r="Z402" s="669" t="n"/>
    </row>
    <row r="403">
      <c r="A403" s="669" t="n"/>
      <c r="B403" s="669" t="n"/>
      <c r="C403" s="669" t="n"/>
      <c r="D403" s="669" t="n"/>
      <c r="E403" s="669" t="n"/>
      <c r="F403" s="669" t="n"/>
      <c r="G403" s="669" t="n"/>
      <c r="H403" s="669" t="n"/>
      <c r="I403" s="669" t="n"/>
      <c r="J403" s="669" t="n"/>
      <c r="K403" s="669" t="n"/>
      <c r="L403" s="669" t="n"/>
      <c r="M403" s="669" t="n"/>
      <c r="N403" s="669" t="n"/>
      <c r="O403" s="669" t="n"/>
      <c r="P403" s="669" t="n"/>
      <c r="Q403" s="669" t="n"/>
      <c r="R403" s="669" t="n"/>
      <c r="S403" s="669" t="n"/>
      <c r="T403" s="669" t="n"/>
      <c r="U403" s="669" t="n"/>
      <c r="V403" s="669" t="n"/>
      <c r="W403" s="669" t="n"/>
      <c r="X403" s="669" t="n"/>
      <c r="Y403" s="669" t="n"/>
      <c r="Z403" s="669" t="n"/>
    </row>
    <row r="404">
      <c r="A404" s="669" t="n"/>
      <c r="B404" s="669" t="n"/>
      <c r="C404" s="669" t="n"/>
      <c r="D404" s="669" t="n"/>
      <c r="E404" s="669" t="n"/>
      <c r="F404" s="669" t="n"/>
      <c r="G404" s="669" t="n"/>
      <c r="H404" s="669" t="n"/>
      <c r="I404" s="669" t="n"/>
      <c r="J404" s="669" t="n"/>
      <c r="K404" s="669" t="n"/>
      <c r="L404" s="669" t="n"/>
      <c r="M404" s="669" t="n"/>
      <c r="N404" s="669" t="n"/>
      <c r="O404" s="669" t="n"/>
      <c r="P404" s="669" t="n"/>
      <c r="Q404" s="669" t="n"/>
      <c r="R404" s="669" t="n"/>
      <c r="S404" s="669" t="n"/>
      <c r="T404" s="669" t="n"/>
      <c r="U404" s="669" t="n"/>
      <c r="V404" s="669" t="n"/>
      <c r="W404" s="669" t="n"/>
      <c r="X404" s="669" t="n"/>
      <c r="Y404" s="669" t="n"/>
      <c r="Z404" s="669" t="n"/>
    </row>
    <row r="405">
      <c r="A405" s="669" t="n"/>
      <c r="B405" s="669" t="n"/>
      <c r="C405" s="669" t="n"/>
      <c r="D405" s="669" t="n"/>
      <c r="E405" s="669" t="n"/>
      <c r="F405" s="669" t="n"/>
      <c r="G405" s="669" t="n"/>
      <c r="H405" s="669" t="n"/>
      <c r="I405" s="669" t="n"/>
      <c r="J405" s="669" t="n"/>
      <c r="K405" s="669" t="n"/>
      <c r="L405" s="669" t="n"/>
      <c r="M405" s="669" t="n"/>
      <c r="N405" s="669" t="n"/>
      <c r="O405" s="669" t="n"/>
      <c r="P405" s="669" t="n"/>
      <c r="Q405" s="669" t="n"/>
      <c r="R405" s="669" t="n"/>
      <c r="S405" s="669" t="n"/>
      <c r="T405" s="669" t="n"/>
      <c r="U405" s="669" t="n"/>
      <c r="V405" s="669" t="n"/>
      <c r="W405" s="669" t="n"/>
      <c r="X405" s="669" t="n"/>
      <c r="Y405" s="669" t="n"/>
      <c r="Z405" s="669" t="n"/>
    </row>
    <row r="406">
      <c r="A406" s="669" t="n"/>
      <c r="B406" s="669" t="n"/>
      <c r="C406" s="669" t="n"/>
      <c r="D406" s="669" t="n"/>
      <c r="E406" s="669" t="n"/>
      <c r="F406" s="669" t="n"/>
      <c r="G406" s="669" t="n"/>
      <c r="H406" s="669" t="n"/>
      <c r="I406" s="669" t="n"/>
      <c r="J406" s="669" t="n"/>
      <c r="K406" s="669" t="n"/>
      <c r="L406" s="669" t="n"/>
      <c r="M406" s="669" t="n"/>
      <c r="N406" s="669" t="n"/>
      <c r="O406" s="669" t="n"/>
      <c r="P406" s="669" t="n"/>
      <c r="Q406" s="669" t="n"/>
      <c r="R406" s="669" t="n"/>
      <c r="S406" s="669" t="n"/>
      <c r="T406" s="669" t="n"/>
      <c r="U406" s="669" t="n"/>
      <c r="V406" s="669" t="n"/>
      <c r="W406" s="669" t="n"/>
      <c r="X406" s="669" t="n"/>
      <c r="Y406" s="669" t="n"/>
      <c r="Z406" s="669" t="n"/>
    </row>
    <row r="407">
      <c r="A407" s="669" t="n"/>
      <c r="B407" s="669" t="n"/>
      <c r="C407" s="669" t="n"/>
      <c r="D407" s="669" t="n"/>
      <c r="E407" s="669" t="n"/>
      <c r="F407" s="669" t="n"/>
      <c r="G407" s="669" t="n"/>
      <c r="H407" s="669" t="n"/>
      <c r="I407" s="669" t="n"/>
      <c r="J407" s="669" t="n"/>
      <c r="K407" s="669" t="n"/>
      <c r="L407" s="669" t="n"/>
      <c r="M407" s="669" t="n"/>
      <c r="N407" s="669" t="n"/>
      <c r="O407" s="669" t="n"/>
      <c r="P407" s="669" t="n"/>
      <c r="Q407" s="669" t="n"/>
      <c r="R407" s="669" t="n"/>
      <c r="S407" s="669" t="n"/>
      <c r="T407" s="669" t="n"/>
      <c r="U407" s="669" t="n"/>
      <c r="V407" s="669" t="n"/>
      <c r="W407" s="669" t="n"/>
      <c r="X407" s="669" t="n"/>
      <c r="Y407" s="669" t="n"/>
      <c r="Z407" s="669" t="n"/>
    </row>
    <row r="408">
      <c r="A408" s="669" t="n"/>
      <c r="B408" s="669" t="n"/>
      <c r="C408" s="669" t="n"/>
      <c r="D408" s="669" t="n"/>
      <c r="E408" s="669" t="n"/>
      <c r="F408" s="669" t="n"/>
      <c r="G408" s="669" t="n"/>
      <c r="H408" s="669" t="n"/>
      <c r="I408" s="669" t="n"/>
      <c r="J408" s="669" t="n"/>
      <c r="K408" s="669" t="n"/>
      <c r="L408" s="669" t="n"/>
      <c r="M408" s="669" t="n"/>
      <c r="N408" s="669" t="n"/>
      <c r="O408" s="669" t="n"/>
      <c r="P408" s="669" t="n"/>
      <c r="Q408" s="669" t="n"/>
      <c r="R408" s="669" t="n"/>
      <c r="S408" s="669" t="n"/>
      <c r="T408" s="669" t="n"/>
      <c r="U408" s="669" t="n"/>
      <c r="V408" s="669" t="n"/>
      <c r="W408" s="669" t="n"/>
      <c r="X408" s="669" t="n"/>
      <c r="Y408" s="669" t="n"/>
      <c r="Z408" s="669" t="n"/>
    </row>
    <row r="409">
      <c r="A409" s="669" t="n"/>
      <c r="B409" s="669" t="n"/>
      <c r="C409" s="669" t="n"/>
      <c r="D409" s="669" t="n"/>
      <c r="E409" s="669" t="n"/>
      <c r="F409" s="669" t="n"/>
      <c r="G409" s="669" t="n"/>
      <c r="H409" s="669" t="n"/>
      <c r="I409" s="669" t="n"/>
      <c r="J409" s="669" t="n"/>
      <c r="K409" s="669" t="n"/>
      <c r="L409" s="669" t="n"/>
      <c r="M409" s="669" t="n"/>
      <c r="N409" s="669" t="n"/>
      <c r="O409" s="669" t="n"/>
      <c r="P409" s="669" t="n"/>
      <c r="Q409" s="669" t="n"/>
      <c r="R409" s="669" t="n"/>
      <c r="S409" s="669" t="n"/>
      <c r="T409" s="669" t="n"/>
      <c r="U409" s="669" t="n"/>
      <c r="V409" s="669" t="n"/>
      <c r="W409" s="669" t="n"/>
      <c r="X409" s="669" t="n"/>
      <c r="Y409" s="669" t="n"/>
      <c r="Z409" s="669" t="n"/>
    </row>
    <row r="410">
      <c r="A410" s="669" t="n"/>
      <c r="B410" s="669" t="n"/>
      <c r="C410" s="669" t="n"/>
      <c r="D410" s="669" t="n"/>
      <c r="E410" s="669" t="n"/>
      <c r="F410" s="669" t="n"/>
      <c r="G410" s="669" t="n"/>
      <c r="H410" s="669" t="n"/>
      <c r="I410" s="669" t="n"/>
      <c r="J410" s="669" t="n"/>
      <c r="K410" s="669" t="n"/>
      <c r="L410" s="669" t="n"/>
      <c r="M410" s="669" t="n"/>
      <c r="N410" s="669" t="n"/>
      <c r="O410" s="669" t="n"/>
      <c r="P410" s="669" t="n"/>
      <c r="Q410" s="669" t="n"/>
      <c r="R410" s="669" t="n"/>
      <c r="S410" s="669" t="n"/>
      <c r="T410" s="669" t="n"/>
      <c r="U410" s="669" t="n"/>
      <c r="V410" s="669" t="n"/>
      <c r="W410" s="669" t="n"/>
      <c r="X410" s="669" t="n"/>
      <c r="Y410" s="669" t="n"/>
      <c r="Z410" s="669" t="n"/>
    </row>
    <row r="411">
      <c r="A411" s="669" t="n"/>
      <c r="B411" s="669" t="n"/>
      <c r="C411" s="669" t="n"/>
      <c r="D411" s="669" t="n"/>
      <c r="E411" s="669" t="n"/>
      <c r="F411" s="669" t="n"/>
      <c r="G411" s="669" t="n"/>
      <c r="H411" s="669" t="n"/>
      <c r="I411" s="669" t="n"/>
      <c r="J411" s="669" t="n"/>
      <c r="K411" s="669" t="n"/>
      <c r="L411" s="669" t="n"/>
      <c r="M411" s="669" t="n"/>
      <c r="N411" s="669" t="n"/>
      <c r="O411" s="669" t="n"/>
      <c r="P411" s="669" t="n"/>
      <c r="Q411" s="669" t="n"/>
      <c r="R411" s="669" t="n"/>
      <c r="S411" s="669" t="n"/>
      <c r="T411" s="669" t="n"/>
      <c r="U411" s="669" t="n"/>
      <c r="V411" s="669" t="n"/>
      <c r="W411" s="669" t="n"/>
      <c r="X411" s="669" t="n"/>
      <c r="Y411" s="669" t="n"/>
      <c r="Z411" s="669" t="n"/>
    </row>
    <row r="412">
      <c r="A412" s="669" t="n"/>
      <c r="B412" s="669" t="n"/>
      <c r="C412" s="669" t="n"/>
      <c r="D412" s="669" t="n"/>
      <c r="E412" s="669" t="n"/>
      <c r="F412" s="669" t="n"/>
      <c r="G412" s="669" t="n"/>
      <c r="H412" s="669" t="n"/>
      <c r="I412" s="669" t="n"/>
      <c r="J412" s="669" t="n"/>
      <c r="K412" s="669" t="n"/>
      <c r="L412" s="669" t="n"/>
      <c r="M412" s="669" t="n"/>
      <c r="N412" s="669" t="n"/>
      <c r="O412" s="669" t="n"/>
      <c r="P412" s="669" t="n"/>
      <c r="Q412" s="669" t="n"/>
      <c r="R412" s="669" t="n"/>
      <c r="S412" s="669" t="n"/>
      <c r="T412" s="669" t="n"/>
      <c r="U412" s="669" t="n"/>
      <c r="V412" s="669" t="n"/>
      <c r="W412" s="669" t="n"/>
      <c r="X412" s="669" t="n"/>
      <c r="Y412" s="669" t="n"/>
      <c r="Z412" s="669" t="n"/>
    </row>
    <row r="413">
      <c r="A413" s="669" t="n"/>
      <c r="B413" s="669" t="n"/>
      <c r="C413" s="669" t="n"/>
      <c r="D413" s="669" t="n"/>
      <c r="E413" s="669" t="n"/>
      <c r="F413" s="669" t="n"/>
      <c r="G413" s="669" t="n"/>
      <c r="H413" s="669" t="n"/>
      <c r="I413" s="669" t="n"/>
      <c r="J413" s="669" t="n"/>
      <c r="K413" s="669" t="n"/>
      <c r="L413" s="669" t="n"/>
      <c r="M413" s="669" t="n"/>
      <c r="N413" s="669" t="n"/>
      <c r="O413" s="669" t="n"/>
      <c r="P413" s="669" t="n"/>
      <c r="Q413" s="669" t="n"/>
      <c r="R413" s="669" t="n"/>
      <c r="S413" s="669" t="n"/>
      <c r="T413" s="669" t="n"/>
      <c r="U413" s="669" t="n"/>
      <c r="V413" s="669" t="n"/>
      <c r="W413" s="669" t="n"/>
      <c r="X413" s="669" t="n"/>
      <c r="Y413" s="669" t="n"/>
      <c r="Z413" s="669" t="n"/>
    </row>
    <row r="414">
      <c r="A414" s="669" t="n"/>
      <c r="B414" s="669" t="n"/>
      <c r="C414" s="669" t="n"/>
      <c r="D414" s="669" t="n"/>
      <c r="E414" s="669" t="n"/>
      <c r="F414" s="669" t="n"/>
      <c r="G414" s="669" t="n"/>
      <c r="H414" s="669" t="n"/>
      <c r="I414" s="669" t="n"/>
      <c r="J414" s="669" t="n"/>
      <c r="K414" s="669" t="n"/>
      <c r="L414" s="669" t="n"/>
      <c r="M414" s="669" t="n"/>
      <c r="N414" s="669" t="n"/>
      <c r="O414" s="669" t="n"/>
      <c r="P414" s="669" t="n"/>
      <c r="Q414" s="669" t="n"/>
      <c r="R414" s="669" t="n"/>
      <c r="S414" s="669" t="n"/>
      <c r="T414" s="669" t="n"/>
      <c r="U414" s="669" t="n"/>
      <c r="V414" s="669" t="n"/>
      <c r="W414" s="669" t="n"/>
      <c r="X414" s="669" t="n"/>
      <c r="Y414" s="669" t="n"/>
      <c r="Z414" s="669" t="n"/>
    </row>
    <row r="415">
      <c r="A415" s="669" t="n"/>
      <c r="B415" s="669" t="n"/>
      <c r="C415" s="669" t="n"/>
      <c r="D415" s="669" t="n"/>
      <c r="E415" s="669" t="n"/>
      <c r="F415" s="669" t="n"/>
      <c r="G415" s="669" t="n"/>
      <c r="H415" s="669" t="n"/>
      <c r="I415" s="669" t="n"/>
      <c r="J415" s="669" t="n"/>
      <c r="K415" s="669" t="n"/>
      <c r="L415" s="669" t="n"/>
      <c r="M415" s="669" t="n"/>
      <c r="N415" s="669" t="n"/>
      <c r="O415" s="669" t="n"/>
      <c r="P415" s="669" t="n"/>
      <c r="Q415" s="669" t="n"/>
      <c r="R415" s="669" t="n"/>
      <c r="S415" s="669" t="n"/>
      <c r="T415" s="669" t="n"/>
      <c r="U415" s="669" t="n"/>
      <c r="V415" s="669" t="n"/>
      <c r="W415" s="669" t="n"/>
      <c r="X415" s="669" t="n"/>
      <c r="Y415" s="669" t="n"/>
      <c r="Z415" s="669" t="n"/>
    </row>
    <row r="416">
      <c r="A416" s="669" t="n"/>
      <c r="B416" s="669" t="n"/>
      <c r="C416" s="669" t="n"/>
      <c r="D416" s="669" t="n"/>
      <c r="E416" s="669" t="n"/>
      <c r="F416" s="669" t="n"/>
      <c r="G416" s="669" t="n"/>
      <c r="H416" s="669" t="n"/>
      <c r="I416" s="669" t="n"/>
      <c r="J416" s="669" t="n"/>
      <c r="K416" s="669" t="n"/>
      <c r="L416" s="669" t="n"/>
      <c r="M416" s="669" t="n"/>
      <c r="N416" s="669" t="n"/>
      <c r="O416" s="669" t="n"/>
      <c r="P416" s="669" t="n"/>
      <c r="Q416" s="669" t="n"/>
      <c r="R416" s="669" t="n"/>
      <c r="S416" s="669" t="n"/>
      <c r="T416" s="669" t="n"/>
      <c r="U416" s="669" t="n"/>
      <c r="V416" s="669" t="n"/>
      <c r="W416" s="669" t="n"/>
      <c r="X416" s="669" t="n"/>
      <c r="Y416" s="669" t="n"/>
      <c r="Z416" s="669" t="n"/>
    </row>
    <row r="417">
      <c r="A417" s="669" t="n"/>
      <c r="B417" s="669" t="n"/>
      <c r="C417" s="669" t="n"/>
      <c r="D417" s="669" t="n"/>
      <c r="E417" s="669" t="n"/>
      <c r="F417" s="669" t="n"/>
      <c r="G417" s="669" t="n"/>
      <c r="H417" s="669" t="n"/>
      <c r="I417" s="669" t="n"/>
      <c r="J417" s="669" t="n"/>
      <c r="K417" s="669" t="n"/>
      <c r="L417" s="669" t="n"/>
      <c r="M417" s="669" t="n"/>
      <c r="N417" s="669" t="n"/>
      <c r="O417" s="669" t="n"/>
      <c r="P417" s="669" t="n"/>
      <c r="Q417" s="669" t="n"/>
      <c r="R417" s="669" t="n"/>
      <c r="S417" s="669" t="n"/>
      <c r="T417" s="669" t="n"/>
      <c r="U417" s="669" t="n"/>
      <c r="V417" s="669" t="n"/>
      <c r="W417" s="669" t="n"/>
      <c r="X417" s="669" t="n"/>
      <c r="Y417" s="669" t="n"/>
      <c r="Z417" s="669" t="n"/>
    </row>
    <row r="418">
      <c r="A418" s="669" t="n"/>
      <c r="B418" s="669" t="n"/>
      <c r="C418" s="669" t="n"/>
      <c r="D418" s="669" t="n"/>
      <c r="E418" s="669" t="n"/>
      <c r="F418" s="669" t="n"/>
      <c r="G418" s="669" t="n"/>
      <c r="H418" s="669" t="n"/>
      <c r="I418" s="669" t="n"/>
      <c r="J418" s="669" t="n"/>
      <c r="K418" s="669" t="n"/>
      <c r="L418" s="669" t="n"/>
      <c r="M418" s="669" t="n"/>
      <c r="N418" s="669" t="n"/>
      <c r="O418" s="669" t="n"/>
      <c r="P418" s="669" t="n"/>
      <c r="Q418" s="669" t="n"/>
      <c r="R418" s="669" t="n"/>
      <c r="S418" s="669" t="n"/>
      <c r="T418" s="669" t="n"/>
      <c r="U418" s="669" t="n"/>
      <c r="V418" s="669" t="n"/>
      <c r="W418" s="669" t="n"/>
      <c r="X418" s="669" t="n"/>
      <c r="Y418" s="669" t="n"/>
      <c r="Z418" s="669" t="n"/>
    </row>
    <row r="419">
      <c r="A419" s="669" t="n"/>
      <c r="B419" s="669" t="n"/>
      <c r="C419" s="669" t="n"/>
      <c r="D419" s="669" t="n"/>
      <c r="E419" s="669" t="n"/>
      <c r="F419" s="669" t="n"/>
      <c r="G419" s="669" t="n"/>
      <c r="H419" s="669" t="n"/>
      <c r="I419" s="669" t="n"/>
      <c r="J419" s="669" t="n"/>
      <c r="K419" s="669" t="n"/>
      <c r="L419" s="669" t="n"/>
      <c r="M419" s="669" t="n"/>
      <c r="N419" s="669" t="n"/>
      <c r="O419" s="669" t="n"/>
      <c r="P419" s="669" t="n"/>
      <c r="Q419" s="669" t="n"/>
      <c r="R419" s="669" t="n"/>
      <c r="S419" s="669" t="n"/>
      <c r="T419" s="669" t="n"/>
      <c r="U419" s="669" t="n"/>
      <c r="V419" s="669" t="n"/>
      <c r="W419" s="669" t="n"/>
      <c r="X419" s="669" t="n"/>
      <c r="Y419" s="669" t="n"/>
      <c r="Z419" s="669" t="n"/>
    </row>
    <row r="420">
      <c r="A420" s="669" t="n"/>
      <c r="B420" s="669" t="n"/>
      <c r="C420" s="669" t="n"/>
      <c r="D420" s="669" t="n"/>
      <c r="E420" s="669" t="n"/>
      <c r="F420" s="669" t="n"/>
      <c r="G420" s="669" t="n"/>
      <c r="H420" s="669" t="n"/>
      <c r="I420" s="669" t="n"/>
      <c r="J420" s="669" t="n"/>
      <c r="K420" s="669" t="n"/>
      <c r="L420" s="669" t="n"/>
      <c r="M420" s="669" t="n"/>
      <c r="N420" s="669" t="n"/>
      <c r="O420" s="669" t="n"/>
      <c r="P420" s="669" t="n"/>
      <c r="Q420" s="669" t="n"/>
      <c r="R420" s="669" t="n"/>
      <c r="S420" s="669" t="n"/>
      <c r="T420" s="669" t="n"/>
      <c r="U420" s="669" t="n"/>
      <c r="V420" s="669" t="n"/>
      <c r="W420" s="669" t="n"/>
      <c r="X420" s="669" t="n"/>
      <c r="Y420" s="669" t="n"/>
      <c r="Z420" s="669" t="n"/>
    </row>
    <row r="421">
      <c r="A421" s="669" t="n"/>
      <c r="B421" s="669" t="n"/>
      <c r="C421" s="669" t="n"/>
      <c r="D421" s="669" t="n"/>
      <c r="E421" s="669" t="n"/>
      <c r="F421" s="669" t="n"/>
      <c r="G421" s="669" t="n"/>
      <c r="H421" s="669" t="n"/>
      <c r="I421" s="669" t="n"/>
      <c r="J421" s="669" t="n"/>
      <c r="K421" s="669" t="n"/>
      <c r="L421" s="669" t="n"/>
      <c r="M421" s="669" t="n"/>
      <c r="N421" s="669" t="n"/>
      <c r="O421" s="669" t="n"/>
      <c r="P421" s="669" t="n"/>
      <c r="Q421" s="669" t="n"/>
      <c r="R421" s="669" t="n"/>
      <c r="S421" s="669" t="n"/>
      <c r="T421" s="669" t="n"/>
      <c r="U421" s="669" t="n"/>
      <c r="V421" s="669" t="n"/>
      <c r="W421" s="669" t="n"/>
      <c r="X421" s="669" t="n"/>
      <c r="Y421" s="669" t="n"/>
      <c r="Z421" s="669" t="n"/>
    </row>
    <row r="422">
      <c r="A422" s="669" t="n"/>
      <c r="B422" s="669" t="n"/>
      <c r="C422" s="669" t="n"/>
      <c r="D422" s="669" t="n"/>
      <c r="E422" s="669" t="n"/>
      <c r="F422" s="669" t="n"/>
      <c r="G422" s="669" t="n"/>
      <c r="H422" s="669" t="n"/>
      <c r="I422" s="669" t="n"/>
      <c r="J422" s="669" t="n"/>
      <c r="K422" s="669" t="n"/>
      <c r="L422" s="669" t="n"/>
      <c r="M422" s="669" t="n"/>
      <c r="N422" s="669" t="n"/>
      <c r="O422" s="669" t="n"/>
      <c r="P422" s="669" t="n"/>
      <c r="Q422" s="669" t="n"/>
      <c r="R422" s="669" t="n"/>
      <c r="S422" s="669" t="n"/>
      <c r="T422" s="669" t="n"/>
      <c r="U422" s="669" t="n"/>
      <c r="V422" s="669" t="n"/>
      <c r="W422" s="669" t="n"/>
      <c r="X422" s="669" t="n"/>
      <c r="Y422" s="669" t="n"/>
      <c r="Z422" s="669" t="n"/>
    </row>
    <row r="423">
      <c r="A423" s="669" t="n"/>
      <c r="B423" s="669" t="n"/>
      <c r="C423" s="669" t="n"/>
      <c r="D423" s="669" t="n"/>
      <c r="E423" s="669" t="n"/>
      <c r="F423" s="669" t="n"/>
      <c r="G423" s="669" t="n"/>
      <c r="H423" s="669" t="n"/>
      <c r="I423" s="669" t="n"/>
      <c r="J423" s="669" t="n"/>
      <c r="K423" s="669" t="n"/>
      <c r="L423" s="669" t="n"/>
      <c r="M423" s="669" t="n"/>
      <c r="N423" s="669" t="n"/>
      <c r="O423" s="669" t="n"/>
      <c r="P423" s="669" t="n"/>
      <c r="Q423" s="669" t="n"/>
      <c r="R423" s="669" t="n"/>
      <c r="S423" s="669" t="n"/>
      <c r="T423" s="669" t="n"/>
      <c r="U423" s="669" t="n"/>
      <c r="V423" s="669" t="n"/>
      <c r="W423" s="669" t="n"/>
      <c r="X423" s="669" t="n"/>
      <c r="Y423" s="669" t="n"/>
      <c r="Z423" s="669" t="n"/>
    </row>
    <row r="424">
      <c r="A424" s="669" t="n"/>
      <c r="B424" s="669" t="n"/>
      <c r="C424" s="669" t="n"/>
      <c r="D424" s="669" t="n"/>
      <c r="E424" s="669" t="n"/>
      <c r="F424" s="669" t="n"/>
      <c r="G424" s="669" t="n"/>
      <c r="H424" s="669" t="n"/>
      <c r="I424" s="669" t="n"/>
      <c r="J424" s="669" t="n"/>
      <c r="K424" s="669" t="n"/>
      <c r="L424" s="669" t="n"/>
      <c r="M424" s="669" t="n"/>
      <c r="N424" s="669" t="n"/>
      <c r="O424" s="669" t="n"/>
      <c r="P424" s="669" t="n"/>
      <c r="Q424" s="669" t="n"/>
      <c r="R424" s="669" t="n"/>
      <c r="S424" s="669" t="n"/>
      <c r="T424" s="669" t="n"/>
      <c r="U424" s="669" t="n"/>
      <c r="V424" s="669" t="n"/>
      <c r="W424" s="669" t="n"/>
      <c r="X424" s="669" t="n"/>
      <c r="Y424" s="669" t="n"/>
      <c r="Z424" s="669" t="n"/>
    </row>
    <row r="425">
      <c r="A425" s="669" t="n"/>
      <c r="B425" s="669" t="n"/>
      <c r="C425" s="669" t="n"/>
      <c r="D425" s="669" t="n"/>
      <c r="E425" s="669" t="n"/>
      <c r="F425" s="669" t="n"/>
      <c r="G425" s="669" t="n"/>
      <c r="H425" s="669" t="n"/>
      <c r="I425" s="669" t="n"/>
      <c r="J425" s="669" t="n"/>
      <c r="K425" s="669" t="n"/>
      <c r="L425" s="669" t="n"/>
      <c r="M425" s="669" t="n"/>
      <c r="N425" s="669" t="n"/>
      <c r="O425" s="669" t="n"/>
      <c r="P425" s="669" t="n"/>
      <c r="Q425" s="669" t="n"/>
      <c r="R425" s="669" t="n"/>
      <c r="S425" s="669" t="n"/>
      <c r="T425" s="669" t="n"/>
      <c r="U425" s="669" t="n"/>
      <c r="V425" s="669" t="n"/>
      <c r="W425" s="669" t="n"/>
      <c r="X425" s="669" t="n"/>
      <c r="Y425" s="669" t="n"/>
      <c r="Z425" s="669" t="n"/>
    </row>
    <row r="426">
      <c r="A426" s="669" t="n"/>
      <c r="B426" s="669" t="n"/>
      <c r="C426" s="669" t="n"/>
      <c r="D426" s="669" t="n"/>
      <c r="E426" s="669" t="n"/>
      <c r="F426" s="669" t="n"/>
      <c r="G426" s="669" t="n"/>
      <c r="H426" s="669" t="n"/>
      <c r="I426" s="669" t="n"/>
      <c r="J426" s="669" t="n"/>
      <c r="K426" s="669" t="n"/>
      <c r="L426" s="669" t="n"/>
      <c r="M426" s="669" t="n"/>
      <c r="N426" s="669" t="n"/>
      <c r="O426" s="669" t="n"/>
      <c r="P426" s="669" t="n"/>
      <c r="Q426" s="669" t="n"/>
      <c r="R426" s="669" t="n"/>
      <c r="S426" s="669" t="n"/>
      <c r="T426" s="669" t="n"/>
      <c r="U426" s="669" t="n"/>
      <c r="V426" s="669" t="n"/>
      <c r="W426" s="669" t="n"/>
      <c r="X426" s="669" t="n"/>
      <c r="Y426" s="669" t="n"/>
      <c r="Z426" s="669" t="n"/>
    </row>
    <row r="427">
      <c r="A427" s="669" t="n"/>
      <c r="B427" s="669" t="n"/>
      <c r="C427" s="669" t="n"/>
      <c r="D427" s="669" t="n"/>
      <c r="E427" s="669" t="n"/>
      <c r="F427" s="669" t="n"/>
      <c r="G427" s="669" t="n"/>
      <c r="H427" s="669" t="n"/>
      <c r="I427" s="669" t="n"/>
      <c r="J427" s="669" t="n"/>
      <c r="K427" s="669" t="n"/>
      <c r="L427" s="669" t="n"/>
      <c r="M427" s="669" t="n"/>
      <c r="N427" s="669" t="n"/>
      <c r="O427" s="669" t="n"/>
      <c r="P427" s="669" t="n"/>
      <c r="Q427" s="669" t="n"/>
      <c r="R427" s="669" t="n"/>
      <c r="S427" s="669" t="n"/>
      <c r="T427" s="669" t="n"/>
      <c r="U427" s="669" t="n"/>
      <c r="V427" s="669" t="n"/>
      <c r="W427" s="669" t="n"/>
      <c r="X427" s="669" t="n"/>
      <c r="Y427" s="669" t="n"/>
      <c r="Z427" s="669" t="n"/>
    </row>
    <row r="428">
      <c r="A428" s="669" t="n"/>
      <c r="B428" s="669" t="n"/>
      <c r="C428" s="669" t="n"/>
      <c r="D428" s="669" t="n"/>
      <c r="E428" s="669" t="n"/>
      <c r="F428" s="669" t="n"/>
      <c r="G428" s="669" t="n"/>
      <c r="H428" s="669" t="n"/>
      <c r="I428" s="669" t="n"/>
      <c r="J428" s="669" t="n"/>
      <c r="K428" s="669" t="n"/>
      <c r="L428" s="669" t="n"/>
      <c r="M428" s="669" t="n"/>
      <c r="N428" s="669" t="n"/>
      <c r="O428" s="669" t="n"/>
      <c r="P428" s="669" t="n"/>
      <c r="Q428" s="669" t="n"/>
      <c r="R428" s="669" t="n"/>
      <c r="S428" s="669" t="n"/>
      <c r="T428" s="669" t="n"/>
      <c r="U428" s="669" t="n"/>
      <c r="V428" s="669" t="n"/>
      <c r="W428" s="669" t="n"/>
      <c r="X428" s="669" t="n"/>
      <c r="Y428" s="669" t="n"/>
      <c r="Z428" s="669" t="n"/>
    </row>
    <row r="429">
      <c r="A429" s="669" t="n"/>
      <c r="B429" s="669" t="n"/>
      <c r="C429" s="669" t="n"/>
      <c r="D429" s="669" t="n"/>
      <c r="E429" s="669" t="n"/>
      <c r="F429" s="669" t="n"/>
      <c r="G429" s="669" t="n"/>
      <c r="H429" s="669" t="n"/>
      <c r="I429" s="669" t="n"/>
      <c r="J429" s="669" t="n"/>
      <c r="K429" s="669" t="n"/>
      <c r="L429" s="669" t="n"/>
      <c r="M429" s="669" t="n"/>
      <c r="N429" s="669" t="n"/>
      <c r="O429" s="669" t="n"/>
      <c r="P429" s="669" t="n"/>
      <c r="Q429" s="669" t="n"/>
      <c r="R429" s="669" t="n"/>
      <c r="S429" s="669" t="n"/>
      <c r="T429" s="669" t="n"/>
      <c r="U429" s="669" t="n"/>
      <c r="V429" s="669" t="n"/>
      <c r="W429" s="669" t="n"/>
      <c r="X429" s="669" t="n"/>
      <c r="Y429" s="669" t="n"/>
      <c r="Z429" s="669" t="n"/>
    </row>
    <row r="430">
      <c r="A430" s="669" t="n"/>
      <c r="B430" s="669" t="n"/>
      <c r="C430" s="669" t="n"/>
      <c r="D430" s="669" t="n"/>
      <c r="E430" s="669" t="n"/>
      <c r="F430" s="669" t="n"/>
      <c r="G430" s="669" t="n"/>
      <c r="H430" s="669" t="n"/>
      <c r="I430" s="669" t="n"/>
      <c r="J430" s="669" t="n"/>
      <c r="K430" s="669" t="n"/>
      <c r="L430" s="669" t="n"/>
      <c r="M430" s="669" t="n"/>
      <c r="N430" s="669" t="n"/>
      <c r="O430" s="669" t="n"/>
      <c r="P430" s="669" t="n"/>
      <c r="Q430" s="669" t="n"/>
      <c r="R430" s="669" t="n"/>
      <c r="S430" s="669" t="n"/>
      <c r="T430" s="669" t="n"/>
      <c r="U430" s="669" t="n"/>
      <c r="V430" s="669" t="n"/>
      <c r="W430" s="669" t="n"/>
      <c r="X430" s="669" t="n"/>
      <c r="Y430" s="669" t="n"/>
      <c r="Z430" s="669" t="n"/>
    </row>
    <row r="431">
      <c r="A431" s="669" t="n"/>
      <c r="B431" s="669" t="n"/>
      <c r="C431" s="669" t="n"/>
      <c r="D431" s="669" t="n"/>
      <c r="E431" s="669" t="n"/>
      <c r="F431" s="669" t="n"/>
      <c r="G431" s="669" t="n"/>
      <c r="H431" s="669" t="n"/>
      <c r="I431" s="669" t="n"/>
      <c r="J431" s="669" t="n"/>
      <c r="K431" s="669" t="n"/>
      <c r="L431" s="669" t="n"/>
      <c r="M431" s="669" t="n"/>
      <c r="N431" s="669" t="n"/>
      <c r="O431" s="669" t="n"/>
      <c r="P431" s="669" t="n"/>
      <c r="Q431" s="669" t="n"/>
      <c r="R431" s="669" t="n"/>
      <c r="S431" s="669" t="n"/>
      <c r="T431" s="669" t="n"/>
      <c r="U431" s="669" t="n"/>
      <c r="V431" s="669" t="n"/>
      <c r="W431" s="669" t="n"/>
      <c r="X431" s="669" t="n"/>
      <c r="Y431" s="669" t="n"/>
      <c r="Z431" s="669" t="n"/>
    </row>
    <row r="432">
      <c r="A432" s="669" t="n"/>
      <c r="B432" s="669" t="n"/>
      <c r="C432" s="669" t="n"/>
      <c r="D432" s="669" t="n"/>
      <c r="E432" s="669" t="n"/>
      <c r="F432" s="669" t="n"/>
      <c r="G432" s="669" t="n"/>
      <c r="H432" s="669" t="n"/>
      <c r="I432" s="669" t="n"/>
      <c r="J432" s="669" t="n"/>
      <c r="K432" s="669" t="n"/>
      <c r="L432" s="669" t="n"/>
      <c r="M432" s="669" t="n"/>
      <c r="N432" s="669" t="n"/>
      <c r="O432" s="669" t="n"/>
      <c r="P432" s="669" t="n"/>
      <c r="Q432" s="669" t="n"/>
      <c r="R432" s="669" t="n"/>
      <c r="S432" s="669" t="n"/>
      <c r="T432" s="669" t="n"/>
      <c r="U432" s="669" t="n"/>
      <c r="V432" s="669" t="n"/>
      <c r="W432" s="669" t="n"/>
      <c r="X432" s="669" t="n"/>
      <c r="Y432" s="669" t="n"/>
      <c r="Z432" s="669" t="n"/>
    </row>
    <row r="433">
      <c r="A433" s="669" t="n"/>
      <c r="B433" s="669" t="n"/>
      <c r="C433" s="669" t="n"/>
      <c r="D433" s="669" t="n"/>
      <c r="E433" s="669" t="n"/>
      <c r="F433" s="669" t="n"/>
      <c r="G433" s="669" t="n"/>
      <c r="H433" s="669" t="n"/>
      <c r="I433" s="669" t="n"/>
      <c r="J433" s="669" t="n"/>
      <c r="K433" s="669" t="n"/>
      <c r="L433" s="669" t="n"/>
      <c r="M433" s="669" t="n"/>
      <c r="N433" s="669" t="n"/>
      <c r="O433" s="669" t="n"/>
      <c r="P433" s="669" t="n"/>
      <c r="Q433" s="669" t="n"/>
      <c r="R433" s="669" t="n"/>
      <c r="S433" s="669" t="n"/>
      <c r="T433" s="669" t="n"/>
      <c r="U433" s="669" t="n"/>
      <c r="V433" s="669" t="n"/>
      <c r="W433" s="669" t="n"/>
      <c r="X433" s="669" t="n"/>
      <c r="Y433" s="669" t="n"/>
      <c r="Z433" s="669" t="n"/>
    </row>
    <row r="434">
      <c r="A434" s="669" t="n"/>
      <c r="B434" s="669" t="n"/>
      <c r="C434" s="669" t="n"/>
      <c r="D434" s="669" t="n"/>
      <c r="E434" s="669" t="n"/>
      <c r="F434" s="669" t="n"/>
      <c r="G434" s="669" t="n"/>
      <c r="H434" s="669" t="n"/>
      <c r="I434" s="669" t="n"/>
      <c r="J434" s="669" t="n"/>
      <c r="K434" s="669" t="n"/>
      <c r="L434" s="669" t="n"/>
      <c r="M434" s="669" t="n"/>
      <c r="N434" s="669" t="n"/>
      <c r="O434" s="669" t="n"/>
      <c r="P434" s="669" t="n"/>
      <c r="Q434" s="669" t="n"/>
      <c r="R434" s="669" t="n"/>
      <c r="S434" s="669" t="n"/>
      <c r="T434" s="669" t="n"/>
      <c r="U434" s="669" t="n"/>
      <c r="V434" s="669" t="n"/>
      <c r="W434" s="669" t="n"/>
      <c r="X434" s="669" t="n"/>
      <c r="Y434" s="669" t="n"/>
      <c r="Z434" s="669" t="n"/>
    </row>
    <row r="435">
      <c r="A435" s="669" t="n"/>
      <c r="B435" s="669" t="n"/>
      <c r="C435" s="669" t="n"/>
      <c r="D435" s="669" t="n"/>
      <c r="E435" s="669" t="n"/>
      <c r="F435" s="669" t="n"/>
      <c r="G435" s="669" t="n"/>
      <c r="H435" s="669" t="n"/>
      <c r="I435" s="669" t="n"/>
      <c r="J435" s="669" t="n"/>
      <c r="K435" s="669" t="n"/>
      <c r="L435" s="669" t="n"/>
      <c r="M435" s="669" t="n"/>
      <c r="N435" s="669" t="n"/>
      <c r="O435" s="669" t="n"/>
      <c r="P435" s="669" t="n"/>
      <c r="Q435" s="669" t="n"/>
      <c r="R435" s="669" t="n"/>
      <c r="S435" s="669" t="n"/>
      <c r="T435" s="669" t="n"/>
      <c r="U435" s="669" t="n"/>
      <c r="V435" s="669" t="n"/>
      <c r="W435" s="669" t="n"/>
      <c r="X435" s="669" t="n"/>
      <c r="Y435" s="669" t="n"/>
      <c r="Z435" s="669" t="n"/>
    </row>
    <row r="436">
      <c r="A436" s="669" t="n"/>
      <c r="B436" s="669" t="n"/>
      <c r="C436" s="669" t="n"/>
      <c r="D436" s="669" t="n"/>
      <c r="E436" s="669" t="n"/>
      <c r="F436" s="669" t="n"/>
      <c r="G436" s="669" t="n"/>
      <c r="H436" s="669" t="n"/>
      <c r="I436" s="669" t="n"/>
      <c r="J436" s="669" t="n"/>
      <c r="K436" s="669" t="n"/>
      <c r="L436" s="669" t="n"/>
      <c r="M436" s="669" t="n"/>
      <c r="N436" s="669" t="n"/>
      <c r="O436" s="669" t="n"/>
      <c r="P436" s="669" t="n"/>
      <c r="Q436" s="669" t="n"/>
      <c r="R436" s="669" t="n"/>
      <c r="S436" s="669" t="n"/>
      <c r="T436" s="669" t="n"/>
      <c r="U436" s="669" t="n"/>
      <c r="V436" s="669" t="n"/>
      <c r="W436" s="669" t="n"/>
      <c r="X436" s="669" t="n"/>
      <c r="Y436" s="669" t="n"/>
      <c r="Z436" s="669" t="n"/>
    </row>
    <row r="437">
      <c r="A437" s="669" t="n"/>
      <c r="B437" s="669" t="n"/>
      <c r="C437" s="669" t="n"/>
      <c r="D437" s="669" t="n"/>
      <c r="E437" s="669" t="n"/>
      <c r="F437" s="669" t="n"/>
      <c r="G437" s="669" t="n"/>
      <c r="H437" s="669" t="n"/>
      <c r="I437" s="669" t="n"/>
      <c r="J437" s="669" t="n"/>
      <c r="K437" s="669" t="n"/>
      <c r="L437" s="669" t="n"/>
      <c r="M437" s="669" t="n"/>
      <c r="N437" s="669" t="n"/>
      <c r="O437" s="669" t="n"/>
      <c r="P437" s="669" t="n"/>
      <c r="Q437" s="669" t="n"/>
      <c r="R437" s="669" t="n"/>
      <c r="S437" s="669" t="n"/>
      <c r="T437" s="669" t="n"/>
      <c r="U437" s="669" t="n"/>
      <c r="V437" s="669" t="n"/>
      <c r="W437" s="669" t="n"/>
      <c r="X437" s="669" t="n"/>
      <c r="Y437" s="669" t="n"/>
      <c r="Z437" s="669" t="n"/>
    </row>
    <row r="438">
      <c r="A438" s="669" t="n"/>
      <c r="B438" s="669" t="n"/>
      <c r="C438" s="669" t="n"/>
      <c r="D438" s="669" t="n"/>
      <c r="E438" s="669" t="n"/>
      <c r="F438" s="669" t="n"/>
      <c r="G438" s="669" t="n"/>
      <c r="H438" s="669" t="n"/>
      <c r="I438" s="669" t="n"/>
      <c r="J438" s="669" t="n"/>
      <c r="K438" s="669" t="n"/>
      <c r="L438" s="669" t="n"/>
      <c r="M438" s="669" t="n"/>
      <c r="N438" s="669" t="n"/>
      <c r="O438" s="669" t="n"/>
      <c r="P438" s="669" t="n"/>
      <c r="Q438" s="669" t="n"/>
      <c r="R438" s="669" t="n"/>
      <c r="S438" s="669" t="n"/>
      <c r="T438" s="669" t="n"/>
      <c r="U438" s="669" t="n"/>
      <c r="V438" s="669" t="n"/>
      <c r="W438" s="669" t="n"/>
      <c r="X438" s="669" t="n"/>
      <c r="Y438" s="669" t="n"/>
      <c r="Z438" s="669" t="n"/>
    </row>
    <row r="439">
      <c r="A439" s="669" t="n"/>
      <c r="B439" s="669" t="n"/>
      <c r="C439" s="669" t="n"/>
      <c r="D439" s="669" t="n"/>
      <c r="E439" s="669" t="n"/>
      <c r="F439" s="669" t="n"/>
      <c r="G439" s="669" t="n"/>
      <c r="H439" s="669" t="n"/>
      <c r="I439" s="669" t="n"/>
      <c r="J439" s="669" t="n"/>
      <c r="K439" s="669" t="n"/>
      <c r="L439" s="669" t="n"/>
      <c r="M439" s="669" t="n"/>
      <c r="N439" s="669" t="n"/>
      <c r="O439" s="669" t="n"/>
      <c r="P439" s="669" t="n"/>
      <c r="Q439" s="669" t="n"/>
      <c r="R439" s="669" t="n"/>
      <c r="S439" s="669" t="n"/>
      <c r="T439" s="669" t="n"/>
      <c r="U439" s="669" t="n"/>
      <c r="V439" s="669" t="n"/>
      <c r="W439" s="669" t="n"/>
      <c r="X439" s="669" t="n"/>
      <c r="Y439" s="669" t="n"/>
      <c r="Z439" s="669" t="n"/>
    </row>
    <row r="440">
      <c r="A440" s="669" t="n"/>
      <c r="B440" s="669" t="n"/>
      <c r="C440" s="669" t="n"/>
      <c r="D440" s="669" t="n"/>
      <c r="E440" s="669" t="n"/>
      <c r="F440" s="669" t="n"/>
      <c r="G440" s="669" t="n"/>
      <c r="H440" s="669" t="n"/>
      <c r="I440" s="669" t="n"/>
      <c r="J440" s="669" t="n"/>
      <c r="K440" s="669" t="n"/>
      <c r="L440" s="669" t="n"/>
      <c r="M440" s="669" t="n"/>
      <c r="N440" s="669" t="n"/>
      <c r="O440" s="669" t="n"/>
      <c r="P440" s="669" t="n"/>
      <c r="Q440" s="669" t="n"/>
      <c r="R440" s="669" t="n"/>
      <c r="S440" s="669" t="n"/>
      <c r="T440" s="669" t="n"/>
      <c r="U440" s="669" t="n"/>
      <c r="V440" s="669" t="n"/>
      <c r="W440" s="669" t="n"/>
      <c r="X440" s="669" t="n"/>
      <c r="Y440" s="669" t="n"/>
      <c r="Z440" s="669" t="n"/>
    </row>
    <row r="441">
      <c r="A441" s="669" t="n"/>
      <c r="B441" s="669" t="n"/>
      <c r="C441" s="669" t="n"/>
      <c r="D441" s="669" t="n"/>
      <c r="E441" s="669" t="n"/>
      <c r="F441" s="669" t="n"/>
      <c r="G441" s="669" t="n"/>
      <c r="H441" s="669" t="n"/>
      <c r="I441" s="669" t="n"/>
      <c r="J441" s="669" t="n"/>
      <c r="K441" s="669" t="n"/>
      <c r="L441" s="669" t="n"/>
      <c r="M441" s="669" t="n"/>
      <c r="N441" s="669" t="n"/>
      <c r="O441" s="669" t="n"/>
      <c r="P441" s="669" t="n"/>
      <c r="Q441" s="669" t="n"/>
      <c r="R441" s="669" t="n"/>
      <c r="S441" s="669" t="n"/>
      <c r="T441" s="669" t="n"/>
      <c r="U441" s="669" t="n"/>
      <c r="V441" s="669" t="n"/>
      <c r="W441" s="669" t="n"/>
      <c r="X441" s="669" t="n"/>
      <c r="Y441" s="669" t="n"/>
      <c r="Z441" s="669" t="n"/>
    </row>
    <row r="442">
      <c r="A442" s="669" t="n"/>
      <c r="B442" s="669" t="n"/>
      <c r="C442" s="669" t="n"/>
      <c r="D442" s="669" t="n"/>
      <c r="E442" s="669" t="n"/>
      <c r="F442" s="669" t="n"/>
      <c r="G442" s="669" t="n"/>
      <c r="H442" s="669" t="n"/>
      <c r="I442" s="669" t="n"/>
      <c r="J442" s="669" t="n"/>
      <c r="K442" s="669" t="n"/>
      <c r="L442" s="669" t="n"/>
      <c r="M442" s="669" t="n"/>
      <c r="N442" s="669" t="n"/>
      <c r="O442" s="669" t="n"/>
      <c r="P442" s="669" t="n"/>
      <c r="Q442" s="669" t="n"/>
      <c r="R442" s="669" t="n"/>
      <c r="S442" s="669" t="n"/>
      <c r="T442" s="669" t="n"/>
      <c r="U442" s="669" t="n"/>
      <c r="V442" s="669" t="n"/>
      <c r="W442" s="669" t="n"/>
      <c r="X442" s="669" t="n"/>
      <c r="Y442" s="669" t="n"/>
      <c r="Z442" s="669" t="n"/>
    </row>
    <row r="443">
      <c r="A443" s="669" t="n"/>
      <c r="B443" s="669" t="n"/>
      <c r="C443" s="669" t="n"/>
      <c r="D443" s="669" t="n"/>
      <c r="E443" s="669" t="n"/>
      <c r="F443" s="669" t="n"/>
      <c r="G443" s="669" t="n"/>
      <c r="H443" s="669" t="n"/>
      <c r="I443" s="669" t="n"/>
      <c r="J443" s="669" t="n"/>
      <c r="K443" s="669" t="n"/>
      <c r="L443" s="669" t="n"/>
      <c r="M443" s="669" t="n"/>
      <c r="N443" s="669" t="n"/>
      <c r="O443" s="669" t="n"/>
      <c r="P443" s="669" t="n"/>
      <c r="Q443" s="669" t="n"/>
      <c r="R443" s="669" t="n"/>
      <c r="S443" s="669" t="n"/>
      <c r="T443" s="669" t="n"/>
      <c r="U443" s="669" t="n"/>
      <c r="V443" s="669" t="n"/>
      <c r="W443" s="669" t="n"/>
      <c r="X443" s="669" t="n"/>
      <c r="Y443" s="669" t="n"/>
      <c r="Z443" s="669" t="n"/>
    </row>
    <row r="444">
      <c r="A444" s="669" t="n"/>
      <c r="B444" s="669" t="n"/>
      <c r="C444" s="669" t="n"/>
      <c r="D444" s="669" t="n"/>
      <c r="E444" s="669" t="n"/>
      <c r="F444" s="669" t="n"/>
      <c r="G444" s="669" t="n"/>
      <c r="H444" s="669" t="n"/>
      <c r="I444" s="669" t="n"/>
      <c r="J444" s="669" t="n"/>
      <c r="K444" s="669" t="n"/>
      <c r="L444" s="669" t="n"/>
      <c r="M444" s="669" t="n"/>
      <c r="N444" s="669" t="n"/>
      <c r="O444" s="669" t="n"/>
      <c r="P444" s="669" t="n"/>
      <c r="Q444" s="669" t="n"/>
      <c r="R444" s="669" t="n"/>
      <c r="S444" s="669" t="n"/>
      <c r="T444" s="669" t="n"/>
      <c r="U444" s="669" t="n"/>
      <c r="V444" s="669" t="n"/>
      <c r="W444" s="669" t="n"/>
      <c r="X444" s="669" t="n"/>
      <c r="Y444" s="669" t="n"/>
      <c r="Z444" s="669" t="n"/>
    </row>
    <row r="445">
      <c r="A445" s="669" t="n"/>
      <c r="B445" s="669" t="n"/>
      <c r="C445" s="669" t="n"/>
      <c r="D445" s="669" t="n"/>
      <c r="E445" s="669" t="n"/>
      <c r="F445" s="669" t="n"/>
      <c r="G445" s="669" t="n"/>
      <c r="H445" s="669" t="n"/>
      <c r="I445" s="669" t="n"/>
      <c r="J445" s="669" t="n"/>
      <c r="K445" s="669" t="n"/>
      <c r="L445" s="669" t="n"/>
      <c r="M445" s="669" t="n"/>
      <c r="N445" s="669" t="n"/>
      <c r="O445" s="669" t="n"/>
      <c r="P445" s="669" t="n"/>
      <c r="Q445" s="669" t="n"/>
      <c r="R445" s="669" t="n"/>
      <c r="S445" s="669" t="n"/>
      <c r="T445" s="669" t="n"/>
      <c r="U445" s="669" t="n"/>
      <c r="V445" s="669" t="n"/>
      <c r="W445" s="669" t="n"/>
      <c r="X445" s="669" t="n"/>
      <c r="Y445" s="669" t="n"/>
      <c r="Z445" s="669" t="n"/>
    </row>
    <row r="446">
      <c r="A446" s="669" t="n"/>
      <c r="B446" s="669" t="n"/>
      <c r="C446" s="669" t="n"/>
      <c r="D446" s="669" t="n"/>
      <c r="E446" s="669" t="n"/>
      <c r="F446" s="669" t="n"/>
      <c r="G446" s="669" t="n"/>
      <c r="H446" s="669" t="n"/>
      <c r="I446" s="669" t="n"/>
      <c r="J446" s="669" t="n"/>
      <c r="K446" s="669" t="n"/>
      <c r="L446" s="669" t="n"/>
      <c r="M446" s="669" t="n"/>
      <c r="N446" s="669" t="n"/>
      <c r="O446" s="669" t="n"/>
      <c r="P446" s="669" t="n"/>
      <c r="Q446" s="669" t="n"/>
      <c r="R446" s="669" t="n"/>
      <c r="S446" s="669" t="n"/>
      <c r="T446" s="669" t="n"/>
      <c r="U446" s="669" t="n"/>
      <c r="V446" s="669" t="n"/>
      <c r="W446" s="669" t="n"/>
      <c r="X446" s="669" t="n"/>
      <c r="Y446" s="669" t="n"/>
      <c r="Z446" s="669" t="n"/>
    </row>
    <row r="447">
      <c r="A447" s="669" t="n"/>
      <c r="B447" s="669" t="n"/>
      <c r="C447" s="669" t="n"/>
      <c r="D447" s="669" t="n"/>
      <c r="E447" s="669" t="n"/>
      <c r="F447" s="669" t="n"/>
      <c r="G447" s="669" t="n"/>
      <c r="H447" s="669" t="n"/>
      <c r="I447" s="669" t="n"/>
      <c r="J447" s="669" t="n"/>
      <c r="K447" s="669" t="n"/>
      <c r="L447" s="669" t="n"/>
      <c r="M447" s="669" t="n"/>
      <c r="N447" s="669" t="n"/>
      <c r="O447" s="669" t="n"/>
      <c r="P447" s="669" t="n"/>
      <c r="Q447" s="669" t="n"/>
      <c r="R447" s="669" t="n"/>
      <c r="S447" s="669" t="n"/>
      <c r="T447" s="669" t="n"/>
      <c r="U447" s="669" t="n"/>
      <c r="V447" s="669" t="n"/>
      <c r="W447" s="669" t="n"/>
      <c r="X447" s="669" t="n"/>
      <c r="Y447" s="669" t="n"/>
      <c r="Z447" s="669" t="n"/>
    </row>
    <row r="448">
      <c r="A448" s="669" t="n"/>
      <c r="B448" s="669" t="n"/>
      <c r="C448" s="669" t="n"/>
      <c r="D448" s="669" t="n"/>
      <c r="E448" s="669" t="n"/>
      <c r="F448" s="669" t="n"/>
      <c r="G448" s="669" t="n"/>
      <c r="H448" s="669" t="n"/>
      <c r="I448" s="669" t="n"/>
      <c r="J448" s="669" t="n"/>
      <c r="K448" s="669" t="n"/>
      <c r="L448" s="669" t="n"/>
      <c r="M448" s="669" t="n"/>
      <c r="N448" s="669" t="n"/>
      <c r="O448" s="669" t="n"/>
      <c r="P448" s="669" t="n"/>
      <c r="Q448" s="669" t="n"/>
      <c r="R448" s="669" t="n"/>
      <c r="S448" s="669" t="n"/>
      <c r="T448" s="669" t="n"/>
      <c r="U448" s="669" t="n"/>
      <c r="V448" s="669" t="n"/>
      <c r="W448" s="669" t="n"/>
      <c r="X448" s="669" t="n"/>
      <c r="Y448" s="669" t="n"/>
      <c r="Z448" s="669" t="n"/>
    </row>
    <row r="449">
      <c r="A449" s="669" t="n"/>
      <c r="B449" s="669" t="n"/>
      <c r="C449" s="669" t="n"/>
      <c r="D449" s="669" t="n"/>
      <c r="E449" s="669" t="n"/>
      <c r="F449" s="669" t="n"/>
      <c r="G449" s="669" t="n"/>
      <c r="H449" s="669" t="n"/>
      <c r="I449" s="669" t="n"/>
      <c r="J449" s="669" t="n"/>
      <c r="K449" s="669" t="n"/>
      <c r="L449" s="669" t="n"/>
      <c r="M449" s="669" t="n"/>
      <c r="N449" s="669" t="n"/>
      <c r="O449" s="669" t="n"/>
      <c r="P449" s="669" t="n"/>
      <c r="Q449" s="669" t="n"/>
      <c r="R449" s="669" t="n"/>
      <c r="S449" s="669" t="n"/>
      <c r="T449" s="669" t="n"/>
      <c r="U449" s="669" t="n"/>
      <c r="V449" s="669" t="n"/>
      <c r="W449" s="669" t="n"/>
      <c r="X449" s="669" t="n"/>
      <c r="Y449" s="669" t="n"/>
      <c r="Z449" s="669" t="n"/>
    </row>
    <row r="450">
      <c r="A450" s="669" t="n"/>
      <c r="B450" s="669" t="n"/>
      <c r="C450" s="669" t="n"/>
      <c r="D450" s="669" t="n"/>
      <c r="E450" s="669" t="n"/>
      <c r="F450" s="669" t="n"/>
      <c r="G450" s="669" t="n"/>
      <c r="H450" s="669" t="n"/>
      <c r="I450" s="669" t="n"/>
      <c r="J450" s="669" t="n"/>
      <c r="K450" s="669" t="n"/>
      <c r="L450" s="669" t="n"/>
      <c r="M450" s="669" t="n"/>
      <c r="N450" s="669" t="n"/>
      <c r="O450" s="669" t="n"/>
      <c r="P450" s="669" t="n"/>
      <c r="Q450" s="669" t="n"/>
      <c r="R450" s="669" t="n"/>
      <c r="S450" s="669" t="n"/>
      <c r="T450" s="669" t="n"/>
      <c r="U450" s="669" t="n"/>
      <c r="V450" s="669" t="n"/>
      <c r="W450" s="669" t="n"/>
      <c r="X450" s="669" t="n"/>
      <c r="Y450" s="669" t="n"/>
      <c r="Z450" s="669" t="n"/>
    </row>
    <row r="451">
      <c r="A451" s="669" t="n"/>
      <c r="B451" s="669" t="n"/>
      <c r="C451" s="669" t="n"/>
      <c r="D451" s="669" t="n"/>
      <c r="E451" s="669" t="n"/>
      <c r="F451" s="669" t="n"/>
      <c r="G451" s="669" t="n"/>
      <c r="H451" s="669" t="n"/>
      <c r="I451" s="669" t="n"/>
      <c r="J451" s="669" t="n"/>
      <c r="K451" s="669" t="n"/>
      <c r="L451" s="669" t="n"/>
      <c r="M451" s="669" t="n"/>
      <c r="N451" s="669" t="n"/>
      <c r="O451" s="669" t="n"/>
      <c r="P451" s="669" t="n"/>
      <c r="Q451" s="669" t="n"/>
      <c r="R451" s="669" t="n"/>
      <c r="S451" s="669" t="n"/>
      <c r="T451" s="669" t="n"/>
      <c r="U451" s="669" t="n"/>
      <c r="V451" s="669" t="n"/>
      <c r="W451" s="669" t="n"/>
      <c r="X451" s="669" t="n"/>
      <c r="Y451" s="669" t="n"/>
      <c r="Z451" s="669" t="n"/>
    </row>
    <row r="452">
      <c r="A452" s="669" t="n"/>
      <c r="B452" s="669" t="n"/>
      <c r="C452" s="669" t="n"/>
      <c r="D452" s="669" t="n"/>
      <c r="E452" s="669" t="n"/>
      <c r="F452" s="669" t="n"/>
      <c r="G452" s="669" t="n"/>
      <c r="H452" s="669" t="n"/>
      <c r="I452" s="669" t="n"/>
      <c r="J452" s="669" t="n"/>
      <c r="K452" s="669" t="n"/>
      <c r="L452" s="669" t="n"/>
      <c r="M452" s="669" t="n"/>
      <c r="N452" s="669" t="n"/>
      <c r="O452" s="669" t="n"/>
      <c r="P452" s="669" t="n"/>
      <c r="Q452" s="669" t="n"/>
      <c r="R452" s="669" t="n"/>
      <c r="S452" s="669" t="n"/>
      <c r="T452" s="669" t="n"/>
      <c r="U452" s="669" t="n"/>
      <c r="V452" s="669" t="n"/>
      <c r="W452" s="669" t="n"/>
      <c r="X452" s="669" t="n"/>
      <c r="Y452" s="669" t="n"/>
      <c r="Z452" s="669" t="n"/>
    </row>
    <row r="453">
      <c r="A453" s="669" t="n"/>
      <c r="B453" s="669" t="n"/>
      <c r="C453" s="669" t="n"/>
      <c r="D453" s="669" t="n"/>
      <c r="E453" s="669" t="n"/>
      <c r="F453" s="669" t="n"/>
      <c r="G453" s="669" t="n"/>
      <c r="H453" s="669" t="n"/>
      <c r="I453" s="669" t="n"/>
      <c r="J453" s="669" t="n"/>
      <c r="K453" s="669" t="n"/>
      <c r="L453" s="669" t="n"/>
      <c r="M453" s="669" t="n"/>
      <c r="N453" s="669" t="n"/>
      <c r="O453" s="669" t="n"/>
      <c r="P453" s="669" t="n"/>
      <c r="Q453" s="669" t="n"/>
      <c r="R453" s="669" t="n"/>
      <c r="S453" s="669" t="n"/>
      <c r="T453" s="669" t="n"/>
      <c r="U453" s="669" t="n"/>
      <c r="V453" s="669" t="n"/>
      <c r="W453" s="669" t="n"/>
      <c r="X453" s="669" t="n"/>
      <c r="Y453" s="669" t="n"/>
      <c r="Z453" s="669" t="n"/>
    </row>
    <row r="454">
      <c r="A454" s="669" t="n"/>
      <c r="B454" s="669" t="n"/>
      <c r="C454" s="669" t="n"/>
      <c r="D454" s="669" t="n"/>
      <c r="E454" s="669" t="n"/>
      <c r="F454" s="669" t="n"/>
      <c r="G454" s="669" t="n"/>
      <c r="H454" s="669" t="n"/>
      <c r="I454" s="669" t="n"/>
      <c r="J454" s="669" t="n"/>
      <c r="K454" s="669" t="n"/>
      <c r="L454" s="669" t="n"/>
      <c r="M454" s="669" t="n"/>
      <c r="N454" s="669" t="n"/>
      <c r="O454" s="669" t="n"/>
      <c r="P454" s="669" t="n"/>
      <c r="Q454" s="669" t="n"/>
      <c r="R454" s="669" t="n"/>
      <c r="S454" s="669" t="n"/>
      <c r="T454" s="669" t="n"/>
      <c r="U454" s="669" t="n"/>
      <c r="V454" s="669" t="n"/>
      <c r="W454" s="669" t="n"/>
      <c r="X454" s="669" t="n"/>
      <c r="Y454" s="669" t="n"/>
      <c r="Z454" s="669" t="n"/>
    </row>
    <row r="455">
      <c r="A455" s="669" t="n"/>
      <c r="B455" s="669" t="n"/>
      <c r="C455" s="669" t="n"/>
      <c r="D455" s="669" t="n"/>
      <c r="E455" s="669" t="n"/>
      <c r="F455" s="669" t="n"/>
      <c r="G455" s="669" t="n"/>
      <c r="H455" s="669" t="n"/>
      <c r="I455" s="669" t="n"/>
      <c r="J455" s="669" t="n"/>
      <c r="K455" s="669" t="n"/>
      <c r="L455" s="669" t="n"/>
      <c r="M455" s="669" t="n"/>
      <c r="N455" s="669" t="n"/>
      <c r="O455" s="669" t="n"/>
      <c r="P455" s="669" t="n"/>
      <c r="Q455" s="669" t="n"/>
      <c r="R455" s="669" t="n"/>
      <c r="S455" s="669" t="n"/>
      <c r="T455" s="669" t="n"/>
      <c r="U455" s="669" t="n"/>
      <c r="V455" s="669" t="n"/>
      <c r="W455" s="669" t="n"/>
      <c r="X455" s="669" t="n"/>
      <c r="Y455" s="669" t="n"/>
      <c r="Z455" s="669" t="n"/>
    </row>
    <row r="456">
      <c r="A456" s="669" t="n"/>
      <c r="B456" s="669" t="n"/>
      <c r="C456" s="669" t="n"/>
      <c r="D456" s="669" t="n"/>
      <c r="E456" s="669" t="n"/>
      <c r="F456" s="669" t="n"/>
      <c r="G456" s="669" t="n"/>
      <c r="H456" s="669" t="n"/>
      <c r="I456" s="669" t="n"/>
      <c r="J456" s="669" t="n"/>
      <c r="K456" s="669" t="n"/>
      <c r="L456" s="669" t="n"/>
      <c r="M456" s="669" t="n"/>
      <c r="N456" s="669" t="n"/>
      <c r="O456" s="669" t="n"/>
      <c r="P456" s="669" t="n"/>
      <c r="Q456" s="669" t="n"/>
      <c r="R456" s="669" t="n"/>
      <c r="S456" s="669" t="n"/>
      <c r="T456" s="669" t="n"/>
      <c r="U456" s="669" t="n"/>
      <c r="V456" s="669" t="n"/>
      <c r="W456" s="669" t="n"/>
      <c r="X456" s="669" t="n"/>
      <c r="Y456" s="669" t="n"/>
      <c r="Z456" s="669" t="n"/>
    </row>
    <row r="457">
      <c r="A457" s="669" t="n"/>
      <c r="B457" s="669" t="n"/>
      <c r="C457" s="669" t="n"/>
      <c r="D457" s="669" t="n"/>
      <c r="E457" s="669" t="n"/>
      <c r="F457" s="669" t="n"/>
      <c r="G457" s="669" t="n"/>
      <c r="H457" s="669" t="n"/>
      <c r="I457" s="669" t="n"/>
      <c r="J457" s="669" t="n"/>
      <c r="K457" s="669" t="n"/>
      <c r="L457" s="669" t="n"/>
      <c r="M457" s="669" t="n"/>
      <c r="N457" s="669" t="n"/>
      <c r="O457" s="669" t="n"/>
      <c r="P457" s="669" t="n"/>
      <c r="Q457" s="669" t="n"/>
      <c r="R457" s="669" t="n"/>
      <c r="S457" s="669" t="n"/>
      <c r="T457" s="669" t="n"/>
      <c r="U457" s="669" t="n"/>
      <c r="V457" s="669" t="n"/>
      <c r="W457" s="669" t="n"/>
      <c r="X457" s="669" t="n"/>
      <c r="Y457" s="669" t="n"/>
      <c r="Z457" s="669" t="n"/>
    </row>
    <row r="458">
      <c r="A458" s="669" t="n"/>
      <c r="B458" s="669" t="n"/>
      <c r="C458" s="669" t="n"/>
      <c r="D458" s="669" t="n"/>
      <c r="E458" s="669" t="n"/>
      <c r="F458" s="669" t="n"/>
      <c r="G458" s="669" t="n"/>
      <c r="H458" s="669" t="n"/>
      <c r="I458" s="669" t="n"/>
      <c r="J458" s="669" t="n"/>
      <c r="K458" s="669" t="n"/>
      <c r="L458" s="669" t="n"/>
      <c r="M458" s="669" t="n"/>
      <c r="N458" s="669" t="n"/>
      <c r="O458" s="669" t="n"/>
      <c r="P458" s="669" t="n"/>
      <c r="Q458" s="669" t="n"/>
      <c r="R458" s="669" t="n"/>
      <c r="S458" s="669" t="n"/>
      <c r="T458" s="669" t="n"/>
      <c r="U458" s="669" t="n"/>
      <c r="V458" s="669" t="n"/>
      <c r="W458" s="669" t="n"/>
      <c r="X458" s="669" t="n"/>
      <c r="Y458" s="669" t="n"/>
      <c r="Z458" s="669" t="n"/>
    </row>
    <row r="459">
      <c r="A459" s="669" t="n"/>
      <c r="B459" s="669" t="n"/>
      <c r="C459" s="669" t="n"/>
      <c r="D459" s="669" t="n"/>
      <c r="E459" s="669" t="n"/>
      <c r="F459" s="669" t="n"/>
      <c r="G459" s="669" t="n"/>
      <c r="H459" s="669" t="n"/>
      <c r="I459" s="669" t="n"/>
      <c r="J459" s="669" t="n"/>
      <c r="K459" s="669" t="n"/>
      <c r="L459" s="669" t="n"/>
      <c r="M459" s="669" t="n"/>
      <c r="N459" s="669" t="n"/>
      <c r="O459" s="669" t="n"/>
      <c r="P459" s="669" t="n"/>
      <c r="Q459" s="669" t="n"/>
      <c r="R459" s="669" t="n"/>
      <c r="S459" s="669" t="n"/>
      <c r="T459" s="669" t="n"/>
      <c r="U459" s="669" t="n"/>
      <c r="V459" s="669" t="n"/>
      <c r="W459" s="669" t="n"/>
      <c r="X459" s="669" t="n"/>
      <c r="Y459" s="669" t="n"/>
      <c r="Z459" s="669" t="n"/>
    </row>
    <row r="460">
      <c r="A460" s="669" t="n"/>
      <c r="B460" s="669" t="n"/>
      <c r="C460" s="669" t="n"/>
      <c r="D460" s="669" t="n"/>
      <c r="E460" s="669" t="n"/>
      <c r="F460" s="669" t="n"/>
      <c r="G460" s="669" t="n"/>
      <c r="H460" s="669" t="n"/>
      <c r="I460" s="669" t="n"/>
      <c r="J460" s="669" t="n"/>
      <c r="K460" s="669" t="n"/>
      <c r="L460" s="669" t="n"/>
      <c r="M460" s="669" t="n"/>
      <c r="N460" s="669" t="n"/>
      <c r="O460" s="669" t="n"/>
      <c r="P460" s="669" t="n"/>
      <c r="Q460" s="669" t="n"/>
      <c r="R460" s="669" t="n"/>
      <c r="S460" s="669" t="n"/>
      <c r="T460" s="669" t="n"/>
      <c r="U460" s="669" t="n"/>
      <c r="V460" s="669" t="n"/>
      <c r="W460" s="669" t="n"/>
      <c r="X460" s="669" t="n"/>
      <c r="Y460" s="669" t="n"/>
      <c r="Z460" s="669" t="n"/>
    </row>
    <row r="461">
      <c r="A461" s="669" t="n"/>
      <c r="B461" s="669" t="n"/>
      <c r="C461" s="669" t="n"/>
      <c r="D461" s="669" t="n"/>
      <c r="E461" s="669" t="n"/>
      <c r="F461" s="669" t="n"/>
      <c r="G461" s="669" t="n"/>
      <c r="H461" s="669" t="n"/>
      <c r="I461" s="669" t="n"/>
      <c r="J461" s="669" t="n"/>
      <c r="K461" s="669" t="n"/>
      <c r="L461" s="669" t="n"/>
      <c r="M461" s="669" t="n"/>
      <c r="N461" s="669" t="n"/>
      <c r="O461" s="669" t="n"/>
      <c r="P461" s="669" t="n"/>
      <c r="Q461" s="669" t="n"/>
      <c r="R461" s="669" t="n"/>
      <c r="S461" s="669" t="n"/>
      <c r="T461" s="669" t="n"/>
      <c r="U461" s="669" t="n"/>
      <c r="V461" s="669" t="n"/>
      <c r="W461" s="669" t="n"/>
      <c r="X461" s="669" t="n"/>
      <c r="Y461" s="669" t="n"/>
      <c r="Z461" s="669" t="n"/>
    </row>
    <row r="462">
      <c r="A462" s="669" t="n"/>
      <c r="B462" s="669" t="n"/>
      <c r="C462" s="669" t="n"/>
      <c r="D462" s="669" t="n"/>
      <c r="E462" s="669" t="n"/>
      <c r="F462" s="669" t="n"/>
      <c r="G462" s="669" t="n"/>
      <c r="H462" s="669" t="n"/>
      <c r="I462" s="669" t="n"/>
      <c r="J462" s="669" t="n"/>
      <c r="K462" s="669" t="n"/>
      <c r="L462" s="669" t="n"/>
      <c r="M462" s="669" t="n"/>
      <c r="N462" s="669" t="n"/>
      <c r="O462" s="669" t="n"/>
      <c r="P462" s="669" t="n"/>
      <c r="Q462" s="669" t="n"/>
      <c r="R462" s="669" t="n"/>
      <c r="S462" s="669" t="n"/>
      <c r="T462" s="669" t="n"/>
      <c r="U462" s="669" t="n"/>
      <c r="V462" s="669" t="n"/>
      <c r="W462" s="669" t="n"/>
      <c r="X462" s="669" t="n"/>
      <c r="Y462" s="669" t="n"/>
      <c r="Z462" s="669" t="n"/>
    </row>
    <row r="463">
      <c r="A463" s="669" t="n"/>
      <c r="B463" s="669" t="n"/>
      <c r="C463" s="669" t="n"/>
      <c r="D463" s="669" t="n"/>
      <c r="E463" s="669" t="n"/>
      <c r="F463" s="669" t="n"/>
      <c r="G463" s="669" t="n"/>
      <c r="H463" s="669" t="n"/>
      <c r="I463" s="669" t="n"/>
      <c r="J463" s="669" t="n"/>
      <c r="K463" s="669" t="n"/>
      <c r="L463" s="669" t="n"/>
      <c r="M463" s="669" t="n"/>
      <c r="N463" s="669" t="n"/>
      <c r="O463" s="669" t="n"/>
      <c r="P463" s="669" t="n"/>
      <c r="Q463" s="669" t="n"/>
      <c r="R463" s="669" t="n"/>
      <c r="S463" s="669" t="n"/>
      <c r="T463" s="669" t="n"/>
      <c r="U463" s="669" t="n"/>
      <c r="V463" s="669" t="n"/>
      <c r="W463" s="669" t="n"/>
      <c r="X463" s="669" t="n"/>
      <c r="Y463" s="669" t="n"/>
      <c r="Z463" s="669" t="n"/>
    </row>
    <row r="464">
      <c r="A464" s="669" t="n"/>
      <c r="B464" s="669" t="n"/>
      <c r="C464" s="669" t="n"/>
      <c r="D464" s="669" t="n"/>
      <c r="E464" s="669" t="n"/>
      <c r="F464" s="669" t="n"/>
      <c r="G464" s="669" t="n"/>
      <c r="H464" s="669" t="n"/>
      <c r="I464" s="669" t="n"/>
      <c r="J464" s="669" t="n"/>
      <c r="K464" s="669" t="n"/>
      <c r="L464" s="669" t="n"/>
      <c r="M464" s="669" t="n"/>
      <c r="N464" s="669" t="n"/>
      <c r="O464" s="669" t="n"/>
      <c r="P464" s="669" t="n"/>
      <c r="Q464" s="669" t="n"/>
      <c r="R464" s="669" t="n"/>
      <c r="S464" s="669" t="n"/>
      <c r="T464" s="669" t="n"/>
      <c r="U464" s="669" t="n"/>
      <c r="V464" s="669" t="n"/>
      <c r="W464" s="669" t="n"/>
      <c r="X464" s="669" t="n"/>
      <c r="Y464" s="669" t="n"/>
      <c r="Z464" s="669" t="n"/>
    </row>
    <row r="465">
      <c r="A465" s="669" t="n"/>
      <c r="B465" s="669" t="n"/>
      <c r="C465" s="669" t="n"/>
      <c r="D465" s="669" t="n"/>
      <c r="E465" s="669" t="n"/>
      <c r="F465" s="669" t="n"/>
      <c r="G465" s="669" t="n"/>
      <c r="H465" s="669" t="n"/>
      <c r="I465" s="669" t="n"/>
      <c r="J465" s="669" t="n"/>
      <c r="K465" s="669" t="n"/>
      <c r="L465" s="669" t="n"/>
      <c r="M465" s="669" t="n"/>
      <c r="N465" s="669" t="n"/>
      <c r="O465" s="669" t="n"/>
      <c r="P465" s="669" t="n"/>
      <c r="Q465" s="669" t="n"/>
      <c r="R465" s="669" t="n"/>
      <c r="S465" s="669" t="n"/>
      <c r="T465" s="669" t="n"/>
      <c r="U465" s="669" t="n"/>
      <c r="V465" s="669" t="n"/>
      <c r="W465" s="669" t="n"/>
      <c r="X465" s="669" t="n"/>
      <c r="Y465" s="669" t="n"/>
      <c r="Z465" s="669" t="n"/>
    </row>
    <row r="466">
      <c r="A466" s="669" t="n"/>
      <c r="B466" s="669" t="n"/>
      <c r="C466" s="669" t="n"/>
      <c r="D466" s="669" t="n"/>
      <c r="E466" s="669" t="n"/>
      <c r="F466" s="669" t="n"/>
      <c r="G466" s="669" t="n"/>
      <c r="H466" s="669" t="n"/>
      <c r="I466" s="669" t="n"/>
      <c r="J466" s="669" t="n"/>
      <c r="K466" s="669" t="n"/>
      <c r="L466" s="669" t="n"/>
      <c r="M466" s="669" t="n"/>
      <c r="N466" s="669" t="n"/>
      <c r="O466" s="669" t="n"/>
      <c r="P466" s="669" t="n"/>
      <c r="Q466" s="669" t="n"/>
      <c r="R466" s="669" t="n"/>
      <c r="S466" s="669" t="n"/>
      <c r="T466" s="669" t="n"/>
      <c r="U466" s="669" t="n"/>
      <c r="V466" s="669" t="n"/>
      <c r="W466" s="669" t="n"/>
      <c r="X466" s="669" t="n"/>
      <c r="Y466" s="669" t="n"/>
      <c r="Z466" s="669" t="n"/>
    </row>
    <row r="467">
      <c r="A467" s="669" t="n"/>
      <c r="B467" s="669" t="n"/>
      <c r="C467" s="669" t="n"/>
      <c r="D467" s="669" t="n"/>
      <c r="E467" s="669" t="n"/>
      <c r="F467" s="669" t="n"/>
      <c r="G467" s="669" t="n"/>
      <c r="H467" s="669" t="n"/>
      <c r="I467" s="669" t="n"/>
      <c r="J467" s="669" t="n"/>
      <c r="K467" s="669" t="n"/>
      <c r="L467" s="669" t="n"/>
      <c r="M467" s="669" t="n"/>
      <c r="N467" s="669" t="n"/>
      <c r="O467" s="669" t="n"/>
      <c r="P467" s="669" t="n"/>
      <c r="Q467" s="669" t="n"/>
      <c r="R467" s="669" t="n"/>
      <c r="S467" s="669" t="n"/>
      <c r="T467" s="669" t="n"/>
      <c r="U467" s="669" t="n"/>
      <c r="V467" s="669" t="n"/>
      <c r="W467" s="669" t="n"/>
      <c r="X467" s="669" t="n"/>
      <c r="Y467" s="669" t="n"/>
      <c r="Z467" s="669" t="n"/>
    </row>
    <row r="468">
      <c r="A468" s="669" t="n"/>
      <c r="B468" s="669" t="n"/>
      <c r="C468" s="669" t="n"/>
      <c r="D468" s="669" t="n"/>
      <c r="E468" s="669" t="n"/>
      <c r="F468" s="669" t="n"/>
      <c r="G468" s="669" t="n"/>
      <c r="H468" s="669" t="n"/>
      <c r="I468" s="669" t="n"/>
      <c r="J468" s="669" t="n"/>
      <c r="K468" s="669" t="n"/>
      <c r="L468" s="669" t="n"/>
      <c r="M468" s="669" t="n"/>
      <c r="N468" s="669" t="n"/>
      <c r="O468" s="669" t="n"/>
      <c r="P468" s="669" t="n"/>
      <c r="Q468" s="669" t="n"/>
      <c r="R468" s="669" t="n"/>
      <c r="S468" s="669" t="n"/>
      <c r="T468" s="669" t="n"/>
      <c r="U468" s="669" t="n"/>
      <c r="V468" s="669" t="n"/>
      <c r="W468" s="669" t="n"/>
      <c r="X468" s="669" t="n"/>
      <c r="Y468" s="669" t="n"/>
      <c r="Z468" s="669" t="n"/>
    </row>
    <row r="469">
      <c r="A469" s="669" t="n"/>
      <c r="B469" s="669" t="n"/>
      <c r="C469" s="669" t="n"/>
      <c r="D469" s="669" t="n"/>
      <c r="E469" s="669" t="n"/>
      <c r="F469" s="669" t="n"/>
      <c r="G469" s="669" t="n"/>
      <c r="H469" s="669" t="n"/>
      <c r="I469" s="669" t="n"/>
      <c r="J469" s="669" t="n"/>
      <c r="K469" s="669" t="n"/>
      <c r="L469" s="669" t="n"/>
      <c r="M469" s="669" t="n"/>
      <c r="N469" s="669" t="n"/>
      <c r="O469" s="669" t="n"/>
      <c r="P469" s="669" t="n"/>
      <c r="Q469" s="669" t="n"/>
      <c r="R469" s="669" t="n"/>
      <c r="S469" s="669" t="n"/>
      <c r="T469" s="669" t="n"/>
      <c r="U469" s="669" t="n"/>
      <c r="V469" s="669" t="n"/>
      <c r="W469" s="669" t="n"/>
      <c r="X469" s="669" t="n"/>
      <c r="Y469" s="669" t="n"/>
      <c r="Z469" s="669" t="n"/>
    </row>
    <row r="470">
      <c r="A470" s="669" t="n"/>
      <c r="B470" s="669" t="n"/>
      <c r="C470" s="669" t="n"/>
      <c r="D470" s="669" t="n"/>
      <c r="E470" s="669" t="n"/>
      <c r="F470" s="669" t="n"/>
      <c r="G470" s="669" t="n"/>
      <c r="H470" s="669" t="n"/>
      <c r="I470" s="669" t="n"/>
      <c r="J470" s="669" t="n"/>
      <c r="K470" s="669" t="n"/>
      <c r="L470" s="669" t="n"/>
      <c r="M470" s="669" t="n"/>
      <c r="N470" s="669" t="n"/>
      <c r="O470" s="669" t="n"/>
      <c r="P470" s="669" t="n"/>
      <c r="Q470" s="669" t="n"/>
      <c r="R470" s="669" t="n"/>
      <c r="S470" s="669" t="n"/>
      <c r="T470" s="669" t="n"/>
      <c r="U470" s="669" t="n"/>
      <c r="V470" s="669" t="n"/>
      <c r="W470" s="669" t="n"/>
      <c r="X470" s="669" t="n"/>
      <c r="Y470" s="669" t="n"/>
      <c r="Z470" s="669" t="n"/>
    </row>
    <row r="471">
      <c r="A471" s="669" t="n"/>
      <c r="B471" s="669" t="n"/>
      <c r="C471" s="669" t="n"/>
      <c r="D471" s="669" t="n"/>
      <c r="E471" s="669" t="n"/>
      <c r="F471" s="669" t="n"/>
      <c r="G471" s="669" t="n"/>
      <c r="H471" s="669" t="n"/>
      <c r="I471" s="669" t="n"/>
      <c r="J471" s="669" t="n"/>
      <c r="K471" s="669" t="n"/>
      <c r="L471" s="669" t="n"/>
      <c r="M471" s="669" t="n"/>
      <c r="N471" s="669" t="n"/>
      <c r="O471" s="669" t="n"/>
      <c r="P471" s="669" t="n"/>
      <c r="Q471" s="669" t="n"/>
      <c r="R471" s="669" t="n"/>
      <c r="S471" s="669" t="n"/>
      <c r="T471" s="669" t="n"/>
      <c r="U471" s="669" t="n"/>
      <c r="V471" s="669" t="n"/>
      <c r="W471" s="669" t="n"/>
      <c r="X471" s="669" t="n"/>
      <c r="Y471" s="669" t="n"/>
      <c r="Z471" s="669" t="n"/>
    </row>
    <row r="472">
      <c r="A472" s="669" t="n"/>
      <c r="B472" s="669" t="n"/>
      <c r="C472" s="669" t="n"/>
      <c r="D472" s="669" t="n"/>
      <c r="E472" s="669" t="n"/>
      <c r="F472" s="669" t="n"/>
      <c r="G472" s="669" t="n"/>
      <c r="H472" s="669" t="n"/>
      <c r="I472" s="669" t="n"/>
      <c r="J472" s="669" t="n"/>
      <c r="K472" s="669" t="n"/>
      <c r="L472" s="669" t="n"/>
      <c r="M472" s="669" t="n"/>
      <c r="N472" s="669" t="n"/>
      <c r="O472" s="669" t="n"/>
      <c r="P472" s="669" t="n"/>
      <c r="Q472" s="669" t="n"/>
      <c r="R472" s="669" t="n"/>
      <c r="S472" s="669" t="n"/>
      <c r="T472" s="669" t="n"/>
      <c r="U472" s="669" t="n"/>
      <c r="V472" s="669" t="n"/>
      <c r="W472" s="669" t="n"/>
      <c r="X472" s="669" t="n"/>
      <c r="Y472" s="669" t="n"/>
      <c r="Z472" s="669" t="n"/>
    </row>
    <row r="473">
      <c r="A473" s="669" t="n"/>
      <c r="B473" s="669" t="n"/>
      <c r="C473" s="669" t="n"/>
      <c r="D473" s="669" t="n"/>
      <c r="E473" s="669" t="n"/>
      <c r="F473" s="669" t="n"/>
      <c r="G473" s="669" t="n"/>
      <c r="H473" s="669" t="n"/>
      <c r="I473" s="669" t="n"/>
      <c r="J473" s="669" t="n"/>
      <c r="K473" s="669" t="n"/>
      <c r="L473" s="669" t="n"/>
      <c r="M473" s="669" t="n"/>
      <c r="N473" s="669" t="n"/>
      <c r="O473" s="669" t="n"/>
      <c r="P473" s="669" t="n"/>
      <c r="Q473" s="669" t="n"/>
      <c r="R473" s="669" t="n"/>
      <c r="S473" s="669" t="n"/>
      <c r="T473" s="669" t="n"/>
      <c r="U473" s="669" t="n"/>
      <c r="V473" s="669" t="n"/>
      <c r="W473" s="669" t="n"/>
      <c r="X473" s="669" t="n"/>
      <c r="Y473" s="669" t="n"/>
      <c r="Z473" s="669" t="n"/>
    </row>
    <row r="474">
      <c r="A474" s="669" t="n"/>
      <c r="B474" s="669" t="n"/>
      <c r="C474" s="669" t="n"/>
      <c r="D474" s="669" t="n"/>
      <c r="E474" s="669" t="n"/>
      <c r="F474" s="669" t="n"/>
      <c r="G474" s="669" t="n"/>
      <c r="H474" s="669" t="n"/>
      <c r="I474" s="669" t="n"/>
      <c r="J474" s="669" t="n"/>
      <c r="K474" s="669" t="n"/>
      <c r="L474" s="669" t="n"/>
      <c r="M474" s="669" t="n"/>
      <c r="N474" s="669" t="n"/>
      <c r="O474" s="669" t="n"/>
      <c r="P474" s="669" t="n"/>
      <c r="Q474" s="669" t="n"/>
      <c r="R474" s="669" t="n"/>
      <c r="S474" s="669" t="n"/>
      <c r="T474" s="669" t="n"/>
      <c r="U474" s="669" t="n"/>
      <c r="V474" s="669" t="n"/>
      <c r="W474" s="669" t="n"/>
      <c r="X474" s="669" t="n"/>
      <c r="Y474" s="669" t="n"/>
      <c r="Z474" s="669" t="n"/>
    </row>
    <row r="475">
      <c r="A475" s="669" t="n"/>
      <c r="B475" s="669" t="n"/>
      <c r="C475" s="669" t="n"/>
      <c r="D475" s="669" t="n"/>
      <c r="E475" s="669" t="n"/>
      <c r="F475" s="669" t="n"/>
      <c r="G475" s="669" t="n"/>
      <c r="H475" s="669" t="n"/>
      <c r="I475" s="669" t="n"/>
      <c r="J475" s="669" t="n"/>
      <c r="K475" s="669" t="n"/>
      <c r="L475" s="669" t="n"/>
      <c r="M475" s="669" t="n"/>
      <c r="N475" s="669" t="n"/>
      <c r="O475" s="669" t="n"/>
      <c r="P475" s="669" t="n"/>
      <c r="Q475" s="669" t="n"/>
      <c r="R475" s="669" t="n"/>
      <c r="S475" s="669" t="n"/>
      <c r="T475" s="669" t="n"/>
      <c r="U475" s="669" t="n"/>
      <c r="V475" s="669" t="n"/>
      <c r="W475" s="669" t="n"/>
      <c r="X475" s="669" t="n"/>
      <c r="Y475" s="669" t="n"/>
      <c r="Z475" s="669" t="n"/>
    </row>
    <row r="476">
      <c r="A476" s="669" t="n"/>
      <c r="B476" s="669" t="n"/>
      <c r="C476" s="669" t="n"/>
      <c r="D476" s="669" t="n"/>
      <c r="E476" s="669" t="n"/>
      <c r="F476" s="669" t="n"/>
      <c r="G476" s="669" t="n"/>
      <c r="H476" s="669" t="n"/>
      <c r="I476" s="669" t="n"/>
      <c r="J476" s="669" t="n"/>
      <c r="K476" s="669" t="n"/>
      <c r="L476" s="669" t="n"/>
      <c r="M476" s="669" t="n"/>
      <c r="N476" s="669" t="n"/>
      <c r="O476" s="669" t="n"/>
      <c r="P476" s="669" t="n"/>
      <c r="Q476" s="669" t="n"/>
      <c r="R476" s="669" t="n"/>
      <c r="S476" s="669" t="n"/>
      <c r="T476" s="669" t="n"/>
      <c r="U476" s="669" t="n"/>
      <c r="V476" s="669" t="n"/>
      <c r="W476" s="669" t="n"/>
      <c r="X476" s="669" t="n"/>
      <c r="Y476" s="669" t="n"/>
      <c r="Z476" s="669" t="n"/>
    </row>
    <row r="477">
      <c r="A477" s="669" t="n"/>
      <c r="B477" s="669" t="n"/>
      <c r="C477" s="669" t="n"/>
      <c r="D477" s="669" t="n"/>
      <c r="E477" s="669" t="n"/>
      <c r="F477" s="669" t="n"/>
      <c r="G477" s="669" t="n"/>
      <c r="H477" s="669" t="n"/>
      <c r="I477" s="669" t="n"/>
      <c r="J477" s="669" t="n"/>
      <c r="K477" s="669" t="n"/>
      <c r="L477" s="669" t="n"/>
      <c r="M477" s="669" t="n"/>
      <c r="N477" s="669" t="n"/>
      <c r="O477" s="669" t="n"/>
      <c r="P477" s="669" t="n"/>
      <c r="Q477" s="669" t="n"/>
      <c r="R477" s="669" t="n"/>
      <c r="S477" s="669" t="n"/>
      <c r="T477" s="669" t="n"/>
      <c r="U477" s="669" t="n"/>
      <c r="V477" s="669" t="n"/>
      <c r="W477" s="669" t="n"/>
      <c r="X477" s="669" t="n"/>
      <c r="Y477" s="669" t="n"/>
      <c r="Z477" s="669" t="n"/>
    </row>
    <row r="478">
      <c r="A478" s="669" t="n"/>
      <c r="B478" s="669" t="n"/>
      <c r="C478" s="669" t="n"/>
      <c r="D478" s="669" t="n"/>
      <c r="E478" s="669" t="n"/>
      <c r="F478" s="669" t="n"/>
      <c r="G478" s="669" t="n"/>
      <c r="H478" s="669" t="n"/>
      <c r="I478" s="669" t="n"/>
      <c r="J478" s="669" t="n"/>
      <c r="K478" s="669" t="n"/>
      <c r="L478" s="669" t="n"/>
      <c r="M478" s="669" t="n"/>
      <c r="N478" s="669" t="n"/>
      <c r="O478" s="669" t="n"/>
      <c r="P478" s="669" t="n"/>
      <c r="Q478" s="669" t="n"/>
      <c r="R478" s="669" t="n"/>
      <c r="S478" s="669" t="n"/>
      <c r="T478" s="669" t="n"/>
      <c r="U478" s="669" t="n"/>
      <c r="V478" s="669" t="n"/>
      <c r="W478" s="669" t="n"/>
      <c r="X478" s="669" t="n"/>
      <c r="Y478" s="669" t="n"/>
      <c r="Z478" s="669" t="n"/>
    </row>
    <row r="479">
      <c r="A479" s="669" t="n"/>
      <c r="B479" s="669" t="n"/>
      <c r="C479" s="669" t="n"/>
      <c r="D479" s="669" t="n"/>
      <c r="E479" s="669" t="n"/>
      <c r="F479" s="669" t="n"/>
      <c r="G479" s="669" t="n"/>
      <c r="H479" s="669" t="n"/>
      <c r="I479" s="669" t="n"/>
      <c r="J479" s="669" t="n"/>
      <c r="K479" s="669" t="n"/>
      <c r="L479" s="669" t="n"/>
      <c r="M479" s="669" t="n"/>
      <c r="N479" s="669" t="n"/>
      <c r="O479" s="669" t="n"/>
      <c r="P479" s="669" t="n"/>
      <c r="Q479" s="669" t="n"/>
      <c r="R479" s="669" t="n"/>
      <c r="S479" s="669" t="n"/>
      <c r="T479" s="669" t="n"/>
      <c r="U479" s="669" t="n"/>
      <c r="V479" s="669" t="n"/>
      <c r="W479" s="669" t="n"/>
      <c r="X479" s="669" t="n"/>
      <c r="Y479" s="669" t="n"/>
      <c r="Z479" s="669" t="n"/>
    </row>
    <row r="480">
      <c r="A480" s="669" t="n"/>
      <c r="B480" s="669" t="n"/>
      <c r="C480" s="669" t="n"/>
      <c r="D480" s="669" t="n"/>
      <c r="E480" s="669" t="n"/>
      <c r="F480" s="669" t="n"/>
      <c r="G480" s="669" t="n"/>
      <c r="H480" s="669" t="n"/>
      <c r="I480" s="669" t="n"/>
      <c r="J480" s="669" t="n"/>
      <c r="K480" s="669" t="n"/>
      <c r="L480" s="669" t="n"/>
      <c r="M480" s="669" t="n"/>
      <c r="N480" s="669" t="n"/>
      <c r="O480" s="669" t="n"/>
      <c r="P480" s="669" t="n"/>
      <c r="Q480" s="669" t="n"/>
      <c r="R480" s="669" t="n"/>
      <c r="S480" s="669" t="n"/>
      <c r="T480" s="669" t="n"/>
      <c r="U480" s="669" t="n"/>
      <c r="V480" s="669" t="n"/>
      <c r="W480" s="669" t="n"/>
      <c r="X480" s="669" t="n"/>
      <c r="Y480" s="669" t="n"/>
      <c r="Z480" s="669" t="n"/>
    </row>
    <row r="481">
      <c r="A481" s="669" t="n"/>
      <c r="B481" s="669" t="n"/>
      <c r="C481" s="669" t="n"/>
      <c r="D481" s="669" t="n"/>
      <c r="E481" s="669" t="n"/>
      <c r="F481" s="669" t="n"/>
      <c r="G481" s="669" t="n"/>
      <c r="H481" s="669" t="n"/>
      <c r="I481" s="669" t="n"/>
      <c r="J481" s="669" t="n"/>
      <c r="K481" s="669" t="n"/>
      <c r="L481" s="669" t="n"/>
      <c r="M481" s="669" t="n"/>
      <c r="N481" s="669" t="n"/>
      <c r="O481" s="669" t="n"/>
      <c r="P481" s="669" t="n"/>
      <c r="Q481" s="669" t="n"/>
      <c r="R481" s="669" t="n"/>
      <c r="S481" s="669" t="n"/>
      <c r="T481" s="669" t="n"/>
      <c r="U481" s="669" t="n"/>
      <c r="V481" s="669" t="n"/>
      <c r="W481" s="669" t="n"/>
      <c r="X481" s="669" t="n"/>
      <c r="Y481" s="669" t="n"/>
      <c r="Z481" s="669" t="n"/>
    </row>
    <row r="482">
      <c r="A482" s="669" t="n"/>
      <c r="B482" s="669" t="n"/>
      <c r="C482" s="669" t="n"/>
      <c r="D482" s="669" t="n"/>
      <c r="E482" s="669" t="n"/>
      <c r="F482" s="669" t="n"/>
      <c r="G482" s="669" t="n"/>
      <c r="H482" s="669" t="n"/>
      <c r="I482" s="669" t="n"/>
      <c r="J482" s="669" t="n"/>
      <c r="K482" s="669" t="n"/>
      <c r="L482" s="669" t="n"/>
      <c r="M482" s="669" t="n"/>
      <c r="N482" s="669" t="n"/>
      <c r="O482" s="669" t="n"/>
      <c r="P482" s="669" t="n"/>
      <c r="Q482" s="669" t="n"/>
      <c r="R482" s="669" t="n"/>
      <c r="S482" s="669" t="n"/>
      <c r="T482" s="669" t="n"/>
      <c r="U482" s="669" t="n"/>
      <c r="V482" s="669" t="n"/>
      <c r="W482" s="669" t="n"/>
      <c r="X482" s="669" t="n"/>
      <c r="Y482" s="669" t="n"/>
      <c r="Z482" s="669" t="n"/>
    </row>
    <row r="483">
      <c r="A483" s="669" t="n"/>
      <c r="B483" s="669" t="n"/>
      <c r="C483" s="669" t="n"/>
      <c r="D483" s="669" t="n"/>
      <c r="E483" s="669" t="n"/>
      <c r="F483" s="669" t="n"/>
      <c r="G483" s="669" t="n"/>
      <c r="H483" s="669" t="n"/>
      <c r="I483" s="669" t="n"/>
      <c r="J483" s="669" t="n"/>
      <c r="K483" s="669" t="n"/>
      <c r="L483" s="669" t="n"/>
      <c r="M483" s="669" t="n"/>
      <c r="N483" s="669" t="n"/>
      <c r="O483" s="669" t="n"/>
      <c r="P483" s="669" t="n"/>
      <c r="Q483" s="669" t="n"/>
      <c r="R483" s="669" t="n"/>
      <c r="S483" s="669" t="n"/>
      <c r="T483" s="669" t="n"/>
      <c r="U483" s="669" t="n"/>
      <c r="V483" s="669" t="n"/>
      <c r="W483" s="669" t="n"/>
      <c r="X483" s="669" t="n"/>
      <c r="Y483" s="669" t="n"/>
      <c r="Z483" s="669" t="n"/>
    </row>
    <row r="484">
      <c r="A484" s="669" t="n"/>
      <c r="B484" s="669" t="n"/>
      <c r="C484" s="669" t="n"/>
      <c r="D484" s="669" t="n"/>
      <c r="E484" s="669" t="n"/>
      <c r="F484" s="669" t="n"/>
      <c r="G484" s="669" t="n"/>
      <c r="H484" s="669" t="n"/>
      <c r="I484" s="669" t="n"/>
      <c r="J484" s="669" t="n"/>
      <c r="K484" s="669" t="n"/>
      <c r="L484" s="669" t="n"/>
      <c r="M484" s="669" t="n"/>
      <c r="N484" s="669" t="n"/>
      <c r="O484" s="669" t="n"/>
      <c r="P484" s="669" t="n"/>
      <c r="Q484" s="669" t="n"/>
      <c r="R484" s="669" t="n"/>
      <c r="S484" s="669" t="n"/>
      <c r="T484" s="669" t="n"/>
      <c r="U484" s="669" t="n"/>
      <c r="V484" s="669" t="n"/>
      <c r="W484" s="669" t="n"/>
      <c r="X484" s="669" t="n"/>
      <c r="Y484" s="669" t="n"/>
      <c r="Z484" s="669" t="n"/>
    </row>
    <row r="485">
      <c r="A485" s="669" t="n"/>
      <c r="B485" s="669" t="n"/>
      <c r="C485" s="669" t="n"/>
      <c r="D485" s="669" t="n"/>
      <c r="E485" s="669" t="n"/>
      <c r="F485" s="669" t="n"/>
      <c r="G485" s="669" t="n"/>
      <c r="H485" s="669" t="n"/>
      <c r="I485" s="669" t="n"/>
      <c r="J485" s="669" t="n"/>
      <c r="K485" s="669" t="n"/>
      <c r="L485" s="669" t="n"/>
      <c r="M485" s="669" t="n"/>
      <c r="N485" s="669" t="n"/>
      <c r="O485" s="669" t="n"/>
      <c r="P485" s="669" t="n"/>
      <c r="Q485" s="669" t="n"/>
      <c r="R485" s="669" t="n"/>
      <c r="S485" s="669" t="n"/>
      <c r="T485" s="669" t="n"/>
      <c r="U485" s="669" t="n"/>
      <c r="V485" s="669" t="n"/>
      <c r="W485" s="669" t="n"/>
      <c r="X485" s="669" t="n"/>
      <c r="Y485" s="669" t="n"/>
      <c r="Z485" s="669" t="n"/>
    </row>
    <row r="486">
      <c r="A486" s="669" t="n"/>
      <c r="B486" s="669" t="n"/>
      <c r="C486" s="669" t="n"/>
      <c r="D486" s="669" t="n"/>
      <c r="E486" s="669" t="n"/>
      <c r="F486" s="669" t="n"/>
      <c r="G486" s="669" t="n"/>
      <c r="H486" s="669" t="n"/>
      <c r="I486" s="669" t="n"/>
      <c r="J486" s="669" t="n"/>
      <c r="K486" s="669" t="n"/>
      <c r="L486" s="669" t="n"/>
      <c r="M486" s="669" t="n"/>
      <c r="N486" s="669" t="n"/>
      <c r="O486" s="669" t="n"/>
      <c r="P486" s="669" t="n"/>
      <c r="Q486" s="669" t="n"/>
      <c r="R486" s="669" t="n"/>
      <c r="S486" s="669" t="n"/>
      <c r="T486" s="669" t="n"/>
      <c r="U486" s="669" t="n"/>
      <c r="V486" s="669" t="n"/>
      <c r="W486" s="669" t="n"/>
      <c r="X486" s="669" t="n"/>
      <c r="Y486" s="669" t="n"/>
      <c r="Z486" s="669" t="n"/>
    </row>
    <row r="487">
      <c r="A487" s="669" t="n"/>
      <c r="B487" s="669" t="n"/>
      <c r="C487" s="669" t="n"/>
      <c r="D487" s="669" t="n"/>
      <c r="E487" s="669" t="n"/>
      <c r="F487" s="669" t="n"/>
      <c r="G487" s="669" t="n"/>
      <c r="H487" s="669" t="n"/>
      <c r="I487" s="669" t="n"/>
      <c r="J487" s="669" t="n"/>
      <c r="K487" s="669" t="n"/>
      <c r="L487" s="669" t="n"/>
      <c r="M487" s="669" t="n"/>
      <c r="N487" s="669" t="n"/>
      <c r="O487" s="669" t="n"/>
      <c r="P487" s="669" t="n"/>
      <c r="Q487" s="669" t="n"/>
      <c r="R487" s="669" t="n"/>
      <c r="S487" s="669" t="n"/>
      <c r="T487" s="669" t="n"/>
      <c r="U487" s="669" t="n"/>
      <c r="V487" s="669" t="n"/>
      <c r="W487" s="669" t="n"/>
      <c r="X487" s="669" t="n"/>
      <c r="Y487" s="669" t="n"/>
      <c r="Z487" s="669" t="n"/>
    </row>
    <row r="488">
      <c r="A488" s="669" t="n"/>
      <c r="B488" s="669" t="n"/>
      <c r="C488" s="669" t="n"/>
      <c r="D488" s="669" t="n"/>
      <c r="E488" s="669" t="n"/>
      <c r="F488" s="669" t="n"/>
      <c r="G488" s="669" t="n"/>
      <c r="H488" s="669" t="n"/>
      <c r="I488" s="669" t="n"/>
      <c r="J488" s="669" t="n"/>
      <c r="K488" s="669" t="n"/>
      <c r="L488" s="669" t="n"/>
      <c r="M488" s="669" t="n"/>
      <c r="N488" s="669" t="n"/>
      <c r="O488" s="669" t="n"/>
      <c r="P488" s="669" t="n"/>
      <c r="Q488" s="669" t="n"/>
      <c r="R488" s="669" t="n"/>
      <c r="S488" s="669" t="n"/>
      <c r="T488" s="669" t="n"/>
      <c r="U488" s="669" t="n"/>
      <c r="V488" s="669" t="n"/>
      <c r="W488" s="669" t="n"/>
      <c r="X488" s="669" t="n"/>
      <c r="Y488" s="669" t="n"/>
      <c r="Z488" s="669" t="n"/>
    </row>
    <row r="489">
      <c r="A489" s="669" t="n"/>
      <c r="B489" s="669" t="n"/>
      <c r="C489" s="669" t="n"/>
      <c r="D489" s="669" t="n"/>
      <c r="E489" s="669" t="n"/>
      <c r="F489" s="669" t="n"/>
      <c r="G489" s="669" t="n"/>
      <c r="H489" s="669" t="n"/>
      <c r="I489" s="669" t="n"/>
      <c r="J489" s="669" t="n"/>
      <c r="K489" s="669" t="n"/>
      <c r="L489" s="669" t="n"/>
      <c r="M489" s="669" t="n"/>
      <c r="N489" s="669" t="n"/>
      <c r="O489" s="669" t="n"/>
      <c r="P489" s="669" t="n"/>
      <c r="Q489" s="669" t="n"/>
      <c r="R489" s="669" t="n"/>
      <c r="S489" s="669" t="n"/>
      <c r="T489" s="669" t="n"/>
      <c r="U489" s="669" t="n"/>
      <c r="V489" s="669" t="n"/>
      <c r="W489" s="669" t="n"/>
      <c r="X489" s="669" t="n"/>
      <c r="Y489" s="669" t="n"/>
      <c r="Z489" s="669" t="n"/>
    </row>
    <row r="490">
      <c r="A490" s="669" t="n"/>
      <c r="B490" s="669" t="n"/>
      <c r="C490" s="669" t="n"/>
      <c r="D490" s="669" t="n"/>
      <c r="E490" s="669" t="n"/>
      <c r="F490" s="669" t="n"/>
      <c r="G490" s="669" t="n"/>
      <c r="H490" s="669" t="n"/>
      <c r="I490" s="669" t="n"/>
      <c r="J490" s="669" t="n"/>
      <c r="K490" s="669" t="n"/>
      <c r="L490" s="669" t="n"/>
      <c r="M490" s="669" t="n"/>
      <c r="N490" s="669" t="n"/>
      <c r="O490" s="669" t="n"/>
      <c r="P490" s="669" t="n"/>
      <c r="Q490" s="669" t="n"/>
      <c r="R490" s="669" t="n"/>
      <c r="S490" s="669" t="n"/>
      <c r="T490" s="669" t="n"/>
      <c r="U490" s="669" t="n"/>
      <c r="V490" s="669" t="n"/>
      <c r="W490" s="669" t="n"/>
      <c r="X490" s="669" t="n"/>
      <c r="Y490" s="669" t="n"/>
      <c r="Z490" s="669" t="n"/>
    </row>
    <row r="491">
      <c r="A491" s="669" t="n"/>
      <c r="B491" s="669" t="n"/>
      <c r="C491" s="669" t="n"/>
      <c r="D491" s="669" t="n"/>
      <c r="E491" s="669" t="n"/>
      <c r="F491" s="669" t="n"/>
      <c r="G491" s="669" t="n"/>
      <c r="H491" s="669" t="n"/>
      <c r="I491" s="669" t="n"/>
      <c r="J491" s="669" t="n"/>
      <c r="K491" s="669" t="n"/>
      <c r="L491" s="669" t="n"/>
      <c r="M491" s="669" t="n"/>
      <c r="N491" s="669" t="n"/>
      <c r="O491" s="669" t="n"/>
      <c r="P491" s="669" t="n"/>
      <c r="Q491" s="669" t="n"/>
      <c r="R491" s="669" t="n"/>
      <c r="S491" s="669" t="n"/>
      <c r="T491" s="669" t="n"/>
      <c r="U491" s="669" t="n"/>
      <c r="V491" s="669" t="n"/>
      <c r="W491" s="669" t="n"/>
      <c r="X491" s="669" t="n"/>
      <c r="Y491" s="669" t="n"/>
      <c r="Z491" s="669" t="n"/>
    </row>
    <row r="492">
      <c r="A492" s="669" t="n"/>
      <c r="B492" s="669" t="n"/>
      <c r="C492" s="669" t="n"/>
      <c r="D492" s="669" t="n"/>
      <c r="E492" s="669" t="n"/>
      <c r="F492" s="669" t="n"/>
      <c r="G492" s="669" t="n"/>
      <c r="H492" s="669" t="n"/>
      <c r="I492" s="669" t="n"/>
      <c r="J492" s="669" t="n"/>
      <c r="K492" s="669" t="n"/>
      <c r="L492" s="669" t="n"/>
      <c r="M492" s="669" t="n"/>
      <c r="N492" s="669" t="n"/>
      <c r="O492" s="669" t="n"/>
      <c r="P492" s="669" t="n"/>
      <c r="Q492" s="669" t="n"/>
      <c r="R492" s="669" t="n"/>
      <c r="S492" s="669" t="n"/>
      <c r="T492" s="669" t="n"/>
      <c r="U492" s="669" t="n"/>
      <c r="V492" s="669" t="n"/>
      <c r="W492" s="669" t="n"/>
      <c r="X492" s="669" t="n"/>
      <c r="Y492" s="669" t="n"/>
      <c r="Z492" s="669" t="n"/>
    </row>
    <row r="493">
      <c r="A493" s="669" t="n"/>
      <c r="B493" s="669" t="n"/>
      <c r="C493" s="669" t="n"/>
      <c r="D493" s="669" t="n"/>
      <c r="E493" s="669" t="n"/>
      <c r="F493" s="669" t="n"/>
      <c r="G493" s="669" t="n"/>
      <c r="H493" s="669" t="n"/>
      <c r="I493" s="669" t="n"/>
      <c r="J493" s="669" t="n"/>
      <c r="K493" s="669" t="n"/>
      <c r="L493" s="669" t="n"/>
      <c r="M493" s="669" t="n"/>
      <c r="N493" s="669" t="n"/>
      <c r="O493" s="669" t="n"/>
      <c r="P493" s="669" t="n"/>
      <c r="Q493" s="669" t="n"/>
      <c r="R493" s="669" t="n"/>
      <c r="S493" s="669" t="n"/>
      <c r="T493" s="669" t="n"/>
      <c r="U493" s="669" t="n"/>
      <c r="V493" s="669" t="n"/>
      <c r="W493" s="669" t="n"/>
      <c r="X493" s="669" t="n"/>
      <c r="Y493" s="669" t="n"/>
      <c r="Z493" s="669" t="n"/>
    </row>
    <row r="494">
      <c r="A494" s="669" t="n"/>
      <c r="B494" s="669" t="n"/>
      <c r="C494" s="669" t="n"/>
      <c r="D494" s="669" t="n"/>
      <c r="E494" s="669" t="n"/>
      <c r="F494" s="669" t="n"/>
      <c r="G494" s="669" t="n"/>
      <c r="H494" s="669" t="n"/>
      <c r="I494" s="669" t="n"/>
      <c r="J494" s="669" t="n"/>
      <c r="K494" s="669" t="n"/>
      <c r="L494" s="669" t="n"/>
      <c r="M494" s="669" t="n"/>
      <c r="N494" s="669" t="n"/>
      <c r="O494" s="669" t="n"/>
      <c r="P494" s="669" t="n"/>
      <c r="Q494" s="669" t="n"/>
      <c r="R494" s="669" t="n"/>
      <c r="S494" s="669" t="n"/>
      <c r="T494" s="669" t="n"/>
      <c r="U494" s="669" t="n"/>
      <c r="V494" s="669" t="n"/>
      <c r="W494" s="669" t="n"/>
      <c r="X494" s="669" t="n"/>
      <c r="Y494" s="669" t="n"/>
      <c r="Z494" s="669" t="n"/>
    </row>
    <row r="495">
      <c r="A495" s="669" t="n"/>
      <c r="B495" s="669" t="n"/>
      <c r="C495" s="669" t="n"/>
      <c r="D495" s="669" t="n"/>
      <c r="E495" s="669" t="n"/>
      <c r="F495" s="669" t="n"/>
      <c r="G495" s="669" t="n"/>
      <c r="H495" s="669" t="n"/>
      <c r="I495" s="669" t="n"/>
      <c r="J495" s="669" t="n"/>
      <c r="K495" s="669" t="n"/>
      <c r="L495" s="669" t="n"/>
      <c r="M495" s="669" t="n"/>
      <c r="N495" s="669" t="n"/>
      <c r="O495" s="669" t="n"/>
      <c r="P495" s="669" t="n"/>
      <c r="Q495" s="669" t="n"/>
      <c r="R495" s="669" t="n"/>
      <c r="S495" s="669" t="n"/>
      <c r="T495" s="669" t="n"/>
      <c r="U495" s="669" t="n"/>
      <c r="V495" s="669" t="n"/>
      <c r="W495" s="669" t="n"/>
      <c r="X495" s="669" t="n"/>
      <c r="Y495" s="669" t="n"/>
      <c r="Z495" s="669" t="n"/>
    </row>
    <row r="496">
      <c r="A496" s="669" t="n"/>
      <c r="B496" s="669" t="n"/>
      <c r="C496" s="669" t="n"/>
      <c r="D496" s="669" t="n"/>
      <c r="E496" s="669" t="n"/>
      <c r="F496" s="669" t="n"/>
      <c r="G496" s="669" t="n"/>
      <c r="H496" s="669" t="n"/>
      <c r="I496" s="669" t="n"/>
      <c r="J496" s="669" t="n"/>
      <c r="K496" s="669" t="n"/>
      <c r="L496" s="669" t="n"/>
      <c r="M496" s="669" t="n"/>
      <c r="N496" s="669" t="n"/>
      <c r="O496" s="669" t="n"/>
      <c r="P496" s="669" t="n"/>
      <c r="Q496" s="669" t="n"/>
      <c r="R496" s="669" t="n"/>
      <c r="S496" s="669" t="n"/>
      <c r="T496" s="669" t="n"/>
      <c r="U496" s="669" t="n"/>
      <c r="V496" s="669" t="n"/>
      <c r="W496" s="669" t="n"/>
      <c r="X496" s="669" t="n"/>
      <c r="Y496" s="669" t="n"/>
      <c r="Z496" s="669" t="n"/>
    </row>
    <row r="497">
      <c r="A497" s="669" t="n"/>
      <c r="B497" s="669" t="n"/>
      <c r="C497" s="669" t="n"/>
      <c r="D497" s="669" t="n"/>
      <c r="E497" s="669" t="n"/>
      <c r="F497" s="669" t="n"/>
      <c r="G497" s="669" t="n"/>
      <c r="H497" s="669" t="n"/>
      <c r="I497" s="669" t="n"/>
      <c r="J497" s="669" t="n"/>
      <c r="K497" s="669" t="n"/>
      <c r="L497" s="669" t="n"/>
      <c r="M497" s="669" t="n"/>
      <c r="N497" s="669" t="n"/>
      <c r="O497" s="669" t="n"/>
      <c r="P497" s="669" t="n"/>
      <c r="Q497" s="669" t="n"/>
      <c r="R497" s="669" t="n"/>
      <c r="S497" s="669" t="n"/>
      <c r="T497" s="669" t="n"/>
      <c r="U497" s="669" t="n"/>
      <c r="V497" s="669" t="n"/>
      <c r="W497" s="669" t="n"/>
      <c r="X497" s="669" t="n"/>
      <c r="Y497" s="669" t="n"/>
      <c r="Z497" s="669" t="n"/>
    </row>
    <row r="498">
      <c r="A498" s="669" t="n"/>
      <c r="B498" s="669" t="n"/>
      <c r="C498" s="669" t="n"/>
      <c r="D498" s="669" t="n"/>
      <c r="E498" s="669" t="n"/>
      <c r="F498" s="669" t="n"/>
      <c r="G498" s="669" t="n"/>
      <c r="H498" s="669" t="n"/>
      <c r="I498" s="669" t="n"/>
      <c r="J498" s="669" t="n"/>
      <c r="K498" s="669" t="n"/>
      <c r="L498" s="669" t="n"/>
      <c r="M498" s="669" t="n"/>
      <c r="N498" s="669" t="n"/>
      <c r="O498" s="669" t="n"/>
      <c r="P498" s="669" t="n"/>
      <c r="Q498" s="669" t="n"/>
      <c r="R498" s="669" t="n"/>
      <c r="S498" s="669" t="n"/>
      <c r="T498" s="669" t="n"/>
      <c r="U498" s="669" t="n"/>
      <c r="V498" s="669" t="n"/>
      <c r="W498" s="669" t="n"/>
      <c r="X498" s="669" t="n"/>
      <c r="Y498" s="669" t="n"/>
      <c r="Z498" s="669" t="n"/>
    </row>
    <row r="499">
      <c r="A499" s="669" t="n"/>
      <c r="B499" s="669" t="n"/>
      <c r="C499" s="669" t="n"/>
      <c r="D499" s="669" t="n"/>
      <c r="E499" s="669" t="n"/>
      <c r="F499" s="669" t="n"/>
      <c r="G499" s="669" t="n"/>
      <c r="H499" s="669" t="n"/>
      <c r="I499" s="669" t="n"/>
      <c r="J499" s="669" t="n"/>
      <c r="K499" s="669" t="n"/>
      <c r="L499" s="669" t="n"/>
      <c r="M499" s="669" t="n"/>
      <c r="N499" s="669" t="n"/>
      <c r="O499" s="669" t="n"/>
      <c r="P499" s="669" t="n"/>
      <c r="Q499" s="669" t="n"/>
      <c r="R499" s="669" t="n"/>
      <c r="S499" s="669" t="n"/>
      <c r="T499" s="669" t="n"/>
      <c r="U499" s="669" t="n"/>
      <c r="V499" s="669" t="n"/>
      <c r="W499" s="669" t="n"/>
      <c r="X499" s="669" t="n"/>
      <c r="Y499" s="669" t="n"/>
      <c r="Z499" s="669" t="n"/>
    </row>
    <row r="500">
      <c r="A500" s="669" t="n"/>
      <c r="B500" s="669" t="n"/>
      <c r="C500" s="669" t="n"/>
      <c r="D500" s="669" t="n"/>
      <c r="E500" s="669" t="n"/>
      <c r="F500" s="669" t="n"/>
      <c r="G500" s="669" t="n"/>
      <c r="H500" s="669" t="n"/>
      <c r="I500" s="669" t="n"/>
      <c r="J500" s="669" t="n"/>
      <c r="K500" s="669" t="n"/>
      <c r="L500" s="669" t="n"/>
      <c r="M500" s="669" t="n"/>
      <c r="N500" s="669" t="n"/>
      <c r="O500" s="669" t="n"/>
      <c r="P500" s="669" t="n"/>
      <c r="Q500" s="669" t="n"/>
      <c r="R500" s="669" t="n"/>
      <c r="S500" s="669" t="n"/>
      <c r="T500" s="669" t="n"/>
      <c r="U500" s="669" t="n"/>
      <c r="V500" s="669" t="n"/>
      <c r="W500" s="669" t="n"/>
      <c r="X500" s="669" t="n"/>
      <c r="Y500" s="669" t="n"/>
      <c r="Z500" s="669" t="n"/>
    </row>
    <row r="501">
      <c r="A501" s="669" t="n"/>
      <c r="B501" s="669" t="n"/>
      <c r="C501" s="669" t="n"/>
      <c r="D501" s="669" t="n"/>
      <c r="E501" s="669" t="n"/>
      <c r="F501" s="669" t="n"/>
      <c r="G501" s="669" t="n"/>
      <c r="H501" s="669" t="n"/>
      <c r="I501" s="669" t="n"/>
      <c r="J501" s="669" t="n"/>
      <c r="K501" s="669" t="n"/>
      <c r="L501" s="669" t="n"/>
      <c r="M501" s="669" t="n"/>
      <c r="N501" s="669" t="n"/>
      <c r="O501" s="669" t="n"/>
      <c r="P501" s="669" t="n"/>
      <c r="Q501" s="669" t="n"/>
      <c r="R501" s="669" t="n"/>
      <c r="S501" s="669" t="n"/>
      <c r="T501" s="669" t="n"/>
      <c r="U501" s="669" t="n"/>
      <c r="V501" s="669" t="n"/>
      <c r="W501" s="669" t="n"/>
      <c r="X501" s="669" t="n"/>
      <c r="Y501" s="669" t="n"/>
      <c r="Z501" s="669" t="n"/>
    </row>
    <row r="502">
      <c r="A502" s="669" t="n"/>
      <c r="B502" s="669" t="n"/>
      <c r="C502" s="669" t="n"/>
      <c r="D502" s="669" t="n"/>
      <c r="E502" s="669" t="n"/>
      <c r="F502" s="669" t="n"/>
      <c r="G502" s="669" t="n"/>
      <c r="H502" s="669" t="n"/>
      <c r="I502" s="669" t="n"/>
      <c r="J502" s="669" t="n"/>
      <c r="K502" s="669" t="n"/>
      <c r="L502" s="669" t="n"/>
      <c r="M502" s="669" t="n"/>
      <c r="N502" s="669" t="n"/>
      <c r="O502" s="669" t="n"/>
      <c r="P502" s="669" t="n"/>
      <c r="Q502" s="669" t="n"/>
      <c r="R502" s="669" t="n"/>
      <c r="S502" s="669" t="n"/>
      <c r="T502" s="669" t="n"/>
      <c r="U502" s="669" t="n"/>
      <c r="V502" s="669" t="n"/>
      <c r="W502" s="669" t="n"/>
      <c r="X502" s="669" t="n"/>
      <c r="Y502" s="669" t="n"/>
      <c r="Z502" s="669" t="n"/>
    </row>
    <row r="503">
      <c r="A503" s="669" t="n"/>
      <c r="B503" s="669" t="n"/>
      <c r="C503" s="669" t="n"/>
      <c r="D503" s="669" t="n"/>
      <c r="E503" s="669" t="n"/>
      <c r="F503" s="669" t="n"/>
      <c r="G503" s="669" t="n"/>
      <c r="H503" s="669" t="n"/>
      <c r="I503" s="669" t="n"/>
      <c r="J503" s="669" t="n"/>
      <c r="K503" s="669" t="n"/>
      <c r="L503" s="669" t="n"/>
      <c r="M503" s="669" t="n"/>
      <c r="N503" s="669" t="n"/>
      <c r="O503" s="669" t="n"/>
      <c r="P503" s="669" t="n"/>
      <c r="Q503" s="669" t="n"/>
      <c r="R503" s="669" t="n"/>
      <c r="S503" s="669" t="n"/>
      <c r="T503" s="669" t="n"/>
      <c r="U503" s="669" t="n"/>
      <c r="V503" s="669" t="n"/>
      <c r="W503" s="669" t="n"/>
      <c r="X503" s="669" t="n"/>
      <c r="Y503" s="669" t="n"/>
      <c r="Z503" s="669" t="n"/>
    </row>
    <row r="504">
      <c r="A504" s="669" t="n"/>
      <c r="B504" s="669" t="n"/>
      <c r="C504" s="669" t="n"/>
      <c r="D504" s="669" t="n"/>
      <c r="E504" s="669" t="n"/>
      <c r="F504" s="669" t="n"/>
      <c r="G504" s="669" t="n"/>
      <c r="H504" s="669" t="n"/>
      <c r="I504" s="669" t="n"/>
      <c r="J504" s="669" t="n"/>
      <c r="K504" s="669" t="n"/>
      <c r="L504" s="669" t="n"/>
      <c r="M504" s="669" t="n"/>
      <c r="N504" s="669" t="n"/>
      <c r="O504" s="669" t="n"/>
      <c r="P504" s="669" t="n"/>
      <c r="Q504" s="669" t="n"/>
      <c r="R504" s="669" t="n"/>
      <c r="S504" s="669" t="n"/>
      <c r="T504" s="669" t="n"/>
      <c r="U504" s="669" t="n"/>
      <c r="V504" s="669" t="n"/>
      <c r="W504" s="669" t="n"/>
      <c r="X504" s="669" t="n"/>
      <c r="Y504" s="669" t="n"/>
      <c r="Z504" s="669" t="n"/>
    </row>
    <row r="505">
      <c r="A505" s="669" t="n"/>
      <c r="B505" s="669" t="n"/>
      <c r="C505" s="669" t="n"/>
      <c r="D505" s="669" t="n"/>
      <c r="E505" s="669" t="n"/>
      <c r="F505" s="669" t="n"/>
      <c r="G505" s="669" t="n"/>
      <c r="H505" s="669" t="n"/>
      <c r="I505" s="669" t="n"/>
      <c r="J505" s="669" t="n"/>
      <c r="K505" s="669" t="n"/>
      <c r="L505" s="669" t="n"/>
      <c r="M505" s="669" t="n"/>
      <c r="N505" s="669" t="n"/>
      <c r="O505" s="669" t="n"/>
      <c r="P505" s="669" t="n"/>
      <c r="Q505" s="669" t="n"/>
      <c r="R505" s="669" t="n"/>
      <c r="S505" s="669" t="n"/>
      <c r="T505" s="669" t="n"/>
      <c r="U505" s="669" t="n"/>
      <c r="V505" s="669" t="n"/>
      <c r="W505" s="669" t="n"/>
      <c r="X505" s="669" t="n"/>
      <c r="Y505" s="669" t="n"/>
      <c r="Z505" s="669" t="n"/>
    </row>
    <row r="506">
      <c r="A506" s="669" t="n"/>
      <c r="B506" s="669" t="n"/>
      <c r="C506" s="669" t="n"/>
      <c r="D506" s="669" t="n"/>
      <c r="E506" s="669" t="n"/>
      <c r="F506" s="669" t="n"/>
      <c r="G506" s="669" t="n"/>
      <c r="H506" s="669" t="n"/>
      <c r="I506" s="669" t="n"/>
      <c r="J506" s="669" t="n"/>
      <c r="K506" s="669" t="n"/>
      <c r="L506" s="669" t="n"/>
      <c r="M506" s="669" t="n"/>
      <c r="N506" s="669" t="n"/>
      <c r="O506" s="669" t="n"/>
      <c r="P506" s="669" t="n"/>
      <c r="Q506" s="669" t="n"/>
      <c r="R506" s="669" t="n"/>
      <c r="S506" s="669" t="n"/>
      <c r="T506" s="669" t="n"/>
      <c r="U506" s="669" t="n"/>
      <c r="V506" s="669" t="n"/>
      <c r="W506" s="669" t="n"/>
      <c r="X506" s="669" t="n"/>
      <c r="Y506" s="669" t="n"/>
      <c r="Z506" s="669" t="n"/>
    </row>
    <row r="507">
      <c r="A507" s="669" t="n"/>
      <c r="B507" s="669" t="n"/>
      <c r="C507" s="669" t="n"/>
      <c r="D507" s="669" t="n"/>
      <c r="E507" s="669" t="n"/>
      <c r="F507" s="669" t="n"/>
      <c r="G507" s="669" t="n"/>
      <c r="H507" s="669" t="n"/>
      <c r="I507" s="669" t="n"/>
      <c r="J507" s="669" t="n"/>
      <c r="K507" s="669" t="n"/>
      <c r="L507" s="669" t="n"/>
      <c r="M507" s="669" t="n"/>
      <c r="N507" s="669" t="n"/>
      <c r="O507" s="669" t="n"/>
      <c r="P507" s="669" t="n"/>
      <c r="Q507" s="669" t="n"/>
      <c r="R507" s="669" t="n"/>
      <c r="S507" s="669" t="n"/>
      <c r="T507" s="669" t="n"/>
      <c r="U507" s="669" t="n"/>
      <c r="V507" s="669" t="n"/>
      <c r="W507" s="669" t="n"/>
      <c r="X507" s="669" t="n"/>
      <c r="Y507" s="669" t="n"/>
      <c r="Z507" s="669" t="n"/>
    </row>
    <row r="508">
      <c r="A508" s="669" t="n"/>
      <c r="B508" s="669" t="n"/>
      <c r="C508" s="669" t="n"/>
      <c r="D508" s="669" t="n"/>
      <c r="E508" s="669" t="n"/>
      <c r="F508" s="669" t="n"/>
      <c r="G508" s="669" t="n"/>
      <c r="H508" s="669" t="n"/>
      <c r="I508" s="669" t="n"/>
      <c r="J508" s="669" t="n"/>
      <c r="K508" s="669" t="n"/>
      <c r="L508" s="669" t="n"/>
      <c r="M508" s="669" t="n"/>
      <c r="N508" s="669" t="n"/>
      <c r="O508" s="669" t="n"/>
      <c r="P508" s="669" t="n"/>
      <c r="Q508" s="669" t="n"/>
      <c r="R508" s="669" t="n"/>
      <c r="S508" s="669" t="n"/>
      <c r="T508" s="669" t="n"/>
      <c r="U508" s="669" t="n"/>
      <c r="V508" s="669" t="n"/>
      <c r="W508" s="669" t="n"/>
      <c r="X508" s="669" t="n"/>
      <c r="Y508" s="669" t="n"/>
      <c r="Z508" s="669" t="n"/>
    </row>
    <row r="509">
      <c r="A509" s="669" t="n"/>
      <c r="B509" s="669" t="n"/>
      <c r="C509" s="669" t="n"/>
      <c r="D509" s="669" t="n"/>
      <c r="E509" s="669" t="n"/>
      <c r="F509" s="669" t="n"/>
      <c r="G509" s="669" t="n"/>
      <c r="H509" s="669" t="n"/>
      <c r="I509" s="669" t="n"/>
      <c r="J509" s="669" t="n"/>
      <c r="K509" s="669" t="n"/>
      <c r="L509" s="669" t="n"/>
      <c r="M509" s="669" t="n"/>
      <c r="N509" s="669" t="n"/>
      <c r="O509" s="669" t="n"/>
      <c r="P509" s="669" t="n"/>
      <c r="Q509" s="669" t="n"/>
      <c r="R509" s="669" t="n"/>
      <c r="S509" s="669" t="n"/>
      <c r="T509" s="669" t="n"/>
      <c r="U509" s="669" t="n"/>
      <c r="V509" s="669" t="n"/>
      <c r="W509" s="669" t="n"/>
      <c r="X509" s="669" t="n"/>
      <c r="Y509" s="669" t="n"/>
      <c r="Z509" s="669" t="n"/>
    </row>
    <row r="510">
      <c r="A510" s="669" t="n"/>
      <c r="B510" s="669" t="n"/>
      <c r="C510" s="669" t="n"/>
      <c r="D510" s="669" t="n"/>
      <c r="E510" s="669" t="n"/>
      <c r="F510" s="669" t="n"/>
      <c r="G510" s="669" t="n"/>
      <c r="H510" s="669" t="n"/>
      <c r="I510" s="669" t="n"/>
      <c r="J510" s="669" t="n"/>
      <c r="K510" s="669" t="n"/>
      <c r="L510" s="669" t="n"/>
      <c r="M510" s="669" t="n"/>
      <c r="N510" s="669" t="n"/>
      <c r="O510" s="669" t="n"/>
      <c r="P510" s="669" t="n"/>
      <c r="Q510" s="669" t="n"/>
      <c r="R510" s="669" t="n"/>
      <c r="S510" s="669" t="n"/>
      <c r="T510" s="669" t="n"/>
      <c r="U510" s="669" t="n"/>
      <c r="V510" s="669" t="n"/>
      <c r="W510" s="669" t="n"/>
      <c r="X510" s="669" t="n"/>
      <c r="Y510" s="669" t="n"/>
      <c r="Z510" s="669" t="n"/>
    </row>
    <row r="511">
      <c r="A511" s="669" t="n"/>
      <c r="B511" s="669" t="n"/>
      <c r="C511" s="669" t="n"/>
      <c r="D511" s="669" t="n"/>
      <c r="E511" s="669" t="n"/>
      <c r="F511" s="669" t="n"/>
      <c r="G511" s="669" t="n"/>
      <c r="H511" s="669" t="n"/>
      <c r="I511" s="669" t="n"/>
      <c r="J511" s="669" t="n"/>
      <c r="K511" s="669" t="n"/>
      <c r="L511" s="669" t="n"/>
      <c r="M511" s="669" t="n"/>
      <c r="N511" s="669" t="n"/>
      <c r="O511" s="669" t="n"/>
      <c r="P511" s="669" t="n"/>
      <c r="Q511" s="669" t="n"/>
      <c r="R511" s="669" t="n"/>
      <c r="S511" s="669" t="n"/>
      <c r="T511" s="669" t="n"/>
      <c r="U511" s="669" t="n"/>
      <c r="V511" s="669" t="n"/>
      <c r="W511" s="669" t="n"/>
      <c r="X511" s="669" t="n"/>
      <c r="Y511" s="669" t="n"/>
      <c r="Z511" s="669" t="n"/>
    </row>
    <row r="512">
      <c r="A512" s="669" t="n"/>
      <c r="B512" s="669" t="n"/>
      <c r="C512" s="669" t="n"/>
      <c r="D512" s="669" t="n"/>
      <c r="E512" s="669" t="n"/>
      <c r="F512" s="669" t="n"/>
      <c r="G512" s="669" t="n"/>
      <c r="H512" s="669" t="n"/>
      <c r="I512" s="669" t="n"/>
      <c r="J512" s="669" t="n"/>
      <c r="K512" s="669" t="n"/>
      <c r="L512" s="669" t="n"/>
      <c r="M512" s="669" t="n"/>
      <c r="N512" s="669" t="n"/>
      <c r="O512" s="669" t="n"/>
      <c r="P512" s="669" t="n"/>
      <c r="Q512" s="669" t="n"/>
      <c r="R512" s="669" t="n"/>
      <c r="S512" s="669" t="n"/>
      <c r="T512" s="669" t="n"/>
      <c r="U512" s="669" t="n"/>
      <c r="V512" s="669" t="n"/>
      <c r="W512" s="669" t="n"/>
      <c r="X512" s="669" t="n"/>
      <c r="Y512" s="669" t="n"/>
      <c r="Z512" s="669" t="n"/>
    </row>
    <row r="513">
      <c r="A513" s="669" t="n"/>
      <c r="B513" s="669" t="n"/>
      <c r="C513" s="669" t="n"/>
      <c r="D513" s="669" t="n"/>
      <c r="E513" s="669" t="n"/>
      <c r="F513" s="669" t="n"/>
      <c r="G513" s="669" t="n"/>
      <c r="H513" s="669" t="n"/>
      <c r="I513" s="669" t="n"/>
      <c r="J513" s="669" t="n"/>
      <c r="K513" s="669" t="n"/>
      <c r="L513" s="669" t="n"/>
      <c r="M513" s="669" t="n"/>
      <c r="N513" s="669" t="n"/>
      <c r="O513" s="669" t="n"/>
      <c r="P513" s="669" t="n"/>
      <c r="Q513" s="669" t="n"/>
      <c r="R513" s="669" t="n"/>
      <c r="S513" s="669" t="n"/>
      <c r="T513" s="669" t="n"/>
      <c r="U513" s="669" t="n"/>
      <c r="V513" s="669" t="n"/>
      <c r="W513" s="669" t="n"/>
      <c r="X513" s="669" t="n"/>
      <c r="Y513" s="669" t="n"/>
      <c r="Z513" s="669" t="n"/>
    </row>
    <row r="514">
      <c r="A514" s="669" t="n"/>
      <c r="B514" s="669" t="n"/>
      <c r="C514" s="669" t="n"/>
      <c r="D514" s="669" t="n"/>
      <c r="E514" s="669" t="n"/>
      <c r="F514" s="669" t="n"/>
      <c r="G514" s="669" t="n"/>
      <c r="H514" s="669" t="n"/>
      <c r="I514" s="669" t="n"/>
      <c r="J514" s="669" t="n"/>
      <c r="K514" s="669" t="n"/>
      <c r="L514" s="669" t="n"/>
      <c r="M514" s="669" t="n"/>
      <c r="N514" s="669" t="n"/>
      <c r="O514" s="669" t="n"/>
      <c r="P514" s="669" t="n"/>
      <c r="Q514" s="669" t="n"/>
      <c r="R514" s="669" t="n"/>
      <c r="S514" s="669" t="n"/>
      <c r="T514" s="669" t="n"/>
      <c r="U514" s="669" t="n"/>
      <c r="V514" s="669" t="n"/>
      <c r="W514" s="669" t="n"/>
      <c r="X514" s="669" t="n"/>
      <c r="Y514" s="669" t="n"/>
      <c r="Z514" s="669" t="n"/>
    </row>
    <row r="515">
      <c r="A515" s="669" t="n"/>
      <c r="B515" s="669" t="n"/>
      <c r="C515" s="669" t="n"/>
      <c r="D515" s="669" t="n"/>
      <c r="E515" s="669" t="n"/>
      <c r="F515" s="669" t="n"/>
      <c r="G515" s="669" t="n"/>
      <c r="H515" s="669" t="n"/>
      <c r="I515" s="669" t="n"/>
      <c r="J515" s="669" t="n"/>
      <c r="K515" s="669" t="n"/>
      <c r="L515" s="669" t="n"/>
      <c r="M515" s="669" t="n"/>
      <c r="N515" s="669" t="n"/>
      <c r="O515" s="669" t="n"/>
      <c r="P515" s="669" t="n"/>
      <c r="Q515" s="669" t="n"/>
      <c r="R515" s="669" t="n"/>
      <c r="S515" s="669" t="n"/>
      <c r="T515" s="669" t="n"/>
      <c r="U515" s="669" t="n"/>
      <c r="V515" s="669" t="n"/>
      <c r="W515" s="669" t="n"/>
      <c r="X515" s="669" t="n"/>
      <c r="Y515" s="669" t="n"/>
      <c r="Z515" s="669" t="n"/>
    </row>
    <row r="516">
      <c r="A516" s="669" t="n"/>
      <c r="B516" s="669" t="n"/>
      <c r="C516" s="669" t="n"/>
      <c r="D516" s="669" t="n"/>
      <c r="E516" s="669" t="n"/>
      <c r="F516" s="669" t="n"/>
      <c r="G516" s="669" t="n"/>
      <c r="H516" s="669" t="n"/>
      <c r="I516" s="669" t="n"/>
      <c r="J516" s="669" t="n"/>
      <c r="K516" s="669" t="n"/>
      <c r="L516" s="669" t="n"/>
      <c r="M516" s="669" t="n"/>
      <c r="N516" s="669" t="n"/>
      <c r="O516" s="669" t="n"/>
      <c r="P516" s="669" t="n"/>
      <c r="Q516" s="669" t="n"/>
      <c r="R516" s="669" t="n"/>
      <c r="S516" s="669" t="n"/>
      <c r="T516" s="669" t="n"/>
      <c r="U516" s="669" t="n"/>
      <c r="V516" s="669" t="n"/>
      <c r="W516" s="669" t="n"/>
      <c r="X516" s="669" t="n"/>
      <c r="Y516" s="669" t="n"/>
      <c r="Z516" s="669" t="n"/>
    </row>
    <row r="517">
      <c r="A517" s="669" t="n"/>
      <c r="B517" s="669" t="n"/>
      <c r="C517" s="669" t="n"/>
      <c r="D517" s="669" t="n"/>
      <c r="E517" s="669" t="n"/>
      <c r="F517" s="669" t="n"/>
      <c r="G517" s="669" t="n"/>
      <c r="H517" s="669" t="n"/>
      <c r="I517" s="669" t="n"/>
      <c r="J517" s="669" t="n"/>
      <c r="K517" s="669" t="n"/>
      <c r="L517" s="669" t="n"/>
      <c r="M517" s="669" t="n"/>
      <c r="N517" s="669" t="n"/>
      <c r="O517" s="669" t="n"/>
      <c r="P517" s="669" t="n"/>
      <c r="Q517" s="669" t="n"/>
      <c r="R517" s="669" t="n"/>
      <c r="S517" s="669" t="n"/>
      <c r="T517" s="669" t="n"/>
      <c r="U517" s="669" t="n"/>
      <c r="V517" s="669" t="n"/>
      <c r="W517" s="669" t="n"/>
      <c r="X517" s="669" t="n"/>
      <c r="Y517" s="669" t="n"/>
      <c r="Z517" s="669" t="n"/>
    </row>
    <row r="518">
      <c r="A518" s="669" t="n"/>
      <c r="B518" s="669" t="n"/>
      <c r="C518" s="669" t="n"/>
      <c r="D518" s="669" t="n"/>
      <c r="E518" s="669" t="n"/>
      <c r="F518" s="669" t="n"/>
      <c r="G518" s="669" t="n"/>
      <c r="H518" s="669" t="n"/>
      <c r="I518" s="669" t="n"/>
      <c r="J518" s="669" t="n"/>
      <c r="K518" s="669" t="n"/>
      <c r="L518" s="669" t="n"/>
      <c r="M518" s="669" t="n"/>
      <c r="N518" s="669" t="n"/>
      <c r="O518" s="669" t="n"/>
      <c r="P518" s="669" t="n"/>
      <c r="Q518" s="669" t="n"/>
      <c r="R518" s="669" t="n"/>
      <c r="S518" s="669" t="n"/>
      <c r="T518" s="669" t="n"/>
      <c r="U518" s="669" t="n"/>
      <c r="V518" s="669" t="n"/>
      <c r="W518" s="669" t="n"/>
      <c r="X518" s="669" t="n"/>
      <c r="Y518" s="669" t="n"/>
      <c r="Z518" s="669" t="n"/>
    </row>
    <row r="519">
      <c r="A519" s="669" t="n"/>
      <c r="B519" s="669" t="n"/>
      <c r="C519" s="669" t="n"/>
      <c r="D519" s="669" t="n"/>
      <c r="E519" s="669" t="n"/>
      <c r="F519" s="669" t="n"/>
      <c r="G519" s="669" t="n"/>
      <c r="H519" s="669" t="n"/>
      <c r="I519" s="669" t="n"/>
      <c r="J519" s="669" t="n"/>
      <c r="K519" s="669" t="n"/>
      <c r="L519" s="669" t="n"/>
      <c r="M519" s="669" t="n"/>
      <c r="N519" s="669" t="n"/>
      <c r="O519" s="669" t="n"/>
      <c r="P519" s="669" t="n"/>
      <c r="Q519" s="669" t="n"/>
      <c r="R519" s="669" t="n"/>
      <c r="S519" s="669" t="n"/>
      <c r="T519" s="669" t="n"/>
      <c r="U519" s="669" t="n"/>
      <c r="V519" s="669" t="n"/>
      <c r="W519" s="669" t="n"/>
      <c r="X519" s="669" t="n"/>
      <c r="Y519" s="669" t="n"/>
      <c r="Z519" s="669" t="n"/>
    </row>
    <row r="520">
      <c r="A520" s="669" t="n"/>
      <c r="B520" s="669" t="n"/>
      <c r="C520" s="669" t="n"/>
      <c r="D520" s="669" t="n"/>
      <c r="E520" s="669" t="n"/>
      <c r="F520" s="669" t="n"/>
      <c r="G520" s="669" t="n"/>
      <c r="H520" s="669" t="n"/>
      <c r="I520" s="669" t="n"/>
      <c r="J520" s="669" t="n"/>
      <c r="K520" s="669" t="n"/>
      <c r="L520" s="669" t="n"/>
      <c r="M520" s="669" t="n"/>
      <c r="N520" s="669" t="n"/>
      <c r="O520" s="669" t="n"/>
      <c r="P520" s="669" t="n"/>
      <c r="Q520" s="669" t="n"/>
      <c r="R520" s="669" t="n"/>
      <c r="S520" s="669" t="n"/>
      <c r="T520" s="669" t="n"/>
      <c r="U520" s="669" t="n"/>
      <c r="V520" s="669" t="n"/>
      <c r="W520" s="669" t="n"/>
      <c r="X520" s="669" t="n"/>
      <c r="Y520" s="669" t="n"/>
      <c r="Z520" s="669" t="n"/>
    </row>
    <row r="521">
      <c r="A521" s="669" t="n"/>
      <c r="B521" s="669" t="n"/>
      <c r="C521" s="669" t="n"/>
      <c r="D521" s="669" t="n"/>
      <c r="E521" s="669" t="n"/>
      <c r="F521" s="669" t="n"/>
      <c r="G521" s="669" t="n"/>
      <c r="H521" s="669" t="n"/>
      <c r="I521" s="669" t="n"/>
      <c r="J521" s="669" t="n"/>
      <c r="K521" s="669" t="n"/>
      <c r="L521" s="669" t="n"/>
      <c r="M521" s="669" t="n"/>
      <c r="N521" s="669" t="n"/>
      <c r="O521" s="669" t="n"/>
      <c r="P521" s="669" t="n"/>
      <c r="Q521" s="669" t="n"/>
      <c r="R521" s="669" t="n"/>
      <c r="S521" s="669" t="n"/>
      <c r="T521" s="669" t="n"/>
      <c r="U521" s="669" t="n"/>
      <c r="V521" s="669" t="n"/>
      <c r="W521" s="669" t="n"/>
      <c r="X521" s="669" t="n"/>
      <c r="Y521" s="669" t="n"/>
      <c r="Z521" s="669" t="n"/>
    </row>
    <row r="522">
      <c r="A522" s="669" t="n"/>
      <c r="B522" s="669" t="n"/>
      <c r="C522" s="669" t="n"/>
      <c r="D522" s="669" t="n"/>
      <c r="E522" s="669" t="n"/>
      <c r="F522" s="669" t="n"/>
      <c r="G522" s="669" t="n"/>
      <c r="H522" s="669" t="n"/>
      <c r="I522" s="669" t="n"/>
      <c r="J522" s="669" t="n"/>
      <c r="K522" s="669" t="n"/>
      <c r="L522" s="669" t="n"/>
      <c r="M522" s="669" t="n"/>
      <c r="N522" s="669" t="n"/>
      <c r="O522" s="669" t="n"/>
      <c r="P522" s="669" t="n"/>
      <c r="Q522" s="669" t="n"/>
      <c r="R522" s="669" t="n"/>
      <c r="S522" s="669" t="n"/>
      <c r="T522" s="669" t="n"/>
      <c r="U522" s="669" t="n"/>
      <c r="V522" s="669" t="n"/>
      <c r="W522" s="669" t="n"/>
      <c r="X522" s="669" t="n"/>
      <c r="Y522" s="669" t="n"/>
      <c r="Z522" s="669" t="n"/>
    </row>
    <row r="523">
      <c r="A523" s="669" t="n"/>
      <c r="B523" s="669" t="n"/>
      <c r="C523" s="669" t="n"/>
      <c r="D523" s="669" t="n"/>
      <c r="E523" s="669" t="n"/>
      <c r="F523" s="669" t="n"/>
      <c r="G523" s="669" t="n"/>
      <c r="H523" s="669" t="n"/>
      <c r="I523" s="669" t="n"/>
      <c r="J523" s="669" t="n"/>
      <c r="K523" s="669" t="n"/>
      <c r="L523" s="669" t="n"/>
      <c r="M523" s="669" t="n"/>
      <c r="N523" s="669" t="n"/>
      <c r="O523" s="669" t="n"/>
      <c r="P523" s="669" t="n"/>
      <c r="Q523" s="669" t="n"/>
      <c r="R523" s="669" t="n"/>
      <c r="S523" s="669" t="n"/>
      <c r="T523" s="669" t="n"/>
      <c r="U523" s="669" t="n"/>
      <c r="V523" s="669" t="n"/>
      <c r="W523" s="669" t="n"/>
      <c r="X523" s="669" t="n"/>
      <c r="Y523" s="669" t="n"/>
      <c r="Z523" s="669" t="n"/>
    </row>
    <row r="524">
      <c r="A524" s="669" t="n"/>
      <c r="B524" s="669" t="n"/>
      <c r="C524" s="669" t="n"/>
      <c r="D524" s="669" t="n"/>
      <c r="E524" s="669" t="n"/>
      <c r="F524" s="669" t="n"/>
      <c r="G524" s="669" t="n"/>
      <c r="H524" s="669" t="n"/>
      <c r="I524" s="669" t="n"/>
      <c r="J524" s="669" t="n"/>
      <c r="K524" s="669" t="n"/>
      <c r="L524" s="669" t="n"/>
      <c r="M524" s="669" t="n"/>
      <c r="N524" s="669" t="n"/>
      <c r="O524" s="669" t="n"/>
      <c r="P524" s="669" t="n"/>
      <c r="Q524" s="669" t="n"/>
      <c r="R524" s="669" t="n"/>
      <c r="S524" s="669" t="n"/>
      <c r="T524" s="669" t="n"/>
      <c r="U524" s="669" t="n"/>
      <c r="V524" s="669" t="n"/>
      <c r="W524" s="669" t="n"/>
      <c r="X524" s="669" t="n"/>
      <c r="Y524" s="669" t="n"/>
      <c r="Z524" s="669" t="n"/>
    </row>
    <row r="525">
      <c r="A525" s="669" t="n"/>
      <c r="B525" s="669" t="n"/>
      <c r="C525" s="669" t="n"/>
      <c r="D525" s="669" t="n"/>
      <c r="E525" s="669" t="n"/>
      <c r="F525" s="669" t="n"/>
      <c r="G525" s="669" t="n"/>
      <c r="H525" s="669" t="n"/>
      <c r="I525" s="669" t="n"/>
      <c r="J525" s="669" t="n"/>
      <c r="K525" s="669" t="n"/>
      <c r="L525" s="669" t="n"/>
      <c r="M525" s="669" t="n"/>
      <c r="N525" s="669" t="n"/>
      <c r="O525" s="669" t="n"/>
      <c r="P525" s="669" t="n"/>
      <c r="Q525" s="669" t="n"/>
      <c r="R525" s="669" t="n"/>
      <c r="S525" s="669" t="n"/>
      <c r="T525" s="669" t="n"/>
      <c r="U525" s="669" t="n"/>
      <c r="V525" s="669" t="n"/>
      <c r="W525" s="669" t="n"/>
      <c r="X525" s="669" t="n"/>
      <c r="Y525" s="669" t="n"/>
      <c r="Z525" s="669" t="n"/>
    </row>
    <row r="526">
      <c r="A526" s="669" t="n"/>
      <c r="B526" s="669" t="n"/>
      <c r="C526" s="669" t="n"/>
      <c r="D526" s="669" t="n"/>
      <c r="E526" s="669" t="n"/>
      <c r="F526" s="669" t="n"/>
      <c r="G526" s="669" t="n"/>
      <c r="H526" s="669" t="n"/>
      <c r="I526" s="669" t="n"/>
      <c r="J526" s="669" t="n"/>
      <c r="K526" s="669" t="n"/>
      <c r="L526" s="669" t="n"/>
      <c r="M526" s="669" t="n"/>
      <c r="N526" s="669" t="n"/>
      <c r="O526" s="669" t="n"/>
      <c r="P526" s="669" t="n"/>
      <c r="Q526" s="669" t="n"/>
      <c r="R526" s="669" t="n"/>
      <c r="S526" s="669" t="n"/>
      <c r="T526" s="669" t="n"/>
      <c r="U526" s="669" t="n"/>
      <c r="V526" s="669" t="n"/>
      <c r="W526" s="669" t="n"/>
      <c r="X526" s="669" t="n"/>
      <c r="Y526" s="669" t="n"/>
      <c r="Z526" s="669" t="n"/>
    </row>
    <row r="527">
      <c r="A527" s="669" t="n"/>
      <c r="B527" s="669" t="n"/>
      <c r="C527" s="669" t="n"/>
      <c r="D527" s="669" t="n"/>
      <c r="E527" s="669" t="n"/>
      <c r="F527" s="669" t="n"/>
      <c r="G527" s="669" t="n"/>
      <c r="H527" s="669" t="n"/>
      <c r="I527" s="669" t="n"/>
      <c r="J527" s="669" t="n"/>
      <c r="K527" s="669" t="n"/>
      <c r="L527" s="669" t="n"/>
      <c r="M527" s="669" t="n"/>
      <c r="N527" s="669" t="n"/>
      <c r="O527" s="669" t="n"/>
      <c r="P527" s="669" t="n"/>
      <c r="Q527" s="669" t="n"/>
      <c r="R527" s="669" t="n"/>
      <c r="S527" s="669" t="n"/>
      <c r="T527" s="669" t="n"/>
      <c r="U527" s="669" t="n"/>
      <c r="V527" s="669" t="n"/>
      <c r="W527" s="669" t="n"/>
      <c r="X527" s="669" t="n"/>
      <c r="Y527" s="669" t="n"/>
      <c r="Z527" s="669" t="n"/>
    </row>
    <row r="528">
      <c r="A528" s="669" t="n"/>
      <c r="B528" s="669" t="n"/>
      <c r="C528" s="669" t="n"/>
      <c r="D528" s="669" t="n"/>
      <c r="E528" s="669" t="n"/>
      <c r="F528" s="669" t="n"/>
      <c r="G528" s="669" t="n"/>
      <c r="H528" s="669" t="n"/>
      <c r="I528" s="669" t="n"/>
      <c r="J528" s="669" t="n"/>
      <c r="K528" s="669" t="n"/>
      <c r="L528" s="669" t="n"/>
      <c r="M528" s="669" t="n"/>
      <c r="N528" s="669" t="n"/>
      <c r="O528" s="669" t="n"/>
      <c r="P528" s="669" t="n"/>
      <c r="Q528" s="669" t="n"/>
      <c r="R528" s="669" t="n"/>
      <c r="S528" s="669" t="n"/>
      <c r="T528" s="669" t="n"/>
      <c r="U528" s="669" t="n"/>
      <c r="V528" s="669" t="n"/>
      <c r="W528" s="669" t="n"/>
      <c r="X528" s="669" t="n"/>
      <c r="Y528" s="669" t="n"/>
      <c r="Z528" s="669" t="n"/>
    </row>
    <row r="529">
      <c r="A529" s="669" t="n"/>
      <c r="B529" s="669" t="n"/>
      <c r="C529" s="669" t="n"/>
      <c r="D529" s="669" t="n"/>
      <c r="E529" s="669" t="n"/>
      <c r="F529" s="669" t="n"/>
      <c r="G529" s="669" t="n"/>
      <c r="H529" s="669" t="n"/>
      <c r="I529" s="669" t="n"/>
      <c r="J529" s="669" t="n"/>
      <c r="K529" s="669" t="n"/>
      <c r="L529" s="669" t="n"/>
      <c r="M529" s="669" t="n"/>
      <c r="N529" s="669" t="n"/>
      <c r="O529" s="669" t="n"/>
      <c r="P529" s="669" t="n"/>
      <c r="Q529" s="669" t="n"/>
      <c r="R529" s="669" t="n"/>
      <c r="S529" s="669" t="n"/>
      <c r="T529" s="669" t="n"/>
      <c r="U529" s="669" t="n"/>
      <c r="V529" s="669" t="n"/>
      <c r="W529" s="669" t="n"/>
      <c r="X529" s="669" t="n"/>
      <c r="Y529" s="669" t="n"/>
      <c r="Z529" s="669" t="n"/>
    </row>
    <row r="530">
      <c r="A530" s="669" t="n"/>
      <c r="B530" s="669" t="n"/>
      <c r="C530" s="669" t="n"/>
      <c r="D530" s="669" t="n"/>
      <c r="E530" s="669" t="n"/>
      <c r="F530" s="669" t="n"/>
      <c r="G530" s="669" t="n"/>
      <c r="H530" s="669" t="n"/>
      <c r="I530" s="669" t="n"/>
      <c r="J530" s="669" t="n"/>
      <c r="K530" s="669" t="n"/>
      <c r="L530" s="669" t="n"/>
      <c r="M530" s="669" t="n"/>
      <c r="N530" s="669" t="n"/>
      <c r="O530" s="669" t="n"/>
      <c r="P530" s="669" t="n"/>
      <c r="Q530" s="669" t="n"/>
      <c r="R530" s="669" t="n"/>
      <c r="S530" s="669" t="n"/>
      <c r="T530" s="669" t="n"/>
      <c r="U530" s="669" t="n"/>
      <c r="V530" s="669" t="n"/>
      <c r="W530" s="669" t="n"/>
      <c r="X530" s="669" t="n"/>
      <c r="Y530" s="669" t="n"/>
      <c r="Z530" s="669" t="n"/>
    </row>
    <row r="531">
      <c r="A531" s="669" t="n"/>
      <c r="B531" s="669" t="n"/>
      <c r="C531" s="669" t="n"/>
      <c r="D531" s="669" t="n"/>
      <c r="E531" s="669" t="n"/>
      <c r="F531" s="669" t="n"/>
      <c r="G531" s="669" t="n"/>
      <c r="H531" s="669" t="n"/>
      <c r="I531" s="669" t="n"/>
      <c r="J531" s="669" t="n"/>
      <c r="K531" s="669" t="n"/>
      <c r="L531" s="669" t="n"/>
      <c r="M531" s="669" t="n"/>
      <c r="N531" s="669" t="n"/>
      <c r="O531" s="669" t="n"/>
      <c r="P531" s="669" t="n"/>
      <c r="Q531" s="669" t="n"/>
      <c r="R531" s="669" t="n"/>
      <c r="S531" s="669" t="n"/>
      <c r="T531" s="669" t="n"/>
      <c r="U531" s="669" t="n"/>
      <c r="V531" s="669" t="n"/>
      <c r="W531" s="669" t="n"/>
      <c r="X531" s="669" t="n"/>
      <c r="Y531" s="669" t="n"/>
      <c r="Z531" s="669" t="n"/>
    </row>
    <row r="532">
      <c r="A532" s="669" t="n"/>
      <c r="B532" s="669" t="n"/>
      <c r="C532" s="669" t="n"/>
      <c r="D532" s="669" t="n"/>
      <c r="E532" s="669" t="n"/>
      <c r="F532" s="669" t="n"/>
      <c r="G532" s="669" t="n"/>
      <c r="H532" s="669" t="n"/>
      <c r="I532" s="669" t="n"/>
      <c r="J532" s="669" t="n"/>
      <c r="K532" s="669" t="n"/>
      <c r="L532" s="669" t="n"/>
      <c r="M532" s="669" t="n"/>
      <c r="N532" s="669" t="n"/>
      <c r="O532" s="669" t="n"/>
      <c r="P532" s="669" t="n"/>
      <c r="Q532" s="669" t="n"/>
      <c r="R532" s="669" t="n"/>
      <c r="S532" s="669" t="n"/>
      <c r="T532" s="669" t="n"/>
      <c r="U532" s="669" t="n"/>
      <c r="V532" s="669" t="n"/>
      <c r="W532" s="669" t="n"/>
      <c r="X532" s="669" t="n"/>
      <c r="Y532" s="669" t="n"/>
      <c r="Z532" s="669" t="n"/>
    </row>
    <row r="533">
      <c r="A533" s="669" t="n"/>
      <c r="B533" s="669" t="n"/>
      <c r="C533" s="669" t="n"/>
      <c r="D533" s="669" t="n"/>
      <c r="E533" s="669" t="n"/>
      <c r="F533" s="669" t="n"/>
      <c r="G533" s="669" t="n"/>
      <c r="H533" s="669" t="n"/>
      <c r="I533" s="669" t="n"/>
      <c r="J533" s="669" t="n"/>
      <c r="K533" s="669" t="n"/>
      <c r="L533" s="669" t="n"/>
      <c r="M533" s="669" t="n"/>
      <c r="N533" s="669" t="n"/>
      <c r="O533" s="669" t="n"/>
      <c r="P533" s="669" t="n"/>
      <c r="Q533" s="669" t="n"/>
      <c r="R533" s="669" t="n"/>
      <c r="S533" s="669" t="n"/>
      <c r="T533" s="669" t="n"/>
      <c r="U533" s="669" t="n"/>
      <c r="V533" s="669" t="n"/>
      <c r="W533" s="669" t="n"/>
      <c r="X533" s="669" t="n"/>
      <c r="Y533" s="669" t="n"/>
      <c r="Z533" s="669" t="n"/>
    </row>
    <row r="534">
      <c r="A534" s="669" t="n"/>
      <c r="B534" s="669" t="n"/>
      <c r="C534" s="669" t="n"/>
      <c r="D534" s="669" t="n"/>
      <c r="E534" s="669" t="n"/>
      <c r="F534" s="669" t="n"/>
      <c r="G534" s="669" t="n"/>
      <c r="H534" s="669" t="n"/>
      <c r="I534" s="669" t="n"/>
      <c r="J534" s="669" t="n"/>
      <c r="K534" s="669" t="n"/>
      <c r="L534" s="669" t="n"/>
      <c r="M534" s="669" t="n"/>
      <c r="N534" s="669" t="n"/>
      <c r="O534" s="669" t="n"/>
      <c r="P534" s="669" t="n"/>
      <c r="Q534" s="669" t="n"/>
      <c r="R534" s="669" t="n"/>
      <c r="S534" s="669" t="n"/>
      <c r="T534" s="669" t="n"/>
      <c r="U534" s="669" t="n"/>
      <c r="V534" s="669" t="n"/>
      <c r="W534" s="669" t="n"/>
      <c r="X534" s="669" t="n"/>
      <c r="Y534" s="669" t="n"/>
      <c r="Z534" s="669" t="n"/>
    </row>
    <row r="535">
      <c r="A535" s="669" t="n"/>
      <c r="B535" s="669" t="n"/>
      <c r="C535" s="669" t="n"/>
      <c r="D535" s="669" t="n"/>
      <c r="E535" s="669" t="n"/>
      <c r="F535" s="669" t="n"/>
      <c r="G535" s="669" t="n"/>
      <c r="H535" s="669" t="n"/>
      <c r="I535" s="669" t="n"/>
      <c r="J535" s="669" t="n"/>
      <c r="K535" s="669" t="n"/>
      <c r="L535" s="669" t="n"/>
      <c r="M535" s="669" t="n"/>
      <c r="N535" s="669" t="n"/>
      <c r="O535" s="669" t="n"/>
      <c r="P535" s="669" t="n"/>
      <c r="Q535" s="669" t="n"/>
      <c r="R535" s="669" t="n"/>
      <c r="S535" s="669" t="n"/>
      <c r="T535" s="669" t="n"/>
      <c r="U535" s="669" t="n"/>
      <c r="V535" s="669" t="n"/>
      <c r="W535" s="669" t="n"/>
      <c r="X535" s="669" t="n"/>
      <c r="Y535" s="669" t="n"/>
      <c r="Z535" s="669" t="n"/>
    </row>
    <row r="536">
      <c r="A536" s="669" t="n"/>
      <c r="B536" s="669" t="n"/>
      <c r="C536" s="669" t="n"/>
      <c r="D536" s="669" t="n"/>
      <c r="E536" s="669" t="n"/>
      <c r="F536" s="669" t="n"/>
      <c r="G536" s="669" t="n"/>
      <c r="H536" s="669" t="n"/>
      <c r="I536" s="669" t="n"/>
      <c r="J536" s="669" t="n"/>
      <c r="K536" s="669" t="n"/>
      <c r="L536" s="669" t="n"/>
      <c r="M536" s="669" t="n"/>
      <c r="N536" s="669" t="n"/>
      <c r="O536" s="669" t="n"/>
      <c r="P536" s="669" t="n"/>
      <c r="Q536" s="669" t="n"/>
      <c r="R536" s="669" t="n"/>
      <c r="S536" s="669" t="n"/>
      <c r="T536" s="669" t="n"/>
      <c r="U536" s="669" t="n"/>
      <c r="V536" s="669" t="n"/>
      <c r="W536" s="669" t="n"/>
      <c r="X536" s="669" t="n"/>
      <c r="Y536" s="669" t="n"/>
      <c r="Z536" s="669" t="n"/>
    </row>
    <row r="537">
      <c r="A537" s="669" t="n"/>
      <c r="B537" s="669" t="n"/>
      <c r="C537" s="669" t="n"/>
      <c r="D537" s="669" t="n"/>
      <c r="E537" s="669" t="n"/>
      <c r="F537" s="669" t="n"/>
      <c r="G537" s="669" t="n"/>
      <c r="H537" s="669" t="n"/>
      <c r="I537" s="669" t="n"/>
      <c r="J537" s="669" t="n"/>
      <c r="K537" s="669" t="n"/>
      <c r="L537" s="669" t="n"/>
      <c r="M537" s="669" t="n"/>
      <c r="N537" s="669" t="n"/>
      <c r="O537" s="669" t="n"/>
      <c r="P537" s="669" t="n"/>
      <c r="Q537" s="669" t="n"/>
      <c r="R537" s="669" t="n"/>
      <c r="S537" s="669" t="n"/>
      <c r="T537" s="669" t="n"/>
      <c r="U537" s="669" t="n"/>
      <c r="V537" s="669" t="n"/>
      <c r="W537" s="669" t="n"/>
      <c r="X537" s="669" t="n"/>
      <c r="Y537" s="669" t="n"/>
      <c r="Z537" s="669" t="n"/>
    </row>
    <row r="538">
      <c r="A538" s="669" t="n"/>
      <c r="B538" s="669" t="n"/>
      <c r="C538" s="669" t="n"/>
      <c r="D538" s="669" t="n"/>
      <c r="E538" s="669" t="n"/>
      <c r="F538" s="669" t="n"/>
      <c r="G538" s="669" t="n"/>
      <c r="H538" s="669" t="n"/>
      <c r="I538" s="669" t="n"/>
      <c r="J538" s="669" t="n"/>
      <c r="K538" s="669" t="n"/>
      <c r="L538" s="669" t="n"/>
      <c r="M538" s="669" t="n"/>
      <c r="N538" s="669" t="n"/>
      <c r="O538" s="669" t="n"/>
      <c r="P538" s="669" t="n"/>
      <c r="Q538" s="669" t="n"/>
      <c r="R538" s="669" t="n"/>
      <c r="S538" s="669" t="n"/>
      <c r="T538" s="669" t="n"/>
      <c r="U538" s="669" t="n"/>
      <c r="V538" s="669" t="n"/>
      <c r="W538" s="669" t="n"/>
      <c r="X538" s="669" t="n"/>
      <c r="Y538" s="669" t="n"/>
      <c r="Z538" s="669" t="n"/>
    </row>
    <row r="539">
      <c r="A539" s="669" t="n"/>
      <c r="B539" s="669" t="n"/>
      <c r="C539" s="669" t="n"/>
      <c r="D539" s="669" t="n"/>
      <c r="E539" s="669" t="n"/>
      <c r="F539" s="669" t="n"/>
      <c r="G539" s="669" t="n"/>
      <c r="H539" s="669" t="n"/>
      <c r="I539" s="669" t="n"/>
      <c r="J539" s="669" t="n"/>
      <c r="K539" s="669" t="n"/>
      <c r="L539" s="669" t="n"/>
      <c r="M539" s="669" t="n"/>
      <c r="N539" s="669" t="n"/>
      <c r="O539" s="669" t="n"/>
      <c r="P539" s="669" t="n"/>
      <c r="Q539" s="669" t="n"/>
      <c r="R539" s="669" t="n"/>
      <c r="S539" s="669" t="n"/>
      <c r="T539" s="669" t="n"/>
      <c r="U539" s="669" t="n"/>
      <c r="V539" s="669" t="n"/>
      <c r="W539" s="669" t="n"/>
      <c r="X539" s="669" t="n"/>
      <c r="Y539" s="669" t="n"/>
      <c r="Z539" s="669" t="n"/>
    </row>
    <row r="540">
      <c r="A540" s="669" t="n"/>
      <c r="B540" s="669" t="n"/>
      <c r="C540" s="669" t="n"/>
      <c r="D540" s="669" t="n"/>
      <c r="E540" s="669" t="n"/>
      <c r="F540" s="669" t="n"/>
      <c r="G540" s="669" t="n"/>
      <c r="H540" s="669" t="n"/>
      <c r="I540" s="669" t="n"/>
      <c r="J540" s="669" t="n"/>
      <c r="K540" s="669" t="n"/>
      <c r="L540" s="669" t="n"/>
      <c r="M540" s="669" t="n"/>
      <c r="N540" s="669" t="n"/>
      <c r="O540" s="669" t="n"/>
      <c r="P540" s="669" t="n"/>
      <c r="Q540" s="669" t="n"/>
      <c r="R540" s="669" t="n"/>
      <c r="S540" s="669" t="n"/>
      <c r="T540" s="669" t="n"/>
      <c r="U540" s="669" t="n"/>
      <c r="V540" s="669" t="n"/>
      <c r="W540" s="669" t="n"/>
      <c r="X540" s="669" t="n"/>
      <c r="Y540" s="669" t="n"/>
      <c r="Z540" s="669" t="n"/>
    </row>
    <row r="541">
      <c r="A541" s="669" t="n"/>
      <c r="B541" s="669" t="n"/>
      <c r="C541" s="669" t="n"/>
      <c r="D541" s="669" t="n"/>
      <c r="E541" s="669" t="n"/>
      <c r="F541" s="669" t="n"/>
      <c r="G541" s="669" t="n"/>
      <c r="H541" s="669" t="n"/>
      <c r="I541" s="669" t="n"/>
      <c r="J541" s="669" t="n"/>
      <c r="K541" s="669" t="n"/>
      <c r="L541" s="669" t="n"/>
      <c r="M541" s="669" t="n"/>
      <c r="N541" s="669" t="n"/>
      <c r="O541" s="669" t="n"/>
      <c r="P541" s="669" t="n"/>
      <c r="Q541" s="669" t="n"/>
      <c r="R541" s="669" t="n"/>
      <c r="S541" s="669" t="n"/>
      <c r="T541" s="669" t="n"/>
      <c r="U541" s="669" t="n"/>
      <c r="V541" s="669" t="n"/>
      <c r="W541" s="669" t="n"/>
      <c r="X541" s="669" t="n"/>
      <c r="Y541" s="669" t="n"/>
      <c r="Z541" s="669" t="n"/>
    </row>
    <row r="542">
      <c r="A542" s="669" t="n"/>
      <c r="B542" s="669" t="n"/>
      <c r="C542" s="669" t="n"/>
      <c r="D542" s="669" t="n"/>
      <c r="E542" s="669" t="n"/>
      <c r="F542" s="669" t="n"/>
      <c r="G542" s="669" t="n"/>
      <c r="H542" s="669" t="n"/>
      <c r="I542" s="669" t="n"/>
      <c r="J542" s="669" t="n"/>
      <c r="K542" s="669" t="n"/>
      <c r="L542" s="669" t="n"/>
      <c r="M542" s="669" t="n"/>
      <c r="N542" s="669" t="n"/>
      <c r="O542" s="669" t="n"/>
      <c r="P542" s="669" t="n"/>
      <c r="Q542" s="669" t="n"/>
      <c r="R542" s="669" t="n"/>
      <c r="S542" s="669" t="n"/>
      <c r="T542" s="669" t="n"/>
      <c r="U542" s="669" t="n"/>
      <c r="V542" s="669" t="n"/>
      <c r="W542" s="669" t="n"/>
      <c r="X542" s="669" t="n"/>
      <c r="Y542" s="669" t="n"/>
      <c r="Z542" s="669" t="n"/>
    </row>
    <row r="543">
      <c r="A543" s="669" t="n"/>
      <c r="B543" s="669" t="n"/>
      <c r="C543" s="669" t="n"/>
      <c r="D543" s="669" t="n"/>
      <c r="E543" s="669" t="n"/>
      <c r="F543" s="669" t="n"/>
      <c r="G543" s="669" t="n"/>
      <c r="H543" s="669" t="n"/>
      <c r="I543" s="669" t="n"/>
      <c r="J543" s="669" t="n"/>
      <c r="K543" s="669" t="n"/>
      <c r="L543" s="669" t="n"/>
      <c r="M543" s="669" t="n"/>
      <c r="N543" s="669" t="n"/>
      <c r="O543" s="669" t="n"/>
      <c r="P543" s="669" t="n"/>
      <c r="Q543" s="669" t="n"/>
      <c r="R543" s="669" t="n"/>
      <c r="S543" s="669" t="n"/>
      <c r="T543" s="669" t="n"/>
      <c r="U543" s="669" t="n"/>
      <c r="V543" s="669" t="n"/>
      <c r="W543" s="669" t="n"/>
      <c r="X543" s="669" t="n"/>
      <c r="Y543" s="669" t="n"/>
      <c r="Z543" s="669" t="n"/>
    </row>
    <row r="544">
      <c r="A544" s="669" t="n"/>
      <c r="B544" s="669" t="n"/>
      <c r="C544" s="669" t="n"/>
      <c r="D544" s="669" t="n"/>
      <c r="E544" s="669" t="n"/>
      <c r="F544" s="669" t="n"/>
      <c r="G544" s="669" t="n"/>
      <c r="H544" s="669" t="n"/>
      <c r="I544" s="669" t="n"/>
      <c r="J544" s="669" t="n"/>
      <c r="K544" s="669" t="n"/>
      <c r="L544" s="669" t="n"/>
      <c r="M544" s="669" t="n"/>
      <c r="N544" s="669" t="n"/>
      <c r="O544" s="669" t="n"/>
      <c r="P544" s="669" t="n"/>
      <c r="Q544" s="669" t="n"/>
      <c r="R544" s="669" t="n"/>
      <c r="S544" s="669" t="n"/>
      <c r="T544" s="669" t="n"/>
      <c r="U544" s="669" t="n"/>
      <c r="V544" s="669" t="n"/>
      <c r="W544" s="669" t="n"/>
      <c r="X544" s="669" t="n"/>
      <c r="Y544" s="669" t="n"/>
      <c r="Z544" s="669" t="n"/>
    </row>
    <row r="545">
      <c r="A545" s="669" t="n"/>
      <c r="B545" s="669" t="n"/>
      <c r="C545" s="669" t="n"/>
      <c r="D545" s="669" t="n"/>
      <c r="E545" s="669" t="n"/>
      <c r="F545" s="669" t="n"/>
      <c r="G545" s="669" t="n"/>
      <c r="H545" s="669" t="n"/>
      <c r="I545" s="669" t="n"/>
      <c r="J545" s="669" t="n"/>
      <c r="K545" s="669" t="n"/>
      <c r="L545" s="669" t="n"/>
      <c r="M545" s="669" t="n"/>
      <c r="N545" s="669" t="n"/>
      <c r="O545" s="669" t="n"/>
      <c r="P545" s="669" t="n"/>
      <c r="Q545" s="669" t="n"/>
      <c r="R545" s="669" t="n"/>
      <c r="S545" s="669" t="n"/>
      <c r="T545" s="669" t="n"/>
      <c r="U545" s="669" t="n"/>
      <c r="V545" s="669" t="n"/>
      <c r="W545" s="669" t="n"/>
      <c r="X545" s="669" t="n"/>
      <c r="Y545" s="669" t="n"/>
      <c r="Z545" s="669" t="n"/>
    </row>
    <row r="546">
      <c r="A546" s="669" t="n"/>
      <c r="B546" s="669" t="n"/>
      <c r="C546" s="669" t="n"/>
      <c r="D546" s="669" t="n"/>
      <c r="E546" s="669" t="n"/>
      <c r="F546" s="669" t="n"/>
      <c r="G546" s="669" t="n"/>
      <c r="H546" s="669" t="n"/>
      <c r="I546" s="669" t="n"/>
      <c r="J546" s="669" t="n"/>
      <c r="K546" s="669" t="n"/>
      <c r="L546" s="669" t="n"/>
      <c r="M546" s="669" t="n"/>
      <c r="N546" s="669" t="n"/>
      <c r="O546" s="669" t="n"/>
      <c r="P546" s="669" t="n"/>
      <c r="Q546" s="669" t="n"/>
      <c r="R546" s="669" t="n"/>
      <c r="S546" s="669" t="n"/>
      <c r="T546" s="669" t="n"/>
      <c r="U546" s="669" t="n"/>
      <c r="V546" s="669" t="n"/>
      <c r="W546" s="669" t="n"/>
      <c r="X546" s="669" t="n"/>
      <c r="Y546" s="669" t="n"/>
      <c r="Z546" s="669" t="n"/>
    </row>
    <row r="547">
      <c r="A547" s="669" t="n"/>
      <c r="B547" s="669" t="n"/>
      <c r="C547" s="669" t="n"/>
      <c r="D547" s="669" t="n"/>
      <c r="E547" s="669" t="n"/>
      <c r="F547" s="669" t="n"/>
      <c r="G547" s="669" t="n"/>
      <c r="H547" s="669" t="n"/>
      <c r="I547" s="669" t="n"/>
      <c r="J547" s="669" t="n"/>
      <c r="K547" s="669" t="n"/>
      <c r="L547" s="669" t="n"/>
      <c r="M547" s="669" t="n"/>
      <c r="N547" s="669" t="n"/>
      <c r="O547" s="669" t="n"/>
      <c r="P547" s="669" t="n"/>
      <c r="Q547" s="669" t="n"/>
      <c r="R547" s="669" t="n"/>
      <c r="S547" s="669" t="n"/>
      <c r="T547" s="669" t="n"/>
      <c r="U547" s="669" t="n"/>
      <c r="V547" s="669" t="n"/>
      <c r="W547" s="669" t="n"/>
      <c r="X547" s="669" t="n"/>
      <c r="Y547" s="669" t="n"/>
      <c r="Z547" s="669" t="n"/>
    </row>
    <row r="548">
      <c r="A548" s="669" t="n"/>
      <c r="B548" s="669" t="n"/>
      <c r="C548" s="669" t="n"/>
      <c r="D548" s="669" t="n"/>
      <c r="E548" s="669" t="n"/>
      <c r="F548" s="669" t="n"/>
      <c r="G548" s="669" t="n"/>
      <c r="H548" s="669" t="n"/>
      <c r="I548" s="669" t="n"/>
      <c r="J548" s="669" t="n"/>
      <c r="K548" s="669" t="n"/>
      <c r="L548" s="669" t="n"/>
      <c r="M548" s="669" t="n"/>
      <c r="N548" s="669" t="n"/>
      <c r="O548" s="669" t="n"/>
      <c r="P548" s="669" t="n"/>
      <c r="Q548" s="669" t="n"/>
      <c r="R548" s="669" t="n"/>
      <c r="S548" s="669" t="n"/>
      <c r="T548" s="669" t="n"/>
      <c r="U548" s="669" t="n"/>
      <c r="V548" s="669" t="n"/>
      <c r="W548" s="669" t="n"/>
      <c r="X548" s="669" t="n"/>
      <c r="Y548" s="669" t="n"/>
      <c r="Z548" s="669" t="n"/>
    </row>
    <row r="549">
      <c r="A549" s="669" t="n"/>
      <c r="B549" s="669" t="n"/>
      <c r="C549" s="669" t="n"/>
      <c r="D549" s="669" t="n"/>
      <c r="E549" s="669" t="n"/>
      <c r="F549" s="669" t="n"/>
      <c r="G549" s="669" t="n"/>
      <c r="H549" s="669" t="n"/>
      <c r="I549" s="669" t="n"/>
      <c r="J549" s="669" t="n"/>
      <c r="K549" s="669" t="n"/>
      <c r="L549" s="669" t="n"/>
      <c r="M549" s="669" t="n"/>
      <c r="N549" s="669" t="n"/>
      <c r="O549" s="669" t="n"/>
      <c r="P549" s="669" t="n"/>
      <c r="Q549" s="669" t="n"/>
      <c r="R549" s="669" t="n"/>
      <c r="S549" s="669" t="n"/>
      <c r="T549" s="669" t="n"/>
      <c r="U549" s="669" t="n"/>
      <c r="V549" s="669" t="n"/>
      <c r="W549" s="669" t="n"/>
      <c r="X549" s="669" t="n"/>
      <c r="Y549" s="669" t="n"/>
      <c r="Z549" s="669" t="n"/>
    </row>
    <row r="550">
      <c r="A550" s="669" t="n"/>
      <c r="B550" s="669" t="n"/>
      <c r="C550" s="669" t="n"/>
      <c r="D550" s="669" t="n"/>
      <c r="E550" s="669" t="n"/>
      <c r="F550" s="669" t="n"/>
      <c r="G550" s="669" t="n"/>
      <c r="H550" s="669" t="n"/>
      <c r="I550" s="669" t="n"/>
      <c r="J550" s="669" t="n"/>
      <c r="K550" s="669" t="n"/>
      <c r="L550" s="669" t="n"/>
      <c r="M550" s="669" t="n"/>
      <c r="N550" s="669" t="n"/>
      <c r="O550" s="669" t="n"/>
      <c r="P550" s="669" t="n"/>
      <c r="Q550" s="669" t="n"/>
      <c r="R550" s="669" t="n"/>
      <c r="S550" s="669" t="n"/>
      <c r="T550" s="669" t="n"/>
      <c r="U550" s="669" t="n"/>
      <c r="V550" s="669" t="n"/>
      <c r="W550" s="669" t="n"/>
      <c r="X550" s="669" t="n"/>
      <c r="Y550" s="669" t="n"/>
      <c r="Z550" s="669" t="n"/>
    </row>
    <row r="551">
      <c r="A551" s="669" t="n"/>
      <c r="B551" s="669" t="n"/>
      <c r="C551" s="669" t="n"/>
      <c r="D551" s="669" t="n"/>
      <c r="E551" s="669" t="n"/>
      <c r="F551" s="669" t="n"/>
      <c r="G551" s="669" t="n"/>
      <c r="H551" s="669" t="n"/>
      <c r="I551" s="669" t="n"/>
      <c r="J551" s="669" t="n"/>
      <c r="K551" s="669" t="n"/>
      <c r="L551" s="669" t="n"/>
      <c r="M551" s="669" t="n"/>
      <c r="N551" s="669" t="n"/>
      <c r="O551" s="669" t="n"/>
      <c r="P551" s="669" t="n"/>
      <c r="Q551" s="669" t="n"/>
      <c r="R551" s="669" t="n"/>
      <c r="S551" s="669" t="n"/>
      <c r="T551" s="669" t="n"/>
      <c r="U551" s="669" t="n"/>
      <c r="V551" s="669" t="n"/>
      <c r="W551" s="669" t="n"/>
      <c r="X551" s="669" t="n"/>
      <c r="Y551" s="669" t="n"/>
      <c r="Z551" s="669" t="n"/>
    </row>
    <row r="552">
      <c r="A552" s="669" t="n"/>
      <c r="B552" s="669" t="n"/>
      <c r="C552" s="669" t="n"/>
      <c r="D552" s="669" t="n"/>
      <c r="E552" s="669" t="n"/>
      <c r="F552" s="669" t="n"/>
      <c r="G552" s="669" t="n"/>
      <c r="H552" s="669" t="n"/>
      <c r="I552" s="669" t="n"/>
      <c r="J552" s="669" t="n"/>
      <c r="K552" s="669" t="n"/>
      <c r="L552" s="669" t="n"/>
      <c r="M552" s="669" t="n"/>
      <c r="N552" s="669" t="n"/>
      <c r="O552" s="669" t="n"/>
      <c r="P552" s="669" t="n"/>
      <c r="Q552" s="669" t="n"/>
      <c r="R552" s="669" t="n"/>
      <c r="S552" s="669" t="n"/>
      <c r="T552" s="669" t="n"/>
      <c r="U552" s="669" t="n"/>
      <c r="V552" s="669" t="n"/>
      <c r="W552" s="669" t="n"/>
      <c r="X552" s="669" t="n"/>
      <c r="Y552" s="669" t="n"/>
      <c r="Z552" s="669" t="n"/>
    </row>
    <row r="553">
      <c r="A553" s="669" t="n"/>
      <c r="B553" s="669" t="n"/>
      <c r="C553" s="669" t="n"/>
      <c r="D553" s="669" t="n"/>
      <c r="E553" s="669" t="n"/>
      <c r="F553" s="669" t="n"/>
      <c r="G553" s="669" t="n"/>
      <c r="H553" s="669" t="n"/>
      <c r="I553" s="669" t="n"/>
      <c r="J553" s="669" t="n"/>
      <c r="K553" s="669" t="n"/>
      <c r="L553" s="669" t="n"/>
      <c r="M553" s="669" t="n"/>
      <c r="N553" s="669" t="n"/>
      <c r="O553" s="669" t="n"/>
      <c r="P553" s="669" t="n"/>
      <c r="Q553" s="669" t="n"/>
      <c r="R553" s="669" t="n"/>
      <c r="S553" s="669" t="n"/>
      <c r="T553" s="669" t="n"/>
      <c r="U553" s="669" t="n"/>
      <c r="V553" s="669" t="n"/>
      <c r="W553" s="669" t="n"/>
      <c r="X553" s="669" t="n"/>
      <c r="Y553" s="669" t="n"/>
      <c r="Z553" s="669" t="n"/>
    </row>
    <row r="554">
      <c r="A554" s="669" t="n"/>
      <c r="B554" s="669" t="n"/>
      <c r="C554" s="669" t="n"/>
      <c r="D554" s="669" t="n"/>
      <c r="E554" s="669" t="n"/>
      <c r="F554" s="669" t="n"/>
      <c r="G554" s="669" t="n"/>
      <c r="H554" s="669" t="n"/>
      <c r="I554" s="669" t="n"/>
      <c r="J554" s="669" t="n"/>
      <c r="K554" s="669" t="n"/>
      <c r="L554" s="669" t="n"/>
      <c r="M554" s="669" t="n"/>
      <c r="N554" s="669" t="n"/>
      <c r="O554" s="669" t="n"/>
      <c r="P554" s="669" t="n"/>
      <c r="Q554" s="669" t="n"/>
      <c r="R554" s="669" t="n"/>
      <c r="S554" s="669" t="n"/>
      <c r="T554" s="669" t="n"/>
      <c r="U554" s="669" t="n"/>
      <c r="V554" s="669" t="n"/>
      <c r="W554" s="669" t="n"/>
      <c r="X554" s="669" t="n"/>
      <c r="Y554" s="669" t="n"/>
      <c r="Z554" s="669" t="n"/>
    </row>
    <row r="555">
      <c r="A555" s="669" t="n"/>
      <c r="B555" s="669" t="n"/>
      <c r="C555" s="669" t="n"/>
      <c r="D555" s="669" t="n"/>
      <c r="E555" s="669" t="n"/>
      <c r="F555" s="669" t="n"/>
      <c r="G555" s="669" t="n"/>
      <c r="H555" s="669" t="n"/>
      <c r="I555" s="669" t="n"/>
      <c r="J555" s="669" t="n"/>
      <c r="K555" s="669" t="n"/>
      <c r="L555" s="669" t="n"/>
      <c r="M555" s="669" t="n"/>
      <c r="N555" s="669" t="n"/>
      <c r="O555" s="669" t="n"/>
      <c r="P555" s="669" t="n"/>
      <c r="Q555" s="669" t="n"/>
      <c r="R555" s="669" t="n"/>
      <c r="S555" s="669" t="n"/>
      <c r="T555" s="669" t="n"/>
      <c r="U555" s="669" t="n"/>
      <c r="V555" s="669" t="n"/>
      <c r="W555" s="669" t="n"/>
      <c r="X555" s="669" t="n"/>
      <c r="Y555" s="669" t="n"/>
      <c r="Z555" s="669" t="n"/>
    </row>
    <row r="556">
      <c r="A556" s="669" t="n"/>
      <c r="B556" s="669" t="n"/>
      <c r="C556" s="669" t="n"/>
      <c r="D556" s="669" t="n"/>
      <c r="E556" s="669" t="n"/>
      <c r="F556" s="669" t="n"/>
      <c r="G556" s="669" t="n"/>
      <c r="H556" s="669" t="n"/>
      <c r="I556" s="669" t="n"/>
      <c r="J556" s="669" t="n"/>
      <c r="K556" s="669" t="n"/>
      <c r="L556" s="669" t="n"/>
      <c r="M556" s="669" t="n"/>
      <c r="N556" s="669" t="n"/>
      <c r="O556" s="669" t="n"/>
      <c r="P556" s="669" t="n"/>
      <c r="Q556" s="669" t="n"/>
      <c r="R556" s="669" t="n"/>
      <c r="S556" s="669" t="n"/>
      <c r="T556" s="669" t="n"/>
      <c r="U556" s="669" t="n"/>
      <c r="V556" s="669" t="n"/>
      <c r="W556" s="669" t="n"/>
      <c r="X556" s="669" t="n"/>
      <c r="Y556" s="669" t="n"/>
      <c r="Z556" s="669" t="n"/>
    </row>
    <row r="557">
      <c r="A557" s="669" t="n"/>
      <c r="B557" s="669" t="n"/>
      <c r="C557" s="669" t="n"/>
      <c r="D557" s="669" t="n"/>
      <c r="E557" s="669" t="n"/>
      <c r="F557" s="669" t="n"/>
      <c r="G557" s="669" t="n"/>
      <c r="H557" s="669" t="n"/>
      <c r="I557" s="669" t="n"/>
      <c r="J557" s="669" t="n"/>
      <c r="K557" s="669" t="n"/>
      <c r="L557" s="669" t="n"/>
      <c r="M557" s="669" t="n"/>
      <c r="N557" s="669" t="n"/>
      <c r="O557" s="669" t="n"/>
      <c r="P557" s="669" t="n"/>
      <c r="Q557" s="669" t="n"/>
      <c r="R557" s="669" t="n"/>
      <c r="S557" s="669" t="n"/>
      <c r="T557" s="669" t="n"/>
      <c r="U557" s="669" t="n"/>
      <c r="V557" s="669" t="n"/>
      <c r="W557" s="669" t="n"/>
      <c r="X557" s="669" t="n"/>
      <c r="Y557" s="669" t="n"/>
      <c r="Z557" s="669" t="n"/>
    </row>
    <row r="558">
      <c r="A558" s="669" t="n"/>
      <c r="B558" s="669" t="n"/>
      <c r="C558" s="669" t="n"/>
      <c r="D558" s="669" t="n"/>
      <c r="E558" s="669" t="n"/>
      <c r="F558" s="669" t="n"/>
      <c r="G558" s="669" t="n"/>
      <c r="H558" s="669" t="n"/>
      <c r="I558" s="669" t="n"/>
      <c r="J558" s="669" t="n"/>
      <c r="K558" s="669" t="n"/>
      <c r="L558" s="669" t="n"/>
      <c r="M558" s="669" t="n"/>
      <c r="N558" s="669" t="n"/>
      <c r="O558" s="669" t="n"/>
      <c r="P558" s="669" t="n"/>
      <c r="Q558" s="669" t="n"/>
      <c r="R558" s="669" t="n"/>
      <c r="S558" s="669" t="n"/>
      <c r="T558" s="669" t="n"/>
      <c r="U558" s="669" t="n"/>
      <c r="V558" s="669" t="n"/>
      <c r="W558" s="669" t="n"/>
      <c r="X558" s="669" t="n"/>
      <c r="Y558" s="669" t="n"/>
      <c r="Z558" s="669" t="n"/>
    </row>
    <row r="559">
      <c r="A559" s="669" t="n"/>
      <c r="B559" s="669" t="n"/>
      <c r="C559" s="669" t="n"/>
      <c r="D559" s="669" t="n"/>
      <c r="E559" s="669" t="n"/>
      <c r="F559" s="669" t="n"/>
      <c r="G559" s="669" t="n"/>
      <c r="H559" s="669" t="n"/>
      <c r="I559" s="669" t="n"/>
      <c r="J559" s="669" t="n"/>
      <c r="K559" s="669" t="n"/>
      <c r="L559" s="669" t="n"/>
      <c r="M559" s="669" t="n"/>
      <c r="N559" s="669" t="n"/>
      <c r="O559" s="669" t="n"/>
      <c r="P559" s="669" t="n"/>
      <c r="Q559" s="669" t="n"/>
      <c r="R559" s="669" t="n"/>
      <c r="S559" s="669" t="n"/>
      <c r="T559" s="669" t="n"/>
      <c r="U559" s="669" t="n"/>
      <c r="V559" s="669" t="n"/>
      <c r="W559" s="669" t="n"/>
      <c r="X559" s="669" t="n"/>
      <c r="Y559" s="669" t="n"/>
      <c r="Z559" s="669" t="n"/>
    </row>
    <row r="560">
      <c r="A560" s="669" t="n"/>
      <c r="B560" s="669" t="n"/>
      <c r="C560" s="669" t="n"/>
      <c r="D560" s="669" t="n"/>
      <c r="E560" s="669" t="n"/>
      <c r="F560" s="669" t="n"/>
      <c r="G560" s="669" t="n"/>
      <c r="H560" s="669" t="n"/>
      <c r="I560" s="669" t="n"/>
      <c r="J560" s="669" t="n"/>
      <c r="K560" s="669" t="n"/>
      <c r="L560" s="669" t="n"/>
      <c r="M560" s="669" t="n"/>
      <c r="N560" s="669" t="n"/>
      <c r="O560" s="669" t="n"/>
      <c r="P560" s="669" t="n"/>
      <c r="Q560" s="669" t="n"/>
      <c r="R560" s="669" t="n"/>
      <c r="S560" s="669" t="n"/>
      <c r="T560" s="669" t="n"/>
      <c r="U560" s="669" t="n"/>
      <c r="V560" s="669" t="n"/>
      <c r="W560" s="669" t="n"/>
      <c r="X560" s="669" t="n"/>
      <c r="Y560" s="669" t="n"/>
      <c r="Z560" s="669" t="n"/>
    </row>
    <row r="561">
      <c r="A561" s="669" t="n"/>
      <c r="B561" s="669" t="n"/>
      <c r="C561" s="669" t="n"/>
      <c r="D561" s="669" t="n"/>
      <c r="E561" s="669" t="n"/>
      <c r="F561" s="669" t="n"/>
      <c r="G561" s="669" t="n"/>
      <c r="H561" s="669" t="n"/>
      <c r="I561" s="669" t="n"/>
      <c r="J561" s="669" t="n"/>
      <c r="K561" s="669" t="n"/>
      <c r="L561" s="669" t="n"/>
      <c r="M561" s="669" t="n"/>
      <c r="N561" s="669" t="n"/>
      <c r="O561" s="669" t="n"/>
      <c r="P561" s="669" t="n"/>
      <c r="Q561" s="669" t="n"/>
      <c r="R561" s="669" t="n"/>
      <c r="S561" s="669" t="n"/>
      <c r="T561" s="669" t="n"/>
      <c r="U561" s="669" t="n"/>
      <c r="V561" s="669" t="n"/>
      <c r="W561" s="669" t="n"/>
      <c r="X561" s="669" t="n"/>
      <c r="Y561" s="669" t="n"/>
      <c r="Z561" s="669" t="n"/>
    </row>
    <row r="562">
      <c r="A562" s="669" t="n"/>
      <c r="B562" s="669" t="n"/>
      <c r="C562" s="669" t="n"/>
      <c r="D562" s="669" t="n"/>
      <c r="E562" s="669" t="n"/>
      <c r="F562" s="669" t="n"/>
      <c r="G562" s="669" t="n"/>
      <c r="H562" s="669" t="n"/>
      <c r="I562" s="669" t="n"/>
      <c r="J562" s="669" t="n"/>
      <c r="K562" s="669" t="n"/>
      <c r="L562" s="669" t="n"/>
      <c r="M562" s="669" t="n"/>
      <c r="N562" s="669" t="n"/>
      <c r="O562" s="669" t="n"/>
      <c r="P562" s="669" t="n"/>
      <c r="Q562" s="669" t="n"/>
      <c r="R562" s="669" t="n"/>
      <c r="S562" s="669" t="n"/>
      <c r="T562" s="669" t="n"/>
      <c r="U562" s="669" t="n"/>
      <c r="V562" s="669" t="n"/>
      <c r="W562" s="669" t="n"/>
      <c r="X562" s="669" t="n"/>
      <c r="Y562" s="669" t="n"/>
      <c r="Z562" s="669" t="n"/>
    </row>
    <row r="563">
      <c r="A563" s="669" t="n"/>
      <c r="B563" s="669" t="n"/>
      <c r="C563" s="669" t="n"/>
      <c r="D563" s="669" t="n"/>
      <c r="E563" s="669" t="n"/>
      <c r="F563" s="669" t="n"/>
      <c r="G563" s="669" t="n"/>
      <c r="H563" s="669" t="n"/>
      <c r="I563" s="669" t="n"/>
      <c r="J563" s="669" t="n"/>
      <c r="K563" s="669" t="n"/>
      <c r="L563" s="669" t="n"/>
      <c r="M563" s="669" t="n"/>
      <c r="N563" s="669" t="n"/>
      <c r="O563" s="669" t="n"/>
      <c r="P563" s="669" t="n"/>
      <c r="Q563" s="669" t="n"/>
      <c r="R563" s="669" t="n"/>
      <c r="S563" s="669" t="n"/>
      <c r="T563" s="669" t="n"/>
      <c r="U563" s="669" t="n"/>
      <c r="V563" s="669" t="n"/>
      <c r="W563" s="669" t="n"/>
      <c r="X563" s="669" t="n"/>
      <c r="Y563" s="669" t="n"/>
      <c r="Z563" s="669" t="n"/>
    </row>
    <row r="564">
      <c r="A564" s="669" t="n"/>
      <c r="B564" s="669" t="n"/>
      <c r="C564" s="669" t="n"/>
      <c r="D564" s="669" t="n"/>
      <c r="E564" s="669" t="n"/>
      <c r="F564" s="669" t="n"/>
      <c r="G564" s="669" t="n"/>
      <c r="H564" s="669" t="n"/>
      <c r="I564" s="669" t="n"/>
      <c r="J564" s="669" t="n"/>
      <c r="K564" s="669" t="n"/>
      <c r="L564" s="669" t="n"/>
      <c r="M564" s="669" t="n"/>
      <c r="N564" s="669" t="n"/>
      <c r="O564" s="669" t="n"/>
      <c r="P564" s="669" t="n"/>
      <c r="Q564" s="669" t="n"/>
      <c r="R564" s="669" t="n"/>
      <c r="S564" s="669" t="n"/>
      <c r="T564" s="669" t="n"/>
      <c r="U564" s="669" t="n"/>
      <c r="V564" s="669" t="n"/>
      <c r="W564" s="669" t="n"/>
      <c r="X564" s="669" t="n"/>
      <c r="Y564" s="669" t="n"/>
      <c r="Z564" s="669" t="n"/>
    </row>
    <row r="565">
      <c r="A565" s="669" t="n"/>
      <c r="B565" s="669" t="n"/>
      <c r="C565" s="669" t="n"/>
      <c r="D565" s="669" t="n"/>
      <c r="E565" s="669" t="n"/>
      <c r="F565" s="669" t="n"/>
      <c r="G565" s="669" t="n"/>
      <c r="H565" s="669" t="n"/>
      <c r="I565" s="669" t="n"/>
      <c r="J565" s="669" t="n"/>
      <c r="K565" s="669" t="n"/>
      <c r="L565" s="669" t="n"/>
      <c r="M565" s="669" t="n"/>
      <c r="N565" s="669" t="n"/>
      <c r="O565" s="669" t="n"/>
      <c r="P565" s="669" t="n"/>
      <c r="Q565" s="669" t="n"/>
      <c r="R565" s="669" t="n"/>
      <c r="S565" s="669" t="n"/>
      <c r="T565" s="669" t="n"/>
      <c r="U565" s="669" t="n"/>
      <c r="V565" s="669" t="n"/>
      <c r="W565" s="669" t="n"/>
      <c r="X565" s="669" t="n"/>
      <c r="Y565" s="669" t="n"/>
      <c r="Z565" s="669" t="n"/>
    </row>
    <row r="566">
      <c r="A566" s="669" t="n"/>
      <c r="B566" s="669" t="n"/>
      <c r="C566" s="669" t="n"/>
      <c r="D566" s="669" t="n"/>
      <c r="E566" s="669" t="n"/>
      <c r="F566" s="669" t="n"/>
      <c r="G566" s="669" t="n"/>
      <c r="H566" s="669" t="n"/>
      <c r="I566" s="669" t="n"/>
      <c r="J566" s="669" t="n"/>
      <c r="K566" s="669" t="n"/>
      <c r="L566" s="669" t="n"/>
      <c r="M566" s="669" t="n"/>
      <c r="N566" s="669" t="n"/>
      <c r="O566" s="669" t="n"/>
      <c r="P566" s="669" t="n"/>
      <c r="Q566" s="669" t="n"/>
      <c r="R566" s="669" t="n"/>
      <c r="S566" s="669" t="n"/>
      <c r="T566" s="669" t="n"/>
      <c r="U566" s="669" t="n"/>
      <c r="V566" s="669" t="n"/>
      <c r="W566" s="669" t="n"/>
      <c r="X566" s="669" t="n"/>
      <c r="Y566" s="669" t="n"/>
      <c r="Z566" s="669" t="n"/>
    </row>
    <row r="567">
      <c r="A567" s="669" t="n"/>
      <c r="B567" s="669" t="n"/>
      <c r="C567" s="669" t="n"/>
      <c r="D567" s="669" t="n"/>
      <c r="E567" s="669" t="n"/>
      <c r="F567" s="669" t="n"/>
      <c r="G567" s="669" t="n"/>
      <c r="H567" s="669" t="n"/>
      <c r="I567" s="669" t="n"/>
      <c r="J567" s="669" t="n"/>
      <c r="K567" s="669" t="n"/>
      <c r="L567" s="669" t="n"/>
      <c r="M567" s="669" t="n"/>
      <c r="N567" s="669" t="n"/>
      <c r="O567" s="669" t="n"/>
      <c r="P567" s="669" t="n"/>
      <c r="Q567" s="669" t="n"/>
      <c r="R567" s="669" t="n"/>
      <c r="S567" s="669" t="n"/>
      <c r="T567" s="669" t="n"/>
      <c r="U567" s="669" t="n"/>
      <c r="V567" s="669" t="n"/>
      <c r="W567" s="669" t="n"/>
      <c r="X567" s="669" t="n"/>
      <c r="Y567" s="669" t="n"/>
      <c r="Z567" s="669" t="n"/>
    </row>
    <row r="568">
      <c r="A568" s="669" t="n"/>
      <c r="B568" s="669" t="n"/>
      <c r="C568" s="669" t="n"/>
      <c r="D568" s="669" t="n"/>
      <c r="E568" s="669" t="n"/>
      <c r="F568" s="669" t="n"/>
      <c r="G568" s="669" t="n"/>
      <c r="H568" s="669" t="n"/>
      <c r="I568" s="669" t="n"/>
      <c r="J568" s="669" t="n"/>
      <c r="K568" s="669" t="n"/>
      <c r="L568" s="669" t="n"/>
      <c r="M568" s="669" t="n"/>
      <c r="N568" s="669" t="n"/>
      <c r="O568" s="669" t="n"/>
      <c r="P568" s="669" t="n"/>
      <c r="Q568" s="669" t="n"/>
      <c r="R568" s="669" t="n"/>
      <c r="S568" s="669" t="n"/>
      <c r="T568" s="669" t="n"/>
      <c r="U568" s="669" t="n"/>
      <c r="V568" s="669" t="n"/>
      <c r="W568" s="669" t="n"/>
      <c r="X568" s="669" t="n"/>
      <c r="Y568" s="669" t="n"/>
      <c r="Z568" s="669" t="n"/>
    </row>
    <row r="569">
      <c r="A569" s="669" t="n"/>
      <c r="B569" s="669" t="n"/>
      <c r="C569" s="669" t="n"/>
      <c r="D569" s="669" t="n"/>
      <c r="E569" s="669" t="n"/>
      <c r="F569" s="669" t="n"/>
      <c r="G569" s="669" t="n"/>
      <c r="H569" s="669" t="n"/>
      <c r="I569" s="669" t="n"/>
      <c r="J569" s="669" t="n"/>
      <c r="K569" s="669" t="n"/>
      <c r="L569" s="669" t="n"/>
      <c r="M569" s="669" t="n"/>
      <c r="N569" s="669" t="n"/>
      <c r="O569" s="669" t="n"/>
      <c r="P569" s="669" t="n"/>
      <c r="Q569" s="669" t="n"/>
      <c r="R569" s="669" t="n"/>
      <c r="S569" s="669" t="n"/>
      <c r="T569" s="669" t="n"/>
      <c r="U569" s="669" t="n"/>
      <c r="V569" s="669" t="n"/>
      <c r="W569" s="669" t="n"/>
      <c r="X569" s="669" t="n"/>
      <c r="Y569" s="669" t="n"/>
      <c r="Z569" s="669" t="n"/>
    </row>
    <row r="570">
      <c r="A570" s="669" t="n"/>
      <c r="B570" s="669" t="n"/>
      <c r="C570" s="669" t="n"/>
      <c r="D570" s="669" t="n"/>
      <c r="E570" s="669" t="n"/>
      <c r="F570" s="669" t="n"/>
      <c r="G570" s="669" t="n"/>
      <c r="H570" s="669" t="n"/>
      <c r="I570" s="669" t="n"/>
      <c r="J570" s="669" t="n"/>
      <c r="K570" s="669" t="n"/>
      <c r="L570" s="669" t="n"/>
      <c r="M570" s="669" t="n"/>
      <c r="N570" s="669" t="n"/>
      <c r="O570" s="669" t="n"/>
      <c r="P570" s="669" t="n"/>
      <c r="Q570" s="669" t="n"/>
      <c r="R570" s="669" t="n"/>
      <c r="S570" s="669" t="n"/>
      <c r="T570" s="669" t="n"/>
      <c r="U570" s="669" t="n"/>
      <c r="V570" s="669" t="n"/>
      <c r="W570" s="669" t="n"/>
      <c r="X570" s="669" t="n"/>
      <c r="Y570" s="669" t="n"/>
      <c r="Z570" s="669" t="n"/>
    </row>
    <row r="571">
      <c r="A571" s="669" t="n"/>
      <c r="B571" s="669" t="n"/>
      <c r="C571" s="669" t="n"/>
      <c r="D571" s="669" t="n"/>
      <c r="E571" s="669" t="n"/>
      <c r="F571" s="669" t="n"/>
      <c r="G571" s="669" t="n"/>
      <c r="H571" s="669" t="n"/>
      <c r="I571" s="669" t="n"/>
      <c r="J571" s="669" t="n"/>
      <c r="K571" s="669" t="n"/>
      <c r="L571" s="669" t="n"/>
      <c r="M571" s="669" t="n"/>
      <c r="N571" s="669" t="n"/>
      <c r="O571" s="669" t="n"/>
      <c r="P571" s="669" t="n"/>
      <c r="Q571" s="669" t="n"/>
      <c r="R571" s="669" t="n"/>
      <c r="S571" s="669" t="n"/>
      <c r="T571" s="669" t="n"/>
      <c r="U571" s="669" t="n"/>
      <c r="V571" s="669" t="n"/>
      <c r="W571" s="669" t="n"/>
      <c r="X571" s="669" t="n"/>
      <c r="Y571" s="669" t="n"/>
      <c r="Z571" s="669" t="n"/>
    </row>
    <row r="572">
      <c r="A572" s="669" t="n"/>
      <c r="B572" s="669" t="n"/>
      <c r="C572" s="669" t="n"/>
      <c r="D572" s="669" t="n"/>
      <c r="E572" s="669" t="n"/>
      <c r="F572" s="669" t="n"/>
      <c r="G572" s="669" t="n"/>
      <c r="H572" s="669" t="n"/>
      <c r="I572" s="669" t="n"/>
      <c r="J572" s="669" t="n"/>
      <c r="K572" s="669" t="n"/>
      <c r="L572" s="669" t="n"/>
      <c r="M572" s="669" t="n"/>
      <c r="N572" s="669" t="n"/>
      <c r="O572" s="669" t="n"/>
      <c r="P572" s="669" t="n"/>
      <c r="Q572" s="669" t="n"/>
      <c r="R572" s="669" t="n"/>
      <c r="S572" s="669" t="n"/>
      <c r="T572" s="669" t="n"/>
      <c r="U572" s="669" t="n"/>
      <c r="V572" s="669" t="n"/>
      <c r="W572" s="669" t="n"/>
      <c r="X572" s="669" t="n"/>
      <c r="Y572" s="669" t="n"/>
      <c r="Z572" s="669" t="n"/>
    </row>
    <row r="573">
      <c r="A573" s="669" t="n"/>
      <c r="B573" s="669" t="n"/>
      <c r="C573" s="669" t="n"/>
      <c r="D573" s="669" t="n"/>
      <c r="E573" s="669" t="n"/>
      <c r="F573" s="669" t="n"/>
      <c r="G573" s="669" t="n"/>
      <c r="H573" s="669" t="n"/>
      <c r="I573" s="669" t="n"/>
      <c r="J573" s="669" t="n"/>
      <c r="K573" s="669" t="n"/>
      <c r="L573" s="669" t="n"/>
      <c r="M573" s="669" t="n"/>
      <c r="N573" s="669" t="n"/>
      <c r="O573" s="669" t="n"/>
      <c r="P573" s="669" t="n"/>
      <c r="Q573" s="669" t="n"/>
      <c r="R573" s="669" t="n"/>
      <c r="S573" s="669" t="n"/>
      <c r="T573" s="669" t="n"/>
      <c r="U573" s="669" t="n"/>
      <c r="V573" s="669" t="n"/>
      <c r="W573" s="669" t="n"/>
      <c r="X573" s="669" t="n"/>
      <c r="Y573" s="669" t="n"/>
      <c r="Z573" s="669" t="n"/>
    </row>
    <row r="574">
      <c r="A574" s="669" t="n"/>
      <c r="B574" s="669" t="n"/>
      <c r="C574" s="669" t="n"/>
      <c r="D574" s="669" t="n"/>
      <c r="E574" s="669" t="n"/>
      <c r="F574" s="669" t="n"/>
      <c r="G574" s="669" t="n"/>
      <c r="H574" s="669" t="n"/>
      <c r="I574" s="669" t="n"/>
      <c r="J574" s="669" t="n"/>
      <c r="K574" s="669" t="n"/>
      <c r="L574" s="669" t="n"/>
      <c r="M574" s="669" t="n"/>
      <c r="N574" s="669" t="n"/>
      <c r="O574" s="669" t="n"/>
      <c r="P574" s="669" t="n"/>
      <c r="Q574" s="669" t="n"/>
      <c r="R574" s="669" t="n"/>
      <c r="S574" s="669" t="n"/>
      <c r="T574" s="669" t="n"/>
      <c r="U574" s="669" t="n"/>
      <c r="V574" s="669" t="n"/>
      <c r="W574" s="669" t="n"/>
      <c r="X574" s="669" t="n"/>
      <c r="Y574" s="669" t="n"/>
      <c r="Z574" s="669" t="n"/>
    </row>
    <row r="575">
      <c r="A575" s="669" t="n"/>
      <c r="B575" s="669" t="n"/>
      <c r="C575" s="669" t="n"/>
      <c r="D575" s="669" t="n"/>
      <c r="E575" s="669" t="n"/>
      <c r="F575" s="669" t="n"/>
      <c r="G575" s="669" t="n"/>
      <c r="H575" s="669" t="n"/>
      <c r="I575" s="669" t="n"/>
      <c r="J575" s="669" t="n"/>
      <c r="K575" s="669" t="n"/>
      <c r="L575" s="669" t="n"/>
      <c r="M575" s="669" t="n"/>
      <c r="N575" s="669" t="n"/>
      <c r="O575" s="669" t="n"/>
      <c r="P575" s="669" t="n"/>
      <c r="Q575" s="669" t="n"/>
      <c r="R575" s="669" t="n"/>
      <c r="S575" s="669" t="n"/>
      <c r="T575" s="669" t="n"/>
      <c r="U575" s="669" t="n"/>
      <c r="V575" s="669" t="n"/>
      <c r="W575" s="669" t="n"/>
      <c r="X575" s="669" t="n"/>
      <c r="Y575" s="669" t="n"/>
      <c r="Z575" s="669" t="n"/>
    </row>
    <row r="576">
      <c r="A576" s="669" t="n"/>
      <c r="B576" s="669" t="n"/>
      <c r="C576" s="669" t="n"/>
      <c r="D576" s="669" t="n"/>
      <c r="E576" s="669" t="n"/>
      <c r="F576" s="669" t="n"/>
      <c r="G576" s="669" t="n"/>
      <c r="H576" s="669" t="n"/>
      <c r="I576" s="669" t="n"/>
      <c r="J576" s="669" t="n"/>
      <c r="K576" s="669" t="n"/>
      <c r="L576" s="669" t="n"/>
      <c r="M576" s="669" t="n"/>
      <c r="N576" s="669" t="n"/>
      <c r="O576" s="669" t="n"/>
      <c r="P576" s="669" t="n"/>
      <c r="Q576" s="669" t="n"/>
      <c r="R576" s="669" t="n"/>
      <c r="S576" s="669" t="n"/>
      <c r="T576" s="669" t="n"/>
      <c r="U576" s="669" t="n"/>
      <c r="V576" s="669" t="n"/>
      <c r="W576" s="669" t="n"/>
      <c r="X576" s="669" t="n"/>
      <c r="Y576" s="669" t="n"/>
      <c r="Z576" s="669" t="n"/>
    </row>
    <row r="577">
      <c r="A577" s="669" t="n"/>
      <c r="B577" s="669" t="n"/>
      <c r="C577" s="669" t="n"/>
      <c r="D577" s="669" t="n"/>
      <c r="E577" s="669" t="n"/>
      <c r="F577" s="669" t="n"/>
      <c r="G577" s="669" t="n"/>
      <c r="H577" s="669" t="n"/>
      <c r="I577" s="669" t="n"/>
      <c r="J577" s="669" t="n"/>
      <c r="K577" s="669" t="n"/>
      <c r="L577" s="669" t="n"/>
      <c r="M577" s="669" t="n"/>
      <c r="N577" s="669" t="n"/>
      <c r="O577" s="669" t="n"/>
      <c r="P577" s="669" t="n"/>
      <c r="Q577" s="669" t="n"/>
      <c r="R577" s="669" t="n"/>
      <c r="S577" s="669" t="n"/>
      <c r="T577" s="669" t="n"/>
      <c r="U577" s="669" t="n"/>
      <c r="V577" s="669" t="n"/>
      <c r="W577" s="669" t="n"/>
      <c r="X577" s="669" t="n"/>
      <c r="Y577" s="669" t="n"/>
      <c r="Z577" s="669" t="n"/>
    </row>
    <row r="578">
      <c r="A578" s="669" t="n"/>
      <c r="B578" s="669" t="n"/>
      <c r="C578" s="669" t="n"/>
      <c r="D578" s="669" t="n"/>
      <c r="E578" s="669" t="n"/>
      <c r="F578" s="669" t="n"/>
      <c r="G578" s="669" t="n"/>
      <c r="H578" s="669" t="n"/>
      <c r="I578" s="669" t="n"/>
      <c r="J578" s="669" t="n"/>
      <c r="K578" s="669" t="n"/>
      <c r="L578" s="669" t="n"/>
      <c r="M578" s="669" t="n"/>
      <c r="N578" s="669" t="n"/>
      <c r="O578" s="669" t="n"/>
      <c r="P578" s="669" t="n"/>
      <c r="Q578" s="669" t="n"/>
      <c r="R578" s="669" t="n"/>
      <c r="S578" s="669" t="n"/>
      <c r="T578" s="669" t="n"/>
      <c r="U578" s="669" t="n"/>
      <c r="V578" s="669" t="n"/>
      <c r="W578" s="669" t="n"/>
      <c r="X578" s="669" t="n"/>
      <c r="Y578" s="669" t="n"/>
      <c r="Z578" s="669" t="n"/>
    </row>
    <row r="579">
      <c r="A579" s="669" t="n"/>
      <c r="B579" s="669" t="n"/>
      <c r="C579" s="669" t="n"/>
      <c r="D579" s="669" t="n"/>
      <c r="E579" s="669" t="n"/>
      <c r="F579" s="669" t="n"/>
      <c r="G579" s="669" t="n"/>
      <c r="H579" s="669" t="n"/>
      <c r="I579" s="669" t="n"/>
      <c r="J579" s="669" t="n"/>
      <c r="K579" s="669" t="n"/>
      <c r="L579" s="669" t="n"/>
      <c r="M579" s="669" t="n"/>
      <c r="N579" s="669" t="n"/>
      <c r="O579" s="669" t="n"/>
      <c r="P579" s="669" t="n"/>
      <c r="Q579" s="669" t="n"/>
      <c r="R579" s="669" t="n"/>
      <c r="S579" s="669" t="n"/>
      <c r="T579" s="669" t="n"/>
      <c r="U579" s="669" t="n"/>
      <c r="V579" s="669" t="n"/>
      <c r="W579" s="669" t="n"/>
      <c r="X579" s="669" t="n"/>
      <c r="Y579" s="669" t="n"/>
      <c r="Z579" s="669" t="n"/>
    </row>
    <row r="580">
      <c r="A580" s="669" t="n"/>
      <c r="B580" s="669" t="n"/>
      <c r="C580" s="669" t="n"/>
      <c r="D580" s="669" t="n"/>
      <c r="E580" s="669" t="n"/>
      <c r="F580" s="669" t="n"/>
      <c r="G580" s="669" t="n"/>
      <c r="H580" s="669" t="n"/>
      <c r="I580" s="669" t="n"/>
      <c r="J580" s="669" t="n"/>
      <c r="K580" s="669" t="n"/>
      <c r="L580" s="669" t="n"/>
      <c r="M580" s="669" t="n"/>
      <c r="N580" s="669" t="n"/>
      <c r="O580" s="669" t="n"/>
      <c r="P580" s="669" t="n"/>
      <c r="Q580" s="669" t="n"/>
      <c r="R580" s="669" t="n"/>
      <c r="S580" s="669" t="n"/>
      <c r="T580" s="669" t="n"/>
      <c r="U580" s="669" t="n"/>
      <c r="V580" s="669" t="n"/>
      <c r="W580" s="669" t="n"/>
      <c r="X580" s="669" t="n"/>
      <c r="Y580" s="669" t="n"/>
      <c r="Z580" s="669" t="n"/>
    </row>
    <row r="581">
      <c r="A581" s="669" t="n"/>
      <c r="B581" s="669" t="n"/>
      <c r="C581" s="669" t="n"/>
      <c r="D581" s="669" t="n"/>
      <c r="E581" s="669" t="n"/>
      <c r="F581" s="669" t="n"/>
      <c r="G581" s="669" t="n"/>
      <c r="H581" s="669" t="n"/>
      <c r="I581" s="669" t="n"/>
      <c r="J581" s="669" t="n"/>
      <c r="K581" s="669" t="n"/>
      <c r="L581" s="669" t="n"/>
      <c r="M581" s="669" t="n"/>
      <c r="N581" s="669" t="n"/>
      <c r="O581" s="669" t="n"/>
      <c r="P581" s="669" t="n"/>
      <c r="Q581" s="669" t="n"/>
      <c r="R581" s="669" t="n"/>
      <c r="S581" s="669" t="n"/>
      <c r="T581" s="669" t="n"/>
      <c r="U581" s="669" t="n"/>
      <c r="V581" s="669" t="n"/>
      <c r="W581" s="669" t="n"/>
      <c r="X581" s="669" t="n"/>
      <c r="Y581" s="669" t="n"/>
      <c r="Z581" s="669" t="n"/>
    </row>
    <row r="582">
      <c r="A582" s="669" t="n"/>
      <c r="B582" s="669" t="n"/>
      <c r="C582" s="669" t="n"/>
      <c r="D582" s="669" t="n"/>
      <c r="E582" s="669" t="n"/>
      <c r="F582" s="669" t="n"/>
      <c r="G582" s="669" t="n"/>
      <c r="H582" s="669" t="n"/>
      <c r="I582" s="669" t="n"/>
      <c r="J582" s="669" t="n"/>
      <c r="K582" s="669" t="n"/>
      <c r="L582" s="669" t="n"/>
      <c r="M582" s="669" t="n"/>
      <c r="N582" s="669" t="n"/>
      <c r="O582" s="669" t="n"/>
      <c r="P582" s="669" t="n"/>
      <c r="Q582" s="669" t="n"/>
      <c r="R582" s="669" t="n"/>
      <c r="S582" s="669" t="n"/>
      <c r="T582" s="669" t="n"/>
      <c r="U582" s="669" t="n"/>
      <c r="V582" s="669" t="n"/>
      <c r="W582" s="669" t="n"/>
      <c r="X582" s="669" t="n"/>
      <c r="Y582" s="669" t="n"/>
      <c r="Z582" s="669" t="n"/>
    </row>
    <row r="583">
      <c r="A583" s="669" t="n"/>
      <c r="B583" s="669" t="n"/>
      <c r="C583" s="669" t="n"/>
      <c r="D583" s="669" t="n"/>
      <c r="E583" s="669" t="n"/>
      <c r="F583" s="669" t="n"/>
      <c r="G583" s="669" t="n"/>
      <c r="H583" s="669" t="n"/>
      <c r="I583" s="669" t="n"/>
      <c r="J583" s="669" t="n"/>
      <c r="K583" s="669" t="n"/>
      <c r="L583" s="669" t="n"/>
      <c r="M583" s="669" t="n"/>
      <c r="N583" s="669" t="n"/>
      <c r="O583" s="669" t="n"/>
      <c r="P583" s="669" t="n"/>
      <c r="Q583" s="669" t="n"/>
      <c r="R583" s="669" t="n"/>
      <c r="S583" s="669" t="n"/>
      <c r="T583" s="669" t="n"/>
      <c r="U583" s="669" t="n"/>
      <c r="V583" s="669" t="n"/>
      <c r="W583" s="669" t="n"/>
      <c r="X583" s="669" t="n"/>
      <c r="Y583" s="669" t="n"/>
      <c r="Z583" s="669" t="n"/>
    </row>
    <row r="584">
      <c r="A584" s="669" t="n"/>
      <c r="B584" s="669" t="n"/>
      <c r="C584" s="669" t="n"/>
      <c r="D584" s="669" t="n"/>
      <c r="E584" s="669" t="n"/>
      <c r="F584" s="669" t="n"/>
      <c r="G584" s="669" t="n"/>
      <c r="H584" s="669" t="n"/>
      <c r="I584" s="669" t="n"/>
      <c r="J584" s="669" t="n"/>
      <c r="K584" s="669" t="n"/>
      <c r="L584" s="669" t="n"/>
      <c r="M584" s="669" t="n"/>
      <c r="N584" s="669" t="n"/>
      <c r="O584" s="669" t="n"/>
      <c r="P584" s="669" t="n"/>
      <c r="Q584" s="669" t="n"/>
      <c r="R584" s="669" t="n"/>
      <c r="S584" s="669" t="n"/>
      <c r="T584" s="669" t="n"/>
      <c r="U584" s="669" t="n"/>
      <c r="V584" s="669" t="n"/>
      <c r="W584" s="669" t="n"/>
      <c r="X584" s="669" t="n"/>
      <c r="Y584" s="669" t="n"/>
      <c r="Z584" s="669" t="n"/>
    </row>
    <row r="585">
      <c r="A585" s="669" t="n"/>
      <c r="B585" s="669" t="n"/>
      <c r="C585" s="669" t="n"/>
      <c r="D585" s="669" t="n"/>
      <c r="E585" s="669" t="n"/>
      <c r="F585" s="669" t="n"/>
      <c r="G585" s="669" t="n"/>
      <c r="H585" s="669" t="n"/>
      <c r="I585" s="669" t="n"/>
      <c r="J585" s="669" t="n"/>
      <c r="K585" s="669" t="n"/>
      <c r="L585" s="669" t="n"/>
      <c r="M585" s="669" t="n"/>
      <c r="N585" s="669" t="n"/>
      <c r="O585" s="669" t="n"/>
      <c r="P585" s="669" t="n"/>
      <c r="Q585" s="669" t="n"/>
      <c r="R585" s="669" t="n"/>
      <c r="S585" s="669" t="n"/>
      <c r="T585" s="669" t="n"/>
      <c r="U585" s="669" t="n"/>
      <c r="V585" s="669" t="n"/>
      <c r="W585" s="669" t="n"/>
      <c r="X585" s="669" t="n"/>
      <c r="Y585" s="669" t="n"/>
      <c r="Z585" s="669" t="n"/>
    </row>
    <row r="586">
      <c r="A586" s="669" t="n"/>
      <c r="B586" s="669" t="n"/>
      <c r="C586" s="669" t="n"/>
      <c r="D586" s="669" t="n"/>
      <c r="E586" s="669" t="n"/>
      <c r="F586" s="669" t="n"/>
      <c r="G586" s="669" t="n"/>
      <c r="H586" s="669" t="n"/>
      <c r="I586" s="669" t="n"/>
      <c r="J586" s="669" t="n"/>
      <c r="K586" s="669" t="n"/>
      <c r="L586" s="669" t="n"/>
      <c r="M586" s="669" t="n"/>
      <c r="N586" s="669" t="n"/>
      <c r="O586" s="669" t="n"/>
      <c r="P586" s="669" t="n"/>
      <c r="Q586" s="669" t="n"/>
      <c r="R586" s="669" t="n"/>
      <c r="S586" s="669" t="n"/>
      <c r="T586" s="669" t="n"/>
      <c r="U586" s="669" t="n"/>
      <c r="V586" s="669" t="n"/>
      <c r="W586" s="669" t="n"/>
      <c r="X586" s="669" t="n"/>
      <c r="Y586" s="669" t="n"/>
      <c r="Z586" s="669" t="n"/>
    </row>
    <row r="587">
      <c r="A587" s="669" t="n"/>
      <c r="B587" s="669" t="n"/>
      <c r="C587" s="669" t="n"/>
      <c r="D587" s="669" t="n"/>
      <c r="E587" s="669" t="n"/>
      <c r="F587" s="669" t="n"/>
      <c r="G587" s="669" t="n"/>
      <c r="H587" s="669" t="n"/>
      <c r="I587" s="669" t="n"/>
      <c r="J587" s="669" t="n"/>
      <c r="K587" s="669" t="n"/>
      <c r="L587" s="669" t="n"/>
      <c r="M587" s="669" t="n"/>
      <c r="N587" s="669" t="n"/>
      <c r="O587" s="669" t="n"/>
      <c r="P587" s="669" t="n"/>
      <c r="Q587" s="669" t="n"/>
      <c r="R587" s="669" t="n"/>
      <c r="S587" s="669" t="n"/>
      <c r="T587" s="669" t="n"/>
      <c r="U587" s="669" t="n"/>
      <c r="V587" s="669" t="n"/>
      <c r="W587" s="669" t="n"/>
      <c r="X587" s="669" t="n"/>
      <c r="Y587" s="669" t="n"/>
      <c r="Z587" s="669" t="n"/>
    </row>
    <row r="588">
      <c r="A588" s="669" t="n"/>
      <c r="B588" s="669" t="n"/>
      <c r="C588" s="669" t="n"/>
      <c r="D588" s="669" t="n"/>
      <c r="E588" s="669" t="n"/>
      <c r="F588" s="669" t="n"/>
      <c r="G588" s="669" t="n"/>
      <c r="H588" s="669" t="n"/>
      <c r="I588" s="669" t="n"/>
      <c r="J588" s="669" t="n"/>
      <c r="K588" s="669" t="n"/>
      <c r="L588" s="669" t="n"/>
      <c r="M588" s="669" t="n"/>
      <c r="N588" s="669" t="n"/>
      <c r="O588" s="669" t="n"/>
      <c r="P588" s="669" t="n"/>
      <c r="Q588" s="669" t="n"/>
      <c r="R588" s="669" t="n"/>
      <c r="S588" s="669" t="n"/>
      <c r="T588" s="669" t="n"/>
      <c r="U588" s="669" t="n"/>
      <c r="V588" s="669" t="n"/>
      <c r="W588" s="669" t="n"/>
      <c r="X588" s="669" t="n"/>
      <c r="Y588" s="669" t="n"/>
      <c r="Z588" s="669" t="n"/>
    </row>
    <row r="589">
      <c r="A589" s="669" t="n"/>
      <c r="B589" s="669" t="n"/>
      <c r="C589" s="669" t="n"/>
      <c r="D589" s="669" t="n"/>
      <c r="E589" s="669" t="n"/>
      <c r="F589" s="669" t="n"/>
      <c r="G589" s="669" t="n"/>
      <c r="H589" s="669" t="n"/>
      <c r="I589" s="669" t="n"/>
      <c r="J589" s="669" t="n"/>
      <c r="K589" s="669" t="n"/>
      <c r="L589" s="669" t="n"/>
      <c r="M589" s="669" t="n"/>
      <c r="N589" s="669" t="n"/>
      <c r="O589" s="669" t="n"/>
      <c r="P589" s="669" t="n"/>
      <c r="Q589" s="669" t="n"/>
      <c r="R589" s="669" t="n"/>
      <c r="S589" s="669" t="n"/>
      <c r="T589" s="669" t="n"/>
      <c r="U589" s="669" t="n"/>
      <c r="V589" s="669" t="n"/>
      <c r="W589" s="669" t="n"/>
      <c r="X589" s="669" t="n"/>
      <c r="Y589" s="669" t="n"/>
      <c r="Z589" s="669" t="n"/>
    </row>
    <row r="590">
      <c r="A590" s="669" t="n"/>
      <c r="B590" s="669" t="n"/>
      <c r="C590" s="669" t="n"/>
      <c r="D590" s="669" t="n"/>
      <c r="E590" s="669" t="n"/>
      <c r="F590" s="669" t="n"/>
      <c r="G590" s="669" t="n"/>
      <c r="H590" s="669" t="n"/>
      <c r="I590" s="669" t="n"/>
      <c r="J590" s="669" t="n"/>
      <c r="K590" s="669" t="n"/>
      <c r="L590" s="669" t="n"/>
      <c r="M590" s="669" t="n"/>
      <c r="N590" s="669" t="n"/>
      <c r="O590" s="669" t="n"/>
      <c r="P590" s="669" t="n"/>
      <c r="Q590" s="669" t="n"/>
      <c r="R590" s="669" t="n"/>
      <c r="S590" s="669" t="n"/>
      <c r="T590" s="669" t="n"/>
      <c r="U590" s="669" t="n"/>
      <c r="V590" s="669" t="n"/>
      <c r="W590" s="669" t="n"/>
      <c r="X590" s="669" t="n"/>
      <c r="Y590" s="669" t="n"/>
      <c r="Z590" s="669" t="n"/>
    </row>
    <row r="591">
      <c r="A591" s="669" t="n"/>
      <c r="B591" s="669" t="n"/>
      <c r="C591" s="669" t="n"/>
      <c r="D591" s="669" t="n"/>
      <c r="E591" s="669" t="n"/>
      <c r="F591" s="669" t="n"/>
      <c r="G591" s="669" t="n"/>
      <c r="H591" s="669" t="n"/>
      <c r="I591" s="669" t="n"/>
      <c r="J591" s="669" t="n"/>
      <c r="K591" s="669" t="n"/>
      <c r="L591" s="669" t="n"/>
      <c r="M591" s="669" t="n"/>
      <c r="N591" s="669" t="n"/>
      <c r="O591" s="669" t="n"/>
      <c r="P591" s="669" t="n"/>
      <c r="Q591" s="669" t="n"/>
      <c r="R591" s="669" t="n"/>
      <c r="S591" s="669" t="n"/>
      <c r="T591" s="669" t="n"/>
      <c r="U591" s="669" t="n"/>
      <c r="V591" s="669" t="n"/>
      <c r="W591" s="669" t="n"/>
      <c r="X591" s="669" t="n"/>
      <c r="Y591" s="669" t="n"/>
      <c r="Z591" s="669" t="n"/>
    </row>
    <row r="592">
      <c r="A592" s="669" t="n"/>
      <c r="B592" s="669" t="n"/>
      <c r="C592" s="669" t="n"/>
      <c r="D592" s="669" t="n"/>
      <c r="E592" s="669" t="n"/>
      <c r="F592" s="669" t="n"/>
      <c r="G592" s="669" t="n"/>
      <c r="H592" s="669" t="n"/>
      <c r="I592" s="669" t="n"/>
      <c r="J592" s="669" t="n"/>
      <c r="K592" s="669" t="n"/>
      <c r="L592" s="669" t="n"/>
      <c r="M592" s="669" t="n"/>
      <c r="N592" s="669" t="n"/>
      <c r="O592" s="669" t="n"/>
      <c r="P592" s="669" t="n"/>
      <c r="Q592" s="669" t="n"/>
      <c r="R592" s="669" t="n"/>
      <c r="S592" s="669" t="n"/>
      <c r="T592" s="669" t="n"/>
      <c r="U592" s="669" t="n"/>
      <c r="V592" s="669" t="n"/>
      <c r="W592" s="669" t="n"/>
      <c r="X592" s="669" t="n"/>
      <c r="Y592" s="669" t="n"/>
      <c r="Z592" s="669" t="n"/>
    </row>
    <row r="593">
      <c r="A593" s="669" t="n"/>
      <c r="B593" s="669" t="n"/>
      <c r="C593" s="669" t="n"/>
      <c r="D593" s="669" t="n"/>
      <c r="E593" s="669" t="n"/>
      <c r="F593" s="669" t="n"/>
      <c r="G593" s="669" t="n"/>
      <c r="H593" s="669" t="n"/>
      <c r="I593" s="669" t="n"/>
      <c r="J593" s="669" t="n"/>
      <c r="K593" s="669" t="n"/>
      <c r="L593" s="669" t="n"/>
      <c r="M593" s="669" t="n"/>
      <c r="N593" s="669" t="n"/>
      <c r="O593" s="669" t="n"/>
      <c r="P593" s="669" t="n"/>
      <c r="Q593" s="669" t="n"/>
      <c r="R593" s="669" t="n"/>
      <c r="S593" s="669" t="n"/>
      <c r="T593" s="669" t="n"/>
      <c r="U593" s="669" t="n"/>
      <c r="V593" s="669" t="n"/>
      <c r="W593" s="669" t="n"/>
      <c r="X593" s="669" t="n"/>
      <c r="Y593" s="669" t="n"/>
      <c r="Z593" s="669" t="n"/>
    </row>
    <row r="594">
      <c r="A594" s="669" t="n"/>
      <c r="B594" s="669" t="n"/>
      <c r="C594" s="669" t="n"/>
      <c r="D594" s="669" t="n"/>
      <c r="E594" s="669" t="n"/>
      <c r="F594" s="669" t="n"/>
      <c r="G594" s="669" t="n"/>
      <c r="H594" s="669" t="n"/>
      <c r="I594" s="669" t="n"/>
      <c r="J594" s="669" t="n"/>
      <c r="K594" s="669" t="n"/>
      <c r="L594" s="669" t="n"/>
      <c r="M594" s="669" t="n"/>
      <c r="N594" s="669" t="n"/>
      <c r="O594" s="669" t="n"/>
      <c r="P594" s="669" t="n"/>
      <c r="Q594" s="669" t="n"/>
      <c r="R594" s="669" t="n"/>
      <c r="S594" s="669" t="n"/>
      <c r="T594" s="669" t="n"/>
      <c r="U594" s="669" t="n"/>
      <c r="V594" s="669" t="n"/>
      <c r="W594" s="669" t="n"/>
      <c r="X594" s="669" t="n"/>
      <c r="Y594" s="669" t="n"/>
      <c r="Z594" s="669" t="n"/>
    </row>
    <row r="595">
      <c r="A595" s="669" t="n"/>
      <c r="B595" s="669" t="n"/>
      <c r="C595" s="669" t="n"/>
      <c r="D595" s="669" t="n"/>
      <c r="E595" s="669" t="n"/>
      <c r="F595" s="669" t="n"/>
      <c r="G595" s="669" t="n"/>
      <c r="H595" s="669" t="n"/>
      <c r="I595" s="669" t="n"/>
      <c r="J595" s="669" t="n"/>
      <c r="K595" s="669" t="n"/>
      <c r="L595" s="669" t="n"/>
      <c r="M595" s="669" t="n"/>
      <c r="N595" s="669" t="n"/>
      <c r="O595" s="669" t="n"/>
      <c r="P595" s="669" t="n"/>
      <c r="Q595" s="669" t="n"/>
      <c r="R595" s="669" t="n"/>
      <c r="S595" s="669" t="n"/>
      <c r="T595" s="669" t="n"/>
      <c r="U595" s="669" t="n"/>
      <c r="V595" s="669" t="n"/>
      <c r="W595" s="669" t="n"/>
      <c r="X595" s="669" t="n"/>
      <c r="Y595" s="669" t="n"/>
      <c r="Z595" s="669" t="n"/>
    </row>
    <row r="596">
      <c r="A596" s="669" t="n"/>
      <c r="B596" s="669" t="n"/>
      <c r="C596" s="669" t="n"/>
      <c r="D596" s="669" t="n"/>
      <c r="E596" s="669" t="n"/>
      <c r="F596" s="669" t="n"/>
      <c r="G596" s="669" t="n"/>
      <c r="H596" s="669" t="n"/>
      <c r="I596" s="669" t="n"/>
      <c r="J596" s="669" t="n"/>
      <c r="K596" s="669" t="n"/>
      <c r="L596" s="669" t="n"/>
      <c r="M596" s="669" t="n"/>
      <c r="N596" s="669" t="n"/>
      <c r="O596" s="669" t="n"/>
      <c r="P596" s="669" t="n"/>
      <c r="Q596" s="669" t="n"/>
      <c r="R596" s="669" t="n"/>
      <c r="S596" s="669" t="n"/>
      <c r="T596" s="669" t="n"/>
      <c r="U596" s="669" t="n"/>
      <c r="V596" s="669" t="n"/>
      <c r="W596" s="669" t="n"/>
      <c r="X596" s="669" t="n"/>
      <c r="Y596" s="669" t="n"/>
      <c r="Z596" s="669" t="n"/>
    </row>
    <row r="597">
      <c r="A597" s="669" t="n"/>
      <c r="B597" s="669" t="n"/>
      <c r="C597" s="669" t="n"/>
      <c r="D597" s="669" t="n"/>
      <c r="E597" s="669" t="n"/>
      <c r="F597" s="669" t="n"/>
      <c r="G597" s="669" t="n"/>
      <c r="H597" s="669" t="n"/>
      <c r="I597" s="669" t="n"/>
      <c r="J597" s="669" t="n"/>
      <c r="K597" s="669" t="n"/>
      <c r="L597" s="669" t="n"/>
      <c r="M597" s="669" t="n"/>
      <c r="N597" s="669" t="n"/>
      <c r="O597" s="669" t="n"/>
      <c r="P597" s="669" t="n"/>
      <c r="Q597" s="669" t="n"/>
      <c r="R597" s="669" t="n"/>
      <c r="S597" s="669" t="n"/>
      <c r="T597" s="669" t="n"/>
      <c r="U597" s="669" t="n"/>
      <c r="V597" s="669" t="n"/>
      <c r="W597" s="669" t="n"/>
      <c r="X597" s="669" t="n"/>
      <c r="Y597" s="669" t="n"/>
      <c r="Z597" s="669" t="n"/>
    </row>
    <row r="598">
      <c r="A598" s="669" t="n"/>
      <c r="B598" s="669" t="n"/>
      <c r="C598" s="669" t="n"/>
      <c r="D598" s="669" t="n"/>
      <c r="E598" s="669" t="n"/>
      <c r="F598" s="669" t="n"/>
      <c r="G598" s="669" t="n"/>
      <c r="H598" s="669" t="n"/>
      <c r="I598" s="669" t="n"/>
      <c r="J598" s="669" t="n"/>
      <c r="K598" s="669" t="n"/>
      <c r="L598" s="669" t="n"/>
      <c r="M598" s="669" t="n"/>
      <c r="N598" s="669" t="n"/>
      <c r="O598" s="669" t="n"/>
      <c r="P598" s="669" t="n"/>
      <c r="Q598" s="669" t="n"/>
      <c r="R598" s="669" t="n"/>
      <c r="S598" s="669" t="n"/>
      <c r="T598" s="669" t="n"/>
      <c r="U598" s="669" t="n"/>
      <c r="V598" s="669" t="n"/>
      <c r="W598" s="669" t="n"/>
      <c r="X598" s="669" t="n"/>
      <c r="Y598" s="669" t="n"/>
      <c r="Z598" s="669" t="n"/>
    </row>
    <row r="599">
      <c r="A599" s="669" t="n"/>
      <c r="B599" s="669" t="n"/>
      <c r="C599" s="669" t="n"/>
      <c r="D599" s="669" t="n"/>
      <c r="E599" s="669" t="n"/>
      <c r="F599" s="669" t="n"/>
      <c r="G599" s="669" t="n"/>
      <c r="H599" s="669" t="n"/>
      <c r="I599" s="669" t="n"/>
      <c r="J599" s="669" t="n"/>
      <c r="K599" s="669" t="n"/>
      <c r="L599" s="669" t="n"/>
      <c r="M599" s="669" t="n"/>
      <c r="N599" s="669" t="n"/>
      <c r="O599" s="669" t="n"/>
      <c r="P599" s="669" t="n"/>
      <c r="Q599" s="669" t="n"/>
      <c r="R599" s="669" t="n"/>
      <c r="S599" s="669" t="n"/>
      <c r="T599" s="669" t="n"/>
      <c r="U599" s="669" t="n"/>
      <c r="V599" s="669" t="n"/>
      <c r="W599" s="669" t="n"/>
      <c r="X599" s="669" t="n"/>
      <c r="Y599" s="669" t="n"/>
      <c r="Z599" s="669" t="n"/>
    </row>
    <row r="600">
      <c r="A600" s="669" t="n"/>
      <c r="B600" s="669" t="n"/>
      <c r="C600" s="669" t="n"/>
      <c r="D600" s="669" t="n"/>
      <c r="E600" s="669" t="n"/>
      <c r="F600" s="669" t="n"/>
      <c r="G600" s="669" t="n"/>
      <c r="H600" s="669" t="n"/>
      <c r="I600" s="669" t="n"/>
      <c r="J600" s="669" t="n"/>
      <c r="K600" s="669" t="n"/>
      <c r="L600" s="669" t="n"/>
      <c r="M600" s="669" t="n"/>
      <c r="N600" s="669" t="n"/>
      <c r="O600" s="669" t="n"/>
      <c r="P600" s="669" t="n"/>
      <c r="Q600" s="669" t="n"/>
      <c r="R600" s="669" t="n"/>
      <c r="S600" s="669" t="n"/>
      <c r="T600" s="669" t="n"/>
      <c r="U600" s="669" t="n"/>
      <c r="V600" s="669" t="n"/>
      <c r="W600" s="669" t="n"/>
      <c r="X600" s="669" t="n"/>
      <c r="Y600" s="669" t="n"/>
      <c r="Z600" s="669" t="n"/>
    </row>
    <row r="601">
      <c r="A601" s="669" t="n"/>
      <c r="B601" s="669" t="n"/>
      <c r="C601" s="669" t="n"/>
      <c r="D601" s="669" t="n"/>
      <c r="E601" s="669" t="n"/>
      <c r="F601" s="669" t="n"/>
      <c r="G601" s="669" t="n"/>
      <c r="H601" s="669" t="n"/>
      <c r="I601" s="669" t="n"/>
      <c r="J601" s="669" t="n"/>
      <c r="K601" s="669" t="n"/>
      <c r="L601" s="669" t="n"/>
      <c r="M601" s="669" t="n"/>
      <c r="N601" s="669" t="n"/>
      <c r="O601" s="669" t="n"/>
      <c r="P601" s="669" t="n"/>
      <c r="Q601" s="669" t="n"/>
      <c r="R601" s="669" t="n"/>
      <c r="S601" s="669" t="n"/>
      <c r="T601" s="669" t="n"/>
      <c r="U601" s="669" t="n"/>
      <c r="V601" s="669" t="n"/>
      <c r="W601" s="669" t="n"/>
      <c r="X601" s="669" t="n"/>
      <c r="Y601" s="669" t="n"/>
      <c r="Z601" s="669" t="n"/>
    </row>
    <row r="602">
      <c r="A602" s="669" t="n"/>
      <c r="B602" s="669" t="n"/>
      <c r="C602" s="669" t="n"/>
      <c r="D602" s="669" t="n"/>
      <c r="E602" s="669" t="n"/>
      <c r="F602" s="669" t="n"/>
      <c r="G602" s="669" t="n"/>
      <c r="H602" s="669" t="n"/>
      <c r="I602" s="669" t="n"/>
      <c r="J602" s="669" t="n"/>
      <c r="K602" s="669" t="n"/>
      <c r="L602" s="669" t="n"/>
      <c r="M602" s="669" t="n"/>
      <c r="N602" s="669" t="n"/>
      <c r="O602" s="669" t="n"/>
      <c r="P602" s="669" t="n"/>
      <c r="Q602" s="669" t="n"/>
      <c r="R602" s="669" t="n"/>
      <c r="S602" s="669" t="n"/>
      <c r="T602" s="669" t="n"/>
      <c r="U602" s="669" t="n"/>
      <c r="V602" s="669" t="n"/>
      <c r="W602" s="669" t="n"/>
      <c r="X602" s="669" t="n"/>
      <c r="Y602" s="669" t="n"/>
      <c r="Z602" s="669" t="n"/>
    </row>
    <row r="603">
      <c r="A603" s="669" t="n"/>
      <c r="B603" s="669" t="n"/>
      <c r="C603" s="669" t="n"/>
      <c r="D603" s="669" t="n"/>
      <c r="E603" s="669" t="n"/>
      <c r="F603" s="669" t="n"/>
      <c r="G603" s="669" t="n"/>
      <c r="H603" s="669" t="n"/>
      <c r="I603" s="669" t="n"/>
      <c r="J603" s="669" t="n"/>
      <c r="K603" s="669" t="n"/>
      <c r="L603" s="669" t="n"/>
      <c r="M603" s="669" t="n"/>
      <c r="N603" s="669" t="n"/>
      <c r="O603" s="669" t="n"/>
      <c r="P603" s="669" t="n"/>
      <c r="Q603" s="669" t="n"/>
      <c r="R603" s="669" t="n"/>
      <c r="S603" s="669" t="n"/>
      <c r="T603" s="669" t="n"/>
      <c r="U603" s="669" t="n"/>
      <c r="V603" s="669" t="n"/>
      <c r="W603" s="669" t="n"/>
      <c r="X603" s="669" t="n"/>
      <c r="Y603" s="669" t="n"/>
      <c r="Z603" s="669" t="n"/>
    </row>
    <row r="604">
      <c r="A604" s="669" t="n"/>
      <c r="B604" s="669" t="n"/>
      <c r="C604" s="669" t="n"/>
      <c r="D604" s="669" t="n"/>
      <c r="E604" s="669" t="n"/>
      <c r="F604" s="669" t="n"/>
      <c r="G604" s="669" t="n"/>
      <c r="H604" s="669" t="n"/>
      <c r="I604" s="669" t="n"/>
      <c r="J604" s="669" t="n"/>
      <c r="K604" s="669" t="n"/>
      <c r="L604" s="669" t="n"/>
      <c r="M604" s="669" t="n"/>
      <c r="N604" s="669" t="n"/>
      <c r="O604" s="669" t="n"/>
      <c r="P604" s="669" t="n"/>
      <c r="Q604" s="669" t="n"/>
      <c r="R604" s="669" t="n"/>
      <c r="S604" s="669" t="n"/>
      <c r="T604" s="669" t="n"/>
      <c r="U604" s="669" t="n"/>
      <c r="V604" s="669" t="n"/>
      <c r="W604" s="669" t="n"/>
      <c r="X604" s="669" t="n"/>
      <c r="Y604" s="669" t="n"/>
      <c r="Z604" s="669" t="n"/>
    </row>
    <row r="605">
      <c r="A605" s="669" t="n"/>
      <c r="B605" s="669" t="n"/>
      <c r="C605" s="669" t="n"/>
      <c r="D605" s="669" t="n"/>
      <c r="E605" s="669" t="n"/>
      <c r="F605" s="669" t="n"/>
      <c r="G605" s="669" t="n"/>
      <c r="H605" s="669" t="n"/>
      <c r="I605" s="669" t="n"/>
      <c r="J605" s="669" t="n"/>
      <c r="K605" s="669" t="n"/>
      <c r="L605" s="669" t="n"/>
      <c r="M605" s="669" t="n"/>
      <c r="N605" s="669" t="n"/>
      <c r="O605" s="669" t="n"/>
      <c r="P605" s="669" t="n"/>
      <c r="Q605" s="669" t="n"/>
      <c r="R605" s="669" t="n"/>
      <c r="S605" s="669" t="n"/>
      <c r="T605" s="669" t="n"/>
      <c r="U605" s="669" t="n"/>
      <c r="V605" s="669" t="n"/>
      <c r="W605" s="669" t="n"/>
      <c r="X605" s="669" t="n"/>
      <c r="Y605" s="669" t="n"/>
      <c r="Z605" s="669" t="n"/>
    </row>
    <row r="606">
      <c r="A606" s="669" t="n"/>
      <c r="B606" s="669" t="n"/>
      <c r="C606" s="669" t="n"/>
      <c r="D606" s="669" t="n"/>
      <c r="E606" s="669" t="n"/>
      <c r="F606" s="669" t="n"/>
      <c r="G606" s="669" t="n"/>
      <c r="H606" s="669" t="n"/>
      <c r="I606" s="669" t="n"/>
      <c r="J606" s="669" t="n"/>
      <c r="K606" s="669" t="n"/>
      <c r="L606" s="669" t="n"/>
      <c r="M606" s="669" t="n"/>
      <c r="N606" s="669" t="n"/>
      <c r="O606" s="669" t="n"/>
      <c r="P606" s="669" t="n"/>
      <c r="Q606" s="669" t="n"/>
      <c r="R606" s="669" t="n"/>
      <c r="S606" s="669" t="n"/>
      <c r="T606" s="669" t="n"/>
      <c r="U606" s="669" t="n"/>
      <c r="V606" s="669" t="n"/>
      <c r="W606" s="669" t="n"/>
      <c r="X606" s="669" t="n"/>
      <c r="Y606" s="669" t="n"/>
      <c r="Z606" s="669" t="n"/>
    </row>
    <row r="607">
      <c r="A607" s="669" t="n"/>
      <c r="B607" s="669" t="n"/>
      <c r="C607" s="669" t="n"/>
      <c r="D607" s="669" t="n"/>
      <c r="E607" s="669" t="n"/>
      <c r="F607" s="669" t="n"/>
      <c r="G607" s="669" t="n"/>
      <c r="H607" s="669" t="n"/>
      <c r="I607" s="669" t="n"/>
      <c r="J607" s="669" t="n"/>
      <c r="K607" s="669" t="n"/>
      <c r="L607" s="669" t="n"/>
      <c r="M607" s="669" t="n"/>
      <c r="N607" s="669" t="n"/>
      <c r="O607" s="669" t="n"/>
      <c r="P607" s="669" t="n"/>
      <c r="Q607" s="669" t="n"/>
      <c r="R607" s="669" t="n"/>
      <c r="S607" s="669" t="n"/>
      <c r="T607" s="669" t="n"/>
      <c r="U607" s="669" t="n"/>
      <c r="V607" s="669" t="n"/>
      <c r="W607" s="669" t="n"/>
      <c r="X607" s="669" t="n"/>
      <c r="Y607" s="669" t="n"/>
      <c r="Z607" s="669" t="n"/>
    </row>
    <row r="608">
      <c r="A608" s="669" t="n"/>
      <c r="B608" s="669" t="n"/>
      <c r="C608" s="669" t="n"/>
      <c r="D608" s="669" t="n"/>
      <c r="E608" s="669" t="n"/>
      <c r="F608" s="669" t="n"/>
      <c r="G608" s="669" t="n"/>
      <c r="H608" s="669" t="n"/>
      <c r="I608" s="669" t="n"/>
      <c r="J608" s="669" t="n"/>
      <c r="K608" s="669" t="n"/>
      <c r="L608" s="669" t="n"/>
      <c r="M608" s="669" t="n"/>
      <c r="N608" s="669" t="n"/>
      <c r="O608" s="669" t="n"/>
      <c r="P608" s="669" t="n"/>
      <c r="Q608" s="669" t="n"/>
      <c r="R608" s="669" t="n"/>
      <c r="S608" s="669" t="n"/>
      <c r="T608" s="669" t="n"/>
      <c r="U608" s="669" t="n"/>
      <c r="V608" s="669" t="n"/>
      <c r="W608" s="669" t="n"/>
      <c r="X608" s="669" t="n"/>
      <c r="Y608" s="669" t="n"/>
      <c r="Z608" s="669" t="n"/>
    </row>
    <row r="609">
      <c r="A609" s="669" t="n"/>
      <c r="B609" s="669" t="n"/>
      <c r="C609" s="669" t="n"/>
      <c r="D609" s="669" t="n"/>
      <c r="E609" s="669" t="n"/>
      <c r="F609" s="669" t="n"/>
      <c r="G609" s="669" t="n"/>
      <c r="H609" s="669" t="n"/>
      <c r="I609" s="669" t="n"/>
      <c r="J609" s="669" t="n"/>
      <c r="K609" s="669" t="n"/>
      <c r="L609" s="669" t="n"/>
      <c r="M609" s="669" t="n"/>
      <c r="N609" s="669" t="n"/>
      <c r="O609" s="669" t="n"/>
      <c r="P609" s="669" t="n"/>
      <c r="Q609" s="669" t="n"/>
      <c r="R609" s="669" t="n"/>
      <c r="S609" s="669" t="n"/>
      <c r="T609" s="669" t="n"/>
      <c r="U609" s="669" t="n"/>
      <c r="V609" s="669" t="n"/>
      <c r="W609" s="669" t="n"/>
      <c r="X609" s="669" t="n"/>
      <c r="Y609" s="669" t="n"/>
      <c r="Z609" s="669" t="n"/>
    </row>
    <row r="610">
      <c r="A610" s="669" t="n"/>
      <c r="B610" s="669" t="n"/>
      <c r="C610" s="669" t="n"/>
      <c r="D610" s="669" t="n"/>
      <c r="E610" s="669" t="n"/>
      <c r="F610" s="669" t="n"/>
      <c r="G610" s="669" t="n"/>
      <c r="H610" s="669" t="n"/>
      <c r="I610" s="669" t="n"/>
      <c r="J610" s="669" t="n"/>
      <c r="K610" s="669" t="n"/>
      <c r="L610" s="669" t="n"/>
      <c r="M610" s="669" t="n"/>
      <c r="N610" s="669" t="n"/>
      <c r="O610" s="669" t="n"/>
      <c r="P610" s="669" t="n"/>
      <c r="Q610" s="669" t="n"/>
      <c r="R610" s="669" t="n"/>
      <c r="S610" s="669" t="n"/>
      <c r="T610" s="669" t="n"/>
      <c r="U610" s="669" t="n"/>
      <c r="V610" s="669" t="n"/>
      <c r="W610" s="669" t="n"/>
      <c r="X610" s="669" t="n"/>
      <c r="Y610" s="669" t="n"/>
      <c r="Z610" s="669" t="n"/>
    </row>
    <row r="611">
      <c r="A611" s="669" t="n"/>
      <c r="B611" s="669" t="n"/>
      <c r="C611" s="669" t="n"/>
      <c r="D611" s="669" t="n"/>
      <c r="E611" s="669" t="n"/>
      <c r="F611" s="669" t="n"/>
      <c r="G611" s="669" t="n"/>
      <c r="H611" s="669" t="n"/>
      <c r="I611" s="669" t="n"/>
      <c r="J611" s="669" t="n"/>
      <c r="K611" s="669" t="n"/>
      <c r="L611" s="669" t="n"/>
      <c r="M611" s="669" t="n"/>
      <c r="N611" s="669" t="n"/>
      <c r="O611" s="669" t="n"/>
      <c r="P611" s="669" t="n"/>
      <c r="Q611" s="669" t="n"/>
      <c r="R611" s="669" t="n"/>
      <c r="S611" s="669" t="n"/>
      <c r="T611" s="669" t="n"/>
      <c r="U611" s="669" t="n"/>
      <c r="V611" s="669" t="n"/>
      <c r="W611" s="669" t="n"/>
      <c r="X611" s="669" t="n"/>
      <c r="Y611" s="669" t="n"/>
      <c r="Z611" s="669" t="n"/>
    </row>
    <row r="612">
      <c r="A612" s="669" t="n"/>
      <c r="B612" s="669" t="n"/>
      <c r="C612" s="669" t="n"/>
      <c r="D612" s="669" t="n"/>
      <c r="E612" s="669" t="n"/>
      <c r="F612" s="669" t="n"/>
      <c r="G612" s="669" t="n"/>
      <c r="H612" s="669" t="n"/>
      <c r="I612" s="669" t="n"/>
      <c r="J612" s="669" t="n"/>
      <c r="K612" s="669" t="n"/>
      <c r="L612" s="669" t="n"/>
      <c r="M612" s="669" t="n"/>
      <c r="N612" s="669" t="n"/>
      <c r="O612" s="669" t="n"/>
      <c r="P612" s="669" t="n"/>
      <c r="Q612" s="669" t="n"/>
      <c r="R612" s="669" t="n"/>
      <c r="S612" s="669" t="n"/>
      <c r="T612" s="669" t="n"/>
      <c r="U612" s="669" t="n"/>
      <c r="V612" s="669" t="n"/>
      <c r="W612" s="669" t="n"/>
      <c r="X612" s="669" t="n"/>
      <c r="Y612" s="669" t="n"/>
      <c r="Z612" s="669" t="n"/>
    </row>
    <row r="613">
      <c r="A613" s="669" t="n"/>
      <c r="B613" s="669" t="n"/>
      <c r="C613" s="669" t="n"/>
      <c r="D613" s="669" t="n"/>
      <c r="E613" s="669" t="n"/>
      <c r="F613" s="669" t="n"/>
      <c r="G613" s="669" t="n"/>
      <c r="H613" s="669" t="n"/>
      <c r="I613" s="669" t="n"/>
      <c r="J613" s="669" t="n"/>
      <c r="K613" s="669" t="n"/>
      <c r="L613" s="669" t="n"/>
      <c r="M613" s="669" t="n"/>
      <c r="N613" s="669" t="n"/>
      <c r="O613" s="669" t="n"/>
      <c r="P613" s="669" t="n"/>
      <c r="Q613" s="669" t="n"/>
      <c r="R613" s="669" t="n"/>
      <c r="S613" s="669" t="n"/>
      <c r="T613" s="669" t="n"/>
      <c r="U613" s="669" t="n"/>
      <c r="V613" s="669" t="n"/>
      <c r="W613" s="669" t="n"/>
      <c r="X613" s="669" t="n"/>
      <c r="Y613" s="669" t="n"/>
      <c r="Z613" s="669" t="n"/>
    </row>
    <row r="614">
      <c r="A614" s="669" t="n"/>
      <c r="B614" s="669" t="n"/>
      <c r="C614" s="669" t="n"/>
      <c r="D614" s="669" t="n"/>
      <c r="E614" s="669" t="n"/>
      <c r="F614" s="669" t="n"/>
      <c r="G614" s="669" t="n"/>
      <c r="H614" s="669" t="n"/>
      <c r="I614" s="669" t="n"/>
      <c r="J614" s="669" t="n"/>
      <c r="K614" s="669" t="n"/>
      <c r="L614" s="669" t="n"/>
      <c r="M614" s="669" t="n"/>
      <c r="N614" s="669" t="n"/>
      <c r="O614" s="669" t="n"/>
      <c r="P614" s="669" t="n"/>
      <c r="Q614" s="669" t="n"/>
      <c r="R614" s="669" t="n"/>
      <c r="S614" s="669" t="n"/>
      <c r="T614" s="669" t="n"/>
      <c r="U614" s="669" t="n"/>
      <c r="V614" s="669" t="n"/>
      <c r="W614" s="669" t="n"/>
      <c r="X614" s="669" t="n"/>
      <c r="Y614" s="669" t="n"/>
      <c r="Z614" s="669" t="n"/>
    </row>
    <row r="615">
      <c r="A615" s="669" t="n"/>
      <c r="B615" s="669" t="n"/>
      <c r="C615" s="669" t="n"/>
      <c r="D615" s="669" t="n"/>
      <c r="E615" s="669" t="n"/>
      <c r="F615" s="669" t="n"/>
      <c r="G615" s="669" t="n"/>
      <c r="H615" s="669" t="n"/>
      <c r="I615" s="669" t="n"/>
      <c r="J615" s="669" t="n"/>
      <c r="K615" s="669" t="n"/>
      <c r="L615" s="669" t="n"/>
      <c r="M615" s="669" t="n"/>
      <c r="N615" s="669" t="n"/>
      <c r="O615" s="669" t="n"/>
      <c r="P615" s="669" t="n"/>
      <c r="Q615" s="669" t="n"/>
      <c r="R615" s="669" t="n"/>
      <c r="S615" s="669" t="n"/>
      <c r="T615" s="669" t="n"/>
      <c r="U615" s="669" t="n"/>
      <c r="V615" s="669" t="n"/>
      <c r="W615" s="669" t="n"/>
      <c r="X615" s="669" t="n"/>
      <c r="Y615" s="669" t="n"/>
      <c r="Z615" s="669" t="n"/>
    </row>
    <row r="616">
      <c r="A616" s="669" t="n"/>
      <c r="B616" s="669" t="n"/>
      <c r="C616" s="669" t="n"/>
      <c r="D616" s="669" t="n"/>
      <c r="E616" s="669" t="n"/>
      <c r="F616" s="669" t="n"/>
      <c r="G616" s="669" t="n"/>
      <c r="H616" s="669" t="n"/>
      <c r="I616" s="669" t="n"/>
      <c r="J616" s="669" t="n"/>
      <c r="K616" s="669" t="n"/>
      <c r="L616" s="669" t="n"/>
      <c r="M616" s="669" t="n"/>
      <c r="N616" s="669" t="n"/>
      <c r="O616" s="669" t="n"/>
      <c r="P616" s="669" t="n"/>
      <c r="Q616" s="669" t="n"/>
      <c r="R616" s="669" t="n"/>
      <c r="S616" s="669" t="n"/>
      <c r="T616" s="669" t="n"/>
      <c r="U616" s="669" t="n"/>
      <c r="V616" s="669" t="n"/>
      <c r="W616" s="669" t="n"/>
      <c r="X616" s="669" t="n"/>
      <c r="Y616" s="669" t="n"/>
      <c r="Z616" s="669" t="n"/>
    </row>
    <row r="617">
      <c r="A617" s="669" t="n"/>
      <c r="B617" s="669" t="n"/>
      <c r="C617" s="669" t="n"/>
      <c r="D617" s="669" t="n"/>
      <c r="E617" s="669" t="n"/>
      <c r="F617" s="669" t="n"/>
      <c r="G617" s="669" t="n"/>
      <c r="H617" s="669" t="n"/>
      <c r="I617" s="669" t="n"/>
      <c r="J617" s="669" t="n"/>
      <c r="K617" s="669" t="n"/>
      <c r="L617" s="669" t="n"/>
      <c r="M617" s="669" t="n"/>
      <c r="N617" s="669" t="n"/>
      <c r="O617" s="669" t="n"/>
      <c r="P617" s="669" t="n"/>
      <c r="Q617" s="669" t="n"/>
      <c r="R617" s="669" t="n"/>
      <c r="S617" s="669" t="n"/>
      <c r="T617" s="669" t="n"/>
      <c r="U617" s="669" t="n"/>
      <c r="V617" s="669" t="n"/>
      <c r="W617" s="669" t="n"/>
      <c r="X617" s="669" t="n"/>
      <c r="Y617" s="669" t="n"/>
      <c r="Z617" s="669" t="n"/>
    </row>
    <row r="618">
      <c r="A618" s="669" t="n"/>
      <c r="B618" s="669" t="n"/>
      <c r="C618" s="669" t="n"/>
      <c r="D618" s="669" t="n"/>
      <c r="E618" s="669" t="n"/>
      <c r="F618" s="669" t="n"/>
      <c r="G618" s="669" t="n"/>
      <c r="H618" s="669" t="n"/>
      <c r="I618" s="669" t="n"/>
      <c r="J618" s="669" t="n"/>
      <c r="K618" s="669" t="n"/>
      <c r="L618" s="669" t="n"/>
      <c r="M618" s="669" t="n"/>
      <c r="N618" s="669" t="n"/>
      <c r="O618" s="669" t="n"/>
      <c r="P618" s="669" t="n"/>
      <c r="Q618" s="669" t="n"/>
      <c r="R618" s="669" t="n"/>
      <c r="S618" s="669" t="n"/>
      <c r="T618" s="669" t="n"/>
      <c r="U618" s="669" t="n"/>
      <c r="V618" s="669" t="n"/>
      <c r="W618" s="669" t="n"/>
      <c r="X618" s="669" t="n"/>
      <c r="Y618" s="669" t="n"/>
      <c r="Z618" s="669" t="n"/>
    </row>
    <row r="619">
      <c r="A619" s="669" t="n"/>
      <c r="B619" s="669" t="n"/>
      <c r="C619" s="669" t="n"/>
      <c r="D619" s="669" t="n"/>
      <c r="E619" s="669" t="n"/>
      <c r="F619" s="669" t="n"/>
      <c r="G619" s="669" t="n"/>
      <c r="H619" s="669" t="n"/>
      <c r="I619" s="669" t="n"/>
      <c r="J619" s="669" t="n"/>
      <c r="K619" s="669" t="n"/>
      <c r="L619" s="669" t="n"/>
      <c r="M619" s="669" t="n"/>
      <c r="N619" s="669" t="n"/>
      <c r="O619" s="669" t="n"/>
      <c r="P619" s="669" t="n"/>
      <c r="Q619" s="669" t="n"/>
      <c r="R619" s="669" t="n"/>
      <c r="S619" s="669" t="n"/>
      <c r="T619" s="669" t="n"/>
      <c r="U619" s="669" t="n"/>
      <c r="V619" s="669" t="n"/>
      <c r="W619" s="669" t="n"/>
      <c r="X619" s="669" t="n"/>
      <c r="Y619" s="669" t="n"/>
      <c r="Z619" s="669" t="n"/>
    </row>
    <row r="620">
      <c r="A620" s="669" t="n"/>
      <c r="B620" s="669" t="n"/>
      <c r="C620" s="669" t="n"/>
      <c r="D620" s="669" t="n"/>
      <c r="E620" s="669" t="n"/>
      <c r="F620" s="669" t="n"/>
      <c r="G620" s="669" t="n"/>
      <c r="H620" s="669" t="n"/>
      <c r="I620" s="669" t="n"/>
      <c r="J620" s="669" t="n"/>
      <c r="K620" s="669" t="n"/>
      <c r="L620" s="669" t="n"/>
      <c r="M620" s="669" t="n"/>
      <c r="N620" s="669" t="n"/>
      <c r="O620" s="669" t="n"/>
      <c r="P620" s="669" t="n"/>
      <c r="Q620" s="669" t="n"/>
      <c r="R620" s="669" t="n"/>
      <c r="S620" s="669" t="n"/>
      <c r="T620" s="669" t="n"/>
      <c r="U620" s="669" t="n"/>
      <c r="V620" s="669" t="n"/>
      <c r="W620" s="669" t="n"/>
      <c r="X620" s="669" t="n"/>
      <c r="Y620" s="669" t="n"/>
      <c r="Z620" s="669" t="n"/>
    </row>
    <row r="621">
      <c r="A621" s="669" t="n"/>
      <c r="B621" s="669" t="n"/>
      <c r="C621" s="669" t="n"/>
      <c r="D621" s="669" t="n"/>
      <c r="E621" s="669" t="n"/>
      <c r="F621" s="669" t="n"/>
      <c r="G621" s="669" t="n"/>
      <c r="H621" s="669" t="n"/>
      <c r="I621" s="669" t="n"/>
      <c r="J621" s="669" t="n"/>
      <c r="K621" s="669" t="n"/>
      <c r="L621" s="669" t="n"/>
      <c r="M621" s="669" t="n"/>
      <c r="N621" s="669" t="n"/>
      <c r="O621" s="669" t="n"/>
      <c r="P621" s="669" t="n"/>
      <c r="Q621" s="669" t="n"/>
      <c r="R621" s="669" t="n"/>
      <c r="S621" s="669" t="n"/>
      <c r="T621" s="669" t="n"/>
      <c r="U621" s="669" t="n"/>
      <c r="V621" s="669" t="n"/>
      <c r="W621" s="669" t="n"/>
      <c r="X621" s="669" t="n"/>
      <c r="Y621" s="669" t="n"/>
      <c r="Z621" s="669" t="n"/>
    </row>
    <row r="622">
      <c r="A622" s="669" t="n"/>
      <c r="B622" s="669" t="n"/>
      <c r="C622" s="669" t="n"/>
      <c r="D622" s="669" t="n"/>
      <c r="E622" s="669" t="n"/>
      <c r="F622" s="669" t="n"/>
      <c r="G622" s="669" t="n"/>
      <c r="H622" s="669" t="n"/>
      <c r="I622" s="669" t="n"/>
      <c r="J622" s="669" t="n"/>
      <c r="K622" s="669" t="n"/>
      <c r="L622" s="669" t="n"/>
      <c r="M622" s="669" t="n"/>
      <c r="N622" s="669" t="n"/>
      <c r="O622" s="669" t="n"/>
      <c r="P622" s="669" t="n"/>
      <c r="Q622" s="669" t="n"/>
      <c r="R622" s="669" t="n"/>
      <c r="S622" s="669" t="n"/>
      <c r="T622" s="669" t="n"/>
      <c r="U622" s="669" t="n"/>
      <c r="V622" s="669" t="n"/>
      <c r="W622" s="669" t="n"/>
      <c r="X622" s="669" t="n"/>
      <c r="Y622" s="669" t="n"/>
      <c r="Z622" s="669" t="n"/>
    </row>
    <row r="623">
      <c r="A623" s="669" t="n"/>
      <c r="B623" s="669" t="n"/>
      <c r="C623" s="669" t="n"/>
      <c r="D623" s="669" t="n"/>
      <c r="E623" s="669" t="n"/>
      <c r="F623" s="669" t="n"/>
      <c r="G623" s="669" t="n"/>
      <c r="H623" s="669" t="n"/>
      <c r="I623" s="669" t="n"/>
      <c r="J623" s="669" t="n"/>
      <c r="K623" s="669" t="n"/>
      <c r="L623" s="669" t="n"/>
      <c r="M623" s="669" t="n"/>
      <c r="N623" s="669" t="n"/>
      <c r="O623" s="669" t="n"/>
      <c r="P623" s="669" t="n"/>
      <c r="Q623" s="669" t="n"/>
      <c r="R623" s="669" t="n"/>
      <c r="S623" s="669" t="n"/>
      <c r="T623" s="669" t="n"/>
      <c r="U623" s="669" t="n"/>
      <c r="V623" s="669" t="n"/>
      <c r="W623" s="669" t="n"/>
      <c r="X623" s="669" t="n"/>
      <c r="Y623" s="669" t="n"/>
      <c r="Z623" s="669" t="n"/>
    </row>
    <row r="624">
      <c r="A624" s="669" t="n"/>
      <c r="B624" s="669" t="n"/>
      <c r="C624" s="669" t="n"/>
      <c r="D624" s="669" t="n"/>
      <c r="E624" s="669" t="n"/>
      <c r="F624" s="669" t="n"/>
      <c r="G624" s="669" t="n"/>
      <c r="H624" s="669" t="n"/>
      <c r="I624" s="669" t="n"/>
      <c r="J624" s="669" t="n"/>
      <c r="K624" s="669" t="n"/>
      <c r="L624" s="669" t="n"/>
      <c r="M624" s="669" t="n"/>
      <c r="N624" s="669" t="n"/>
      <c r="O624" s="669" t="n"/>
      <c r="P624" s="669" t="n"/>
      <c r="Q624" s="669" t="n"/>
      <c r="R624" s="669" t="n"/>
      <c r="S624" s="669" t="n"/>
      <c r="T624" s="669" t="n"/>
      <c r="U624" s="669" t="n"/>
      <c r="V624" s="669" t="n"/>
      <c r="W624" s="669" t="n"/>
      <c r="X624" s="669" t="n"/>
      <c r="Y624" s="669" t="n"/>
      <c r="Z624" s="669" t="n"/>
    </row>
    <row r="625">
      <c r="A625" s="669" t="n"/>
      <c r="B625" s="669" t="n"/>
      <c r="C625" s="669" t="n"/>
      <c r="D625" s="669" t="n"/>
      <c r="E625" s="669" t="n"/>
      <c r="F625" s="669" t="n"/>
      <c r="G625" s="669" t="n"/>
      <c r="H625" s="669" t="n"/>
      <c r="I625" s="669" t="n"/>
      <c r="J625" s="669" t="n"/>
      <c r="K625" s="669" t="n"/>
      <c r="L625" s="669" t="n"/>
      <c r="M625" s="669" t="n"/>
      <c r="N625" s="669" t="n"/>
      <c r="O625" s="669" t="n"/>
      <c r="P625" s="669" t="n"/>
      <c r="Q625" s="669" t="n"/>
      <c r="R625" s="669" t="n"/>
      <c r="S625" s="669" t="n"/>
      <c r="T625" s="669" t="n"/>
      <c r="U625" s="669" t="n"/>
      <c r="V625" s="669" t="n"/>
      <c r="W625" s="669" t="n"/>
      <c r="X625" s="669" t="n"/>
      <c r="Y625" s="669" t="n"/>
      <c r="Z625" s="669" t="n"/>
    </row>
    <row r="626">
      <c r="A626" s="669" t="n"/>
      <c r="B626" s="669" t="n"/>
      <c r="C626" s="669" t="n"/>
      <c r="D626" s="669" t="n"/>
      <c r="E626" s="669" t="n"/>
      <c r="F626" s="669" t="n"/>
      <c r="G626" s="669" t="n"/>
      <c r="H626" s="669" t="n"/>
      <c r="I626" s="669" t="n"/>
      <c r="J626" s="669" t="n"/>
      <c r="K626" s="669" t="n"/>
      <c r="L626" s="669" t="n"/>
      <c r="M626" s="669" t="n"/>
      <c r="N626" s="669" t="n"/>
      <c r="O626" s="669" t="n"/>
      <c r="P626" s="669" t="n"/>
      <c r="Q626" s="669" t="n"/>
      <c r="R626" s="669" t="n"/>
      <c r="S626" s="669" t="n"/>
      <c r="T626" s="669" t="n"/>
      <c r="U626" s="669" t="n"/>
      <c r="V626" s="669" t="n"/>
      <c r="W626" s="669" t="n"/>
      <c r="X626" s="669" t="n"/>
      <c r="Y626" s="669" t="n"/>
      <c r="Z626" s="669" t="n"/>
    </row>
    <row r="627">
      <c r="A627" s="669" t="n"/>
      <c r="B627" s="669" t="n"/>
      <c r="C627" s="669" t="n"/>
      <c r="D627" s="669" t="n"/>
      <c r="E627" s="669" t="n"/>
      <c r="F627" s="669" t="n"/>
      <c r="G627" s="669" t="n"/>
      <c r="H627" s="669" t="n"/>
      <c r="I627" s="669" t="n"/>
      <c r="J627" s="669" t="n"/>
      <c r="K627" s="669" t="n"/>
      <c r="L627" s="669" t="n"/>
      <c r="M627" s="669" t="n"/>
      <c r="N627" s="669" t="n"/>
      <c r="O627" s="669" t="n"/>
      <c r="P627" s="669" t="n"/>
      <c r="Q627" s="669" t="n"/>
      <c r="R627" s="669" t="n"/>
      <c r="S627" s="669" t="n"/>
      <c r="T627" s="669" t="n"/>
      <c r="U627" s="669" t="n"/>
      <c r="V627" s="669" t="n"/>
      <c r="W627" s="669" t="n"/>
      <c r="X627" s="669" t="n"/>
      <c r="Y627" s="669" t="n"/>
      <c r="Z627" s="669" t="n"/>
    </row>
    <row r="628">
      <c r="A628" s="669" t="n"/>
      <c r="B628" s="669" t="n"/>
      <c r="C628" s="669" t="n"/>
      <c r="D628" s="669" t="n"/>
      <c r="E628" s="669" t="n"/>
      <c r="F628" s="669" t="n"/>
      <c r="G628" s="669" t="n"/>
      <c r="H628" s="669" t="n"/>
      <c r="I628" s="669" t="n"/>
      <c r="J628" s="669" t="n"/>
      <c r="K628" s="669" t="n"/>
      <c r="L628" s="669" t="n"/>
      <c r="M628" s="669" t="n"/>
      <c r="N628" s="669" t="n"/>
      <c r="O628" s="669" t="n"/>
      <c r="P628" s="669" t="n"/>
      <c r="Q628" s="669" t="n"/>
      <c r="R628" s="669" t="n"/>
      <c r="S628" s="669" t="n"/>
      <c r="T628" s="669" t="n"/>
      <c r="U628" s="669" t="n"/>
      <c r="V628" s="669" t="n"/>
      <c r="W628" s="669" t="n"/>
      <c r="X628" s="669" t="n"/>
      <c r="Y628" s="669" t="n"/>
      <c r="Z628" s="669" t="n"/>
    </row>
    <row r="629">
      <c r="A629" s="669" t="n"/>
      <c r="B629" s="669" t="n"/>
      <c r="C629" s="669" t="n"/>
      <c r="D629" s="669" t="n"/>
      <c r="E629" s="669" t="n"/>
      <c r="F629" s="669" t="n"/>
      <c r="G629" s="669" t="n"/>
      <c r="H629" s="669" t="n"/>
      <c r="I629" s="669" t="n"/>
      <c r="J629" s="669" t="n"/>
      <c r="K629" s="669" t="n"/>
      <c r="L629" s="669" t="n"/>
      <c r="M629" s="669" t="n"/>
      <c r="N629" s="669" t="n"/>
      <c r="O629" s="669" t="n"/>
      <c r="P629" s="669" t="n"/>
      <c r="Q629" s="669" t="n"/>
      <c r="R629" s="669" t="n"/>
      <c r="S629" s="669" t="n"/>
      <c r="T629" s="669" t="n"/>
      <c r="U629" s="669" t="n"/>
      <c r="V629" s="669" t="n"/>
      <c r="W629" s="669" t="n"/>
      <c r="X629" s="669" t="n"/>
      <c r="Y629" s="669" t="n"/>
      <c r="Z629" s="669" t="n"/>
    </row>
    <row r="630">
      <c r="A630" s="669" t="n"/>
      <c r="B630" s="669" t="n"/>
      <c r="C630" s="669" t="n"/>
      <c r="D630" s="669" t="n"/>
      <c r="E630" s="669" t="n"/>
      <c r="F630" s="669" t="n"/>
      <c r="G630" s="669" t="n"/>
      <c r="H630" s="669" t="n"/>
      <c r="I630" s="669" t="n"/>
      <c r="J630" s="669" t="n"/>
      <c r="K630" s="669" t="n"/>
      <c r="L630" s="669" t="n"/>
      <c r="M630" s="669" t="n"/>
      <c r="N630" s="669" t="n"/>
      <c r="O630" s="669" t="n"/>
      <c r="P630" s="669" t="n"/>
      <c r="Q630" s="669" t="n"/>
      <c r="R630" s="669" t="n"/>
      <c r="S630" s="669" t="n"/>
      <c r="T630" s="669" t="n"/>
      <c r="U630" s="669" t="n"/>
      <c r="V630" s="669" t="n"/>
      <c r="W630" s="669" t="n"/>
      <c r="X630" s="669" t="n"/>
      <c r="Y630" s="669" t="n"/>
      <c r="Z630" s="669" t="n"/>
    </row>
    <row r="631">
      <c r="A631" s="669" t="n"/>
      <c r="B631" s="669" t="n"/>
      <c r="C631" s="669" t="n"/>
      <c r="D631" s="669" t="n"/>
      <c r="E631" s="669" t="n"/>
      <c r="F631" s="669" t="n"/>
      <c r="G631" s="669" t="n"/>
      <c r="H631" s="669" t="n"/>
      <c r="I631" s="669" t="n"/>
      <c r="J631" s="669" t="n"/>
      <c r="K631" s="669" t="n"/>
      <c r="L631" s="669" t="n"/>
      <c r="M631" s="669" t="n"/>
      <c r="N631" s="669" t="n"/>
      <c r="O631" s="669" t="n"/>
      <c r="P631" s="669" t="n"/>
      <c r="Q631" s="669" t="n"/>
      <c r="R631" s="669" t="n"/>
      <c r="S631" s="669" t="n"/>
      <c r="T631" s="669" t="n"/>
      <c r="U631" s="669" t="n"/>
      <c r="V631" s="669" t="n"/>
      <c r="W631" s="669" t="n"/>
      <c r="X631" s="669" t="n"/>
      <c r="Y631" s="669" t="n"/>
      <c r="Z631" s="669" t="n"/>
    </row>
    <row r="632">
      <c r="A632" s="669" t="n"/>
      <c r="B632" s="669" t="n"/>
      <c r="C632" s="669" t="n"/>
      <c r="D632" s="669" t="n"/>
      <c r="E632" s="669" t="n"/>
      <c r="F632" s="669" t="n"/>
      <c r="G632" s="669" t="n"/>
      <c r="H632" s="669" t="n"/>
      <c r="I632" s="669" t="n"/>
      <c r="J632" s="669" t="n"/>
      <c r="K632" s="669" t="n"/>
      <c r="L632" s="669" t="n"/>
      <c r="M632" s="669" t="n"/>
      <c r="N632" s="669" t="n"/>
      <c r="O632" s="669" t="n"/>
      <c r="P632" s="669" t="n"/>
      <c r="Q632" s="669" t="n"/>
      <c r="R632" s="669" t="n"/>
      <c r="S632" s="669" t="n"/>
      <c r="T632" s="669" t="n"/>
      <c r="U632" s="669" t="n"/>
      <c r="V632" s="669" t="n"/>
      <c r="W632" s="669" t="n"/>
      <c r="X632" s="669" t="n"/>
      <c r="Y632" s="669" t="n"/>
      <c r="Z632" s="669" t="n"/>
    </row>
    <row r="633">
      <c r="A633" s="669" t="n"/>
      <c r="B633" s="669" t="n"/>
      <c r="C633" s="669" t="n"/>
      <c r="D633" s="669" t="n"/>
      <c r="E633" s="669" t="n"/>
      <c r="F633" s="669" t="n"/>
      <c r="G633" s="669" t="n"/>
      <c r="H633" s="669" t="n"/>
      <c r="I633" s="669" t="n"/>
      <c r="J633" s="669" t="n"/>
      <c r="K633" s="669" t="n"/>
      <c r="L633" s="669" t="n"/>
      <c r="M633" s="669" t="n"/>
      <c r="N633" s="669" t="n"/>
      <c r="O633" s="669" t="n"/>
      <c r="P633" s="669" t="n"/>
      <c r="Q633" s="669" t="n"/>
      <c r="R633" s="669" t="n"/>
      <c r="S633" s="669" t="n"/>
      <c r="T633" s="669" t="n"/>
      <c r="U633" s="669" t="n"/>
      <c r="V633" s="669" t="n"/>
      <c r="W633" s="669" t="n"/>
      <c r="X633" s="669" t="n"/>
      <c r="Y633" s="669" t="n"/>
      <c r="Z633" s="669" t="n"/>
    </row>
    <row r="634">
      <c r="A634" s="669" t="n"/>
      <c r="B634" s="669" t="n"/>
      <c r="C634" s="669" t="n"/>
      <c r="D634" s="669" t="n"/>
      <c r="E634" s="669" t="n"/>
      <c r="F634" s="669" t="n"/>
      <c r="G634" s="669" t="n"/>
      <c r="H634" s="669" t="n"/>
      <c r="I634" s="669" t="n"/>
      <c r="J634" s="669" t="n"/>
      <c r="K634" s="669" t="n"/>
      <c r="L634" s="669" t="n"/>
      <c r="M634" s="669" t="n"/>
      <c r="N634" s="669" t="n"/>
      <c r="O634" s="669" t="n"/>
      <c r="P634" s="669" t="n"/>
      <c r="Q634" s="669" t="n"/>
      <c r="R634" s="669" t="n"/>
      <c r="S634" s="669" t="n"/>
      <c r="T634" s="669" t="n"/>
      <c r="U634" s="669" t="n"/>
      <c r="V634" s="669" t="n"/>
      <c r="W634" s="669" t="n"/>
      <c r="X634" s="669" t="n"/>
      <c r="Y634" s="669" t="n"/>
      <c r="Z634" s="669" t="n"/>
    </row>
    <row r="635">
      <c r="A635" s="669" t="n"/>
      <c r="B635" s="669" t="n"/>
      <c r="C635" s="669" t="n"/>
      <c r="D635" s="669" t="n"/>
      <c r="E635" s="669" t="n"/>
      <c r="F635" s="669" t="n"/>
      <c r="G635" s="669" t="n"/>
      <c r="H635" s="669" t="n"/>
      <c r="I635" s="669" t="n"/>
      <c r="J635" s="669" t="n"/>
      <c r="K635" s="669" t="n"/>
      <c r="L635" s="669" t="n"/>
      <c r="M635" s="669" t="n"/>
      <c r="N635" s="669" t="n"/>
      <c r="O635" s="669" t="n"/>
      <c r="P635" s="669" t="n"/>
      <c r="Q635" s="669" t="n"/>
      <c r="R635" s="669" t="n"/>
      <c r="S635" s="669" t="n"/>
      <c r="T635" s="669" t="n"/>
      <c r="U635" s="669" t="n"/>
      <c r="V635" s="669" t="n"/>
      <c r="W635" s="669" t="n"/>
      <c r="X635" s="669" t="n"/>
      <c r="Y635" s="669" t="n"/>
      <c r="Z635" s="669" t="n"/>
    </row>
    <row r="636">
      <c r="A636" s="669" t="n"/>
      <c r="B636" s="669" t="n"/>
      <c r="C636" s="669" t="n"/>
      <c r="D636" s="669" t="n"/>
      <c r="E636" s="669" t="n"/>
      <c r="F636" s="669" t="n"/>
      <c r="G636" s="669" t="n"/>
      <c r="H636" s="669" t="n"/>
      <c r="I636" s="669" t="n"/>
      <c r="J636" s="669" t="n"/>
      <c r="K636" s="669" t="n"/>
      <c r="L636" s="669" t="n"/>
      <c r="M636" s="669" t="n"/>
      <c r="N636" s="669" t="n"/>
      <c r="O636" s="669" t="n"/>
      <c r="P636" s="669" t="n"/>
      <c r="Q636" s="669" t="n"/>
      <c r="R636" s="669" t="n"/>
      <c r="S636" s="669" t="n"/>
      <c r="T636" s="669" t="n"/>
      <c r="U636" s="669" t="n"/>
      <c r="V636" s="669" t="n"/>
      <c r="W636" s="669" t="n"/>
      <c r="X636" s="669" t="n"/>
      <c r="Y636" s="669" t="n"/>
      <c r="Z636" s="669" t="n"/>
    </row>
    <row r="637">
      <c r="A637" s="669" t="n"/>
      <c r="B637" s="669" t="n"/>
      <c r="C637" s="669" t="n"/>
      <c r="D637" s="669" t="n"/>
      <c r="E637" s="669" t="n"/>
      <c r="F637" s="669" t="n"/>
      <c r="G637" s="669" t="n"/>
      <c r="H637" s="669" t="n"/>
      <c r="I637" s="669" t="n"/>
      <c r="J637" s="669" t="n"/>
      <c r="K637" s="669" t="n"/>
      <c r="L637" s="669" t="n"/>
      <c r="M637" s="669" t="n"/>
      <c r="N637" s="669" t="n"/>
      <c r="O637" s="669" t="n"/>
      <c r="P637" s="669" t="n"/>
      <c r="Q637" s="669" t="n"/>
      <c r="R637" s="669" t="n"/>
      <c r="S637" s="669" t="n"/>
      <c r="T637" s="669" t="n"/>
      <c r="U637" s="669" t="n"/>
      <c r="V637" s="669" t="n"/>
      <c r="W637" s="669" t="n"/>
      <c r="X637" s="669" t="n"/>
      <c r="Y637" s="669" t="n"/>
      <c r="Z637" s="669" t="n"/>
    </row>
    <row r="638">
      <c r="A638" s="669" t="n"/>
      <c r="B638" s="669" t="n"/>
      <c r="C638" s="669" t="n"/>
      <c r="D638" s="669" t="n"/>
      <c r="E638" s="669" t="n"/>
      <c r="F638" s="669" t="n"/>
      <c r="G638" s="669" t="n"/>
      <c r="H638" s="669" t="n"/>
      <c r="I638" s="669" t="n"/>
      <c r="J638" s="669" t="n"/>
      <c r="K638" s="669" t="n"/>
      <c r="L638" s="669" t="n"/>
      <c r="M638" s="669" t="n"/>
      <c r="N638" s="669" t="n"/>
      <c r="O638" s="669" t="n"/>
      <c r="P638" s="669" t="n"/>
      <c r="Q638" s="669" t="n"/>
      <c r="R638" s="669" t="n"/>
      <c r="S638" s="669" t="n"/>
      <c r="T638" s="669" t="n"/>
      <c r="U638" s="669" t="n"/>
      <c r="V638" s="669" t="n"/>
      <c r="W638" s="669" t="n"/>
      <c r="X638" s="669" t="n"/>
      <c r="Y638" s="669" t="n"/>
      <c r="Z638" s="669" t="n"/>
    </row>
    <row r="639">
      <c r="A639" s="669" t="n"/>
      <c r="B639" s="669" t="n"/>
      <c r="C639" s="669" t="n"/>
      <c r="D639" s="669" t="n"/>
      <c r="E639" s="669" t="n"/>
      <c r="F639" s="669" t="n"/>
      <c r="G639" s="669" t="n"/>
      <c r="H639" s="669" t="n"/>
      <c r="I639" s="669" t="n"/>
      <c r="J639" s="669" t="n"/>
      <c r="K639" s="669" t="n"/>
      <c r="L639" s="669" t="n"/>
      <c r="M639" s="669" t="n"/>
      <c r="N639" s="669" t="n"/>
      <c r="O639" s="669" t="n"/>
      <c r="P639" s="669" t="n"/>
      <c r="Q639" s="669" t="n"/>
      <c r="R639" s="669" t="n"/>
      <c r="S639" s="669" t="n"/>
      <c r="T639" s="669" t="n"/>
      <c r="U639" s="669" t="n"/>
      <c r="V639" s="669" t="n"/>
      <c r="W639" s="669" t="n"/>
      <c r="X639" s="669" t="n"/>
      <c r="Y639" s="669" t="n"/>
      <c r="Z639" s="669" t="n"/>
    </row>
    <row r="640">
      <c r="A640" s="669" t="n"/>
      <c r="B640" s="669" t="n"/>
      <c r="C640" s="669" t="n"/>
      <c r="D640" s="669" t="n"/>
      <c r="E640" s="669" t="n"/>
      <c r="F640" s="669" t="n"/>
      <c r="G640" s="669" t="n"/>
      <c r="H640" s="669" t="n"/>
      <c r="I640" s="669" t="n"/>
      <c r="J640" s="669" t="n"/>
      <c r="K640" s="669" t="n"/>
      <c r="L640" s="669" t="n"/>
      <c r="M640" s="669" t="n"/>
      <c r="N640" s="669" t="n"/>
      <c r="O640" s="669" t="n"/>
      <c r="P640" s="669" t="n"/>
      <c r="Q640" s="669" t="n"/>
      <c r="R640" s="669" t="n"/>
      <c r="S640" s="669" t="n"/>
      <c r="T640" s="669" t="n"/>
      <c r="U640" s="669" t="n"/>
      <c r="V640" s="669" t="n"/>
      <c r="W640" s="669" t="n"/>
      <c r="X640" s="669" t="n"/>
      <c r="Y640" s="669" t="n"/>
      <c r="Z640" s="669" t="n"/>
    </row>
    <row r="641">
      <c r="A641" s="669" t="n"/>
      <c r="B641" s="669" t="n"/>
      <c r="C641" s="669" t="n"/>
      <c r="D641" s="669" t="n"/>
      <c r="E641" s="669" t="n"/>
      <c r="F641" s="669" t="n"/>
      <c r="G641" s="669" t="n"/>
      <c r="H641" s="669" t="n"/>
      <c r="I641" s="669" t="n"/>
      <c r="J641" s="669" t="n"/>
      <c r="K641" s="669" t="n"/>
      <c r="L641" s="669" t="n"/>
      <c r="M641" s="669" t="n"/>
      <c r="N641" s="669" t="n"/>
      <c r="O641" s="669" t="n"/>
      <c r="P641" s="669" t="n"/>
      <c r="Q641" s="669" t="n"/>
      <c r="R641" s="669" t="n"/>
      <c r="S641" s="669" t="n"/>
      <c r="T641" s="669" t="n"/>
      <c r="U641" s="669" t="n"/>
      <c r="V641" s="669" t="n"/>
      <c r="W641" s="669" t="n"/>
      <c r="X641" s="669" t="n"/>
      <c r="Y641" s="669" t="n"/>
      <c r="Z641" s="669" t="n"/>
    </row>
    <row r="642">
      <c r="A642" s="669" t="n"/>
      <c r="B642" s="669" t="n"/>
      <c r="C642" s="669" t="n"/>
      <c r="D642" s="669" t="n"/>
      <c r="E642" s="669" t="n"/>
      <c r="F642" s="669" t="n"/>
      <c r="G642" s="669" t="n"/>
      <c r="H642" s="669" t="n"/>
      <c r="I642" s="669" t="n"/>
      <c r="J642" s="669" t="n"/>
      <c r="K642" s="669" t="n"/>
      <c r="L642" s="669" t="n"/>
      <c r="M642" s="669" t="n"/>
      <c r="N642" s="669" t="n"/>
      <c r="O642" s="669" t="n"/>
      <c r="P642" s="669" t="n"/>
      <c r="Q642" s="669" t="n"/>
      <c r="R642" s="669" t="n"/>
      <c r="S642" s="669" t="n"/>
      <c r="T642" s="669" t="n"/>
      <c r="U642" s="669" t="n"/>
      <c r="V642" s="669" t="n"/>
      <c r="W642" s="669" t="n"/>
      <c r="X642" s="669" t="n"/>
      <c r="Y642" s="669" t="n"/>
      <c r="Z642" s="669" t="n"/>
    </row>
    <row r="643">
      <c r="A643" s="669" t="n"/>
      <c r="B643" s="669" t="n"/>
      <c r="C643" s="669" t="n"/>
      <c r="D643" s="669" t="n"/>
      <c r="E643" s="669" t="n"/>
      <c r="F643" s="669" t="n"/>
      <c r="G643" s="669" t="n"/>
      <c r="H643" s="669" t="n"/>
      <c r="I643" s="669" t="n"/>
      <c r="J643" s="669" t="n"/>
      <c r="K643" s="669" t="n"/>
      <c r="L643" s="669" t="n"/>
      <c r="M643" s="669" t="n"/>
      <c r="N643" s="669" t="n"/>
      <c r="O643" s="669" t="n"/>
      <c r="P643" s="669" t="n"/>
      <c r="Q643" s="669" t="n"/>
      <c r="R643" s="669" t="n"/>
      <c r="S643" s="669" t="n"/>
      <c r="T643" s="669" t="n"/>
      <c r="U643" s="669" t="n"/>
      <c r="V643" s="669" t="n"/>
      <c r="W643" s="669" t="n"/>
      <c r="X643" s="669" t="n"/>
      <c r="Y643" s="669" t="n"/>
      <c r="Z643" s="669" t="n"/>
    </row>
    <row r="644">
      <c r="A644" s="669" t="n"/>
      <c r="B644" s="669" t="n"/>
      <c r="C644" s="669" t="n"/>
      <c r="D644" s="669" t="n"/>
      <c r="E644" s="669" t="n"/>
      <c r="F644" s="669" t="n"/>
      <c r="G644" s="669" t="n"/>
      <c r="H644" s="669" t="n"/>
      <c r="I644" s="669" t="n"/>
      <c r="J644" s="669" t="n"/>
      <c r="K644" s="669" t="n"/>
      <c r="L644" s="669" t="n"/>
      <c r="M644" s="669" t="n"/>
      <c r="N644" s="669" t="n"/>
      <c r="O644" s="669" t="n"/>
      <c r="P644" s="669" t="n"/>
      <c r="Q644" s="669" t="n"/>
      <c r="R644" s="669" t="n"/>
      <c r="S644" s="669" t="n"/>
      <c r="T644" s="669" t="n"/>
      <c r="U644" s="669" t="n"/>
      <c r="V644" s="669" t="n"/>
      <c r="W644" s="669" t="n"/>
      <c r="X644" s="669" t="n"/>
      <c r="Y644" s="669" t="n"/>
      <c r="Z644" s="669" t="n"/>
    </row>
    <row r="645">
      <c r="A645" s="669" t="n"/>
      <c r="B645" s="669" t="n"/>
      <c r="C645" s="669" t="n"/>
      <c r="D645" s="669" t="n"/>
      <c r="E645" s="669" t="n"/>
      <c r="F645" s="669" t="n"/>
      <c r="G645" s="669" t="n"/>
      <c r="H645" s="669" t="n"/>
      <c r="I645" s="669" t="n"/>
      <c r="J645" s="669" t="n"/>
      <c r="K645" s="669" t="n"/>
      <c r="L645" s="669" t="n"/>
      <c r="M645" s="669" t="n"/>
      <c r="N645" s="669" t="n"/>
      <c r="O645" s="669" t="n"/>
      <c r="P645" s="669" t="n"/>
      <c r="Q645" s="669" t="n"/>
      <c r="R645" s="669" t="n"/>
      <c r="S645" s="669" t="n"/>
      <c r="T645" s="669" t="n"/>
      <c r="U645" s="669" t="n"/>
      <c r="V645" s="669" t="n"/>
      <c r="W645" s="669" t="n"/>
      <c r="X645" s="669" t="n"/>
      <c r="Y645" s="669" t="n"/>
      <c r="Z645" s="669" t="n"/>
    </row>
    <row r="646">
      <c r="A646" s="669" t="n"/>
      <c r="B646" s="669" t="n"/>
      <c r="C646" s="669" t="n"/>
      <c r="D646" s="669" t="n"/>
      <c r="E646" s="669" t="n"/>
      <c r="F646" s="669" t="n"/>
      <c r="G646" s="669" t="n"/>
      <c r="H646" s="669" t="n"/>
      <c r="I646" s="669" t="n"/>
      <c r="J646" s="669" t="n"/>
      <c r="K646" s="669" t="n"/>
      <c r="L646" s="669" t="n"/>
      <c r="M646" s="669" t="n"/>
      <c r="N646" s="669" t="n"/>
      <c r="O646" s="669" t="n"/>
      <c r="P646" s="669" t="n"/>
      <c r="Q646" s="669" t="n"/>
      <c r="R646" s="669" t="n"/>
      <c r="S646" s="669" t="n"/>
      <c r="T646" s="669" t="n"/>
      <c r="U646" s="669" t="n"/>
      <c r="V646" s="669" t="n"/>
      <c r="W646" s="669" t="n"/>
      <c r="X646" s="669" t="n"/>
      <c r="Y646" s="669" t="n"/>
      <c r="Z646" s="669" t="n"/>
    </row>
    <row r="647">
      <c r="A647" s="669" t="n"/>
      <c r="B647" s="669" t="n"/>
      <c r="C647" s="669" t="n"/>
      <c r="D647" s="669" t="n"/>
      <c r="E647" s="669" t="n"/>
      <c r="F647" s="669" t="n"/>
      <c r="G647" s="669" t="n"/>
      <c r="H647" s="669" t="n"/>
      <c r="I647" s="669" t="n"/>
      <c r="J647" s="669" t="n"/>
      <c r="K647" s="669" t="n"/>
      <c r="L647" s="669" t="n"/>
      <c r="M647" s="669" t="n"/>
      <c r="N647" s="669" t="n"/>
      <c r="O647" s="669" t="n"/>
      <c r="P647" s="669" t="n"/>
      <c r="Q647" s="669" t="n"/>
      <c r="R647" s="669" t="n"/>
      <c r="S647" s="669" t="n"/>
      <c r="T647" s="669" t="n"/>
      <c r="U647" s="669" t="n"/>
      <c r="V647" s="669" t="n"/>
      <c r="W647" s="669" t="n"/>
      <c r="X647" s="669" t="n"/>
      <c r="Y647" s="669" t="n"/>
      <c r="Z647" s="669" t="n"/>
    </row>
    <row r="648">
      <c r="A648" s="669" t="n"/>
      <c r="B648" s="669" t="n"/>
      <c r="C648" s="669" t="n"/>
      <c r="D648" s="669" t="n"/>
      <c r="E648" s="669" t="n"/>
      <c r="F648" s="669" t="n"/>
      <c r="G648" s="669" t="n"/>
      <c r="H648" s="669" t="n"/>
      <c r="I648" s="669" t="n"/>
      <c r="J648" s="669" t="n"/>
      <c r="K648" s="669" t="n"/>
      <c r="L648" s="669" t="n"/>
      <c r="M648" s="669" t="n"/>
      <c r="N648" s="669" t="n"/>
      <c r="O648" s="669" t="n"/>
      <c r="P648" s="669" t="n"/>
      <c r="Q648" s="669" t="n"/>
      <c r="R648" s="669" t="n"/>
      <c r="S648" s="669" t="n"/>
      <c r="T648" s="669" t="n"/>
      <c r="U648" s="669" t="n"/>
      <c r="V648" s="669" t="n"/>
      <c r="W648" s="669" t="n"/>
      <c r="X648" s="669" t="n"/>
      <c r="Y648" s="669" t="n"/>
      <c r="Z648" s="669" t="n"/>
    </row>
    <row r="649">
      <c r="A649" s="669" t="n"/>
      <c r="B649" s="669" t="n"/>
      <c r="C649" s="669" t="n"/>
      <c r="D649" s="669" t="n"/>
      <c r="E649" s="669" t="n"/>
      <c r="F649" s="669" t="n"/>
      <c r="G649" s="669" t="n"/>
      <c r="H649" s="669" t="n"/>
      <c r="I649" s="669" t="n"/>
      <c r="J649" s="669" t="n"/>
      <c r="K649" s="669" t="n"/>
      <c r="L649" s="669" t="n"/>
      <c r="M649" s="669" t="n"/>
      <c r="N649" s="669" t="n"/>
      <c r="O649" s="669" t="n"/>
      <c r="P649" s="669" t="n"/>
      <c r="Q649" s="669" t="n"/>
      <c r="R649" s="669" t="n"/>
      <c r="S649" s="669" t="n"/>
      <c r="T649" s="669" t="n"/>
      <c r="U649" s="669" t="n"/>
      <c r="V649" s="669" t="n"/>
      <c r="W649" s="669" t="n"/>
      <c r="X649" s="669" t="n"/>
      <c r="Y649" s="669" t="n"/>
      <c r="Z649" s="669" t="n"/>
    </row>
    <row r="650">
      <c r="A650" s="669" t="n"/>
      <c r="B650" s="669" t="n"/>
      <c r="C650" s="669" t="n"/>
      <c r="D650" s="669" t="n"/>
      <c r="E650" s="669" t="n"/>
      <c r="F650" s="669" t="n"/>
      <c r="G650" s="669" t="n"/>
      <c r="H650" s="669" t="n"/>
      <c r="I650" s="669" t="n"/>
      <c r="J650" s="669" t="n"/>
      <c r="K650" s="669" t="n"/>
      <c r="L650" s="669" t="n"/>
      <c r="M650" s="669" t="n"/>
      <c r="N650" s="669" t="n"/>
      <c r="O650" s="669" t="n"/>
      <c r="P650" s="669" t="n"/>
      <c r="Q650" s="669" t="n"/>
      <c r="R650" s="669" t="n"/>
      <c r="S650" s="669" t="n"/>
      <c r="T650" s="669" t="n"/>
      <c r="U650" s="669" t="n"/>
      <c r="V650" s="669" t="n"/>
      <c r="W650" s="669" t="n"/>
      <c r="X650" s="669" t="n"/>
      <c r="Y650" s="669" t="n"/>
      <c r="Z650" s="669" t="n"/>
    </row>
    <row r="651">
      <c r="A651" s="669" t="n"/>
      <c r="B651" s="669" t="n"/>
      <c r="C651" s="669" t="n"/>
      <c r="D651" s="669" t="n"/>
      <c r="E651" s="669" t="n"/>
      <c r="F651" s="669" t="n"/>
      <c r="G651" s="669" t="n"/>
      <c r="H651" s="669" t="n"/>
      <c r="I651" s="669" t="n"/>
      <c r="J651" s="669" t="n"/>
      <c r="K651" s="669" t="n"/>
      <c r="L651" s="669" t="n"/>
      <c r="M651" s="669" t="n"/>
      <c r="N651" s="669" t="n"/>
      <c r="O651" s="669" t="n"/>
      <c r="P651" s="669" t="n"/>
      <c r="Q651" s="669" t="n"/>
      <c r="R651" s="669" t="n"/>
      <c r="S651" s="669" t="n"/>
      <c r="T651" s="669" t="n"/>
      <c r="U651" s="669" t="n"/>
      <c r="V651" s="669" t="n"/>
      <c r="W651" s="669" t="n"/>
      <c r="X651" s="669" t="n"/>
      <c r="Y651" s="669" t="n"/>
      <c r="Z651" s="669" t="n"/>
    </row>
    <row r="652">
      <c r="A652" s="669" t="n"/>
      <c r="B652" s="669" t="n"/>
      <c r="C652" s="669" t="n"/>
      <c r="D652" s="669" t="n"/>
      <c r="E652" s="669" t="n"/>
      <c r="F652" s="669" t="n"/>
      <c r="G652" s="669" t="n"/>
      <c r="H652" s="669" t="n"/>
      <c r="I652" s="669" t="n"/>
      <c r="J652" s="669" t="n"/>
      <c r="K652" s="669" t="n"/>
      <c r="L652" s="669" t="n"/>
      <c r="M652" s="669" t="n"/>
      <c r="N652" s="669" t="n"/>
      <c r="O652" s="669" t="n"/>
      <c r="P652" s="669" t="n"/>
      <c r="Q652" s="669" t="n"/>
      <c r="R652" s="669" t="n"/>
      <c r="S652" s="669" t="n"/>
      <c r="T652" s="669" t="n"/>
      <c r="U652" s="669" t="n"/>
      <c r="V652" s="669" t="n"/>
      <c r="W652" s="669" t="n"/>
      <c r="X652" s="669" t="n"/>
      <c r="Y652" s="669" t="n"/>
      <c r="Z652" s="669" t="n"/>
    </row>
    <row r="653">
      <c r="A653" s="669" t="n"/>
      <c r="B653" s="669" t="n"/>
      <c r="C653" s="669" t="n"/>
      <c r="D653" s="669" t="n"/>
      <c r="E653" s="669" t="n"/>
      <c r="F653" s="669" t="n"/>
      <c r="G653" s="669" t="n"/>
      <c r="H653" s="669" t="n"/>
      <c r="I653" s="669" t="n"/>
      <c r="J653" s="669" t="n"/>
      <c r="K653" s="669" t="n"/>
      <c r="L653" s="669" t="n"/>
      <c r="M653" s="669" t="n"/>
      <c r="N653" s="669" t="n"/>
      <c r="O653" s="669" t="n"/>
      <c r="P653" s="669" t="n"/>
      <c r="Q653" s="669" t="n"/>
      <c r="R653" s="669" t="n"/>
      <c r="S653" s="669" t="n"/>
      <c r="T653" s="669" t="n"/>
      <c r="U653" s="669" t="n"/>
      <c r="V653" s="669" t="n"/>
      <c r="W653" s="669" t="n"/>
      <c r="X653" s="669" t="n"/>
      <c r="Y653" s="669" t="n"/>
      <c r="Z653" s="669" t="n"/>
    </row>
    <row r="654">
      <c r="A654" s="669" t="n"/>
      <c r="B654" s="669" t="n"/>
      <c r="C654" s="669" t="n"/>
      <c r="D654" s="669" t="n"/>
      <c r="E654" s="669" t="n"/>
      <c r="F654" s="669" t="n"/>
      <c r="G654" s="669" t="n"/>
      <c r="H654" s="669" t="n"/>
      <c r="I654" s="669" t="n"/>
      <c r="J654" s="669" t="n"/>
      <c r="K654" s="669" t="n"/>
      <c r="L654" s="669" t="n"/>
      <c r="M654" s="669" t="n"/>
      <c r="N654" s="669" t="n"/>
      <c r="O654" s="669" t="n"/>
      <c r="P654" s="669" t="n"/>
      <c r="Q654" s="669" t="n"/>
      <c r="R654" s="669" t="n"/>
      <c r="S654" s="669" t="n"/>
      <c r="T654" s="669" t="n"/>
      <c r="U654" s="669" t="n"/>
      <c r="V654" s="669" t="n"/>
      <c r="W654" s="669" t="n"/>
      <c r="X654" s="669" t="n"/>
      <c r="Y654" s="669" t="n"/>
      <c r="Z654" s="669" t="n"/>
    </row>
    <row r="655">
      <c r="A655" s="669" t="n"/>
      <c r="B655" s="669" t="n"/>
      <c r="C655" s="669" t="n"/>
      <c r="D655" s="669" t="n"/>
      <c r="E655" s="669" t="n"/>
      <c r="F655" s="669" t="n"/>
      <c r="G655" s="669" t="n"/>
      <c r="H655" s="669" t="n"/>
      <c r="I655" s="669" t="n"/>
      <c r="J655" s="669" t="n"/>
      <c r="K655" s="669" t="n"/>
      <c r="L655" s="669" t="n"/>
      <c r="M655" s="669" t="n"/>
      <c r="N655" s="669" t="n"/>
      <c r="O655" s="669" t="n"/>
      <c r="P655" s="669" t="n"/>
      <c r="Q655" s="669" t="n"/>
      <c r="R655" s="669" t="n"/>
      <c r="S655" s="669" t="n"/>
      <c r="T655" s="669" t="n"/>
      <c r="U655" s="669" t="n"/>
      <c r="V655" s="669" t="n"/>
      <c r="W655" s="669" t="n"/>
      <c r="X655" s="669" t="n"/>
      <c r="Y655" s="669" t="n"/>
      <c r="Z655" s="669" t="n"/>
    </row>
    <row r="656">
      <c r="A656" s="669" t="n"/>
      <c r="B656" s="669" t="n"/>
      <c r="C656" s="669" t="n"/>
      <c r="D656" s="669" t="n"/>
      <c r="E656" s="669" t="n"/>
      <c r="F656" s="669" t="n"/>
      <c r="G656" s="669" t="n"/>
      <c r="H656" s="669" t="n"/>
      <c r="I656" s="669" t="n"/>
      <c r="J656" s="669" t="n"/>
      <c r="K656" s="669" t="n"/>
      <c r="L656" s="669" t="n"/>
      <c r="M656" s="669" t="n"/>
      <c r="N656" s="669" t="n"/>
      <c r="O656" s="669" t="n"/>
      <c r="P656" s="669" t="n"/>
      <c r="Q656" s="669" t="n"/>
      <c r="R656" s="669" t="n"/>
      <c r="S656" s="669" t="n"/>
      <c r="T656" s="669" t="n"/>
      <c r="U656" s="669" t="n"/>
      <c r="V656" s="669" t="n"/>
      <c r="W656" s="669" t="n"/>
      <c r="X656" s="669" t="n"/>
      <c r="Y656" s="669" t="n"/>
      <c r="Z656" s="669" t="n"/>
    </row>
    <row r="657">
      <c r="A657" s="669" t="n"/>
      <c r="B657" s="669" t="n"/>
      <c r="C657" s="669" t="n"/>
      <c r="D657" s="669" t="n"/>
      <c r="E657" s="669" t="n"/>
      <c r="F657" s="669" t="n"/>
      <c r="G657" s="669" t="n"/>
      <c r="H657" s="669" t="n"/>
      <c r="I657" s="669" t="n"/>
      <c r="J657" s="669" t="n"/>
      <c r="K657" s="669" t="n"/>
      <c r="L657" s="669" t="n"/>
      <c r="M657" s="669" t="n"/>
      <c r="N657" s="669" t="n"/>
      <c r="O657" s="669" t="n"/>
      <c r="P657" s="669" t="n"/>
      <c r="Q657" s="669" t="n"/>
      <c r="R657" s="669" t="n"/>
      <c r="S657" s="669" t="n"/>
      <c r="T657" s="669" t="n"/>
      <c r="U657" s="669" t="n"/>
      <c r="V657" s="669" t="n"/>
      <c r="W657" s="669" t="n"/>
      <c r="X657" s="669" t="n"/>
      <c r="Y657" s="669" t="n"/>
      <c r="Z657" s="669" t="n"/>
    </row>
    <row r="658">
      <c r="A658" s="669" t="n"/>
      <c r="B658" s="669" t="n"/>
      <c r="C658" s="669" t="n"/>
      <c r="D658" s="669" t="n"/>
      <c r="E658" s="669" t="n"/>
      <c r="F658" s="669" t="n"/>
      <c r="G658" s="669" t="n"/>
      <c r="H658" s="669" t="n"/>
      <c r="I658" s="669" t="n"/>
      <c r="J658" s="669" t="n"/>
      <c r="K658" s="669" t="n"/>
      <c r="L658" s="669" t="n"/>
      <c r="M658" s="669" t="n"/>
      <c r="N658" s="669" t="n"/>
      <c r="O658" s="669" t="n"/>
      <c r="P658" s="669" t="n"/>
      <c r="Q658" s="669" t="n"/>
      <c r="R658" s="669" t="n"/>
      <c r="S658" s="669" t="n"/>
      <c r="T658" s="669" t="n"/>
      <c r="U658" s="669" t="n"/>
      <c r="V658" s="669" t="n"/>
      <c r="W658" s="669" t="n"/>
      <c r="X658" s="669" t="n"/>
      <c r="Y658" s="669" t="n"/>
      <c r="Z658" s="669" t="n"/>
    </row>
    <row r="659">
      <c r="A659" s="669" t="n"/>
      <c r="B659" s="669" t="n"/>
      <c r="C659" s="669" t="n"/>
      <c r="D659" s="669" t="n"/>
      <c r="E659" s="669" t="n"/>
      <c r="F659" s="669" t="n"/>
      <c r="G659" s="669" t="n"/>
      <c r="H659" s="669" t="n"/>
      <c r="I659" s="669" t="n"/>
      <c r="J659" s="669" t="n"/>
      <c r="K659" s="669" t="n"/>
      <c r="L659" s="669" t="n"/>
      <c r="M659" s="669" t="n"/>
      <c r="N659" s="669" t="n"/>
      <c r="O659" s="669" t="n"/>
      <c r="P659" s="669" t="n"/>
      <c r="Q659" s="669" t="n"/>
      <c r="R659" s="669" t="n"/>
      <c r="S659" s="669" t="n"/>
      <c r="T659" s="669" t="n"/>
      <c r="U659" s="669" t="n"/>
      <c r="V659" s="669" t="n"/>
      <c r="W659" s="669" t="n"/>
      <c r="X659" s="669" t="n"/>
      <c r="Y659" s="669" t="n"/>
      <c r="Z659" s="669" t="n"/>
    </row>
    <row r="660">
      <c r="A660" s="669" t="n"/>
      <c r="B660" s="669" t="n"/>
      <c r="C660" s="669" t="n"/>
      <c r="D660" s="669" t="n"/>
      <c r="E660" s="669" t="n"/>
      <c r="F660" s="669" t="n"/>
      <c r="G660" s="669" t="n"/>
      <c r="H660" s="669" t="n"/>
      <c r="I660" s="669" t="n"/>
      <c r="J660" s="669" t="n"/>
      <c r="K660" s="669" t="n"/>
      <c r="L660" s="669" t="n"/>
      <c r="M660" s="669" t="n"/>
      <c r="N660" s="669" t="n"/>
      <c r="O660" s="669" t="n"/>
      <c r="P660" s="669" t="n"/>
      <c r="Q660" s="669" t="n"/>
      <c r="R660" s="669" t="n"/>
      <c r="S660" s="669" t="n"/>
      <c r="T660" s="669" t="n"/>
      <c r="U660" s="669" t="n"/>
      <c r="V660" s="669" t="n"/>
      <c r="W660" s="669" t="n"/>
      <c r="X660" s="669" t="n"/>
      <c r="Y660" s="669" t="n"/>
      <c r="Z660" s="669" t="n"/>
    </row>
    <row r="661">
      <c r="A661" s="669" t="n"/>
      <c r="B661" s="669" t="n"/>
      <c r="C661" s="669" t="n"/>
      <c r="D661" s="669" t="n"/>
      <c r="E661" s="669" t="n"/>
      <c r="F661" s="669" t="n"/>
      <c r="G661" s="669" t="n"/>
      <c r="H661" s="669" t="n"/>
      <c r="I661" s="669" t="n"/>
      <c r="J661" s="669" t="n"/>
      <c r="K661" s="669" t="n"/>
      <c r="L661" s="669" t="n"/>
      <c r="M661" s="669" t="n"/>
      <c r="N661" s="669" t="n"/>
      <c r="O661" s="669" t="n"/>
      <c r="P661" s="669" t="n"/>
      <c r="Q661" s="669" t="n"/>
      <c r="R661" s="669" t="n"/>
      <c r="S661" s="669" t="n"/>
      <c r="T661" s="669" t="n"/>
      <c r="U661" s="669" t="n"/>
      <c r="V661" s="669" t="n"/>
      <c r="W661" s="669" t="n"/>
      <c r="X661" s="669" t="n"/>
      <c r="Y661" s="669" t="n"/>
      <c r="Z661" s="669" t="n"/>
    </row>
    <row r="662">
      <c r="A662" s="669" t="n"/>
      <c r="B662" s="669" t="n"/>
      <c r="C662" s="669" t="n"/>
      <c r="D662" s="669" t="n"/>
      <c r="E662" s="669" t="n"/>
      <c r="F662" s="669" t="n"/>
      <c r="G662" s="669" t="n"/>
      <c r="H662" s="669" t="n"/>
      <c r="I662" s="669" t="n"/>
      <c r="J662" s="669" t="n"/>
      <c r="K662" s="669" t="n"/>
      <c r="L662" s="669" t="n"/>
      <c r="M662" s="669" t="n"/>
      <c r="N662" s="669" t="n"/>
      <c r="O662" s="669" t="n"/>
      <c r="P662" s="669" t="n"/>
      <c r="Q662" s="669" t="n"/>
      <c r="R662" s="669" t="n"/>
      <c r="S662" s="669" t="n"/>
      <c r="T662" s="669" t="n"/>
      <c r="U662" s="669" t="n"/>
      <c r="V662" s="669" t="n"/>
      <c r="W662" s="669" t="n"/>
      <c r="X662" s="669" t="n"/>
      <c r="Y662" s="669" t="n"/>
      <c r="Z662" s="669" t="n"/>
    </row>
    <row r="663">
      <c r="A663" s="669" t="n"/>
      <c r="B663" s="669" t="n"/>
      <c r="C663" s="669" t="n"/>
      <c r="D663" s="669" t="n"/>
      <c r="E663" s="669" t="n"/>
      <c r="F663" s="669" t="n"/>
      <c r="G663" s="669" t="n"/>
      <c r="H663" s="669" t="n"/>
      <c r="I663" s="669" t="n"/>
      <c r="J663" s="669" t="n"/>
      <c r="K663" s="669" t="n"/>
      <c r="L663" s="669" t="n"/>
      <c r="M663" s="669" t="n"/>
      <c r="N663" s="669" t="n"/>
      <c r="O663" s="669" t="n"/>
      <c r="P663" s="669" t="n"/>
      <c r="Q663" s="669" t="n"/>
      <c r="R663" s="669" t="n"/>
      <c r="S663" s="669" t="n"/>
      <c r="T663" s="669" t="n"/>
      <c r="U663" s="669" t="n"/>
      <c r="V663" s="669" t="n"/>
      <c r="W663" s="669" t="n"/>
      <c r="X663" s="669" t="n"/>
      <c r="Y663" s="669" t="n"/>
      <c r="Z663" s="669" t="n"/>
    </row>
    <row r="664">
      <c r="A664" s="669" t="n"/>
      <c r="B664" s="669" t="n"/>
      <c r="C664" s="669" t="n"/>
      <c r="D664" s="669" t="n"/>
      <c r="E664" s="669" t="n"/>
      <c r="F664" s="669" t="n"/>
      <c r="G664" s="669" t="n"/>
      <c r="H664" s="669" t="n"/>
      <c r="I664" s="669" t="n"/>
      <c r="J664" s="669" t="n"/>
      <c r="K664" s="669" t="n"/>
      <c r="L664" s="669" t="n"/>
      <c r="M664" s="669" t="n"/>
      <c r="N664" s="669" t="n"/>
      <c r="O664" s="669" t="n"/>
      <c r="P664" s="669" t="n"/>
      <c r="Q664" s="669" t="n"/>
      <c r="R664" s="669" t="n"/>
      <c r="S664" s="669" t="n"/>
      <c r="T664" s="669" t="n"/>
      <c r="U664" s="669" t="n"/>
      <c r="V664" s="669" t="n"/>
      <c r="W664" s="669" t="n"/>
      <c r="X664" s="669" t="n"/>
      <c r="Y664" s="669" t="n"/>
      <c r="Z664" s="669" t="n"/>
    </row>
    <row r="665">
      <c r="A665" s="669" t="n"/>
      <c r="B665" s="669" t="n"/>
      <c r="C665" s="669" t="n"/>
      <c r="D665" s="669" t="n"/>
      <c r="E665" s="669" t="n"/>
      <c r="F665" s="669" t="n"/>
      <c r="G665" s="669" t="n"/>
      <c r="H665" s="669" t="n"/>
      <c r="I665" s="669" t="n"/>
      <c r="J665" s="669" t="n"/>
      <c r="K665" s="669" t="n"/>
      <c r="L665" s="669" t="n"/>
      <c r="M665" s="669" t="n"/>
      <c r="N665" s="669" t="n"/>
      <c r="O665" s="669" t="n"/>
      <c r="P665" s="669" t="n"/>
      <c r="Q665" s="669" t="n"/>
      <c r="R665" s="669" t="n"/>
      <c r="S665" s="669" t="n"/>
      <c r="T665" s="669" t="n"/>
      <c r="U665" s="669" t="n"/>
      <c r="V665" s="669" t="n"/>
      <c r="W665" s="669" t="n"/>
      <c r="X665" s="669" t="n"/>
      <c r="Y665" s="669" t="n"/>
      <c r="Z665" s="669" t="n"/>
    </row>
    <row r="666">
      <c r="A666" s="669" t="n"/>
      <c r="B666" s="669" t="n"/>
      <c r="C666" s="669" t="n"/>
      <c r="D666" s="669" t="n"/>
      <c r="E666" s="669" t="n"/>
      <c r="F666" s="669" t="n"/>
      <c r="G666" s="669" t="n"/>
      <c r="H666" s="669" t="n"/>
      <c r="I666" s="669" t="n"/>
      <c r="J666" s="669" t="n"/>
      <c r="K666" s="669" t="n"/>
      <c r="L666" s="669" t="n"/>
      <c r="M666" s="669" t="n"/>
      <c r="N666" s="669" t="n"/>
      <c r="O666" s="669" t="n"/>
      <c r="P666" s="669" t="n"/>
      <c r="Q666" s="669" t="n"/>
      <c r="R666" s="669" t="n"/>
      <c r="S666" s="669" t="n"/>
      <c r="T666" s="669" t="n"/>
      <c r="U666" s="669" t="n"/>
      <c r="V666" s="669" t="n"/>
      <c r="W666" s="669" t="n"/>
      <c r="X666" s="669" t="n"/>
      <c r="Y666" s="669" t="n"/>
      <c r="Z666" s="669" t="n"/>
    </row>
    <row r="667">
      <c r="A667" s="669" t="n"/>
      <c r="B667" s="669" t="n"/>
      <c r="C667" s="669" t="n"/>
      <c r="D667" s="669" t="n"/>
      <c r="E667" s="669" t="n"/>
      <c r="F667" s="669" t="n"/>
      <c r="G667" s="669" t="n"/>
      <c r="H667" s="669" t="n"/>
      <c r="I667" s="669" t="n"/>
      <c r="J667" s="669" t="n"/>
      <c r="K667" s="669" t="n"/>
      <c r="L667" s="669" t="n"/>
      <c r="M667" s="669" t="n"/>
      <c r="N667" s="669" t="n"/>
      <c r="O667" s="669" t="n"/>
      <c r="P667" s="669" t="n"/>
      <c r="Q667" s="669" t="n"/>
      <c r="R667" s="669" t="n"/>
      <c r="S667" s="669" t="n"/>
      <c r="T667" s="669" t="n"/>
      <c r="U667" s="669" t="n"/>
      <c r="V667" s="669" t="n"/>
      <c r="W667" s="669" t="n"/>
      <c r="X667" s="669" t="n"/>
      <c r="Y667" s="669" t="n"/>
      <c r="Z667" s="669" t="n"/>
    </row>
    <row r="668">
      <c r="A668" s="669" t="n"/>
      <c r="B668" s="669" t="n"/>
      <c r="C668" s="669" t="n"/>
      <c r="D668" s="669" t="n"/>
      <c r="E668" s="669" t="n"/>
      <c r="F668" s="669" t="n"/>
      <c r="G668" s="669" t="n"/>
      <c r="H668" s="669" t="n"/>
      <c r="I668" s="669" t="n"/>
      <c r="J668" s="669" t="n"/>
      <c r="K668" s="669" t="n"/>
      <c r="L668" s="669" t="n"/>
      <c r="M668" s="669" t="n"/>
      <c r="N668" s="669" t="n"/>
      <c r="O668" s="669" t="n"/>
      <c r="P668" s="669" t="n"/>
      <c r="Q668" s="669" t="n"/>
      <c r="R668" s="669" t="n"/>
      <c r="S668" s="669" t="n"/>
      <c r="T668" s="669" t="n"/>
      <c r="U668" s="669" t="n"/>
      <c r="V668" s="669" t="n"/>
      <c r="W668" s="669" t="n"/>
      <c r="X668" s="669" t="n"/>
      <c r="Y668" s="669" t="n"/>
      <c r="Z668" s="669" t="n"/>
    </row>
    <row r="669">
      <c r="A669" s="669" t="n"/>
      <c r="B669" s="669" t="n"/>
      <c r="C669" s="669" t="n"/>
      <c r="D669" s="669" t="n"/>
      <c r="E669" s="669" t="n"/>
      <c r="F669" s="669" t="n"/>
      <c r="G669" s="669" t="n"/>
      <c r="H669" s="669" t="n"/>
      <c r="I669" s="669" t="n"/>
      <c r="J669" s="669" t="n"/>
      <c r="K669" s="669" t="n"/>
      <c r="L669" s="669" t="n"/>
      <c r="M669" s="669" t="n"/>
      <c r="N669" s="669" t="n"/>
      <c r="O669" s="669" t="n"/>
      <c r="P669" s="669" t="n"/>
      <c r="Q669" s="669" t="n"/>
      <c r="R669" s="669" t="n"/>
      <c r="S669" s="669" t="n"/>
      <c r="T669" s="669" t="n"/>
      <c r="U669" s="669" t="n"/>
      <c r="V669" s="669" t="n"/>
      <c r="W669" s="669" t="n"/>
      <c r="X669" s="669" t="n"/>
      <c r="Y669" s="669" t="n"/>
      <c r="Z669" s="669" t="n"/>
    </row>
    <row r="670">
      <c r="A670" s="669" t="n"/>
      <c r="B670" s="669" t="n"/>
      <c r="C670" s="669" t="n"/>
      <c r="D670" s="669" t="n"/>
      <c r="E670" s="669" t="n"/>
      <c r="F670" s="669" t="n"/>
      <c r="G670" s="669" t="n"/>
      <c r="H670" s="669" t="n"/>
      <c r="I670" s="669" t="n"/>
      <c r="J670" s="669" t="n"/>
      <c r="K670" s="669" t="n"/>
      <c r="L670" s="669" t="n"/>
      <c r="M670" s="669" t="n"/>
      <c r="N670" s="669" t="n"/>
      <c r="O670" s="669" t="n"/>
      <c r="P670" s="669" t="n"/>
      <c r="Q670" s="669" t="n"/>
      <c r="R670" s="669" t="n"/>
      <c r="S670" s="669" t="n"/>
      <c r="T670" s="669" t="n"/>
      <c r="U670" s="669" t="n"/>
      <c r="V670" s="669" t="n"/>
      <c r="W670" s="669" t="n"/>
      <c r="X670" s="669" t="n"/>
      <c r="Y670" s="669" t="n"/>
      <c r="Z670" s="669" t="n"/>
    </row>
    <row r="671">
      <c r="A671" s="669" t="n"/>
      <c r="B671" s="669" t="n"/>
      <c r="C671" s="669" t="n"/>
      <c r="D671" s="669" t="n"/>
      <c r="E671" s="669" t="n"/>
      <c r="F671" s="669" t="n"/>
      <c r="G671" s="669" t="n"/>
      <c r="H671" s="669" t="n"/>
      <c r="I671" s="669" t="n"/>
      <c r="J671" s="669" t="n"/>
      <c r="K671" s="669" t="n"/>
      <c r="L671" s="669" t="n"/>
      <c r="M671" s="669" t="n"/>
      <c r="N671" s="669" t="n"/>
      <c r="O671" s="669" t="n"/>
      <c r="P671" s="669" t="n"/>
      <c r="Q671" s="669" t="n"/>
      <c r="R671" s="669" t="n"/>
      <c r="S671" s="669" t="n"/>
      <c r="T671" s="669" t="n"/>
      <c r="U671" s="669" t="n"/>
      <c r="V671" s="669" t="n"/>
      <c r="W671" s="669" t="n"/>
      <c r="X671" s="669" t="n"/>
      <c r="Y671" s="669" t="n"/>
      <c r="Z671" s="669" t="n"/>
    </row>
    <row r="672">
      <c r="A672" s="669" t="n"/>
      <c r="B672" s="669" t="n"/>
      <c r="C672" s="669" t="n"/>
      <c r="D672" s="669" t="n"/>
      <c r="E672" s="669" t="n"/>
      <c r="F672" s="669" t="n"/>
      <c r="G672" s="669" t="n"/>
      <c r="H672" s="669" t="n"/>
      <c r="I672" s="669" t="n"/>
      <c r="J672" s="669" t="n"/>
      <c r="K672" s="669" t="n"/>
      <c r="L672" s="669" t="n"/>
      <c r="M672" s="669" t="n"/>
      <c r="N672" s="669" t="n"/>
      <c r="O672" s="669" t="n"/>
      <c r="P672" s="669" t="n"/>
      <c r="Q672" s="669" t="n"/>
      <c r="R672" s="669" t="n"/>
      <c r="S672" s="669" t="n"/>
      <c r="T672" s="669" t="n"/>
      <c r="U672" s="669" t="n"/>
      <c r="V672" s="669" t="n"/>
      <c r="W672" s="669" t="n"/>
      <c r="X672" s="669" t="n"/>
      <c r="Y672" s="669" t="n"/>
      <c r="Z672" s="669" t="n"/>
    </row>
    <row r="673">
      <c r="A673" s="669" t="n"/>
      <c r="B673" s="669" t="n"/>
      <c r="C673" s="669" t="n"/>
      <c r="D673" s="669" t="n"/>
      <c r="E673" s="669" t="n"/>
      <c r="F673" s="669" t="n"/>
      <c r="G673" s="669" t="n"/>
      <c r="H673" s="669" t="n"/>
      <c r="I673" s="669" t="n"/>
      <c r="J673" s="669" t="n"/>
      <c r="K673" s="669" t="n"/>
      <c r="L673" s="669" t="n"/>
      <c r="M673" s="669" t="n"/>
      <c r="N673" s="669" t="n"/>
      <c r="O673" s="669" t="n"/>
      <c r="P673" s="669" t="n"/>
      <c r="Q673" s="669" t="n"/>
      <c r="R673" s="669" t="n"/>
      <c r="S673" s="669" t="n"/>
      <c r="T673" s="669" t="n"/>
      <c r="U673" s="669" t="n"/>
      <c r="V673" s="669" t="n"/>
      <c r="W673" s="669" t="n"/>
      <c r="X673" s="669" t="n"/>
      <c r="Y673" s="669" t="n"/>
      <c r="Z673" s="669" t="n"/>
    </row>
    <row r="674">
      <c r="A674" s="669" t="n"/>
      <c r="B674" s="669" t="n"/>
      <c r="C674" s="669" t="n"/>
      <c r="D674" s="669" t="n"/>
      <c r="E674" s="669" t="n"/>
      <c r="F674" s="669" t="n"/>
      <c r="G674" s="669" t="n"/>
      <c r="H674" s="669" t="n"/>
      <c r="I674" s="669" t="n"/>
      <c r="J674" s="669" t="n"/>
      <c r="K674" s="669" t="n"/>
      <c r="L674" s="669" t="n"/>
      <c r="M674" s="669" t="n"/>
      <c r="N674" s="669" t="n"/>
      <c r="O674" s="669" t="n"/>
      <c r="P674" s="669" t="n"/>
      <c r="Q674" s="669" t="n"/>
      <c r="R674" s="669" t="n"/>
      <c r="S674" s="669" t="n"/>
      <c r="T674" s="669" t="n"/>
      <c r="U674" s="669" t="n"/>
      <c r="V674" s="669" t="n"/>
      <c r="W674" s="669" t="n"/>
      <c r="X674" s="669" t="n"/>
      <c r="Y674" s="669" t="n"/>
      <c r="Z674" s="669" t="n"/>
    </row>
    <row r="675">
      <c r="A675" s="669" t="n"/>
      <c r="B675" s="669" t="n"/>
      <c r="C675" s="669" t="n"/>
      <c r="D675" s="669" t="n"/>
      <c r="E675" s="669" t="n"/>
      <c r="F675" s="669" t="n"/>
      <c r="G675" s="669" t="n"/>
      <c r="H675" s="669" t="n"/>
      <c r="I675" s="669" t="n"/>
      <c r="J675" s="669" t="n"/>
      <c r="K675" s="669" t="n"/>
      <c r="L675" s="669" t="n"/>
      <c r="M675" s="669" t="n"/>
      <c r="N675" s="669" t="n"/>
      <c r="O675" s="669" t="n"/>
      <c r="P675" s="669" t="n"/>
      <c r="Q675" s="669" t="n"/>
      <c r="R675" s="669" t="n"/>
      <c r="S675" s="669" t="n"/>
      <c r="T675" s="669" t="n"/>
      <c r="U675" s="669" t="n"/>
      <c r="V675" s="669" t="n"/>
      <c r="W675" s="669" t="n"/>
      <c r="X675" s="669" t="n"/>
      <c r="Y675" s="669" t="n"/>
      <c r="Z675" s="669" t="n"/>
    </row>
    <row r="676">
      <c r="A676" s="669" t="n"/>
      <c r="B676" s="669" t="n"/>
      <c r="C676" s="669" t="n"/>
      <c r="D676" s="669" t="n"/>
      <c r="E676" s="669" t="n"/>
      <c r="F676" s="669" t="n"/>
      <c r="G676" s="669" t="n"/>
      <c r="H676" s="669" t="n"/>
      <c r="I676" s="669" t="n"/>
      <c r="J676" s="669" t="n"/>
      <c r="K676" s="669" t="n"/>
      <c r="L676" s="669" t="n"/>
      <c r="M676" s="669" t="n"/>
      <c r="N676" s="669" t="n"/>
      <c r="O676" s="669" t="n"/>
      <c r="P676" s="669" t="n"/>
      <c r="Q676" s="669" t="n"/>
      <c r="R676" s="669" t="n"/>
      <c r="S676" s="669" t="n"/>
      <c r="T676" s="669" t="n"/>
      <c r="U676" s="669" t="n"/>
      <c r="V676" s="669" t="n"/>
      <c r="W676" s="669" t="n"/>
      <c r="X676" s="669" t="n"/>
      <c r="Y676" s="669" t="n"/>
      <c r="Z676" s="669" t="n"/>
    </row>
    <row r="677">
      <c r="A677" s="669" t="n"/>
      <c r="B677" s="669" t="n"/>
      <c r="C677" s="669" t="n"/>
      <c r="D677" s="669" t="n"/>
      <c r="E677" s="669" t="n"/>
      <c r="F677" s="669" t="n"/>
      <c r="G677" s="669" t="n"/>
      <c r="H677" s="669" t="n"/>
      <c r="I677" s="669" t="n"/>
      <c r="J677" s="669" t="n"/>
      <c r="K677" s="669" t="n"/>
      <c r="L677" s="669" t="n"/>
      <c r="M677" s="669" t="n"/>
      <c r="N677" s="669" t="n"/>
      <c r="O677" s="669" t="n"/>
      <c r="P677" s="669" t="n"/>
      <c r="Q677" s="669" t="n"/>
      <c r="R677" s="669" t="n"/>
      <c r="S677" s="669" t="n"/>
      <c r="T677" s="669" t="n"/>
      <c r="U677" s="669" t="n"/>
      <c r="V677" s="669" t="n"/>
      <c r="W677" s="669" t="n"/>
      <c r="X677" s="669" t="n"/>
      <c r="Y677" s="669" t="n"/>
      <c r="Z677" s="669" t="n"/>
    </row>
    <row r="678">
      <c r="A678" s="669" t="n"/>
      <c r="B678" s="669" t="n"/>
      <c r="C678" s="669" t="n"/>
      <c r="D678" s="669" t="n"/>
      <c r="E678" s="669" t="n"/>
      <c r="F678" s="669" t="n"/>
      <c r="G678" s="669" t="n"/>
      <c r="H678" s="669" t="n"/>
      <c r="I678" s="669" t="n"/>
      <c r="J678" s="669" t="n"/>
      <c r="K678" s="669" t="n"/>
      <c r="L678" s="669" t="n"/>
      <c r="M678" s="669" t="n"/>
      <c r="N678" s="669" t="n"/>
      <c r="O678" s="669" t="n"/>
      <c r="P678" s="669" t="n"/>
      <c r="Q678" s="669" t="n"/>
      <c r="R678" s="669" t="n"/>
      <c r="S678" s="669" t="n"/>
      <c r="T678" s="669" t="n"/>
      <c r="U678" s="669" t="n"/>
      <c r="V678" s="669" t="n"/>
      <c r="W678" s="669" t="n"/>
      <c r="X678" s="669" t="n"/>
      <c r="Y678" s="669" t="n"/>
      <c r="Z678" s="669" t="n"/>
    </row>
    <row r="679">
      <c r="A679" s="669" t="n"/>
      <c r="B679" s="669" t="n"/>
      <c r="C679" s="669" t="n"/>
      <c r="D679" s="669" t="n"/>
      <c r="E679" s="669" t="n"/>
      <c r="F679" s="669" t="n"/>
      <c r="G679" s="669" t="n"/>
      <c r="H679" s="669" t="n"/>
      <c r="I679" s="669" t="n"/>
      <c r="J679" s="669" t="n"/>
      <c r="K679" s="669" t="n"/>
      <c r="L679" s="669" t="n"/>
      <c r="M679" s="669" t="n"/>
      <c r="N679" s="669" t="n"/>
      <c r="O679" s="669" t="n"/>
      <c r="P679" s="669" t="n"/>
      <c r="Q679" s="669" t="n"/>
      <c r="R679" s="669" t="n"/>
      <c r="S679" s="669" t="n"/>
      <c r="T679" s="669" t="n"/>
      <c r="U679" s="669" t="n"/>
      <c r="V679" s="669" t="n"/>
      <c r="W679" s="669" t="n"/>
      <c r="X679" s="669" t="n"/>
      <c r="Y679" s="669" t="n"/>
      <c r="Z679" s="669" t="n"/>
    </row>
    <row r="680">
      <c r="A680" s="669" t="n"/>
      <c r="B680" s="669" t="n"/>
      <c r="C680" s="669" t="n"/>
      <c r="D680" s="669" t="n"/>
      <c r="E680" s="669" t="n"/>
      <c r="F680" s="669" t="n"/>
      <c r="G680" s="669" t="n"/>
      <c r="H680" s="669" t="n"/>
      <c r="I680" s="669" t="n"/>
      <c r="J680" s="669" t="n"/>
      <c r="K680" s="669" t="n"/>
      <c r="L680" s="669" t="n"/>
      <c r="M680" s="669" t="n"/>
      <c r="N680" s="669" t="n"/>
      <c r="O680" s="669" t="n"/>
      <c r="P680" s="669" t="n"/>
      <c r="Q680" s="669" t="n"/>
      <c r="R680" s="669" t="n"/>
      <c r="S680" s="669" t="n"/>
      <c r="T680" s="669" t="n"/>
      <c r="U680" s="669" t="n"/>
      <c r="V680" s="669" t="n"/>
      <c r="W680" s="669" t="n"/>
      <c r="X680" s="669" t="n"/>
      <c r="Y680" s="669" t="n"/>
      <c r="Z680" s="669" t="n"/>
    </row>
    <row r="681">
      <c r="A681" s="669" t="n"/>
      <c r="B681" s="669" t="n"/>
      <c r="C681" s="669" t="n"/>
      <c r="D681" s="669" t="n"/>
      <c r="E681" s="669" t="n"/>
      <c r="F681" s="669" t="n"/>
      <c r="G681" s="669" t="n"/>
      <c r="H681" s="669" t="n"/>
      <c r="I681" s="669" t="n"/>
      <c r="J681" s="669" t="n"/>
      <c r="K681" s="669" t="n"/>
      <c r="L681" s="669" t="n"/>
      <c r="M681" s="669" t="n"/>
      <c r="N681" s="669" t="n"/>
      <c r="O681" s="669" t="n"/>
      <c r="P681" s="669" t="n"/>
      <c r="Q681" s="669" t="n"/>
      <c r="R681" s="669" t="n"/>
      <c r="S681" s="669" t="n"/>
      <c r="T681" s="669" t="n"/>
      <c r="U681" s="669" t="n"/>
      <c r="V681" s="669" t="n"/>
      <c r="W681" s="669" t="n"/>
      <c r="X681" s="669" t="n"/>
      <c r="Y681" s="669" t="n"/>
      <c r="Z681" s="669" t="n"/>
    </row>
    <row r="682">
      <c r="A682" s="669" t="n"/>
      <c r="B682" s="669" t="n"/>
      <c r="C682" s="669" t="n"/>
      <c r="D682" s="669" t="n"/>
      <c r="E682" s="669" t="n"/>
      <c r="F682" s="669" t="n"/>
      <c r="G682" s="669" t="n"/>
      <c r="H682" s="669" t="n"/>
      <c r="I682" s="669" t="n"/>
      <c r="J682" s="669" t="n"/>
      <c r="K682" s="669" t="n"/>
      <c r="L682" s="669" t="n"/>
      <c r="M682" s="669" t="n"/>
      <c r="N682" s="669" t="n"/>
      <c r="O682" s="669" t="n"/>
      <c r="P682" s="669" t="n"/>
      <c r="Q682" s="669" t="n"/>
      <c r="R682" s="669" t="n"/>
      <c r="S682" s="669" t="n"/>
      <c r="T682" s="669" t="n"/>
      <c r="U682" s="669" t="n"/>
      <c r="V682" s="669" t="n"/>
      <c r="W682" s="669" t="n"/>
      <c r="X682" s="669" t="n"/>
      <c r="Y682" s="669" t="n"/>
      <c r="Z682" s="669" t="n"/>
    </row>
    <row r="683">
      <c r="A683" s="669" t="n"/>
      <c r="B683" s="669" t="n"/>
      <c r="C683" s="669" t="n"/>
      <c r="D683" s="669" t="n"/>
      <c r="E683" s="669" t="n"/>
      <c r="F683" s="669" t="n"/>
      <c r="G683" s="669" t="n"/>
      <c r="H683" s="669" t="n"/>
      <c r="I683" s="669" t="n"/>
      <c r="J683" s="669" t="n"/>
      <c r="K683" s="669" t="n"/>
      <c r="L683" s="669" t="n"/>
      <c r="M683" s="669" t="n"/>
      <c r="N683" s="669" t="n"/>
      <c r="O683" s="669" t="n"/>
      <c r="P683" s="669" t="n"/>
      <c r="Q683" s="669" t="n"/>
      <c r="R683" s="669" t="n"/>
      <c r="S683" s="669" t="n"/>
      <c r="T683" s="669" t="n"/>
      <c r="U683" s="669" t="n"/>
      <c r="V683" s="669" t="n"/>
      <c r="W683" s="669" t="n"/>
      <c r="X683" s="669" t="n"/>
      <c r="Y683" s="669" t="n"/>
      <c r="Z683" s="669" t="n"/>
    </row>
    <row r="684">
      <c r="A684" s="669" t="n"/>
      <c r="B684" s="669" t="n"/>
      <c r="C684" s="669" t="n"/>
      <c r="D684" s="669" t="n"/>
      <c r="E684" s="669" t="n"/>
      <c r="F684" s="669" t="n"/>
      <c r="G684" s="669" t="n"/>
      <c r="H684" s="669" t="n"/>
      <c r="I684" s="669" t="n"/>
      <c r="J684" s="669" t="n"/>
      <c r="K684" s="669" t="n"/>
      <c r="L684" s="669" t="n"/>
      <c r="M684" s="669" t="n"/>
      <c r="N684" s="669" t="n"/>
      <c r="O684" s="669" t="n"/>
      <c r="P684" s="669" t="n"/>
      <c r="Q684" s="669" t="n"/>
      <c r="R684" s="669" t="n"/>
      <c r="S684" s="669" t="n"/>
      <c r="T684" s="669" t="n"/>
      <c r="U684" s="669" t="n"/>
      <c r="V684" s="669" t="n"/>
      <c r="W684" s="669" t="n"/>
      <c r="X684" s="669" t="n"/>
      <c r="Y684" s="669" t="n"/>
      <c r="Z684" s="669" t="n"/>
    </row>
    <row r="685">
      <c r="A685" s="669" t="n"/>
      <c r="B685" s="669" t="n"/>
      <c r="C685" s="669" t="n"/>
      <c r="D685" s="669" t="n"/>
      <c r="E685" s="669" t="n"/>
      <c r="F685" s="669" t="n"/>
      <c r="G685" s="669" t="n"/>
      <c r="H685" s="669" t="n"/>
      <c r="I685" s="669" t="n"/>
      <c r="J685" s="669" t="n"/>
      <c r="K685" s="669" t="n"/>
      <c r="L685" s="669" t="n"/>
      <c r="M685" s="669" t="n"/>
      <c r="N685" s="669" t="n"/>
      <c r="O685" s="669" t="n"/>
      <c r="P685" s="669" t="n"/>
      <c r="Q685" s="669" t="n"/>
      <c r="R685" s="669" t="n"/>
      <c r="S685" s="669" t="n"/>
      <c r="T685" s="669" t="n"/>
      <c r="U685" s="669" t="n"/>
      <c r="V685" s="669" t="n"/>
      <c r="W685" s="669" t="n"/>
      <c r="X685" s="669" t="n"/>
      <c r="Y685" s="669" t="n"/>
      <c r="Z685" s="669" t="n"/>
    </row>
    <row r="686">
      <c r="A686" s="669" t="n"/>
      <c r="B686" s="669" t="n"/>
      <c r="C686" s="669" t="n"/>
      <c r="D686" s="669" t="n"/>
      <c r="E686" s="669" t="n"/>
      <c r="F686" s="669" t="n"/>
      <c r="G686" s="669" t="n"/>
      <c r="H686" s="669" t="n"/>
      <c r="I686" s="669" t="n"/>
      <c r="J686" s="669" t="n"/>
      <c r="K686" s="669" t="n"/>
      <c r="L686" s="669" t="n"/>
      <c r="M686" s="669" t="n"/>
      <c r="N686" s="669" t="n"/>
      <c r="O686" s="669" t="n"/>
      <c r="P686" s="669" t="n"/>
      <c r="Q686" s="669" t="n"/>
      <c r="R686" s="669" t="n"/>
      <c r="S686" s="669" t="n"/>
      <c r="T686" s="669" t="n"/>
      <c r="U686" s="669" t="n"/>
      <c r="V686" s="669" t="n"/>
      <c r="W686" s="669" t="n"/>
      <c r="X686" s="669" t="n"/>
      <c r="Y686" s="669" t="n"/>
      <c r="Z686" s="669" t="n"/>
    </row>
    <row r="687">
      <c r="A687" s="669" t="n"/>
      <c r="B687" s="669" t="n"/>
      <c r="C687" s="669" t="n"/>
      <c r="D687" s="669" t="n"/>
      <c r="E687" s="669" t="n"/>
      <c r="F687" s="669" t="n"/>
      <c r="G687" s="669" t="n"/>
      <c r="H687" s="669" t="n"/>
      <c r="I687" s="669" t="n"/>
      <c r="J687" s="669" t="n"/>
      <c r="K687" s="669" t="n"/>
      <c r="L687" s="669" t="n"/>
      <c r="M687" s="669" t="n"/>
      <c r="N687" s="669" t="n"/>
      <c r="O687" s="669" t="n"/>
      <c r="P687" s="669" t="n"/>
      <c r="Q687" s="669" t="n"/>
      <c r="R687" s="669" t="n"/>
      <c r="S687" s="669" t="n"/>
      <c r="T687" s="669" t="n"/>
      <c r="U687" s="669" t="n"/>
      <c r="V687" s="669" t="n"/>
      <c r="W687" s="669" t="n"/>
      <c r="X687" s="669" t="n"/>
      <c r="Y687" s="669" t="n"/>
      <c r="Z687" s="669" t="n"/>
    </row>
    <row r="688">
      <c r="A688" s="669" t="n"/>
      <c r="B688" s="669" t="n"/>
      <c r="C688" s="669" t="n"/>
      <c r="D688" s="669" t="n"/>
      <c r="E688" s="669" t="n"/>
      <c r="F688" s="669" t="n"/>
      <c r="G688" s="669" t="n"/>
      <c r="H688" s="669" t="n"/>
      <c r="I688" s="669" t="n"/>
      <c r="J688" s="669" t="n"/>
      <c r="K688" s="669" t="n"/>
      <c r="L688" s="669" t="n"/>
      <c r="M688" s="669" t="n"/>
      <c r="N688" s="669" t="n"/>
      <c r="O688" s="669" t="n"/>
      <c r="P688" s="669" t="n"/>
      <c r="Q688" s="669" t="n"/>
      <c r="R688" s="669" t="n"/>
      <c r="S688" s="669" t="n"/>
      <c r="T688" s="669" t="n"/>
      <c r="U688" s="669" t="n"/>
      <c r="V688" s="669" t="n"/>
      <c r="W688" s="669" t="n"/>
      <c r="X688" s="669" t="n"/>
      <c r="Y688" s="669" t="n"/>
      <c r="Z688" s="669" t="n"/>
    </row>
    <row r="689">
      <c r="A689" s="669" t="n"/>
      <c r="B689" s="669" t="n"/>
      <c r="C689" s="669" t="n"/>
      <c r="D689" s="669" t="n"/>
      <c r="E689" s="669" t="n"/>
      <c r="F689" s="669" t="n"/>
      <c r="G689" s="669" t="n"/>
      <c r="H689" s="669" t="n"/>
      <c r="I689" s="669" t="n"/>
      <c r="J689" s="669" t="n"/>
      <c r="K689" s="669" t="n"/>
      <c r="L689" s="669" t="n"/>
      <c r="M689" s="669" t="n"/>
      <c r="N689" s="669" t="n"/>
      <c r="O689" s="669" t="n"/>
      <c r="P689" s="669" t="n"/>
      <c r="Q689" s="669" t="n"/>
      <c r="R689" s="669" t="n"/>
      <c r="S689" s="669" t="n"/>
      <c r="T689" s="669" t="n"/>
      <c r="U689" s="669" t="n"/>
      <c r="V689" s="669" t="n"/>
      <c r="W689" s="669" t="n"/>
      <c r="X689" s="669" t="n"/>
      <c r="Y689" s="669" t="n"/>
      <c r="Z689" s="669" t="n"/>
    </row>
    <row r="690">
      <c r="A690" s="669" t="n"/>
      <c r="B690" s="669" t="n"/>
      <c r="C690" s="669" t="n"/>
      <c r="D690" s="669" t="n"/>
      <c r="E690" s="669" t="n"/>
      <c r="F690" s="669" t="n"/>
      <c r="G690" s="669" t="n"/>
      <c r="H690" s="669" t="n"/>
      <c r="I690" s="669" t="n"/>
      <c r="J690" s="669" t="n"/>
      <c r="K690" s="669" t="n"/>
      <c r="L690" s="669" t="n"/>
      <c r="M690" s="669" t="n"/>
      <c r="N690" s="669" t="n"/>
      <c r="O690" s="669" t="n"/>
      <c r="P690" s="669" t="n"/>
      <c r="Q690" s="669" t="n"/>
      <c r="R690" s="669" t="n"/>
      <c r="S690" s="669" t="n"/>
      <c r="T690" s="669" t="n"/>
      <c r="U690" s="669" t="n"/>
      <c r="V690" s="669" t="n"/>
      <c r="W690" s="669" t="n"/>
      <c r="X690" s="669" t="n"/>
      <c r="Y690" s="669" t="n"/>
      <c r="Z690" s="669" t="n"/>
    </row>
    <row r="691">
      <c r="A691" s="669" t="n"/>
      <c r="B691" s="669" t="n"/>
      <c r="C691" s="669" t="n"/>
      <c r="D691" s="669" t="n"/>
      <c r="E691" s="669" t="n"/>
      <c r="F691" s="669" t="n"/>
      <c r="G691" s="669" t="n"/>
      <c r="H691" s="669" t="n"/>
      <c r="I691" s="669" t="n"/>
      <c r="J691" s="669" t="n"/>
      <c r="K691" s="669" t="n"/>
      <c r="L691" s="669" t="n"/>
      <c r="M691" s="669" t="n"/>
      <c r="N691" s="669" t="n"/>
      <c r="O691" s="669" t="n"/>
      <c r="P691" s="669" t="n"/>
      <c r="Q691" s="669" t="n"/>
      <c r="R691" s="669" t="n"/>
      <c r="S691" s="669" t="n"/>
      <c r="T691" s="669" t="n"/>
      <c r="U691" s="669" t="n"/>
      <c r="V691" s="669" t="n"/>
      <c r="W691" s="669" t="n"/>
      <c r="X691" s="669" t="n"/>
      <c r="Y691" s="669" t="n"/>
      <c r="Z691" s="669" t="n"/>
    </row>
    <row r="692">
      <c r="A692" s="669" t="n"/>
      <c r="B692" s="669" t="n"/>
      <c r="C692" s="669" t="n"/>
      <c r="D692" s="669" t="n"/>
      <c r="E692" s="669" t="n"/>
      <c r="F692" s="669" t="n"/>
      <c r="G692" s="669" t="n"/>
      <c r="H692" s="669" t="n"/>
      <c r="I692" s="669" t="n"/>
      <c r="J692" s="669" t="n"/>
      <c r="K692" s="669" t="n"/>
      <c r="L692" s="669" t="n"/>
      <c r="M692" s="669" t="n"/>
      <c r="N692" s="669" t="n"/>
      <c r="O692" s="669" t="n"/>
      <c r="P692" s="669" t="n"/>
      <c r="Q692" s="669" t="n"/>
      <c r="R692" s="669" t="n"/>
      <c r="S692" s="669" t="n"/>
      <c r="T692" s="669" t="n"/>
      <c r="U692" s="669" t="n"/>
      <c r="V692" s="669" t="n"/>
      <c r="W692" s="669" t="n"/>
      <c r="X692" s="669" t="n"/>
      <c r="Y692" s="669" t="n"/>
      <c r="Z692" s="669" t="n"/>
    </row>
    <row r="693">
      <c r="A693" s="669" t="n"/>
      <c r="B693" s="669" t="n"/>
      <c r="C693" s="669" t="n"/>
      <c r="D693" s="669" t="n"/>
      <c r="E693" s="669" t="n"/>
      <c r="F693" s="669" t="n"/>
      <c r="G693" s="669" t="n"/>
      <c r="H693" s="669" t="n"/>
      <c r="I693" s="669" t="n"/>
      <c r="J693" s="669" t="n"/>
      <c r="K693" s="669" t="n"/>
      <c r="L693" s="669" t="n"/>
      <c r="M693" s="669" t="n"/>
      <c r="N693" s="669" t="n"/>
      <c r="O693" s="669" t="n"/>
      <c r="P693" s="669" t="n"/>
      <c r="Q693" s="669" t="n"/>
      <c r="R693" s="669" t="n"/>
      <c r="S693" s="669" t="n"/>
      <c r="T693" s="669" t="n"/>
      <c r="U693" s="669" t="n"/>
      <c r="V693" s="669" t="n"/>
      <c r="W693" s="669" t="n"/>
      <c r="X693" s="669" t="n"/>
      <c r="Y693" s="669" t="n"/>
      <c r="Z693" s="669" t="n"/>
    </row>
    <row r="694">
      <c r="A694" s="669" t="n"/>
      <c r="B694" s="669" t="n"/>
      <c r="C694" s="669" t="n"/>
      <c r="D694" s="669" t="n"/>
      <c r="E694" s="669" t="n"/>
      <c r="F694" s="669" t="n"/>
      <c r="G694" s="669" t="n"/>
      <c r="H694" s="669" t="n"/>
      <c r="I694" s="669" t="n"/>
      <c r="J694" s="669" t="n"/>
      <c r="K694" s="669" t="n"/>
      <c r="L694" s="669" t="n"/>
      <c r="M694" s="669" t="n"/>
      <c r="N694" s="669" t="n"/>
      <c r="O694" s="669" t="n"/>
      <c r="P694" s="669" t="n"/>
      <c r="Q694" s="669" t="n"/>
      <c r="R694" s="669" t="n"/>
      <c r="S694" s="669" t="n"/>
      <c r="T694" s="669" t="n"/>
      <c r="U694" s="669" t="n"/>
      <c r="V694" s="669" t="n"/>
      <c r="W694" s="669" t="n"/>
      <c r="X694" s="669" t="n"/>
      <c r="Y694" s="669" t="n"/>
      <c r="Z694" s="669" t="n"/>
    </row>
    <row r="695">
      <c r="A695" s="669" t="n"/>
      <c r="B695" s="669" t="n"/>
      <c r="C695" s="669" t="n"/>
      <c r="D695" s="669" t="n"/>
      <c r="E695" s="669" t="n"/>
      <c r="F695" s="669" t="n"/>
      <c r="G695" s="669" t="n"/>
      <c r="H695" s="669" t="n"/>
      <c r="I695" s="669" t="n"/>
      <c r="J695" s="669" t="n"/>
      <c r="K695" s="669" t="n"/>
      <c r="L695" s="669" t="n"/>
      <c r="M695" s="669" t="n"/>
      <c r="N695" s="669" t="n"/>
      <c r="O695" s="669" t="n"/>
      <c r="P695" s="669" t="n"/>
      <c r="Q695" s="669" t="n"/>
      <c r="R695" s="669" t="n"/>
      <c r="S695" s="669" t="n"/>
      <c r="T695" s="669" t="n"/>
      <c r="U695" s="669" t="n"/>
      <c r="V695" s="669" t="n"/>
      <c r="W695" s="669" t="n"/>
      <c r="X695" s="669" t="n"/>
      <c r="Y695" s="669" t="n"/>
      <c r="Z695" s="669" t="n"/>
    </row>
    <row r="696">
      <c r="A696" s="669" t="n"/>
      <c r="B696" s="669" t="n"/>
      <c r="C696" s="669" t="n"/>
      <c r="D696" s="669" t="n"/>
      <c r="E696" s="669" t="n"/>
      <c r="F696" s="669" t="n"/>
      <c r="G696" s="669" t="n"/>
      <c r="H696" s="669" t="n"/>
      <c r="I696" s="669" t="n"/>
      <c r="J696" s="669" t="n"/>
      <c r="K696" s="669" t="n"/>
      <c r="L696" s="669" t="n"/>
      <c r="M696" s="669" t="n"/>
      <c r="N696" s="669" t="n"/>
      <c r="O696" s="669" t="n"/>
      <c r="P696" s="669" t="n"/>
      <c r="Q696" s="669" t="n"/>
      <c r="R696" s="669" t="n"/>
      <c r="S696" s="669" t="n"/>
      <c r="T696" s="669" t="n"/>
      <c r="U696" s="669" t="n"/>
      <c r="V696" s="669" t="n"/>
      <c r="W696" s="669" t="n"/>
      <c r="X696" s="669" t="n"/>
      <c r="Y696" s="669" t="n"/>
      <c r="Z696" s="669" t="n"/>
    </row>
    <row r="697">
      <c r="A697" s="669" t="n"/>
      <c r="B697" s="669" t="n"/>
      <c r="C697" s="669" t="n"/>
      <c r="D697" s="669" t="n"/>
      <c r="E697" s="669" t="n"/>
      <c r="F697" s="669" t="n"/>
      <c r="G697" s="669" t="n"/>
      <c r="H697" s="669" t="n"/>
      <c r="I697" s="669" t="n"/>
      <c r="J697" s="669" t="n"/>
      <c r="K697" s="669" t="n"/>
      <c r="L697" s="669" t="n"/>
      <c r="M697" s="669" t="n"/>
      <c r="N697" s="669" t="n"/>
      <c r="O697" s="669" t="n"/>
      <c r="P697" s="669" t="n"/>
      <c r="Q697" s="669" t="n"/>
      <c r="R697" s="669" t="n"/>
      <c r="S697" s="669" t="n"/>
      <c r="T697" s="669" t="n"/>
      <c r="U697" s="669" t="n"/>
      <c r="V697" s="669" t="n"/>
      <c r="W697" s="669" t="n"/>
      <c r="X697" s="669" t="n"/>
      <c r="Y697" s="669" t="n"/>
      <c r="Z697" s="669" t="n"/>
    </row>
    <row r="698">
      <c r="A698" s="669" t="n"/>
      <c r="B698" s="669" t="n"/>
      <c r="C698" s="669" t="n"/>
      <c r="D698" s="669" t="n"/>
      <c r="E698" s="669" t="n"/>
      <c r="F698" s="669" t="n"/>
      <c r="G698" s="669" t="n"/>
      <c r="H698" s="669" t="n"/>
      <c r="I698" s="669" t="n"/>
      <c r="J698" s="669" t="n"/>
      <c r="K698" s="669" t="n"/>
      <c r="L698" s="669" t="n"/>
      <c r="M698" s="669" t="n"/>
      <c r="N698" s="669" t="n"/>
      <c r="O698" s="669" t="n"/>
      <c r="P698" s="669" t="n"/>
      <c r="Q698" s="669" t="n"/>
      <c r="R698" s="669" t="n"/>
      <c r="S698" s="669" t="n"/>
      <c r="T698" s="669" t="n"/>
      <c r="U698" s="669" t="n"/>
      <c r="V698" s="669" t="n"/>
      <c r="W698" s="669" t="n"/>
      <c r="X698" s="669" t="n"/>
      <c r="Y698" s="669" t="n"/>
      <c r="Z698" s="669" t="n"/>
    </row>
    <row r="699">
      <c r="A699" s="669" t="n"/>
      <c r="B699" s="669" t="n"/>
      <c r="C699" s="669" t="n"/>
      <c r="D699" s="669" t="n"/>
      <c r="E699" s="669" t="n"/>
      <c r="F699" s="669" t="n"/>
      <c r="G699" s="669" t="n"/>
      <c r="H699" s="669" t="n"/>
      <c r="I699" s="669" t="n"/>
      <c r="J699" s="669" t="n"/>
      <c r="K699" s="669" t="n"/>
      <c r="L699" s="669" t="n"/>
      <c r="M699" s="669" t="n"/>
      <c r="N699" s="669" t="n"/>
      <c r="O699" s="669" t="n"/>
      <c r="P699" s="669" t="n"/>
      <c r="Q699" s="669" t="n"/>
      <c r="R699" s="669" t="n"/>
      <c r="S699" s="669" t="n"/>
      <c r="T699" s="669" t="n"/>
      <c r="U699" s="669" t="n"/>
      <c r="V699" s="669" t="n"/>
      <c r="W699" s="669" t="n"/>
      <c r="X699" s="669" t="n"/>
      <c r="Y699" s="669" t="n"/>
      <c r="Z699" s="669" t="n"/>
    </row>
    <row r="700">
      <c r="A700" s="669" t="n"/>
      <c r="B700" s="669" t="n"/>
      <c r="C700" s="669" t="n"/>
      <c r="D700" s="669" t="n"/>
      <c r="E700" s="669" t="n"/>
      <c r="F700" s="669" t="n"/>
      <c r="G700" s="669" t="n"/>
      <c r="H700" s="669" t="n"/>
      <c r="I700" s="669" t="n"/>
      <c r="J700" s="669" t="n"/>
      <c r="K700" s="669" t="n"/>
      <c r="L700" s="669" t="n"/>
      <c r="M700" s="669" t="n"/>
      <c r="N700" s="669" t="n"/>
      <c r="O700" s="669" t="n"/>
      <c r="P700" s="669" t="n"/>
      <c r="Q700" s="669" t="n"/>
      <c r="R700" s="669" t="n"/>
      <c r="S700" s="669" t="n"/>
      <c r="T700" s="669" t="n"/>
      <c r="U700" s="669" t="n"/>
      <c r="V700" s="669" t="n"/>
      <c r="W700" s="669" t="n"/>
      <c r="X700" s="669" t="n"/>
      <c r="Y700" s="669" t="n"/>
      <c r="Z700" s="669" t="n"/>
    </row>
    <row r="701">
      <c r="A701" s="669" t="n"/>
      <c r="B701" s="669" t="n"/>
      <c r="C701" s="669" t="n"/>
      <c r="D701" s="669" t="n"/>
      <c r="E701" s="669" t="n"/>
      <c r="F701" s="669" t="n"/>
      <c r="G701" s="669" t="n"/>
      <c r="H701" s="669" t="n"/>
      <c r="I701" s="669" t="n"/>
      <c r="J701" s="669" t="n"/>
      <c r="K701" s="669" t="n"/>
      <c r="L701" s="669" t="n"/>
      <c r="M701" s="669" t="n"/>
      <c r="N701" s="669" t="n"/>
      <c r="O701" s="669" t="n"/>
      <c r="P701" s="669" t="n"/>
      <c r="Q701" s="669" t="n"/>
      <c r="R701" s="669" t="n"/>
      <c r="S701" s="669" t="n"/>
      <c r="T701" s="669" t="n"/>
      <c r="U701" s="669" t="n"/>
      <c r="V701" s="669" t="n"/>
      <c r="W701" s="669" t="n"/>
      <c r="X701" s="669" t="n"/>
      <c r="Y701" s="669" t="n"/>
      <c r="Z701" s="669" t="n"/>
    </row>
    <row r="702">
      <c r="A702" s="669" t="n"/>
      <c r="B702" s="669" t="n"/>
      <c r="C702" s="669" t="n"/>
      <c r="D702" s="669" t="n"/>
      <c r="E702" s="669" t="n"/>
      <c r="F702" s="669" t="n"/>
      <c r="G702" s="669" t="n"/>
      <c r="H702" s="669" t="n"/>
      <c r="I702" s="669" t="n"/>
      <c r="J702" s="669" t="n"/>
      <c r="K702" s="669" t="n"/>
      <c r="L702" s="669" t="n"/>
      <c r="M702" s="669" t="n"/>
      <c r="N702" s="669" t="n"/>
      <c r="O702" s="669" t="n"/>
      <c r="P702" s="669" t="n"/>
      <c r="Q702" s="669" t="n"/>
      <c r="R702" s="669" t="n"/>
      <c r="S702" s="669" t="n"/>
      <c r="T702" s="669" t="n"/>
      <c r="U702" s="669" t="n"/>
      <c r="V702" s="669" t="n"/>
      <c r="W702" s="669" t="n"/>
      <c r="X702" s="669" t="n"/>
      <c r="Y702" s="669" t="n"/>
      <c r="Z702" s="669" t="n"/>
    </row>
    <row r="703">
      <c r="A703" s="669" t="n"/>
      <c r="B703" s="669" t="n"/>
      <c r="C703" s="669" t="n"/>
      <c r="D703" s="669" t="n"/>
      <c r="E703" s="669" t="n"/>
      <c r="F703" s="669" t="n"/>
      <c r="G703" s="669" t="n"/>
      <c r="H703" s="669" t="n"/>
      <c r="I703" s="669" t="n"/>
      <c r="J703" s="669" t="n"/>
      <c r="K703" s="669" t="n"/>
      <c r="L703" s="669" t="n"/>
      <c r="M703" s="669" t="n"/>
      <c r="N703" s="669" t="n"/>
      <c r="O703" s="669" t="n"/>
      <c r="P703" s="669" t="n"/>
      <c r="Q703" s="669" t="n"/>
      <c r="R703" s="669" t="n"/>
      <c r="S703" s="669" t="n"/>
      <c r="T703" s="669" t="n"/>
      <c r="U703" s="669" t="n"/>
      <c r="V703" s="669" t="n"/>
      <c r="W703" s="669" t="n"/>
      <c r="X703" s="669" t="n"/>
      <c r="Y703" s="669" t="n"/>
      <c r="Z703" s="669" t="n"/>
    </row>
    <row r="704">
      <c r="A704" s="669" t="n"/>
      <c r="B704" s="669" t="n"/>
      <c r="C704" s="669" t="n"/>
      <c r="D704" s="669" t="n"/>
      <c r="E704" s="669" t="n"/>
      <c r="F704" s="669" t="n"/>
      <c r="G704" s="669" t="n"/>
      <c r="H704" s="669" t="n"/>
      <c r="I704" s="669" t="n"/>
      <c r="J704" s="669" t="n"/>
      <c r="K704" s="669" t="n"/>
      <c r="L704" s="669" t="n"/>
      <c r="M704" s="669" t="n"/>
      <c r="N704" s="669" t="n"/>
      <c r="O704" s="669" t="n"/>
      <c r="P704" s="669" t="n"/>
      <c r="Q704" s="669" t="n"/>
      <c r="R704" s="669" t="n"/>
      <c r="S704" s="669" t="n"/>
      <c r="T704" s="669" t="n"/>
      <c r="U704" s="669" t="n"/>
      <c r="V704" s="669" t="n"/>
      <c r="W704" s="669" t="n"/>
      <c r="X704" s="669" t="n"/>
      <c r="Y704" s="669" t="n"/>
      <c r="Z704" s="669" t="n"/>
    </row>
    <row r="705">
      <c r="A705" s="669" t="n"/>
      <c r="B705" s="669" t="n"/>
      <c r="C705" s="669" t="n"/>
      <c r="D705" s="669" t="n"/>
      <c r="E705" s="669" t="n"/>
      <c r="F705" s="669" t="n"/>
      <c r="G705" s="669" t="n"/>
      <c r="H705" s="669" t="n"/>
      <c r="I705" s="669" t="n"/>
      <c r="J705" s="669" t="n"/>
      <c r="K705" s="669" t="n"/>
      <c r="L705" s="669" t="n"/>
      <c r="M705" s="669" t="n"/>
      <c r="N705" s="669" t="n"/>
      <c r="O705" s="669" t="n"/>
      <c r="P705" s="669" t="n"/>
      <c r="Q705" s="669" t="n"/>
      <c r="R705" s="669" t="n"/>
      <c r="S705" s="669" t="n"/>
      <c r="T705" s="669" t="n"/>
      <c r="U705" s="669" t="n"/>
      <c r="V705" s="669" t="n"/>
      <c r="W705" s="669" t="n"/>
      <c r="X705" s="669" t="n"/>
      <c r="Y705" s="669" t="n"/>
      <c r="Z705" s="669" t="n"/>
    </row>
    <row r="706">
      <c r="A706" s="669" t="n"/>
      <c r="B706" s="669" t="n"/>
      <c r="C706" s="669" t="n"/>
      <c r="D706" s="669" t="n"/>
      <c r="E706" s="669" t="n"/>
      <c r="F706" s="669" t="n"/>
      <c r="G706" s="669" t="n"/>
      <c r="H706" s="669" t="n"/>
      <c r="I706" s="669" t="n"/>
      <c r="J706" s="669" t="n"/>
      <c r="K706" s="669" t="n"/>
      <c r="L706" s="669" t="n"/>
      <c r="M706" s="669" t="n"/>
      <c r="N706" s="669" t="n"/>
      <c r="O706" s="669" t="n"/>
      <c r="P706" s="669" t="n"/>
      <c r="Q706" s="669" t="n"/>
      <c r="R706" s="669" t="n"/>
      <c r="S706" s="669" t="n"/>
      <c r="T706" s="669" t="n"/>
      <c r="U706" s="669" t="n"/>
      <c r="V706" s="669" t="n"/>
      <c r="W706" s="669" t="n"/>
      <c r="X706" s="669" t="n"/>
      <c r="Y706" s="669" t="n"/>
      <c r="Z706" s="669" t="n"/>
    </row>
    <row r="707">
      <c r="A707" s="669" t="n"/>
      <c r="B707" s="669" t="n"/>
      <c r="C707" s="669" t="n"/>
      <c r="D707" s="669" t="n"/>
      <c r="E707" s="669" t="n"/>
      <c r="F707" s="669" t="n"/>
      <c r="G707" s="669" t="n"/>
      <c r="H707" s="669" t="n"/>
      <c r="I707" s="669" t="n"/>
      <c r="J707" s="669" t="n"/>
      <c r="K707" s="669" t="n"/>
      <c r="L707" s="669" t="n"/>
      <c r="M707" s="669" t="n"/>
      <c r="N707" s="669" t="n"/>
      <c r="O707" s="669" t="n"/>
      <c r="P707" s="669" t="n"/>
      <c r="Q707" s="669" t="n"/>
      <c r="R707" s="669" t="n"/>
      <c r="S707" s="669" t="n"/>
      <c r="T707" s="669" t="n"/>
      <c r="U707" s="669" t="n"/>
      <c r="V707" s="669" t="n"/>
      <c r="W707" s="669" t="n"/>
      <c r="X707" s="669" t="n"/>
      <c r="Y707" s="669" t="n"/>
      <c r="Z707" s="669" t="n"/>
    </row>
    <row r="708">
      <c r="A708" s="669" t="n"/>
      <c r="B708" s="669" t="n"/>
      <c r="C708" s="669" t="n"/>
      <c r="D708" s="669" t="n"/>
      <c r="E708" s="669" t="n"/>
      <c r="F708" s="669" t="n"/>
      <c r="G708" s="669" t="n"/>
      <c r="H708" s="669" t="n"/>
      <c r="I708" s="669" t="n"/>
      <c r="J708" s="669" t="n"/>
      <c r="K708" s="669" t="n"/>
      <c r="L708" s="669" t="n"/>
      <c r="M708" s="669" t="n"/>
      <c r="N708" s="669" t="n"/>
      <c r="O708" s="669" t="n"/>
      <c r="P708" s="669" t="n"/>
      <c r="Q708" s="669" t="n"/>
      <c r="R708" s="669" t="n"/>
      <c r="S708" s="669" t="n"/>
      <c r="T708" s="669" t="n"/>
      <c r="U708" s="669" t="n"/>
      <c r="V708" s="669" t="n"/>
      <c r="W708" s="669" t="n"/>
      <c r="X708" s="669" t="n"/>
      <c r="Y708" s="669" t="n"/>
      <c r="Z708" s="669" t="n"/>
    </row>
    <row r="709">
      <c r="A709" s="669" t="n"/>
      <c r="B709" s="669" t="n"/>
      <c r="C709" s="669" t="n"/>
      <c r="D709" s="669" t="n"/>
      <c r="E709" s="669" t="n"/>
      <c r="F709" s="669" t="n"/>
      <c r="G709" s="669" t="n"/>
      <c r="H709" s="669" t="n"/>
      <c r="I709" s="669" t="n"/>
      <c r="J709" s="669" t="n"/>
      <c r="K709" s="669" t="n"/>
      <c r="L709" s="669" t="n"/>
      <c r="M709" s="669" t="n"/>
      <c r="N709" s="669" t="n"/>
      <c r="O709" s="669" t="n"/>
      <c r="P709" s="669" t="n"/>
      <c r="Q709" s="669" t="n"/>
      <c r="R709" s="669" t="n"/>
      <c r="S709" s="669" t="n"/>
      <c r="T709" s="669" t="n"/>
      <c r="U709" s="669" t="n"/>
      <c r="V709" s="669" t="n"/>
      <c r="W709" s="669" t="n"/>
      <c r="X709" s="669" t="n"/>
      <c r="Y709" s="669" t="n"/>
      <c r="Z709" s="669" t="n"/>
    </row>
    <row r="710">
      <c r="A710" s="669" t="n"/>
      <c r="B710" s="669" t="n"/>
      <c r="C710" s="669" t="n"/>
      <c r="D710" s="669" t="n"/>
      <c r="E710" s="669" t="n"/>
      <c r="F710" s="669" t="n"/>
      <c r="G710" s="669" t="n"/>
      <c r="H710" s="669" t="n"/>
      <c r="I710" s="669" t="n"/>
      <c r="J710" s="669" t="n"/>
      <c r="K710" s="669" t="n"/>
      <c r="L710" s="669" t="n"/>
      <c r="M710" s="669" t="n"/>
      <c r="N710" s="669" t="n"/>
      <c r="O710" s="669" t="n"/>
      <c r="P710" s="669" t="n"/>
      <c r="Q710" s="669" t="n"/>
      <c r="R710" s="669" t="n"/>
      <c r="S710" s="669" t="n"/>
      <c r="T710" s="669" t="n"/>
      <c r="U710" s="669" t="n"/>
      <c r="V710" s="669" t="n"/>
      <c r="W710" s="669" t="n"/>
      <c r="X710" s="669" t="n"/>
      <c r="Y710" s="669" t="n"/>
      <c r="Z710" s="669" t="n"/>
    </row>
    <row r="711">
      <c r="A711" s="669" t="n"/>
      <c r="B711" s="669" t="n"/>
      <c r="C711" s="669" t="n"/>
      <c r="D711" s="669" t="n"/>
      <c r="E711" s="669" t="n"/>
      <c r="F711" s="669" t="n"/>
      <c r="G711" s="669" t="n"/>
      <c r="H711" s="669" t="n"/>
      <c r="I711" s="669" t="n"/>
      <c r="J711" s="669" t="n"/>
      <c r="K711" s="669" t="n"/>
      <c r="L711" s="669" t="n"/>
      <c r="M711" s="669" t="n"/>
      <c r="N711" s="669" t="n"/>
      <c r="O711" s="669" t="n"/>
      <c r="P711" s="669" t="n"/>
      <c r="Q711" s="669" t="n"/>
      <c r="R711" s="669" t="n"/>
      <c r="S711" s="669" t="n"/>
      <c r="T711" s="669" t="n"/>
      <c r="U711" s="669" t="n"/>
      <c r="V711" s="669" t="n"/>
      <c r="W711" s="669" t="n"/>
      <c r="X711" s="669" t="n"/>
      <c r="Y711" s="669" t="n"/>
      <c r="Z711" s="669" t="n"/>
    </row>
    <row r="712">
      <c r="A712" s="669" t="n"/>
      <c r="B712" s="669" t="n"/>
      <c r="C712" s="669" t="n"/>
      <c r="D712" s="669" t="n"/>
      <c r="E712" s="669" t="n"/>
      <c r="F712" s="669" t="n"/>
      <c r="G712" s="669" t="n"/>
      <c r="H712" s="669" t="n"/>
      <c r="I712" s="669" t="n"/>
      <c r="J712" s="669" t="n"/>
      <c r="K712" s="669" t="n"/>
      <c r="L712" s="669" t="n"/>
      <c r="M712" s="669" t="n"/>
      <c r="N712" s="669" t="n"/>
      <c r="O712" s="669" t="n"/>
      <c r="P712" s="669" t="n"/>
      <c r="Q712" s="669" t="n"/>
      <c r="R712" s="669" t="n"/>
      <c r="S712" s="669" t="n"/>
      <c r="T712" s="669" t="n"/>
      <c r="U712" s="669" t="n"/>
      <c r="V712" s="669" t="n"/>
      <c r="W712" s="669" t="n"/>
      <c r="X712" s="669" t="n"/>
      <c r="Y712" s="669" t="n"/>
      <c r="Z712" s="669" t="n"/>
    </row>
    <row r="713">
      <c r="A713" s="669" t="n"/>
      <c r="B713" s="669" t="n"/>
      <c r="C713" s="669" t="n"/>
      <c r="D713" s="669" t="n"/>
      <c r="E713" s="669" t="n"/>
      <c r="F713" s="669" t="n"/>
      <c r="G713" s="669" t="n"/>
      <c r="H713" s="669" t="n"/>
      <c r="I713" s="669" t="n"/>
      <c r="J713" s="669" t="n"/>
      <c r="K713" s="669" t="n"/>
      <c r="L713" s="669" t="n"/>
      <c r="M713" s="669" t="n"/>
      <c r="N713" s="669" t="n"/>
      <c r="O713" s="669" t="n"/>
      <c r="P713" s="669" t="n"/>
      <c r="Q713" s="669" t="n"/>
      <c r="R713" s="669" t="n"/>
      <c r="S713" s="669" t="n"/>
      <c r="T713" s="669" t="n"/>
      <c r="U713" s="669" t="n"/>
      <c r="V713" s="669" t="n"/>
      <c r="W713" s="669" t="n"/>
      <c r="X713" s="669" t="n"/>
      <c r="Y713" s="669" t="n"/>
      <c r="Z713" s="669" t="n"/>
    </row>
    <row r="714">
      <c r="A714" s="669" t="n"/>
      <c r="B714" s="669" t="n"/>
      <c r="C714" s="669" t="n"/>
      <c r="D714" s="669" t="n"/>
      <c r="E714" s="669" t="n"/>
      <c r="F714" s="669" t="n"/>
      <c r="G714" s="669" t="n"/>
      <c r="H714" s="669" t="n"/>
      <c r="I714" s="669" t="n"/>
      <c r="J714" s="669" t="n"/>
      <c r="K714" s="669" t="n"/>
      <c r="L714" s="669" t="n"/>
      <c r="M714" s="669" t="n"/>
      <c r="N714" s="669" t="n"/>
      <c r="O714" s="669" t="n"/>
      <c r="P714" s="669" t="n"/>
      <c r="Q714" s="669" t="n"/>
      <c r="R714" s="669" t="n"/>
      <c r="S714" s="669" t="n"/>
      <c r="T714" s="669" t="n"/>
      <c r="U714" s="669" t="n"/>
      <c r="V714" s="669" t="n"/>
      <c r="W714" s="669" t="n"/>
      <c r="X714" s="669" t="n"/>
      <c r="Y714" s="669" t="n"/>
      <c r="Z714" s="669" t="n"/>
    </row>
    <row r="715">
      <c r="A715" s="669" t="n"/>
      <c r="B715" s="669" t="n"/>
      <c r="C715" s="669" t="n"/>
      <c r="D715" s="669" t="n"/>
      <c r="E715" s="669" t="n"/>
      <c r="F715" s="669" t="n"/>
      <c r="G715" s="669" t="n"/>
      <c r="H715" s="669" t="n"/>
      <c r="I715" s="669" t="n"/>
      <c r="J715" s="669" t="n"/>
      <c r="K715" s="669" t="n"/>
      <c r="L715" s="669" t="n"/>
      <c r="M715" s="669" t="n"/>
      <c r="N715" s="669" t="n"/>
      <c r="O715" s="669" t="n"/>
      <c r="P715" s="669" t="n"/>
      <c r="Q715" s="669" t="n"/>
      <c r="R715" s="669" t="n"/>
      <c r="S715" s="669" t="n"/>
      <c r="T715" s="669" t="n"/>
      <c r="U715" s="669" t="n"/>
      <c r="V715" s="669" t="n"/>
      <c r="W715" s="669" t="n"/>
      <c r="X715" s="669" t="n"/>
      <c r="Y715" s="669" t="n"/>
      <c r="Z715" s="669" t="n"/>
    </row>
    <row r="716">
      <c r="A716" s="669" t="n"/>
      <c r="B716" s="669" t="n"/>
      <c r="C716" s="669" t="n"/>
      <c r="D716" s="669" t="n"/>
      <c r="E716" s="669" t="n"/>
      <c r="F716" s="669" t="n"/>
      <c r="G716" s="669" t="n"/>
      <c r="H716" s="669" t="n"/>
      <c r="I716" s="669" t="n"/>
      <c r="J716" s="669" t="n"/>
      <c r="K716" s="669" t="n"/>
      <c r="L716" s="669" t="n"/>
      <c r="M716" s="669" t="n"/>
      <c r="N716" s="669" t="n"/>
      <c r="O716" s="669" t="n"/>
      <c r="P716" s="669" t="n"/>
      <c r="Q716" s="669" t="n"/>
      <c r="R716" s="669" t="n"/>
      <c r="S716" s="669" t="n"/>
      <c r="T716" s="669" t="n"/>
      <c r="U716" s="669" t="n"/>
      <c r="V716" s="669" t="n"/>
      <c r="W716" s="669" t="n"/>
      <c r="X716" s="669" t="n"/>
      <c r="Y716" s="669" t="n"/>
      <c r="Z716" s="669" t="n"/>
    </row>
    <row r="717">
      <c r="A717" s="669" t="n"/>
      <c r="B717" s="669" t="n"/>
      <c r="C717" s="669" t="n"/>
      <c r="D717" s="669" t="n"/>
      <c r="E717" s="669" t="n"/>
      <c r="F717" s="669" t="n"/>
      <c r="G717" s="669" t="n"/>
      <c r="H717" s="669" t="n"/>
      <c r="I717" s="669" t="n"/>
      <c r="J717" s="669" t="n"/>
      <c r="K717" s="669" t="n"/>
      <c r="L717" s="669" t="n"/>
      <c r="M717" s="669" t="n"/>
      <c r="N717" s="669" t="n"/>
      <c r="O717" s="669" t="n"/>
      <c r="P717" s="669" t="n"/>
      <c r="Q717" s="669" t="n"/>
      <c r="R717" s="669" t="n"/>
      <c r="S717" s="669" t="n"/>
      <c r="T717" s="669" t="n"/>
      <c r="U717" s="669" t="n"/>
      <c r="V717" s="669" t="n"/>
      <c r="W717" s="669" t="n"/>
      <c r="X717" s="669" t="n"/>
      <c r="Y717" s="669" t="n"/>
      <c r="Z717" s="669" t="n"/>
    </row>
    <row r="718">
      <c r="A718" s="669" t="n"/>
      <c r="B718" s="669" t="n"/>
      <c r="C718" s="669" t="n"/>
      <c r="D718" s="669" t="n"/>
      <c r="E718" s="669" t="n"/>
      <c r="F718" s="669" t="n"/>
      <c r="G718" s="669" t="n"/>
      <c r="H718" s="669" t="n"/>
      <c r="I718" s="669" t="n"/>
      <c r="J718" s="669" t="n"/>
      <c r="K718" s="669" t="n"/>
      <c r="L718" s="669" t="n"/>
      <c r="M718" s="669" t="n"/>
      <c r="N718" s="669" t="n"/>
      <c r="O718" s="669" t="n"/>
      <c r="P718" s="669" t="n"/>
      <c r="Q718" s="669" t="n"/>
      <c r="R718" s="669" t="n"/>
      <c r="S718" s="669" t="n"/>
      <c r="T718" s="669" t="n"/>
      <c r="U718" s="669" t="n"/>
      <c r="V718" s="669" t="n"/>
      <c r="W718" s="669" t="n"/>
      <c r="X718" s="669" t="n"/>
      <c r="Y718" s="669" t="n"/>
      <c r="Z718" s="669" t="n"/>
    </row>
    <row r="719">
      <c r="A719" s="669" t="n"/>
      <c r="B719" s="669" t="n"/>
      <c r="C719" s="669" t="n"/>
      <c r="D719" s="669" t="n"/>
      <c r="E719" s="669" t="n"/>
      <c r="F719" s="669" t="n"/>
      <c r="G719" s="669" t="n"/>
      <c r="H719" s="669" t="n"/>
      <c r="I719" s="669" t="n"/>
      <c r="J719" s="669" t="n"/>
      <c r="K719" s="669" t="n"/>
      <c r="L719" s="669" t="n"/>
      <c r="M719" s="669" t="n"/>
      <c r="N719" s="669" t="n"/>
      <c r="O719" s="669" t="n"/>
      <c r="P719" s="669" t="n"/>
      <c r="Q719" s="669" t="n"/>
      <c r="R719" s="669" t="n"/>
      <c r="S719" s="669" t="n"/>
      <c r="T719" s="669" t="n"/>
      <c r="U719" s="669" t="n"/>
      <c r="V719" s="669" t="n"/>
      <c r="W719" s="669" t="n"/>
      <c r="X719" s="669" t="n"/>
      <c r="Y719" s="669" t="n"/>
      <c r="Z719" s="669" t="n"/>
    </row>
    <row r="720">
      <c r="A720" s="669" t="n"/>
      <c r="B720" s="669" t="n"/>
      <c r="C720" s="669" t="n"/>
      <c r="D720" s="669" t="n"/>
      <c r="E720" s="669" t="n"/>
      <c r="F720" s="669" t="n"/>
      <c r="G720" s="669" t="n"/>
      <c r="H720" s="669" t="n"/>
      <c r="I720" s="669" t="n"/>
      <c r="J720" s="669" t="n"/>
      <c r="K720" s="669" t="n"/>
      <c r="L720" s="669" t="n"/>
      <c r="M720" s="669" t="n"/>
      <c r="N720" s="669" t="n"/>
      <c r="O720" s="669" t="n"/>
      <c r="P720" s="669" t="n"/>
      <c r="Q720" s="669" t="n"/>
      <c r="R720" s="669" t="n"/>
      <c r="S720" s="669" t="n"/>
      <c r="T720" s="669" t="n"/>
      <c r="U720" s="669" t="n"/>
      <c r="V720" s="669" t="n"/>
      <c r="W720" s="669" t="n"/>
      <c r="X720" s="669" t="n"/>
      <c r="Y720" s="669" t="n"/>
      <c r="Z720" s="669" t="n"/>
    </row>
    <row r="721">
      <c r="A721" s="669" t="n"/>
      <c r="B721" s="669" t="n"/>
      <c r="C721" s="669" t="n"/>
      <c r="D721" s="669" t="n"/>
      <c r="E721" s="669" t="n"/>
      <c r="F721" s="669" t="n"/>
      <c r="G721" s="669" t="n"/>
      <c r="H721" s="669" t="n"/>
      <c r="I721" s="669" t="n"/>
      <c r="J721" s="669" t="n"/>
      <c r="K721" s="669" t="n"/>
      <c r="L721" s="669" t="n"/>
      <c r="M721" s="669" t="n"/>
      <c r="N721" s="669" t="n"/>
      <c r="O721" s="669" t="n"/>
      <c r="P721" s="669" t="n"/>
      <c r="Q721" s="669" t="n"/>
      <c r="R721" s="669" t="n"/>
      <c r="S721" s="669" t="n"/>
      <c r="T721" s="669" t="n"/>
      <c r="U721" s="669" t="n"/>
      <c r="V721" s="669" t="n"/>
      <c r="W721" s="669" t="n"/>
      <c r="X721" s="669" t="n"/>
      <c r="Y721" s="669" t="n"/>
      <c r="Z721" s="669" t="n"/>
    </row>
    <row r="722">
      <c r="A722" s="669" t="n"/>
      <c r="B722" s="669" t="n"/>
      <c r="C722" s="669" t="n"/>
      <c r="D722" s="669" t="n"/>
      <c r="E722" s="669" t="n"/>
      <c r="F722" s="669" t="n"/>
      <c r="G722" s="669" t="n"/>
      <c r="H722" s="669" t="n"/>
      <c r="I722" s="669" t="n"/>
      <c r="J722" s="669" t="n"/>
      <c r="K722" s="669" t="n"/>
      <c r="L722" s="669" t="n"/>
      <c r="M722" s="669" t="n"/>
      <c r="N722" s="669" t="n"/>
      <c r="O722" s="669" t="n"/>
      <c r="P722" s="669" t="n"/>
      <c r="Q722" s="669" t="n"/>
      <c r="R722" s="669" t="n"/>
      <c r="S722" s="669" t="n"/>
      <c r="T722" s="669" t="n"/>
      <c r="U722" s="669" t="n"/>
      <c r="V722" s="669" t="n"/>
      <c r="W722" s="669" t="n"/>
      <c r="X722" s="669" t="n"/>
      <c r="Y722" s="669" t="n"/>
      <c r="Z722" s="669" t="n"/>
    </row>
    <row r="723">
      <c r="A723" s="669" t="n"/>
      <c r="B723" s="669" t="n"/>
      <c r="C723" s="669" t="n"/>
      <c r="D723" s="669" t="n"/>
      <c r="E723" s="669" t="n"/>
      <c r="F723" s="669" t="n"/>
      <c r="G723" s="669" t="n"/>
      <c r="H723" s="669" t="n"/>
      <c r="I723" s="669" t="n"/>
      <c r="J723" s="669" t="n"/>
      <c r="K723" s="669" t="n"/>
      <c r="L723" s="669" t="n"/>
      <c r="M723" s="669" t="n"/>
      <c r="N723" s="669" t="n"/>
      <c r="O723" s="669" t="n"/>
      <c r="P723" s="669" t="n"/>
      <c r="Q723" s="669" t="n"/>
      <c r="R723" s="669" t="n"/>
      <c r="S723" s="669" t="n"/>
      <c r="T723" s="669" t="n"/>
      <c r="U723" s="669" t="n"/>
      <c r="V723" s="669" t="n"/>
      <c r="W723" s="669" t="n"/>
      <c r="X723" s="669" t="n"/>
      <c r="Y723" s="669" t="n"/>
      <c r="Z723" s="669" t="n"/>
    </row>
    <row r="724">
      <c r="A724" s="669" t="n"/>
      <c r="B724" s="669" t="n"/>
      <c r="C724" s="669" t="n"/>
      <c r="D724" s="669" t="n"/>
      <c r="E724" s="669" t="n"/>
      <c r="F724" s="669" t="n"/>
      <c r="G724" s="669" t="n"/>
      <c r="H724" s="669" t="n"/>
      <c r="I724" s="669" t="n"/>
      <c r="J724" s="669" t="n"/>
      <c r="K724" s="669" t="n"/>
      <c r="L724" s="669" t="n"/>
      <c r="M724" s="669" t="n"/>
      <c r="N724" s="669" t="n"/>
      <c r="O724" s="669" t="n"/>
      <c r="P724" s="669" t="n"/>
      <c r="Q724" s="669" t="n"/>
      <c r="R724" s="669" t="n"/>
      <c r="S724" s="669" t="n"/>
      <c r="T724" s="669" t="n"/>
      <c r="U724" s="669" t="n"/>
      <c r="V724" s="669" t="n"/>
      <c r="W724" s="669" t="n"/>
      <c r="X724" s="669" t="n"/>
      <c r="Y724" s="669" t="n"/>
      <c r="Z724" s="669" t="n"/>
    </row>
    <row r="725">
      <c r="A725" s="669" t="n"/>
      <c r="B725" s="669" t="n"/>
      <c r="C725" s="669" t="n"/>
      <c r="D725" s="669" t="n"/>
      <c r="E725" s="669" t="n"/>
      <c r="F725" s="669" t="n"/>
      <c r="G725" s="669" t="n"/>
      <c r="H725" s="669" t="n"/>
      <c r="I725" s="669" t="n"/>
      <c r="J725" s="669" t="n"/>
      <c r="K725" s="669" t="n"/>
      <c r="L725" s="669" t="n"/>
      <c r="M725" s="669" t="n"/>
      <c r="N725" s="669" t="n"/>
      <c r="O725" s="669" t="n"/>
      <c r="P725" s="669" t="n"/>
      <c r="Q725" s="669" t="n"/>
      <c r="R725" s="669" t="n"/>
      <c r="S725" s="669" t="n"/>
      <c r="T725" s="669" t="n"/>
      <c r="U725" s="669" t="n"/>
      <c r="V725" s="669" t="n"/>
      <c r="W725" s="669" t="n"/>
      <c r="X725" s="669" t="n"/>
      <c r="Y725" s="669" t="n"/>
      <c r="Z725" s="669" t="n"/>
    </row>
    <row r="726">
      <c r="A726" s="669" t="n"/>
      <c r="B726" s="669" t="n"/>
      <c r="C726" s="669" t="n"/>
      <c r="D726" s="669" t="n"/>
      <c r="E726" s="669" t="n"/>
      <c r="F726" s="669" t="n"/>
      <c r="G726" s="669" t="n"/>
      <c r="H726" s="669" t="n"/>
      <c r="I726" s="669" t="n"/>
      <c r="J726" s="669" t="n"/>
      <c r="K726" s="669" t="n"/>
      <c r="L726" s="669" t="n"/>
      <c r="M726" s="669" t="n"/>
      <c r="N726" s="669" t="n"/>
      <c r="O726" s="669" t="n"/>
      <c r="P726" s="669" t="n"/>
      <c r="Q726" s="669" t="n"/>
      <c r="R726" s="669" t="n"/>
      <c r="S726" s="669" t="n"/>
      <c r="T726" s="669" t="n"/>
      <c r="U726" s="669" t="n"/>
      <c r="V726" s="669" t="n"/>
      <c r="W726" s="669" t="n"/>
      <c r="X726" s="669" t="n"/>
      <c r="Y726" s="669" t="n"/>
      <c r="Z726" s="669" t="n"/>
    </row>
    <row r="727">
      <c r="A727" s="669" t="n"/>
      <c r="B727" s="669" t="n"/>
      <c r="C727" s="669" t="n"/>
      <c r="D727" s="669" t="n"/>
      <c r="E727" s="669" t="n"/>
      <c r="F727" s="669" t="n"/>
      <c r="G727" s="669" t="n"/>
      <c r="H727" s="669" t="n"/>
      <c r="I727" s="669" t="n"/>
      <c r="J727" s="669" t="n"/>
      <c r="K727" s="669" t="n"/>
      <c r="L727" s="669" t="n"/>
      <c r="M727" s="669" t="n"/>
      <c r="N727" s="669" t="n"/>
      <c r="O727" s="669" t="n"/>
      <c r="P727" s="669" t="n"/>
      <c r="Q727" s="669" t="n"/>
      <c r="R727" s="669" t="n"/>
      <c r="S727" s="669" t="n"/>
      <c r="T727" s="669" t="n"/>
      <c r="U727" s="669" t="n"/>
      <c r="V727" s="669" t="n"/>
      <c r="W727" s="669" t="n"/>
      <c r="X727" s="669" t="n"/>
      <c r="Y727" s="669" t="n"/>
      <c r="Z727" s="669" t="n"/>
    </row>
    <row r="728">
      <c r="A728" s="669" t="n"/>
      <c r="B728" s="669" t="n"/>
      <c r="C728" s="669" t="n"/>
      <c r="D728" s="669" t="n"/>
      <c r="E728" s="669" t="n"/>
      <c r="F728" s="669" t="n"/>
      <c r="G728" s="669" t="n"/>
      <c r="H728" s="669" t="n"/>
      <c r="I728" s="669" t="n"/>
      <c r="J728" s="669" t="n"/>
      <c r="K728" s="669" t="n"/>
      <c r="L728" s="669" t="n"/>
      <c r="M728" s="669" t="n"/>
      <c r="N728" s="669" t="n"/>
      <c r="O728" s="669" t="n"/>
      <c r="P728" s="669" t="n"/>
      <c r="Q728" s="669" t="n"/>
      <c r="R728" s="669" t="n"/>
      <c r="S728" s="669" t="n"/>
      <c r="T728" s="669" t="n"/>
      <c r="U728" s="669" t="n"/>
      <c r="V728" s="669" t="n"/>
      <c r="W728" s="669" t="n"/>
      <c r="X728" s="669" t="n"/>
      <c r="Y728" s="669" t="n"/>
      <c r="Z728" s="669" t="n"/>
    </row>
    <row r="729">
      <c r="A729" s="669" t="n"/>
      <c r="B729" s="669" t="n"/>
      <c r="C729" s="669" t="n"/>
      <c r="D729" s="669" t="n"/>
      <c r="E729" s="669" t="n"/>
      <c r="F729" s="669" t="n"/>
      <c r="G729" s="669" t="n"/>
      <c r="H729" s="669" t="n"/>
      <c r="I729" s="669" t="n"/>
      <c r="J729" s="669" t="n"/>
      <c r="K729" s="669" t="n"/>
      <c r="L729" s="669" t="n"/>
      <c r="M729" s="669" t="n"/>
      <c r="N729" s="669" t="n"/>
      <c r="O729" s="669" t="n"/>
      <c r="P729" s="669" t="n"/>
      <c r="Q729" s="669" t="n"/>
      <c r="R729" s="669" t="n"/>
      <c r="S729" s="669" t="n"/>
      <c r="T729" s="669" t="n"/>
      <c r="U729" s="669" t="n"/>
      <c r="V729" s="669" t="n"/>
      <c r="W729" s="669" t="n"/>
      <c r="X729" s="669" t="n"/>
      <c r="Y729" s="669" t="n"/>
      <c r="Z729" s="669" t="n"/>
    </row>
    <row r="730">
      <c r="A730" s="669" t="n"/>
      <c r="B730" s="669" t="n"/>
      <c r="C730" s="669" t="n"/>
      <c r="D730" s="669" t="n"/>
      <c r="E730" s="669" t="n"/>
      <c r="F730" s="669" t="n"/>
      <c r="G730" s="669" t="n"/>
      <c r="H730" s="669" t="n"/>
      <c r="I730" s="669" t="n"/>
      <c r="J730" s="669" t="n"/>
      <c r="K730" s="669" t="n"/>
      <c r="L730" s="669" t="n"/>
      <c r="M730" s="669" t="n"/>
      <c r="N730" s="669" t="n"/>
      <c r="O730" s="669" t="n"/>
      <c r="P730" s="669" t="n"/>
      <c r="Q730" s="669" t="n"/>
      <c r="R730" s="669" t="n"/>
      <c r="S730" s="669" t="n"/>
      <c r="T730" s="669" t="n"/>
      <c r="U730" s="669" t="n"/>
      <c r="V730" s="669" t="n"/>
      <c r="W730" s="669" t="n"/>
      <c r="X730" s="669" t="n"/>
      <c r="Y730" s="669" t="n"/>
      <c r="Z730" s="669" t="n"/>
    </row>
    <row r="731">
      <c r="A731" s="669" t="n"/>
      <c r="B731" s="669" t="n"/>
      <c r="C731" s="669" t="n"/>
      <c r="D731" s="669" t="n"/>
      <c r="E731" s="669" t="n"/>
      <c r="F731" s="669" t="n"/>
      <c r="G731" s="669" t="n"/>
      <c r="H731" s="669" t="n"/>
      <c r="I731" s="669" t="n"/>
      <c r="J731" s="669" t="n"/>
      <c r="K731" s="669" t="n"/>
      <c r="L731" s="669" t="n"/>
      <c r="M731" s="669" t="n"/>
      <c r="N731" s="669" t="n"/>
      <c r="O731" s="669" t="n"/>
      <c r="P731" s="669" t="n"/>
      <c r="Q731" s="669" t="n"/>
      <c r="R731" s="669" t="n"/>
      <c r="S731" s="669" t="n"/>
      <c r="T731" s="669" t="n"/>
      <c r="U731" s="669" t="n"/>
      <c r="V731" s="669" t="n"/>
      <c r="W731" s="669" t="n"/>
      <c r="X731" s="669" t="n"/>
      <c r="Y731" s="669" t="n"/>
      <c r="Z731" s="669" t="n"/>
    </row>
    <row r="732">
      <c r="A732" s="669" t="n"/>
      <c r="B732" s="669" t="n"/>
      <c r="C732" s="669" t="n"/>
      <c r="D732" s="669" t="n"/>
      <c r="E732" s="669" t="n"/>
      <c r="F732" s="669" t="n"/>
      <c r="G732" s="669" t="n"/>
      <c r="H732" s="669" t="n"/>
      <c r="I732" s="669" t="n"/>
      <c r="J732" s="669" t="n"/>
      <c r="K732" s="669" t="n"/>
      <c r="L732" s="669" t="n"/>
      <c r="M732" s="669" t="n"/>
      <c r="N732" s="669" t="n"/>
      <c r="O732" s="669" t="n"/>
      <c r="P732" s="669" t="n"/>
      <c r="Q732" s="669" t="n"/>
      <c r="R732" s="669" t="n"/>
      <c r="S732" s="669" t="n"/>
      <c r="T732" s="669" t="n"/>
      <c r="U732" s="669" t="n"/>
      <c r="V732" s="669" t="n"/>
      <c r="W732" s="669" t="n"/>
      <c r="X732" s="669" t="n"/>
      <c r="Y732" s="669" t="n"/>
      <c r="Z732" s="669" t="n"/>
    </row>
    <row r="733">
      <c r="A733" s="669" t="n"/>
      <c r="B733" s="669" t="n"/>
      <c r="C733" s="669" t="n"/>
      <c r="D733" s="669" t="n"/>
      <c r="E733" s="669" t="n"/>
      <c r="F733" s="669" t="n"/>
      <c r="G733" s="669" t="n"/>
      <c r="H733" s="669" t="n"/>
      <c r="I733" s="669" t="n"/>
      <c r="J733" s="669" t="n"/>
      <c r="K733" s="669" t="n"/>
      <c r="L733" s="669" t="n"/>
      <c r="M733" s="669" t="n"/>
      <c r="N733" s="669" t="n"/>
      <c r="O733" s="669" t="n"/>
      <c r="P733" s="669" t="n"/>
      <c r="Q733" s="669" t="n"/>
      <c r="R733" s="669" t="n"/>
      <c r="S733" s="669" t="n"/>
      <c r="T733" s="669" t="n"/>
      <c r="U733" s="669" t="n"/>
      <c r="V733" s="669" t="n"/>
      <c r="W733" s="669" t="n"/>
      <c r="X733" s="669" t="n"/>
      <c r="Y733" s="669" t="n"/>
      <c r="Z733" s="669" t="n"/>
    </row>
    <row r="734">
      <c r="A734" s="669" t="n"/>
      <c r="B734" s="669" t="n"/>
      <c r="C734" s="669" t="n"/>
      <c r="D734" s="669" t="n"/>
      <c r="E734" s="669" t="n"/>
      <c r="F734" s="669" t="n"/>
      <c r="G734" s="669" t="n"/>
      <c r="H734" s="669" t="n"/>
      <c r="I734" s="669" t="n"/>
      <c r="J734" s="669" t="n"/>
      <c r="K734" s="669" t="n"/>
      <c r="L734" s="669" t="n"/>
      <c r="M734" s="669" t="n"/>
      <c r="N734" s="669" t="n"/>
      <c r="O734" s="669" t="n"/>
      <c r="P734" s="669" t="n"/>
      <c r="Q734" s="669" t="n"/>
      <c r="R734" s="669" t="n"/>
      <c r="S734" s="669" t="n"/>
      <c r="T734" s="669" t="n"/>
      <c r="U734" s="669" t="n"/>
      <c r="V734" s="669" t="n"/>
      <c r="W734" s="669" t="n"/>
      <c r="X734" s="669" t="n"/>
      <c r="Y734" s="669" t="n"/>
      <c r="Z734" s="669" t="n"/>
    </row>
    <row r="735">
      <c r="A735" s="669" t="n"/>
      <c r="B735" s="669" t="n"/>
      <c r="C735" s="669" t="n"/>
      <c r="D735" s="669" t="n"/>
      <c r="E735" s="669" t="n"/>
      <c r="F735" s="669" t="n"/>
      <c r="G735" s="669" t="n"/>
      <c r="H735" s="669" t="n"/>
      <c r="I735" s="669" t="n"/>
      <c r="J735" s="669" t="n"/>
      <c r="K735" s="669" t="n"/>
      <c r="L735" s="669" t="n"/>
      <c r="M735" s="669" t="n"/>
      <c r="N735" s="669" t="n"/>
      <c r="O735" s="669" t="n"/>
      <c r="P735" s="669" t="n"/>
      <c r="Q735" s="669" t="n"/>
      <c r="R735" s="669" t="n"/>
      <c r="S735" s="669" t="n"/>
      <c r="T735" s="669" t="n"/>
      <c r="U735" s="669" t="n"/>
      <c r="V735" s="669" t="n"/>
      <c r="W735" s="669" t="n"/>
      <c r="X735" s="669" t="n"/>
      <c r="Y735" s="669" t="n"/>
      <c r="Z735" s="669" t="n"/>
    </row>
    <row r="736">
      <c r="A736" s="669" t="n"/>
      <c r="B736" s="669" t="n"/>
      <c r="C736" s="669" t="n"/>
      <c r="D736" s="669" t="n"/>
      <c r="E736" s="669" t="n"/>
      <c r="F736" s="669" t="n"/>
      <c r="G736" s="669" t="n"/>
      <c r="H736" s="669" t="n"/>
      <c r="I736" s="669" t="n"/>
      <c r="J736" s="669" t="n"/>
      <c r="K736" s="669" t="n"/>
      <c r="L736" s="669" t="n"/>
      <c r="M736" s="669" t="n"/>
      <c r="N736" s="669" t="n"/>
      <c r="O736" s="669" t="n"/>
      <c r="P736" s="669" t="n"/>
      <c r="Q736" s="669" t="n"/>
      <c r="R736" s="669" t="n"/>
      <c r="S736" s="669" t="n"/>
      <c r="T736" s="669" t="n"/>
      <c r="U736" s="669" t="n"/>
      <c r="V736" s="669" t="n"/>
      <c r="W736" s="669" t="n"/>
      <c r="X736" s="669" t="n"/>
      <c r="Y736" s="669" t="n"/>
      <c r="Z736" s="669" t="n"/>
    </row>
    <row r="737">
      <c r="A737" s="669" t="n"/>
      <c r="B737" s="669" t="n"/>
      <c r="C737" s="669" t="n"/>
      <c r="D737" s="669" t="n"/>
      <c r="E737" s="669" t="n"/>
      <c r="F737" s="669" t="n"/>
      <c r="G737" s="669" t="n"/>
      <c r="H737" s="669" t="n"/>
      <c r="I737" s="669" t="n"/>
      <c r="J737" s="669" t="n"/>
      <c r="K737" s="669" t="n"/>
      <c r="L737" s="669" t="n"/>
      <c r="M737" s="669" t="n"/>
      <c r="N737" s="669" t="n"/>
      <c r="O737" s="669" t="n"/>
      <c r="P737" s="669" t="n"/>
      <c r="Q737" s="669" t="n"/>
      <c r="R737" s="669" t="n"/>
      <c r="S737" s="669" t="n"/>
      <c r="T737" s="669" t="n"/>
      <c r="U737" s="669" t="n"/>
      <c r="V737" s="669" t="n"/>
      <c r="W737" s="669" t="n"/>
      <c r="X737" s="669" t="n"/>
      <c r="Y737" s="669" t="n"/>
      <c r="Z737" s="669" t="n"/>
    </row>
    <row r="738">
      <c r="A738" s="669" t="n"/>
      <c r="B738" s="669" t="n"/>
      <c r="C738" s="669" t="n"/>
      <c r="D738" s="669" t="n"/>
      <c r="E738" s="669" t="n"/>
      <c r="F738" s="669" t="n"/>
      <c r="G738" s="669" t="n"/>
      <c r="H738" s="669" t="n"/>
      <c r="I738" s="669" t="n"/>
      <c r="J738" s="669" t="n"/>
      <c r="K738" s="669" t="n"/>
      <c r="L738" s="669" t="n"/>
      <c r="M738" s="669" t="n"/>
      <c r="N738" s="669" t="n"/>
      <c r="O738" s="669" t="n"/>
      <c r="P738" s="669" t="n"/>
      <c r="Q738" s="669" t="n"/>
      <c r="R738" s="669" t="n"/>
      <c r="S738" s="669" t="n"/>
      <c r="T738" s="669" t="n"/>
      <c r="U738" s="669" t="n"/>
      <c r="V738" s="669" t="n"/>
      <c r="W738" s="669" t="n"/>
      <c r="X738" s="669" t="n"/>
      <c r="Y738" s="669" t="n"/>
      <c r="Z738" s="669" t="n"/>
    </row>
    <row r="739">
      <c r="A739" s="669" t="n"/>
      <c r="B739" s="669" t="n"/>
      <c r="C739" s="669" t="n"/>
      <c r="D739" s="669" t="n"/>
      <c r="E739" s="669" t="n"/>
      <c r="F739" s="669" t="n"/>
      <c r="G739" s="669" t="n"/>
      <c r="H739" s="669" t="n"/>
      <c r="I739" s="669" t="n"/>
      <c r="J739" s="669" t="n"/>
      <c r="K739" s="669" t="n"/>
      <c r="L739" s="669" t="n"/>
      <c r="M739" s="669" t="n"/>
      <c r="N739" s="669" t="n"/>
      <c r="O739" s="669" t="n"/>
      <c r="P739" s="669" t="n"/>
      <c r="Q739" s="669" t="n"/>
      <c r="R739" s="669" t="n"/>
      <c r="S739" s="669" t="n"/>
      <c r="T739" s="669" t="n"/>
      <c r="U739" s="669" t="n"/>
      <c r="V739" s="669" t="n"/>
      <c r="W739" s="669" t="n"/>
      <c r="X739" s="669" t="n"/>
      <c r="Y739" s="669" t="n"/>
      <c r="Z739" s="669" t="n"/>
    </row>
    <row r="740">
      <c r="A740" s="669" t="n"/>
      <c r="B740" s="669" t="n"/>
      <c r="C740" s="669" t="n"/>
      <c r="D740" s="669" t="n"/>
      <c r="E740" s="669" t="n"/>
      <c r="F740" s="669" t="n"/>
      <c r="G740" s="669" t="n"/>
      <c r="H740" s="669" t="n"/>
      <c r="I740" s="669" t="n"/>
      <c r="J740" s="669" t="n"/>
      <c r="K740" s="669" t="n"/>
      <c r="L740" s="669" t="n"/>
      <c r="M740" s="669" t="n"/>
      <c r="N740" s="669" t="n"/>
      <c r="O740" s="669" t="n"/>
      <c r="P740" s="669" t="n"/>
      <c r="Q740" s="669" t="n"/>
      <c r="R740" s="669" t="n"/>
      <c r="S740" s="669" t="n"/>
      <c r="T740" s="669" t="n"/>
      <c r="U740" s="669" t="n"/>
      <c r="V740" s="669" t="n"/>
      <c r="W740" s="669" t="n"/>
      <c r="X740" s="669" t="n"/>
      <c r="Y740" s="669" t="n"/>
      <c r="Z740" s="669" t="n"/>
    </row>
    <row r="741">
      <c r="A741" s="669" t="n"/>
      <c r="B741" s="669" t="n"/>
      <c r="C741" s="669" t="n"/>
      <c r="D741" s="669" t="n"/>
      <c r="E741" s="669" t="n"/>
      <c r="F741" s="669" t="n"/>
      <c r="G741" s="669" t="n"/>
      <c r="H741" s="669" t="n"/>
      <c r="I741" s="669" t="n"/>
      <c r="J741" s="669" t="n"/>
      <c r="K741" s="669" t="n"/>
      <c r="L741" s="669" t="n"/>
      <c r="M741" s="669" t="n"/>
      <c r="N741" s="669" t="n"/>
      <c r="O741" s="669" t="n"/>
      <c r="P741" s="669" t="n"/>
      <c r="Q741" s="669" t="n"/>
      <c r="R741" s="669" t="n"/>
      <c r="S741" s="669" t="n"/>
      <c r="T741" s="669" t="n"/>
      <c r="U741" s="669" t="n"/>
      <c r="V741" s="669" t="n"/>
      <c r="W741" s="669" t="n"/>
      <c r="X741" s="669" t="n"/>
      <c r="Y741" s="669" t="n"/>
      <c r="Z741" s="669" t="n"/>
    </row>
    <row r="742">
      <c r="A742" s="669" t="n"/>
      <c r="B742" s="669" t="n"/>
      <c r="C742" s="669" t="n"/>
      <c r="D742" s="669" t="n"/>
      <c r="E742" s="669" t="n"/>
      <c r="F742" s="669" t="n"/>
      <c r="G742" s="669" t="n"/>
      <c r="H742" s="669" t="n"/>
      <c r="I742" s="669" t="n"/>
      <c r="J742" s="669" t="n"/>
      <c r="K742" s="669" t="n"/>
      <c r="L742" s="669" t="n"/>
      <c r="M742" s="669" t="n"/>
      <c r="N742" s="669" t="n"/>
      <c r="O742" s="669" t="n"/>
      <c r="P742" s="669" t="n"/>
      <c r="Q742" s="669" t="n"/>
      <c r="R742" s="669" t="n"/>
      <c r="S742" s="669" t="n"/>
      <c r="T742" s="669" t="n"/>
      <c r="U742" s="669" t="n"/>
      <c r="V742" s="669" t="n"/>
      <c r="W742" s="669" t="n"/>
      <c r="X742" s="669" t="n"/>
      <c r="Y742" s="669" t="n"/>
      <c r="Z742" s="669" t="n"/>
    </row>
    <row r="743">
      <c r="A743" s="669" t="n"/>
      <c r="B743" s="669" t="n"/>
      <c r="C743" s="669" t="n"/>
      <c r="D743" s="669" t="n"/>
      <c r="E743" s="669" t="n"/>
      <c r="F743" s="669" t="n"/>
      <c r="G743" s="669" t="n"/>
      <c r="H743" s="669" t="n"/>
      <c r="I743" s="669" t="n"/>
      <c r="J743" s="669" t="n"/>
      <c r="K743" s="669" t="n"/>
      <c r="L743" s="669" t="n"/>
      <c r="M743" s="669" t="n"/>
      <c r="N743" s="669" t="n"/>
      <c r="O743" s="669" t="n"/>
      <c r="P743" s="669" t="n"/>
      <c r="Q743" s="669" t="n"/>
      <c r="R743" s="669" t="n"/>
      <c r="S743" s="669" t="n"/>
      <c r="T743" s="669" t="n"/>
      <c r="U743" s="669" t="n"/>
      <c r="V743" s="669" t="n"/>
      <c r="W743" s="669" t="n"/>
      <c r="X743" s="669" t="n"/>
      <c r="Y743" s="669" t="n"/>
      <c r="Z743" s="669" t="n"/>
    </row>
    <row r="744">
      <c r="A744" s="669" t="n"/>
      <c r="B744" s="669" t="n"/>
      <c r="C744" s="669" t="n"/>
      <c r="D744" s="669" t="n"/>
      <c r="E744" s="669" t="n"/>
      <c r="F744" s="669" t="n"/>
      <c r="G744" s="669" t="n"/>
      <c r="H744" s="669" t="n"/>
      <c r="I744" s="669" t="n"/>
      <c r="J744" s="669" t="n"/>
      <c r="K744" s="669" t="n"/>
      <c r="L744" s="669" t="n"/>
      <c r="M744" s="669" t="n"/>
      <c r="N744" s="669" t="n"/>
      <c r="O744" s="669" t="n"/>
      <c r="P744" s="669" t="n"/>
      <c r="Q744" s="669" t="n"/>
      <c r="R744" s="669" t="n"/>
      <c r="S744" s="669" t="n"/>
      <c r="T744" s="669" t="n"/>
      <c r="U744" s="669" t="n"/>
      <c r="V744" s="669" t="n"/>
      <c r="W744" s="669" t="n"/>
      <c r="X744" s="669" t="n"/>
      <c r="Y744" s="669" t="n"/>
      <c r="Z744" s="669" t="n"/>
    </row>
    <row r="745">
      <c r="A745" s="669" t="n"/>
      <c r="B745" s="669" t="n"/>
      <c r="C745" s="669" t="n"/>
      <c r="D745" s="669" t="n"/>
      <c r="E745" s="669" t="n"/>
      <c r="F745" s="669" t="n"/>
      <c r="G745" s="669" t="n"/>
      <c r="H745" s="669" t="n"/>
      <c r="I745" s="669" t="n"/>
      <c r="J745" s="669" t="n"/>
      <c r="K745" s="669" t="n"/>
      <c r="L745" s="669" t="n"/>
      <c r="M745" s="669" t="n"/>
      <c r="N745" s="669" t="n"/>
      <c r="O745" s="669" t="n"/>
      <c r="P745" s="669" t="n"/>
      <c r="Q745" s="669" t="n"/>
      <c r="R745" s="669" t="n"/>
      <c r="S745" s="669" t="n"/>
      <c r="T745" s="669" t="n"/>
      <c r="U745" s="669" t="n"/>
      <c r="V745" s="669" t="n"/>
      <c r="W745" s="669" t="n"/>
      <c r="X745" s="669" t="n"/>
      <c r="Y745" s="669" t="n"/>
      <c r="Z745" s="669" t="n"/>
    </row>
    <row r="746">
      <c r="A746" s="669" t="n"/>
      <c r="B746" s="669" t="n"/>
      <c r="C746" s="669" t="n"/>
      <c r="D746" s="669" t="n"/>
      <c r="E746" s="669" t="n"/>
      <c r="F746" s="669" t="n"/>
      <c r="G746" s="669" t="n"/>
      <c r="H746" s="669" t="n"/>
      <c r="I746" s="669" t="n"/>
      <c r="J746" s="669" t="n"/>
      <c r="K746" s="669" t="n"/>
      <c r="L746" s="669" t="n"/>
      <c r="M746" s="669" t="n"/>
      <c r="N746" s="669" t="n"/>
      <c r="O746" s="669" t="n"/>
      <c r="P746" s="669" t="n"/>
      <c r="Q746" s="669" t="n"/>
      <c r="R746" s="669" t="n"/>
      <c r="S746" s="669" t="n"/>
      <c r="T746" s="669" t="n"/>
      <c r="U746" s="669" t="n"/>
      <c r="V746" s="669" t="n"/>
      <c r="W746" s="669" t="n"/>
      <c r="X746" s="669" t="n"/>
      <c r="Y746" s="669" t="n"/>
      <c r="Z746" s="669" t="n"/>
    </row>
    <row r="747">
      <c r="A747" s="669" t="n"/>
      <c r="B747" s="669" t="n"/>
      <c r="C747" s="669" t="n"/>
      <c r="D747" s="669" t="n"/>
      <c r="E747" s="669" t="n"/>
      <c r="F747" s="669" t="n"/>
      <c r="G747" s="669" t="n"/>
      <c r="H747" s="669" t="n"/>
      <c r="I747" s="669" t="n"/>
      <c r="J747" s="669" t="n"/>
      <c r="K747" s="669" t="n"/>
      <c r="L747" s="669" t="n"/>
      <c r="M747" s="669" t="n"/>
      <c r="N747" s="669" t="n"/>
      <c r="O747" s="669" t="n"/>
      <c r="P747" s="669" t="n"/>
      <c r="Q747" s="669" t="n"/>
      <c r="R747" s="669" t="n"/>
      <c r="S747" s="669" t="n"/>
      <c r="T747" s="669" t="n"/>
      <c r="U747" s="669" t="n"/>
      <c r="V747" s="669" t="n"/>
      <c r="W747" s="669" t="n"/>
      <c r="X747" s="669" t="n"/>
      <c r="Y747" s="669" t="n"/>
      <c r="Z747" s="669" t="n"/>
    </row>
    <row r="748">
      <c r="A748" s="669" t="n"/>
      <c r="B748" s="669" t="n"/>
      <c r="C748" s="669" t="n"/>
      <c r="D748" s="669" t="n"/>
      <c r="E748" s="669" t="n"/>
      <c r="F748" s="669" t="n"/>
      <c r="G748" s="669" t="n"/>
      <c r="H748" s="669" t="n"/>
      <c r="I748" s="669" t="n"/>
      <c r="J748" s="669" t="n"/>
      <c r="K748" s="669" t="n"/>
      <c r="L748" s="669" t="n"/>
      <c r="M748" s="669" t="n"/>
      <c r="N748" s="669" t="n"/>
      <c r="O748" s="669" t="n"/>
      <c r="P748" s="669" t="n"/>
      <c r="Q748" s="669" t="n"/>
      <c r="R748" s="669" t="n"/>
      <c r="S748" s="669" t="n"/>
      <c r="T748" s="669" t="n"/>
      <c r="U748" s="669" t="n"/>
      <c r="V748" s="669" t="n"/>
      <c r="W748" s="669" t="n"/>
      <c r="X748" s="669" t="n"/>
      <c r="Y748" s="669" t="n"/>
      <c r="Z748" s="669" t="n"/>
    </row>
    <row r="749">
      <c r="A749" s="669" t="n"/>
      <c r="B749" s="669" t="n"/>
      <c r="C749" s="669" t="n"/>
      <c r="D749" s="669" t="n"/>
      <c r="E749" s="669" t="n"/>
      <c r="F749" s="669" t="n"/>
      <c r="G749" s="669" t="n"/>
      <c r="H749" s="669" t="n"/>
      <c r="I749" s="669" t="n"/>
      <c r="J749" s="669" t="n"/>
      <c r="K749" s="669" t="n"/>
      <c r="L749" s="669" t="n"/>
      <c r="M749" s="669" t="n"/>
      <c r="N749" s="669" t="n"/>
      <c r="O749" s="669" t="n"/>
      <c r="P749" s="669" t="n"/>
      <c r="Q749" s="669" t="n"/>
      <c r="R749" s="669" t="n"/>
      <c r="S749" s="669" t="n"/>
      <c r="T749" s="669" t="n"/>
      <c r="U749" s="669" t="n"/>
      <c r="V749" s="669" t="n"/>
      <c r="W749" s="669" t="n"/>
      <c r="X749" s="669" t="n"/>
      <c r="Y749" s="669" t="n"/>
      <c r="Z749" s="669" t="n"/>
    </row>
    <row r="750">
      <c r="A750" s="669" t="n"/>
      <c r="B750" s="669" t="n"/>
      <c r="C750" s="669" t="n"/>
      <c r="D750" s="669" t="n"/>
      <c r="E750" s="669" t="n"/>
      <c r="F750" s="669" t="n"/>
      <c r="G750" s="669" t="n"/>
      <c r="H750" s="669" t="n"/>
      <c r="I750" s="669" t="n"/>
      <c r="J750" s="669" t="n"/>
      <c r="K750" s="669" t="n"/>
      <c r="L750" s="669" t="n"/>
      <c r="M750" s="669" t="n"/>
      <c r="N750" s="669" t="n"/>
      <c r="O750" s="669" t="n"/>
      <c r="P750" s="669" t="n"/>
      <c r="Q750" s="669" t="n"/>
      <c r="R750" s="669" t="n"/>
      <c r="S750" s="669" t="n"/>
      <c r="T750" s="669" t="n"/>
      <c r="U750" s="669" t="n"/>
      <c r="V750" s="669" t="n"/>
      <c r="W750" s="669" t="n"/>
      <c r="X750" s="669" t="n"/>
      <c r="Y750" s="669" t="n"/>
      <c r="Z750" s="669" t="n"/>
    </row>
    <row r="751">
      <c r="A751" s="669" t="n"/>
      <c r="B751" s="669" t="n"/>
      <c r="C751" s="669" t="n"/>
      <c r="D751" s="669" t="n"/>
      <c r="E751" s="669" t="n"/>
      <c r="F751" s="669" t="n"/>
      <c r="G751" s="669" t="n"/>
      <c r="H751" s="669" t="n"/>
      <c r="I751" s="669" t="n"/>
      <c r="J751" s="669" t="n"/>
      <c r="K751" s="669" t="n"/>
      <c r="L751" s="669" t="n"/>
      <c r="M751" s="669" t="n"/>
      <c r="N751" s="669" t="n"/>
      <c r="O751" s="669" t="n"/>
      <c r="P751" s="669" t="n"/>
      <c r="Q751" s="669" t="n"/>
      <c r="R751" s="669" t="n"/>
      <c r="S751" s="669" t="n"/>
      <c r="T751" s="669" t="n"/>
      <c r="U751" s="669" t="n"/>
      <c r="V751" s="669" t="n"/>
      <c r="W751" s="669" t="n"/>
      <c r="X751" s="669" t="n"/>
      <c r="Y751" s="669" t="n"/>
      <c r="Z751" s="669" t="n"/>
    </row>
    <row r="752">
      <c r="A752" s="669" t="n"/>
      <c r="B752" s="669" t="n"/>
      <c r="C752" s="669" t="n"/>
      <c r="D752" s="669" t="n"/>
      <c r="E752" s="669" t="n"/>
      <c r="F752" s="669" t="n"/>
      <c r="G752" s="669" t="n"/>
      <c r="H752" s="669" t="n"/>
      <c r="I752" s="669" t="n"/>
      <c r="J752" s="669" t="n"/>
      <c r="K752" s="669" t="n"/>
      <c r="L752" s="669" t="n"/>
      <c r="M752" s="669" t="n"/>
      <c r="N752" s="669" t="n"/>
      <c r="O752" s="669" t="n"/>
      <c r="P752" s="669" t="n"/>
      <c r="Q752" s="669" t="n"/>
      <c r="R752" s="669" t="n"/>
      <c r="S752" s="669" t="n"/>
      <c r="T752" s="669" t="n"/>
      <c r="U752" s="669" t="n"/>
      <c r="V752" s="669" t="n"/>
      <c r="W752" s="669" t="n"/>
      <c r="X752" s="669" t="n"/>
      <c r="Y752" s="669" t="n"/>
      <c r="Z752" s="669" t="n"/>
    </row>
    <row r="753">
      <c r="A753" s="669" t="n"/>
      <c r="B753" s="669" t="n"/>
      <c r="C753" s="669" t="n"/>
      <c r="D753" s="669" t="n"/>
      <c r="E753" s="669" t="n"/>
      <c r="F753" s="669" t="n"/>
      <c r="G753" s="669" t="n"/>
      <c r="H753" s="669" t="n"/>
      <c r="I753" s="669" t="n"/>
      <c r="J753" s="669" t="n"/>
      <c r="K753" s="669" t="n"/>
      <c r="L753" s="669" t="n"/>
      <c r="M753" s="669" t="n"/>
      <c r="N753" s="669" t="n"/>
      <c r="O753" s="669" t="n"/>
      <c r="P753" s="669" t="n"/>
      <c r="Q753" s="669" t="n"/>
      <c r="R753" s="669" t="n"/>
      <c r="S753" s="669" t="n"/>
      <c r="T753" s="669" t="n"/>
      <c r="U753" s="669" t="n"/>
      <c r="V753" s="669" t="n"/>
      <c r="W753" s="669" t="n"/>
      <c r="X753" s="669" t="n"/>
      <c r="Y753" s="669" t="n"/>
      <c r="Z753" s="669" t="n"/>
    </row>
    <row r="754">
      <c r="A754" s="669" t="n"/>
      <c r="B754" s="669" t="n"/>
      <c r="C754" s="669" t="n"/>
      <c r="D754" s="669" t="n"/>
      <c r="E754" s="669" t="n"/>
      <c r="F754" s="669" t="n"/>
      <c r="G754" s="669" t="n"/>
      <c r="H754" s="669" t="n"/>
      <c r="I754" s="669" t="n"/>
      <c r="J754" s="669" t="n"/>
      <c r="K754" s="669" t="n"/>
      <c r="L754" s="669" t="n"/>
      <c r="M754" s="669" t="n"/>
      <c r="N754" s="669" t="n"/>
      <c r="O754" s="669" t="n"/>
      <c r="P754" s="669" t="n"/>
      <c r="Q754" s="669" t="n"/>
      <c r="R754" s="669" t="n"/>
      <c r="S754" s="669" t="n"/>
      <c r="T754" s="669" t="n"/>
      <c r="U754" s="669" t="n"/>
      <c r="V754" s="669" t="n"/>
      <c r="W754" s="669" t="n"/>
      <c r="X754" s="669" t="n"/>
      <c r="Y754" s="669" t="n"/>
      <c r="Z754" s="669" t="n"/>
    </row>
    <row r="755">
      <c r="A755" s="669" t="n"/>
      <c r="B755" s="669" t="n"/>
      <c r="C755" s="669" t="n"/>
      <c r="D755" s="669" t="n"/>
      <c r="E755" s="669" t="n"/>
      <c r="F755" s="669" t="n"/>
      <c r="G755" s="669" t="n"/>
      <c r="H755" s="669" t="n"/>
      <c r="I755" s="669" t="n"/>
      <c r="J755" s="669" t="n"/>
      <c r="K755" s="669" t="n"/>
      <c r="L755" s="669" t="n"/>
      <c r="M755" s="669" t="n"/>
      <c r="N755" s="669" t="n"/>
      <c r="O755" s="669" t="n"/>
      <c r="P755" s="669" t="n"/>
      <c r="Q755" s="669" t="n"/>
      <c r="R755" s="669" t="n"/>
      <c r="S755" s="669" t="n"/>
      <c r="T755" s="669" t="n"/>
      <c r="U755" s="669" t="n"/>
      <c r="V755" s="669" t="n"/>
      <c r="W755" s="669" t="n"/>
      <c r="X755" s="669" t="n"/>
      <c r="Y755" s="669" t="n"/>
      <c r="Z755" s="669" t="n"/>
    </row>
    <row r="756">
      <c r="A756" s="669" t="n"/>
      <c r="B756" s="669" t="n"/>
      <c r="C756" s="669" t="n"/>
      <c r="D756" s="669" t="n"/>
      <c r="E756" s="669" t="n"/>
      <c r="F756" s="669" t="n"/>
      <c r="G756" s="669" t="n"/>
      <c r="H756" s="669" t="n"/>
      <c r="I756" s="669" t="n"/>
      <c r="J756" s="669" t="n"/>
      <c r="K756" s="669" t="n"/>
      <c r="L756" s="669" t="n"/>
      <c r="M756" s="669" t="n"/>
      <c r="N756" s="669" t="n"/>
      <c r="O756" s="669" t="n"/>
      <c r="P756" s="669" t="n"/>
      <c r="Q756" s="669" t="n"/>
      <c r="R756" s="669" t="n"/>
      <c r="S756" s="669" t="n"/>
      <c r="T756" s="669" t="n"/>
      <c r="U756" s="669" t="n"/>
      <c r="V756" s="669" t="n"/>
      <c r="W756" s="669" t="n"/>
      <c r="X756" s="669" t="n"/>
      <c r="Y756" s="669" t="n"/>
      <c r="Z756" s="669" t="n"/>
    </row>
    <row r="757">
      <c r="A757" s="669" t="n"/>
      <c r="B757" s="669" t="n"/>
      <c r="C757" s="669" t="n"/>
      <c r="D757" s="669" t="n"/>
      <c r="E757" s="669" t="n"/>
      <c r="F757" s="669" t="n"/>
      <c r="G757" s="669" t="n"/>
      <c r="H757" s="669" t="n"/>
      <c r="I757" s="669" t="n"/>
      <c r="J757" s="669" t="n"/>
      <c r="K757" s="669" t="n"/>
      <c r="L757" s="669" t="n"/>
      <c r="M757" s="669" t="n"/>
      <c r="N757" s="669" t="n"/>
      <c r="O757" s="669" t="n"/>
      <c r="P757" s="669" t="n"/>
      <c r="Q757" s="669" t="n"/>
      <c r="R757" s="669" t="n"/>
      <c r="S757" s="669" t="n"/>
      <c r="T757" s="669" t="n"/>
      <c r="U757" s="669" t="n"/>
      <c r="V757" s="669" t="n"/>
      <c r="W757" s="669" t="n"/>
      <c r="X757" s="669" t="n"/>
      <c r="Y757" s="669" t="n"/>
      <c r="Z757" s="669" t="n"/>
    </row>
    <row r="758">
      <c r="A758" s="669" t="n"/>
      <c r="B758" s="669" t="n"/>
      <c r="C758" s="669" t="n"/>
      <c r="D758" s="669" t="n"/>
      <c r="E758" s="669" t="n"/>
      <c r="F758" s="669" t="n"/>
      <c r="G758" s="669" t="n"/>
      <c r="H758" s="669" t="n"/>
      <c r="I758" s="669" t="n"/>
      <c r="J758" s="669" t="n"/>
      <c r="K758" s="669" t="n"/>
      <c r="L758" s="669" t="n"/>
      <c r="M758" s="669" t="n"/>
      <c r="N758" s="669" t="n"/>
      <c r="O758" s="669" t="n"/>
      <c r="P758" s="669" t="n"/>
      <c r="Q758" s="669" t="n"/>
      <c r="R758" s="669" t="n"/>
      <c r="S758" s="669" t="n"/>
      <c r="T758" s="669" t="n"/>
      <c r="U758" s="669" t="n"/>
      <c r="V758" s="669" t="n"/>
      <c r="W758" s="669" t="n"/>
      <c r="X758" s="669" t="n"/>
      <c r="Y758" s="669" t="n"/>
      <c r="Z758" s="669" t="n"/>
    </row>
    <row r="759">
      <c r="A759" s="669" t="n"/>
      <c r="B759" s="669" t="n"/>
      <c r="C759" s="669" t="n"/>
      <c r="D759" s="669" t="n"/>
      <c r="E759" s="669" t="n"/>
      <c r="F759" s="669" t="n"/>
      <c r="G759" s="669" t="n"/>
      <c r="H759" s="669" t="n"/>
      <c r="I759" s="669" t="n"/>
      <c r="J759" s="669" t="n"/>
      <c r="K759" s="669" t="n"/>
      <c r="L759" s="669" t="n"/>
      <c r="M759" s="669" t="n"/>
      <c r="N759" s="669" t="n"/>
      <c r="O759" s="669" t="n"/>
      <c r="P759" s="669" t="n"/>
      <c r="Q759" s="669" t="n"/>
      <c r="R759" s="669" t="n"/>
      <c r="S759" s="669" t="n"/>
      <c r="T759" s="669" t="n"/>
      <c r="U759" s="669" t="n"/>
      <c r="V759" s="669" t="n"/>
      <c r="W759" s="669" t="n"/>
      <c r="X759" s="669" t="n"/>
      <c r="Y759" s="669" t="n"/>
      <c r="Z759" s="669" t="n"/>
    </row>
    <row r="760">
      <c r="A760" s="669" t="n"/>
      <c r="B760" s="669" t="n"/>
      <c r="C760" s="669" t="n"/>
      <c r="D760" s="669" t="n"/>
      <c r="E760" s="669" t="n"/>
      <c r="F760" s="669" t="n"/>
      <c r="G760" s="669" t="n"/>
      <c r="H760" s="669" t="n"/>
      <c r="I760" s="669" t="n"/>
      <c r="J760" s="669" t="n"/>
      <c r="K760" s="669" t="n"/>
      <c r="L760" s="669" t="n"/>
      <c r="M760" s="669" t="n"/>
      <c r="N760" s="669" t="n"/>
      <c r="O760" s="669" t="n"/>
      <c r="P760" s="669" t="n"/>
      <c r="Q760" s="669" t="n"/>
      <c r="R760" s="669" t="n"/>
      <c r="S760" s="669" t="n"/>
      <c r="T760" s="669" t="n"/>
      <c r="U760" s="669" t="n"/>
      <c r="V760" s="669" t="n"/>
      <c r="W760" s="669" t="n"/>
      <c r="X760" s="669" t="n"/>
      <c r="Y760" s="669" t="n"/>
      <c r="Z760" s="669" t="n"/>
    </row>
    <row r="761">
      <c r="A761" s="669" t="n"/>
      <c r="B761" s="669" t="n"/>
      <c r="C761" s="669" t="n"/>
      <c r="D761" s="669" t="n"/>
      <c r="E761" s="669" t="n"/>
      <c r="F761" s="669" t="n"/>
      <c r="G761" s="669" t="n"/>
      <c r="H761" s="669" t="n"/>
      <c r="I761" s="669" t="n"/>
      <c r="J761" s="669" t="n"/>
      <c r="K761" s="669" t="n"/>
      <c r="L761" s="669" t="n"/>
      <c r="M761" s="669" t="n"/>
      <c r="N761" s="669" t="n"/>
      <c r="O761" s="669" t="n"/>
      <c r="P761" s="669" t="n"/>
      <c r="Q761" s="669" t="n"/>
      <c r="R761" s="669" t="n"/>
      <c r="S761" s="669" t="n"/>
      <c r="T761" s="669" t="n"/>
      <c r="U761" s="669" t="n"/>
      <c r="V761" s="669" t="n"/>
      <c r="W761" s="669" t="n"/>
      <c r="X761" s="669" t="n"/>
      <c r="Y761" s="669" t="n"/>
      <c r="Z761" s="669" t="n"/>
    </row>
    <row r="762">
      <c r="A762" s="669" t="n"/>
      <c r="B762" s="669" t="n"/>
      <c r="C762" s="669" t="n"/>
      <c r="D762" s="669" t="n"/>
      <c r="E762" s="669" t="n"/>
      <c r="F762" s="669" t="n"/>
      <c r="G762" s="669" t="n"/>
      <c r="H762" s="669" t="n"/>
      <c r="I762" s="669" t="n"/>
      <c r="J762" s="669" t="n"/>
      <c r="K762" s="669" t="n"/>
      <c r="L762" s="669" t="n"/>
      <c r="M762" s="669" t="n"/>
      <c r="N762" s="669" t="n"/>
      <c r="O762" s="669" t="n"/>
      <c r="P762" s="669" t="n"/>
      <c r="Q762" s="669" t="n"/>
      <c r="R762" s="669" t="n"/>
      <c r="S762" s="669" t="n"/>
      <c r="T762" s="669" t="n"/>
      <c r="U762" s="669" t="n"/>
      <c r="V762" s="669" t="n"/>
      <c r="W762" s="669" t="n"/>
      <c r="X762" s="669" t="n"/>
      <c r="Y762" s="669" t="n"/>
      <c r="Z762" s="669" t="n"/>
    </row>
    <row r="763">
      <c r="A763" s="669" t="n"/>
      <c r="B763" s="669" t="n"/>
      <c r="C763" s="669" t="n"/>
      <c r="D763" s="669" t="n"/>
      <c r="E763" s="669" t="n"/>
      <c r="F763" s="669" t="n"/>
      <c r="G763" s="669" t="n"/>
      <c r="H763" s="669" t="n"/>
      <c r="I763" s="669" t="n"/>
      <c r="J763" s="669" t="n"/>
      <c r="K763" s="669" t="n"/>
      <c r="L763" s="669" t="n"/>
      <c r="M763" s="669" t="n"/>
      <c r="N763" s="669" t="n"/>
      <c r="O763" s="669" t="n"/>
      <c r="P763" s="669" t="n"/>
      <c r="Q763" s="669" t="n"/>
      <c r="R763" s="669" t="n"/>
      <c r="S763" s="669" t="n"/>
      <c r="T763" s="669" t="n"/>
      <c r="U763" s="669" t="n"/>
      <c r="V763" s="669" t="n"/>
      <c r="W763" s="669" t="n"/>
      <c r="X763" s="669" t="n"/>
      <c r="Y763" s="669" t="n"/>
      <c r="Z763" s="669" t="n"/>
    </row>
    <row r="764">
      <c r="A764" s="669" t="n"/>
      <c r="B764" s="669" t="n"/>
      <c r="C764" s="669" t="n"/>
      <c r="D764" s="669" t="n"/>
      <c r="E764" s="669" t="n"/>
      <c r="F764" s="669" t="n"/>
      <c r="G764" s="669" t="n"/>
      <c r="H764" s="669" t="n"/>
      <c r="I764" s="669" t="n"/>
      <c r="J764" s="669" t="n"/>
      <c r="K764" s="669" t="n"/>
      <c r="L764" s="669" t="n"/>
      <c r="M764" s="669" t="n"/>
      <c r="N764" s="669" t="n"/>
      <c r="O764" s="669" t="n"/>
      <c r="P764" s="669" t="n"/>
      <c r="Q764" s="669" t="n"/>
      <c r="R764" s="669" t="n"/>
      <c r="S764" s="669" t="n"/>
      <c r="T764" s="669" t="n"/>
      <c r="U764" s="669" t="n"/>
      <c r="V764" s="669" t="n"/>
      <c r="W764" s="669" t="n"/>
      <c r="X764" s="669" t="n"/>
      <c r="Y764" s="669" t="n"/>
      <c r="Z764" s="669" t="n"/>
    </row>
    <row r="765">
      <c r="A765" s="669" t="n"/>
      <c r="B765" s="669" t="n"/>
      <c r="C765" s="669" t="n"/>
      <c r="D765" s="669" t="n"/>
      <c r="E765" s="669" t="n"/>
      <c r="F765" s="669" t="n"/>
      <c r="G765" s="669" t="n"/>
      <c r="H765" s="669" t="n"/>
      <c r="I765" s="669" t="n"/>
      <c r="J765" s="669" t="n"/>
      <c r="K765" s="669" t="n"/>
      <c r="L765" s="669" t="n"/>
      <c r="M765" s="669" t="n"/>
      <c r="N765" s="669" t="n"/>
      <c r="O765" s="669" t="n"/>
      <c r="P765" s="669" t="n"/>
      <c r="Q765" s="669" t="n"/>
      <c r="R765" s="669" t="n"/>
      <c r="S765" s="669" t="n"/>
      <c r="T765" s="669" t="n"/>
      <c r="U765" s="669" t="n"/>
      <c r="V765" s="669" t="n"/>
      <c r="W765" s="669" t="n"/>
      <c r="X765" s="669" t="n"/>
      <c r="Y765" s="669" t="n"/>
      <c r="Z765" s="669" t="n"/>
    </row>
    <row r="766">
      <c r="A766" s="669" t="n"/>
      <c r="B766" s="669" t="n"/>
      <c r="C766" s="669" t="n"/>
      <c r="D766" s="669" t="n"/>
      <c r="E766" s="669" t="n"/>
      <c r="F766" s="669" t="n"/>
      <c r="G766" s="669" t="n"/>
      <c r="H766" s="669" t="n"/>
      <c r="I766" s="669" t="n"/>
      <c r="J766" s="669" t="n"/>
      <c r="K766" s="669" t="n"/>
      <c r="L766" s="669" t="n"/>
      <c r="M766" s="669" t="n"/>
      <c r="N766" s="669" t="n"/>
      <c r="O766" s="669" t="n"/>
      <c r="P766" s="669" t="n"/>
      <c r="Q766" s="669" t="n"/>
      <c r="R766" s="669" t="n"/>
      <c r="S766" s="669" t="n"/>
      <c r="T766" s="669" t="n"/>
      <c r="U766" s="669" t="n"/>
      <c r="V766" s="669" t="n"/>
      <c r="W766" s="669" t="n"/>
      <c r="X766" s="669" t="n"/>
      <c r="Y766" s="669" t="n"/>
      <c r="Z766" s="669" t="n"/>
    </row>
    <row r="767">
      <c r="A767" s="669" t="n"/>
      <c r="B767" s="669" t="n"/>
      <c r="C767" s="669" t="n"/>
      <c r="D767" s="669" t="n"/>
      <c r="E767" s="669" t="n"/>
      <c r="F767" s="669" t="n"/>
      <c r="G767" s="669" t="n"/>
      <c r="H767" s="669" t="n"/>
      <c r="I767" s="669" t="n"/>
      <c r="J767" s="669" t="n"/>
      <c r="K767" s="669" t="n"/>
      <c r="L767" s="669" t="n"/>
      <c r="M767" s="669" t="n"/>
      <c r="N767" s="669" t="n"/>
      <c r="O767" s="669" t="n"/>
      <c r="P767" s="669" t="n"/>
      <c r="Q767" s="669" t="n"/>
      <c r="R767" s="669" t="n"/>
      <c r="S767" s="669" t="n"/>
      <c r="T767" s="669" t="n"/>
      <c r="U767" s="669" t="n"/>
      <c r="V767" s="669" t="n"/>
      <c r="W767" s="669" t="n"/>
      <c r="X767" s="669" t="n"/>
      <c r="Y767" s="669" t="n"/>
      <c r="Z767" s="669" t="n"/>
    </row>
    <row r="768">
      <c r="A768" s="669" t="n"/>
      <c r="B768" s="669" t="n"/>
      <c r="C768" s="669" t="n"/>
      <c r="D768" s="669" t="n"/>
      <c r="E768" s="669" t="n"/>
      <c r="F768" s="669" t="n"/>
      <c r="G768" s="669" t="n"/>
      <c r="H768" s="669" t="n"/>
      <c r="I768" s="669" t="n"/>
      <c r="J768" s="669" t="n"/>
      <c r="K768" s="669" t="n"/>
      <c r="L768" s="669" t="n"/>
      <c r="M768" s="669" t="n"/>
      <c r="N768" s="669" t="n"/>
      <c r="O768" s="669" t="n"/>
      <c r="P768" s="669" t="n"/>
      <c r="Q768" s="669" t="n"/>
      <c r="R768" s="669" t="n"/>
      <c r="S768" s="669" t="n"/>
      <c r="T768" s="669" t="n"/>
      <c r="U768" s="669" t="n"/>
      <c r="V768" s="669" t="n"/>
      <c r="W768" s="669" t="n"/>
      <c r="X768" s="669" t="n"/>
      <c r="Y768" s="669" t="n"/>
      <c r="Z768" s="669" t="n"/>
    </row>
    <row r="769">
      <c r="A769" s="669" t="n"/>
      <c r="B769" s="669" t="n"/>
      <c r="C769" s="669" t="n"/>
      <c r="D769" s="669" t="n"/>
      <c r="E769" s="669" t="n"/>
      <c r="F769" s="669" t="n"/>
      <c r="G769" s="669" t="n"/>
      <c r="H769" s="669" t="n"/>
      <c r="I769" s="669" t="n"/>
      <c r="J769" s="669" t="n"/>
      <c r="K769" s="669" t="n"/>
      <c r="L769" s="669" t="n"/>
      <c r="M769" s="669" t="n"/>
      <c r="N769" s="669" t="n"/>
      <c r="O769" s="669" t="n"/>
      <c r="P769" s="669" t="n"/>
      <c r="Q769" s="669" t="n"/>
      <c r="R769" s="669" t="n"/>
      <c r="S769" s="669" t="n"/>
      <c r="T769" s="669" t="n"/>
      <c r="U769" s="669" t="n"/>
      <c r="V769" s="669" t="n"/>
      <c r="W769" s="669" t="n"/>
      <c r="X769" s="669" t="n"/>
      <c r="Y769" s="669" t="n"/>
      <c r="Z769" s="669" t="n"/>
    </row>
    <row r="770">
      <c r="A770" s="669" t="n"/>
      <c r="B770" s="669" t="n"/>
      <c r="C770" s="669" t="n"/>
      <c r="D770" s="669" t="n"/>
      <c r="E770" s="669" t="n"/>
      <c r="F770" s="669" t="n"/>
      <c r="G770" s="669" t="n"/>
      <c r="H770" s="669" t="n"/>
      <c r="I770" s="669" t="n"/>
      <c r="J770" s="669" t="n"/>
      <c r="K770" s="669" t="n"/>
      <c r="L770" s="669" t="n"/>
      <c r="M770" s="669" t="n"/>
      <c r="N770" s="669" t="n"/>
      <c r="O770" s="669" t="n"/>
      <c r="P770" s="669" t="n"/>
      <c r="Q770" s="669" t="n"/>
      <c r="R770" s="669" t="n"/>
      <c r="S770" s="669" t="n"/>
      <c r="T770" s="669" t="n"/>
      <c r="U770" s="669" t="n"/>
      <c r="V770" s="669" t="n"/>
      <c r="W770" s="669" t="n"/>
      <c r="X770" s="669" t="n"/>
      <c r="Y770" s="669" t="n"/>
      <c r="Z770" s="669" t="n"/>
    </row>
    <row r="771">
      <c r="A771" s="669" t="n"/>
      <c r="B771" s="669" t="n"/>
      <c r="C771" s="669" t="n"/>
      <c r="D771" s="669" t="n"/>
      <c r="E771" s="669" t="n"/>
      <c r="F771" s="669" t="n"/>
      <c r="G771" s="669" t="n"/>
      <c r="H771" s="669" t="n"/>
      <c r="I771" s="669" t="n"/>
      <c r="J771" s="669" t="n"/>
      <c r="K771" s="669" t="n"/>
      <c r="L771" s="669" t="n"/>
      <c r="M771" s="669" t="n"/>
      <c r="N771" s="669" t="n"/>
      <c r="O771" s="669" t="n"/>
      <c r="P771" s="669" t="n"/>
      <c r="Q771" s="669" t="n"/>
      <c r="R771" s="669" t="n"/>
      <c r="S771" s="669" t="n"/>
      <c r="T771" s="669" t="n"/>
      <c r="U771" s="669" t="n"/>
      <c r="V771" s="669" t="n"/>
      <c r="W771" s="669" t="n"/>
      <c r="X771" s="669" t="n"/>
      <c r="Y771" s="669" t="n"/>
      <c r="Z771" s="669" t="n"/>
    </row>
    <row r="772">
      <c r="A772" s="669" t="n"/>
      <c r="B772" s="669" t="n"/>
      <c r="C772" s="669" t="n"/>
      <c r="D772" s="669" t="n"/>
      <c r="E772" s="669" t="n"/>
      <c r="F772" s="669" t="n"/>
      <c r="G772" s="669" t="n"/>
      <c r="H772" s="669" t="n"/>
      <c r="I772" s="669" t="n"/>
      <c r="J772" s="669" t="n"/>
      <c r="K772" s="669" t="n"/>
      <c r="L772" s="669" t="n"/>
      <c r="M772" s="669" t="n"/>
      <c r="N772" s="669" t="n"/>
      <c r="O772" s="669" t="n"/>
      <c r="P772" s="669" t="n"/>
      <c r="Q772" s="669" t="n"/>
      <c r="R772" s="669" t="n"/>
      <c r="S772" s="669" t="n"/>
      <c r="T772" s="669" t="n"/>
      <c r="U772" s="669" t="n"/>
      <c r="V772" s="669" t="n"/>
      <c r="W772" s="669" t="n"/>
      <c r="X772" s="669" t="n"/>
      <c r="Y772" s="669" t="n"/>
      <c r="Z772" s="669" t="n"/>
    </row>
    <row r="773">
      <c r="A773" s="669" t="n"/>
      <c r="B773" s="669" t="n"/>
      <c r="C773" s="669" t="n"/>
      <c r="D773" s="669" t="n"/>
      <c r="E773" s="669" t="n"/>
      <c r="F773" s="669" t="n"/>
      <c r="G773" s="669" t="n"/>
      <c r="H773" s="669" t="n"/>
      <c r="I773" s="669" t="n"/>
      <c r="J773" s="669" t="n"/>
      <c r="K773" s="669" t="n"/>
      <c r="L773" s="669" t="n"/>
      <c r="M773" s="669" t="n"/>
      <c r="N773" s="669" t="n"/>
      <c r="O773" s="669" t="n"/>
      <c r="P773" s="669" t="n"/>
      <c r="Q773" s="669" t="n"/>
      <c r="R773" s="669" t="n"/>
      <c r="S773" s="669" t="n"/>
      <c r="T773" s="669" t="n"/>
      <c r="U773" s="669" t="n"/>
      <c r="V773" s="669" t="n"/>
      <c r="W773" s="669" t="n"/>
      <c r="X773" s="669" t="n"/>
      <c r="Y773" s="669" t="n"/>
      <c r="Z773" s="669" t="n"/>
    </row>
    <row r="774">
      <c r="A774" s="669" t="n"/>
      <c r="B774" s="669" t="n"/>
      <c r="C774" s="669" t="n"/>
      <c r="D774" s="669" t="n"/>
      <c r="E774" s="669" t="n"/>
      <c r="F774" s="669" t="n"/>
      <c r="G774" s="669" t="n"/>
      <c r="H774" s="669" t="n"/>
      <c r="I774" s="669" t="n"/>
      <c r="J774" s="669" t="n"/>
      <c r="K774" s="669" t="n"/>
      <c r="L774" s="669" t="n"/>
      <c r="M774" s="669" t="n"/>
      <c r="N774" s="669" t="n"/>
      <c r="O774" s="669" t="n"/>
      <c r="P774" s="669" t="n"/>
      <c r="Q774" s="669" t="n"/>
      <c r="R774" s="669" t="n"/>
      <c r="S774" s="669" t="n"/>
      <c r="T774" s="669" t="n"/>
      <c r="U774" s="669" t="n"/>
      <c r="V774" s="669" t="n"/>
      <c r="W774" s="669" t="n"/>
      <c r="X774" s="669" t="n"/>
      <c r="Y774" s="669" t="n"/>
      <c r="Z774" s="669" t="n"/>
    </row>
    <row r="775">
      <c r="A775" s="669" t="n"/>
      <c r="B775" s="669" t="n"/>
      <c r="C775" s="669" t="n"/>
      <c r="D775" s="669" t="n"/>
      <c r="E775" s="669" t="n"/>
      <c r="F775" s="669" t="n"/>
      <c r="G775" s="669" t="n"/>
      <c r="H775" s="669" t="n"/>
      <c r="I775" s="669" t="n"/>
      <c r="J775" s="669" t="n"/>
      <c r="K775" s="669" t="n"/>
      <c r="L775" s="669" t="n"/>
      <c r="M775" s="669" t="n"/>
      <c r="N775" s="669" t="n"/>
      <c r="O775" s="669" t="n"/>
      <c r="P775" s="669" t="n"/>
      <c r="Q775" s="669" t="n"/>
      <c r="R775" s="669" t="n"/>
      <c r="S775" s="669" t="n"/>
      <c r="T775" s="669" t="n"/>
      <c r="U775" s="669" t="n"/>
      <c r="V775" s="669" t="n"/>
      <c r="W775" s="669" t="n"/>
      <c r="X775" s="669" t="n"/>
      <c r="Y775" s="669" t="n"/>
      <c r="Z775" s="669" t="n"/>
    </row>
    <row r="776">
      <c r="A776" s="669" t="n"/>
      <c r="B776" s="669" t="n"/>
      <c r="C776" s="669" t="n"/>
      <c r="D776" s="669" t="n"/>
      <c r="E776" s="669" t="n"/>
      <c r="F776" s="669" t="n"/>
      <c r="G776" s="669" t="n"/>
      <c r="H776" s="669" t="n"/>
      <c r="I776" s="669" t="n"/>
      <c r="J776" s="669" t="n"/>
      <c r="K776" s="669" t="n"/>
      <c r="L776" s="669" t="n"/>
      <c r="M776" s="669" t="n"/>
      <c r="N776" s="669" t="n"/>
      <c r="O776" s="669" t="n"/>
      <c r="P776" s="669" t="n"/>
      <c r="Q776" s="669" t="n"/>
      <c r="R776" s="669" t="n"/>
      <c r="S776" s="669" t="n"/>
      <c r="T776" s="669" t="n"/>
      <c r="U776" s="669" t="n"/>
      <c r="V776" s="669" t="n"/>
      <c r="W776" s="669" t="n"/>
      <c r="X776" s="669" t="n"/>
      <c r="Y776" s="669" t="n"/>
      <c r="Z776" s="669" t="n"/>
    </row>
    <row r="777">
      <c r="A777" s="669" t="n"/>
      <c r="B777" s="669" t="n"/>
      <c r="C777" s="669" t="n"/>
      <c r="D777" s="669" t="n"/>
      <c r="E777" s="669" t="n"/>
      <c r="F777" s="669" t="n"/>
      <c r="G777" s="669" t="n"/>
      <c r="H777" s="669" t="n"/>
      <c r="I777" s="669" t="n"/>
      <c r="J777" s="669" t="n"/>
      <c r="K777" s="669" t="n"/>
      <c r="L777" s="669" t="n"/>
      <c r="M777" s="669" t="n"/>
      <c r="N777" s="669" t="n"/>
      <c r="O777" s="669" t="n"/>
      <c r="P777" s="669" t="n"/>
      <c r="Q777" s="669" t="n"/>
      <c r="R777" s="669" t="n"/>
      <c r="S777" s="669" t="n"/>
      <c r="T777" s="669" t="n"/>
      <c r="U777" s="669" t="n"/>
      <c r="V777" s="669" t="n"/>
      <c r="W777" s="669" t="n"/>
      <c r="X777" s="669" t="n"/>
      <c r="Y777" s="669" t="n"/>
      <c r="Z777" s="669" t="n"/>
    </row>
    <row r="778">
      <c r="A778" s="669" t="n"/>
      <c r="B778" s="669" t="n"/>
      <c r="C778" s="669" t="n"/>
      <c r="D778" s="669" t="n"/>
      <c r="E778" s="669" t="n"/>
      <c r="F778" s="669" t="n"/>
      <c r="G778" s="669" t="n"/>
      <c r="H778" s="669" t="n"/>
      <c r="I778" s="669" t="n"/>
      <c r="J778" s="669" t="n"/>
      <c r="K778" s="669" t="n"/>
      <c r="L778" s="669" t="n"/>
      <c r="M778" s="669" t="n"/>
      <c r="N778" s="669" t="n"/>
      <c r="O778" s="669" t="n"/>
      <c r="P778" s="669" t="n"/>
      <c r="Q778" s="669" t="n"/>
      <c r="R778" s="669" t="n"/>
      <c r="S778" s="669" t="n"/>
      <c r="T778" s="669" t="n"/>
      <c r="U778" s="669" t="n"/>
      <c r="V778" s="669" t="n"/>
      <c r="W778" s="669" t="n"/>
      <c r="X778" s="669" t="n"/>
      <c r="Y778" s="669" t="n"/>
      <c r="Z778" s="669" t="n"/>
    </row>
    <row r="779">
      <c r="A779" s="669" t="n"/>
      <c r="B779" s="669" t="n"/>
      <c r="C779" s="669" t="n"/>
      <c r="D779" s="669" t="n"/>
      <c r="E779" s="669" t="n"/>
      <c r="F779" s="669" t="n"/>
      <c r="G779" s="669" t="n"/>
      <c r="H779" s="669" t="n"/>
      <c r="I779" s="669" t="n"/>
      <c r="J779" s="669" t="n"/>
      <c r="K779" s="669" t="n"/>
      <c r="L779" s="669" t="n"/>
      <c r="M779" s="669" t="n"/>
      <c r="N779" s="669" t="n"/>
      <c r="O779" s="669" t="n"/>
      <c r="P779" s="669" t="n"/>
      <c r="Q779" s="669" t="n"/>
      <c r="R779" s="669" t="n"/>
      <c r="S779" s="669" t="n"/>
      <c r="T779" s="669" t="n"/>
      <c r="U779" s="669" t="n"/>
      <c r="V779" s="669" t="n"/>
      <c r="W779" s="669" t="n"/>
      <c r="X779" s="669" t="n"/>
      <c r="Y779" s="669" t="n"/>
      <c r="Z779" s="669" t="n"/>
    </row>
    <row r="780">
      <c r="A780" s="669" t="n"/>
      <c r="B780" s="669" t="n"/>
      <c r="C780" s="669" t="n"/>
      <c r="D780" s="669" t="n"/>
      <c r="E780" s="669" t="n"/>
      <c r="F780" s="669" t="n"/>
      <c r="G780" s="669" t="n"/>
      <c r="H780" s="669" t="n"/>
      <c r="I780" s="669" t="n"/>
      <c r="J780" s="669" t="n"/>
      <c r="K780" s="669" t="n"/>
      <c r="L780" s="669" t="n"/>
      <c r="M780" s="669" t="n"/>
      <c r="N780" s="669" t="n"/>
      <c r="O780" s="669" t="n"/>
      <c r="P780" s="669" t="n"/>
      <c r="Q780" s="669" t="n"/>
      <c r="R780" s="669" t="n"/>
      <c r="S780" s="669" t="n"/>
      <c r="T780" s="669" t="n"/>
      <c r="U780" s="669" t="n"/>
      <c r="V780" s="669" t="n"/>
      <c r="W780" s="669" t="n"/>
      <c r="X780" s="669" t="n"/>
      <c r="Y780" s="669" t="n"/>
      <c r="Z780" s="669" t="n"/>
    </row>
    <row r="781">
      <c r="A781" s="669" t="n"/>
      <c r="B781" s="669" t="n"/>
      <c r="C781" s="669" t="n"/>
      <c r="D781" s="669" t="n"/>
      <c r="E781" s="669" t="n"/>
      <c r="F781" s="669" t="n"/>
      <c r="G781" s="669" t="n"/>
      <c r="H781" s="669" t="n"/>
      <c r="I781" s="669" t="n"/>
      <c r="J781" s="669" t="n"/>
      <c r="K781" s="669" t="n"/>
      <c r="L781" s="669" t="n"/>
      <c r="M781" s="669" t="n"/>
      <c r="N781" s="669" t="n"/>
      <c r="O781" s="669" t="n"/>
      <c r="P781" s="669" t="n"/>
      <c r="Q781" s="669" t="n"/>
      <c r="R781" s="669" t="n"/>
      <c r="S781" s="669" t="n"/>
      <c r="T781" s="669" t="n"/>
      <c r="U781" s="669" t="n"/>
      <c r="V781" s="669" t="n"/>
      <c r="W781" s="669" t="n"/>
      <c r="X781" s="669" t="n"/>
      <c r="Y781" s="669" t="n"/>
      <c r="Z781" s="669" t="n"/>
    </row>
    <row r="782">
      <c r="A782" s="669" t="n"/>
      <c r="B782" s="669" t="n"/>
      <c r="C782" s="669" t="n"/>
      <c r="D782" s="669" t="n"/>
      <c r="E782" s="669" t="n"/>
      <c r="F782" s="669" t="n"/>
      <c r="G782" s="669" t="n"/>
      <c r="H782" s="669" t="n"/>
      <c r="I782" s="669" t="n"/>
      <c r="J782" s="669" t="n"/>
      <c r="K782" s="669" t="n"/>
      <c r="L782" s="669" t="n"/>
      <c r="M782" s="669" t="n"/>
      <c r="N782" s="669" t="n"/>
      <c r="O782" s="669" t="n"/>
      <c r="P782" s="669" t="n"/>
      <c r="Q782" s="669" t="n"/>
      <c r="R782" s="669" t="n"/>
      <c r="S782" s="669" t="n"/>
      <c r="T782" s="669" t="n"/>
      <c r="U782" s="669" t="n"/>
      <c r="V782" s="669" t="n"/>
      <c r="W782" s="669" t="n"/>
      <c r="X782" s="669" t="n"/>
      <c r="Y782" s="669" t="n"/>
      <c r="Z782" s="669" t="n"/>
    </row>
    <row r="783">
      <c r="A783" s="669" t="n"/>
      <c r="B783" s="669" t="n"/>
      <c r="C783" s="669" t="n"/>
      <c r="D783" s="669" t="n"/>
      <c r="E783" s="669" t="n"/>
      <c r="F783" s="669" t="n"/>
      <c r="G783" s="669" t="n"/>
      <c r="H783" s="669" t="n"/>
      <c r="I783" s="669" t="n"/>
      <c r="J783" s="669" t="n"/>
      <c r="K783" s="669" t="n"/>
      <c r="L783" s="669" t="n"/>
      <c r="M783" s="669" t="n"/>
      <c r="N783" s="669" t="n"/>
      <c r="O783" s="669" t="n"/>
      <c r="P783" s="669" t="n"/>
      <c r="Q783" s="669" t="n"/>
      <c r="R783" s="669" t="n"/>
      <c r="S783" s="669" t="n"/>
      <c r="T783" s="669" t="n"/>
      <c r="U783" s="669" t="n"/>
      <c r="V783" s="669" t="n"/>
      <c r="W783" s="669" t="n"/>
      <c r="X783" s="669" t="n"/>
      <c r="Y783" s="669" t="n"/>
      <c r="Z783" s="669" t="n"/>
    </row>
    <row r="784">
      <c r="A784" s="669" t="n"/>
      <c r="B784" s="669" t="n"/>
      <c r="C784" s="669" t="n"/>
      <c r="D784" s="669" t="n"/>
      <c r="E784" s="669" t="n"/>
      <c r="F784" s="669" t="n"/>
      <c r="G784" s="669" t="n"/>
      <c r="H784" s="669" t="n"/>
      <c r="I784" s="669" t="n"/>
      <c r="J784" s="669" t="n"/>
      <c r="K784" s="669" t="n"/>
      <c r="L784" s="669" t="n"/>
      <c r="M784" s="669" t="n"/>
      <c r="N784" s="669" t="n"/>
      <c r="O784" s="669" t="n"/>
      <c r="P784" s="669" t="n"/>
      <c r="Q784" s="669" t="n"/>
      <c r="R784" s="669" t="n"/>
      <c r="S784" s="669" t="n"/>
      <c r="T784" s="669" t="n"/>
      <c r="U784" s="669" t="n"/>
      <c r="V784" s="669" t="n"/>
      <c r="W784" s="669" t="n"/>
      <c r="X784" s="669" t="n"/>
      <c r="Y784" s="669" t="n"/>
      <c r="Z784" s="669" t="n"/>
    </row>
    <row r="785">
      <c r="A785" s="669" t="n"/>
      <c r="B785" s="669" t="n"/>
      <c r="C785" s="669" t="n"/>
      <c r="D785" s="669" t="n"/>
      <c r="E785" s="669" t="n"/>
      <c r="F785" s="669" t="n"/>
      <c r="G785" s="669" t="n"/>
      <c r="H785" s="669" t="n"/>
      <c r="I785" s="669" t="n"/>
      <c r="J785" s="669" t="n"/>
      <c r="K785" s="669" t="n"/>
      <c r="L785" s="669" t="n"/>
      <c r="M785" s="669" t="n"/>
      <c r="N785" s="669" t="n"/>
      <c r="O785" s="669" t="n"/>
      <c r="P785" s="669" t="n"/>
      <c r="Q785" s="669" t="n"/>
      <c r="R785" s="669" t="n"/>
      <c r="S785" s="669" t="n"/>
      <c r="T785" s="669" t="n"/>
      <c r="U785" s="669" t="n"/>
      <c r="V785" s="669" t="n"/>
      <c r="W785" s="669" t="n"/>
      <c r="X785" s="669" t="n"/>
      <c r="Y785" s="669" t="n"/>
      <c r="Z785" s="669" t="n"/>
    </row>
    <row r="786">
      <c r="A786" s="669" t="n"/>
      <c r="B786" s="669" t="n"/>
      <c r="C786" s="669" t="n"/>
      <c r="D786" s="669" t="n"/>
      <c r="E786" s="669" t="n"/>
      <c r="F786" s="669" t="n"/>
      <c r="G786" s="669" t="n"/>
      <c r="H786" s="669" t="n"/>
      <c r="I786" s="669" t="n"/>
      <c r="J786" s="669" t="n"/>
      <c r="K786" s="669" t="n"/>
      <c r="L786" s="669" t="n"/>
      <c r="M786" s="669" t="n"/>
      <c r="N786" s="669" t="n"/>
      <c r="O786" s="669" t="n"/>
      <c r="P786" s="669" t="n"/>
      <c r="Q786" s="669" t="n"/>
      <c r="R786" s="669" t="n"/>
      <c r="S786" s="669" t="n"/>
      <c r="T786" s="669" t="n"/>
      <c r="U786" s="669" t="n"/>
      <c r="V786" s="669" t="n"/>
      <c r="W786" s="669" t="n"/>
      <c r="X786" s="669" t="n"/>
      <c r="Y786" s="669" t="n"/>
      <c r="Z786" s="669" t="n"/>
    </row>
    <row r="787">
      <c r="A787" s="669" t="n"/>
      <c r="B787" s="669" t="n"/>
      <c r="C787" s="669" t="n"/>
      <c r="D787" s="669" t="n"/>
      <c r="E787" s="669" t="n"/>
      <c r="F787" s="669" t="n"/>
      <c r="G787" s="669" t="n"/>
      <c r="H787" s="669" t="n"/>
      <c r="I787" s="669" t="n"/>
      <c r="J787" s="669" t="n"/>
      <c r="K787" s="669" t="n"/>
      <c r="L787" s="669" t="n"/>
      <c r="M787" s="669" t="n"/>
      <c r="N787" s="669" t="n"/>
      <c r="O787" s="669" t="n"/>
      <c r="P787" s="669" t="n"/>
      <c r="Q787" s="669" t="n"/>
      <c r="R787" s="669" t="n"/>
      <c r="S787" s="669" t="n"/>
      <c r="T787" s="669" t="n"/>
      <c r="U787" s="669" t="n"/>
      <c r="V787" s="669" t="n"/>
      <c r="W787" s="669" t="n"/>
      <c r="X787" s="669" t="n"/>
      <c r="Y787" s="669" t="n"/>
      <c r="Z787" s="669" t="n"/>
    </row>
    <row r="788">
      <c r="A788" s="669" t="n"/>
      <c r="B788" s="669" t="n"/>
      <c r="C788" s="669" t="n"/>
      <c r="D788" s="669" t="n"/>
      <c r="E788" s="669" t="n"/>
      <c r="F788" s="669" t="n"/>
      <c r="G788" s="669" t="n"/>
      <c r="H788" s="669" t="n"/>
      <c r="I788" s="669" t="n"/>
      <c r="J788" s="669" t="n"/>
      <c r="K788" s="669" t="n"/>
      <c r="L788" s="669" t="n"/>
      <c r="M788" s="669" t="n"/>
      <c r="N788" s="669" t="n"/>
      <c r="O788" s="669" t="n"/>
      <c r="P788" s="669" t="n"/>
      <c r="Q788" s="669" t="n"/>
      <c r="R788" s="669" t="n"/>
      <c r="S788" s="669" t="n"/>
      <c r="T788" s="669" t="n"/>
      <c r="U788" s="669" t="n"/>
      <c r="V788" s="669" t="n"/>
      <c r="W788" s="669" t="n"/>
      <c r="X788" s="669" t="n"/>
      <c r="Y788" s="669" t="n"/>
      <c r="Z788" s="669" t="n"/>
    </row>
    <row r="789">
      <c r="A789" s="669" t="n"/>
      <c r="B789" s="669" t="n"/>
      <c r="C789" s="669" t="n"/>
      <c r="D789" s="669" t="n"/>
      <c r="E789" s="669" t="n"/>
      <c r="F789" s="669" t="n"/>
      <c r="G789" s="669" t="n"/>
      <c r="H789" s="669" t="n"/>
      <c r="I789" s="669" t="n"/>
      <c r="J789" s="669" t="n"/>
      <c r="K789" s="669" t="n"/>
      <c r="L789" s="669" t="n"/>
      <c r="M789" s="669" t="n"/>
      <c r="N789" s="669" t="n"/>
      <c r="O789" s="669" t="n"/>
      <c r="P789" s="669" t="n"/>
      <c r="Q789" s="669" t="n"/>
      <c r="R789" s="669" t="n"/>
      <c r="S789" s="669" t="n"/>
      <c r="T789" s="669" t="n"/>
      <c r="U789" s="669" t="n"/>
      <c r="V789" s="669" t="n"/>
      <c r="W789" s="669" t="n"/>
      <c r="X789" s="669" t="n"/>
      <c r="Y789" s="669" t="n"/>
      <c r="Z789" s="669" t="n"/>
    </row>
    <row r="790">
      <c r="A790" s="669" t="n"/>
      <c r="B790" s="669" t="n"/>
      <c r="C790" s="669" t="n"/>
      <c r="D790" s="669" t="n"/>
      <c r="E790" s="669" t="n"/>
      <c r="F790" s="669" t="n"/>
      <c r="G790" s="669" t="n"/>
      <c r="H790" s="669" t="n"/>
      <c r="I790" s="669" t="n"/>
      <c r="J790" s="669" t="n"/>
      <c r="K790" s="669" t="n"/>
      <c r="L790" s="669" t="n"/>
      <c r="M790" s="669" t="n"/>
      <c r="N790" s="669" t="n"/>
      <c r="O790" s="669" t="n"/>
      <c r="P790" s="669" t="n"/>
      <c r="Q790" s="669" t="n"/>
      <c r="R790" s="669" t="n"/>
      <c r="S790" s="669" t="n"/>
      <c r="T790" s="669" t="n"/>
      <c r="U790" s="669" t="n"/>
      <c r="V790" s="669" t="n"/>
      <c r="W790" s="669" t="n"/>
      <c r="X790" s="669" t="n"/>
      <c r="Y790" s="669" t="n"/>
      <c r="Z790" s="669" t="n"/>
    </row>
    <row r="791">
      <c r="A791" s="669" t="n"/>
      <c r="B791" s="669" t="n"/>
      <c r="C791" s="669" t="n"/>
      <c r="D791" s="669" t="n"/>
      <c r="E791" s="669" t="n"/>
      <c r="F791" s="669" t="n"/>
      <c r="G791" s="669" t="n"/>
      <c r="H791" s="669" t="n"/>
      <c r="I791" s="669" t="n"/>
      <c r="J791" s="669" t="n"/>
      <c r="K791" s="669" t="n"/>
      <c r="L791" s="669" t="n"/>
      <c r="M791" s="669" t="n"/>
      <c r="N791" s="669" t="n"/>
      <c r="O791" s="669" t="n"/>
      <c r="P791" s="669" t="n"/>
      <c r="Q791" s="669" t="n"/>
      <c r="R791" s="669" t="n"/>
      <c r="S791" s="669" t="n"/>
      <c r="T791" s="669" t="n"/>
      <c r="U791" s="669" t="n"/>
      <c r="V791" s="669" t="n"/>
      <c r="W791" s="669" t="n"/>
      <c r="X791" s="669" t="n"/>
      <c r="Y791" s="669" t="n"/>
      <c r="Z791" s="669" t="n"/>
    </row>
    <row r="792">
      <c r="A792" s="669" t="n"/>
      <c r="B792" s="669" t="n"/>
      <c r="C792" s="669" t="n"/>
      <c r="D792" s="669" t="n"/>
      <c r="E792" s="669" t="n"/>
      <c r="F792" s="669" t="n"/>
      <c r="G792" s="669" t="n"/>
      <c r="H792" s="669" t="n"/>
      <c r="I792" s="669" t="n"/>
      <c r="J792" s="669" t="n"/>
      <c r="K792" s="669" t="n"/>
      <c r="L792" s="669" t="n"/>
      <c r="M792" s="669" t="n"/>
      <c r="N792" s="669" t="n"/>
      <c r="O792" s="669" t="n"/>
      <c r="P792" s="669" t="n"/>
      <c r="Q792" s="669" t="n"/>
      <c r="R792" s="669" t="n"/>
      <c r="S792" s="669" t="n"/>
      <c r="T792" s="669" t="n"/>
      <c r="U792" s="669" t="n"/>
      <c r="V792" s="669" t="n"/>
      <c r="W792" s="669" t="n"/>
      <c r="X792" s="669" t="n"/>
      <c r="Y792" s="669" t="n"/>
      <c r="Z792" s="669" t="n"/>
    </row>
    <row r="793">
      <c r="A793" s="669" t="n"/>
      <c r="B793" s="669" t="n"/>
      <c r="C793" s="669" t="n"/>
      <c r="D793" s="669" t="n"/>
      <c r="E793" s="669" t="n"/>
      <c r="F793" s="669" t="n"/>
      <c r="G793" s="669" t="n"/>
      <c r="H793" s="669" t="n"/>
      <c r="I793" s="669" t="n"/>
      <c r="J793" s="669" t="n"/>
      <c r="K793" s="669" t="n"/>
      <c r="L793" s="669" t="n"/>
      <c r="M793" s="669" t="n"/>
      <c r="N793" s="669" t="n"/>
      <c r="O793" s="669" t="n"/>
      <c r="P793" s="669" t="n"/>
      <c r="Q793" s="669" t="n"/>
      <c r="R793" s="669" t="n"/>
      <c r="S793" s="669" t="n"/>
      <c r="T793" s="669" t="n"/>
      <c r="U793" s="669" t="n"/>
      <c r="V793" s="669" t="n"/>
      <c r="W793" s="669" t="n"/>
      <c r="X793" s="669" t="n"/>
      <c r="Y793" s="669" t="n"/>
      <c r="Z793" s="669" t="n"/>
    </row>
    <row r="794">
      <c r="A794" s="669" t="n"/>
      <c r="B794" s="669" t="n"/>
      <c r="C794" s="669" t="n"/>
      <c r="D794" s="669" t="n"/>
      <c r="E794" s="669" t="n"/>
      <c r="F794" s="669" t="n"/>
      <c r="G794" s="669" t="n"/>
      <c r="H794" s="669" t="n"/>
      <c r="I794" s="669" t="n"/>
      <c r="J794" s="669" t="n"/>
      <c r="K794" s="669" t="n"/>
      <c r="L794" s="669" t="n"/>
      <c r="M794" s="669" t="n"/>
      <c r="N794" s="669" t="n"/>
      <c r="O794" s="669" t="n"/>
      <c r="P794" s="669" t="n"/>
      <c r="Q794" s="669" t="n"/>
      <c r="R794" s="669" t="n"/>
      <c r="S794" s="669" t="n"/>
      <c r="T794" s="669" t="n"/>
      <c r="U794" s="669" t="n"/>
      <c r="V794" s="669" t="n"/>
      <c r="W794" s="669" t="n"/>
      <c r="X794" s="669" t="n"/>
      <c r="Y794" s="669" t="n"/>
      <c r="Z794" s="669" t="n"/>
    </row>
    <row r="795">
      <c r="A795" s="669" t="n"/>
      <c r="B795" s="669" t="n"/>
      <c r="C795" s="669" t="n"/>
      <c r="D795" s="669" t="n"/>
      <c r="E795" s="669" t="n"/>
      <c r="F795" s="669" t="n"/>
      <c r="G795" s="669" t="n"/>
      <c r="H795" s="669" t="n"/>
      <c r="I795" s="669" t="n"/>
      <c r="J795" s="669" t="n"/>
      <c r="K795" s="669" t="n"/>
      <c r="L795" s="669" t="n"/>
      <c r="M795" s="669" t="n"/>
      <c r="N795" s="669" t="n"/>
      <c r="O795" s="669" t="n"/>
      <c r="P795" s="669" t="n"/>
      <c r="Q795" s="669" t="n"/>
      <c r="R795" s="669" t="n"/>
      <c r="S795" s="669" t="n"/>
      <c r="T795" s="669" t="n"/>
      <c r="U795" s="669" t="n"/>
      <c r="V795" s="669" t="n"/>
      <c r="W795" s="669" t="n"/>
      <c r="X795" s="669" t="n"/>
      <c r="Y795" s="669" t="n"/>
      <c r="Z795" s="669" t="n"/>
    </row>
    <row r="796">
      <c r="A796" s="669" t="n"/>
      <c r="B796" s="669" t="n"/>
      <c r="C796" s="669" t="n"/>
      <c r="D796" s="669" t="n"/>
      <c r="E796" s="669" t="n"/>
      <c r="F796" s="669" t="n"/>
      <c r="G796" s="669" t="n"/>
      <c r="H796" s="669" t="n"/>
      <c r="I796" s="669" t="n"/>
      <c r="J796" s="669" t="n"/>
      <c r="K796" s="669" t="n"/>
      <c r="L796" s="669" t="n"/>
      <c r="M796" s="669" t="n"/>
      <c r="N796" s="669" t="n"/>
      <c r="O796" s="669" t="n"/>
      <c r="P796" s="669" t="n"/>
      <c r="Q796" s="669" t="n"/>
      <c r="R796" s="669" t="n"/>
      <c r="S796" s="669" t="n"/>
      <c r="T796" s="669" t="n"/>
      <c r="U796" s="669" t="n"/>
      <c r="V796" s="669" t="n"/>
      <c r="W796" s="669" t="n"/>
      <c r="X796" s="669" t="n"/>
      <c r="Y796" s="669" t="n"/>
      <c r="Z796" s="669" t="n"/>
    </row>
    <row r="797">
      <c r="A797" s="669" t="n"/>
      <c r="B797" s="669" t="n"/>
      <c r="C797" s="669" t="n"/>
      <c r="D797" s="669" t="n"/>
      <c r="E797" s="669" t="n"/>
      <c r="F797" s="669" t="n"/>
      <c r="G797" s="669" t="n"/>
      <c r="H797" s="669" t="n"/>
      <c r="I797" s="669" t="n"/>
      <c r="J797" s="669" t="n"/>
      <c r="K797" s="669" t="n"/>
      <c r="L797" s="669" t="n"/>
      <c r="M797" s="669" t="n"/>
      <c r="N797" s="669" t="n"/>
      <c r="O797" s="669" t="n"/>
      <c r="P797" s="669" t="n"/>
      <c r="Q797" s="669" t="n"/>
      <c r="R797" s="669" t="n"/>
      <c r="S797" s="669" t="n"/>
      <c r="T797" s="669" t="n"/>
      <c r="U797" s="669" t="n"/>
      <c r="V797" s="669" t="n"/>
      <c r="W797" s="669" t="n"/>
      <c r="X797" s="669" t="n"/>
      <c r="Y797" s="669" t="n"/>
      <c r="Z797" s="669" t="n"/>
    </row>
    <row r="798">
      <c r="A798" s="669" t="n"/>
      <c r="B798" s="669" t="n"/>
      <c r="C798" s="669" t="n"/>
      <c r="D798" s="669" t="n"/>
      <c r="E798" s="669" t="n"/>
      <c r="F798" s="669" t="n"/>
      <c r="G798" s="669" t="n"/>
      <c r="H798" s="669" t="n"/>
      <c r="I798" s="669" t="n"/>
      <c r="J798" s="669" t="n"/>
      <c r="K798" s="669" t="n"/>
      <c r="L798" s="669" t="n"/>
      <c r="M798" s="669" t="n"/>
      <c r="N798" s="669" t="n"/>
      <c r="O798" s="669" t="n"/>
      <c r="P798" s="669" t="n"/>
      <c r="Q798" s="669" t="n"/>
      <c r="R798" s="669" t="n"/>
      <c r="S798" s="669" t="n"/>
      <c r="T798" s="669" t="n"/>
      <c r="U798" s="669" t="n"/>
      <c r="V798" s="669" t="n"/>
      <c r="W798" s="669" t="n"/>
      <c r="X798" s="669" t="n"/>
      <c r="Y798" s="669" t="n"/>
      <c r="Z798" s="669" t="n"/>
    </row>
    <row r="799">
      <c r="A799" s="669" t="n"/>
      <c r="B799" s="669" t="n"/>
      <c r="C799" s="669" t="n"/>
      <c r="D799" s="669" t="n"/>
      <c r="E799" s="669" t="n"/>
      <c r="F799" s="669" t="n"/>
      <c r="G799" s="669" t="n"/>
      <c r="H799" s="669" t="n"/>
      <c r="I799" s="669" t="n"/>
      <c r="J799" s="669" t="n"/>
      <c r="K799" s="669" t="n"/>
      <c r="L799" s="669" t="n"/>
      <c r="M799" s="669" t="n"/>
      <c r="N799" s="669" t="n"/>
      <c r="O799" s="669" t="n"/>
      <c r="P799" s="669" t="n"/>
      <c r="Q799" s="669" t="n"/>
      <c r="R799" s="669" t="n"/>
      <c r="S799" s="669" t="n"/>
      <c r="T799" s="669" t="n"/>
      <c r="U799" s="669" t="n"/>
      <c r="V799" s="669" t="n"/>
      <c r="W799" s="669" t="n"/>
      <c r="X799" s="669" t="n"/>
      <c r="Y799" s="669" t="n"/>
      <c r="Z799" s="669" t="n"/>
    </row>
    <row r="800">
      <c r="A800" s="669" t="n"/>
      <c r="B800" s="669" t="n"/>
      <c r="C800" s="669" t="n"/>
      <c r="D800" s="669" t="n"/>
      <c r="E800" s="669" t="n"/>
      <c r="F800" s="669" t="n"/>
      <c r="G800" s="669" t="n"/>
      <c r="H800" s="669" t="n"/>
      <c r="I800" s="669" t="n"/>
      <c r="J800" s="669" t="n"/>
      <c r="K800" s="669" t="n"/>
      <c r="L800" s="669" t="n"/>
      <c r="M800" s="669" t="n"/>
      <c r="N800" s="669" t="n"/>
      <c r="O800" s="669" t="n"/>
      <c r="P800" s="669" t="n"/>
      <c r="Q800" s="669" t="n"/>
      <c r="R800" s="669" t="n"/>
      <c r="S800" s="669" t="n"/>
      <c r="T800" s="669" t="n"/>
      <c r="U800" s="669" t="n"/>
      <c r="V800" s="669" t="n"/>
      <c r="W800" s="669" t="n"/>
      <c r="X800" s="669" t="n"/>
      <c r="Y800" s="669" t="n"/>
      <c r="Z800" s="669" t="n"/>
    </row>
    <row r="801">
      <c r="A801" s="669" t="n"/>
      <c r="B801" s="669" t="n"/>
      <c r="C801" s="669" t="n"/>
      <c r="D801" s="669" t="n"/>
      <c r="E801" s="669" t="n"/>
      <c r="F801" s="669" t="n"/>
      <c r="G801" s="669" t="n"/>
      <c r="H801" s="669" t="n"/>
      <c r="I801" s="669" t="n"/>
      <c r="J801" s="669" t="n"/>
      <c r="K801" s="669" t="n"/>
      <c r="L801" s="669" t="n"/>
      <c r="M801" s="669" t="n"/>
      <c r="N801" s="669" t="n"/>
      <c r="O801" s="669" t="n"/>
      <c r="P801" s="669" t="n"/>
      <c r="Q801" s="669" t="n"/>
      <c r="R801" s="669" t="n"/>
      <c r="S801" s="669" t="n"/>
      <c r="T801" s="669" t="n"/>
      <c r="U801" s="669" t="n"/>
      <c r="V801" s="669" t="n"/>
      <c r="W801" s="669" t="n"/>
      <c r="X801" s="669" t="n"/>
      <c r="Y801" s="669" t="n"/>
      <c r="Z801" s="669" t="n"/>
    </row>
    <row r="802">
      <c r="A802" s="669" t="n"/>
      <c r="B802" s="669" t="n"/>
      <c r="C802" s="669" t="n"/>
      <c r="D802" s="669" t="n"/>
      <c r="E802" s="669" t="n"/>
      <c r="F802" s="669" t="n"/>
      <c r="G802" s="669" t="n"/>
      <c r="H802" s="669" t="n"/>
      <c r="I802" s="669" t="n"/>
      <c r="J802" s="669" t="n"/>
      <c r="K802" s="669" t="n"/>
      <c r="L802" s="669" t="n"/>
      <c r="M802" s="669" t="n"/>
      <c r="N802" s="669" t="n"/>
      <c r="O802" s="669" t="n"/>
      <c r="P802" s="669" t="n"/>
      <c r="Q802" s="669" t="n"/>
      <c r="R802" s="669" t="n"/>
      <c r="S802" s="669" t="n"/>
      <c r="T802" s="669" t="n"/>
      <c r="U802" s="669" t="n"/>
      <c r="V802" s="669" t="n"/>
      <c r="W802" s="669" t="n"/>
      <c r="X802" s="669" t="n"/>
      <c r="Y802" s="669" t="n"/>
      <c r="Z802" s="669" t="n"/>
    </row>
    <row r="803">
      <c r="A803" s="669" t="n"/>
      <c r="B803" s="669" t="n"/>
      <c r="C803" s="669" t="n"/>
      <c r="D803" s="669" t="n"/>
      <c r="E803" s="669" t="n"/>
      <c r="F803" s="669" t="n"/>
      <c r="G803" s="669" t="n"/>
      <c r="H803" s="669" t="n"/>
      <c r="I803" s="669" t="n"/>
      <c r="J803" s="669" t="n"/>
      <c r="K803" s="669" t="n"/>
      <c r="L803" s="669" t="n"/>
      <c r="M803" s="669" t="n"/>
      <c r="N803" s="669" t="n"/>
      <c r="O803" s="669" t="n"/>
      <c r="P803" s="669" t="n"/>
      <c r="Q803" s="669" t="n"/>
      <c r="R803" s="669" t="n"/>
      <c r="S803" s="669" t="n"/>
      <c r="T803" s="669" t="n"/>
      <c r="U803" s="669" t="n"/>
      <c r="V803" s="669" t="n"/>
      <c r="W803" s="669" t="n"/>
      <c r="X803" s="669" t="n"/>
      <c r="Y803" s="669" t="n"/>
      <c r="Z803" s="669" t="n"/>
    </row>
    <row r="804">
      <c r="A804" s="669" t="n"/>
      <c r="B804" s="669" t="n"/>
      <c r="C804" s="669" t="n"/>
      <c r="D804" s="669" t="n"/>
      <c r="E804" s="669" t="n"/>
      <c r="F804" s="669" t="n"/>
      <c r="G804" s="669" t="n"/>
      <c r="H804" s="669" t="n"/>
      <c r="I804" s="669" t="n"/>
      <c r="J804" s="669" t="n"/>
      <c r="K804" s="669" t="n"/>
      <c r="L804" s="669" t="n"/>
      <c r="M804" s="669" t="n"/>
      <c r="N804" s="669" t="n"/>
      <c r="O804" s="669" t="n"/>
      <c r="P804" s="669" t="n"/>
      <c r="Q804" s="669" t="n"/>
      <c r="R804" s="669" t="n"/>
      <c r="S804" s="669" t="n"/>
      <c r="T804" s="669" t="n"/>
      <c r="U804" s="669" t="n"/>
      <c r="V804" s="669" t="n"/>
      <c r="W804" s="669" t="n"/>
      <c r="X804" s="669" t="n"/>
      <c r="Y804" s="669" t="n"/>
      <c r="Z804" s="669" t="n"/>
    </row>
    <row r="805">
      <c r="A805" s="669" t="n"/>
      <c r="B805" s="669" t="n"/>
      <c r="C805" s="669" t="n"/>
      <c r="D805" s="669" t="n"/>
      <c r="E805" s="669" t="n"/>
      <c r="F805" s="669" t="n"/>
      <c r="G805" s="669" t="n"/>
      <c r="H805" s="669" t="n"/>
      <c r="I805" s="669" t="n"/>
      <c r="J805" s="669" t="n"/>
      <c r="K805" s="669" t="n"/>
      <c r="L805" s="669" t="n"/>
      <c r="M805" s="669" t="n"/>
      <c r="N805" s="669" t="n"/>
      <c r="O805" s="669" t="n"/>
      <c r="P805" s="669" t="n"/>
      <c r="Q805" s="669" t="n"/>
      <c r="R805" s="669" t="n"/>
      <c r="S805" s="669" t="n"/>
      <c r="T805" s="669" t="n"/>
      <c r="U805" s="669" t="n"/>
      <c r="V805" s="669" t="n"/>
      <c r="W805" s="669" t="n"/>
      <c r="X805" s="669" t="n"/>
      <c r="Y805" s="669" t="n"/>
      <c r="Z805" s="669" t="n"/>
    </row>
    <row r="806">
      <c r="A806" s="669" t="n"/>
      <c r="B806" s="669" t="n"/>
      <c r="C806" s="669" t="n"/>
      <c r="D806" s="669" t="n"/>
      <c r="E806" s="669" t="n"/>
      <c r="F806" s="669" t="n"/>
      <c r="G806" s="669" t="n"/>
      <c r="H806" s="669" t="n"/>
      <c r="I806" s="669" t="n"/>
      <c r="J806" s="669" t="n"/>
      <c r="K806" s="669" t="n"/>
      <c r="L806" s="669" t="n"/>
      <c r="M806" s="669" t="n"/>
      <c r="N806" s="669" t="n"/>
      <c r="O806" s="669" t="n"/>
      <c r="P806" s="669" t="n"/>
      <c r="Q806" s="669" t="n"/>
      <c r="R806" s="669" t="n"/>
      <c r="S806" s="669" t="n"/>
      <c r="T806" s="669" t="n"/>
      <c r="U806" s="669" t="n"/>
      <c r="V806" s="669" t="n"/>
      <c r="W806" s="669" t="n"/>
      <c r="X806" s="669" t="n"/>
      <c r="Y806" s="669" t="n"/>
      <c r="Z806" s="669" t="n"/>
    </row>
    <row r="807">
      <c r="A807" s="669" t="n"/>
      <c r="B807" s="669" t="n"/>
      <c r="C807" s="669" t="n"/>
      <c r="D807" s="669" t="n"/>
      <c r="E807" s="669" t="n"/>
      <c r="F807" s="669" t="n"/>
      <c r="G807" s="669" t="n"/>
      <c r="H807" s="669" t="n"/>
      <c r="I807" s="669" t="n"/>
      <c r="J807" s="669" t="n"/>
      <c r="K807" s="669" t="n"/>
      <c r="L807" s="669" t="n"/>
      <c r="M807" s="669" t="n"/>
      <c r="N807" s="669" t="n"/>
      <c r="O807" s="669" t="n"/>
      <c r="P807" s="669" t="n"/>
      <c r="Q807" s="669" t="n"/>
      <c r="R807" s="669" t="n"/>
      <c r="S807" s="669" t="n"/>
      <c r="T807" s="669" t="n"/>
      <c r="U807" s="669" t="n"/>
      <c r="V807" s="669" t="n"/>
      <c r="W807" s="669" t="n"/>
      <c r="X807" s="669" t="n"/>
      <c r="Y807" s="669" t="n"/>
      <c r="Z807" s="669" t="n"/>
    </row>
    <row r="808">
      <c r="A808" s="669" t="n"/>
      <c r="B808" s="669" t="n"/>
      <c r="C808" s="669" t="n"/>
      <c r="D808" s="669" t="n"/>
      <c r="E808" s="669" t="n"/>
      <c r="F808" s="669" t="n"/>
      <c r="G808" s="669" t="n"/>
      <c r="H808" s="669" t="n"/>
      <c r="I808" s="669" t="n"/>
      <c r="J808" s="669" t="n"/>
      <c r="K808" s="669" t="n"/>
      <c r="L808" s="669" t="n"/>
      <c r="M808" s="669" t="n"/>
      <c r="N808" s="669" t="n"/>
      <c r="O808" s="669" t="n"/>
      <c r="P808" s="669" t="n"/>
      <c r="Q808" s="669" t="n"/>
      <c r="R808" s="669" t="n"/>
      <c r="S808" s="669" t="n"/>
      <c r="T808" s="669" t="n"/>
      <c r="U808" s="669" t="n"/>
      <c r="V808" s="669" t="n"/>
      <c r="W808" s="669" t="n"/>
      <c r="X808" s="669" t="n"/>
      <c r="Y808" s="669" t="n"/>
      <c r="Z808" s="669" t="n"/>
    </row>
    <row r="809">
      <c r="A809" s="669" t="n"/>
      <c r="B809" s="669" t="n"/>
      <c r="C809" s="669" t="n"/>
      <c r="D809" s="669" t="n"/>
      <c r="E809" s="669" t="n"/>
      <c r="F809" s="669" t="n"/>
      <c r="G809" s="669" t="n"/>
      <c r="H809" s="669" t="n"/>
      <c r="I809" s="669" t="n"/>
      <c r="J809" s="669" t="n"/>
      <c r="K809" s="669" t="n"/>
      <c r="L809" s="669" t="n"/>
      <c r="M809" s="669" t="n"/>
      <c r="N809" s="669" t="n"/>
      <c r="O809" s="669" t="n"/>
      <c r="P809" s="669" t="n"/>
      <c r="Q809" s="669" t="n"/>
      <c r="R809" s="669" t="n"/>
      <c r="S809" s="669" t="n"/>
      <c r="T809" s="669" t="n"/>
      <c r="U809" s="669" t="n"/>
      <c r="V809" s="669" t="n"/>
      <c r="W809" s="669" t="n"/>
      <c r="X809" s="669" t="n"/>
      <c r="Y809" s="669" t="n"/>
      <c r="Z809" s="669" t="n"/>
    </row>
    <row r="810">
      <c r="A810" s="669" t="n"/>
      <c r="B810" s="669" t="n"/>
      <c r="C810" s="669" t="n"/>
      <c r="D810" s="669" t="n"/>
      <c r="E810" s="669" t="n"/>
      <c r="F810" s="669" t="n"/>
      <c r="G810" s="669" t="n"/>
      <c r="H810" s="669" t="n"/>
      <c r="I810" s="669" t="n"/>
      <c r="J810" s="669" t="n"/>
      <c r="K810" s="669" t="n"/>
      <c r="L810" s="669" t="n"/>
      <c r="M810" s="669" t="n"/>
      <c r="N810" s="669" t="n"/>
      <c r="O810" s="669" t="n"/>
      <c r="P810" s="669" t="n"/>
      <c r="Q810" s="669" t="n"/>
      <c r="R810" s="669" t="n"/>
      <c r="S810" s="669" t="n"/>
      <c r="T810" s="669" t="n"/>
      <c r="U810" s="669" t="n"/>
      <c r="V810" s="669" t="n"/>
      <c r="W810" s="669" t="n"/>
      <c r="X810" s="669" t="n"/>
      <c r="Y810" s="669" t="n"/>
      <c r="Z810" s="669" t="n"/>
    </row>
    <row r="811">
      <c r="A811" s="669" t="n"/>
      <c r="B811" s="669" t="n"/>
      <c r="C811" s="669" t="n"/>
      <c r="D811" s="669" t="n"/>
      <c r="E811" s="669" t="n"/>
      <c r="F811" s="669" t="n"/>
      <c r="G811" s="669" t="n"/>
      <c r="H811" s="669" t="n"/>
      <c r="I811" s="669" t="n"/>
      <c r="J811" s="669" t="n"/>
      <c r="K811" s="669" t="n"/>
      <c r="L811" s="669" t="n"/>
      <c r="M811" s="669" t="n"/>
      <c r="N811" s="669" t="n"/>
      <c r="O811" s="669" t="n"/>
      <c r="P811" s="669" t="n"/>
      <c r="Q811" s="669" t="n"/>
      <c r="R811" s="669" t="n"/>
      <c r="S811" s="669" t="n"/>
      <c r="T811" s="669" t="n"/>
      <c r="U811" s="669" t="n"/>
      <c r="V811" s="669" t="n"/>
      <c r="W811" s="669" t="n"/>
      <c r="X811" s="669" t="n"/>
      <c r="Y811" s="669" t="n"/>
      <c r="Z811" s="669" t="n"/>
    </row>
    <row r="812">
      <c r="A812" s="669" t="n"/>
      <c r="B812" s="669" t="n"/>
      <c r="C812" s="669" t="n"/>
      <c r="D812" s="669" t="n"/>
      <c r="E812" s="669" t="n"/>
      <c r="F812" s="669" t="n"/>
      <c r="G812" s="669" t="n"/>
      <c r="H812" s="669" t="n"/>
      <c r="I812" s="669" t="n"/>
      <c r="J812" s="669" t="n"/>
      <c r="K812" s="669" t="n"/>
      <c r="L812" s="669" t="n"/>
      <c r="M812" s="669" t="n"/>
      <c r="N812" s="669" t="n"/>
      <c r="O812" s="669" t="n"/>
      <c r="P812" s="669" t="n"/>
      <c r="Q812" s="669" t="n"/>
      <c r="R812" s="669" t="n"/>
      <c r="S812" s="669" t="n"/>
      <c r="T812" s="669" t="n"/>
      <c r="U812" s="669" t="n"/>
      <c r="V812" s="669" t="n"/>
      <c r="W812" s="669" t="n"/>
      <c r="X812" s="669" t="n"/>
      <c r="Y812" s="669" t="n"/>
      <c r="Z812" s="669" t="n"/>
    </row>
    <row r="813">
      <c r="A813" s="669" t="n"/>
      <c r="B813" s="669" t="n"/>
      <c r="C813" s="669" t="n"/>
      <c r="D813" s="669" t="n"/>
      <c r="E813" s="669" t="n"/>
      <c r="F813" s="669" t="n"/>
      <c r="G813" s="669" t="n"/>
      <c r="H813" s="669" t="n"/>
      <c r="I813" s="669" t="n"/>
      <c r="J813" s="669" t="n"/>
      <c r="K813" s="669" t="n"/>
      <c r="L813" s="669" t="n"/>
      <c r="M813" s="669" t="n"/>
      <c r="N813" s="669" t="n"/>
      <c r="O813" s="669" t="n"/>
      <c r="P813" s="669" t="n"/>
      <c r="Q813" s="669" t="n"/>
      <c r="R813" s="669" t="n"/>
      <c r="S813" s="669" t="n"/>
      <c r="T813" s="669" t="n"/>
      <c r="U813" s="669" t="n"/>
      <c r="V813" s="669" t="n"/>
      <c r="W813" s="669" t="n"/>
      <c r="X813" s="669" t="n"/>
      <c r="Y813" s="669" t="n"/>
      <c r="Z813" s="669" t="n"/>
    </row>
    <row r="814">
      <c r="A814" s="669" t="n"/>
      <c r="B814" s="669" t="n"/>
      <c r="C814" s="669" t="n"/>
      <c r="D814" s="669" t="n"/>
      <c r="E814" s="669" t="n"/>
      <c r="F814" s="669" t="n"/>
      <c r="G814" s="669" t="n"/>
      <c r="H814" s="669" t="n"/>
      <c r="I814" s="669" t="n"/>
      <c r="J814" s="669" t="n"/>
      <c r="K814" s="669" t="n"/>
      <c r="L814" s="669" t="n"/>
      <c r="M814" s="669" t="n"/>
      <c r="N814" s="669" t="n"/>
      <c r="O814" s="669" t="n"/>
      <c r="P814" s="669" t="n"/>
      <c r="Q814" s="669" t="n"/>
      <c r="R814" s="669" t="n"/>
      <c r="S814" s="669" t="n"/>
      <c r="T814" s="669" t="n"/>
      <c r="U814" s="669" t="n"/>
      <c r="V814" s="669" t="n"/>
      <c r="W814" s="669" t="n"/>
      <c r="X814" s="669" t="n"/>
      <c r="Y814" s="669" t="n"/>
      <c r="Z814" s="669" t="n"/>
    </row>
    <row r="815">
      <c r="A815" s="669" t="n"/>
      <c r="B815" s="669" t="n"/>
      <c r="C815" s="669" t="n"/>
      <c r="D815" s="669" t="n"/>
      <c r="E815" s="669" t="n"/>
      <c r="F815" s="669" t="n"/>
      <c r="G815" s="669" t="n"/>
      <c r="H815" s="669" t="n"/>
      <c r="I815" s="669" t="n"/>
      <c r="J815" s="669" t="n"/>
      <c r="K815" s="669" t="n"/>
      <c r="L815" s="669" t="n"/>
      <c r="M815" s="669" t="n"/>
      <c r="N815" s="669" t="n"/>
      <c r="O815" s="669" t="n"/>
      <c r="P815" s="669" t="n"/>
      <c r="Q815" s="669" t="n"/>
      <c r="R815" s="669" t="n"/>
      <c r="S815" s="669" t="n"/>
      <c r="T815" s="669" t="n"/>
      <c r="U815" s="669" t="n"/>
      <c r="V815" s="669" t="n"/>
      <c r="W815" s="669" t="n"/>
      <c r="X815" s="669" t="n"/>
      <c r="Y815" s="669" t="n"/>
      <c r="Z815" s="669" t="n"/>
    </row>
    <row r="816">
      <c r="A816" s="669" t="n"/>
      <c r="B816" s="669" t="n"/>
      <c r="C816" s="669" t="n"/>
      <c r="D816" s="669" t="n"/>
      <c r="E816" s="669" t="n"/>
      <c r="F816" s="669" t="n"/>
      <c r="G816" s="669" t="n"/>
      <c r="H816" s="669" t="n"/>
      <c r="I816" s="669" t="n"/>
      <c r="J816" s="669" t="n"/>
      <c r="K816" s="669" t="n"/>
      <c r="L816" s="669" t="n"/>
      <c r="M816" s="669" t="n"/>
      <c r="N816" s="669" t="n"/>
      <c r="O816" s="669" t="n"/>
      <c r="P816" s="669" t="n"/>
      <c r="Q816" s="669" t="n"/>
      <c r="R816" s="669" t="n"/>
      <c r="S816" s="669" t="n"/>
      <c r="T816" s="669" t="n"/>
      <c r="U816" s="669" t="n"/>
      <c r="V816" s="669" t="n"/>
      <c r="W816" s="669" t="n"/>
      <c r="X816" s="669" t="n"/>
      <c r="Y816" s="669" t="n"/>
      <c r="Z816" s="669" t="n"/>
    </row>
    <row r="817">
      <c r="A817" s="669" t="n"/>
      <c r="B817" s="669" t="n"/>
      <c r="C817" s="669" t="n"/>
      <c r="D817" s="669" t="n"/>
      <c r="E817" s="669" t="n"/>
      <c r="F817" s="669" t="n"/>
      <c r="G817" s="669" t="n"/>
      <c r="H817" s="669" t="n"/>
      <c r="I817" s="669" t="n"/>
      <c r="J817" s="669" t="n"/>
      <c r="K817" s="669" t="n"/>
      <c r="L817" s="669" t="n"/>
      <c r="M817" s="669" t="n"/>
      <c r="N817" s="669" t="n"/>
      <c r="O817" s="669" t="n"/>
      <c r="P817" s="669" t="n"/>
      <c r="Q817" s="669" t="n"/>
      <c r="R817" s="669" t="n"/>
      <c r="S817" s="669" t="n"/>
      <c r="T817" s="669" t="n"/>
      <c r="U817" s="669" t="n"/>
      <c r="V817" s="669" t="n"/>
      <c r="W817" s="669" t="n"/>
      <c r="X817" s="669" t="n"/>
      <c r="Y817" s="669" t="n"/>
      <c r="Z817" s="669" t="n"/>
    </row>
    <row r="818">
      <c r="A818" s="669" t="n"/>
      <c r="B818" s="669" t="n"/>
      <c r="C818" s="669" t="n"/>
      <c r="D818" s="669" t="n"/>
      <c r="E818" s="669" t="n"/>
      <c r="F818" s="669" t="n"/>
      <c r="G818" s="669" t="n"/>
      <c r="H818" s="669" t="n"/>
      <c r="I818" s="669" t="n"/>
      <c r="J818" s="669" t="n"/>
      <c r="K818" s="669" t="n"/>
      <c r="L818" s="669" t="n"/>
      <c r="M818" s="669" t="n"/>
      <c r="N818" s="669" t="n"/>
      <c r="O818" s="669" t="n"/>
      <c r="P818" s="669" t="n"/>
      <c r="Q818" s="669" t="n"/>
      <c r="R818" s="669" t="n"/>
      <c r="S818" s="669" t="n"/>
      <c r="T818" s="669" t="n"/>
      <c r="U818" s="669" t="n"/>
      <c r="V818" s="669" t="n"/>
      <c r="W818" s="669" t="n"/>
      <c r="X818" s="669" t="n"/>
      <c r="Y818" s="669" t="n"/>
      <c r="Z818" s="669" t="n"/>
    </row>
    <row r="819">
      <c r="A819" s="669" t="n"/>
      <c r="B819" s="669" t="n"/>
      <c r="C819" s="669" t="n"/>
      <c r="D819" s="669" t="n"/>
      <c r="E819" s="669" t="n"/>
      <c r="F819" s="669" t="n"/>
      <c r="G819" s="669" t="n"/>
      <c r="H819" s="669" t="n"/>
      <c r="I819" s="669" t="n"/>
      <c r="J819" s="669" t="n"/>
      <c r="K819" s="669" t="n"/>
      <c r="L819" s="669" t="n"/>
      <c r="M819" s="669" t="n"/>
      <c r="N819" s="669" t="n"/>
      <c r="O819" s="669" t="n"/>
      <c r="P819" s="669" t="n"/>
      <c r="Q819" s="669" t="n"/>
      <c r="R819" s="669" t="n"/>
      <c r="S819" s="669" t="n"/>
      <c r="T819" s="669" t="n"/>
      <c r="U819" s="669" t="n"/>
      <c r="V819" s="669" t="n"/>
      <c r="W819" s="669" t="n"/>
      <c r="X819" s="669" t="n"/>
      <c r="Y819" s="669" t="n"/>
      <c r="Z819" s="669" t="n"/>
    </row>
    <row r="820">
      <c r="A820" s="669" t="n"/>
      <c r="B820" s="669" t="n"/>
      <c r="C820" s="669" t="n"/>
      <c r="D820" s="669" t="n"/>
      <c r="E820" s="669" t="n"/>
      <c r="F820" s="669" t="n"/>
      <c r="G820" s="669" t="n"/>
      <c r="H820" s="669" t="n"/>
      <c r="I820" s="669" t="n"/>
      <c r="J820" s="669" t="n"/>
      <c r="K820" s="669" t="n"/>
      <c r="L820" s="669" t="n"/>
      <c r="M820" s="669" t="n"/>
      <c r="N820" s="669" t="n"/>
      <c r="O820" s="669" t="n"/>
      <c r="P820" s="669" t="n"/>
      <c r="Q820" s="669" t="n"/>
      <c r="R820" s="669" t="n"/>
      <c r="S820" s="669" t="n"/>
      <c r="T820" s="669" t="n"/>
      <c r="U820" s="669" t="n"/>
      <c r="V820" s="669" t="n"/>
      <c r="W820" s="669" t="n"/>
      <c r="X820" s="669" t="n"/>
      <c r="Y820" s="669" t="n"/>
      <c r="Z820" s="669" t="n"/>
    </row>
    <row r="821">
      <c r="A821" s="669" t="n"/>
      <c r="B821" s="669" t="n"/>
      <c r="C821" s="669" t="n"/>
      <c r="D821" s="669" t="n"/>
      <c r="E821" s="669" t="n"/>
      <c r="F821" s="669" t="n"/>
      <c r="G821" s="669" t="n"/>
      <c r="H821" s="669" t="n"/>
      <c r="I821" s="669" t="n"/>
      <c r="J821" s="669" t="n"/>
      <c r="K821" s="669" t="n"/>
      <c r="L821" s="669" t="n"/>
      <c r="M821" s="669" t="n"/>
      <c r="N821" s="669" t="n"/>
      <c r="O821" s="669" t="n"/>
      <c r="P821" s="669" t="n"/>
      <c r="Q821" s="669" t="n"/>
      <c r="R821" s="669" t="n"/>
      <c r="S821" s="669" t="n"/>
      <c r="T821" s="669" t="n"/>
      <c r="U821" s="669" t="n"/>
      <c r="V821" s="669" t="n"/>
      <c r="W821" s="669" t="n"/>
      <c r="X821" s="669" t="n"/>
      <c r="Y821" s="669" t="n"/>
      <c r="Z821" s="669" t="n"/>
    </row>
    <row r="822">
      <c r="A822" s="669" t="n"/>
      <c r="B822" s="669" t="n"/>
      <c r="C822" s="669" t="n"/>
      <c r="D822" s="669" t="n"/>
      <c r="E822" s="669" t="n"/>
      <c r="F822" s="669" t="n"/>
      <c r="G822" s="669" t="n"/>
      <c r="H822" s="669" t="n"/>
      <c r="I822" s="669" t="n"/>
      <c r="J822" s="669" t="n"/>
      <c r="K822" s="669" t="n"/>
      <c r="L822" s="669" t="n"/>
      <c r="M822" s="669" t="n"/>
      <c r="N822" s="669" t="n"/>
      <c r="O822" s="669" t="n"/>
      <c r="P822" s="669" t="n"/>
      <c r="Q822" s="669" t="n"/>
      <c r="R822" s="669" t="n"/>
      <c r="S822" s="669" t="n"/>
      <c r="T822" s="669" t="n"/>
      <c r="U822" s="669" t="n"/>
      <c r="V822" s="669" t="n"/>
      <c r="W822" s="669" t="n"/>
      <c r="X822" s="669" t="n"/>
      <c r="Y822" s="669" t="n"/>
      <c r="Z822" s="669" t="n"/>
    </row>
    <row r="823">
      <c r="A823" s="669" t="n"/>
      <c r="B823" s="669" t="n"/>
      <c r="C823" s="669" t="n"/>
      <c r="D823" s="669" t="n"/>
      <c r="E823" s="669" t="n"/>
      <c r="F823" s="669" t="n"/>
      <c r="G823" s="669" t="n"/>
      <c r="H823" s="669" t="n"/>
      <c r="I823" s="669" t="n"/>
      <c r="J823" s="669" t="n"/>
      <c r="K823" s="669" t="n"/>
      <c r="L823" s="669" t="n"/>
      <c r="M823" s="669" t="n"/>
      <c r="N823" s="669" t="n"/>
      <c r="O823" s="669" t="n"/>
      <c r="P823" s="669" t="n"/>
      <c r="Q823" s="669" t="n"/>
      <c r="R823" s="669" t="n"/>
      <c r="S823" s="669" t="n"/>
      <c r="T823" s="669" t="n"/>
      <c r="U823" s="669" t="n"/>
      <c r="V823" s="669" t="n"/>
      <c r="W823" s="669" t="n"/>
      <c r="X823" s="669" t="n"/>
      <c r="Y823" s="669" t="n"/>
      <c r="Z823" s="669" t="n"/>
    </row>
    <row r="824">
      <c r="A824" s="669" t="n"/>
      <c r="B824" s="669" t="n"/>
      <c r="C824" s="669" t="n"/>
      <c r="D824" s="669" t="n"/>
      <c r="E824" s="669" t="n"/>
      <c r="F824" s="669" t="n"/>
      <c r="G824" s="669" t="n"/>
      <c r="H824" s="669" t="n"/>
      <c r="I824" s="669" t="n"/>
      <c r="J824" s="669" t="n"/>
      <c r="K824" s="669" t="n"/>
      <c r="L824" s="669" t="n"/>
      <c r="M824" s="669" t="n"/>
      <c r="N824" s="669" t="n"/>
      <c r="O824" s="669" t="n"/>
      <c r="P824" s="669" t="n"/>
      <c r="Q824" s="669" t="n"/>
      <c r="R824" s="669" t="n"/>
      <c r="S824" s="669" t="n"/>
      <c r="T824" s="669" t="n"/>
      <c r="U824" s="669" t="n"/>
      <c r="V824" s="669" t="n"/>
      <c r="W824" s="669" t="n"/>
      <c r="X824" s="669" t="n"/>
      <c r="Y824" s="669" t="n"/>
      <c r="Z824" s="669" t="n"/>
    </row>
    <row r="825">
      <c r="A825" s="669" t="n"/>
      <c r="B825" s="669" t="n"/>
      <c r="C825" s="669" t="n"/>
      <c r="D825" s="669" t="n"/>
      <c r="E825" s="669" t="n"/>
      <c r="F825" s="669" t="n"/>
      <c r="G825" s="669" t="n"/>
      <c r="H825" s="669" t="n"/>
      <c r="I825" s="669" t="n"/>
      <c r="J825" s="669" t="n"/>
      <c r="K825" s="669" t="n"/>
      <c r="L825" s="669" t="n"/>
      <c r="M825" s="669" t="n"/>
      <c r="N825" s="669" t="n"/>
      <c r="O825" s="669" t="n"/>
      <c r="P825" s="669" t="n"/>
      <c r="Q825" s="669" t="n"/>
      <c r="R825" s="669" t="n"/>
      <c r="S825" s="669" t="n"/>
      <c r="T825" s="669" t="n"/>
      <c r="U825" s="669" t="n"/>
      <c r="V825" s="669" t="n"/>
      <c r="W825" s="669" t="n"/>
      <c r="X825" s="669" t="n"/>
      <c r="Y825" s="669" t="n"/>
      <c r="Z825" s="669" t="n"/>
    </row>
    <row r="826">
      <c r="A826" s="669" t="n"/>
      <c r="B826" s="669" t="n"/>
      <c r="C826" s="669" t="n"/>
      <c r="D826" s="669" t="n"/>
      <c r="E826" s="669" t="n"/>
      <c r="F826" s="669" t="n"/>
      <c r="G826" s="669" t="n"/>
      <c r="H826" s="669" t="n"/>
      <c r="I826" s="669" t="n"/>
      <c r="J826" s="669" t="n"/>
      <c r="K826" s="669" t="n"/>
      <c r="L826" s="669" t="n"/>
      <c r="M826" s="669" t="n"/>
      <c r="N826" s="669" t="n"/>
      <c r="O826" s="669" t="n"/>
      <c r="P826" s="669" t="n"/>
      <c r="Q826" s="669" t="n"/>
      <c r="R826" s="669" t="n"/>
      <c r="S826" s="669" t="n"/>
      <c r="T826" s="669" t="n"/>
      <c r="U826" s="669" t="n"/>
      <c r="V826" s="669" t="n"/>
      <c r="W826" s="669" t="n"/>
      <c r="X826" s="669" t="n"/>
      <c r="Y826" s="669" t="n"/>
      <c r="Z826" s="669" t="n"/>
    </row>
    <row r="827">
      <c r="A827" s="669" t="n"/>
      <c r="B827" s="669" t="n"/>
      <c r="C827" s="669" t="n"/>
      <c r="D827" s="669" t="n"/>
      <c r="E827" s="669" t="n"/>
      <c r="F827" s="669" t="n"/>
      <c r="G827" s="669" t="n"/>
      <c r="H827" s="669" t="n"/>
      <c r="I827" s="669" t="n"/>
      <c r="J827" s="669" t="n"/>
      <c r="K827" s="669" t="n"/>
      <c r="L827" s="669" t="n"/>
      <c r="M827" s="669" t="n"/>
      <c r="N827" s="669" t="n"/>
      <c r="O827" s="669" t="n"/>
      <c r="P827" s="669" t="n"/>
      <c r="Q827" s="669" t="n"/>
      <c r="R827" s="669" t="n"/>
      <c r="S827" s="669" t="n"/>
      <c r="T827" s="669" t="n"/>
      <c r="U827" s="669" t="n"/>
      <c r="V827" s="669" t="n"/>
      <c r="W827" s="669" t="n"/>
      <c r="X827" s="669" t="n"/>
      <c r="Y827" s="669" t="n"/>
      <c r="Z827" s="669" t="n"/>
    </row>
    <row r="828">
      <c r="A828" s="669" t="n"/>
      <c r="B828" s="669" t="n"/>
      <c r="C828" s="669" t="n"/>
      <c r="D828" s="669" t="n"/>
      <c r="E828" s="669" t="n"/>
      <c r="F828" s="669" t="n"/>
      <c r="G828" s="669" t="n"/>
      <c r="H828" s="669" t="n"/>
      <c r="I828" s="669" t="n"/>
      <c r="J828" s="669" t="n"/>
      <c r="K828" s="669" t="n"/>
      <c r="L828" s="669" t="n"/>
      <c r="M828" s="669" t="n"/>
      <c r="N828" s="669" t="n"/>
      <c r="O828" s="669" t="n"/>
      <c r="P828" s="669" t="n"/>
      <c r="Q828" s="669" t="n"/>
      <c r="R828" s="669" t="n"/>
      <c r="S828" s="669" t="n"/>
      <c r="T828" s="669" t="n"/>
      <c r="U828" s="669" t="n"/>
      <c r="V828" s="669" t="n"/>
      <c r="W828" s="669" t="n"/>
      <c r="X828" s="669" t="n"/>
      <c r="Y828" s="669" t="n"/>
      <c r="Z828" s="669" t="n"/>
    </row>
    <row r="829">
      <c r="A829" s="669" t="n"/>
      <c r="B829" s="669" t="n"/>
      <c r="C829" s="669" t="n"/>
      <c r="D829" s="669" t="n"/>
      <c r="E829" s="669" t="n"/>
      <c r="F829" s="669" t="n"/>
      <c r="G829" s="669" t="n"/>
      <c r="H829" s="669" t="n"/>
      <c r="I829" s="669" t="n"/>
      <c r="J829" s="669" t="n"/>
      <c r="K829" s="669" t="n"/>
      <c r="L829" s="669" t="n"/>
      <c r="M829" s="669" t="n"/>
      <c r="N829" s="669" t="n"/>
      <c r="O829" s="669" t="n"/>
      <c r="P829" s="669" t="n"/>
      <c r="Q829" s="669" t="n"/>
      <c r="R829" s="669" t="n"/>
      <c r="S829" s="669" t="n"/>
      <c r="T829" s="669" t="n"/>
      <c r="U829" s="669" t="n"/>
      <c r="V829" s="669" t="n"/>
      <c r="W829" s="669" t="n"/>
      <c r="X829" s="669" t="n"/>
      <c r="Y829" s="669" t="n"/>
      <c r="Z829" s="669" t="n"/>
    </row>
    <row r="830">
      <c r="A830" s="669" t="n"/>
      <c r="B830" s="669" t="n"/>
      <c r="C830" s="669" t="n"/>
      <c r="D830" s="669" t="n"/>
      <c r="E830" s="669" t="n"/>
      <c r="F830" s="669" t="n"/>
      <c r="G830" s="669" t="n"/>
      <c r="H830" s="669" t="n"/>
      <c r="I830" s="669" t="n"/>
      <c r="J830" s="669" t="n"/>
      <c r="K830" s="669" t="n"/>
      <c r="L830" s="669" t="n"/>
      <c r="M830" s="669" t="n"/>
      <c r="N830" s="669" t="n"/>
      <c r="O830" s="669" t="n"/>
      <c r="P830" s="669" t="n"/>
      <c r="Q830" s="669" t="n"/>
      <c r="R830" s="669" t="n"/>
      <c r="S830" s="669" t="n"/>
      <c r="T830" s="669" t="n"/>
      <c r="U830" s="669" t="n"/>
      <c r="V830" s="669" t="n"/>
      <c r="W830" s="669" t="n"/>
      <c r="X830" s="669" t="n"/>
      <c r="Y830" s="669" t="n"/>
      <c r="Z830" s="669" t="n"/>
    </row>
    <row r="831">
      <c r="A831" s="669" t="n"/>
      <c r="B831" s="669" t="n"/>
      <c r="C831" s="669" t="n"/>
      <c r="D831" s="669" t="n"/>
      <c r="E831" s="669" t="n"/>
      <c r="F831" s="669" t="n"/>
      <c r="G831" s="669" t="n"/>
      <c r="H831" s="669" t="n"/>
      <c r="I831" s="669" t="n"/>
      <c r="J831" s="669" t="n"/>
      <c r="K831" s="669" t="n"/>
      <c r="L831" s="669" t="n"/>
      <c r="M831" s="669" t="n"/>
      <c r="N831" s="669" t="n"/>
      <c r="O831" s="669" t="n"/>
      <c r="P831" s="669" t="n"/>
      <c r="Q831" s="669" t="n"/>
      <c r="R831" s="669" t="n"/>
      <c r="S831" s="669" t="n"/>
      <c r="T831" s="669" t="n"/>
      <c r="U831" s="669" t="n"/>
      <c r="V831" s="669" t="n"/>
      <c r="W831" s="669" t="n"/>
      <c r="X831" s="669" t="n"/>
      <c r="Y831" s="669" t="n"/>
      <c r="Z831" s="669" t="n"/>
    </row>
    <row r="832">
      <c r="A832" s="669" t="n"/>
      <c r="B832" s="669" t="n"/>
      <c r="C832" s="669" t="n"/>
      <c r="D832" s="669" t="n"/>
      <c r="E832" s="669" t="n"/>
      <c r="F832" s="669" t="n"/>
      <c r="G832" s="669" t="n"/>
      <c r="H832" s="669" t="n"/>
      <c r="I832" s="669" t="n"/>
      <c r="J832" s="669" t="n"/>
      <c r="K832" s="669" t="n"/>
      <c r="L832" s="669" t="n"/>
      <c r="M832" s="669" t="n"/>
      <c r="N832" s="669" t="n"/>
      <c r="O832" s="669" t="n"/>
      <c r="P832" s="669" t="n"/>
      <c r="Q832" s="669" t="n"/>
      <c r="R832" s="669" t="n"/>
      <c r="S832" s="669" t="n"/>
      <c r="T832" s="669" t="n"/>
      <c r="U832" s="669" t="n"/>
      <c r="V832" s="669" t="n"/>
      <c r="W832" s="669" t="n"/>
      <c r="X832" s="669" t="n"/>
      <c r="Y832" s="669" t="n"/>
      <c r="Z832" s="669" t="n"/>
    </row>
    <row r="833">
      <c r="A833" s="669" t="n"/>
      <c r="B833" s="669" t="n"/>
      <c r="C833" s="669" t="n"/>
      <c r="D833" s="669" t="n"/>
      <c r="E833" s="669" t="n"/>
      <c r="F833" s="669" t="n"/>
      <c r="G833" s="669" t="n"/>
      <c r="H833" s="669" t="n"/>
      <c r="I833" s="669" t="n"/>
      <c r="J833" s="669" t="n"/>
      <c r="K833" s="669" t="n"/>
      <c r="L833" s="669" t="n"/>
      <c r="M833" s="669" t="n"/>
      <c r="N833" s="669" t="n"/>
      <c r="O833" s="669" t="n"/>
      <c r="P833" s="669" t="n"/>
      <c r="Q833" s="669" t="n"/>
      <c r="R833" s="669" t="n"/>
      <c r="S833" s="669" t="n"/>
      <c r="T833" s="669" t="n"/>
      <c r="U833" s="669" t="n"/>
      <c r="V833" s="669" t="n"/>
      <c r="W833" s="669" t="n"/>
      <c r="X833" s="669" t="n"/>
      <c r="Y833" s="669" t="n"/>
      <c r="Z833" s="669" t="n"/>
    </row>
    <row r="834">
      <c r="A834" s="669" t="n"/>
      <c r="B834" s="669" t="n"/>
      <c r="C834" s="669" t="n"/>
      <c r="D834" s="669" t="n"/>
      <c r="E834" s="669" t="n"/>
      <c r="F834" s="669" t="n"/>
      <c r="G834" s="669" t="n"/>
      <c r="H834" s="669" t="n"/>
      <c r="I834" s="669" t="n"/>
      <c r="J834" s="669" t="n"/>
      <c r="K834" s="669" t="n"/>
      <c r="L834" s="669" t="n"/>
      <c r="M834" s="669" t="n"/>
      <c r="N834" s="669" t="n"/>
      <c r="O834" s="669" t="n"/>
      <c r="P834" s="669" t="n"/>
      <c r="Q834" s="669" t="n"/>
      <c r="R834" s="669" t="n"/>
      <c r="S834" s="669" t="n"/>
      <c r="T834" s="669" t="n"/>
      <c r="U834" s="669" t="n"/>
      <c r="V834" s="669" t="n"/>
      <c r="W834" s="669" t="n"/>
      <c r="X834" s="669" t="n"/>
      <c r="Y834" s="669" t="n"/>
      <c r="Z834" s="669" t="n"/>
    </row>
    <row r="835">
      <c r="A835" s="669" t="n"/>
      <c r="B835" s="669" t="n"/>
      <c r="C835" s="669" t="n"/>
      <c r="D835" s="669" t="n"/>
      <c r="E835" s="669" t="n"/>
      <c r="F835" s="669" t="n"/>
      <c r="G835" s="669" t="n"/>
      <c r="H835" s="669" t="n"/>
      <c r="I835" s="669" t="n"/>
      <c r="J835" s="669" t="n"/>
      <c r="K835" s="669" t="n"/>
      <c r="L835" s="669" t="n"/>
      <c r="M835" s="669" t="n"/>
      <c r="N835" s="669" t="n"/>
      <c r="O835" s="669" t="n"/>
      <c r="P835" s="669" t="n"/>
      <c r="Q835" s="669" t="n"/>
      <c r="R835" s="669" t="n"/>
      <c r="S835" s="669" t="n"/>
      <c r="T835" s="669" t="n"/>
      <c r="U835" s="669" t="n"/>
      <c r="V835" s="669" t="n"/>
      <c r="W835" s="669" t="n"/>
      <c r="X835" s="669" t="n"/>
      <c r="Y835" s="669" t="n"/>
      <c r="Z835" s="669" t="n"/>
    </row>
    <row r="836">
      <c r="A836" s="669" t="n"/>
      <c r="B836" s="669" t="n"/>
      <c r="C836" s="669" t="n"/>
      <c r="D836" s="669" t="n"/>
      <c r="E836" s="669" t="n"/>
      <c r="F836" s="669" t="n"/>
      <c r="G836" s="669" t="n"/>
      <c r="H836" s="669" t="n"/>
      <c r="I836" s="669" t="n"/>
      <c r="J836" s="669" t="n"/>
      <c r="K836" s="669" t="n"/>
      <c r="L836" s="669" t="n"/>
      <c r="M836" s="669" t="n"/>
      <c r="N836" s="669" t="n"/>
      <c r="O836" s="669" t="n"/>
      <c r="P836" s="669" t="n"/>
      <c r="Q836" s="669" t="n"/>
      <c r="R836" s="669" t="n"/>
      <c r="S836" s="669" t="n"/>
      <c r="T836" s="669" t="n"/>
      <c r="U836" s="669" t="n"/>
      <c r="V836" s="669" t="n"/>
      <c r="W836" s="669" t="n"/>
      <c r="X836" s="669" t="n"/>
      <c r="Y836" s="669" t="n"/>
      <c r="Z836" s="669" t="n"/>
    </row>
    <row r="837">
      <c r="A837" s="669" t="n"/>
      <c r="B837" s="669" t="n"/>
      <c r="C837" s="669" t="n"/>
      <c r="D837" s="669" t="n"/>
      <c r="E837" s="669" t="n"/>
      <c r="F837" s="669" t="n"/>
      <c r="G837" s="669" t="n"/>
      <c r="H837" s="669" t="n"/>
      <c r="I837" s="669" t="n"/>
      <c r="J837" s="669" t="n"/>
      <c r="K837" s="669" t="n"/>
      <c r="L837" s="669" t="n"/>
      <c r="M837" s="669" t="n"/>
      <c r="N837" s="669" t="n"/>
      <c r="O837" s="669" t="n"/>
      <c r="P837" s="669" t="n"/>
      <c r="Q837" s="669" t="n"/>
      <c r="R837" s="669" t="n"/>
      <c r="S837" s="669" t="n"/>
      <c r="T837" s="669" t="n"/>
      <c r="U837" s="669" t="n"/>
      <c r="V837" s="669" t="n"/>
      <c r="W837" s="669" t="n"/>
      <c r="X837" s="669" t="n"/>
      <c r="Y837" s="669" t="n"/>
      <c r="Z837" s="669" t="n"/>
    </row>
    <row r="838">
      <c r="A838" s="669" t="n"/>
      <c r="B838" s="669" t="n"/>
      <c r="C838" s="669" t="n"/>
      <c r="D838" s="669" t="n"/>
      <c r="E838" s="669" t="n"/>
      <c r="F838" s="669" t="n"/>
      <c r="G838" s="669" t="n"/>
      <c r="H838" s="669" t="n"/>
      <c r="I838" s="669" t="n"/>
      <c r="J838" s="669" t="n"/>
      <c r="K838" s="669" t="n"/>
      <c r="L838" s="669" t="n"/>
      <c r="M838" s="669" t="n"/>
      <c r="N838" s="669" t="n"/>
      <c r="O838" s="669" t="n"/>
      <c r="P838" s="669" t="n"/>
      <c r="Q838" s="669" t="n"/>
      <c r="R838" s="669" t="n"/>
      <c r="S838" s="669" t="n"/>
      <c r="T838" s="669" t="n"/>
      <c r="U838" s="669" t="n"/>
      <c r="V838" s="669" t="n"/>
      <c r="W838" s="669" t="n"/>
      <c r="X838" s="669" t="n"/>
      <c r="Y838" s="669" t="n"/>
      <c r="Z838" s="669" t="n"/>
    </row>
    <row r="839">
      <c r="A839" s="669" t="n"/>
      <c r="B839" s="669" t="n"/>
      <c r="C839" s="669" t="n"/>
      <c r="D839" s="669" t="n"/>
      <c r="E839" s="669" t="n"/>
      <c r="F839" s="669" t="n"/>
      <c r="G839" s="669" t="n"/>
      <c r="H839" s="669" t="n"/>
      <c r="I839" s="669" t="n"/>
      <c r="J839" s="669" t="n"/>
      <c r="K839" s="669" t="n"/>
      <c r="L839" s="669" t="n"/>
      <c r="M839" s="669" t="n"/>
      <c r="N839" s="669" t="n"/>
      <c r="O839" s="669" t="n"/>
      <c r="P839" s="669" t="n"/>
      <c r="Q839" s="669" t="n"/>
      <c r="R839" s="669" t="n"/>
      <c r="S839" s="669" t="n"/>
      <c r="T839" s="669" t="n"/>
      <c r="U839" s="669" t="n"/>
      <c r="V839" s="669" t="n"/>
      <c r="W839" s="669" t="n"/>
      <c r="X839" s="669" t="n"/>
      <c r="Y839" s="669" t="n"/>
      <c r="Z839" s="669" t="n"/>
    </row>
    <row r="840">
      <c r="A840" s="669" t="n"/>
      <c r="B840" s="669" t="n"/>
      <c r="C840" s="669" t="n"/>
      <c r="D840" s="669" t="n"/>
      <c r="E840" s="669" t="n"/>
      <c r="F840" s="669" t="n"/>
      <c r="G840" s="669" t="n"/>
      <c r="H840" s="669" t="n"/>
      <c r="I840" s="669" t="n"/>
      <c r="J840" s="669" t="n"/>
      <c r="K840" s="669" t="n"/>
      <c r="L840" s="669" t="n"/>
      <c r="M840" s="669" t="n"/>
      <c r="N840" s="669" t="n"/>
      <c r="O840" s="669" t="n"/>
      <c r="P840" s="669" t="n"/>
      <c r="Q840" s="669" t="n"/>
      <c r="R840" s="669" t="n"/>
      <c r="S840" s="669" t="n"/>
      <c r="T840" s="669" t="n"/>
      <c r="U840" s="669" t="n"/>
      <c r="V840" s="669" t="n"/>
      <c r="W840" s="669" t="n"/>
      <c r="X840" s="669" t="n"/>
      <c r="Y840" s="669" t="n"/>
      <c r="Z840" s="669" t="n"/>
    </row>
    <row r="841">
      <c r="A841" s="669" t="n"/>
      <c r="B841" s="669" t="n"/>
      <c r="C841" s="669" t="n"/>
      <c r="D841" s="669" t="n"/>
      <c r="E841" s="669" t="n"/>
      <c r="F841" s="669" t="n"/>
      <c r="G841" s="669" t="n"/>
      <c r="H841" s="669" t="n"/>
      <c r="I841" s="669" t="n"/>
      <c r="J841" s="669" t="n"/>
      <c r="K841" s="669" t="n"/>
      <c r="L841" s="669" t="n"/>
      <c r="M841" s="669" t="n"/>
      <c r="N841" s="669" t="n"/>
      <c r="O841" s="669" t="n"/>
      <c r="P841" s="669" t="n"/>
      <c r="Q841" s="669" t="n"/>
      <c r="R841" s="669" t="n"/>
      <c r="S841" s="669" t="n"/>
      <c r="T841" s="669" t="n"/>
      <c r="U841" s="669" t="n"/>
      <c r="V841" s="669" t="n"/>
      <c r="W841" s="669" t="n"/>
      <c r="X841" s="669" t="n"/>
      <c r="Y841" s="669" t="n"/>
      <c r="Z841" s="669" t="n"/>
    </row>
    <row r="842">
      <c r="A842" s="669" t="n"/>
      <c r="B842" s="669" t="n"/>
      <c r="C842" s="669" t="n"/>
      <c r="D842" s="669" t="n"/>
      <c r="E842" s="669" t="n"/>
      <c r="F842" s="669" t="n"/>
      <c r="G842" s="669" t="n"/>
      <c r="H842" s="669" t="n"/>
      <c r="I842" s="669" t="n"/>
      <c r="J842" s="669" t="n"/>
      <c r="K842" s="669" t="n"/>
      <c r="L842" s="669" t="n"/>
      <c r="M842" s="669" t="n"/>
      <c r="N842" s="669" t="n"/>
      <c r="O842" s="669" t="n"/>
      <c r="P842" s="669" t="n"/>
      <c r="Q842" s="669" t="n"/>
      <c r="R842" s="669" t="n"/>
      <c r="S842" s="669" t="n"/>
      <c r="T842" s="669" t="n"/>
      <c r="U842" s="669" t="n"/>
      <c r="V842" s="669" t="n"/>
      <c r="W842" s="669" t="n"/>
      <c r="X842" s="669" t="n"/>
      <c r="Y842" s="669" t="n"/>
      <c r="Z842" s="669" t="n"/>
    </row>
    <row r="843">
      <c r="A843" s="669" t="n"/>
      <c r="B843" s="669" t="n"/>
      <c r="C843" s="669" t="n"/>
      <c r="D843" s="669" t="n"/>
      <c r="E843" s="669" t="n"/>
      <c r="F843" s="669" t="n"/>
      <c r="G843" s="669" t="n"/>
      <c r="H843" s="669" t="n"/>
      <c r="I843" s="669" t="n"/>
      <c r="J843" s="669" t="n"/>
      <c r="K843" s="669" t="n"/>
      <c r="L843" s="669" t="n"/>
      <c r="M843" s="669" t="n"/>
      <c r="N843" s="669" t="n"/>
      <c r="O843" s="669" t="n"/>
      <c r="P843" s="669" t="n"/>
      <c r="Q843" s="669" t="n"/>
      <c r="R843" s="669" t="n"/>
      <c r="S843" s="669" t="n"/>
      <c r="T843" s="669" t="n"/>
      <c r="U843" s="669" t="n"/>
      <c r="V843" s="669" t="n"/>
      <c r="W843" s="669" t="n"/>
      <c r="X843" s="669" t="n"/>
      <c r="Y843" s="669" t="n"/>
      <c r="Z843" s="669" t="n"/>
    </row>
    <row r="844">
      <c r="A844" s="669" t="n"/>
      <c r="B844" s="669" t="n"/>
      <c r="C844" s="669" t="n"/>
      <c r="D844" s="669" t="n"/>
      <c r="E844" s="669" t="n"/>
      <c r="F844" s="669" t="n"/>
      <c r="G844" s="669" t="n"/>
      <c r="H844" s="669" t="n"/>
      <c r="I844" s="669" t="n"/>
      <c r="J844" s="669" t="n"/>
      <c r="K844" s="669" t="n"/>
      <c r="L844" s="669" t="n"/>
      <c r="M844" s="669" t="n"/>
      <c r="N844" s="669" t="n"/>
      <c r="O844" s="669" t="n"/>
      <c r="P844" s="669" t="n"/>
      <c r="Q844" s="669" t="n"/>
      <c r="R844" s="669" t="n"/>
      <c r="S844" s="669" t="n"/>
      <c r="T844" s="669" t="n"/>
      <c r="U844" s="669" t="n"/>
      <c r="V844" s="669" t="n"/>
      <c r="W844" s="669" t="n"/>
      <c r="X844" s="669" t="n"/>
      <c r="Y844" s="669" t="n"/>
      <c r="Z844" s="669" t="n"/>
    </row>
    <row r="845">
      <c r="A845" s="669" t="n"/>
      <c r="B845" s="669" t="n"/>
      <c r="C845" s="669" t="n"/>
      <c r="D845" s="669" t="n"/>
      <c r="E845" s="669" t="n"/>
      <c r="F845" s="669" t="n"/>
      <c r="G845" s="669" t="n"/>
      <c r="H845" s="669" t="n"/>
      <c r="I845" s="669" t="n"/>
      <c r="J845" s="669" t="n"/>
      <c r="K845" s="669" t="n"/>
      <c r="L845" s="669" t="n"/>
      <c r="M845" s="669" t="n"/>
      <c r="N845" s="669" t="n"/>
      <c r="O845" s="669" t="n"/>
      <c r="P845" s="669" t="n"/>
      <c r="Q845" s="669" t="n"/>
      <c r="R845" s="669" t="n"/>
      <c r="S845" s="669" t="n"/>
      <c r="T845" s="669" t="n"/>
      <c r="U845" s="669" t="n"/>
      <c r="V845" s="669" t="n"/>
      <c r="W845" s="669" t="n"/>
      <c r="X845" s="669" t="n"/>
      <c r="Y845" s="669" t="n"/>
      <c r="Z845" s="669" t="n"/>
    </row>
    <row r="846">
      <c r="A846" s="669" t="n"/>
      <c r="B846" s="669" t="n"/>
      <c r="C846" s="669" t="n"/>
      <c r="D846" s="669" t="n"/>
      <c r="E846" s="669" t="n"/>
      <c r="F846" s="669" t="n"/>
      <c r="G846" s="669" t="n"/>
      <c r="H846" s="669" t="n"/>
      <c r="I846" s="669" t="n"/>
      <c r="J846" s="669" t="n"/>
      <c r="K846" s="669" t="n"/>
      <c r="L846" s="669" t="n"/>
      <c r="M846" s="669" t="n"/>
      <c r="N846" s="669" t="n"/>
      <c r="O846" s="669" t="n"/>
      <c r="P846" s="669" t="n"/>
      <c r="Q846" s="669" t="n"/>
      <c r="R846" s="669" t="n"/>
      <c r="S846" s="669" t="n"/>
      <c r="T846" s="669" t="n"/>
      <c r="U846" s="669" t="n"/>
      <c r="V846" s="669" t="n"/>
      <c r="W846" s="669" t="n"/>
      <c r="X846" s="669" t="n"/>
      <c r="Y846" s="669" t="n"/>
      <c r="Z846" s="669" t="n"/>
    </row>
    <row r="847">
      <c r="A847" s="669" t="n"/>
      <c r="B847" s="669" t="n"/>
      <c r="C847" s="669" t="n"/>
      <c r="D847" s="669" t="n"/>
      <c r="E847" s="669" t="n"/>
      <c r="F847" s="669" t="n"/>
      <c r="G847" s="669" t="n"/>
      <c r="H847" s="669" t="n"/>
      <c r="I847" s="669" t="n"/>
      <c r="J847" s="669" t="n"/>
      <c r="K847" s="669" t="n"/>
      <c r="L847" s="669" t="n"/>
      <c r="M847" s="669" t="n"/>
      <c r="N847" s="669" t="n"/>
      <c r="O847" s="669" t="n"/>
      <c r="P847" s="669" t="n"/>
      <c r="Q847" s="669" t="n"/>
      <c r="R847" s="669" t="n"/>
      <c r="S847" s="669" t="n"/>
      <c r="T847" s="669" t="n"/>
      <c r="U847" s="669" t="n"/>
      <c r="V847" s="669" t="n"/>
      <c r="W847" s="669" t="n"/>
      <c r="X847" s="669" t="n"/>
      <c r="Y847" s="669" t="n"/>
      <c r="Z847" s="669" t="n"/>
    </row>
    <row r="848">
      <c r="A848" s="669" t="n"/>
      <c r="B848" s="669" t="n"/>
      <c r="C848" s="669" t="n"/>
      <c r="D848" s="669" t="n"/>
      <c r="E848" s="669" t="n"/>
      <c r="F848" s="669" t="n"/>
      <c r="G848" s="669" t="n"/>
      <c r="H848" s="669" t="n"/>
      <c r="I848" s="669" t="n"/>
      <c r="J848" s="669" t="n"/>
      <c r="K848" s="669" t="n"/>
      <c r="L848" s="669" t="n"/>
      <c r="M848" s="669" t="n"/>
      <c r="N848" s="669" t="n"/>
      <c r="O848" s="669" t="n"/>
      <c r="P848" s="669" t="n"/>
      <c r="Q848" s="669" t="n"/>
      <c r="R848" s="669" t="n"/>
      <c r="S848" s="669" t="n"/>
      <c r="T848" s="669" t="n"/>
      <c r="U848" s="669" t="n"/>
      <c r="V848" s="669" t="n"/>
      <c r="W848" s="669" t="n"/>
      <c r="X848" s="669" t="n"/>
      <c r="Y848" s="669" t="n"/>
      <c r="Z848" s="669" t="n"/>
    </row>
    <row r="849">
      <c r="A849" s="669" t="n"/>
      <c r="B849" s="669" t="n"/>
      <c r="C849" s="669" t="n"/>
      <c r="D849" s="669" t="n"/>
      <c r="E849" s="669" t="n"/>
      <c r="F849" s="669" t="n"/>
      <c r="G849" s="669" t="n"/>
      <c r="H849" s="669" t="n"/>
      <c r="I849" s="669" t="n"/>
      <c r="J849" s="669" t="n"/>
      <c r="K849" s="669" t="n"/>
      <c r="L849" s="669" t="n"/>
      <c r="M849" s="669" t="n"/>
      <c r="N849" s="669" t="n"/>
      <c r="O849" s="669" t="n"/>
      <c r="P849" s="669" t="n"/>
      <c r="Q849" s="669" t="n"/>
      <c r="R849" s="669" t="n"/>
      <c r="S849" s="669" t="n"/>
      <c r="T849" s="669" t="n"/>
      <c r="U849" s="669" t="n"/>
      <c r="V849" s="669" t="n"/>
      <c r="W849" s="669" t="n"/>
      <c r="X849" s="669" t="n"/>
      <c r="Y849" s="669" t="n"/>
      <c r="Z849" s="669" t="n"/>
    </row>
    <row r="850">
      <c r="A850" s="669" t="n"/>
      <c r="B850" s="669" t="n"/>
      <c r="C850" s="669" t="n"/>
      <c r="D850" s="669" t="n"/>
      <c r="E850" s="669" t="n"/>
      <c r="F850" s="669" t="n"/>
      <c r="G850" s="669" t="n"/>
      <c r="H850" s="669" t="n"/>
      <c r="I850" s="669" t="n"/>
      <c r="J850" s="669" t="n"/>
      <c r="K850" s="669" t="n"/>
      <c r="L850" s="669" t="n"/>
      <c r="M850" s="669" t="n"/>
      <c r="N850" s="669" t="n"/>
      <c r="O850" s="669" t="n"/>
      <c r="P850" s="669" t="n"/>
      <c r="Q850" s="669" t="n"/>
      <c r="R850" s="669" t="n"/>
      <c r="S850" s="669" t="n"/>
      <c r="T850" s="669" t="n"/>
      <c r="U850" s="669" t="n"/>
      <c r="V850" s="669" t="n"/>
      <c r="W850" s="669" t="n"/>
      <c r="X850" s="669" t="n"/>
      <c r="Y850" s="669" t="n"/>
      <c r="Z850" s="669" t="n"/>
    </row>
    <row r="851">
      <c r="A851" s="669" t="n"/>
      <c r="B851" s="669" t="n"/>
      <c r="C851" s="669" t="n"/>
      <c r="D851" s="669" t="n"/>
      <c r="E851" s="669" t="n"/>
      <c r="F851" s="669" t="n"/>
      <c r="G851" s="669" t="n"/>
      <c r="H851" s="669" t="n"/>
      <c r="I851" s="669" t="n"/>
      <c r="J851" s="669" t="n"/>
      <c r="K851" s="669" t="n"/>
      <c r="L851" s="669" t="n"/>
      <c r="M851" s="669" t="n"/>
      <c r="N851" s="669" t="n"/>
      <c r="O851" s="669" t="n"/>
      <c r="P851" s="669" t="n"/>
      <c r="Q851" s="669" t="n"/>
      <c r="R851" s="669" t="n"/>
      <c r="S851" s="669" t="n"/>
      <c r="T851" s="669" t="n"/>
      <c r="U851" s="669" t="n"/>
      <c r="V851" s="669" t="n"/>
      <c r="W851" s="669" t="n"/>
      <c r="X851" s="669" t="n"/>
      <c r="Y851" s="669" t="n"/>
      <c r="Z851" s="669" t="n"/>
    </row>
    <row r="852">
      <c r="A852" s="669" t="n"/>
      <c r="B852" s="669" t="n"/>
      <c r="C852" s="669" t="n"/>
      <c r="D852" s="669" t="n"/>
      <c r="E852" s="669" t="n"/>
      <c r="F852" s="669" t="n"/>
      <c r="G852" s="669" t="n"/>
      <c r="H852" s="669" t="n"/>
      <c r="I852" s="669" t="n"/>
      <c r="J852" s="669" t="n"/>
      <c r="K852" s="669" t="n"/>
      <c r="L852" s="669" t="n"/>
      <c r="M852" s="669" t="n"/>
      <c r="N852" s="669" t="n"/>
      <c r="O852" s="669" t="n"/>
      <c r="P852" s="669" t="n"/>
      <c r="Q852" s="669" t="n"/>
      <c r="R852" s="669" t="n"/>
      <c r="S852" s="669" t="n"/>
      <c r="T852" s="669" t="n"/>
      <c r="U852" s="669" t="n"/>
      <c r="V852" s="669" t="n"/>
      <c r="W852" s="669" t="n"/>
      <c r="X852" s="669" t="n"/>
      <c r="Y852" s="669" t="n"/>
      <c r="Z852" s="669" t="n"/>
    </row>
    <row r="853">
      <c r="A853" s="669" t="n"/>
      <c r="B853" s="669" t="n"/>
      <c r="C853" s="669" t="n"/>
      <c r="D853" s="669" t="n"/>
      <c r="E853" s="669" t="n"/>
      <c r="F853" s="669" t="n"/>
      <c r="G853" s="669" t="n"/>
      <c r="H853" s="669" t="n"/>
      <c r="I853" s="669" t="n"/>
      <c r="J853" s="669" t="n"/>
      <c r="K853" s="669" t="n"/>
      <c r="L853" s="669" t="n"/>
      <c r="M853" s="669" t="n"/>
      <c r="N853" s="669" t="n"/>
      <c r="O853" s="669" t="n"/>
      <c r="P853" s="669" t="n"/>
      <c r="Q853" s="669" t="n"/>
      <c r="R853" s="669" t="n"/>
      <c r="S853" s="669" t="n"/>
      <c r="T853" s="669" t="n"/>
      <c r="U853" s="669" t="n"/>
      <c r="V853" s="669" t="n"/>
      <c r="W853" s="669" t="n"/>
      <c r="X853" s="669" t="n"/>
      <c r="Y853" s="669" t="n"/>
      <c r="Z853" s="669" t="n"/>
    </row>
    <row r="854">
      <c r="A854" s="669" t="n"/>
      <c r="B854" s="669" t="n"/>
      <c r="C854" s="669" t="n"/>
      <c r="D854" s="669" t="n"/>
      <c r="E854" s="669" t="n"/>
      <c r="F854" s="669" t="n"/>
      <c r="G854" s="669" t="n"/>
      <c r="H854" s="669" t="n"/>
      <c r="I854" s="669" t="n"/>
      <c r="J854" s="669" t="n"/>
      <c r="K854" s="669" t="n"/>
      <c r="L854" s="669" t="n"/>
      <c r="M854" s="669" t="n"/>
      <c r="N854" s="669" t="n"/>
      <c r="O854" s="669" t="n"/>
      <c r="P854" s="669" t="n"/>
      <c r="Q854" s="669" t="n"/>
      <c r="R854" s="669" t="n"/>
      <c r="S854" s="669" t="n"/>
      <c r="T854" s="669" t="n"/>
      <c r="U854" s="669" t="n"/>
      <c r="V854" s="669" t="n"/>
      <c r="W854" s="669" t="n"/>
      <c r="X854" s="669" t="n"/>
      <c r="Y854" s="669" t="n"/>
      <c r="Z854" s="669" t="n"/>
    </row>
    <row r="855">
      <c r="A855" s="669" t="n"/>
      <c r="B855" s="669" t="n"/>
      <c r="C855" s="669" t="n"/>
      <c r="D855" s="669" t="n"/>
      <c r="E855" s="669" t="n"/>
      <c r="F855" s="669" t="n"/>
      <c r="G855" s="669" t="n"/>
      <c r="H855" s="669" t="n"/>
      <c r="I855" s="669" t="n"/>
      <c r="J855" s="669" t="n"/>
      <c r="K855" s="669" t="n"/>
      <c r="L855" s="669" t="n"/>
      <c r="M855" s="669" t="n"/>
      <c r="N855" s="669" t="n"/>
      <c r="O855" s="669" t="n"/>
      <c r="P855" s="669" t="n"/>
      <c r="Q855" s="669" t="n"/>
      <c r="R855" s="669" t="n"/>
      <c r="S855" s="669" t="n"/>
      <c r="T855" s="669" t="n"/>
      <c r="U855" s="669" t="n"/>
      <c r="V855" s="669" t="n"/>
      <c r="W855" s="669" t="n"/>
      <c r="X855" s="669" t="n"/>
      <c r="Y855" s="669" t="n"/>
      <c r="Z855" s="669" t="n"/>
    </row>
    <row r="856">
      <c r="A856" s="669" t="n"/>
      <c r="B856" s="669" t="n"/>
      <c r="C856" s="669" t="n"/>
      <c r="D856" s="669" t="n"/>
      <c r="E856" s="669" t="n"/>
      <c r="F856" s="669" t="n"/>
      <c r="G856" s="669" t="n"/>
      <c r="H856" s="669" t="n"/>
      <c r="I856" s="669" t="n"/>
      <c r="J856" s="669" t="n"/>
      <c r="K856" s="669" t="n"/>
      <c r="L856" s="669" t="n"/>
      <c r="M856" s="669" t="n"/>
      <c r="N856" s="669" t="n"/>
      <c r="O856" s="669" t="n"/>
      <c r="P856" s="669" t="n"/>
      <c r="Q856" s="669" t="n"/>
      <c r="R856" s="669" t="n"/>
      <c r="S856" s="669" t="n"/>
      <c r="T856" s="669" t="n"/>
      <c r="U856" s="669" t="n"/>
      <c r="V856" s="669" t="n"/>
      <c r="W856" s="669" t="n"/>
      <c r="X856" s="669" t="n"/>
      <c r="Y856" s="669" t="n"/>
      <c r="Z856" s="669" t="n"/>
    </row>
    <row r="857">
      <c r="A857" s="669" t="n"/>
      <c r="B857" s="669" t="n"/>
      <c r="C857" s="669" t="n"/>
      <c r="D857" s="669" t="n"/>
      <c r="E857" s="669" t="n"/>
      <c r="F857" s="669" t="n"/>
      <c r="G857" s="669" t="n"/>
      <c r="H857" s="669" t="n"/>
      <c r="I857" s="669" t="n"/>
      <c r="J857" s="669" t="n"/>
      <c r="K857" s="669" t="n"/>
      <c r="L857" s="669" t="n"/>
      <c r="M857" s="669" t="n"/>
      <c r="N857" s="669" t="n"/>
      <c r="O857" s="669" t="n"/>
      <c r="P857" s="669" t="n"/>
      <c r="Q857" s="669" t="n"/>
      <c r="R857" s="669" t="n"/>
      <c r="S857" s="669" t="n"/>
      <c r="T857" s="669" t="n"/>
      <c r="U857" s="669" t="n"/>
      <c r="V857" s="669" t="n"/>
      <c r="W857" s="669" t="n"/>
      <c r="X857" s="669" t="n"/>
      <c r="Y857" s="669" t="n"/>
      <c r="Z857" s="669" t="n"/>
    </row>
    <row r="858">
      <c r="A858" s="669" t="n"/>
      <c r="B858" s="669" t="n"/>
      <c r="C858" s="669" t="n"/>
      <c r="D858" s="669" t="n"/>
      <c r="E858" s="669" t="n"/>
      <c r="F858" s="669" t="n"/>
      <c r="G858" s="669" t="n"/>
      <c r="H858" s="669" t="n"/>
      <c r="I858" s="669" t="n"/>
      <c r="J858" s="669" t="n"/>
      <c r="K858" s="669" t="n"/>
      <c r="L858" s="669" t="n"/>
      <c r="M858" s="669" t="n"/>
      <c r="N858" s="669" t="n"/>
      <c r="O858" s="669" t="n"/>
      <c r="P858" s="669" t="n"/>
      <c r="Q858" s="669" t="n"/>
      <c r="R858" s="669" t="n"/>
      <c r="S858" s="669" t="n"/>
      <c r="T858" s="669" t="n"/>
      <c r="U858" s="669" t="n"/>
      <c r="V858" s="669" t="n"/>
      <c r="W858" s="669" t="n"/>
      <c r="X858" s="669" t="n"/>
      <c r="Y858" s="669" t="n"/>
      <c r="Z858" s="669" t="n"/>
    </row>
    <row r="859">
      <c r="A859" s="669" t="n"/>
      <c r="B859" s="669" t="n"/>
      <c r="C859" s="669" t="n"/>
      <c r="D859" s="669" t="n"/>
      <c r="E859" s="669" t="n"/>
      <c r="F859" s="669" t="n"/>
      <c r="G859" s="669" t="n"/>
      <c r="H859" s="669" t="n"/>
      <c r="I859" s="669" t="n"/>
      <c r="J859" s="669" t="n"/>
      <c r="K859" s="669" t="n"/>
      <c r="L859" s="669" t="n"/>
      <c r="M859" s="669" t="n"/>
      <c r="N859" s="669" t="n"/>
      <c r="O859" s="669" t="n"/>
      <c r="P859" s="669" t="n"/>
      <c r="Q859" s="669" t="n"/>
      <c r="R859" s="669" t="n"/>
      <c r="S859" s="669" t="n"/>
      <c r="T859" s="669" t="n"/>
      <c r="U859" s="669" t="n"/>
      <c r="V859" s="669" t="n"/>
      <c r="W859" s="669" t="n"/>
      <c r="X859" s="669" t="n"/>
      <c r="Y859" s="669" t="n"/>
      <c r="Z859" s="669" t="n"/>
    </row>
    <row r="860">
      <c r="A860" s="669" t="n"/>
      <c r="B860" s="669" t="n"/>
      <c r="C860" s="669" t="n"/>
      <c r="D860" s="669" t="n"/>
      <c r="E860" s="669" t="n"/>
      <c r="F860" s="669" t="n"/>
      <c r="G860" s="669" t="n"/>
      <c r="H860" s="669" t="n"/>
      <c r="I860" s="669" t="n"/>
      <c r="J860" s="669" t="n"/>
      <c r="K860" s="669" t="n"/>
      <c r="L860" s="669" t="n"/>
      <c r="M860" s="669" t="n"/>
      <c r="N860" s="669" t="n"/>
      <c r="O860" s="669" t="n"/>
      <c r="P860" s="669" t="n"/>
      <c r="Q860" s="669" t="n"/>
      <c r="R860" s="669" t="n"/>
      <c r="S860" s="669" t="n"/>
      <c r="T860" s="669" t="n"/>
      <c r="U860" s="669" t="n"/>
      <c r="V860" s="669" t="n"/>
      <c r="W860" s="669" t="n"/>
      <c r="X860" s="669" t="n"/>
      <c r="Y860" s="669" t="n"/>
      <c r="Z860" s="669" t="n"/>
    </row>
    <row r="861">
      <c r="A861" s="669" t="n"/>
      <c r="B861" s="669" t="n"/>
      <c r="C861" s="669" t="n"/>
      <c r="D861" s="669" t="n"/>
      <c r="E861" s="669" t="n"/>
      <c r="F861" s="669" t="n"/>
      <c r="G861" s="669" t="n"/>
      <c r="H861" s="669" t="n"/>
      <c r="I861" s="669" t="n"/>
      <c r="J861" s="669" t="n"/>
      <c r="K861" s="669" t="n"/>
      <c r="L861" s="669" t="n"/>
      <c r="M861" s="669" t="n"/>
      <c r="N861" s="669" t="n"/>
      <c r="O861" s="669" t="n"/>
      <c r="P861" s="669" t="n"/>
      <c r="Q861" s="669" t="n"/>
      <c r="R861" s="669" t="n"/>
      <c r="S861" s="669" t="n"/>
      <c r="T861" s="669" t="n"/>
      <c r="U861" s="669" t="n"/>
      <c r="V861" s="669" t="n"/>
      <c r="W861" s="669" t="n"/>
      <c r="X861" s="669" t="n"/>
      <c r="Y861" s="669" t="n"/>
      <c r="Z861" s="669" t="n"/>
    </row>
    <row r="862">
      <c r="A862" s="669" t="n"/>
      <c r="B862" s="669" t="n"/>
      <c r="C862" s="669" t="n"/>
      <c r="D862" s="669" t="n"/>
      <c r="E862" s="669" t="n"/>
      <c r="F862" s="669" t="n"/>
      <c r="G862" s="669" t="n"/>
      <c r="H862" s="669" t="n"/>
      <c r="I862" s="669" t="n"/>
      <c r="J862" s="669" t="n"/>
      <c r="K862" s="669" t="n"/>
      <c r="L862" s="669" t="n"/>
      <c r="M862" s="669" t="n"/>
      <c r="N862" s="669" t="n"/>
      <c r="O862" s="669" t="n"/>
      <c r="P862" s="669" t="n"/>
      <c r="Q862" s="669" t="n"/>
      <c r="R862" s="669" t="n"/>
      <c r="S862" s="669" t="n"/>
      <c r="T862" s="669" t="n"/>
      <c r="U862" s="669" t="n"/>
      <c r="V862" s="669" t="n"/>
      <c r="W862" s="669" t="n"/>
      <c r="X862" s="669" t="n"/>
      <c r="Y862" s="669" t="n"/>
      <c r="Z862" s="669" t="n"/>
    </row>
    <row r="863">
      <c r="A863" s="669" t="n"/>
      <c r="B863" s="669" t="n"/>
      <c r="C863" s="669" t="n"/>
      <c r="D863" s="669" t="n"/>
      <c r="E863" s="669" t="n"/>
      <c r="F863" s="669" t="n"/>
      <c r="G863" s="669" t="n"/>
      <c r="H863" s="669" t="n"/>
      <c r="I863" s="669" t="n"/>
      <c r="J863" s="669" t="n"/>
      <c r="K863" s="669" t="n"/>
      <c r="L863" s="669" t="n"/>
      <c r="M863" s="669" t="n"/>
      <c r="N863" s="669" t="n"/>
      <c r="O863" s="669" t="n"/>
      <c r="P863" s="669" t="n"/>
      <c r="Q863" s="669" t="n"/>
      <c r="R863" s="669" t="n"/>
      <c r="S863" s="669" t="n"/>
      <c r="T863" s="669" t="n"/>
      <c r="U863" s="669" t="n"/>
      <c r="V863" s="669" t="n"/>
      <c r="W863" s="669" t="n"/>
      <c r="X863" s="669" t="n"/>
      <c r="Y863" s="669" t="n"/>
      <c r="Z863" s="669" t="n"/>
    </row>
    <row r="864">
      <c r="A864" s="669" t="n"/>
      <c r="B864" s="669" t="n"/>
      <c r="C864" s="669" t="n"/>
      <c r="D864" s="669" t="n"/>
      <c r="E864" s="669" t="n"/>
      <c r="F864" s="669" t="n"/>
      <c r="G864" s="669" t="n"/>
      <c r="H864" s="669" t="n"/>
      <c r="I864" s="669" t="n"/>
      <c r="J864" s="669" t="n"/>
      <c r="K864" s="669" t="n"/>
      <c r="L864" s="669" t="n"/>
      <c r="M864" s="669" t="n"/>
      <c r="N864" s="669" t="n"/>
      <c r="O864" s="669" t="n"/>
      <c r="P864" s="669" t="n"/>
      <c r="Q864" s="669" t="n"/>
      <c r="R864" s="669" t="n"/>
      <c r="S864" s="669" t="n"/>
      <c r="T864" s="669" t="n"/>
      <c r="U864" s="669" t="n"/>
      <c r="V864" s="669" t="n"/>
      <c r="W864" s="669" t="n"/>
      <c r="X864" s="669" t="n"/>
      <c r="Y864" s="669" t="n"/>
      <c r="Z864" s="669" t="n"/>
    </row>
    <row r="865">
      <c r="A865" s="669" t="n"/>
      <c r="B865" s="669" t="n"/>
      <c r="C865" s="669" t="n"/>
      <c r="D865" s="669" t="n"/>
      <c r="E865" s="669" t="n"/>
      <c r="F865" s="669" t="n"/>
      <c r="G865" s="669" t="n"/>
      <c r="H865" s="669" t="n"/>
      <c r="I865" s="669" t="n"/>
      <c r="J865" s="669" t="n"/>
      <c r="K865" s="669" t="n"/>
      <c r="L865" s="669" t="n"/>
      <c r="M865" s="669" t="n"/>
      <c r="N865" s="669" t="n"/>
      <c r="O865" s="669" t="n"/>
      <c r="P865" s="669" t="n"/>
      <c r="Q865" s="669" t="n"/>
      <c r="R865" s="669" t="n"/>
      <c r="S865" s="669" t="n"/>
      <c r="T865" s="669" t="n"/>
      <c r="U865" s="669" t="n"/>
      <c r="V865" s="669" t="n"/>
      <c r="W865" s="669" t="n"/>
      <c r="X865" s="669" t="n"/>
      <c r="Y865" s="669" t="n"/>
      <c r="Z865" s="669" t="n"/>
    </row>
    <row r="866">
      <c r="A866" s="669" t="n"/>
      <c r="B866" s="669" t="n"/>
      <c r="C866" s="669" t="n"/>
      <c r="D866" s="669" t="n"/>
      <c r="E866" s="669" t="n"/>
      <c r="F866" s="669" t="n"/>
      <c r="G866" s="669" t="n"/>
      <c r="H866" s="669" t="n"/>
      <c r="I866" s="669" t="n"/>
      <c r="J866" s="669" t="n"/>
      <c r="K866" s="669" t="n"/>
      <c r="L866" s="669" t="n"/>
      <c r="M866" s="669" t="n"/>
      <c r="N866" s="669" t="n"/>
      <c r="O866" s="669" t="n"/>
      <c r="P866" s="669" t="n"/>
      <c r="Q866" s="669" t="n"/>
      <c r="R866" s="669" t="n"/>
      <c r="S866" s="669" t="n"/>
      <c r="T866" s="669" t="n"/>
      <c r="U866" s="669" t="n"/>
      <c r="V866" s="669" t="n"/>
      <c r="W866" s="669" t="n"/>
      <c r="X866" s="669" t="n"/>
      <c r="Y866" s="669" t="n"/>
      <c r="Z866" s="669" t="n"/>
    </row>
    <row r="867">
      <c r="A867" s="669" t="n"/>
      <c r="B867" s="669" t="n"/>
      <c r="C867" s="669" t="n"/>
      <c r="D867" s="669" t="n"/>
      <c r="E867" s="669" t="n"/>
      <c r="F867" s="669" t="n"/>
      <c r="G867" s="669" t="n"/>
      <c r="H867" s="669" t="n"/>
      <c r="I867" s="669" t="n"/>
      <c r="J867" s="669" t="n"/>
      <c r="K867" s="669" t="n"/>
      <c r="L867" s="669" t="n"/>
      <c r="M867" s="669" t="n"/>
      <c r="N867" s="669" t="n"/>
      <c r="O867" s="669" t="n"/>
      <c r="P867" s="669" t="n"/>
      <c r="Q867" s="669" t="n"/>
      <c r="R867" s="669" t="n"/>
      <c r="S867" s="669" t="n"/>
      <c r="T867" s="669" t="n"/>
      <c r="U867" s="669" t="n"/>
      <c r="V867" s="669" t="n"/>
      <c r="W867" s="669" t="n"/>
      <c r="X867" s="669" t="n"/>
      <c r="Y867" s="669" t="n"/>
      <c r="Z867" s="669" t="n"/>
    </row>
    <row r="868">
      <c r="A868" s="669" t="n"/>
      <c r="B868" s="669" t="n"/>
      <c r="C868" s="669" t="n"/>
      <c r="D868" s="669" t="n"/>
      <c r="E868" s="669" t="n"/>
      <c r="F868" s="669" t="n"/>
      <c r="G868" s="669" t="n"/>
      <c r="H868" s="669" t="n"/>
      <c r="I868" s="669" t="n"/>
      <c r="J868" s="669" t="n"/>
      <c r="K868" s="669" t="n"/>
      <c r="L868" s="669" t="n"/>
      <c r="M868" s="669" t="n"/>
      <c r="N868" s="669" t="n"/>
      <c r="O868" s="669" t="n"/>
      <c r="P868" s="669" t="n"/>
      <c r="Q868" s="669" t="n"/>
      <c r="R868" s="669" t="n"/>
      <c r="S868" s="669" t="n"/>
      <c r="T868" s="669" t="n"/>
      <c r="U868" s="669" t="n"/>
      <c r="V868" s="669" t="n"/>
      <c r="W868" s="669" t="n"/>
      <c r="X868" s="669" t="n"/>
      <c r="Y868" s="669" t="n"/>
      <c r="Z868" s="669" t="n"/>
    </row>
    <row r="869">
      <c r="A869" s="669" t="n"/>
      <c r="B869" s="669" t="n"/>
      <c r="C869" s="669" t="n"/>
      <c r="D869" s="669" t="n"/>
      <c r="E869" s="669" t="n"/>
      <c r="F869" s="669" t="n"/>
      <c r="G869" s="669" t="n"/>
      <c r="H869" s="669" t="n"/>
      <c r="I869" s="669" t="n"/>
      <c r="J869" s="669" t="n"/>
      <c r="K869" s="669" t="n"/>
      <c r="L869" s="669" t="n"/>
      <c r="M869" s="669" t="n"/>
      <c r="N869" s="669" t="n"/>
      <c r="O869" s="669" t="n"/>
      <c r="P869" s="669" t="n"/>
      <c r="Q869" s="669" t="n"/>
      <c r="R869" s="669" t="n"/>
      <c r="S869" s="669" t="n"/>
      <c r="T869" s="669" t="n"/>
      <c r="U869" s="669" t="n"/>
      <c r="V869" s="669" t="n"/>
      <c r="W869" s="669" t="n"/>
      <c r="X869" s="669" t="n"/>
      <c r="Y869" s="669" t="n"/>
      <c r="Z869" s="669" t="n"/>
    </row>
    <row r="870">
      <c r="A870" s="669" t="n"/>
      <c r="B870" s="669" t="n"/>
      <c r="C870" s="669" t="n"/>
      <c r="D870" s="669" t="n"/>
      <c r="E870" s="669" t="n"/>
      <c r="F870" s="669" t="n"/>
      <c r="G870" s="669" t="n"/>
      <c r="H870" s="669" t="n"/>
      <c r="I870" s="669" t="n"/>
      <c r="J870" s="669" t="n"/>
      <c r="K870" s="669" t="n"/>
      <c r="L870" s="669" t="n"/>
      <c r="M870" s="669" t="n"/>
      <c r="N870" s="669" t="n"/>
      <c r="O870" s="669" t="n"/>
      <c r="P870" s="669" t="n"/>
      <c r="Q870" s="669" t="n"/>
      <c r="R870" s="669" t="n"/>
      <c r="S870" s="669" t="n"/>
      <c r="T870" s="669" t="n"/>
      <c r="U870" s="669" t="n"/>
      <c r="V870" s="669" t="n"/>
      <c r="W870" s="669" t="n"/>
      <c r="X870" s="669" t="n"/>
      <c r="Y870" s="669" t="n"/>
      <c r="Z870" s="669" t="n"/>
    </row>
    <row r="871">
      <c r="A871" s="669" t="n"/>
      <c r="B871" s="669" t="n"/>
      <c r="C871" s="669" t="n"/>
      <c r="D871" s="669" t="n"/>
      <c r="E871" s="669" t="n"/>
      <c r="F871" s="669" t="n"/>
      <c r="G871" s="669" t="n"/>
      <c r="H871" s="669" t="n"/>
      <c r="I871" s="669" t="n"/>
      <c r="J871" s="669" t="n"/>
      <c r="K871" s="669" t="n"/>
      <c r="L871" s="669" t="n"/>
      <c r="M871" s="669" t="n"/>
      <c r="N871" s="669" t="n"/>
      <c r="O871" s="669" t="n"/>
      <c r="P871" s="669" t="n"/>
      <c r="Q871" s="669" t="n"/>
      <c r="R871" s="669" t="n"/>
      <c r="S871" s="669" t="n"/>
      <c r="T871" s="669" t="n"/>
      <c r="U871" s="669" t="n"/>
      <c r="V871" s="669" t="n"/>
      <c r="W871" s="669" t="n"/>
      <c r="X871" s="669" t="n"/>
      <c r="Y871" s="669" t="n"/>
      <c r="Z871" s="669" t="n"/>
    </row>
    <row r="872">
      <c r="A872" s="669" t="n"/>
      <c r="B872" s="669" t="n"/>
      <c r="C872" s="669" t="n"/>
      <c r="D872" s="669" t="n"/>
      <c r="E872" s="669" t="n"/>
      <c r="F872" s="669" t="n"/>
      <c r="G872" s="669" t="n"/>
      <c r="H872" s="669" t="n"/>
      <c r="I872" s="669" t="n"/>
      <c r="J872" s="669" t="n"/>
      <c r="K872" s="669" t="n"/>
      <c r="L872" s="669" t="n"/>
      <c r="M872" s="669" t="n"/>
      <c r="N872" s="669" t="n"/>
      <c r="O872" s="669" t="n"/>
      <c r="P872" s="669" t="n"/>
      <c r="Q872" s="669" t="n"/>
      <c r="R872" s="669" t="n"/>
      <c r="S872" s="669" t="n"/>
      <c r="T872" s="669" t="n"/>
      <c r="U872" s="669" t="n"/>
      <c r="V872" s="669" t="n"/>
      <c r="W872" s="669" t="n"/>
      <c r="X872" s="669" t="n"/>
      <c r="Y872" s="669" t="n"/>
      <c r="Z872" s="669" t="n"/>
    </row>
    <row r="873">
      <c r="A873" s="669" t="n"/>
      <c r="B873" s="669" t="n"/>
      <c r="C873" s="669" t="n"/>
      <c r="D873" s="669" t="n"/>
      <c r="E873" s="669" t="n"/>
      <c r="F873" s="669" t="n"/>
      <c r="G873" s="669" t="n"/>
      <c r="H873" s="669" t="n"/>
      <c r="I873" s="669" t="n"/>
      <c r="J873" s="669" t="n"/>
      <c r="K873" s="669" t="n"/>
      <c r="L873" s="669" t="n"/>
      <c r="M873" s="669" t="n"/>
      <c r="N873" s="669" t="n"/>
      <c r="O873" s="669" t="n"/>
      <c r="P873" s="669" t="n"/>
      <c r="Q873" s="669" t="n"/>
      <c r="R873" s="669" t="n"/>
      <c r="S873" s="669" t="n"/>
      <c r="T873" s="669" t="n"/>
      <c r="U873" s="669" t="n"/>
      <c r="V873" s="669" t="n"/>
      <c r="W873" s="669" t="n"/>
      <c r="X873" s="669" t="n"/>
      <c r="Y873" s="669" t="n"/>
      <c r="Z873" s="669" t="n"/>
    </row>
    <row r="874">
      <c r="A874" s="669" t="n"/>
      <c r="B874" s="669" t="n"/>
      <c r="C874" s="669" t="n"/>
      <c r="D874" s="669" t="n"/>
      <c r="E874" s="669" t="n"/>
      <c r="F874" s="669" t="n"/>
      <c r="G874" s="669" t="n"/>
      <c r="H874" s="669" t="n"/>
      <c r="I874" s="669" t="n"/>
      <c r="J874" s="669" t="n"/>
      <c r="K874" s="669" t="n"/>
      <c r="L874" s="669" t="n"/>
      <c r="M874" s="669" t="n"/>
      <c r="N874" s="669" t="n"/>
      <c r="O874" s="669" t="n"/>
      <c r="P874" s="669" t="n"/>
      <c r="Q874" s="669" t="n"/>
      <c r="R874" s="669" t="n"/>
      <c r="S874" s="669" t="n"/>
      <c r="T874" s="669" t="n"/>
      <c r="U874" s="669" t="n"/>
      <c r="V874" s="669" t="n"/>
      <c r="W874" s="669" t="n"/>
      <c r="X874" s="669" t="n"/>
      <c r="Y874" s="669" t="n"/>
      <c r="Z874" s="669" t="n"/>
    </row>
    <row r="875">
      <c r="A875" s="669" t="n"/>
      <c r="B875" s="669" t="n"/>
      <c r="C875" s="669" t="n"/>
      <c r="D875" s="669" t="n"/>
      <c r="E875" s="669" t="n"/>
      <c r="F875" s="669" t="n"/>
      <c r="G875" s="669" t="n"/>
      <c r="H875" s="669" t="n"/>
      <c r="I875" s="669" t="n"/>
      <c r="J875" s="669" t="n"/>
      <c r="K875" s="669" t="n"/>
      <c r="L875" s="669" t="n"/>
      <c r="M875" s="669" t="n"/>
      <c r="N875" s="669" t="n"/>
      <c r="O875" s="669" t="n"/>
      <c r="P875" s="669" t="n"/>
      <c r="Q875" s="669" t="n"/>
      <c r="R875" s="669" t="n"/>
      <c r="S875" s="669" t="n"/>
      <c r="T875" s="669" t="n"/>
      <c r="U875" s="669" t="n"/>
      <c r="V875" s="669" t="n"/>
      <c r="W875" s="669" t="n"/>
      <c r="X875" s="669" t="n"/>
      <c r="Y875" s="669" t="n"/>
      <c r="Z875" s="669" t="n"/>
    </row>
    <row r="876">
      <c r="A876" s="669" t="n"/>
      <c r="B876" s="669" t="n"/>
      <c r="C876" s="669" t="n"/>
      <c r="D876" s="669" t="n"/>
      <c r="E876" s="669" t="n"/>
      <c r="F876" s="669" t="n"/>
      <c r="G876" s="669" t="n"/>
      <c r="H876" s="669" t="n"/>
      <c r="I876" s="669" t="n"/>
      <c r="J876" s="669" t="n"/>
      <c r="K876" s="669" t="n"/>
      <c r="L876" s="669" t="n"/>
      <c r="M876" s="669" t="n"/>
      <c r="N876" s="669" t="n"/>
      <c r="O876" s="669" t="n"/>
      <c r="P876" s="669" t="n"/>
      <c r="Q876" s="669" t="n"/>
      <c r="R876" s="669" t="n"/>
      <c r="S876" s="669" t="n"/>
      <c r="T876" s="669" t="n"/>
      <c r="U876" s="669" t="n"/>
      <c r="V876" s="669" t="n"/>
      <c r="W876" s="669" t="n"/>
      <c r="X876" s="669" t="n"/>
      <c r="Y876" s="669" t="n"/>
      <c r="Z876" s="669" t="n"/>
    </row>
    <row r="877">
      <c r="A877" s="669" t="n"/>
      <c r="B877" s="669" t="n"/>
      <c r="C877" s="669" t="n"/>
      <c r="D877" s="669" t="n"/>
      <c r="E877" s="669" t="n"/>
      <c r="F877" s="669" t="n"/>
      <c r="G877" s="669" t="n"/>
      <c r="H877" s="669" t="n"/>
      <c r="I877" s="669" t="n"/>
      <c r="J877" s="669" t="n"/>
      <c r="K877" s="669" t="n"/>
      <c r="L877" s="669" t="n"/>
      <c r="M877" s="669" t="n"/>
      <c r="N877" s="669" t="n"/>
      <c r="O877" s="669" t="n"/>
      <c r="P877" s="669" t="n"/>
      <c r="Q877" s="669" t="n"/>
      <c r="R877" s="669" t="n"/>
      <c r="S877" s="669" t="n"/>
      <c r="T877" s="669" t="n"/>
      <c r="U877" s="669" t="n"/>
      <c r="V877" s="669" t="n"/>
      <c r="W877" s="669" t="n"/>
      <c r="X877" s="669" t="n"/>
      <c r="Y877" s="669" t="n"/>
      <c r="Z877" s="669" t="n"/>
    </row>
    <row r="878">
      <c r="A878" s="669" t="n"/>
      <c r="B878" s="669" t="n"/>
      <c r="C878" s="669" t="n"/>
      <c r="D878" s="669" t="n"/>
      <c r="E878" s="669" t="n"/>
      <c r="F878" s="669" t="n"/>
      <c r="G878" s="669" t="n"/>
      <c r="H878" s="669" t="n"/>
      <c r="I878" s="669" t="n"/>
      <c r="J878" s="669" t="n"/>
      <c r="K878" s="669" t="n"/>
      <c r="L878" s="669" t="n"/>
      <c r="M878" s="669" t="n"/>
      <c r="N878" s="669" t="n"/>
      <c r="O878" s="669" t="n"/>
      <c r="P878" s="669" t="n"/>
      <c r="Q878" s="669" t="n"/>
      <c r="R878" s="669" t="n"/>
      <c r="S878" s="669" t="n"/>
      <c r="T878" s="669" t="n"/>
      <c r="U878" s="669" t="n"/>
      <c r="V878" s="669" t="n"/>
      <c r="W878" s="669" t="n"/>
      <c r="X878" s="669" t="n"/>
      <c r="Y878" s="669" t="n"/>
      <c r="Z878" s="669" t="n"/>
    </row>
    <row r="879">
      <c r="A879" s="669" t="n"/>
      <c r="B879" s="669" t="n"/>
      <c r="C879" s="669" t="n"/>
      <c r="D879" s="669" t="n"/>
      <c r="E879" s="669" t="n"/>
      <c r="F879" s="669" t="n"/>
      <c r="G879" s="669" t="n"/>
      <c r="H879" s="669" t="n"/>
      <c r="I879" s="669" t="n"/>
      <c r="J879" s="669" t="n"/>
      <c r="K879" s="669" t="n"/>
      <c r="L879" s="669" t="n"/>
      <c r="M879" s="669" t="n"/>
      <c r="N879" s="669" t="n"/>
      <c r="O879" s="669" t="n"/>
      <c r="P879" s="669" t="n"/>
      <c r="Q879" s="669" t="n"/>
      <c r="R879" s="669" t="n"/>
      <c r="S879" s="669" t="n"/>
      <c r="T879" s="669" t="n"/>
      <c r="U879" s="669" t="n"/>
      <c r="V879" s="669" t="n"/>
      <c r="W879" s="669" t="n"/>
      <c r="X879" s="669" t="n"/>
      <c r="Y879" s="669" t="n"/>
      <c r="Z879" s="669" t="n"/>
    </row>
    <row r="880">
      <c r="A880" s="669" t="n"/>
      <c r="B880" s="669" t="n"/>
      <c r="C880" s="669" t="n"/>
      <c r="D880" s="669" t="n"/>
      <c r="E880" s="669" t="n"/>
      <c r="F880" s="669" t="n"/>
      <c r="G880" s="669" t="n"/>
      <c r="H880" s="669" t="n"/>
      <c r="I880" s="669" t="n"/>
      <c r="J880" s="669" t="n"/>
      <c r="K880" s="669" t="n"/>
      <c r="L880" s="669" t="n"/>
      <c r="M880" s="669" t="n"/>
      <c r="N880" s="669" t="n"/>
      <c r="O880" s="669" t="n"/>
      <c r="P880" s="669" t="n"/>
      <c r="Q880" s="669" t="n"/>
      <c r="R880" s="669" t="n"/>
      <c r="S880" s="669" t="n"/>
      <c r="T880" s="669" t="n"/>
      <c r="U880" s="669" t="n"/>
      <c r="V880" s="669" t="n"/>
      <c r="W880" s="669" t="n"/>
      <c r="X880" s="669" t="n"/>
      <c r="Y880" s="669" t="n"/>
      <c r="Z880" s="669" t="n"/>
    </row>
    <row r="881">
      <c r="A881" s="669" t="n"/>
      <c r="B881" s="669" t="n"/>
      <c r="C881" s="669" t="n"/>
      <c r="D881" s="669" t="n"/>
      <c r="E881" s="669" t="n"/>
      <c r="F881" s="669" t="n"/>
      <c r="G881" s="669" t="n"/>
      <c r="H881" s="669" t="n"/>
      <c r="I881" s="669" t="n"/>
      <c r="J881" s="669" t="n"/>
      <c r="K881" s="669" t="n"/>
      <c r="L881" s="669" t="n"/>
      <c r="M881" s="669" t="n"/>
      <c r="N881" s="669" t="n"/>
      <c r="O881" s="669" t="n"/>
      <c r="P881" s="669" t="n"/>
      <c r="Q881" s="669" t="n"/>
      <c r="R881" s="669" t="n"/>
      <c r="S881" s="669" t="n"/>
      <c r="T881" s="669" t="n"/>
      <c r="U881" s="669" t="n"/>
      <c r="V881" s="669" t="n"/>
      <c r="W881" s="669" t="n"/>
      <c r="X881" s="669" t="n"/>
      <c r="Y881" s="669" t="n"/>
      <c r="Z881" s="669" t="n"/>
    </row>
    <row r="882">
      <c r="A882" s="669" t="n"/>
      <c r="B882" s="669" t="n"/>
      <c r="C882" s="669" t="n"/>
      <c r="D882" s="669" t="n"/>
      <c r="E882" s="669" t="n"/>
      <c r="F882" s="669" t="n"/>
      <c r="G882" s="669" t="n"/>
      <c r="H882" s="669" t="n"/>
      <c r="I882" s="669" t="n"/>
      <c r="J882" s="669" t="n"/>
      <c r="K882" s="669" t="n"/>
      <c r="L882" s="669" t="n"/>
      <c r="M882" s="669" t="n"/>
      <c r="N882" s="669" t="n"/>
      <c r="O882" s="669" t="n"/>
      <c r="P882" s="669" t="n"/>
      <c r="Q882" s="669" t="n"/>
      <c r="R882" s="669" t="n"/>
      <c r="S882" s="669" t="n"/>
      <c r="T882" s="669" t="n"/>
      <c r="U882" s="669" t="n"/>
      <c r="V882" s="669" t="n"/>
      <c r="W882" s="669" t="n"/>
      <c r="X882" s="669" t="n"/>
      <c r="Y882" s="669" t="n"/>
      <c r="Z882" s="669" t="n"/>
    </row>
    <row r="883">
      <c r="A883" s="669" t="n"/>
      <c r="B883" s="669" t="n"/>
      <c r="C883" s="669" t="n"/>
      <c r="D883" s="669" t="n"/>
      <c r="E883" s="669" t="n"/>
      <c r="F883" s="669" t="n"/>
      <c r="G883" s="669" t="n"/>
      <c r="H883" s="669" t="n"/>
      <c r="I883" s="669" t="n"/>
      <c r="J883" s="669" t="n"/>
      <c r="K883" s="669" t="n"/>
      <c r="L883" s="669" t="n"/>
      <c r="M883" s="669" t="n"/>
      <c r="N883" s="669" t="n"/>
      <c r="O883" s="669" t="n"/>
      <c r="P883" s="669" t="n"/>
      <c r="Q883" s="669" t="n"/>
      <c r="R883" s="669" t="n"/>
      <c r="S883" s="669" t="n"/>
      <c r="T883" s="669" t="n"/>
      <c r="U883" s="669" t="n"/>
      <c r="V883" s="669" t="n"/>
      <c r="W883" s="669" t="n"/>
      <c r="X883" s="669" t="n"/>
      <c r="Y883" s="669" t="n"/>
      <c r="Z883" s="669" t="n"/>
    </row>
    <row r="884">
      <c r="A884" s="669" t="n"/>
      <c r="B884" s="669" t="n"/>
      <c r="C884" s="669" t="n"/>
      <c r="D884" s="669" t="n"/>
      <c r="E884" s="669" t="n"/>
      <c r="F884" s="669" t="n"/>
      <c r="G884" s="669" t="n"/>
      <c r="H884" s="669" t="n"/>
      <c r="I884" s="669" t="n"/>
      <c r="J884" s="669" t="n"/>
      <c r="K884" s="669" t="n"/>
      <c r="L884" s="669" t="n"/>
      <c r="M884" s="669" t="n"/>
      <c r="N884" s="669" t="n"/>
      <c r="O884" s="669" t="n"/>
      <c r="P884" s="669" t="n"/>
      <c r="Q884" s="669" t="n"/>
      <c r="R884" s="669" t="n"/>
      <c r="S884" s="669" t="n"/>
      <c r="T884" s="669" t="n"/>
      <c r="U884" s="669" t="n"/>
      <c r="V884" s="669" t="n"/>
      <c r="W884" s="669" t="n"/>
      <c r="X884" s="669" t="n"/>
      <c r="Y884" s="669" t="n"/>
      <c r="Z884" s="669" t="n"/>
    </row>
    <row r="885">
      <c r="A885" s="669" t="n"/>
      <c r="B885" s="669" t="n"/>
      <c r="C885" s="669" t="n"/>
      <c r="D885" s="669" t="n"/>
      <c r="E885" s="669" t="n"/>
      <c r="F885" s="669" t="n"/>
      <c r="G885" s="669" t="n"/>
      <c r="H885" s="669" t="n"/>
      <c r="I885" s="669" t="n"/>
      <c r="J885" s="669" t="n"/>
      <c r="K885" s="669" t="n"/>
      <c r="L885" s="669" t="n"/>
      <c r="M885" s="669" t="n"/>
      <c r="N885" s="669" t="n"/>
      <c r="O885" s="669" t="n"/>
      <c r="P885" s="669" t="n"/>
      <c r="Q885" s="669" t="n"/>
      <c r="R885" s="669" t="n"/>
      <c r="S885" s="669" t="n"/>
      <c r="T885" s="669" t="n"/>
      <c r="U885" s="669" t="n"/>
      <c r="V885" s="669" t="n"/>
      <c r="W885" s="669" t="n"/>
      <c r="X885" s="669" t="n"/>
      <c r="Y885" s="669" t="n"/>
      <c r="Z885" s="669" t="n"/>
    </row>
    <row r="886">
      <c r="A886" s="669" t="n"/>
      <c r="B886" s="669" t="n"/>
      <c r="C886" s="669" t="n"/>
      <c r="D886" s="669" t="n"/>
      <c r="E886" s="669" t="n"/>
      <c r="F886" s="669" t="n"/>
      <c r="G886" s="669" t="n"/>
      <c r="H886" s="669" t="n"/>
      <c r="I886" s="669" t="n"/>
      <c r="J886" s="669" t="n"/>
      <c r="K886" s="669" t="n"/>
      <c r="L886" s="669" t="n"/>
      <c r="M886" s="669" t="n"/>
      <c r="N886" s="669" t="n"/>
      <c r="O886" s="669" t="n"/>
      <c r="P886" s="669" t="n"/>
      <c r="Q886" s="669" t="n"/>
      <c r="R886" s="669" t="n"/>
      <c r="S886" s="669" t="n"/>
      <c r="T886" s="669" t="n"/>
      <c r="U886" s="669" t="n"/>
      <c r="V886" s="669" t="n"/>
      <c r="W886" s="669" t="n"/>
      <c r="X886" s="669" t="n"/>
      <c r="Y886" s="669" t="n"/>
      <c r="Z886" s="669" t="n"/>
    </row>
    <row r="887">
      <c r="A887" s="669" t="n"/>
      <c r="B887" s="669" t="n"/>
      <c r="C887" s="669" t="n"/>
      <c r="D887" s="669" t="n"/>
      <c r="E887" s="669" t="n"/>
      <c r="F887" s="669" t="n"/>
      <c r="G887" s="669" t="n"/>
      <c r="H887" s="669" t="n"/>
      <c r="I887" s="669" t="n"/>
      <c r="J887" s="669" t="n"/>
      <c r="K887" s="669" t="n"/>
      <c r="L887" s="669" t="n"/>
      <c r="M887" s="669" t="n"/>
      <c r="N887" s="669" t="n"/>
      <c r="O887" s="669" t="n"/>
      <c r="P887" s="669" t="n"/>
      <c r="Q887" s="669" t="n"/>
      <c r="R887" s="669" t="n"/>
      <c r="S887" s="669" t="n"/>
      <c r="T887" s="669" t="n"/>
      <c r="U887" s="669" t="n"/>
      <c r="V887" s="669" t="n"/>
      <c r="W887" s="669" t="n"/>
      <c r="X887" s="669" t="n"/>
      <c r="Y887" s="669" t="n"/>
      <c r="Z887" s="669" t="n"/>
    </row>
    <row r="888">
      <c r="A888" s="669" t="n"/>
      <c r="B888" s="669" t="n"/>
      <c r="C888" s="669" t="n"/>
      <c r="D888" s="669" t="n"/>
      <c r="E888" s="669" t="n"/>
      <c r="F888" s="669" t="n"/>
      <c r="G888" s="669" t="n"/>
      <c r="H888" s="669" t="n"/>
      <c r="I888" s="669" t="n"/>
      <c r="J888" s="669" t="n"/>
      <c r="K888" s="669" t="n"/>
      <c r="L888" s="669" t="n"/>
      <c r="M888" s="669" t="n"/>
      <c r="N888" s="669" t="n"/>
      <c r="O888" s="669" t="n"/>
      <c r="P888" s="669" t="n"/>
      <c r="Q888" s="669" t="n"/>
      <c r="R888" s="669" t="n"/>
      <c r="S888" s="669" t="n"/>
      <c r="T888" s="669" t="n"/>
      <c r="U888" s="669" t="n"/>
      <c r="V888" s="669" t="n"/>
      <c r="W888" s="669" t="n"/>
      <c r="X888" s="669" t="n"/>
      <c r="Y888" s="669" t="n"/>
      <c r="Z888" s="669" t="n"/>
    </row>
    <row r="889">
      <c r="A889" s="669" t="n"/>
      <c r="B889" s="669" t="n"/>
      <c r="C889" s="669" t="n"/>
      <c r="D889" s="669" t="n"/>
      <c r="E889" s="669" t="n"/>
      <c r="F889" s="669" t="n"/>
      <c r="G889" s="669" t="n"/>
      <c r="H889" s="669" t="n"/>
      <c r="I889" s="669" t="n"/>
      <c r="J889" s="669" t="n"/>
      <c r="K889" s="669" t="n"/>
      <c r="L889" s="669" t="n"/>
      <c r="M889" s="669" t="n"/>
      <c r="N889" s="669" t="n"/>
      <c r="O889" s="669" t="n"/>
      <c r="P889" s="669" t="n"/>
      <c r="Q889" s="669" t="n"/>
      <c r="R889" s="669" t="n"/>
      <c r="S889" s="669" t="n"/>
      <c r="T889" s="669" t="n"/>
      <c r="U889" s="669" t="n"/>
      <c r="V889" s="669" t="n"/>
      <c r="W889" s="669" t="n"/>
      <c r="X889" s="669" t="n"/>
      <c r="Y889" s="669" t="n"/>
      <c r="Z889" s="669" t="n"/>
    </row>
    <row r="890">
      <c r="A890" s="669" t="n"/>
      <c r="B890" s="669" t="n"/>
      <c r="C890" s="669" t="n"/>
      <c r="D890" s="669" t="n"/>
      <c r="E890" s="669" t="n"/>
      <c r="F890" s="669" t="n"/>
      <c r="G890" s="669" t="n"/>
      <c r="H890" s="669" t="n"/>
      <c r="I890" s="669" t="n"/>
      <c r="J890" s="669" t="n"/>
      <c r="K890" s="669" t="n"/>
      <c r="L890" s="669" t="n"/>
      <c r="M890" s="669" t="n"/>
      <c r="N890" s="669" t="n"/>
      <c r="O890" s="669" t="n"/>
      <c r="P890" s="669" t="n"/>
      <c r="Q890" s="669" t="n"/>
      <c r="R890" s="669" t="n"/>
      <c r="S890" s="669" t="n"/>
      <c r="T890" s="669" t="n"/>
      <c r="U890" s="669" t="n"/>
      <c r="V890" s="669" t="n"/>
      <c r="W890" s="669" t="n"/>
      <c r="X890" s="669" t="n"/>
      <c r="Y890" s="669" t="n"/>
      <c r="Z890" s="669" t="n"/>
    </row>
    <row r="891">
      <c r="A891" s="669" t="n"/>
      <c r="B891" s="669" t="n"/>
      <c r="C891" s="669" t="n"/>
      <c r="D891" s="669" t="n"/>
      <c r="E891" s="669" t="n"/>
      <c r="F891" s="669" t="n"/>
      <c r="G891" s="669" t="n"/>
      <c r="H891" s="669" t="n"/>
      <c r="I891" s="669" t="n"/>
      <c r="J891" s="669" t="n"/>
      <c r="K891" s="669" t="n"/>
      <c r="L891" s="669" t="n"/>
      <c r="M891" s="669" t="n"/>
      <c r="N891" s="669" t="n"/>
      <c r="O891" s="669" t="n"/>
      <c r="P891" s="669" t="n"/>
      <c r="Q891" s="669" t="n"/>
      <c r="R891" s="669" t="n"/>
      <c r="S891" s="669" t="n"/>
      <c r="T891" s="669" t="n"/>
      <c r="U891" s="669" t="n"/>
      <c r="V891" s="669" t="n"/>
      <c r="W891" s="669" t="n"/>
      <c r="X891" s="669" t="n"/>
      <c r="Y891" s="669" t="n"/>
      <c r="Z891" s="669" t="n"/>
    </row>
    <row r="892">
      <c r="A892" s="669" t="n"/>
      <c r="B892" s="669" t="n"/>
      <c r="C892" s="669" t="n"/>
      <c r="D892" s="669" t="n"/>
      <c r="E892" s="669" t="n"/>
      <c r="F892" s="669" t="n"/>
      <c r="G892" s="669" t="n"/>
      <c r="H892" s="669" t="n"/>
      <c r="I892" s="669" t="n"/>
      <c r="J892" s="669" t="n"/>
      <c r="K892" s="669" t="n"/>
      <c r="L892" s="669" t="n"/>
      <c r="M892" s="669" t="n"/>
      <c r="N892" s="669" t="n"/>
      <c r="O892" s="669" t="n"/>
      <c r="P892" s="669" t="n"/>
      <c r="Q892" s="669" t="n"/>
      <c r="R892" s="669" t="n"/>
      <c r="S892" s="669" t="n"/>
      <c r="T892" s="669" t="n"/>
      <c r="U892" s="669" t="n"/>
      <c r="V892" s="669" t="n"/>
      <c r="W892" s="669" t="n"/>
      <c r="X892" s="669" t="n"/>
      <c r="Y892" s="669" t="n"/>
      <c r="Z892" s="669" t="n"/>
    </row>
    <row r="893">
      <c r="A893" s="669" t="n"/>
      <c r="B893" s="669" t="n"/>
      <c r="C893" s="669" t="n"/>
      <c r="D893" s="669" t="n"/>
      <c r="E893" s="669" t="n"/>
      <c r="F893" s="669" t="n"/>
      <c r="G893" s="669" t="n"/>
      <c r="H893" s="669" t="n"/>
      <c r="I893" s="669" t="n"/>
      <c r="J893" s="669" t="n"/>
      <c r="K893" s="669" t="n"/>
      <c r="L893" s="669" t="n"/>
      <c r="M893" s="669" t="n"/>
      <c r="N893" s="669" t="n"/>
      <c r="O893" s="669" t="n"/>
      <c r="P893" s="669" t="n"/>
      <c r="Q893" s="669" t="n"/>
      <c r="R893" s="669" t="n"/>
      <c r="S893" s="669" t="n"/>
      <c r="T893" s="669" t="n"/>
      <c r="U893" s="669" t="n"/>
      <c r="V893" s="669" t="n"/>
      <c r="W893" s="669" t="n"/>
      <c r="X893" s="669" t="n"/>
      <c r="Y893" s="669" t="n"/>
      <c r="Z893" s="669" t="n"/>
    </row>
    <row r="894">
      <c r="A894" s="669" t="n"/>
      <c r="B894" s="669" t="n"/>
      <c r="C894" s="669" t="n"/>
      <c r="D894" s="669" t="n"/>
      <c r="E894" s="669" t="n"/>
      <c r="F894" s="669" t="n"/>
      <c r="G894" s="669" t="n"/>
      <c r="H894" s="669" t="n"/>
      <c r="I894" s="669" t="n"/>
      <c r="J894" s="669" t="n"/>
      <c r="K894" s="669" t="n"/>
      <c r="L894" s="669" t="n"/>
      <c r="M894" s="669" t="n"/>
      <c r="N894" s="669" t="n"/>
      <c r="O894" s="669" t="n"/>
      <c r="P894" s="669" t="n"/>
      <c r="Q894" s="669" t="n"/>
      <c r="R894" s="669" t="n"/>
      <c r="S894" s="669" t="n"/>
      <c r="T894" s="669" t="n"/>
      <c r="U894" s="669" t="n"/>
      <c r="V894" s="669" t="n"/>
      <c r="W894" s="669" t="n"/>
      <c r="X894" s="669" t="n"/>
      <c r="Y894" s="669" t="n"/>
      <c r="Z894" s="669" t="n"/>
    </row>
    <row r="895">
      <c r="A895" s="669" t="n"/>
      <c r="B895" s="669" t="n"/>
      <c r="C895" s="669" t="n"/>
      <c r="D895" s="669" t="n"/>
      <c r="E895" s="669" t="n"/>
      <c r="F895" s="669" t="n"/>
      <c r="G895" s="669" t="n"/>
      <c r="H895" s="669" t="n"/>
      <c r="I895" s="669" t="n"/>
      <c r="J895" s="669" t="n"/>
      <c r="K895" s="669" t="n"/>
      <c r="L895" s="669" t="n"/>
      <c r="M895" s="669" t="n"/>
      <c r="N895" s="669" t="n"/>
      <c r="O895" s="669" t="n"/>
      <c r="P895" s="669" t="n"/>
      <c r="Q895" s="669" t="n"/>
      <c r="R895" s="669" t="n"/>
      <c r="S895" s="669" t="n"/>
      <c r="T895" s="669" t="n"/>
      <c r="U895" s="669" t="n"/>
      <c r="V895" s="669" t="n"/>
      <c r="W895" s="669" t="n"/>
      <c r="X895" s="669" t="n"/>
      <c r="Y895" s="669" t="n"/>
      <c r="Z895" s="669" t="n"/>
    </row>
    <row r="896">
      <c r="A896" s="669" t="n"/>
      <c r="B896" s="669" t="n"/>
      <c r="C896" s="669" t="n"/>
      <c r="D896" s="669" t="n"/>
      <c r="E896" s="669" t="n"/>
      <c r="F896" s="669" t="n"/>
      <c r="G896" s="669" t="n"/>
      <c r="H896" s="669" t="n"/>
      <c r="I896" s="669" t="n"/>
      <c r="J896" s="669" t="n"/>
      <c r="K896" s="669" t="n"/>
      <c r="L896" s="669" t="n"/>
      <c r="M896" s="669" t="n"/>
      <c r="N896" s="669" t="n"/>
      <c r="O896" s="669" t="n"/>
      <c r="P896" s="669" t="n"/>
      <c r="Q896" s="669" t="n"/>
      <c r="R896" s="669" t="n"/>
      <c r="S896" s="669" t="n"/>
      <c r="T896" s="669" t="n"/>
      <c r="U896" s="669" t="n"/>
      <c r="V896" s="669" t="n"/>
      <c r="W896" s="669" t="n"/>
      <c r="X896" s="669" t="n"/>
      <c r="Y896" s="669" t="n"/>
      <c r="Z896" s="669" t="n"/>
    </row>
    <row r="897">
      <c r="A897" s="669" t="n"/>
      <c r="B897" s="669" t="n"/>
      <c r="C897" s="669" t="n"/>
      <c r="D897" s="669" t="n"/>
      <c r="E897" s="669" t="n"/>
      <c r="F897" s="669" t="n"/>
      <c r="G897" s="669" t="n"/>
      <c r="H897" s="669" t="n"/>
      <c r="I897" s="669" t="n"/>
      <c r="J897" s="669" t="n"/>
      <c r="K897" s="669" t="n"/>
      <c r="L897" s="669" t="n"/>
      <c r="M897" s="669" t="n"/>
      <c r="N897" s="669" t="n"/>
      <c r="O897" s="669" t="n"/>
      <c r="P897" s="669" t="n"/>
      <c r="Q897" s="669" t="n"/>
      <c r="R897" s="669" t="n"/>
      <c r="S897" s="669" t="n"/>
      <c r="T897" s="669" t="n"/>
      <c r="U897" s="669" t="n"/>
      <c r="V897" s="669" t="n"/>
      <c r="W897" s="669" t="n"/>
      <c r="X897" s="669" t="n"/>
      <c r="Y897" s="669" t="n"/>
      <c r="Z897" s="669" t="n"/>
    </row>
    <row r="898">
      <c r="A898" s="669" t="n"/>
      <c r="B898" s="669" t="n"/>
      <c r="C898" s="669" t="n"/>
      <c r="D898" s="669" t="n"/>
      <c r="E898" s="669" t="n"/>
      <c r="F898" s="669" t="n"/>
      <c r="G898" s="669" t="n"/>
      <c r="H898" s="669" t="n"/>
      <c r="I898" s="669" t="n"/>
      <c r="J898" s="669" t="n"/>
      <c r="K898" s="669" t="n"/>
      <c r="L898" s="669" t="n"/>
      <c r="M898" s="669" t="n"/>
      <c r="N898" s="669" t="n"/>
      <c r="O898" s="669" t="n"/>
      <c r="P898" s="669" t="n"/>
      <c r="Q898" s="669" t="n"/>
      <c r="R898" s="669" t="n"/>
      <c r="S898" s="669" t="n"/>
      <c r="T898" s="669" t="n"/>
      <c r="U898" s="669" t="n"/>
      <c r="V898" s="669" t="n"/>
      <c r="W898" s="669" t="n"/>
      <c r="X898" s="669" t="n"/>
      <c r="Y898" s="669" t="n"/>
      <c r="Z898" s="669" t="n"/>
    </row>
    <row r="899">
      <c r="A899" s="669" t="n"/>
      <c r="B899" s="669" t="n"/>
      <c r="C899" s="669" t="n"/>
      <c r="D899" s="669" t="n"/>
      <c r="E899" s="669" t="n"/>
      <c r="F899" s="669" t="n"/>
      <c r="G899" s="669" t="n"/>
      <c r="H899" s="669" t="n"/>
      <c r="I899" s="669" t="n"/>
      <c r="J899" s="669" t="n"/>
      <c r="K899" s="669" t="n"/>
      <c r="L899" s="669" t="n"/>
      <c r="M899" s="669" t="n"/>
      <c r="N899" s="669" t="n"/>
      <c r="O899" s="669" t="n"/>
      <c r="P899" s="669" t="n"/>
      <c r="Q899" s="669" t="n"/>
      <c r="R899" s="669" t="n"/>
      <c r="S899" s="669" t="n"/>
      <c r="T899" s="669" t="n"/>
      <c r="U899" s="669" t="n"/>
      <c r="V899" s="669" t="n"/>
      <c r="W899" s="669" t="n"/>
      <c r="X899" s="669" t="n"/>
      <c r="Y899" s="669" t="n"/>
      <c r="Z899" s="669" t="n"/>
    </row>
    <row r="900">
      <c r="A900" s="669" t="n"/>
      <c r="B900" s="669" t="n"/>
      <c r="C900" s="669" t="n"/>
      <c r="D900" s="669" t="n"/>
      <c r="E900" s="669" t="n"/>
      <c r="F900" s="669" t="n"/>
      <c r="G900" s="669" t="n"/>
      <c r="H900" s="669" t="n"/>
      <c r="I900" s="669" t="n"/>
      <c r="J900" s="669" t="n"/>
      <c r="K900" s="669" t="n"/>
      <c r="L900" s="669" t="n"/>
      <c r="M900" s="669" t="n"/>
      <c r="N900" s="669" t="n"/>
      <c r="O900" s="669" t="n"/>
      <c r="P900" s="669" t="n"/>
      <c r="Q900" s="669" t="n"/>
      <c r="R900" s="669" t="n"/>
      <c r="S900" s="669" t="n"/>
      <c r="T900" s="669" t="n"/>
      <c r="U900" s="669" t="n"/>
      <c r="V900" s="669" t="n"/>
      <c r="W900" s="669" t="n"/>
      <c r="X900" s="669" t="n"/>
      <c r="Y900" s="669" t="n"/>
      <c r="Z900" s="669" t="n"/>
    </row>
    <row r="901">
      <c r="A901" s="669" t="n"/>
      <c r="B901" s="669" t="n"/>
      <c r="C901" s="669" t="n"/>
      <c r="D901" s="669" t="n"/>
      <c r="E901" s="669" t="n"/>
      <c r="F901" s="669" t="n"/>
      <c r="G901" s="669" t="n"/>
      <c r="H901" s="669" t="n"/>
      <c r="I901" s="669" t="n"/>
      <c r="J901" s="669" t="n"/>
      <c r="K901" s="669" t="n"/>
      <c r="L901" s="669" t="n"/>
      <c r="M901" s="669" t="n"/>
      <c r="N901" s="669" t="n"/>
      <c r="O901" s="669" t="n"/>
      <c r="P901" s="669" t="n"/>
      <c r="Q901" s="669" t="n"/>
      <c r="R901" s="669" t="n"/>
      <c r="S901" s="669" t="n"/>
      <c r="T901" s="669" t="n"/>
      <c r="U901" s="669" t="n"/>
      <c r="V901" s="669" t="n"/>
      <c r="W901" s="669" t="n"/>
      <c r="X901" s="669" t="n"/>
      <c r="Y901" s="669" t="n"/>
      <c r="Z901" s="669" t="n"/>
    </row>
    <row r="902">
      <c r="A902" s="669" t="n"/>
      <c r="B902" s="669" t="n"/>
      <c r="C902" s="669" t="n"/>
      <c r="D902" s="669" t="n"/>
      <c r="E902" s="669" t="n"/>
      <c r="F902" s="669" t="n"/>
      <c r="G902" s="669" t="n"/>
      <c r="H902" s="669" t="n"/>
      <c r="I902" s="669" t="n"/>
      <c r="J902" s="669" t="n"/>
      <c r="K902" s="669" t="n"/>
      <c r="L902" s="669" t="n"/>
      <c r="M902" s="669" t="n"/>
      <c r="N902" s="669" t="n"/>
      <c r="O902" s="669" t="n"/>
      <c r="P902" s="669" t="n"/>
      <c r="Q902" s="669" t="n"/>
      <c r="R902" s="669" t="n"/>
      <c r="S902" s="669" t="n"/>
      <c r="T902" s="669" t="n"/>
      <c r="U902" s="669" t="n"/>
      <c r="V902" s="669" t="n"/>
      <c r="W902" s="669" t="n"/>
      <c r="X902" s="669" t="n"/>
      <c r="Y902" s="669" t="n"/>
      <c r="Z902" s="669" t="n"/>
    </row>
    <row r="903">
      <c r="A903" s="669" t="n"/>
      <c r="B903" s="669" t="n"/>
      <c r="C903" s="669" t="n"/>
      <c r="D903" s="669" t="n"/>
      <c r="E903" s="669" t="n"/>
      <c r="F903" s="669" t="n"/>
      <c r="G903" s="669" t="n"/>
      <c r="H903" s="669" t="n"/>
      <c r="I903" s="669" t="n"/>
      <c r="J903" s="669" t="n"/>
      <c r="K903" s="669" t="n"/>
      <c r="L903" s="669" t="n"/>
      <c r="M903" s="669" t="n"/>
      <c r="N903" s="669" t="n"/>
      <c r="O903" s="669" t="n"/>
      <c r="P903" s="669" t="n"/>
      <c r="Q903" s="669" t="n"/>
      <c r="R903" s="669" t="n"/>
      <c r="S903" s="669" t="n"/>
      <c r="T903" s="669" t="n"/>
      <c r="U903" s="669" t="n"/>
      <c r="V903" s="669" t="n"/>
      <c r="W903" s="669" t="n"/>
      <c r="X903" s="669" t="n"/>
      <c r="Y903" s="669" t="n"/>
      <c r="Z903" s="669" t="n"/>
    </row>
    <row r="904">
      <c r="A904" s="669" t="n"/>
      <c r="B904" s="669" t="n"/>
      <c r="C904" s="669" t="n"/>
      <c r="D904" s="669" t="n"/>
      <c r="E904" s="669" t="n"/>
      <c r="F904" s="669" t="n"/>
      <c r="G904" s="669" t="n"/>
      <c r="H904" s="669" t="n"/>
      <c r="I904" s="669" t="n"/>
      <c r="J904" s="669" t="n"/>
      <c r="K904" s="669" t="n"/>
      <c r="L904" s="669" t="n"/>
      <c r="M904" s="669" t="n"/>
      <c r="N904" s="669" t="n"/>
      <c r="O904" s="669" t="n"/>
      <c r="P904" s="669" t="n"/>
      <c r="Q904" s="669" t="n"/>
      <c r="R904" s="669" t="n"/>
      <c r="S904" s="669" t="n"/>
      <c r="T904" s="669" t="n"/>
      <c r="U904" s="669" t="n"/>
      <c r="V904" s="669" t="n"/>
      <c r="W904" s="669" t="n"/>
      <c r="X904" s="669" t="n"/>
      <c r="Y904" s="669" t="n"/>
      <c r="Z904" s="669" t="n"/>
    </row>
    <row r="905">
      <c r="A905" s="669" t="n"/>
      <c r="B905" s="669" t="n"/>
      <c r="C905" s="669" t="n"/>
      <c r="D905" s="669" t="n"/>
      <c r="E905" s="669" t="n"/>
      <c r="F905" s="669" t="n"/>
      <c r="G905" s="669" t="n"/>
      <c r="H905" s="669" t="n"/>
      <c r="I905" s="669" t="n"/>
      <c r="J905" s="669" t="n"/>
      <c r="K905" s="669" t="n"/>
      <c r="L905" s="669" t="n"/>
      <c r="M905" s="669" t="n"/>
      <c r="N905" s="669" t="n"/>
      <c r="O905" s="669" t="n"/>
      <c r="P905" s="669" t="n"/>
      <c r="Q905" s="669" t="n"/>
      <c r="R905" s="669" t="n"/>
      <c r="S905" s="669" t="n"/>
      <c r="T905" s="669" t="n"/>
      <c r="U905" s="669" t="n"/>
      <c r="V905" s="669" t="n"/>
      <c r="W905" s="669" t="n"/>
      <c r="X905" s="669" t="n"/>
      <c r="Y905" s="669" t="n"/>
      <c r="Z905" s="669" t="n"/>
    </row>
    <row r="906">
      <c r="A906" s="669" t="n"/>
      <c r="B906" s="669" t="n"/>
      <c r="C906" s="669" t="n"/>
      <c r="D906" s="669" t="n"/>
      <c r="E906" s="669" t="n"/>
      <c r="F906" s="669" t="n"/>
      <c r="G906" s="669" t="n"/>
      <c r="H906" s="669" t="n"/>
      <c r="I906" s="669" t="n"/>
      <c r="J906" s="669" t="n"/>
      <c r="K906" s="669" t="n"/>
      <c r="L906" s="669" t="n"/>
      <c r="M906" s="669" t="n"/>
      <c r="N906" s="669" t="n"/>
      <c r="O906" s="669" t="n"/>
      <c r="P906" s="669" t="n"/>
      <c r="Q906" s="669" t="n"/>
      <c r="R906" s="669" t="n"/>
      <c r="S906" s="669" t="n"/>
      <c r="T906" s="669" t="n"/>
      <c r="U906" s="669" t="n"/>
      <c r="V906" s="669" t="n"/>
      <c r="W906" s="669" t="n"/>
      <c r="X906" s="669" t="n"/>
      <c r="Y906" s="669" t="n"/>
      <c r="Z906" s="669" t="n"/>
    </row>
    <row r="907">
      <c r="A907" s="669" t="n"/>
      <c r="B907" s="669" t="n"/>
      <c r="C907" s="669" t="n"/>
      <c r="D907" s="669" t="n"/>
      <c r="E907" s="669" t="n"/>
      <c r="F907" s="669" t="n"/>
      <c r="G907" s="669" t="n"/>
      <c r="H907" s="669" t="n"/>
      <c r="I907" s="669" t="n"/>
      <c r="J907" s="669" t="n"/>
      <c r="K907" s="669" t="n"/>
      <c r="L907" s="669" t="n"/>
      <c r="M907" s="669" t="n"/>
      <c r="N907" s="669" t="n"/>
      <c r="O907" s="669" t="n"/>
      <c r="P907" s="669" t="n"/>
      <c r="Q907" s="669" t="n"/>
      <c r="R907" s="669" t="n"/>
      <c r="S907" s="669" t="n"/>
      <c r="T907" s="669" t="n"/>
      <c r="U907" s="669" t="n"/>
      <c r="V907" s="669" t="n"/>
      <c r="W907" s="669" t="n"/>
      <c r="X907" s="669" t="n"/>
      <c r="Y907" s="669" t="n"/>
      <c r="Z907" s="669" t="n"/>
    </row>
    <row r="908">
      <c r="A908" s="669" t="n"/>
      <c r="B908" s="669" t="n"/>
      <c r="C908" s="669" t="n"/>
      <c r="D908" s="669" t="n"/>
      <c r="E908" s="669" t="n"/>
      <c r="F908" s="669" t="n"/>
      <c r="G908" s="669" t="n"/>
      <c r="H908" s="669" t="n"/>
      <c r="I908" s="669" t="n"/>
      <c r="J908" s="669" t="n"/>
      <c r="K908" s="669" t="n"/>
      <c r="L908" s="669" t="n"/>
      <c r="M908" s="669" t="n"/>
      <c r="N908" s="669" t="n"/>
      <c r="O908" s="669" t="n"/>
      <c r="P908" s="669" t="n"/>
      <c r="Q908" s="669" t="n"/>
      <c r="R908" s="669" t="n"/>
      <c r="S908" s="669" t="n"/>
      <c r="T908" s="669" t="n"/>
      <c r="U908" s="669" t="n"/>
      <c r="V908" s="669" t="n"/>
      <c r="W908" s="669" t="n"/>
      <c r="X908" s="669" t="n"/>
      <c r="Y908" s="669" t="n"/>
      <c r="Z908" s="669" t="n"/>
    </row>
    <row r="909">
      <c r="A909" s="669" t="n"/>
      <c r="B909" s="669" t="n"/>
      <c r="C909" s="669" t="n"/>
      <c r="D909" s="669" t="n"/>
      <c r="E909" s="669" t="n"/>
      <c r="F909" s="669" t="n"/>
      <c r="G909" s="669" t="n"/>
      <c r="H909" s="669" t="n"/>
      <c r="I909" s="669" t="n"/>
      <c r="J909" s="669" t="n"/>
      <c r="K909" s="669" t="n"/>
      <c r="L909" s="669" t="n"/>
      <c r="M909" s="669" t="n"/>
      <c r="N909" s="669" t="n"/>
      <c r="O909" s="669" t="n"/>
      <c r="P909" s="669" t="n"/>
      <c r="Q909" s="669" t="n"/>
      <c r="R909" s="669" t="n"/>
      <c r="S909" s="669" t="n"/>
      <c r="T909" s="669" t="n"/>
      <c r="U909" s="669" t="n"/>
      <c r="V909" s="669" t="n"/>
      <c r="W909" s="669" t="n"/>
      <c r="X909" s="669" t="n"/>
      <c r="Y909" s="669" t="n"/>
      <c r="Z909" s="669" t="n"/>
    </row>
    <row r="910">
      <c r="A910" s="669" t="n"/>
      <c r="B910" s="669" t="n"/>
      <c r="C910" s="669" t="n"/>
      <c r="D910" s="669" t="n"/>
      <c r="E910" s="669" t="n"/>
      <c r="F910" s="669" t="n"/>
      <c r="G910" s="669" t="n"/>
      <c r="H910" s="669" t="n"/>
      <c r="I910" s="669" t="n"/>
      <c r="J910" s="669" t="n"/>
      <c r="K910" s="669" t="n"/>
      <c r="L910" s="669" t="n"/>
      <c r="M910" s="669" t="n"/>
      <c r="N910" s="669" t="n"/>
      <c r="O910" s="669" t="n"/>
      <c r="P910" s="669" t="n"/>
      <c r="Q910" s="669" t="n"/>
      <c r="R910" s="669" t="n"/>
      <c r="S910" s="669" t="n"/>
      <c r="T910" s="669" t="n"/>
      <c r="U910" s="669" t="n"/>
      <c r="V910" s="669" t="n"/>
      <c r="W910" s="669" t="n"/>
      <c r="X910" s="669" t="n"/>
      <c r="Y910" s="669" t="n"/>
      <c r="Z910" s="669" t="n"/>
    </row>
    <row r="911">
      <c r="A911" s="669" t="n"/>
      <c r="B911" s="669" t="n"/>
      <c r="C911" s="669" t="n"/>
      <c r="D911" s="669" t="n"/>
      <c r="E911" s="669" t="n"/>
      <c r="F911" s="669" t="n"/>
      <c r="G911" s="669" t="n"/>
      <c r="H911" s="669" t="n"/>
      <c r="I911" s="669" t="n"/>
      <c r="J911" s="669" t="n"/>
      <c r="K911" s="669" t="n"/>
      <c r="L911" s="669" t="n"/>
      <c r="M911" s="669" t="n"/>
      <c r="N911" s="669" t="n"/>
      <c r="O911" s="669" t="n"/>
      <c r="P911" s="669" t="n"/>
      <c r="Q911" s="669" t="n"/>
      <c r="R911" s="669" t="n"/>
      <c r="S911" s="669" t="n"/>
      <c r="T911" s="669" t="n"/>
      <c r="U911" s="669" t="n"/>
      <c r="V911" s="669" t="n"/>
      <c r="W911" s="669" t="n"/>
      <c r="X911" s="669" t="n"/>
      <c r="Y911" s="669" t="n"/>
      <c r="Z911" s="669" t="n"/>
    </row>
    <row r="912">
      <c r="A912" s="669" t="n"/>
      <c r="B912" s="669" t="n"/>
      <c r="C912" s="669" t="n"/>
      <c r="D912" s="669" t="n"/>
      <c r="E912" s="669" t="n"/>
      <c r="F912" s="669" t="n"/>
      <c r="G912" s="669" t="n"/>
      <c r="H912" s="669" t="n"/>
      <c r="I912" s="669" t="n"/>
      <c r="J912" s="669" t="n"/>
      <c r="K912" s="669" t="n"/>
      <c r="L912" s="669" t="n"/>
      <c r="M912" s="669" t="n"/>
      <c r="N912" s="669" t="n"/>
      <c r="O912" s="669" t="n"/>
      <c r="P912" s="669" t="n"/>
      <c r="Q912" s="669" t="n"/>
      <c r="R912" s="669" t="n"/>
      <c r="S912" s="669" t="n"/>
      <c r="T912" s="669" t="n"/>
      <c r="U912" s="669" t="n"/>
      <c r="V912" s="669" t="n"/>
      <c r="W912" s="669" t="n"/>
      <c r="X912" s="669" t="n"/>
      <c r="Y912" s="669" t="n"/>
      <c r="Z912" s="669" t="n"/>
    </row>
    <row r="913">
      <c r="A913" s="669" t="n"/>
      <c r="B913" s="669" t="n"/>
      <c r="C913" s="669" t="n"/>
      <c r="D913" s="669" t="n"/>
      <c r="E913" s="669" t="n"/>
      <c r="F913" s="669" t="n"/>
      <c r="G913" s="669" t="n"/>
      <c r="H913" s="669" t="n"/>
      <c r="I913" s="669" t="n"/>
      <c r="J913" s="669" t="n"/>
      <c r="K913" s="669" t="n"/>
      <c r="L913" s="669" t="n"/>
      <c r="M913" s="669" t="n"/>
      <c r="N913" s="669" t="n"/>
      <c r="O913" s="669" t="n"/>
      <c r="P913" s="669" t="n"/>
      <c r="Q913" s="669" t="n"/>
      <c r="R913" s="669" t="n"/>
      <c r="S913" s="669" t="n"/>
      <c r="T913" s="669" t="n"/>
      <c r="U913" s="669" t="n"/>
      <c r="V913" s="669" t="n"/>
      <c r="W913" s="669" t="n"/>
      <c r="X913" s="669" t="n"/>
      <c r="Y913" s="669" t="n"/>
      <c r="Z913" s="669" t="n"/>
    </row>
    <row r="914">
      <c r="A914" s="669" t="n"/>
      <c r="B914" s="669" t="n"/>
      <c r="C914" s="669" t="n"/>
      <c r="D914" s="669" t="n"/>
      <c r="E914" s="669" t="n"/>
      <c r="F914" s="669" t="n"/>
      <c r="G914" s="669" t="n"/>
      <c r="H914" s="669" t="n"/>
      <c r="I914" s="669" t="n"/>
      <c r="J914" s="669" t="n"/>
      <c r="K914" s="669" t="n"/>
      <c r="L914" s="669" t="n"/>
      <c r="M914" s="669" t="n"/>
      <c r="N914" s="669" t="n"/>
      <c r="O914" s="669" t="n"/>
      <c r="P914" s="669" t="n"/>
      <c r="Q914" s="669" t="n"/>
      <c r="R914" s="669" t="n"/>
      <c r="S914" s="669" t="n"/>
      <c r="T914" s="669" t="n"/>
      <c r="U914" s="669" t="n"/>
      <c r="V914" s="669" t="n"/>
      <c r="W914" s="669" t="n"/>
      <c r="X914" s="669" t="n"/>
      <c r="Y914" s="669" t="n"/>
      <c r="Z914" s="669" t="n"/>
    </row>
    <row r="915">
      <c r="A915" s="669" t="n"/>
      <c r="B915" s="669" t="n"/>
      <c r="C915" s="669" t="n"/>
      <c r="D915" s="669" t="n"/>
      <c r="E915" s="669" t="n"/>
      <c r="F915" s="669" t="n"/>
      <c r="G915" s="669" t="n"/>
      <c r="H915" s="669" t="n"/>
      <c r="I915" s="669" t="n"/>
      <c r="J915" s="669" t="n"/>
      <c r="K915" s="669" t="n"/>
      <c r="L915" s="669" t="n"/>
      <c r="M915" s="669" t="n"/>
      <c r="N915" s="669" t="n"/>
      <c r="O915" s="669" t="n"/>
      <c r="P915" s="669" t="n"/>
      <c r="Q915" s="669" t="n"/>
      <c r="R915" s="669" t="n"/>
      <c r="S915" s="669" t="n"/>
      <c r="T915" s="669" t="n"/>
      <c r="U915" s="669" t="n"/>
      <c r="V915" s="669" t="n"/>
      <c r="W915" s="669" t="n"/>
      <c r="X915" s="669" t="n"/>
      <c r="Y915" s="669" t="n"/>
      <c r="Z915" s="669" t="n"/>
    </row>
    <row r="916">
      <c r="A916" s="669" t="n"/>
      <c r="B916" s="669" t="n"/>
      <c r="C916" s="669" t="n"/>
      <c r="D916" s="669" t="n"/>
      <c r="E916" s="669" t="n"/>
      <c r="F916" s="669" t="n"/>
      <c r="G916" s="669" t="n"/>
      <c r="H916" s="669" t="n"/>
      <c r="I916" s="669" t="n"/>
      <c r="J916" s="669" t="n"/>
      <c r="K916" s="669" t="n"/>
      <c r="L916" s="669" t="n"/>
      <c r="M916" s="669" t="n"/>
      <c r="N916" s="669" t="n"/>
      <c r="O916" s="669" t="n"/>
      <c r="P916" s="669" t="n"/>
      <c r="Q916" s="669" t="n"/>
      <c r="R916" s="669" t="n"/>
      <c r="S916" s="669" t="n"/>
      <c r="T916" s="669" t="n"/>
      <c r="U916" s="669" t="n"/>
      <c r="V916" s="669" t="n"/>
      <c r="W916" s="669" t="n"/>
      <c r="X916" s="669" t="n"/>
      <c r="Y916" s="669" t="n"/>
      <c r="Z916" s="669" t="n"/>
    </row>
    <row r="917">
      <c r="A917" s="669" t="n"/>
      <c r="B917" s="669" t="n"/>
      <c r="C917" s="669" t="n"/>
      <c r="D917" s="669" t="n"/>
      <c r="E917" s="669" t="n"/>
      <c r="F917" s="669" t="n"/>
      <c r="G917" s="669" t="n"/>
      <c r="H917" s="669" t="n"/>
      <c r="I917" s="669" t="n"/>
      <c r="J917" s="669" t="n"/>
      <c r="K917" s="669" t="n"/>
      <c r="L917" s="669" t="n"/>
      <c r="M917" s="669" t="n"/>
      <c r="N917" s="669" t="n"/>
      <c r="O917" s="669" t="n"/>
      <c r="P917" s="669" t="n"/>
      <c r="Q917" s="669" t="n"/>
      <c r="R917" s="669" t="n"/>
      <c r="S917" s="669" t="n"/>
      <c r="T917" s="669" t="n"/>
      <c r="U917" s="669" t="n"/>
      <c r="V917" s="669" t="n"/>
      <c r="W917" s="669" t="n"/>
      <c r="X917" s="669" t="n"/>
      <c r="Y917" s="669" t="n"/>
      <c r="Z917" s="669" t="n"/>
    </row>
    <row r="918">
      <c r="A918" s="669" t="n"/>
      <c r="B918" s="669" t="n"/>
      <c r="C918" s="669" t="n"/>
      <c r="D918" s="669" t="n"/>
      <c r="E918" s="669" t="n"/>
      <c r="F918" s="669" t="n"/>
      <c r="G918" s="669" t="n"/>
      <c r="H918" s="669" t="n"/>
      <c r="I918" s="669" t="n"/>
      <c r="J918" s="669" t="n"/>
      <c r="K918" s="669" t="n"/>
      <c r="L918" s="669" t="n"/>
      <c r="M918" s="669" t="n"/>
      <c r="N918" s="669" t="n"/>
      <c r="O918" s="669" t="n"/>
      <c r="P918" s="669" t="n"/>
      <c r="Q918" s="669" t="n"/>
      <c r="R918" s="669" t="n"/>
      <c r="S918" s="669" t="n"/>
      <c r="T918" s="669" t="n"/>
      <c r="U918" s="669" t="n"/>
      <c r="V918" s="669" t="n"/>
      <c r="W918" s="669" t="n"/>
      <c r="X918" s="669" t="n"/>
      <c r="Y918" s="669" t="n"/>
      <c r="Z918" s="669" t="n"/>
    </row>
    <row r="919">
      <c r="A919" s="669" t="n"/>
      <c r="B919" s="669" t="n"/>
      <c r="C919" s="669" t="n"/>
      <c r="D919" s="669" t="n"/>
      <c r="E919" s="669" t="n"/>
      <c r="F919" s="669" t="n"/>
      <c r="G919" s="669" t="n"/>
      <c r="H919" s="669" t="n"/>
      <c r="I919" s="669" t="n"/>
      <c r="J919" s="669" t="n"/>
      <c r="K919" s="669" t="n"/>
      <c r="L919" s="669" t="n"/>
      <c r="M919" s="669" t="n"/>
      <c r="N919" s="669" t="n"/>
      <c r="O919" s="669" t="n"/>
      <c r="P919" s="669" t="n"/>
      <c r="Q919" s="669" t="n"/>
      <c r="R919" s="669" t="n"/>
      <c r="S919" s="669" t="n"/>
      <c r="T919" s="669" t="n"/>
      <c r="U919" s="669" t="n"/>
      <c r="V919" s="669" t="n"/>
      <c r="W919" s="669" t="n"/>
      <c r="X919" s="669" t="n"/>
      <c r="Y919" s="669" t="n"/>
      <c r="Z919" s="669" t="n"/>
    </row>
    <row r="920">
      <c r="A920" s="669" t="n"/>
      <c r="B920" s="669" t="n"/>
      <c r="C920" s="669" t="n"/>
      <c r="D920" s="669" t="n"/>
      <c r="E920" s="669" t="n"/>
      <c r="F920" s="669" t="n"/>
      <c r="G920" s="669" t="n"/>
      <c r="H920" s="669" t="n"/>
      <c r="I920" s="669" t="n"/>
      <c r="J920" s="669" t="n"/>
      <c r="K920" s="669" t="n"/>
      <c r="L920" s="669" t="n"/>
      <c r="M920" s="669" t="n"/>
      <c r="N920" s="669" t="n"/>
      <c r="O920" s="669" t="n"/>
      <c r="P920" s="669" t="n"/>
      <c r="Q920" s="669" t="n"/>
      <c r="R920" s="669" t="n"/>
      <c r="S920" s="669" t="n"/>
      <c r="T920" s="669" t="n"/>
      <c r="U920" s="669" t="n"/>
      <c r="V920" s="669" t="n"/>
      <c r="W920" s="669" t="n"/>
      <c r="X920" s="669" t="n"/>
      <c r="Y920" s="669" t="n"/>
      <c r="Z920" s="669" t="n"/>
    </row>
    <row r="921">
      <c r="A921" s="669" t="n"/>
      <c r="B921" s="669" t="n"/>
      <c r="C921" s="669" t="n"/>
      <c r="D921" s="669" t="n"/>
      <c r="E921" s="669" t="n"/>
      <c r="F921" s="669" t="n"/>
      <c r="G921" s="669" t="n"/>
      <c r="H921" s="669" t="n"/>
      <c r="I921" s="669" t="n"/>
      <c r="J921" s="669" t="n"/>
      <c r="K921" s="669" t="n"/>
      <c r="L921" s="669" t="n"/>
      <c r="M921" s="669" t="n"/>
      <c r="N921" s="669" t="n"/>
      <c r="O921" s="669" t="n"/>
      <c r="P921" s="669" t="n"/>
      <c r="Q921" s="669" t="n"/>
      <c r="R921" s="669" t="n"/>
      <c r="S921" s="669" t="n"/>
      <c r="T921" s="669" t="n"/>
      <c r="U921" s="669" t="n"/>
      <c r="V921" s="669" t="n"/>
      <c r="W921" s="669" t="n"/>
      <c r="X921" s="669" t="n"/>
      <c r="Y921" s="669" t="n"/>
      <c r="Z921" s="669" t="n"/>
    </row>
    <row r="922">
      <c r="A922" s="669" t="n"/>
      <c r="B922" s="669" t="n"/>
      <c r="C922" s="669" t="n"/>
      <c r="D922" s="669" t="n"/>
      <c r="E922" s="669" t="n"/>
      <c r="F922" s="669" t="n"/>
      <c r="G922" s="669" t="n"/>
      <c r="H922" s="669" t="n"/>
      <c r="I922" s="669" t="n"/>
      <c r="J922" s="669" t="n"/>
      <c r="K922" s="669" t="n"/>
      <c r="L922" s="669" t="n"/>
      <c r="M922" s="669" t="n"/>
      <c r="N922" s="669" t="n"/>
      <c r="O922" s="669" t="n"/>
      <c r="P922" s="669" t="n"/>
      <c r="Q922" s="669" t="n"/>
      <c r="R922" s="669" t="n"/>
      <c r="S922" s="669" t="n"/>
      <c r="T922" s="669" t="n"/>
      <c r="U922" s="669" t="n"/>
      <c r="V922" s="669" t="n"/>
      <c r="W922" s="669" t="n"/>
      <c r="X922" s="669" t="n"/>
      <c r="Y922" s="669" t="n"/>
      <c r="Z922" s="669" t="n"/>
    </row>
    <row r="923">
      <c r="A923" s="669" t="n"/>
      <c r="B923" s="669" t="n"/>
      <c r="C923" s="669" t="n"/>
      <c r="D923" s="669" t="n"/>
      <c r="E923" s="669" t="n"/>
      <c r="F923" s="669" t="n"/>
      <c r="G923" s="669" t="n"/>
      <c r="H923" s="669" t="n"/>
      <c r="I923" s="669" t="n"/>
      <c r="J923" s="669" t="n"/>
      <c r="K923" s="669" t="n"/>
      <c r="L923" s="669" t="n"/>
      <c r="M923" s="669" t="n"/>
      <c r="N923" s="669" t="n"/>
      <c r="O923" s="669" t="n"/>
      <c r="P923" s="669" t="n"/>
      <c r="Q923" s="669" t="n"/>
      <c r="R923" s="669" t="n"/>
      <c r="S923" s="669" t="n"/>
      <c r="T923" s="669" t="n"/>
      <c r="U923" s="669" t="n"/>
      <c r="V923" s="669" t="n"/>
      <c r="W923" s="669" t="n"/>
      <c r="X923" s="669" t="n"/>
      <c r="Y923" s="669" t="n"/>
      <c r="Z923" s="669" t="n"/>
    </row>
    <row r="924">
      <c r="A924" s="669" t="n"/>
      <c r="B924" s="669" t="n"/>
      <c r="C924" s="669" t="n"/>
      <c r="D924" s="669" t="n"/>
      <c r="E924" s="669" t="n"/>
      <c r="F924" s="669" t="n"/>
      <c r="G924" s="669" t="n"/>
      <c r="H924" s="669" t="n"/>
      <c r="I924" s="669" t="n"/>
      <c r="J924" s="669" t="n"/>
      <c r="K924" s="669" t="n"/>
      <c r="L924" s="669" t="n"/>
      <c r="M924" s="669" t="n"/>
      <c r="N924" s="669" t="n"/>
      <c r="O924" s="669" t="n"/>
      <c r="P924" s="669" t="n"/>
      <c r="Q924" s="669" t="n"/>
      <c r="R924" s="669" t="n"/>
      <c r="S924" s="669" t="n"/>
      <c r="T924" s="669" t="n"/>
      <c r="U924" s="669" t="n"/>
      <c r="V924" s="669" t="n"/>
      <c r="W924" s="669" t="n"/>
      <c r="X924" s="669" t="n"/>
      <c r="Y924" s="669" t="n"/>
      <c r="Z924" s="669" t="n"/>
    </row>
    <row r="925">
      <c r="A925" s="669" t="n"/>
      <c r="B925" s="669" t="n"/>
      <c r="C925" s="669" t="n"/>
      <c r="D925" s="669" t="n"/>
      <c r="E925" s="669" t="n"/>
      <c r="F925" s="669" t="n"/>
      <c r="G925" s="669" t="n"/>
      <c r="H925" s="669" t="n"/>
      <c r="I925" s="669" t="n"/>
      <c r="J925" s="669" t="n"/>
      <c r="K925" s="669" t="n"/>
      <c r="L925" s="669" t="n"/>
      <c r="M925" s="669" t="n"/>
      <c r="N925" s="669" t="n"/>
      <c r="O925" s="669" t="n"/>
      <c r="P925" s="669" t="n"/>
      <c r="Q925" s="669" t="n"/>
      <c r="R925" s="669" t="n"/>
      <c r="S925" s="669" t="n"/>
      <c r="T925" s="669" t="n"/>
      <c r="U925" s="669" t="n"/>
      <c r="V925" s="669" t="n"/>
      <c r="W925" s="669" t="n"/>
      <c r="X925" s="669" t="n"/>
      <c r="Y925" s="669" t="n"/>
      <c r="Z925" s="669" t="n"/>
    </row>
    <row r="926">
      <c r="A926" s="669" t="n"/>
      <c r="B926" s="669" t="n"/>
      <c r="C926" s="669" t="n"/>
      <c r="D926" s="669" t="n"/>
      <c r="E926" s="669" t="n"/>
      <c r="F926" s="669" t="n"/>
      <c r="G926" s="669" t="n"/>
      <c r="H926" s="669" t="n"/>
      <c r="I926" s="669" t="n"/>
      <c r="J926" s="669" t="n"/>
      <c r="K926" s="669" t="n"/>
      <c r="L926" s="669" t="n"/>
      <c r="M926" s="669" t="n"/>
      <c r="N926" s="669" t="n"/>
      <c r="O926" s="669" t="n"/>
      <c r="P926" s="669" t="n"/>
      <c r="Q926" s="669" t="n"/>
      <c r="R926" s="669" t="n"/>
      <c r="S926" s="669" t="n"/>
      <c r="T926" s="669" t="n"/>
      <c r="U926" s="669" t="n"/>
      <c r="V926" s="669" t="n"/>
      <c r="W926" s="669" t="n"/>
      <c r="X926" s="669" t="n"/>
      <c r="Y926" s="669" t="n"/>
      <c r="Z926" s="669" t="n"/>
    </row>
    <row r="927">
      <c r="A927" s="669" t="n"/>
      <c r="B927" s="669" t="n"/>
      <c r="C927" s="669" t="n"/>
      <c r="D927" s="669" t="n"/>
      <c r="E927" s="669" t="n"/>
      <c r="F927" s="669" t="n"/>
      <c r="G927" s="669" t="n"/>
      <c r="H927" s="669" t="n"/>
      <c r="I927" s="669" t="n"/>
      <c r="J927" s="669" t="n"/>
      <c r="K927" s="669" t="n"/>
      <c r="L927" s="669" t="n"/>
      <c r="M927" s="669" t="n"/>
      <c r="N927" s="669" t="n"/>
      <c r="O927" s="669" t="n"/>
      <c r="P927" s="669" t="n"/>
      <c r="Q927" s="669" t="n"/>
      <c r="R927" s="669" t="n"/>
      <c r="S927" s="669" t="n"/>
      <c r="T927" s="669" t="n"/>
      <c r="U927" s="669" t="n"/>
      <c r="V927" s="669" t="n"/>
      <c r="W927" s="669" t="n"/>
      <c r="X927" s="669" t="n"/>
      <c r="Y927" s="669" t="n"/>
      <c r="Z927" s="669" t="n"/>
    </row>
    <row r="928">
      <c r="A928" s="669" t="n"/>
      <c r="B928" s="669" t="n"/>
      <c r="C928" s="669" t="n"/>
      <c r="D928" s="669" t="n"/>
      <c r="E928" s="669" t="n"/>
      <c r="F928" s="669" t="n"/>
      <c r="G928" s="669" t="n"/>
      <c r="H928" s="669" t="n"/>
      <c r="I928" s="669" t="n"/>
      <c r="J928" s="669" t="n"/>
      <c r="K928" s="669" t="n"/>
      <c r="L928" s="669" t="n"/>
      <c r="M928" s="669" t="n"/>
      <c r="N928" s="669" t="n"/>
      <c r="O928" s="669" t="n"/>
      <c r="P928" s="669" t="n"/>
      <c r="Q928" s="669" t="n"/>
      <c r="R928" s="669" t="n"/>
      <c r="S928" s="669" t="n"/>
      <c r="T928" s="669" t="n"/>
      <c r="U928" s="669" t="n"/>
      <c r="V928" s="669" t="n"/>
      <c r="W928" s="669" t="n"/>
      <c r="X928" s="669" t="n"/>
      <c r="Y928" s="669" t="n"/>
      <c r="Z928" s="669" t="n"/>
    </row>
    <row r="929">
      <c r="A929" s="669" t="n"/>
      <c r="B929" s="669" t="n"/>
      <c r="C929" s="669" t="n"/>
      <c r="D929" s="669" t="n"/>
      <c r="E929" s="669" t="n"/>
      <c r="F929" s="669" t="n"/>
      <c r="G929" s="669" t="n"/>
      <c r="H929" s="669" t="n"/>
      <c r="I929" s="669" t="n"/>
      <c r="J929" s="669" t="n"/>
      <c r="K929" s="669" t="n"/>
      <c r="L929" s="669" t="n"/>
      <c r="M929" s="669" t="n"/>
      <c r="N929" s="669" t="n"/>
      <c r="O929" s="669" t="n"/>
      <c r="P929" s="669" t="n"/>
      <c r="Q929" s="669" t="n"/>
      <c r="R929" s="669" t="n"/>
      <c r="S929" s="669" t="n"/>
      <c r="T929" s="669" t="n"/>
      <c r="U929" s="669" t="n"/>
      <c r="V929" s="669" t="n"/>
      <c r="W929" s="669" t="n"/>
      <c r="X929" s="669" t="n"/>
      <c r="Y929" s="669" t="n"/>
      <c r="Z929" s="669" t="n"/>
    </row>
    <row r="930">
      <c r="A930" s="669" t="n"/>
      <c r="B930" s="669" t="n"/>
      <c r="C930" s="669" t="n"/>
      <c r="D930" s="669" t="n"/>
      <c r="E930" s="669" t="n"/>
      <c r="F930" s="669" t="n"/>
      <c r="G930" s="669" t="n"/>
      <c r="H930" s="669" t="n"/>
      <c r="I930" s="669" t="n"/>
      <c r="J930" s="669" t="n"/>
      <c r="K930" s="669" t="n"/>
      <c r="L930" s="669" t="n"/>
      <c r="M930" s="669" t="n"/>
      <c r="N930" s="669" t="n"/>
      <c r="O930" s="669" t="n"/>
      <c r="P930" s="669" t="n"/>
      <c r="Q930" s="669" t="n"/>
      <c r="R930" s="669" t="n"/>
      <c r="S930" s="669" t="n"/>
      <c r="T930" s="669" t="n"/>
      <c r="U930" s="669" t="n"/>
      <c r="V930" s="669" t="n"/>
      <c r="W930" s="669" t="n"/>
      <c r="X930" s="669" t="n"/>
      <c r="Y930" s="669" t="n"/>
      <c r="Z930" s="669" t="n"/>
    </row>
    <row r="931">
      <c r="A931" s="669" t="n"/>
      <c r="B931" s="669" t="n"/>
      <c r="C931" s="669" t="n"/>
      <c r="D931" s="669" t="n"/>
      <c r="E931" s="669" t="n"/>
      <c r="F931" s="669" t="n"/>
      <c r="G931" s="669" t="n"/>
      <c r="H931" s="669" t="n"/>
      <c r="I931" s="669" t="n"/>
      <c r="J931" s="669" t="n"/>
      <c r="K931" s="669" t="n"/>
      <c r="L931" s="669" t="n"/>
      <c r="M931" s="669" t="n"/>
      <c r="N931" s="669" t="n"/>
      <c r="O931" s="669" t="n"/>
      <c r="P931" s="669" t="n"/>
      <c r="Q931" s="669" t="n"/>
      <c r="R931" s="669" t="n"/>
      <c r="S931" s="669" t="n"/>
      <c r="T931" s="669" t="n"/>
      <c r="U931" s="669" t="n"/>
      <c r="V931" s="669" t="n"/>
      <c r="W931" s="669" t="n"/>
      <c r="X931" s="669" t="n"/>
      <c r="Y931" s="669" t="n"/>
      <c r="Z931" s="669" t="n"/>
    </row>
    <row r="932">
      <c r="A932" s="669" t="n"/>
      <c r="B932" s="669" t="n"/>
      <c r="C932" s="669" t="n"/>
      <c r="D932" s="669" t="n"/>
      <c r="E932" s="669" t="n"/>
      <c r="F932" s="669" t="n"/>
      <c r="G932" s="669" t="n"/>
      <c r="H932" s="669" t="n"/>
      <c r="I932" s="669" t="n"/>
      <c r="J932" s="669" t="n"/>
      <c r="K932" s="669" t="n"/>
      <c r="L932" s="669" t="n"/>
      <c r="M932" s="669" t="n"/>
      <c r="N932" s="669" t="n"/>
      <c r="O932" s="669" t="n"/>
      <c r="P932" s="669" t="n"/>
      <c r="Q932" s="669" t="n"/>
      <c r="R932" s="669" t="n"/>
      <c r="S932" s="669" t="n"/>
      <c r="T932" s="669" t="n"/>
      <c r="U932" s="669" t="n"/>
      <c r="V932" s="669" t="n"/>
      <c r="W932" s="669" t="n"/>
      <c r="X932" s="669" t="n"/>
      <c r="Y932" s="669" t="n"/>
      <c r="Z932" s="669" t="n"/>
    </row>
    <row r="933">
      <c r="A933" s="669" t="n"/>
      <c r="B933" s="669" t="n"/>
      <c r="C933" s="669" t="n"/>
      <c r="D933" s="669" t="n"/>
      <c r="E933" s="669" t="n"/>
      <c r="F933" s="669" t="n"/>
      <c r="G933" s="669" t="n"/>
      <c r="H933" s="669" t="n"/>
      <c r="I933" s="669" t="n"/>
      <c r="J933" s="669" t="n"/>
      <c r="K933" s="669" t="n"/>
      <c r="L933" s="669" t="n"/>
      <c r="M933" s="669" t="n"/>
      <c r="N933" s="669" t="n"/>
      <c r="O933" s="669" t="n"/>
      <c r="P933" s="669" t="n"/>
      <c r="Q933" s="669" t="n"/>
      <c r="R933" s="669" t="n"/>
      <c r="S933" s="669" t="n"/>
      <c r="T933" s="669" t="n"/>
      <c r="U933" s="669" t="n"/>
      <c r="V933" s="669" t="n"/>
      <c r="W933" s="669" t="n"/>
      <c r="X933" s="669" t="n"/>
      <c r="Y933" s="669" t="n"/>
      <c r="Z933" s="669" t="n"/>
    </row>
    <row r="934">
      <c r="A934" s="669" t="n"/>
      <c r="B934" s="669" t="n"/>
      <c r="C934" s="669" t="n"/>
      <c r="D934" s="669" t="n"/>
      <c r="E934" s="669" t="n"/>
      <c r="F934" s="669" t="n"/>
      <c r="G934" s="669" t="n"/>
      <c r="H934" s="669" t="n"/>
      <c r="I934" s="669" t="n"/>
      <c r="J934" s="669" t="n"/>
      <c r="K934" s="669" t="n"/>
      <c r="L934" s="669" t="n"/>
      <c r="M934" s="669" t="n"/>
      <c r="N934" s="669" t="n"/>
      <c r="O934" s="669" t="n"/>
      <c r="P934" s="669" t="n"/>
      <c r="Q934" s="669" t="n"/>
      <c r="R934" s="669" t="n"/>
      <c r="S934" s="669" t="n"/>
      <c r="T934" s="669" t="n"/>
      <c r="U934" s="669" t="n"/>
      <c r="V934" s="669" t="n"/>
      <c r="W934" s="669" t="n"/>
      <c r="X934" s="669" t="n"/>
      <c r="Y934" s="669" t="n"/>
      <c r="Z934" s="669" t="n"/>
    </row>
    <row r="935">
      <c r="A935" s="669" t="n"/>
      <c r="B935" s="669" t="n"/>
      <c r="C935" s="669" t="n"/>
      <c r="D935" s="669" t="n"/>
      <c r="E935" s="669" t="n"/>
      <c r="F935" s="669" t="n"/>
      <c r="G935" s="669" t="n"/>
      <c r="H935" s="669" t="n"/>
      <c r="I935" s="669" t="n"/>
      <c r="J935" s="669" t="n"/>
      <c r="K935" s="669" t="n"/>
      <c r="L935" s="669" t="n"/>
      <c r="M935" s="669" t="n"/>
      <c r="N935" s="669" t="n"/>
      <c r="O935" s="669" t="n"/>
      <c r="P935" s="669" t="n"/>
      <c r="Q935" s="669" t="n"/>
      <c r="R935" s="669" t="n"/>
      <c r="S935" s="669" t="n"/>
      <c r="T935" s="669" t="n"/>
      <c r="U935" s="669" t="n"/>
      <c r="V935" s="669" t="n"/>
      <c r="W935" s="669" t="n"/>
      <c r="X935" s="669" t="n"/>
      <c r="Y935" s="669" t="n"/>
      <c r="Z935" s="669" t="n"/>
    </row>
    <row r="936">
      <c r="A936" s="669" t="n"/>
      <c r="B936" s="669" t="n"/>
      <c r="C936" s="669" t="n"/>
      <c r="D936" s="669" t="n"/>
      <c r="E936" s="669" t="n"/>
      <c r="F936" s="669" t="n"/>
      <c r="G936" s="669" t="n"/>
      <c r="H936" s="669" t="n"/>
      <c r="I936" s="669" t="n"/>
      <c r="J936" s="669" t="n"/>
      <c r="K936" s="669" t="n"/>
      <c r="L936" s="669" t="n"/>
      <c r="M936" s="669" t="n"/>
      <c r="N936" s="669" t="n"/>
      <c r="O936" s="669" t="n"/>
      <c r="P936" s="669" t="n"/>
      <c r="Q936" s="669" t="n"/>
      <c r="R936" s="669" t="n"/>
      <c r="S936" s="669" t="n"/>
      <c r="T936" s="669" t="n"/>
      <c r="U936" s="669" t="n"/>
      <c r="V936" s="669" t="n"/>
      <c r="W936" s="669" t="n"/>
      <c r="X936" s="669" t="n"/>
      <c r="Y936" s="669" t="n"/>
      <c r="Z936" s="669" t="n"/>
    </row>
    <row r="937">
      <c r="A937" s="669" t="n"/>
      <c r="B937" s="669" t="n"/>
      <c r="C937" s="669" t="n"/>
      <c r="D937" s="669" t="n"/>
      <c r="E937" s="669" t="n"/>
      <c r="F937" s="669" t="n"/>
      <c r="G937" s="669" t="n"/>
      <c r="H937" s="669" t="n"/>
      <c r="I937" s="669" t="n"/>
      <c r="J937" s="669" t="n"/>
      <c r="K937" s="669" t="n"/>
      <c r="L937" s="669" t="n"/>
      <c r="M937" s="669" t="n"/>
      <c r="N937" s="669" t="n"/>
      <c r="O937" s="669" t="n"/>
      <c r="P937" s="669" t="n"/>
      <c r="Q937" s="669" t="n"/>
      <c r="R937" s="669" t="n"/>
      <c r="S937" s="669" t="n"/>
      <c r="T937" s="669" t="n"/>
      <c r="U937" s="669" t="n"/>
      <c r="V937" s="669" t="n"/>
      <c r="W937" s="669" t="n"/>
      <c r="X937" s="669" t="n"/>
      <c r="Y937" s="669" t="n"/>
      <c r="Z937" s="669" t="n"/>
    </row>
    <row r="938">
      <c r="A938" s="669" t="n"/>
      <c r="B938" s="669" t="n"/>
      <c r="C938" s="669" t="n"/>
      <c r="D938" s="669" t="n"/>
      <c r="E938" s="669" t="n"/>
      <c r="F938" s="669" t="n"/>
      <c r="G938" s="669" t="n"/>
      <c r="H938" s="669" t="n"/>
      <c r="I938" s="669" t="n"/>
      <c r="J938" s="669" t="n"/>
      <c r="K938" s="669" t="n"/>
      <c r="L938" s="669" t="n"/>
      <c r="M938" s="669" t="n"/>
      <c r="N938" s="669" t="n"/>
      <c r="O938" s="669" t="n"/>
      <c r="P938" s="669" t="n"/>
      <c r="Q938" s="669" t="n"/>
      <c r="R938" s="669" t="n"/>
      <c r="S938" s="669" t="n"/>
      <c r="T938" s="669" t="n"/>
      <c r="U938" s="669" t="n"/>
      <c r="V938" s="669" t="n"/>
      <c r="W938" s="669" t="n"/>
      <c r="X938" s="669" t="n"/>
      <c r="Y938" s="669" t="n"/>
      <c r="Z938" s="669" t="n"/>
    </row>
    <row r="939">
      <c r="A939" s="669" t="n"/>
      <c r="B939" s="669" t="n"/>
      <c r="C939" s="669" t="n"/>
      <c r="D939" s="669" t="n"/>
      <c r="E939" s="669" t="n"/>
      <c r="F939" s="669" t="n"/>
      <c r="G939" s="669" t="n"/>
      <c r="H939" s="669" t="n"/>
      <c r="I939" s="669" t="n"/>
      <c r="J939" s="669" t="n"/>
      <c r="K939" s="669" t="n"/>
      <c r="L939" s="669" t="n"/>
      <c r="M939" s="669" t="n"/>
      <c r="N939" s="669" t="n"/>
      <c r="O939" s="669" t="n"/>
      <c r="P939" s="669" t="n"/>
      <c r="Q939" s="669" t="n"/>
      <c r="R939" s="669" t="n"/>
      <c r="S939" s="669" t="n"/>
      <c r="T939" s="669" t="n"/>
      <c r="U939" s="669" t="n"/>
      <c r="V939" s="669" t="n"/>
      <c r="W939" s="669" t="n"/>
      <c r="X939" s="669" t="n"/>
      <c r="Y939" s="669" t="n"/>
      <c r="Z939" s="669" t="n"/>
    </row>
    <row r="940">
      <c r="A940" s="669" t="n"/>
      <c r="B940" s="669" t="n"/>
      <c r="C940" s="669" t="n"/>
      <c r="D940" s="669" t="n"/>
      <c r="E940" s="669" t="n"/>
      <c r="F940" s="669" t="n"/>
      <c r="G940" s="669" t="n"/>
      <c r="H940" s="669" t="n"/>
      <c r="I940" s="669" t="n"/>
      <c r="J940" s="669" t="n"/>
      <c r="K940" s="669" t="n"/>
      <c r="L940" s="669" t="n"/>
      <c r="M940" s="669" t="n"/>
      <c r="N940" s="669" t="n"/>
      <c r="O940" s="669" t="n"/>
      <c r="P940" s="669" t="n"/>
      <c r="Q940" s="669" t="n"/>
      <c r="R940" s="669" t="n"/>
      <c r="S940" s="669" t="n"/>
      <c r="T940" s="669" t="n"/>
      <c r="U940" s="669" t="n"/>
      <c r="V940" s="669" t="n"/>
      <c r="W940" s="669" t="n"/>
      <c r="X940" s="669" t="n"/>
      <c r="Y940" s="669" t="n"/>
      <c r="Z940" s="669" t="n"/>
    </row>
    <row r="941">
      <c r="A941" s="669" t="n"/>
      <c r="B941" s="669" t="n"/>
      <c r="C941" s="669" t="n"/>
      <c r="D941" s="669" t="n"/>
      <c r="E941" s="669" t="n"/>
      <c r="F941" s="669" t="n"/>
      <c r="G941" s="669" t="n"/>
      <c r="H941" s="669" t="n"/>
      <c r="I941" s="669" t="n"/>
      <c r="J941" s="669" t="n"/>
      <c r="K941" s="669" t="n"/>
      <c r="L941" s="669" t="n"/>
      <c r="M941" s="669" t="n"/>
      <c r="N941" s="669" t="n"/>
      <c r="O941" s="669" t="n"/>
      <c r="P941" s="669" t="n"/>
      <c r="Q941" s="669" t="n"/>
      <c r="R941" s="669" t="n"/>
      <c r="S941" s="669" t="n"/>
      <c r="T941" s="669" t="n"/>
      <c r="U941" s="669" t="n"/>
      <c r="V941" s="669" t="n"/>
      <c r="W941" s="669" t="n"/>
      <c r="X941" s="669" t="n"/>
      <c r="Y941" s="669" t="n"/>
      <c r="Z941" s="669" t="n"/>
    </row>
    <row r="942">
      <c r="A942" s="669" t="n"/>
      <c r="B942" s="669" t="n"/>
      <c r="C942" s="669" t="n"/>
      <c r="D942" s="669" t="n"/>
      <c r="E942" s="669" t="n"/>
      <c r="F942" s="669" t="n"/>
      <c r="G942" s="669" t="n"/>
      <c r="H942" s="669" t="n"/>
      <c r="I942" s="669" t="n"/>
      <c r="J942" s="669" t="n"/>
      <c r="K942" s="669" t="n"/>
      <c r="L942" s="669" t="n"/>
      <c r="M942" s="669" t="n"/>
      <c r="N942" s="669" t="n"/>
      <c r="O942" s="669" t="n"/>
      <c r="P942" s="669" t="n"/>
      <c r="Q942" s="669" t="n"/>
      <c r="R942" s="669" t="n"/>
      <c r="S942" s="669" t="n"/>
      <c r="T942" s="669" t="n"/>
      <c r="U942" s="669" t="n"/>
      <c r="V942" s="669" t="n"/>
      <c r="W942" s="669" t="n"/>
      <c r="X942" s="669" t="n"/>
      <c r="Y942" s="669" t="n"/>
      <c r="Z942" s="669" t="n"/>
    </row>
    <row r="943">
      <c r="A943" s="669" t="n"/>
      <c r="B943" s="669" t="n"/>
      <c r="C943" s="669" t="n"/>
      <c r="D943" s="669" t="n"/>
      <c r="E943" s="669" t="n"/>
      <c r="F943" s="669" t="n"/>
      <c r="G943" s="669" t="n"/>
      <c r="H943" s="669" t="n"/>
      <c r="I943" s="669" t="n"/>
      <c r="J943" s="669" t="n"/>
      <c r="K943" s="669" t="n"/>
      <c r="L943" s="669" t="n"/>
      <c r="M943" s="669" t="n"/>
      <c r="N943" s="669" t="n"/>
      <c r="O943" s="669" t="n"/>
      <c r="P943" s="669" t="n"/>
      <c r="Q943" s="669" t="n"/>
      <c r="R943" s="669" t="n"/>
      <c r="S943" s="669" t="n"/>
      <c r="T943" s="669" t="n"/>
      <c r="U943" s="669" t="n"/>
      <c r="V943" s="669" t="n"/>
      <c r="W943" s="669" t="n"/>
      <c r="X943" s="669" t="n"/>
      <c r="Y943" s="669" t="n"/>
      <c r="Z943" s="669" t="n"/>
    </row>
    <row r="944">
      <c r="A944" s="669" t="n"/>
      <c r="B944" s="669" t="n"/>
      <c r="C944" s="669" t="n"/>
      <c r="D944" s="669" t="n"/>
      <c r="E944" s="669" t="n"/>
      <c r="F944" s="669" t="n"/>
      <c r="G944" s="669" t="n"/>
      <c r="H944" s="669" t="n"/>
      <c r="I944" s="669" t="n"/>
      <c r="J944" s="669" t="n"/>
      <c r="K944" s="669" t="n"/>
      <c r="L944" s="669" t="n"/>
      <c r="M944" s="669" t="n"/>
      <c r="N944" s="669" t="n"/>
      <c r="O944" s="669" t="n"/>
      <c r="P944" s="669" t="n"/>
      <c r="Q944" s="669" t="n"/>
      <c r="R944" s="669" t="n"/>
      <c r="S944" s="669" t="n"/>
      <c r="T944" s="669" t="n"/>
      <c r="U944" s="669" t="n"/>
      <c r="V944" s="669" t="n"/>
      <c r="W944" s="669" t="n"/>
      <c r="X944" s="669" t="n"/>
      <c r="Y944" s="669" t="n"/>
      <c r="Z944" s="669" t="n"/>
    </row>
    <row r="945">
      <c r="A945" s="669" t="n"/>
      <c r="B945" s="669" t="n"/>
      <c r="C945" s="669" t="n"/>
      <c r="D945" s="669" t="n"/>
      <c r="E945" s="669" t="n"/>
      <c r="F945" s="669" t="n"/>
      <c r="G945" s="669" t="n"/>
      <c r="H945" s="669" t="n"/>
      <c r="I945" s="669" t="n"/>
      <c r="J945" s="669" t="n"/>
      <c r="K945" s="669" t="n"/>
      <c r="L945" s="669" t="n"/>
      <c r="M945" s="669" t="n"/>
      <c r="N945" s="669" t="n"/>
      <c r="O945" s="669" t="n"/>
      <c r="P945" s="669" t="n"/>
      <c r="Q945" s="669" t="n"/>
      <c r="R945" s="669" t="n"/>
      <c r="S945" s="669" t="n"/>
      <c r="T945" s="669" t="n"/>
      <c r="U945" s="669" t="n"/>
      <c r="V945" s="669" t="n"/>
      <c r="W945" s="669" t="n"/>
      <c r="X945" s="669" t="n"/>
      <c r="Y945" s="669" t="n"/>
      <c r="Z945" s="669" t="n"/>
    </row>
    <row r="946">
      <c r="A946" s="669" t="n"/>
      <c r="B946" s="669" t="n"/>
      <c r="C946" s="669" t="n"/>
      <c r="D946" s="669" t="n"/>
      <c r="E946" s="669" t="n"/>
      <c r="F946" s="669" t="n"/>
      <c r="G946" s="669" t="n"/>
      <c r="H946" s="669" t="n"/>
      <c r="I946" s="669" t="n"/>
      <c r="J946" s="669" t="n"/>
      <c r="K946" s="669" t="n"/>
      <c r="L946" s="669" t="n"/>
      <c r="M946" s="669" t="n"/>
      <c r="N946" s="669" t="n"/>
      <c r="O946" s="669" t="n"/>
      <c r="P946" s="669" t="n"/>
      <c r="Q946" s="669" t="n"/>
      <c r="R946" s="669" t="n"/>
      <c r="S946" s="669" t="n"/>
      <c r="T946" s="669" t="n"/>
      <c r="U946" s="669" t="n"/>
      <c r="V946" s="669" t="n"/>
      <c r="W946" s="669" t="n"/>
      <c r="X946" s="669" t="n"/>
      <c r="Y946" s="669" t="n"/>
      <c r="Z946" s="669" t="n"/>
    </row>
    <row r="947">
      <c r="A947" s="669" t="n"/>
      <c r="B947" s="669" t="n"/>
      <c r="C947" s="669" t="n"/>
      <c r="D947" s="669" t="n"/>
      <c r="E947" s="669" t="n"/>
      <c r="F947" s="669" t="n"/>
      <c r="G947" s="669" t="n"/>
      <c r="H947" s="669" t="n"/>
      <c r="I947" s="669" t="n"/>
      <c r="J947" s="669" t="n"/>
      <c r="K947" s="669" t="n"/>
      <c r="L947" s="669" t="n"/>
      <c r="M947" s="669" t="n"/>
      <c r="N947" s="669" t="n"/>
      <c r="O947" s="669" t="n"/>
      <c r="P947" s="669" t="n"/>
      <c r="Q947" s="669" t="n"/>
      <c r="R947" s="669" t="n"/>
      <c r="S947" s="669" t="n"/>
      <c r="T947" s="669" t="n"/>
      <c r="U947" s="669" t="n"/>
      <c r="V947" s="669" t="n"/>
      <c r="W947" s="669" t="n"/>
      <c r="X947" s="669" t="n"/>
      <c r="Y947" s="669" t="n"/>
      <c r="Z947" s="669" t="n"/>
    </row>
    <row r="948">
      <c r="A948" s="669" t="n"/>
      <c r="B948" s="669" t="n"/>
      <c r="C948" s="669" t="n"/>
      <c r="D948" s="669" t="n"/>
      <c r="E948" s="669" t="n"/>
      <c r="F948" s="669" t="n"/>
      <c r="G948" s="669" t="n"/>
      <c r="H948" s="669" t="n"/>
      <c r="I948" s="669" t="n"/>
      <c r="J948" s="669" t="n"/>
      <c r="K948" s="669" t="n"/>
      <c r="L948" s="669" t="n"/>
      <c r="M948" s="669" t="n"/>
      <c r="N948" s="669" t="n"/>
      <c r="O948" s="669" t="n"/>
      <c r="P948" s="669" t="n"/>
      <c r="Q948" s="669" t="n"/>
      <c r="R948" s="669" t="n"/>
      <c r="S948" s="669" t="n"/>
      <c r="T948" s="669" t="n"/>
      <c r="U948" s="669" t="n"/>
      <c r="V948" s="669" t="n"/>
      <c r="W948" s="669" t="n"/>
      <c r="X948" s="669" t="n"/>
      <c r="Y948" s="669" t="n"/>
      <c r="Z948" s="669" t="n"/>
    </row>
    <row r="949">
      <c r="A949" s="669" t="n"/>
      <c r="B949" s="669" t="n"/>
      <c r="C949" s="669" t="n"/>
      <c r="D949" s="669" t="n"/>
      <c r="E949" s="669" t="n"/>
      <c r="F949" s="669" t="n"/>
      <c r="G949" s="669" t="n"/>
      <c r="H949" s="669" t="n"/>
      <c r="I949" s="669" t="n"/>
      <c r="J949" s="669" t="n"/>
      <c r="K949" s="669" t="n"/>
      <c r="L949" s="669" t="n"/>
      <c r="M949" s="669" t="n"/>
      <c r="N949" s="669" t="n"/>
      <c r="O949" s="669" t="n"/>
      <c r="P949" s="669" t="n"/>
      <c r="Q949" s="669" t="n"/>
      <c r="R949" s="669" t="n"/>
      <c r="S949" s="669" t="n"/>
      <c r="T949" s="669" t="n"/>
      <c r="U949" s="669" t="n"/>
      <c r="V949" s="669" t="n"/>
      <c r="W949" s="669" t="n"/>
      <c r="X949" s="669" t="n"/>
      <c r="Y949" s="669" t="n"/>
      <c r="Z949" s="669" t="n"/>
    </row>
    <row r="950">
      <c r="A950" s="669" t="n"/>
      <c r="B950" s="669" t="n"/>
      <c r="C950" s="669" t="n"/>
      <c r="D950" s="669" t="n"/>
      <c r="E950" s="669" t="n"/>
      <c r="F950" s="669" t="n"/>
      <c r="G950" s="669" t="n"/>
      <c r="H950" s="669" t="n"/>
      <c r="I950" s="669" t="n"/>
      <c r="J950" s="669" t="n"/>
      <c r="K950" s="669" t="n"/>
      <c r="L950" s="669" t="n"/>
      <c r="M950" s="669" t="n"/>
      <c r="N950" s="669" t="n"/>
      <c r="O950" s="669" t="n"/>
      <c r="P950" s="669" t="n"/>
      <c r="Q950" s="669" t="n"/>
      <c r="R950" s="669" t="n"/>
      <c r="S950" s="669" t="n"/>
      <c r="T950" s="669" t="n"/>
      <c r="U950" s="669" t="n"/>
      <c r="V950" s="669" t="n"/>
      <c r="W950" s="669" t="n"/>
      <c r="X950" s="669" t="n"/>
      <c r="Y950" s="669" t="n"/>
      <c r="Z950" s="669" t="n"/>
    </row>
    <row r="951">
      <c r="A951" s="669" t="n"/>
      <c r="B951" s="669" t="n"/>
      <c r="C951" s="669" t="n"/>
      <c r="D951" s="669" t="n"/>
      <c r="E951" s="669" t="n"/>
      <c r="F951" s="669" t="n"/>
      <c r="G951" s="669" t="n"/>
      <c r="H951" s="669" t="n"/>
      <c r="I951" s="669" t="n"/>
      <c r="J951" s="669" t="n"/>
      <c r="K951" s="669" t="n"/>
      <c r="L951" s="669" t="n"/>
      <c r="M951" s="669" t="n"/>
      <c r="N951" s="669" t="n"/>
      <c r="O951" s="669" t="n"/>
      <c r="P951" s="669" t="n"/>
      <c r="Q951" s="669" t="n"/>
      <c r="R951" s="669" t="n"/>
      <c r="S951" s="669" t="n"/>
      <c r="T951" s="669" t="n"/>
      <c r="U951" s="669" t="n"/>
      <c r="V951" s="669" t="n"/>
      <c r="W951" s="669" t="n"/>
      <c r="X951" s="669" t="n"/>
      <c r="Y951" s="669" t="n"/>
      <c r="Z951" s="669" t="n"/>
    </row>
    <row r="952">
      <c r="A952" s="669" t="n"/>
      <c r="B952" s="669" t="n"/>
      <c r="C952" s="669" t="n"/>
      <c r="D952" s="669" t="n"/>
      <c r="E952" s="669" t="n"/>
      <c r="F952" s="669" t="n"/>
      <c r="G952" s="669" t="n"/>
      <c r="H952" s="669" t="n"/>
      <c r="I952" s="669" t="n"/>
      <c r="J952" s="669" t="n"/>
      <c r="K952" s="669" t="n"/>
      <c r="L952" s="669" t="n"/>
      <c r="M952" s="669" t="n"/>
      <c r="N952" s="669" t="n"/>
      <c r="O952" s="669" t="n"/>
      <c r="P952" s="669" t="n"/>
      <c r="Q952" s="669" t="n"/>
      <c r="R952" s="669" t="n"/>
      <c r="S952" s="669" t="n"/>
      <c r="T952" s="669" t="n"/>
      <c r="U952" s="669" t="n"/>
      <c r="V952" s="669" t="n"/>
      <c r="W952" s="669" t="n"/>
      <c r="X952" s="669" t="n"/>
      <c r="Y952" s="669" t="n"/>
      <c r="Z952" s="669" t="n"/>
    </row>
    <row r="953">
      <c r="A953" s="669" t="n"/>
      <c r="B953" s="669" t="n"/>
      <c r="C953" s="669" t="n"/>
      <c r="D953" s="669" t="n"/>
      <c r="E953" s="669" t="n"/>
      <c r="F953" s="669" t="n"/>
      <c r="G953" s="669" t="n"/>
      <c r="H953" s="669" t="n"/>
      <c r="I953" s="669" t="n"/>
      <c r="J953" s="669" t="n"/>
      <c r="K953" s="669" t="n"/>
      <c r="L953" s="669" t="n"/>
      <c r="M953" s="669" t="n"/>
      <c r="N953" s="669" t="n"/>
      <c r="O953" s="669" t="n"/>
      <c r="P953" s="669" t="n"/>
      <c r="Q953" s="669" t="n"/>
      <c r="R953" s="669" t="n"/>
      <c r="S953" s="669" t="n"/>
      <c r="T953" s="669" t="n"/>
      <c r="U953" s="669" t="n"/>
      <c r="V953" s="669" t="n"/>
      <c r="W953" s="669" t="n"/>
      <c r="X953" s="669" t="n"/>
      <c r="Y953" s="669" t="n"/>
      <c r="Z953" s="669" t="n"/>
    </row>
    <row r="954">
      <c r="A954" s="669" t="n"/>
      <c r="B954" s="669" t="n"/>
      <c r="C954" s="669" t="n"/>
      <c r="D954" s="669" t="n"/>
      <c r="E954" s="669" t="n"/>
      <c r="F954" s="669" t="n"/>
      <c r="G954" s="669" t="n"/>
      <c r="H954" s="669" t="n"/>
      <c r="I954" s="669" t="n"/>
      <c r="J954" s="669" t="n"/>
      <c r="K954" s="669" t="n"/>
      <c r="L954" s="669" t="n"/>
      <c r="M954" s="669" t="n"/>
      <c r="N954" s="669" t="n"/>
      <c r="O954" s="669" t="n"/>
      <c r="P954" s="669" t="n"/>
      <c r="Q954" s="669" t="n"/>
      <c r="R954" s="669" t="n"/>
      <c r="S954" s="669" t="n"/>
      <c r="T954" s="669" t="n"/>
      <c r="U954" s="669" t="n"/>
      <c r="V954" s="669" t="n"/>
      <c r="W954" s="669" t="n"/>
      <c r="X954" s="669" t="n"/>
      <c r="Y954" s="669" t="n"/>
      <c r="Z954" s="669" t="n"/>
    </row>
    <row r="955">
      <c r="A955" s="669" t="n"/>
      <c r="B955" s="669" t="n"/>
      <c r="C955" s="669" t="n"/>
      <c r="D955" s="669" t="n"/>
      <c r="E955" s="669" t="n"/>
      <c r="F955" s="669" t="n"/>
      <c r="G955" s="669" t="n"/>
      <c r="H955" s="669" t="n"/>
      <c r="I955" s="669" t="n"/>
      <c r="J955" s="669" t="n"/>
      <c r="K955" s="669" t="n"/>
      <c r="L955" s="669" t="n"/>
      <c r="M955" s="669" t="n"/>
      <c r="N955" s="669" t="n"/>
      <c r="O955" s="669" t="n"/>
      <c r="P955" s="669" t="n"/>
      <c r="Q955" s="669" t="n"/>
      <c r="R955" s="669" t="n"/>
      <c r="S955" s="669" t="n"/>
      <c r="T955" s="669" t="n"/>
      <c r="U955" s="669" t="n"/>
      <c r="V955" s="669" t="n"/>
      <c r="W955" s="669" t="n"/>
      <c r="X955" s="669" t="n"/>
      <c r="Y955" s="669" t="n"/>
      <c r="Z955" s="669" t="n"/>
    </row>
    <row r="956">
      <c r="A956" s="669" t="n"/>
      <c r="B956" s="669" t="n"/>
      <c r="C956" s="669" t="n"/>
      <c r="D956" s="669" t="n"/>
      <c r="E956" s="669" t="n"/>
      <c r="F956" s="669" t="n"/>
      <c r="G956" s="669" t="n"/>
      <c r="H956" s="669" t="n"/>
      <c r="I956" s="669" t="n"/>
      <c r="J956" s="669" t="n"/>
      <c r="K956" s="669" t="n"/>
      <c r="L956" s="669" t="n"/>
      <c r="M956" s="669" t="n"/>
      <c r="N956" s="669" t="n"/>
      <c r="O956" s="669" t="n"/>
      <c r="P956" s="669" t="n"/>
      <c r="Q956" s="669" t="n"/>
      <c r="R956" s="669" t="n"/>
      <c r="S956" s="669" t="n"/>
      <c r="T956" s="669" t="n"/>
      <c r="U956" s="669" t="n"/>
      <c r="V956" s="669" t="n"/>
      <c r="W956" s="669" t="n"/>
      <c r="X956" s="669" t="n"/>
      <c r="Y956" s="669" t="n"/>
      <c r="Z956" s="669" t="n"/>
    </row>
    <row r="957">
      <c r="A957" s="669" t="n"/>
      <c r="B957" s="669" t="n"/>
      <c r="C957" s="669" t="n"/>
      <c r="D957" s="669" t="n"/>
      <c r="E957" s="669" t="n"/>
      <c r="F957" s="669" t="n"/>
      <c r="G957" s="669" t="n"/>
      <c r="H957" s="669" t="n"/>
      <c r="I957" s="669" t="n"/>
      <c r="J957" s="669" t="n"/>
      <c r="K957" s="669" t="n"/>
      <c r="L957" s="669" t="n"/>
      <c r="M957" s="669" t="n"/>
      <c r="N957" s="669" t="n"/>
      <c r="O957" s="669" t="n"/>
      <c r="P957" s="669" t="n"/>
      <c r="Q957" s="669" t="n"/>
      <c r="R957" s="669" t="n"/>
      <c r="S957" s="669" t="n"/>
      <c r="T957" s="669" t="n"/>
      <c r="U957" s="669" t="n"/>
      <c r="V957" s="669" t="n"/>
      <c r="W957" s="669" t="n"/>
      <c r="X957" s="669" t="n"/>
      <c r="Y957" s="669" t="n"/>
      <c r="Z957" s="669" t="n"/>
    </row>
    <row r="958">
      <c r="A958" s="669" t="n"/>
      <c r="B958" s="669" t="n"/>
      <c r="C958" s="669" t="n"/>
      <c r="D958" s="669" t="n"/>
      <c r="E958" s="669" t="n"/>
      <c r="F958" s="669" t="n"/>
      <c r="G958" s="669" t="n"/>
      <c r="H958" s="669" t="n"/>
      <c r="I958" s="669" t="n"/>
      <c r="J958" s="669" t="n"/>
      <c r="K958" s="669" t="n"/>
      <c r="L958" s="669" t="n"/>
      <c r="M958" s="669" t="n"/>
      <c r="N958" s="669" t="n"/>
      <c r="O958" s="669" t="n"/>
      <c r="P958" s="669" t="n"/>
      <c r="Q958" s="669" t="n"/>
      <c r="R958" s="669" t="n"/>
      <c r="S958" s="669" t="n"/>
      <c r="T958" s="669" t="n"/>
      <c r="U958" s="669" t="n"/>
      <c r="V958" s="669" t="n"/>
      <c r="W958" s="669" t="n"/>
      <c r="X958" s="669" t="n"/>
      <c r="Y958" s="669" t="n"/>
      <c r="Z958" s="669" t="n"/>
    </row>
    <row r="959">
      <c r="A959" s="669" t="n"/>
      <c r="B959" s="669" t="n"/>
      <c r="C959" s="669" t="n"/>
      <c r="D959" s="669" t="n"/>
      <c r="E959" s="669" t="n"/>
      <c r="F959" s="669" t="n"/>
      <c r="G959" s="669" t="n"/>
      <c r="H959" s="669" t="n"/>
      <c r="I959" s="669" t="n"/>
      <c r="J959" s="669" t="n"/>
      <c r="K959" s="669" t="n"/>
      <c r="L959" s="669" t="n"/>
      <c r="M959" s="669" t="n"/>
      <c r="N959" s="669" t="n"/>
      <c r="O959" s="669" t="n"/>
      <c r="P959" s="669" t="n"/>
      <c r="Q959" s="669" t="n"/>
      <c r="R959" s="669" t="n"/>
      <c r="S959" s="669" t="n"/>
      <c r="T959" s="669" t="n"/>
      <c r="U959" s="669" t="n"/>
      <c r="V959" s="669" t="n"/>
      <c r="W959" s="669" t="n"/>
      <c r="X959" s="669" t="n"/>
      <c r="Y959" s="669" t="n"/>
      <c r="Z959" s="669" t="n"/>
    </row>
    <row r="960">
      <c r="A960" s="669" t="n"/>
      <c r="B960" s="669" t="n"/>
      <c r="C960" s="669" t="n"/>
      <c r="D960" s="669" t="n"/>
      <c r="E960" s="669" t="n"/>
      <c r="F960" s="669" t="n"/>
      <c r="G960" s="669" t="n"/>
      <c r="H960" s="669" t="n"/>
      <c r="I960" s="669" t="n"/>
      <c r="J960" s="669" t="n"/>
      <c r="K960" s="669" t="n"/>
      <c r="L960" s="669" t="n"/>
      <c r="M960" s="669" t="n"/>
      <c r="N960" s="669" t="n"/>
      <c r="O960" s="669" t="n"/>
      <c r="P960" s="669" t="n"/>
      <c r="Q960" s="669" t="n"/>
      <c r="R960" s="669" t="n"/>
      <c r="S960" s="669" t="n"/>
      <c r="T960" s="669" t="n"/>
      <c r="U960" s="669" t="n"/>
      <c r="V960" s="669" t="n"/>
      <c r="W960" s="669" t="n"/>
      <c r="X960" s="669" t="n"/>
      <c r="Y960" s="669" t="n"/>
      <c r="Z960" s="669" t="n"/>
    </row>
    <row r="961">
      <c r="A961" s="669" t="n"/>
      <c r="B961" s="669" t="n"/>
      <c r="C961" s="669" t="n"/>
      <c r="D961" s="669" t="n"/>
      <c r="E961" s="669" t="n"/>
      <c r="F961" s="669" t="n"/>
      <c r="G961" s="669" t="n"/>
      <c r="H961" s="669" t="n"/>
      <c r="I961" s="669" t="n"/>
      <c r="J961" s="669" t="n"/>
      <c r="K961" s="669" t="n"/>
      <c r="L961" s="669" t="n"/>
      <c r="M961" s="669" t="n"/>
      <c r="N961" s="669" t="n"/>
      <c r="O961" s="669" t="n"/>
      <c r="P961" s="669" t="n"/>
      <c r="Q961" s="669" t="n"/>
      <c r="R961" s="669" t="n"/>
      <c r="S961" s="669" t="n"/>
      <c r="T961" s="669" t="n"/>
      <c r="U961" s="669" t="n"/>
      <c r="V961" s="669" t="n"/>
      <c r="W961" s="669" t="n"/>
      <c r="X961" s="669" t="n"/>
      <c r="Y961" s="669" t="n"/>
      <c r="Z961" s="669" t="n"/>
    </row>
    <row r="962">
      <c r="A962" s="669" t="n"/>
      <c r="B962" s="669" t="n"/>
      <c r="C962" s="669" t="n"/>
      <c r="D962" s="669" t="n"/>
      <c r="E962" s="669" t="n"/>
      <c r="F962" s="669" t="n"/>
      <c r="G962" s="669" t="n"/>
      <c r="H962" s="669" t="n"/>
      <c r="I962" s="669" t="n"/>
      <c r="J962" s="669" t="n"/>
      <c r="K962" s="669" t="n"/>
      <c r="L962" s="669" t="n"/>
      <c r="M962" s="669" t="n"/>
      <c r="N962" s="669" t="n"/>
      <c r="O962" s="669" t="n"/>
      <c r="P962" s="669" t="n"/>
      <c r="Q962" s="669" t="n"/>
      <c r="R962" s="669" t="n"/>
      <c r="S962" s="669" t="n"/>
      <c r="T962" s="669" t="n"/>
      <c r="U962" s="669" t="n"/>
      <c r="V962" s="669" t="n"/>
      <c r="W962" s="669" t="n"/>
      <c r="X962" s="669" t="n"/>
      <c r="Y962" s="669" t="n"/>
      <c r="Z962" s="669" t="n"/>
    </row>
    <row r="963">
      <c r="A963" s="669" t="n"/>
      <c r="B963" s="669" t="n"/>
      <c r="C963" s="669" t="n"/>
      <c r="D963" s="669" t="n"/>
      <c r="E963" s="669" t="n"/>
      <c r="F963" s="669" t="n"/>
      <c r="G963" s="669" t="n"/>
      <c r="H963" s="669" t="n"/>
      <c r="I963" s="669" t="n"/>
      <c r="J963" s="669" t="n"/>
      <c r="K963" s="669" t="n"/>
      <c r="L963" s="669" t="n"/>
      <c r="M963" s="669" t="n"/>
      <c r="N963" s="669" t="n"/>
      <c r="O963" s="669" t="n"/>
      <c r="P963" s="669" t="n"/>
      <c r="Q963" s="669" t="n"/>
      <c r="R963" s="669" t="n"/>
      <c r="S963" s="669" t="n"/>
      <c r="T963" s="669" t="n"/>
      <c r="U963" s="669" t="n"/>
      <c r="V963" s="669" t="n"/>
      <c r="W963" s="669" t="n"/>
      <c r="X963" s="669" t="n"/>
      <c r="Y963" s="669" t="n"/>
      <c r="Z963" s="669" t="n"/>
    </row>
    <row r="964">
      <c r="A964" s="669" t="n"/>
      <c r="B964" s="669" t="n"/>
      <c r="C964" s="669" t="n"/>
      <c r="D964" s="669" t="n"/>
      <c r="E964" s="669" t="n"/>
      <c r="F964" s="669" t="n"/>
      <c r="G964" s="669" t="n"/>
      <c r="H964" s="669" t="n"/>
      <c r="I964" s="669" t="n"/>
      <c r="J964" s="669" t="n"/>
      <c r="K964" s="669" t="n"/>
      <c r="L964" s="669" t="n"/>
      <c r="M964" s="669" t="n"/>
      <c r="N964" s="669" t="n"/>
      <c r="O964" s="669" t="n"/>
      <c r="P964" s="669" t="n"/>
      <c r="Q964" s="669" t="n"/>
      <c r="R964" s="669" t="n"/>
      <c r="S964" s="669" t="n"/>
      <c r="T964" s="669" t="n"/>
      <c r="U964" s="669" t="n"/>
      <c r="V964" s="669" t="n"/>
      <c r="W964" s="669" t="n"/>
      <c r="X964" s="669" t="n"/>
      <c r="Y964" s="669" t="n"/>
      <c r="Z964" s="669" t="n"/>
    </row>
    <row r="965">
      <c r="A965" s="669" t="n"/>
      <c r="B965" s="669" t="n"/>
      <c r="C965" s="669" t="n"/>
      <c r="D965" s="669" t="n"/>
      <c r="E965" s="669" t="n"/>
      <c r="F965" s="669" t="n"/>
      <c r="G965" s="669" t="n"/>
      <c r="H965" s="669" t="n"/>
      <c r="I965" s="669" t="n"/>
      <c r="J965" s="669" t="n"/>
      <c r="K965" s="669" t="n"/>
      <c r="L965" s="669" t="n"/>
      <c r="M965" s="669" t="n"/>
      <c r="N965" s="669" t="n"/>
      <c r="O965" s="669" t="n"/>
      <c r="P965" s="669" t="n"/>
      <c r="Q965" s="669" t="n"/>
      <c r="R965" s="669" t="n"/>
      <c r="S965" s="669" t="n"/>
      <c r="T965" s="669" t="n"/>
      <c r="U965" s="669" t="n"/>
      <c r="V965" s="669" t="n"/>
      <c r="W965" s="669" t="n"/>
      <c r="X965" s="669" t="n"/>
      <c r="Y965" s="669" t="n"/>
      <c r="Z965" s="669" t="n"/>
    </row>
    <row r="966">
      <c r="A966" s="669" t="n"/>
      <c r="B966" s="669" t="n"/>
      <c r="C966" s="669" t="n"/>
      <c r="D966" s="669" t="n"/>
      <c r="E966" s="669" t="n"/>
      <c r="F966" s="669" t="n"/>
      <c r="G966" s="669" t="n"/>
      <c r="H966" s="669" t="n"/>
      <c r="I966" s="669" t="n"/>
      <c r="J966" s="669" t="n"/>
      <c r="K966" s="669" t="n"/>
      <c r="L966" s="669" t="n"/>
      <c r="M966" s="669" t="n"/>
      <c r="N966" s="669" t="n"/>
      <c r="O966" s="669" t="n"/>
      <c r="P966" s="669" t="n"/>
      <c r="Q966" s="669" t="n"/>
      <c r="R966" s="669" t="n"/>
      <c r="S966" s="669" t="n"/>
      <c r="T966" s="669" t="n"/>
      <c r="U966" s="669" t="n"/>
      <c r="V966" s="669" t="n"/>
      <c r="W966" s="669" t="n"/>
      <c r="X966" s="669" t="n"/>
      <c r="Y966" s="669" t="n"/>
      <c r="Z966" s="669" t="n"/>
    </row>
    <row r="967">
      <c r="A967" s="669" t="n"/>
      <c r="B967" s="669" t="n"/>
      <c r="C967" s="669" t="n"/>
      <c r="D967" s="669" t="n"/>
      <c r="E967" s="669" t="n"/>
      <c r="F967" s="669" t="n"/>
      <c r="G967" s="669" t="n"/>
      <c r="H967" s="669" t="n"/>
      <c r="I967" s="669" t="n"/>
      <c r="J967" s="669" t="n"/>
      <c r="K967" s="669" t="n"/>
      <c r="L967" s="669" t="n"/>
      <c r="M967" s="669" t="n"/>
      <c r="N967" s="669" t="n"/>
      <c r="O967" s="669" t="n"/>
      <c r="P967" s="669" t="n"/>
      <c r="Q967" s="669" t="n"/>
      <c r="R967" s="669" t="n"/>
      <c r="S967" s="669" t="n"/>
      <c r="T967" s="669" t="n"/>
      <c r="U967" s="669" t="n"/>
      <c r="V967" s="669" t="n"/>
      <c r="W967" s="669" t="n"/>
      <c r="X967" s="669" t="n"/>
      <c r="Y967" s="669" t="n"/>
      <c r="Z967" s="669" t="n"/>
    </row>
    <row r="968">
      <c r="A968" s="669" t="n"/>
      <c r="B968" s="669" t="n"/>
      <c r="C968" s="669" t="n"/>
      <c r="D968" s="669" t="n"/>
      <c r="E968" s="669" t="n"/>
      <c r="F968" s="669" t="n"/>
      <c r="G968" s="669" t="n"/>
      <c r="H968" s="669" t="n"/>
      <c r="I968" s="669" t="n"/>
      <c r="J968" s="669" t="n"/>
      <c r="K968" s="669" t="n"/>
      <c r="L968" s="669" t="n"/>
      <c r="M968" s="669" t="n"/>
      <c r="N968" s="669" t="n"/>
      <c r="O968" s="669" t="n"/>
      <c r="P968" s="669" t="n"/>
      <c r="Q968" s="669" t="n"/>
      <c r="R968" s="669" t="n"/>
      <c r="S968" s="669" t="n"/>
      <c r="T968" s="669" t="n"/>
      <c r="U968" s="669" t="n"/>
      <c r="V968" s="669" t="n"/>
      <c r="W968" s="669" t="n"/>
      <c r="X968" s="669" t="n"/>
      <c r="Y968" s="669" t="n"/>
      <c r="Z968" s="669" t="n"/>
    </row>
    <row r="969">
      <c r="A969" s="669" t="n"/>
      <c r="B969" s="669" t="n"/>
      <c r="C969" s="669" t="n"/>
      <c r="D969" s="669" t="n"/>
      <c r="E969" s="669" t="n"/>
      <c r="F969" s="669" t="n"/>
      <c r="G969" s="669" t="n"/>
      <c r="H969" s="669" t="n"/>
      <c r="I969" s="669" t="n"/>
      <c r="J969" s="669" t="n"/>
      <c r="K969" s="669" t="n"/>
      <c r="L969" s="669" t="n"/>
      <c r="M969" s="669" t="n"/>
      <c r="N969" s="669" t="n"/>
      <c r="O969" s="669" t="n"/>
      <c r="P969" s="669" t="n"/>
      <c r="Q969" s="669" t="n"/>
      <c r="R969" s="669" t="n"/>
      <c r="S969" s="669" t="n"/>
      <c r="T969" s="669" t="n"/>
      <c r="U969" s="669" t="n"/>
      <c r="V969" s="669" t="n"/>
      <c r="W969" s="669" t="n"/>
      <c r="X969" s="669" t="n"/>
      <c r="Y969" s="669" t="n"/>
      <c r="Z969" s="669" t="n"/>
    </row>
    <row r="970">
      <c r="A970" s="669" t="n"/>
      <c r="B970" s="669" t="n"/>
      <c r="C970" s="669" t="n"/>
      <c r="D970" s="669" t="n"/>
      <c r="E970" s="669" t="n"/>
      <c r="F970" s="669" t="n"/>
      <c r="G970" s="669" t="n"/>
      <c r="H970" s="669" t="n"/>
      <c r="I970" s="669" t="n"/>
      <c r="J970" s="669" t="n"/>
      <c r="K970" s="669" t="n"/>
      <c r="L970" s="669" t="n"/>
      <c r="M970" s="669" t="n"/>
      <c r="N970" s="669" t="n"/>
      <c r="O970" s="669" t="n"/>
      <c r="P970" s="669" t="n"/>
      <c r="Q970" s="669" t="n"/>
      <c r="R970" s="669" t="n"/>
      <c r="S970" s="669" t="n"/>
      <c r="T970" s="669" t="n"/>
      <c r="U970" s="669" t="n"/>
      <c r="V970" s="669" t="n"/>
      <c r="W970" s="669" t="n"/>
      <c r="X970" s="669" t="n"/>
      <c r="Y970" s="669" t="n"/>
      <c r="Z970" s="669" t="n"/>
    </row>
    <row r="971">
      <c r="A971" s="669" t="n"/>
      <c r="B971" s="669" t="n"/>
      <c r="C971" s="669" t="n"/>
      <c r="D971" s="669" t="n"/>
      <c r="E971" s="669" t="n"/>
      <c r="F971" s="669" t="n"/>
      <c r="G971" s="669" t="n"/>
      <c r="H971" s="669" t="n"/>
      <c r="I971" s="669" t="n"/>
      <c r="J971" s="669" t="n"/>
      <c r="K971" s="669" t="n"/>
      <c r="L971" s="669" t="n"/>
      <c r="M971" s="669" t="n"/>
      <c r="N971" s="669" t="n"/>
      <c r="O971" s="669" t="n"/>
      <c r="P971" s="669" t="n"/>
      <c r="Q971" s="669" t="n"/>
      <c r="R971" s="669" t="n"/>
      <c r="S971" s="669" t="n"/>
      <c r="T971" s="669" t="n"/>
      <c r="U971" s="669" t="n"/>
      <c r="V971" s="669" t="n"/>
      <c r="W971" s="669" t="n"/>
      <c r="X971" s="669" t="n"/>
      <c r="Y971" s="669" t="n"/>
      <c r="Z971" s="669" t="n"/>
    </row>
    <row r="972">
      <c r="A972" s="669" t="n"/>
      <c r="B972" s="669" t="n"/>
      <c r="C972" s="669" t="n"/>
      <c r="D972" s="669" t="n"/>
      <c r="E972" s="669" t="n"/>
      <c r="F972" s="669" t="n"/>
      <c r="G972" s="669" t="n"/>
      <c r="H972" s="669" t="n"/>
      <c r="I972" s="669" t="n"/>
      <c r="J972" s="669" t="n"/>
      <c r="K972" s="669" t="n"/>
      <c r="L972" s="669" t="n"/>
      <c r="M972" s="669" t="n"/>
      <c r="N972" s="669" t="n"/>
      <c r="O972" s="669" t="n"/>
      <c r="P972" s="669" t="n"/>
      <c r="Q972" s="669" t="n"/>
      <c r="R972" s="669" t="n"/>
      <c r="S972" s="669" t="n"/>
      <c r="T972" s="669" t="n"/>
      <c r="U972" s="669" t="n"/>
      <c r="V972" s="669" t="n"/>
      <c r="W972" s="669" t="n"/>
      <c r="X972" s="669" t="n"/>
      <c r="Y972" s="669" t="n"/>
      <c r="Z972" s="669" t="n"/>
    </row>
    <row r="973">
      <c r="A973" s="669" t="n"/>
      <c r="B973" s="669" t="n"/>
      <c r="C973" s="669" t="n"/>
      <c r="D973" s="669" t="n"/>
      <c r="E973" s="669" t="n"/>
      <c r="F973" s="669" t="n"/>
      <c r="G973" s="669" t="n"/>
      <c r="H973" s="669" t="n"/>
      <c r="I973" s="669" t="n"/>
      <c r="J973" s="669" t="n"/>
      <c r="K973" s="669" t="n"/>
      <c r="L973" s="669" t="n"/>
      <c r="M973" s="669" t="n"/>
      <c r="N973" s="669" t="n"/>
      <c r="O973" s="669" t="n"/>
      <c r="P973" s="669" t="n"/>
      <c r="Q973" s="669" t="n"/>
      <c r="R973" s="669" t="n"/>
      <c r="S973" s="669" t="n"/>
      <c r="T973" s="669" t="n"/>
      <c r="U973" s="669" t="n"/>
      <c r="V973" s="669" t="n"/>
      <c r="W973" s="669" t="n"/>
      <c r="X973" s="669" t="n"/>
      <c r="Y973" s="669" t="n"/>
      <c r="Z973" s="669" t="n"/>
    </row>
    <row r="974">
      <c r="A974" s="669" t="n"/>
      <c r="B974" s="669" t="n"/>
      <c r="C974" s="669" t="n"/>
      <c r="D974" s="669" t="n"/>
      <c r="E974" s="669" t="n"/>
      <c r="F974" s="669" t="n"/>
      <c r="G974" s="669" t="n"/>
      <c r="H974" s="669" t="n"/>
      <c r="I974" s="669" t="n"/>
      <c r="J974" s="669" t="n"/>
      <c r="K974" s="669" t="n"/>
      <c r="L974" s="669" t="n"/>
      <c r="M974" s="669" t="n"/>
      <c r="N974" s="669" t="n"/>
      <c r="O974" s="669" t="n"/>
      <c r="P974" s="669" t="n"/>
      <c r="Q974" s="669" t="n"/>
      <c r="R974" s="669" t="n"/>
      <c r="S974" s="669" t="n"/>
      <c r="T974" s="669" t="n"/>
      <c r="U974" s="669" t="n"/>
      <c r="V974" s="669" t="n"/>
      <c r="W974" s="669" t="n"/>
      <c r="X974" s="669" t="n"/>
      <c r="Y974" s="669" t="n"/>
      <c r="Z974" s="669" t="n"/>
    </row>
    <row r="975">
      <c r="A975" s="669" t="n"/>
      <c r="B975" s="669" t="n"/>
      <c r="C975" s="669" t="n"/>
      <c r="D975" s="669" t="n"/>
      <c r="E975" s="669" t="n"/>
      <c r="F975" s="669" t="n"/>
      <c r="G975" s="669" t="n"/>
      <c r="H975" s="669" t="n"/>
      <c r="I975" s="669" t="n"/>
      <c r="J975" s="669" t="n"/>
      <c r="K975" s="669" t="n"/>
      <c r="L975" s="669" t="n"/>
      <c r="M975" s="669" t="n"/>
      <c r="N975" s="669" t="n"/>
      <c r="O975" s="669" t="n"/>
      <c r="P975" s="669" t="n"/>
      <c r="Q975" s="669" t="n"/>
      <c r="R975" s="669" t="n"/>
      <c r="S975" s="669" t="n"/>
      <c r="T975" s="669" t="n"/>
      <c r="U975" s="669" t="n"/>
      <c r="V975" s="669" t="n"/>
      <c r="W975" s="669" t="n"/>
      <c r="X975" s="669" t="n"/>
      <c r="Y975" s="669" t="n"/>
      <c r="Z975" s="669" t="n"/>
    </row>
    <row r="976">
      <c r="A976" s="669" t="n"/>
      <c r="B976" s="669" t="n"/>
      <c r="C976" s="669" t="n"/>
      <c r="D976" s="669" t="n"/>
      <c r="E976" s="669" t="n"/>
      <c r="F976" s="669" t="n"/>
      <c r="G976" s="669" t="n"/>
      <c r="H976" s="669" t="n"/>
      <c r="I976" s="669" t="n"/>
      <c r="J976" s="669" t="n"/>
      <c r="K976" s="669" t="n"/>
      <c r="L976" s="669" t="n"/>
      <c r="M976" s="669" t="n"/>
      <c r="N976" s="669" t="n"/>
      <c r="O976" s="669" t="n"/>
      <c r="P976" s="669" t="n"/>
      <c r="Q976" s="669" t="n"/>
      <c r="R976" s="669" t="n"/>
      <c r="S976" s="669" t="n"/>
      <c r="T976" s="669" t="n"/>
      <c r="U976" s="669" t="n"/>
      <c r="V976" s="669" t="n"/>
      <c r="W976" s="669" t="n"/>
      <c r="X976" s="669" t="n"/>
      <c r="Y976" s="669" t="n"/>
      <c r="Z976" s="669" t="n"/>
    </row>
    <row r="977">
      <c r="A977" s="669" t="n"/>
      <c r="B977" s="669" t="n"/>
      <c r="C977" s="669" t="n"/>
      <c r="D977" s="669" t="n"/>
      <c r="E977" s="669" t="n"/>
      <c r="F977" s="669" t="n"/>
      <c r="G977" s="669" t="n"/>
      <c r="H977" s="669" t="n"/>
      <c r="I977" s="669" t="n"/>
      <c r="J977" s="669" t="n"/>
      <c r="K977" s="669" t="n"/>
      <c r="L977" s="669" t="n"/>
      <c r="M977" s="669" t="n"/>
      <c r="N977" s="669" t="n"/>
      <c r="O977" s="669" t="n"/>
      <c r="P977" s="669" t="n"/>
      <c r="Q977" s="669" t="n"/>
      <c r="R977" s="669" t="n"/>
      <c r="S977" s="669" t="n"/>
      <c r="T977" s="669" t="n"/>
      <c r="U977" s="669" t="n"/>
      <c r="V977" s="669" t="n"/>
      <c r="W977" s="669" t="n"/>
      <c r="X977" s="669" t="n"/>
      <c r="Y977" s="669" t="n"/>
      <c r="Z977" s="669" t="n"/>
    </row>
    <row r="978">
      <c r="A978" s="669" t="n"/>
      <c r="B978" s="669" t="n"/>
      <c r="C978" s="669" t="n"/>
      <c r="D978" s="669" t="n"/>
      <c r="E978" s="669" t="n"/>
      <c r="F978" s="669" t="n"/>
      <c r="G978" s="669" t="n"/>
      <c r="H978" s="669" t="n"/>
      <c r="I978" s="669" t="n"/>
      <c r="J978" s="669" t="n"/>
      <c r="K978" s="669" t="n"/>
      <c r="L978" s="669" t="n"/>
      <c r="M978" s="669" t="n"/>
      <c r="N978" s="669" t="n"/>
      <c r="O978" s="669" t="n"/>
      <c r="P978" s="669" t="n"/>
      <c r="Q978" s="669" t="n"/>
      <c r="R978" s="669" t="n"/>
      <c r="S978" s="669" t="n"/>
      <c r="T978" s="669" t="n"/>
      <c r="U978" s="669" t="n"/>
      <c r="V978" s="669" t="n"/>
      <c r="W978" s="669" t="n"/>
      <c r="X978" s="669" t="n"/>
      <c r="Y978" s="669" t="n"/>
      <c r="Z978" s="669" t="n"/>
    </row>
    <row r="979">
      <c r="A979" s="669" t="n"/>
      <c r="B979" s="669" t="n"/>
      <c r="C979" s="669" t="n"/>
      <c r="D979" s="669" t="n"/>
      <c r="E979" s="669" t="n"/>
      <c r="F979" s="669" t="n"/>
      <c r="G979" s="669" t="n"/>
      <c r="H979" s="669" t="n"/>
      <c r="I979" s="669" t="n"/>
      <c r="J979" s="669" t="n"/>
      <c r="K979" s="669" t="n"/>
      <c r="L979" s="669" t="n"/>
      <c r="M979" s="669" t="n"/>
      <c r="N979" s="669" t="n"/>
      <c r="O979" s="669" t="n"/>
      <c r="P979" s="669" t="n"/>
      <c r="Q979" s="669" t="n"/>
      <c r="R979" s="669" t="n"/>
      <c r="S979" s="669" t="n"/>
      <c r="T979" s="669" t="n"/>
      <c r="U979" s="669" t="n"/>
      <c r="V979" s="669" t="n"/>
      <c r="W979" s="669" t="n"/>
      <c r="X979" s="669" t="n"/>
      <c r="Y979" s="669" t="n"/>
      <c r="Z979" s="669" t="n"/>
    </row>
    <row r="980">
      <c r="A980" s="669" t="n"/>
      <c r="B980" s="669" t="n"/>
      <c r="C980" s="669" t="n"/>
      <c r="D980" s="669" t="n"/>
      <c r="E980" s="669" t="n"/>
      <c r="F980" s="669" t="n"/>
      <c r="G980" s="669" t="n"/>
      <c r="H980" s="669" t="n"/>
      <c r="I980" s="669" t="n"/>
      <c r="J980" s="669" t="n"/>
      <c r="K980" s="669" t="n"/>
      <c r="L980" s="669" t="n"/>
      <c r="M980" s="669" t="n"/>
      <c r="N980" s="669" t="n"/>
      <c r="O980" s="669" t="n"/>
      <c r="P980" s="669" t="n"/>
      <c r="Q980" s="669" t="n"/>
      <c r="R980" s="669" t="n"/>
      <c r="S980" s="669" t="n"/>
      <c r="T980" s="669" t="n"/>
      <c r="U980" s="669" t="n"/>
      <c r="V980" s="669" t="n"/>
      <c r="W980" s="669" t="n"/>
      <c r="X980" s="669" t="n"/>
      <c r="Y980" s="669" t="n"/>
      <c r="Z980" s="669" t="n"/>
    </row>
    <row r="981">
      <c r="A981" s="669" t="n"/>
      <c r="B981" s="669" t="n"/>
      <c r="C981" s="669" t="n"/>
      <c r="D981" s="669" t="n"/>
      <c r="E981" s="669" t="n"/>
      <c r="F981" s="669" t="n"/>
      <c r="G981" s="669" t="n"/>
      <c r="H981" s="669" t="n"/>
      <c r="I981" s="669" t="n"/>
      <c r="J981" s="669" t="n"/>
      <c r="K981" s="669" t="n"/>
      <c r="L981" s="669" t="n"/>
      <c r="M981" s="669" t="n"/>
      <c r="N981" s="669" t="n"/>
      <c r="O981" s="669" t="n"/>
      <c r="P981" s="669" t="n"/>
      <c r="Q981" s="669" t="n"/>
      <c r="R981" s="669" t="n"/>
      <c r="S981" s="669" t="n"/>
      <c r="T981" s="669" t="n"/>
      <c r="U981" s="669" t="n"/>
      <c r="V981" s="669" t="n"/>
      <c r="W981" s="669" t="n"/>
      <c r="X981" s="669" t="n"/>
      <c r="Y981" s="669" t="n"/>
      <c r="Z981" s="669" t="n"/>
    </row>
    <row r="982">
      <c r="A982" s="669" t="n"/>
      <c r="B982" s="669" t="n"/>
      <c r="C982" s="669" t="n"/>
      <c r="D982" s="669" t="n"/>
      <c r="E982" s="669" t="n"/>
      <c r="F982" s="669" t="n"/>
      <c r="G982" s="669" t="n"/>
      <c r="H982" s="669" t="n"/>
      <c r="I982" s="669" t="n"/>
      <c r="J982" s="669" t="n"/>
      <c r="K982" s="669" t="n"/>
      <c r="L982" s="669" t="n"/>
      <c r="M982" s="669" t="n"/>
      <c r="N982" s="669" t="n"/>
      <c r="O982" s="669" t="n"/>
      <c r="P982" s="669" t="n"/>
      <c r="Q982" s="669" t="n"/>
      <c r="R982" s="669" t="n"/>
      <c r="S982" s="669" t="n"/>
      <c r="T982" s="669" t="n"/>
      <c r="U982" s="669" t="n"/>
      <c r="V982" s="669" t="n"/>
      <c r="W982" s="669" t="n"/>
      <c r="X982" s="669" t="n"/>
      <c r="Y982" s="669" t="n"/>
      <c r="Z982" s="669" t="n"/>
    </row>
    <row r="983">
      <c r="A983" s="669" t="n"/>
      <c r="B983" s="669" t="n"/>
      <c r="C983" s="669" t="n"/>
      <c r="D983" s="669" t="n"/>
      <c r="E983" s="669" t="n"/>
      <c r="F983" s="669" t="n"/>
      <c r="G983" s="669" t="n"/>
      <c r="H983" s="669" t="n"/>
      <c r="I983" s="669" t="n"/>
      <c r="J983" s="669" t="n"/>
      <c r="K983" s="669" t="n"/>
      <c r="L983" s="669" t="n"/>
      <c r="M983" s="669" t="n"/>
      <c r="N983" s="669" t="n"/>
      <c r="O983" s="669" t="n"/>
      <c r="P983" s="669" t="n"/>
      <c r="Q983" s="669" t="n"/>
      <c r="R983" s="669" t="n"/>
      <c r="S983" s="669" t="n"/>
      <c r="T983" s="669" t="n"/>
      <c r="U983" s="669" t="n"/>
      <c r="V983" s="669" t="n"/>
      <c r="W983" s="669" t="n"/>
      <c r="X983" s="669" t="n"/>
      <c r="Y983" s="669" t="n"/>
      <c r="Z983" s="669" t="n"/>
    </row>
    <row r="984">
      <c r="A984" s="669" t="n"/>
      <c r="B984" s="669" t="n"/>
      <c r="C984" s="669" t="n"/>
      <c r="D984" s="669" t="n"/>
      <c r="E984" s="669" t="n"/>
      <c r="F984" s="669" t="n"/>
      <c r="G984" s="669" t="n"/>
      <c r="H984" s="669" t="n"/>
      <c r="I984" s="669" t="n"/>
      <c r="J984" s="669" t="n"/>
      <c r="K984" s="669" t="n"/>
      <c r="L984" s="669" t="n"/>
      <c r="M984" s="669" t="n"/>
      <c r="N984" s="669" t="n"/>
      <c r="O984" s="669" t="n"/>
      <c r="P984" s="669" t="n"/>
      <c r="Q984" s="669" t="n"/>
      <c r="R984" s="669" t="n"/>
      <c r="S984" s="669" t="n"/>
      <c r="T984" s="669" t="n"/>
      <c r="U984" s="669" t="n"/>
      <c r="V984" s="669" t="n"/>
      <c r="W984" s="669" t="n"/>
      <c r="X984" s="669" t="n"/>
      <c r="Y984" s="669" t="n"/>
      <c r="Z984" s="669" t="n"/>
    </row>
    <row r="985">
      <c r="A985" s="669" t="n"/>
      <c r="B985" s="669" t="n"/>
      <c r="C985" s="669" t="n"/>
      <c r="D985" s="669" t="n"/>
      <c r="E985" s="669" t="n"/>
      <c r="F985" s="669" t="n"/>
      <c r="G985" s="669" t="n"/>
      <c r="H985" s="669" t="n"/>
      <c r="I985" s="669" t="n"/>
      <c r="J985" s="669" t="n"/>
      <c r="K985" s="669" t="n"/>
      <c r="L985" s="669" t="n"/>
      <c r="M985" s="669" t="n"/>
      <c r="N985" s="669" t="n"/>
      <c r="O985" s="669" t="n"/>
      <c r="P985" s="669" t="n"/>
      <c r="Q985" s="669" t="n"/>
      <c r="R985" s="669" t="n"/>
      <c r="S985" s="669" t="n"/>
      <c r="T985" s="669" t="n"/>
      <c r="U985" s="669" t="n"/>
      <c r="V985" s="669" t="n"/>
      <c r="W985" s="669" t="n"/>
      <c r="X985" s="669" t="n"/>
      <c r="Y985" s="669" t="n"/>
      <c r="Z985" s="669" t="n"/>
    </row>
    <row r="986">
      <c r="A986" s="669" t="n"/>
      <c r="B986" s="669" t="n"/>
      <c r="C986" s="669" t="n"/>
      <c r="D986" s="669" t="n"/>
      <c r="E986" s="669" t="n"/>
      <c r="F986" s="669" t="n"/>
      <c r="G986" s="669" t="n"/>
      <c r="H986" s="669" t="n"/>
      <c r="I986" s="669" t="n"/>
      <c r="J986" s="669" t="n"/>
      <c r="K986" s="669" t="n"/>
      <c r="L986" s="669" t="n"/>
      <c r="M986" s="669" t="n"/>
      <c r="N986" s="669" t="n"/>
      <c r="O986" s="669" t="n"/>
      <c r="P986" s="669" t="n"/>
      <c r="Q986" s="669" t="n"/>
      <c r="R986" s="669" t="n"/>
      <c r="S986" s="669" t="n"/>
      <c r="T986" s="669" t="n"/>
      <c r="U986" s="669" t="n"/>
      <c r="V986" s="669" t="n"/>
      <c r="W986" s="669" t="n"/>
      <c r="X986" s="669" t="n"/>
      <c r="Y986" s="669" t="n"/>
      <c r="Z986" s="669" t="n"/>
    </row>
    <row r="987">
      <c r="A987" s="669" t="n"/>
      <c r="B987" s="669" t="n"/>
      <c r="C987" s="669" t="n"/>
      <c r="D987" s="669" t="n"/>
      <c r="E987" s="669" t="n"/>
      <c r="F987" s="669" t="n"/>
      <c r="G987" s="669" t="n"/>
      <c r="H987" s="669" t="n"/>
      <c r="I987" s="669" t="n"/>
      <c r="J987" s="669" t="n"/>
      <c r="K987" s="669" t="n"/>
      <c r="L987" s="669" t="n"/>
      <c r="M987" s="669" t="n"/>
      <c r="N987" s="669" t="n"/>
      <c r="O987" s="669" t="n"/>
      <c r="P987" s="669" t="n"/>
      <c r="Q987" s="669" t="n"/>
      <c r="R987" s="669" t="n"/>
      <c r="S987" s="669" t="n"/>
      <c r="T987" s="669" t="n"/>
      <c r="U987" s="669" t="n"/>
      <c r="V987" s="669" t="n"/>
      <c r="W987" s="669" t="n"/>
      <c r="X987" s="669" t="n"/>
      <c r="Y987" s="669" t="n"/>
      <c r="Z987" s="669" t="n"/>
    </row>
    <row r="988">
      <c r="A988" s="669" t="n"/>
      <c r="B988" s="669" t="n"/>
      <c r="C988" s="669" t="n"/>
      <c r="D988" s="669" t="n"/>
      <c r="E988" s="669" t="n"/>
      <c r="F988" s="669" t="n"/>
      <c r="G988" s="669" t="n"/>
      <c r="H988" s="669" t="n"/>
      <c r="I988" s="669" t="n"/>
      <c r="J988" s="669" t="n"/>
      <c r="K988" s="669" t="n"/>
      <c r="L988" s="669" t="n"/>
      <c r="M988" s="669" t="n"/>
      <c r="N988" s="669" t="n"/>
      <c r="O988" s="669" t="n"/>
      <c r="P988" s="669" t="n"/>
      <c r="Q988" s="669" t="n"/>
      <c r="R988" s="669" t="n"/>
      <c r="S988" s="669" t="n"/>
      <c r="T988" s="669" t="n"/>
      <c r="U988" s="669" t="n"/>
      <c r="V988" s="669" t="n"/>
      <c r="W988" s="669" t="n"/>
      <c r="X988" s="669" t="n"/>
      <c r="Y988" s="669" t="n"/>
      <c r="Z988" s="669" t="n"/>
    </row>
    <row r="989">
      <c r="A989" s="669" t="n"/>
      <c r="B989" s="669" t="n"/>
      <c r="C989" s="669" t="n"/>
      <c r="D989" s="669" t="n"/>
      <c r="E989" s="669" t="n"/>
      <c r="F989" s="669" t="n"/>
      <c r="G989" s="669" t="n"/>
      <c r="H989" s="669" t="n"/>
      <c r="I989" s="669" t="n"/>
      <c r="J989" s="669" t="n"/>
      <c r="K989" s="669" t="n"/>
      <c r="L989" s="669" t="n"/>
      <c r="M989" s="669" t="n"/>
      <c r="N989" s="669" t="n"/>
      <c r="O989" s="669" t="n"/>
      <c r="P989" s="669" t="n"/>
      <c r="Q989" s="669" t="n"/>
      <c r="R989" s="669" t="n"/>
      <c r="S989" s="669" t="n"/>
      <c r="T989" s="669" t="n"/>
      <c r="U989" s="669" t="n"/>
      <c r="V989" s="669" t="n"/>
      <c r="W989" s="669" t="n"/>
      <c r="X989" s="669" t="n"/>
      <c r="Y989" s="669" t="n"/>
      <c r="Z989" s="669" t="n"/>
    </row>
    <row r="990">
      <c r="A990" s="669" t="n"/>
      <c r="B990" s="669" t="n"/>
      <c r="C990" s="669" t="n"/>
      <c r="D990" s="669" t="n"/>
      <c r="E990" s="669" t="n"/>
      <c r="F990" s="669" t="n"/>
      <c r="G990" s="669" t="n"/>
      <c r="H990" s="669" t="n"/>
      <c r="I990" s="669" t="n"/>
      <c r="J990" s="669" t="n"/>
      <c r="K990" s="669" t="n"/>
      <c r="L990" s="669" t="n"/>
      <c r="M990" s="669" t="n"/>
      <c r="N990" s="669" t="n"/>
      <c r="O990" s="669" t="n"/>
      <c r="P990" s="669" t="n"/>
      <c r="Q990" s="669" t="n"/>
      <c r="R990" s="669" t="n"/>
      <c r="S990" s="669" t="n"/>
      <c r="T990" s="669" t="n"/>
      <c r="U990" s="669" t="n"/>
      <c r="V990" s="669" t="n"/>
      <c r="W990" s="669" t="n"/>
      <c r="X990" s="669" t="n"/>
      <c r="Y990" s="669" t="n"/>
      <c r="Z990" s="669" t="n"/>
    </row>
    <row r="991">
      <c r="A991" s="669" t="n"/>
      <c r="B991" s="669" t="n"/>
      <c r="C991" s="669" t="n"/>
      <c r="D991" s="669" t="n"/>
      <c r="E991" s="669" t="n"/>
      <c r="F991" s="669" t="n"/>
      <c r="G991" s="669" t="n"/>
      <c r="H991" s="669" t="n"/>
      <c r="I991" s="669" t="n"/>
      <c r="J991" s="669" t="n"/>
      <c r="K991" s="669" t="n"/>
      <c r="L991" s="669" t="n"/>
      <c r="M991" s="669" t="n"/>
      <c r="N991" s="669" t="n"/>
      <c r="O991" s="669" t="n"/>
      <c r="P991" s="669" t="n"/>
      <c r="Q991" s="669" t="n"/>
      <c r="R991" s="669" t="n"/>
      <c r="S991" s="669" t="n"/>
      <c r="T991" s="669" t="n"/>
      <c r="U991" s="669" t="n"/>
      <c r="V991" s="669" t="n"/>
      <c r="W991" s="669" t="n"/>
      <c r="X991" s="669" t="n"/>
      <c r="Y991" s="669" t="n"/>
      <c r="Z991" s="669" t="n"/>
    </row>
    <row r="992">
      <c r="A992" s="669" t="n"/>
      <c r="B992" s="669" t="n"/>
      <c r="C992" s="669" t="n"/>
      <c r="D992" s="669" t="n"/>
      <c r="E992" s="669" t="n"/>
      <c r="F992" s="669" t="n"/>
      <c r="G992" s="669" t="n"/>
      <c r="H992" s="669" t="n"/>
      <c r="I992" s="669" t="n"/>
      <c r="J992" s="669" t="n"/>
      <c r="K992" s="669" t="n"/>
      <c r="L992" s="669" t="n"/>
      <c r="M992" s="669" t="n"/>
      <c r="N992" s="669" t="n"/>
      <c r="O992" s="669" t="n"/>
      <c r="P992" s="669" t="n"/>
      <c r="Q992" s="669" t="n"/>
      <c r="R992" s="669" t="n"/>
      <c r="S992" s="669" t="n"/>
      <c r="T992" s="669" t="n"/>
      <c r="U992" s="669" t="n"/>
      <c r="V992" s="669" t="n"/>
      <c r="W992" s="669" t="n"/>
      <c r="X992" s="669" t="n"/>
      <c r="Y992" s="669" t="n"/>
      <c r="Z992" s="669" t="n"/>
    </row>
    <row r="993">
      <c r="A993" s="669" t="n"/>
      <c r="B993" s="669" t="n"/>
      <c r="C993" s="669" t="n"/>
      <c r="D993" s="669" t="n"/>
      <c r="E993" s="669" t="n"/>
      <c r="F993" s="669" t="n"/>
      <c r="G993" s="669" t="n"/>
      <c r="H993" s="669" t="n"/>
      <c r="I993" s="669" t="n"/>
      <c r="J993" s="669" t="n"/>
      <c r="K993" s="669" t="n"/>
      <c r="L993" s="669" t="n"/>
      <c r="M993" s="669" t="n"/>
      <c r="N993" s="669" t="n"/>
      <c r="O993" s="669" t="n"/>
      <c r="P993" s="669" t="n"/>
      <c r="Q993" s="669" t="n"/>
      <c r="R993" s="669" t="n"/>
      <c r="S993" s="669" t="n"/>
      <c r="T993" s="669" t="n"/>
      <c r="U993" s="669" t="n"/>
      <c r="V993" s="669" t="n"/>
      <c r="W993" s="669" t="n"/>
      <c r="X993" s="669" t="n"/>
      <c r="Y993" s="669" t="n"/>
      <c r="Z993" s="669" t="n"/>
    </row>
    <row r="994">
      <c r="A994" s="669" t="n"/>
      <c r="B994" s="669" t="n"/>
      <c r="C994" s="669" t="n"/>
      <c r="D994" s="669" t="n"/>
      <c r="E994" s="669" t="n"/>
      <c r="F994" s="669" t="n"/>
      <c r="G994" s="669" t="n"/>
      <c r="H994" s="669" t="n"/>
      <c r="I994" s="669" t="n"/>
      <c r="J994" s="669" t="n"/>
      <c r="K994" s="669" t="n"/>
      <c r="L994" s="669" t="n"/>
      <c r="M994" s="669" t="n"/>
      <c r="N994" s="669" t="n"/>
      <c r="O994" s="669" t="n"/>
      <c r="P994" s="669" t="n"/>
      <c r="Q994" s="669" t="n"/>
      <c r="R994" s="669" t="n"/>
      <c r="S994" s="669" t="n"/>
      <c r="T994" s="669" t="n"/>
      <c r="U994" s="669" t="n"/>
      <c r="V994" s="669" t="n"/>
      <c r="W994" s="669" t="n"/>
      <c r="X994" s="669" t="n"/>
      <c r="Y994" s="669" t="n"/>
      <c r="Z994" s="669" t="n"/>
    </row>
    <row r="995">
      <c r="A995" s="669" t="n"/>
      <c r="B995" s="669" t="n"/>
      <c r="C995" s="669" t="n"/>
      <c r="D995" s="669" t="n"/>
      <c r="E995" s="669" t="n"/>
      <c r="F995" s="669" t="n"/>
      <c r="G995" s="669" t="n"/>
      <c r="H995" s="669" t="n"/>
      <c r="I995" s="669" t="n"/>
      <c r="J995" s="669" t="n"/>
      <c r="K995" s="669" t="n"/>
      <c r="L995" s="669" t="n"/>
      <c r="M995" s="669" t="n"/>
      <c r="N995" s="669" t="n"/>
      <c r="O995" s="669" t="n"/>
      <c r="P995" s="669" t="n"/>
      <c r="Q995" s="669" t="n"/>
      <c r="R995" s="669" t="n"/>
      <c r="S995" s="669" t="n"/>
      <c r="T995" s="669" t="n"/>
      <c r="U995" s="669" t="n"/>
      <c r="V995" s="669" t="n"/>
      <c r="W995" s="669" t="n"/>
      <c r="X995" s="669" t="n"/>
      <c r="Y995" s="669" t="n"/>
      <c r="Z995" s="669" t="n"/>
    </row>
    <row r="996">
      <c r="A996" s="669" t="n"/>
      <c r="B996" s="669" t="n"/>
      <c r="C996" s="669" t="n"/>
      <c r="D996" s="669" t="n"/>
      <c r="E996" s="669" t="n"/>
      <c r="F996" s="669" t="n"/>
      <c r="G996" s="669" t="n"/>
      <c r="H996" s="669" t="n"/>
      <c r="I996" s="669" t="n"/>
      <c r="J996" s="669" t="n"/>
      <c r="K996" s="669" t="n"/>
      <c r="L996" s="669" t="n"/>
      <c r="M996" s="669" t="n"/>
      <c r="N996" s="669" t="n"/>
      <c r="O996" s="669" t="n"/>
      <c r="P996" s="669" t="n"/>
      <c r="Q996" s="669" t="n"/>
      <c r="R996" s="669" t="n"/>
      <c r="S996" s="669" t="n"/>
      <c r="T996" s="669" t="n"/>
      <c r="U996" s="669" t="n"/>
      <c r="V996" s="669" t="n"/>
      <c r="W996" s="669" t="n"/>
      <c r="X996" s="669" t="n"/>
      <c r="Y996" s="669" t="n"/>
      <c r="Z996" s="669" t="n"/>
    </row>
    <row r="997">
      <c r="A997" s="669" t="n"/>
      <c r="B997" s="669" t="n"/>
      <c r="C997" s="669" t="n"/>
      <c r="D997" s="669" t="n"/>
      <c r="E997" s="669" t="n"/>
      <c r="F997" s="669" t="n"/>
      <c r="G997" s="669" t="n"/>
      <c r="H997" s="669" t="n"/>
      <c r="I997" s="669" t="n"/>
      <c r="J997" s="669" t="n"/>
      <c r="K997" s="669" t="n"/>
      <c r="L997" s="669" t="n"/>
      <c r="M997" s="669" t="n"/>
      <c r="N997" s="669" t="n"/>
      <c r="O997" s="669" t="n"/>
      <c r="P997" s="669" t="n"/>
      <c r="Q997" s="669" t="n"/>
      <c r="R997" s="669" t="n"/>
      <c r="S997" s="669" t="n"/>
      <c r="T997" s="669" t="n"/>
      <c r="U997" s="669" t="n"/>
      <c r="V997" s="669" t="n"/>
      <c r="W997" s="669" t="n"/>
      <c r="X997" s="669" t="n"/>
      <c r="Y997" s="669" t="n"/>
      <c r="Z997" s="669" t="n"/>
    </row>
    <row r="998">
      <c r="A998" s="669" t="n"/>
      <c r="B998" s="669" t="n"/>
      <c r="C998" s="669" t="n"/>
      <c r="D998" s="669" t="n"/>
      <c r="E998" s="669" t="n"/>
      <c r="F998" s="669" t="n"/>
      <c r="G998" s="669" t="n"/>
      <c r="H998" s="669" t="n"/>
      <c r="I998" s="669" t="n"/>
      <c r="J998" s="669" t="n"/>
      <c r="K998" s="669" t="n"/>
      <c r="L998" s="669" t="n"/>
      <c r="M998" s="669" t="n"/>
      <c r="N998" s="669" t="n"/>
      <c r="O998" s="669" t="n"/>
      <c r="P998" s="669" t="n"/>
      <c r="Q998" s="669" t="n"/>
      <c r="R998" s="669" t="n"/>
      <c r="S998" s="669" t="n"/>
      <c r="T998" s="669" t="n"/>
      <c r="U998" s="669" t="n"/>
      <c r="V998" s="669" t="n"/>
      <c r="W998" s="669" t="n"/>
      <c r="X998" s="669" t="n"/>
      <c r="Y998" s="669" t="n"/>
      <c r="Z998" s="669" t="n"/>
    </row>
    <row r="999">
      <c r="A999" s="669" t="n"/>
      <c r="B999" s="669" t="n"/>
      <c r="C999" s="669" t="n"/>
      <c r="D999" s="669" t="n"/>
      <c r="E999" s="669" t="n"/>
      <c r="F999" s="669" t="n"/>
      <c r="G999" s="669" t="n"/>
      <c r="H999" s="669" t="n"/>
      <c r="I999" s="669" t="n"/>
      <c r="J999" s="669" t="n"/>
      <c r="K999" s="669" t="n"/>
      <c r="L999" s="669" t="n"/>
      <c r="M999" s="669" t="n"/>
      <c r="N999" s="669" t="n"/>
      <c r="O999" s="669" t="n"/>
      <c r="P999" s="669" t="n"/>
      <c r="Q999" s="669" t="n"/>
      <c r="R999" s="669" t="n"/>
      <c r="S999" s="669" t="n"/>
      <c r="T999" s="669" t="n"/>
      <c r="U999" s="669" t="n"/>
      <c r="V999" s="669" t="n"/>
      <c r="W999" s="669" t="n"/>
      <c r="X999" s="669" t="n"/>
      <c r="Y999" s="669" t="n"/>
      <c r="Z999" s="669" t="n"/>
    </row>
    <row r="1000">
      <c r="A1000" s="669" t="n"/>
      <c r="B1000" s="669" t="n"/>
      <c r="C1000" s="669" t="n"/>
      <c r="D1000" s="669" t="n"/>
      <c r="E1000" s="669" t="n"/>
      <c r="F1000" s="669" t="n"/>
      <c r="G1000" s="669" t="n"/>
      <c r="H1000" s="669" t="n"/>
      <c r="I1000" s="669" t="n"/>
      <c r="J1000" s="669" t="n"/>
      <c r="K1000" s="669" t="n"/>
      <c r="L1000" s="669" t="n"/>
      <c r="M1000" s="669" t="n"/>
      <c r="N1000" s="669" t="n"/>
      <c r="O1000" s="669" t="n"/>
      <c r="P1000" s="669" t="n"/>
      <c r="Q1000" s="669" t="n"/>
      <c r="R1000" s="669" t="n"/>
      <c r="S1000" s="669" t="n"/>
      <c r="T1000" s="669" t="n"/>
      <c r="U1000" s="669" t="n"/>
      <c r="V1000" s="669" t="n"/>
      <c r="W1000" s="669" t="n"/>
      <c r="X1000" s="669" t="n"/>
      <c r="Y1000" s="669" t="n"/>
      <c r="Z1000" s="669" t="n"/>
    </row>
    <row r="1001">
      <c r="A1001" s="669" t="n"/>
      <c r="B1001" s="669" t="n"/>
      <c r="C1001" s="669" t="n"/>
      <c r="D1001" s="669" t="n"/>
      <c r="E1001" s="669" t="n"/>
      <c r="F1001" s="669" t="n"/>
      <c r="G1001" s="669" t="n"/>
      <c r="H1001" s="669" t="n"/>
      <c r="I1001" s="669" t="n"/>
      <c r="J1001" s="669" t="n"/>
      <c r="K1001" s="669" t="n"/>
      <c r="L1001" s="669" t="n"/>
      <c r="M1001" s="669" t="n"/>
      <c r="N1001" s="669" t="n"/>
      <c r="O1001" s="669" t="n"/>
      <c r="P1001" s="669" t="n"/>
      <c r="Q1001" s="669" t="n"/>
      <c r="R1001" s="669" t="n"/>
      <c r="S1001" s="669" t="n"/>
      <c r="T1001" s="669" t="n"/>
      <c r="U1001" s="669" t="n"/>
      <c r="V1001" s="669" t="n"/>
      <c r="W1001" s="669" t="n"/>
      <c r="X1001" s="669" t="n"/>
      <c r="Y1001" s="669" t="n"/>
      <c r="Z1001" s="669" t="n"/>
    </row>
    <row r="1002">
      <c r="A1002" s="669" t="n"/>
      <c r="B1002" s="669" t="n"/>
      <c r="C1002" s="669" t="n"/>
      <c r="D1002" s="669" t="n"/>
      <c r="E1002" s="669" t="n"/>
      <c r="F1002" s="669" t="n"/>
      <c r="G1002" s="669" t="n"/>
      <c r="H1002" s="669" t="n"/>
      <c r="I1002" s="669" t="n"/>
      <c r="J1002" s="669" t="n"/>
      <c r="K1002" s="669" t="n"/>
      <c r="L1002" s="669" t="n"/>
      <c r="M1002" s="669" t="n"/>
      <c r="N1002" s="669" t="n"/>
      <c r="O1002" s="669" t="n"/>
      <c r="P1002" s="669" t="n"/>
      <c r="Q1002" s="669" t="n"/>
      <c r="R1002" s="669" t="n"/>
      <c r="S1002" s="669" t="n"/>
      <c r="T1002" s="669" t="n"/>
      <c r="U1002" s="669" t="n"/>
      <c r="V1002" s="669" t="n"/>
      <c r="W1002" s="669" t="n"/>
      <c r="X1002" s="669" t="n"/>
      <c r="Y1002" s="669" t="n"/>
      <c r="Z1002" s="669" t="n"/>
    </row>
    <row r="1003">
      <c r="A1003" s="669" t="n"/>
      <c r="B1003" s="669" t="n"/>
      <c r="C1003" s="669" t="n"/>
      <c r="D1003" s="669" t="n"/>
      <c r="E1003" s="669" t="n"/>
      <c r="F1003" s="669" t="n"/>
      <c r="G1003" s="669" t="n"/>
      <c r="H1003" s="669" t="n"/>
      <c r="I1003" s="669" t="n"/>
      <c r="J1003" s="669" t="n"/>
      <c r="K1003" s="669" t="n"/>
      <c r="L1003" s="669" t="n"/>
      <c r="M1003" s="669" t="n"/>
      <c r="N1003" s="669" t="n"/>
      <c r="O1003" s="669" t="n"/>
      <c r="P1003" s="669" t="n"/>
      <c r="Q1003" s="669" t="n"/>
      <c r="R1003" s="669" t="n"/>
      <c r="S1003" s="669" t="n"/>
      <c r="T1003" s="669" t="n"/>
      <c r="U1003" s="669" t="n"/>
      <c r="V1003" s="669" t="n"/>
      <c r="W1003" s="669" t="n"/>
      <c r="X1003" s="669" t="n"/>
      <c r="Y1003" s="669" t="n"/>
      <c r="Z1003" s="669" t="n"/>
    </row>
    <row r="1004">
      <c r="A1004" s="669" t="n"/>
      <c r="B1004" s="669" t="n"/>
      <c r="C1004" s="669" t="n"/>
      <c r="D1004" s="669" t="n"/>
      <c r="E1004" s="669" t="n"/>
      <c r="F1004" s="669" t="n"/>
      <c r="G1004" s="669" t="n"/>
      <c r="H1004" s="669" t="n"/>
      <c r="I1004" s="669" t="n"/>
      <c r="J1004" s="669" t="n"/>
      <c r="K1004" s="669" t="n"/>
      <c r="L1004" s="669" t="n"/>
      <c r="M1004" s="669" t="n"/>
      <c r="N1004" s="669" t="n"/>
      <c r="O1004" s="669" t="n"/>
      <c r="P1004" s="669" t="n"/>
      <c r="Q1004" s="669" t="n"/>
      <c r="R1004" s="669" t="n"/>
      <c r="S1004" s="669" t="n"/>
      <c r="T1004" s="669" t="n"/>
      <c r="U1004" s="669" t="n"/>
      <c r="V1004" s="669" t="n"/>
      <c r="W1004" s="669" t="n"/>
      <c r="X1004" s="669" t="n"/>
      <c r="Y1004" s="669" t="n"/>
      <c r="Z1004" s="669" t="n"/>
    </row>
    <row r="1005">
      <c r="A1005" s="669" t="n"/>
      <c r="B1005" s="669" t="n"/>
      <c r="C1005" s="669" t="n"/>
      <c r="D1005" s="669" t="n"/>
      <c r="E1005" s="669" t="n"/>
      <c r="F1005" s="669" t="n"/>
      <c r="G1005" s="669" t="n"/>
      <c r="H1005" s="669" t="n"/>
      <c r="I1005" s="669" t="n"/>
      <c r="J1005" s="669" t="n"/>
      <c r="K1005" s="669" t="n"/>
      <c r="L1005" s="669" t="n"/>
      <c r="M1005" s="669" t="n"/>
      <c r="N1005" s="669" t="n"/>
      <c r="O1005" s="669" t="n"/>
      <c r="P1005" s="669" t="n"/>
      <c r="Q1005" s="669" t="n"/>
      <c r="R1005" s="669" t="n"/>
      <c r="S1005" s="669" t="n"/>
      <c r="T1005" s="669" t="n"/>
      <c r="U1005" s="669" t="n"/>
      <c r="V1005" s="669" t="n"/>
      <c r="W1005" s="669" t="n"/>
      <c r="X1005" s="669" t="n"/>
      <c r="Y1005" s="669" t="n"/>
      <c r="Z1005" s="669" t="n"/>
    </row>
    <row r="1006">
      <c r="A1006" s="669" t="n"/>
      <c r="B1006" s="669" t="n"/>
      <c r="C1006" s="669" t="n"/>
      <c r="D1006" s="669" t="n"/>
      <c r="E1006" s="669" t="n"/>
      <c r="F1006" s="669" t="n"/>
      <c r="G1006" s="669" t="n"/>
      <c r="H1006" s="669" t="n"/>
      <c r="I1006" s="669" t="n"/>
      <c r="J1006" s="669" t="n"/>
      <c r="K1006" s="669" t="n"/>
      <c r="L1006" s="669" t="n"/>
      <c r="M1006" s="669" t="n"/>
      <c r="N1006" s="669" t="n"/>
      <c r="O1006" s="669" t="n"/>
      <c r="P1006" s="669" t="n"/>
      <c r="Q1006" s="669" t="n"/>
      <c r="R1006" s="669" t="n"/>
      <c r="S1006" s="669" t="n"/>
      <c r="T1006" s="669" t="n"/>
      <c r="U1006" s="669" t="n"/>
      <c r="V1006" s="669" t="n"/>
      <c r="W1006" s="669" t="n"/>
      <c r="X1006" s="669" t="n"/>
      <c r="Y1006" s="669" t="n"/>
      <c r="Z1006" s="669" t="n"/>
    </row>
  </sheetData>
  <conditionalFormatting sqref="B4">
    <cfRule type="cellIs" priority="1" operator="equal" dxfId="26">
      <formula>"Zombie"</formula>
    </cfRule>
    <cfRule type="cellIs" priority="2" operator="equal" dxfId="9">
      <formula>"Demon"</formula>
    </cfRule>
    <cfRule type="cellIs" priority="3" operator="equal" dxfId="28">
      <formula>"Angel"</formula>
    </cfRule>
    <cfRule type="cellIs" priority="4" operator="equal" dxfId="29">
      <formula>"Mutant"</formula>
    </cfRule>
    <cfRule type="cellIs" priority="5" operator="equal" dxfId="30">
      <formula>"Mecha"</formula>
    </cfRule>
    <cfRule type="cellIs" priority="6" operator="equal" dxfId="31">
      <formula>"Dragon"</formula>
    </cfRule>
  </conditionalFormatting>
  <dataValidations count="4">
    <dataValidation sqref="B11" showDropDown="0" showInputMessage="0" showErrorMessage="1" allowBlank="1" type="list">
      <formula1>"TRUE,FALSE"</formula1>
    </dataValidation>
    <dataValidation sqref="B3" showDropDown="0" showInputMessage="0" showErrorMessage="1" allowBlank="1" type="list">
      <formula1>"Prince Nerd,Ghost Zadako,Sewer Turtle,Nito UR,Babyeater,Big Gal Park,Red Doe,Sleuth Doom,Neadergal,Fallen Noble,Kim Chi-yum,Athena,Toraemon,Leeku,Son of Will,Chichikaka,Lee Gi-na,Demon Chan-hee,Female Daemon,Roachikin,Jiro Toyato,Zhuge Liang,Peter Jr.,Sna"&amp;"il Mech,Taoist Yu Ji,Mosasaur,Slug Dragon Tutor,Must-Not-Name"</formula1>
    </dataValidation>
    <dataValidation sqref="B3" showDropDown="0" showInputMessage="0" showErrorMessage="0" allowBlank="1" errorTitle="Invalid Partner" error="Please select a valid partner." promptTitle="Partner Selection" prompt="Select a partner" type="list">
      <formula1>$A$23:$A$51</formula1>
    </dataValidation>
    <dataValidation sqref="B8:D8" showDropDown="0" showInputMessage="0" showErrorMessage="0" allowBlank="1" errorTitle="Invalid Level" error="Target level must be a positive whole number." type="whole" operator="greaterThan">
      <formula1>0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U106"/>
  <sheetViews>
    <sheetView workbookViewId="0">
      <selection activeCell="A1" sqref="A1"/>
    </sheetView>
  </sheetViews>
  <sheetFormatPr baseColWidth="8" defaultColWidth="9.18" defaultRowHeight="15" customHeight="1"/>
  <cols>
    <col width="10.64" customWidth="1" style="1128" min="1" max="1"/>
    <col width="8.550000000000001" customWidth="1" style="1128" min="2" max="2"/>
    <col width="9.640000000000001" customWidth="1" style="1128" min="3" max="3"/>
    <col width="7.64" customWidth="1" style="1128" min="4" max="4"/>
    <col width="23.27" customWidth="1" style="1128" min="5" max="5"/>
    <col width="8.449999999999999" customWidth="1" style="1128" min="6" max="6"/>
    <col width="16.18" customWidth="1" style="1128" min="7" max="7"/>
    <col width="10.73" customWidth="1" style="1128" min="8" max="8"/>
    <col width="23.55" customWidth="1" style="1128" min="12" max="12"/>
    <col width="10.45" customWidth="1" style="1128" min="15" max="15"/>
    <col width="24" customWidth="1" style="1128" min="19" max="19"/>
  </cols>
  <sheetData>
    <row r="1">
      <c r="A1" s="853" t="inlineStr">
        <is>
          <t>T5 -&gt; T6 Research</t>
        </is>
      </c>
      <c r="B1" s="738" t="n"/>
      <c r="C1" s="738" t="n"/>
      <c r="D1" s="738" t="n"/>
      <c r="E1" s="738" t="n"/>
      <c r="F1" s="685" t="n"/>
      <c r="H1" s="853" t="inlineStr">
        <is>
          <t>T6 -&gt; T7 Research</t>
        </is>
      </c>
      <c r="I1" s="738" t="n"/>
      <c r="J1" s="738" t="n"/>
      <c r="K1" s="738" t="n"/>
      <c r="L1" s="738" t="n"/>
      <c r="M1" s="685" t="n"/>
      <c r="O1" s="853" t="inlineStr">
        <is>
          <t>T7 -&gt; T8 Research</t>
        </is>
      </c>
      <c r="P1" s="738" t="n"/>
      <c r="Q1" s="738" t="n"/>
      <c r="R1" s="738" t="n"/>
      <c r="S1" s="738" t="n"/>
      <c r="T1" s="685" t="n"/>
    </row>
    <row r="2">
      <c r="A2" s="811" t="inlineStr">
        <is>
          <t>1A - HP Up III</t>
        </is>
      </c>
      <c r="B2" s="813" t="inlineStr">
        <is>
          <t>Time</t>
        </is>
      </c>
      <c r="C2" s="813" t="inlineStr">
        <is>
          <t>Cells</t>
        </is>
      </c>
      <c r="D2" s="813" t="inlineStr">
        <is>
          <t>Btads</t>
        </is>
      </c>
      <c r="E2" s="813" t="n"/>
      <c r="F2" s="868" t="inlineStr">
        <is>
          <t>DNA Points</t>
        </is>
      </c>
      <c r="H2" s="811" t="inlineStr">
        <is>
          <t>1A - Troop DEF Up III</t>
        </is>
      </c>
      <c r="I2" s="813" t="inlineStr">
        <is>
          <t>Time (hours)</t>
        </is>
      </c>
      <c r="J2" s="813" t="inlineStr">
        <is>
          <t>Cells</t>
        </is>
      </c>
      <c r="K2" s="813" t="inlineStr">
        <is>
          <t>Btads</t>
        </is>
      </c>
      <c r="L2" s="813" t="n"/>
      <c r="M2" s="868" t="inlineStr">
        <is>
          <t>DNA Points</t>
        </is>
      </c>
      <c r="O2" s="811" t="inlineStr">
        <is>
          <t>1A - HP Up IV</t>
        </is>
      </c>
      <c r="P2" s="813" t="inlineStr">
        <is>
          <t>Time (days)</t>
        </is>
      </c>
      <c r="Q2" s="813" t="inlineStr">
        <is>
          <t>Cells</t>
        </is>
      </c>
      <c r="R2" s="813" t="inlineStr">
        <is>
          <t>Btads</t>
        </is>
      </c>
      <c r="S2" s="813" t="n"/>
      <c r="T2" s="868" t="inlineStr">
        <is>
          <t>DNA Points</t>
        </is>
      </c>
    </row>
    <row r="3">
      <c r="A3" s="815" t="n">
        <v>1</v>
      </c>
      <c r="B3" s="830" t="n">
        <v>6</v>
      </c>
      <c r="C3" s="860" t="n">
        <v>4000</v>
      </c>
      <c r="D3" s="860" t="n">
        <v>10000</v>
      </c>
      <c r="E3" s="828" t="inlineStr">
        <is>
          <t>Snail HP +60</t>
        </is>
      </c>
      <c r="F3" s="819" t="n">
        <v>80</v>
      </c>
      <c r="H3" s="815" t="n">
        <v>1</v>
      </c>
      <c r="I3" s="830" t="n">
        <v>12</v>
      </c>
      <c r="J3" s="860" t="n">
        <v>10000</v>
      </c>
      <c r="K3" s="860" t="n">
        <v>50000</v>
      </c>
      <c r="L3" s="828" t="inlineStr">
        <is>
          <t>Per 30 Minions, Troop DEF +9</t>
        </is>
      </c>
      <c r="M3" s="819" t="n">
        <v>120</v>
      </c>
      <c r="O3" s="815" t="n">
        <v>1</v>
      </c>
      <c r="P3" s="830" t="n">
        <v>2</v>
      </c>
      <c r="Q3" s="860" t="n">
        <v>20000</v>
      </c>
      <c r="R3" s="860" t="n">
        <v>200000</v>
      </c>
      <c r="S3" s="828" t="inlineStr">
        <is>
          <t>Snail HP +180</t>
        </is>
      </c>
      <c r="T3" s="819" t="n">
        <v>200</v>
      </c>
    </row>
    <row r="4">
      <c r="A4" s="815" t="n">
        <v>2</v>
      </c>
      <c r="B4" s="830" t="n">
        <v>9</v>
      </c>
      <c r="C4" s="860" t="n">
        <v>5000</v>
      </c>
      <c r="D4" s="860" t="n">
        <v>12500</v>
      </c>
      <c r="E4" s="828" t="inlineStr">
        <is>
          <t>Snail HP +140</t>
        </is>
      </c>
      <c r="F4" s="819" t="n">
        <v>120</v>
      </c>
      <c r="H4" s="815" t="n">
        <v>2</v>
      </c>
      <c r="I4" s="830" t="n">
        <v>20</v>
      </c>
      <c r="J4" s="860" t="n">
        <v>12500</v>
      </c>
      <c r="K4" s="860" t="n">
        <v>62500</v>
      </c>
      <c r="L4" s="828" t="inlineStr">
        <is>
          <t>Per 30 Minions, Troop DEF +18</t>
        </is>
      </c>
      <c r="M4" s="819" t="n">
        <v>180</v>
      </c>
      <c r="O4" s="815" t="n">
        <v>2</v>
      </c>
      <c r="P4" s="830" t="n">
        <v>3</v>
      </c>
      <c r="Q4" s="860" t="n">
        <v>25000</v>
      </c>
      <c r="R4" s="860" t="n">
        <v>250000</v>
      </c>
      <c r="S4" s="828" t="inlineStr">
        <is>
          <t>Snail HP +390</t>
        </is>
      </c>
      <c r="T4" s="819" t="n">
        <v>300</v>
      </c>
    </row>
    <row r="5">
      <c r="A5" s="815" t="n">
        <v>3</v>
      </c>
      <c r="B5" s="830" t="n">
        <v>12</v>
      </c>
      <c r="C5" s="860" t="n">
        <v>6000</v>
      </c>
      <c r="D5" s="860" t="n">
        <v>15000</v>
      </c>
      <c r="E5" s="828" t="inlineStr">
        <is>
          <t>Snail HP +240</t>
        </is>
      </c>
      <c r="F5" s="819" t="n">
        <v>160</v>
      </c>
      <c r="H5" s="815" t="n">
        <v>3</v>
      </c>
      <c r="I5" s="830" t="n">
        <v>28</v>
      </c>
      <c r="J5" s="860" t="n">
        <v>15000</v>
      </c>
      <c r="K5" s="860" t="n">
        <v>75000</v>
      </c>
      <c r="L5" s="828" t="inlineStr">
        <is>
          <t>Per 30 Minions, Troop DEF +27</t>
        </is>
      </c>
      <c r="M5" s="819" t="n">
        <v>240</v>
      </c>
      <c r="O5" s="815" t="n">
        <v>3</v>
      </c>
      <c r="P5" s="830" t="n">
        <v>4</v>
      </c>
      <c r="Q5" s="860" t="n">
        <v>30000</v>
      </c>
      <c r="R5" s="860" t="n">
        <v>300000</v>
      </c>
      <c r="S5" s="828" t="inlineStr">
        <is>
          <t>Snail HP +630</t>
        </is>
      </c>
      <c r="T5" s="819" t="n">
        <v>400</v>
      </c>
    </row>
    <row r="6">
      <c r="A6" s="815" t="n">
        <v>4</v>
      </c>
      <c r="B6" s="830" t="n">
        <v>15</v>
      </c>
      <c r="C6" s="860" t="n">
        <v>7000</v>
      </c>
      <c r="D6" s="860" t="n">
        <v>17500</v>
      </c>
      <c r="E6" s="828" t="inlineStr">
        <is>
          <t>Snail HP +360</t>
        </is>
      </c>
      <c r="F6" s="819" t="n">
        <v>200</v>
      </c>
      <c r="H6" s="815" t="n">
        <v>4</v>
      </c>
      <c r="I6" s="830" t="n">
        <v>36</v>
      </c>
      <c r="J6" s="860" t="n">
        <v>17500</v>
      </c>
      <c r="K6" s="860" t="n">
        <v>87500</v>
      </c>
      <c r="L6" s="828" t="inlineStr">
        <is>
          <t>Per 30 Minions, Troop DEF +36</t>
        </is>
      </c>
      <c r="M6" s="819" t="n">
        <v>300</v>
      </c>
      <c r="O6" s="815" t="n">
        <v>4</v>
      </c>
      <c r="P6" s="830" t="n">
        <v>5</v>
      </c>
      <c r="Q6" s="860" t="n">
        <v>35000</v>
      </c>
      <c r="R6" s="860" t="n">
        <v>350000</v>
      </c>
      <c r="S6" s="828" t="inlineStr">
        <is>
          <t>Snail HP +900</t>
        </is>
      </c>
      <c r="T6" s="819" t="n">
        <v>500</v>
      </c>
    </row>
    <row r="7">
      <c r="A7" s="815" t="n">
        <v>5</v>
      </c>
      <c r="B7" s="830" t="n">
        <v>18</v>
      </c>
      <c r="C7" s="860" t="n">
        <v>8000</v>
      </c>
      <c r="D7" s="860" t="n">
        <v>20000</v>
      </c>
      <c r="E7" s="828" t="inlineStr">
        <is>
          <t>Snail HP +500</t>
        </is>
      </c>
      <c r="F7" s="819" t="n">
        <v>240</v>
      </c>
      <c r="H7" s="815" t="n">
        <v>5</v>
      </c>
      <c r="I7" s="830" t="n">
        <v>44</v>
      </c>
      <c r="J7" s="860" t="n">
        <v>20000</v>
      </c>
      <c r="K7" s="860" t="n">
        <v>100000</v>
      </c>
      <c r="L7" s="828" t="inlineStr">
        <is>
          <t>Per 30 Minions, Troop DEF +45</t>
        </is>
      </c>
      <c r="M7" s="819" t="n">
        <v>360</v>
      </c>
      <c r="O7" s="815" t="n">
        <v>5</v>
      </c>
      <c r="P7" s="830" t="n">
        <v>6</v>
      </c>
      <c r="Q7" s="860" t="n">
        <v>40000</v>
      </c>
      <c r="R7" s="860" t="n">
        <v>400000</v>
      </c>
      <c r="S7" s="828" t="inlineStr">
        <is>
          <t>Snail HP +1200</t>
        </is>
      </c>
      <c r="T7" s="819" t="n">
        <v>600</v>
      </c>
    </row>
    <row r="8">
      <c r="A8" s="815" t="n">
        <v>6</v>
      </c>
      <c r="B8" s="830" t="n">
        <v>21</v>
      </c>
      <c r="C8" s="860" t="n">
        <v>9000</v>
      </c>
      <c r="D8" s="860" t="n">
        <v>22500</v>
      </c>
      <c r="E8" s="828" t="inlineStr">
        <is>
          <t>Snail HP +660</t>
        </is>
      </c>
      <c r="F8" s="819" t="n">
        <v>280</v>
      </c>
      <c r="H8" s="815" t="n">
        <v>6</v>
      </c>
      <c r="I8" s="830" t="n">
        <v>52</v>
      </c>
      <c r="J8" s="860" t="n">
        <v>22500</v>
      </c>
      <c r="K8" s="860" t="n">
        <v>112500</v>
      </c>
      <c r="L8" s="828" t="inlineStr">
        <is>
          <t>Per 30 Minions, Troop DEF +54</t>
        </is>
      </c>
      <c r="M8" s="819" t="n">
        <v>420</v>
      </c>
      <c r="O8" s="815" t="n">
        <v>6</v>
      </c>
      <c r="P8" s="830" t="n">
        <v>7</v>
      </c>
      <c r="Q8" s="860" t="n">
        <v>45000</v>
      </c>
      <c r="R8" s="860" t="n">
        <v>450000</v>
      </c>
      <c r="S8" s="828" t="inlineStr">
        <is>
          <t>Snail HP +1530</t>
        </is>
      </c>
      <c r="T8" s="819" t="n">
        <v>700</v>
      </c>
    </row>
    <row r="9">
      <c r="A9" s="815" t="n">
        <v>7</v>
      </c>
      <c r="B9" s="830" t="n">
        <v>24</v>
      </c>
      <c r="C9" s="860" t="n">
        <v>10000</v>
      </c>
      <c r="D9" s="860" t="n">
        <v>25000</v>
      </c>
      <c r="E9" s="828" t="inlineStr">
        <is>
          <t>Snail HP +840</t>
        </is>
      </c>
      <c r="F9" s="819" t="n">
        <v>320</v>
      </c>
      <c r="H9" s="815" t="n">
        <v>7</v>
      </c>
      <c r="I9" s="830" t="n">
        <v>60</v>
      </c>
      <c r="J9" s="860" t="n">
        <v>25000</v>
      </c>
      <c r="K9" s="860" t="n">
        <v>125000</v>
      </c>
      <c r="L9" s="828" t="inlineStr">
        <is>
          <t>Per 30 Minions, Troop DEF +63</t>
        </is>
      </c>
      <c r="M9" s="819" t="n">
        <v>480</v>
      </c>
      <c r="O9" s="815" t="n">
        <v>7</v>
      </c>
      <c r="P9" s="830" t="n">
        <v>8</v>
      </c>
      <c r="Q9" s="860" t="n">
        <v>50000</v>
      </c>
      <c r="R9" s="860" t="n">
        <v>500000</v>
      </c>
      <c r="S9" s="828" t="inlineStr">
        <is>
          <t>Snail HP +1890</t>
        </is>
      </c>
      <c r="T9" s="819" t="n">
        <v>800</v>
      </c>
    </row>
    <row r="10">
      <c r="A10" s="815" t="n">
        <v>8</v>
      </c>
      <c r="B10" s="830" t="n">
        <v>27</v>
      </c>
      <c r="C10" s="860" t="n">
        <v>11000</v>
      </c>
      <c r="D10" s="860" t="n">
        <v>25000</v>
      </c>
      <c r="E10" s="828" t="inlineStr">
        <is>
          <t>Snail HP +1,040</t>
        </is>
      </c>
      <c r="F10" s="819" t="n">
        <v>360</v>
      </c>
      <c r="H10" s="815" t="n">
        <v>8</v>
      </c>
      <c r="I10" s="830" t="n">
        <v>68</v>
      </c>
      <c r="J10" s="860" t="n">
        <v>27500</v>
      </c>
      <c r="K10" s="860" t="n">
        <v>137500</v>
      </c>
      <c r="L10" s="828" t="inlineStr">
        <is>
          <t>Per 30 Minions, Troop DEF +72</t>
        </is>
      </c>
      <c r="M10" s="819" t="n">
        <v>540</v>
      </c>
      <c r="O10" s="815" t="n">
        <v>8</v>
      </c>
      <c r="P10" s="830" t="n">
        <v>9</v>
      </c>
      <c r="Q10" s="860" t="n">
        <v>55000</v>
      </c>
      <c r="R10" s="860" t="n">
        <v>550000</v>
      </c>
      <c r="S10" s="828" t="inlineStr">
        <is>
          <t>Snail HP +2280</t>
        </is>
      </c>
      <c r="T10" s="819" t="n">
        <v>900</v>
      </c>
    </row>
    <row r="11">
      <c r="A11" s="815" t="n">
        <v>9</v>
      </c>
      <c r="B11" s="830" t="n">
        <v>30</v>
      </c>
      <c r="C11" s="860" t="n">
        <v>12000</v>
      </c>
      <c r="D11" s="860" t="n">
        <v>30000</v>
      </c>
      <c r="E11" s="828" t="inlineStr">
        <is>
          <t>Snail HP +1,260</t>
        </is>
      </c>
      <c r="F11" s="819" t="n">
        <v>400</v>
      </c>
      <c r="H11" s="815" t="n">
        <v>9</v>
      </c>
      <c r="I11" s="830" t="n">
        <v>76</v>
      </c>
      <c r="J11" s="860" t="n">
        <v>30000</v>
      </c>
      <c r="K11" s="860" t="n">
        <v>150000</v>
      </c>
      <c r="L11" s="828" t="inlineStr">
        <is>
          <t>Per 30 Minions, Troop DEF +81</t>
        </is>
      </c>
      <c r="M11" s="819" t="n">
        <v>600</v>
      </c>
      <c r="O11" s="815" t="n">
        <v>9</v>
      </c>
      <c r="P11" s="830" t="n">
        <v>10</v>
      </c>
      <c r="Q11" s="860" t="n">
        <v>60000</v>
      </c>
      <c r="R11" s="860" t="n">
        <v>600000</v>
      </c>
      <c r="S11" s="828" t="inlineStr">
        <is>
          <t>Snail HP +2700</t>
        </is>
      </c>
      <c r="T11" s="819" t="n">
        <v>1000</v>
      </c>
    </row>
    <row r="12">
      <c r="A12" s="815" t="n">
        <v>10</v>
      </c>
      <c r="B12" s="830" t="n">
        <v>33</v>
      </c>
      <c r="C12" s="860" t="n">
        <v>13000</v>
      </c>
      <c r="D12" s="860" t="n">
        <v>32500</v>
      </c>
      <c r="E12" s="828" t="inlineStr">
        <is>
          <t>Snail HP +1,500</t>
        </is>
      </c>
      <c r="F12" s="819" t="n">
        <v>440</v>
      </c>
      <c r="H12" s="815" t="n">
        <v>10</v>
      </c>
      <c r="I12" s="830" t="n">
        <v>84</v>
      </c>
      <c r="J12" s="860" t="n">
        <v>32500</v>
      </c>
      <c r="K12" s="860" t="n">
        <v>162500</v>
      </c>
      <c r="L12" s="828" t="inlineStr">
        <is>
          <t>Per 30 Minions, Troop DEF +90</t>
        </is>
      </c>
      <c r="M12" s="819" t="n">
        <v>660</v>
      </c>
      <c r="O12" s="815" t="n">
        <v>10</v>
      </c>
      <c r="P12" s="830" t="n">
        <v>11</v>
      </c>
      <c r="Q12" s="860" t="n">
        <v>65000</v>
      </c>
      <c r="R12" s="860" t="n">
        <v>650000</v>
      </c>
      <c r="S12" s="828" t="inlineStr">
        <is>
          <t>Snail HP +3150</t>
        </is>
      </c>
      <c r="T12" s="819" t="n">
        <v>1100</v>
      </c>
    </row>
    <row r="13">
      <c r="A13" s="820" t="inlineStr">
        <is>
          <t>Total</t>
        </is>
      </c>
      <c r="B13" s="821">
        <f>SUM(B3:B12)</f>
        <v/>
      </c>
      <c r="C13" s="822">
        <f>SUM(C3:C12)</f>
        <v/>
      </c>
      <c r="D13" s="822">
        <f>SUM(D3:D12)</f>
        <v/>
      </c>
      <c r="E13" s="823" t="n"/>
      <c r="F13" s="824">
        <f>SUM(F3:F12)</f>
        <v/>
      </c>
      <c r="H13" s="820" t="inlineStr">
        <is>
          <t>Total</t>
        </is>
      </c>
      <c r="I13" s="821">
        <f>SUM(I3:I12)</f>
        <v/>
      </c>
      <c r="J13" s="822">
        <f>SUM(J3:J12)</f>
        <v/>
      </c>
      <c r="K13" s="822">
        <f>SUM(K3:K12)</f>
        <v/>
      </c>
      <c r="L13" s="823" t="n"/>
      <c r="M13" s="824">
        <f>SUM(M3:M12)</f>
        <v/>
      </c>
      <c r="O13" s="820" t="inlineStr">
        <is>
          <t>Total</t>
        </is>
      </c>
      <c r="P13" s="821">
        <f>SUM(P3:P12)</f>
        <v/>
      </c>
      <c r="Q13" s="822">
        <f>SUM(Q3:Q12)</f>
        <v/>
      </c>
      <c r="R13" s="822">
        <f>SUM(R3:R12)</f>
        <v/>
      </c>
      <c r="S13" s="823" t="n"/>
      <c r="T13" s="824">
        <f>SUM(T3:T12)</f>
        <v/>
      </c>
    </row>
    <row r="14">
      <c r="A14" s="825" t="n"/>
      <c r="B14" s="1037" t="n"/>
      <c r="C14" s="1037" t="n"/>
      <c r="D14" s="1037" t="n"/>
      <c r="E14" s="1037" t="n"/>
      <c r="F14" s="386" t="n"/>
      <c r="H14" s="825" t="n"/>
      <c r="I14" s="1037" t="n"/>
      <c r="J14" s="1037" t="n"/>
      <c r="K14" s="1037" t="n"/>
      <c r="L14" s="1037" t="n"/>
      <c r="M14" s="386" t="n"/>
      <c r="O14" s="825" t="n"/>
      <c r="P14" s="1037" t="n"/>
      <c r="Q14" s="1037" t="n"/>
      <c r="R14" s="1037" t="n"/>
      <c r="S14" s="1037" t="n"/>
      <c r="T14" s="386" t="n"/>
    </row>
    <row r="15">
      <c r="A15" s="861" t="n"/>
      <c r="B15" s="828" t="n"/>
      <c r="C15" s="828" t="n"/>
      <c r="D15" s="828" t="n"/>
      <c r="E15" s="828" t="n"/>
      <c r="F15" s="829" t="n"/>
      <c r="H15" s="861" t="n"/>
      <c r="I15" s="828" t="n"/>
      <c r="J15" s="828" t="n"/>
      <c r="K15" s="828" t="n"/>
      <c r="L15" s="828" t="n"/>
      <c r="M15" s="829" t="n"/>
      <c r="O15" s="861" t="n"/>
      <c r="P15" s="828" t="n"/>
      <c r="Q15" s="828" t="n"/>
      <c r="R15" s="828" t="n"/>
      <c r="S15" s="828" t="n"/>
      <c r="T15" s="829" t="n"/>
    </row>
    <row r="16">
      <c r="A16" s="811" t="inlineStr">
        <is>
          <t>1B - ATK Up III</t>
        </is>
      </c>
      <c r="B16" s="813" t="n"/>
      <c r="C16" s="813" t="inlineStr">
        <is>
          <t>Cells</t>
        </is>
      </c>
      <c r="D16" s="813" t="inlineStr">
        <is>
          <t>Btads</t>
        </is>
      </c>
      <c r="E16" s="813" t="n"/>
      <c r="F16" s="868" t="inlineStr">
        <is>
          <t>DNA Points</t>
        </is>
      </c>
      <c r="H16" s="811" t="inlineStr">
        <is>
          <t>1B - Troop RUSH Up III</t>
        </is>
      </c>
      <c r="I16" s="813" t="n"/>
      <c r="J16" s="813" t="inlineStr">
        <is>
          <t>Cells</t>
        </is>
      </c>
      <c r="K16" s="813" t="inlineStr">
        <is>
          <t>Btads</t>
        </is>
      </c>
      <c r="L16" s="813" t="n"/>
      <c r="M16" s="868" t="inlineStr">
        <is>
          <t>DNA Points</t>
        </is>
      </c>
      <c r="O16" s="811" t="inlineStr">
        <is>
          <t>1B - ATK Up IV</t>
        </is>
      </c>
      <c r="P16" s="813" t="n"/>
      <c r="Q16" s="813" t="inlineStr">
        <is>
          <t>Cells</t>
        </is>
      </c>
      <c r="R16" s="813" t="inlineStr">
        <is>
          <t>Btads</t>
        </is>
      </c>
      <c r="S16" s="813" t="n"/>
      <c r="T16" s="868" t="inlineStr">
        <is>
          <t>DNA Points</t>
        </is>
      </c>
    </row>
    <row r="17">
      <c r="A17" s="815" t="n">
        <v>1</v>
      </c>
      <c r="B17" s="830" t="n">
        <v>8</v>
      </c>
      <c r="C17" s="860" t="n">
        <v>6000</v>
      </c>
      <c r="D17" s="860" t="n">
        <v>15000</v>
      </c>
      <c r="E17" s="828" t="inlineStr">
        <is>
          <t>Snail ATK +12</t>
        </is>
      </c>
      <c r="F17" s="819" t="n">
        <v>90</v>
      </c>
      <c r="H17" s="815" t="n">
        <v>1</v>
      </c>
      <c r="I17" s="830" t="n">
        <v>15</v>
      </c>
      <c r="J17" s="860" t="n">
        <v>12000</v>
      </c>
      <c r="K17" s="860" t="n">
        <v>60000</v>
      </c>
      <c r="L17" s="828" t="inlineStr">
        <is>
          <t>Per 30 Minions, Troop RUSH +9</t>
        </is>
      </c>
      <c r="M17" s="819" t="n">
        <v>140</v>
      </c>
      <c r="O17" s="815" t="n">
        <v>1</v>
      </c>
      <c r="P17" s="830" t="n">
        <v>4</v>
      </c>
      <c r="Q17" s="860" t="n">
        <v>32000</v>
      </c>
      <c r="R17" s="860" t="n">
        <v>320000</v>
      </c>
      <c r="S17" s="828" t="inlineStr">
        <is>
          <t>Snail ATK +36</t>
        </is>
      </c>
      <c r="T17" s="819" t="n">
        <v>240</v>
      </c>
    </row>
    <row r="18">
      <c r="A18" s="815" t="n">
        <v>2</v>
      </c>
      <c r="B18" s="830" t="n">
        <v>12</v>
      </c>
      <c r="C18" s="860" t="n">
        <v>7500</v>
      </c>
      <c r="D18" s="860" t="n">
        <v>18750</v>
      </c>
      <c r="E18" s="828" t="inlineStr">
        <is>
          <t>Snail ATK +28</t>
        </is>
      </c>
      <c r="F18" s="819" t="n">
        <v>135</v>
      </c>
      <c r="H18" s="815" t="n">
        <v>2</v>
      </c>
      <c r="I18" s="830" t="n">
        <v>25</v>
      </c>
      <c r="J18" s="860" t="n">
        <v>15000</v>
      </c>
      <c r="K18" s="860" t="n">
        <v>75000</v>
      </c>
      <c r="L18" s="828" t="inlineStr">
        <is>
          <t>Per 30 Minions, Troop RUSH +18</t>
        </is>
      </c>
      <c r="M18" s="819" t="n">
        <v>210</v>
      </c>
      <c r="O18" s="815" t="n">
        <v>2</v>
      </c>
      <c r="P18" s="830" t="n">
        <v>6</v>
      </c>
      <c r="Q18" s="860" t="n">
        <v>40000</v>
      </c>
      <c r="R18" s="860" t="n">
        <v>400000</v>
      </c>
      <c r="S18" s="828" t="inlineStr">
        <is>
          <t>Snail ATK +78</t>
        </is>
      </c>
      <c r="T18" s="819" t="n">
        <v>360</v>
      </c>
    </row>
    <row r="19">
      <c r="A19" s="815" t="n">
        <v>3</v>
      </c>
      <c r="B19" s="830" t="n">
        <v>16</v>
      </c>
      <c r="C19" s="860" t="n">
        <v>9000</v>
      </c>
      <c r="D19" s="860" t="n">
        <v>22500</v>
      </c>
      <c r="E19" s="828" t="inlineStr">
        <is>
          <t>Snail ATK +48</t>
        </is>
      </c>
      <c r="F19" s="819" t="n">
        <v>180</v>
      </c>
      <c r="H19" s="815" t="n">
        <v>3</v>
      </c>
      <c r="I19" s="830" t="n">
        <v>35</v>
      </c>
      <c r="J19" s="860" t="n">
        <v>18000</v>
      </c>
      <c r="K19" s="860" t="n">
        <v>90000</v>
      </c>
      <c r="L19" s="828" t="inlineStr">
        <is>
          <t>Per 30 Minions, Troop RUSH +27</t>
        </is>
      </c>
      <c r="M19" s="819" t="n">
        <v>280</v>
      </c>
      <c r="O19" s="815" t="n">
        <v>3</v>
      </c>
      <c r="P19" s="830" t="n">
        <v>8</v>
      </c>
      <c r="Q19" s="860" t="n">
        <v>48000</v>
      </c>
      <c r="R19" s="860" t="n">
        <v>480000</v>
      </c>
      <c r="S19" s="828" t="inlineStr">
        <is>
          <t>Snail ATK +126</t>
        </is>
      </c>
      <c r="T19" s="819" t="n">
        <v>480</v>
      </c>
    </row>
    <row r="20">
      <c r="A20" s="815" t="n">
        <v>4</v>
      </c>
      <c r="B20" s="830" t="n">
        <v>20</v>
      </c>
      <c r="C20" s="860" t="n">
        <v>10500</v>
      </c>
      <c r="D20" s="860" t="n">
        <v>26250</v>
      </c>
      <c r="E20" s="828" t="inlineStr">
        <is>
          <t>Snail ATK +72</t>
        </is>
      </c>
      <c r="F20" s="819" t="n">
        <v>225</v>
      </c>
      <c r="H20" s="815" t="n">
        <v>4</v>
      </c>
      <c r="I20" s="830" t="n">
        <v>45</v>
      </c>
      <c r="J20" s="860" t="n">
        <v>21000</v>
      </c>
      <c r="K20" s="860" t="n">
        <v>105000</v>
      </c>
      <c r="L20" s="828" t="inlineStr">
        <is>
          <t>Per 30 Minions, Troop RUSH +36</t>
        </is>
      </c>
      <c r="M20" s="819" t="n">
        <v>350</v>
      </c>
      <c r="O20" s="815" t="n">
        <v>4</v>
      </c>
      <c r="P20" s="830" t="n">
        <v>10</v>
      </c>
      <c r="Q20" s="860" t="n">
        <v>56000</v>
      </c>
      <c r="R20" s="860" t="n">
        <v>560000</v>
      </c>
      <c r="S20" s="828" t="inlineStr">
        <is>
          <t>Snail ATK +180</t>
        </is>
      </c>
      <c r="T20" s="819" t="n">
        <v>600</v>
      </c>
    </row>
    <row r="21">
      <c r="A21" s="815" t="n">
        <v>5</v>
      </c>
      <c r="B21" s="830" t="n">
        <v>24</v>
      </c>
      <c r="C21" s="860" t="n">
        <v>12000</v>
      </c>
      <c r="D21" s="860" t="n">
        <v>30000</v>
      </c>
      <c r="E21" s="828" t="inlineStr">
        <is>
          <t>Snail ATK +100</t>
        </is>
      </c>
      <c r="F21" s="819" t="n">
        <v>270</v>
      </c>
      <c r="H21" s="815" t="n">
        <v>5</v>
      </c>
      <c r="I21" s="830" t="n">
        <v>55</v>
      </c>
      <c r="J21" s="860" t="n">
        <v>24000</v>
      </c>
      <c r="K21" s="860" t="n">
        <v>120000</v>
      </c>
      <c r="L21" s="828" t="inlineStr">
        <is>
          <t>Per 30 Minions, Troop RUSH +45</t>
        </is>
      </c>
      <c r="M21" s="819" t="n">
        <v>420</v>
      </c>
      <c r="O21" s="815" t="n">
        <v>5</v>
      </c>
      <c r="P21" s="830" t="n">
        <v>12</v>
      </c>
      <c r="Q21" s="860" t="n">
        <v>64000</v>
      </c>
      <c r="R21" s="860" t="n">
        <v>640000</v>
      </c>
      <c r="S21" s="828" t="inlineStr">
        <is>
          <t>Snail ATK +240</t>
        </is>
      </c>
      <c r="T21" s="819" t="n">
        <v>720</v>
      </c>
    </row>
    <row r="22">
      <c r="A22" s="815" t="n">
        <v>6</v>
      </c>
      <c r="B22" s="830" t="n">
        <v>28</v>
      </c>
      <c r="C22" s="860" t="n">
        <v>13500</v>
      </c>
      <c r="D22" s="860" t="n">
        <v>37500</v>
      </c>
      <c r="E22" s="828" t="inlineStr">
        <is>
          <t>Snail ATK +132</t>
        </is>
      </c>
      <c r="F22" s="819" t="n">
        <v>315</v>
      </c>
      <c r="H22" s="815" t="n">
        <v>6</v>
      </c>
      <c r="I22" s="830" t="n">
        <v>65</v>
      </c>
      <c r="J22" s="860" t="n">
        <v>27000</v>
      </c>
      <c r="K22" s="860" t="n">
        <v>135000</v>
      </c>
      <c r="L22" s="828" t="inlineStr">
        <is>
          <t>Per 30 Minions, Troop RUSH +54</t>
        </is>
      </c>
      <c r="M22" s="819" t="n">
        <v>490</v>
      </c>
      <c r="O22" s="815" t="n">
        <v>6</v>
      </c>
      <c r="P22" s="830" t="n">
        <v>14</v>
      </c>
      <c r="Q22" s="860" t="n">
        <v>72000</v>
      </c>
      <c r="R22" s="860" t="n">
        <v>720000</v>
      </c>
      <c r="S22" s="828" t="inlineStr">
        <is>
          <t>Snail ATK +306</t>
        </is>
      </c>
      <c r="T22" s="819" t="n">
        <v>840</v>
      </c>
    </row>
    <row r="23">
      <c r="A23" s="815" t="n">
        <v>7</v>
      </c>
      <c r="B23" s="830" t="n">
        <v>32</v>
      </c>
      <c r="C23" s="860" t="n">
        <v>15000</v>
      </c>
      <c r="D23" s="860" t="n">
        <v>37500</v>
      </c>
      <c r="E23" s="828" t="inlineStr">
        <is>
          <t>Snail ATK +168</t>
        </is>
      </c>
      <c r="F23" s="819" t="n">
        <v>360</v>
      </c>
      <c r="H23" s="815" t="n">
        <v>7</v>
      </c>
      <c r="I23" s="830" t="n">
        <v>75</v>
      </c>
      <c r="J23" s="860" t="n">
        <v>30000</v>
      </c>
      <c r="K23" s="860" t="n">
        <v>150000</v>
      </c>
      <c r="L23" s="828" t="inlineStr">
        <is>
          <t>Per 30 Minions, Troop RUSH +63</t>
        </is>
      </c>
      <c r="M23" s="819" t="n">
        <v>560</v>
      </c>
      <c r="O23" s="815" t="n">
        <v>7</v>
      </c>
      <c r="P23" s="830" t="n">
        <v>16</v>
      </c>
      <c r="Q23" s="860" t="n">
        <v>80000</v>
      </c>
      <c r="R23" s="860" t="n">
        <v>800000</v>
      </c>
      <c r="S23" s="828" t="inlineStr">
        <is>
          <t>Snail ATK +378</t>
        </is>
      </c>
      <c r="T23" s="819" t="n">
        <v>960</v>
      </c>
    </row>
    <row r="24">
      <c r="A24" s="815" t="n">
        <v>8</v>
      </c>
      <c r="B24" s="830" t="n">
        <v>36</v>
      </c>
      <c r="C24" s="860" t="n">
        <v>16500</v>
      </c>
      <c r="D24" s="860" t="n">
        <v>41250</v>
      </c>
      <c r="E24" s="828" t="inlineStr">
        <is>
          <t>Snail ATK +208</t>
        </is>
      </c>
      <c r="F24" s="819" t="n">
        <v>405</v>
      </c>
      <c r="H24" s="815" t="n">
        <v>8</v>
      </c>
      <c r="I24" s="830" t="n">
        <v>85</v>
      </c>
      <c r="J24" s="860" t="n">
        <v>33000</v>
      </c>
      <c r="K24" s="860" t="n">
        <v>165000</v>
      </c>
      <c r="L24" s="828" t="inlineStr">
        <is>
          <t>Per 30 Minions, Troop RUSH +72</t>
        </is>
      </c>
      <c r="M24" s="819" t="n">
        <v>630</v>
      </c>
      <c r="O24" s="815" t="n">
        <v>8</v>
      </c>
      <c r="P24" s="830" t="n">
        <v>18</v>
      </c>
      <c r="Q24" s="860" t="n">
        <v>88000</v>
      </c>
      <c r="R24" s="860" t="n">
        <v>880000</v>
      </c>
      <c r="S24" s="828" t="inlineStr">
        <is>
          <t>Snail ATK +456</t>
        </is>
      </c>
      <c r="T24" s="819" t="n">
        <v>1080</v>
      </c>
    </row>
    <row r="25">
      <c r="A25" s="815" t="n">
        <v>9</v>
      </c>
      <c r="B25" s="830" t="n">
        <v>40</v>
      </c>
      <c r="C25" s="860" t="n">
        <v>18000</v>
      </c>
      <c r="D25" s="860" t="n">
        <v>45000</v>
      </c>
      <c r="E25" s="828" t="inlineStr">
        <is>
          <t>Snail ATK +252</t>
        </is>
      </c>
      <c r="F25" s="819" t="n">
        <v>450</v>
      </c>
      <c r="H25" s="815" t="n">
        <v>9</v>
      </c>
      <c r="I25" s="830" t="n">
        <v>95</v>
      </c>
      <c r="J25" s="860" t="n">
        <v>36000</v>
      </c>
      <c r="K25" s="860" t="n">
        <v>180000</v>
      </c>
      <c r="L25" s="828" t="inlineStr">
        <is>
          <t>Per 30 Minions, Troop RUSH +81</t>
        </is>
      </c>
      <c r="M25" s="819" t="n">
        <v>700</v>
      </c>
      <c r="O25" s="815" t="n">
        <v>9</v>
      </c>
      <c r="P25" s="830" t="n">
        <v>20</v>
      </c>
      <c r="Q25" s="860" t="n">
        <v>96000</v>
      </c>
      <c r="R25" s="860" t="n">
        <v>960000</v>
      </c>
      <c r="S25" s="828" t="inlineStr">
        <is>
          <t>Snail ATK +540</t>
        </is>
      </c>
      <c r="T25" s="819" t="n">
        <v>1200</v>
      </c>
    </row>
    <row r="26">
      <c r="A26" s="815" t="n">
        <v>10</v>
      </c>
      <c r="B26" s="830" t="n">
        <v>44</v>
      </c>
      <c r="C26" s="860" t="n">
        <v>19500</v>
      </c>
      <c r="D26" s="860" t="n">
        <v>48750</v>
      </c>
      <c r="E26" s="828" t="inlineStr">
        <is>
          <t>Snail ATK +300</t>
        </is>
      </c>
      <c r="F26" s="819" t="n">
        <v>495</v>
      </c>
      <c r="H26" s="815" t="n">
        <v>10</v>
      </c>
      <c r="I26" s="830" t="n">
        <v>105</v>
      </c>
      <c r="J26" s="860" t="n">
        <v>39000</v>
      </c>
      <c r="K26" s="860" t="n">
        <v>195000</v>
      </c>
      <c r="L26" s="828" t="inlineStr">
        <is>
          <t>Per 30 Minions, Troop RUSH +90</t>
        </is>
      </c>
      <c r="M26" s="819" t="n">
        <v>770</v>
      </c>
      <c r="O26" s="815" t="n">
        <v>10</v>
      </c>
      <c r="P26" s="830" t="n">
        <v>22</v>
      </c>
      <c r="Q26" s="860" t="n">
        <v>104000</v>
      </c>
      <c r="R26" s="860" t="n">
        <v>1040000</v>
      </c>
      <c r="S26" s="828" t="inlineStr">
        <is>
          <t>Snail ATK +630</t>
        </is>
      </c>
      <c r="T26" s="819" t="n">
        <v>1320</v>
      </c>
    </row>
    <row r="27">
      <c r="A27" s="820" t="inlineStr">
        <is>
          <t>Total</t>
        </is>
      </c>
      <c r="B27" s="821">
        <f>SUM(B17:B26)</f>
        <v/>
      </c>
      <c r="C27" s="822">
        <f>SUM(C17:C26)</f>
        <v/>
      </c>
      <c r="D27" s="822">
        <f>SUM(D17:D26)</f>
        <v/>
      </c>
      <c r="E27" s="823" t="n"/>
      <c r="F27" s="824">
        <f>SUM(F17:F26)</f>
        <v/>
      </c>
      <c r="H27" s="820" t="inlineStr">
        <is>
          <t>Total</t>
        </is>
      </c>
      <c r="I27" s="821">
        <f>SUM(I17:I26)</f>
        <v/>
      </c>
      <c r="J27" s="822">
        <f>SUM(J17:J26)</f>
        <v/>
      </c>
      <c r="K27" s="822">
        <f>SUM(K17:K26)</f>
        <v/>
      </c>
      <c r="L27" s="823" t="n"/>
      <c r="M27" s="824">
        <f>SUM(M17:M26)</f>
        <v/>
      </c>
      <c r="O27" s="820" t="inlineStr">
        <is>
          <t>Total</t>
        </is>
      </c>
      <c r="P27" s="821">
        <f>SUM(P17:P26)</f>
        <v/>
      </c>
      <c r="Q27" s="822">
        <f>SUM(Q17:Q26)</f>
        <v/>
      </c>
      <c r="R27" s="822">
        <f>SUM(R17:R26)</f>
        <v/>
      </c>
      <c r="S27" s="823" t="n"/>
      <c r="T27" s="824">
        <f>SUM(T17:T26)</f>
        <v/>
      </c>
    </row>
    <row r="28">
      <c r="A28" s="861" t="n"/>
      <c r="B28" s="828" t="n"/>
      <c r="C28" s="828" t="n"/>
      <c r="D28" s="828" t="n"/>
      <c r="E28" s="828" t="n"/>
      <c r="F28" s="829" t="n"/>
      <c r="H28" s="861" t="n"/>
      <c r="I28" s="828" t="n"/>
      <c r="J28" s="828" t="n"/>
      <c r="K28" s="828" t="n"/>
      <c r="L28" s="828" t="n"/>
      <c r="M28" s="829" t="n"/>
      <c r="O28" s="861" t="n"/>
      <c r="P28" s="828" t="n"/>
      <c r="Q28" s="828" t="n"/>
      <c r="R28" s="828" t="n"/>
      <c r="S28" s="828" t="n"/>
      <c r="T28" s="829" t="n"/>
    </row>
    <row r="29">
      <c r="A29" s="861" t="n"/>
      <c r="B29" s="828" t="n"/>
      <c r="C29" s="828" t="n"/>
      <c r="D29" s="828" t="n"/>
      <c r="E29" s="828" t="n"/>
      <c r="F29" s="829" t="n"/>
      <c r="H29" s="861" t="n"/>
      <c r="I29" s="828" t="n"/>
      <c r="J29" s="828" t="n"/>
      <c r="K29" s="828" t="n"/>
      <c r="L29" s="828" t="n"/>
      <c r="M29" s="829" t="n"/>
      <c r="O29" s="861" t="n"/>
      <c r="P29" s="828" t="n"/>
      <c r="Q29" s="828" t="n"/>
      <c r="R29" s="828" t="n"/>
      <c r="S29" s="828" t="n"/>
      <c r="T29" s="829" t="n"/>
    </row>
    <row r="30">
      <c r="A30" s="811" t="inlineStr">
        <is>
          <t>1C - AFFCT Up III</t>
        </is>
      </c>
      <c r="B30" s="813" t="n"/>
      <c r="C30" s="813" t="inlineStr">
        <is>
          <t>Cells</t>
        </is>
      </c>
      <c r="D30" s="813" t="inlineStr">
        <is>
          <t>Btads</t>
        </is>
      </c>
      <c r="E30" s="813" t="n"/>
      <c r="F30" s="868" t="inlineStr">
        <is>
          <t>DNA Points</t>
        </is>
      </c>
      <c r="H30" s="811" t="inlineStr">
        <is>
          <t>1C - Troop HARD Up III</t>
        </is>
      </c>
      <c r="I30" s="813" t="n"/>
      <c r="J30" s="813" t="inlineStr">
        <is>
          <t>Cells</t>
        </is>
      </c>
      <c r="K30" s="813" t="inlineStr">
        <is>
          <t>Btads</t>
        </is>
      </c>
      <c r="L30" s="813" t="n"/>
      <c r="M30" s="868" t="inlineStr">
        <is>
          <t>DNA Points</t>
        </is>
      </c>
      <c r="O30" s="811" t="inlineStr">
        <is>
          <t>1C - AFFCT Up IV</t>
        </is>
      </c>
      <c r="P30" s="813" t="n"/>
      <c r="Q30" s="813" t="inlineStr">
        <is>
          <t>Cells</t>
        </is>
      </c>
      <c r="R30" s="813" t="inlineStr">
        <is>
          <t>Btads</t>
        </is>
      </c>
      <c r="S30" s="813" t="n"/>
      <c r="T30" s="868" t="inlineStr">
        <is>
          <t>DNA Points</t>
        </is>
      </c>
    </row>
    <row r="31">
      <c r="A31" s="815" t="n">
        <v>1</v>
      </c>
      <c r="B31" s="830" t="n">
        <v>10</v>
      </c>
      <c r="C31" s="860" t="n">
        <v>8000</v>
      </c>
      <c r="D31" s="860" t="n">
        <v>20000</v>
      </c>
      <c r="E31" s="828" t="inlineStr">
        <is>
          <t>AFFCT +30</t>
        </is>
      </c>
      <c r="F31" s="819" t="n">
        <v>100</v>
      </c>
      <c r="H31" s="815" t="n">
        <v>1</v>
      </c>
      <c r="I31" s="830" t="n">
        <v>18</v>
      </c>
      <c r="J31" s="860" t="n">
        <v>16000</v>
      </c>
      <c r="K31" s="860" t="n">
        <v>80000</v>
      </c>
      <c r="L31" s="828" t="inlineStr">
        <is>
          <t>Per 30 Minions, Troop HARD +3</t>
        </is>
      </c>
      <c r="M31" s="819" t="n">
        <v>160</v>
      </c>
      <c r="O31" s="815" t="n">
        <v>1</v>
      </c>
      <c r="P31" s="830" t="n">
        <v>6</v>
      </c>
      <c r="Q31" s="860" t="n">
        <v>48000</v>
      </c>
      <c r="R31" s="860" t="n">
        <v>480000</v>
      </c>
      <c r="S31" s="828" t="inlineStr">
        <is>
          <t>AFFCT +60</t>
        </is>
      </c>
      <c r="T31" s="819" t="n">
        <v>280</v>
      </c>
    </row>
    <row r="32">
      <c r="A32" s="815" t="n">
        <v>2</v>
      </c>
      <c r="B32" s="830" t="n">
        <v>15</v>
      </c>
      <c r="C32" s="860" t="n">
        <v>10000</v>
      </c>
      <c r="D32" s="860" t="n">
        <v>25000</v>
      </c>
      <c r="E32" s="828" t="inlineStr">
        <is>
          <t>AFFCT +70</t>
        </is>
      </c>
      <c r="F32" s="819" t="n">
        <v>150</v>
      </c>
      <c r="H32" s="815" t="n">
        <v>2</v>
      </c>
      <c r="I32" s="830" t="n">
        <v>30</v>
      </c>
      <c r="J32" s="860" t="n">
        <v>20000</v>
      </c>
      <c r="K32" s="860" t="n">
        <v>100000</v>
      </c>
      <c r="L32" s="828" t="inlineStr">
        <is>
          <t>Per 30 Minions, Troop HARD +6</t>
        </is>
      </c>
      <c r="M32" s="819" t="n">
        <v>240</v>
      </c>
      <c r="O32" s="815" t="n">
        <v>2</v>
      </c>
      <c r="P32" s="830" t="n">
        <v>9</v>
      </c>
      <c r="Q32" s="860" t="n">
        <v>60000</v>
      </c>
      <c r="R32" s="860" t="n">
        <v>600000</v>
      </c>
      <c r="S32" s="828" t="inlineStr">
        <is>
          <t>AFFCT +130</t>
        </is>
      </c>
      <c r="T32" s="819" t="n">
        <v>420</v>
      </c>
    </row>
    <row r="33">
      <c r="A33" s="815" t="n">
        <v>3</v>
      </c>
      <c r="B33" s="830" t="n">
        <v>20</v>
      </c>
      <c r="C33" s="860" t="n">
        <v>12000</v>
      </c>
      <c r="D33" s="860" t="n">
        <v>30000</v>
      </c>
      <c r="E33" s="828" t="inlineStr">
        <is>
          <t>AFFCT +120</t>
        </is>
      </c>
      <c r="F33" s="819" t="n">
        <v>200</v>
      </c>
      <c r="H33" s="815" t="n">
        <v>3</v>
      </c>
      <c r="I33" s="830" t="n">
        <v>42</v>
      </c>
      <c r="J33" s="860" t="n">
        <v>24000</v>
      </c>
      <c r="K33" s="860" t="n">
        <v>120000</v>
      </c>
      <c r="L33" s="828" t="inlineStr">
        <is>
          <t>Per 30 Minions, Troop HARD +9</t>
        </is>
      </c>
      <c r="M33" s="819" t="n">
        <v>320</v>
      </c>
      <c r="O33" s="815" t="n">
        <v>3</v>
      </c>
      <c r="P33" s="830" t="n">
        <v>12</v>
      </c>
      <c r="Q33" s="860" t="n">
        <v>72000</v>
      </c>
      <c r="R33" s="860" t="n">
        <v>720000</v>
      </c>
      <c r="S33" s="828" t="inlineStr">
        <is>
          <t>AFFCT +210</t>
        </is>
      </c>
      <c r="T33" s="819" t="n">
        <v>560</v>
      </c>
    </row>
    <row r="34">
      <c r="A34" s="815" t="n">
        <v>4</v>
      </c>
      <c r="B34" s="830" t="n">
        <v>25</v>
      </c>
      <c r="C34" s="860" t="n">
        <v>14000</v>
      </c>
      <c r="D34" s="860" t="n">
        <v>35000</v>
      </c>
      <c r="E34" s="828" t="inlineStr">
        <is>
          <t>AFFCT +180</t>
        </is>
      </c>
      <c r="F34" s="819" t="n">
        <v>250</v>
      </c>
      <c r="H34" s="815" t="n">
        <v>4</v>
      </c>
      <c r="I34" s="830" t="n">
        <v>54</v>
      </c>
      <c r="J34" s="860" t="n">
        <v>28000</v>
      </c>
      <c r="K34" s="860" t="n">
        <v>140000</v>
      </c>
      <c r="L34" s="828" t="inlineStr">
        <is>
          <t>Per 30 Minions, Troop HARD +12</t>
        </is>
      </c>
      <c r="M34" s="819" t="n">
        <v>400</v>
      </c>
      <c r="O34" s="815" t="n">
        <v>4</v>
      </c>
      <c r="P34" s="830" t="n">
        <v>15</v>
      </c>
      <c r="Q34" s="860" t="n">
        <v>84000</v>
      </c>
      <c r="R34" s="860" t="n">
        <v>840000</v>
      </c>
      <c r="S34" s="828" t="inlineStr">
        <is>
          <t>AFFCT +300</t>
        </is>
      </c>
      <c r="T34" s="819" t="n">
        <v>700</v>
      </c>
    </row>
    <row r="35">
      <c r="A35" s="815" t="n">
        <v>5</v>
      </c>
      <c r="B35" s="830" t="n">
        <v>30</v>
      </c>
      <c r="C35" s="860" t="n">
        <v>16000</v>
      </c>
      <c r="D35" s="860" t="n">
        <v>40000</v>
      </c>
      <c r="E35" s="828" t="inlineStr">
        <is>
          <t>AFFCT +250</t>
        </is>
      </c>
      <c r="F35" s="819" t="n">
        <v>300</v>
      </c>
      <c r="H35" s="815" t="n">
        <v>5</v>
      </c>
      <c r="I35" s="830" t="n">
        <v>66</v>
      </c>
      <c r="J35" s="860" t="n">
        <v>32000</v>
      </c>
      <c r="K35" s="860" t="n">
        <v>160000</v>
      </c>
      <c r="L35" s="828" t="inlineStr">
        <is>
          <t>Per 30 Minions, Troop HARD +15</t>
        </is>
      </c>
      <c r="M35" s="819" t="n">
        <v>480</v>
      </c>
      <c r="O35" s="815" t="n">
        <v>5</v>
      </c>
      <c r="P35" s="830" t="n">
        <v>18</v>
      </c>
      <c r="Q35" s="860" t="n">
        <v>96000</v>
      </c>
      <c r="R35" s="860" t="n">
        <v>960000</v>
      </c>
      <c r="S35" s="828" t="inlineStr">
        <is>
          <t>AFFCT +400</t>
        </is>
      </c>
      <c r="T35" s="819" t="n">
        <v>840</v>
      </c>
    </row>
    <row r="36">
      <c r="A36" s="815" t="n">
        <v>6</v>
      </c>
      <c r="B36" s="830" t="n">
        <v>35</v>
      </c>
      <c r="C36" s="860" t="n">
        <v>18000</v>
      </c>
      <c r="D36" s="860" t="n">
        <v>45000</v>
      </c>
      <c r="E36" s="828" t="inlineStr">
        <is>
          <t>AFFCT +330</t>
        </is>
      </c>
      <c r="F36" s="819" t="n">
        <v>350</v>
      </c>
      <c r="H36" s="815" t="n">
        <v>6</v>
      </c>
      <c r="I36" s="830" t="n">
        <v>78</v>
      </c>
      <c r="J36" s="860" t="n">
        <v>36000</v>
      </c>
      <c r="K36" s="860" t="n">
        <v>180000</v>
      </c>
      <c r="L36" s="828" t="inlineStr">
        <is>
          <t>Per 30 Minions, Troop HARD +18</t>
        </is>
      </c>
      <c r="M36" s="819" t="n">
        <v>560</v>
      </c>
      <c r="O36" s="815" t="n">
        <v>6</v>
      </c>
      <c r="P36" s="830" t="n">
        <v>21</v>
      </c>
      <c r="Q36" s="860" t="n">
        <v>108000</v>
      </c>
      <c r="R36" s="860" t="n">
        <v>1080000</v>
      </c>
      <c r="S36" s="828" t="inlineStr">
        <is>
          <t>AFFCT +510</t>
        </is>
      </c>
      <c r="T36" s="819" t="n">
        <v>980</v>
      </c>
    </row>
    <row r="37">
      <c r="A37" s="815" t="n">
        <v>7</v>
      </c>
      <c r="B37" s="830" t="n">
        <v>40</v>
      </c>
      <c r="C37" s="860" t="n">
        <v>20000</v>
      </c>
      <c r="D37" s="860" t="n">
        <v>50000</v>
      </c>
      <c r="E37" s="828" t="inlineStr">
        <is>
          <t>AFFCT +420</t>
        </is>
      </c>
      <c r="F37" s="819" t="n">
        <v>400</v>
      </c>
      <c r="H37" s="815" t="n">
        <v>7</v>
      </c>
      <c r="I37" s="830" t="n">
        <v>90</v>
      </c>
      <c r="J37" s="860" t="n">
        <v>40000</v>
      </c>
      <c r="K37" s="860" t="n">
        <v>200000</v>
      </c>
      <c r="L37" s="828" t="inlineStr">
        <is>
          <t>Per 30 Minions, Troop HARD +21</t>
        </is>
      </c>
      <c r="M37" s="819" t="n">
        <v>640</v>
      </c>
      <c r="O37" s="815" t="n">
        <v>7</v>
      </c>
      <c r="P37" s="830" t="n">
        <v>24</v>
      </c>
      <c r="Q37" s="860" t="n">
        <v>120000</v>
      </c>
      <c r="R37" s="860" t="n">
        <v>1200000</v>
      </c>
      <c r="S37" s="828" t="inlineStr">
        <is>
          <t>AFFCT +630</t>
        </is>
      </c>
      <c r="T37" s="819" t="n">
        <v>1120</v>
      </c>
    </row>
    <row r="38">
      <c r="A38" s="815" t="n">
        <v>8</v>
      </c>
      <c r="B38" s="830" t="n">
        <v>45</v>
      </c>
      <c r="C38" s="860" t="n">
        <v>22000</v>
      </c>
      <c r="D38" s="860" t="n">
        <v>55000</v>
      </c>
      <c r="E38" s="828" t="inlineStr">
        <is>
          <t>AFFCT +520</t>
        </is>
      </c>
      <c r="F38" s="819" t="n">
        <v>450</v>
      </c>
      <c r="H38" s="815" t="n">
        <v>8</v>
      </c>
      <c r="I38" s="830" t="n">
        <v>102</v>
      </c>
      <c r="J38" s="860" t="n">
        <v>44000</v>
      </c>
      <c r="K38" s="860" t="n">
        <v>220000</v>
      </c>
      <c r="L38" s="828" t="inlineStr">
        <is>
          <t>Per 30 Minions, Troop HARD +24</t>
        </is>
      </c>
      <c r="M38" s="819" t="n">
        <v>720</v>
      </c>
      <c r="O38" s="815" t="n">
        <v>8</v>
      </c>
      <c r="P38" s="830" t="n">
        <v>27</v>
      </c>
      <c r="Q38" s="860" t="n">
        <v>132000</v>
      </c>
      <c r="R38" s="860" t="n">
        <v>1320000</v>
      </c>
      <c r="S38" s="828" t="inlineStr">
        <is>
          <t>AFFCT +760</t>
        </is>
      </c>
      <c r="T38" s="819" t="n">
        <v>1260</v>
      </c>
    </row>
    <row r="39">
      <c r="A39" s="815" t="n">
        <v>9</v>
      </c>
      <c r="B39" s="830" t="n">
        <v>50</v>
      </c>
      <c r="C39" s="860" t="n">
        <v>24000</v>
      </c>
      <c r="D39" s="860" t="n">
        <v>60000</v>
      </c>
      <c r="E39" s="828" t="inlineStr">
        <is>
          <t>AFFCT +630</t>
        </is>
      </c>
      <c r="F39" s="819" t="n">
        <v>500</v>
      </c>
      <c r="H39" s="815" t="n">
        <v>9</v>
      </c>
      <c r="I39" s="830" t="n">
        <v>114</v>
      </c>
      <c r="J39" s="860" t="n">
        <v>48000</v>
      </c>
      <c r="K39" s="860" t="n">
        <v>240000</v>
      </c>
      <c r="L39" s="828" t="inlineStr">
        <is>
          <t>Per 30 Minions, Troop HARD +27</t>
        </is>
      </c>
      <c r="M39" s="819" t="n">
        <v>800</v>
      </c>
      <c r="O39" s="815" t="n">
        <v>9</v>
      </c>
      <c r="P39" s="830" t="n">
        <v>30</v>
      </c>
      <c r="Q39" s="860" t="n">
        <v>144000</v>
      </c>
      <c r="R39" s="860" t="n">
        <v>1440000</v>
      </c>
      <c r="S39" s="828" t="inlineStr">
        <is>
          <t>AFFCT +900</t>
        </is>
      </c>
      <c r="T39" s="819" t="n">
        <v>1400</v>
      </c>
    </row>
    <row r="40">
      <c r="A40" s="815" t="n">
        <v>10</v>
      </c>
      <c r="B40" s="830" t="n">
        <v>55</v>
      </c>
      <c r="C40" s="860" t="n">
        <v>26000</v>
      </c>
      <c r="D40" s="860" t="n">
        <v>65000</v>
      </c>
      <c r="E40" s="828" t="inlineStr">
        <is>
          <t>AFFCT +750</t>
        </is>
      </c>
      <c r="F40" s="819" t="n">
        <v>550</v>
      </c>
      <c r="H40" s="815" t="n">
        <v>10</v>
      </c>
      <c r="I40" s="830" t="n">
        <v>126</v>
      </c>
      <c r="J40" s="860" t="n">
        <v>52000</v>
      </c>
      <c r="K40" s="860" t="n">
        <v>260000</v>
      </c>
      <c r="L40" s="828" t="inlineStr">
        <is>
          <t>Per 30 Minions, Troop HARD +30</t>
        </is>
      </c>
      <c r="M40" s="819" t="n">
        <v>880</v>
      </c>
      <c r="O40" s="815" t="n">
        <v>10</v>
      </c>
      <c r="P40" s="830" t="n">
        <v>33</v>
      </c>
      <c r="Q40" s="860" t="n">
        <v>156000</v>
      </c>
      <c r="R40" s="860" t="n">
        <v>1560000</v>
      </c>
      <c r="S40" s="828" t="inlineStr">
        <is>
          <t>AFFCT +1050</t>
        </is>
      </c>
      <c r="T40" s="819" t="n">
        <v>1540</v>
      </c>
    </row>
    <row r="41">
      <c r="A41" s="820" t="inlineStr">
        <is>
          <t>Total</t>
        </is>
      </c>
      <c r="B41" s="821">
        <f>SUM(B31:B40)</f>
        <v/>
      </c>
      <c r="C41" s="822">
        <f>SUM(C31:C40)</f>
        <v/>
      </c>
      <c r="D41" s="822">
        <f>SUM(D31:D40)</f>
        <v/>
      </c>
      <c r="E41" s="823" t="n"/>
      <c r="F41" s="824">
        <f>SUM(F31:F40)</f>
        <v/>
      </c>
      <c r="G41" s="830" t="n"/>
      <c r="H41" s="820" t="inlineStr">
        <is>
          <t>Total</t>
        </is>
      </c>
      <c r="I41" s="821">
        <f>SUM(I31:I40)</f>
        <v/>
      </c>
      <c r="J41" s="822">
        <f>SUM(J31:J40)</f>
        <v/>
      </c>
      <c r="K41" s="822">
        <f>SUM(K31:K40)</f>
        <v/>
      </c>
      <c r="L41" s="823" t="n"/>
      <c r="M41" s="824">
        <f>SUM(M31:M40)</f>
        <v/>
      </c>
      <c r="O41" s="820" t="inlineStr">
        <is>
          <t>Total</t>
        </is>
      </c>
      <c r="P41" s="821">
        <f>SUM(P31:P40)</f>
        <v/>
      </c>
      <c r="Q41" s="822">
        <f>SUM(Q31:Q40)</f>
        <v/>
      </c>
      <c r="R41" s="822">
        <f>SUM(R31:R40)</f>
        <v/>
      </c>
      <c r="S41" s="823" t="n"/>
      <c r="T41" s="824">
        <f>SUM(T31:T40)</f>
        <v/>
      </c>
    </row>
    <row r="42">
      <c r="A42" s="861" t="n"/>
      <c r="B42" s="828" t="n"/>
      <c r="C42" s="828" t="n"/>
      <c r="D42" s="828" t="n"/>
      <c r="E42" s="828" t="n"/>
      <c r="F42" s="829" t="n"/>
      <c r="H42" s="861" t="n"/>
      <c r="I42" s="828" t="n"/>
      <c r="J42" s="828" t="n"/>
      <c r="K42" s="828" t="n"/>
      <c r="L42" s="828" t="n"/>
      <c r="M42" s="829" t="n"/>
      <c r="O42" s="861" t="n"/>
      <c r="P42" s="828" t="n"/>
      <c r="Q42" s="828" t="n"/>
      <c r="R42" s="828" t="n"/>
      <c r="S42" s="828" t="n"/>
      <c r="T42" s="829" t="n"/>
    </row>
    <row r="43">
      <c r="A43" s="861" t="n"/>
      <c r="B43" s="828" t="n"/>
      <c r="C43" s="828" t="n"/>
      <c r="D43" s="828" t="n"/>
      <c r="E43" s="828" t="n"/>
      <c r="F43" s="829" t="n"/>
      <c r="H43" s="861" t="n"/>
      <c r="I43" s="828" t="n"/>
      <c r="J43" s="828" t="n"/>
      <c r="K43" s="828" t="n"/>
      <c r="L43" s="828" t="n"/>
      <c r="M43" s="829" t="n"/>
      <c r="O43" s="861" t="n"/>
      <c r="P43" s="828" t="n"/>
      <c r="Q43" s="828" t="n"/>
      <c r="R43" s="828" t="n"/>
      <c r="S43" s="828" t="n"/>
      <c r="T43" s="829" t="n"/>
    </row>
    <row r="44">
      <c r="A44" s="811" t="inlineStr">
        <is>
          <t>2A - HP Up Gene III</t>
        </is>
      </c>
      <c r="B44" s="813" t="n"/>
      <c r="C44" s="813" t="inlineStr">
        <is>
          <t>Cells</t>
        </is>
      </c>
      <c r="D44" s="813" t="inlineStr">
        <is>
          <t>Btads</t>
        </is>
      </c>
      <c r="E44" s="813" t="n"/>
      <c r="F44" s="868" t="inlineStr">
        <is>
          <t>DNA Points</t>
        </is>
      </c>
      <c r="H44" s="811" t="inlineStr">
        <is>
          <t>2A - DEF Up III</t>
        </is>
      </c>
      <c r="I44" s="813" t="n"/>
      <c r="J44" s="813" t="inlineStr">
        <is>
          <t>Cells</t>
        </is>
      </c>
      <c r="K44" s="813" t="inlineStr">
        <is>
          <t>Btads</t>
        </is>
      </c>
      <c r="L44" s="813" t="n"/>
      <c r="M44" s="868" t="inlineStr">
        <is>
          <t>DNA Points</t>
        </is>
      </c>
      <c r="O44" s="811" t="inlineStr">
        <is>
          <t>2A - HP Up Gene IV</t>
        </is>
      </c>
      <c r="P44" s="813" t="n"/>
      <c r="Q44" s="813" t="inlineStr">
        <is>
          <t>Cells</t>
        </is>
      </c>
      <c r="R44" s="813" t="inlineStr">
        <is>
          <t>Btads</t>
        </is>
      </c>
      <c r="S44" s="813" t="n"/>
      <c r="T44" s="868" t="inlineStr">
        <is>
          <t>DNA Points</t>
        </is>
      </c>
    </row>
    <row r="45">
      <c r="A45" s="815" t="n">
        <v>1</v>
      </c>
      <c r="B45" s="830" t="n">
        <v>6</v>
      </c>
      <c r="C45" s="860" t="n">
        <v>4000</v>
      </c>
      <c r="D45" s="860" t="n">
        <v>10000</v>
      </c>
      <c r="E45" s="828" t="inlineStr">
        <is>
          <t>Per 30 Minions, Troop HP +90</t>
        </is>
      </c>
      <c r="F45" s="819" t="n">
        <v>80</v>
      </c>
      <c r="H45" s="815" t="n">
        <v>1</v>
      </c>
      <c r="I45" s="830" t="n">
        <v>12</v>
      </c>
      <c r="J45" s="860" t="n">
        <v>10000</v>
      </c>
      <c r="K45" s="860" t="n">
        <v>50000</v>
      </c>
      <c r="L45" s="828" t="inlineStr">
        <is>
          <t>Snail DEF +12</t>
        </is>
      </c>
      <c r="M45" s="819" t="n">
        <v>120</v>
      </c>
      <c r="O45" s="815" t="n">
        <v>1</v>
      </c>
      <c r="P45" s="830" t="n">
        <v>2</v>
      </c>
      <c r="Q45" s="860" t="n">
        <v>20000</v>
      </c>
      <c r="R45" s="860" t="n">
        <v>200000</v>
      </c>
      <c r="S45" s="828" t="inlineStr">
        <is>
          <t>Per 60 Minions, Troop HP +300</t>
        </is>
      </c>
      <c r="T45" s="819" t="n">
        <v>200</v>
      </c>
    </row>
    <row r="46">
      <c r="A46" s="815" t="n">
        <v>2</v>
      </c>
      <c r="B46" s="830" t="n">
        <v>9</v>
      </c>
      <c r="C46" s="860" t="n">
        <v>5000</v>
      </c>
      <c r="D46" s="860" t="n">
        <v>12500</v>
      </c>
      <c r="E46" s="828" t="inlineStr">
        <is>
          <t>Per 30 Minions, Troop HP +180</t>
        </is>
      </c>
      <c r="F46" s="819" t="n">
        <v>120</v>
      </c>
      <c r="H46" s="815" t="n">
        <v>2</v>
      </c>
      <c r="I46" s="830" t="n">
        <v>20</v>
      </c>
      <c r="J46" s="860" t="n">
        <v>12500</v>
      </c>
      <c r="K46" s="860" t="n">
        <v>62500</v>
      </c>
      <c r="L46" s="828" t="inlineStr">
        <is>
          <t>Snail DEF +28</t>
        </is>
      </c>
      <c r="M46" s="819" t="n">
        <v>180</v>
      </c>
      <c r="O46" s="815" t="n">
        <v>2</v>
      </c>
      <c r="P46" s="830" t="n">
        <v>3</v>
      </c>
      <c r="Q46" s="860" t="n">
        <v>25000</v>
      </c>
      <c r="R46" s="860" t="n">
        <v>250000</v>
      </c>
      <c r="S46" s="828" t="inlineStr">
        <is>
          <t>Per 60 Minions, Troop HP +600</t>
        </is>
      </c>
      <c r="T46" s="819" t="n">
        <v>300</v>
      </c>
    </row>
    <row r="47">
      <c r="A47" s="815" t="n">
        <v>3</v>
      </c>
      <c r="B47" s="830" t="n">
        <v>12</v>
      </c>
      <c r="C47" s="860" t="n">
        <v>6000</v>
      </c>
      <c r="D47" s="860" t="n">
        <v>15000</v>
      </c>
      <c r="E47" s="828" t="inlineStr">
        <is>
          <t>Per 30 Minions, Troop HP +270</t>
        </is>
      </c>
      <c r="F47" s="819" t="n">
        <v>160</v>
      </c>
      <c r="H47" s="815" t="n">
        <v>3</v>
      </c>
      <c r="I47" s="830" t="n">
        <v>28</v>
      </c>
      <c r="J47" s="860" t="n">
        <v>15000</v>
      </c>
      <c r="K47" s="860" t="n">
        <v>75000</v>
      </c>
      <c r="L47" s="828" t="inlineStr">
        <is>
          <t>Snail DEF +48</t>
        </is>
      </c>
      <c r="M47" s="819" t="n">
        <v>240</v>
      </c>
      <c r="O47" s="815" t="n">
        <v>3</v>
      </c>
      <c r="P47" s="830" t="n">
        <v>4</v>
      </c>
      <c r="Q47" s="860" t="n">
        <v>30000</v>
      </c>
      <c r="R47" s="860" t="n">
        <v>300000</v>
      </c>
      <c r="S47" s="828" t="inlineStr">
        <is>
          <t>Per 60 Minions, Troop HP +900</t>
        </is>
      </c>
      <c r="T47" s="819" t="n">
        <v>400</v>
      </c>
    </row>
    <row r="48">
      <c r="A48" s="815" t="n">
        <v>4</v>
      </c>
      <c r="B48" s="830" t="n">
        <v>15</v>
      </c>
      <c r="C48" s="860" t="n">
        <v>7000</v>
      </c>
      <c r="D48" s="860" t="n">
        <v>17500</v>
      </c>
      <c r="E48" s="828" t="inlineStr">
        <is>
          <t>Per 30 Minions, Troop HP +360</t>
        </is>
      </c>
      <c r="F48" s="819" t="n">
        <v>200</v>
      </c>
      <c r="H48" s="815" t="n">
        <v>4</v>
      </c>
      <c r="I48" s="830" t="n">
        <v>36</v>
      </c>
      <c r="J48" s="860" t="n">
        <v>17500</v>
      </c>
      <c r="K48" s="860" t="n">
        <v>87500</v>
      </c>
      <c r="L48" s="828" t="inlineStr">
        <is>
          <t>Snail DEF +72</t>
        </is>
      </c>
      <c r="M48" s="819" t="n">
        <v>300</v>
      </c>
      <c r="O48" s="815" t="n">
        <v>4</v>
      </c>
      <c r="P48" s="830" t="n">
        <v>5</v>
      </c>
      <c r="Q48" s="860" t="n">
        <v>35000</v>
      </c>
      <c r="R48" s="860" t="n">
        <v>350000</v>
      </c>
      <c r="S48" s="828" t="inlineStr">
        <is>
          <t>Per 60 Minions, Troop HP +1200</t>
        </is>
      </c>
      <c r="T48" s="819" t="n">
        <v>500</v>
      </c>
    </row>
    <row r="49">
      <c r="A49" s="815" t="n">
        <v>5</v>
      </c>
      <c r="B49" s="830" t="n">
        <v>18</v>
      </c>
      <c r="C49" s="860" t="n">
        <v>8000</v>
      </c>
      <c r="D49" s="860" t="n">
        <v>20000</v>
      </c>
      <c r="E49" s="828" t="inlineStr">
        <is>
          <t>Per 30 Minions, Troop HP +450</t>
        </is>
      </c>
      <c r="F49" s="819" t="n">
        <v>240</v>
      </c>
      <c r="H49" s="815" t="n">
        <v>5</v>
      </c>
      <c r="I49" s="830" t="n">
        <v>44</v>
      </c>
      <c r="J49" s="860" t="n">
        <v>20000</v>
      </c>
      <c r="K49" s="860" t="n">
        <v>100000</v>
      </c>
      <c r="L49" s="828" t="inlineStr">
        <is>
          <t>Snail DEF +100</t>
        </is>
      </c>
      <c r="M49" s="819" t="n">
        <v>360</v>
      </c>
      <c r="O49" s="815" t="n">
        <v>5</v>
      </c>
      <c r="P49" s="830" t="n">
        <v>6</v>
      </c>
      <c r="Q49" s="860" t="n">
        <v>40000</v>
      </c>
      <c r="R49" s="860" t="n">
        <v>400000</v>
      </c>
      <c r="S49" s="828" t="inlineStr">
        <is>
          <t>Per 60 Minions, Troop HP +1500</t>
        </is>
      </c>
      <c r="T49" s="819" t="n">
        <v>600</v>
      </c>
    </row>
    <row r="50">
      <c r="A50" s="815" t="n">
        <v>6</v>
      </c>
      <c r="B50" s="830" t="n">
        <v>21</v>
      </c>
      <c r="C50" s="860" t="n">
        <v>9000</v>
      </c>
      <c r="D50" s="860" t="n">
        <v>22500</v>
      </c>
      <c r="E50" s="828" t="inlineStr">
        <is>
          <t>Per 30 Minions, Troop HP +540</t>
        </is>
      </c>
      <c r="F50" s="819" t="n">
        <v>280</v>
      </c>
      <c r="H50" s="815" t="n">
        <v>6</v>
      </c>
      <c r="I50" s="830" t="n">
        <v>52</v>
      </c>
      <c r="J50" s="860" t="n">
        <v>22500</v>
      </c>
      <c r="K50" s="860" t="n">
        <v>112500</v>
      </c>
      <c r="L50" s="828" t="inlineStr">
        <is>
          <t>Snail DEF +132</t>
        </is>
      </c>
      <c r="M50" s="819" t="n">
        <v>420</v>
      </c>
      <c r="O50" s="815" t="n">
        <v>6</v>
      </c>
      <c r="P50" s="830" t="n">
        <v>7</v>
      </c>
      <c r="Q50" s="860" t="n">
        <v>45000</v>
      </c>
      <c r="R50" s="860" t="n">
        <v>450000</v>
      </c>
      <c r="S50" s="828" t="inlineStr">
        <is>
          <t>Per 60 Minions, Troop HP +1800</t>
        </is>
      </c>
      <c r="T50" s="819" t="n">
        <v>700</v>
      </c>
    </row>
    <row r="51">
      <c r="A51" s="815" t="n">
        <v>7</v>
      </c>
      <c r="B51" s="830" t="n">
        <v>24</v>
      </c>
      <c r="C51" s="860" t="n">
        <v>10000</v>
      </c>
      <c r="D51" s="860" t="n">
        <v>25000</v>
      </c>
      <c r="E51" s="828" t="inlineStr">
        <is>
          <t>Per 30 Minions, Troop HP +630</t>
        </is>
      </c>
      <c r="F51" s="819" t="n">
        <v>320</v>
      </c>
      <c r="H51" s="815" t="n">
        <v>7</v>
      </c>
      <c r="I51" s="830" t="n">
        <v>60</v>
      </c>
      <c r="J51" s="860" t="n">
        <v>25000</v>
      </c>
      <c r="K51" s="860" t="n">
        <v>125000</v>
      </c>
      <c r="L51" s="828" t="inlineStr">
        <is>
          <t>Snail DEF +168</t>
        </is>
      </c>
      <c r="M51" s="819" t="n">
        <v>480</v>
      </c>
      <c r="O51" s="815" t="n">
        <v>7</v>
      </c>
      <c r="P51" s="830" t="n">
        <v>8</v>
      </c>
      <c r="Q51" s="860" t="n">
        <v>50000</v>
      </c>
      <c r="R51" s="860" t="n">
        <v>500000</v>
      </c>
      <c r="S51" s="828" t="inlineStr">
        <is>
          <t>Per 60 Minions, Troop HP +2100</t>
        </is>
      </c>
      <c r="T51" s="819" t="n">
        <v>800</v>
      </c>
    </row>
    <row r="52">
      <c r="A52" s="815" t="n">
        <v>8</v>
      </c>
      <c r="B52" s="830" t="n">
        <v>27</v>
      </c>
      <c r="C52" s="860" t="n">
        <v>11000</v>
      </c>
      <c r="D52" s="860" t="n">
        <v>27500</v>
      </c>
      <c r="E52" s="828" t="inlineStr">
        <is>
          <t>Per 30 Minions, Troop HP +720</t>
        </is>
      </c>
      <c r="F52" s="819" t="n">
        <v>360</v>
      </c>
      <c r="H52" s="815" t="n">
        <v>8</v>
      </c>
      <c r="I52" s="830" t="n">
        <v>68</v>
      </c>
      <c r="J52" s="860" t="n">
        <v>27500</v>
      </c>
      <c r="K52" s="860" t="n">
        <v>137500</v>
      </c>
      <c r="L52" s="828" t="inlineStr">
        <is>
          <t>Snail DEF +208</t>
        </is>
      </c>
      <c r="M52" s="819" t="n">
        <v>540</v>
      </c>
      <c r="O52" s="815" t="n">
        <v>8</v>
      </c>
      <c r="P52" s="830" t="n">
        <v>9</v>
      </c>
      <c r="Q52" s="860" t="n">
        <v>55000</v>
      </c>
      <c r="R52" s="860" t="n">
        <v>550000</v>
      </c>
      <c r="S52" s="828" t="inlineStr">
        <is>
          <t>Per 60 Minions, Troop HP +2400</t>
        </is>
      </c>
      <c r="T52" s="819" t="n">
        <v>900</v>
      </c>
    </row>
    <row r="53">
      <c r="A53" s="815" t="n">
        <v>9</v>
      </c>
      <c r="B53" s="830" t="n">
        <v>30</v>
      </c>
      <c r="C53" s="860" t="n">
        <v>12000</v>
      </c>
      <c r="D53" s="860" t="n">
        <v>30000</v>
      </c>
      <c r="E53" s="828" t="inlineStr">
        <is>
          <t>Per 30 Minions, Troop HP +810</t>
        </is>
      </c>
      <c r="F53" s="819" t="n">
        <v>400</v>
      </c>
      <c r="H53" s="815" t="n">
        <v>9</v>
      </c>
      <c r="I53" s="830" t="n">
        <v>76</v>
      </c>
      <c r="J53" s="860" t="n">
        <v>30000</v>
      </c>
      <c r="K53" s="860" t="n">
        <v>150000</v>
      </c>
      <c r="L53" s="828" t="inlineStr">
        <is>
          <t>Snail DEF +252</t>
        </is>
      </c>
      <c r="M53" s="819" t="n">
        <v>600</v>
      </c>
      <c r="O53" s="815" t="n">
        <v>9</v>
      </c>
      <c r="P53" s="830" t="n">
        <v>10</v>
      </c>
      <c r="Q53" s="860" t="n">
        <v>60000</v>
      </c>
      <c r="R53" s="860" t="n">
        <v>600000</v>
      </c>
      <c r="S53" s="828" t="inlineStr">
        <is>
          <t>Per 60 Minions, Troop HP +2700</t>
        </is>
      </c>
      <c r="T53" s="819" t="n">
        <v>1000</v>
      </c>
    </row>
    <row r="54">
      <c r="A54" s="815" t="n">
        <v>10</v>
      </c>
      <c r="B54" s="830" t="n">
        <v>33</v>
      </c>
      <c r="C54" s="860" t="n">
        <v>13000</v>
      </c>
      <c r="D54" s="860" t="n">
        <v>32500</v>
      </c>
      <c r="E54" s="828" t="inlineStr">
        <is>
          <t>Per 30 Minions, Troop HP +900</t>
        </is>
      </c>
      <c r="F54" s="819" t="n">
        <v>440</v>
      </c>
      <c r="H54" s="815" t="n">
        <v>10</v>
      </c>
      <c r="I54" s="830" t="n">
        <v>84</v>
      </c>
      <c r="J54" s="860" t="n">
        <v>32500</v>
      </c>
      <c r="K54" s="860" t="n">
        <v>162500</v>
      </c>
      <c r="L54" s="828" t="inlineStr">
        <is>
          <t>Snail DEF +300</t>
        </is>
      </c>
      <c r="M54" s="819" t="n">
        <v>660</v>
      </c>
      <c r="O54" s="815" t="n">
        <v>10</v>
      </c>
      <c r="P54" s="830" t="n">
        <v>11</v>
      </c>
      <c r="Q54" s="860" t="n">
        <v>65000</v>
      </c>
      <c r="R54" s="860" t="n">
        <v>650000</v>
      </c>
      <c r="S54" s="828" t="inlineStr">
        <is>
          <t>Per 60 Minions, Troop HP +3000</t>
        </is>
      </c>
      <c r="T54" s="819" t="n">
        <v>1100</v>
      </c>
    </row>
    <row r="55">
      <c r="A55" s="820" t="inlineStr">
        <is>
          <t>Total</t>
        </is>
      </c>
      <c r="B55" s="821">
        <f>SUM(B45:B54)</f>
        <v/>
      </c>
      <c r="C55" s="822">
        <f>SUM(C45:C54)</f>
        <v/>
      </c>
      <c r="D55" s="822">
        <f>SUM(D45:D54)</f>
        <v/>
      </c>
      <c r="E55" s="823" t="n"/>
      <c r="F55" s="824">
        <f>SUM(F45:F54)</f>
        <v/>
      </c>
      <c r="H55" s="820" t="inlineStr">
        <is>
          <t>Total</t>
        </is>
      </c>
      <c r="I55" s="831">
        <f>SUM(I45:I54)</f>
        <v/>
      </c>
      <c r="J55" s="822">
        <f>SUM(J45:J54)</f>
        <v/>
      </c>
      <c r="K55" s="822">
        <f>SUM(K45:K54)</f>
        <v/>
      </c>
      <c r="L55" s="823" t="n"/>
      <c r="M55" s="824">
        <f>SUM(M45:M54)</f>
        <v/>
      </c>
      <c r="O55" s="820" t="inlineStr">
        <is>
          <t>Total</t>
        </is>
      </c>
      <c r="P55" s="831">
        <f>SUM(P45:P54)</f>
        <v/>
      </c>
      <c r="Q55" s="822">
        <f>SUM(Q45:Q54)</f>
        <v/>
      </c>
      <c r="R55" s="822">
        <f>SUM(R45:R54)</f>
        <v/>
      </c>
      <c r="S55" s="823" t="n"/>
      <c r="T55" s="824">
        <f>SUM(T45:T54)</f>
        <v/>
      </c>
    </row>
    <row r="56">
      <c r="A56" s="861" t="n"/>
      <c r="B56" s="828" t="n"/>
      <c r="C56" s="828" t="n"/>
      <c r="D56" s="828" t="n"/>
      <c r="E56" s="828" t="n"/>
      <c r="F56" s="829" t="n"/>
      <c r="H56" s="861" t="n"/>
      <c r="I56" s="828" t="n"/>
      <c r="J56" s="828" t="n"/>
      <c r="K56" s="828" t="n"/>
      <c r="L56" s="828" t="n"/>
      <c r="M56" s="829" t="n"/>
      <c r="O56" s="861" t="n"/>
      <c r="P56" s="828" t="n"/>
      <c r="Q56" s="828" t="n"/>
      <c r="R56" s="828" t="n"/>
      <c r="S56" s="828" t="n"/>
      <c r="T56" s="829" t="n"/>
    </row>
    <row r="57">
      <c r="A57" s="861" t="n"/>
      <c r="B57" s="828" t="n"/>
      <c r="C57" s="828" t="n"/>
      <c r="D57" s="828" t="n"/>
      <c r="E57" s="828" t="n"/>
      <c r="F57" s="829" t="n"/>
      <c r="H57" s="861" t="n"/>
      <c r="I57" s="828" t="n"/>
      <c r="J57" s="828" t="n"/>
      <c r="K57" s="828" t="n"/>
      <c r="L57" s="828" t="n"/>
      <c r="M57" s="829" t="n"/>
      <c r="O57" s="861" t="n"/>
      <c r="P57" s="828" t="n"/>
      <c r="Q57" s="828" t="n"/>
      <c r="R57" s="828" t="n"/>
      <c r="S57" s="828" t="n"/>
      <c r="T57" s="829" t="n"/>
    </row>
    <row r="58">
      <c r="A58" s="832" t="inlineStr">
        <is>
          <t>2B - ATK Up Gene III</t>
        </is>
      </c>
      <c r="B58" s="1152" t="n"/>
      <c r="C58" s="835" t="inlineStr">
        <is>
          <t>Cells</t>
        </is>
      </c>
      <c r="D58" s="835" t="inlineStr">
        <is>
          <t>Btads</t>
        </is>
      </c>
      <c r="E58" s="835" t="n"/>
      <c r="F58" s="836" t="inlineStr">
        <is>
          <t>DNA Points</t>
        </is>
      </c>
      <c r="H58" s="832" t="inlineStr">
        <is>
          <t>2B - RUSH Up III</t>
        </is>
      </c>
      <c r="I58" s="1152" t="n"/>
      <c r="J58" s="835" t="inlineStr">
        <is>
          <t>Cells</t>
        </is>
      </c>
      <c r="K58" s="835" t="inlineStr">
        <is>
          <t>Btads</t>
        </is>
      </c>
      <c r="L58" s="835" t="n"/>
      <c r="M58" s="836" t="inlineStr">
        <is>
          <t>DNA Points</t>
        </is>
      </c>
      <c r="O58" s="832" t="inlineStr">
        <is>
          <t>2B - ATK Up Gene IV</t>
        </is>
      </c>
      <c r="P58" s="1152" t="n"/>
      <c r="Q58" s="835" t="inlineStr">
        <is>
          <t>Cells</t>
        </is>
      </c>
      <c r="R58" s="835" t="inlineStr">
        <is>
          <t>Btads</t>
        </is>
      </c>
      <c r="S58" s="835" t="n"/>
      <c r="T58" s="836" t="inlineStr">
        <is>
          <t>DNA Points</t>
        </is>
      </c>
    </row>
    <row r="59">
      <c r="A59" s="837" t="n">
        <v>1</v>
      </c>
      <c r="B59" s="838" t="n">
        <v>8</v>
      </c>
      <c r="C59" s="839" t="n">
        <v>6000</v>
      </c>
      <c r="D59" s="839" t="n">
        <v>15000</v>
      </c>
      <c r="E59" s="840" t="inlineStr">
        <is>
          <t>Per 30 Minions, Troop ATK +9</t>
        </is>
      </c>
      <c r="F59" s="841" t="n">
        <v>90</v>
      </c>
      <c r="H59" s="837" t="n">
        <v>1</v>
      </c>
      <c r="I59" s="838" t="n">
        <v>15</v>
      </c>
      <c r="J59" s="839" t="n">
        <v>12000</v>
      </c>
      <c r="K59" s="839" t="n">
        <v>60000</v>
      </c>
      <c r="L59" s="840" t="inlineStr">
        <is>
          <t>Snail RUSH +12</t>
        </is>
      </c>
      <c r="M59" s="841" t="n">
        <v>140</v>
      </c>
      <c r="O59" s="837" t="n">
        <v>1</v>
      </c>
      <c r="P59" s="838" t="n">
        <v>4</v>
      </c>
      <c r="Q59" s="839" t="n">
        <v>32000</v>
      </c>
      <c r="R59" s="839" t="n">
        <v>320000</v>
      </c>
      <c r="S59" s="840" t="inlineStr">
        <is>
          <t>Per 60 Minions, Troop ATK +30</t>
        </is>
      </c>
      <c r="T59" s="841" t="n">
        <v>240</v>
      </c>
    </row>
    <row r="60">
      <c r="A60" s="842" t="n">
        <v>2</v>
      </c>
      <c r="B60" s="843" t="n">
        <v>12</v>
      </c>
      <c r="C60" s="844" t="n">
        <v>7500</v>
      </c>
      <c r="D60" s="844" t="n">
        <v>18750</v>
      </c>
      <c r="E60" s="845" t="inlineStr">
        <is>
          <t>Per 30 Minions, Troop ATK +18</t>
        </is>
      </c>
      <c r="F60" s="846" t="n">
        <v>135</v>
      </c>
      <c r="H60" s="842" t="n">
        <v>2</v>
      </c>
      <c r="I60" s="843" t="n">
        <v>25</v>
      </c>
      <c r="J60" s="844" t="n">
        <v>15000</v>
      </c>
      <c r="K60" s="844" t="n">
        <v>75000</v>
      </c>
      <c r="L60" s="845" t="inlineStr">
        <is>
          <t>Snail RUSH +28</t>
        </is>
      </c>
      <c r="M60" s="846" t="n">
        <v>210</v>
      </c>
      <c r="O60" s="842" t="n">
        <v>2</v>
      </c>
      <c r="P60" s="843" t="n">
        <v>6</v>
      </c>
      <c r="Q60" s="844" t="n">
        <v>40000</v>
      </c>
      <c r="R60" s="844" t="n">
        <v>400000</v>
      </c>
      <c r="S60" s="845" t="inlineStr">
        <is>
          <t>Per 60 Minions, Troop ATK +60</t>
        </is>
      </c>
      <c r="T60" s="846" t="n">
        <v>360</v>
      </c>
    </row>
    <row r="61">
      <c r="A61" s="837" t="n">
        <v>3</v>
      </c>
      <c r="B61" s="838" t="n">
        <v>16</v>
      </c>
      <c r="C61" s="839" t="n">
        <v>9000</v>
      </c>
      <c r="D61" s="839" t="n">
        <v>22500</v>
      </c>
      <c r="E61" s="840" t="inlineStr">
        <is>
          <t>Per 30 Minions, Troop ATK +27</t>
        </is>
      </c>
      <c r="F61" s="841" t="n">
        <v>180</v>
      </c>
      <c r="H61" s="837" t="n">
        <v>3</v>
      </c>
      <c r="I61" s="838" t="n">
        <v>35</v>
      </c>
      <c r="J61" s="839" t="n">
        <v>18000</v>
      </c>
      <c r="K61" s="839" t="n">
        <v>90000</v>
      </c>
      <c r="L61" s="840" t="inlineStr">
        <is>
          <t>Snail RUSH +48</t>
        </is>
      </c>
      <c r="M61" s="841" t="n">
        <v>280</v>
      </c>
      <c r="O61" s="837" t="n">
        <v>3</v>
      </c>
      <c r="P61" s="838" t="n">
        <v>8</v>
      </c>
      <c r="Q61" s="839" t="n">
        <v>48000</v>
      </c>
      <c r="R61" s="839" t="n">
        <v>480000</v>
      </c>
      <c r="S61" s="840" t="inlineStr">
        <is>
          <t>Per 60 Minions, Troop ATK +90</t>
        </is>
      </c>
      <c r="T61" s="841" t="n">
        <v>480</v>
      </c>
    </row>
    <row r="62">
      <c r="A62" s="842" t="n">
        <v>4</v>
      </c>
      <c r="B62" s="843" t="n">
        <v>20</v>
      </c>
      <c r="C62" s="844" t="n">
        <v>10500</v>
      </c>
      <c r="D62" s="844" t="n">
        <v>26250</v>
      </c>
      <c r="E62" s="845" t="inlineStr">
        <is>
          <t>Per 30 Minions, Troop ATK +36</t>
        </is>
      </c>
      <c r="F62" s="846" t="n">
        <v>25</v>
      </c>
      <c r="H62" s="842" t="n">
        <v>4</v>
      </c>
      <c r="I62" s="843" t="n">
        <v>45</v>
      </c>
      <c r="J62" s="844" t="n">
        <v>21000</v>
      </c>
      <c r="K62" s="844" t="n">
        <v>105000</v>
      </c>
      <c r="L62" s="845" t="inlineStr">
        <is>
          <t>Snail RUSH +72</t>
        </is>
      </c>
      <c r="M62" s="846" t="n">
        <v>350</v>
      </c>
      <c r="O62" s="842" t="n">
        <v>4</v>
      </c>
      <c r="P62" s="843" t="n">
        <v>10</v>
      </c>
      <c r="Q62" s="844" t="n">
        <v>56000</v>
      </c>
      <c r="R62" s="844" t="n">
        <v>560000</v>
      </c>
      <c r="S62" s="845" t="inlineStr">
        <is>
          <t>Per 60 Minions, Troop ATK +120</t>
        </is>
      </c>
      <c r="T62" s="846" t="n">
        <v>600</v>
      </c>
    </row>
    <row r="63">
      <c r="A63" s="837" t="n">
        <v>5</v>
      </c>
      <c r="B63" s="838" t="n">
        <v>24</v>
      </c>
      <c r="C63" s="839" t="n">
        <v>12000</v>
      </c>
      <c r="D63" s="839" t="n">
        <v>30000</v>
      </c>
      <c r="E63" s="840" t="inlineStr">
        <is>
          <t>Per 30 Minions, Troop ATK +45</t>
        </is>
      </c>
      <c r="F63" s="841" t="n">
        <v>270</v>
      </c>
      <c r="H63" s="837" t="n">
        <v>5</v>
      </c>
      <c r="I63" s="838" t="n">
        <v>55</v>
      </c>
      <c r="J63" s="839" t="n">
        <v>24000</v>
      </c>
      <c r="K63" s="839" t="n">
        <v>120000</v>
      </c>
      <c r="L63" s="840" t="inlineStr">
        <is>
          <t>Snail RUSH +100</t>
        </is>
      </c>
      <c r="M63" s="841" t="n">
        <v>420</v>
      </c>
      <c r="O63" s="837" t="n">
        <v>5</v>
      </c>
      <c r="P63" s="838" t="n">
        <v>12</v>
      </c>
      <c r="Q63" s="839" t="n">
        <v>64000</v>
      </c>
      <c r="R63" s="839" t="n">
        <v>640000</v>
      </c>
      <c r="S63" s="840" t="inlineStr">
        <is>
          <t>Per 60 Minions, Troop ATK +150</t>
        </is>
      </c>
      <c r="T63" s="841" t="n">
        <v>720</v>
      </c>
    </row>
    <row r="64">
      <c r="A64" s="842" t="n">
        <v>6</v>
      </c>
      <c r="B64" s="843" t="n">
        <v>28</v>
      </c>
      <c r="C64" s="844" t="n">
        <v>13500</v>
      </c>
      <c r="D64" s="844" t="n">
        <v>33750</v>
      </c>
      <c r="E64" s="845" t="inlineStr">
        <is>
          <t>Per 30 Minions, Troop ATK +54</t>
        </is>
      </c>
      <c r="F64" s="846" t="n">
        <v>315</v>
      </c>
      <c r="H64" s="842" t="n">
        <v>6</v>
      </c>
      <c r="I64" s="843" t="n">
        <v>65</v>
      </c>
      <c r="J64" s="844" t="n">
        <v>27000</v>
      </c>
      <c r="K64" s="844" t="n">
        <v>135000</v>
      </c>
      <c r="L64" s="845" t="inlineStr">
        <is>
          <t>Snail RUSH +132</t>
        </is>
      </c>
      <c r="M64" s="846" t="n">
        <v>490</v>
      </c>
      <c r="O64" s="842" t="n">
        <v>6</v>
      </c>
      <c r="P64" s="843" t="n">
        <v>14</v>
      </c>
      <c r="Q64" s="844" t="n">
        <v>72000</v>
      </c>
      <c r="R64" s="844" t="n">
        <v>720000</v>
      </c>
      <c r="S64" s="845" t="inlineStr">
        <is>
          <t>Per 60 Minions, Troop ATK +180</t>
        </is>
      </c>
      <c r="T64" s="846" t="n">
        <v>840</v>
      </c>
    </row>
    <row r="65">
      <c r="A65" s="837" t="n">
        <v>7</v>
      </c>
      <c r="B65" s="838" t="n">
        <v>32</v>
      </c>
      <c r="C65" s="839" t="n">
        <v>15000</v>
      </c>
      <c r="D65" s="839" t="n">
        <v>37500</v>
      </c>
      <c r="E65" s="840" t="inlineStr">
        <is>
          <t>Per 30 Minions, Troop ATK +63</t>
        </is>
      </c>
      <c r="F65" s="841" t="n">
        <v>360</v>
      </c>
      <c r="H65" s="837" t="n">
        <v>7</v>
      </c>
      <c r="I65" s="838" t="n">
        <v>75</v>
      </c>
      <c r="J65" s="839" t="n">
        <v>30000</v>
      </c>
      <c r="K65" s="839" t="n">
        <v>150000</v>
      </c>
      <c r="L65" s="840" t="inlineStr">
        <is>
          <t>Snail RUSH +168</t>
        </is>
      </c>
      <c r="M65" s="841" t="n">
        <v>560</v>
      </c>
      <c r="O65" s="837" t="n">
        <v>7</v>
      </c>
      <c r="P65" s="838" t="n">
        <v>16</v>
      </c>
      <c r="Q65" s="839" t="n">
        <v>80000</v>
      </c>
      <c r="R65" s="839" t="n">
        <v>800000</v>
      </c>
      <c r="S65" s="840" t="inlineStr">
        <is>
          <t>Per 60 Minions, Troop ATK +210</t>
        </is>
      </c>
      <c r="T65" s="841" t="n">
        <v>960</v>
      </c>
    </row>
    <row r="66">
      <c r="A66" s="842" t="n">
        <v>8</v>
      </c>
      <c r="B66" s="843" t="n">
        <v>36</v>
      </c>
      <c r="C66" s="844" t="n">
        <v>16500</v>
      </c>
      <c r="D66" s="844" t="n">
        <v>41250</v>
      </c>
      <c r="E66" s="845" t="inlineStr">
        <is>
          <t>Per 30 Minions, Troop ATK +72</t>
        </is>
      </c>
      <c r="F66" s="846" t="n">
        <v>405</v>
      </c>
      <c r="H66" s="842" t="n">
        <v>8</v>
      </c>
      <c r="I66" s="843" t="n">
        <v>85</v>
      </c>
      <c r="J66" s="844" t="n">
        <v>33000</v>
      </c>
      <c r="K66" s="844" t="n">
        <v>165000</v>
      </c>
      <c r="L66" s="845" t="inlineStr">
        <is>
          <t>Snail RUSH +208</t>
        </is>
      </c>
      <c r="M66" s="846" t="n">
        <v>630</v>
      </c>
      <c r="O66" s="842" t="n">
        <v>8</v>
      </c>
      <c r="P66" s="843" t="n">
        <v>18</v>
      </c>
      <c r="Q66" s="844" t="n">
        <v>88000</v>
      </c>
      <c r="R66" s="844" t="n">
        <v>880000</v>
      </c>
      <c r="S66" s="845" t="inlineStr">
        <is>
          <t>Per 60 Minions, Troop ATK +240</t>
        </is>
      </c>
      <c r="T66" s="846" t="n">
        <v>1080</v>
      </c>
    </row>
    <row r="67">
      <c r="A67" s="837" t="n">
        <v>9</v>
      </c>
      <c r="B67" s="838" t="n">
        <v>40</v>
      </c>
      <c r="C67" s="839" t="n">
        <v>18000</v>
      </c>
      <c r="D67" s="839" t="n">
        <v>45000</v>
      </c>
      <c r="E67" s="840" t="inlineStr">
        <is>
          <t>Per 30 Minions, Troop ATK +81</t>
        </is>
      </c>
      <c r="F67" s="841" t="n">
        <v>450</v>
      </c>
      <c r="H67" s="837" t="n">
        <v>9</v>
      </c>
      <c r="I67" s="838" t="n">
        <v>95</v>
      </c>
      <c r="J67" s="839" t="n">
        <v>36000</v>
      </c>
      <c r="K67" s="839" t="n">
        <v>180000</v>
      </c>
      <c r="L67" s="840" t="inlineStr">
        <is>
          <t>Snail RUSH +252</t>
        </is>
      </c>
      <c r="M67" s="841" t="n">
        <v>700</v>
      </c>
      <c r="O67" s="837" t="n">
        <v>9</v>
      </c>
      <c r="P67" s="838" t="n">
        <v>20</v>
      </c>
      <c r="Q67" s="839" t="n">
        <v>96000</v>
      </c>
      <c r="R67" s="839" t="n">
        <v>960000</v>
      </c>
      <c r="S67" s="840" t="inlineStr">
        <is>
          <t>Per 60 Minions, Troop ATK +270</t>
        </is>
      </c>
      <c r="T67" s="841" t="n">
        <v>1200</v>
      </c>
    </row>
    <row r="68">
      <c r="A68" s="842" t="n">
        <v>10</v>
      </c>
      <c r="B68" s="843" t="n">
        <v>44</v>
      </c>
      <c r="C68" s="844" t="n">
        <v>19500</v>
      </c>
      <c r="D68" s="844" t="n">
        <v>48750</v>
      </c>
      <c r="E68" s="845" t="inlineStr">
        <is>
          <t>Per 30 Minions, Troop ATK +90</t>
        </is>
      </c>
      <c r="F68" s="846" t="n">
        <v>495</v>
      </c>
      <c r="H68" s="842" t="n">
        <v>10</v>
      </c>
      <c r="I68" s="843" t="n">
        <v>105</v>
      </c>
      <c r="J68" s="844" t="n">
        <v>39000</v>
      </c>
      <c r="K68" s="844" t="n">
        <v>195000</v>
      </c>
      <c r="L68" s="845" t="inlineStr">
        <is>
          <t>Snail RUSH +300</t>
        </is>
      </c>
      <c r="M68" s="846" t="n">
        <v>770</v>
      </c>
      <c r="O68" s="842" t="n">
        <v>10</v>
      </c>
      <c r="P68" s="843" t="n">
        <v>22</v>
      </c>
      <c r="Q68" s="844" t="n">
        <v>104000</v>
      </c>
      <c r="R68" s="844" t="n">
        <v>1040000</v>
      </c>
      <c r="S68" s="845" t="inlineStr">
        <is>
          <t>Per 60 Minions, Troop ATK +300</t>
        </is>
      </c>
      <c r="T68" s="846" t="n">
        <v>1320</v>
      </c>
    </row>
    <row r="69">
      <c r="A69" s="847" t="inlineStr">
        <is>
          <t>Total</t>
        </is>
      </c>
      <c r="B69" s="848">
        <f>SUM(B59:B68)</f>
        <v/>
      </c>
      <c r="C69" s="849">
        <f>SUM(C59:C68)</f>
        <v/>
      </c>
      <c r="D69" s="849">
        <f>SUM(D59:D68)</f>
        <v/>
      </c>
      <c r="E69" s="850" t="n"/>
      <c r="F69" s="851">
        <f>SUM(F59:F68)</f>
        <v/>
      </c>
      <c r="H69" s="847" t="inlineStr">
        <is>
          <t>Total</t>
        </is>
      </c>
      <c r="I69" s="852">
        <f>SUM(I59:I68)</f>
        <v/>
      </c>
      <c r="J69" s="849">
        <f>SUM(J59:J68)</f>
        <v/>
      </c>
      <c r="K69" s="849">
        <f>SUM(K59:K68)</f>
        <v/>
      </c>
      <c r="L69" s="850" t="n"/>
      <c r="M69" s="851">
        <f>SUM(M59:M68)</f>
        <v/>
      </c>
      <c r="O69" s="847" t="inlineStr">
        <is>
          <t>Total</t>
        </is>
      </c>
      <c r="P69" s="852">
        <f>SUM(P59:P68)</f>
        <v/>
      </c>
      <c r="Q69" s="849">
        <f>SUM(Q59:Q68)</f>
        <v/>
      </c>
      <c r="R69" s="849">
        <f>SUM(R59:R68)</f>
        <v/>
      </c>
      <c r="S69" s="850" t="n"/>
      <c r="T69" s="851">
        <f>SUM(T59:T68)</f>
        <v/>
      </c>
    </row>
    <row r="70">
      <c r="A70" s="861" t="n"/>
      <c r="B70" s="828" t="n"/>
      <c r="C70" s="828" t="n"/>
      <c r="D70" s="828" t="n"/>
      <c r="E70" s="828" t="n"/>
      <c r="F70" s="829" t="n"/>
      <c r="H70" s="861" t="n"/>
      <c r="I70" s="828" t="n"/>
      <c r="J70" s="828" t="n"/>
      <c r="K70" s="828" t="n"/>
      <c r="L70" s="828" t="n"/>
      <c r="M70" s="829" t="n"/>
      <c r="O70" s="861" t="n"/>
      <c r="P70" s="828" t="n"/>
      <c r="Q70" s="828" t="n"/>
      <c r="R70" s="828" t="n"/>
      <c r="S70" s="828" t="n"/>
      <c r="T70" s="829" t="n"/>
    </row>
    <row r="71">
      <c r="A71" s="861" t="n"/>
      <c r="B71" s="828" t="n"/>
      <c r="C71" s="828" t="n"/>
      <c r="D71" s="828" t="n"/>
      <c r="E71" s="828" t="n"/>
      <c r="F71" s="829" t="n"/>
      <c r="H71" s="861" t="n"/>
      <c r="I71" s="828" t="n"/>
      <c r="J71" s="828" t="n"/>
      <c r="K71" s="828" t="n"/>
      <c r="L71" s="828" t="n"/>
      <c r="M71" s="829" t="n"/>
      <c r="O71" s="861" t="n"/>
      <c r="P71" s="828" t="n"/>
      <c r="Q71" s="828" t="n"/>
      <c r="R71" s="828" t="n"/>
      <c r="S71" s="828" t="n"/>
      <c r="T71" s="829" t="n"/>
    </row>
    <row r="72">
      <c r="A72" s="811" t="inlineStr">
        <is>
          <t>2C - All Genes Up III</t>
        </is>
      </c>
      <c r="B72" s="813" t="n"/>
      <c r="C72" s="813" t="inlineStr">
        <is>
          <t>Cells</t>
        </is>
      </c>
      <c r="D72" s="813" t="inlineStr">
        <is>
          <t>Btads</t>
        </is>
      </c>
      <c r="E72" s="813" t="n"/>
      <c r="F72" s="868" t="inlineStr">
        <is>
          <t>DNA Points</t>
        </is>
      </c>
      <c r="H72" s="811" t="inlineStr">
        <is>
          <t>2C - AFFCT Up III</t>
        </is>
      </c>
      <c r="I72" s="813" t="n"/>
      <c r="J72" s="813" t="inlineStr">
        <is>
          <t>Cells</t>
        </is>
      </c>
      <c r="K72" s="813" t="inlineStr">
        <is>
          <t>Btads</t>
        </is>
      </c>
      <c r="L72" s="813" t="n"/>
      <c r="M72" s="868" t="inlineStr">
        <is>
          <t>DNA Points</t>
        </is>
      </c>
      <c r="O72" s="811" t="inlineStr">
        <is>
          <t>2C - All Genes Up IV</t>
        </is>
      </c>
      <c r="P72" s="813" t="n"/>
      <c r="Q72" s="813" t="inlineStr">
        <is>
          <t>Cells</t>
        </is>
      </c>
      <c r="R72" s="813" t="inlineStr">
        <is>
          <t>Btads</t>
        </is>
      </c>
      <c r="S72" s="813" t="n"/>
      <c r="T72" s="868" t="inlineStr">
        <is>
          <t>DNA Points</t>
        </is>
      </c>
    </row>
    <row r="73">
      <c r="A73" s="815" t="n">
        <v>1</v>
      </c>
      <c r="B73" s="830" t="n">
        <v>10</v>
      </c>
      <c r="C73" s="860" t="n">
        <v>8000</v>
      </c>
      <c r="D73" s="860" t="n">
        <v>20000</v>
      </c>
      <c r="E73" s="828" t="inlineStr">
        <is>
          <t>Per 30 Minions, Troop HARD +3</t>
        </is>
      </c>
      <c r="F73" s="819" t="n">
        <v>100</v>
      </c>
      <c r="H73" s="815" t="n">
        <v>1</v>
      </c>
      <c r="I73" s="830" t="n">
        <v>18</v>
      </c>
      <c r="J73" s="860" t="n">
        <v>16000</v>
      </c>
      <c r="K73" s="860" t="n">
        <v>80000</v>
      </c>
      <c r="L73" s="828" t="inlineStr">
        <is>
          <t>AFFCT +30</t>
        </is>
      </c>
      <c r="M73" s="819" t="n">
        <v>160</v>
      </c>
      <c r="O73" s="815" t="n">
        <v>1</v>
      </c>
      <c r="P73" s="830" t="n">
        <v>6</v>
      </c>
      <c r="Q73" s="860" t="n">
        <v>48000</v>
      </c>
      <c r="R73" s="860" t="n">
        <v>480000</v>
      </c>
      <c r="S73" s="828" t="inlineStr">
        <is>
          <t>Per 60 Minions, Troop HARD +10</t>
        </is>
      </c>
      <c r="T73" s="819" t="n">
        <v>280</v>
      </c>
    </row>
    <row r="74">
      <c r="A74" s="815" t="n">
        <v>2</v>
      </c>
      <c r="B74" s="830" t="n">
        <v>15</v>
      </c>
      <c r="C74" s="860" t="n">
        <v>10000</v>
      </c>
      <c r="D74" s="860" t="n">
        <v>25000</v>
      </c>
      <c r="E74" s="828" t="inlineStr">
        <is>
          <t>Per 30 Minions, Troop HARD +6</t>
        </is>
      </c>
      <c r="F74" s="819" t="n">
        <v>150</v>
      </c>
      <c r="H74" s="815" t="n">
        <v>2</v>
      </c>
      <c r="I74" s="830" t="n">
        <v>30</v>
      </c>
      <c r="J74" s="860" t="n">
        <v>20000</v>
      </c>
      <c r="K74" s="860" t="n">
        <v>100000</v>
      </c>
      <c r="L74" s="828" t="inlineStr">
        <is>
          <t>AFFCT +70</t>
        </is>
      </c>
      <c r="M74" s="819" t="n">
        <v>240</v>
      </c>
      <c r="O74" s="815" t="n">
        <v>2</v>
      </c>
      <c r="P74" s="830" t="n">
        <v>9</v>
      </c>
      <c r="Q74" s="860" t="n">
        <v>60000</v>
      </c>
      <c r="R74" s="860" t="n">
        <v>600000</v>
      </c>
      <c r="S74" s="828" t="inlineStr">
        <is>
          <t>Per 60 Minions, Troop HARD +20</t>
        </is>
      </c>
      <c r="T74" s="819" t="n">
        <v>420</v>
      </c>
    </row>
    <row r="75">
      <c r="A75" s="815" t="n">
        <v>3</v>
      </c>
      <c r="B75" s="830" t="n">
        <v>20</v>
      </c>
      <c r="C75" s="860" t="n">
        <v>12000</v>
      </c>
      <c r="D75" s="860" t="n">
        <v>30000</v>
      </c>
      <c r="E75" s="828" t="inlineStr">
        <is>
          <t>Per 30 Minions, Troop HARD +9</t>
        </is>
      </c>
      <c r="F75" s="819" t="n">
        <v>200</v>
      </c>
      <c r="H75" s="815" t="n">
        <v>3</v>
      </c>
      <c r="I75" s="830" t="n">
        <v>42</v>
      </c>
      <c r="J75" s="860" t="n">
        <v>24000</v>
      </c>
      <c r="K75" s="860" t="n">
        <v>120000</v>
      </c>
      <c r="L75" s="828" t="inlineStr">
        <is>
          <t>AFFCT +120</t>
        </is>
      </c>
      <c r="M75" s="819" t="n">
        <v>320</v>
      </c>
      <c r="O75" s="815" t="n">
        <v>3</v>
      </c>
      <c r="P75" s="830" t="n">
        <v>12</v>
      </c>
      <c r="Q75" s="860" t="n">
        <v>72000</v>
      </c>
      <c r="R75" s="860" t="n">
        <v>720000</v>
      </c>
      <c r="S75" s="828" t="inlineStr">
        <is>
          <t>Per 60 Minions, Troop HARD +30</t>
        </is>
      </c>
      <c r="T75" s="819" t="n">
        <v>560</v>
      </c>
    </row>
    <row r="76">
      <c r="A76" s="815" t="n">
        <v>4</v>
      </c>
      <c r="B76" s="830" t="n">
        <v>25</v>
      </c>
      <c r="C76" s="860" t="n">
        <v>14000</v>
      </c>
      <c r="D76" s="860" t="n">
        <v>35000</v>
      </c>
      <c r="E76" s="828" t="inlineStr">
        <is>
          <t>Per 30 Minions, Troop HARD +12</t>
        </is>
      </c>
      <c r="F76" s="819" t="n">
        <v>250</v>
      </c>
      <c r="H76" s="815" t="n">
        <v>4</v>
      </c>
      <c r="I76" s="830" t="n">
        <v>54</v>
      </c>
      <c r="J76" s="860" t="n">
        <v>28000</v>
      </c>
      <c r="K76" s="860" t="n">
        <v>140000</v>
      </c>
      <c r="L76" s="828" t="inlineStr">
        <is>
          <t>AFFCT +180</t>
        </is>
      </c>
      <c r="M76" s="819" t="n">
        <v>400</v>
      </c>
      <c r="O76" s="815" t="n">
        <v>4</v>
      </c>
      <c r="P76" s="830" t="n">
        <v>15</v>
      </c>
      <c r="Q76" s="860" t="n">
        <v>84000</v>
      </c>
      <c r="R76" s="860" t="n">
        <v>840000</v>
      </c>
      <c r="S76" s="828" t="inlineStr">
        <is>
          <t>Per 60 Minions, Troop HARD +40</t>
        </is>
      </c>
      <c r="T76" s="819" t="n">
        <v>700</v>
      </c>
    </row>
    <row r="77">
      <c r="A77" s="815" t="n">
        <v>5</v>
      </c>
      <c r="B77" s="830" t="n">
        <v>30</v>
      </c>
      <c r="C77" s="860" t="n">
        <v>16000</v>
      </c>
      <c r="D77" s="860" t="n">
        <v>40000</v>
      </c>
      <c r="E77" s="828" t="inlineStr">
        <is>
          <t>Per 30 Minions, Troop HARD +15</t>
        </is>
      </c>
      <c r="F77" s="819" t="n">
        <v>300</v>
      </c>
      <c r="H77" s="815" t="n">
        <v>5</v>
      </c>
      <c r="I77" s="830" t="n">
        <v>66</v>
      </c>
      <c r="J77" s="860" t="n">
        <v>32000</v>
      </c>
      <c r="K77" s="860" t="n">
        <v>160000</v>
      </c>
      <c r="L77" s="828" t="inlineStr">
        <is>
          <t>AFFCT +250</t>
        </is>
      </c>
      <c r="M77" s="819" t="n">
        <v>480</v>
      </c>
      <c r="O77" s="815" t="n">
        <v>5</v>
      </c>
      <c r="P77" s="830" t="n">
        <v>18</v>
      </c>
      <c r="Q77" s="860" t="n">
        <v>96000</v>
      </c>
      <c r="R77" s="860" t="n">
        <v>960000</v>
      </c>
      <c r="S77" s="828" t="inlineStr">
        <is>
          <t>Per 60 Minions, Troop HARD +50</t>
        </is>
      </c>
      <c r="T77" s="819" t="n">
        <v>840</v>
      </c>
    </row>
    <row r="78">
      <c r="A78" s="815" t="n">
        <v>6</v>
      </c>
      <c r="B78" s="830" t="n">
        <v>35</v>
      </c>
      <c r="C78" s="860" t="n">
        <v>18000</v>
      </c>
      <c r="D78" s="860" t="n">
        <v>45000</v>
      </c>
      <c r="E78" s="828" t="inlineStr">
        <is>
          <t>Per 30 Minions, Troop HARD +18</t>
        </is>
      </c>
      <c r="F78" s="819" t="n">
        <v>350</v>
      </c>
      <c r="H78" s="815" t="n">
        <v>6</v>
      </c>
      <c r="I78" s="830" t="n">
        <v>78</v>
      </c>
      <c r="J78" s="860" t="n">
        <v>36000</v>
      </c>
      <c r="K78" s="860" t="n">
        <v>180000</v>
      </c>
      <c r="L78" s="828" t="inlineStr">
        <is>
          <t>AFFCT +330</t>
        </is>
      </c>
      <c r="M78" s="819" t="n">
        <v>560</v>
      </c>
      <c r="O78" s="815" t="n">
        <v>6</v>
      </c>
      <c r="P78" s="830" t="n">
        <v>21</v>
      </c>
      <c r="Q78" s="860" t="n">
        <v>108000</v>
      </c>
      <c r="R78" s="860" t="n">
        <v>1080000</v>
      </c>
      <c r="S78" s="828" t="inlineStr">
        <is>
          <t>Per 60 Minions, Troop HARD +60</t>
        </is>
      </c>
      <c r="T78" s="819" t="n">
        <v>980</v>
      </c>
    </row>
    <row r="79">
      <c r="A79" s="815" t="n">
        <v>7</v>
      </c>
      <c r="B79" s="830" t="n">
        <v>40</v>
      </c>
      <c r="C79" s="860" t="n">
        <v>20000</v>
      </c>
      <c r="D79" s="860" t="n">
        <v>50000</v>
      </c>
      <c r="E79" s="828" t="inlineStr">
        <is>
          <t>Per 30 Minions, Troop HARD +21</t>
        </is>
      </c>
      <c r="F79" s="819" t="n">
        <v>400</v>
      </c>
      <c r="H79" s="815" t="n">
        <v>7</v>
      </c>
      <c r="I79" s="830" t="n">
        <v>90</v>
      </c>
      <c r="J79" s="860" t="n">
        <v>40000</v>
      </c>
      <c r="K79" s="860" t="n">
        <v>200000</v>
      </c>
      <c r="L79" s="828" t="inlineStr">
        <is>
          <t>AFFCT +420</t>
        </is>
      </c>
      <c r="M79" s="819" t="n">
        <v>640</v>
      </c>
      <c r="O79" s="815" t="n">
        <v>7</v>
      </c>
      <c r="P79" s="830" t="n">
        <v>24</v>
      </c>
      <c r="Q79" s="860" t="n">
        <v>120000</v>
      </c>
      <c r="R79" s="860" t="n">
        <v>1200000</v>
      </c>
      <c r="S79" s="828" t="inlineStr">
        <is>
          <t>Per 60 Minions, Troop HARD +70</t>
        </is>
      </c>
      <c r="T79" s="819" t="n">
        <v>1120</v>
      </c>
    </row>
    <row r="80">
      <c r="A80" s="815" t="n">
        <v>8</v>
      </c>
      <c r="B80" s="830" t="n">
        <v>45</v>
      </c>
      <c r="C80" s="860" t="n">
        <v>22000</v>
      </c>
      <c r="D80" s="860" t="n">
        <v>55000</v>
      </c>
      <c r="E80" s="828" t="inlineStr">
        <is>
          <t>Per 30 Minions, Troop HARD +24</t>
        </is>
      </c>
      <c r="F80" s="819" t="n">
        <v>450</v>
      </c>
      <c r="H80" s="815" t="n">
        <v>8</v>
      </c>
      <c r="I80" s="830" t="n">
        <v>102</v>
      </c>
      <c r="J80" s="860" t="n">
        <v>44000</v>
      </c>
      <c r="K80" s="860" t="n">
        <v>220000</v>
      </c>
      <c r="L80" s="828" t="inlineStr">
        <is>
          <t>AFFCT +520</t>
        </is>
      </c>
      <c r="M80" s="819" t="n">
        <v>720</v>
      </c>
      <c r="O80" s="815" t="n">
        <v>8</v>
      </c>
      <c r="P80" s="830" t="n">
        <v>27</v>
      </c>
      <c r="Q80" s="860" t="n">
        <v>132000</v>
      </c>
      <c r="R80" s="860" t="n">
        <v>1320000</v>
      </c>
      <c r="S80" s="828" t="inlineStr">
        <is>
          <t>Per 60 Minions, Troop HARD +80</t>
        </is>
      </c>
      <c r="T80" s="819" t="n">
        <v>1260</v>
      </c>
    </row>
    <row r="81">
      <c r="A81" s="815" t="n">
        <v>9</v>
      </c>
      <c r="B81" s="830" t="n">
        <v>50</v>
      </c>
      <c r="C81" s="860" t="n">
        <v>24000</v>
      </c>
      <c r="D81" s="860" t="n">
        <v>60000</v>
      </c>
      <c r="E81" s="828" t="inlineStr">
        <is>
          <t>Per 30 Minions, Troop HARD +27</t>
        </is>
      </c>
      <c r="F81" s="819" t="n">
        <v>500</v>
      </c>
      <c r="H81" s="815" t="n">
        <v>9</v>
      </c>
      <c r="I81" s="830" t="n">
        <v>114</v>
      </c>
      <c r="J81" s="860" t="n">
        <v>48000</v>
      </c>
      <c r="K81" s="860" t="n">
        <v>240000</v>
      </c>
      <c r="L81" s="828" t="inlineStr">
        <is>
          <t>AFFCT +630</t>
        </is>
      </c>
      <c r="M81" s="819" t="n">
        <v>800</v>
      </c>
      <c r="O81" s="815" t="n">
        <v>9</v>
      </c>
      <c r="P81" s="830" t="n">
        <v>30</v>
      </c>
      <c r="Q81" s="860" t="n">
        <v>144000</v>
      </c>
      <c r="R81" s="860" t="n">
        <v>1440000</v>
      </c>
      <c r="S81" s="828" t="inlineStr">
        <is>
          <t>Per 60 Minions, Troop HARD +90</t>
        </is>
      </c>
      <c r="T81" s="819" t="n">
        <v>1400</v>
      </c>
    </row>
    <row r="82">
      <c r="A82" s="815" t="n">
        <v>10</v>
      </c>
      <c r="B82" s="830" t="n">
        <v>55</v>
      </c>
      <c r="C82" s="860" t="n">
        <v>26000</v>
      </c>
      <c r="D82" s="860" t="n">
        <v>65000</v>
      </c>
      <c r="E82" s="828" t="inlineStr">
        <is>
          <t>Per 30 Minions, Troop HARD +30</t>
        </is>
      </c>
      <c r="F82" s="819" t="n">
        <v>550</v>
      </c>
      <c r="H82" s="815" t="n">
        <v>10</v>
      </c>
      <c r="I82" s="830" t="n">
        <v>126</v>
      </c>
      <c r="J82" s="860" t="n">
        <v>52000</v>
      </c>
      <c r="K82" s="860" t="n">
        <v>260000</v>
      </c>
      <c r="L82" s="828" t="inlineStr">
        <is>
          <t>AFFCT +750</t>
        </is>
      </c>
      <c r="M82" s="819" t="n">
        <v>880</v>
      </c>
      <c r="O82" s="815" t="n">
        <v>10</v>
      </c>
      <c r="P82" s="830" t="n">
        <v>33</v>
      </c>
      <c r="Q82" s="860" t="n">
        <v>156000</v>
      </c>
      <c r="R82" s="860" t="n">
        <v>1560000</v>
      </c>
      <c r="S82" s="828" t="inlineStr">
        <is>
          <t>Per 60 Minions, Troop HARD +100</t>
        </is>
      </c>
      <c r="T82" s="819" t="n">
        <v>1540</v>
      </c>
    </row>
    <row r="83">
      <c r="A83" s="820" t="inlineStr">
        <is>
          <t>Total</t>
        </is>
      </c>
      <c r="B83" s="821">
        <f>SUM(B73:B82)</f>
        <v/>
      </c>
      <c r="C83" s="822">
        <f>SUM(C73:C82)</f>
        <v/>
      </c>
      <c r="D83" s="822">
        <f>SUM(D73:D82)</f>
        <v/>
      </c>
      <c r="E83" s="823" t="n"/>
      <c r="F83" s="824">
        <f>SUM(F73:F82)</f>
        <v/>
      </c>
      <c r="H83" s="820" t="inlineStr">
        <is>
          <t>Total</t>
        </is>
      </c>
      <c r="I83" s="821">
        <f>SUM(I73:I82)</f>
        <v/>
      </c>
      <c r="J83" s="822">
        <f>SUM(J73:J82)</f>
        <v/>
      </c>
      <c r="K83" s="822">
        <f>SUM(K73:K82)</f>
        <v/>
      </c>
      <c r="L83" s="823" t="n"/>
      <c r="M83" s="824">
        <f>SUM(M73:M82)</f>
        <v/>
      </c>
      <c r="O83" s="820" t="inlineStr">
        <is>
          <t>Total</t>
        </is>
      </c>
      <c r="P83" s="821">
        <f>SUM(P73:P82)</f>
        <v/>
      </c>
      <c r="Q83" s="822">
        <f>SUM(Q73:Q82)</f>
        <v/>
      </c>
      <c r="R83" s="822">
        <f>SUM(R73:R82)</f>
        <v/>
      </c>
      <c r="S83" s="823" t="n"/>
      <c r="T83" s="824">
        <f>SUM(T73:T82)</f>
        <v/>
      </c>
    </row>
    <row r="84">
      <c r="A84" s="861" t="n"/>
      <c r="B84" s="828" t="n"/>
      <c r="C84" s="828" t="n"/>
      <c r="D84" s="828" t="n"/>
      <c r="E84" s="828" t="n"/>
      <c r="F84" s="829" t="n"/>
      <c r="H84" s="861" t="n"/>
      <c r="I84" s="828" t="n"/>
      <c r="J84" s="828" t="n"/>
      <c r="K84" s="828" t="n"/>
      <c r="L84" s="828" t="n"/>
      <c r="M84" s="829" t="n"/>
      <c r="O84" s="861" t="n"/>
      <c r="P84" s="828" t="n"/>
      <c r="Q84" s="828" t="n"/>
      <c r="R84" s="828" t="n"/>
      <c r="S84" s="828" t="n"/>
      <c r="T84" s="829" t="n"/>
    </row>
    <row r="85">
      <c r="A85" s="861" t="n"/>
      <c r="B85" s="828" t="n"/>
      <c r="C85" s="828" t="n"/>
      <c r="D85" s="828" t="n"/>
      <c r="E85" s="828" t="n"/>
      <c r="F85" s="829" t="n"/>
      <c r="H85" s="861" t="n"/>
      <c r="I85" s="828" t="n"/>
      <c r="J85" s="828" t="n"/>
      <c r="K85" s="828" t="n"/>
      <c r="L85" s="828" t="n"/>
      <c r="M85" s="829" t="n"/>
      <c r="O85" s="861" t="n"/>
      <c r="P85" s="828" t="n"/>
      <c r="Q85" s="828" t="n"/>
      <c r="R85" s="828" t="n"/>
      <c r="S85" s="828" t="n"/>
      <c r="T85" s="829" t="n"/>
    </row>
    <row r="86">
      <c r="A86" s="811" t="inlineStr">
        <is>
          <t>3 - Compass Upgrade</t>
        </is>
      </c>
      <c r="B86" s="813" t="n"/>
      <c r="C86" s="813" t="inlineStr">
        <is>
          <t>Cells</t>
        </is>
      </c>
      <c r="D86" s="813" t="inlineStr">
        <is>
          <t>Btads</t>
        </is>
      </c>
      <c r="E86" s="813" t="n"/>
      <c r="F86" s="868" t="inlineStr">
        <is>
          <t>DNA Points</t>
        </is>
      </c>
      <c r="H86" s="811" t="inlineStr">
        <is>
          <t>3 - AA Relic + Leadership</t>
        </is>
      </c>
      <c r="I86" s="813" t="n"/>
      <c r="J86" s="813" t="inlineStr">
        <is>
          <t>Cells</t>
        </is>
      </c>
      <c r="K86" s="813" t="inlineStr">
        <is>
          <t>Btads</t>
        </is>
      </c>
      <c r="L86" s="813" t="n"/>
      <c r="M86" s="868" t="inlineStr">
        <is>
          <t>DNA Points</t>
        </is>
      </c>
      <c r="O86" s="811" t="inlineStr">
        <is>
          <t>3 - SS Relic</t>
        </is>
      </c>
      <c r="P86" s="813" t="n"/>
      <c r="Q86" s="813" t="inlineStr">
        <is>
          <t>Cells</t>
        </is>
      </c>
      <c r="R86" s="813" t="inlineStr">
        <is>
          <t>Btads</t>
        </is>
      </c>
      <c r="S86" s="813" t="n"/>
      <c r="T86" s="868" t="inlineStr">
        <is>
          <t>DNA Points</t>
        </is>
      </c>
    </row>
    <row r="87">
      <c r="A87" s="815" t="n">
        <v>1</v>
      </c>
      <c r="B87" s="830" t="n">
        <v>20</v>
      </c>
      <c r="C87" s="860" t="n">
        <v>20000</v>
      </c>
      <c r="D87" s="860" t="n">
        <v>50000</v>
      </c>
      <c r="E87" s="828" t="inlineStr">
        <is>
          <t>All Compasses effect +40%</t>
        </is>
      </c>
      <c r="F87" s="819" t="n">
        <v>400</v>
      </c>
      <c r="H87" s="815" t="n">
        <v>1</v>
      </c>
      <c r="I87" s="830" t="n">
        <v>72</v>
      </c>
      <c r="J87" s="860" t="n">
        <v>50000</v>
      </c>
      <c r="K87" s="860" t="n">
        <v>120000</v>
      </c>
      <c r="L87" s="828" t="inlineStr">
        <is>
          <t>Leadership +10, AA Frags +20</t>
        </is>
      </c>
      <c r="M87" s="819" t="n">
        <v>1800</v>
      </c>
      <c r="O87" s="815" t="n">
        <v>1</v>
      </c>
      <c r="P87" s="830" t="n">
        <v>10</v>
      </c>
      <c r="Q87" s="860" t="n">
        <v>72000</v>
      </c>
      <c r="R87" s="860" t="n">
        <v>720000</v>
      </c>
      <c r="S87" s="828" t="inlineStr">
        <is>
          <t>SS RelicFrags +40</t>
        </is>
      </c>
      <c r="T87" s="819" t="n">
        <v>6000</v>
      </c>
    </row>
    <row r="88">
      <c r="A88" s="815" t="n">
        <v>2</v>
      </c>
      <c r="B88" s="830" t="n">
        <v>40</v>
      </c>
      <c r="C88" s="860" t="n">
        <v>40000</v>
      </c>
      <c r="D88" s="860" t="n">
        <v>100000</v>
      </c>
      <c r="E88" s="828" t="inlineStr">
        <is>
          <t>All Compasses effect +60%</t>
        </is>
      </c>
      <c r="F88" s="819" t="n">
        <v>450</v>
      </c>
      <c r="H88" s="815" t="n">
        <v>2</v>
      </c>
      <c r="I88" s="830" t="n">
        <v>216</v>
      </c>
      <c r="J88" s="860" t="n">
        <v>150000</v>
      </c>
      <c r="K88" s="860" t="n">
        <v>360000</v>
      </c>
      <c r="L88" s="828" t="inlineStr">
        <is>
          <t>Leadership +20, AA Frags +20</t>
        </is>
      </c>
      <c r="M88" s="819" t="n">
        <v>2100</v>
      </c>
      <c r="O88" s="815" t="n">
        <v>2</v>
      </c>
      <c r="P88" s="830" t="n">
        <v>18</v>
      </c>
      <c r="Q88" s="860" t="n">
        <v>94000</v>
      </c>
      <c r="R88" s="860" t="n">
        <v>1040000</v>
      </c>
      <c r="S88" s="828" t="inlineStr">
        <is>
          <t>SS Relic Frags +40</t>
        </is>
      </c>
      <c r="T88" s="819" t="n">
        <v>7000</v>
      </c>
    </row>
    <row r="89">
      <c r="A89" s="815" t="n">
        <v>3</v>
      </c>
      <c r="B89" s="830" t="n">
        <v>60</v>
      </c>
      <c r="C89" s="860" t="n">
        <v>60000</v>
      </c>
      <c r="D89" s="860" t="n">
        <v>150000</v>
      </c>
      <c r="E89" s="828" t="inlineStr">
        <is>
          <t>All Compasses effect +80%</t>
        </is>
      </c>
      <c r="F89" s="819" t="n">
        <v>500</v>
      </c>
      <c r="H89" s="815" t="n">
        <v>3</v>
      </c>
      <c r="I89" s="830" t="n">
        <v>360</v>
      </c>
      <c r="J89" s="860" t="n">
        <v>250000</v>
      </c>
      <c r="K89" s="860" t="n">
        <v>600000</v>
      </c>
      <c r="L89" s="828" t="inlineStr">
        <is>
          <t>Leadership +30, AA Frags +40</t>
        </is>
      </c>
      <c r="M89" s="819" t="n">
        <v>2400</v>
      </c>
      <c r="O89" s="815" t="n">
        <v>3</v>
      </c>
      <c r="P89" s="830" t="n">
        <v>26</v>
      </c>
      <c r="Q89" s="860" t="n">
        <v>136000</v>
      </c>
      <c r="R89" s="860" t="n">
        <v>1360000</v>
      </c>
      <c r="S89" s="828" t="inlineStr">
        <is>
          <t>SS Relic Frags +40</t>
        </is>
      </c>
      <c r="T89" s="819" t="n">
        <v>8000</v>
      </c>
    </row>
    <row r="90">
      <c r="A90" s="820" t="inlineStr">
        <is>
          <t>Total</t>
        </is>
      </c>
      <c r="B90" s="821">
        <f>SUM(B87:B89)</f>
        <v/>
      </c>
      <c r="C90" s="822">
        <f>sum(C87:C89)</f>
        <v/>
      </c>
      <c r="D90" s="822">
        <f>sum(D87:D89)</f>
        <v/>
      </c>
      <c r="E90" s="823" t="n"/>
      <c r="F90" s="824">
        <f>sum(F87:F89)</f>
        <v/>
      </c>
      <c r="H90" s="820" t="inlineStr">
        <is>
          <t>Total</t>
        </is>
      </c>
      <c r="I90" s="831">
        <f>SUM(I87:I89)</f>
        <v/>
      </c>
      <c r="J90" s="822">
        <f>sum(J87:J89)</f>
        <v/>
      </c>
      <c r="K90" s="822">
        <f>sum(K87:K89)</f>
        <v/>
      </c>
      <c r="L90" s="823" t="n"/>
      <c r="M90" s="824">
        <f>sum(M87:M89)</f>
        <v/>
      </c>
      <c r="O90" s="815" t="n">
        <v>4</v>
      </c>
      <c r="P90" s="830" t="n">
        <v>34</v>
      </c>
      <c r="Q90" s="860" t="n">
        <v>168000</v>
      </c>
      <c r="R90" s="860" t="n">
        <v>1680000</v>
      </c>
      <c r="S90" s="828" t="inlineStr">
        <is>
          <t>SS Relic Frags +80</t>
        </is>
      </c>
      <c r="T90" s="819" t="n">
        <v>9000</v>
      </c>
    </row>
    <row r="91">
      <c r="A91" s="861" t="n"/>
      <c r="B91" s="828" t="n"/>
      <c r="C91" s="828" t="n"/>
      <c r="D91" s="828" t="n"/>
      <c r="E91" s="828" t="n"/>
      <c r="F91" s="829" t="n"/>
      <c r="H91" s="853" t="n"/>
      <c r="I91" s="738" t="n"/>
      <c r="J91" s="738" t="n"/>
      <c r="K91" s="738" t="n"/>
      <c r="L91" s="738" t="n"/>
      <c r="M91" s="685" t="n"/>
      <c r="O91" s="815" t="n">
        <v>5</v>
      </c>
      <c r="P91" s="830" t="n">
        <v>42</v>
      </c>
      <c r="Q91" s="860" t="n">
        <v>200000</v>
      </c>
      <c r="R91" s="860" t="n">
        <v>2000000</v>
      </c>
      <c r="S91" s="828" t="inlineStr">
        <is>
          <t>SS Relic Frags +80</t>
        </is>
      </c>
      <c r="T91" s="819" t="n">
        <v>10000</v>
      </c>
    </row>
    <row r="92">
      <c r="A92" s="861" t="n"/>
      <c r="B92" s="828" t="n"/>
      <c r="C92" s="828" t="n"/>
      <c r="D92" s="828" t="n"/>
      <c r="E92" s="828" t="n"/>
      <c r="F92" s="829" t="n"/>
      <c r="H92" s="1092" t="n"/>
      <c r="I92" s="706" t="n"/>
      <c r="J92" s="706" t="n"/>
      <c r="K92" s="706" t="n"/>
      <c r="L92" s="706" t="n"/>
      <c r="M92" s="909" t="n"/>
      <c r="O92" s="820" t="inlineStr">
        <is>
          <t>Total</t>
        </is>
      </c>
      <c r="P92" s="831">
        <f>SUM(P87:P91)</f>
        <v/>
      </c>
      <c r="Q92" s="822">
        <f>sum(Q87:Q91)</f>
        <v/>
      </c>
      <c r="R92" s="822">
        <f>sum(R87:R91)</f>
        <v/>
      </c>
      <c r="S92" s="823" t="n"/>
      <c r="T92" s="824">
        <f>sum(T87:T91)</f>
        <v/>
      </c>
    </row>
    <row r="93">
      <c r="A93" s="811" t="inlineStr">
        <is>
          <t>4 - Form Ritual VI</t>
        </is>
      </c>
      <c r="B93" s="813" t="n"/>
      <c r="C93" s="813" t="inlineStr">
        <is>
          <t>Cells</t>
        </is>
      </c>
      <c r="D93" s="813" t="inlineStr">
        <is>
          <t>Btads</t>
        </is>
      </c>
      <c r="E93" s="813" t="n"/>
      <c r="F93" s="868" t="inlineStr">
        <is>
          <t>DNA Points</t>
        </is>
      </c>
      <c r="H93" s="811" t="inlineStr">
        <is>
          <t>4 - Form Ritual VII</t>
        </is>
      </c>
      <c r="I93" s="813" t="n"/>
      <c r="J93" s="813" t="inlineStr">
        <is>
          <t>Cells</t>
        </is>
      </c>
      <c r="K93" s="813" t="inlineStr">
        <is>
          <t>Btads</t>
        </is>
      </c>
      <c r="L93" s="813" t="n"/>
      <c r="M93" s="868" t="inlineStr">
        <is>
          <t>DNA Points</t>
        </is>
      </c>
      <c r="O93" s="861" t="n"/>
      <c r="P93" s="828" t="n"/>
      <c r="Q93" s="828" t="n"/>
      <c r="R93" s="828" t="n"/>
      <c r="S93" s="828" t="n"/>
      <c r="T93" s="829" t="n"/>
    </row>
    <row r="94">
      <c r="A94" s="855" t="n">
        <v>1</v>
      </c>
      <c r="B94" s="831" t="n">
        <v>120</v>
      </c>
      <c r="C94" s="822" t="n">
        <v>30000</v>
      </c>
      <c r="D94" s="822" t="n">
        <v>75000</v>
      </c>
      <c r="E94" s="823" t="n"/>
      <c r="F94" s="856" t="n">
        <v>500</v>
      </c>
      <c r="H94" s="855" t="n">
        <v>1</v>
      </c>
      <c r="I94" s="831" t="n">
        <v>720</v>
      </c>
      <c r="J94" s="822" t="n">
        <v>60000</v>
      </c>
      <c r="K94" s="822" t="n">
        <v>300000</v>
      </c>
      <c r="L94" s="823" t="n"/>
      <c r="M94" s="856" t="n">
        <v>800</v>
      </c>
      <c r="O94" s="861" t="n"/>
      <c r="P94" s="828" t="n"/>
      <c r="Q94" s="828" t="n"/>
      <c r="R94" s="828" t="n"/>
      <c r="S94" s="828" t="n"/>
      <c r="T94" s="829" t="n"/>
    </row>
    <row r="95">
      <c r="A95" s="1037" t="n"/>
      <c r="B95" s="1037" t="n"/>
      <c r="C95" s="1037" t="n"/>
      <c r="D95" s="1037" t="n"/>
      <c r="E95" s="1037" t="n"/>
      <c r="F95" s="1037" t="n"/>
      <c r="H95" s="1037" t="n"/>
      <c r="I95" s="1037" t="n"/>
      <c r="J95" s="1037" t="n"/>
      <c r="K95" s="1037" t="n"/>
      <c r="L95" s="1037" t="n"/>
      <c r="M95" s="1037" t="n"/>
      <c r="O95" s="811" t="inlineStr">
        <is>
          <t>4 - Form Ritual VIII</t>
        </is>
      </c>
      <c r="P95" s="813" t="n"/>
      <c r="Q95" s="813" t="inlineStr">
        <is>
          <t>Cells</t>
        </is>
      </c>
      <c r="R95" s="813" t="inlineStr">
        <is>
          <t>Btads</t>
        </is>
      </c>
      <c r="S95" s="813" t="n"/>
      <c r="T95" s="868" t="inlineStr">
        <is>
          <t>DNA Points</t>
        </is>
      </c>
    </row>
    <row r="96">
      <c r="A96" s="828" t="n"/>
      <c r="B96" s="828" t="n"/>
      <c r="C96" s="828" t="n"/>
      <c r="D96" s="828" t="n"/>
      <c r="E96" s="828" t="n"/>
      <c r="F96" s="828" t="n"/>
      <c r="H96" s="828" t="n"/>
      <c r="I96" s="828" t="n"/>
      <c r="J96" s="828" t="n"/>
      <c r="K96" s="828" t="n"/>
      <c r="L96" s="828" t="n"/>
      <c r="M96" s="828" t="n"/>
      <c r="O96" s="855" t="n">
        <v>1</v>
      </c>
      <c r="P96" s="831" t="n">
        <v>180</v>
      </c>
      <c r="Q96" s="822" t="n">
        <v>160000</v>
      </c>
      <c r="R96" s="822" t="n">
        <v>1600000</v>
      </c>
      <c r="S96" s="823" t="n"/>
      <c r="T96" s="856" t="n">
        <v>1500</v>
      </c>
    </row>
    <row r="97">
      <c r="A97" s="857" t="inlineStr">
        <is>
          <t>T5-&gt;T6</t>
        </is>
      </c>
      <c r="B97" s="858" t="inlineStr">
        <is>
          <t>Time (hr)</t>
        </is>
      </c>
      <c r="C97" s="439" t="inlineStr">
        <is>
          <t>Time (days)</t>
        </is>
      </c>
      <c r="D97" s="858" t="inlineStr">
        <is>
          <t>Cells</t>
        </is>
      </c>
      <c r="E97" s="858" t="inlineStr">
        <is>
          <t>B-tads</t>
        </is>
      </c>
      <c r="F97" s="859" t="inlineStr">
        <is>
          <t>DNA Points</t>
        </is>
      </c>
      <c r="H97" s="857" t="inlineStr">
        <is>
          <t>T6-&gt;T7</t>
        </is>
      </c>
      <c r="I97" s="858" t="inlineStr">
        <is>
          <t>Time (hr)</t>
        </is>
      </c>
      <c r="J97" s="858" t="inlineStr">
        <is>
          <t>Time (days)</t>
        </is>
      </c>
      <c r="K97" s="858" t="inlineStr">
        <is>
          <t>Cells</t>
        </is>
      </c>
      <c r="L97" s="858" t="inlineStr">
        <is>
          <t>B-tads</t>
        </is>
      </c>
      <c r="M97" s="859" t="inlineStr">
        <is>
          <t>DNA Points</t>
        </is>
      </c>
      <c r="N97" s="860" t="n"/>
      <c r="P97" s="1037" t="n"/>
      <c r="Q97" s="1037" t="n"/>
      <c r="R97" s="1037" t="n"/>
      <c r="S97" s="1037" t="n"/>
      <c r="T97" s="1037" t="n"/>
      <c r="U97" s="1037" t="n"/>
    </row>
    <row r="98">
      <c r="A98" s="861" t="inlineStr">
        <is>
          <t>Total</t>
        </is>
      </c>
      <c r="B98" s="862">
        <f>B13+B27+B41+B55+B69+B83+B90+B94</f>
        <v/>
      </c>
      <c r="C98" s="830">
        <f>B98/$C$66</f>
        <v/>
      </c>
      <c r="D98" s="860">
        <f>C13+C27+C41+C55+C69+C83+C90+C94</f>
        <v/>
      </c>
      <c r="E98" s="860">
        <f>D13+D27+D41+D55+D69+D83+D90+D94</f>
        <v/>
      </c>
      <c r="F98" s="863">
        <f>F13+F27+F41+F55+F69+F83+F90+F94</f>
        <v/>
      </c>
      <c r="H98" s="861" t="inlineStr">
        <is>
          <t>Total</t>
        </is>
      </c>
      <c r="I98" s="862">
        <f>I13+I27+I41+I55+I69+I83+I90+I94</f>
        <v/>
      </c>
      <c r="J98" s="830">
        <f>I98/$C$66</f>
        <v/>
      </c>
      <c r="K98" s="860">
        <f>J13+J27+J41+J55+J69+J83+J90+J94</f>
        <v/>
      </c>
      <c r="L98" s="860">
        <f>K13+K27+K41+K55+K69+K83+K90+K94</f>
        <v/>
      </c>
      <c r="M98" s="863">
        <f>M13+M27+M41+M55+M69+M83+M90+M94</f>
        <v/>
      </c>
      <c r="N98" s="860" t="n"/>
      <c r="P98" s="828" t="n"/>
      <c r="Q98" s="828" t="n"/>
      <c r="R98" s="828" t="n"/>
      <c r="S98" s="828" t="n"/>
      <c r="T98" s="828" t="n"/>
      <c r="U98" s="828" t="n"/>
    </row>
    <row r="99">
      <c r="A99" s="861" t="inlineStr">
        <is>
          <t>To Center</t>
        </is>
      </c>
      <c r="B99" s="862">
        <f>B55+B69+B90</f>
        <v/>
      </c>
      <c r="C99" s="864">
        <f>B99/$C$66</f>
        <v/>
      </c>
      <c r="D99" s="860">
        <f>C55+C69+C90</f>
        <v/>
      </c>
      <c r="E99" s="860">
        <f>D55+D69+D90</f>
        <v/>
      </c>
      <c r="F99" s="863">
        <f>F55+F69+F90</f>
        <v/>
      </c>
      <c r="H99" s="861" t="inlineStr">
        <is>
          <t>To Center</t>
        </is>
      </c>
      <c r="I99" s="830">
        <f>I55+I69+I90</f>
        <v/>
      </c>
      <c r="J99" s="830">
        <f>I99/$C$66</f>
        <v/>
      </c>
      <c r="K99" s="860">
        <f>J55+J69+J90</f>
        <v/>
      </c>
      <c r="L99" s="860">
        <f>K55+K69+K90</f>
        <v/>
      </c>
      <c r="M99" s="863">
        <f>M55+M69+M90</f>
        <v/>
      </c>
      <c r="N99" s="860" t="n"/>
      <c r="O99" s="857" t="inlineStr">
        <is>
          <t>T7-&gt;T8</t>
        </is>
      </c>
      <c r="P99" s="858" t="inlineStr">
        <is>
          <t>Time (days)</t>
        </is>
      </c>
      <c r="Q99" s="858" t="inlineStr">
        <is>
          <t>Cells</t>
        </is>
      </c>
      <c r="R99" s="858" t="inlineStr">
        <is>
          <t>B-tads</t>
        </is>
      </c>
      <c r="S99" s="859" t="inlineStr">
        <is>
          <t>DNA Points</t>
        </is>
      </c>
      <c r="T99" s="860" t="n"/>
    </row>
    <row r="100">
      <c r="A100" s="820" t="inlineStr">
        <is>
          <t>Remaining</t>
        </is>
      </c>
      <c r="B100" s="821">
        <f>B98-B99</f>
        <v/>
      </c>
      <c r="C100" s="865">
        <f>B100/$C$66</f>
        <v/>
      </c>
      <c r="D100" s="822">
        <f>D98-D99</f>
        <v/>
      </c>
      <c r="E100" s="822">
        <f>E98-E99</f>
        <v/>
      </c>
      <c r="F100" s="866">
        <f>F98-F99</f>
        <v/>
      </c>
      <c r="H100" s="820" t="inlineStr">
        <is>
          <t>Remaining</t>
        </is>
      </c>
      <c r="I100" s="821">
        <f>I98-I99</f>
        <v/>
      </c>
      <c r="J100" s="831">
        <f>I100/$C$66</f>
        <v/>
      </c>
      <c r="K100" s="822">
        <f>K98-K99</f>
        <v/>
      </c>
      <c r="L100" s="822">
        <f>L98-L99</f>
        <v/>
      </c>
      <c r="M100" s="866">
        <f>M98-M99</f>
        <v/>
      </c>
      <c r="O100" s="861" t="inlineStr">
        <is>
          <t>Total</t>
        </is>
      </c>
      <c r="P100" s="862">
        <f>P13+P27+P41+P55+P69+P83+P92+P96</f>
        <v/>
      </c>
      <c r="Q100" s="860">
        <f>Q13+Q27+Q41+Q55+Q69+Q83+Q92+Q96</f>
        <v/>
      </c>
      <c r="R100" s="860">
        <f>R13+R27+R41+R55+R69+R83+R92+R96</f>
        <v/>
      </c>
      <c r="S100" s="863">
        <f>T13+T27+T41+T55+T69+T83+T92+T96</f>
        <v/>
      </c>
      <c r="T100" s="860" t="n"/>
    </row>
    <row r="101">
      <c r="O101" s="861" t="inlineStr">
        <is>
          <t>To Center</t>
        </is>
      </c>
      <c r="P101" s="830">
        <f>P55+P69+P92</f>
        <v/>
      </c>
      <c r="Q101" s="860">
        <f>Q55+Q69+Q92</f>
        <v/>
      </c>
      <c r="R101" s="860">
        <f>R55+R69+R92</f>
        <v/>
      </c>
      <c r="S101" s="863">
        <f>T55+T69+T92</f>
        <v/>
      </c>
      <c r="T101" s="860" t="n"/>
    </row>
    <row r="102">
      <c r="O102" s="820" t="inlineStr">
        <is>
          <t>Remaining</t>
        </is>
      </c>
      <c r="P102" s="821">
        <f>P100-P101</f>
        <v/>
      </c>
      <c r="Q102" s="822">
        <f>Q100-Q101</f>
        <v/>
      </c>
      <c r="R102" s="822">
        <f>R100-R101</f>
        <v/>
      </c>
      <c r="S102" s="866">
        <f>S100-S101</f>
        <v/>
      </c>
    </row>
    <row r="103"/>
    <row r="104">
      <c r="C104" s="867" t="n"/>
      <c r="J104" s="867" t="n"/>
    </row>
    <row r="105"/>
    <row r="106">
      <c r="P106" s="867" t="n"/>
    </row>
  </sheetData>
  <mergeCells count="3">
    <mergeCell ref="H58:I58"/>
    <mergeCell ref="A58:B58"/>
    <mergeCell ref="O58:P58"/>
  </mergeCells>
  <pageMargins left="0.75" right="0.75" top="1" bottom="1" header="0.5" footer="0.5"/>
  <tableParts count="2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</tableParts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X107"/>
  <sheetViews>
    <sheetView workbookViewId="0">
      <selection activeCell="A1" sqref="A1"/>
    </sheetView>
  </sheetViews>
  <sheetFormatPr baseColWidth="8" defaultColWidth="9.18" defaultRowHeight="15" customHeight="1"/>
  <cols>
    <col width="11.73" customWidth="1" style="1128" min="1" max="1"/>
    <col width="8.27" customWidth="1" style="1128" min="2" max="2"/>
    <col width="7.73" customWidth="1" style="1128" min="3" max="3"/>
    <col width="8.359999999999999" customWidth="1" style="1128" min="4" max="4"/>
    <col width="7.64" customWidth="1" style="1128" min="5" max="5"/>
    <col width="23.27" customWidth="1" style="1128" min="6" max="6"/>
    <col width="8.449999999999999" customWidth="1" style="1128" min="7" max="7"/>
    <col width="16.18" customWidth="1" style="1128" min="8" max="8"/>
    <col width="11.55" customWidth="1" style="1128" min="9" max="9"/>
    <col width="23.55" customWidth="1" style="1128" min="14" max="14"/>
    <col width="11.45" customWidth="1" style="1128" min="17" max="17"/>
    <col width="24" customWidth="1" style="1128" min="22" max="22"/>
  </cols>
  <sheetData>
    <row r="1">
      <c r="A1" s="853" t="inlineStr">
        <is>
          <t>T5 -&gt; T6 Research</t>
        </is>
      </c>
      <c r="B1" s="738" t="n"/>
      <c r="C1" s="738" t="n"/>
      <c r="D1" s="738" t="n"/>
      <c r="E1" s="738" t="n"/>
      <c r="F1" s="738" t="n"/>
      <c r="G1" s="685" t="n"/>
      <c r="I1" s="853" t="inlineStr">
        <is>
          <t>T6 -&gt; T7 Research</t>
        </is>
      </c>
      <c r="J1" s="738" t="n"/>
      <c r="K1" s="738" t="n"/>
      <c r="L1" s="738" t="n"/>
      <c r="M1" s="738" t="n"/>
      <c r="N1" s="738" t="n"/>
      <c r="O1" s="685" t="n"/>
      <c r="Q1" s="853" t="inlineStr">
        <is>
          <t>T7 -&gt; T8 Research</t>
        </is>
      </c>
      <c r="R1" s="738" t="n"/>
      <c r="S1" s="738" t="n"/>
      <c r="T1" s="738" t="n"/>
      <c r="U1" s="738" t="n"/>
      <c r="V1" s="738" t="n"/>
      <c r="W1" s="685" t="n"/>
    </row>
    <row r="2">
      <c r="A2" s="811" t="inlineStr">
        <is>
          <t>1A - HP Up III</t>
        </is>
      </c>
      <c r="B2" s="813" t="inlineStr">
        <is>
          <t>Time</t>
        </is>
      </c>
      <c r="C2" s="813" t="inlineStr">
        <is>
          <t>Zombie</t>
        </is>
      </c>
      <c r="D2" s="813" t="inlineStr">
        <is>
          <t>Demon</t>
        </is>
      </c>
      <c r="E2" s="813" t="inlineStr">
        <is>
          <t>Btads</t>
        </is>
      </c>
      <c r="F2" s="813" t="n"/>
      <c r="G2" s="868" t="inlineStr">
        <is>
          <t>DNA Points</t>
        </is>
      </c>
      <c r="I2" s="811" t="inlineStr">
        <is>
          <t>1A - Troop DEF Up III</t>
        </is>
      </c>
      <c r="J2" s="813" t="inlineStr">
        <is>
          <t>Time (hours)</t>
        </is>
      </c>
      <c r="K2" s="813" t="inlineStr">
        <is>
          <t>Zombie</t>
        </is>
      </c>
      <c r="L2" s="813" t="inlineStr">
        <is>
          <t>Demon</t>
        </is>
      </c>
      <c r="M2" s="813" t="inlineStr">
        <is>
          <t>Btads</t>
        </is>
      </c>
      <c r="N2" s="813" t="n"/>
      <c r="O2" s="868" t="inlineStr">
        <is>
          <t>DNA Points</t>
        </is>
      </c>
      <c r="Q2" s="811" t="inlineStr">
        <is>
          <t>1A - HP Up IV</t>
        </is>
      </c>
      <c r="R2" s="813" t="inlineStr">
        <is>
          <t>Time (days)</t>
        </is>
      </c>
      <c r="S2" s="813" t="inlineStr">
        <is>
          <t>Zombie</t>
        </is>
      </c>
      <c r="T2" s="813" t="inlineStr">
        <is>
          <t>Demon</t>
        </is>
      </c>
      <c r="U2" s="813" t="inlineStr">
        <is>
          <t>Btads</t>
        </is>
      </c>
      <c r="V2" s="813" t="n"/>
      <c r="W2" s="868" t="inlineStr">
        <is>
          <t>DNA Points</t>
        </is>
      </c>
    </row>
    <row r="3">
      <c r="A3" s="815" t="n">
        <v>1</v>
      </c>
      <c r="B3" s="830" t="n">
        <v>6</v>
      </c>
      <c r="C3" s="860" t="n">
        <v>8100</v>
      </c>
      <c r="D3" s="860" t="n">
        <v>5400</v>
      </c>
      <c r="E3" s="860" t="n">
        <v>10000</v>
      </c>
      <c r="F3" s="828" t="inlineStr">
        <is>
          <t>Snail HP +60</t>
        </is>
      </c>
      <c r="G3" s="819" t="n">
        <v>80</v>
      </c>
      <c r="I3" s="815" t="n">
        <v>1</v>
      </c>
      <c r="J3" s="830" t="n">
        <v>12</v>
      </c>
      <c r="K3" s="860" t="n">
        <v>17000</v>
      </c>
      <c r="L3" s="860" t="n">
        <v>11000</v>
      </c>
      <c r="M3" s="860" t="n">
        <v>50000</v>
      </c>
      <c r="N3" s="828" t="inlineStr">
        <is>
          <t>Per 30 Minions, Troop DEF +9</t>
        </is>
      </c>
      <c r="O3" s="819" t="n">
        <v>120</v>
      </c>
      <c r="Q3" s="815" t="n">
        <v>1</v>
      </c>
      <c r="R3" s="830" t="n">
        <v>2</v>
      </c>
      <c r="S3" s="860" t="n">
        <v>45000</v>
      </c>
      <c r="T3" s="860" t="n">
        <v>30000</v>
      </c>
      <c r="U3" s="860" t="n">
        <v>200000</v>
      </c>
      <c r="V3" s="828" t="inlineStr">
        <is>
          <t>Snail HP +180</t>
        </is>
      </c>
      <c r="W3" s="819" t="n">
        <v>200</v>
      </c>
    </row>
    <row r="4">
      <c r="A4" s="815" t="n">
        <v>2</v>
      </c>
      <c r="B4" s="830" t="n">
        <v>9</v>
      </c>
      <c r="C4" s="860" t="n">
        <v>10000</v>
      </c>
      <c r="D4" s="860" t="n">
        <v>6700</v>
      </c>
      <c r="E4" s="860" t="n">
        <v>12500</v>
      </c>
      <c r="F4" s="828" t="inlineStr">
        <is>
          <t>Snail HP +140</t>
        </is>
      </c>
      <c r="G4" s="819" t="n">
        <v>120</v>
      </c>
      <c r="I4" s="815" t="n">
        <v>2</v>
      </c>
      <c r="J4" s="830" t="n">
        <v>20</v>
      </c>
      <c r="K4" s="860" t="n">
        <v>21000</v>
      </c>
      <c r="L4" s="860" t="n">
        <v>14000</v>
      </c>
      <c r="M4" s="860" t="n">
        <v>62500</v>
      </c>
      <c r="N4" s="828" t="inlineStr">
        <is>
          <t>Per 30 Minions, Troop DEF +18</t>
        </is>
      </c>
      <c r="O4" s="819" t="n">
        <v>180</v>
      </c>
      <c r="Q4" s="815" t="n">
        <v>2</v>
      </c>
      <c r="R4" s="830" t="n">
        <v>3</v>
      </c>
      <c r="S4" s="860" t="n">
        <v>56000</v>
      </c>
      <c r="T4" s="860" t="n">
        <v>37000</v>
      </c>
      <c r="U4" s="860" t="n">
        <v>250000</v>
      </c>
      <c r="V4" s="828" t="inlineStr">
        <is>
          <t>Snail HP +390</t>
        </is>
      </c>
      <c r="W4" s="819" t="n">
        <v>300</v>
      </c>
    </row>
    <row r="5">
      <c r="A5" s="815" t="n">
        <v>3</v>
      </c>
      <c r="B5" s="830" t="n">
        <v>12</v>
      </c>
      <c r="C5" s="860" t="n">
        <v>12000</v>
      </c>
      <c r="D5" s="860" t="n">
        <v>8100</v>
      </c>
      <c r="E5" s="860" t="n">
        <v>15000</v>
      </c>
      <c r="F5" s="828" t="inlineStr">
        <is>
          <t>Snail HP +240</t>
        </is>
      </c>
      <c r="G5" s="819" t="n">
        <v>160</v>
      </c>
      <c r="I5" s="815" t="n">
        <v>3</v>
      </c>
      <c r="J5" s="830" t="n">
        <v>28</v>
      </c>
      <c r="K5" s="860" t="n">
        <v>25000</v>
      </c>
      <c r="L5" s="860" t="n">
        <v>17000</v>
      </c>
      <c r="M5" s="860" t="n">
        <v>75000</v>
      </c>
      <c r="N5" s="828" t="inlineStr">
        <is>
          <t>Per 30 Minions, Troop DEF +27</t>
        </is>
      </c>
      <c r="O5" s="819" t="n">
        <v>240</v>
      </c>
      <c r="Q5" s="815" t="n">
        <v>3</v>
      </c>
      <c r="R5" s="830" t="n">
        <v>4</v>
      </c>
      <c r="S5" s="860" t="n">
        <v>67000</v>
      </c>
      <c r="T5" s="860" t="n">
        <v>45000</v>
      </c>
      <c r="U5" s="860" t="n">
        <v>300000</v>
      </c>
      <c r="V5" s="828" t="inlineStr">
        <is>
          <t>Snail HP +630</t>
        </is>
      </c>
      <c r="W5" s="819" t="n">
        <v>400</v>
      </c>
    </row>
    <row r="6">
      <c r="A6" s="815" t="n">
        <v>4</v>
      </c>
      <c r="B6" s="830" t="n">
        <v>15</v>
      </c>
      <c r="C6" s="860" t="n">
        <v>14000</v>
      </c>
      <c r="D6" s="860" t="n">
        <v>9400</v>
      </c>
      <c r="E6" s="860" t="n">
        <v>17500</v>
      </c>
      <c r="F6" s="828" t="inlineStr">
        <is>
          <t>Snail HP +360</t>
        </is>
      </c>
      <c r="G6" s="819" t="n">
        <v>200</v>
      </c>
      <c r="I6" s="815" t="n">
        <v>4</v>
      </c>
      <c r="J6" s="830" t="n">
        <v>36</v>
      </c>
      <c r="K6" s="860" t="n">
        <v>29000</v>
      </c>
      <c r="L6" s="860" t="n">
        <v>19000</v>
      </c>
      <c r="M6" s="860" t="n">
        <v>87500</v>
      </c>
      <c r="N6" s="828" t="inlineStr">
        <is>
          <t>Per 30 Minions, Troop DEF +36</t>
        </is>
      </c>
      <c r="O6" s="819" t="n">
        <v>300</v>
      </c>
      <c r="Q6" s="815" t="n">
        <v>4</v>
      </c>
      <c r="R6" s="830" t="n">
        <v>5</v>
      </c>
      <c r="S6" s="860" t="n">
        <v>78000</v>
      </c>
      <c r="T6" s="860" t="n">
        <v>52000</v>
      </c>
      <c r="U6" s="860" t="n">
        <v>350000</v>
      </c>
      <c r="V6" s="828" t="inlineStr">
        <is>
          <t>Snail HP +900</t>
        </is>
      </c>
      <c r="W6" s="819" t="n">
        <v>500</v>
      </c>
    </row>
    <row r="7">
      <c r="A7" s="815" t="n">
        <v>5</v>
      </c>
      <c r="B7" s="830" t="n">
        <v>18</v>
      </c>
      <c r="C7" s="860" t="n">
        <v>16000</v>
      </c>
      <c r="D7" s="860" t="n">
        <v>10000</v>
      </c>
      <c r="E7" s="860" t="n">
        <v>20000</v>
      </c>
      <c r="F7" s="828" t="inlineStr">
        <is>
          <t>Snail HP +500</t>
        </is>
      </c>
      <c r="G7" s="819" t="n">
        <v>240</v>
      </c>
      <c r="I7" s="815" t="n">
        <v>5</v>
      </c>
      <c r="J7" s="830" t="n">
        <v>44</v>
      </c>
      <c r="K7" s="860" t="n">
        <v>34000</v>
      </c>
      <c r="L7" s="860" t="n">
        <v>22000</v>
      </c>
      <c r="M7" s="860" t="n">
        <v>100000</v>
      </c>
      <c r="N7" s="828" t="inlineStr">
        <is>
          <t>Per 30 Minions, Troop DEF +45</t>
        </is>
      </c>
      <c r="O7" s="819" t="n">
        <v>360</v>
      </c>
      <c r="Q7" s="815" t="n">
        <v>5</v>
      </c>
      <c r="R7" s="830" t="n">
        <v>6</v>
      </c>
      <c r="S7" s="860" t="n">
        <v>90000</v>
      </c>
      <c r="T7" s="860" t="n">
        <v>60000</v>
      </c>
      <c r="U7" s="860" t="n">
        <v>400000</v>
      </c>
      <c r="V7" s="828" t="inlineStr">
        <is>
          <t>Snail HP +1200</t>
        </is>
      </c>
      <c r="W7" s="819" t="n">
        <v>600</v>
      </c>
    </row>
    <row r="8">
      <c r="A8" s="815" t="n">
        <v>6</v>
      </c>
      <c r="B8" s="830" t="n">
        <v>21</v>
      </c>
      <c r="C8" s="860" t="n">
        <v>18000</v>
      </c>
      <c r="D8" s="860" t="n">
        <v>12000</v>
      </c>
      <c r="E8" s="860" t="n">
        <v>22500</v>
      </c>
      <c r="F8" s="828" t="inlineStr">
        <is>
          <t>Snail HP +660</t>
        </is>
      </c>
      <c r="G8" s="819" t="n">
        <v>280</v>
      </c>
      <c r="I8" s="815" t="n">
        <v>6</v>
      </c>
      <c r="J8" s="830" t="n">
        <v>52</v>
      </c>
      <c r="K8" s="860" t="n">
        <v>38000</v>
      </c>
      <c r="L8" s="860" t="n">
        <v>25000</v>
      </c>
      <c r="M8" s="860" t="n">
        <v>112500</v>
      </c>
      <c r="N8" s="828" t="inlineStr">
        <is>
          <t>Per 30 Minions, Troop DEF +54</t>
        </is>
      </c>
      <c r="O8" s="819" t="n">
        <v>420</v>
      </c>
      <c r="Q8" s="815" t="n">
        <v>6</v>
      </c>
      <c r="R8" s="830" t="n">
        <v>7</v>
      </c>
      <c r="S8" s="860" t="n">
        <v>100000</v>
      </c>
      <c r="T8" s="860" t="n">
        <v>67000</v>
      </c>
      <c r="U8" s="860" t="n">
        <v>450000</v>
      </c>
      <c r="V8" s="828" t="inlineStr">
        <is>
          <t>Snail HP +1530</t>
        </is>
      </c>
      <c r="W8" s="819" t="n">
        <v>700</v>
      </c>
    </row>
    <row r="9">
      <c r="A9" s="815" t="n">
        <v>7</v>
      </c>
      <c r="B9" s="830" t="n">
        <v>24</v>
      </c>
      <c r="C9" s="860" t="n">
        <v>20000</v>
      </c>
      <c r="D9" s="860" t="n">
        <v>13000</v>
      </c>
      <c r="E9" s="860" t="n">
        <v>25000</v>
      </c>
      <c r="F9" s="828" t="inlineStr">
        <is>
          <t>Snail HP +840</t>
        </is>
      </c>
      <c r="G9" s="819" t="n">
        <v>320</v>
      </c>
      <c r="I9" s="815" t="n">
        <v>7</v>
      </c>
      <c r="J9" s="830" t="n">
        <v>60</v>
      </c>
      <c r="K9" s="860" t="n">
        <v>42000</v>
      </c>
      <c r="L9" s="860" t="n">
        <v>28000</v>
      </c>
      <c r="M9" s="860" t="n">
        <v>125000</v>
      </c>
      <c r="N9" s="828" t="inlineStr">
        <is>
          <t>Per 30 Minions, Troop DEF +63</t>
        </is>
      </c>
      <c r="O9" s="819" t="n">
        <v>480</v>
      </c>
      <c r="Q9" s="815" t="n">
        <v>7</v>
      </c>
      <c r="R9" s="830" t="n">
        <v>8</v>
      </c>
      <c r="S9" s="860" t="n">
        <v>110000</v>
      </c>
      <c r="T9" s="860" t="n">
        <v>75000</v>
      </c>
      <c r="U9" s="860" t="n">
        <v>500000</v>
      </c>
      <c r="V9" s="828" t="inlineStr">
        <is>
          <t>Snail HP +1890</t>
        </is>
      </c>
      <c r="W9" s="819" t="n">
        <v>800</v>
      </c>
    </row>
    <row r="10">
      <c r="A10" s="815" t="n">
        <v>8</v>
      </c>
      <c r="B10" s="830" t="n">
        <v>27</v>
      </c>
      <c r="C10" s="860" t="n">
        <v>22000</v>
      </c>
      <c r="D10" s="860" t="n">
        <v>14000</v>
      </c>
      <c r="E10" s="860" t="n">
        <v>25000</v>
      </c>
      <c r="F10" s="828" t="inlineStr">
        <is>
          <t>Snail HP +1,040</t>
        </is>
      </c>
      <c r="G10" s="819" t="n">
        <v>360</v>
      </c>
      <c r="I10" s="815" t="n">
        <v>8</v>
      </c>
      <c r="J10" s="830" t="n">
        <v>68</v>
      </c>
      <c r="K10" s="860" t="n">
        <v>47000</v>
      </c>
      <c r="L10" s="860" t="n">
        <v>31000</v>
      </c>
      <c r="M10" s="860" t="n">
        <v>137500</v>
      </c>
      <c r="N10" s="828" t="inlineStr">
        <is>
          <t>Per 30 Minions, Troop DEF +72</t>
        </is>
      </c>
      <c r="O10" s="819" t="n">
        <v>540</v>
      </c>
      <c r="Q10" s="815" t="n">
        <v>8</v>
      </c>
      <c r="R10" s="830" t="n">
        <v>9</v>
      </c>
      <c r="S10" s="860" t="n">
        <v>120000</v>
      </c>
      <c r="T10" s="860" t="n">
        <v>82000</v>
      </c>
      <c r="U10" s="860" t="n">
        <v>550000</v>
      </c>
      <c r="V10" s="828" t="inlineStr">
        <is>
          <t>Snail HP +2280</t>
        </is>
      </c>
      <c r="W10" s="819" t="n">
        <v>900</v>
      </c>
    </row>
    <row r="11">
      <c r="A11" s="815" t="n">
        <v>9</v>
      </c>
      <c r="B11" s="830" t="n">
        <v>30</v>
      </c>
      <c r="C11" s="860" t="n">
        <v>24000</v>
      </c>
      <c r="D11" s="860" t="n">
        <v>16000</v>
      </c>
      <c r="E11" s="860" t="n">
        <v>30000</v>
      </c>
      <c r="F11" s="828" t="inlineStr">
        <is>
          <t>Snail HP +1,260</t>
        </is>
      </c>
      <c r="G11" s="819" t="n">
        <v>400</v>
      </c>
      <c r="I11" s="815" t="n">
        <v>9</v>
      </c>
      <c r="J11" s="830" t="n">
        <v>76</v>
      </c>
      <c r="K11" s="860" t="n">
        <v>51000</v>
      </c>
      <c r="L11" s="860" t="n">
        <v>34000</v>
      </c>
      <c r="M11" s="860" t="n">
        <v>150000</v>
      </c>
      <c r="N11" s="828" t="inlineStr">
        <is>
          <t>Per 30 Minions, Troop DEF +81</t>
        </is>
      </c>
      <c r="O11" s="819" t="n">
        <v>600</v>
      </c>
      <c r="Q11" s="815" t="n">
        <v>9</v>
      </c>
      <c r="R11" s="830" t="n">
        <v>10</v>
      </c>
      <c r="S11" s="860" t="n">
        <v>130000</v>
      </c>
      <c r="T11" s="860" t="n">
        <v>90000</v>
      </c>
      <c r="U11" s="860" t="n">
        <v>600000</v>
      </c>
      <c r="V11" s="828" t="inlineStr">
        <is>
          <t>Snail HP +2700</t>
        </is>
      </c>
      <c r="W11" s="819" t="n">
        <v>1000</v>
      </c>
    </row>
    <row r="12">
      <c r="A12" s="815" t="n">
        <v>10</v>
      </c>
      <c r="B12" s="830" t="n">
        <v>33</v>
      </c>
      <c r="C12" s="860" t="n">
        <v>26000</v>
      </c>
      <c r="D12" s="860" t="n">
        <v>17000</v>
      </c>
      <c r="E12" s="860" t="n">
        <v>32500</v>
      </c>
      <c r="F12" s="828" t="inlineStr">
        <is>
          <t>Snail HP +1,500</t>
        </is>
      </c>
      <c r="G12" s="819" t="n">
        <v>440</v>
      </c>
      <c r="I12" s="815" t="n">
        <v>10</v>
      </c>
      <c r="J12" s="830" t="n">
        <v>84</v>
      </c>
      <c r="K12" s="860" t="n">
        <v>55000</v>
      </c>
      <c r="L12" s="860" t="n">
        <v>37000</v>
      </c>
      <c r="M12" s="860" t="n">
        <v>162500</v>
      </c>
      <c r="N12" s="828" t="inlineStr">
        <is>
          <t>Per 30 Minions, Troop DEF +90</t>
        </is>
      </c>
      <c r="O12" s="819" t="n">
        <v>660</v>
      </c>
      <c r="Q12" s="815" t="n">
        <v>10</v>
      </c>
      <c r="R12" s="830" t="n">
        <v>11</v>
      </c>
      <c r="S12" s="860" t="n">
        <v>140000</v>
      </c>
      <c r="T12" s="860" t="n">
        <v>97000</v>
      </c>
      <c r="U12" s="860" t="n">
        <v>650000</v>
      </c>
      <c r="V12" s="828" t="inlineStr">
        <is>
          <t>Snail HP +3150</t>
        </is>
      </c>
      <c r="W12" s="819" t="n">
        <v>1100</v>
      </c>
    </row>
    <row r="13">
      <c r="A13" s="820" t="inlineStr">
        <is>
          <t>Total</t>
        </is>
      </c>
      <c r="B13" s="821">
        <f>SUM(B3:B12)</f>
        <v/>
      </c>
      <c r="C13" s="822">
        <f>SUM(C3:C12)</f>
        <v/>
      </c>
      <c r="D13" s="822">
        <f>SUM(D3:D12)</f>
        <v/>
      </c>
      <c r="E13" s="822">
        <f>SUM(E3:E12)</f>
        <v/>
      </c>
      <c r="F13" s="823" t="n"/>
      <c r="G13" s="824">
        <f>SUM(G3:G12)</f>
        <v/>
      </c>
      <c r="I13" s="820" t="inlineStr">
        <is>
          <t>Total</t>
        </is>
      </c>
      <c r="J13" s="821">
        <f>SUM(J3:J12)</f>
        <v/>
      </c>
      <c r="K13" s="822">
        <f>SUM(K3:K12)</f>
        <v/>
      </c>
      <c r="L13" s="822">
        <f>SUM(L3:L12)</f>
        <v/>
      </c>
      <c r="M13" s="822">
        <f>SUM(M3:M12)</f>
        <v/>
      </c>
      <c r="N13" s="823" t="n"/>
      <c r="O13" s="824">
        <f>SUM(O3:O12)</f>
        <v/>
      </c>
      <c r="Q13" s="820" t="inlineStr">
        <is>
          <t>Total</t>
        </is>
      </c>
      <c r="R13" s="821">
        <f>SUM(R3:R12)</f>
        <v/>
      </c>
      <c r="S13" s="822">
        <f>SUM(S3:S12)</f>
        <v/>
      </c>
      <c r="T13" s="822">
        <f>SUM(T3:T12)</f>
        <v/>
      </c>
      <c r="U13" s="822">
        <f>SUM(U3:U12)</f>
        <v/>
      </c>
      <c r="V13" s="823" t="n"/>
      <c r="W13" s="824">
        <f>SUM(W3:W12)</f>
        <v/>
      </c>
    </row>
    <row r="14">
      <c r="A14" s="825" t="n"/>
      <c r="B14" s="1037" t="n"/>
      <c r="C14" s="1037" t="n"/>
      <c r="D14" s="1037" t="n"/>
      <c r="E14" s="1037" t="n"/>
      <c r="F14" s="1037" t="n"/>
      <c r="G14" s="386" t="n"/>
      <c r="I14" s="825" t="n"/>
      <c r="J14" s="1037" t="n"/>
      <c r="K14" s="1037" t="n"/>
      <c r="L14" s="1037" t="n"/>
      <c r="M14" s="1037" t="n"/>
      <c r="N14" s="1037" t="n"/>
      <c r="O14" s="386" t="n"/>
      <c r="Q14" s="825" t="n"/>
      <c r="R14" s="1037" t="n"/>
      <c r="S14" s="1037" t="n"/>
      <c r="T14" s="1037" t="n"/>
      <c r="U14" s="1037" t="n"/>
      <c r="V14" s="1037" t="n"/>
      <c r="W14" s="386" t="n"/>
    </row>
    <row r="15">
      <c r="A15" s="861" t="n"/>
      <c r="B15" s="828" t="n"/>
      <c r="C15" s="828" t="n"/>
      <c r="D15" s="828" t="n"/>
      <c r="E15" s="828" t="n"/>
      <c r="F15" s="828" t="n"/>
      <c r="G15" s="829" t="n"/>
      <c r="I15" s="861" t="n"/>
      <c r="J15" s="828" t="n"/>
      <c r="K15" s="828" t="n"/>
      <c r="L15" s="828" t="n"/>
      <c r="M15" s="828" t="n"/>
      <c r="N15" s="828" t="n"/>
      <c r="O15" s="829" t="n"/>
      <c r="Q15" s="861" t="n"/>
      <c r="R15" s="828" t="n"/>
      <c r="S15" s="828" t="n"/>
      <c r="T15" s="828" t="n"/>
      <c r="U15" s="828" t="n"/>
      <c r="V15" s="828" t="n"/>
      <c r="W15" s="829" t="n"/>
    </row>
    <row r="16">
      <c r="A16" s="811" t="inlineStr">
        <is>
          <t>1B - ATK Up III</t>
        </is>
      </c>
      <c r="B16" s="813" t="n"/>
      <c r="C16" s="813" t="inlineStr">
        <is>
          <t>Angel</t>
        </is>
      </c>
      <c r="D16" s="813" t="inlineStr">
        <is>
          <t>Mutant</t>
        </is>
      </c>
      <c r="E16" s="813" t="inlineStr">
        <is>
          <t>Btads</t>
        </is>
      </c>
      <c r="F16" s="813" t="n"/>
      <c r="G16" s="868" t="inlineStr">
        <is>
          <t>DNA Points</t>
        </is>
      </c>
      <c r="I16" s="811" t="inlineStr">
        <is>
          <t>1B - Troop RUSH Up III</t>
        </is>
      </c>
      <c r="J16" s="813" t="n"/>
      <c r="K16" s="813" t="inlineStr">
        <is>
          <t>Angel</t>
        </is>
      </c>
      <c r="L16" s="813" t="inlineStr">
        <is>
          <t>Mutant</t>
        </is>
      </c>
      <c r="M16" s="813" t="inlineStr">
        <is>
          <t>Btads</t>
        </is>
      </c>
      <c r="N16" s="813" t="n"/>
      <c r="O16" s="868" t="n"/>
      <c r="Q16" s="811" t="inlineStr">
        <is>
          <t>1B - ATK Up IV</t>
        </is>
      </c>
      <c r="R16" s="813" t="n"/>
      <c r="S16" s="813" t="inlineStr">
        <is>
          <t>Angel</t>
        </is>
      </c>
      <c r="T16" s="813" t="inlineStr">
        <is>
          <t>Mutant</t>
        </is>
      </c>
      <c r="U16" s="813" t="n"/>
      <c r="V16" s="813" t="n"/>
      <c r="W16" s="868" t="n"/>
    </row>
    <row r="17">
      <c r="A17" s="815" t="n">
        <v>1</v>
      </c>
      <c r="B17" s="830" t="n">
        <v>8</v>
      </c>
      <c r="C17" s="860" t="n">
        <v>10000</v>
      </c>
      <c r="D17" s="860" t="n">
        <v>5400</v>
      </c>
      <c r="E17" s="860" t="n">
        <v>15000</v>
      </c>
      <c r="F17" s="828" t="inlineStr">
        <is>
          <t>Snail ATK +12</t>
        </is>
      </c>
      <c r="G17" s="819" t="n">
        <v>90</v>
      </c>
      <c r="I17" s="815" t="n">
        <v>1</v>
      </c>
      <c r="J17" s="830" t="n">
        <v>15</v>
      </c>
      <c r="K17" s="860" t="n">
        <v>22000</v>
      </c>
      <c r="L17" s="860" t="n">
        <v>11000</v>
      </c>
      <c r="M17" s="860" t="n">
        <v>60000</v>
      </c>
      <c r="N17" s="828" t="inlineStr">
        <is>
          <t>Per 30 Minions, Troop RUSH +9</t>
        </is>
      </c>
      <c r="O17" s="819" t="n">
        <v>140</v>
      </c>
      <c r="Q17" s="815" t="n">
        <v>1</v>
      </c>
      <c r="R17" s="830" t="n">
        <v>4</v>
      </c>
      <c r="S17" s="860" t="n">
        <v>63000</v>
      </c>
      <c r="T17" s="860" t="n">
        <v>30000</v>
      </c>
      <c r="U17" s="860" t="n">
        <v>320000</v>
      </c>
      <c r="V17" s="828" t="inlineStr">
        <is>
          <t>Snail ATK +36</t>
        </is>
      </c>
      <c r="W17" s="819" t="n">
        <v>240</v>
      </c>
    </row>
    <row r="18">
      <c r="A18" s="815" t="n">
        <v>2</v>
      </c>
      <c r="B18" s="830" t="n">
        <v>12</v>
      </c>
      <c r="C18" s="860" t="n">
        <v>13000</v>
      </c>
      <c r="D18" s="860" t="n">
        <v>6700</v>
      </c>
      <c r="E18" s="860" t="n">
        <v>18750</v>
      </c>
      <c r="F18" s="828" t="inlineStr">
        <is>
          <t>Snail ATK +28</t>
        </is>
      </c>
      <c r="G18" s="819" t="n">
        <v>135</v>
      </c>
      <c r="I18" s="815" t="n">
        <v>2</v>
      </c>
      <c r="J18" s="830" t="n">
        <v>25</v>
      </c>
      <c r="K18" s="860" t="n">
        <v>28000</v>
      </c>
      <c r="L18" s="860" t="n">
        <v>14000</v>
      </c>
      <c r="M18" s="860" t="n">
        <v>75000</v>
      </c>
      <c r="N18" s="828" t="inlineStr">
        <is>
          <t>Per 30 Minions, Troop RUSH +18</t>
        </is>
      </c>
      <c r="O18" s="819" t="n">
        <v>210</v>
      </c>
      <c r="Q18" s="815" t="n">
        <v>2</v>
      </c>
      <c r="R18" s="830" t="n">
        <v>6</v>
      </c>
      <c r="S18" s="860" t="n">
        <v>78000</v>
      </c>
      <c r="T18" s="860" t="n">
        <v>37000</v>
      </c>
      <c r="U18" s="860" t="n">
        <v>400000</v>
      </c>
      <c r="V18" s="828" t="inlineStr">
        <is>
          <t>Snail ATK +78</t>
        </is>
      </c>
      <c r="W18" s="819" t="n">
        <v>360</v>
      </c>
    </row>
    <row r="19">
      <c r="A19" s="815" t="n">
        <v>3</v>
      </c>
      <c r="B19" s="830" t="n">
        <v>16</v>
      </c>
      <c r="C19" s="860" t="n">
        <v>16000</v>
      </c>
      <c r="D19" s="860" t="n">
        <v>8100</v>
      </c>
      <c r="E19" s="860" t="n">
        <v>22500</v>
      </c>
      <c r="F19" s="828" t="inlineStr">
        <is>
          <t>Snail ATK +48</t>
        </is>
      </c>
      <c r="G19" s="819" t="n">
        <v>180</v>
      </c>
      <c r="I19" s="815" t="n">
        <v>3</v>
      </c>
      <c r="J19" s="830" t="n">
        <v>35</v>
      </c>
      <c r="K19" s="860" t="n">
        <v>34000</v>
      </c>
      <c r="L19" s="860" t="n">
        <v>17000</v>
      </c>
      <c r="M19" s="860" t="n">
        <v>90000</v>
      </c>
      <c r="N19" s="828" t="inlineStr">
        <is>
          <t>Per 30 Minions, Troop RUSH +27</t>
        </is>
      </c>
      <c r="O19" s="819" t="n">
        <v>280</v>
      </c>
      <c r="Q19" s="815" t="n">
        <v>3</v>
      </c>
      <c r="R19" s="830" t="n">
        <v>8</v>
      </c>
      <c r="S19" s="860" t="n"/>
      <c r="T19" s="860" t="n"/>
      <c r="U19" s="860" t="n">
        <v>480000</v>
      </c>
      <c r="V19" s="828" t="inlineStr">
        <is>
          <t>Snail ATK +126</t>
        </is>
      </c>
      <c r="W19" s="819" t="n">
        <v>480</v>
      </c>
    </row>
    <row r="20">
      <c r="A20" s="815" t="n">
        <v>4</v>
      </c>
      <c r="B20" s="830" t="n">
        <v>20</v>
      </c>
      <c r="C20" s="860" t="n">
        <v>18000</v>
      </c>
      <c r="D20" s="860" t="n">
        <v>9400</v>
      </c>
      <c r="E20" s="860" t="n">
        <v>26250</v>
      </c>
      <c r="F20" s="828" t="inlineStr">
        <is>
          <t>Snail ATK +72</t>
        </is>
      </c>
      <c r="G20" s="819" t="n">
        <v>225</v>
      </c>
      <c r="I20" s="815" t="n">
        <v>4</v>
      </c>
      <c r="J20" s="830" t="n">
        <v>45</v>
      </c>
      <c r="K20" s="860" t="n">
        <v>39000</v>
      </c>
      <c r="L20" s="860" t="n">
        <v>19000</v>
      </c>
      <c r="M20" s="860" t="n">
        <v>105000</v>
      </c>
      <c r="N20" s="828" t="inlineStr">
        <is>
          <t>Per 30 Minions, Troop RUSH +36</t>
        </is>
      </c>
      <c r="O20" s="819" t="n">
        <v>350</v>
      </c>
      <c r="Q20" s="815" t="n">
        <v>4</v>
      </c>
      <c r="R20" s="830" t="n">
        <v>10</v>
      </c>
      <c r="S20" s="860" t="n"/>
      <c r="T20" s="860" t="n"/>
      <c r="U20" s="860" t="n">
        <v>560000</v>
      </c>
      <c r="V20" s="828" t="inlineStr">
        <is>
          <t>Snail ATK +180</t>
        </is>
      </c>
      <c r="W20" s="819" t="n">
        <v>600</v>
      </c>
    </row>
    <row r="21">
      <c r="A21" s="815" t="n">
        <v>5</v>
      </c>
      <c r="B21" s="830" t="n">
        <v>24</v>
      </c>
      <c r="C21" s="860" t="n">
        <v>21000</v>
      </c>
      <c r="D21" s="860" t="n">
        <v>10000</v>
      </c>
      <c r="E21" s="860" t="n">
        <v>30000</v>
      </c>
      <c r="F21" s="828" t="inlineStr">
        <is>
          <t>Snail ATK +100</t>
        </is>
      </c>
      <c r="G21" s="819" t="n">
        <v>270</v>
      </c>
      <c r="I21" s="815" t="n">
        <v>5</v>
      </c>
      <c r="J21" s="830" t="n">
        <v>55</v>
      </c>
      <c r="K21" s="860" t="n">
        <v>45000</v>
      </c>
      <c r="L21" s="860" t="n">
        <v>22000</v>
      </c>
      <c r="M21" s="860" t="n">
        <v>120000</v>
      </c>
      <c r="N21" s="828" t="inlineStr">
        <is>
          <t>Per 30 Minions, Troop RUSH +45</t>
        </is>
      </c>
      <c r="O21" s="819" t="n">
        <v>420</v>
      </c>
      <c r="Q21" s="815" t="n">
        <v>5</v>
      </c>
      <c r="R21" s="830" t="n">
        <v>12</v>
      </c>
      <c r="S21" s="860" t="n"/>
      <c r="T21" s="860" t="n"/>
      <c r="U21" s="860" t="n">
        <v>640000</v>
      </c>
      <c r="V21" s="828" t="inlineStr">
        <is>
          <t>Snail ATK +240</t>
        </is>
      </c>
      <c r="W21" s="819" t="n">
        <v>720</v>
      </c>
    </row>
    <row r="22">
      <c r="A22" s="815" t="n">
        <v>6</v>
      </c>
      <c r="B22" s="830" t="n">
        <v>28</v>
      </c>
      <c r="C22" s="860" t="n">
        <v>24000</v>
      </c>
      <c r="D22" s="860" t="n">
        <v>12000</v>
      </c>
      <c r="E22" s="860" t="n">
        <v>37500</v>
      </c>
      <c r="F22" s="828" t="inlineStr">
        <is>
          <t>Snail ATK +132</t>
        </is>
      </c>
      <c r="G22" s="819" t="n">
        <v>315</v>
      </c>
      <c r="I22" s="815" t="n">
        <v>6</v>
      </c>
      <c r="J22" s="830" t="n">
        <v>65</v>
      </c>
      <c r="K22" s="860" t="n">
        <v>51000</v>
      </c>
      <c r="L22" s="860" t="n">
        <v>25000</v>
      </c>
      <c r="M22" s="860" t="n">
        <v>135000</v>
      </c>
      <c r="N22" s="828" t="inlineStr">
        <is>
          <t>Per 30 Minions, Troop RUSH +54</t>
        </is>
      </c>
      <c r="O22" s="819" t="n">
        <v>490</v>
      </c>
      <c r="Q22" s="815" t="n">
        <v>6</v>
      </c>
      <c r="R22" s="830" t="n">
        <v>14</v>
      </c>
      <c r="S22" s="860" t="n"/>
      <c r="T22" s="860" t="n"/>
      <c r="U22" s="860" t="n">
        <v>720000</v>
      </c>
      <c r="V22" s="828" t="inlineStr">
        <is>
          <t>Snail ATK +306</t>
        </is>
      </c>
      <c r="W22" s="819" t="n">
        <v>840</v>
      </c>
    </row>
    <row r="23">
      <c r="A23" s="815" t="n">
        <v>7</v>
      </c>
      <c r="B23" s="830" t="n">
        <v>32</v>
      </c>
      <c r="C23" s="860" t="n">
        <v>27000</v>
      </c>
      <c r="D23" s="860" t="n">
        <v>13000</v>
      </c>
      <c r="E23" s="860" t="n">
        <v>37500</v>
      </c>
      <c r="F23" s="828" t="inlineStr">
        <is>
          <t>Snail ATK +168</t>
        </is>
      </c>
      <c r="G23" s="819" t="n">
        <v>360</v>
      </c>
      <c r="I23" s="815" t="n">
        <v>7</v>
      </c>
      <c r="J23" s="830" t="n">
        <v>75</v>
      </c>
      <c r="K23" s="860" t="n">
        <v>57000</v>
      </c>
      <c r="L23" s="860" t="n">
        <v>28000</v>
      </c>
      <c r="M23" s="860" t="n">
        <v>150000</v>
      </c>
      <c r="N23" s="828" t="inlineStr">
        <is>
          <t>Per 30 Minions, Troop RUSH +63</t>
        </is>
      </c>
      <c r="O23" s="819" t="n">
        <v>560</v>
      </c>
      <c r="Q23" s="815" t="n">
        <v>7</v>
      </c>
      <c r="R23" s="830" t="n">
        <v>16</v>
      </c>
      <c r="S23" s="860" t="n">
        <v>170000</v>
      </c>
      <c r="T23" s="860" t="n">
        <v>86000</v>
      </c>
      <c r="U23" s="860" t="n">
        <v>800000</v>
      </c>
      <c r="V23" s="828" t="inlineStr">
        <is>
          <t>Snail ATK +378</t>
        </is>
      </c>
      <c r="W23" s="819" t="n">
        <v>960</v>
      </c>
    </row>
    <row r="24">
      <c r="A24" s="815" t="n">
        <v>8</v>
      </c>
      <c r="B24" s="830" t="n">
        <v>36</v>
      </c>
      <c r="C24" s="860" t="n">
        <v>29000</v>
      </c>
      <c r="D24" s="860" t="n">
        <v>14000</v>
      </c>
      <c r="E24" s="860" t="n">
        <v>41250</v>
      </c>
      <c r="F24" s="828" t="inlineStr">
        <is>
          <t>Snail ATK +208</t>
        </is>
      </c>
      <c r="G24" s="819" t="n">
        <v>405</v>
      </c>
      <c r="I24" s="815" t="n">
        <v>8</v>
      </c>
      <c r="J24" s="830" t="n">
        <v>85</v>
      </c>
      <c r="K24" s="860" t="n">
        <v>62000</v>
      </c>
      <c r="L24" s="860" t="n">
        <v>31000</v>
      </c>
      <c r="M24" s="860" t="n">
        <v>165000</v>
      </c>
      <c r="N24" s="828" t="inlineStr">
        <is>
          <t>Per 30 Minions, Troop RUSH +72</t>
        </is>
      </c>
      <c r="O24" s="819" t="n">
        <v>630</v>
      </c>
      <c r="Q24" s="815" t="n">
        <v>8</v>
      </c>
      <c r="R24" s="830" t="n">
        <v>18</v>
      </c>
      <c r="S24" s="860" t="n"/>
      <c r="T24" s="860" t="n"/>
      <c r="U24" s="860" t="n">
        <v>880000</v>
      </c>
      <c r="V24" s="828" t="inlineStr">
        <is>
          <t>Snail ATK +456</t>
        </is>
      </c>
      <c r="W24" s="819" t="n">
        <v>1080</v>
      </c>
    </row>
    <row r="25">
      <c r="A25" s="815" t="n">
        <v>9</v>
      </c>
      <c r="B25" s="830" t="n">
        <v>40</v>
      </c>
      <c r="C25" s="860" t="n">
        <v>32000</v>
      </c>
      <c r="D25" s="860" t="n">
        <v>16000</v>
      </c>
      <c r="E25" s="860" t="n">
        <v>45000</v>
      </c>
      <c r="F25" s="828" t="inlineStr">
        <is>
          <t>Snail ATK +252</t>
        </is>
      </c>
      <c r="G25" s="819" t="n">
        <v>450</v>
      </c>
      <c r="I25" s="815" t="n">
        <v>9</v>
      </c>
      <c r="J25" s="830" t="n">
        <v>95</v>
      </c>
      <c r="K25" s="860" t="n">
        <v>68000</v>
      </c>
      <c r="L25" s="860" t="n">
        <v>34000</v>
      </c>
      <c r="M25" s="860" t="n">
        <v>180000</v>
      </c>
      <c r="N25" s="828" t="inlineStr">
        <is>
          <t>Per 30 Minions, Troop RUSH +81</t>
        </is>
      </c>
      <c r="O25" s="819" t="n">
        <v>700</v>
      </c>
      <c r="Q25" s="815" t="n">
        <v>9</v>
      </c>
      <c r="R25" s="830" t="n">
        <v>20</v>
      </c>
      <c r="S25" s="860" t="n"/>
      <c r="T25" s="860" t="n"/>
      <c r="U25" s="860" t="n">
        <v>960000</v>
      </c>
      <c r="V25" s="828" t="inlineStr">
        <is>
          <t>Snail ATK +540</t>
        </is>
      </c>
      <c r="W25" s="819" t="n">
        <v>1200</v>
      </c>
    </row>
    <row r="26">
      <c r="A26" s="815" t="n">
        <v>10</v>
      </c>
      <c r="B26" s="830" t="n">
        <v>44</v>
      </c>
      <c r="C26" s="860" t="n">
        <v>35000</v>
      </c>
      <c r="D26" s="860" t="n">
        <v>17000</v>
      </c>
      <c r="E26" s="860" t="n">
        <v>48750</v>
      </c>
      <c r="F26" s="828" t="inlineStr">
        <is>
          <t>Snail ATK +300</t>
        </is>
      </c>
      <c r="G26" s="819" t="n">
        <v>495</v>
      </c>
      <c r="I26" s="815" t="n">
        <v>10</v>
      </c>
      <c r="J26" s="830" t="n">
        <v>105</v>
      </c>
      <c r="K26" s="860" t="n">
        <v>74000</v>
      </c>
      <c r="L26" s="860" t="n">
        <v>37000</v>
      </c>
      <c r="M26" s="860" t="n">
        <v>195000</v>
      </c>
      <c r="N26" s="828" t="inlineStr">
        <is>
          <t>Per 30 Minions, Troop RUSH +90</t>
        </is>
      </c>
      <c r="O26" s="819" t="n">
        <v>770</v>
      </c>
      <c r="Q26" s="815" t="n">
        <v>10</v>
      </c>
      <c r="R26" s="830" t="n">
        <v>22</v>
      </c>
      <c r="S26" s="860" t="n"/>
      <c r="T26" s="860" t="n"/>
      <c r="U26" s="860" t="n">
        <v>1040000</v>
      </c>
      <c r="V26" s="828" t="inlineStr">
        <is>
          <t>Snail ATK +630</t>
        </is>
      </c>
      <c r="W26" s="819" t="n">
        <v>1320</v>
      </c>
    </row>
    <row r="27">
      <c r="A27" s="820" t="inlineStr">
        <is>
          <t>Total</t>
        </is>
      </c>
      <c r="B27" s="821">
        <f>SUM(B17:B26)</f>
        <v/>
      </c>
      <c r="C27" s="822">
        <f>SUM(C17:C26)</f>
        <v/>
      </c>
      <c r="D27" s="822">
        <f>SUM(D17:D26)</f>
        <v/>
      </c>
      <c r="E27" s="822">
        <f>SUM(E17:E26)</f>
        <v/>
      </c>
      <c r="F27" s="823" t="n"/>
      <c r="G27" s="824">
        <f>SUM(G17:G26)</f>
        <v/>
      </c>
      <c r="I27" s="820" t="inlineStr">
        <is>
          <t>Total</t>
        </is>
      </c>
      <c r="J27" s="821">
        <f>SUM(J17:J26)</f>
        <v/>
      </c>
      <c r="K27" s="822">
        <f>SUM(K17:K26)</f>
        <v/>
      </c>
      <c r="L27" s="822">
        <f>SUM(L17:L26)</f>
        <v/>
      </c>
      <c r="M27" s="822">
        <f>SUM(M17:M26)</f>
        <v/>
      </c>
      <c r="N27" s="823" t="n"/>
      <c r="O27" s="824">
        <f>SUM(O17:O26)</f>
        <v/>
      </c>
      <c r="Q27" s="820" t="inlineStr">
        <is>
          <t>Total</t>
        </is>
      </c>
      <c r="R27" s="821">
        <f>SUM(R17:R26)</f>
        <v/>
      </c>
      <c r="S27" s="822">
        <f>SUM(S17:S26)</f>
        <v/>
      </c>
      <c r="T27" s="822">
        <f>SUM(T17:T26)</f>
        <v/>
      </c>
      <c r="U27" s="822">
        <f>SUM(U17:U26)</f>
        <v/>
      </c>
      <c r="V27" s="823" t="n"/>
      <c r="W27" s="824">
        <f>SUM(W17:W26)</f>
        <v/>
      </c>
    </row>
    <row r="28">
      <c r="A28" s="861" t="n"/>
      <c r="B28" s="828" t="n"/>
      <c r="C28" s="828" t="n"/>
      <c r="D28" s="828" t="n"/>
      <c r="E28" s="828" t="n"/>
      <c r="F28" s="828" t="n"/>
      <c r="G28" s="829" t="n"/>
      <c r="I28" s="861" t="n"/>
      <c r="J28" s="828" t="n"/>
      <c r="K28" s="828" t="n"/>
      <c r="L28" s="828" t="n"/>
      <c r="M28" s="828" t="n"/>
      <c r="N28" s="828" t="n"/>
      <c r="O28" s="829" t="n"/>
      <c r="Q28" s="861" t="n"/>
      <c r="R28" s="828" t="n"/>
      <c r="S28" s="828" t="n"/>
      <c r="T28" s="828" t="n"/>
      <c r="U28" s="828" t="n"/>
      <c r="V28" s="828" t="n"/>
      <c r="W28" s="829" t="n"/>
    </row>
    <row r="29">
      <c r="A29" s="861" t="n"/>
      <c r="B29" s="828" t="n"/>
      <c r="C29" s="828" t="n"/>
      <c r="D29" s="828" t="n"/>
      <c r="E29" s="828" t="n"/>
      <c r="F29" s="828" t="n"/>
      <c r="G29" s="829" t="n"/>
      <c r="I29" s="861" t="n"/>
      <c r="J29" s="828" t="n"/>
      <c r="K29" s="828" t="n"/>
      <c r="L29" s="828" t="n"/>
      <c r="M29" s="828" t="n"/>
      <c r="N29" s="828" t="n"/>
      <c r="O29" s="829" t="n"/>
      <c r="Q29" s="861" t="n"/>
      <c r="R29" s="828" t="n"/>
      <c r="S29" s="828" t="n"/>
      <c r="T29" s="828" t="n"/>
      <c r="U29" s="828" t="n"/>
      <c r="V29" s="828" t="n"/>
      <c r="W29" s="829" t="n"/>
    </row>
    <row r="30">
      <c r="A30" s="811" t="inlineStr">
        <is>
          <t>1C - AFFCT Up III</t>
        </is>
      </c>
      <c r="B30" s="813" t="n"/>
      <c r="C30" s="813" t="inlineStr">
        <is>
          <t>Zombie</t>
        </is>
      </c>
      <c r="D30" s="813" t="inlineStr">
        <is>
          <t>Mecha</t>
        </is>
      </c>
      <c r="E30" s="813" t="inlineStr">
        <is>
          <t>Btads</t>
        </is>
      </c>
      <c r="F30" s="813" t="n"/>
      <c r="G30" s="868" t="inlineStr">
        <is>
          <t>DNA Points</t>
        </is>
      </c>
      <c r="I30" s="811" t="inlineStr">
        <is>
          <t>1C - Troop HARD Up III</t>
        </is>
      </c>
      <c r="J30" s="813" t="n"/>
      <c r="K30" s="813" t="inlineStr">
        <is>
          <t>Zombie</t>
        </is>
      </c>
      <c r="L30" s="813" t="inlineStr">
        <is>
          <t>Mecha</t>
        </is>
      </c>
      <c r="M30" s="813" t="inlineStr">
        <is>
          <t>Btads</t>
        </is>
      </c>
      <c r="N30" s="813" t="n"/>
      <c r="O30" s="868" t="n"/>
      <c r="Q30" s="811" t="inlineStr">
        <is>
          <t>1C - AFFCT Up IV</t>
        </is>
      </c>
      <c r="R30" s="813" t="n"/>
      <c r="S30" s="813" t="inlineStr">
        <is>
          <t>Zombie</t>
        </is>
      </c>
      <c r="T30" s="813" t="inlineStr">
        <is>
          <t>Mecha</t>
        </is>
      </c>
      <c r="U30" s="813" t="n"/>
      <c r="V30" s="813" t="n"/>
      <c r="W30" s="868" t="n"/>
    </row>
    <row r="31">
      <c r="A31" s="815" t="n">
        <v>1</v>
      </c>
      <c r="B31" s="830" t="n">
        <v>10</v>
      </c>
      <c r="C31" s="860" t="n">
        <v>8100</v>
      </c>
      <c r="D31" s="860" t="n">
        <v>16000</v>
      </c>
      <c r="E31" s="860" t="n">
        <v>20000</v>
      </c>
      <c r="F31" s="828" t="inlineStr">
        <is>
          <t>AFFCT +30</t>
        </is>
      </c>
      <c r="G31" s="819" t="n">
        <v>100</v>
      </c>
      <c r="I31" s="815" t="n">
        <v>1</v>
      </c>
      <c r="J31" s="830" t="n">
        <v>18</v>
      </c>
      <c r="K31" s="860" t="n">
        <v>17000</v>
      </c>
      <c r="L31" s="860" t="n">
        <v>34000</v>
      </c>
      <c r="M31" s="860" t="n">
        <v>80000</v>
      </c>
      <c r="N31" s="828" t="inlineStr">
        <is>
          <t>Per 30 Minions, Troop HARD +3</t>
        </is>
      </c>
      <c r="O31" s="819" t="n">
        <v>160</v>
      </c>
      <c r="Q31" s="815" t="n">
        <v>1</v>
      </c>
      <c r="R31" s="830" t="n">
        <v>6</v>
      </c>
      <c r="S31" s="860" t="n">
        <v>45000</v>
      </c>
      <c r="T31" s="860" t="n">
        <v>90000</v>
      </c>
      <c r="U31" s="860" t="n">
        <v>480000</v>
      </c>
      <c r="V31" s="828" t="inlineStr">
        <is>
          <t>AFFCT +60</t>
        </is>
      </c>
      <c r="W31" s="819" t="n">
        <v>280</v>
      </c>
    </row>
    <row r="32">
      <c r="A32" s="815" t="n">
        <v>2</v>
      </c>
      <c r="B32" s="830" t="n">
        <v>15</v>
      </c>
      <c r="C32" s="860" t="n">
        <v>10000</v>
      </c>
      <c r="D32" s="860" t="n">
        <v>20000</v>
      </c>
      <c r="E32" s="860" t="n">
        <v>25000</v>
      </c>
      <c r="F32" s="828" t="inlineStr">
        <is>
          <t>AFFCT +70</t>
        </is>
      </c>
      <c r="G32" s="819" t="n">
        <v>150</v>
      </c>
      <c r="I32" s="815" t="n">
        <v>2</v>
      </c>
      <c r="J32" s="830" t="n">
        <v>30</v>
      </c>
      <c r="K32" s="860" t="n">
        <v>21000</v>
      </c>
      <c r="L32" s="860" t="n">
        <v>42000</v>
      </c>
      <c r="M32" s="860" t="n">
        <v>100000</v>
      </c>
      <c r="N32" s="828" t="inlineStr">
        <is>
          <t>Per 30 Minions, Troop HARD +6</t>
        </is>
      </c>
      <c r="O32" s="819" t="n">
        <v>240</v>
      </c>
      <c r="Q32" s="815" t="n">
        <v>2</v>
      </c>
      <c r="R32" s="830" t="n">
        <v>9</v>
      </c>
      <c r="S32" s="860" t="n"/>
      <c r="T32" s="860" t="n"/>
      <c r="U32" s="860" t="n">
        <v>600000</v>
      </c>
      <c r="V32" s="828" t="inlineStr">
        <is>
          <t>AFFCT +130</t>
        </is>
      </c>
      <c r="W32" s="819" t="n">
        <v>420</v>
      </c>
    </row>
    <row r="33">
      <c r="A33" s="815" t="n">
        <v>3</v>
      </c>
      <c r="B33" s="830" t="n">
        <v>20</v>
      </c>
      <c r="C33" s="860" t="n">
        <v>12000</v>
      </c>
      <c r="D33" s="860" t="n">
        <v>24000</v>
      </c>
      <c r="E33" s="860" t="n">
        <v>30000</v>
      </c>
      <c r="F33" s="828" t="inlineStr">
        <is>
          <t>AFFCT +120</t>
        </is>
      </c>
      <c r="G33" s="819" t="n">
        <v>200</v>
      </c>
      <c r="I33" s="815" t="n">
        <v>3</v>
      </c>
      <c r="J33" s="830" t="n">
        <v>42</v>
      </c>
      <c r="K33" s="860" t="n">
        <v>25000</v>
      </c>
      <c r="L33" s="860" t="n">
        <v>51000</v>
      </c>
      <c r="M33" s="860" t="n">
        <v>120000</v>
      </c>
      <c r="N33" s="828" t="inlineStr">
        <is>
          <t>Per 30 Minions, Troop HARD +9</t>
        </is>
      </c>
      <c r="O33" s="819" t="n">
        <v>320</v>
      </c>
      <c r="Q33" s="815" t="n">
        <v>3</v>
      </c>
      <c r="R33" s="830" t="n">
        <v>12</v>
      </c>
      <c r="S33" s="860" t="n"/>
      <c r="T33" s="860" t="n"/>
      <c r="U33" s="860" t="n">
        <v>720000</v>
      </c>
      <c r="V33" s="828" t="inlineStr">
        <is>
          <t>AFFCT +210</t>
        </is>
      </c>
      <c r="W33" s="819" t="n">
        <v>560</v>
      </c>
    </row>
    <row r="34">
      <c r="A34" s="815" t="n">
        <v>4</v>
      </c>
      <c r="B34" s="830" t="n">
        <v>25</v>
      </c>
      <c r="C34" s="860" t="n">
        <v>14000</v>
      </c>
      <c r="D34" s="860" t="n">
        <v>28000</v>
      </c>
      <c r="E34" s="860" t="n">
        <v>35000</v>
      </c>
      <c r="F34" s="828" t="inlineStr">
        <is>
          <t>AFFCT +180</t>
        </is>
      </c>
      <c r="G34" s="819" t="n">
        <v>250</v>
      </c>
      <c r="I34" s="815" t="n">
        <v>4</v>
      </c>
      <c r="J34" s="830" t="n">
        <v>54</v>
      </c>
      <c r="K34" s="860" t="n">
        <v>29000</v>
      </c>
      <c r="L34" s="860" t="n">
        <v>59000</v>
      </c>
      <c r="M34" s="860" t="n">
        <v>140000</v>
      </c>
      <c r="N34" s="828" t="inlineStr">
        <is>
          <t>Per 30 Minions, Troop HARD +12</t>
        </is>
      </c>
      <c r="O34" s="819" t="n">
        <v>400</v>
      </c>
      <c r="Q34" s="815" t="n">
        <v>4</v>
      </c>
      <c r="R34" s="830" t="n">
        <v>15</v>
      </c>
      <c r="S34" s="860" t="n"/>
      <c r="T34" s="860" t="n"/>
      <c r="U34" s="860" t="n">
        <v>840000</v>
      </c>
      <c r="V34" s="828" t="inlineStr">
        <is>
          <t>AFFCT +300</t>
        </is>
      </c>
      <c r="W34" s="819" t="n">
        <v>700</v>
      </c>
    </row>
    <row r="35">
      <c r="A35" s="815" t="n">
        <v>5</v>
      </c>
      <c r="B35" s="830" t="n">
        <v>30</v>
      </c>
      <c r="C35" s="860" t="n">
        <v>16000</v>
      </c>
      <c r="D35" s="860" t="n">
        <v>32000</v>
      </c>
      <c r="E35" s="860" t="n">
        <v>40000</v>
      </c>
      <c r="F35" s="828" t="inlineStr">
        <is>
          <t>AFFCT +250</t>
        </is>
      </c>
      <c r="G35" s="819" t="n">
        <v>300</v>
      </c>
      <c r="I35" s="815" t="n">
        <v>5</v>
      </c>
      <c r="J35" s="830" t="n">
        <v>66</v>
      </c>
      <c r="K35" s="860" t="n">
        <v>34000</v>
      </c>
      <c r="L35" s="860" t="n">
        <v>68000</v>
      </c>
      <c r="M35" s="860" t="n">
        <v>160000</v>
      </c>
      <c r="N35" s="828" t="inlineStr">
        <is>
          <t>Per 30 Minions, Troop HARD +15</t>
        </is>
      </c>
      <c r="O35" s="819" t="n">
        <v>480</v>
      </c>
      <c r="Q35" s="815" t="n">
        <v>5</v>
      </c>
      <c r="R35" s="830" t="n">
        <v>18</v>
      </c>
      <c r="S35" s="860" t="n"/>
      <c r="T35" s="860" t="n"/>
      <c r="U35" s="860" t="n">
        <v>960000</v>
      </c>
      <c r="V35" s="828" t="inlineStr">
        <is>
          <t>AFFCT +400</t>
        </is>
      </c>
      <c r="W35" s="819" t="n">
        <v>840</v>
      </c>
    </row>
    <row r="36">
      <c r="A36" s="815" t="n">
        <v>6</v>
      </c>
      <c r="B36" s="830" t="n">
        <v>35</v>
      </c>
      <c r="C36" s="860" t="n">
        <v>18000</v>
      </c>
      <c r="D36" s="860" t="n">
        <v>36000</v>
      </c>
      <c r="E36" s="860" t="n">
        <v>45000</v>
      </c>
      <c r="F36" s="828" t="inlineStr">
        <is>
          <t>AFFCT +330</t>
        </is>
      </c>
      <c r="G36" s="819" t="n">
        <v>350</v>
      </c>
      <c r="I36" s="815" t="n">
        <v>6</v>
      </c>
      <c r="J36" s="830" t="n">
        <v>78</v>
      </c>
      <c r="K36" s="860" t="n">
        <v>38000</v>
      </c>
      <c r="L36" s="860" t="n">
        <v>76000</v>
      </c>
      <c r="M36" s="860" t="n">
        <v>180000</v>
      </c>
      <c r="N36" s="828" t="inlineStr">
        <is>
          <t>Per 30 Minions, Troop HARD +18</t>
        </is>
      </c>
      <c r="O36" s="819" t="n">
        <v>560</v>
      </c>
      <c r="Q36" s="815" t="n">
        <v>6</v>
      </c>
      <c r="R36" s="830" t="n">
        <v>21</v>
      </c>
      <c r="S36" s="860" t="n"/>
      <c r="T36" s="860" t="n"/>
      <c r="U36" s="860" t="n">
        <v>1080000</v>
      </c>
      <c r="V36" s="828" t="inlineStr">
        <is>
          <t>AFFCT +510</t>
        </is>
      </c>
      <c r="W36" s="819" t="n">
        <v>980</v>
      </c>
    </row>
    <row r="37">
      <c r="A37" s="815" t="n">
        <v>7</v>
      </c>
      <c r="B37" s="830" t="n">
        <v>40</v>
      </c>
      <c r="C37" s="860" t="n">
        <v>20000</v>
      </c>
      <c r="D37" s="860" t="n">
        <v>40000</v>
      </c>
      <c r="E37" s="860" t="n">
        <v>50000</v>
      </c>
      <c r="F37" s="828" t="inlineStr">
        <is>
          <t>AFFCT +420</t>
        </is>
      </c>
      <c r="G37" s="819" t="n">
        <v>400</v>
      </c>
      <c r="I37" s="815" t="n">
        <v>7</v>
      </c>
      <c r="J37" s="830" t="n">
        <v>90</v>
      </c>
      <c r="K37" s="860" t="n">
        <v>42000</v>
      </c>
      <c r="L37" s="860" t="n">
        <v>85000</v>
      </c>
      <c r="M37" s="860" t="n">
        <v>200000</v>
      </c>
      <c r="N37" s="828" t="inlineStr">
        <is>
          <t>Per 30 Minions, Troop HARD +21</t>
        </is>
      </c>
      <c r="O37" s="819" t="n">
        <v>640</v>
      </c>
      <c r="Q37" s="815" t="n">
        <v>7</v>
      </c>
      <c r="R37" s="830" t="n">
        <v>24</v>
      </c>
      <c r="S37" s="860" t="n"/>
      <c r="T37" s="860" t="n"/>
      <c r="U37" s="860" t="n">
        <v>1200000</v>
      </c>
      <c r="V37" s="828" t="inlineStr">
        <is>
          <t>AFFCT +630</t>
        </is>
      </c>
      <c r="W37" s="819" t="n">
        <v>1120</v>
      </c>
    </row>
    <row r="38">
      <c r="A38" s="815" t="n">
        <v>8</v>
      </c>
      <c r="B38" s="830" t="n">
        <v>45</v>
      </c>
      <c r="C38" s="860" t="n">
        <v>22000</v>
      </c>
      <c r="D38" s="860" t="n">
        <v>44000</v>
      </c>
      <c r="E38" s="860" t="n">
        <v>55000</v>
      </c>
      <c r="F38" s="828" t="inlineStr">
        <is>
          <t>AFFCT +520</t>
        </is>
      </c>
      <c r="G38" s="819" t="n">
        <v>450</v>
      </c>
      <c r="I38" s="815" t="n">
        <v>8</v>
      </c>
      <c r="J38" s="830" t="n">
        <v>102</v>
      </c>
      <c r="K38" s="860" t="n">
        <v>47000</v>
      </c>
      <c r="L38" s="860" t="n">
        <v>94000</v>
      </c>
      <c r="M38" s="860" t="n">
        <v>220000</v>
      </c>
      <c r="N38" s="828" t="inlineStr">
        <is>
          <t>Per 30 Minions, Troop HARD +24</t>
        </is>
      </c>
      <c r="O38" s="819" t="n">
        <v>720</v>
      </c>
      <c r="Q38" s="815" t="n">
        <v>8</v>
      </c>
      <c r="R38" s="830" t="n">
        <v>27</v>
      </c>
      <c r="S38" s="860" t="n"/>
      <c r="T38" s="860" t="n"/>
      <c r="U38" s="860" t="n">
        <v>1320000</v>
      </c>
      <c r="V38" s="828" t="inlineStr">
        <is>
          <t>AFFCT +760</t>
        </is>
      </c>
      <c r="W38" s="819" t="n">
        <v>1260</v>
      </c>
    </row>
    <row r="39">
      <c r="A39" s="815" t="n">
        <v>9</v>
      </c>
      <c r="B39" s="830" t="n">
        <v>50</v>
      </c>
      <c r="C39" s="860" t="n">
        <v>24000</v>
      </c>
      <c r="D39" s="860" t="n">
        <v>48000</v>
      </c>
      <c r="E39" s="860" t="n">
        <v>60000</v>
      </c>
      <c r="F39" s="828" t="inlineStr">
        <is>
          <t>AFFCT +630</t>
        </is>
      </c>
      <c r="G39" s="819" t="n">
        <v>500</v>
      </c>
      <c r="I39" s="815" t="n">
        <v>9</v>
      </c>
      <c r="J39" s="830" t="n">
        <v>114</v>
      </c>
      <c r="K39" s="860" t="n">
        <v>51000</v>
      </c>
      <c r="L39" s="860" t="n">
        <v>100000</v>
      </c>
      <c r="M39" s="860" t="n">
        <v>240000</v>
      </c>
      <c r="N39" s="828" t="inlineStr">
        <is>
          <t>Per 30 Minions, Troop HARD +27</t>
        </is>
      </c>
      <c r="O39" s="819" t="n">
        <v>800</v>
      </c>
      <c r="Q39" s="815" t="n">
        <v>9</v>
      </c>
      <c r="R39" s="830" t="n">
        <v>30</v>
      </c>
      <c r="S39" s="860" t="n"/>
      <c r="T39" s="860" t="n"/>
      <c r="U39" s="860" t="n">
        <v>1440000</v>
      </c>
      <c r="V39" s="828" t="inlineStr">
        <is>
          <t>AFFCT +900</t>
        </is>
      </c>
      <c r="W39" s="819" t="n">
        <v>1400</v>
      </c>
    </row>
    <row r="40">
      <c r="A40" s="815" t="n">
        <v>10</v>
      </c>
      <c r="B40" s="830" t="n">
        <v>55</v>
      </c>
      <c r="C40" s="860" t="n">
        <v>26000</v>
      </c>
      <c r="D40" s="860" t="n">
        <v>52000</v>
      </c>
      <c r="E40" s="860" t="n">
        <v>65000</v>
      </c>
      <c r="F40" s="828" t="inlineStr">
        <is>
          <t>AFFCT +750</t>
        </is>
      </c>
      <c r="G40" s="819" t="n">
        <v>550</v>
      </c>
      <c r="I40" s="815" t="n">
        <v>10</v>
      </c>
      <c r="J40" s="830" t="n">
        <v>126</v>
      </c>
      <c r="K40" s="860" t="n">
        <v>55000</v>
      </c>
      <c r="L40" s="860" t="n">
        <v>110000</v>
      </c>
      <c r="M40" s="860" t="n">
        <v>260000</v>
      </c>
      <c r="N40" s="828" t="inlineStr">
        <is>
          <t>Per 30 Minions, Troop HARD +30</t>
        </is>
      </c>
      <c r="O40" s="819" t="n">
        <v>880</v>
      </c>
      <c r="Q40" s="815" t="n">
        <v>10</v>
      </c>
      <c r="R40" s="830" t="n">
        <v>33</v>
      </c>
      <c r="S40" s="860" t="n"/>
      <c r="T40" s="860" t="n"/>
      <c r="U40" s="860" t="n">
        <v>1560000</v>
      </c>
      <c r="V40" s="828" t="inlineStr">
        <is>
          <t>AFFCT +1050</t>
        </is>
      </c>
      <c r="W40" s="819" t="n">
        <v>1540</v>
      </c>
    </row>
    <row r="41">
      <c r="A41" s="820" t="inlineStr">
        <is>
          <t>Total</t>
        </is>
      </c>
      <c r="B41" s="821">
        <f>SUM(B31:B40)</f>
        <v/>
      </c>
      <c r="C41" s="822">
        <f>SUM(C31:C40)</f>
        <v/>
      </c>
      <c r="D41" s="822">
        <f>SUM(D31:D40)</f>
        <v/>
      </c>
      <c r="E41" s="822">
        <f>SUM(E31:E40)</f>
        <v/>
      </c>
      <c r="F41" s="823" t="n"/>
      <c r="G41" s="824">
        <f>SUM(G31:G40)</f>
        <v/>
      </c>
      <c r="H41" s="830" t="n"/>
      <c r="I41" s="820" t="inlineStr">
        <is>
          <t>Total</t>
        </is>
      </c>
      <c r="J41" s="821">
        <f>SUM(J31:J40)</f>
        <v/>
      </c>
      <c r="K41" s="822">
        <f>SUM(K31:K40)</f>
        <v/>
      </c>
      <c r="L41" s="822">
        <f>SUM(L31:L40)</f>
        <v/>
      </c>
      <c r="M41" s="822">
        <f>SUM(M31:M40)</f>
        <v/>
      </c>
      <c r="N41" s="823" t="n"/>
      <c r="O41" s="824">
        <f>SUM(O31:O40)</f>
        <v/>
      </c>
      <c r="Q41" s="820" t="inlineStr">
        <is>
          <t>Total</t>
        </is>
      </c>
      <c r="R41" s="821">
        <f>SUM(R31:R40)</f>
        <v/>
      </c>
      <c r="S41" s="822">
        <f>SUM(S31:S40)</f>
        <v/>
      </c>
      <c r="T41" s="822">
        <f>SUM(T31:T40)</f>
        <v/>
      </c>
      <c r="U41" s="822">
        <f>SUM(U31:U40)</f>
        <v/>
      </c>
      <c r="V41" s="823" t="n"/>
      <c r="W41" s="824">
        <f>SUM(W31:W40)</f>
        <v/>
      </c>
    </row>
    <row r="42">
      <c r="A42" s="861" t="n"/>
      <c r="B42" s="828" t="n"/>
      <c r="C42" s="828" t="n"/>
      <c r="D42" s="828" t="n"/>
      <c r="E42" s="828" t="n"/>
      <c r="F42" s="828" t="n"/>
      <c r="G42" s="829" t="n"/>
      <c r="I42" s="861" t="n"/>
      <c r="J42" s="828" t="n"/>
      <c r="K42" s="828" t="n"/>
      <c r="L42" s="828" t="n"/>
      <c r="M42" s="828" t="n"/>
      <c r="N42" s="828" t="n"/>
      <c r="O42" s="829" t="n"/>
      <c r="Q42" s="861" t="n"/>
      <c r="R42" s="828" t="n"/>
      <c r="S42" s="828" t="n"/>
      <c r="T42" s="828" t="n"/>
      <c r="U42" s="828" t="n"/>
      <c r="V42" s="828" t="n"/>
      <c r="W42" s="829" t="n"/>
    </row>
    <row r="43">
      <c r="A43" s="861" t="n"/>
      <c r="B43" s="828" t="n"/>
      <c r="C43" s="828" t="n"/>
      <c r="D43" s="828" t="n"/>
      <c r="E43" s="828" t="n"/>
      <c r="F43" s="828" t="n"/>
      <c r="G43" s="829" t="n"/>
      <c r="I43" s="861" t="n"/>
      <c r="J43" s="828" t="n"/>
      <c r="K43" s="828" t="n"/>
      <c r="L43" s="828" t="n"/>
      <c r="M43" s="828" t="n"/>
      <c r="N43" s="828" t="n"/>
      <c r="O43" s="829" t="n"/>
      <c r="Q43" s="861" t="n"/>
      <c r="R43" s="828" t="n"/>
      <c r="S43" s="828" t="n"/>
      <c r="T43" s="828" t="n"/>
      <c r="U43" s="828" t="n"/>
      <c r="V43" s="828" t="n"/>
      <c r="W43" s="829" t="n"/>
    </row>
    <row r="44">
      <c r="A44" s="811" t="inlineStr">
        <is>
          <t>2A - HP Up Gene III</t>
        </is>
      </c>
      <c r="B44" s="813" t="n"/>
      <c r="C44" s="813" t="inlineStr">
        <is>
          <t>Zombie</t>
        </is>
      </c>
      <c r="D44" s="813" t="inlineStr">
        <is>
          <t>Demon</t>
        </is>
      </c>
      <c r="E44" s="813" t="inlineStr">
        <is>
          <t>Btads</t>
        </is>
      </c>
      <c r="F44" s="813" t="n"/>
      <c r="G44" s="868" t="inlineStr">
        <is>
          <t>DNA Points</t>
        </is>
      </c>
      <c r="I44" s="811" t="inlineStr">
        <is>
          <t>2A - DEF Up III</t>
        </is>
      </c>
      <c r="J44" s="813" t="n"/>
      <c r="K44" s="813" t="inlineStr">
        <is>
          <t>Zombie</t>
        </is>
      </c>
      <c r="L44" s="813" t="inlineStr">
        <is>
          <t>Demon</t>
        </is>
      </c>
      <c r="M44" s="813" t="inlineStr">
        <is>
          <t>Btads</t>
        </is>
      </c>
      <c r="N44" s="813" t="n"/>
      <c r="O44" s="868" t="n"/>
      <c r="Q44" s="811" t="inlineStr">
        <is>
          <t>2A - HP Up Gene IV</t>
        </is>
      </c>
      <c r="R44" s="813" t="n"/>
      <c r="S44" s="813" t="inlineStr">
        <is>
          <t>Zombie</t>
        </is>
      </c>
      <c r="T44" s="813" t="inlineStr">
        <is>
          <t>Demon</t>
        </is>
      </c>
      <c r="U44" s="813" t="n"/>
      <c r="V44" s="813" t="n"/>
      <c r="W44" s="868" t="n"/>
    </row>
    <row r="45">
      <c r="A45" s="815" t="n">
        <v>1</v>
      </c>
      <c r="B45" s="830" t="n">
        <v>6</v>
      </c>
      <c r="C45" s="860" t="n">
        <v>5400</v>
      </c>
      <c r="D45" s="860" t="n">
        <v>8100</v>
      </c>
      <c r="E45" s="860" t="n">
        <v>10000</v>
      </c>
      <c r="F45" s="828" t="inlineStr">
        <is>
          <t>Per 30 Minions, Troop HP +90</t>
        </is>
      </c>
      <c r="G45" s="819" t="n">
        <v>80</v>
      </c>
      <c r="I45" s="815" t="n">
        <v>1</v>
      </c>
      <c r="J45" s="830" t="n">
        <v>12</v>
      </c>
      <c r="K45" s="860" t="n">
        <v>11000</v>
      </c>
      <c r="L45" s="860" t="n">
        <v>17000</v>
      </c>
      <c r="M45" s="860" t="n">
        <v>50000</v>
      </c>
      <c r="N45" s="828" t="inlineStr">
        <is>
          <t>Snail DEF +12</t>
        </is>
      </c>
      <c r="O45" s="819" t="n">
        <v>120</v>
      </c>
      <c r="Q45" s="815" t="n">
        <v>1</v>
      </c>
      <c r="R45" s="830" t="n">
        <v>2</v>
      </c>
      <c r="S45" s="860" t="n">
        <v>30000</v>
      </c>
      <c r="T45" s="860" t="n">
        <v>45000</v>
      </c>
      <c r="U45" s="860" t="n">
        <v>200000</v>
      </c>
      <c r="V45" s="828" t="inlineStr">
        <is>
          <t>Per 60 Minions, Troop HP +300</t>
        </is>
      </c>
      <c r="W45" s="819" t="n">
        <v>200</v>
      </c>
    </row>
    <row r="46">
      <c r="A46" s="815" t="n">
        <v>2</v>
      </c>
      <c r="B46" s="830" t="n">
        <v>9</v>
      </c>
      <c r="C46" s="860" t="n">
        <v>6700</v>
      </c>
      <c r="D46" s="860" t="n">
        <v>10000</v>
      </c>
      <c r="E46" s="860" t="n">
        <v>12500</v>
      </c>
      <c r="F46" s="828" t="inlineStr">
        <is>
          <t>Per 30 Minions, Troop HP +180</t>
        </is>
      </c>
      <c r="G46" s="819" t="n">
        <v>120</v>
      </c>
      <c r="I46" s="815" t="n">
        <v>2</v>
      </c>
      <c r="J46" s="830" t="n">
        <v>20</v>
      </c>
      <c r="K46" s="860" t="n">
        <v>14000</v>
      </c>
      <c r="L46" s="860" t="n">
        <v>21000</v>
      </c>
      <c r="M46" s="860" t="n">
        <v>62500</v>
      </c>
      <c r="N46" s="828" t="inlineStr">
        <is>
          <t>Snail DEF +28</t>
        </is>
      </c>
      <c r="O46" s="819" t="n">
        <v>180</v>
      </c>
      <c r="Q46" s="815" t="n">
        <v>2</v>
      </c>
      <c r="R46" s="830" t="n">
        <v>3</v>
      </c>
      <c r="S46" s="860" t="n">
        <v>37000</v>
      </c>
      <c r="T46" s="860" t="n">
        <v>54000</v>
      </c>
      <c r="U46" s="860" t="n">
        <v>250000</v>
      </c>
      <c r="V46" s="828" t="inlineStr">
        <is>
          <t>Per 60 Minions, Troop HP +600</t>
        </is>
      </c>
      <c r="W46" s="819" t="n">
        <v>300</v>
      </c>
    </row>
    <row r="47">
      <c r="A47" s="815" t="n">
        <v>3</v>
      </c>
      <c r="B47" s="830" t="n">
        <v>12</v>
      </c>
      <c r="C47" s="860" t="n">
        <v>8100</v>
      </c>
      <c r="D47" s="860" t="n">
        <v>12000</v>
      </c>
      <c r="E47" s="860" t="n">
        <v>15000</v>
      </c>
      <c r="F47" s="828" t="inlineStr">
        <is>
          <t>Per 30 Minions, Troop HP +270</t>
        </is>
      </c>
      <c r="G47" s="819" t="n">
        <v>160</v>
      </c>
      <c r="I47" s="815" t="n">
        <v>3</v>
      </c>
      <c r="J47" s="830" t="n">
        <v>28</v>
      </c>
      <c r="K47" s="860" t="n">
        <v>17000</v>
      </c>
      <c r="L47" s="860" t="n">
        <v>25000</v>
      </c>
      <c r="M47" s="860" t="n">
        <v>75000</v>
      </c>
      <c r="N47" s="828" t="inlineStr">
        <is>
          <t>Snail DEF +48</t>
        </is>
      </c>
      <c r="O47" s="819" t="n">
        <v>240</v>
      </c>
      <c r="Q47" s="815" t="n">
        <v>3</v>
      </c>
      <c r="R47" s="830" t="n">
        <v>4</v>
      </c>
      <c r="S47" s="860" t="n">
        <v>45000</v>
      </c>
      <c r="T47" s="860" t="n">
        <v>65000</v>
      </c>
      <c r="U47" s="860" t="n">
        <v>300000</v>
      </c>
      <c r="V47" s="828" t="inlineStr">
        <is>
          <t>Per 60 Minions, Troop HP +900</t>
        </is>
      </c>
      <c r="W47" s="819" t="n">
        <v>400</v>
      </c>
    </row>
    <row r="48">
      <c r="A48" s="815" t="n">
        <v>4</v>
      </c>
      <c r="B48" s="830" t="n">
        <v>15</v>
      </c>
      <c r="C48" s="860" t="n">
        <v>9400</v>
      </c>
      <c r="D48" s="860" t="n">
        <v>14000</v>
      </c>
      <c r="E48" s="860" t="n">
        <v>17500</v>
      </c>
      <c r="F48" s="828" t="inlineStr">
        <is>
          <t>Per 30 Minions, Troop HP +360</t>
        </is>
      </c>
      <c r="G48" s="819" t="n">
        <v>200</v>
      </c>
      <c r="I48" s="815" t="n">
        <v>4</v>
      </c>
      <c r="J48" s="830" t="n">
        <v>36</v>
      </c>
      <c r="K48" s="860" t="n">
        <v>19000</v>
      </c>
      <c r="L48" s="860" t="n">
        <v>29000</v>
      </c>
      <c r="M48" s="860" t="n">
        <v>87500</v>
      </c>
      <c r="N48" s="828" t="inlineStr">
        <is>
          <t>Snail DEF +72</t>
        </is>
      </c>
      <c r="O48" s="819" t="n">
        <v>300</v>
      </c>
      <c r="Q48" s="815" t="n">
        <v>4</v>
      </c>
      <c r="R48" s="830" t="n">
        <v>5</v>
      </c>
      <c r="S48" s="860" t="n">
        <v>52000</v>
      </c>
      <c r="T48" s="860" t="n">
        <v>75000</v>
      </c>
      <c r="U48" s="860" t="n">
        <v>350000</v>
      </c>
      <c r="V48" s="828" t="inlineStr">
        <is>
          <t>Per 60 Minions, Troop HP +1200</t>
        </is>
      </c>
      <c r="W48" s="819" t="n">
        <v>500</v>
      </c>
    </row>
    <row r="49">
      <c r="A49" s="815" t="n">
        <v>5</v>
      </c>
      <c r="B49" s="830" t="n">
        <v>18</v>
      </c>
      <c r="C49" s="860" t="n">
        <v>10000</v>
      </c>
      <c r="D49" s="860" t="n">
        <v>16000</v>
      </c>
      <c r="E49" s="860" t="n">
        <v>20000</v>
      </c>
      <c r="F49" s="828" t="inlineStr">
        <is>
          <t>Per 30 Minions, Troop HP +450</t>
        </is>
      </c>
      <c r="G49" s="819" t="n">
        <v>240</v>
      </c>
      <c r="I49" s="815" t="n">
        <v>5</v>
      </c>
      <c r="J49" s="830" t="n">
        <v>44</v>
      </c>
      <c r="K49" s="860" t="n">
        <v>22000</v>
      </c>
      <c r="L49" s="860" t="n">
        <v>34000</v>
      </c>
      <c r="M49" s="860" t="n">
        <v>100000</v>
      </c>
      <c r="N49" s="828" t="inlineStr">
        <is>
          <t>Snail DEF +100</t>
        </is>
      </c>
      <c r="O49" s="819" t="n">
        <v>360</v>
      </c>
      <c r="Q49" s="815" t="n">
        <v>5</v>
      </c>
      <c r="R49" s="830" t="n">
        <v>6</v>
      </c>
      <c r="S49" s="860" t="n">
        <v>60000</v>
      </c>
      <c r="T49" s="860" t="n">
        <v>86000</v>
      </c>
      <c r="U49" s="860" t="n">
        <v>400000</v>
      </c>
      <c r="V49" s="828" t="inlineStr">
        <is>
          <t>Per 60 Minions, Troop HP +1500</t>
        </is>
      </c>
      <c r="W49" s="819" t="n">
        <v>600</v>
      </c>
    </row>
    <row r="50">
      <c r="A50" s="815" t="n">
        <v>6</v>
      </c>
      <c r="B50" s="830" t="n">
        <v>21</v>
      </c>
      <c r="C50" s="860" t="n">
        <v>12000</v>
      </c>
      <c r="D50" s="860" t="n">
        <v>18000</v>
      </c>
      <c r="E50" s="860" t="n">
        <v>22500</v>
      </c>
      <c r="F50" s="828" t="inlineStr">
        <is>
          <t>Per 30 Minions, Troop HP +540</t>
        </is>
      </c>
      <c r="G50" s="819" t="n">
        <v>280</v>
      </c>
      <c r="I50" s="815" t="n">
        <v>6</v>
      </c>
      <c r="J50" s="830" t="n">
        <v>52</v>
      </c>
      <c r="K50" s="860" t="n">
        <v>25000</v>
      </c>
      <c r="L50" s="860" t="n">
        <v>38000</v>
      </c>
      <c r="M50" s="860" t="n">
        <v>112500</v>
      </c>
      <c r="N50" s="828" t="inlineStr">
        <is>
          <t>Snail DEF +132</t>
        </is>
      </c>
      <c r="O50" s="819" t="n">
        <v>420</v>
      </c>
      <c r="Q50" s="815" t="n">
        <v>6</v>
      </c>
      <c r="R50" s="830" t="n">
        <v>7</v>
      </c>
      <c r="S50" s="860" t="n">
        <v>67000</v>
      </c>
      <c r="T50" s="860" t="n">
        <v>97000</v>
      </c>
      <c r="U50" s="860" t="n">
        <v>450000</v>
      </c>
      <c r="V50" s="828" t="inlineStr">
        <is>
          <t>Per 60 Minions, Troop HP +1800</t>
        </is>
      </c>
      <c r="W50" s="819" t="n">
        <v>700</v>
      </c>
    </row>
    <row r="51">
      <c r="A51" s="815" t="n">
        <v>7</v>
      </c>
      <c r="B51" s="830" t="n">
        <v>24</v>
      </c>
      <c r="C51" s="860" t="n">
        <v>13000</v>
      </c>
      <c r="D51" s="860" t="n">
        <v>20000</v>
      </c>
      <c r="E51" s="860" t="n">
        <v>25000</v>
      </c>
      <c r="F51" s="828" t="inlineStr">
        <is>
          <t>Per 30 Minions, Troop HP +630</t>
        </is>
      </c>
      <c r="G51" s="819" t="n">
        <v>320</v>
      </c>
      <c r="I51" s="815" t="n">
        <v>7</v>
      </c>
      <c r="J51" s="830" t="n">
        <v>60</v>
      </c>
      <c r="K51" s="860" t="n">
        <v>28000</v>
      </c>
      <c r="L51" s="860" t="n">
        <v>42000</v>
      </c>
      <c r="M51" s="860" t="n">
        <v>125000</v>
      </c>
      <c r="N51" s="828" t="inlineStr">
        <is>
          <t>Snail DEF +168</t>
        </is>
      </c>
      <c r="O51" s="819" t="n">
        <v>480</v>
      </c>
      <c r="Q51" s="815" t="n">
        <v>7</v>
      </c>
      <c r="R51" s="830" t="n">
        <v>8</v>
      </c>
      <c r="S51" s="860" t="n">
        <v>75000</v>
      </c>
      <c r="T51" s="860" t="n">
        <v>100000</v>
      </c>
      <c r="U51" s="860" t="n">
        <v>500000</v>
      </c>
      <c r="V51" s="828" t="inlineStr">
        <is>
          <t>Per 60 Minions, Troop HP +2100</t>
        </is>
      </c>
      <c r="W51" s="819" t="n">
        <v>800</v>
      </c>
    </row>
    <row r="52">
      <c r="A52" s="815" t="n">
        <v>8</v>
      </c>
      <c r="B52" s="830" t="n">
        <v>27</v>
      </c>
      <c r="C52" s="860" t="n">
        <v>14000</v>
      </c>
      <c r="D52" s="860" t="n">
        <v>22000</v>
      </c>
      <c r="E52" s="860" t="n">
        <v>27500</v>
      </c>
      <c r="F52" s="828" t="inlineStr">
        <is>
          <t>Per 30 Minions, Troop HP +720</t>
        </is>
      </c>
      <c r="G52" s="819" t="n">
        <v>360</v>
      </c>
      <c r="I52" s="815" t="n">
        <v>8</v>
      </c>
      <c r="J52" s="830" t="n">
        <v>68</v>
      </c>
      <c r="K52" s="860" t="n">
        <v>31000</v>
      </c>
      <c r="L52" s="860" t="n">
        <v>47000</v>
      </c>
      <c r="M52" s="860" t="n">
        <v>137500</v>
      </c>
      <c r="N52" s="828" t="inlineStr">
        <is>
          <t>Snail DEF +208</t>
        </is>
      </c>
      <c r="O52" s="819" t="n">
        <v>540</v>
      </c>
      <c r="Q52" s="815" t="n">
        <v>8</v>
      </c>
      <c r="R52" s="830" t="n">
        <v>9</v>
      </c>
      <c r="S52" s="860" t="n">
        <v>82000</v>
      </c>
      <c r="T52" s="860" t="n">
        <v>110000</v>
      </c>
      <c r="U52" s="860" t="n">
        <v>550000</v>
      </c>
      <c r="V52" s="828" t="inlineStr">
        <is>
          <t>Per 60 Minions, Troop HP +2400</t>
        </is>
      </c>
      <c r="W52" s="819" t="n">
        <v>900</v>
      </c>
    </row>
    <row r="53">
      <c r="A53" s="815" t="n">
        <v>9</v>
      </c>
      <c r="B53" s="830" t="n">
        <v>30</v>
      </c>
      <c r="C53" s="860" t="n">
        <v>16000</v>
      </c>
      <c r="D53" s="860" t="n">
        <v>24000</v>
      </c>
      <c r="E53" s="860" t="n">
        <v>30000</v>
      </c>
      <c r="F53" s="828" t="inlineStr">
        <is>
          <t>Per 30 Minions, Troop HP +810</t>
        </is>
      </c>
      <c r="G53" s="819" t="n">
        <v>400</v>
      </c>
      <c r="I53" s="815" t="n">
        <v>9</v>
      </c>
      <c r="J53" s="830" t="n">
        <v>76</v>
      </c>
      <c r="K53" s="860" t="n">
        <v>34000</v>
      </c>
      <c r="L53" s="860" t="n">
        <v>51000</v>
      </c>
      <c r="M53" s="860" t="n">
        <v>150000</v>
      </c>
      <c r="N53" s="828" t="inlineStr">
        <is>
          <t>Snail DEF +252</t>
        </is>
      </c>
      <c r="O53" s="819" t="n">
        <v>600</v>
      </c>
      <c r="Q53" s="815" t="n">
        <v>9</v>
      </c>
      <c r="R53" s="830" t="n">
        <v>10</v>
      </c>
      <c r="S53" s="860" t="n">
        <v>90000</v>
      </c>
      <c r="T53" s="860" t="n">
        <v>130000</v>
      </c>
      <c r="U53" s="860" t="n">
        <v>600000</v>
      </c>
      <c r="V53" s="828" t="inlineStr">
        <is>
          <t>Per 60 Minions, Troop HP +2700</t>
        </is>
      </c>
      <c r="W53" s="819" t="n">
        <v>1000</v>
      </c>
    </row>
    <row r="54">
      <c r="A54" s="815" t="n">
        <v>10</v>
      </c>
      <c r="B54" s="830" t="n">
        <v>33</v>
      </c>
      <c r="C54" s="860" t="n">
        <v>17000</v>
      </c>
      <c r="D54" s="860" t="n">
        <v>26000</v>
      </c>
      <c r="E54" s="860" t="n">
        <v>32500</v>
      </c>
      <c r="F54" s="828" t="inlineStr">
        <is>
          <t>Per 30 Minions, Troop HP +900</t>
        </is>
      </c>
      <c r="G54" s="819" t="n">
        <v>440</v>
      </c>
      <c r="I54" s="815" t="n">
        <v>10</v>
      </c>
      <c r="J54" s="830" t="n">
        <v>84</v>
      </c>
      <c r="K54" s="860" t="n">
        <v>37000</v>
      </c>
      <c r="L54" s="860" t="n">
        <v>55000</v>
      </c>
      <c r="M54" s="860" t="n">
        <v>162500</v>
      </c>
      <c r="N54" s="828" t="inlineStr">
        <is>
          <t>Snail DEF +300</t>
        </is>
      </c>
      <c r="O54" s="819" t="n">
        <v>660</v>
      </c>
      <c r="Q54" s="815" t="n">
        <v>10</v>
      </c>
      <c r="R54" s="830" t="n">
        <v>11</v>
      </c>
      <c r="S54" s="860" t="n">
        <v>97000</v>
      </c>
      <c r="T54" s="860" t="n">
        <v>140000</v>
      </c>
      <c r="U54" s="860" t="n">
        <v>650000</v>
      </c>
      <c r="V54" s="828" t="inlineStr">
        <is>
          <t>Per 60 Minions, Troop HP +3000</t>
        </is>
      </c>
      <c r="W54" s="819" t="n">
        <v>1100</v>
      </c>
    </row>
    <row r="55">
      <c r="A55" s="820" t="inlineStr">
        <is>
          <t>Total</t>
        </is>
      </c>
      <c r="B55" s="821">
        <f>SUM(B45:B54)</f>
        <v/>
      </c>
      <c r="C55" s="822">
        <f>SUM(C45:C54)</f>
        <v/>
      </c>
      <c r="D55" s="822">
        <f>SUM(D45:D54)</f>
        <v/>
      </c>
      <c r="E55" s="822">
        <f>SUM(E45:E54)</f>
        <v/>
      </c>
      <c r="F55" s="823" t="n"/>
      <c r="G55" s="824">
        <f>SUM(G45:G54)</f>
        <v/>
      </c>
      <c r="I55" s="820" t="inlineStr">
        <is>
          <t>Total</t>
        </is>
      </c>
      <c r="J55" s="831">
        <f>SUM(J45:J54)</f>
        <v/>
      </c>
      <c r="K55" s="822">
        <f>SUM(K45:K54)</f>
        <v/>
      </c>
      <c r="L55" s="822">
        <f>SUM(L45:L54)</f>
        <v/>
      </c>
      <c r="M55" s="822">
        <f>SUM(M45:M54)</f>
        <v/>
      </c>
      <c r="N55" s="823" t="n"/>
      <c r="O55" s="824">
        <f>SUM(O45:O54)</f>
        <v/>
      </c>
      <c r="Q55" s="820" t="inlineStr">
        <is>
          <t>Total</t>
        </is>
      </c>
      <c r="R55" s="831">
        <f>SUM(R45:R54)</f>
        <v/>
      </c>
      <c r="S55" s="822">
        <f>SUM(S45:S54)</f>
        <v/>
      </c>
      <c r="T55" s="822">
        <f>SUM(T45:T54)</f>
        <v/>
      </c>
      <c r="U55" s="822">
        <f>SUM(U45:U54)</f>
        <v/>
      </c>
      <c r="V55" s="823" t="n"/>
      <c r="W55" s="824">
        <f>SUM(W45:W54)</f>
        <v/>
      </c>
    </row>
    <row r="56">
      <c r="A56" s="861" t="n"/>
      <c r="B56" s="828" t="n"/>
      <c r="C56" s="828" t="n"/>
      <c r="D56" s="828" t="n"/>
      <c r="E56" s="828" t="n"/>
      <c r="F56" s="828" t="n"/>
      <c r="G56" s="829" t="n"/>
      <c r="I56" s="861" t="n"/>
      <c r="J56" s="828" t="n"/>
      <c r="K56" s="828" t="n"/>
      <c r="L56" s="828" t="n"/>
      <c r="M56" s="828" t="n"/>
      <c r="N56" s="828" t="n"/>
      <c r="O56" s="829" t="n"/>
      <c r="Q56" s="861" t="n"/>
      <c r="R56" s="828" t="n"/>
      <c r="S56" s="828" t="n"/>
      <c r="T56" s="828" t="n"/>
      <c r="U56" s="828" t="n"/>
      <c r="V56" s="828" t="n"/>
      <c r="W56" s="829" t="n"/>
    </row>
    <row r="57">
      <c r="A57" s="861" t="n"/>
      <c r="B57" s="828" t="n"/>
      <c r="C57" s="828" t="n"/>
      <c r="D57" s="828" t="n"/>
      <c r="E57" s="828" t="n"/>
      <c r="F57" s="828" t="n"/>
      <c r="G57" s="829" t="n"/>
      <c r="I57" s="861" t="n"/>
      <c r="J57" s="828" t="n"/>
      <c r="K57" s="828" t="n"/>
      <c r="L57" s="828" t="n"/>
      <c r="M57" s="828" t="n"/>
      <c r="N57" s="828" t="n"/>
      <c r="O57" s="829" t="n"/>
      <c r="Q57" s="861" t="n"/>
      <c r="R57" s="828" t="n"/>
      <c r="S57" s="828" t="n"/>
      <c r="T57" s="828" t="n"/>
      <c r="U57" s="828" t="n"/>
      <c r="V57" s="828" t="n"/>
      <c r="W57" s="829" t="n"/>
    </row>
    <row r="58">
      <c r="A58" s="869" t="inlineStr">
        <is>
          <t>2B - ATK Up Gene III</t>
        </is>
      </c>
      <c r="B58" s="1152" t="n"/>
      <c r="C58" s="872" t="inlineStr">
        <is>
          <t>Angel</t>
        </is>
      </c>
      <c r="D58" s="872" t="inlineStr">
        <is>
          <t>Mecha</t>
        </is>
      </c>
      <c r="E58" s="872" t="inlineStr">
        <is>
          <t>Btads</t>
        </is>
      </c>
      <c r="F58" s="872" t="n"/>
      <c r="G58" s="874" t="inlineStr">
        <is>
          <t>DNA Points</t>
        </is>
      </c>
      <c r="I58" s="869" t="inlineStr">
        <is>
          <t>2B - RUSH Up III</t>
        </is>
      </c>
      <c r="J58" s="1152" t="n"/>
      <c r="K58" s="872" t="inlineStr">
        <is>
          <t>Angel</t>
        </is>
      </c>
      <c r="L58" s="872" t="inlineStr">
        <is>
          <t>Mecha</t>
        </is>
      </c>
      <c r="M58" s="872" t="inlineStr">
        <is>
          <t>Btads</t>
        </is>
      </c>
      <c r="N58" s="872" t="n"/>
      <c r="O58" s="874" t="n"/>
      <c r="Q58" s="869" t="inlineStr">
        <is>
          <t>2B - ATK Up Gene IV</t>
        </is>
      </c>
      <c r="R58" s="1152" t="n"/>
      <c r="S58" s="872" t="inlineStr">
        <is>
          <t>Angel</t>
        </is>
      </c>
      <c r="T58" s="872" t="inlineStr">
        <is>
          <t>Mecha</t>
        </is>
      </c>
      <c r="U58" s="872" t="n"/>
      <c r="V58" s="872" t="n"/>
      <c r="W58" s="874" t="n"/>
    </row>
    <row r="59">
      <c r="A59" s="837" t="n">
        <v>1</v>
      </c>
      <c r="B59" s="838" t="n">
        <v>8</v>
      </c>
      <c r="C59" s="839" t="n">
        <v>10000</v>
      </c>
      <c r="D59" s="839" t="n">
        <v>5400</v>
      </c>
      <c r="E59" s="839" t="n">
        <v>15000</v>
      </c>
      <c r="F59" s="840" t="inlineStr">
        <is>
          <t>Per 30 Minions, Troop ATK +9</t>
        </is>
      </c>
      <c r="G59" s="841" t="n">
        <v>90</v>
      </c>
      <c r="I59" s="837" t="n">
        <v>1</v>
      </c>
      <c r="J59" s="838" t="n">
        <v>15</v>
      </c>
      <c r="K59" s="839" t="n">
        <v>22000</v>
      </c>
      <c r="L59" s="839" t="n">
        <v>11000</v>
      </c>
      <c r="M59" s="839" t="n">
        <v>60000</v>
      </c>
      <c r="N59" s="840" t="inlineStr">
        <is>
          <t>Snail RUSH +12</t>
        </is>
      </c>
      <c r="O59" s="841" t="n">
        <v>140</v>
      </c>
      <c r="Q59" s="837" t="n">
        <v>1</v>
      </c>
      <c r="R59" s="838" t="n">
        <v>4</v>
      </c>
      <c r="S59" s="839" t="n">
        <v>63000</v>
      </c>
      <c r="T59" s="839" t="n">
        <v>31000</v>
      </c>
      <c r="U59" s="839" t="n">
        <v>320000</v>
      </c>
      <c r="V59" s="840" t="inlineStr">
        <is>
          <t>Per 60 Minions, Troop ATK +30</t>
        </is>
      </c>
      <c r="W59" s="841" t="n">
        <v>240</v>
      </c>
    </row>
    <row r="60">
      <c r="A60" s="875" t="n">
        <v>2</v>
      </c>
      <c r="B60" s="876" t="n">
        <v>12</v>
      </c>
      <c r="C60" s="877" t="n">
        <v>13000</v>
      </c>
      <c r="D60" s="877" t="n">
        <v>6700</v>
      </c>
      <c r="E60" s="877" t="n">
        <v>18750</v>
      </c>
      <c r="F60" s="878" t="inlineStr">
        <is>
          <t>Per 30 Minions, Troop ATK +18</t>
        </is>
      </c>
      <c r="G60" s="879" t="n">
        <v>135</v>
      </c>
      <c r="I60" s="875" t="n">
        <v>2</v>
      </c>
      <c r="J60" s="876" t="n">
        <v>25</v>
      </c>
      <c r="K60" s="877" t="n">
        <v>28000</v>
      </c>
      <c r="L60" s="877" t="n">
        <v>14000</v>
      </c>
      <c r="M60" s="877" t="n">
        <v>75000</v>
      </c>
      <c r="N60" s="878" t="inlineStr">
        <is>
          <t>Snail RUSH +28</t>
        </is>
      </c>
      <c r="O60" s="879" t="n">
        <v>210</v>
      </c>
      <c r="Q60" s="875" t="n">
        <v>2</v>
      </c>
      <c r="R60" s="876" t="n">
        <v>6</v>
      </c>
      <c r="S60" s="877" t="n">
        <v>78000</v>
      </c>
      <c r="T60" s="877" t="n">
        <v>39000</v>
      </c>
      <c r="U60" s="877" t="n">
        <v>400000</v>
      </c>
      <c r="V60" s="878" t="inlineStr">
        <is>
          <t>Per 60 Minions, Troop ATK +60</t>
        </is>
      </c>
      <c r="W60" s="879" t="n">
        <v>360</v>
      </c>
    </row>
    <row r="61">
      <c r="A61" s="837" t="n">
        <v>3</v>
      </c>
      <c r="B61" s="838" t="n">
        <v>16</v>
      </c>
      <c r="C61" s="839" t="n">
        <v>16000</v>
      </c>
      <c r="D61" s="839" t="n">
        <v>8100</v>
      </c>
      <c r="E61" s="839" t="n">
        <v>22500</v>
      </c>
      <c r="F61" s="840" t="inlineStr">
        <is>
          <t>Per 30 Minions, Troop ATK +27</t>
        </is>
      </c>
      <c r="G61" s="841" t="n">
        <v>180</v>
      </c>
      <c r="I61" s="837" t="n">
        <v>3</v>
      </c>
      <c r="J61" s="838" t="n">
        <v>35</v>
      </c>
      <c r="K61" s="839" t="n">
        <v>34000</v>
      </c>
      <c r="L61" s="839" t="n">
        <v>17000</v>
      </c>
      <c r="M61" s="839" t="n">
        <v>90000</v>
      </c>
      <c r="N61" s="840" t="inlineStr">
        <is>
          <t>Snail RUSH +48</t>
        </is>
      </c>
      <c r="O61" s="841" t="n">
        <v>280</v>
      </c>
      <c r="Q61" s="837" t="n">
        <v>3</v>
      </c>
      <c r="R61" s="838" t="n">
        <v>8</v>
      </c>
      <c r="S61" s="839" t="n"/>
      <c r="T61" s="839" t="n"/>
      <c r="U61" s="839" t="n">
        <v>480000</v>
      </c>
      <c r="V61" s="840" t="inlineStr">
        <is>
          <t>Per 60 Minions, Troop ATK +90</t>
        </is>
      </c>
      <c r="W61" s="841" t="n">
        <v>480</v>
      </c>
    </row>
    <row r="62">
      <c r="A62" s="875" t="n">
        <v>4</v>
      </c>
      <c r="B62" s="876" t="n">
        <v>20</v>
      </c>
      <c r="C62" s="877" t="n">
        <v>18000</v>
      </c>
      <c r="D62" s="877" t="n">
        <v>9400</v>
      </c>
      <c r="E62" s="877" t="n">
        <v>26250</v>
      </c>
      <c r="F62" s="878" t="inlineStr">
        <is>
          <t>Per 30 Minions, Troop ATK +36</t>
        </is>
      </c>
      <c r="G62" s="879" t="n">
        <v>25</v>
      </c>
      <c r="I62" s="875" t="n">
        <v>4</v>
      </c>
      <c r="J62" s="876" t="n">
        <v>45</v>
      </c>
      <c r="K62" s="877" t="n">
        <v>39000</v>
      </c>
      <c r="L62" s="877" t="n">
        <v>19000</v>
      </c>
      <c r="M62" s="877" t="n">
        <v>105000</v>
      </c>
      <c r="N62" s="878" t="inlineStr">
        <is>
          <t>Snail RUSH +72</t>
        </is>
      </c>
      <c r="O62" s="879" t="n">
        <v>350</v>
      </c>
      <c r="Q62" s="875" t="n">
        <v>4</v>
      </c>
      <c r="R62" s="876" t="n">
        <v>10</v>
      </c>
      <c r="S62" s="877" t="n"/>
      <c r="T62" s="877" t="n"/>
      <c r="U62" s="877" t="n">
        <v>560000</v>
      </c>
      <c r="V62" s="878" t="inlineStr">
        <is>
          <t>Per 60 Minions, Troop ATK +120</t>
        </is>
      </c>
      <c r="W62" s="879" t="n">
        <v>600</v>
      </c>
    </row>
    <row r="63">
      <c r="A63" s="837" t="n">
        <v>5</v>
      </c>
      <c r="B63" s="838" t="n">
        <v>24</v>
      </c>
      <c r="C63" s="839" t="n">
        <v>21000</v>
      </c>
      <c r="D63" s="839" t="n">
        <v>10000</v>
      </c>
      <c r="E63" s="839" t="n">
        <v>30000</v>
      </c>
      <c r="F63" s="840" t="inlineStr">
        <is>
          <t>Per 30 Minions, Troop ATK +45</t>
        </is>
      </c>
      <c r="G63" s="841" t="n">
        <v>270</v>
      </c>
      <c r="I63" s="837" t="n">
        <v>5</v>
      </c>
      <c r="J63" s="838" t="n">
        <v>55</v>
      </c>
      <c r="K63" s="839" t="n">
        <v>45000</v>
      </c>
      <c r="L63" s="839" t="n">
        <v>22000</v>
      </c>
      <c r="M63" s="839" t="n">
        <v>120000</v>
      </c>
      <c r="N63" s="840" t="inlineStr">
        <is>
          <t>Snail RUSH +100</t>
        </is>
      </c>
      <c r="O63" s="841" t="n">
        <v>420</v>
      </c>
      <c r="Q63" s="837" t="n">
        <v>5</v>
      </c>
      <c r="R63" s="838" t="n">
        <v>12</v>
      </c>
      <c r="S63" s="839" t="n"/>
      <c r="T63" s="839" t="n"/>
      <c r="U63" s="839" t="n">
        <v>640000</v>
      </c>
      <c r="V63" s="840" t="inlineStr">
        <is>
          <t>Per 60 Minions, Troop ATK +150</t>
        </is>
      </c>
      <c r="W63" s="841" t="n">
        <v>720</v>
      </c>
    </row>
    <row r="64">
      <c r="A64" s="875" t="n">
        <v>6</v>
      </c>
      <c r="B64" s="876" t="n">
        <v>28</v>
      </c>
      <c r="C64" s="877" t="n">
        <v>24000</v>
      </c>
      <c r="D64" s="877" t="n">
        <v>12000</v>
      </c>
      <c r="E64" s="877" t="n">
        <v>33750</v>
      </c>
      <c r="F64" s="878" t="inlineStr">
        <is>
          <t>Per 30 Minions, Troop ATK +54</t>
        </is>
      </c>
      <c r="G64" s="879" t="n">
        <v>315</v>
      </c>
      <c r="I64" s="875" t="n">
        <v>6</v>
      </c>
      <c r="J64" s="876" t="n">
        <v>65</v>
      </c>
      <c r="K64" s="877" t="n">
        <v>51000</v>
      </c>
      <c r="L64" s="877" t="n">
        <v>25000</v>
      </c>
      <c r="M64" s="877" t="n">
        <v>135000</v>
      </c>
      <c r="N64" s="878" t="inlineStr">
        <is>
          <t>Snail RUSH +132</t>
        </is>
      </c>
      <c r="O64" s="879" t="n">
        <v>490</v>
      </c>
      <c r="Q64" s="875" t="n">
        <v>6</v>
      </c>
      <c r="R64" s="876" t="n">
        <v>14</v>
      </c>
      <c r="S64" s="877" t="n"/>
      <c r="T64" s="877" t="n"/>
      <c r="U64" s="877" t="n">
        <v>720000</v>
      </c>
      <c r="V64" s="878" t="inlineStr">
        <is>
          <t>Per 60 Minions, Troop ATK +180</t>
        </is>
      </c>
      <c r="W64" s="879" t="n">
        <v>840</v>
      </c>
    </row>
    <row r="65">
      <c r="A65" s="837" t="n">
        <v>7</v>
      </c>
      <c r="B65" s="838" t="n">
        <v>32</v>
      </c>
      <c r="C65" s="839" t="n">
        <v>27000</v>
      </c>
      <c r="D65" s="839" t="n">
        <v>13000</v>
      </c>
      <c r="E65" s="839" t="n">
        <v>37500</v>
      </c>
      <c r="F65" s="840" t="inlineStr">
        <is>
          <t>Per 30 Minions, Troop ATK +63</t>
        </is>
      </c>
      <c r="G65" s="841" t="n">
        <v>360</v>
      </c>
      <c r="I65" s="837" t="n">
        <v>7</v>
      </c>
      <c r="J65" s="838" t="n">
        <v>75</v>
      </c>
      <c r="K65" s="839" t="n">
        <v>57000</v>
      </c>
      <c r="L65" s="839" t="n">
        <v>28000</v>
      </c>
      <c r="M65" s="839" t="n">
        <v>150000</v>
      </c>
      <c r="N65" s="840" t="inlineStr">
        <is>
          <t>Snail RUSH +168</t>
        </is>
      </c>
      <c r="O65" s="841" t="n">
        <v>560</v>
      </c>
      <c r="Q65" s="837" t="n">
        <v>7</v>
      </c>
      <c r="R65" s="838" t="n">
        <v>16</v>
      </c>
      <c r="S65" s="839" t="n">
        <v>170000</v>
      </c>
      <c r="T65" s="839" t="n">
        <v>86000</v>
      </c>
      <c r="U65" s="839" t="n">
        <v>800000</v>
      </c>
      <c r="V65" s="840" t="inlineStr">
        <is>
          <t>Per 60 Minions, Troop ATK +210</t>
        </is>
      </c>
      <c r="W65" s="841" t="n">
        <v>960</v>
      </c>
    </row>
    <row r="66">
      <c r="A66" s="875" t="n">
        <v>8</v>
      </c>
      <c r="B66" s="876" t="n">
        <v>36</v>
      </c>
      <c r="C66" s="877" t="n">
        <v>29000</v>
      </c>
      <c r="D66" s="877" t="n">
        <v>14000</v>
      </c>
      <c r="E66" s="877" t="n">
        <v>41250</v>
      </c>
      <c r="F66" s="878" t="inlineStr">
        <is>
          <t>Per 30 Minions, Troop ATK +72</t>
        </is>
      </c>
      <c r="G66" s="879" t="n">
        <v>405</v>
      </c>
      <c r="I66" s="875" t="n">
        <v>8</v>
      </c>
      <c r="J66" s="876" t="n">
        <v>85</v>
      </c>
      <c r="K66" s="877" t="n">
        <v>62000</v>
      </c>
      <c r="L66" s="877" t="n">
        <v>31000</v>
      </c>
      <c r="M66" s="877" t="n">
        <v>165000</v>
      </c>
      <c r="N66" s="878" t="inlineStr">
        <is>
          <t>Snail RUSH +208</t>
        </is>
      </c>
      <c r="O66" s="879" t="n">
        <v>630</v>
      </c>
      <c r="Q66" s="875" t="n">
        <v>8</v>
      </c>
      <c r="R66" s="876" t="n">
        <v>18</v>
      </c>
      <c r="S66" s="877" t="n"/>
      <c r="T66" s="877" t="n"/>
      <c r="U66" s="877" t="n">
        <v>880000</v>
      </c>
      <c r="V66" s="878" t="inlineStr">
        <is>
          <t>Per 60 Minions, Troop ATK +240</t>
        </is>
      </c>
      <c r="W66" s="879" t="n">
        <v>1080</v>
      </c>
    </row>
    <row r="67">
      <c r="A67" s="837" t="n">
        <v>9</v>
      </c>
      <c r="B67" s="838" t="n">
        <v>40</v>
      </c>
      <c r="C67" s="839" t="n">
        <v>32000</v>
      </c>
      <c r="D67" s="839" t="n">
        <v>16000</v>
      </c>
      <c r="E67" s="839" t="n">
        <v>45000</v>
      </c>
      <c r="F67" s="840" t="inlineStr">
        <is>
          <t>Per 30 Minions, Troop ATK +81</t>
        </is>
      </c>
      <c r="G67" s="841" t="n">
        <v>450</v>
      </c>
      <c r="I67" s="837" t="n">
        <v>9</v>
      </c>
      <c r="J67" s="838" t="n">
        <v>95</v>
      </c>
      <c r="K67" s="839" t="n">
        <v>68000</v>
      </c>
      <c r="L67" s="839" t="n">
        <v>34000</v>
      </c>
      <c r="M67" s="839" t="n">
        <v>180000</v>
      </c>
      <c r="N67" s="840" t="inlineStr">
        <is>
          <t>Snail RUSH +252</t>
        </is>
      </c>
      <c r="O67" s="841" t="n">
        <v>700</v>
      </c>
      <c r="Q67" s="837" t="n">
        <v>9</v>
      </c>
      <c r="R67" s="838" t="n">
        <v>20</v>
      </c>
      <c r="S67" s="839" t="n"/>
      <c r="T67" s="839" t="n"/>
      <c r="U67" s="839" t="n">
        <v>960000</v>
      </c>
      <c r="V67" s="840" t="inlineStr">
        <is>
          <t>Per 60 Minions, Troop ATK +270</t>
        </is>
      </c>
      <c r="W67" s="841" t="n">
        <v>1200</v>
      </c>
    </row>
    <row r="68">
      <c r="A68" s="875" t="n">
        <v>10</v>
      </c>
      <c r="B68" s="876" t="n">
        <v>44</v>
      </c>
      <c r="C68" s="877" t="n">
        <v>35000</v>
      </c>
      <c r="D68" s="877" t="n">
        <v>17000</v>
      </c>
      <c r="E68" s="877" t="n">
        <v>48750</v>
      </c>
      <c r="F68" s="878" t="inlineStr">
        <is>
          <t>Per 30 Minions, Troop ATK +90</t>
        </is>
      </c>
      <c r="G68" s="879" t="n">
        <v>495</v>
      </c>
      <c r="I68" s="875" t="n">
        <v>10</v>
      </c>
      <c r="J68" s="876" t="n">
        <v>105</v>
      </c>
      <c r="K68" s="877" t="n">
        <v>74000</v>
      </c>
      <c r="L68" s="877" t="n">
        <v>37000</v>
      </c>
      <c r="M68" s="877" t="n">
        <v>195000</v>
      </c>
      <c r="N68" s="878" t="inlineStr">
        <is>
          <t>Snail RUSH +300</t>
        </is>
      </c>
      <c r="O68" s="879" t="n">
        <v>770</v>
      </c>
      <c r="Q68" s="875" t="n">
        <v>10</v>
      </c>
      <c r="R68" s="876" t="n">
        <v>22</v>
      </c>
      <c r="S68" s="877" t="n"/>
      <c r="T68" s="877" t="n"/>
      <c r="U68" s="877" t="n">
        <v>1040000</v>
      </c>
      <c r="V68" s="878" t="inlineStr">
        <is>
          <t>Per 60 Minions, Troop ATK +300</t>
        </is>
      </c>
      <c r="W68" s="879" t="n">
        <v>1320</v>
      </c>
    </row>
    <row r="69">
      <c r="A69" s="847" t="inlineStr">
        <is>
          <t>Total</t>
        </is>
      </c>
      <c r="B69" s="848">
        <f>SUM(B59:B68)</f>
        <v/>
      </c>
      <c r="C69" s="849">
        <f>SUM(C59:C68)</f>
        <v/>
      </c>
      <c r="D69" s="849">
        <f>SUM(D59:D68)</f>
        <v/>
      </c>
      <c r="E69" s="849">
        <f>SUM(E59:E68)</f>
        <v/>
      </c>
      <c r="F69" s="850" t="n"/>
      <c r="G69" s="851">
        <f>SUM(G59:G68)</f>
        <v/>
      </c>
      <c r="I69" s="847" t="inlineStr">
        <is>
          <t>Total</t>
        </is>
      </c>
      <c r="J69" s="852">
        <f>SUM(J59:J68)</f>
        <v/>
      </c>
      <c r="K69" s="849">
        <f>SUM(K59:K68)</f>
        <v/>
      </c>
      <c r="L69" s="849">
        <f>SUM(L59:L68)</f>
        <v/>
      </c>
      <c r="M69" s="849">
        <f>SUM(M59:M68)</f>
        <v/>
      </c>
      <c r="N69" s="850" t="n"/>
      <c r="O69" s="851">
        <f>SUM(O59:O68)</f>
        <v/>
      </c>
      <c r="Q69" s="847" t="inlineStr">
        <is>
          <t>Total</t>
        </is>
      </c>
      <c r="R69" s="852">
        <f>SUM(R59:R68)</f>
        <v/>
      </c>
      <c r="S69" s="849">
        <f>SUM(S59:S68)</f>
        <v/>
      </c>
      <c r="T69" s="849">
        <f>SUM(T59:T68)</f>
        <v/>
      </c>
      <c r="U69" s="849">
        <f>SUM(U59:U68)</f>
        <v/>
      </c>
      <c r="V69" s="850" t="n"/>
      <c r="W69" s="851">
        <f>SUM(W59:W68)</f>
        <v/>
      </c>
    </row>
    <row r="70">
      <c r="A70" s="861" t="n"/>
      <c r="B70" s="828" t="n"/>
      <c r="C70" s="828" t="n"/>
      <c r="D70" s="828" t="n"/>
      <c r="E70" s="828" t="n"/>
      <c r="F70" s="828" t="n"/>
      <c r="G70" s="829" t="n"/>
      <c r="I70" s="861" t="n"/>
      <c r="J70" s="828" t="n"/>
      <c r="K70" s="828" t="n"/>
      <c r="L70" s="828" t="n"/>
      <c r="M70" s="828" t="n"/>
      <c r="N70" s="828" t="n"/>
      <c r="O70" s="829" t="n"/>
      <c r="Q70" s="861" t="n"/>
      <c r="R70" s="828" t="n"/>
      <c r="S70" s="828" t="n"/>
      <c r="T70" s="828" t="n"/>
      <c r="U70" s="828" t="n"/>
      <c r="V70" s="828" t="n"/>
      <c r="W70" s="829" t="n"/>
    </row>
    <row r="71">
      <c r="A71" s="861" t="n"/>
      <c r="B71" s="828" t="n"/>
      <c r="C71" s="828" t="n"/>
      <c r="D71" s="828" t="n"/>
      <c r="E71" s="828" t="n"/>
      <c r="F71" s="828" t="n"/>
      <c r="G71" s="829" t="n"/>
      <c r="I71" s="861" t="n"/>
      <c r="J71" s="828" t="n"/>
      <c r="K71" s="828" t="n"/>
      <c r="L71" s="828" t="n"/>
      <c r="M71" s="828" t="n"/>
      <c r="N71" s="828" t="n"/>
      <c r="O71" s="829" t="n"/>
      <c r="Q71" s="861" t="n"/>
      <c r="R71" s="828" t="n"/>
      <c r="S71" s="828" t="n"/>
      <c r="T71" s="828" t="n"/>
      <c r="U71" s="828" t="n"/>
      <c r="V71" s="828" t="n"/>
      <c r="W71" s="829" t="n"/>
    </row>
    <row r="72">
      <c r="A72" s="811" t="inlineStr">
        <is>
          <t>2C - All Genes Up III</t>
        </is>
      </c>
      <c r="B72" s="813" t="n"/>
      <c r="C72" s="813" t="inlineStr">
        <is>
          <t>Demon</t>
        </is>
      </c>
      <c r="D72" s="813" t="inlineStr">
        <is>
          <t>Mutant</t>
        </is>
      </c>
      <c r="E72" s="813" t="inlineStr">
        <is>
          <t>Btads</t>
        </is>
      </c>
      <c r="F72" s="813" t="n"/>
      <c r="G72" s="868" t="inlineStr">
        <is>
          <t>DNA Points</t>
        </is>
      </c>
      <c r="I72" s="811" t="inlineStr">
        <is>
          <t>2C - AFFCT Up III</t>
        </is>
      </c>
      <c r="J72" s="813" t="n"/>
      <c r="K72" s="813" t="inlineStr">
        <is>
          <t>Demon</t>
        </is>
      </c>
      <c r="L72" s="813" t="inlineStr">
        <is>
          <t>Mutant</t>
        </is>
      </c>
      <c r="M72" s="813" t="inlineStr">
        <is>
          <t>Btads</t>
        </is>
      </c>
      <c r="N72" s="813" t="n"/>
      <c r="O72" s="868" t="n"/>
      <c r="Q72" s="811" t="inlineStr">
        <is>
          <t>2C - All Genes Up IV</t>
        </is>
      </c>
      <c r="R72" s="813" t="n"/>
      <c r="S72" s="813" t="inlineStr">
        <is>
          <t>Demon</t>
        </is>
      </c>
      <c r="T72" s="813" t="inlineStr">
        <is>
          <t>Mutant</t>
        </is>
      </c>
      <c r="U72" s="813" t="n"/>
      <c r="V72" s="813" t="n"/>
      <c r="W72" s="868" t="n"/>
    </row>
    <row r="73">
      <c r="A73" s="815" t="n">
        <v>1</v>
      </c>
      <c r="B73" s="830" t="n">
        <v>10</v>
      </c>
      <c r="C73" s="860" t="n">
        <v>8100</v>
      </c>
      <c r="D73" s="860" t="n">
        <v>16000</v>
      </c>
      <c r="E73" s="860" t="n">
        <v>20000</v>
      </c>
      <c r="F73" s="828" t="inlineStr">
        <is>
          <t>Per 30 Minions, Troop HARD +3</t>
        </is>
      </c>
      <c r="G73" s="819" t="n">
        <v>100</v>
      </c>
      <c r="I73" s="815" t="n">
        <v>1</v>
      </c>
      <c r="J73" s="830" t="n">
        <v>18</v>
      </c>
      <c r="K73" s="860" t="n">
        <v>17000</v>
      </c>
      <c r="L73" s="860" t="n">
        <v>34000</v>
      </c>
      <c r="M73" s="860" t="n">
        <v>80000</v>
      </c>
      <c r="N73" s="828" t="inlineStr">
        <is>
          <t>AFFCT +30</t>
        </is>
      </c>
      <c r="O73" s="819" t="n">
        <v>160</v>
      </c>
      <c r="Q73" s="815" t="n">
        <v>1</v>
      </c>
      <c r="R73" s="830" t="n">
        <v>6</v>
      </c>
      <c r="S73" s="860" t="n"/>
      <c r="T73" s="860" t="n"/>
      <c r="U73" s="860" t="n">
        <v>480000</v>
      </c>
      <c r="V73" s="828" t="inlineStr">
        <is>
          <t>Per 60 Minions, Troop HARD +10</t>
        </is>
      </c>
      <c r="W73" s="819" t="n">
        <v>280</v>
      </c>
    </row>
    <row r="74">
      <c r="A74" s="815" t="n">
        <v>2</v>
      </c>
      <c r="B74" s="830" t="n">
        <v>15</v>
      </c>
      <c r="C74" s="860" t="n">
        <v>10000</v>
      </c>
      <c r="D74" s="860" t="n">
        <v>20000</v>
      </c>
      <c r="E74" s="860" t="n">
        <v>25000</v>
      </c>
      <c r="F74" s="828" t="inlineStr">
        <is>
          <t>Per 30 Minions, Troop HARD +6</t>
        </is>
      </c>
      <c r="G74" s="819" t="n">
        <v>150</v>
      </c>
      <c r="I74" s="815" t="n">
        <v>2</v>
      </c>
      <c r="J74" s="830" t="n">
        <v>30</v>
      </c>
      <c r="K74" s="860" t="n">
        <v>21000</v>
      </c>
      <c r="L74" s="860" t="n">
        <v>42000</v>
      </c>
      <c r="M74" s="860" t="n">
        <v>100000</v>
      </c>
      <c r="N74" s="828" t="inlineStr">
        <is>
          <t>AFFCT +70</t>
        </is>
      </c>
      <c r="O74" s="819" t="n">
        <v>240</v>
      </c>
      <c r="Q74" s="815" t="n">
        <v>2</v>
      </c>
      <c r="R74" s="830" t="n">
        <v>9</v>
      </c>
      <c r="S74" s="860" t="n"/>
      <c r="T74" s="860" t="n"/>
      <c r="U74" s="860" t="n">
        <v>600000</v>
      </c>
      <c r="V74" s="828" t="inlineStr">
        <is>
          <t>Per 60 Minions, Troop HARD +20</t>
        </is>
      </c>
      <c r="W74" s="819" t="n">
        <v>420</v>
      </c>
    </row>
    <row r="75">
      <c r="A75" s="815" t="n">
        <v>3</v>
      </c>
      <c r="B75" s="830" t="n">
        <v>20</v>
      </c>
      <c r="C75" s="860" t="n">
        <v>12000</v>
      </c>
      <c r="D75" s="860" t="n">
        <v>24000</v>
      </c>
      <c r="E75" s="860" t="n">
        <v>30000</v>
      </c>
      <c r="F75" s="828" t="inlineStr">
        <is>
          <t>Per 30 Minions, Troop HARD +9</t>
        </is>
      </c>
      <c r="G75" s="819" t="n">
        <v>200</v>
      </c>
      <c r="I75" s="815" t="n">
        <v>3</v>
      </c>
      <c r="J75" s="830" t="n">
        <v>42</v>
      </c>
      <c r="K75" s="860" t="n">
        <v>25000</v>
      </c>
      <c r="L75" s="860" t="n">
        <v>51000</v>
      </c>
      <c r="M75" s="860" t="n">
        <v>120000</v>
      </c>
      <c r="N75" s="828" t="inlineStr">
        <is>
          <t>AFFCT +120</t>
        </is>
      </c>
      <c r="O75" s="819" t="n">
        <v>320</v>
      </c>
      <c r="Q75" s="815" t="n">
        <v>3</v>
      </c>
      <c r="R75" s="830" t="n">
        <v>12</v>
      </c>
      <c r="S75" s="860" t="n"/>
      <c r="T75" s="860" t="n"/>
      <c r="U75" s="860" t="n">
        <v>720000</v>
      </c>
      <c r="V75" s="828" t="inlineStr">
        <is>
          <t>Per 60 Minions, Troop HARD +30</t>
        </is>
      </c>
      <c r="W75" s="819" t="n">
        <v>560</v>
      </c>
    </row>
    <row r="76">
      <c r="A76" s="815" t="n">
        <v>4</v>
      </c>
      <c r="B76" s="830" t="n">
        <v>25</v>
      </c>
      <c r="C76" s="860" t="n">
        <v>14000</v>
      </c>
      <c r="D76" s="860" t="n">
        <v>28000</v>
      </c>
      <c r="E76" s="860" t="n">
        <v>35000</v>
      </c>
      <c r="F76" s="828" t="inlineStr">
        <is>
          <t>Per 30 Minions, Troop HARD +12</t>
        </is>
      </c>
      <c r="G76" s="819" t="n">
        <v>250</v>
      </c>
      <c r="I76" s="815" t="n">
        <v>4</v>
      </c>
      <c r="J76" s="830" t="n">
        <v>54</v>
      </c>
      <c r="K76" s="860" t="n">
        <v>29000</v>
      </c>
      <c r="L76" s="860" t="n">
        <v>59000</v>
      </c>
      <c r="M76" s="860" t="n">
        <v>140000</v>
      </c>
      <c r="N76" s="828" t="inlineStr">
        <is>
          <t>AFFCT +180</t>
        </is>
      </c>
      <c r="O76" s="819" t="n">
        <v>400</v>
      </c>
      <c r="Q76" s="815" t="n">
        <v>4</v>
      </c>
      <c r="R76" s="830" t="n">
        <v>15</v>
      </c>
      <c r="S76" s="860" t="n"/>
      <c r="T76" s="860" t="n"/>
      <c r="U76" s="860" t="n">
        <v>840000</v>
      </c>
      <c r="V76" s="828" t="inlineStr">
        <is>
          <t>Per 60 Minions, Troop HARD +40</t>
        </is>
      </c>
      <c r="W76" s="819" t="n">
        <v>700</v>
      </c>
    </row>
    <row r="77">
      <c r="A77" s="815" t="n">
        <v>5</v>
      </c>
      <c r="B77" s="830" t="n">
        <v>30</v>
      </c>
      <c r="C77" s="860" t="n">
        <v>16000</v>
      </c>
      <c r="D77" s="860" t="n">
        <v>32000</v>
      </c>
      <c r="E77" s="860" t="n">
        <v>40000</v>
      </c>
      <c r="F77" s="828" t="inlineStr">
        <is>
          <t>Per 30 Minions, Troop HARD +15</t>
        </is>
      </c>
      <c r="G77" s="819" t="n">
        <v>300</v>
      </c>
      <c r="I77" s="815" t="n">
        <v>5</v>
      </c>
      <c r="J77" s="830" t="n">
        <v>66</v>
      </c>
      <c r="K77" s="860" t="n">
        <v>34000</v>
      </c>
      <c r="L77" s="860" t="n">
        <v>68000</v>
      </c>
      <c r="M77" s="860" t="n">
        <v>160000</v>
      </c>
      <c r="N77" s="828" t="inlineStr">
        <is>
          <t>AFFCT +250</t>
        </is>
      </c>
      <c r="O77" s="819" t="n">
        <v>480</v>
      </c>
      <c r="Q77" s="815" t="n">
        <v>5</v>
      </c>
      <c r="R77" s="830" t="n">
        <v>18</v>
      </c>
      <c r="S77" s="860" t="n"/>
      <c r="T77" s="860" t="n"/>
      <c r="U77" s="860" t="n">
        <v>960000</v>
      </c>
      <c r="V77" s="828" t="inlineStr">
        <is>
          <t>Per 60 Minions, Troop HARD +50</t>
        </is>
      </c>
      <c r="W77" s="819" t="n">
        <v>840</v>
      </c>
    </row>
    <row r="78">
      <c r="A78" s="815" t="n">
        <v>6</v>
      </c>
      <c r="B78" s="830" t="n">
        <v>35</v>
      </c>
      <c r="C78" s="860" t="n">
        <v>18000</v>
      </c>
      <c r="D78" s="860" t="n">
        <v>36000</v>
      </c>
      <c r="E78" s="860" t="n">
        <v>45000</v>
      </c>
      <c r="F78" s="828" t="inlineStr">
        <is>
          <t>Per 30 Minions, Troop HARD +18</t>
        </is>
      </c>
      <c r="G78" s="819" t="n">
        <v>350</v>
      </c>
      <c r="I78" s="815" t="n">
        <v>6</v>
      </c>
      <c r="J78" s="830" t="n">
        <v>78</v>
      </c>
      <c r="K78" s="860" t="n">
        <v>38000</v>
      </c>
      <c r="L78" s="860" t="n">
        <v>76000</v>
      </c>
      <c r="M78" s="860" t="n">
        <v>180000</v>
      </c>
      <c r="N78" s="828" t="inlineStr">
        <is>
          <t>AFFCT +330</t>
        </is>
      </c>
      <c r="O78" s="819" t="n">
        <v>560</v>
      </c>
      <c r="Q78" s="815" t="n">
        <v>6</v>
      </c>
      <c r="R78" s="830" t="n">
        <v>21</v>
      </c>
      <c r="S78" s="860" t="n"/>
      <c r="T78" s="860" t="n"/>
      <c r="U78" s="860" t="n">
        <v>1080000</v>
      </c>
      <c r="V78" s="828" t="inlineStr">
        <is>
          <t>Per 60 Minions, Troop HARD +60</t>
        </is>
      </c>
      <c r="W78" s="819" t="n">
        <v>980</v>
      </c>
    </row>
    <row r="79">
      <c r="A79" s="815" t="n">
        <v>7</v>
      </c>
      <c r="B79" s="830" t="n">
        <v>40</v>
      </c>
      <c r="C79" s="860" t="n">
        <v>20000</v>
      </c>
      <c r="D79" s="860" t="n">
        <v>40000</v>
      </c>
      <c r="E79" s="860" t="n">
        <v>50000</v>
      </c>
      <c r="F79" s="828" t="inlineStr">
        <is>
          <t>Per 30 Minions, Troop HARD +21</t>
        </is>
      </c>
      <c r="G79" s="819" t="n">
        <v>400</v>
      </c>
      <c r="I79" s="815" t="n">
        <v>7</v>
      </c>
      <c r="J79" s="830" t="n">
        <v>90</v>
      </c>
      <c r="K79" s="860" t="n">
        <v>42000</v>
      </c>
      <c r="L79" s="860" t="n">
        <v>85000</v>
      </c>
      <c r="M79" s="860" t="n">
        <v>200000</v>
      </c>
      <c r="N79" s="828" t="inlineStr">
        <is>
          <t>AFFCT +420</t>
        </is>
      </c>
      <c r="O79" s="819" t="n">
        <v>640</v>
      </c>
      <c r="Q79" s="815" t="n">
        <v>7</v>
      </c>
      <c r="R79" s="830" t="n">
        <v>24</v>
      </c>
      <c r="S79" s="860" t="n"/>
      <c r="T79" s="860" t="n"/>
      <c r="U79" s="860" t="n">
        <v>1200000</v>
      </c>
      <c r="V79" s="828" t="inlineStr">
        <is>
          <t>Per 60 Minions, Troop HARD +70</t>
        </is>
      </c>
      <c r="W79" s="819" t="n">
        <v>1120</v>
      </c>
    </row>
    <row r="80">
      <c r="A80" s="815" t="n">
        <v>8</v>
      </c>
      <c r="B80" s="830" t="n">
        <v>45</v>
      </c>
      <c r="C80" s="860" t="n">
        <v>22000</v>
      </c>
      <c r="D80" s="860" t="n">
        <v>44000</v>
      </c>
      <c r="E80" s="860" t="n">
        <v>55000</v>
      </c>
      <c r="F80" s="828" t="inlineStr">
        <is>
          <t>Per 30 Minions, Troop HARD +24</t>
        </is>
      </c>
      <c r="G80" s="819" t="n">
        <v>450</v>
      </c>
      <c r="I80" s="815" t="n">
        <v>8</v>
      </c>
      <c r="J80" s="830" t="n">
        <v>102</v>
      </c>
      <c r="K80" s="860" t="n">
        <v>47000</v>
      </c>
      <c r="L80" s="860" t="n">
        <v>94000</v>
      </c>
      <c r="M80" s="860" t="n">
        <v>220000</v>
      </c>
      <c r="N80" s="828" t="inlineStr">
        <is>
          <t>AFFCT +520</t>
        </is>
      </c>
      <c r="O80" s="819" t="n">
        <v>720</v>
      </c>
      <c r="Q80" s="815" t="n">
        <v>8</v>
      </c>
      <c r="R80" s="830" t="n">
        <v>27</v>
      </c>
      <c r="S80" s="860" t="n"/>
      <c r="T80" s="860" t="n"/>
      <c r="U80" s="860" t="n">
        <v>1320000</v>
      </c>
      <c r="V80" s="828" t="inlineStr">
        <is>
          <t>Per 60 Minions, Troop HARD +80</t>
        </is>
      </c>
      <c r="W80" s="819" t="n">
        <v>1260</v>
      </c>
    </row>
    <row r="81">
      <c r="A81" s="815" t="n">
        <v>9</v>
      </c>
      <c r="B81" s="830" t="n">
        <v>50</v>
      </c>
      <c r="C81" s="860" t="n">
        <v>24000</v>
      </c>
      <c r="D81" s="860" t="n">
        <v>48000</v>
      </c>
      <c r="E81" s="860" t="n">
        <v>60000</v>
      </c>
      <c r="F81" s="828" t="inlineStr">
        <is>
          <t>Per 30 Minions, Troop HARD +27</t>
        </is>
      </c>
      <c r="G81" s="819" t="n">
        <v>500</v>
      </c>
      <c r="I81" s="815" t="n">
        <v>9</v>
      </c>
      <c r="J81" s="830" t="n">
        <v>114</v>
      </c>
      <c r="K81" s="860" t="n">
        <v>51000</v>
      </c>
      <c r="L81" s="860" t="n">
        <v>100000</v>
      </c>
      <c r="M81" s="860" t="n">
        <v>240000</v>
      </c>
      <c r="N81" s="828" t="inlineStr">
        <is>
          <t>AFFCT +630</t>
        </is>
      </c>
      <c r="O81" s="819" t="n">
        <v>800</v>
      </c>
      <c r="Q81" s="815" t="n">
        <v>9</v>
      </c>
      <c r="R81" s="830" t="n">
        <v>30</v>
      </c>
      <c r="S81" s="860" t="n"/>
      <c r="T81" s="860" t="n"/>
      <c r="U81" s="860" t="n">
        <v>1440000</v>
      </c>
      <c r="V81" s="828" t="inlineStr">
        <is>
          <t>Per 60 Minions, Troop HARD +90</t>
        </is>
      </c>
      <c r="W81" s="819" t="n">
        <v>1400</v>
      </c>
    </row>
    <row r="82">
      <c r="A82" s="815" t="n">
        <v>10</v>
      </c>
      <c r="B82" s="830" t="n">
        <v>55</v>
      </c>
      <c r="C82" s="860" t="n">
        <v>26000</v>
      </c>
      <c r="D82" s="860" t="n">
        <v>52000</v>
      </c>
      <c r="E82" s="860" t="n">
        <v>65000</v>
      </c>
      <c r="F82" s="828" t="inlineStr">
        <is>
          <t>Per 30 Minions, Troop HARD +30</t>
        </is>
      </c>
      <c r="G82" s="819" t="n">
        <v>550</v>
      </c>
      <c r="I82" s="815" t="n">
        <v>10</v>
      </c>
      <c r="J82" s="830" t="n">
        <v>126</v>
      </c>
      <c r="K82" s="860" t="n">
        <v>55000</v>
      </c>
      <c r="L82" s="860" t="n">
        <v>110000</v>
      </c>
      <c r="M82" s="860" t="n">
        <v>260000</v>
      </c>
      <c r="N82" s="828" t="inlineStr">
        <is>
          <t>AFFCT +750</t>
        </is>
      </c>
      <c r="O82" s="819" t="n">
        <v>880</v>
      </c>
      <c r="Q82" s="815" t="n">
        <v>10</v>
      </c>
      <c r="R82" s="830" t="n">
        <v>33</v>
      </c>
      <c r="S82" s="860" t="n"/>
      <c r="T82" s="860" t="n"/>
      <c r="U82" s="860" t="n">
        <v>1560000</v>
      </c>
      <c r="V82" s="828" t="inlineStr">
        <is>
          <t>Per 60 Minions, Troop HARD +100</t>
        </is>
      </c>
      <c r="W82" s="819" t="n">
        <v>1540</v>
      </c>
    </row>
    <row r="83">
      <c r="A83" s="820" t="inlineStr">
        <is>
          <t>Total</t>
        </is>
      </c>
      <c r="B83" s="821">
        <f>SUM(B73:B82)</f>
        <v/>
      </c>
      <c r="C83" s="822">
        <f>SUM(C73:C82)</f>
        <v/>
      </c>
      <c r="D83" s="822">
        <f>SUM(D73:D82)</f>
        <v/>
      </c>
      <c r="E83" s="822">
        <f>SUM(E73:E82)</f>
        <v/>
      </c>
      <c r="F83" s="823" t="n"/>
      <c r="G83" s="824">
        <f>SUM(G73:G82)</f>
        <v/>
      </c>
      <c r="I83" s="820" t="inlineStr">
        <is>
          <t>Total</t>
        </is>
      </c>
      <c r="J83" s="821">
        <f>SUM(J73:J82)</f>
        <v/>
      </c>
      <c r="K83" s="822">
        <f>SUM(K73:K82)</f>
        <v/>
      </c>
      <c r="L83" s="822">
        <f>SUM(L73:L82)</f>
        <v/>
      </c>
      <c r="M83" s="822">
        <f>SUM(M73:M82)</f>
        <v/>
      </c>
      <c r="N83" s="823" t="n"/>
      <c r="O83" s="824">
        <f>SUM(O73:O82)</f>
        <v/>
      </c>
      <c r="Q83" s="820" t="inlineStr">
        <is>
          <t>Total</t>
        </is>
      </c>
      <c r="R83" s="821">
        <f>SUM(R73:R82)</f>
        <v/>
      </c>
      <c r="S83" s="822">
        <f>SUM(S73:S82)</f>
        <v/>
      </c>
      <c r="T83" s="822">
        <f>SUM(T73:T82)</f>
        <v/>
      </c>
      <c r="U83" s="822">
        <f>SUM(U73:U82)</f>
        <v/>
      </c>
      <c r="V83" s="823" t="n"/>
      <c r="W83" s="824">
        <f>SUM(W73:W82)</f>
        <v/>
      </c>
    </row>
    <row r="84">
      <c r="A84" s="861" t="n"/>
      <c r="B84" s="828" t="n"/>
      <c r="C84" s="828" t="n"/>
      <c r="D84" s="828" t="n"/>
      <c r="E84" s="828" t="n"/>
      <c r="F84" s="828" t="n"/>
      <c r="G84" s="829" t="n"/>
      <c r="I84" s="861" t="n"/>
      <c r="J84" s="828" t="n"/>
      <c r="K84" s="828" t="n"/>
      <c r="L84" s="828" t="n"/>
      <c r="M84" s="828" t="n"/>
      <c r="N84" s="828" t="n"/>
      <c r="O84" s="829" t="n"/>
      <c r="Q84" s="861" t="n"/>
      <c r="R84" s="828" t="n"/>
      <c r="S84" s="828" t="n"/>
      <c r="T84" s="828" t="n"/>
      <c r="U84" s="828" t="n"/>
      <c r="V84" s="828" t="n"/>
      <c r="W84" s="829" t="n"/>
    </row>
    <row r="85">
      <c r="A85" s="861" t="n"/>
      <c r="B85" s="828" t="n"/>
      <c r="C85" s="828" t="n"/>
      <c r="D85" s="828" t="n"/>
      <c r="E85" s="828" t="n"/>
      <c r="F85" s="828" t="n"/>
      <c r="G85" s="829" t="n"/>
      <c r="I85" s="861" t="n"/>
      <c r="J85" s="828" t="n"/>
      <c r="K85" s="828" t="n"/>
      <c r="L85" s="828" t="n"/>
      <c r="M85" s="828" t="n"/>
      <c r="N85" s="828" t="n"/>
      <c r="O85" s="829" t="n"/>
      <c r="Q85" s="861" t="n"/>
      <c r="R85" s="828" t="n"/>
      <c r="S85" s="828" t="n"/>
      <c r="T85" s="828" t="n"/>
      <c r="U85" s="828" t="n"/>
      <c r="V85" s="828" t="n"/>
      <c r="W85" s="829" t="n"/>
    </row>
    <row r="86">
      <c r="A86" s="811" t="inlineStr">
        <is>
          <t>3 - Compass Upgrade</t>
        </is>
      </c>
      <c r="B86" s="813" t="n"/>
      <c r="C86" s="813" t="inlineStr">
        <is>
          <t>Angel</t>
        </is>
      </c>
      <c r="D86" s="813" t="inlineStr">
        <is>
          <t>Mecha</t>
        </is>
      </c>
      <c r="E86" s="813" t="inlineStr">
        <is>
          <t>Btads</t>
        </is>
      </c>
      <c r="F86" s="813" t="n"/>
      <c r="G86" s="868" t="inlineStr">
        <is>
          <t>DNA Points</t>
        </is>
      </c>
      <c r="I86" s="811" t="inlineStr">
        <is>
          <t>3 - AA Relic + Leadership</t>
        </is>
      </c>
      <c r="J86" s="813" t="n"/>
      <c r="K86" s="813" t="inlineStr">
        <is>
          <t>Angel</t>
        </is>
      </c>
      <c r="L86" s="813" t="inlineStr">
        <is>
          <t>Mutant</t>
        </is>
      </c>
      <c r="M86" s="813" t="inlineStr">
        <is>
          <t>Btads</t>
        </is>
      </c>
      <c r="N86" s="813" t="n"/>
      <c r="O86" s="868" t="n"/>
      <c r="Q86" s="811" t="inlineStr">
        <is>
          <t>3 - SS Relic</t>
        </is>
      </c>
      <c r="R86" s="813" t="n"/>
      <c r="S86" s="813" t="inlineStr">
        <is>
          <t>Angel</t>
        </is>
      </c>
      <c r="T86" s="813" t="inlineStr">
        <is>
          <t>Mutant</t>
        </is>
      </c>
      <c r="U86" s="813" t="n"/>
      <c r="V86" s="813" t="n"/>
      <c r="W86" s="868" t="n"/>
    </row>
    <row r="87">
      <c r="A87" s="815" t="n">
        <v>1</v>
      </c>
      <c r="B87" s="830" t="n">
        <v>20</v>
      </c>
      <c r="C87" s="860" t="n">
        <v>30000</v>
      </c>
      <c r="D87" s="860" t="n">
        <v>30000</v>
      </c>
      <c r="E87" s="860" t="n">
        <v>50000</v>
      </c>
      <c r="F87" s="828" t="inlineStr">
        <is>
          <t>All Compasses effect +40%</t>
        </is>
      </c>
      <c r="G87" s="819" t="n">
        <v>400</v>
      </c>
      <c r="I87" s="815" t="n">
        <v>1</v>
      </c>
      <c r="J87" s="830" t="n">
        <v>72</v>
      </c>
      <c r="K87" s="860" t="n">
        <v>100000</v>
      </c>
      <c r="L87" s="860" t="n">
        <v>100000</v>
      </c>
      <c r="M87" s="860" t="n">
        <v>120000</v>
      </c>
      <c r="N87" s="828" t="inlineStr">
        <is>
          <t>Leadership +10, AA Frags +20</t>
        </is>
      </c>
      <c r="O87" s="819" t="n">
        <v>1800</v>
      </c>
      <c r="Q87" s="815" t="n">
        <v>1</v>
      </c>
      <c r="R87" s="830" t="n">
        <v>10</v>
      </c>
      <c r="S87" s="860" t="n"/>
      <c r="T87" s="860" t="n"/>
      <c r="U87" s="860" t="n">
        <v>720000</v>
      </c>
      <c r="V87" s="828" t="inlineStr">
        <is>
          <t>SS RelicFrags +40</t>
        </is>
      </c>
      <c r="W87" s="819" t="n">
        <v>6000</v>
      </c>
    </row>
    <row r="88">
      <c r="A88" s="815" t="n">
        <v>2</v>
      </c>
      <c r="B88" s="830" t="n">
        <v>40</v>
      </c>
      <c r="C88" s="860" t="n">
        <v>60000</v>
      </c>
      <c r="D88" s="860" t="n">
        <v>60000</v>
      </c>
      <c r="E88" s="860" t="n">
        <v>100000</v>
      </c>
      <c r="F88" s="828" t="inlineStr">
        <is>
          <t>All Compasses effect +60%</t>
        </is>
      </c>
      <c r="G88" s="819" t="n">
        <v>450</v>
      </c>
      <c r="I88" s="815" t="n">
        <v>2</v>
      </c>
      <c r="J88" s="830" t="n">
        <v>216</v>
      </c>
      <c r="K88" s="860" t="n">
        <v>200000</v>
      </c>
      <c r="L88" s="860" t="n">
        <v>200000</v>
      </c>
      <c r="M88" s="860" t="n">
        <v>360000</v>
      </c>
      <c r="N88" s="828" t="inlineStr">
        <is>
          <t>Leadership +20, AA Frags +20</t>
        </is>
      </c>
      <c r="O88" s="819" t="n">
        <v>2100</v>
      </c>
      <c r="Q88" s="815" t="n">
        <v>2</v>
      </c>
      <c r="R88" s="830" t="n">
        <v>18</v>
      </c>
      <c r="S88" s="860" t="n"/>
      <c r="T88" s="860" t="n"/>
      <c r="U88" s="860" t="n">
        <v>1040000</v>
      </c>
      <c r="V88" s="828" t="inlineStr">
        <is>
          <t>SS Relic Frags +40</t>
        </is>
      </c>
      <c r="W88" s="819" t="n">
        <v>7000</v>
      </c>
    </row>
    <row r="89">
      <c r="A89" s="815" t="n">
        <v>3</v>
      </c>
      <c r="B89" s="830" t="n">
        <v>60</v>
      </c>
      <c r="C89" s="860" t="n">
        <v>90000</v>
      </c>
      <c r="D89" s="860" t="n">
        <v>90000</v>
      </c>
      <c r="E89" s="860" t="n">
        <v>150000</v>
      </c>
      <c r="F89" s="828" t="inlineStr">
        <is>
          <t>All Compasses effect +80%</t>
        </is>
      </c>
      <c r="G89" s="819" t="n">
        <v>500</v>
      </c>
      <c r="I89" s="815" t="n">
        <v>3</v>
      </c>
      <c r="J89" s="830" t="n">
        <v>360</v>
      </c>
      <c r="K89" s="860" t="n">
        <v>300000</v>
      </c>
      <c r="L89" s="860" t="n">
        <v>300000</v>
      </c>
      <c r="M89" s="860" t="n">
        <v>600000</v>
      </c>
      <c r="N89" s="828" t="inlineStr">
        <is>
          <t>Leadership +30, AA Frags +40</t>
        </is>
      </c>
      <c r="O89" s="819" t="n">
        <v>2400</v>
      </c>
      <c r="Q89" s="815" t="n">
        <v>3</v>
      </c>
      <c r="R89" s="830" t="n">
        <v>26</v>
      </c>
      <c r="S89" s="860" t="n"/>
      <c r="T89" s="860" t="n"/>
      <c r="U89" s="860" t="n">
        <v>1360000</v>
      </c>
      <c r="V89" s="828" t="inlineStr">
        <is>
          <t>SS Relic Frags +40</t>
        </is>
      </c>
      <c r="W89" s="819" t="n">
        <v>8000</v>
      </c>
    </row>
    <row r="90">
      <c r="A90" s="820" t="inlineStr">
        <is>
          <t>Total</t>
        </is>
      </c>
      <c r="B90" s="821">
        <f>SUM(B87:B89)</f>
        <v/>
      </c>
      <c r="C90" s="822">
        <f>sum(C87:C89)</f>
        <v/>
      </c>
      <c r="D90" s="822">
        <f>sum(D87:D89)</f>
        <v/>
      </c>
      <c r="E90" s="822">
        <f>sum(E87:E89)</f>
        <v/>
      </c>
      <c r="F90" s="823" t="n"/>
      <c r="G90" s="824">
        <f>sum(G87:G89)</f>
        <v/>
      </c>
      <c r="I90" s="820" t="inlineStr">
        <is>
          <t>Total</t>
        </is>
      </c>
      <c r="J90" s="831">
        <f>SUM(J87:J89)</f>
        <v/>
      </c>
      <c r="K90" s="822">
        <f>sum(K87:K89)</f>
        <v/>
      </c>
      <c r="L90" s="822">
        <f>sum(L87:L89)</f>
        <v/>
      </c>
      <c r="M90" s="822">
        <f>sum(M87:M89)</f>
        <v/>
      </c>
      <c r="N90" s="823" t="n"/>
      <c r="O90" s="824">
        <f>sum(O87:O89)</f>
        <v/>
      </c>
      <c r="Q90" s="815" t="n">
        <v>4</v>
      </c>
      <c r="R90" s="830" t="n">
        <v>34</v>
      </c>
      <c r="S90" s="860" t="n"/>
      <c r="T90" s="860" t="n"/>
      <c r="U90" s="860" t="n">
        <v>1680000</v>
      </c>
      <c r="V90" s="828" t="inlineStr">
        <is>
          <t>SS Relic Frags +80</t>
        </is>
      </c>
      <c r="W90" s="819" t="n">
        <v>9000</v>
      </c>
    </row>
    <row r="91">
      <c r="A91" s="861" t="n"/>
      <c r="B91" s="828" t="n"/>
      <c r="C91" s="828" t="n"/>
      <c r="D91" s="828" t="n"/>
      <c r="E91" s="828" t="n"/>
      <c r="F91" s="828" t="n"/>
      <c r="G91" s="829" t="n"/>
      <c r="I91" s="853" t="n"/>
      <c r="J91" s="738" t="n"/>
      <c r="K91" s="738" t="n"/>
      <c r="L91" s="738" t="n"/>
      <c r="M91" s="738" t="n"/>
      <c r="N91" s="738" t="n"/>
      <c r="O91" s="685" t="n"/>
      <c r="Q91" s="815" t="n">
        <v>5</v>
      </c>
      <c r="R91" s="830" t="n">
        <v>42</v>
      </c>
      <c r="S91" s="860" t="n"/>
      <c r="T91" s="860" t="n"/>
      <c r="U91" s="860" t="n">
        <v>2000000</v>
      </c>
      <c r="V91" s="828" t="inlineStr">
        <is>
          <t>SS Relic Frags +80</t>
        </is>
      </c>
      <c r="W91" s="819" t="n">
        <v>10000</v>
      </c>
    </row>
    <row r="92">
      <c r="A92" s="861" t="n"/>
      <c r="B92" s="828" t="n"/>
      <c r="C92" s="828" t="n"/>
      <c r="D92" s="828" t="n"/>
      <c r="E92" s="828" t="n"/>
      <c r="F92" s="828" t="n"/>
      <c r="G92" s="829" t="n"/>
      <c r="I92" s="1092" t="n"/>
      <c r="J92" s="706" t="n"/>
      <c r="K92" s="706" t="n"/>
      <c r="L92" s="706" t="n"/>
      <c r="M92" s="706" t="n"/>
      <c r="N92" s="706" t="n"/>
      <c r="O92" s="909" t="n"/>
      <c r="Q92" s="820" t="inlineStr">
        <is>
          <t>Total</t>
        </is>
      </c>
      <c r="R92" s="831">
        <f>SUM(R87:R91)</f>
        <v/>
      </c>
      <c r="S92" s="822">
        <f>sum(S87:S91)</f>
        <v/>
      </c>
      <c r="T92" s="822">
        <f>sum(T87:T91)</f>
        <v/>
      </c>
      <c r="U92" s="822">
        <f>sum(U87:U91)</f>
        <v/>
      </c>
      <c r="V92" s="823" t="n"/>
      <c r="W92" s="824">
        <f>sum(W87:W91)</f>
        <v/>
      </c>
    </row>
    <row r="93">
      <c r="A93" s="811" t="inlineStr">
        <is>
          <t>4 - Form Ritual VI</t>
        </is>
      </c>
      <c r="B93" s="813" t="n"/>
      <c r="C93" s="813" t="inlineStr">
        <is>
          <t>Mecha</t>
        </is>
      </c>
      <c r="D93" s="813" t="inlineStr">
        <is>
          <t>Mutant</t>
        </is>
      </c>
      <c r="E93" s="813" t="inlineStr">
        <is>
          <t>Btads</t>
        </is>
      </c>
      <c r="F93" s="813" t="n"/>
      <c r="G93" s="868" t="inlineStr">
        <is>
          <t>DNA Points</t>
        </is>
      </c>
      <c r="I93" s="811" t="inlineStr">
        <is>
          <t>4 - Form Ritual VII</t>
        </is>
      </c>
      <c r="J93" s="813" t="n"/>
      <c r="K93" s="813" t="inlineStr">
        <is>
          <t>Mecha</t>
        </is>
      </c>
      <c r="L93" s="813" t="inlineStr">
        <is>
          <t>Mutant</t>
        </is>
      </c>
      <c r="M93" s="813" t="inlineStr">
        <is>
          <t>Btads</t>
        </is>
      </c>
      <c r="N93" s="813" t="n"/>
      <c r="O93" s="868" t="n"/>
      <c r="Q93" s="861" t="n"/>
      <c r="R93" s="828" t="n"/>
      <c r="S93" s="828" t="n"/>
      <c r="T93" s="828" t="n"/>
      <c r="U93" s="828" t="n"/>
      <c r="V93" s="828" t="n"/>
      <c r="W93" s="829" t="n"/>
    </row>
    <row r="94">
      <c r="A94" s="855" t="n">
        <v>1</v>
      </c>
      <c r="B94" s="831" t="n">
        <v>120</v>
      </c>
      <c r="C94" s="822" t="n">
        <v>30000</v>
      </c>
      <c r="D94" s="822" t="n">
        <v>30000</v>
      </c>
      <c r="E94" s="822" t="n">
        <v>75000</v>
      </c>
      <c r="F94" s="823" t="n"/>
      <c r="G94" s="856" t="n">
        <v>500</v>
      </c>
      <c r="I94" s="855" t="n">
        <v>1</v>
      </c>
      <c r="J94" s="831" t="n">
        <v>720</v>
      </c>
      <c r="K94" s="822" t="n">
        <v>90000</v>
      </c>
      <c r="L94" s="822" t="n">
        <v>90000</v>
      </c>
      <c r="M94" s="822" t="n">
        <v>300000</v>
      </c>
      <c r="N94" s="823" t="n"/>
      <c r="O94" s="856" t="n">
        <v>800</v>
      </c>
      <c r="Q94" s="861" t="n"/>
      <c r="R94" s="828" t="n"/>
      <c r="S94" s="828" t="n"/>
      <c r="T94" s="828" t="n"/>
      <c r="U94" s="828" t="n"/>
      <c r="V94" s="828" t="n"/>
      <c r="W94" s="829" t="n"/>
    </row>
    <row r="95">
      <c r="A95" s="1037" t="n"/>
      <c r="B95" s="1037" t="n"/>
      <c r="C95" s="1037" t="n"/>
      <c r="D95" s="1037" t="n"/>
      <c r="E95" s="1037" t="n"/>
      <c r="F95" s="1037" t="n"/>
      <c r="G95" s="1037" t="n"/>
      <c r="I95" s="1037" t="n"/>
      <c r="J95" s="1037" t="n"/>
      <c r="K95" s="1037" t="n"/>
      <c r="L95" s="1037" t="n"/>
      <c r="M95" s="1037" t="n"/>
      <c r="N95" s="1037" t="n"/>
      <c r="O95" s="1037" t="n"/>
      <c r="Q95" s="811" t="inlineStr">
        <is>
          <t>4 - Form Ritual VIII</t>
        </is>
      </c>
      <c r="R95" s="813" t="n"/>
      <c r="S95" s="813" t="inlineStr">
        <is>
          <t>Mecha</t>
        </is>
      </c>
      <c r="T95" s="813" t="inlineStr">
        <is>
          <t>Mutant</t>
        </is>
      </c>
      <c r="U95" s="813" t="n"/>
      <c r="V95" s="813" t="n"/>
      <c r="W95" s="868" t="n"/>
    </row>
    <row r="96">
      <c r="I96" s="828" t="n"/>
      <c r="J96" s="828" t="n"/>
      <c r="K96" s="828" t="n"/>
      <c r="L96" s="828" t="n"/>
      <c r="M96" s="828" t="n"/>
      <c r="N96" s="828" t="n"/>
      <c r="O96" s="828" t="n"/>
      <c r="Q96" s="855" t="n">
        <v>1</v>
      </c>
      <c r="R96" s="831" t="n">
        <v>180</v>
      </c>
      <c r="S96" s="822" t="n"/>
      <c r="T96" s="822" t="n"/>
      <c r="U96" s="822" t="n">
        <v>1600000</v>
      </c>
      <c r="V96" s="823" t="n"/>
      <c r="W96" s="856" t="n">
        <v>1500</v>
      </c>
    </row>
    <row r="97">
      <c r="A97" s="853" t="inlineStr">
        <is>
          <t>T5-&gt;T6</t>
        </is>
      </c>
      <c r="B97" s="858" t="inlineStr">
        <is>
          <t>Total</t>
        </is>
      </c>
      <c r="C97" s="858" t="inlineStr">
        <is>
          <t>To Center</t>
        </is>
      </c>
      <c r="D97" s="859" t="inlineStr">
        <is>
          <t>Remaining</t>
        </is>
      </c>
      <c r="I97" s="853" t="inlineStr">
        <is>
          <t>T6-&gt;T7</t>
        </is>
      </c>
      <c r="J97" s="858" t="inlineStr">
        <is>
          <t>Total</t>
        </is>
      </c>
      <c r="K97" s="858" t="inlineStr">
        <is>
          <t>To Center</t>
        </is>
      </c>
      <c r="L97" s="859" t="inlineStr">
        <is>
          <t>Remaining</t>
        </is>
      </c>
      <c r="P97" s="860" t="n"/>
      <c r="R97" s="1037" t="n"/>
      <c r="S97" s="1037" t="n"/>
      <c r="T97" s="1037" t="n"/>
      <c r="U97" s="1037" t="n"/>
      <c r="V97" s="1037" t="n"/>
      <c r="W97" s="1037" t="n"/>
      <c r="X97" s="1037" t="n"/>
    </row>
    <row r="98">
      <c r="A98" s="702" t="inlineStr">
        <is>
          <t>Time (hr)</t>
        </is>
      </c>
      <c r="B98" s="881">
        <f>B13+B27+B41+B55+B69+B83+B90+B94</f>
        <v/>
      </c>
      <c r="C98" s="881">
        <f>B55+B69+B90</f>
        <v/>
      </c>
      <c r="D98" s="882">
        <f>B98-C98</f>
        <v/>
      </c>
      <c r="I98" s="702" t="inlineStr">
        <is>
          <t>Time (hr)</t>
        </is>
      </c>
      <c r="J98" s="881">
        <f>J13+J27+J41+J55+J69+J83+J90+J94</f>
        <v/>
      </c>
      <c r="K98" s="906">
        <f>J55+J69+J90</f>
        <v/>
      </c>
      <c r="L98" s="882">
        <f>J98-K98</f>
        <v/>
      </c>
      <c r="P98" s="860" t="n"/>
      <c r="R98" s="828" t="n"/>
      <c r="S98" s="828" t="n"/>
      <c r="T98" s="828" t="n"/>
      <c r="U98" s="828" t="n"/>
      <c r="V98" s="828" t="n"/>
      <c r="W98" s="828" t="n"/>
      <c r="X98" s="828" t="n"/>
    </row>
    <row r="99">
      <c r="A99" s="702" t="inlineStr">
        <is>
          <t>Time (days)</t>
        </is>
      </c>
      <c r="B99" s="906">
        <f>B98/$C$66</f>
        <v/>
      </c>
      <c r="C99" s="883">
        <f>C98/$C$66</f>
        <v/>
      </c>
      <c r="D99" s="884">
        <f>D98/$C$66</f>
        <v/>
      </c>
      <c r="I99" s="702" t="inlineStr">
        <is>
          <t>Time (days)</t>
        </is>
      </c>
      <c r="J99" s="906">
        <f>J98/$C$66</f>
        <v/>
      </c>
      <c r="K99" s="883">
        <f>K98/$C$66</f>
        <v/>
      </c>
      <c r="L99" s="884">
        <f>L98/$C$66</f>
        <v/>
      </c>
      <c r="P99" s="860" t="n"/>
      <c r="Q99" s="853" t="inlineStr">
        <is>
          <t>T7-&gt;T8</t>
        </is>
      </c>
      <c r="R99" s="858" t="inlineStr">
        <is>
          <t>Total</t>
        </is>
      </c>
      <c r="S99" s="858" t="inlineStr">
        <is>
          <t>To Center</t>
        </is>
      </c>
      <c r="T99" s="859" t="inlineStr">
        <is>
          <t>Remaining</t>
        </is>
      </c>
    </row>
    <row r="100">
      <c r="A100" s="702" t="inlineStr">
        <is>
          <t>Cells (Zombie)</t>
        </is>
      </c>
      <c r="B100" s="885">
        <f>C13+C41+C55</f>
        <v/>
      </c>
      <c r="C100" s="885">
        <f>C55</f>
        <v/>
      </c>
      <c r="D100" s="886">
        <f>B100-C100</f>
        <v/>
      </c>
      <c r="I100" s="702" t="inlineStr">
        <is>
          <t>Cells (Zombie)</t>
        </is>
      </c>
      <c r="J100" s="885">
        <f>K13+K41+K55</f>
        <v/>
      </c>
      <c r="K100" s="885">
        <f>K13</f>
        <v/>
      </c>
      <c r="L100" s="886">
        <f>J100-K100</f>
        <v/>
      </c>
      <c r="Q100" s="702" t="inlineStr">
        <is>
          <t>Time (days)</t>
        </is>
      </c>
      <c r="R100" s="881">
        <f>R13+R27+R41+R55+R69+R83+R92+R96</f>
        <v/>
      </c>
      <c r="S100" s="883">
        <f>R55+R69+R92</f>
        <v/>
      </c>
      <c r="T100" s="884">
        <f>R100-S100</f>
        <v/>
      </c>
    </row>
    <row r="101">
      <c r="A101" s="702" t="inlineStr">
        <is>
          <t>Cells (Demon)</t>
        </is>
      </c>
      <c r="B101" s="885">
        <f>D13+D55+C83</f>
        <v/>
      </c>
      <c r="C101" s="885">
        <f>D55</f>
        <v/>
      </c>
      <c r="D101" s="886">
        <f>B101-C101</f>
        <v/>
      </c>
      <c r="I101" s="702" t="inlineStr">
        <is>
          <t>Cells (Demon)</t>
        </is>
      </c>
      <c r="J101" s="885">
        <f>L13+L55+K83</f>
        <v/>
      </c>
      <c r="K101" s="885">
        <f>L13</f>
        <v/>
      </c>
      <c r="L101" s="886">
        <f>J101-K101</f>
        <v/>
      </c>
      <c r="Q101" s="702" t="inlineStr">
        <is>
          <t>Cells (Zombie)</t>
        </is>
      </c>
      <c r="R101" s="885">
        <f>S13+S41+S55</f>
        <v/>
      </c>
      <c r="S101" s="885">
        <f>S55</f>
        <v/>
      </c>
      <c r="T101" s="886">
        <f>R101-S101</f>
        <v/>
      </c>
    </row>
    <row r="102">
      <c r="A102" s="702" t="inlineStr">
        <is>
          <t>Cells (Angel)</t>
        </is>
      </c>
      <c r="B102" s="885">
        <f>C27+C69+C90</f>
        <v/>
      </c>
      <c r="C102" s="885">
        <f>C69+C90</f>
        <v/>
      </c>
      <c r="D102" s="886">
        <f>B102-C102</f>
        <v/>
      </c>
      <c r="I102" s="702" t="inlineStr">
        <is>
          <t>Cells (Angel)</t>
        </is>
      </c>
      <c r="J102" s="885">
        <f>K27+K69+K90</f>
        <v/>
      </c>
      <c r="K102" s="885">
        <f>K27+K90</f>
        <v/>
      </c>
      <c r="L102" s="886">
        <f>J102-K102</f>
        <v/>
      </c>
      <c r="Q102" s="702" t="inlineStr">
        <is>
          <t>Cells (Demon)</t>
        </is>
      </c>
      <c r="R102" s="885">
        <f>T13+T55+S83</f>
        <v/>
      </c>
      <c r="S102" s="885">
        <f>T55</f>
        <v/>
      </c>
      <c r="T102" s="886">
        <f>R102-S102</f>
        <v/>
      </c>
    </row>
    <row r="103">
      <c r="A103" s="702" t="inlineStr">
        <is>
          <t>Cells (Mutant)</t>
        </is>
      </c>
      <c r="B103" s="885">
        <f>D27+D83+D94</f>
        <v/>
      </c>
      <c r="C103" s="906">
        <f>0</f>
        <v/>
      </c>
      <c r="D103" s="886">
        <f>B103-C103</f>
        <v/>
      </c>
      <c r="I103" s="702" t="inlineStr">
        <is>
          <t>Cells (Mutant)</t>
        </is>
      </c>
      <c r="J103" s="885">
        <f>L27+L83+L94</f>
        <v/>
      </c>
      <c r="K103" s="885">
        <f>L27+L90</f>
        <v/>
      </c>
      <c r="L103" s="886">
        <f>J103-K103</f>
        <v/>
      </c>
      <c r="Q103" s="702" t="inlineStr">
        <is>
          <t>Cells (Angel)</t>
        </is>
      </c>
      <c r="R103" s="885">
        <f>S27+S69+S92</f>
        <v/>
      </c>
      <c r="S103" s="885">
        <f>S69+S92</f>
        <v/>
      </c>
      <c r="T103" s="886">
        <f>R103-S103</f>
        <v/>
      </c>
    </row>
    <row r="104">
      <c r="A104" s="702" t="inlineStr">
        <is>
          <t>Cells (Mecha)</t>
        </is>
      </c>
      <c r="B104" s="885">
        <f>D41+D69+D90+C94</f>
        <v/>
      </c>
      <c r="C104" s="885">
        <f>D69+D90</f>
        <v/>
      </c>
      <c r="D104" s="886">
        <f>B104-C104</f>
        <v/>
      </c>
      <c r="I104" s="702" t="inlineStr">
        <is>
          <t>Cells (Mecha)</t>
        </is>
      </c>
      <c r="J104" s="885">
        <f>L41+L69+L90+K94</f>
        <v/>
      </c>
      <c r="K104" s="906">
        <f>0</f>
        <v/>
      </c>
      <c r="L104" s="886">
        <f>J104-K104</f>
        <v/>
      </c>
      <c r="Q104" s="702" t="inlineStr">
        <is>
          <t>Cells (Mutant)</t>
        </is>
      </c>
      <c r="R104" s="885">
        <f>T27+T83+T92+T96</f>
        <v/>
      </c>
      <c r="S104" s="885">
        <f>T92</f>
        <v/>
      </c>
      <c r="T104" s="886">
        <f>R104-S104</f>
        <v/>
      </c>
    </row>
    <row r="105">
      <c r="A105" s="702" t="inlineStr">
        <is>
          <t>B-tads</t>
        </is>
      </c>
      <c r="B105" s="885">
        <f>E13+E27+E41+E55+E69+E83+E90+E94</f>
        <v/>
      </c>
      <c r="C105" s="885">
        <f>E55+E69+E90</f>
        <v/>
      </c>
      <c r="D105" s="886">
        <f>B105-C105</f>
        <v/>
      </c>
      <c r="I105" s="702" t="inlineStr">
        <is>
          <t>B-tads</t>
        </is>
      </c>
      <c r="J105" s="885">
        <f>M13+M27+M41+M55+M69+M83+M90+M94</f>
        <v/>
      </c>
      <c r="K105" s="885">
        <f>M55+M69+M90</f>
        <v/>
      </c>
      <c r="L105" s="886">
        <f>J105-K105</f>
        <v/>
      </c>
      <c r="Q105" s="702" t="inlineStr">
        <is>
          <t>Cells (Mecha)</t>
        </is>
      </c>
      <c r="R105" s="885">
        <f>T41+T69+S96</f>
        <v/>
      </c>
      <c r="S105" s="885">
        <f>T69</f>
        <v/>
      </c>
      <c r="T105" s="886">
        <f>R105-S105</f>
        <v/>
      </c>
    </row>
    <row r="106">
      <c r="A106" s="1092" t="inlineStr">
        <is>
          <t>DNA Points</t>
        </is>
      </c>
      <c r="B106" s="887">
        <f>G13+G27+G41+G55+G69+G83+G90+G94</f>
        <v/>
      </c>
      <c r="C106" s="887">
        <f>G55+G69+G90</f>
        <v/>
      </c>
      <c r="D106" s="888">
        <f>B106-C106</f>
        <v/>
      </c>
      <c r="I106" s="1092" t="inlineStr">
        <is>
          <t>DNA Points</t>
        </is>
      </c>
      <c r="J106" s="887">
        <f>O13+O27+O41+O55+O69+O83+O90+O94</f>
        <v/>
      </c>
      <c r="K106" s="887">
        <f>O55+O69+O90</f>
        <v/>
      </c>
      <c r="L106" s="888">
        <f>J106-K106</f>
        <v/>
      </c>
      <c r="Q106" s="702" t="inlineStr">
        <is>
          <t>B-tads</t>
        </is>
      </c>
      <c r="R106" s="885">
        <f>U13+U27+U41+U55+U69+U83+U92+U96</f>
        <v/>
      </c>
      <c r="S106" s="885">
        <f>U55+U69+U92</f>
        <v/>
      </c>
      <c r="T106" s="886">
        <f>R106-S106</f>
        <v/>
      </c>
    </row>
    <row r="107">
      <c r="Q107" s="1092" t="inlineStr">
        <is>
          <t>DNA Points</t>
        </is>
      </c>
      <c r="R107" s="887">
        <f>W13+W27+W41+W55+W69+W83+W92+W96</f>
        <v/>
      </c>
      <c r="S107" s="887">
        <f>W55+W69+W92</f>
        <v/>
      </c>
      <c r="T107" s="888">
        <f>R107-S107</f>
        <v/>
      </c>
    </row>
  </sheetData>
  <mergeCells count="3">
    <mergeCell ref="A58:B58"/>
    <mergeCell ref="Q58:R58"/>
    <mergeCell ref="I58:J58"/>
  </mergeCells>
  <pageMargins left="0.75" right="0.75" top="1" bottom="1" header="0.5" footer="0.5"/>
  <tableParts count="2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</tableParts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F196"/>
  <sheetViews>
    <sheetView workbookViewId="0">
      <selection activeCell="A1" sqref="A1"/>
    </sheetView>
  </sheetViews>
  <sheetFormatPr baseColWidth="8" defaultColWidth="9.18" defaultRowHeight="15" customHeight="1"/>
  <cols>
    <col width="4.91" customWidth="1" style="1128" min="1" max="1"/>
    <col width="23.82" customWidth="1" style="1128" min="2" max="2"/>
    <col width="7.45" customWidth="1" style="1128" min="3" max="3"/>
    <col width="103.27" customWidth="1" style="1128" min="4" max="4"/>
    <col width="16.82" customWidth="1" style="1128" min="5" max="5"/>
    <col width="39.18" customWidth="1" style="1128" min="6" max="6"/>
  </cols>
  <sheetData>
    <row r="1">
      <c r="A1" s="853" t="inlineStr">
        <is>
          <t>Order</t>
        </is>
      </c>
      <c r="B1" s="853" t="inlineStr">
        <is>
          <t>Daily Pack Relic</t>
        </is>
      </c>
      <c r="C1" s="685" t="inlineStr">
        <is>
          <t>(Days)</t>
        </is>
      </c>
      <c r="D1" s="738" t="inlineStr">
        <is>
          <t>Passive</t>
        </is>
      </c>
      <c r="E1" s="738" t="inlineStr">
        <is>
          <t>Stamp Type</t>
        </is>
      </c>
      <c r="F1" s="685" t="inlineStr">
        <is>
          <t>Notable Stamps</t>
        </is>
      </c>
    </row>
    <row r="2">
      <c r="A2" s="702" t="n">
        <v>1</v>
      </c>
      <c r="B2" s="702" t="inlineStr">
        <is>
          <t>Winged Victory</t>
        </is>
      </c>
      <c r="C2" s="907">
        <f>A2*28</f>
        <v/>
      </c>
      <c r="D2" s="908" t="inlineStr">
        <is>
          <t>Snail HP +1,200, Snail ATK +220, Per Sign-In, Snail ATK +24; Sign-Ins: 20/20</t>
        </is>
      </c>
      <c r="E2" s="906" t="inlineStr">
        <is>
          <t>Exploration</t>
        </is>
      </c>
      <c r="F2" s="907" t="inlineStr">
        <is>
          <t>600 ATK; 15% INTEL</t>
        </is>
      </c>
    </row>
    <row r="3">
      <c r="A3" s="702" t="n">
        <v>2</v>
      </c>
      <c r="B3" s="702" t="inlineStr">
        <is>
          <t>Nibelungenlied</t>
        </is>
      </c>
      <c r="C3" s="907">
        <f>A3*28</f>
        <v/>
      </c>
      <c r="D3" s="908" t="inlineStr">
        <is>
          <t>Snail ATK +220, Per 5 Dragon Gene LVLs, Snail ATK +24, Per 5 Dragon Gene LVLs, Snail RUSH +24; Dragon Gene LVLs Researched: 100/100</t>
        </is>
      </c>
      <c r="E3" s="906" t="inlineStr">
        <is>
          <t>Arena</t>
        </is>
      </c>
      <c r="F3" s="907" t="inlineStr">
        <is>
          <t>30% CRIT / CRIT DMG / Ignore DEF</t>
        </is>
      </c>
    </row>
    <row r="4">
      <c r="A4" s="702" t="n">
        <v>3</v>
      </c>
      <c r="B4" s="702" t="inlineStr">
        <is>
          <t>Fermat's Scripts</t>
        </is>
      </c>
      <c r="C4" s="907">
        <f>A4*28</f>
        <v/>
      </c>
      <c r="D4" s="908" t="inlineStr">
        <is>
          <t>Snail ATK +220, Per 5 Daily Packs bought, Snail ATK +12, Per 5 Daily Packs bought, Snail DEF +12; Daily Packs Purchased: 200/200</t>
        </is>
      </c>
      <c r="E4" s="906" t="inlineStr">
        <is>
          <t>Britland</t>
        </is>
      </c>
      <c r="F4" s="907" t="inlineStr">
        <is>
          <t>15 TECH</t>
        </is>
      </c>
    </row>
    <row r="5">
      <c r="A5" s="702" t="n">
        <v>4</v>
      </c>
      <c r="B5" s="702" t="inlineStr">
        <is>
          <t>Guevara's Portrait</t>
        </is>
      </c>
      <c r="C5" s="907">
        <f>A5*28</f>
        <v/>
      </c>
      <c r="D5" s="908" t="inlineStr">
        <is>
          <t>Snail DEF +220, Per 20 Chores completed, Snail ATK +36, Per 20 Chores completed, Snail DEF +36; Chores Completed: 300/300</t>
        </is>
      </c>
      <c r="E5" s="906" t="inlineStr">
        <is>
          <t>Arena</t>
        </is>
      </c>
      <c r="F5" s="907" t="inlineStr">
        <is>
          <t>15 FAME; 7.5% DMG Reduction</t>
        </is>
      </c>
    </row>
    <row r="6">
      <c r="A6" s="702" t="n">
        <v>5</v>
      </c>
      <c r="B6" s="702" t="inlineStr">
        <is>
          <t>Wheel of Fortune</t>
        </is>
      </c>
      <c r="C6" s="907">
        <f>A6*28</f>
        <v/>
      </c>
      <c r="D6" s="908" t="inlineStr">
        <is>
          <t>Snail ATK +220, When offering, 2x Order Chest Drops +12%, Per 5 Divine Order Chests opened: Snail ATK +36; Divine Order Chests Opened: 100/100</t>
        </is>
      </c>
      <c r="E6" s="906" t="inlineStr">
        <is>
          <t>Hellas</t>
        </is>
      </c>
      <c r="F6" s="907" t="inlineStr">
        <is>
          <t>15 FTH; 30% Angel Cells</t>
        </is>
      </c>
    </row>
    <row r="7">
      <c r="A7" s="702" t="n">
        <v>6</v>
      </c>
      <c r="B7" s="702" t="inlineStr">
        <is>
          <t>Iliad &amp; Odyssey</t>
        </is>
      </c>
      <c r="C7" s="907">
        <f>A7*28</f>
        <v/>
      </c>
      <c r="D7" s="908" t="inlineStr">
        <is>
          <t>When offering, 2x Neutral Chest Drops +10%, Per 10 Daily Packs bought, Snail ATK +18, Per 10 Daily Packs bought, Snail RUSH +18, Daily Packs Purchased: 360/360</t>
        </is>
      </c>
      <c r="E7" s="906" t="inlineStr">
        <is>
          <t>Hellas</t>
        </is>
      </c>
      <c r="F7" s="907" t="inlineStr">
        <is>
          <t>30 Medals; 15% Orange Cards</t>
        </is>
      </c>
    </row>
    <row r="8">
      <c r="A8" s="702" t="n">
        <v>7</v>
      </c>
      <c r="B8" s="702" t="inlineStr">
        <is>
          <t>King's Gayageum</t>
        </is>
      </c>
      <c r="C8" s="907">
        <f>A8*28</f>
        <v/>
      </c>
      <c r="D8" s="908" t="inlineStr">
        <is>
          <t>Snail ATK +220, Per 60 Minions in battle, Troop ATK +90, Per 60 Minions in battle, Troop RUSH +90</t>
        </is>
      </c>
      <c r="E8" s="906" t="inlineStr">
        <is>
          <t>Koryeo</t>
        </is>
      </c>
      <c r="F8" s="907" t="inlineStr">
        <is>
          <t>15 ART; 30% Demon Cells</t>
        </is>
      </c>
    </row>
    <row r="9">
      <c r="A9" s="702" t="n">
        <v>8</v>
      </c>
      <c r="B9" s="702" t="inlineStr">
        <is>
          <t>Nautilus</t>
        </is>
      </c>
      <c r="C9" s="907">
        <f>A9*28</f>
        <v/>
      </c>
      <c r="D9" s="908" t="inlineStr">
        <is>
          <t>Refining gives +1 Wormhole Refiner by +66%, Per 5 TECH Relics awakened, Snail HP +240, Per 5 TECH Relics awakened, Snail ATK +24; TECH Relics Awakened: 100/100</t>
        </is>
      </c>
      <c r="E9" s="906" t="inlineStr">
        <is>
          <t>Bharata</t>
        </is>
      </c>
      <c r="F9" s="907" t="inlineStr">
        <is>
          <t>15 TECH; 30% Mecha Cells; 15% Orange Cards</t>
        </is>
      </c>
    </row>
    <row r="10">
      <c r="A10" s="702" t="n">
        <v>9</v>
      </c>
      <c r="B10" s="702" t="inlineStr">
        <is>
          <t>Gutenberg's Press</t>
        </is>
      </c>
      <c r="C10" s="907">
        <f>A10*28</f>
        <v/>
      </c>
      <c r="D10" s="908" t="inlineStr">
        <is>
          <t>Snail Leadership +17, Per 60 Minions in battle, Troop ATK +90, Per 60 Minions in battle, Troop HARD Stats +30</t>
        </is>
      </c>
      <c r="E10" s="906" t="inlineStr">
        <is>
          <t>Kemet</t>
        </is>
      </c>
      <c r="F10" s="907" t="inlineStr">
        <is>
          <t>15 CIV; 3000 Btads; 9% Kemet Travel SPD</t>
        </is>
      </c>
    </row>
    <row r="11">
      <c r="A11" s="702" t="n">
        <v>10</v>
      </c>
      <c r="B11" s="702" t="inlineStr">
        <is>
          <t>Gravitation Scripts</t>
        </is>
      </c>
      <c r="C11" s="907">
        <f>A11*28</f>
        <v/>
      </c>
      <c r="D11" s="908" t="inlineStr">
        <is>
          <t>Snail ATK +220, Per 5 Rocket Tech LVLs, Snail ATK +48, Per 5 Rocket Tech LVLs, Snail DEF +48; Rocket Tech Upgraded: 50/50</t>
        </is>
      </c>
      <c r="E11" s="906" t="inlineStr">
        <is>
          <t>Rift</t>
        </is>
      </c>
      <c r="F11" s="907" t="inlineStr">
        <is>
          <t>15 FAME; 30% DMG; 300 Earth DMG</t>
        </is>
      </c>
    </row>
    <row r="12">
      <c r="A12" s="702" t="n">
        <v>11</v>
      </c>
      <c r="B12" s="702" t="inlineStr">
        <is>
          <t>Napoleonic Code</t>
        </is>
      </c>
      <c r="C12" s="907">
        <f>A12*28</f>
        <v/>
      </c>
      <c r="D12" s="908" t="inlineStr">
        <is>
          <t>Snail Leadership +17, Per 60 Minions in battle, Troop RUSH +90, Per 60 Minions in Battle, Troop HARD Stats +30</t>
        </is>
      </c>
      <c r="E12" s="906" t="inlineStr">
        <is>
          <t>Rift</t>
        </is>
      </c>
      <c r="F12" s="907" t="inlineStr">
        <is>
          <t>6% Green Card; 6% Purple Reagent</t>
        </is>
      </c>
    </row>
    <row r="13">
      <c r="A13" s="702" t="n">
        <v>12</v>
      </c>
      <c r="B13" s="702" t="inlineStr">
        <is>
          <t>Golden Vase</t>
        </is>
      </c>
      <c r="C13" s="907">
        <f>A13*28</f>
        <v/>
      </c>
      <c r="D13" s="908" t="inlineStr">
        <is>
          <t>Snail DEF +100, When offering, 2x Neutral Chest Drops +12%, Per 10 Altar God Descents, Snail DEF +12, Per 10 Altar God Descents, Snail RUSH +12; Gods Descended: 400/400</t>
        </is>
      </c>
      <c r="E13" s="906" t="inlineStr">
        <is>
          <t>Rift</t>
        </is>
      </c>
      <c r="F13" s="907" t="inlineStr">
        <is>
          <t>6% Btad; 3% Incense</t>
        </is>
      </c>
    </row>
    <row r="14">
      <c r="A14" s="702" t="n">
        <v>13</v>
      </c>
      <c r="B14" s="702" t="inlineStr">
        <is>
          <t>Dead Sea Scrolls</t>
        </is>
      </c>
      <c r="C14" s="907">
        <f>A14*28</f>
        <v/>
      </c>
      <c r="D14" s="908" t="inlineStr">
        <is>
          <t>Per 60 Minions in battle, Troop ATK +90, Per 60 Minions in battle, Troop HARD Stats +60, When offering, 2x Chaos Chest Drops +12%</t>
        </is>
      </c>
      <c r="E14" s="906" t="inlineStr">
        <is>
          <t>Mantis</t>
        </is>
      </c>
      <c r="F14" s="907" t="inlineStr">
        <is>
          <t>Troop 60 Water DMG; 9% RUSH; 9% CRIT</t>
        </is>
      </c>
    </row>
    <row r="15">
      <c r="A15" s="702" t="n">
        <v>14</v>
      </c>
      <c r="B15" s="702" t="inlineStr">
        <is>
          <t>Salvator Mundi</t>
        </is>
      </c>
      <c r="C15" s="907">
        <f>A15*28</f>
        <v/>
      </c>
      <c r="D15" s="908" t="inlineStr">
        <is>
          <t>Snail ATK +220, Per 10 Wormhole Refines, Snail ATK +12, Per 10 Wormhole Refines, Snail RUSH +12; Wormhole Refines: 500/500</t>
        </is>
      </c>
      <c r="E15" s="906" t="inlineStr">
        <is>
          <t>Britland</t>
        </is>
      </c>
      <c r="F15" s="907" t="inlineStr">
        <is>
          <t>15 ART; 30 Medals; 30% Demon Cells</t>
        </is>
      </c>
    </row>
    <row r="16">
      <c r="A16" s="702" t="n">
        <v>15</v>
      </c>
      <c r="B16" s="702" t="inlineStr">
        <is>
          <t>Last Self Portrait</t>
        </is>
      </c>
      <c r="C16" s="907">
        <f>A16*28</f>
        <v/>
      </c>
      <c r="D16" s="908" t="inlineStr">
        <is>
          <t>Zombie Minion ATK +12%, Per 60 Minions in battle: Troop HP +1800, Per 60 Minions in battle: Troop DEF +90</t>
        </is>
      </c>
      <c r="E16" s="906" t="inlineStr">
        <is>
          <t>Hamster</t>
        </is>
      </c>
      <c r="F16" s="907" t="inlineStr">
        <is>
          <t>15 ART; 60 Troop Earth DMG; 9% HP</t>
        </is>
      </c>
    </row>
    <row r="17">
      <c r="A17" s="702" t="n">
        <v>16</v>
      </c>
      <c r="B17" s="702" t="inlineStr">
        <is>
          <t>Brave New World</t>
        </is>
      </c>
      <c r="C17" s="907">
        <f>A17*28</f>
        <v/>
      </c>
      <c r="D17" s="908" t="inlineStr">
        <is>
          <t>Snail Leadership +12, Per 60 Minions in battle: Troop HARD Stats +60, When Offering, 2x Neutral Chest Drops +12%</t>
        </is>
      </c>
      <c r="E17" s="906" t="inlineStr">
        <is>
          <t>Rift</t>
        </is>
      </c>
      <c r="F17" s="907" t="inlineStr">
        <is>
          <t>6% Orange Card; 6% Time Chest; 300 Water DMG</t>
        </is>
      </c>
    </row>
    <row r="18">
      <c r="A18" s="702" t="n">
        <v>17</v>
      </c>
      <c r="B18" s="702" t="inlineStr">
        <is>
          <t>Head of Bhairava</t>
        </is>
      </c>
      <c r="C18" s="907">
        <f>A18*28</f>
        <v/>
      </c>
      <c r="D18" s="908" t="inlineStr">
        <is>
          <t>Snail RUSH +220, Per 60 Minions in battle: Troop RUSH +90, When offering, 2x Neutral Chest Drops +12%</t>
        </is>
      </c>
      <c r="E18" s="906" t="inlineStr">
        <is>
          <t>Surf Clam</t>
        </is>
      </c>
      <c r="F18" s="907" t="inlineStr">
        <is>
          <t>15 FTH; 9% Troop CRIT DMG; 60 Wind DMG</t>
        </is>
      </c>
    </row>
    <row r="19">
      <c r="A19" s="702" t="n">
        <v>18</v>
      </c>
      <c r="B19" s="702" t="inlineStr">
        <is>
          <t>The Last Judgement</t>
        </is>
      </c>
      <c r="C19" s="907">
        <f>A19*28</f>
        <v/>
      </c>
      <c r="D19" s="908" t="inlineStr">
        <is>
          <t>Snail ATK +220, When offering, 2x Chaos Chest Drops +12%, Per FTH Master Scroll used, Snail RUSH +48; FTH Master Scrolls Used: 10/10</t>
        </is>
      </c>
      <c r="E19" s="906" t="inlineStr">
        <is>
          <t>Rift</t>
        </is>
      </c>
      <c r="F19" s="907" t="inlineStr">
        <is>
          <t>600 ATK; 6% Btad; 300 Earth DMG</t>
        </is>
      </c>
    </row>
    <row r="20">
      <c r="A20" s="702" t="n">
        <v>19</v>
      </c>
      <c r="B20" s="702" t="inlineStr">
        <is>
          <t>Herma of Pericles</t>
        </is>
      </c>
      <c r="C20" s="907">
        <f>A20*28</f>
        <v/>
      </c>
      <c r="D20" s="908" t="inlineStr">
        <is>
          <t>Snail DEF +220, Per 60 Minions in battle: Troop Water DMG +30, Per 60 Minions in battle: Troop Fire DMG +30</t>
        </is>
      </c>
      <c r="E20" s="906" t="inlineStr">
        <is>
          <t>Mantis</t>
        </is>
      </c>
      <c r="F20" s="907" t="inlineStr">
        <is>
          <t>9% Troop CRIT DMG; 9% Hero DMG; 60 Wind DMG</t>
        </is>
      </c>
    </row>
    <row r="21">
      <c r="A21" s="702" t="n">
        <v>20</v>
      </c>
      <c r="B21" s="702" t="inlineStr">
        <is>
          <t>Manga Manuscript</t>
        </is>
      </c>
      <c r="C21" s="907">
        <f>A21*28</f>
        <v/>
      </c>
      <c r="D21" s="908" t="inlineStr">
        <is>
          <t>Wormhole Refinement SPD +8.8%, Per 10 Wormhole Refines, Snail ATK +12, Per 10 Wormhole Refines, Snail RUSH +12; Wormhole Refines: 500/500</t>
        </is>
      </c>
      <c r="E21" s="906" t="inlineStr">
        <is>
          <t>Yamato</t>
        </is>
      </c>
      <c r="F21" s="907" t="inlineStr">
        <is>
          <t>30 Medals</t>
        </is>
      </c>
    </row>
    <row r="22">
      <c r="A22" s="702" t="n">
        <v>21</v>
      </c>
      <c r="B22" s="702" t="inlineStr">
        <is>
          <t>Von Neumann Arch.</t>
        </is>
      </c>
      <c r="C22" s="907">
        <f>A22*28</f>
        <v/>
      </c>
      <c r="D22" s="908" t="inlineStr">
        <is>
          <t>Snail RUSH +120, Mecha Minion ATK +12%, Per 60 Mecha Minions in battle: Troop ATK +180</t>
        </is>
      </c>
      <c r="E22" s="906" t="inlineStr">
        <is>
          <t>Rift</t>
        </is>
      </c>
      <c r="F22" s="907" t="inlineStr">
        <is>
          <t>15 TECH; 30% DMG; 6% White Cards</t>
        </is>
      </c>
    </row>
    <row r="23">
      <c r="A23" s="702" t="n">
        <v>22</v>
      </c>
      <c r="B23" s="702" t="inlineStr">
        <is>
          <t>Grand Unified Theory</t>
        </is>
      </c>
      <c r="C23" s="907">
        <f>A23*28</f>
        <v/>
      </c>
      <c r="D23" s="908" t="inlineStr">
        <is>
          <t>Snail ATK +220, Per Dragon Form Tier, Snail HP +1200, Per Dragon Form Tier, Snail ATK +120; Dragon Form Tiers: 9/9</t>
        </is>
      </c>
      <c r="E23" s="906" t="inlineStr">
        <is>
          <t>Rift</t>
        </is>
      </c>
      <c r="F23" s="907" t="inlineStr">
        <is>
          <t>15 TECH; 600 ATK; 300 Fire DMG</t>
        </is>
      </c>
    </row>
    <row r="24">
      <c r="A24" s="702" t="n">
        <v>23</v>
      </c>
      <c r="B24" s="702" t="inlineStr">
        <is>
          <t>Columbus Chart</t>
        </is>
      </c>
      <c r="C24" s="907">
        <f>A24*28</f>
        <v/>
      </c>
      <c r="D24" s="908" t="inlineStr">
        <is>
          <t>Snail ATK +120; Per 60 Minions in battle: Troop HARD stats +30, Per 60 Minions in battle: Troop ATK +180</t>
        </is>
      </c>
      <c r="E24" s="906" t="inlineStr">
        <is>
          <t>Rift</t>
        </is>
      </c>
      <c r="F24" s="907" t="inlineStr">
        <is>
          <t>15 FAME; 6% Btad; 300 Wind DMG</t>
        </is>
      </c>
    </row>
    <row r="25">
      <c r="A25" s="702" t="n">
        <v>24</v>
      </c>
      <c r="B25" s="702" t="inlineStr">
        <is>
          <t>Emerald Tablet</t>
        </is>
      </c>
      <c r="C25" s="907">
        <f>A25*28</f>
        <v/>
      </c>
      <c r="D25" s="908" t="inlineStr">
        <is>
          <t>Snail Leadership +17, Per 60 Minions in battle: Troop Earth DMG +30, Per 60 Minions in battle: Troop Wind DMG +30</t>
        </is>
      </c>
      <c r="E25" s="906" t="inlineStr">
        <is>
          <t>Kemet</t>
        </is>
      </c>
      <c r="F25" s="907" t="inlineStr">
        <is>
          <t>15 FTH; -300 Grandmaster Scroll cost</t>
        </is>
      </c>
    </row>
    <row r="26">
      <c r="A26" s="702" t="n">
        <v>25</v>
      </c>
      <c r="B26" s="702" t="inlineStr">
        <is>
          <t>Talmud</t>
        </is>
      </c>
      <c r="C26" s="907">
        <f>A26*28</f>
        <v/>
      </c>
      <c r="D26" s="908" t="inlineStr">
        <is>
          <t>Snail ATK +220, When offering, 2x Order Chest Drops +12%, Per 10 Altar God Descents, Snail ATK +24; Gods Descended: 400/400</t>
        </is>
      </c>
      <c r="E26" s="906" t="inlineStr">
        <is>
          <t>Minion Sim</t>
        </is>
      </c>
      <c r="F26" s="907" t="inlineStr">
        <is>
          <t>15 FTH; 9% Troop ATK; 60 Fire DMG</t>
        </is>
      </c>
    </row>
    <row r="27">
      <c r="A27" s="702" t="n">
        <v>26</v>
      </c>
      <c r="B27" s="702" t="inlineStr">
        <is>
          <t>Turing Award</t>
        </is>
      </c>
      <c r="C27" s="907">
        <f>A27*28</f>
        <v/>
      </c>
      <c r="D27" s="908" t="inlineStr">
        <is>
          <t>When spotting a weakness: Protomon extra DMG +1760; Per 10 TECH stamens used, Snail ATK +15, Per 10 TECH stamens used, Snail RUSH +15; TECH Stamens Used: 360/360</t>
        </is>
      </c>
      <c r="E27" s="906" t="inlineStr">
        <is>
          <t>Lumber Camp</t>
        </is>
      </c>
      <c r="F27" s="907" t="inlineStr">
        <is>
          <t>15 FAME; 30% Wood Output; 30% Ancient Lumber</t>
        </is>
      </c>
    </row>
    <row r="28">
      <c r="A28" s="702" t="n">
        <v>27</v>
      </c>
      <c r="B28" s="702" t="inlineStr">
        <is>
          <t>Apollo and Daphne</t>
        </is>
      </c>
      <c r="C28" s="907">
        <f>A28*28</f>
        <v/>
      </c>
      <c r="D28" s="908" t="inlineStr">
        <is>
          <t>Snail Leadership +17, Per 60 T7+ Minions in battle: Troop RUSH +120, Per 3 Frozen Soils used on Protomons: Devotee DMG +192; Frozen Soils Used: 60/60</t>
        </is>
      </c>
      <c r="E28" s="906" t="inlineStr">
        <is>
          <t>Rift</t>
        </is>
      </c>
      <c r="F28" s="907" t="inlineStr">
        <is>
          <t>15 ART; 6% Blue Cards; 6% Purple Cards</t>
        </is>
      </c>
    </row>
    <row r="29">
      <c r="A29" s="702" t="n">
        <v>28</v>
      </c>
      <c r="B29" s="702" t="inlineStr">
        <is>
          <t>Big Bang Theory</t>
        </is>
      </c>
      <c r="C29" s="907">
        <f>A29*28</f>
        <v/>
      </c>
      <c r="D29" s="908" t="inlineStr">
        <is>
          <t>Snail HP +1000, Mecha Minion HP +12%, Minion skin bonus HP +100%, Per 10 HP stamens used, Snail HP +150; HP Stamens Used: 960/960</t>
        </is>
      </c>
      <c r="E29" s="906" t="inlineStr">
        <is>
          <t>Minion Sim</t>
        </is>
      </c>
      <c r="F29" s="907" t="inlineStr">
        <is>
          <t>15 TECH; 9% Troop HP; 9% Troop Healing</t>
        </is>
      </c>
    </row>
    <row r="30">
      <c r="A30" s="702" t="n">
        <v>29</v>
      </c>
      <c r="B30" s="702" t="inlineStr">
        <is>
          <t>Tauroctony</t>
        </is>
      </c>
      <c r="C30" s="907">
        <f>A30*28</f>
        <v/>
      </c>
      <c r="D30" s="908" t="inlineStr">
        <is>
          <t>Dragon Orb offering SPD +13.2%, Per 3 unique souls offered: Snail ATK +12, Per 3 unique souls offered: Devotee DMG +96</t>
        </is>
      </c>
      <c r="E30" s="906" t="inlineStr">
        <is>
          <t>Goldfish</t>
        </is>
      </c>
      <c r="F30" s="907" t="inlineStr">
        <is>
          <t>15 FTH; 6% Hero DMG; 6% Troop DMG Reduction</t>
        </is>
      </c>
    </row>
    <row r="31">
      <c r="A31" s="702" t="n">
        <v>30</v>
      </c>
      <c r="B31" s="702" t="inlineStr">
        <is>
          <t>Philosophy Meditations</t>
        </is>
      </c>
      <c r="C31" s="907">
        <f>A31*28</f>
        <v/>
      </c>
      <c r="D31" s="908" t="inlineStr">
        <is>
          <t>Prarie Sanctum Score +1100, Per 2000 Prarie Sanctum Score, Devotee DMG +96, Per 2000 Prarie Sanctum Score, Devotee Troop DMG +96; Prarie Sanctum Score: 100,000/100,000</t>
        </is>
      </c>
      <c r="E31" s="906" t="inlineStr">
        <is>
          <t>Prarie Sanctum</t>
        </is>
      </c>
      <c r="F31" s="907" t="inlineStr">
        <is>
          <t>15 CIV; 30% Glorium Yield</t>
        </is>
      </c>
    </row>
    <row r="32">
      <c r="A32" s="702" t="n">
        <v>31</v>
      </c>
      <c r="B32" s="702" t="inlineStr">
        <is>
          <t>The Age of Bronze</t>
        </is>
      </c>
      <c r="C32" s="907">
        <f>A32*28</f>
        <v/>
      </c>
      <c r="D32" s="908" t="inlineStr">
        <is>
          <t>Snail ATK +100, Snail Leadership +12, Demon minion ATK +12%, Per 5 Rift apostles dominated, Snail ATK +48; Rift Apostles Dominated: 60/60</t>
        </is>
      </c>
      <c r="E32" s="906" t="inlineStr">
        <is>
          <t>Rift</t>
        </is>
      </c>
      <c r="F32" s="907" t="inlineStr">
        <is>
          <t>600 ATK; 600 DEF; 600 RUSH</t>
        </is>
      </c>
    </row>
    <row r="33">
      <c r="A33" s="702" t="n">
        <v>32</v>
      </c>
      <c r="B33" s="702" t="inlineStr">
        <is>
          <t>The Argonauts</t>
        </is>
      </c>
      <c r="C33" s="907">
        <f>A33*28</f>
        <v/>
      </c>
      <c r="D33" s="908" t="inlineStr">
        <is>
          <t>Snail RUSH +100, Angel Minion DEF +12%, Per God Upgrade, Snail ATK +60, Per God Upgrade, Snail RUSH +60; God Upgrades: 10/10</t>
        </is>
      </c>
      <c r="E33" s="906" t="inlineStr">
        <is>
          <t>Minion Sim</t>
        </is>
      </c>
      <c r="F33" s="907" t="inlineStr">
        <is>
          <t>9% Troop DEF; 9% Troop RUSH; 1200 Troop Regen</t>
        </is>
      </c>
    </row>
    <row r="34">
      <c r="A34" s="702" t="n">
        <v>33</v>
      </c>
      <c r="B34" s="702" t="inlineStr">
        <is>
          <t>Poincare Conjecture Manuscript</t>
        </is>
      </c>
      <c r="C34" s="907">
        <f>A34*28</f>
        <v/>
      </c>
      <c r="D34" s="893" t="inlineStr">
        <is>
          <t>Snail RUSH +100, Minion skin RUSH +100%, Per 5 Protomons: Snail RUSH +36, Per 5 Epic Protodex Stars: Acolyte DMG +288; Protomons Obtained: 100/100</t>
        </is>
      </c>
      <c r="E34" s="894" t="inlineStr">
        <is>
          <t>Desert Sanctum</t>
        </is>
      </c>
      <c r="F34" s="892" t="inlineStr">
        <is>
          <t>15 TECH; 30% Glorium Yield</t>
        </is>
      </c>
    </row>
    <row r="35">
      <c r="A35" s="702" t="n">
        <v>34</v>
      </c>
      <c r="B35" s="702" t="inlineStr">
        <is>
          <t>Fenian Legends</t>
        </is>
      </c>
      <c r="C35" s="907">
        <f>A35*28</f>
        <v/>
      </c>
      <c r="D35" s="908" t="inlineStr">
        <is>
          <t>Snail Leadership +17, Minion RUSH +12%, Per 2000 Swamp Sanctum Score: Snail ATK +12; Swamp Sanctum Score: 100,000/100,000</t>
        </is>
      </c>
      <c r="E35" s="906" t="inlineStr">
        <is>
          <t>Swamp Sanctum</t>
        </is>
      </c>
      <c r="F35" s="907" t="inlineStr">
        <is>
          <t>15 CIV; 30% Glorium Yield</t>
        </is>
      </c>
    </row>
    <row r="36">
      <c r="A36" s="702" t="n">
        <v>35</v>
      </c>
      <c r="B36" s="702" t="inlineStr">
        <is>
          <t>Bencao Gangmu</t>
        </is>
      </c>
      <c r="C36" s="907">
        <f>A36*28</f>
        <v/>
      </c>
      <c r="D36" s="908" t="inlineStr">
        <is>
          <t>Minion Healing SPD +11%, Per 50 minions healed: Snail ATK +15, Per 50 minions healed: Devotee troop DMG +120; Minions Healed: 2000/2000</t>
        </is>
      </c>
      <c r="E36" s="906" t="inlineStr">
        <is>
          <t>Surf Clam</t>
        </is>
      </c>
      <c r="F36" s="907" t="inlineStr">
        <is>
          <t>15 FAME; 9% Troop HP; 9% Troop RUSH</t>
        </is>
      </c>
    </row>
    <row r="37">
      <c r="A37" s="702" t="n">
        <v>36</v>
      </c>
      <c r="B37" s="702" t="inlineStr">
        <is>
          <t>Blue Danube</t>
        </is>
      </c>
      <c r="C37" s="907">
        <f>A37*28</f>
        <v/>
      </c>
      <c r="D37" s="908" t="inlineStr">
        <is>
          <t>Minion Skin HP +100%; Per 2000 Swamp Sanctum Score, Priest-Snail assisance DMG +96; Per 2000 Swamp Sanctum Score, Priest-Troop assistance DMG +96; Swamp Sanctum Score: 100,000/100,000</t>
        </is>
      </c>
      <c r="E37" s="906" t="inlineStr">
        <is>
          <t>Kemet</t>
        </is>
      </c>
      <c r="F37" s="907" t="n"/>
    </row>
    <row r="38">
      <c r="A38" s="702" t="n">
        <v>37</v>
      </c>
      <c r="B38" s="702" t="inlineStr">
        <is>
          <t>Adam's Star</t>
        </is>
      </c>
      <c r="C38" s="907">
        <f>A38*28</f>
        <v/>
      </c>
      <c r="D38" s="908" t="inlineStr">
        <is>
          <t>Snail ATK +100; Zombie Minion RUSH +12%, Per 5 Mirage Gems, Snail ATK +12; Per 5 Mirage Gems, Snail DEF +12; Mirage Gems: 300/300</t>
        </is>
      </c>
      <c r="E38" s="906" t="inlineStr">
        <is>
          <t>Bharata</t>
        </is>
      </c>
      <c r="F38" s="907" t="n"/>
    </row>
    <row r="39">
      <c r="A39" s="702" t="n">
        <v>38</v>
      </c>
      <c r="B39" s="702" t="inlineStr">
        <is>
          <t>The Principia</t>
        </is>
      </c>
      <c r="C39" s="907">
        <f>A39*28</f>
        <v/>
      </c>
      <c r="D39" s="893" t="inlineStr">
        <is>
          <t>Snail Leadership +17, Mecha Minion DEF +12%; Per 1200 Gaia Tech Pts, Snail ATK +12; Gaia Tech Pts: 60,000/60,000</t>
        </is>
      </c>
      <c r="E39" s="894" t="inlineStr">
        <is>
          <t>Prarie Sanctum</t>
        </is>
      </c>
      <c r="F39" s="892" t="inlineStr">
        <is>
          <t>15 TECH; 30% Glorium Yield</t>
        </is>
      </c>
    </row>
    <row r="40">
      <c r="A40" s="702" t="n">
        <v>39</v>
      </c>
      <c r="B40" s="702" t="inlineStr">
        <is>
          <t>Death of the Virgin</t>
        </is>
      </c>
      <c r="C40" s="907">
        <f>A40*28</f>
        <v/>
      </c>
      <c r="D40" s="908" t="inlineStr">
        <is>
          <t>Quantum Amp Production +13.2%; Per 100 Recruitment Orders, Priest-Snail Assistence DMG +96; Per 100 Recruitment Orders, Priest-Troop Assistence DMG +96; Recruitment Orders: 5000/5000</t>
        </is>
      </c>
      <c r="E40" s="906" t="inlineStr">
        <is>
          <t>Rift</t>
        </is>
      </c>
      <c r="F40" s="907" t="inlineStr">
        <is>
          <t>15 ART; 6% Orange Reagent</t>
        </is>
      </c>
    </row>
    <row r="41">
      <c r="A41" s="702" t="n">
        <v>40</v>
      </c>
      <c r="B41" s="702" t="inlineStr">
        <is>
          <t>Don Juan</t>
        </is>
      </c>
      <c r="C41" s="907">
        <f>A41*28</f>
        <v/>
      </c>
      <c r="D41" s="908" t="inlineStr">
        <is>
          <t>Snail ATK +220; Per 60 T7+ Minions in Battle: Troop ATK +120; Per 60 T7+ Minions in Battle: Troop DEF +120</t>
        </is>
      </c>
      <c r="E41" s="906" t="inlineStr">
        <is>
          <t>Dung Beetle</t>
        </is>
      </c>
      <c r="F41" s="907" t="inlineStr">
        <is>
          <t>15 CIV; 9% Troop HP; 9% Troop ATK</t>
        </is>
      </c>
    </row>
    <row r="42">
      <c r="A42" s="702" t="n">
        <v>41</v>
      </c>
      <c r="B42" s="702" t="n"/>
      <c r="C42" s="907">
        <f>A42*28</f>
        <v/>
      </c>
      <c r="D42" s="908" t="n"/>
      <c r="E42" s="906" t="n"/>
      <c r="F42" s="907" t="n"/>
    </row>
    <row r="43">
      <c r="A43" s="702" t="n">
        <v>42</v>
      </c>
      <c r="B43" s="702" t="inlineStr">
        <is>
          <t>Draupnir</t>
        </is>
      </c>
      <c r="C43" s="907">
        <f>A43*28</f>
        <v/>
      </c>
      <c r="D43" s="908" t="inlineStr">
        <is>
          <t>Angel Minion ATK +12%; Per 60 T7+ Minions in battle: Troop DEF +220; Per FTH Bionic Part extracted, Snail ATK +60; FTH Bionic Part Extracted: 10/10</t>
        </is>
      </c>
      <c r="E43" s="906" t="inlineStr">
        <is>
          <t>Rift</t>
        </is>
      </c>
      <c r="F43" s="907" t="inlineStr">
        <is>
          <t>15 FTH; 6% White Cards; 6% Purple Cards</t>
        </is>
      </c>
    </row>
    <row r="44">
      <c r="A44" s="702" t="n">
        <v>43</v>
      </c>
      <c r="B44" s="702" t="inlineStr">
        <is>
          <t>Ram in a Thicket</t>
        </is>
      </c>
      <c r="C44" s="907">
        <f>A44*28</f>
        <v/>
      </c>
      <c r="D44" s="908" t="inlineStr">
        <is>
          <t>Snail RUSH +120; Per 60 T7+ Minions in battle: Troop ATK +220; Per 10 Rare Protomons Fused, Snail DEF +24; Rare Protomons Fused: 200/200</t>
        </is>
      </c>
      <c r="E44" s="906" t="inlineStr">
        <is>
          <t>Quantum Amp</t>
        </is>
      </c>
      <c r="F44" s="907" t="inlineStr">
        <is>
          <t>15 ART; 30% Production</t>
        </is>
      </c>
    </row>
    <row r="45">
      <c r="A45" s="702" t="n">
        <v>44</v>
      </c>
      <c r="B45" s="702" t="inlineStr">
        <is>
          <t>Wuthering Heights</t>
        </is>
      </c>
      <c r="C45" s="907">
        <f>A45*28</f>
        <v/>
      </c>
      <c r="D45" s="908" t="inlineStr">
        <is>
          <t>All minion skins RUSH +100%; Protomons assist Snail in battle, and deal extra DMG +1760; Per 3 Epic Protodex Entries, Snail HP +360; Epic Protodex Entries: 60/60</t>
        </is>
      </c>
      <c r="E45" s="906" t="inlineStr">
        <is>
          <t>Britland</t>
        </is>
      </c>
      <c r="F45" s="907" t="inlineStr">
        <is>
          <t>30 Medals</t>
        </is>
      </c>
    </row>
    <row r="46">
      <c r="A46" s="702" t="n">
        <v>45</v>
      </c>
      <c r="B46" s="702" t="inlineStr">
        <is>
          <t>Alexander's Sarcophagus</t>
        </is>
      </c>
      <c r="C46" s="907">
        <f>A46*28</f>
        <v/>
      </c>
      <c r="D46" s="908" t="inlineStr">
        <is>
          <t>Snail Leadership +12, Per 60 Minions in battle: Troop HP +2200, Per 5 Epic Protodex Stars, Snail DEF +36; Epic Protodex Stars: 100/100</t>
        </is>
      </c>
      <c r="E46" s="906" t="inlineStr">
        <is>
          <t>Hellas</t>
        </is>
      </c>
      <c r="F46" s="907" t="inlineStr">
        <is>
          <t>15 FAME</t>
        </is>
      </c>
    </row>
    <row r="47">
      <c r="A47" s="702" t="n">
        <v>46</v>
      </c>
      <c r="B47" s="702" t="inlineStr">
        <is>
          <t>Phase-Shift Spatial Gate</t>
        </is>
      </c>
      <c r="C47" s="907">
        <f>A47*28</f>
        <v/>
      </c>
      <c r="D47" s="908" t="inlineStr">
        <is>
          <t>Mecha Minion ATK +12%; Protomons assist Snail in battle, and deal extra DMG +1760; Per TECH Bionic Part Extracted, Snail HP +600; TECH Bionic Part Extracted: 10/10</t>
        </is>
      </c>
      <c r="E47" s="906" t="inlineStr">
        <is>
          <t>Surf Clam</t>
        </is>
      </c>
      <c r="F47" s="907" t="inlineStr">
        <is>
          <t>60 Earth DMG; 6% DMG Reduc; 9% RUSH</t>
        </is>
      </c>
    </row>
    <row r="48">
      <c r="A48" s="702" t="n">
        <v>47</v>
      </c>
      <c r="B48" s="702" t="inlineStr">
        <is>
          <t>Arianrhod's Wheel</t>
        </is>
      </c>
      <c r="C48" s="907">
        <f>A48*28</f>
        <v/>
      </c>
      <c r="D48" s="908" t="inlineStr">
        <is>
          <t>Dragon Minion RUSH +12%; Protomons assist Snail in battle, and deal extra DMG +1760; Per 60 T7+ Minions in battle: Troop HP +1200</t>
        </is>
      </c>
      <c r="E48" s="906" t="inlineStr">
        <is>
          <t>Rift</t>
        </is>
      </c>
      <c r="F48" s="907" t="inlineStr">
        <is>
          <t>15 FTH; 6% Orange Cards; 3% Dragon Orbs</t>
        </is>
      </c>
    </row>
    <row r="49">
      <c r="A49" s="702" t="n">
        <v>48</v>
      </c>
      <c r="B49" s="702" t="inlineStr">
        <is>
          <t>Ra-Hotep Couple</t>
        </is>
      </c>
      <c r="C49" s="907">
        <f>A49*28</f>
        <v/>
      </c>
      <c r="D49" s="908" t="inlineStr">
        <is>
          <t>Snail HP +2200; All Demon Minion Skins, HARD Stats +120%; Per 10 Rare Protomons fused, Snail ATK +24; Rare Protomons Fused: 200/200</t>
        </is>
      </c>
      <c r="E49" s="906" t="inlineStr">
        <is>
          <t>Hamster</t>
        </is>
      </c>
      <c r="F49" s="907" t="inlineStr">
        <is>
          <t>60 Wind DMG; 9% CRIT DMG; 60 Water DMG</t>
        </is>
      </c>
    </row>
    <row r="50">
      <c r="A50" s="702" t="n">
        <v>49</v>
      </c>
      <c r="B50" s="702" t="inlineStr">
        <is>
          <t>Anna Karenina</t>
        </is>
      </c>
      <c r="C50" s="907">
        <f>A50*28</f>
        <v/>
      </c>
      <c r="D50" s="908" t="inlineStr">
        <is>
          <t>Snail Leadership +17; Per 60 T7+ Minions in battle: Troop RUSH +120; Per 1000 Hellas Apostles Advanced, Snail ATK +36; Hellas Apostles Advanced: 20,000/20,000</t>
        </is>
      </c>
      <c r="E50" s="906" t="inlineStr">
        <is>
          <t>Quantum Amp</t>
        </is>
      </c>
      <c r="F50" s="907" t="inlineStr">
        <is>
          <t>15 CIV; 15% Production; 15% Nebula Shards</t>
        </is>
      </c>
    </row>
    <row r="51">
      <c r="A51" s="702" t="n">
        <v>50</v>
      </c>
      <c r="B51" s="702" t="inlineStr">
        <is>
          <t>Charlemange Crown</t>
        </is>
      </c>
      <c r="C51" s="907">
        <f>A51*28</f>
        <v/>
      </c>
      <c r="D51" s="908" t="inlineStr">
        <is>
          <t>Snail ATK +220; Zombie Minion ATK +12%; Per 5 Epic Protodex Stars, Snail DEF +36; Epic Protodex Stars: 100/100</t>
        </is>
      </c>
      <c r="E51" s="906" t="inlineStr">
        <is>
          <t>Rift</t>
        </is>
      </c>
      <c r="F51" s="907" t="inlineStr">
        <is>
          <t>300 Fire DMG; 6% Btads; 3% Incense</t>
        </is>
      </c>
    </row>
    <row r="52">
      <c r="A52" s="702" t="n">
        <v>51</v>
      </c>
      <c r="B52" s="702" t="inlineStr">
        <is>
          <t>Infin. Improb. Eng.</t>
        </is>
      </c>
      <c r="C52" s="907">
        <f>A52*28</f>
        <v/>
      </c>
      <c r="D52" s="908" t="inlineStr">
        <is>
          <t>Snail DEF +120; Per 60 T7+ Minions in battle: Troop ATK +220; Per 3 Epic Protodex Entries, Snail ATK +36; Epic Protodex Entries: 60/60</t>
        </is>
      </c>
      <c r="E52" s="906" t="inlineStr">
        <is>
          <t>Quantum Amp</t>
        </is>
      </c>
      <c r="F52" s="907" t="inlineStr">
        <is>
          <t>15 TECH; 15% Production</t>
        </is>
      </c>
    </row>
    <row r="53">
      <c r="A53" s="702" t="n">
        <v>52</v>
      </c>
      <c r="B53" s="702" t="inlineStr">
        <is>
          <t>Feather of Justice</t>
        </is>
      </c>
      <c r="C53" s="907">
        <f>A53*28</f>
        <v/>
      </c>
      <c r="D53" s="908" t="inlineStr">
        <is>
          <t>Angel Minion DEF +12%; Protomons assist Troop in battle, and deal extra DMG +1760; Per 10 Rare Protomons fused, Snail RUSH +24; Rare Protomons Fused: 200/200</t>
        </is>
      </c>
      <c r="E53" s="906" t="inlineStr">
        <is>
          <t>Rift</t>
        </is>
      </c>
      <c r="F53" s="907" t="inlineStr">
        <is>
          <t>600 ATK; 6% INTEL; 300 Earth DMG</t>
        </is>
      </c>
    </row>
    <row r="54">
      <c r="A54" s="702" t="n">
        <v>53</v>
      </c>
      <c r="B54" s="702" t="inlineStr">
        <is>
          <t>Arnolfini Portrait</t>
        </is>
      </c>
      <c r="C54" s="907">
        <f>A54*28</f>
        <v/>
      </c>
      <c r="D54" s="908" t="inlineStr">
        <is>
          <t>Snail Leadership +17; Per 60 T7+ Minions in battle: Troop HP +1200; Per ART Bionic Part Extracted, Snail DEF +60; ART Bionic Part Extracted: 10/10</t>
        </is>
      </c>
      <c r="E54" s="906" t="inlineStr">
        <is>
          <t>Mantis</t>
        </is>
      </c>
      <c r="F54" s="907" t="inlineStr">
        <is>
          <t>60 Earth DMG; 9% HP; 60 Wind DMG</t>
        </is>
      </c>
    </row>
    <row r="55">
      <c r="A55" s="702" t="n">
        <v>54</v>
      </c>
      <c r="B55" s="702" t="inlineStr">
        <is>
          <t>Poetics-Aristotle</t>
        </is>
      </c>
      <c r="C55" s="907">
        <f>A55*28</f>
        <v/>
      </c>
      <c r="D55" s="908" t="inlineStr">
        <is>
          <t>Mutant Minion ATK +12%; Protomons assist Snail in battle, and deal extra DMG +1760; Per 1,000 Hellas Apostles advanced, Snail RUSH +36; Hellas Apostles Advanced: 20,000/20,000</t>
        </is>
      </c>
      <c r="E55" s="906" t="inlineStr">
        <is>
          <t>Hellas</t>
        </is>
      </c>
      <c r="F55" s="907" t="inlineStr">
        <is>
          <t>15 CIV; 30 Medals</t>
        </is>
      </c>
    </row>
    <row r="56">
      <c r="A56" s="702" t="n">
        <v>55</v>
      </c>
      <c r="B56" s="702" t="inlineStr">
        <is>
          <t>History</t>
        </is>
      </c>
      <c r="C56" s="907">
        <f>A56*28</f>
        <v/>
      </c>
      <c r="D56" s="908" t="inlineStr">
        <is>
          <t>Snail DEF +220; All Angel Minion Skins, HARD Stats +120%; Per 3 Epic Protomons fused, Snail RUSH +36; Epic Protomons Fused: 60/60</t>
        </is>
      </c>
      <c r="E56" s="906" t="inlineStr">
        <is>
          <t>Hellas</t>
        </is>
      </c>
      <c r="F56" s="907" t="inlineStr">
        <is>
          <t>15 FAME</t>
        </is>
      </c>
    </row>
    <row r="57">
      <c r="A57" s="702" t="n">
        <v>56</v>
      </c>
      <c r="B57" s="702" t="inlineStr">
        <is>
          <t>Serenade for Strings in G Major</t>
        </is>
      </c>
      <c r="C57" s="907">
        <f>A57*28</f>
        <v/>
      </c>
      <c r="D57" s="908" t="inlineStr">
        <is>
          <t>Snail DEF +220; Per 60 T7+ Minions in Battle: Troop DEF +120; Per 3 Distinct Souls Offered, Priest-Troop Assistence DMG +48, Distinct Souls Offered: 300/300</t>
        </is>
      </c>
      <c r="E57" s="906" t="inlineStr">
        <is>
          <t>Prarie Sanctum</t>
        </is>
      </c>
      <c r="F57" s="907" t="inlineStr">
        <is>
          <t>15 ART; 30% Divine Crystal Yield</t>
        </is>
      </c>
    </row>
    <row r="58">
      <c r="A58" s="702" t="n">
        <v>57</v>
      </c>
      <c r="B58" s="702" t="inlineStr">
        <is>
          <t>The Brothers Karamazov</t>
        </is>
      </c>
      <c r="C58" s="907">
        <f>A58*28</f>
        <v/>
      </c>
      <c r="D58" s="908" t="inlineStr">
        <is>
          <t>Snail Leadership +17; Mutant Minion Skin HARD Stats +120%; Per 5 CIV Relics Awakened, Snail ATK +36, CIV Relics Awakened: 100/100</t>
        </is>
      </c>
      <c r="E58" s="906" t="inlineStr">
        <is>
          <t>Rift</t>
        </is>
      </c>
      <c r="F58" s="907" t="inlineStr">
        <is>
          <t>15 CIV; 6% 2x INTEL; 6% 2x Btads</t>
        </is>
      </c>
    </row>
    <row r="59">
      <c r="A59" s="702" t="n">
        <v>58</v>
      </c>
      <c r="B59" s="702" t="inlineStr">
        <is>
          <t>Comprehensive Nuclear-Test-Ban Treaty</t>
        </is>
      </c>
      <c r="C59" s="907">
        <f>A59*28</f>
        <v/>
      </c>
      <c r="D59" s="908" t="inlineStr">
        <is>
          <t>Snail HP +1200; Zombie Minion RUSH +12%; Protomon assist Troop in battle, extra DMG +1760</t>
        </is>
      </c>
      <c r="E59" s="906" t="inlineStr">
        <is>
          <t>Mantis</t>
        </is>
      </c>
      <c r="F59" s="907" t="inlineStr">
        <is>
          <t>9% Troop RUSH; 6% CRIT DMG; 60 Wind DMG</t>
        </is>
      </c>
    </row>
    <row r="60">
      <c r="A60" s="702" t="n">
        <v>59</v>
      </c>
      <c r="B60" s="702" t="inlineStr">
        <is>
          <t>Chacmool Statue</t>
        </is>
      </c>
      <c r="C60" s="907">
        <f>A60*28</f>
        <v/>
      </c>
      <c r="D60" s="908" t="inlineStr">
        <is>
          <t>Per 60 T7+ Minions in Battle: Troop ATK +220; Per CIV Bionic Part Extracted, Snail ATK +60; Per CIV Bionic Part Exctracted, Priest-Troop Assistence DMG + 576; CIV Bionic Parts: 10/10</t>
        </is>
      </c>
      <c r="E60" s="906" t="inlineStr">
        <is>
          <t>Dung Beetle</t>
        </is>
      </c>
      <c r="F60" s="907" t="inlineStr">
        <is>
          <t>6% DMG Reduc; 9% CRIT DMG; 60 Earth DMG</t>
        </is>
      </c>
    </row>
    <row r="61">
      <c r="A61" s="702" t="n">
        <v>60</v>
      </c>
      <c r="B61" s="702" t="inlineStr">
        <is>
          <t>Hans Christian Andersen Award</t>
        </is>
      </c>
      <c r="C61" s="907">
        <f>A61*28</f>
        <v/>
      </c>
      <c r="D61" s="908" t="inlineStr">
        <is>
          <t>Snail RUSH +220; Zombie Minion HARD Stats +120%; Per 3 Minion Skins Crafted, Snail RUSH +36; Minion Skins Crafted: 60/60</t>
        </is>
      </c>
      <c r="E61" s="906" t="inlineStr">
        <is>
          <t>Desert Sanctum</t>
        </is>
      </c>
      <c r="F61" s="907" t="inlineStr">
        <is>
          <t>15 FAME; 30% Divine Crystal Yield</t>
        </is>
      </c>
    </row>
    <row r="62">
      <c r="A62" s="702" t="n">
        <v>61</v>
      </c>
      <c r="B62" s="702" t="inlineStr">
        <is>
          <t>Atrahasis</t>
        </is>
      </c>
      <c r="C62" s="907">
        <f>A62*28</f>
        <v/>
      </c>
      <c r="D62" s="908" t="inlineStr">
        <is>
          <t>Snail Leadership +12; All Minion Skin DEF +100%; Per 3 Minion Skins Crafted, Snail RUSH +36; Minion Skins Crafted: 60/60; Snail RUSH +100</t>
        </is>
      </c>
      <c r="E62" s="906" t="inlineStr">
        <is>
          <t>Rift</t>
        </is>
      </c>
      <c r="F62" s="907" t="inlineStr">
        <is>
          <t>15 FTH; 30 Medals; 6% Blue Reagents</t>
        </is>
      </c>
    </row>
    <row r="63">
      <c r="A63" s="702" t="n">
        <v>62</v>
      </c>
      <c r="B63" s="702" t="inlineStr">
        <is>
          <t>The Kiss</t>
        </is>
      </c>
      <c r="C63" s="907">
        <f>A63*28</f>
        <v/>
      </c>
      <c r="D63" s="908" t="inlineStr">
        <is>
          <t>Demon Minion ATK +12%; Per 5 ART Relics Awakened, Snail ATK +36, Per 5 ART Relics Awakened, Priest-Snail assistence DMG +288, ART Relics Awakened: 100/100, Protomon assist Troop in battle, extra DMG +800</t>
        </is>
      </c>
      <c r="E63" s="906" t="inlineStr">
        <is>
          <t>Goldfish</t>
        </is>
      </c>
      <c r="F63" s="907" t="inlineStr">
        <is>
          <t>9% Troop CRIT; 6% Hero DMG; 60 Water RES</t>
        </is>
      </c>
    </row>
    <row r="64">
      <c r="A64" s="702" t="n">
        <v>63</v>
      </c>
      <c r="B64" s="702" t="inlineStr">
        <is>
          <t>World Trade Agreement</t>
        </is>
      </c>
      <c r="C64" s="907">
        <f>A64*28</f>
        <v/>
      </c>
      <c r="D64" s="908" t="inlineStr">
        <is>
          <t>Per 60 T7+ Minions in Battle: Troop RUSH +220; Per 2 FAME Master Scrolls Opened, Snail DEF +12; Per 2 FAME Master Scrolls Opened, Priest-Snail Assistence DMG + 960; FAME Master Scrolls: 100/100</t>
        </is>
      </c>
      <c r="E64" s="906" t="inlineStr">
        <is>
          <t>Rift</t>
        </is>
      </c>
      <c r="F64" s="907" t="inlineStr">
        <is>
          <t>15 FAME; 6% Blue Cards; 6% Orange Cards</t>
        </is>
      </c>
    </row>
    <row r="65">
      <c r="A65" s="702" t="n">
        <v>64</v>
      </c>
      <c r="B65" s="702" t="inlineStr">
        <is>
          <t>Kinkaku-Ji Model</t>
        </is>
      </c>
      <c r="C65" s="907">
        <f>A65*28</f>
        <v/>
      </c>
      <c r="D65" s="908" t="inlineStr">
        <is>
          <t>Snail Leadership +17; Mutant Minion DEF +12%; Per Mutant Tier Upgraded, Snail HP +720; Mutant Tier 9/9</t>
        </is>
      </c>
      <c r="E65" s="906" t="inlineStr">
        <is>
          <t>Yamato</t>
        </is>
      </c>
      <c r="F65" s="907" t="inlineStr">
        <is>
          <t>15 CIV; 3000 Btads</t>
        </is>
      </c>
    </row>
    <row r="66">
      <c r="A66" s="702" t="n">
        <v>65</v>
      </c>
      <c r="B66" s="702" t="inlineStr">
        <is>
          <t>Jin Hou Bird Zun</t>
        </is>
      </c>
      <c r="C66" s="907">
        <f>A66*28</f>
        <v/>
      </c>
      <c r="D66" s="908" t="inlineStr">
        <is>
          <t>Per 60 T7+ Minions in Battle: Troop ATK +220; Per 5 Epic Protodex Stars, Snail ATK +36; Per 5 Epic Protodex Stars, Priest-Troop assistence DMG +288; Epic Protodex Stars: 100/100</t>
        </is>
      </c>
      <c r="E66" s="906" t="inlineStr">
        <is>
          <t>Cathay</t>
        </is>
      </c>
      <c r="F66" s="907" t="inlineStr">
        <is>
          <t>30 Medals; 15 ART</t>
        </is>
      </c>
    </row>
    <row r="67">
      <c r="A67" s="702" t="inlineStr">
        <is>
          <t>??</t>
        </is>
      </c>
      <c r="B67" s="702" t="inlineStr">
        <is>
          <t>Zeno's Paradoxes</t>
        </is>
      </c>
      <c r="C67" s="907" t="inlineStr">
        <is>
          <t>??</t>
        </is>
      </c>
      <c r="D67" s="908" t="inlineStr">
        <is>
          <t>Snail Leadership +17; All Mecha Minion Skins, HARD Stats +120%; Per 3 Minion Skins crafted, Snail ATK +24; Minion Skins crafted: 90/90</t>
        </is>
      </c>
      <c r="E67" s="906" t="inlineStr">
        <is>
          <t>Hamster</t>
        </is>
      </c>
      <c r="F67" s="907" t="inlineStr">
        <is>
          <t>6% DMG REDUC</t>
        </is>
      </c>
    </row>
    <row r="68">
      <c r="A68" s="702" t="inlineStr">
        <is>
          <t>??</t>
        </is>
      </c>
      <c r="B68" s="702" t="inlineStr">
        <is>
          <t>Rainbow Feathered Robe</t>
        </is>
      </c>
      <c r="C68" s="907" t="inlineStr">
        <is>
          <t>??</t>
        </is>
      </c>
      <c r="D68" s="908" t="inlineStr">
        <is>
          <t>Snail Leadership +17; Zombie Minion ATK +12%; Per Zombie Form Tier, Snail ATK +60; Zombie Form Tiers: 9/9</t>
        </is>
      </c>
      <c r="E68" s="906" t="inlineStr">
        <is>
          <t>Kemet</t>
        </is>
      </c>
      <c r="F68" s="907" t="inlineStr">
        <is>
          <t>30 Medals; 15 FAME</t>
        </is>
      </c>
    </row>
    <row r="69">
      <c r="A69" s="702" t="inlineStr">
        <is>
          <t>??</t>
        </is>
      </c>
      <c r="B69" s="702" t="inlineStr">
        <is>
          <t>Madame Bovary</t>
        </is>
      </c>
      <c r="C69" s="907" t="inlineStr">
        <is>
          <t>??</t>
        </is>
      </c>
      <c r="D69" s="908" t="inlineStr">
        <is>
          <t>Angel Minion RUSH +12%; Per 60 T8+ Minions deployed, Troop HP +2640; Per Angel Form Tier, Snail RUSH +60; Angel Form Tiers: 9/9</t>
        </is>
      </c>
      <c r="E69" s="906" t="inlineStr">
        <is>
          <t>Rift</t>
        </is>
      </c>
      <c r="F69" s="907" t="inlineStr">
        <is>
          <t>15 CIV; 6% Orange Cards; 3% Dragon Orbs</t>
        </is>
      </c>
    </row>
    <row r="70">
      <c r="A70" s="702" t="inlineStr">
        <is>
          <t>??</t>
        </is>
      </c>
      <c r="B70" s="702" t="inlineStr">
        <is>
          <t>Of Human Bondage</t>
        </is>
      </c>
      <c r="C70" s="907" t="inlineStr">
        <is>
          <t>??</t>
        </is>
      </c>
      <c r="D70" s="908" t="inlineStr">
        <is>
          <t>Snail Leadership +17; Demon Minion RUSH +12%; Per Demon Form Tier, Snail ATK +60; Demon Form Tiers: 9/9</t>
        </is>
      </c>
      <c r="E70" s="906" t="inlineStr">
        <is>
          <t>Dung Beetle</t>
        </is>
      </c>
      <c r="F70" s="907" t="inlineStr">
        <is>
          <t>9% CRIT; 6% Hero DMG</t>
        </is>
      </c>
    </row>
    <row r="71">
      <c r="A71" s="702" t="n"/>
      <c r="B71" s="702" t="n"/>
      <c r="C71" s="907" t="n"/>
      <c r="D71" s="908" t="n"/>
      <c r="E71" s="906" t="n"/>
      <c r="F71" s="907" t="n"/>
    </row>
    <row r="72">
      <c r="A72" s="738" t="n"/>
      <c r="B72" s="738" t="n"/>
      <c r="C72" s="738" t="n"/>
      <c r="D72" s="738" t="n"/>
      <c r="E72" s="738" t="n"/>
      <c r="F72" s="738" t="n"/>
    </row>
    <row r="73"/>
    <row r="74"/>
    <row r="75"/>
    <row r="76"/>
    <row r="77"/>
    <row r="78"/>
    <row r="79">
      <c r="A79" s="895" t="inlineStr">
        <is>
          <t>Order</t>
        </is>
      </c>
      <c r="B79" s="853" t="inlineStr">
        <is>
          <t>Silver Pack Relic</t>
        </is>
      </c>
      <c r="C79" s="685" t="inlineStr">
        <is>
          <t>(Days)</t>
        </is>
      </c>
      <c r="D79" s="738" t="inlineStr">
        <is>
          <t>Passive</t>
        </is>
      </c>
      <c r="E79" s="738" t="inlineStr">
        <is>
          <t>Stamp Type</t>
        </is>
      </c>
      <c r="F79" s="685" t="inlineStr">
        <is>
          <t>Notable Stamps</t>
        </is>
      </c>
    </row>
    <row r="80">
      <c r="A80" s="905" t="n">
        <v>1</v>
      </c>
      <c r="B80" s="702" t="inlineStr">
        <is>
          <t>Aladdin's Carpet</t>
        </is>
      </c>
      <c r="C80" s="907">
        <f>A80*(280/2)</f>
        <v/>
      </c>
      <c r="D80" s="908" t="inlineStr">
        <is>
          <t>Snail ATK +120, When offering, 2x Divine Chest Drops +17%, Per 5 Daily Silver Packs bought, Snail ATK +30; Daily Silver Packs Bought: 150/150</t>
        </is>
      </c>
      <c r="E80" s="906" t="inlineStr">
        <is>
          <t>Yamato</t>
        </is>
      </c>
      <c r="F80" s="907" t="inlineStr">
        <is>
          <t>15 CIV; 30 Medals; -300 Master Scroll Cost</t>
        </is>
      </c>
    </row>
    <row r="81">
      <c r="A81" s="905" t="n">
        <v>2</v>
      </c>
      <c r="B81" s="702" t="inlineStr">
        <is>
          <t>Caesar Statue</t>
        </is>
      </c>
      <c r="C81" s="907">
        <f>A81*(280/2)</f>
        <v/>
      </c>
      <c r="D81" s="908" t="inlineStr">
        <is>
          <t>Snail ATK +220, Per Realm conquered, Snail HP +1,400, Per Realm Conquered, Snail ATK +140; Realms Conquered: 8/8</t>
        </is>
      </c>
      <c r="E81" s="906" t="inlineStr">
        <is>
          <t>Hellas</t>
        </is>
      </c>
      <c r="F81" s="907" t="inlineStr">
        <is>
          <t>15 ART; 15% Btad</t>
        </is>
      </c>
    </row>
    <row r="82">
      <c r="A82" s="905" t="n">
        <v>3</v>
      </c>
      <c r="B82" s="702" t="inlineStr">
        <is>
          <t>Bronze Shiva Statue</t>
        </is>
      </c>
      <c r="C82" s="907">
        <f>A82*(280/2)</f>
        <v/>
      </c>
      <c r="D82" s="908" t="inlineStr">
        <is>
          <t>Snail ATK +220, When offering, 2x Chaos Chest Drops +12%, Troop CRIT +5%</t>
        </is>
      </c>
      <c r="E82" s="906" t="inlineStr">
        <is>
          <t>Bharata</t>
        </is>
      </c>
      <c r="F82" s="907" t="inlineStr">
        <is>
          <t>30 Medals</t>
        </is>
      </c>
    </row>
    <row r="83">
      <c r="A83" s="905" t="n">
        <v>4</v>
      </c>
      <c r="B83" s="702" t="inlineStr">
        <is>
          <t>Antimatter Bomb</t>
        </is>
      </c>
      <c r="C83" s="907">
        <f>A83*(280/2)</f>
        <v/>
      </c>
      <c r="D83" s="908" t="inlineStr">
        <is>
          <t>Snail ATK +220, Per 10 Apostles dominated, Snail ATK +60, Per 10 Apostles dominated, Snail RUSH +60; Apostles Dominated: 200/200</t>
        </is>
      </c>
      <c r="E83" s="906" t="inlineStr">
        <is>
          <t>Goldfish</t>
        </is>
      </c>
      <c r="F83" s="907" t="inlineStr">
        <is>
          <t>9% Troop RUSH; 6% Hero DMG; 15 All ELMT DMG</t>
        </is>
      </c>
    </row>
    <row r="84">
      <c r="A84" s="905" t="n">
        <v>5</v>
      </c>
      <c r="B84" s="702" t="inlineStr">
        <is>
          <t>War and Peace</t>
        </is>
      </c>
      <c r="C84" s="907">
        <f>A84*(280/2)</f>
        <v/>
      </c>
      <c r="D84" s="908" t="inlineStr">
        <is>
          <t>Snail Leadership +25, All Minion ATK +3.6%, All Minion RUSH +3.6%</t>
        </is>
      </c>
      <c r="E84" s="906" t="inlineStr">
        <is>
          <t>Rift</t>
        </is>
      </c>
      <c r="F84" s="907" t="inlineStr">
        <is>
          <t>600 ATK; 600 DEF; 6% Food</t>
        </is>
      </c>
    </row>
    <row r="85">
      <c r="A85" s="905" t="n">
        <v>6</v>
      </c>
      <c r="B85" s="702" t="inlineStr">
        <is>
          <t>Untitled</t>
        </is>
      </c>
      <c r="C85" s="907">
        <f>A85*(280/2)</f>
        <v/>
      </c>
      <c r="D85" s="908" t="inlineStr">
        <is>
          <t>When refining, +22% chance for White Building Materials to turn into Green, Per 20 Wormhole Refiners, Snail ATK +24, Per 20 Wormhole Refiners, Snail RUSH +24; 800/800 Wormhole Refiner</t>
        </is>
      </c>
      <c r="E85" s="906" t="inlineStr">
        <is>
          <t>Rift</t>
        </is>
      </c>
      <c r="F85" s="907" t="inlineStr">
        <is>
          <t>600 ATK; 15% Cells; 6% Cards</t>
        </is>
      </c>
    </row>
    <row r="86">
      <c r="A86" s="905" t="n">
        <v>7</v>
      </c>
      <c r="B86" s="702" t="inlineStr">
        <is>
          <t>Avesta</t>
        </is>
      </c>
      <c r="C86" s="907">
        <f>A86*(280/2)</f>
        <v/>
      </c>
      <c r="D86" s="908" t="inlineStr">
        <is>
          <t>Mutant Minion ATK +12%, Per 60 Minions in battle: Troop HARD Stats +60, Per 5 Mutant Gene LVLs, Snail ATK +42; Mutant Gene LVLs Researched: 150/150</t>
        </is>
      </c>
      <c r="E86" s="906" t="inlineStr">
        <is>
          <t>Mantis</t>
        </is>
      </c>
      <c r="F86" s="907" t="inlineStr">
        <is>
          <t>15 FTH; 6% Troop DMG Reduc; 60 Fire DMG</t>
        </is>
      </c>
    </row>
    <row r="87">
      <c r="A87" s="905" t="n">
        <v>8</v>
      </c>
      <c r="B87" s="702" t="inlineStr">
        <is>
          <t>Bill of Rights</t>
        </is>
      </c>
      <c r="C87" s="907">
        <f>A87*(280/2)</f>
        <v/>
      </c>
      <c r="D87" s="908" t="inlineStr">
        <is>
          <t>Snail Leadership +25, Demon Minion ATK +12%, Per 50 Daily Silver Packs bought, Snail ATK +48; Daily Silver Packs Bought: 1000/1000</t>
        </is>
      </c>
      <c r="E87" s="906" t="inlineStr">
        <is>
          <t>Rift</t>
        </is>
      </c>
      <c r="F87" s="907" t="inlineStr">
        <is>
          <t>15 FAME; 6% Orange Reagents; 600 Extra RUSH</t>
        </is>
      </c>
    </row>
    <row r="88">
      <c r="A88" s="905" t="n">
        <v>9</v>
      </c>
      <c r="B88" s="702" t="inlineStr">
        <is>
          <t>Chicago Pile-1</t>
        </is>
      </c>
      <c r="C88" s="907">
        <f>A88*(280/2)</f>
        <v/>
      </c>
      <c r="D88" s="908" t="inlineStr">
        <is>
          <t>Snail ATK +100, When catalyzing spores, 1.2% chance to convert blue to purple, Per 10000 Sanctum Points, Snail ATK +20, Per 10000 Sanctum Points, Devotee troop DMG +160, Sanctum Points: 500,000/500,000</t>
        </is>
      </c>
      <c r="E88" s="906" t="inlineStr">
        <is>
          <t>Rift</t>
        </is>
      </c>
      <c r="F88" s="907" t="inlineStr">
        <is>
          <t>6% Blue Cards; 6% Purple Cards; 6% Orange Cards</t>
        </is>
      </c>
    </row>
    <row r="89">
      <c r="A89" s="905" t="n">
        <v>10</v>
      </c>
      <c r="B89" s="702" t="inlineStr">
        <is>
          <t>Treatise on the Great</t>
        </is>
      </c>
      <c r="C89" s="907">
        <f>A89*(280/2)</f>
        <v/>
      </c>
      <c r="D89" s="908" t="inlineStr">
        <is>
          <t xml:space="preserve">Snail ATK +100, Dragon Minion ATK +12%, Minion Skin DEF +100%, Per 50 minions cloned, Snail ATK +24; Minions Cloned: 2000/2000 </t>
        </is>
      </c>
      <c r="E89" s="906" t="inlineStr">
        <is>
          <t>Arctic Sanctum</t>
        </is>
      </c>
      <c r="F89" s="907" t="inlineStr">
        <is>
          <t>15 FTH; 30% Divine Crystal Yield</t>
        </is>
      </c>
    </row>
    <row r="90">
      <c r="A90" s="905" t="n">
        <v>11</v>
      </c>
      <c r="B90" s="702" t="inlineStr">
        <is>
          <t>Apollo Program</t>
        </is>
      </c>
      <c r="C90" s="907">
        <f>A90*(280/2)</f>
        <v/>
      </c>
      <c r="D90" s="908" t="inlineStr">
        <is>
          <t>Snail Leadership +25; Zombie Minion DEF +12%, Per orange brand case opened: Snail ATK +20; Orange Brand Cases Opened: 50/50</t>
        </is>
      </c>
      <c r="E90" s="906" t="inlineStr">
        <is>
          <t>Rift</t>
        </is>
      </c>
      <c r="F90" s="907" t="inlineStr">
        <is>
          <t>15 FAME; 6% Orange Reagents; Wind DMG +300</t>
        </is>
      </c>
    </row>
    <row r="91">
      <c r="A91" s="905" t="n">
        <v>12</v>
      </c>
      <c r="B91" s="702" t="inlineStr">
        <is>
          <t>Chemical Bond Theory</t>
        </is>
      </c>
      <c r="C91" s="907">
        <f>A91*(280/2)</f>
        <v/>
      </c>
      <c r="D91" s="908" t="inlineStr">
        <is>
          <t>Per 60 T7+ Minions in battle: Troop HARD Stats +88; All Mecha Minion Skins, HARD Stats +120%; Per 5 TECH Relics Awakened, Snail ATK +48; TECH Relics Awakened: 100/100</t>
        </is>
      </c>
      <c r="E91" s="906" t="inlineStr">
        <is>
          <t>Murika</t>
        </is>
      </c>
      <c r="F91" s="907" t="inlineStr">
        <is>
          <t>15 TECH; 30 Medals</t>
        </is>
      </c>
    </row>
    <row r="92">
      <c r="A92" s="905" t="n">
        <v>13</v>
      </c>
      <c r="B92" s="702" t="inlineStr">
        <is>
          <t>Marilyn Diptych</t>
        </is>
      </c>
      <c r="C92" s="907">
        <f>A92*(280/2)</f>
        <v/>
      </c>
      <c r="D92" s="908" t="inlineStr">
        <is>
          <t>All Sanctum Divine Crystal Output +6%; Demon Minion HP +12%; Per 50 Daily Silver Packs bought, Snail ATK +12; Daily Silver Packs Bought: 4,000/4,000; Snail ATK +100</t>
        </is>
      </c>
      <c r="E92" s="906" t="inlineStr">
        <is>
          <t>Rift</t>
        </is>
      </c>
      <c r="F92" s="907" t="inlineStr">
        <is>
          <t>15 ART; 6% Orange Cards; 6% INTEL</t>
        </is>
      </c>
    </row>
    <row r="93">
      <c r="A93" s="897" t="n">
        <v>14</v>
      </c>
      <c r="B93" s="1092" t="inlineStr">
        <is>
          <t>Tyet</t>
        </is>
      </c>
      <c r="C93" s="909">
        <f>A93*(280/2)</f>
        <v/>
      </c>
      <c r="D93" s="898" t="inlineStr">
        <is>
          <t>Catalyzed Green Spores turn to Blue by +1.2%; Snail Leadership +25; Per 500 Catalysis, Snail ATK +24; Catalysis: 20,000/20,000</t>
        </is>
      </c>
      <c r="E93" s="706" t="inlineStr">
        <is>
          <t>Rift</t>
        </is>
      </c>
      <c r="F93" s="909" t="inlineStr">
        <is>
          <t>15 FTH; 3% Dragon Orbs; 300 Water DMG</t>
        </is>
      </c>
    </row>
    <row r="94"/>
    <row r="95"/>
    <row r="96"/>
    <row r="97"/>
    <row r="98">
      <c r="A98" s="895" t="inlineStr">
        <is>
          <t>Order</t>
        </is>
      </c>
      <c r="B98" s="853" t="inlineStr">
        <is>
          <t>Gold Pack Relic</t>
        </is>
      </c>
      <c r="C98" s="685" t="inlineStr">
        <is>
          <t>(Days)</t>
        </is>
      </c>
      <c r="D98" s="738" t="inlineStr">
        <is>
          <t>Passive</t>
        </is>
      </c>
      <c r="E98" s="738" t="inlineStr">
        <is>
          <t>Stamp Type</t>
        </is>
      </c>
      <c r="F98" s="685" t="inlineStr">
        <is>
          <t>Notable Stamps</t>
        </is>
      </c>
    </row>
    <row r="99">
      <c r="A99" s="905" t="n">
        <v>1</v>
      </c>
      <c r="B99" s="702" t="inlineStr">
        <is>
          <t>Fire Chalice</t>
        </is>
      </c>
      <c r="C99" s="907">
        <f>A99*280</f>
        <v/>
      </c>
      <c r="D99" s="908" t="inlineStr">
        <is>
          <t>In Dragon Form, Fire DMG +320, When crafting an Orange Reagent, +15% to get +1, Per 5 Gold Daily Packs bought, Snail ATK +20; Gold Daily Packs: 300/300</t>
        </is>
      </c>
      <c r="E99" s="906" t="inlineStr">
        <is>
          <t>Arena</t>
        </is>
      </c>
      <c r="F99" s="907" t="inlineStr">
        <is>
          <t>600 Fire DMG; 600 Wind DMG; 30% CRIT DMG</t>
        </is>
      </c>
    </row>
    <row r="100">
      <c r="A100" s="905" t="n">
        <v>2</v>
      </c>
      <c r="B100" s="702" t="inlineStr">
        <is>
          <t>Impression, Sunrise</t>
        </is>
      </c>
      <c r="C100" s="907">
        <f>A100*280</f>
        <v/>
      </c>
      <c r="D100" s="908" t="inlineStr">
        <is>
          <t>In Dragon Form, Crit DMG +22%, Per 5 ART Relics awakened, Snail ATK +24, Per 5 ART Relics awakened, Snail RUSH +24; ART Relics Awakened: 100/100</t>
        </is>
      </c>
      <c r="E100" s="906" t="inlineStr">
        <is>
          <t>Gene Sim</t>
        </is>
      </c>
      <c r="F100" s="907" t="inlineStr">
        <is>
          <t>15 ART; 600 Fire DMG; 600 Water DMG</t>
        </is>
      </c>
    </row>
    <row r="101">
      <c r="A101" s="905" t="n">
        <v>3</v>
      </c>
      <c r="B101" s="702" t="inlineStr">
        <is>
          <t>Higg's Boson</t>
        </is>
      </c>
      <c r="C101" s="907">
        <f>A101*280</f>
        <v/>
      </c>
      <c r="D101" s="908" t="inlineStr">
        <is>
          <t>Snail Leadership +40, Dragon Minion ATK +12%, Dragon Minion DEF +12%</t>
        </is>
      </c>
      <c r="E101" s="906" t="inlineStr">
        <is>
          <t>Rift</t>
        </is>
      </c>
      <c r="F101" s="907" t="inlineStr">
        <is>
          <t>15 TECH; 6% Cells; 300 Wind DMG</t>
        </is>
      </c>
    </row>
    <row r="102">
      <c r="A102" s="905" t="n">
        <v>4</v>
      </c>
      <c r="B102" s="906" t="inlineStr">
        <is>
          <t>Potsdam Declaration</t>
        </is>
      </c>
      <c r="C102" s="907">
        <f>A102*280</f>
        <v/>
      </c>
      <c r="D102" s="908" t="inlineStr">
        <is>
          <t>In Dragon Form, ALL ELMT DMG +8.8%, In Dragon Form, All ELMT RES +4.8%, Per 3 Master Scrolls used, Snail ATK +24; Master Scrolls Used: 150/150</t>
        </is>
      </c>
      <c r="E102" s="906" t="inlineStr">
        <is>
          <t>Surf Clam</t>
        </is>
      </c>
      <c r="F102" s="907" t="inlineStr">
        <is>
          <t>9% Troop CRIT; 60 Fire DMG; 60 Earth DMG</t>
        </is>
      </c>
    </row>
    <row r="103">
      <c r="A103" s="905" t="n">
        <v>5</v>
      </c>
      <c r="B103" s="702" t="inlineStr">
        <is>
          <t>Metamorphosis</t>
        </is>
      </c>
      <c r="C103" s="907">
        <f>A103*280</f>
        <v/>
      </c>
      <c r="D103" s="908" t="inlineStr">
        <is>
          <t>In Dragon Form, Poison DMG +220; In Dragon Form, Ignore DEF +4.8%; Dragon Minion ATK +12%</t>
        </is>
      </c>
      <c r="E103" s="906" t="inlineStr">
        <is>
          <t>Rift</t>
        </is>
      </c>
      <c r="F103" s="907" t="inlineStr">
        <is>
          <t>15 FTH; 30% DMG; 3% Dragon Orb</t>
        </is>
      </c>
    </row>
    <row r="104">
      <c r="A104" s="905" t="n">
        <v>6</v>
      </c>
      <c r="B104" s="906" t="inlineStr">
        <is>
          <t>Volsunga Saga</t>
        </is>
      </c>
      <c r="C104" s="907">
        <f>A104*280</f>
        <v/>
      </c>
      <c r="D104" s="908" t="inlineStr">
        <is>
          <t>Snail Leadership +40, Minion Skin ATK +100%, Per 3 Minion Skins: Snail ATK +60; Minion Skins: 60/60</t>
        </is>
      </c>
      <c r="E104" s="906" t="inlineStr">
        <is>
          <t>Biozilla</t>
        </is>
      </c>
      <c r="F104" s="907" t="inlineStr">
        <is>
          <t>15 CIV; 9% Troop ATK; 9% Troop DEF</t>
        </is>
      </c>
    </row>
    <row r="105">
      <c r="A105" s="905" t="n">
        <v>7</v>
      </c>
      <c r="B105" s="906" t="inlineStr">
        <is>
          <t>The King in Yellow</t>
        </is>
      </c>
      <c r="C105" s="907">
        <f>A105*280</f>
        <v/>
      </c>
      <c r="D105" s="908" t="inlineStr">
        <is>
          <t>Poison DMG +44%; Dragon Minion DEF +12%; Per 30 Gold Daily Packs bought, Snail ATK +12; Gold Daily Packs Bought: 3000/3000</t>
        </is>
      </c>
      <c r="E105" s="906" t="inlineStr">
        <is>
          <t>Biozilla</t>
        </is>
      </c>
      <c r="F105" s="907" t="inlineStr">
        <is>
          <t>15 TECH; 9% CRIT; 9% CRIT DMG</t>
        </is>
      </c>
    </row>
    <row r="106">
      <c r="A106" s="897" t="n">
        <v>8</v>
      </c>
      <c r="B106" s="706" t="inlineStr">
        <is>
          <t>Lu Ji's Calligraphy</t>
        </is>
      </c>
      <c r="C106" s="909">
        <f>A106*280</f>
        <v/>
      </c>
      <c r="D106" s="898" t="inlineStr">
        <is>
          <t>In Dragon Form, Crit DMG +22%; In Dragon Form, Wind DMG +120; All Minion Skins RUSH +100%</t>
        </is>
      </c>
      <c r="E106" s="706" t="inlineStr">
        <is>
          <t>Rift</t>
        </is>
      </c>
      <c r="F106" s="909" t="inlineStr">
        <is>
          <t>15 CIV; 30% DMG; 6% INTEL</t>
        </is>
      </c>
    </row>
    <row r="107"/>
    <row r="108"/>
    <row r="109"/>
    <row r="110"/>
    <row r="111">
      <c r="A111" s="895" t="inlineStr">
        <is>
          <t>Order</t>
        </is>
      </c>
      <c r="B111" s="853" t="inlineStr">
        <is>
          <t>Travelers Relic</t>
        </is>
      </c>
      <c r="C111" s="685" t="inlineStr">
        <is>
          <t>(Days)</t>
        </is>
      </c>
      <c r="D111" s="738" t="inlineStr">
        <is>
          <t>Passive</t>
        </is>
      </c>
      <c r="E111" s="738" t="inlineStr">
        <is>
          <t>Stamp Type</t>
        </is>
      </c>
      <c r="F111" s="685" t="inlineStr">
        <is>
          <t>Notable Stamps</t>
        </is>
      </c>
    </row>
    <row r="112">
      <c r="A112" s="905" t="n">
        <v>1</v>
      </c>
      <c r="B112" s="702" t="inlineStr">
        <is>
          <t>Book of the Dead</t>
        </is>
      </c>
      <c r="C112" s="907">
        <f>CEILING(A112*280/3,1)</f>
        <v/>
      </c>
      <c r="D112" s="908" t="inlineStr">
        <is>
          <t>B-tad rewards from offering +8.8%, Per 10 Altar God Descents, Snail ATK +15, Per 10 Altar God Descents, Snail RUSH +15; Gods Descended: 400/400</t>
        </is>
      </c>
      <c r="E112" s="906" t="inlineStr">
        <is>
          <t>Britland</t>
        </is>
      </c>
      <c r="F112" s="907" t="inlineStr">
        <is>
          <t>15 FTH; 30 Medals; 9% Britland Travel SPD</t>
        </is>
      </c>
    </row>
    <row r="113">
      <c r="A113" s="905" t="n">
        <v>2</v>
      </c>
      <c r="B113" s="702" t="inlineStr">
        <is>
          <t>Goldbach's Conjecture</t>
        </is>
      </c>
      <c r="C113" s="907">
        <f>CEILING(A113*280/3,1)</f>
        <v/>
      </c>
      <c r="D113" s="908" t="inlineStr">
        <is>
          <t>Wormhole Refinement SPD +4.8%, When refining, +12% chance for Green Materials to turn into Blue, Per 10 Wormhole Refines, Snail RUSH +12; Wormhole Refines: 500/500</t>
        </is>
      </c>
      <c r="E113" s="906" t="inlineStr">
        <is>
          <t>Dung Beetle</t>
        </is>
      </c>
      <c r="F113" s="907" t="inlineStr">
        <is>
          <t>15 TECH; 9% Troop ATK; 6% Troop DMG Reduc</t>
        </is>
      </c>
    </row>
    <row r="114">
      <c r="A114" s="905" t="n">
        <v>3</v>
      </c>
      <c r="B114" s="702" t="inlineStr">
        <is>
          <t>Narmer Palette</t>
        </is>
      </c>
      <c r="C114" s="907">
        <f>CEILING(A114*280/3,1)</f>
        <v/>
      </c>
      <c r="D114" s="908" t="inlineStr">
        <is>
          <t>Vending Machine Glue Purchases +3; Quantum Amp gives Nebula Chest Shards by +13.2%, Per 5 Quantum Amp LVLs, Snail ATK +60, Per 5 Quantum Amp LVLs, Snail RUSH +60; Quantum Amp LVL: 50/50</t>
        </is>
      </c>
      <c r="E114" s="906" t="inlineStr">
        <is>
          <t>Rift</t>
        </is>
      </c>
      <c r="F114" s="907" t="inlineStr">
        <is>
          <t>600 ATK; 6% Blue Reagents; 600 CIV</t>
        </is>
      </c>
    </row>
    <row r="115">
      <c r="A115" s="905" t="n">
        <v>4</v>
      </c>
      <c r="B115" s="702" t="inlineStr">
        <is>
          <t>Hugo Award</t>
        </is>
      </c>
      <c r="C115" s="907">
        <f>CEILING(A115*280/3,1)</f>
        <v/>
      </c>
      <c r="D115" s="908" t="inlineStr">
        <is>
          <t>Snail Leadership +17, All Minion RUSH +2.4%, Per 60 Minions in battle, Troop HARD Stats +30</t>
        </is>
      </c>
      <c r="E115" s="906" t="inlineStr">
        <is>
          <t>Murika</t>
        </is>
      </c>
      <c r="F115" s="907" t="inlineStr">
        <is>
          <t>15 FAME</t>
        </is>
      </c>
    </row>
    <row r="116">
      <c r="A116" s="905" t="n">
        <v>5</v>
      </c>
      <c r="B116" s="702" t="inlineStr">
        <is>
          <t>Avogadro's Manuscript</t>
        </is>
      </c>
      <c r="C116" s="907">
        <f>CEILING(A116*280/3,1)</f>
        <v/>
      </c>
      <c r="D116" s="908" t="inlineStr">
        <is>
          <t>Snail Leadership +17; Per 20 Wormhole Refiners, Snail ATK +15; Per 20 Wormhole Refiners, Snail DEF +15; Wormhole Refiners: 800/800</t>
        </is>
      </c>
      <c r="E116" s="906" t="inlineStr">
        <is>
          <t>Rift</t>
        </is>
      </c>
      <c r="F116" s="907" t="inlineStr">
        <is>
          <t>15 TECH; 6% Purple Cards; 6% Purple Reagents</t>
        </is>
      </c>
    </row>
    <row r="117">
      <c r="A117" s="702" t="n">
        <v>6</v>
      </c>
      <c r="B117" s="702" t="inlineStr">
        <is>
          <t>Tail-burned Guqin</t>
        </is>
      </c>
      <c r="C117" s="906">
        <f>CEILING(A117*280/3,1)</f>
        <v/>
      </c>
      <c r="D117" s="901" t="inlineStr">
        <is>
          <t>Free Gene Speedup +54m, Per 60 Minions in battle: Troop HP +1800, Per Master Chef's Legacy Activated, Snail ATK +15; Master Chef's Legacy Activated: 40/40</t>
        </is>
      </c>
      <c r="E117" s="906" t="inlineStr">
        <is>
          <t>Cathay</t>
        </is>
      </c>
      <c r="F117" s="907" t="inlineStr">
        <is>
          <t>30 Medals</t>
        </is>
      </c>
    </row>
    <row r="118">
      <c r="A118" s="905" t="n">
        <v>7</v>
      </c>
      <c r="B118" s="702" t="inlineStr">
        <is>
          <t>Book of Exodus</t>
        </is>
      </c>
      <c r="C118" s="907">
        <f>CEILING(A118*280/3,1)</f>
        <v/>
      </c>
      <c r="D118" s="908" t="inlineStr">
        <is>
          <t>Gaia's Cabin Output +12%, Per 60 T7+ Minions in battle: Troop ATK +120, Per 10k Fervor, Apostle-Troop Assisance DMG +96; Fervor: 500k/500k</t>
        </is>
      </c>
      <c r="E118" s="906" t="inlineStr">
        <is>
          <t>Mantis</t>
        </is>
      </c>
      <c r="F118" s="907" t="inlineStr">
        <is>
          <t>15 FTH; 9% Troop ATK; 9% Troop RUSH</t>
        </is>
      </c>
    </row>
    <row r="119">
      <c r="A119" s="905" t="n">
        <v>8</v>
      </c>
      <c r="B119" s="906" t="inlineStr">
        <is>
          <t>Yongle Encyclopedia</t>
        </is>
      </c>
      <c r="C119" s="907">
        <f>CEILING(A119*280/3,1)</f>
        <v/>
      </c>
      <c r="D119" s="908" t="inlineStr">
        <is>
          <t>Minion Skin HARD Stats +30%, Per 60 T7+ Minions in battle: Troop ATK +120, Per 10 advanced fusions, Snail ATK +12, Advanced Fusions 500/500</t>
        </is>
      </c>
      <c r="E119" s="906" t="inlineStr">
        <is>
          <t>Cathay</t>
        </is>
      </c>
      <c r="F119" s="907" t="inlineStr">
        <is>
          <t>15 FAME</t>
        </is>
      </c>
    </row>
    <row r="120">
      <c r="A120" s="702" t="n">
        <v>9</v>
      </c>
      <c r="B120" s="702" t="inlineStr">
        <is>
          <t>Water Lilies</t>
        </is>
      </c>
      <c r="C120" s="907">
        <f>CEILING(A120*280/3,1)</f>
        <v/>
      </c>
      <c r="D120" s="908" t="inlineStr">
        <is>
          <t>Snail Leadership +12; Per 2000 Frost Sanctum Rating Pts, Snail Rush +12, Per 2000 Frost Sanctum Rating Pts, Priest-Snail Assistence DMG +96</t>
        </is>
      </c>
      <c r="E120" s="906" t="inlineStr">
        <is>
          <t>Arctic Sanctum</t>
        </is>
      </c>
      <c r="F120" s="907" t="inlineStr">
        <is>
          <t>15 ART; 30% Divine Crystal Yield</t>
        </is>
      </c>
    </row>
    <row r="121">
      <c r="A121" s="702" t="n">
        <v>10</v>
      </c>
      <c r="B121" s="702" t="inlineStr">
        <is>
          <t>Metaphysics</t>
        </is>
      </c>
      <c r="C121" s="907">
        <f>CEILING(A121*280/3,1)</f>
        <v/>
      </c>
      <c r="D121" s="908" t="inlineStr">
        <is>
          <t>Mutant Minion HP +12%, Per CIV Bionic Part Extracted, Snail ATK +60 &amp; Priest Assistance DMG +480, CIV Bionic Part Extracted: 10/10, Protomon assist Troop in battle, extra DMG +800</t>
        </is>
      </c>
      <c r="E121" s="906" t="inlineStr">
        <is>
          <t>Goldfish</t>
        </is>
      </c>
      <c r="F121" s="907" t="inlineStr">
        <is>
          <t>15 CIV; 6% Troop DMG Reduc; 9% Troop HP</t>
        </is>
      </c>
    </row>
    <row r="122">
      <c r="A122" s="702" t="n">
        <v>11</v>
      </c>
      <c r="B122" s="702" t="inlineStr">
        <is>
          <t>Earth Size Fix</t>
        </is>
      </c>
      <c r="C122" s="907">
        <f>CEILING(A122*280/3,1)</f>
        <v/>
      </c>
      <c r="D122" s="908" t="inlineStr">
        <is>
          <t>Minion Skin HARD Stats +30%, Per 60 T7+ Minions in battle: Troop HP +2200, Per 30 Time Chests Opened, Snail RUSH +12; Time Chests Opened: 1500/1500</t>
        </is>
      </c>
      <c r="E122" s="906" t="inlineStr">
        <is>
          <t>Forest Sanctum</t>
        </is>
      </c>
      <c r="F122" s="907" t="inlineStr">
        <is>
          <t>15 TECH; 30% Divine Crystal Yield</t>
        </is>
      </c>
    </row>
    <row r="123">
      <c r="A123" s="702" t="n">
        <v>12</v>
      </c>
      <c r="B123" s="702" t="inlineStr">
        <is>
          <t>The Yellow Christ</t>
        </is>
      </c>
      <c r="C123" s="907">
        <f>CEILING(A123*280/3,1)</f>
        <v/>
      </c>
      <c r="D123" s="908" t="inlineStr">
        <is>
          <t>Snail Leadership +12; Demon Minion RUSH +12%, Per targeted fusion, priest-snail assistance DMG +96, Targeted Fusions: 50/50, Protomon assist Troop in battle, extra DMG +800</t>
        </is>
      </c>
      <c r="E123" s="906" t="inlineStr">
        <is>
          <t>Swamp Sanctum</t>
        </is>
      </c>
      <c r="F123" s="907" t="inlineStr">
        <is>
          <t>15 ART; 30% Divine Crystal Yield</t>
        </is>
      </c>
    </row>
    <row r="124">
      <c r="A124" s="702" t="n">
        <v>13</v>
      </c>
      <c r="B124" s="702" t="inlineStr">
        <is>
          <t>The Realist Manifesto</t>
        </is>
      </c>
      <c r="C124" s="907">
        <f>CEILING(A124*280/3,1)</f>
        <v/>
      </c>
      <c r="D124" s="908" t="inlineStr">
        <is>
          <t>Zombie Minion HP +12%; Per 2 FAME Master Scrolls Opened, Snail ATK +12; FAME Master Scrolls Opened: 100/100; Per 2 Mystery Gloop Opened, Priest-Snail assistence DMG +96; Protomon assist Troop in battle, extra DMG +800</t>
        </is>
      </c>
      <c r="E124" s="906" t="inlineStr">
        <is>
          <t>Rift</t>
        </is>
      </c>
      <c r="F124" s="907" t="inlineStr">
        <is>
          <t>15 FAME; 3% Dragon Orbs; 6% Btads</t>
        </is>
      </c>
    </row>
    <row r="125">
      <c r="A125" s="897" t="n">
        <v>14</v>
      </c>
      <c r="B125" s="1092" t="inlineStr">
        <is>
          <t>Ra's Solar Barque</t>
        </is>
      </c>
      <c r="C125" s="909">
        <f>CEILING(A125*280/3,1)</f>
        <v/>
      </c>
      <c r="D125" s="898" t="inlineStr">
        <is>
          <t>Snail Leadership +17, Element Circle, Chance to produce M-Diamond +12%, Per 5 Quantum Amp LVLs, Snail ATK +60; Quantum Amp LVL: 50/50</t>
        </is>
      </c>
      <c r="E125" s="706" t="inlineStr">
        <is>
          <t>Quantum Amp</t>
        </is>
      </c>
      <c r="F125" s="909" t="inlineStr">
        <is>
          <t>15 FTH; 15% Output</t>
        </is>
      </c>
    </row>
    <row r="126"/>
    <row r="127"/>
    <row r="128"/>
    <row r="129">
      <c r="A129" s="910" t="inlineStr">
        <is>
          <t>Order</t>
        </is>
      </c>
      <c r="B129" s="912" t="inlineStr">
        <is>
          <t>Wish Box</t>
        </is>
      </c>
      <c r="C129" s="911" t="inlineStr">
        <is>
          <t>(Days)</t>
        </is>
      </c>
      <c r="D129" s="912" t="inlineStr">
        <is>
          <t>Passive</t>
        </is>
      </c>
      <c r="E129" s="912" t="inlineStr">
        <is>
          <t>Stamp Type</t>
        </is>
      </c>
      <c r="F129" s="911" t="inlineStr">
        <is>
          <t>Notable Stamps</t>
        </is>
      </c>
    </row>
    <row r="130">
      <c r="A130" s="905" t="n">
        <v>1</v>
      </c>
      <c r="B130" s="906" t="inlineStr">
        <is>
          <t>Seated Voltaire</t>
        </is>
      </c>
      <c r="C130" s="907" t="inlineStr">
        <is>
          <t>N/A</t>
        </is>
      </c>
      <c r="D130" s="908" t="inlineStr">
        <is>
          <t>Snail Leadership +17; Per 20 ART Wishes Made, Snail DEF +12; Per 20 ART Wishes made, Snail RUSH +12; Wishes Made: 1,000/1,000</t>
        </is>
      </c>
      <c r="E130" s="906" t="inlineStr">
        <is>
          <t>Biozilla</t>
        </is>
      </c>
      <c r="F130" s="907" t="inlineStr">
        <is>
          <t>15 ART; 6% Troop DEF; 30 Wind DMG</t>
        </is>
      </c>
    </row>
    <row r="131">
      <c r="A131" s="905" t="n">
        <v>2</v>
      </c>
      <c r="B131" s="906" t="inlineStr">
        <is>
          <t>Turin Papyrus</t>
        </is>
      </c>
      <c r="C131" s="907" t="inlineStr">
        <is>
          <t>N/A</t>
        </is>
      </c>
      <c r="D131" s="908" t="inlineStr">
        <is>
          <t>Snail DEF +100; Mutant Gene Research SPD +5.4%; Per 5 Mutant Gene LVLs, Snail DEF +24; Per 5 Mutant Gene LVLs, Snail RUSH +24; Mutant Gene LVLs Researched: 150/150</t>
        </is>
      </c>
      <c r="E131" s="906" t="inlineStr">
        <is>
          <t>Kemet</t>
        </is>
      </c>
      <c r="F131" s="907" t="inlineStr">
        <is>
          <t>15 CIV</t>
        </is>
      </c>
    </row>
    <row r="132">
      <c r="A132" s="905" t="n">
        <v>3</v>
      </c>
      <c r="B132" s="906" t="inlineStr">
        <is>
          <t>Olympic Torch</t>
        </is>
      </c>
      <c r="C132" s="907" t="inlineStr">
        <is>
          <t>N/A</t>
        </is>
      </c>
      <c r="D132" s="908" t="inlineStr">
        <is>
          <t>All Minion ATK +2.4%; Quantum Amp production +13.2%; Per 60 Minions in battle: Troop HARD Stats +30</t>
        </is>
      </c>
      <c r="E132" s="906" t="inlineStr">
        <is>
          <t>Minion Sim</t>
        </is>
      </c>
      <c r="F132" s="907" t="inlineStr">
        <is>
          <t>15 FAME; 9% Troop DEF; 9% Troop HP</t>
        </is>
      </c>
    </row>
    <row r="133">
      <c r="A133" s="905" t="n">
        <v>4</v>
      </c>
      <c r="B133" s="906" t="inlineStr">
        <is>
          <t>Ten Commandments</t>
        </is>
      </c>
      <c r="C133" s="907" t="inlineStr">
        <is>
          <t>N/A</t>
        </is>
      </c>
      <c r="D133" s="908" t="inlineStr">
        <is>
          <t>Per 60 Angel Minions in Battle: Troop ATK +180; Per 5 Angel Gene LVLs, Snail ATK +18; Per 5 Angel Gene LVLs, Snail DEF +18; Angel Gene LVLs Researched: 150/150</t>
        </is>
      </c>
      <c r="E133" s="906" t="inlineStr">
        <is>
          <t>Rift</t>
        </is>
      </c>
      <c r="F133" s="907" t="inlineStr">
        <is>
          <t>15% Angel/Mutant/Mecha Cells</t>
        </is>
      </c>
    </row>
    <row r="134">
      <c r="A134" s="905" t="n">
        <v>5</v>
      </c>
      <c r="B134" s="906" t="inlineStr">
        <is>
          <t>Zizhi Tongjian</t>
        </is>
      </c>
      <c r="C134" s="907" t="inlineStr">
        <is>
          <t>N/A</t>
        </is>
      </c>
      <c r="D134" s="908" t="inlineStr">
        <is>
          <t>Snail Leadership +12; Minion DEF +2.4%; Per 60 Minions in Battle: Troop DEF +180</t>
        </is>
      </c>
      <c r="E134" s="906" t="inlineStr">
        <is>
          <t>Rift</t>
        </is>
      </c>
      <c r="F134" s="907" t="inlineStr">
        <is>
          <t>15 FAME; 6% Purple Cards; 3% Dragon Orbs</t>
        </is>
      </c>
    </row>
    <row r="135">
      <c r="A135" s="905" t="n">
        <v>6</v>
      </c>
      <c r="B135" s="906" t="inlineStr">
        <is>
          <t>Pure Reason Critique</t>
        </is>
      </c>
      <c r="C135" s="907" t="inlineStr">
        <is>
          <t>N/A</t>
        </is>
      </c>
      <c r="D135" s="908" t="inlineStr">
        <is>
          <t>Protomon assist Troop in battle, extra DMG +1760; Per 5 Zombie Gene LVLs, Snail HP +240; Per 5 Zombie Gene LVLs, Snail ATK +24; Zombie Gene LVLs Researched: 150/150</t>
        </is>
      </c>
      <c r="E135" s="906" t="inlineStr">
        <is>
          <t>Quantum Amp</t>
        </is>
      </c>
      <c r="F135" s="907" t="inlineStr">
        <is>
          <t>15 FAME; 15% Production; 15% Nebula Shards</t>
        </is>
      </c>
    </row>
    <row r="136">
      <c r="A136" s="905" t="n">
        <v>7</v>
      </c>
      <c r="B136" s="906" t="inlineStr">
        <is>
          <t>La Comedie humaine</t>
        </is>
      </c>
      <c r="C136" s="907" t="inlineStr">
        <is>
          <t>N/A</t>
        </is>
      </c>
      <c r="D136" s="908" t="inlineStr">
        <is>
          <t>All Minion RUSH +2.4%; Per 2000 Desert Sanctum Rating Pts, Priest-Snail Assistance DMG +96 &amp; Priest-Troop Assistance DMG +96; Desert Sanctum Rating: 100,000/100,000; Protomon assist Troop in battle, extra DMG +800</t>
        </is>
      </c>
      <c r="E136" s="906" t="inlineStr">
        <is>
          <t>Rift</t>
        </is>
      </c>
      <c r="F136" s="907" t="inlineStr">
        <is>
          <t>6% 2x INTEL; 300 Earth DMG</t>
        </is>
      </c>
    </row>
    <row r="137">
      <c r="A137" s="905" t="n">
        <v>8</v>
      </c>
      <c r="B137" s="906" t="inlineStr">
        <is>
          <t>EPR Paradox</t>
        </is>
      </c>
      <c r="C137" s="907" t="inlineStr">
        <is>
          <t>N/A</t>
        </is>
      </c>
      <c r="D137" s="908" t="inlineStr">
        <is>
          <t>Mecha Minion DEF +12%; Per 60 T7+ Minions in battle: Troop ATK +220; Per 60 T7+ Minions in battle: Troop RUSH +120</t>
        </is>
      </c>
      <c r="E137" s="906" t="inlineStr">
        <is>
          <t>Rift</t>
        </is>
      </c>
      <c r="F137" s="907" t="inlineStr">
        <is>
          <t>15 TECH; 6% Blue Reagent; 6% Green Cards</t>
        </is>
      </c>
    </row>
    <row r="138">
      <c r="A138" s="905" t="n">
        <v>9</v>
      </c>
      <c r="B138" s="906" t="inlineStr">
        <is>
          <t>Xi Ping Stele Script</t>
        </is>
      </c>
      <c r="C138" s="907" t="inlineStr">
        <is>
          <t>N/A</t>
        </is>
      </c>
      <c r="D138" s="908" t="inlineStr">
        <is>
          <t>Mutant Minion DEF +12%; Per 5 CIV Relics awakened, Snail ATK +36; Per 5 CIV Relics awakened, Snail DEF +36; CIV Relics Awakened: 100/100; Snail ATK +100</t>
        </is>
      </c>
      <c r="E138" s="906" t="inlineStr">
        <is>
          <t>Cathay</t>
        </is>
      </c>
      <c r="F138" s="907" t="inlineStr">
        <is>
          <t>15 CIV; 30 Medals</t>
        </is>
      </c>
    </row>
    <row r="139">
      <c r="A139" s="905" t="n">
        <v>10</v>
      </c>
      <c r="B139" s="906" t="inlineStr">
        <is>
          <t>Eden Scepter</t>
        </is>
      </c>
      <c r="C139" s="907" t="inlineStr">
        <is>
          <t>N/A</t>
        </is>
      </c>
      <c r="D139" s="908" t="inlineStr">
        <is>
          <t>Angel Minion HP +12%; Protomons assist Snail in battle, and deal extra DMG +1760; Per FTH Bionic Part extracted, Snail RUSH +60; FTH Bionic Part Extracted: 10/10</t>
        </is>
      </c>
      <c r="E139" s="906" t="inlineStr">
        <is>
          <t>Rift</t>
        </is>
      </c>
      <c r="F139" s="907" t="inlineStr">
        <is>
          <t>15 FTH; 300 Water DMG; 3% Incense</t>
        </is>
      </c>
    </row>
    <row r="140">
      <c r="A140" s="905" t="n">
        <v>11</v>
      </c>
      <c r="B140" s="906" t="inlineStr">
        <is>
          <t>Hypercube</t>
        </is>
      </c>
      <c r="C140" s="907" t="inlineStr">
        <is>
          <t>N/A</t>
        </is>
      </c>
      <c r="D140" s="908" t="inlineStr">
        <is>
          <t>Snail Leadership +12; For every 3 levels of Base Station cleared, Snail HP +120; For every 3 levels of Base Station cleared, Snail RUSH +12; Base Station LVLs Cleared: 150/150; Snail HP +1000</t>
        </is>
      </c>
      <c r="E140" s="906" t="inlineStr">
        <is>
          <t>Mantis</t>
        </is>
      </c>
      <c r="F140" s="907" t="inlineStr">
        <is>
          <t>60 Wind DMG; 9% HP; 6% Hero DMG</t>
        </is>
      </c>
    </row>
    <row r="141">
      <c r="A141" s="905" t="n">
        <v>12</v>
      </c>
      <c r="B141" s="906" t="inlineStr">
        <is>
          <t>Othello</t>
        </is>
      </c>
      <c r="C141" s="907" t="inlineStr">
        <is>
          <t>N/A</t>
        </is>
      </c>
      <c r="D141" s="908" t="inlineStr">
        <is>
          <t>Snail ATK +120; All Minion Skins HP +100%; Protomons assist Troop in battle, and deal extra DMG +1760</t>
        </is>
      </c>
      <c r="E141" s="906" t="inlineStr">
        <is>
          <t>Rift</t>
        </is>
      </c>
      <c r="F141" s="907" t="inlineStr">
        <is>
          <t>15 ART; 600 RUSH; 300 Fire DMG</t>
        </is>
      </c>
    </row>
    <row r="142">
      <c r="A142" s="905" t="inlineStr">
        <is>
          <t>??</t>
        </is>
      </c>
      <c r="B142" s="906" t="inlineStr">
        <is>
          <t>Xuanyuan Compass Chariot</t>
        </is>
      </c>
      <c r="C142" s="907" t="inlineStr">
        <is>
          <t>N/A</t>
        </is>
      </c>
      <c r="D142" s="908" t="inlineStr">
        <is>
          <t>Snail Leadership +17; All Minin HP +2.4%; Per 60 T8+ Minions deployed, Troop HP +1440</t>
        </is>
      </c>
      <c r="E142" s="906" t="inlineStr">
        <is>
          <t>Goldfish</t>
        </is>
      </c>
      <c r="F142" s="907" t="inlineStr">
        <is>
          <t>9% ATK; 6% Hero DMG</t>
        </is>
      </c>
    </row>
    <row r="143">
      <c r="A143" s="905" t="inlineStr">
        <is>
          <t>??</t>
        </is>
      </c>
      <c r="B143" s="906" t="inlineStr">
        <is>
          <t>Talos' Bronze Gears</t>
        </is>
      </c>
      <c r="C143" s="907" t="inlineStr">
        <is>
          <t>N/A</t>
        </is>
      </c>
      <c r="D143" s="908" t="inlineStr">
        <is>
          <t>Snail Leadership +17; Per 5 Incubator Files fully restored, Snail DEF + 36 &amp; Snail RUSH +36; Files fully restored: 100/100</t>
        </is>
      </c>
      <c r="E143" s="906" t="inlineStr">
        <is>
          <t>Surf Clam</t>
        </is>
      </c>
      <c r="F143" s="907" t="inlineStr">
        <is>
          <t>9% DEF; 6% Hero DMG</t>
        </is>
      </c>
    </row>
    <row r="144">
      <c r="A144" s="905" t="n"/>
      <c r="B144" s="906" t="inlineStr">
        <is>
          <t>Erinyes' Shackles</t>
        </is>
      </c>
      <c r="C144" s="907" t="inlineStr">
        <is>
          <t>N/A</t>
        </is>
      </c>
      <c r="D144" s="908" t="inlineStr">
        <is>
          <t>Zombie Minion ATK +12%; Per 60 T8+ Minions deployed, Troop RUSH +264 &amp; Troop RUSH + 144</t>
        </is>
      </c>
      <c r="E144" s="906" t="inlineStr">
        <is>
          <t>Hellas</t>
        </is>
      </c>
      <c r="F144" s="907" t="inlineStr">
        <is>
          <t>15 FTH; 30 Medals</t>
        </is>
      </c>
    </row>
    <row r="145">
      <c r="A145" s="897" t="n"/>
      <c r="B145" s="706" t="n"/>
      <c r="C145" s="909" t="n"/>
      <c r="D145" s="898" t="n"/>
      <c r="E145" s="706" t="n"/>
      <c r="F145" s="909" t="n"/>
    </row>
    <row r="146"/>
    <row r="147"/>
    <row r="148"/>
    <row r="149"/>
    <row r="150">
      <c r="A150" s="895" t="inlineStr">
        <is>
          <t>Order</t>
        </is>
      </c>
      <c r="B150" s="853" t="inlineStr">
        <is>
          <t>Weekly Special</t>
        </is>
      </c>
      <c r="C150" s="685" t="inlineStr">
        <is>
          <t>(Days)</t>
        </is>
      </c>
      <c r="D150" s="738" t="inlineStr">
        <is>
          <t>Passive</t>
        </is>
      </c>
      <c r="E150" s="738" t="inlineStr">
        <is>
          <t>Stamp Type</t>
        </is>
      </c>
      <c r="F150" s="685" t="inlineStr">
        <is>
          <t>Notable Stamps</t>
        </is>
      </c>
    </row>
    <row r="151">
      <c r="A151" s="905" t="n">
        <v>1</v>
      </c>
      <c r="B151" s="702" t="inlineStr">
        <is>
          <t>Kepler Telescope</t>
        </is>
      </c>
      <c r="C151" s="907">
        <f>7*3*7*A151</f>
        <v/>
      </c>
      <c r="D151" s="908" t="inlineStr">
        <is>
          <t>Snail ATK +100; When in Mecha Form: Gain +12% Mecha Cells in explorations; Per Domain discovered, Snail ATK +60; Per Domain discovered, Snail RUSH +60; Domains Discovered: 8/8</t>
        </is>
      </c>
      <c r="E151" s="906" t="inlineStr">
        <is>
          <t>Hellas</t>
        </is>
      </c>
      <c r="F151" s="907" t="inlineStr">
        <is>
          <t>15 TECH; 15% Orange Cards</t>
        </is>
      </c>
    </row>
    <row r="152">
      <c r="A152" s="905" t="n">
        <v>2</v>
      </c>
      <c r="B152" s="702" t="inlineStr">
        <is>
          <t>St. Louisa Goblet</t>
        </is>
      </c>
      <c r="C152" s="907">
        <f>7*3*7*A152</f>
        <v/>
      </c>
      <c r="D152" s="908" t="inlineStr">
        <is>
          <t>Explore in Demon Form, gain +12% Demon Cells; Per 60 Demon Minions in battle, Troop ATK +180; Per 60 Demon Minions in battle, Troop RUSH +90</t>
        </is>
      </c>
      <c r="E152" s="906" t="inlineStr">
        <is>
          <t>Kemet</t>
        </is>
      </c>
      <c r="F152" s="907" t="inlineStr">
        <is>
          <t>30 Medals</t>
        </is>
      </c>
    </row>
    <row r="153">
      <c r="A153" s="905" t="n">
        <v>3</v>
      </c>
      <c r="B153" s="702" t="inlineStr">
        <is>
          <t>Noah's Ark</t>
        </is>
      </c>
      <c r="C153" s="907">
        <f>7*3*7*A153</f>
        <v/>
      </c>
      <c r="D153" s="908" t="inlineStr">
        <is>
          <t>Snail DEF +100; Angel Gene Research SPD +6%; Per partner you have, Snail ATK +36; Per partner you have, Snail DEF +36; Current Partners: 15/15</t>
        </is>
      </c>
      <c r="E153" s="906" t="inlineStr">
        <is>
          <t>Gene Sim</t>
        </is>
      </c>
      <c r="F153" s="907" t="inlineStr">
        <is>
          <t>1200 Regen</t>
        </is>
      </c>
    </row>
    <row r="154">
      <c r="A154" s="905" t="n">
        <v>4</v>
      </c>
      <c r="B154" s="906" t="inlineStr">
        <is>
          <t>Cthaat Aquadingen</t>
        </is>
      </c>
      <c r="C154" s="907">
        <f>7*3*7*A154</f>
        <v/>
      </c>
      <c r="D154" s="908" t="inlineStr">
        <is>
          <t>Snail ATK +220; Angel Minion Cloning SPD +12%; Per 20 FTH wish, Snail ATK +12; FTH wishes 1000/1000</t>
        </is>
      </c>
      <c r="E154" s="906" t="inlineStr">
        <is>
          <t>Murika</t>
        </is>
      </c>
      <c r="F154" s="907" t="inlineStr">
        <is>
          <t>15 FTH; 30% Angel Cells</t>
        </is>
      </c>
    </row>
    <row r="155">
      <c r="A155" s="905" t="n">
        <v>5</v>
      </c>
      <c r="B155" s="906" t="inlineStr">
        <is>
          <t>Journey to Earth Core</t>
        </is>
      </c>
      <c r="C155" s="907">
        <f>7*3*7*A155</f>
        <v/>
      </c>
      <c r="D155" s="908" t="inlineStr">
        <is>
          <t>Free Gene Speedup +36m; Per 60 Zombie Minions in Battle: Troop ATK +180; Per 5 Zombe Gene Research LVLs, Snail Hp +180; Zombie Gene LVLs Researched: 150/150</t>
        </is>
      </c>
      <c r="E155" s="906" t="inlineStr">
        <is>
          <t>Rift</t>
        </is>
      </c>
      <c r="F155" s="907" t="inlineStr">
        <is>
          <t>600 ATK; 300 Fire DMG; 300 Wind DMG</t>
        </is>
      </c>
    </row>
    <row r="156">
      <c r="A156" s="905" t="n">
        <v>6</v>
      </c>
      <c r="B156" s="906" t="inlineStr">
        <is>
          <t>Apollo Lunar Module</t>
        </is>
      </c>
      <c r="C156" s="907">
        <f>7*3*7*A156</f>
        <v/>
      </c>
      <c r="D156" s="908" t="inlineStr">
        <is>
          <t>Snail ATK +120; Snail Hp +1000; Per 60 T7+ Minions in Battle, Troop HARD Stats +40; Per TECH Bionic Part Extracted, Snail ATK +60; TECH Bionic Parts: 10/10</t>
        </is>
      </c>
      <c r="E156" s="906" t="inlineStr">
        <is>
          <t>Swamp Sanctum</t>
        </is>
      </c>
      <c r="F156" s="907" t="inlineStr">
        <is>
          <t>15 TECH; 30% Divine Crystal Output/Cap</t>
        </is>
      </c>
    </row>
    <row r="157">
      <c r="A157" s="905" t="n">
        <v>7</v>
      </c>
      <c r="B157" s="906" t="inlineStr">
        <is>
          <t>Vairocana Statue</t>
        </is>
      </c>
      <c r="C157" s="907">
        <f>7*3*7*A157</f>
        <v/>
      </c>
      <c r="D157" s="908" t="inlineStr">
        <is>
          <t>Snail RUSH +120; All minion skin RUSH +100%; Per 3 Forest Protomon, Priest-Snail Assistance DMG +192; Forest Protomon: 60/60; Protomon Snail assist DMG +800</t>
        </is>
      </c>
      <c r="E157" s="906" t="inlineStr">
        <is>
          <t>Forest Sanctum</t>
        </is>
      </c>
      <c r="F157" s="907" t="inlineStr">
        <is>
          <t>15 ART; 600 ART in Rift; 6% Cards</t>
        </is>
      </c>
    </row>
    <row r="158">
      <c r="A158" s="905" t="n">
        <v>8</v>
      </c>
      <c r="B158" s="906" t="inlineStr">
        <is>
          <t>Code of Ur-Nammu</t>
        </is>
      </c>
      <c r="C158" s="907">
        <f>7*3*7*A158</f>
        <v/>
      </c>
      <c r="D158" s="908" t="inlineStr">
        <is>
          <t>Per 60 Zombie Minions in battle: Troop ATK +90; Per 6 kinds of Souls offered, Snail ATK +12 &amp; Priest-Assistance DMG +96; Souls offered: 300/300; Protomon Troop Assist DMG +800</t>
        </is>
      </c>
      <c r="E158" s="906" t="inlineStr">
        <is>
          <t>Gene Sim</t>
        </is>
      </c>
      <c r="F158" s="907" t="inlineStr">
        <is>
          <t>15 FAME; 30% Lifesteal Effect; 15% DMG REDUC</t>
        </is>
      </c>
    </row>
    <row r="159">
      <c r="A159" s="905" t="n">
        <v>9</v>
      </c>
      <c r="B159" s="906" t="inlineStr">
        <is>
          <t>The Birth of Tragedy</t>
        </is>
      </c>
      <c r="C159" s="907">
        <f>7*3*7*A159</f>
        <v/>
      </c>
      <c r="D159" s="908" t="inlineStr">
        <is>
          <t>Snail ATK +220; All minion skins HP +100%; Per 3 Minion Skins crafted, Protomon Troop Assistance DMG +288; Minion Skins Crafted: 60/60</t>
        </is>
      </c>
      <c r="E159" s="906" t="inlineStr">
        <is>
          <t>Rift</t>
        </is>
      </c>
      <c r="F159" s="907" t="inlineStr">
        <is>
          <t>6% Purple Reagents; 6% Orange Cards; 3% Incense</t>
        </is>
      </c>
    </row>
    <row r="160">
      <c r="A160" s="905" t="n">
        <v>10</v>
      </c>
      <c r="B160" s="906" t="inlineStr">
        <is>
          <t>The Dream</t>
        </is>
      </c>
      <c r="C160" s="907">
        <f>7*3*7*A160</f>
        <v/>
      </c>
      <c r="D160" s="908" t="inlineStr">
        <is>
          <t>Per 60 Demon Minions in battle: Troop DEF +180; Protomon Troop assist DMG +960; Per Dorm Decor gained, Snail RUSH +12; Dorm Decor Gained: 40/40</t>
        </is>
      </c>
      <c r="E160" s="906" t="inlineStr">
        <is>
          <t>Rift</t>
        </is>
      </c>
      <c r="F160" s="907" t="inlineStr">
        <is>
          <t>15 ART; 6% Blue Cards</t>
        </is>
      </c>
    </row>
    <row r="161">
      <c r="A161" s="905" t="n">
        <v>11</v>
      </c>
      <c r="B161" s="906" t="inlineStr">
        <is>
          <t>Tassili n'Ajjer</t>
        </is>
      </c>
      <c r="C161" s="907">
        <f>7*3*7*A161</f>
        <v/>
      </c>
      <c r="D161" s="908" t="inlineStr">
        <is>
          <t>Snail Leadership +12; Per 5 CIV Relics awakened, Priest-Snail/Priest-Troop Assistance DMG +288; CIV Relics Awakened: 100/100; Protomon Snail Assist DMG +800</t>
        </is>
      </c>
      <c r="E161" s="906" t="inlineStr">
        <is>
          <t>Hamster</t>
        </is>
      </c>
      <c r="F161" s="907" t="inlineStr">
        <is>
          <t>15 CIV; 9% DEF; 6% DMG REDUC</t>
        </is>
      </c>
    </row>
    <row r="162">
      <c r="A162" s="905" t="inlineStr">
        <is>
          <t>??</t>
        </is>
      </c>
      <c r="B162" s="906" t="inlineStr">
        <is>
          <t>Twin Heroes</t>
        </is>
      </c>
      <c r="C162" s="907" t="inlineStr">
        <is>
          <t>??</t>
        </is>
      </c>
      <c r="D162" s="908" t="inlineStr">
        <is>
          <t>Snail ATK +100; Minion HP +2.4%; Minion RUSH +2.4%; Per 50 Minions Cloned, Snail ATK +18; Minions Cloned: 2000/2000</t>
        </is>
      </c>
      <c r="E162" s="906" t="inlineStr">
        <is>
          <t>Rift</t>
        </is>
      </c>
      <c r="F162" s="907" t="inlineStr">
        <is>
          <t>15 ART; 600 ART in Rift; 6% Cards</t>
        </is>
      </c>
    </row>
    <row r="163">
      <c r="A163" s="738" t="n"/>
      <c r="B163" s="738" t="n"/>
      <c r="C163" s="738" t="n"/>
      <c r="D163" s="738" t="n"/>
      <c r="E163" s="738" t="n"/>
      <c r="F163" s="738" t="n"/>
    </row>
    <row r="164"/>
    <row r="165"/>
    <row r="166"/>
    <row r="167">
      <c r="A167" s="910" t="inlineStr">
        <is>
          <t>Order</t>
        </is>
      </c>
      <c r="B167" s="774" t="inlineStr">
        <is>
          <t>Lottery Box (AAA)</t>
        </is>
      </c>
      <c r="C167" s="911" t="inlineStr">
        <is>
          <t>(Rounds)</t>
        </is>
      </c>
      <c r="D167" s="912" t="inlineStr">
        <is>
          <t>Passive</t>
        </is>
      </c>
      <c r="E167" s="912" t="inlineStr">
        <is>
          <t>Stamp Type</t>
        </is>
      </c>
      <c r="F167" s="911" t="inlineStr">
        <is>
          <t>Notable Stamps</t>
        </is>
      </c>
    </row>
    <row r="168">
      <c r="A168" s="905" t="n">
        <v>1</v>
      </c>
      <c r="B168" s="702" t="inlineStr">
        <is>
          <t>Silver Treaty</t>
        </is>
      </c>
      <c r="C168" s="907">
        <f>A168*8</f>
        <v/>
      </c>
      <c r="D168" s="908" t="inlineStr">
        <is>
          <t>Sunny Plant Food gives +1 Green Pistil by +3.6%; Per 10 Maneater Pistils Used, Snail DEF +9; Maneater Pistils Used: 400/400</t>
        </is>
      </c>
      <c r="E168" s="906" t="inlineStr">
        <is>
          <t>Kemet</t>
        </is>
      </c>
      <c r="F168" s="907" t="inlineStr">
        <is>
          <t>10 FAME</t>
        </is>
      </c>
    </row>
    <row r="169">
      <c r="A169" s="905" t="n">
        <v>2</v>
      </c>
      <c r="B169" s="702" t="inlineStr">
        <is>
          <t>The Goodbye Kiss</t>
        </is>
      </c>
      <c r="C169" s="907">
        <f>A169*8</f>
        <v/>
      </c>
      <c r="D169" s="908" t="inlineStr">
        <is>
          <t>Snail DEF +90; The Fungus Farm has a +16% chance to produce Wonder Fungi</t>
        </is>
      </c>
      <c r="E169" s="906" t="inlineStr">
        <is>
          <t>Murika</t>
        </is>
      </c>
      <c r="F169" s="907" t="inlineStr">
        <is>
          <t>10 ART</t>
        </is>
      </c>
    </row>
    <row r="170">
      <c r="A170" s="905" t="n">
        <v>3</v>
      </c>
      <c r="B170" s="702" t="inlineStr">
        <is>
          <t>Valaroma</t>
        </is>
      </c>
      <c r="C170" s="907">
        <f>A170*8</f>
        <v/>
      </c>
      <c r="D170" s="908" t="inlineStr">
        <is>
          <t>Angel Minion ATK +9%; Per 30 Angel Minions in battle: Troop HARD Stats +32</t>
        </is>
      </c>
      <c r="E170" s="906" t="inlineStr">
        <is>
          <t>Britland</t>
        </is>
      </c>
      <c r="F170" s="907" t="inlineStr">
        <is>
          <t>10 FTH</t>
        </is>
      </c>
    </row>
    <row r="171">
      <c r="A171" s="905" t="n">
        <v>4</v>
      </c>
      <c r="B171" s="702" t="inlineStr">
        <is>
          <t>Letters for Josephine</t>
        </is>
      </c>
      <c r="C171" s="907">
        <f>A171*8</f>
        <v/>
      </c>
      <c r="D171" s="908" t="inlineStr">
        <is>
          <t>Per Purple+ Gear equipped, Snail HP +90; Per Purple+ Gear equipped, Snail ATK +9; Snail HP +700</t>
        </is>
      </c>
      <c r="E171" s="906" t="inlineStr">
        <is>
          <t>Rift</t>
        </is>
      </c>
      <c r="F171" s="907" t="n"/>
    </row>
    <row r="172">
      <c r="A172" s="905" t="n">
        <v>5</v>
      </c>
      <c r="B172" s="702" t="inlineStr">
        <is>
          <t>Helmholtz Coil</t>
        </is>
      </c>
      <c r="C172" s="907">
        <f>A172*8</f>
        <v/>
      </c>
      <c r="D172" s="908" t="inlineStr">
        <is>
          <t>Refine +1 Green Demon God Material by +9%; Refine +1 Green Rebel Troop Material by +9%; Snail HP +700</t>
        </is>
      </c>
      <c r="E172" s="906" t="inlineStr">
        <is>
          <t>Rift</t>
        </is>
      </c>
      <c r="F172" s="907" t="inlineStr">
        <is>
          <t>2% INTEL; 3% Orange Cards</t>
        </is>
      </c>
    </row>
    <row r="173">
      <c r="A173" s="702" t="n">
        <v>6</v>
      </c>
      <c r="B173" s="702" t="inlineStr">
        <is>
          <t>The Fifer</t>
        </is>
      </c>
      <c r="C173" s="907">
        <f>A173*8</f>
        <v/>
      </c>
      <c r="D173" s="908" t="inlineStr">
        <is>
          <t>Quantum Amp Max Cap +16%; Per 5 Quantum Amp LVLs, Snail DEF +36; Quantum Amp LVL: 50/50</t>
        </is>
      </c>
      <c r="E173" s="906" t="inlineStr">
        <is>
          <t>Rift</t>
        </is>
      </c>
      <c r="F173" s="907" t="inlineStr">
        <is>
          <t>10 ART; 3% INTEL</t>
        </is>
      </c>
    </row>
    <row r="174">
      <c r="A174" s="913" t="n">
        <v>7</v>
      </c>
      <c r="B174" s="914" t="inlineStr">
        <is>
          <t>Wilson Cloud Chamber</t>
        </is>
      </c>
      <c r="C174" s="907">
        <f>A174*8</f>
        <v/>
      </c>
      <c r="D174" s="915" t="inlineStr">
        <is>
          <t>Per 30 Mecha Minions in battle: Troop HP +360; Per 30 Mecha Minions in battle: Troop ATK +64</t>
        </is>
      </c>
      <c r="E174" s="894" t="inlineStr">
        <is>
          <t>Britland</t>
        </is>
      </c>
      <c r="F174" s="919" t="inlineStr">
        <is>
          <t>10 TECH</t>
        </is>
      </c>
    </row>
    <row r="175">
      <c r="A175" s="917" t="n">
        <v>8</v>
      </c>
      <c r="B175" s="918" t="inlineStr">
        <is>
          <t>Nishijin Fabric</t>
        </is>
      </c>
      <c r="C175" s="907">
        <f>A175*8</f>
        <v/>
      </c>
      <c r="D175" s="915" t="inlineStr">
        <is>
          <t>Snail ATK +90; Quantum Amp Production +9.6%</t>
        </is>
      </c>
      <c r="E175" s="894" t="inlineStr">
        <is>
          <t>Yamato</t>
        </is>
      </c>
      <c r="F175" s="919" t="inlineStr">
        <is>
          <t>10 ART</t>
        </is>
      </c>
    </row>
    <row r="176">
      <c r="A176" s="905" t="n">
        <v>9</v>
      </c>
      <c r="B176" s="702" t="inlineStr">
        <is>
          <t>Forsman Cardiac Catheter</t>
        </is>
      </c>
      <c r="C176" s="907">
        <f>A176*8</f>
        <v/>
      </c>
      <c r="D176" s="908" t="inlineStr">
        <is>
          <t>Snail HP +1600; Dragon Minion Hp +9%</t>
        </is>
      </c>
      <c r="E176" s="906" t="inlineStr">
        <is>
          <t>Rift</t>
        </is>
      </c>
      <c r="F176" s="907" t="n"/>
    </row>
    <row r="177">
      <c r="A177" s="905" t="n">
        <v>10</v>
      </c>
      <c r="B177" s="702" t="inlineStr">
        <is>
          <t>Hela's Ship</t>
        </is>
      </c>
      <c r="C177" s="907">
        <f>A177*8</f>
        <v/>
      </c>
      <c r="D177" s="908" t="inlineStr">
        <is>
          <t>Snail ATK +70; Per 40 Eggs Hatched, Snail ATK +9; Per 40 Eggs Hatched, Snail RUSH +9; Eggs Hatched: 1600/1600</t>
        </is>
      </c>
      <c r="E177" s="906" t="inlineStr">
        <is>
          <t>Rift</t>
        </is>
      </c>
      <c r="F177" s="907" t="n"/>
    </row>
    <row r="178">
      <c r="A178" s="905" t="n">
        <v>11</v>
      </c>
      <c r="B178" s="702" t="inlineStr">
        <is>
          <t>Djinn Theory</t>
        </is>
      </c>
      <c r="C178" s="907">
        <f>A178*8</f>
        <v/>
      </c>
      <c r="D178" s="908" t="inlineStr">
        <is>
          <t>Snail DEF +90; Quantum Amp Max Cap +16%</t>
        </is>
      </c>
      <c r="E178" s="906" t="inlineStr">
        <is>
          <t>Britland</t>
        </is>
      </c>
      <c r="F178" s="907" t="n"/>
    </row>
    <row r="179">
      <c r="A179" s="905" t="n">
        <v>12</v>
      </c>
      <c r="B179" s="702" t="inlineStr">
        <is>
          <t>Galileo's Thermometer</t>
        </is>
      </c>
      <c r="C179" s="907">
        <f>A179*8</f>
        <v/>
      </c>
      <c r="D179" s="908" t="inlineStr">
        <is>
          <t>Per 30 Mecha Minions in battle: Troop ATK +64; Per Mecha Form Tier, Snail ATK +36; Mecha Form Tier 9/9</t>
        </is>
      </c>
      <c r="E179" s="906" t="inlineStr">
        <is>
          <t>Rift</t>
        </is>
      </c>
      <c r="F179" s="907" t="n"/>
    </row>
    <row r="180">
      <c r="A180" s="905" t="n">
        <v>13</v>
      </c>
      <c r="B180" s="702" t="inlineStr">
        <is>
          <t>Biography of Great Artists</t>
        </is>
      </c>
      <c r="C180" s="907">
        <f>A180*8</f>
        <v/>
      </c>
      <c r="D180" s="908" t="inlineStr">
        <is>
          <t>Quantum Amp Production +9.6%; Zombie Minion Cloning SPD +9%</t>
        </is>
      </c>
      <c r="E180" s="906" t="inlineStr">
        <is>
          <t>Rift</t>
        </is>
      </c>
      <c r="F180" s="907" t="n"/>
    </row>
    <row r="181">
      <c r="A181" s="702" t="n">
        <v>14</v>
      </c>
      <c r="B181" s="702" t="inlineStr">
        <is>
          <t>Galatea</t>
        </is>
      </c>
      <c r="C181" s="907">
        <f>A181*8</f>
        <v/>
      </c>
      <c r="D181" s="908" t="inlineStr">
        <is>
          <t>Snail ATK +90; Per 30 Angel Minions in battle: Troop ATK +64</t>
        </is>
      </c>
      <c r="E181" s="906" t="inlineStr">
        <is>
          <t>Hellas</t>
        </is>
      </c>
      <c r="F181" s="907" t="n"/>
    </row>
    <row r="182">
      <c r="A182" s="702" t="n">
        <v>15</v>
      </c>
      <c r="B182" s="702" t="inlineStr">
        <is>
          <t>Ride of the Valkyrie</t>
        </is>
      </c>
      <c r="C182" s="907">
        <f>A182*8</f>
        <v/>
      </c>
      <c r="D182" s="908" t="inlineStr">
        <is>
          <t>Mutant Minion Cloning SPD +9%; Per 30 Mutant Minions in battle: Troop RUSH +64</t>
        </is>
      </c>
      <c r="E182" s="906" t="inlineStr">
        <is>
          <t>Rift</t>
        </is>
      </c>
      <c r="F182" s="907" t="n"/>
    </row>
    <row r="183">
      <c r="A183" s="913" t="n">
        <v>16</v>
      </c>
      <c r="B183" s="914" t="inlineStr">
        <is>
          <t>Brunel TBM</t>
        </is>
      </c>
      <c r="C183" s="907">
        <f>A183*8</f>
        <v/>
      </c>
      <c r="D183" s="915" t="inlineStr">
        <is>
          <t>Per 30 Mecha Minions in battle: Troop DEF +64; Per 500 Fissure Floors, Snail DEF +18; Fissure Floors: 15000/15000</t>
        </is>
      </c>
      <c r="E183" s="894" t="inlineStr">
        <is>
          <t>Kemet</t>
        </is>
      </c>
      <c r="F183" s="919" t="n"/>
    </row>
    <row r="184">
      <c r="A184" s="917" t="n">
        <v>17</v>
      </c>
      <c r="B184" s="918" t="inlineStr">
        <is>
          <t>Mesopotamian Wheel</t>
        </is>
      </c>
      <c r="C184" s="907">
        <f>A184*8</f>
        <v/>
      </c>
      <c r="D184" s="915" t="inlineStr">
        <is>
          <t>Snail DEF +160; Quantum Amp Production +5.4%</t>
        </is>
      </c>
      <c r="E184" s="894" t="inlineStr">
        <is>
          <t>Rift</t>
        </is>
      </c>
      <c r="F184" s="919" t="n"/>
    </row>
    <row r="185">
      <c r="A185" s="917" t="n">
        <v>18</v>
      </c>
      <c r="B185" s="918" t="inlineStr">
        <is>
          <t>Fuenteovejuna</t>
        </is>
      </c>
      <c r="C185" s="907">
        <f>A185*8</f>
        <v/>
      </c>
      <c r="D185" s="915" t="inlineStr">
        <is>
          <t>Demon Minion Cloning SPD +9%; Per 30 Demon Minions in battle: Troop ATK +64</t>
        </is>
      </c>
      <c r="E185" s="894" t="inlineStr">
        <is>
          <t>Rift</t>
        </is>
      </c>
      <c r="F185" s="919" t="n"/>
    </row>
    <row r="186">
      <c r="A186" s="920" t="n">
        <v>19</v>
      </c>
      <c r="B186" s="921" t="inlineStr">
        <is>
          <t>Theory of Human Understanding</t>
        </is>
      </c>
      <c r="C186" s="907">
        <f>A186*8</f>
        <v/>
      </c>
      <c r="D186" s="922" t="inlineStr">
        <is>
          <t>Per 30 Mutant Minions in battle: Troop HP +360; Per 30 Mutant Minions in battle: Troop ATK +64</t>
        </is>
      </c>
      <c r="E186" s="894" t="inlineStr">
        <is>
          <t>Britland</t>
        </is>
      </c>
      <c r="F186" s="923" t="n"/>
    </row>
    <row r="187">
      <c r="A187" s="917" t="n">
        <v>20</v>
      </c>
      <c r="B187" s="918" t="inlineStr">
        <is>
          <t>Chiran Balan</t>
        </is>
      </c>
      <c r="C187" s="907">
        <f>A187*8</f>
        <v/>
      </c>
      <c r="D187" s="915" t="inlineStr">
        <is>
          <t>Snail ATK +70; Dragon Minion Cloning SPD +9%; Per 5 Dragon Gene LVLs researched, Snail ATK +18; Dragon Gene LVLs Researched: 150/150</t>
        </is>
      </c>
      <c r="E187" s="894" t="inlineStr">
        <is>
          <t>Rift</t>
        </is>
      </c>
      <c r="F187" s="919" t="n"/>
    </row>
    <row r="188">
      <c r="A188" s="905" t="n">
        <v>21</v>
      </c>
      <c r="B188" s="702" t="inlineStr">
        <is>
          <t>Antikythera Orb</t>
        </is>
      </c>
      <c r="C188" s="907">
        <f>A188*8</f>
        <v/>
      </c>
      <c r="D188" s="908" t="inlineStr">
        <is>
          <t>Per 30 T7+ Minions in battle, Troop HP +640; Per 3 TECH relics obtained, Snail ATK +18; TECH Relics Obtained: 60/60</t>
        </is>
      </c>
      <c r="E188" s="906" t="inlineStr">
        <is>
          <t>Hellas</t>
        </is>
      </c>
      <c r="F188" s="907" t="n"/>
    </row>
    <row r="189">
      <c r="A189" s="702" t="n">
        <v>22</v>
      </c>
      <c r="B189" s="702" t="inlineStr">
        <is>
          <t>Lunch on the Yacht</t>
        </is>
      </c>
      <c r="C189" s="907">
        <f>A189*8</f>
        <v/>
      </c>
      <c r="D189" s="908" t="inlineStr">
        <is>
          <t>Per 30 T7+ Minions in battle, Troop ATK +64; Per 6 Distinct Souls Offered, Priest-Snail Assistence DMG +72; Distinct Souls Offered: 300/300</t>
        </is>
      </c>
      <c r="E189" s="906" t="inlineStr">
        <is>
          <t>Rift</t>
        </is>
      </c>
      <c r="F189" s="907" t="n"/>
    </row>
    <row r="190">
      <c r="A190" s="702" t="n">
        <v>23</v>
      </c>
      <c r="B190" s="702" t="inlineStr">
        <is>
          <t>Thus Spoke Zarathustra</t>
        </is>
      </c>
      <c r="C190" s="907">
        <f>A190*8</f>
        <v/>
      </c>
      <c r="D190" s="908" t="inlineStr">
        <is>
          <t>Mutant Minion ATK +9%; Minion Healing SPD +8%</t>
        </is>
      </c>
      <c r="E190" s="906" t="inlineStr">
        <is>
          <t>Rift</t>
        </is>
      </c>
      <c r="F190" s="907" t="n"/>
    </row>
    <row r="191">
      <c r="A191" s="913" t="n">
        <v>24</v>
      </c>
      <c r="B191" s="914" t="inlineStr">
        <is>
          <t>Strapdown Inertial Navigation Technology</t>
        </is>
      </c>
      <c r="C191" s="907">
        <f>A191*8</f>
        <v/>
      </c>
      <c r="D191" s="915" t="inlineStr">
        <is>
          <t>Mecha Minion ATK +9%; Per apostle appointed, Priest-Snail Assistence DMG +72; Apostles appointed: 50/50; Protomons assist Snail in battle, and deal extra DMG +560</t>
        </is>
      </c>
      <c r="E191" s="894" t="inlineStr">
        <is>
          <t>Murika</t>
        </is>
      </c>
      <c r="F191" s="919" t="n"/>
    </row>
    <row r="192">
      <c r="A192" s="917" t="n">
        <v>25</v>
      </c>
      <c r="B192" s="918" t="inlineStr">
        <is>
          <t>Jade Cabbage</t>
        </is>
      </c>
      <c r="C192" s="907">
        <f>A192*8</f>
        <v/>
      </c>
      <c r="D192" s="915" t="inlineStr">
        <is>
          <t>Per 30 T7+ Minions in battle, Troop RUSH +64; Per 100 recruitment orders, Priest-Snail Assistence DMG +72; Recruitment Orders: 5000/5000</t>
        </is>
      </c>
      <c r="E192" s="894" t="inlineStr">
        <is>
          <t>Cathay</t>
        </is>
      </c>
      <c r="F192" s="919" t="n"/>
    </row>
    <row r="193">
      <c r="A193" s="917" t="n">
        <v>26</v>
      </c>
      <c r="B193" s="918" t="inlineStr">
        <is>
          <t>Those Who Count Sand</t>
        </is>
      </c>
      <c r="C193" s="907">
        <f>A193*8</f>
        <v/>
      </c>
      <c r="D193" s="915" t="inlineStr">
        <is>
          <t>Minion Healing SPD +4.5%; Per 30 T7+ Minions in battle, Troop DEF +64</t>
        </is>
      </c>
      <c r="E193" s="894" t="inlineStr">
        <is>
          <t>Hellas</t>
        </is>
      </c>
      <c r="F193" s="919" t="n"/>
    </row>
    <row r="194">
      <c r="A194" s="920" t="n">
        <v>27</v>
      </c>
      <c r="B194" s="921" t="inlineStr">
        <is>
          <t>Non-War Pact</t>
        </is>
      </c>
      <c r="C194" s="907">
        <f>A194*8</f>
        <v/>
      </c>
      <c r="D194" s="922" t="inlineStr">
        <is>
          <t>Zombie Minion HP +9%; Per 5 Mythic Protodex Stars, Priest-Troop Assistence DMG +216; Mythic Protodex Stars: 100/100; Protomons assist Troops in battle, and deal extra DMG +560</t>
        </is>
      </c>
      <c r="E194" s="894" t="inlineStr">
        <is>
          <t>Rift</t>
        </is>
      </c>
      <c r="F194" s="923" t="n"/>
    </row>
    <row r="195">
      <c r="A195" s="917" t="n">
        <v>28</v>
      </c>
      <c r="B195" s="918" t="inlineStr">
        <is>
          <t>Since the New World</t>
        </is>
      </c>
      <c r="C195" s="907">
        <f>A195*8</f>
        <v/>
      </c>
      <c r="D195" s="915" t="inlineStr">
        <is>
          <t>Per 30 T7+ Minions in battle: Troop ATK +64; Per 5 ART Relics Awakened, Priest-Snail Assistence DMG +216; ART Relics Awakened: 100/100</t>
        </is>
      </c>
      <c r="E195" s="894" t="inlineStr">
        <is>
          <t>Rift</t>
        </is>
      </c>
      <c r="F195" s="919" t="n"/>
    </row>
    <row r="196">
      <c r="A196" s="738" t="n"/>
      <c r="B196" s="738" t="n"/>
      <c r="C196" s="738" t="n"/>
      <c r="D196" s="738" t="n"/>
      <c r="E196" s="738" t="n"/>
      <c r="F196" s="738" t="n"/>
    </row>
  </sheetData>
  <conditionalFormatting sqref="A150:F150">
    <cfRule type="notContainsBlanks" priority="1" dxfId="31">
      <formula>LEN(TRIM(A150))&gt;0</formula>
    </cfRule>
  </conditionalFormatting>
  <dataValidations count="1">
    <dataValidation sqref="E2:E71 E80:E93 E99:E106 E112:E125 E130:E145 E151:E162 E168:E195" showDropDown="0" showInputMessage="0" showErrorMessage="1" allowBlank="1" type="list">
      <formula1>"Exploration,Gene Sim,Arena,Tadpole Pond,Fungus Farm,Time Machine,Lumber Camp,Quarry,Koryeo,Yamato,Cathay,Murika,Britland,Kemet,Hellas,Bharata,Rift,Biozilla,Dung Beetle,Surf Clam,Goldfish,Hamster,Mantis,Minion Sim,Prarie Sanctum,Desert Sanctum,Swamp Sanctu"&amp;"m,Arctic Sanctum,Forest Sanctum,Quantum Amp"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G32"/>
  <sheetViews>
    <sheetView workbookViewId="0">
      <selection activeCell="A1" sqref="A1"/>
    </sheetView>
  </sheetViews>
  <sheetFormatPr baseColWidth="8" defaultColWidth="9.18" defaultRowHeight="15" customHeight="1"/>
  <cols>
    <col width="7.82" customWidth="1" style="1128" min="1" max="1"/>
    <col width="7.09" customWidth="1" style="1128" min="2" max="2"/>
    <col width="29.91" customWidth="1" style="1128" min="3" max="3"/>
    <col width="7.82" customWidth="1" style="1128" min="5" max="5"/>
    <col width="6.45" customWidth="1" style="1128" min="6" max="6"/>
    <col width="17.82" customWidth="1" style="1128" min="7" max="7"/>
  </cols>
  <sheetData>
    <row r="1"/>
    <row r="2">
      <c r="A2" s="853" t="n"/>
      <c r="B2" s="738" t="n"/>
      <c r="C2" s="685" t="inlineStr">
        <is>
          <t>Nobleman</t>
        </is>
      </c>
      <c r="E2" s="853" t="n"/>
      <c r="F2" s="738" t="n"/>
      <c r="G2" s="685" t="inlineStr">
        <is>
          <t>RF</t>
        </is>
      </c>
    </row>
    <row r="3">
      <c r="A3" s="924" t="inlineStr">
        <is>
          <t>FAME</t>
        </is>
      </c>
      <c r="B3" s="425" t="inlineStr">
        <is>
          <t>SSS</t>
        </is>
      </c>
      <c r="C3" s="907" t="inlineStr">
        <is>
          <t>Lucy the Ape</t>
        </is>
      </c>
      <c r="E3" s="924" t="inlineStr">
        <is>
          <t>FAME</t>
        </is>
      </c>
      <c r="F3" s="425" t="inlineStr">
        <is>
          <t>SSS</t>
        </is>
      </c>
      <c r="G3" s="907" t="inlineStr">
        <is>
          <t>Science Magazine Vol.1</t>
        </is>
      </c>
    </row>
    <row r="4">
      <c r="A4" s="924" t="inlineStr">
        <is>
          <t>FAME</t>
        </is>
      </c>
      <c r="B4" s="425" t="inlineStr">
        <is>
          <t>SS</t>
        </is>
      </c>
      <c r="C4" s="907" t="inlineStr">
        <is>
          <t>Stockholm Declraration</t>
        </is>
      </c>
      <c r="E4" s="924" t="inlineStr">
        <is>
          <t>FAME</t>
        </is>
      </c>
      <c r="F4" s="425" t="inlineStr">
        <is>
          <t>SSS</t>
        </is>
      </c>
      <c r="G4" s="907" t="inlineStr">
        <is>
          <t>Terracotta Warriors</t>
        </is>
      </c>
    </row>
    <row r="5">
      <c r="A5" s="924" t="inlineStr">
        <is>
          <t>FAME</t>
        </is>
      </c>
      <c r="B5" s="425" t="inlineStr">
        <is>
          <t>AAA</t>
        </is>
      </c>
      <c r="C5" s="907" t="inlineStr">
        <is>
          <t>Burgundian Laws</t>
        </is>
      </c>
      <c r="E5" s="434" t="inlineStr">
        <is>
          <t>ART</t>
        </is>
      </c>
      <c r="F5" s="425" t="inlineStr">
        <is>
          <t>SSS</t>
        </is>
      </c>
      <c r="G5" s="907" t="inlineStr">
        <is>
          <t>Oxus Treasure</t>
        </is>
      </c>
    </row>
    <row r="6">
      <c r="A6" s="924" t="inlineStr">
        <is>
          <t>FAME</t>
        </is>
      </c>
      <c r="B6" s="425" t="inlineStr">
        <is>
          <t>Blue</t>
        </is>
      </c>
      <c r="C6" s="907" t="inlineStr">
        <is>
          <t>Theremin</t>
        </is>
      </c>
      <c r="E6" s="434" t="inlineStr">
        <is>
          <t>ART</t>
        </is>
      </c>
      <c r="F6" s="425" t="inlineStr">
        <is>
          <t>SSS</t>
        </is>
      </c>
      <c r="G6" s="907" t="inlineStr">
        <is>
          <t>Two-headed Serpent</t>
        </is>
      </c>
    </row>
    <row r="7">
      <c r="A7" s="924" t="inlineStr">
        <is>
          <t>FAME</t>
        </is>
      </c>
      <c r="B7" s="425" t="inlineStr">
        <is>
          <t>Blue</t>
        </is>
      </c>
      <c r="C7" s="907" t="inlineStr">
        <is>
          <t>The Final Communique</t>
        </is>
      </c>
      <c r="E7" s="434" t="inlineStr">
        <is>
          <t>FTH</t>
        </is>
      </c>
      <c r="F7" s="425" t="inlineStr">
        <is>
          <t>SSS</t>
        </is>
      </c>
      <c r="G7" s="907" t="inlineStr">
        <is>
          <t>Orpheus Egg</t>
        </is>
      </c>
    </row>
    <row r="8">
      <c r="A8" s="434" t="inlineStr">
        <is>
          <t>ART</t>
        </is>
      </c>
      <c r="B8" s="425" t="inlineStr">
        <is>
          <t>SSS</t>
        </is>
      </c>
      <c r="C8" s="907" t="inlineStr">
        <is>
          <t>Along the River</t>
        </is>
      </c>
      <c r="E8" s="434" t="inlineStr">
        <is>
          <t>FTH</t>
        </is>
      </c>
      <c r="F8" s="425" t="inlineStr">
        <is>
          <t>SSS</t>
        </is>
      </c>
      <c r="G8" s="907" t="inlineStr">
        <is>
          <t>Atlantis Crystal</t>
        </is>
      </c>
    </row>
    <row r="9">
      <c r="A9" s="434" t="inlineStr">
        <is>
          <t>ART</t>
        </is>
      </c>
      <c r="B9" s="425" t="inlineStr">
        <is>
          <t>SS</t>
        </is>
      </c>
      <c r="C9" s="907" t="inlineStr">
        <is>
          <t>Veiled Lady</t>
        </is>
      </c>
      <c r="E9" s="434" t="inlineStr">
        <is>
          <t>CIV</t>
        </is>
      </c>
      <c r="F9" s="425" t="inlineStr">
        <is>
          <t>SSS</t>
        </is>
      </c>
      <c r="G9" s="907" t="inlineStr">
        <is>
          <t>Arthur's Roundtable</t>
        </is>
      </c>
    </row>
    <row r="10">
      <c r="A10" s="434" t="inlineStr">
        <is>
          <t>ART</t>
        </is>
      </c>
      <c r="B10" s="425" t="inlineStr">
        <is>
          <t>AAA</t>
        </is>
      </c>
      <c r="C10" s="907" t="inlineStr">
        <is>
          <t>Lady with an Ermine</t>
        </is>
      </c>
      <c r="E10" s="434" t="inlineStr">
        <is>
          <t>CIV</t>
        </is>
      </c>
      <c r="F10" s="425" t="inlineStr">
        <is>
          <t>SSS</t>
        </is>
      </c>
      <c r="G10" s="907" t="inlineStr">
        <is>
          <t>Phaistos Disc</t>
        </is>
      </c>
    </row>
    <row r="11">
      <c r="A11" s="434" t="inlineStr">
        <is>
          <t>ART</t>
        </is>
      </c>
      <c r="B11" s="425" t="inlineStr">
        <is>
          <t>AA</t>
        </is>
      </c>
      <c r="C11" s="907" t="inlineStr">
        <is>
          <t>Mother and Daughter</t>
        </is>
      </c>
      <c r="E11" s="434" t="inlineStr">
        <is>
          <t>TECH</t>
        </is>
      </c>
      <c r="F11" s="425" t="inlineStr">
        <is>
          <t>SSS</t>
        </is>
      </c>
      <c r="G11" s="907" t="inlineStr">
        <is>
          <t>AH602</t>
        </is>
      </c>
    </row>
    <row r="12">
      <c r="A12" s="434" t="inlineStr">
        <is>
          <t>ART</t>
        </is>
      </c>
      <c r="B12" s="425" t="inlineStr">
        <is>
          <t>AA</t>
        </is>
      </c>
      <c r="C12" s="907" t="inlineStr">
        <is>
          <t>Ambika Statue</t>
        </is>
      </c>
      <c r="E12" s="362" t="inlineStr">
        <is>
          <t>TECH</t>
        </is>
      </c>
      <c r="F12" s="411" t="inlineStr">
        <is>
          <t>SSS</t>
        </is>
      </c>
      <c r="G12" s="909" t="inlineStr">
        <is>
          <t>Wilford's Engine</t>
        </is>
      </c>
    </row>
    <row r="13">
      <c r="A13" s="434" t="inlineStr">
        <is>
          <t>ART</t>
        </is>
      </c>
      <c r="B13" s="425" t="inlineStr">
        <is>
          <t>AA</t>
        </is>
      </c>
      <c r="C13" s="907" t="inlineStr">
        <is>
          <t>The Milkmaid</t>
        </is>
      </c>
    </row>
    <row r="14">
      <c r="A14" s="434" t="inlineStr">
        <is>
          <t>ART</t>
        </is>
      </c>
      <c r="B14" s="425" t="inlineStr">
        <is>
          <t>Blue</t>
        </is>
      </c>
      <c r="C14" s="907" t="inlineStr">
        <is>
          <t>Fall of Phaethon</t>
        </is>
      </c>
    </row>
    <row r="15">
      <c r="A15" s="434" t="inlineStr">
        <is>
          <t>ART</t>
        </is>
      </c>
      <c r="B15" s="425" t="inlineStr">
        <is>
          <t>Blue</t>
        </is>
      </c>
      <c r="C15" s="907" t="inlineStr">
        <is>
          <t>Maitreya in Meditation</t>
        </is>
      </c>
    </row>
    <row r="16">
      <c r="A16" s="434" t="inlineStr">
        <is>
          <t>FTH</t>
        </is>
      </c>
      <c r="B16" s="425" t="inlineStr">
        <is>
          <t>SSS</t>
        </is>
      </c>
      <c r="C16" s="907" t="inlineStr">
        <is>
          <t>Enuma Elish</t>
        </is>
      </c>
    </row>
    <row r="17">
      <c r="A17" s="434" t="inlineStr">
        <is>
          <t>FTH</t>
        </is>
      </c>
      <c r="B17" s="425" t="inlineStr">
        <is>
          <t>S</t>
        </is>
      </c>
      <c r="C17" s="907" t="inlineStr">
        <is>
          <t>Lamassu Statue</t>
        </is>
      </c>
    </row>
    <row r="18">
      <c r="A18" s="434" t="inlineStr">
        <is>
          <t>FTH</t>
        </is>
      </c>
      <c r="B18" s="425" t="inlineStr">
        <is>
          <t>AAA</t>
        </is>
      </c>
      <c r="C18" s="907" t="inlineStr">
        <is>
          <t>Divination Book</t>
        </is>
      </c>
    </row>
    <row r="19">
      <c r="A19" s="434" t="inlineStr">
        <is>
          <t>FTH</t>
        </is>
      </c>
      <c r="B19" s="425" t="inlineStr">
        <is>
          <t>AAA</t>
        </is>
      </c>
      <c r="C19" s="907" t="inlineStr">
        <is>
          <t>Cintamani</t>
        </is>
      </c>
    </row>
    <row r="20">
      <c r="A20" s="434" t="inlineStr">
        <is>
          <t>FTH</t>
        </is>
      </c>
      <c r="B20" s="425" t="inlineStr">
        <is>
          <t>AAA</t>
        </is>
      </c>
      <c r="C20" s="907" t="inlineStr">
        <is>
          <t>Bell of St. Maura</t>
        </is>
      </c>
    </row>
    <row r="21">
      <c r="A21" s="434" t="inlineStr">
        <is>
          <t>FTH</t>
        </is>
      </c>
      <c r="B21" s="425" t="inlineStr">
        <is>
          <t>Blue</t>
        </is>
      </c>
      <c r="C21" s="907" t="inlineStr">
        <is>
          <t>Innocent III Armorial</t>
        </is>
      </c>
    </row>
    <row r="22">
      <c r="A22" s="434" t="inlineStr">
        <is>
          <t>FTH</t>
        </is>
      </c>
      <c r="B22" s="425" t="inlineStr">
        <is>
          <t>Blue</t>
        </is>
      </c>
      <c r="C22" s="907" t="inlineStr">
        <is>
          <t>Aulos Pipe</t>
        </is>
      </c>
    </row>
    <row r="23">
      <c r="A23" s="434" t="inlineStr">
        <is>
          <t>FTH</t>
        </is>
      </c>
      <c r="B23" s="425" t="inlineStr">
        <is>
          <t>Blue</t>
        </is>
      </c>
      <c r="C23" s="907" t="inlineStr">
        <is>
          <t>Bastet Bronze Statue</t>
        </is>
      </c>
    </row>
    <row r="24">
      <c r="A24" s="434" t="inlineStr">
        <is>
          <t>CIV</t>
        </is>
      </c>
      <c r="B24" s="425" t="inlineStr">
        <is>
          <t>SSS</t>
        </is>
      </c>
      <c r="C24" s="907" t="inlineStr">
        <is>
          <t>Aesop's Fables</t>
        </is>
      </c>
    </row>
    <row r="25">
      <c r="A25" s="434" t="inlineStr">
        <is>
          <t>CIV</t>
        </is>
      </c>
      <c r="B25" s="425" t="inlineStr">
        <is>
          <t>AAA</t>
        </is>
      </c>
      <c r="C25" s="907" t="inlineStr">
        <is>
          <t>Indus Seal</t>
        </is>
      </c>
    </row>
    <row r="26">
      <c r="A26" s="434" t="inlineStr">
        <is>
          <t>CIV</t>
        </is>
      </c>
      <c r="B26" s="425" t="inlineStr">
        <is>
          <t>AA</t>
        </is>
      </c>
      <c r="C26" s="907" t="inlineStr">
        <is>
          <t>Hunting Heraldry</t>
        </is>
      </c>
    </row>
    <row r="27">
      <c r="A27" s="434" t="inlineStr">
        <is>
          <t>CIV</t>
        </is>
      </c>
      <c r="B27" s="425" t="inlineStr">
        <is>
          <t>A</t>
        </is>
      </c>
      <c r="C27" s="907" t="inlineStr">
        <is>
          <t>Hachiko Statue</t>
        </is>
      </c>
    </row>
    <row r="28">
      <c r="A28" s="434" t="inlineStr">
        <is>
          <t>TECH</t>
        </is>
      </c>
      <c r="B28" s="425" t="inlineStr">
        <is>
          <t>SSS</t>
        </is>
      </c>
      <c r="C28" s="907" t="inlineStr">
        <is>
          <t>Parker Solar Probe</t>
        </is>
      </c>
    </row>
    <row r="29">
      <c r="A29" s="434" t="inlineStr">
        <is>
          <t>TECH</t>
        </is>
      </c>
      <c r="B29" s="425" t="inlineStr">
        <is>
          <t>SS</t>
        </is>
      </c>
      <c r="C29" s="907" t="inlineStr">
        <is>
          <t>AMS</t>
        </is>
      </c>
    </row>
    <row r="30">
      <c r="A30" s="434" t="inlineStr">
        <is>
          <t>TECH</t>
        </is>
      </c>
      <c r="B30" s="425" t="inlineStr">
        <is>
          <t>AAA</t>
        </is>
      </c>
      <c r="C30" s="907" t="inlineStr">
        <is>
          <t>CAL 9000</t>
        </is>
      </c>
    </row>
    <row r="31">
      <c r="A31" s="434" t="inlineStr">
        <is>
          <t>TECH</t>
        </is>
      </c>
      <c r="B31" s="425" t="inlineStr">
        <is>
          <t>Blue</t>
        </is>
      </c>
      <c r="C31" s="907" t="inlineStr">
        <is>
          <t>Daguerreotype Camera</t>
        </is>
      </c>
    </row>
    <row r="32">
      <c r="A32" s="362" t="inlineStr">
        <is>
          <t>TECH</t>
        </is>
      </c>
      <c r="B32" s="411" t="inlineStr">
        <is>
          <t>Blue</t>
        </is>
      </c>
      <c r="C32" s="909" t="inlineStr">
        <is>
          <t>Spencer's Microwave</t>
        </is>
      </c>
    </row>
  </sheetData>
  <dataValidations count="2">
    <dataValidation sqref="B3:B32 F3:F12" showDropDown="0" showInputMessage="0" showErrorMessage="1" allowBlank="1" type="list">
      <formula1>"SSS,SS,S,AAA,AA,A,Blue,Green"</formula1>
    </dataValidation>
    <dataValidation sqref="A3:A32 E3:E12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O61"/>
  <sheetViews>
    <sheetView workbookViewId="0">
      <selection activeCell="A1" sqref="A1"/>
    </sheetView>
  </sheetViews>
  <sheetFormatPr baseColWidth="8" defaultColWidth="9.18" defaultRowHeight="15" customHeight="1"/>
  <cols>
    <col width="25.55" customWidth="1" style="1128" min="3" max="3"/>
    <col width="16.45" customWidth="1" style="1128" min="6" max="6"/>
    <col width="16.18" customWidth="1" style="1128" min="9" max="9"/>
    <col width="17.55" customWidth="1" style="1128" min="12" max="12"/>
    <col width="18" customWidth="1" style="1128" min="15" max="15"/>
  </cols>
  <sheetData>
    <row r="1">
      <c r="A1" s="1155" t="inlineStr">
        <is>
          <t>RF</t>
        </is>
      </c>
      <c r="B1" s="1140" t="n"/>
      <c r="C1" s="1140" t="n"/>
      <c r="D1" s="1140" t="n"/>
      <c r="E1" s="1140" t="n"/>
      <c r="F1" s="1140" t="n"/>
      <c r="G1" s="1140" t="n"/>
      <c r="H1" s="1140" t="n"/>
      <c r="I1" s="1140" t="n"/>
      <c r="J1" s="1140" t="n"/>
      <c r="K1" s="1140" t="n"/>
      <c r="L1" s="1140" t="n"/>
      <c r="M1" s="1140" t="n"/>
      <c r="N1" s="1140" t="n"/>
      <c r="O1" s="1129" t="n"/>
    </row>
    <row r="2">
      <c r="A2" s="1156" t="inlineStr">
        <is>
          <t>FAME</t>
        </is>
      </c>
      <c r="B2" s="1152" t="n"/>
      <c r="C2" s="1153" t="n"/>
      <c r="D2" s="1157" t="inlineStr">
        <is>
          <t>ART</t>
        </is>
      </c>
      <c r="E2" s="1152" t="n"/>
      <c r="F2" s="1153" t="n"/>
      <c r="G2" s="927" t="inlineStr">
        <is>
          <t>FTH</t>
        </is>
      </c>
      <c r="H2" s="1152" t="n"/>
      <c r="I2" s="1152" t="n"/>
      <c r="J2" s="1157" t="inlineStr">
        <is>
          <t>CIV</t>
        </is>
      </c>
      <c r="K2" s="1152" t="n"/>
      <c r="L2" s="1153" t="n"/>
      <c r="M2" s="1156" t="inlineStr">
        <is>
          <t>TECH</t>
        </is>
      </c>
      <c r="N2" s="1152" t="n"/>
      <c r="O2" s="1153" t="n"/>
    </row>
    <row r="3">
      <c r="A3" s="929" t="inlineStr">
        <is>
          <t>FAME</t>
        </is>
      </c>
      <c r="B3" s="930" t="inlineStr">
        <is>
          <t>SSS</t>
        </is>
      </c>
      <c r="C3" s="953" t="inlineStr">
        <is>
          <t>Albucasis Medical Codex</t>
        </is>
      </c>
      <c r="D3" s="932" t="inlineStr">
        <is>
          <t>ART</t>
        </is>
      </c>
      <c r="E3" s="930" t="inlineStr">
        <is>
          <t>SSS</t>
        </is>
      </c>
      <c r="F3" s="953" t="inlineStr">
        <is>
          <t>Along the River</t>
        </is>
      </c>
      <c r="G3" s="933" t="inlineStr">
        <is>
          <t>FTH</t>
        </is>
      </c>
      <c r="H3" s="934" t="inlineStr">
        <is>
          <t>SSS</t>
        </is>
      </c>
      <c r="I3" s="935" t="inlineStr">
        <is>
          <t>Enuma Elish</t>
        </is>
      </c>
      <c r="J3" s="932" t="inlineStr">
        <is>
          <t>CIV</t>
        </is>
      </c>
      <c r="K3" s="930" t="inlineStr">
        <is>
          <t>SSS</t>
        </is>
      </c>
      <c r="L3" s="936" t="inlineStr">
        <is>
          <t>Aeneid</t>
        </is>
      </c>
      <c r="M3" s="932" t="inlineStr">
        <is>
          <t>TECH</t>
        </is>
      </c>
      <c r="N3" s="930" t="inlineStr">
        <is>
          <t>SSS</t>
        </is>
      </c>
      <c r="O3" s="936" t="inlineStr">
        <is>
          <t>Ebers Papyrus</t>
        </is>
      </c>
    </row>
    <row r="4">
      <c r="A4" s="937" t="inlineStr">
        <is>
          <t>FAME</t>
        </is>
      </c>
      <c r="B4" s="938" t="inlineStr">
        <is>
          <t>SSS</t>
        </is>
      </c>
      <c r="C4" s="954" t="inlineStr">
        <is>
          <t>Cellular Pathology</t>
        </is>
      </c>
      <c r="D4" s="571" t="inlineStr">
        <is>
          <t>ART</t>
        </is>
      </c>
      <c r="E4" s="938" t="inlineStr">
        <is>
          <t>SSS</t>
        </is>
      </c>
      <c r="F4" s="954" t="inlineStr">
        <is>
          <t>Bronze Longhu Cup</t>
        </is>
      </c>
      <c r="G4" s="940" t="inlineStr">
        <is>
          <t>FTH</t>
        </is>
      </c>
      <c r="H4" s="941" t="inlineStr">
        <is>
          <t>SSS</t>
        </is>
      </c>
      <c r="I4" s="944" t="inlineStr">
        <is>
          <t>Medium Rune</t>
        </is>
      </c>
      <c r="J4" s="571" t="inlineStr">
        <is>
          <t>CIV</t>
        </is>
      </c>
      <c r="K4" s="938" t="inlineStr">
        <is>
          <t>SSS</t>
        </is>
      </c>
      <c r="L4" s="954" t="inlineStr">
        <is>
          <t>Aesop's Fables</t>
        </is>
      </c>
      <c r="M4" s="571" t="inlineStr">
        <is>
          <t>TECH</t>
        </is>
      </c>
      <c r="N4" s="938" t="inlineStr">
        <is>
          <t>SSS</t>
        </is>
      </c>
      <c r="O4" s="943" t="inlineStr">
        <is>
          <t>Kola Drilling Rig</t>
        </is>
      </c>
    </row>
    <row r="5">
      <c r="A5" s="929" t="inlineStr">
        <is>
          <t>FAME</t>
        </is>
      </c>
      <c r="B5" s="930" t="inlineStr">
        <is>
          <t>SSS</t>
        </is>
      </c>
      <c r="C5" s="953" t="inlineStr">
        <is>
          <t>CCD</t>
        </is>
      </c>
      <c r="D5" s="932" t="inlineStr">
        <is>
          <t>ART</t>
        </is>
      </c>
      <c r="E5" s="930" t="inlineStr">
        <is>
          <t>SSS</t>
        </is>
      </c>
      <c r="F5" s="953" t="inlineStr">
        <is>
          <t>Capitoline Wolf</t>
        </is>
      </c>
      <c r="G5" s="933" t="inlineStr">
        <is>
          <t>FTH</t>
        </is>
      </c>
      <c r="H5" s="934" t="inlineStr">
        <is>
          <t>SSS</t>
        </is>
      </c>
      <c r="I5" s="935" t="inlineStr">
        <is>
          <t>Statue of Isis</t>
        </is>
      </c>
      <c r="J5" s="932" t="inlineStr">
        <is>
          <t>CIV</t>
        </is>
      </c>
      <c r="K5" s="930" t="inlineStr">
        <is>
          <t>SSS</t>
        </is>
      </c>
      <c r="L5" s="953" t="inlineStr">
        <is>
          <t>Cyrus Cylinder</t>
        </is>
      </c>
      <c r="M5" s="932" t="inlineStr">
        <is>
          <t>TECH</t>
        </is>
      </c>
      <c r="N5" s="930" t="inlineStr">
        <is>
          <t>SSS</t>
        </is>
      </c>
      <c r="O5" s="953" t="inlineStr">
        <is>
          <t>MoCA</t>
        </is>
      </c>
    </row>
    <row r="6">
      <c r="A6" s="937" t="inlineStr">
        <is>
          <t>FAME</t>
        </is>
      </c>
      <c r="B6" s="938" t="inlineStr">
        <is>
          <t>SSS</t>
        </is>
      </c>
      <c r="C6" s="943" t="inlineStr">
        <is>
          <t>Convention on the Law of the Sea</t>
        </is>
      </c>
      <c r="D6" s="571" t="inlineStr">
        <is>
          <t>ART</t>
        </is>
      </c>
      <c r="E6" s="938" t="inlineStr">
        <is>
          <t>SSS</t>
        </is>
      </c>
      <c r="F6" s="954" t="inlineStr">
        <is>
          <t>Chang'e and Laurel</t>
        </is>
      </c>
      <c r="G6" s="940" t="inlineStr">
        <is>
          <t>FTH</t>
        </is>
      </c>
      <c r="H6" s="941" t="inlineStr">
        <is>
          <t>SSS</t>
        </is>
      </c>
      <c r="I6" s="944" t="inlineStr">
        <is>
          <t>Celestial Throne</t>
        </is>
      </c>
      <c r="J6" s="571" t="inlineStr">
        <is>
          <t>CIV</t>
        </is>
      </c>
      <c r="K6" s="938" t="inlineStr">
        <is>
          <t>SSS</t>
        </is>
      </c>
      <c r="L6" s="943" t="inlineStr">
        <is>
          <t>Kao Gong Ji</t>
        </is>
      </c>
      <c r="M6" s="571" t="inlineStr">
        <is>
          <t>TECH</t>
        </is>
      </c>
      <c r="N6" s="938" t="inlineStr">
        <is>
          <t>SSS</t>
        </is>
      </c>
      <c r="O6" s="954" t="inlineStr">
        <is>
          <t>Parker Solar Probe</t>
        </is>
      </c>
    </row>
    <row r="7">
      <c r="A7" s="929" t="inlineStr">
        <is>
          <t>FAME</t>
        </is>
      </c>
      <c r="B7" s="930" t="inlineStr">
        <is>
          <t>SSS</t>
        </is>
      </c>
      <c r="C7" s="953" t="inlineStr">
        <is>
          <t>Geneva Declaration</t>
        </is>
      </c>
      <c r="D7" s="932" t="inlineStr">
        <is>
          <t>ART</t>
        </is>
      </c>
      <c r="E7" s="930" t="inlineStr">
        <is>
          <t>SSS</t>
        </is>
      </c>
      <c r="F7" s="936" t="inlineStr">
        <is>
          <t>Five Oxen</t>
        </is>
      </c>
      <c r="G7" s="933" t="inlineStr">
        <is>
          <t>FTH</t>
        </is>
      </c>
      <c r="H7" s="934" t="inlineStr">
        <is>
          <t>SS</t>
        </is>
      </c>
      <c r="I7" s="935" t="inlineStr">
        <is>
          <t>Bhagavata Purana</t>
        </is>
      </c>
      <c r="J7" s="932" t="inlineStr">
        <is>
          <t>CIV</t>
        </is>
      </c>
      <c r="K7" s="930" t="inlineStr">
        <is>
          <t>SSS</t>
        </is>
      </c>
      <c r="L7" s="936" t="inlineStr">
        <is>
          <t>Lotus Lantern</t>
        </is>
      </c>
      <c r="M7" s="932" t="inlineStr">
        <is>
          <t>TECH</t>
        </is>
      </c>
      <c r="N7" s="930" t="inlineStr">
        <is>
          <t>SSS</t>
        </is>
      </c>
      <c r="O7" s="936" t="inlineStr">
        <is>
          <t>Riemann Hypothesis</t>
        </is>
      </c>
    </row>
    <row r="8">
      <c r="A8" s="937" t="inlineStr">
        <is>
          <t>FAME</t>
        </is>
      </c>
      <c r="B8" s="938" t="inlineStr">
        <is>
          <t>SSS</t>
        </is>
      </c>
      <c r="C8" s="954" t="inlineStr">
        <is>
          <t>Kanner's Report</t>
        </is>
      </c>
      <c r="D8" s="571" t="inlineStr">
        <is>
          <t>ART</t>
        </is>
      </c>
      <c r="E8" s="938" t="inlineStr">
        <is>
          <t>SSS</t>
        </is>
      </c>
      <c r="F8" s="954" t="inlineStr">
        <is>
          <t>Ink Chrysanths</t>
        </is>
      </c>
      <c r="G8" s="940" t="inlineStr">
        <is>
          <t>FTH</t>
        </is>
      </c>
      <c r="H8" s="941" t="inlineStr">
        <is>
          <t>SS</t>
        </is>
      </c>
      <c r="I8" s="944" t="inlineStr">
        <is>
          <t>Dream Stele</t>
        </is>
      </c>
      <c r="J8" s="571" t="inlineStr">
        <is>
          <t>CIV</t>
        </is>
      </c>
      <c r="K8" s="938" t="inlineStr">
        <is>
          <t>SSS</t>
        </is>
      </c>
      <c r="L8" s="943" t="inlineStr">
        <is>
          <t>Nanhua Sutra</t>
        </is>
      </c>
      <c r="M8" s="571" t="inlineStr">
        <is>
          <t>TECH</t>
        </is>
      </c>
      <c r="N8" s="938" t="inlineStr">
        <is>
          <t>SSS</t>
        </is>
      </c>
      <c r="O8" s="943" t="inlineStr">
        <is>
          <t>Surgery Robot</t>
        </is>
      </c>
    </row>
    <row r="9">
      <c r="A9" s="929" t="inlineStr">
        <is>
          <t>FAME</t>
        </is>
      </c>
      <c r="B9" s="930" t="inlineStr">
        <is>
          <t>SSS</t>
        </is>
      </c>
      <c r="C9" s="953" t="inlineStr">
        <is>
          <t>Lucy the Ape</t>
        </is>
      </c>
      <c r="D9" s="932" t="inlineStr">
        <is>
          <t>ART</t>
        </is>
      </c>
      <c r="E9" s="930" t="inlineStr">
        <is>
          <t>SSS</t>
        </is>
      </c>
      <c r="F9" s="953" t="inlineStr">
        <is>
          <t>Mystic Mountain</t>
        </is>
      </c>
      <c r="G9" s="933" t="inlineStr">
        <is>
          <t>FTH</t>
        </is>
      </c>
      <c r="H9" s="934" t="inlineStr">
        <is>
          <t>SS</t>
        </is>
      </c>
      <c r="I9" s="935" t="inlineStr">
        <is>
          <t>R'lyeh Text</t>
        </is>
      </c>
      <c r="J9" s="932" t="inlineStr">
        <is>
          <t>CIV</t>
        </is>
      </c>
      <c r="K9" s="930" t="inlineStr">
        <is>
          <t>SSS</t>
        </is>
      </c>
      <c r="L9" s="953" t="inlineStr">
        <is>
          <t>Shahnameh</t>
        </is>
      </c>
      <c r="M9" s="932" t="inlineStr">
        <is>
          <t>TECH</t>
        </is>
      </c>
      <c r="N9" s="930" t="inlineStr">
        <is>
          <t>SSS</t>
        </is>
      </c>
      <c r="O9" s="953" t="inlineStr">
        <is>
          <t>The Works of Nature</t>
        </is>
      </c>
    </row>
    <row r="10">
      <c r="A10" s="937" t="inlineStr">
        <is>
          <t>FAME</t>
        </is>
      </c>
      <c r="B10" s="938" t="inlineStr">
        <is>
          <t>SSS</t>
        </is>
      </c>
      <c r="C10" s="954" t="inlineStr">
        <is>
          <t>Metchnikoff's Notes</t>
        </is>
      </c>
      <c r="D10" s="571" t="inlineStr">
        <is>
          <t>ART</t>
        </is>
      </c>
      <c r="E10" s="938" t="inlineStr">
        <is>
          <t>SSS</t>
        </is>
      </c>
      <c r="F10" s="954" t="inlineStr">
        <is>
          <t>Ode to Joy</t>
        </is>
      </c>
      <c r="G10" s="940" t="inlineStr">
        <is>
          <t>FTH</t>
        </is>
      </c>
      <c r="H10" s="941" t="inlineStr">
        <is>
          <t>SS</t>
        </is>
      </c>
      <c r="I10" s="944" t="inlineStr">
        <is>
          <t>Silmarils</t>
        </is>
      </c>
      <c r="J10" s="571" t="inlineStr">
        <is>
          <t>CIV</t>
        </is>
      </c>
      <c r="K10" s="938" t="inlineStr">
        <is>
          <t>SSS</t>
        </is>
      </c>
      <c r="L10" s="954" t="inlineStr">
        <is>
          <t>Tao Te Ching</t>
        </is>
      </c>
      <c r="M10" s="571" t="inlineStr">
        <is>
          <t>TECH</t>
        </is>
      </c>
      <c r="N10" s="938" t="inlineStr">
        <is>
          <t>SS</t>
        </is>
      </c>
      <c r="O10" s="954" t="inlineStr">
        <is>
          <t>AMS</t>
        </is>
      </c>
    </row>
    <row r="11">
      <c r="A11" s="929" t="inlineStr">
        <is>
          <t>FAME</t>
        </is>
      </c>
      <c r="B11" s="930" t="inlineStr">
        <is>
          <t>SSS</t>
        </is>
      </c>
      <c r="C11" s="953" t="inlineStr">
        <is>
          <t>Olympic Charter</t>
        </is>
      </c>
      <c r="D11" s="932" t="inlineStr">
        <is>
          <t>ART</t>
        </is>
      </c>
      <c r="E11" s="930" t="inlineStr">
        <is>
          <t>SSS</t>
        </is>
      </c>
      <c r="F11" s="953" t="inlineStr">
        <is>
          <t>Pearl Earring Girl</t>
        </is>
      </c>
      <c r="G11" s="933" t="inlineStr">
        <is>
          <t>FTH</t>
        </is>
      </c>
      <c r="H11" s="934" t="inlineStr">
        <is>
          <t>S</t>
        </is>
      </c>
      <c r="I11" s="935" t="inlineStr">
        <is>
          <t>Bimaran Casket</t>
        </is>
      </c>
      <c r="J11" s="932" t="inlineStr">
        <is>
          <t>CIV</t>
        </is>
      </c>
      <c r="K11" s="930" t="inlineStr">
        <is>
          <t>SSS</t>
        </is>
      </c>
      <c r="L11" s="936" t="inlineStr">
        <is>
          <t>The Standard of Ur</t>
        </is>
      </c>
      <c r="M11" s="932" t="inlineStr">
        <is>
          <t>TECH</t>
        </is>
      </c>
      <c r="N11" s="930" t="inlineStr">
        <is>
          <t>SS</t>
        </is>
      </c>
      <c r="O11" s="953" t="inlineStr">
        <is>
          <t>Ruska's Microscope</t>
        </is>
      </c>
    </row>
    <row r="12">
      <c r="A12" s="571" t="inlineStr">
        <is>
          <t>FAME</t>
        </is>
      </c>
      <c r="B12" s="938" t="inlineStr">
        <is>
          <t>SSS</t>
        </is>
      </c>
      <c r="C12" s="954" t="inlineStr">
        <is>
          <t>Pillars of Creation</t>
        </is>
      </c>
      <c r="D12" s="571" t="inlineStr">
        <is>
          <t>ART</t>
        </is>
      </c>
      <c r="E12" s="938" t="inlineStr">
        <is>
          <t>SSS</t>
        </is>
      </c>
      <c r="F12" s="954" t="inlineStr">
        <is>
          <t>The Birth of Venus</t>
        </is>
      </c>
      <c r="G12" s="940" t="inlineStr">
        <is>
          <t>FTH</t>
        </is>
      </c>
      <c r="H12" s="941" t="inlineStr">
        <is>
          <t>S</t>
        </is>
      </c>
      <c r="I12" s="944" t="inlineStr">
        <is>
          <t>Lamassu Statue</t>
        </is>
      </c>
      <c r="J12" s="571" t="inlineStr">
        <is>
          <t>CIV</t>
        </is>
      </c>
      <c r="K12" s="938" t="inlineStr">
        <is>
          <t>SSS</t>
        </is>
      </c>
      <c r="L12" s="954" t="inlineStr">
        <is>
          <t>Ulysses</t>
        </is>
      </c>
      <c r="M12" s="571" t="inlineStr">
        <is>
          <t>TECH</t>
        </is>
      </c>
      <c r="N12" s="938" t="inlineStr">
        <is>
          <t>SS</t>
        </is>
      </c>
      <c r="O12" s="954" t="inlineStr">
        <is>
          <t>Rutherford Model</t>
        </is>
      </c>
    </row>
    <row r="13">
      <c r="A13" s="932" t="inlineStr">
        <is>
          <t>FAME</t>
        </is>
      </c>
      <c r="B13" s="930" t="inlineStr">
        <is>
          <t>SS</t>
        </is>
      </c>
      <c r="C13" s="953" t="inlineStr">
        <is>
          <t>Cross of Lorraine</t>
        </is>
      </c>
      <c r="D13" s="932" t="inlineStr">
        <is>
          <t>ART</t>
        </is>
      </c>
      <c r="E13" s="930" t="inlineStr">
        <is>
          <t>SS</t>
        </is>
      </c>
      <c r="F13" s="953" t="inlineStr">
        <is>
          <t>Hermes &amp; Dionysus</t>
        </is>
      </c>
      <c r="G13" s="933" t="inlineStr">
        <is>
          <t>FTH</t>
        </is>
      </c>
      <c r="H13" s="934" t="inlineStr">
        <is>
          <t>AAA</t>
        </is>
      </c>
      <c r="I13" s="935" t="inlineStr">
        <is>
          <t>Arabian Bronze Hand</t>
        </is>
      </c>
      <c r="J13" s="932" t="inlineStr">
        <is>
          <t>CIV</t>
        </is>
      </c>
      <c r="K13" s="930" t="inlineStr">
        <is>
          <t>SS</t>
        </is>
      </c>
      <c r="L13" s="953" t="inlineStr">
        <is>
          <t>Eight Proposals</t>
        </is>
      </c>
      <c r="M13" s="932" t="inlineStr">
        <is>
          <t>TECH</t>
        </is>
      </c>
      <c r="N13" s="930" t="inlineStr">
        <is>
          <t>SS</t>
        </is>
      </c>
      <c r="O13" s="953" t="inlineStr">
        <is>
          <t>SC Energy Storage Unit</t>
        </is>
      </c>
    </row>
    <row r="14">
      <c r="A14" s="571" t="inlineStr">
        <is>
          <t>FAME</t>
        </is>
      </c>
      <c r="B14" s="938" t="inlineStr">
        <is>
          <t>SS</t>
        </is>
      </c>
      <c r="C14" s="954" t="inlineStr">
        <is>
          <t>Grimmy Award</t>
        </is>
      </c>
      <c r="D14" s="571" t="inlineStr">
        <is>
          <t>ART</t>
        </is>
      </c>
      <c r="E14" s="938" t="inlineStr">
        <is>
          <t>SS</t>
        </is>
      </c>
      <c r="F14" s="954" t="inlineStr">
        <is>
          <t>Panther Brooch</t>
        </is>
      </c>
      <c r="G14" s="940" t="inlineStr">
        <is>
          <t>FTH</t>
        </is>
      </c>
      <c r="H14" s="941" t="inlineStr">
        <is>
          <t>AAA</t>
        </is>
      </c>
      <c r="I14" s="944" t="inlineStr">
        <is>
          <t>Benben</t>
        </is>
      </c>
      <c r="J14" s="571" t="inlineStr">
        <is>
          <t>CIV</t>
        </is>
      </c>
      <c r="K14" s="938" t="inlineStr">
        <is>
          <t>SS</t>
        </is>
      </c>
      <c r="L14" s="954" t="inlineStr">
        <is>
          <t>Harem Wall Painting</t>
        </is>
      </c>
      <c r="M14" s="571" t="inlineStr">
        <is>
          <t>TECH</t>
        </is>
      </c>
      <c r="N14" s="938" t="inlineStr">
        <is>
          <t>S</t>
        </is>
      </c>
      <c r="O14" s="954" t="inlineStr">
        <is>
          <t>CRISPR</t>
        </is>
      </c>
    </row>
    <row r="15">
      <c r="A15" s="932" t="inlineStr">
        <is>
          <t>FAME</t>
        </is>
      </c>
      <c r="B15" s="930" t="inlineStr">
        <is>
          <t>SS</t>
        </is>
      </c>
      <c r="C15" s="953" t="inlineStr">
        <is>
          <t>Stockholm Declaration</t>
        </is>
      </c>
      <c r="D15" s="932" t="inlineStr">
        <is>
          <t>ART</t>
        </is>
      </c>
      <c r="E15" s="930" t="inlineStr">
        <is>
          <t>SS</t>
        </is>
      </c>
      <c r="F15" s="953" t="inlineStr">
        <is>
          <t>Swimming Reindeer</t>
        </is>
      </c>
      <c r="G15" s="933" t="inlineStr">
        <is>
          <t>FTH</t>
        </is>
      </c>
      <c r="H15" s="934" t="inlineStr">
        <is>
          <t>AAA</t>
        </is>
      </c>
      <c r="I15" s="935" t="inlineStr">
        <is>
          <t>Divination Book</t>
        </is>
      </c>
      <c r="J15" s="932" t="inlineStr">
        <is>
          <t>CIV</t>
        </is>
      </c>
      <c r="K15" s="930" t="inlineStr">
        <is>
          <t>SS</t>
        </is>
      </c>
      <c r="L15" s="953" t="inlineStr">
        <is>
          <t>Kojiki</t>
        </is>
      </c>
      <c r="M15" s="932" t="inlineStr">
        <is>
          <t>TECH</t>
        </is>
      </c>
      <c r="N15" s="930" t="inlineStr">
        <is>
          <t>S</t>
        </is>
      </c>
      <c r="O15" s="953" t="inlineStr">
        <is>
          <t>Diffraction Device</t>
        </is>
      </c>
    </row>
    <row r="16">
      <c r="A16" s="571" t="inlineStr">
        <is>
          <t>FAME</t>
        </is>
      </c>
      <c r="B16" s="938" t="inlineStr">
        <is>
          <t>SS</t>
        </is>
      </c>
      <c r="C16" s="954" t="inlineStr">
        <is>
          <t>Zircon of Jack Hills</t>
        </is>
      </c>
      <c r="D16" s="571" t="inlineStr">
        <is>
          <t>ART</t>
        </is>
      </c>
      <c r="E16" s="938" t="inlineStr">
        <is>
          <t>SS</t>
        </is>
      </c>
      <c r="F16" s="954" t="inlineStr">
        <is>
          <t>Veiled Lady</t>
        </is>
      </c>
      <c r="G16" s="940" t="inlineStr">
        <is>
          <t>FTH</t>
        </is>
      </c>
      <c r="H16" s="941" t="inlineStr">
        <is>
          <t>AAA</t>
        </is>
      </c>
      <c r="I16" s="944" t="inlineStr">
        <is>
          <t>Nemean Lion's Hide</t>
        </is>
      </c>
      <c r="J16" s="571" t="inlineStr">
        <is>
          <t>CIV</t>
        </is>
      </c>
      <c r="K16" s="938" t="inlineStr">
        <is>
          <t>SS</t>
        </is>
      </c>
      <c r="L16" s="954" t="inlineStr">
        <is>
          <t>Trajan's Column</t>
        </is>
      </c>
      <c r="M16" s="571" t="inlineStr">
        <is>
          <t>TECH</t>
        </is>
      </c>
      <c r="N16" s="938" t="inlineStr">
        <is>
          <t>AAA</t>
        </is>
      </c>
      <c r="O16" s="954" t="inlineStr">
        <is>
          <t>CAL 9000</t>
        </is>
      </c>
    </row>
    <row r="17">
      <c r="A17" s="932" t="inlineStr">
        <is>
          <t>FAME</t>
        </is>
      </c>
      <c r="B17" s="930" t="inlineStr">
        <is>
          <t>S</t>
        </is>
      </c>
      <c r="C17" s="953" t="inlineStr">
        <is>
          <t>The Kiss</t>
        </is>
      </c>
      <c r="D17" s="932" t="inlineStr">
        <is>
          <t>ART</t>
        </is>
      </c>
      <c r="E17" s="930" t="inlineStr">
        <is>
          <t>S</t>
        </is>
      </c>
      <c r="F17" s="953" t="inlineStr">
        <is>
          <t>Head of Sargon</t>
        </is>
      </c>
      <c r="G17" s="933" t="inlineStr">
        <is>
          <t>FTH</t>
        </is>
      </c>
      <c r="H17" s="934" t="inlineStr">
        <is>
          <t>AAA</t>
        </is>
      </c>
      <c r="I17" s="935" t="inlineStr">
        <is>
          <t>Penglai Jade Branch</t>
        </is>
      </c>
      <c r="J17" s="932" t="inlineStr">
        <is>
          <t>CIV</t>
        </is>
      </c>
      <c r="K17" s="930" t="inlineStr">
        <is>
          <t>S</t>
        </is>
      </c>
      <c r="L17" s="953" t="inlineStr">
        <is>
          <t>Palermo Stone</t>
        </is>
      </c>
      <c r="M17" s="932" t="inlineStr">
        <is>
          <t>TECH</t>
        </is>
      </c>
      <c r="N17" s="930" t="inlineStr">
        <is>
          <t>AAA</t>
        </is>
      </c>
      <c r="O17" s="953" t="inlineStr">
        <is>
          <t>Control Unit</t>
        </is>
      </c>
    </row>
    <row r="18">
      <c r="A18" s="571" t="inlineStr">
        <is>
          <t>FAME</t>
        </is>
      </c>
      <c r="B18" s="938" t="inlineStr">
        <is>
          <t>S</t>
        </is>
      </c>
      <c r="C18" s="954" t="inlineStr">
        <is>
          <t>Wealth Magazine Vol.1</t>
        </is>
      </c>
      <c r="D18" s="571" t="inlineStr">
        <is>
          <t>ART</t>
        </is>
      </c>
      <c r="E18" s="938" t="inlineStr">
        <is>
          <t>S</t>
        </is>
      </c>
      <c r="F18" s="954" t="inlineStr">
        <is>
          <t>Suger's Eagle</t>
        </is>
      </c>
      <c r="G18" s="940" t="inlineStr">
        <is>
          <t>FTH</t>
        </is>
      </c>
      <c r="H18" s="941" t="inlineStr">
        <is>
          <t>AAA</t>
        </is>
      </c>
      <c r="I18" s="944" t="inlineStr">
        <is>
          <t>Popol Vuh</t>
        </is>
      </c>
      <c r="J18" s="571" t="inlineStr">
        <is>
          <t>CIV</t>
        </is>
      </c>
      <c r="K18" s="938" t="inlineStr">
        <is>
          <t>S</t>
        </is>
      </c>
      <c r="L18" s="954" t="inlineStr">
        <is>
          <t>Pride &amp; Prejudice</t>
        </is>
      </c>
      <c r="M18" s="571" t="inlineStr">
        <is>
          <t>TECH</t>
        </is>
      </c>
      <c r="N18" s="938" t="inlineStr">
        <is>
          <t>AAA</t>
        </is>
      </c>
      <c r="O18" s="954" t="inlineStr">
        <is>
          <t>De Motu Cordis Model</t>
        </is>
      </c>
    </row>
    <row r="19">
      <c r="A19" s="932" t="inlineStr">
        <is>
          <t>FAME</t>
        </is>
      </c>
      <c r="B19" s="930" t="inlineStr">
        <is>
          <t>AAA</t>
        </is>
      </c>
      <c r="C19" s="953" t="inlineStr">
        <is>
          <t>Adari 2600</t>
        </is>
      </c>
      <c r="D19" s="932" t="inlineStr">
        <is>
          <t>ART</t>
        </is>
      </c>
      <c r="E19" s="930" t="inlineStr">
        <is>
          <t>AAA</t>
        </is>
      </c>
      <c r="F19" s="953" t="inlineStr">
        <is>
          <t>Annunciation</t>
        </is>
      </c>
      <c r="G19" s="933" t="inlineStr">
        <is>
          <t>FTH</t>
        </is>
      </c>
      <c r="H19" s="934" t="inlineStr">
        <is>
          <t>AAA</t>
        </is>
      </c>
      <c r="I19" s="935" t="inlineStr">
        <is>
          <t>The Bell of St Mura</t>
        </is>
      </c>
      <c r="J19" s="932" t="inlineStr">
        <is>
          <t>CIV</t>
        </is>
      </c>
      <c r="K19" s="930" t="inlineStr">
        <is>
          <t>AAA</t>
        </is>
      </c>
      <c r="L19" s="953" t="inlineStr">
        <is>
          <t>A Tale of Two Cities</t>
        </is>
      </c>
      <c r="M19" s="932" t="inlineStr">
        <is>
          <t>TECH</t>
        </is>
      </c>
      <c r="N19" s="930" t="inlineStr">
        <is>
          <t>AAA</t>
        </is>
      </c>
      <c r="O19" s="953" t="inlineStr">
        <is>
          <t>Euler's Scripts</t>
        </is>
      </c>
    </row>
    <row r="20">
      <c r="A20" s="571" t="inlineStr">
        <is>
          <t>FAME</t>
        </is>
      </c>
      <c r="B20" s="938" t="inlineStr">
        <is>
          <t>AAA</t>
        </is>
      </c>
      <c r="C20" s="954" t="inlineStr">
        <is>
          <t>Burgundian Laws</t>
        </is>
      </c>
      <c r="D20" s="571" t="inlineStr">
        <is>
          <t>ART</t>
        </is>
      </c>
      <c r="E20" s="938" t="inlineStr">
        <is>
          <t>AAA</t>
        </is>
      </c>
      <c r="F20" s="954" t="inlineStr">
        <is>
          <t>Dragonfly-woman</t>
        </is>
      </c>
      <c r="G20" s="940" t="inlineStr">
        <is>
          <t>FTH</t>
        </is>
      </c>
      <c r="H20" s="941" t="inlineStr">
        <is>
          <t>AAA</t>
        </is>
      </c>
      <c r="I20" s="944" t="inlineStr">
        <is>
          <t>Theogony</t>
        </is>
      </c>
      <c r="J20" s="571" t="inlineStr">
        <is>
          <t>CIV</t>
        </is>
      </c>
      <c r="K20" s="938" t="inlineStr">
        <is>
          <t>AAA</t>
        </is>
      </c>
      <c r="L20" s="954" t="inlineStr">
        <is>
          <t>Chidori Incense Burner</t>
        </is>
      </c>
      <c r="M20" s="571" t="inlineStr">
        <is>
          <t>TECH</t>
        </is>
      </c>
      <c r="N20" s="938" t="inlineStr">
        <is>
          <t>AAA</t>
        </is>
      </c>
      <c r="O20" s="954" t="inlineStr">
        <is>
          <t>Fleming's Diode</t>
        </is>
      </c>
    </row>
    <row r="21">
      <c r="A21" s="932" t="inlineStr">
        <is>
          <t>FAME</t>
        </is>
      </c>
      <c r="B21" s="930" t="inlineStr">
        <is>
          <t>AAA</t>
        </is>
      </c>
      <c r="C21" s="953" t="inlineStr">
        <is>
          <t>Economy World Vol.1</t>
        </is>
      </c>
      <c r="D21" s="932" t="inlineStr">
        <is>
          <t>ART</t>
        </is>
      </c>
      <c r="E21" s="930" t="inlineStr">
        <is>
          <t>AAA</t>
        </is>
      </c>
      <c r="F21" s="953" t="inlineStr">
        <is>
          <t>Gem Globe</t>
        </is>
      </c>
      <c r="G21" s="945" t="inlineStr">
        <is>
          <t>FTH</t>
        </is>
      </c>
      <c r="H21" s="946" t="inlineStr">
        <is>
          <t>AAA</t>
        </is>
      </c>
      <c r="I21" s="947" t="inlineStr">
        <is>
          <t>Xiuhtecuhtli Mask</t>
        </is>
      </c>
      <c r="J21" s="932" t="inlineStr">
        <is>
          <t>CIV</t>
        </is>
      </c>
      <c r="K21" s="930" t="inlineStr">
        <is>
          <t>AAA</t>
        </is>
      </c>
      <c r="L21" s="953" t="inlineStr">
        <is>
          <t>Count of Monty Christi</t>
        </is>
      </c>
      <c r="M21" s="932" t="inlineStr">
        <is>
          <t>TECH</t>
        </is>
      </c>
      <c r="N21" s="930" t="inlineStr">
        <is>
          <t>AAA</t>
        </is>
      </c>
      <c r="O21" s="953" t="inlineStr">
        <is>
          <t>Kekule Structure</t>
        </is>
      </c>
    </row>
    <row r="22">
      <c r="A22" s="571" t="inlineStr">
        <is>
          <t>FAME</t>
        </is>
      </c>
      <c r="B22" s="938" t="inlineStr">
        <is>
          <t>AAA</t>
        </is>
      </c>
      <c r="C22" s="954" t="inlineStr">
        <is>
          <t>Erdapfel</t>
        </is>
      </c>
      <c r="D22" s="571" t="inlineStr">
        <is>
          <t>ART</t>
        </is>
      </c>
      <c r="E22" s="938" t="inlineStr">
        <is>
          <t>AAA</t>
        </is>
      </c>
      <c r="F22" s="954" t="inlineStr">
        <is>
          <t>Isabella</t>
        </is>
      </c>
      <c r="G22" s="948" t="n"/>
      <c r="H22" s="948" t="n"/>
      <c r="I22" s="948" t="n"/>
      <c r="J22" s="571" t="inlineStr">
        <is>
          <t>CIV</t>
        </is>
      </c>
      <c r="K22" s="938" t="inlineStr">
        <is>
          <t>AAA</t>
        </is>
      </c>
      <c r="L22" s="954" t="inlineStr">
        <is>
          <t>Hoxne Hoard</t>
        </is>
      </c>
      <c r="M22" s="571" t="inlineStr">
        <is>
          <t>TECH</t>
        </is>
      </c>
      <c r="N22" s="938" t="inlineStr">
        <is>
          <t>AAA</t>
        </is>
      </c>
      <c r="O22" s="954" t="inlineStr">
        <is>
          <t>Le Verrier's Scripts</t>
        </is>
      </c>
    </row>
    <row r="23">
      <c r="A23" s="932" t="inlineStr">
        <is>
          <t>FAME</t>
        </is>
      </c>
      <c r="B23" s="930" t="inlineStr">
        <is>
          <t>AAA</t>
        </is>
      </c>
      <c r="C23" s="953" t="inlineStr">
        <is>
          <t>Foucault Pendulum</t>
        </is>
      </c>
      <c r="D23" s="932" t="inlineStr">
        <is>
          <t>ART</t>
        </is>
      </c>
      <c r="E23" s="930" t="inlineStr">
        <is>
          <t>AAA</t>
        </is>
      </c>
      <c r="F23" s="953" t="inlineStr">
        <is>
          <t>La Peregrina</t>
        </is>
      </c>
      <c r="G23" s="949" t="n"/>
      <c r="H23" s="949" t="n"/>
      <c r="I23" s="949" t="n"/>
      <c r="J23" s="932" t="inlineStr">
        <is>
          <t>CIV</t>
        </is>
      </c>
      <c r="K23" s="930" t="inlineStr">
        <is>
          <t>AAA</t>
        </is>
      </c>
      <c r="L23" s="953" t="inlineStr">
        <is>
          <t>Hurrian Songs</t>
        </is>
      </c>
      <c r="M23" s="932" t="inlineStr">
        <is>
          <t>TECH</t>
        </is>
      </c>
      <c r="N23" s="930" t="inlineStr">
        <is>
          <t>AAA</t>
        </is>
      </c>
      <c r="O23" s="953" t="inlineStr">
        <is>
          <t>M. Interferometer</t>
        </is>
      </c>
    </row>
    <row r="24">
      <c r="A24" s="571" t="inlineStr">
        <is>
          <t>FAME</t>
        </is>
      </c>
      <c r="B24" s="938" t="inlineStr">
        <is>
          <t>AAA</t>
        </is>
      </c>
      <c r="C24" s="954" t="inlineStr">
        <is>
          <t>Hinderson's Letter</t>
        </is>
      </c>
      <c r="D24" s="571" t="inlineStr">
        <is>
          <t>ART</t>
        </is>
      </c>
      <c r="E24" s="938" t="inlineStr">
        <is>
          <t>AAA</t>
        </is>
      </c>
      <c r="F24" s="954" t="inlineStr">
        <is>
          <t>Lady with an Ermine</t>
        </is>
      </c>
      <c r="G24" s="948" t="n"/>
      <c r="H24" s="948" t="n"/>
      <c r="I24" s="948" t="n"/>
      <c r="J24" s="571" t="inlineStr">
        <is>
          <t>CIV</t>
        </is>
      </c>
      <c r="K24" s="938" t="inlineStr">
        <is>
          <t>AAA</t>
        </is>
      </c>
      <c r="L24" s="954" t="inlineStr">
        <is>
          <t>Konjaku Tale</t>
        </is>
      </c>
      <c r="M24" s="950" t="inlineStr">
        <is>
          <t>TECH</t>
        </is>
      </c>
      <c r="N24" s="951" t="inlineStr">
        <is>
          <t>AAA</t>
        </is>
      </c>
      <c r="O24" s="952" t="inlineStr">
        <is>
          <t>Solar Sail</t>
        </is>
      </c>
    </row>
    <row r="25">
      <c r="A25" s="932" t="inlineStr">
        <is>
          <t>FAME</t>
        </is>
      </c>
      <c r="B25" s="930" t="inlineStr">
        <is>
          <t>AAA</t>
        </is>
      </c>
      <c r="C25" s="953" t="inlineStr">
        <is>
          <t>The Moon Puzzle</t>
        </is>
      </c>
      <c r="D25" s="932" t="inlineStr">
        <is>
          <t>ART</t>
        </is>
      </c>
      <c r="E25" s="930" t="inlineStr">
        <is>
          <t>AAA</t>
        </is>
      </c>
      <c r="F25" s="953" t="inlineStr">
        <is>
          <t>Moon Plum Teapot</t>
        </is>
      </c>
      <c r="G25" s="949" t="n"/>
      <c r="H25" s="949" t="n"/>
      <c r="I25" s="949" t="n"/>
      <c r="J25" s="932" t="inlineStr">
        <is>
          <t>CIV</t>
        </is>
      </c>
      <c r="K25" s="930" t="inlineStr">
        <is>
          <t>AAA</t>
        </is>
      </c>
      <c r="L25" s="953" t="inlineStr">
        <is>
          <t>No Longer Human</t>
        </is>
      </c>
      <c r="M25" s="949" t="n"/>
      <c r="N25" s="949" t="n"/>
      <c r="O25" s="953" t="n"/>
    </row>
    <row r="26">
      <c r="A26" s="571" t="inlineStr">
        <is>
          <t>FAME</t>
        </is>
      </c>
      <c r="B26" s="938" t="inlineStr">
        <is>
          <t>AAA</t>
        </is>
      </c>
      <c r="C26" s="954" t="inlineStr">
        <is>
          <t>Theory of Population</t>
        </is>
      </c>
      <c r="D26" s="571" t="inlineStr">
        <is>
          <t>ART</t>
        </is>
      </c>
      <c r="E26" s="938" t="inlineStr">
        <is>
          <t>AAA</t>
        </is>
      </c>
      <c r="F26" s="954" t="inlineStr">
        <is>
          <t>Portrait of Helena</t>
        </is>
      </c>
      <c r="G26" s="948" t="n"/>
      <c r="H26" s="948" t="n"/>
      <c r="I26" s="948" t="n"/>
      <c r="J26" s="571" t="inlineStr">
        <is>
          <t>CIV</t>
        </is>
      </c>
      <c r="K26" s="938" t="inlineStr">
        <is>
          <t>AAA</t>
        </is>
      </c>
      <c r="L26" s="954" t="inlineStr">
        <is>
          <t>Silver Candlestick</t>
        </is>
      </c>
      <c r="M26" s="948" t="n"/>
      <c r="N26" s="948" t="n"/>
      <c r="O26" s="954" t="n"/>
    </row>
    <row r="27">
      <c r="A27" s="955" t="inlineStr">
        <is>
          <t>FAME</t>
        </is>
      </c>
      <c r="B27" s="956" t="inlineStr">
        <is>
          <t>AAA</t>
        </is>
      </c>
      <c r="C27" s="959" t="inlineStr">
        <is>
          <t>Voltaic Cell</t>
        </is>
      </c>
      <c r="D27" s="955" t="inlineStr">
        <is>
          <t>ART</t>
        </is>
      </c>
      <c r="E27" s="956" t="inlineStr">
        <is>
          <t>AAA</t>
        </is>
      </c>
      <c r="F27" s="959" t="inlineStr">
        <is>
          <t>Portrait of Innocent X</t>
        </is>
      </c>
      <c r="G27" s="958" t="n"/>
      <c r="H27" s="958" t="n"/>
      <c r="I27" s="958" t="n"/>
      <c r="J27" s="955" t="inlineStr">
        <is>
          <t>CIV</t>
        </is>
      </c>
      <c r="K27" s="956" t="inlineStr">
        <is>
          <t>AAA</t>
        </is>
      </c>
      <c r="L27" s="959" t="inlineStr">
        <is>
          <t>Taketori Tale</t>
        </is>
      </c>
      <c r="M27" s="958" t="n"/>
      <c r="N27" s="958" t="n"/>
      <c r="O27" s="959" t="n"/>
    </row>
    <row r="28">
      <c r="A28" s="669" t="n"/>
      <c r="B28" s="669" t="n"/>
      <c r="C28" s="669" t="n"/>
      <c r="D28" s="669" t="n"/>
      <c r="E28" s="669" t="n"/>
      <c r="F28" s="669" t="n"/>
      <c r="G28" s="669" t="n"/>
      <c r="H28" s="669" t="n"/>
      <c r="I28" s="669" t="n"/>
      <c r="J28" s="669" t="n"/>
      <c r="K28" s="669" t="n"/>
      <c r="L28" s="669" t="n"/>
      <c r="M28" s="669" t="n"/>
      <c r="N28" s="669" t="n"/>
      <c r="O28" s="669" t="n"/>
    </row>
    <row r="29"/>
    <row r="30"/>
    <row r="31"/>
    <row r="32"/>
    <row r="33"/>
    <row r="34"/>
    <row r="35"/>
    <row r="36"/>
    <row r="37"/>
    <row r="38"/>
    <row r="39"/>
    <row r="40"/>
    <row r="41"/>
    <row r="42">
      <c r="A42" s="960" t="inlineStr">
        <is>
          <t>Lotto2 relics NOT expected to enter the RF pool</t>
        </is>
      </c>
      <c r="B42" s="961" t="n"/>
      <c r="C42" s="962" t="n"/>
    </row>
    <row r="43">
      <c r="A43" s="963" t="inlineStr">
        <is>
          <t>FAME</t>
        </is>
      </c>
      <c r="B43" s="406" t="inlineStr">
        <is>
          <t>SSS</t>
        </is>
      </c>
      <c r="C43" s="1090" t="inlineStr">
        <is>
          <t>Antarctic Treaty</t>
        </is>
      </c>
    </row>
    <row r="44">
      <c r="A44" s="924" t="inlineStr">
        <is>
          <t>FAME</t>
        </is>
      </c>
      <c r="B44" s="425" t="inlineStr">
        <is>
          <t>SSS</t>
        </is>
      </c>
      <c r="C44" s="1095" t="inlineStr">
        <is>
          <t>Convention on the Rights of the Child</t>
        </is>
      </c>
    </row>
    <row r="45">
      <c r="A45" s="924" t="inlineStr">
        <is>
          <t>FAME</t>
        </is>
      </c>
      <c r="B45" s="425" t="inlineStr">
        <is>
          <t>SSS</t>
        </is>
      </c>
      <c r="C45" s="1095" t="inlineStr">
        <is>
          <t>Nightingale Medal</t>
        </is>
      </c>
    </row>
    <row r="46">
      <c r="A46" s="924" t="inlineStr">
        <is>
          <t>FAME</t>
        </is>
      </c>
      <c r="B46" s="425" t="inlineStr">
        <is>
          <t>SSS</t>
        </is>
      </c>
      <c r="C46" s="1095" t="inlineStr">
        <is>
          <t>The Prince</t>
        </is>
      </c>
    </row>
    <row r="47">
      <c r="A47" s="924" t="inlineStr">
        <is>
          <t>ART</t>
        </is>
      </c>
      <c r="B47" s="425" t="inlineStr">
        <is>
          <t>SSS</t>
        </is>
      </c>
      <c r="C47" s="1095" t="inlineStr">
        <is>
          <t>Louis XIV Portrait</t>
        </is>
      </c>
    </row>
    <row r="48">
      <c r="A48" s="924" t="inlineStr">
        <is>
          <t>ART</t>
        </is>
      </c>
      <c r="B48" s="425" t="inlineStr">
        <is>
          <t>SSS</t>
        </is>
      </c>
      <c r="C48" s="1095" t="inlineStr">
        <is>
          <t>Night Watch</t>
        </is>
      </c>
    </row>
    <row r="49">
      <c r="A49" s="924" t="inlineStr">
        <is>
          <t>ART</t>
        </is>
      </c>
      <c r="B49" s="425" t="inlineStr">
        <is>
          <t>SSS</t>
        </is>
      </c>
      <c r="C49" s="1095" t="inlineStr">
        <is>
          <t>Portrait of Peter I</t>
        </is>
      </c>
    </row>
    <row r="50">
      <c r="A50" s="924" t="inlineStr">
        <is>
          <t>FTH</t>
        </is>
      </c>
      <c r="B50" s="425" t="inlineStr">
        <is>
          <t>SSS</t>
        </is>
      </c>
      <c r="C50" s="1095" t="inlineStr">
        <is>
          <t>Holy Grail</t>
        </is>
      </c>
    </row>
    <row r="51">
      <c r="A51" s="924" t="inlineStr">
        <is>
          <t>FTH</t>
        </is>
      </c>
      <c r="B51" s="425" t="inlineStr">
        <is>
          <t>SSS</t>
        </is>
      </c>
      <c r="C51" s="1095" t="inlineStr">
        <is>
          <t>Little Red Riding Hood</t>
        </is>
      </c>
    </row>
    <row r="52">
      <c r="A52" s="924" t="inlineStr">
        <is>
          <t>FTH</t>
        </is>
      </c>
      <c r="B52" s="425" t="inlineStr">
        <is>
          <t>SSS</t>
        </is>
      </c>
      <c r="C52" s="1095" t="inlineStr">
        <is>
          <t>The Silver Key</t>
        </is>
      </c>
    </row>
    <row r="53">
      <c r="A53" s="924" t="inlineStr">
        <is>
          <t>FTH</t>
        </is>
      </c>
      <c r="B53" s="425" t="inlineStr">
        <is>
          <t>SSS</t>
        </is>
      </c>
      <c r="C53" s="1095" t="inlineStr">
        <is>
          <t>Vedas</t>
        </is>
      </c>
    </row>
    <row r="54">
      <c r="A54" s="924" t="inlineStr">
        <is>
          <t>CIV</t>
        </is>
      </c>
      <c r="B54" s="425" t="inlineStr">
        <is>
          <t>SSS</t>
        </is>
      </c>
      <c r="C54" s="1095" t="inlineStr">
        <is>
          <t>Beowulf</t>
        </is>
      </c>
    </row>
    <row r="55">
      <c r="A55" s="924" t="inlineStr">
        <is>
          <t>CIV</t>
        </is>
      </c>
      <c r="B55" s="425" t="inlineStr">
        <is>
          <t>SSS</t>
        </is>
      </c>
      <c r="C55" s="1095" t="inlineStr">
        <is>
          <t>Crime and Punishment</t>
        </is>
      </c>
    </row>
    <row r="56">
      <c r="A56" s="924" t="inlineStr">
        <is>
          <t>CIV</t>
        </is>
      </c>
      <c r="B56" s="425" t="inlineStr">
        <is>
          <t>SSS</t>
        </is>
      </c>
      <c r="C56" s="1095" t="inlineStr">
        <is>
          <t>Picture of Animals</t>
        </is>
      </c>
    </row>
    <row r="57">
      <c r="A57" s="924" t="inlineStr">
        <is>
          <t>CIV</t>
        </is>
      </c>
      <c r="B57" s="425" t="inlineStr">
        <is>
          <t>SSS</t>
        </is>
      </c>
      <c r="C57" s="1095" t="inlineStr">
        <is>
          <t>Uru Military Aircraft</t>
        </is>
      </c>
    </row>
    <row r="58">
      <c r="A58" s="924" t="inlineStr">
        <is>
          <t>TECH</t>
        </is>
      </c>
      <c r="B58" s="425" t="inlineStr">
        <is>
          <t>SSS</t>
        </is>
      </c>
      <c r="C58" s="1095" t="inlineStr">
        <is>
          <t>Black Body</t>
        </is>
      </c>
    </row>
    <row r="59">
      <c r="A59" s="924" t="inlineStr">
        <is>
          <t>TECH</t>
        </is>
      </c>
      <c r="B59" s="425" t="inlineStr">
        <is>
          <t>SSS</t>
        </is>
      </c>
      <c r="C59" s="1095" t="inlineStr">
        <is>
          <t>Deep Navy Computer</t>
        </is>
      </c>
    </row>
    <row r="60">
      <c r="A60" s="924" t="inlineStr">
        <is>
          <t>TECH</t>
        </is>
      </c>
      <c r="B60" s="425" t="inlineStr">
        <is>
          <t>SSS</t>
        </is>
      </c>
      <c r="C60" s="1095" t="inlineStr">
        <is>
          <t>Jiuzhang</t>
        </is>
      </c>
    </row>
    <row r="61">
      <c r="A61" s="964" t="inlineStr">
        <is>
          <t>TECH</t>
        </is>
      </c>
      <c r="B61" s="411" t="inlineStr">
        <is>
          <t>SSS</t>
        </is>
      </c>
      <c r="C61" s="965" t="inlineStr">
        <is>
          <t>Lawrence's Cyclotron</t>
        </is>
      </c>
    </row>
  </sheetData>
  <mergeCells count="6">
    <mergeCell ref="D2:F2"/>
    <mergeCell ref="G2:I2"/>
    <mergeCell ref="J2:L2"/>
    <mergeCell ref="A1:O1"/>
    <mergeCell ref="M2:O2"/>
    <mergeCell ref="A2:C2"/>
  </mergeCells>
  <dataValidations count="2">
    <dataValidation sqref="B3:B27 B43:B61 E3:E27 H3:H21 K3:K27 N3:N24" showDropDown="0" showInputMessage="0" showErrorMessage="1" allowBlank="1" type="list">
      <formula1>"SSS,SS,S,AAA,AA,A,Blue,Green"</formula1>
    </dataValidation>
    <dataValidation sqref="A3:A27 A43:A61 D3:D27 G3:G21 J3:J27 M3:M24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F9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9.18" defaultRowHeight="15" customHeight="1"/>
  <cols>
    <col width="16.82" customWidth="1" style="1128" min="1" max="1"/>
    <col width="17.45" customWidth="1" style="1128" min="4" max="4"/>
    <col width="8.82" customWidth="1" style="1128" min="5" max="5"/>
    <col width="102.91" customWidth="1" style="1128" min="6" max="6"/>
  </cols>
  <sheetData>
    <row r="1">
      <c r="A1" s="966" t="inlineStr">
        <is>
          <t>Name</t>
        </is>
      </c>
      <c r="B1" s="967" t="inlineStr">
        <is>
          <t>Rarity</t>
        </is>
      </c>
      <c r="C1" s="967" t="inlineStr">
        <is>
          <t>Type</t>
        </is>
      </c>
      <c r="D1" s="967" t="inlineStr">
        <is>
          <t>Awakening Stat</t>
        </is>
      </c>
      <c r="E1" s="967" t="inlineStr">
        <is>
          <t>Value</t>
        </is>
      </c>
      <c r="F1" s="437" t="inlineStr">
        <is>
          <t>Source</t>
        </is>
      </c>
    </row>
    <row r="2">
      <c r="A2" s="434" t="inlineStr">
        <is>
          <t>Potsdam Declaration</t>
        </is>
      </c>
      <c r="B2" s="425" t="inlineStr">
        <is>
          <t>SSS</t>
        </is>
      </c>
      <c r="C2" s="415" t="inlineStr">
        <is>
          <t>FAME</t>
        </is>
      </c>
      <c r="D2" s="968" t="inlineStr">
        <is>
          <t>ELMT DMG</t>
        </is>
      </c>
      <c r="E2" s="425" t="n">
        <v>4</v>
      </c>
      <c r="F2" s="418" t="inlineStr">
        <is>
          <t>Gold Relic #4</t>
        </is>
      </c>
    </row>
    <row r="3">
      <c r="A3" s="434" t="inlineStr">
        <is>
          <t>Impression, Sunrise</t>
        </is>
      </c>
      <c r="B3" s="425" t="inlineStr">
        <is>
          <t>SSS</t>
        </is>
      </c>
      <c r="C3" s="415" t="inlineStr">
        <is>
          <t>ART</t>
        </is>
      </c>
      <c r="D3" s="968" t="inlineStr">
        <is>
          <t>CRIT DMG</t>
        </is>
      </c>
      <c r="E3" s="425" t="n">
        <v>10</v>
      </c>
      <c r="F3" s="418" t="inlineStr">
        <is>
          <t>Gold Relic #2</t>
        </is>
      </c>
    </row>
    <row r="4">
      <c r="A4" s="434" t="inlineStr">
        <is>
          <t>Artificial Blackhole</t>
        </is>
      </c>
      <c r="B4" s="425" t="inlineStr">
        <is>
          <t>SSS</t>
        </is>
      </c>
      <c r="C4" s="425" t="inlineStr">
        <is>
          <t>TECH</t>
        </is>
      </c>
      <c r="D4" s="968" t="inlineStr">
        <is>
          <t>Time Machine Output</t>
        </is>
      </c>
      <c r="E4" s="371" t="n">
        <v>20</v>
      </c>
      <c r="F4" s="418" t="inlineStr">
        <is>
          <t>Wish Box, Lottery Machine #1 (0.09%), Wishing (0.08%), Grandmaster Scrolls (0.81%), Relic Forge (120 Relic RF)</t>
        </is>
      </c>
    </row>
    <row r="5">
      <c r="A5" s="434" t="inlineStr">
        <is>
          <t>Mahakala Scroll</t>
        </is>
      </c>
      <c r="B5" s="425" t="inlineStr">
        <is>
          <t>SSS</t>
        </is>
      </c>
      <c r="C5" s="425" t="inlineStr">
        <is>
          <t>FTH</t>
        </is>
      </c>
      <c r="D5" s="968" t="inlineStr">
        <is>
          <t>Lotto Bead Purple -&gt; Orange</t>
        </is>
      </c>
      <c r="E5" s="371" t="n">
        <v>1</v>
      </c>
      <c r="F5" s="418" t="inlineStr">
        <is>
          <t>Jinx Points Bonus Reward</t>
        </is>
      </c>
    </row>
    <row r="6">
      <c r="A6" s="434" t="inlineStr">
        <is>
          <t>Pisces</t>
        </is>
      </c>
      <c r="B6" s="425" t="inlineStr">
        <is>
          <t>SSS</t>
        </is>
      </c>
      <c r="C6" s="425" t="inlineStr">
        <is>
          <t>FAME</t>
        </is>
      </c>
      <c r="D6" s="968" t="inlineStr">
        <is>
          <t>Leadership</t>
        </is>
      </c>
      <c r="E6" s="371" t="n">
        <v>20</v>
      </c>
      <c r="F6" s="386" t="inlineStr">
        <is>
          <t>Supreme Relic #20</t>
        </is>
      </c>
    </row>
    <row r="7">
      <c r="A7" s="434" t="inlineStr">
        <is>
          <t>Woman at Her Toilette</t>
        </is>
      </c>
      <c r="B7" s="425" t="inlineStr">
        <is>
          <t>SSS</t>
        </is>
      </c>
      <c r="C7" s="425" t="inlineStr">
        <is>
          <t>ART</t>
        </is>
      </c>
      <c r="D7" s="968" t="inlineStr">
        <is>
          <t>Leadership</t>
        </is>
      </c>
      <c r="E7" s="371" t="n">
        <v>20</v>
      </c>
      <c r="F7" s="418" t="inlineStr">
        <is>
          <t>Minion Skin Lottery</t>
        </is>
      </c>
    </row>
    <row r="8">
      <c r="A8" s="434" t="inlineStr">
        <is>
          <t>Volsunga Saga</t>
        </is>
      </c>
      <c r="B8" s="425" t="inlineStr">
        <is>
          <t>SSS</t>
        </is>
      </c>
      <c r="C8" s="425" t="inlineStr">
        <is>
          <t>FTH</t>
        </is>
      </c>
      <c r="D8" s="968" t="inlineStr">
        <is>
          <t>Leadership</t>
        </is>
      </c>
      <c r="E8" s="371" t="n">
        <v>20</v>
      </c>
      <c r="F8" s="386" t="inlineStr">
        <is>
          <t>Gold Relic #6</t>
        </is>
      </c>
    </row>
    <row r="9">
      <c r="A9" s="434" t="inlineStr">
        <is>
          <t>Higgs Boson</t>
        </is>
      </c>
      <c r="B9" s="425" t="inlineStr">
        <is>
          <t>SSS</t>
        </is>
      </c>
      <c r="C9" s="425" t="inlineStr">
        <is>
          <t>ART</t>
        </is>
      </c>
      <c r="D9" s="968" t="inlineStr">
        <is>
          <t>Leadership</t>
        </is>
      </c>
      <c r="E9" s="371" t="n">
        <v>20</v>
      </c>
      <c r="F9" s="418" t="inlineStr">
        <is>
          <t>Gold Relic #3</t>
        </is>
      </c>
    </row>
    <row r="10">
      <c r="A10" s="434" t="inlineStr">
        <is>
          <t>Golden Snail</t>
        </is>
      </c>
      <c r="B10" s="425" t="inlineStr">
        <is>
          <t>SSS</t>
        </is>
      </c>
      <c r="C10" s="425" t="inlineStr">
        <is>
          <t>FTH</t>
        </is>
      </c>
      <c r="D10" s="968" t="inlineStr">
        <is>
          <t>Leadership</t>
        </is>
      </c>
      <c r="E10" s="371" t="n">
        <v>10</v>
      </c>
      <c r="F10" s="386" t="inlineStr">
        <is>
          <t>1st Anniversary Event</t>
        </is>
      </c>
    </row>
    <row r="11">
      <c r="A11" s="434" t="inlineStr">
        <is>
          <t>Gold-Plated Bird</t>
        </is>
      </c>
      <c r="B11" s="425" t="inlineStr">
        <is>
          <t>SSS</t>
        </is>
      </c>
      <c r="C11" s="425" t="inlineStr">
        <is>
          <t>TECH</t>
        </is>
      </c>
      <c r="D11" s="968" t="inlineStr">
        <is>
          <t>Leadership</t>
        </is>
      </c>
      <c r="E11" s="371" t="n">
        <v>10</v>
      </c>
      <c r="F11" s="386" t="inlineStr">
        <is>
          <t>2nd Anniversary Event</t>
        </is>
      </c>
    </row>
    <row r="12">
      <c r="A12" s="434" t="inlineStr">
        <is>
          <t>Golden Monkey</t>
        </is>
      </c>
      <c r="B12" s="425" t="inlineStr">
        <is>
          <t>SSS</t>
        </is>
      </c>
      <c r="C12" s="425" t="inlineStr">
        <is>
          <t>CIV</t>
        </is>
      </c>
      <c r="D12" s="968" t="inlineStr">
        <is>
          <t>Leadership</t>
        </is>
      </c>
      <c r="E12" s="371" t="n">
        <v>10</v>
      </c>
      <c r="F12" s="386" t="inlineStr">
        <is>
          <t>3rd Anniversary Event</t>
        </is>
      </c>
    </row>
    <row r="13">
      <c r="A13" s="434" t="inlineStr">
        <is>
          <t>Golden Chan-hee</t>
        </is>
      </c>
      <c r="B13" s="425" t="inlineStr">
        <is>
          <t>SSS</t>
        </is>
      </c>
      <c r="C13" s="425" t="inlineStr">
        <is>
          <t>ART</t>
        </is>
      </c>
      <c r="D13" s="968" t="inlineStr">
        <is>
          <t>Leadership</t>
        </is>
      </c>
      <c r="E13" s="371" t="n">
        <v>10</v>
      </c>
      <c r="F13" s="386" t="inlineStr">
        <is>
          <t>4th Anniversary Event</t>
        </is>
      </c>
    </row>
    <row r="14">
      <c r="A14" s="434" t="inlineStr">
        <is>
          <t>War and Peace</t>
        </is>
      </c>
      <c r="B14" s="425" t="inlineStr">
        <is>
          <t>SSS</t>
        </is>
      </c>
      <c r="C14" s="425" t="inlineStr">
        <is>
          <t>CIV</t>
        </is>
      </c>
      <c r="D14" s="968" t="inlineStr">
        <is>
          <t>Leadership</t>
        </is>
      </c>
      <c r="E14" s="371" t="n">
        <v>10</v>
      </c>
      <c r="F14" s="386" t="inlineStr">
        <is>
          <t>Silver Relic #5</t>
        </is>
      </c>
    </row>
    <row r="15">
      <c r="A15" s="825" t="inlineStr">
        <is>
          <t>Bill of Rights</t>
        </is>
      </c>
      <c r="B15" s="1037" t="inlineStr">
        <is>
          <t>SSS</t>
        </is>
      </c>
      <c r="C15" s="1037" t="inlineStr">
        <is>
          <t>FAME</t>
        </is>
      </c>
      <c r="D15" s="968" t="inlineStr">
        <is>
          <t>Leadership</t>
        </is>
      </c>
      <c r="E15" s="1036" t="n">
        <v>10</v>
      </c>
      <c r="F15" s="418" t="inlineStr">
        <is>
          <t>Silver Relic #8</t>
        </is>
      </c>
    </row>
    <row r="16">
      <c r="A16" s="825" t="inlineStr">
        <is>
          <t>Apollo Program</t>
        </is>
      </c>
      <c r="B16" s="1037" t="inlineStr">
        <is>
          <t>SSS</t>
        </is>
      </c>
      <c r="C16" s="1037" t="inlineStr">
        <is>
          <t>FAME</t>
        </is>
      </c>
      <c r="D16" s="968" t="inlineStr">
        <is>
          <t>Leadership</t>
        </is>
      </c>
      <c r="E16" s="1036" t="n">
        <v>10</v>
      </c>
      <c r="F16" s="418" t="inlineStr">
        <is>
          <t>Silver Relic #11</t>
        </is>
      </c>
    </row>
    <row r="17">
      <c r="A17" s="434" t="inlineStr">
        <is>
          <t>Tyet</t>
        </is>
      </c>
      <c r="B17" s="425" t="inlineStr">
        <is>
          <t>SSS</t>
        </is>
      </c>
      <c r="C17" s="425" t="inlineStr">
        <is>
          <t>FTH</t>
        </is>
      </c>
      <c r="D17" s="968" t="inlineStr">
        <is>
          <t>Leadership</t>
        </is>
      </c>
      <c r="E17" s="1036" t="n">
        <v>10</v>
      </c>
      <c r="F17" s="386" t="inlineStr">
        <is>
          <t>Silver Relic #14</t>
        </is>
      </c>
    </row>
    <row r="18">
      <c r="A18" s="434" t="inlineStr">
        <is>
          <t>Civil War Premonition</t>
        </is>
      </c>
      <c r="B18" s="425" t="inlineStr">
        <is>
          <t>SS</t>
        </is>
      </c>
      <c r="C18" s="425" t="inlineStr">
        <is>
          <t>ART</t>
        </is>
      </c>
      <c r="D18" s="968" t="inlineStr">
        <is>
          <t>Amber</t>
        </is>
      </c>
      <c r="E18" s="425" t="n">
        <v>20</v>
      </c>
      <c r="F18" s="386" t="inlineStr">
        <is>
          <t>Lottery Machine #3 (0.12%)</t>
        </is>
      </c>
    </row>
    <row r="19">
      <c r="A19" s="434" t="inlineStr">
        <is>
          <t>Leap Year Mid-Autumn Moon Letter</t>
        </is>
      </c>
      <c r="B19" s="425" t="inlineStr">
        <is>
          <t>SSS</t>
        </is>
      </c>
      <c r="C19" s="425" t="inlineStr">
        <is>
          <t>CIV</t>
        </is>
      </c>
      <c r="D19" s="968" t="inlineStr">
        <is>
          <t>Amber</t>
        </is>
      </c>
      <c r="E19" s="425" t="n">
        <v>20</v>
      </c>
      <c r="F19" s="390" t="inlineStr">
        <is>
          <t>Lottery Machine #3 (?%)</t>
        </is>
      </c>
    </row>
    <row r="20">
      <c r="A20" s="434" t="inlineStr">
        <is>
          <t>Spirit Phenomenology</t>
        </is>
      </c>
      <c r="B20" s="425" t="inlineStr">
        <is>
          <t>SSS</t>
        </is>
      </c>
      <c r="C20" s="425" t="inlineStr">
        <is>
          <t>TECH</t>
        </is>
      </c>
      <c r="D20" s="968" t="inlineStr">
        <is>
          <t>Followers</t>
        </is>
      </c>
      <c r="E20" s="425" t="n">
        <v>20</v>
      </c>
      <c r="F20" s="386" t="inlineStr">
        <is>
          <t>Lottery Machine #3 (0.12%)</t>
        </is>
      </c>
    </row>
    <row r="21">
      <c r="A21" s="434" t="inlineStr">
        <is>
          <t>Mother Chest</t>
        </is>
      </c>
      <c r="B21" s="425" t="inlineStr">
        <is>
          <t>SS</t>
        </is>
      </c>
      <c r="C21" s="425" t="inlineStr">
        <is>
          <t>FTH</t>
        </is>
      </c>
      <c r="D21" s="968" t="inlineStr">
        <is>
          <t>Divine Crystals</t>
        </is>
      </c>
      <c r="E21" s="425" t="n">
        <v>4</v>
      </c>
      <c r="F21" s="386" t="inlineStr">
        <is>
          <t>Lottery Machine #3 (0.24%)</t>
        </is>
      </c>
    </row>
    <row r="22">
      <c r="A22" s="434" t="inlineStr">
        <is>
          <t>Sorrows of Wurther</t>
        </is>
      </c>
      <c r="B22" s="425" t="inlineStr">
        <is>
          <t>SS</t>
        </is>
      </c>
      <c r="C22" s="425" t="inlineStr">
        <is>
          <t>CIV</t>
        </is>
      </c>
      <c r="D22" s="968" t="inlineStr">
        <is>
          <t>Lifestones</t>
        </is>
      </c>
      <c r="E22" s="425" t="n">
        <v>20</v>
      </c>
      <c r="F22" s="386" t="inlineStr">
        <is>
          <t>Lottery Machine #3 (0.24%)</t>
        </is>
      </c>
    </row>
    <row r="23">
      <c r="A23" s="434" t="inlineStr">
        <is>
          <t>100 Years of Solitude</t>
        </is>
      </c>
      <c r="B23" s="425" t="inlineStr">
        <is>
          <t>SSS</t>
        </is>
      </c>
      <c r="C23" s="425" t="inlineStr">
        <is>
          <t>CIV</t>
        </is>
      </c>
      <c r="D23" s="968" t="inlineStr">
        <is>
          <t>Tribe Building Cost</t>
        </is>
      </c>
      <c r="E23" s="425" t="n">
        <v>4</v>
      </c>
      <c r="F23" s="386" t="inlineStr">
        <is>
          <t>Lottery Machine #3 (0.12%)</t>
        </is>
      </c>
    </row>
    <row r="24">
      <c r="A24" s="434" t="inlineStr">
        <is>
          <t>King Dangun Statue</t>
        </is>
      </c>
      <c r="B24" s="425" t="inlineStr">
        <is>
          <t>S</t>
        </is>
      </c>
      <c r="C24" s="425" t="inlineStr">
        <is>
          <t>FTH</t>
        </is>
      </c>
      <c r="D24" s="968" t="inlineStr">
        <is>
          <t>B-tad Output</t>
        </is>
      </c>
      <c r="E24" s="425" t="n">
        <v>20</v>
      </c>
      <c r="F24" s="386" t="inlineStr">
        <is>
          <t>Fragment Crafting (15.1%), Koryeo Treasure Map (5%), Lottery Machine (0.81%), Relic Forge (90 Relic RF), Wishing (0.81%)</t>
        </is>
      </c>
    </row>
    <row r="25">
      <c r="A25" s="434" t="inlineStr">
        <is>
          <t>Faust</t>
        </is>
      </c>
      <c r="B25" s="425" t="inlineStr">
        <is>
          <t>SSS</t>
        </is>
      </c>
      <c r="C25" s="425" t="inlineStr">
        <is>
          <t>CIV</t>
        </is>
      </c>
      <c r="D25" s="968" t="inlineStr">
        <is>
          <t>B-tad Output</t>
        </is>
      </c>
      <c r="E25" s="425" t="n">
        <v>20</v>
      </c>
      <c r="F25" s="386" t="inlineStr">
        <is>
          <t>Grandmaster Scrolls (0.81%), Lottery Machine (0.09%), Relic Forge (120 Relic RF), Wish Box, Wishing (0.08%)</t>
        </is>
      </c>
    </row>
    <row r="26">
      <c r="A26" s="434" t="inlineStr">
        <is>
          <t>Golden Wheat</t>
        </is>
      </c>
      <c r="B26" s="425" t="inlineStr">
        <is>
          <t>SSS</t>
        </is>
      </c>
      <c r="C26" s="425" t="inlineStr">
        <is>
          <t>ART</t>
        </is>
      </c>
      <c r="D26" s="968" t="inlineStr">
        <is>
          <t>B-tad Output</t>
        </is>
      </c>
      <c r="E26" s="425" t="n">
        <v>20</v>
      </c>
      <c r="F26" s="386" t="inlineStr">
        <is>
          <t>Grandmaster Scrolls (0.81%), Lottery Machine (0.09%), Relic Forge (120 Relic RF), Wish Box, Wishing (0.08%), Yamato Treasure Maps (0.01%)</t>
        </is>
      </c>
    </row>
    <row r="27">
      <c r="A27" s="434" t="inlineStr">
        <is>
          <t>Boat of St. Peter</t>
        </is>
      </c>
      <c r="B27" s="425" t="inlineStr">
        <is>
          <t>SS</t>
        </is>
      </c>
      <c r="C27" s="425" t="inlineStr">
        <is>
          <t>FTH</t>
        </is>
      </c>
      <c r="D27" s="968" t="inlineStr">
        <is>
          <t>Exploration B-tads</t>
        </is>
      </c>
      <c r="E27" s="371" t="n">
        <v>4</v>
      </c>
      <c r="F27" s="386" t="inlineStr">
        <is>
          <t>FTH Master Scrolls (9.2%), Fragment Crafting (4.4%), Grandmaster Scrolls (2.1%), Lottery Machine (0.24%), Master Scrolls (1.9%), Super Species Chest (5.5%), Wishing (0.16%)</t>
        </is>
      </c>
    </row>
    <row r="28">
      <c r="A28" s="434" t="inlineStr">
        <is>
          <t>Das Kapital</t>
        </is>
      </c>
      <c r="B28" s="425" t="inlineStr">
        <is>
          <t>SS</t>
        </is>
      </c>
      <c r="C28" s="425" t="inlineStr">
        <is>
          <t>CIV</t>
        </is>
      </c>
      <c r="D28" s="968" t="inlineStr">
        <is>
          <t>Exploration B-tads</t>
        </is>
      </c>
      <c r="E28" s="371" t="n">
        <v>4</v>
      </c>
      <c r="F28" s="386" t="inlineStr">
        <is>
          <t>Lottery Machine (0.12%), Wishing (0.1%), Britland Treasure Maps (5%), Grandmaster Scrolls (1%), Relic Forge (100 Relic RF)</t>
        </is>
      </c>
    </row>
    <row r="29">
      <c r="A29" s="434" t="inlineStr">
        <is>
          <t>Houmuwu Ding</t>
        </is>
      </c>
      <c r="B29" s="425" t="inlineStr">
        <is>
          <t>SSS</t>
        </is>
      </c>
      <c r="C29" s="425" t="inlineStr">
        <is>
          <t>CIV</t>
        </is>
      </c>
      <c r="D29" s="968" t="inlineStr">
        <is>
          <t>Offering SPD</t>
        </is>
      </c>
      <c r="E29" s="371" t="n">
        <v>4</v>
      </c>
      <c r="F29" s="386" t="inlineStr">
        <is>
          <t>Grandmaster Scrolls (0.81%), Hellas Treasure Map (0.01%), Lottery Machine (0.09%), Relic Forge (120 Relic RF), Wishing (0.09%)</t>
        </is>
      </c>
    </row>
    <row r="30">
      <c r="A30" s="434" t="inlineStr">
        <is>
          <t>Prometheus Torch</t>
        </is>
      </c>
      <c r="B30" s="425" t="inlineStr">
        <is>
          <t>SSS</t>
        </is>
      </c>
      <c r="C30" s="425" t="inlineStr">
        <is>
          <t>FAME</t>
        </is>
      </c>
      <c r="D30" s="968" t="inlineStr">
        <is>
          <t>Offering SPD</t>
        </is>
      </c>
      <c r="E30" s="371" t="n">
        <v>4</v>
      </c>
      <c r="F30" s="386" t="inlineStr">
        <is>
          <t>Cathay Treasure Maps (0.01%), Grandmaster Scrolls (0.81%), Lottery Machine (0.09%), Relic Forge (120 Relic RF), Wish Box, Wishing (0.08%)</t>
        </is>
      </c>
    </row>
    <row r="31">
      <c r="A31" s="434" t="inlineStr">
        <is>
          <t>Dream Stele</t>
        </is>
      </c>
      <c r="B31" s="425" t="inlineStr">
        <is>
          <t>SS</t>
        </is>
      </c>
      <c r="C31" s="425" t="inlineStr">
        <is>
          <t>FTH</t>
        </is>
      </c>
      <c r="D31" s="968" t="inlineStr">
        <is>
          <t>Wormhole Shards</t>
        </is>
      </c>
      <c r="E31" s="371" t="n">
        <v>10</v>
      </c>
      <c r="F31" s="386" t="inlineStr">
        <is>
          <t>Lottery Machine No. 2 (0.47%)</t>
        </is>
      </c>
    </row>
    <row r="32">
      <c r="A32" s="434" t="inlineStr">
        <is>
          <t>Throne of St. Peter</t>
        </is>
      </c>
      <c r="B32" s="425" t="inlineStr">
        <is>
          <t>SSS</t>
        </is>
      </c>
      <c r="C32" s="425" t="inlineStr">
        <is>
          <t>FTH</t>
        </is>
      </c>
      <c r="D32" s="968" t="inlineStr">
        <is>
          <t>Wormhole Shards</t>
        </is>
      </c>
      <c r="E32" s="371" t="n">
        <v>6</v>
      </c>
      <c r="F32" s="386" t="inlineStr">
        <is>
          <t>Lottery Machine #3 (0.12%)</t>
        </is>
      </c>
    </row>
    <row r="33">
      <c r="A33" s="434" t="inlineStr">
        <is>
          <t>Nautilus</t>
        </is>
      </c>
      <c r="B33" s="425" t="inlineStr">
        <is>
          <t>SSS</t>
        </is>
      </c>
      <c r="C33" s="425" t="inlineStr">
        <is>
          <t>TECH</t>
        </is>
      </c>
      <c r="D33" s="968" t="inlineStr">
        <is>
          <t>Wormhole Refiner</t>
        </is>
      </c>
      <c r="E33" s="371" t="n">
        <v>30</v>
      </c>
      <c r="F33" s="386" t="inlineStr">
        <is>
          <t>Daily Relic #8</t>
        </is>
      </c>
    </row>
    <row r="34">
      <c r="A34" s="434" t="inlineStr">
        <is>
          <t>Harem Wall Painting</t>
        </is>
      </c>
      <c r="B34" s="425" t="inlineStr">
        <is>
          <t>SS</t>
        </is>
      </c>
      <c r="C34" s="425" t="inlineStr">
        <is>
          <t>CIV</t>
        </is>
      </c>
      <c r="D34" s="968" t="inlineStr">
        <is>
          <t>Wormhole Refiner</t>
        </is>
      </c>
      <c r="E34" s="371" t="n">
        <v>10</v>
      </c>
      <c r="F34" s="386" t="inlineStr">
        <is>
          <t>Lottery Machine No. 2 (0.47%)</t>
        </is>
      </c>
    </row>
    <row r="35">
      <c r="A35" s="434" t="inlineStr">
        <is>
          <t>Fu Hao Scripts</t>
        </is>
      </c>
      <c r="B35" s="425" t="inlineStr">
        <is>
          <t>SS</t>
        </is>
      </c>
      <c r="C35" s="425" t="inlineStr">
        <is>
          <t>CIV</t>
        </is>
      </c>
      <c r="D35" s="968" t="inlineStr">
        <is>
          <t>Purple Cards</t>
        </is>
      </c>
      <c r="E35" s="371" t="n">
        <v>4</v>
      </c>
      <c r="F35" s="386" t="inlineStr">
        <is>
          <t>Fragment Crafting (4.1%), Grandmaster Scrolls (1.5%), Lottery Machine (0.18%), Wishing (0.15%)</t>
        </is>
      </c>
    </row>
    <row r="36">
      <c r="A36" s="434" t="inlineStr">
        <is>
          <t>Aladdin's Carpet</t>
        </is>
      </c>
      <c r="B36" s="425" t="inlineStr">
        <is>
          <t>SSS</t>
        </is>
      </c>
      <c r="C36" s="425" t="inlineStr">
        <is>
          <t>CIV</t>
        </is>
      </c>
      <c r="D36" s="968" t="inlineStr">
        <is>
          <t>Divine Chests</t>
        </is>
      </c>
      <c r="E36" s="371" t="n">
        <v>5</v>
      </c>
      <c r="F36" s="386" t="inlineStr">
        <is>
          <t>Silver Relic #1</t>
        </is>
      </c>
    </row>
    <row r="37">
      <c r="A37" s="434" t="inlineStr">
        <is>
          <t>Athena Statue</t>
        </is>
      </c>
      <c r="B37" s="425" t="inlineStr">
        <is>
          <t>SSS</t>
        </is>
      </c>
      <c r="C37" s="425" t="inlineStr">
        <is>
          <t>ART</t>
        </is>
      </c>
      <c r="D37" s="968" t="inlineStr">
        <is>
          <t>Divine Chests</t>
        </is>
      </c>
      <c r="E37" s="371" t="n">
        <v>5</v>
      </c>
      <c r="F37" s="386" t="inlineStr">
        <is>
          <t>Grandmaster Scrolls (0.81%), Lottery Machine (0.09%), Relic Forge (120 Relic RF), Super Treasure Maps (0.03%), Wishing (0.08%)</t>
        </is>
      </c>
    </row>
    <row r="38">
      <c r="A38" s="434" t="inlineStr">
        <is>
          <t>Iliad &amp; Odyssey</t>
        </is>
      </c>
      <c r="B38" s="425" t="inlineStr">
        <is>
          <t>SSS</t>
        </is>
      </c>
      <c r="C38" s="425" t="inlineStr">
        <is>
          <t>CIV</t>
        </is>
      </c>
      <c r="D38" s="968" t="inlineStr">
        <is>
          <t>Divine Neutral Chests</t>
        </is>
      </c>
      <c r="E38" s="371" t="n">
        <v>4</v>
      </c>
      <c r="F38" s="386" t="inlineStr">
        <is>
          <t>Daily Relic #6</t>
        </is>
      </c>
    </row>
    <row r="39">
      <c r="A39" s="434" t="inlineStr">
        <is>
          <t>Chang'e and Laurel</t>
        </is>
      </c>
      <c r="B39" s="425" t="inlineStr">
        <is>
          <t>SSS</t>
        </is>
      </c>
      <c r="C39" s="425" t="inlineStr">
        <is>
          <t>ART</t>
        </is>
      </c>
      <c r="D39" s="968" t="inlineStr">
        <is>
          <t>Wormhole SPD</t>
        </is>
      </c>
      <c r="E39" s="371" t="n">
        <v>4</v>
      </c>
      <c r="F39" s="386" t="inlineStr">
        <is>
          <t>Lottery Machine #2 (0.11%)</t>
        </is>
      </c>
    </row>
    <row r="40">
      <c r="A40" s="434" t="inlineStr">
        <is>
          <t>Manga Manuscripts</t>
        </is>
      </c>
      <c r="B40" s="425" t="inlineStr">
        <is>
          <t>SSS</t>
        </is>
      </c>
      <c r="C40" s="425" t="inlineStr">
        <is>
          <t>FAME</t>
        </is>
      </c>
      <c r="D40" s="968" t="inlineStr">
        <is>
          <t>Wormhole SPD</t>
        </is>
      </c>
      <c r="E40" s="371" t="n">
        <v>4</v>
      </c>
      <c r="F40" s="386" t="inlineStr">
        <is>
          <t>Daily Relic #20</t>
        </is>
      </c>
    </row>
    <row r="41">
      <c r="A41" s="434" t="inlineStr">
        <is>
          <t>Luan Feather</t>
        </is>
      </c>
      <c r="B41" s="425" t="inlineStr">
        <is>
          <t>SSS</t>
        </is>
      </c>
      <c r="C41" s="425" t="inlineStr">
        <is>
          <t>FTH</t>
        </is>
      </c>
      <c r="D41" s="968" t="inlineStr">
        <is>
          <t>Offering Egg Hatching</t>
        </is>
      </c>
      <c r="E41" s="371" t="n">
        <v>10</v>
      </c>
      <c r="F41" s="386" t="inlineStr">
        <is>
          <t>Bird Offering Incubation Bonus</t>
        </is>
      </c>
    </row>
    <row r="42">
      <c r="A42" s="434" t="inlineStr">
        <is>
          <t>Plants &amp; Birds</t>
        </is>
      </c>
      <c r="B42" s="425" t="inlineStr">
        <is>
          <t>SSS</t>
        </is>
      </c>
      <c r="C42" s="425" t="inlineStr">
        <is>
          <t>ART</t>
        </is>
      </c>
      <c r="D42" s="968" t="inlineStr">
        <is>
          <t>Exploration Egg Hatching</t>
        </is>
      </c>
      <c r="E42" s="371" t="n">
        <v>10</v>
      </c>
      <c r="F42" s="386" t="inlineStr">
        <is>
          <t>Bird Exploration Incubation Bonus</t>
        </is>
      </c>
    </row>
    <row r="43">
      <c r="A43" s="434" t="inlineStr">
        <is>
          <t>Stray Birds</t>
        </is>
      </c>
      <c r="B43" s="425" t="inlineStr">
        <is>
          <t>SSS</t>
        </is>
      </c>
      <c r="C43" s="425" t="inlineStr">
        <is>
          <t>CIV</t>
        </is>
      </c>
      <c r="D43" s="968" t="inlineStr">
        <is>
          <t>Wishing Egg Hatching</t>
        </is>
      </c>
      <c r="E43" s="371" t="n">
        <v>10</v>
      </c>
      <c r="F43" s="386" t="inlineStr">
        <is>
          <t>Bird Wishing Incubation Bonus</t>
        </is>
      </c>
    </row>
    <row r="44">
      <c r="A44" s="434" t="inlineStr">
        <is>
          <t>World Hawk</t>
        </is>
      </c>
      <c r="B44" s="425" t="inlineStr">
        <is>
          <t>SSS</t>
        </is>
      </c>
      <c r="C44" s="425" t="inlineStr">
        <is>
          <t>TECH</t>
        </is>
      </c>
      <c r="D44" s="968" t="inlineStr">
        <is>
          <t>Luck Egg Hatching</t>
        </is>
      </c>
      <c r="E44" s="371" t="n">
        <v>10</v>
      </c>
      <c r="F44" s="386" t="inlineStr">
        <is>
          <t>Bird Luck Incubation Bonus</t>
        </is>
      </c>
    </row>
    <row r="45">
      <c r="A45" s="434" t="inlineStr">
        <is>
          <t>Olympic Charter</t>
        </is>
      </c>
      <c r="B45" s="425" t="inlineStr">
        <is>
          <t>SSS</t>
        </is>
      </c>
      <c r="C45" s="425" t="inlineStr">
        <is>
          <t>FAME</t>
        </is>
      </c>
      <c r="D45" s="968" t="inlineStr">
        <is>
          <t>Minion Sim Tokens</t>
        </is>
      </c>
      <c r="E45" s="371" t="n">
        <v>5</v>
      </c>
      <c r="F45" s="386" t="inlineStr">
        <is>
          <t>Lottery Machine #2 (0.11%)</t>
        </is>
      </c>
    </row>
    <row r="46">
      <c r="A46" s="434" t="inlineStr">
        <is>
          <t>Caspian Sea Monster</t>
        </is>
      </c>
      <c r="B46" s="425" t="inlineStr">
        <is>
          <t>SS</t>
        </is>
      </c>
      <c r="C46" s="425" t="inlineStr">
        <is>
          <t>TECH</t>
        </is>
      </c>
      <c r="D46" s="968" t="inlineStr">
        <is>
          <t>Surf Clam Sim Effect</t>
        </is>
      </c>
      <c r="E46" s="371" t="n">
        <v>20</v>
      </c>
      <c r="F46" s="386" t="inlineStr">
        <is>
          <t>Lottery Machine #3 (0.36%)</t>
        </is>
      </c>
    </row>
    <row r="47">
      <c r="A47" s="434" t="inlineStr">
        <is>
          <t>Sherman Anti-Trust Act</t>
        </is>
      </c>
      <c r="B47" s="425" t="inlineStr">
        <is>
          <t>S</t>
        </is>
      </c>
      <c r="C47" s="425" t="inlineStr">
        <is>
          <t>FAME</t>
        </is>
      </c>
      <c r="D47" s="968" t="inlineStr">
        <is>
          <t>Hamster Sim Effect</t>
        </is>
      </c>
      <c r="E47" s="371" t="n">
        <v>20</v>
      </c>
      <c r="F47" s="386" t="inlineStr">
        <is>
          <t>Lottery Machine #3 (1.63%)</t>
        </is>
      </c>
    </row>
    <row r="48">
      <c r="A48" s="434" t="inlineStr">
        <is>
          <t>The Graces</t>
        </is>
      </c>
      <c r="B48" s="425" t="inlineStr">
        <is>
          <t>SS</t>
        </is>
      </c>
      <c r="C48" s="425" t="inlineStr">
        <is>
          <t>ART</t>
        </is>
      </c>
      <c r="D48" s="968" t="inlineStr">
        <is>
          <t>Dung Beetle Sim Effect</t>
        </is>
      </c>
      <c r="E48" s="371" t="n">
        <v>20</v>
      </c>
      <c r="F48" s="386" t="inlineStr">
        <is>
          <t>Lottery Machine #3 (0.36%)</t>
        </is>
      </c>
    </row>
    <row r="49">
      <c r="A49" s="434" t="inlineStr">
        <is>
          <t>Ymir's Treasure Chest</t>
        </is>
      </c>
      <c r="B49" s="425" t="inlineStr">
        <is>
          <t>SS</t>
        </is>
      </c>
      <c r="C49" s="425" t="inlineStr">
        <is>
          <t>FTH</t>
        </is>
      </c>
      <c r="D49" s="968" t="inlineStr">
        <is>
          <t>Goldfish Sim Effect</t>
        </is>
      </c>
      <c r="E49" s="371" t="n">
        <v>20</v>
      </c>
      <c r="F49" s="386" t="inlineStr">
        <is>
          <t>Lottery Machine #3 (0.36%)</t>
        </is>
      </c>
    </row>
    <row r="50">
      <c r="A50" s="434" t="inlineStr">
        <is>
          <t>Qin Bronze Chariot</t>
        </is>
      </c>
      <c r="B50" s="425" t="inlineStr">
        <is>
          <t>SSS</t>
        </is>
      </c>
      <c r="C50" s="425" t="inlineStr">
        <is>
          <t>CIV</t>
        </is>
      </c>
      <c r="D50" s="968" t="inlineStr">
        <is>
          <t>Mantis Sim Effect</t>
        </is>
      </c>
      <c r="E50" s="371" t="n">
        <v>20</v>
      </c>
      <c r="F50" s="386" t="inlineStr">
        <is>
          <t>Lottery Machine #3 (0.12%)</t>
        </is>
      </c>
    </row>
    <row r="51">
      <c r="A51" s="434" t="inlineStr">
        <is>
          <t>TVC Engine</t>
        </is>
      </c>
      <c r="B51" s="425" t="inlineStr">
        <is>
          <t>S</t>
        </is>
      </c>
      <c r="C51" s="425" t="inlineStr">
        <is>
          <t>TECH</t>
        </is>
      </c>
      <c r="D51" s="968" t="inlineStr">
        <is>
          <t>Decor Coin +1</t>
        </is>
      </c>
      <c r="E51" s="371" t="n">
        <v>30</v>
      </c>
      <c r="F51" s="386" t="inlineStr">
        <is>
          <t>Lottery Machine #3 (1.63%)</t>
        </is>
      </c>
    </row>
    <row r="52">
      <c r="A52" s="434" t="inlineStr">
        <is>
          <t>Quantum Foam</t>
        </is>
      </c>
      <c r="B52" s="425" t="inlineStr">
        <is>
          <t>SSS</t>
        </is>
      </c>
      <c r="C52" s="425" t="inlineStr">
        <is>
          <t>TECH</t>
        </is>
      </c>
      <c r="D52" s="968" t="inlineStr">
        <is>
          <t>Sand</t>
        </is>
      </c>
      <c r="E52" s="371" t="n">
        <v>5</v>
      </c>
      <c r="F52" s="386" t="inlineStr">
        <is>
          <t>Dominate Past/Future Apostles</t>
        </is>
      </c>
    </row>
    <row r="53">
      <c r="A53" s="434" t="inlineStr">
        <is>
          <t>The Ulster Chronicles</t>
        </is>
      </c>
      <c r="B53" s="425" t="inlineStr">
        <is>
          <t>SSS</t>
        </is>
      </c>
      <c r="C53" s="425" t="inlineStr">
        <is>
          <t>FTH</t>
        </is>
      </c>
      <c r="D53" s="968" t="inlineStr">
        <is>
          <t>Blue Paint Crafting +1</t>
        </is>
      </c>
      <c r="E53" s="371" t="n">
        <v>10</v>
      </c>
      <c r="F53" s="390" t="inlineStr">
        <is>
          <t>Lottery Machine #3 (?%)</t>
        </is>
      </c>
    </row>
    <row r="54">
      <c r="A54" s="434" t="inlineStr">
        <is>
          <t>Ivan the Terrible</t>
        </is>
      </c>
      <c r="B54" s="425" t="inlineStr">
        <is>
          <t>SSS</t>
        </is>
      </c>
      <c r="C54" s="425" t="inlineStr">
        <is>
          <t>ART</t>
        </is>
      </c>
      <c r="D54" s="968" t="inlineStr">
        <is>
          <t>Purple Spore Voucher +1</t>
        </is>
      </c>
      <c r="E54" s="371" t="n">
        <v>20</v>
      </c>
      <c r="F54" s="386" t="inlineStr">
        <is>
          <t>Lottery Machine #3 (0.12%)</t>
        </is>
      </c>
    </row>
    <row r="55">
      <c r="A55" s="362" t="inlineStr">
        <is>
          <t>Bronze Longhu Cup</t>
        </is>
      </c>
      <c r="B55" s="411" t="inlineStr">
        <is>
          <t>SSS</t>
        </is>
      </c>
      <c r="C55" s="411" t="inlineStr">
        <is>
          <t>ART</t>
        </is>
      </c>
      <c r="D55" s="969" t="inlineStr">
        <is>
          <t>Ancient Coins</t>
        </is>
      </c>
      <c r="E55" s="364" t="n">
        <v>100</v>
      </c>
      <c r="F55" s="970" t="inlineStr">
        <is>
          <t>Lottery Machine #2 (0.11%)</t>
        </is>
      </c>
    </row>
    <row r="56">
      <c r="A56" s="23" t="n"/>
      <c r="B56" s="972" t="n"/>
      <c r="C56" s="972" t="n"/>
      <c r="D56" s="971" t="n"/>
      <c r="E56" s="972" t="n"/>
      <c r="F56" s="972" t="n"/>
    </row>
    <row r="57">
      <c r="A57" s="23" t="n"/>
      <c r="B57" s="972" t="n"/>
      <c r="C57" s="972" t="n"/>
      <c r="D57" s="971" t="n"/>
      <c r="E57" s="972" t="n"/>
      <c r="F57" s="972" t="n"/>
    </row>
    <row r="58">
      <c r="A58" s="972" t="inlineStr">
        <is>
          <t>Note: Potentially valuable for future relic synchronization (200-250% relic awakening); List is not in priority order</t>
        </is>
      </c>
      <c r="B58" s="972" t="n"/>
      <c r="C58" s="972" t="n"/>
      <c r="D58" s="972" t="n"/>
      <c r="E58" s="972" t="n"/>
      <c r="F58" s="972" t="n"/>
    </row>
    <row r="59">
      <c r="A59" s="972" t="n"/>
      <c r="B59" s="972" t="n"/>
      <c r="C59" s="972" t="n"/>
      <c r="D59" s="972" t="n"/>
      <c r="E59" s="972" t="n"/>
      <c r="F59" s="972" t="n"/>
    </row>
    <row r="60">
      <c r="A60" s="972" t="n"/>
      <c r="B60" s="972" t="n"/>
      <c r="C60" s="972" t="n"/>
      <c r="D60" s="972" t="n"/>
      <c r="E60" s="972" t="n"/>
      <c r="F60" s="972" t="n"/>
    </row>
    <row r="61">
      <c r="A61" s="972" t="n"/>
      <c r="B61" s="972" t="n"/>
      <c r="C61" s="972" t="n"/>
      <c r="D61" s="972" t="n"/>
      <c r="E61" s="972" t="n"/>
      <c r="F61" s="972" t="n"/>
    </row>
    <row r="62">
      <c r="A62" s="972" t="n"/>
      <c r="B62" s="972" t="n"/>
      <c r="C62" s="972" t="n"/>
      <c r="D62" s="972" t="n"/>
      <c r="E62" s="972" t="n"/>
      <c r="F62" s="972" t="n"/>
    </row>
    <row r="63">
      <c r="A63" s="972" t="n"/>
      <c r="B63" s="972" t="n"/>
      <c r="C63" s="972" t="n"/>
      <c r="D63" s="972" t="n"/>
      <c r="E63" s="972" t="n"/>
      <c r="F63" s="972" t="n"/>
    </row>
    <row r="64">
      <c r="A64" s="972" t="n"/>
      <c r="B64" s="972" t="n"/>
      <c r="C64" s="972" t="n"/>
      <c r="D64" s="972" t="n"/>
      <c r="E64" s="972" t="n"/>
      <c r="F64" s="972" t="n"/>
    </row>
    <row r="65">
      <c r="A65" s="972" t="n"/>
      <c r="B65" s="972" t="n"/>
      <c r="C65" s="972" t="n"/>
      <c r="D65" s="972" t="n"/>
      <c r="E65" s="972" t="n"/>
      <c r="F65" s="972" t="n"/>
    </row>
    <row r="66">
      <c r="A66" s="972" t="n"/>
      <c r="B66" s="972" t="n"/>
      <c r="C66" s="972" t="n"/>
      <c r="D66" s="972" t="n"/>
      <c r="E66" s="972" t="n"/>
      <c r="F66" s="972" t="n"/>
    </row>
    <row r="67">
      <c r="A67" s="972" t="n"/>
      <c r="B67" s="972" t="n"/>
      <c r="C67" s="972" t="n"/>
      <c r="D67" s="972" t="n"/>
      <c r="E67" s="972" t="n"/>
      <c r="F67" s="972" t="n"/>
    </row>
    <row r="68">
      <c r="A68" s="972" t="n"/>
      <c r="B68" s="972" t="n"/>
      <c r="C68" s="972" t="n"/>
      <c r="D68" s="972" t="n"/>
      <c r="E68" s="972" t="n"/>
      <c r="F68" s="972" t="n"/>
    </row>
    <row r="69">
      <c r="A69" s="972" t="n"/>
      <c r="B69" s="972" t="n"/>
      <c r="C69" s="972" t="n"/>
      <c r="D69" s="972" t="n"/>
      <c r="E69" s="972" t="n"/>
      <c r="F69" s="972" t="n"/>
    </row>
    <row r="70">
      <c r="A70" s="972" t="n"/>
      <c r="B70" s="972" t="n"/>
      <c r="C70" s="972" t="n"/>
      <c r="D70" s="972" t="n"/>
      <c r="E70" s="972" t="n"/>
      <c r="F70" s="972" t="n"/>
    </row>
    <row r="71">
      <c r="A71" s="972" t="n"/>
      <c r="B71" s="972" t="n"/>
      <c r="C71" s="972" t="n"/>
      <c r="D71" s="972" t="n"/>
      <c r="E71" s="972" t="n"/>
      <c r="F71" s="972" t="n"/>
    </row>
    <row r="72">
      <c r="A72" s="972" t="n"/>
      <c r="B72" s="972" t="n"/>
      <c r="C72" s="972" t="n"/>
      <c r="D72" s="972" t="n"/>
      <c r="E72" s="972" t="n"/>
      <c r="F72" s="972" t="n"/>
    </row>
    <row r="73">
      <c r="A73" s="972" t="n"/>
      <c r="B73" s="972" t="n"/>
      <c r="C73" s="972" t="n"/>
      <c r="D73" s="972" t="n"/>
      <c r="E73" s="972" t="n"/>
      <c r="F73" s="972" t="n"/>
    </row>
    <row r="74">
      <c r="A74" s="972" t="n"/>
      <c r="B74" s="972" t="n"/>
      <c r="C74" s="972" t="n"/>
      <c r="D74" s="972" t="n"/>
      <c r="E74" s="972" t="n"/>
      <c r="F74" s="972" t="n"/>
    </row>
    <row r="75">
      <c r="A75" s="972" t="n"/>
      <c r="B75" s="972" t="n"/>
      <c r="C75" s="972" t="n"/>
      <c r="D75" s="972" t="n"/>
      <c r="E75" s="972" t="n"/>
      <c r="F75" s="972" t="n"/>
    </row>
    <row r="76">
      <c r="A76" s="972" t="n"/>
      <c r="B76" s="972" t="n"/>
      <c r="C76" s="972" t="n"/>
      <c r="D76" s="972" t="n"/>
      <c r="E76" s="972" t="n"/>
      <c r="F76" s="972" t="n"/>
    </row>
    <row r="77">
      <c r="A77" s="972" t="n"/>
      <c r="B77" s="972" t="n"/>
      <c r="C77" s="972" t="n"/>
      <c r="D77" s="972" t="n"/>
      <c r="E77" s="972" t="n"/>
      <c r="F77" s="972" t="n"/>
    </row>
    <row r="78">
      <c r="A78" s="972" t="n"/>
      <c r="B78" s="972" t="n"/>
      <c r="C78" s="972" t="n"/>
      <c r="D78" s="972" t="n"/>
      <c r="E78" s="972" t="n"/>
      <c r="F78" s="972" t="n"/>
    </row>
    <row r="79">
      <c r="A79" s="972" t="n"/>
      <c r="B79" s="972" t="n"/>
      <c r="C79" s="972" t="n"/>
      <c r="D79" s="972" t="n"/>
      <c r="E79" s="972" t="n"/>
      <c r="F79" s="972" t="n"/>
    </row>
    <row r="80">
      <c r="A80" s="972" t="n"/>
      <c r="B80" s="972" t="n"/>
      <c r="C80" s="972" t="n"/>
      <c r="D80" s="972" t="n"/>
      <c r="E80" s="972" t="n"/>
      <c r="F80" s="972" t="n"/>
    </row>
    <row r="81">
      <c r="A81" s="972" t="n"/>
      <c r="B81" s="972" t="n"/>
      <c r="C81" s="972" t="n"/>
      <c r="D81" s="972" t="n"/>
      <c r="E81" s="972" t="n"/>
      <c r="F81" s="972" t="n"/>
    </row>
    <row r="82">
      <c r="A82" s="972" t="n"/>
      <c r="B82" s="972" t="n"/>
      <c r="C82" s="972" t="n"/>
      <c r="D82" s="972" t="n"/>
      <c r="E82" s="972" t="n"/>
      <c r="F82" s="972" t="n"/>
    </row>
    <row r="83">
      <c r="A83" s="972" t="n"/>
      <c r="B83" s="972" t="n"/>
      <c r="C83" s="972" t="n"/>
      <c r="D83" s="972" t="n"/>
      <c r="E83" s="972" t="n"/>
      <c r="F83" s="972" t="n"/>
    </row>
    <row r="84">
      <c r="A84" s="972" t="n"/>
      <c r="B84" s="972" t="n"/>
      <c r="C84" s="972" t="n"/>
      <c r="D84" s="972" t="n"/>
      <c r="E84" s="972" t="n"/>
      <c r="F84" s="972" t="n"/>
    </row>
    <row r="85">
      <c r="A85" s="972" t="n"/>
      <c r="B85" s="972" t="n"/>
      <c r="C85" s="972" t="n"/>
      <c r="D85" s="972" t="n"/>
      <c r="E85" s="972" t="n"/>
      <c r="F85" s="972" t="n"/>
    </row>
    <row r="86">
      <c r="A86" s="972" t="n"/>
      <c r="B86" s="972" t="n"/>
      <c r="C86" s="972" t="n"/>
      <c r="D86" s="972" t="n"/>
      <c r="E86" s="972" t="n"/>
      <c r="F86" s="972" t="n"/>
    </row>
    <row r="87">
      <c r="A87" s="972" t="n"/>
      <c r="B87" s="972" t="n"/>
      <c r="C87" s="972" t="n"/>
      <c r="D87" s="972" t="n"/>
      <c r="E87" s="972" t="n"/>
      <c r="F87" s="972" t="n"/>
    </row>
    <row r="88">
      <c r="A88" s="972" t="n"/>
      <c r="B88" s="972" t="n"/>
      <c r="C88" s="972" t="n"/>
      <c r="D88" s="972" t="n"/>
      <c r="E88" s="972" t="n"/>
      <c r="F88" s="972" t="n"/>
    </row>
    <row r="89">
      <c r="A89" s="972" t="n"/>
      <c r="B89" s="972" t="n"/>
      <c r="C89" s="972" t="n"/>
      <c r="D89" s="972" t="n"/>
      <c r="E89" s="972" t="n"/>
      <c r="F89" s="972" t="n"/>
    </row>
    <row r="90">
      <c r="A90" s="972" t="n"/>
      <c r="B90" s="972" t="n"/>
      <c r="C90" s="972" t="n"/>
      <c r="D90" s="972" t="n"/>
      <c r="E90" s="972" t="n"/>
      <c r="F90" s="972" t="n"/>
    </row>
    <row r="91">
      <c r="A91" s="972" t="n"/>
      <c r="B91" s="972" t="n"/>
      <c r="C91" s="972" t="n"/>
      <c r="D91" s="972" t="n"/>
      <c r="E91" s="972" t="n"/>
      <c r="F91" s="972" t="n"/>
    </row>
    <row r="92">
      <c r="A92" s="972" t="n"/>
      <c r="B92" s="972" t="n"/>
      <c r="C92" s="972" t="n"/>
      <c r="D92" s="972" t="n"/>
      <c r="E92" s="972" t="n"/>
      <c r="F92" s="972" t="n"/>
    </row>
    <row r="93">
      <c r="A93" s="972" t="n"/>
      <c r="B93" s="972" t="n"/>
      <c r="C93" s="972" t="n"/>
      <c r="D93" s="972" t="n"/>
      <c r="E93" s="972" t="n"/>
      <c r="F93" s="972" t="n"/>
    </row>
  </sheetData>
  <dataValidations count="2">
    <dataValidation sqref="B2:B55" showDropDown="0" showInputMessage="0" showErrorMessage="1" allowBlank="1" type="list">
      <formula1>"SSS,SS,S,AAA,AA,A,Blue,Green"</formula1>
    </dataValidation>
    <dataValidation sqref="C2:C55" showDropDown="0" showInputMessage="0" showErrorMessage="1" allowBlank="1" type="list">
      <formula1>"FAME,ART,FTH,CIV,TECH"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AC223"/>
  <sheetViews>
    <sheetView workbookViewId="0">
      <selection activeCell="A1" sqref="A1"/>
    </sheetView>
  </sheetViews>
  <sheetFormatPr baseColWidth="8" defaultColWidth="9.18" defaultRowHeight="15" customHeight="1"/>
  <cols>
    <col width="2.91" customWidth="1" style="1128" min="1" max="1"/>
    <col width="17.27" customWidth="1" style="1128" min="2" max="2"/>
    <col width="6.45" customWidth="1" style="1128" min="3" max="3"/>
    <col width="8.09" customWidth="1" style="1128" min="4" max="5"/>
    <col width="9.449999999999999" customWidth="1" style="1128" min="6" max="6"/>
    <col width="9.91" customWidth="1" style="1128" min="7" max="7"/>
    <col width="7.55" customWidth="1" style="1128" min="8" max="8"/>
    <col width="8.91" customWidth="1" style="1128" min="9" max="9"/>
    <col width="8.640000000000001" customWidth="1" style="1128" min="10" max="10"/>
    <col width="8.449999999999999" customWidth="1" style="1128" min="11" max="11"/>
    <col width="9.27" customWidth="1" style="1128" min="12" max="12"/>
    <col width="16.27" customWidth="1" style="1128" min="24" max="24"/>
  </cols>
  <sheetData>
    <row r="1">
      <c r="A1" s="973" t="inlineStr">
        <is>
          <t xml:space="preserve">Note: </t>
        </is>
      </c>
      <c r="C1" s="906" t="inlineStr">
        <is>
          <t>Baseline data is pulled from Raigetsuki and drifter usage may not be optimal</t>
        </is>
      </c>
    </row>
    <row r="2">
      <c r="A2" s="973" t="n"/>
      <c r="M2" s="972" t="n"/>
      <c r="N2" s="972" t="n"/>
    </row>
    <row r="3">
      <c r="A3" s="973" t="n"/>
      <c r="M3" s="972" t="n"/>
      <c r="N3" s="972" t="n"/>
    </row>
    <row r="4">
      <c r="A4" s="691" t="inlineStr">
        <is>
          <t>Dance (Hellas)</t>
        </is>
      </c>
      <c r="B4" s="974" t="n"/>
      <c r="C4" s="974" t="n"/>
      <c r="D4" s="974" t="n"/>
      <c r="E4" s="974" t="n"/>
      <c r="F4" s="974" t="n"/>
      <c r="G4" s="974" t="n"/>
      <c r="H4" s="974" t="n"/>
      <c r="I4" s="974" t="n"/>
      <c r="J4" s="974" t="n"/>
      <c r="K4" s="974" t="n"/>
      <c r="L4" s="974" t="n"/>
      <c r="M4" s="975" t="n"/>
      <c r="N4" s="975" t="n"/>
      <c r="O4" s="972" t="n"/>
    </row>
    <row r="5">
      <c r="A5" s="989" t="inlineStr">
        <is>
          <t>No.</t>
        </is>
      </c>
      <c r="B5" s="444" t="inlineStr">
        <is>
          <t>Name</t>
        </is>
      </c>
      <c r="C5" s="444" t="inlineStr">
        <is>
          <t>Setting</t>
        </is>
      </c>
      <c r="D5" s="989" t="inlineStr">
        <is>
          <t>Score 1</t>
        </is>
      </c>
      <c r="E5" s="989" t="inlineStr">
        <is>
          <t>Score 2</t>
        </is>
      </c>
      <c r="F5" s="989" t="inlineStr">
        <is>
          <t>Score 3</t>
        </is>
      </c>
      <c r="G5" s="989" t="inlineStr">
        <is>
          <t>Score 4</t>
        </is>
      </c>
      <c r="H5" s="989" t="inlineStr">
        <is>
          <t>Score 5</t>
        </is>
      </c>
      <c r="I5" s="989" t="inlineStr">
        <is>
          <t>Athena</t>
        </is>
      </c>
      <c r="J5" s="989" t="inlineStr">
        <is>
          <t>Idol</t>
        </is>
      </c>
      <c r="K5" s="989" t="inlineStr">
        <is>
          <t>Idol Level</t>
        </is>
      </c>
      <c r="L5" s="989" t="inlineStr">
        <is>
          <t>Excalibra Level</t>
        </is>
      </c>
      <c r="M5" s="989" t="inlineStr">
        <is>
          <t>Amakusa Level</t>
        </is>
      </c>
      <c r="N5" s="989" t="inlineStr">
        <is>
          <t>Commissioner</t>
        </is>
      </c>
      <c r="O5" s="972" t="n"/>
      <c r="X5" s="444" t="inlineStr">
        <is>
          <t>Name</t>
        </is>
      </c>
      <c r="Y5" s="989" t="inlineStr">
        <is>
          <t>Score 1</t>
        </is>
      </c>
      <c r="Z5" s="989" t="inlineStr">
        <is>
          <t>Score 2</t>
        </is>
      </c>
      <c r="AA5" s="989" t="inlineStr">
        <is>
          <t>Score 3</t>
        </is>
      </c>
      <c r="AB5" s="989" t="inlineStr">
        <is>
          <t>Score 4</t>
        </is>
      </c>
      <c r="AC5" s="989" t="inlineStr">
        <is>
          <t>Score 5</t>
        </is>
      </c>
    </row>
    <row r="6">
      <c r="A6" s="989" t="n">
        <v>8</v>
      </c>
      <c r="B6" s="444" t="inlineStr">
        <is>
          <t>Feather Garment Dance</t>
        </is>
      </c>
      <c r="C6" s="444" t="inlineStr">
        <is>
          <t>AD 755</t>
        </is>
      </c>
      <c r="D6" s="976" t="n">
        <v>1668</v>
      </c>
      <c r="E6" s="977" t="n">
        <v>2238</v>
      </c>
      <c r="F6" s="976" t="n">
        <v>1992</v>
      </c>
      <c r="G6" s="977" t="n">
        <v>1605</v>
      </c>
      <c r="H6" s="977" t="n">
        <v>1605</v>
      </c>
      <c r="I6" s="989" t="inlineStr">
        <is>
          <t>2nd</t>
        </is>
      </c>
      <c r="J6" s="989" t="inlineStr">
        <is>
          <t>5th</t>
        </is>
      </c>
      <c r="K6" s="989" t="n"/>
      <c r="L6" s="989" t="n"/>
      <c r="M6" s="989" t="n"/>
      <c r="N6" s="989" t="n"/>
      <c r="O6" s="972" t="n"/>
      <c r="X6" s="444" t="inlineStr">
        <is>
          <t>Feather Garment Dance</t>
        </is>
      </c>
      <c r="Y6" s="976" t="inlineStr">
        <is>
          <t>Male</t>
        </is>
      </c>
      <c r="Z6" s="976" t="inlineStr">
        <is>
          <t>Male</t>
        </is>
      </c>
      <c r="AA6" s="976" t="inlineStr">
        <is>
          <t>Male</t>
        </is>
      </c>
      <c r="AB6" s="976" t="inlineStr">
        <is>
          <t>Male</t>
        </is>
      </c>
      <c r="AC6" s="976" t="inlineStr">
        <is>
          <t>Male</t>
        </is>
      </c>
    </row>
    <row r="7">
      <c r="A7" s="989" t="n">
        <v>15</v>
      </c>
      <c r="B7" s="444" t="inlineStr">
        <is>
          <t>Versailles Palace Ball</t>
        </is>
      </c>
      <c r="C7" s="444" t="inlineStr">
        <is>
          <t>AD 1701</t>
        </is>
      </c>
      <c r="D7" s="978" t="n">
        <v>2733</v>
      </c>
      <c r="E7" s="976" t="n">
        <v>3651</v>
      </c>
      <c r="F7" s="977" t="n">
        <v>3252</v>
      </c>
      <c r="G7" s="979" t="n">
        <v>2589</v>
      </c>
      <c r="H7" s="979" t="n">
        <v>2589</v>
      </c>
      <c r="I7" s="989" t="inlineStr">
        <is>
          <t>3rd</t>
        </is>
      </c>
      <c r="J7" s="989" t="inlineStr">
        <is>
          <t>5th</t>
        </is>
      </c>
      <c r="K7" s="989" t="n"/>
      <c r="L7" s="989" t="n"/>
      <c r="M7" s="989" t="n"/>
      <c r="N7" s="989" t="n"/>
      <c r="O7" s="972" t="n"/>
      <c r="X7" s="444" t="inlineStr">
        <is>
          <t>Versailles Palace Ball</t>
        </is>
      </c>
      <c r="Y7" s="978" t="inlineStr">
        <is>
          <t>Female</t>
        </is>
      </c>
      <c r="Z7" s="976" t="inlineStr">
        <is>
          <t>Male</t>
        </is>
      </c>
      <c r="AA7" s="976" t="inlineStr">
        <is>
          <t>Male</t>
        </is>
      </c>
      <c r="AB7" s="978" t="inlineStr">
        <is>
          <t>Female</t>
        </is>
      </c>
      <c r="AC7" s="978" t="inlineStr">
        <is>
          <t>Female</t>
        </is>
      </c>
    </row>
    <row r="8">
      <c r="A8" s="989" t="n">
        <v>28</v>
      </c>
      <c r="B8" s="444" t="inlineStr">
        <is>
          <t>Ball of Buckingham Palace</t>
        </is>
      </c>
      <c r="C8" s="444" t="inlineStr">
        <is>
          <t>AD 1842</t>
        </is>
      </c>
      <c r="D8" s="977" t="n">
        <v>4887</v>
      </c>
      <c r="E8" s="976" t="n">
        <v>7692</v>
      </c>
      <c r="F8" s="976" t="n">
        <v>5796</v>
      </c>
      <c r="G8" s="977" t="n">
        <v>4746</v>
      </c>
      <c r="H8" s="979" t="n">
        <v>4746</v>
      </c>
      <c r="I8" s="989" t="inlineStr">
        <is>
          <t>1st</t>
        </is>
      </c>
      <c r="J8" s="989" t="inlineStr">
        <is>
          <t>5th</t>
        </is>
      </c>
      <c r="K8" s="989" t="n"/>
      <c r="L8" s="989" t="n"/>
      <c r="M8" s="989" t="n"/>
      <c r="N8" s="989" t="n"/>
      <c r="O8" s="972" t="n"/>
      <c r="X8" s="444" t="inlineStr">
        <is>
          <t>Ball of Buckingham Palace</t>
        </is>
      </c>
      <c r="Y8" s="976" t="inlineStr">
        <is>
          <t>Male</t>
        </is>
      </c>
      <c r="Z8" s="976" t="inlineStr">
        <is>
          <t>Male</t>
        </is>
      </c>
      <c r="AA8" s="976" t="inlineStr">
        <is>
          <t>Male</t>
        </is>
      </c>
      <c r="AB8" s="976" t="inlineStr">
        <is>
          <t>Male</t>
        </is>
      </c>
      <c r="AC8" s="978" t="inlineStr">
        <is>
          <t>Female</t>
        </is>
      </c>
    </row>
    <row r="9">
      <c r="A9" s="989" t="n">
        <v>44</v>
      </c>
      <c r="B9" s="444" t="inlineStr">
        <is>
          <t>Swan Lake</t>
        </is>
      </c>
      <c r="C9" s="444" t="inlineStr">
        <is>
          <t>AD 1877</t>
        </is>
      </c>
      <c r="D9" s="976" t="n">
        <v>7803</v>
      </c>
      <c r="E9" s="978" t="n">
        <v>13125</v>
      </c>
      <c r="F9" s="977" t="n">
        <v>10755</v>
      </c>
      <c r="G9" s="979" t="n">
        <v>7800</v>
      </c>
      <c r="H9" s="979" t="n">
        <v>7800</v>
      </c>
      <c r="I9" s="989" t="inlineStr">
        <is>
          <t>3rd</t>
        </is>
      </c>
      <c r="J9" s="989" t="inlineStr">
        <is>
          <t>5th</t>
        </is>
      </c>
      <c r="K9" s="989" t="n"/>
      <c r="L9" s="989" t="n"/>
      <c r="M9" s="989" t="n"/>
      <c r="N9" s="989" t="n"/>
      <c r="O9" s="972" t="n"/>
      <c r="X9" s="444" t="inlineStr">
        <is>
          <t>Swan Lake</t>
        </is>
      </c>
      <c r="Y9" s="976" t="inlineStr">
        <is>
          <t>Male</t>
        </is>
      </c>
      <c r="Z9" s="978" t="inlineStr">
        <is>
          <t>Female</t>
        </is>
      </c>
      <c r="AA9" s="976" t="inlineStr">
        <is>
          <t>Male</t>
        </is>
      </c>
      <c r="AB9" s="978" t="inlineStr">
        <is>
          <t>Female</t>
        </is>
      </c>
      <c r="AC9" s="978" t="inlineStr">
        <is>
          <t>Female</t>
        </is>
      </c>
    </row>
    <row r="10">
      <c r="A10" s="989" t="n">
        <v>54</v>
      </c>
      <c r="B10" s="444" t="inlineStr">
        <is>
          <t>Queen Charlotte's Ball</t>
        </is>
      </c>
      <c r="C10" s="444" t="inlineStr">
        <is>
          <t>AD 1780</t>
        </is>
      </c>
      <c r="D10" s="978" t="n">
        <v>9945</v>
      </c>
      <c r="E10" s="978" t="n">
        <v>17397</v>
      </c>
      <c r="F10" s="977" t="n">
        <v>11682</v>
      </c>
      <c r="G10" s="979" t="n">
        <v>9945</v>
      </c>
      <c r="H10" s="979" t="n">
        <v>9945</v>
      </c>
      <c r="I10" s="989" t="inlineStr">
        <is>
          <t>3rd</t>
        </is>
      </c>
      <c r="J10" s="989" t="inlineStr">
        <is>
          <t>5th</t>
        </is>
      </c>
      <c r="K10" s="989" t="n"/>
      <c r="L10" s="989" t="n"/>
      <c r="M10" s="989" t="n"/>
      <c r="N10" s="989" t="n"/>
      <c r="O10" s="972" t="n"/>
      <c r="X10" s="444" t="inlineStr">
        <is>
          <t>Queen Charlotte's Ball</t>
        </is>
      </c>
      <c r="Y10" s="978" t="inlineStr">
        <is>
          <t>Female</t>
        </is>
      </c>
      <c r="Z10" s="978" t="inlineStr">
        <is>
          <t>Female</t>
        </is>
      </c>
      <c r="AA10" s="976" t="inlineStr">
        <is>
          <t>Male</t>
        </is>
      </c>
      <c r="AB10" s="978" t="inlineStr">
        <is>
          <t>Female</t>
        </is>
      </c>
      <c r="AC10" s="978" t="inlineStr">
        <is>
          <t>Female</t>
        </is>
      </c>
    </row>
    <row r="11">
      <c r="A11" s="989" t="n">
        <v>68</v>
      </c>
      <c r="B11" s="444" t="inlineStr">
        <is>
          <t>Broadway</t>
        </is>
      </c>
      <c r="C11" s="444" t="inlineStr">
        <is>
          <t>AD 1810</t>
        </is>
      </c>
      <c r="D11" s="979" t="n">
        <v>16149</v>
      </c>
      <c r="E11" s="979" t="n">
        <v>17436</v>
      </c>
      <c r="F11" s="978" t="n">
        <v>23925</v>
      </c>
      <c r="G11" s="978" t="n">
        <v>19437</v>
      </c>
      <c r="H11" s="979" t="n">
        <v>17223</v>
      </c>
      <c r="I11" s="989" t="inlineStr">
        <is>
          <t>N/A</t>
        </is>
      </c>
      <c r="J11" s="989" t="inlineStr">
        <is>
          <t>2nd</t>
        </is>
      </c>
      <c r="K11" s="989" t="n"/>
      <c r="L11" s="989" t="n"/>
      <c r="M11" s="989" t="n"/>
      <c r="N11" s="989" t="n"/>
      <c r="O11" s="972" t="n"/>
      <c r="X11" s="444" t="inlineStr">
        <is>
          <t>Broadway</t>
        </is>
      </c>
      <c r="Y11" s="978" t="inlineStr">
        <is>
          <t>Female</t>
        </is>
      </c>
      <c r="Z11" s="978" t="inlineStr">
        <is>
          <t>Female</t>
        </is>
      </c>
      <c r="AA11" s="978" t="inlineStr">
        <is>
          <t>Female</t>
        </is>
      </c>
      <c r="AB11" s="978" t="inlineStr">
        <is>
          <t>Female</t>
        </is>
      </c>
      <c r="AC11" s="978" t="inlineStr">
        <is>
          <t>Female</t>
        </is>
      </c>
    </row>
    <row r="12">
      <c r="A12" s="989" t="n">
        <v>74</v>
      </c>
      <c r="B12" s="444" t="inlineStr">
        <is>
          <t>Ball of Winter Palace</t>
        </is>
      </c>
      <c r="C12" s="444" t="inlineStr">
        <is>
          <t>AD 1903</t>
        </is>
      </c>
      <c r="D12" s="979" t="n">
        <v>18864</v>
      </c>
      <c r="E12" s="979" t="n">
        <v>20196</v>
      </c>
      <c r="F12" s="978" t="n">
        <v>28608</v>
      </c>
      <c r="G12" s="978" t="n">
        <v>22848</v>
      </c>
      <c r="H12" s="977" t="n">
        <v>20070</v>
      </c>
      <c r="I12" s="989" t="inlineStr">
        <is>
          <t>5th</t>
        </is>
      </c>
      <c r="J12" s="989" t="inlineStr">
        <is>
          <t>2nd</t>
        </is>
      </c>
      <c r="K12" s="989" t="n">
        <v>16</v>
      </c>
      <c r="L12" s="989" t="n">
        <v>12</v>
      </c>
      <c r="M12" s="989" t="n"/>
      <c r="N12" s="989" t="n"/>
      <c r="O12" s="972" t="n"/>
      <c r="X12" s="444" t="inlineStr">
        <is>
          <t>Ball of Winter Palace</t>
        </is>
      </c>
      <c r="Y12" s="978" t="inlineStr">
        <is>
          <t>Female</t>
        </is>
      </c>
      <c r="Z12" s="978" t="inlineStr">
        <is>
          <t>Female</t>
        </is>
      </c>
      <c r="AA12" s="978" t="inlineStr">
        <is>
          <t>Female</t>
        </is>
      </c>
      <c r="AB12" s="978" t="inlineStr">
        <is>
          <t>Female</t>
        </is>
      </c>
      <c r="AC12" s="976" t="inlineStr">
        <is>
          <t>Male</t>
        </is>
      </c>
    </row>
    <row r="13">
      <c r="A13" s="989" t="n">
        <v>96</v>
      </c>
      <c r="B13" s="444" t="inlineStr">
        <is>
          <t>Liberation Rite</t>
        </is>
      </c>
      <c r="C13" s="444" t="inlineStr">
        <is>
          <t>AD 627</t>
        </is>
      </c>
      <c r="D13" s="977" t="n">
        <v>23994</v>
      </c>
      <c r="E13" s="976" t="n">
        <v>27402</v>
      </c>
      <c r="F13" s="977" t="n">
        <v>41064</v>
      </c>
      <c r="G13" s="976" t="n">
        <v>24930</v>
      </c>
      <c r="H13" s="977" t="n">
        <v>24930</v>
      </c>
      <c r="I13" s="989" t="inlineStr">
        <is>
          <t>3rd</t>
        </is>
      </c>
      <c r="J13" s="989" t="inlineStr">
        <is>
          <t>1st</t>
        </is>
      </c>
      <c r="K13" s="989" t="n">
        <v>26</v>
      </c>
      <c r="L13" s="989" t="n">
        <v>20</v>
      </c>
      <c r="M13" s="989" t="n"/>
      <c r="N13" s="989" t="n"/>
      <c r="O13" s="972" t="n"/>
      <c r="X13" s="444" t="inlineStr">
        <is>
          <t>Liberation Rite</t>
        </is>
      </c>
      <c r="Y13" s="976" t="inlineStr">
        <is>
          <t>Male</t>
        </is>
      </c>
      <c r="Z13" s="976" t="inlineStr">
        <is>
          <t>Male</t>
        </is>
      </c>
      <c r="AA13" s="976" t="inlineStr">
        <is>
          <t>Male</t>
        </is>
      </c>
      <c r="AB13" s="976" t="inlineStr">
        <is>
          <t>Male</t>
        </is>
      </c>
      <c r="AC13" s="976" t="inlineStr">
        <is>
          <t>Male</t>
        </is>
      </c>
    </row>
    <row r="14">
      <c r="A14" s="989" t="n">
        <v>108</v>
      </c>
      <c r="B14" s="444" t="inlineStr">
        <is>
          <t>Great Dionysia</t>
        </is>
      </c>
      <c r="C14" s="444" t="inlineStr">
        <is>
          <t>BC 755</t>
        </is>
      </c>
      <c r="D14" s="979" t="n">
        <v>28443</v>
      </c>
      <c r="E14" s="977" t="n">
        <v>31692</v>
      </c>
      <c r="F14" s="978" t="n">
        <v>49287</v>
      </c>
      <c r="G14" s="976" t="n">
        <v>29133</v>
      </c>
      <c r="H14" s="977" t="n">
        <v>29133</v>
      </c>
      <c r="I14" s="989" t="inlineStr">
        <is>
          <t>2nd</t>
        </is>
      </c>
      <c r="J14" s="989" t="inlineStr">
        <is>
          <t>1st</t>
        </is>
      </c>
      <c r="K14" s="989" t="n">
        <v>25</v>
      </c>
      <c r="L14" s="989" t="n">
        <v>20</v>
      </c>
      <c r="M14" s="989" t="n"/>
      <c r="N14" s="989" t="n"/>
      <c r="O14" s="972" t="inlineStr">
        <is>
          <t>SYT Clear</t>
        </is>
      </c>
      <c r="X14" s="444" t="inlineStr">
        <is>
          <t>Great Dionysia</t>
        </is>
      </c>
      <c r="Y14" s="978" t="inlineStr">
        <is>
          <t>Female</t>
        </is>
      </c>
      <c r="Z14" s="976" t="inlineStr">
        <is>
          <t>Male</t>
        </is>
      </c>
      <c r="AA14" s="978" t="inlineStr">
        <is>
          <t>Female</t>
        </is>
      </c>
      <c r="AB14" s="976" t="inlineStr">
        <is>
          <t>Male</t>
        </is>
      </c>
      <c r="AC14" s="976" t="inlineStr">
        <is>
          <t>Male</t>
        </is>
      </c>
    </row>
    <row r="15">
      <c r="A15" s="989" t="n">
        <v>114</v>
      </c>
      <c r="B15" s="444" t="inlineStr">
        <is>
          <t>Sun Deity Festival</t>
        </is>
      </c>
      <c r="C15" s="444" t="inlineStr">
        <is>
          <t>BC 8047</t>
        </is>
      </c>
      <c r="D15" s="979" t="n">
        <v>31560</v>
      </c>
      <c r="E15" s="977" t="n">
        <v>34620</v>
      </c>
      <c r="F15" s="978" t="n">
        <v>55122</v>
      </c>
      <c r="G15" s="976" t="n">
        <v>32040</v>
      </c>
      <c r="H15" s="979" t="n">
        <v>32040</v>
      </c>
      <c r="I15" s="989" t="inlineStr">
        <is>
          <t>2nd</t>
        </is>
      </c>
      <c r="J15" s="989" t="inlineStr">
        <is>
          <t>5th</t>
        </is>
      </c>
      <c r="K15" s="989" t="n"/>
      <c r="L15" s="989" t="n"/>
      <c r="M15" s="989" t="n"/>
      <c r="N15" s="989" t="n"/>
      <c r="O15" s="972" t="n"/>
      <c r="X15" s="444" t="inlineStr">
        <is>
          <t>Sun Deity Festival</t>
        </is>
      </c>
      <c r="Y15" s="978" t="inlineStr">
        <is>
          <t>Female</t>
        </is>
      </c>
      <c r="Z15" s="976" t="inlineStr">
        <is>
          <t>Male</t>
        </is>
      </c>
      <c r="AA15" s="978" t="inlineStr">
        <is>
          <t>Female</t>
        </is>
      </c>
      <c r="AB15" s="976" t="inlineStr">
        <is>
          <t>Male</t>
        </is>
      </c>
      <c r="AC15" s="978" t="inlineStr">
        <is>
          <t>Female</t>
        </is>
      </c>
    </row>
    <row r="16">
      <c r="A16" s="989" t="n">
        <v>123</v>
      </c>
      <c r="B16" s="444" t="inlineStr">
        <is>
          <t>Romeo &amp; Juliet</t>
        </is>
      </c>
      <c r="C16" s="444" t="inlineStr">
        <is>
          <t>AD 1595</t>
        </is>
      </c>
      <c r="D16" s="976" t="n">
        <v>59103</v>
      </c>
      <c r="E16" s="977" t="n">
        <v>63465</v>
      </c>
      <c r="F16" s="977" t="n">
        <v>34179</v>
      </c>
      <c r="G16" s="976" t="n">
        <v>53319</v>
      </c>
      <c r="H16" s="979" t="n">
        <v>43065</v>
      </c>
      <c r="I16" s="989" t="inlineStr">
        <is>
          <t>2nd</t>
        </is>
      </c>
      <c r="J16" s="989" t="inlineStr">
        <is>
          <t>5th</t>
        </is>
      </c>
      <c r="K16" s="989" t="inlineStr">
        <is>
          <t>30 [N/A]</t>
        </is>
      </c>
      <c r="L16" s="989" t="inlineStr">
        <is>
          <t>19 [15]</t>
        </is>
      </c>
      <c r="M16" s="989" t="inlineStr">
        <is>
          <t>[25]</t>
        </is>
      </c>
      <c r="N16" s="989" t="inlineStr">
        <is>
          <t>N/A</t>
        </is>
      </c>
      <c r="O16" s="972" t="inlineStr">
        <is>
          <t>SYT Clear vs. [Predicted]</t>
        </is>
      </c>
      <c r="X16" s="444" t="inlineStr">
        <is>
          <t>Romeo &amp; Juliet</t>
        </is>
      </c>
      <c r="Y16" s="976" t="inlineStr">
        <is>
          <t>Male</t>
        </is>
      </c>
      <c r="Z16" s="976" t="inlineStr">
        <is>
          <t>Male</t>
        </is>
      </c>
      <c r="AA16" s="976" t="inlineStr">
        <is>
          <t>Male</t>
        </is>
      </c>
      <c r="AB16" s="976" t="inlineStr">
        <is>
          <t>Male</t>
        </is>
      </c>
      <c r="AC16" s="978" t="inlineStr">
        <is>
          <t>Female</t>
        </is>
      </c>
    </row>
    <row r="17">
      <c r="A17" s="989" t="n">
        <v>129</v>
      </c>
      <c r="B17" s="444" t="inlineStr">
        <is>
          <t>Socialite Ball</t>
        </is>
      </c>
      <c r="C17" s="444" t="inlineStr">
        <is>
          <t>AD 1992</t>
        </is>
      </c>
      <c r="D17" s="979" t="n">
        <v>39948</v>
      </c>
      <c r="E17" s="978" t="n">
        <v>67278</v>
      </c>
      <c r="F17" s="979" t="n">
        <v>48528</v>
      </c>
      <c r="G17" s="978" t="n">
        <v>75702</v>
      </c>
      <c r="H17" s="979" t="n">
        <v>61143</v>
      </c>
      <c r="I17" s="989" t="inlineStr">
        <is>
          <t>N/A</t>
        </is>
      </c>
      <c r="J17" s="989" t="inlineStr">
        <is>
          <t>1st</t>
        </is>
      </c>
      <c r="K17" s="989" t="n">
        <v>26</v>
      </c>
      <c r="L17" s="989" t="n">
        <v>24</v>
      </c>
      <c r="M17" s="989" t="n">
        <v>37</v>
      </c>
      <c r="N17" s="989" t="inlineStr">
        <is>
          <t>N/A</t>
        </is>
      </c>
      <c r="O17" s="972" t="inlineStr">
        <is>
          <t>Self Clear</t>
        </is>
      </c>
      <c r="X17" s="444" t="inlineStr">
        <is>
          <t>Socialite Ball</t>
        </is>
      </c>
      <c r="Y17" s="978" t="inlineStr">
        <is>
          <t>Female</t>
        </is>
      </c>
      <c r="Z17" s="978" t="inlineStr">
        <is>
          <t>Female</t>
        </is>
      </c>
      <c r="AA17" s="978" t="inlineStr">
        <is>
          <t>Female</t>
        </is>
      </c>
      <c r="AB17" s="978" t="inlineStr">
        <is>
          <t>Female</t>
        </is>
      </c>
      <c r="AC17" s="978" t="inlineStr">
        <is>
          <t>Female</t>
        </is>
      </c>
    </row>
    <row r="18">
      <c r="A18" s="989" t="n">
        <v>137</v>
      </c>
      <c r="B18" s="444" t="inlineStr">
        <is>
          <t>Seven Devils</t>
        </is>
      </c>
      <c r="C18" s="444" t="inlineStr">
        <is>
          <t>BC 1053</t>
        </is>
      </c>
      <c r="D18" s="976" t="n">
        <v>70398</v>
      </c>
      <c r="E18" s="977" t="n">
        <v>78066</v>
      </c>
      <c r="F18" s="977" t="n">
        <v>40554</v>
      </c>
      <c r="G18" s="976" t="n">
        <v>63264</v>
      </c>
      <c r="H18" s="977" t="n">
        <v>51096</v>
      </c>
      <c r="I18" s="989" t="inlineStr">
        <is>
          <t>2nd</t>
        </is>
      </c>
      <c r="J18" s="989" t="inlineStr">
        <is>
          <t>N/A</t>
        </is>
      </c>
      <c r="K18" s="989" t="inlineStr">
        <is>
          <t>[N/A]</t>
        </is>
      </c>
      <c r="L18" s="989" t="inlineStr">
        <is>
          <t>[15]</t>
        </is>
      </c>
      <c r="M18" s="989" t="inlineStr">
        <is>
          <t>[30]</t>
        </is>
      </c>
      <c r="N18" s="989" t="inlineStr">
        <is>
          <t>N/A</t>
        </is>
      </c>
      <c r="O18" s="972" t="inlineStr">
        <is>
          <t>[Predicted]</t>
        </is>
      </c>
      <c r="X18" s="444" t="inlineStr">
        <is>
          <t>Seven Devils</t>
        </is>
      </c>
      <c r="Y18" s="976" t="inlineStr">
        <is>
          <t>Male</t>
        </is>
      </c>
      <c r="Z18" s="976" t="inlineStr">
        <is>
          <t>Male</t>
        </is>
      </c>
      <c r="AA18" s="976" t="inlineStr">
        <is>
          <t>Male</t>
        </is>
      </c>
      <c r="AB18" s="976" t="inlineStr">
        <is>
          <t>Male</t>
        </is>
      </c>
      <c r="AC18" s="976" t="inlineStr">
        <is>
          <t>Male</t>
        </is>
      </c>
    </row>
    <row r="19">
      <c r="A19" s="989" t="n">
        <v>144</v>
      </c>
      <c r="B19" s="444" t="inlineStr">
        <is>
          <t>Dance World Cup</t>
        </is>
      </c>
      <c r="C19" s="444" t="inlineStr">
        <is>
          <t>AD 2000</t>
        </is>
      </c>
      <c r="D19" s="976" t="n">
        <v>76482</v>
      </c>
      <c r="E19" s="977" t="n">
        <v>87630</v>
      </c>
      <c r="F19" s="977" t="n">
        <v>44073</v>
      </c>
      <c r="G19" s="976" t="n">
        <v>68751</v>
      </c>
      <c r="H19" s="977" t="n">
        <v>55530</v>
      </c>
      <c r="I19" s="989" t="inlineStr">
        <is>
          <t>2nd</t>
        </is>
      </c>
      <c r="J19" s="989" t="inlineStr">
        <is>
          <t>N/A</t>
        </is>
      </c>
      <c r="K19" s="989" t="inlineStr">
        <is>
          <t>N/A</t>
        </is>
      </c>
      <c r="L19" s="989" t="n">
        <v>24</v>
      </c>
      <c r="M19" s="989" t="n">
        <v>37</v>
      </c>
      <c r="N19" s="989" t="inlineStr">
        <is>
          <t>N/A</t>
        </is>
      </c>
      <c r="O19" s="972" t="inlineStr">
        <is>
          <t>Self Clear</t>
        </is>
      </c>
      <c r="X19" s="444" t="inlineStr">
        <is>
          <t>Dance World Cup</t>
        </is>
      </c>
      <c r="Y19" s="976" t="inlineStr">
        <is>
          <t>Male</t>
        </is>
      </c>
      <c r="Z19" s="976" t="inlineStr">
        <is>
          <t>Male</t>
        </is>
      </c>
      <c r="AA19" s="976" t="inlineStr">
        <is>
          <t>Male</t>
        </is>
      </c>
      <c r="AB19" s="976" t="inlineStr">
        <is>
          <t>Male</t>
        </is>
      </c>
      <c r="AC19" s="976" t="inlineStr">
        <is>
          <t>Male</t>
        </is>
      </c>
    </row>
    <row r="20">
      <c r="A20" s="989" t="n">
        <v>156</v>
      </c>
      <c r="B20" s="444" t="inlineStr">
        <is>
          <t>Carnival of Venice</t>
        </is>
      </c>
      <c r="C20" s="444" t="inlineStr">
        <is>
          <t>AD 1162</t>
        </is>
      </c>
      <c r="D20" s="979" t="n">
        <v>52812</v>
      </c>
      <c r="E20" s="977" t="n">
        <v>97896</v>
      </c>
      <c r="F20" s="977" t="n">
        <v>47718</v>
      </c>
      <c r="G20" s="978" t="n">
        <v>76347</v>
      </c>
      <c r="H20" s="978" t="n">
        <v>62031</v>
      </c>
      <c r="I20" s="989" t="inlineStr">
        <is>
          <t>2nd</t>
        </is>
      </c>
      <c r="J20" s="989" t="inlineStr">
        <is>
          <t>N/A</t>
        </is>
      </c>
      <c r="K20" s="989" t="inlineStr">
        <is>
          <t>N/A</t>
        </is>
      </c>
      <c r="L20" s="989" t="n">
        <v>24</v>
      </c>
      <c r="M20" s="989" t="n">
        <v>37</v>
      </c>
      <c r="N20" s="989" t="inlineStr">
        <is>
          <t>N/A</t>
        </is>
      </c>
      <c r="O20" s="972" t="inlineStr">
        <is>
          <t>Self Clear</t>
        </is>
      </c>
      <c r="X20" s="444" t="inlineStr">
        <is>
          <t>Carnival of Venice</t>
        </is>
      </c>
      <c r="Y20" s="978" t="inlineStr">
        <is>
          <t>Female</t>
        </is>
      </c>
      <c r="Z20" s="976" t="inlineStr">
        <is>
          <t>Male</t>
        </is>
      </c>
      <c r="AA20" s="976" t="inlineStr">
        <is>
          <t>Male</t>
        </is>
      </c>
      <c r="AB20" s="978" t="inlineStr">
        <is>
          <t>Female</t>
        </is>
      </c>
      <c r="AC20" s="978" t="inlineStr">
        <is>
          <t>Female</t>
        </is>
      </c>
    </row>
    <row r="21">
      <c r="A21" s="989" t="n">
        <v>160</v>
      </c>
      <c r="B21" s="444" t="inlineStr">
        <is>
          <t>Red Mill's Ball</t>
        </is>
      </c>
      <c r="C21" s="444" t="inlineStr">
        <is>
          <t>AD 1876</t>
        </is>
      </c>
      <c r="D21" s="979" t="n">
        <v>58323</v>
      </c>
      <c r="E21" s="978" t="n">
        <v>111345</v>
      </c>
      <c r="F21" s="977" t="n">
        <v>52617</v>
      </c>
      <c r="G21" s="977" t="n">
        <v>82080</v>
      </c>
      <c r="H21" s="976" t="n">
        <v>66200</v>
      </c>
      <c r="I21" s="989" t="inlineStr">
        <is>
          <t>4th</t>
        </is>
      </c>
      <c r="J21" s="989" t="inlineStr">
        <is>
          <t>N/A</t>
        </is>
      </c>
      <c r="K21" s="989" t="inlineStr">
        <is>
          <t>N/A</t>
        </is>
      </c>
      <c r="L21" s="989" t="n">
        <v>24</v>
      </c>
      <c r="M21" s="989" t="n">
        <v>40</v>
      </c>
      <c r="N21" s="989" t="inlineStr">
        <is>
          <t>N/A</t>
        </is>
      </c>
      <c r="O21" s="972" t="inlineStr">
        <is>
          <t>Self Clear</t>
        </is>
      </c>
      <c r="X21" s="444" t="inlineStr">
        <is>
          <t>Red Mill's Ball</t>
        </is>
      </c>
      <c r="Y21" s="978" t="inlineStr">
        <is>
          <t>Female</t>
        </is>
      </c>
      <c r="Z21" s="978" t="inlineStr">
        <is>
          <t>Female</t>
        </is>
      </c>
      <c r="AA21" s="976" t="inlineStr">
        <is>
          <t>Male</t>
        </is>
      </c>
      <c r="AB21" s="976" t="inlineStr">
        <is>
          <t>Male</t>
        </is>
      </c>
      <c r="AC21" s="976" t="inlineStr">
        <is>
          <t>Male</t>
        </is>
      </c>
    </row>
    <row r="22">
      <c r="A22" s="989" t="n">
        <v>170</v>
      </c>
      <c r="B22" s="444" t="inlineStr">
        <is>
          <t>Blackpool Dance Festival</t>
        </is>
      </c>
      <c r="C22" s="444" t="inlineStr">
        <is>
          <t>AD 1920</t>
        </is>
      </c>
      <c r="D22" s="976" t="n">
        <v>100350</v>
      </c>
      <c r="E22" s="977" t="n">
        <v>125835</v>
      </c>
      <c r="F22" s="977" t="n">
        <v>57708</v>
      </c>
      <c r="G22" s="976" t="n">
        <v>90024</v>
      </c>
      <c r="H22" s="979" t="n">
        <v>72711</v>
      </c>
      <c r="I22" s="989" t="inlineStr">
        <is>
          <t>2nd</t>
        </is>
      </c>
      <c r="J22" s="989" t="inlineStr">
        <is>
          <t>N/A</t>
        </is>
      </c>
      <c r="K22" s="989" t="inlineStr">
        <is>
          <t>N/A</t>
        </is>
      </c>
      <c r="L22" s="989" t="n">
        <v>24</v>
      </c>
      <c r="M22" s="989" t="n">
        <v>44</v>
      </c>
      <c r="N22" s="989" t="inlineStr">
        <is>
          <t>N/A</t>
        </is>
      </c>
      <c r="O22" s="972" t="inlineStr">
        <is>
          <t>Self Clear</t>
        </is>
      </c>
      <c r="X22" s="444" t="inlineStr">
        <is>
          <t>Blackpool Dance Festival</t>
        </is>
      </c>
      <c r="Y22" s="976" t="inlineStr">
        <is>
          <t>Male</t>
        </is>
      </c>
      <c r="Z22" s="976" t="inlineStr">
        <is>
          <t>Male</t>
        </is>
      </c>
      <c r="AA22" s="976" t="inlineStr">
        <is>
          <t>Male</t>
        </is>
      </c>
      <c r="AB22" s="976" t="inlineStr">
        <is>
          <t>Male</t>
        </is>
      </c>
      <c r="AC22" s="978" t="inlineStr">
        <is>
          <t>Female</t>
        </is>
      </c>
    </row>
    <row r="23">
      <c r="A23" s="989" t="n">
        <v>182</v>
      </c>
      <c r="B23" s="444" t="inlineStr">
        <is>
          <t>General Xiang's Swordplay</t>
        </is>
      </c>
      <c r="C23" s="444" t="inlineStr">
        <is>
          <t>BC 206</t>
        </is>
      </c>
      <c r="D23" s="976" t="n">
        <v>104562</v>
      </c>
      <c r="E23" s="977" t="n">
        <v>131034</v>
      </c>
      <c r="F23" s="977" t="n">
        <v>60021</v>
      </c>
      <c r="G23" s="976" t="n">
        <v>93630</v>
      </c>
      <c r="H23" s="977" t="n">
        <v>75624</v>
      </c>
      <c r="I23" s="989" t="inlineStr">
        <is>
          <t>2nd</t>
        </is>
      </c>
      <c r="J23" s="989" t="inlineStr">
        <is>
          <t>N/A</t>
        </is>
      </c>
      <c r="K23" s="989" t="inlineStr">
        <is>
          <t>N/A</t>
        </is>
      </c>
      <c r="L23" s="989" t="n">
        <v>24</v>
      </c>
      <c r="M23" s="989" t="n">
        <v>46</v>
      </c>
      <c r="N23" s="989" t="inlineStr">
        <is>
          <t>N/A</t>
        </is>
      </c>
      <c r="O23" s="972" t="inlineStr">
        <is>
          <t>Self Clear</t>
        </is>
      </c>
      <c r="X23" s="444" t="inlineStr">
        <is>
          <t>General Xiang's Swordplay</t>
        </is>
      </c>
      <c r="Y23" s="976" t="inlineStr">
        <is>
          <t>Male</t>
        </is>
      </c>
      <c r="Z23" s="976" t="inlineStr">
        <is>
          <t>Male</t>
        </is>
      </c>
      <c r="AA23" s="976" t="inlineStr">
        <is>
          <t>Male</t>
        </is>
      </c>
      <c r="AB23" s="976" t="inlineStr">
        <is>
          <t>Male</t>
        </is>
      </c>
      <c r="AC23" s="976" t="inlineStr">
        <is>
          <t>Male</t>
        </is>
      </c>
    </row>
    <row r="24">
      <c r="A24" s="989" t="n">
        <v>196</v>
      </c>
      <c r="B24" s="444" t="inlineStr">
        <is>
          <t>The Dance Plague</t>
        </is>
      </c>
      <c r="C24" s="444" t="inlineStr">
        <is>
          <t>AD 1518</t>
        </is>
      </c>
      <c r="D24" s="979" t="n">
        <v>72798</v>
      </c>
      <c r="E24" s="977" t="n">
        <v>146904</v>
      </c>
      <c r="F24" s="977" t="n">
        <v>65367</v>
      </c>
      <c r="G24" s="976" t="n">
        <v>101970</v>
      </c>
      <c r="H24" s="976" t="n">
        <v>82362</v>
      </c>
      <c r="I24" s="989" t="inlineStr">
        <is>
          <t>2nd</t>
        </is>
      </c>
      <c r="J24" s="989" t="inlineStr">
        <is>
          <t>N/A</t>
        </is>
      </c>
      <c r="K24" s="989" t="inlineStr">
        <is>
          <t>N/A</t>
        </is>
      </c>
      <c r="L24" s="989" t="n">
        <v>24</v>
      </c>
      <c r="M24" s="989" t="n">
        <v>49</v>
      </c>
      <c r="N24" s="989" t="inlineStr">
        <is>
          <t>N/A</t>
        </is>
      </c>
      <c r="O24" s="972" t="inlineStr">
        <is>
          <t>Self Clear</t>
        </is>
      </c>
      <c r="X24" s="444" t="inlineStr">
        <is>
          <t>The Dance Plague</t>
        </is>
      </c>
      <c r="Y24" s="978" t="inlineStr">
        <is>
          <t>Female</t>
        </is>
      </c>
      <c r="Z24" s="976" t="inlineStr">
        <is>
          <t>Male</t>
        </is>
      </c>
      <c r="AA24" s="976" t="inlineStr">
        <is>
          <t>Male</t>
        </is>
      </c>
      <c r="AB24" s="976" t="inlineStr">
        <is>
          <t>Male</t>
        </is>
      </c>
      <c r="AC24" s="976" t="inlineStr">
        <is>
          <t>Male</t>
        </is>
      </c>
    </row>
    <row r="25">
      <c r="A25" s="989" t="n">
        <v>206</v>
      </c>
      <c r="B25" s="444" t="inlineStr">
        <is>
          <t>Prix de Lausanne</t>
        </is>
      </c>
      <c r="C25" s="444" t="inlineStr">
        <is>
          <t>AD 1973</t>
        </is>
      </c>
      <c r="D25" s="977">
        <f>40509*3</f>
        <v/>
      </c>
      <c r="E25" s="978">
        <f>53663*3</f>
        <v/>
      </c>
      <c r="F25" s="977">
        <f>23230*3</f>
        <v/>
      </c>
      <c r="G25" s="976">
        <f>36238*3</f>
        <v/>
      </c>
      <c r="H25" s="977">
        <f>29269*3</f>
        <v/>
      </c>
      <c r="I25" s="989" t="inlineStr">
        <is>
          <t>1st</t>
        </is>
      </c>
      <c r="J25" s="989" t="inlineStr">
        <is>
          <t>N/A</t>
        </is>
      </c>
      <c r="K25" s="989" t="inlineStr">
        <is>
          <t>N/A</t>
        </is>
      </c>
      <c r="L25" s="989" t="n">
        <v>27</v>
      </c>
      <c r="M25" s="989" t="n">
        <v>52</v>
      </c>
      <c r="N25" s="989" t="inlineStr">
        <is>
          <t>N/A</t>
        </is>
      </c>
      <c r="O25" s="972" t="inlineStr">
        <is>
          <t>Self Clear</t>
        </is>
      </c>
      <c r="X25" s="444" t="inlineStr">
        <is>
          <t>Prix de Lausanne</t>
        </is>
      </c>
      <c r="Y25" s="976" t="inlineStr">
        <is>
          <t>Male</t>
        </is>
      </c>
      <c r="Z25" s="978" t="inlineStr">
        <is>
          <t>Female</t>
        </is>
      </c>
      <c r="AA25" s="976" t="inlineStr">
        <is>
          <t>Male</t>
        </is>
      </c>
      <c r="AB25" s="976" t="inlineStr">
        <is>
          <t>Male</t>
        </is>
      </c>
      <c r="AC25" s="976" t="inlineStr">
        <is>
          <t>Male</t>
        </is>
      </c>
    </row>
    <row r="26">
      <c r="A26" s="989" t="n">
        <v>224</v>
      </c>
      <c r="B26" s="444" t="inlineStr">
        <is>
          <t>Congress of Vienna</t>
        </is>
      </c>
      <c r="C26" s="444" t="inlineStr">
        <is>
          <t>AD 1814</t>
        </is>
      </c>
      <c r="D26" s="977" t="n">
        <v>70644</v>
      </c>
      <c r="E26" s="977" t="n">
        <v>183711</v>
      </c>
      <c r="F26" s="977" t="n">
        <v>177660</v>
      </c>
      <c r="G26" s="976" t="n">
        <v>186543</v>
      </c>
      <c r="H26" s="976" t="n">
        <v>191871</v>
      </c>
      <c r="I26" s="989" t="inlineStr">
        <is>
          <t>2nd</t>
        </is>
      </c>
      <c r="J26" s="989" t="inlineStr">
        <is>
          <t>1st</t>
        </is>
      </c>
      <c r="K26" s="989" t="inlineStr">
        <is>
          <t>[56]*</t>
        </is>
      </c>
      <c r="L26" s="989" t="inlineStr">
        <is>
          <t>[54]</t>
        </is>
      </c>
      <c r="M26" s="989" t="inlineStr">
        <is>
          <t>[55]*</t>
        </is>
      </c>
      <c r="N26" s="989" t="inlineStr">
        <is>
          <t>[41]*</t>
        </is>
      </c>
      <c r="O26" s="972" t="inlineStr">
        <is>
          <t>[Predicted]</t>
        </is>
      </c>
      <c r="P26" s="972" t="inlineStr">
        <is>
          <t>Excalibra/Athena required, pick one 3rd member</t>
        </is>
      </c>
      <c r="X26" s="444" t="inlineStr">
        <is>
          <t>Congress of Vienna</t>
        </is>
      </c>
      <c r="Y26" s="976" t="inlineStr">
        <is>
          <t>Male</t>
        </is>
      </c>
      <c r="Z26" s="976" t="inlineStr">
        <is>
          <t>Male</t>
        </is>
      </c>
      <c r="AA26" s="976" t="inlineStr">
        <is>
          <t>Male</t>
        </is>
      </c>
      <c r="AB26" s="976" t="inlineStr">
        <is>
          <t>Male</t>
        </is>
      </c>
      <c r="AC26" s="976" t="inlineStr">
        <is>
          <t>Male</t>
        </is>
      </c>
    </row>
    <row r="27">
      <c r="A27" s="989" t="n">
        <v>235</v>
      </c>
      <c r="B27" s="444" t="inlineStr">
        <is>
          <t>Six Dynasty Ritual Dance</t>
        </is>
      </c>
      <c r="C27" s="444" t="inlineStr">
        <is>
          <t>BC 2717</t>
        </is>
      </c>
      <c r="D27" s="976">
        <f>64388*3</f>
        <v/>
      </c>
      <c r="E27" s="976">
        <f>66319*3</f>
        <v/>
      </c>
      <c r="F27" s="977">
        <f>68308*3</f>
        <v/>
      </c>
      <c r="G27" s="977">
        <f>26683*3</f>
        <v/>
      </c>
      <c r="H27" s="977">
        <f>40024*3</f>
        <v/>
      </c>
      <c r="I27" s="989" t="inlineStr">
        <is>
          <t>3rd</t>
        </is>
      </c>
      <c r="J27" s="989" t="inlineStr">
        <is>
          <t>N/A</t>
        </is>
      </c>
      <c r="K27" s="989" t="inlineStr">
        <is>
          <t>N/A</t>
        </is>
      </c>
      <c r="L27" s="989" t="n">
        <v>37</v>
      </c>
      <c r="M27" s="989" t="n">
        <v>60</v>
      </c>
      <c r="N27" s="989" t="inlineStr">
        <is>
          <t>N/A</t>
        </is>
      </c>
      <c r="O27" s="972" t="inlineStr">
        <is>
          <t>Self Clear</t>
        </is>
      </c>
      <c r="X27" s="444" t="inlineStr">
        <is>
          <t>Six Dynasty Ritual Dance</t>
        </is>
      </c>
      <c r="Y27" s="976" t="inlineStr">
        <is>
          <t>Male</t>
        </is>
      </c>
      <c r="Z27" s="976" t="inlineStr">
        <is>
          <t>Male</t>
        </is>
      </c>
      <c r="AA27" s="976" t="inlineStr">
        <is>
          <t>Male</t>
        </is>
      </c>
      <c r="AB27" s="976" t="inlineStr">
        <is>
          <t>Male</t>
        </is>
      </c>
      <c r="AC27" s="976" t="inlineStr">
        <is>
          <t>Male</t>
        </is>
      </c>
    </row>
    <row r="28">
      <c r="A28" s="973" t="n"/>
      <c r="M28" s="972" t="n"/>
      <c r="N28" s="972" t="n"/>
    </row>
    <row r="29">
      <c r="A29" s="973" t="n"/>
      <c r="M29" s="972" t="n"/>
      <c r="N29" s="972" t="n"/>
    </row>
    <row r="30">
      <c r="A30" s="973" t="n"/>
      <c r="M30" s="972" t="n"/>
      <c r="N30" s="972" t="n"/>
    </row>
    <row r="31">
      <c r="A31" s="973" t="n"/>
      <c r="M31" s="972" t="n"/>
      <c r="N31" s="972" t="n"/>
    </row>
    <row r="32">
      <c r="A32" s="973" t="n"/>
      <c r="M32" s="972" t="n"/>
      <c r="N32" s="972" t="n"/>
    </row>
    <row r="33">
      <c r="A33" s="981" t="inlineStr">
        <is>
          <t>Riding (Murika)</t>
        </is>
      </c>
      <c r="B33" s="982" t="n"/>
      <c r="C33" s="982" t="n"/>
      <c r="D33" s="982" t="n"/>
      <c r="E33" s="982" t="n"/>
      <c r="F33" s="982" t="n"/>
      <c r="G33" s="982" t="n"/>
      <c r="H33" s="982" t="n"/>
      <c r="I33" s="982" t="n"/>
      <c r="J33" s="983" t="n"/>
      <c r="K33" s="972" t="n"/>
      <c r="L33" s="972" t="n"/>
    </row>
    <row r="34">
      <c r="A34" s="984" t="inlineStr">
        <is>
          <t>No.</t>
        </is>
      </c>
      <c r="B34" s="984" t="inlineStr">
        <is>
          <t>Name</t>
        </is>
      </c>
      <c r="C34" s="984" t="inlineStr">
        <is>
          <t>Setting</t>
        </is>
      </c>
      <c r="D34" s="984" t="inlineStr">
        <is>
          <t>Rec. Riding</t>
        </is>
      </c>
      <c r="E34" s="984" t="inlineStr">
        <is>
          <t>Clear Riding</t>
        </is>
      </c>
      <c r="F34" s="984" t="inlineStr">
        <is>
          <t>Venue</t>
        </is>
      </c>
      <c r="G34" s="984" t="inlineStr">
        <is>
          <t>Guan Yu</t>
        </is>
      </c>
      <c r="H34" s="984" t="inlineStr">
        <is>
          <t>Tridentman</t>
        </is>
      </c>
      <c r="I34" s="984" t="inlineStr">
        <is>
          <t>Kitty</t>
        </is>
      </c>
      <c r="J34" s="984" t="inlineStr">
        <is>
          <t>Commisioner</t>
        </is>
      </c>
      <c r="K34" s="972" t="n"/>
      <c r="L34" s="972" t="n"/>
    </row>
    <row r="35">
      <c r="A35" s="1067" t="n">
        <v>2</v>
      </c>
      <c r="B35" s="985" t="inlineStr">
        <is>
          <t>Nurburgring</t>
        </is>
      </c>
      <c r="C35" s="1067" t="inlineStr">
        <is>
          <t>AD 1950</t>
        </is>
      </c>
      <c r="D35" s="1067" t="n">
        <v>1170</v>
      </c>
      <c r="E35" s="1067" t="n"/>
      <c r="F35" s="1067" t="inlineStr">
        <is>
          <t>Highway</t>
        </is>
      </c>
      <c r="G35" s="1067" t="n"/>
      <c r="H35" s="1067" t="n"/>
      <c r="I35" s="1067" t="n"/>
      <c r="J35" s="444" t="n"/>
      <c r="K35" s="972" t="n"/>
      <c r="L35" s="972" t="n"/>
    </row>
    <row r="36">
      <c r="A36" s="1067" t="n">
        <v>14</v>
      </c>
      <c r="B36" s="985" t="inlineStr">
        <is>
          <t>Green Magic Academy</t>
        </is>
      </c>
      <c r="C36" s="1067" t="inlineStr">
        <is>
          <t>AD 1926</t>
        </is>
      </c>
      <c r="D36" s="1067" t="n">
        <v>2427</v>
      </c>
      <c r="E36" s="1067" t="n"/>
      <c r="F36" s="1067" t="inlineStr">
        <is>
          <t>Highway</t>
        </is>
      </c>
      <c r="G36" s="1067" t="n"/>
      <c r="H36" s="1067" t="n"/>
      <c r="I36" s="1067" t="n"/>
      <c r="J36" s="444" t="n"/>
      <c r="K36" s="972" t="n"/>
      <c r="L36" s="972" t="n"/>
    </row>
    <row r="37">
      <c r="A37" s="1067" t="n">
        <v>36</v>
      </c>
      <c r="B37" s="985" t="inlineStr">
        <is>
          <t>Atlantis</t>
        </is>
      </c>
      <c r="C37" s="1067" t="inlineStr">
        <is>
          <t>BC 553</t>
        </is>
      </c>
      <c r="D37" s="1067" t="n">
        <v>8377</v>
      </c>
      <c r="E37" s="1067" t="n"/>
      <c r="F37" s="1067" t="inlineStr">
        <is>
          <t>Waters</t>
        </is>
      </c>
      <c r="G37" s="1067" t="n"/>
      <c r="H37" s="1067" t="n"/>
      <c r="I37" s="1067" t="n"/>
      <c r="J37" s="444" t="n"/>
      <c r="K37" s="972" t="n"/>
      <c r="L37" s="972" t="n"/>
    </row>
    <row r="38">
      <c r="A38" s="1067" t="n">
        <v>46</v>
      </c>
      <c r="B38" s="985" t="inlineStr">
        <is>
          <t>Toraemon Race</t>
        </is>
      </c>
      <c r="C38" s="1067" t="inlineStr">
        <is>
          <t>AD 1969</t>
        </is>
      </c>
      <c r="D38" s="1067" t="n">
        <v>10842</v>
      </c>
      <c r="E38" s="1067" t="n">
        <v>10000</v>
      </c>
      <c r="F38" s="1067" t="inlineStr">
        <is>
          <t>Highway</t>
        </is>
      </c>
      <c r="G38" s="1067" t="n"/>
      <c r="H38" s="1067" t="n"/>
      <c r="I38" s="1067" t="n"/>
      <c r="J38" s="444" t="n"/>
      <c r="K38" s="972" t="n"/>
      <c r="L38" s="972" t="n"/>
    </row>
    <row r="39">
      <c r="A39" s="1067" t="n">
        <v>60</v>
      </c>
      <c r="B39" s="985" t="inlineStr">
        <is>
          <t>Kusk</t>
        </is>
      </c>
      <c r="C39" s="1067" t="inlineStr">
        <is>
          <t>AD 1943</t>
        </is>
      </c>
      <c r="D39" s="1067" t="n">
        <v>18598</v>
      </c>
      <c r="E39" s="1067" t="n"/>
      <c r="F39" s="1067" t="inlineStr">
        <is>
          <t>Highway</t>
        </is>
      </c>
      <c r="G39" s="1067" t="n"/>
      <c r="H39" s="1067" t="n"/>
      <c r="I39" s="1067" t="n"/>
      <c r="J39" s="444" t="n"/>
      <c r="K39" s="972" t="n"/>
      <c r="L39" s="972" t="n"/>
    </row>
    <row r="40">
      <c r="A40" s="1067" t="n">
        <v>72</v>
      </c>
      <c r="B40" s="985" t="inlineStr">
        <is>
          <t>Giza Pyramids</t>
        </is>
      </c>
      <c r="C40" s="1067" t="inlineStr">
        <is>
          <t>BC 6899</t>
        </is>
      </c>
      <c r="D40" s="1067" t="n">
        <v>21842</v>
      </c>
      <c r="E40" s="1067" t="n">
        <v>17500</v>
      </c>
      <c r="F40" s="1067" t="inlineStr">
        <is>
          <t>Desert</t>
        </is>
      </c>
      <c r="G40" s="1067" t="n"/>
      <c r="H40" s="1067" t="n"/>
      <c r="I40" s="1067" t="n"/>
      <c r="J40" s="444" t="n"/>
      <c r="K40" s="972" t="n"/>
      <c r="L40" s="972" t="n"/>
    </row>
    <row r="41">
      <c r="A41" s="1067" t="n">
        <v>77</v>
      </c>
      <c r="B41" s="985" t="inlineStr">
        <is>
          <t>Naadam Festival</t>
        </is>
      </c>
      <c r="C41" s="1067" t="inlineStr">
        <is>
          <t>AD 1206</t>
        </is>
      </c>
      <c r="D41" s="1067" t="n">
        <v>23733</v>
      </c>
      <c r="E41" s="1067" t="n">
        <v>19100</v>
      </c>
      <c r="F41" s="1067" t="inlineStr">
        <is>
          <t>Highway</t>
        </is>
      </c>
      <c r="G41" s="1067" t="n">
        <v>20</v>
      </c>
      <c r="H41" s="1067" t="n">
        <v>20</v>
      </c>
      <c r="I41" s="1067" t="n"/>
      <c r="J41" s="444" t="n">
        <v>15</v>
      </c>
      <c r="K41" s="972" t="n"/>
      <c r="L41" s="972" t="n"/>
    </row>
    <row r="42">
      <c r="A42" s="1067" t="n">
        <v>87</v>
      </c>
      <c r="B42" s="985" t="inlineStr">
        <is>
          <t>Marathon Plain</t>
        </is>
      </c>
      <c r="C42" s="1067" t="inlineStr">
        <is>
          <t>BC 490</t>
        </is>
      </c>
      <c r="D42" s="1067" t="n">
        <v>26532</v>
      </c>
      <c r="E42" s="1067" t="n">
        <v>20700</v>
      </c>
      <c r="F42" s="1067" t="inlineStr">
        <is>
          <t>Highway</t>
        </is>
      </c>
      <c r="G42" s="1067" t="n"/>
      <c r="H42" s="1067" t="n"/>
      <c r="I42" s="1067" t="n"/>
      <c r="J42" s="444" t="n"/>
      <c r="K42" s="972" t="n"/>
      <c r="L42" s="972" t="n"/>
    </row>
    <row r="43">
      <c r="A43" s="1067" t="n">
        <v>107</v>
      </c>
      <c r="B43" s="985" t="inlineStr">
        <is>
          <t>Waterloo Station</t>
        </is>
      </c>
      <c r="C43" s="1067" t="inlineStr">
        <is>
          <t>AD 1848</t>
        </is>
      </c>
      <c r="D43" s="1067" t="n">
        <v>31779</v>
      </c>
      <c r="E43" s="1067" t="n">
        <v>24200</v>
      </c>
      <c r="F43" s="1067" t="inlineStr">
        <is>
          <t>Train</t>
        </is>
      </c>
      <c r="G43" s="1067" t="n">
        <v>25</v>
      </c>
      <c r="H43" s="1067" t="n">
        <v>26</v>
      </c>
      <c r="I43" s="1067" t="n">
        <v>24</v>
      </c>
      <c r="J43" s="444" t="n"/>
      <c r="K43" s="972" t="n"/>
      <c r="L43" s="972" t="inlineStr">
        <is>
          <t>tntboom clear</t>
        </is>
      </c>
    </row>
    <row r="44">
      <c r="A44" s="1067" t="n">
        <v>115</v>
      </c>
      <c r="B44" s="985" t="inlineStr">
        <is>
          <t>Silk Roads</t>
        </is>
      </c>
      <c r="C44" s="1067" t="inlineStr">
        <is>
          <t>BC 139</t>
        </is>
      </c>
      <c r="D44" s="1067" t="n">
        <v>34236</v>
      </c>
      <c r="E44" s="1067" t="n">
        <v>26600</v>
      </c>
      <c r="F44" s="1067" t="inlineStr">
        <is>
          <t>Desert</t>
        </is>
      </c>
      <c r="G44" s="1067" t="n">
        <v>29</v>
      </c>
      <c r="H44" s="1067" t="n">
        <v>25</v>
      </c>
      <c r="I44" s="1067" t="n">
        <v>27</v>
      </c>
      <c r="J44" s="444" t="n"/>
      <c r="K44" s="972" t="n"/>
      <c r="L44" s="972" t="inlineStr">
        <is>
          <t>SYT Clear</t>
        </is>
      </c>
    </row>
    <row r="45">
      <c r="A45" s="1067" t="n">
        <v>130</v>
      </c>
      <c r="B45" s="985" t="inlineStr">
        <is>
          <t>Murikan Sailboat Race</t>
        </is>
      </c>
      <c r="C45" s="1067" t="inlineStr">
        <is>
          <t>AD 1851</t>
        </is>
      </c>
      <c r="D45" s="1067" t="n">
        <v>37085</v>
      </c>
      <c r="E45" s="1067" t="n">
        <v>30500</v>
      </c>
      <c r="F45" s="1067" t="inlineStr">
        <is>
          <t>Waters</t>
        </is>
      </c>
      <c r="G45" s="1067" t="n">
        <v>31</v>
      </c>
      <c r="H45" s="1067" t="n">
        <v>25</v>
      </c>
      <c r="I45" s="1067" t="n">
        <v>27</v>
      </c>
      <c r="J45" s="444" t="n"/>
      <c r="K45" s="972" t="n"/>
      <c r="L45" s="972" t="inlineStr">
        <is>
          <t>SYT Clear</t>
        </is>
      </c>
    </row>
    <row r="46">
      <c r="A46" s="1067" t="n">
        <v>149</v>
      </c>
      <c r="B46" s="985" t="inlineStr">
        <is>
          <t>Ocean Race</t>
        </is>
      </c>
      <c r="C46" s="1067" t="inlineStr">
        <is>
          <t>AD 1973</t>
        </is>
      </c>
      <c r="D46" s="1067" t="n">
        <v>39945</v>
      </c>
      <c r="E46" s="1067" t="n">
        <v>33000</v>
      </c>
      <c r="F46" s="1067" t="inlineStr">
        <is>
          <t>Waters</t>
        </is>
      </c>
      <c r="G46" s="1067" t="n">
        <v>30</v>
      </c>
      <c r="H46" s="1067" t="n">
        <v>34</v>
      </c>
      <c r="I46" s="1067" t="n">
        <v>36</v>
      </c>
      <c r="J46" s="444" t="n"/>
      <c r="K46" s="972" t="n"/>
      <c r="L46" s="972" t="inlineStr">
        <is>
          <t>Self Clear</t>
        </is>
      </c>
    </row>
    <row r="47">
      <c r="A47" s="1067" t="n">
        <v>155</v>
      </c>
      <c r="B47" s="985" t="inlineStr">
        <is>
          <t>Le Mans</t>
        </is>
      </c>
      <c r="C47" s="1067" t="inlineStr">
        <is>
          <t>AD 1965</t>
        </is>
      </c>
      <c r="D47" s="1067" t="n">
        <v>42795</v>
      </c>
      <c r="E47" s="1067" t="n">
        <v>33000</v>
      </c>
      <c r="F47" s="1067" t="inlineStr">
        <is>
          <t>Highway</t>
        </is>
      </c>
      <c r="G47" s="1067" t="n">
        <v>30</v>
      </c>
      <c r="H47" s="1067" t="n">
        <v>34</v>
      </c>
      <c r="I47" s="1067" t="n">
        <v>36</v>
      </c>
      <c r="J47" s="444" t="n"/>
      <c r="K47" s="972" t="n"/>
      <c r="L47" s="972" t="inlineStr">
        <is>
          <t>Self Clear</t>
        </is>
      </c>
    </row>
    <row r="48">
      <c r="A48" s="1067" t="n">
        <v>159</v>
      </c>
      <c r="B48" s="985" t="inlineStr">
        <is>
          <t>Dragon Gate Escort</t>
        </is>
      </c>
      <c r="C48" s="1067" t="inlineStr">
        <is>
          <t>AD 1421</t>
        </is>
      </c>
      <c r="D48" s="1067" t="n">
        <v>45644</v>
      </c>
      <c r="E48" s="1067" t="n">
        <v>33800</v>
      </c>
      <c r="F48" s="1067" t="inlineStr">
        <is>
          <t>Desert</t>
        </is>
      </c>
      <c r="G48" s="1067" t="n">
        <v>35</v>
      </c>
      <c r="H48" s="1067" t="n">
        <v>34</v>
      </c>
      <c r="I48" s="1067" t="n">
        <v>36</v>
      </c>
      <c r="J48" s="444" t="n"/>
      <c r="K48" s="972" t="n"/>
      <c r="L48" s="972" t="inlineStr">
        <is>
          <t>Self Clear</t>
        </is>
      </c>
    </row>
    <row r="49">
      <c r="A49" s="1067" t="n">
        <v>168</v>
      </c>
      <c r="B49" s="985" t="inlineStr">
        <is>
          <t>Siena Horse Race</t>
        </is>
      </c>
      <c r="C49" s="1067" t="inlineStr">
        <is>
          <t>AD 1729</t>
        </is>
      </c>
      <c r="D49" s="1067" t="n">
        <v>48504</v>
      </c>
      <c r="E49" s="1067" t="n">
        <v>34700</v>
      </c>
      <c r="F49" s="1067" t="inlineStr">
        <is>
          <t>Desert</t>
        </is>
      </c>
      <c r="G49" s="1067" t="n">
        <v>36</v>
      </c>
      <c r="H49" s="1067" t="n">
        <v>35</v>
      </c>
      <c r="I49" s="1067" t="n">
        <v>36</v>
      </c>
      <c r="J49" s="444" t="n"/>
      <c r="K49" s="972" t="n"/>
      <c r="L49" s="972" t="inlineStr">
        <is>
          <t>Self Clear</t>
        </is>
      </c>
    </row>
    <row r="50">
      <c r="A50" s="1067" t="n">
        <v>172</v>
      </c>
      <c r="B50" s="985" t="inlineStr">
        <is>
          <t>The Dakar Rally</t>
        </is>
      </c>
      <c r="C50" s="1067" t="inlineStr">
        <is>
          <t>AD 1977</t>
        </is>
      </c>
      <c r="D50" s="1067" t="n">
        <v>51354</v>
      </c>
      <c r="E50" s="1067" t="n">
        <v>35800</v>
      </c>
      <c r="F50" s="1067" t="inlineStr">
        <is>
          <t>Desert</t>
        </is>
      </c>
      <c r="G50" s="1067" t="n">
        <v>36</v>
      </c>
      <c r="H50" s="1067" t="n">
        <v>37</v>
      </c>
      <c r="I50" s="1067" t="n">
        <v>36</v>
      </c>
      <c r="J50" s="444" t="n"/>
      <c r="K50" s="972" t="n"/>
      <c r="L50" s="972" t="inlineStr">
        <is>
          <t>Self Clear</t>
        </is>
      </c>
    </row>
    <row r="51">
      <c r="A51" s="1067" t="n">
        <v>176</v>
      </c>
      <c r="B51" s="985" t="inlineStr">
        <is>
          <t>F1 World Championship</t>
        </is>
      </c>
      <c r="C51" s="1067" t="inlineStr">
        <is>
          <t>BC 1986</t>
        </is>
      </c>
      <c r="D51" s="1067" t="n">
        <v>54203</v>
      </c>
      <c r="E51" s="1067" t="n">
        <v>36800</v>
      </c>
      <c r="F51" s="1067" t="inlineStr">
        <is>
          <t>Train</t>
        </is>
      </c>
      <c r="G51" s="1067" t="n">
        <v>36</v>
      </c>
      <c r="H51" s="1067" t="n">
        <v>37</v>
      </c>
      <c r="I51" s="1067" t="n">
        <v>37</v>
      </c>
      <c r="J51" s="444" t="n"/>
      <c r="K51" s="972" t="n"/>
      <c r="L51" s="972" t="inlineStr">
        <is>
          <t>Self Clear</t>
        </is>
      </c>
    </row>
    <row r="52">
      <c r="A52" s="1067" t="n">
        <v>184</v>
      </c>
      <c r="B52" s="985" t="inlineStr">
        <is>
          <t>Tour de Gallia</t>
        </is>
      </c>
      <c r="C52" s="1067" t="inlineStr">
        <is>
          <t>AD 1903</t>
        </is>
      </c>
      <c r="D52" s="1067" t="n">
        <v>57063</v>
      </c>
      <c r="E52" s="1067" t="n">
        <v>39700</v>
      </c>
      <c r="F52" s="1067" t="inlineStr">
        <is>
          <t>Highway</t>
        </is>
      </c>
      <c r="G52" s="1067" t="n">
        <v>45</v>
      </c>
      <c r="H52" s="1067" t="n">
        <v>37</v>
      </c>
      <c r="I52" s="1067" t="n">
        <v>38</v>
      </c>
      <c r="J52" s="444" t="n"/>
      <c r="K52" s="972" t="n"/>
      <c r="L52" s="972" t="inlineStr">
        <is>
          <t>Self Clear</t>
        </is>
      </c>
    </row>
    <row r="53">
      <c r="A53" s="1067" t="n">
        <v>188</v>
      </c>
      <c r="B53" s="985" t="inlineStr">
        <is>
          <t>Witch World Championship</t>
        </is>
      </c>
      <c r="C53" s="1067" t="inlineStr">
        <is>
          <t>AD 1549</t>
        </is>
      </c>
      <c r="D53" s="1067" t="n">
        <v>59913</v>
      </c>
      <c r="E53" s="1067" t="n">
        <v>42300</v>
      </c>
      <c r="F53" s="1067" t="inlineStr">
        <is>
          <t>Highway</t>
        </is>
      </c>
      <c r="G53" s="1067" t="n">
        <v>45</v>
      </c>
      <c r="H53" s="1067" t="n">
        <v>44</v>
      </c>
      <c r="I53" s="1067" t="n">
        <v>41</v>
      </c>
      <c r="J53" s="444" t="n"/>
      <c r="K53" s="972" t="n"/>
      <c r="L53" s="972" t="inlineStr">
        <is>
          <t>SYT Clear</t>
        </is>
      </c>
    </row>
    <row r="54">
      <c r="A54" s="1067" t="n">
        <v>194</v>
      </c>
      <c r="B54" s="985" t="inlineStr">
        <is>
          <t>Roman Chariot Race</t>
        </is>
      </c>
      <c r="C54" s="1067" t="inlineStr">
        <is>
          <t>AD 92</t>
        </is>
      </c>
      <c r="D54" s="1067" t="n">
        <v>62762</v>
      </c>
      <c r="E54" s="1067" t="n">
        <v>45500</v>
      </c>
      <c r="F54" s="1067" t="inlineStr">
        <is>
          <t>Train</t>
        </is>
      </c>
      <c r="G54" s="1067" t="n">
        <v>49</v>
      </c>
      <c r="H54" s="1067" t="n">
        <v>47</v>
      </c>
      <c r="I54" s="1067" t="n">
        <v>49</v>
      </c>
      <c r="J54" s="444" t="n"/>
      <c r="K54" s="972" t="n"/>
      <c r="L54" s="972" t="inlineStr">
        <is>
          <t>SYT Clear</t>
        </is>
      </c>
    </row>
    <row r="55">
      <c r="A55" s="1067" t="n">
        <v>204</v>
      </c>
      <c r="B55" s="985" t="inlineStr">
        <is>
          <t>Speed and Fury</t>
        </is>
      </c>
      <c r="C55" s="1067" t="inlineStr">
        <is>
          <t>AD 2001</t>
        </is>
      </c>
      <c r="D55" s="1067" t="n">
        <v>65622</v>
      </c>
      <c r="E55" s="1067" t="n">
        <v>52800</v>
      </c>
      <c r="F55" s="1067" t="inlineStr">
        <is>
          <t>Train</t>
        </is>
      </c>
      <c r="G55" s="1067" t="n">
        <v>52</v>
      </c>
      <c r="H55" s="1067" t="n">
        <v>54</v>
      </c>
      <c r="I55" s="1067" t="n">
        <v>54</v>
      </c>
      <c r="J55" s="444" t="n"/>
      <c r="K55" s="972" t="n"/>
      <c r="L55" s="972" t="inlineStr">
        <is>
          <t>SYT Clear</t>
        </is>
      </c>
    </row>
    <row r="56">
      <c r="A56" s="1067" t="n">
        <v>218</v>
      </c>
      <c r="B56" s="985" t="inlineStr">
        <is>
          <t>Relax Sailboat Race</t>
        </is>
      </c>
      <c r="C56" s="1067" t="inlineStr">
        <is>
          <t>AD 1968</t>
        </is>
      </c>
      <c r="D56" s="1067" t="n">
        <v>68472</v>
      </c>
      <c r="E56" s="1067" t="n"/>
      <c r="F56" s="1067" t="inlineStr">
        <is>
          <t>Waters</t>
        </is>
      </c>
      <c r="G56" s="1067" t="n">
        <v>60</v>
      </c>
      <c r="H56" s="1067" t="n">
        <v>60</v>
      </c>
      <c r="I56" s="1067" t="n">
        <v>60</v>
      </c>
      <c r="J56" s="444" t="n"/>
      <c r="K56" s="972" t="n"/>
      <c r="L56" s="972" t="inlineStr">
        <is>
          <t>taeyeon clear</t>
        </is>
      </c>
    </row>
    <row r="57">
      <c r="A57" s="972" t="n"/>
      <c r="B57" s="972" t="n"/>
      <c r="C57" s="972" t="n"/>
      <c r="D57" s="972" t="n"/>
      <c r="E57" s="972" t="n"/>
      <c r="F57" s="972" t="n"/>
      <c r="G57" s="972" t="n"/>
      <c r="H57" s="972" t="n"/>
      <c r="I57" s="972" t="n"/>
      <c r="J57" s="972" t="n"/>
      <c r="K57" s="972" t="n"/>
      <c r="L57" s="972" t="n"/>
    </row>
    <row r="58">
      <c r="A58" s="972" t="n"/>
      <c r="B58" s="972" t="n"/>
      <c r="C58" s="972" t="n"/>
      <c r="D58" s="972" t="n"/>
      <c r="E58" s="972" t="n"/>
      <c r="F58" s="972" t="n"/>
      <c r="G58" s="972" t="n"/>
      <c r="H58" s="972" t="n"/>
      <c r="I58" s="972" t="n"/>
      <c r="J58" s="972" t="n"/>
      <c r="K58" s="972" t="n"/>
    </row>
    <row r="59">
      <c r="A59" s="972" t="n"/>
      <c r="B59" s="972" t="n"/>
      <c r="C59" s="972" t="n"/>
      <c r="D59" s="972" t="n"/>
      <c r="E59" s="972" t="n"/>
      <c r="F59" s="972" t="n"/>
      <c r="G59" s="972" t="n"/>
      <c r="H59" s="972" t="n"/>
      <c r="I59" s="972" t="n"/>
      <c r="J59" s="972" t="n"/>
      <c r="K59" s="972" t="n"/>
    </row>
    <row r="60">
      <c r="A60" s="972" t="n"/>
      <c r="B60" s="972" t="n"/>
      <c r="C60" s="972" t="n"/>
      <c r="D60" s="972" t="n"/>
      <c r="E60" s="972" t="n"/>
      <c r="F60" s="972" t="n"/>
      <c r="G60" s="972" t="n"/>
      <c r="H60" s="972" t="n"/>
      <c r="I60" s="972" t="n"/>
      <c r="J60" s="972" t="n"/>
      <c r="K60" s="972" t="n"/>
    </row>
    <row r="61">
      <c r="A61" s="981" t="inlineStr">
        <is>
          <t>Sailing (Britland)</t>
        </is>
      </c>
      <c r="B61" s="982" t="n"/>
      <c r="C61" s="982" t="n"/>
      <c r="D61" s="982" t="n"/>
      <c r="E61" s="982" t="n"/>
      <c r="F61" s="982" t="n"/>
      <c r="G61" s="982" t="n"/>
      <c r="H61" s="982" t="n"/>
      <c r="I61" s="982" t="n"/>
      <c r="J61" s="982" t="n"/>
      <c r="K61" s="982" t="n"/>
      <c r="L61" s="987" t="n"/>
      <c r="M61" s="972" t="n"/>
      <c r="N61" s="972" t="n"/>
    </row>
    <row r="62">
      <c r="A62" s="984" t="inlineStr">
        <is>
          <t>No.</t>
        </is>
      </c>
      <c r="B62" s="984" t="inlineStr">
        <is>
          <t>Name</t>
        </is>
      </c>
      <c r="C62" s="984" t="inlineStr">
        <is>
          <t>Setting</t>
        </is>
      </c>
      <c r="D62" s="984" t="inlineStr">
        <is>
          <t>Rec. Sailing</t>
        </is>
      </c>
      <c r="E62" s="984" t="inlineStr">
        <is>
          <t>Clear Sailing</t>
        </is>
      </c>
      <c r="F62" s="984" t="inlineStr">
        <is>
          <t>Boss</t>
        </is>
      </c>
      <c r="G62" s="984" t="inlineStr">
        <is>
          <t>Boss Firepower</t>
        </is>
      </c>
      <c r="H62" s="984" t="inlineStr">
        <is>
          <t>Trident Man</t>
        </is>
      </c>
      <c r="I62" s="984" t="inlineStr">
        <is>
          <t>St. Trinidad</t>
        </is>
      </c>
      <c r="J62" s="984" t="inlineStr">
        <is>
          <t>Soleil Royal</t>
        </is>
      </c>
      <c r="K62" s="984" t="inlineStr">
        <is>
          <t>Dragon Horse</t>
        </is>
      </c>
      <c r="L62" s="984" t="inlineStr">
        <is>
          <t>Peacekeeper</t>
        </is>
      </c>
      <c r="M62" s="972" t="n"/>
      <c r="N62" s="972" t="n"/>
    </row>
    <row r="63">
      <c r="A63" s="989" t="n">
        <v>4</v>
      </c>
      <c r="B63" s="444" t="inlineStr">
        <is>
          <t>Battle of Baekgang</t>
        </is>
      </c>
      <c r="C63" s="444" t="inlineStr">
        <is>
          <t>AD 663</t>
        </is>
      </c>
      <c r="D63" s="989" t="n">
        <v>3373</v>
      </c>
      <c r="E63" s="989" t="n"/>
      <c r="F63" s="989" t="n">
        <v>1254</v>
      </c>
      <c r="G63" s="989" t="n"/>
      <c r="H63" s="989" t="inlineStr">
        <is>
          <t>X</t>
        </is>
      </c>
      <c r="I63" s="989" t="inlineStr">
        <is>
          <t>X</t>
        </is>
      </c>
      <c r="J63" s="989" t="inlineStr">
        <is>
          <t>X</t>
        </is>
      </c>
      <c r="K63" s="989" t="inlineStr">
        <is>
          <t>X</t>
        </is>
      </c>
      <c r="L63" s="989" t="n"/>
      <c r="M63" s="972" t="n"/>
      <c r="N63" s="972" t="n"/>
    </row>
    <row r="64">
      <c r="A64" s="989" t="n">
        <v>18</v>
      </c>
      <c r="B64" s="444" t="inlineStr">
        <is>
          <t>Battle of Actium</t>
        </is>
      </c>
      <c r="C64" s="444" t="inlineStr">
        <is>
          <t>BC 31</t>
        </is>
      </c>
      <c r="D64" s="989" t="n">
        <v>6746</v>
      </c>
      <c r="E64" s="989" t="n"/>
      <c r="F64" s="989" t="n">
        <v>3425</v>
      </c>
      <c r="G64" s="989" t="n"/>
      <c r="H64" s="989" t="inlineStr">
        <is>
          <t>X</t>
        </is>
      </c>
      <c r="I64" s="989" t="inlineStr">
        <is>
          <t>X</t>
        </is>
      </c>
      <c r="J64" s="989" t="inlineStr">
        <is>
          <t>X</t>
        </is>
      </c>
      <c r="K64" s="989" t="inlineStr">
        <is>
          <t>X</t>
        </is>
      </c>
      <c r="L64" s="989" t="n"/>
      <c r="M64" s="972" t="n"/>
      <c r="N64" s="972" t="n"/>
    </row>
    <row r="65">
      <c r="A65" s="989" t="n">
        <v>29</v>
      </c>
      <c r="B65" s="444" t="inlineStr">
        <is>
          <t>Battle of Noryang</t>
        </is>
      </c>
      <c r="C65" s="444" t="inlineStr">
        <is>
          <t>AD 1598</t>
        </is>
      </c>
      <c r="D65" s="989" t="n">
        <v>10119</v>
      </c>
      <c r="E65" s="989" t="n"/>
      <c r="F65" s="989" t="n">
        <v>7588</v>
      </c>
      <c r="G65" s="989" t="n"/>
      <c r="H65" s="989" t="inlineStr">
        <is>
          <t>X</t>
        </is>
      </c>
      <c r="I65" s="989" t="inlineStr">
        <is>
          <t>X</t>
        </is>
      </c>
      <c r="J65" s="989" t="inlineStr">
        <is>
          <t>X</t>
        </is>
      </c>
      <c r="K65" s="989" t="inlineStr">
        <is>
          <t>X</t>
        </is>
      </c>
      <c r="L65" s="989" t="n"/>
      <c r="M65" s="972" t="n"/>
      <c r="N65" s="972" t="n"/>
    </row>
    <row r="66">
      <c r="A66" s="989" t="n">
        <v>42</v>
      </c>
      <c r="B66" s="444" t="inlineStr">
        <is>
          <t>Summit War</t>
        </is>
      </c>
      <c r="C66" s="444" t="inlineStr">
        <is>
          <t>AD 1520</t>
        </is>
      </c>
      <c r="D66" s="989" t="n">
        <v>13795</v>
      </c>
      <c r="E66" s="989" t="n"/>
      <c r="F66" s="989" t="n">
        <v>11065</v>
      </c>
      <c r="G66" s="989" t="n"/>
      <c r="H66" s="989" t="inlineStr">
        <is>
          <t>X</t>
        </is>
      </c>
      <c r="I66" s="989" t="inlineStr">
        <is>
          <t>X</t>
        </is>
      </c>
      <c r="J66" s="989" t="inlineStr">
        <is>
          <t>X</t>
        </is>
      </c>
      <c r="K66" s="989" t="inlineStr">
        <is>
          <t>X</t>
        </is>
      </c>
      <c r="L66" s="989" t="n"/>
      <c r="M66" s="972" t="n"/>
      <c r="N66" s="972" t="n"/>
    </row>
    <row r="67">
      <c r="A67" s="989" t="n">
        <v>57</v>
      </c>
      <c r="B67" s="444" t="inlineStr">
        <is>
          <t>Battle of Trafalgar</t>
        </is>
      </c>
      <c r="C67" s="444" t="inlineStr">
        <is>
          <t>AD 1805</t>
        </is>
      </c>
      <c r="D67" s="989" t="n">
        <v>19746</v>
      </c>
      <c r="E67" s="989" t="n"/>
      <c r="F67" s="989" t="n">
        <v>15946</v>
      </c>
      <c r="G67" s="989" t="n"/>
      <c r="H67" s="989" t="inlineStr">
        <is>
          <t>X</t>
        </is>
      </c>
      <c r="I67" s="989" t="inlineStr">
        <is>
          <t>X</t>
        </is>
      </c>
      <c r="J67" s="989" t="inlineStr">
        <is>
          <t>X</t>
        </is>
      </c>
      <c r="K67" s="989" t="inlineStr">
        <is>
          <t>X</t>
        </is>
      </c>
      <c r="L67" s="989" t="n"/>
      <c r="M67" s="972" t="n"/>
      <c r="N67" s="972" t="n"/>
    </row>
    <row r="68">
      <c r="A68" s="989" t="n">
        <v>64</v>
      </c>
      <c r="B68" s="444" t="inlineStr">
        <is>
          <t>Battle of Jutland</t>
        </is>
      </c>
      <c r="C68" s="444" t="inlineStr">
        <is>
          <t>AD 1916</t>
        </is>
      </c>
      <c r="D68" s="989" t="n">
        <v>23695</v>
      </c>
      <c r="E68" s="989" t="n"/>
      <c r="F68" s="989" t="n">
        <v>15946</v>
      </c>
      <c r="G68" s="989" t="n"/>
      <c r="H68" s="989" t="inlineStr">
        <is>
          <t>X</t>
        </is>
      </c>
      <c r="I68" s="989" t="inlineStr">
        <is>
          <t>X</t>
        </is>
      </c>
      <c r="J68" s="989" t="inlineStr">
        <is>
          <t>X</t>
        </is>
      </c>
      <c r="K68" s="989" t="inlineStr">
        <is>
          <t>X</t>
        </is>
      </c>
      <c r="L68" s="989" t="n"/>
      <c r="M68" s="972" t="n"/>
      <c r="N68" s="972" t="n"/>
    </row>
    <row r="69">
      <c r="A69" s="989" t="n">
        <v>78</v>
      </c>
      <c r="B69" s="444" t="inlineStr">
        <is>
          <t>Caribbean Battle</t>
        </is>
      </c>
      <c r="C69" s="444" t="inlineStr">
        <is>
          <t>AD 1670</t>
        </is>
      </c>
      <c r="D69" s="989" t="n">
        <v>31424</v>
      </c>
      <c r="E69" s="989" t="n"/>
      <c r="F69" s="989" t="n">
        <v>29656</v>
      </c>
      <c r="G69" s="989" t="n"/>
      <c r="H69" s="989" t="inlineStr">
        <is>
          <t>X</t>
        </is>
      </c>
      <c r="I69" s="989" t="inlineStr">
        <is>
          <t>X</t>
        </is>
      </c>
      <c r="J69" s="989" t="inlineStr">
        <is>
          <t>X</t>
        </is>
      </c>
      <c r="K69" s="989" t="inlineStr">
        <is>
          <t>X</t>
        </is>
      </c>
      <c r="L69" s="989" t="n"/>
      <c r="M69" s="972" t="n"/>
      <c r="N69" s="972" t="n"/>
    </row>
    <row r="70">
      <c r="A70" s="989" t="n">
        <v>94</v>
      </c>
      <c r="B70" s="444" t="inlineStr">
        <is>
          <t>Battle of Leyte Gulf</t>
        </is>
      </c>
      <c r="C70" s="444" t="inlineStr">
        <is>
          <t>AD 1944</t>
        </is>
      </c>
      <c r="D70" s="989" t="n">
        <v>39081</v>
      </c>
      <c r="E70" s="989" t="n"/>
      <c r="F70" s="989" t="n">
        <v>37707</v>
      </c>
      <c r="G70" s="989" t="n"/>
      <c r="H70" s="989" t="inlineStr">
        <is>
          <t>X</t>
        </is>
      </c>
      <c r="I70" s="989" t="inlineStr">
        <is>
          <t>X</t>
        </is>
      </c>
      <c r="J70" s="989" t="inlineStr">
        <is>
          <t>X</t>
        </is>
      </c>
      <c r="K70" s="989" t="inlineStr">
        <is>
          <t>X</t>
        </is>
      </c>
      <c r="L70" s="989" t="n"/>
      <c r="M70" s="972" t="n"/>
      <c r="N70" s="972" t="n"/>
    </row>
    <row r="71">
      <c r="A71" s="989" t="n">
        <v>104</v>
      </c>
      <c r="B71" s="444" t="inlineStr">
        <is>
          <t>Battle of Luermen</t>
        </is>
      </c>
      <c r="C71" s="444" t="inlineStr">
        <is>
          <t>AD 1656</t>
        </is>
      </c>
      <c r="D71" s="989" t="n">
        <v>43966</v>
      </c>
      <c r="E71" s="989" t="n"/>
      <c r="F71" s="989" t="n">
        <v>43585</v>
      </c>
      <c r="G71" s="989" t="n"/>
      <c r="H71" s="989" t="inlineStr">
        <is>
          <t>X</t>
        </is>
      </c>
      <c r="I71" s="989" t="inlineStr">
        <is>
          <t>X</t>
        </is>
      </c>
      <c r="J71" s="989" t="inlineStr">
        <is>
          <t>X</t>
        </is>
      </c>
      <c r="K71" s="989" t="inlineStr">
        <is>
          <t>X</t>
        </is>
      </c>
      <c r="L71" s="989" t="n"/>
      <c r="M71" s="972" t="n"/>
      <c r="N71" s="972" t="n"/>
    </row>
    <row r="72">
      <c r="A72" s="989" t="n">
        <v>120</v>
      </c>
      <c r="B72" s="444" t="inlineStr">
        <is>
          <t>Battle of Gravelines</t>
        </is>
      </c>
      <c r="C72" s="444" t="inlineStr">
        <is>
          <t>AD 1588</t>
        </is>
      </c>
      <c r="D72" s="989" t="n">
        <v>48852</v>
      </c>
      <c r="E72" s="989" t="n"/>
      <c r="F72" s="989" t="n">
        <v>53269</v>
      </c>
      <c r="G72" s="989" t="n"/>
      <c r="H72" s="989" t="inlineStr">
        <is>
          <t>X</t>
        </is>
      </c>
      <c r="I72" s="989" t="inlineStr">
        <is>
          <t>X</t>
        </is>
      </c>
      <c r="J72" s="989" t="inlineStr">
        <is>
          <t>X</t>
        </is>
      </c>
      <c r="K72" s="989" t="inlineStr">
        <is>
          <t>X</t>
        </is>
      </c>
      <c r="L72" s="989" t="n"/>
      <c r="M72" s="972" t="n"/>
      <c r="N72" s="972" t="n"/>
    </row>
    <row r="73">
      <c r="A73" s="989" t="n">
        <v>122</v>
      </c>
      <c r="B73" s="444" t="inlineStr">
        <is>
          <t>Treasure Battle</t>
        </is>
      </c>
      <c r="C73" s="444" t="inlineStr">
        <is>
          <t>AD 1753</t>
        </is>
      </c>
      <c r="D73" s="989" t="n">
        <v>53737</v>
      </c>
      <c r="E73" s="989" t="n">
        <v>44500</v>
      </c>
      <c r="F73" s="989" t="n">
        <v>58595</v>
      </c>
      <c r="G73" s="989" t="n">
        <v>30700</v>
      </c>
      <c r="H73" s="989" t="n"/>
      <c r="I73" s="989" t="n">
        <v>30</v>
      </c>
      <c r="J73" s="989" t="n">
        <v>30</v>
      </c>
      <c r="K73" s="989" t="n">
        <v>30</v>
      </c>
      <c r="L73" s="989" t="n">
        <v>23</v>
      </c>
      <c r="M73" s="972" t="n"/>
      <c r="N73" s="972" t="inlineStr">
        <is>
          <t>SYT Clear</t>
        </is>
      </c>
    </row>
    <row r="74">
      <c r="A74" s="989" t="n">
        <v>141</v>
      </c>
      <c r="B74" s="444" t="inlineStr">
        <is>
          <t>Battle of Diu</t>
        </is>
      </c>
      <c r="C74" s="444" t="inlineStr">
        <is>
          <t>AD 1509</t>
        </is>
      </c>
      <c r="D74" s="989" t="n">
        <v>58622</v>
      </c>
      <c r="E74" s="989" t="n">
        <v>48500</v>
      </c>
      <c r="F74" s="989" t="n">
        <v>63922</v>
      </c>
      <c r="G74" s="989" t="n"/>
      <c r="H74" s="989" t="inlineStr">
        <is>
          <t>X</t>
        </is>
      </c>
      <c r="I74" s="989" t="inlineStr">
        <is>
          <t>X</t>
        </is>
      </c>
      <c r="J74" s="989" t="inlineStr">
        <is>
          <t>X</t>
        </is>
      </c>
      <c r="K74" s="989" t="inlineStr">
        <is>
          <t>X</t>
        </is>
      </c>
      <c r="L74" s="989" t="n"/>
      <c r="M74" s="972" t="n"/>
      <c r="N74" s="972" t="n"/>
    </row>
    <row r="75">
      <c r="A75" s="989" t="n">
        <v>152</v>
      </c>
      <c r="B75" s="988" t="inlineStr">
        <is>
          <t>Battle of Sinop</t>
        </is>
      </c>
      <c r="C75" s="444" t="inlineStr">
        <is>
          <t>AD 1853</t>
        </is>
      </c>
      <c r="D75" s="989" t="n">
        <v>63507</v>
      </c>
      <c r="E75" s="989" t="n">
        <v>51000</v>
      </c>
      <c r="F75" s="989" t="n">
        <v>69249</v>
      </c>
      <c r="G75" s="989" t="n">
        <v>35400</v>
      </c>
      <c r="H75" s="989" t="inlineStr">
        <is>
          <t>X</t>
        </is>
      </c>
      <c r="I75" s="989" t="inlineStr">
        <is>
          <t>X</t>
        </is>
      </c>
      <c r="J75" s="989" t="inlineStr">
        <is>
          <t>X</t>
        </is>
      </c>
      <c r="K75" s="989" t="inlineStr">
        <is>
          <t>X</t>
        </is>
      </c>
      <c r="L75" s="989" t="n"/>
      <c r="M75" s="972" t="n"/>
      <c r="N75" s="972" t="n"/>
    </row>
    <row r="76">
      <c r="A76" s="989" t="n">
        <v>163</v>
      </c>
      <c r="B76" s="444" t="inlineStr">
        <is>
          <t>Battle of Tangdao</t>
        </is>
      </c>
      <c r="C76" s="444" t="inlineStr">
        <is>
          <t>AD 1161</t>
        </is>
      </c>
      <c r="D76" s="989" t="n">
        <v>68392</v>
      </c>
      <c r="E76" s="989" t="n">
        <v>50461</v>
      </c>
      <c r="F76" s="989" t="n">
        <v>74575</v>
      </c>
      <c r="G76" s="989" t="n"/>
      <c r="H76" s="989" t="n">
        <v>44</v>
      </c>
      <c r="I76" s="989" t="n">
        <v>34</v>
      </c>
      <c r="J76" s="989" t="n">
        <v>33</v>
      </c>
      <c r="K76" s="989" t="n"/>
      <c r="L76" s="989" t="n">
        <v>34</v>
      </c>
      <c r="M76" s="972" t="n"/>
      <c r="N76" s="972" t="inlineStr">
        <is>
          <t>Throne Clear</t>
        </is>
      </c>
    </row>
    <row r="77">
      <c r="A77" s="989" t="n">
        <v>174</v>
      </c>
      <c r="B77" s="444" t="inlineStr">
        <is>
          <t>Vikings</t>
        </is>
      </c>
      <c r="C77" s="444" t="inlineStr">
        <is>
          <t>AD 982</t>
        </is>
      </c>
      <c r="D77" s="989" t="n">
        <v>70593</v>
      </c>
      <c r="E77" s="989" t="n">
        <v>50100</v>
      </c>
      <c r="F77" s="989" t="n">
        <v>76975</v>
      </c>
      <c r="G77" s="989" t="n"/>
      <c r="H77" s="989" t="n"/>
      <c r="I77" s="989" t="n">
        <v>37</v>
      </c>
      <c r="J77" s="989" t="n">
        <v>42</v>
      </c>
      <c r="K77" s="989" t="n">
        <v>38</v>
      </c>
      <c r="L77" s="989" t="n">
        <v>28</v>
      </c>
      <c r="M77" s="972" t="n"/>
      <c r="N77" s="972" t="inlineStr">
        <is>
          <t>SYT Clear</t>
        </is>
      </c>
    </row>
    <row r="78">
      <c r="A78" s="989" t="n">
        <v>186</v>
      </c>
      <c r="B78" s="444" t="inlineStr">
        <is>
          <t>Battle of Lepanto</t>
        </is>
      </c>
      <c r="C78" s="444" t="inlineStr">
        <is>
          <t>AD 1571</t>
        </is>
      </c>
      <c r="D78" s="989" t="n">
        <v>74378</v>
      </c>
      <c r="E78" s="989" t="n">
        <v>51800</v>
      </c>
      <c r="F78" s="989" t="n">
        <v>81102</v>
      </c>
      <c r="G78" s="989" t="n"/>
      <c r="H78" s="989" t="n"/>
      <c r="I78" s="989" t="n">
        <v>39</v>
      </c>
      <c r="J78" s="989" t="n">
        <v>43</v>
      </c>
      <c r="K78" s="989" t="n">
        <v>39</v>
      </c>
      <c r="L78" s="989" t="n">
        <v>28</v>
      </c>
      <c r="M78" s="972" t="n"/>
      <c r="N78" s="972" t="inlineStr">
        <is>
          <t>SYT Clear</t>
        </is>
      </c>
    </row>
    <row r="79">
      <c r="A79" s="989" t="n">
        <v>195</v>
      </c>
      <c r="B79" s="444" t="inlineStr">
        <is>
          <t>Battle of Gallipoli</t>
        </is>
      </c>
      <c r="C79" s="444" t="inlineStr">
        <is>
          <t>AD 1915</t>
        </is>
      </c>
      <c r="D79" s="989" t="n">
        <v>78163</v>
      </c>
      <c r="E79" s="989" t="n">
        <v>54200</v>
      </c>
      <c r="F79" s="989" t="n">
        <v>85230</v>
      </c>
      <c r="G79" s="989" t="n"/>
      <c r="H79" s="989" t="n"/>
      <c r="I79" s="989" t="n">
        <v>43</v>
      </c>
      <c r="J79" s="989" t="n">
        <v>44</v>
      </c>
      <c r="K79" s="989" t="n">
        <v>39</v>
      </c>
      <c r="L79" s="989" t="n">
        <v>28</v>
      </c>
      <c r="M79" s="972" t="n"/>
      <c r="N79" s="972" t="inlineStr">
        <is>
          <t>SYT Clear</t>
        </is>
      </c>
    </row>
    <row r="80">
      <c r="A80" s="989" t="n">
        <v>207</v>
      </c>
      <c r="B80" s="444" t="inlineStr">
        <is>
          <t>Battle of Lissa</t>
        </is>
      </c>
      <c r="C80" s="444" t="inlineStr">
        <is>
          <t>AD 1886</t>
        </is>
      </c>
      <c r="D80" s="989" t="n">
        <v>80364</v>
      </c>
      <c r="E80" s="989" t="n">
        <v>54900</v>
      </c>
      <c r="F80" s="989" t="n">
        <v>87630</v>
      </c>
      <c r="G80" s="989" t="n"/>
      <c r="H80" s="989" t="n"/>
      <c r="I80" s="989" t="n">
        <v>43</v>
      </c>
      <c r="J80" s="989" t="n">
        <v>44</v>
      </c>
      <c r="K80" s="989" t="n">
        <v>40</v>
      </c>
      <c r="L80" s="989" t="n">
        <v>28</v>
      </c>
      <c r="M80" s="972" t="n"/>
      <c r="N80" s="972" t="inlineStr">
        <is>
          <t>SYT Clear</t>
        </is>
      </c>
    </row>
    <row r="81">
      <c r="A81" s="989" t="n">
        <v>208</v>
      </c>
      <c r="B81" s="444" t="inlineStr">
        <is>
          <t>Philippine Sea Battle</t>
        </is>
      </c>
      <c r="C81" s="444" t="inlineStr">
        <is>
          <t>AD 1944</t>
        </is>
      </c>
      <c r="D81" s="989" t="n">
        <v>84148</v>
      </c>
      <c r="E81" s="989" t="n">
        <v>57200</v>
      </c>
      <c r="F81" s="989" t="n">
        <v>91756</v>
      </c>
      <c r="G81" s="989" t="n"/>
      <c r="H81" s="989" t="n"/>
      <c r="I81" s="989" t="n">
        <v>45</v>
      </c>
      <c r="J81" s="989" t="n">
        <v>44</v>
      </c>
      <c r="K81" s="989" t="n">
        <v>43</v>
      </c>
      <c r="L81" s="989" t="n">
        <v>32</v>
      </c>
      <c r="M81" s="972" t="n"/>
      <c r="N81" s="972" t="inlineStr">
        <is>
          <t>Self Clear</t>
        </is>
      </c>
    </row>
    <row r="82">
      <c r="A82" s="989" t="n">
        <v>216</v>
      </c>
      <c r="B82" s="444" t="inlineStr">
        <is>
          <t>Battle of Tsushima</t>
        </is>
      </c>
      <c r="C82" s="444" t="inlineStr">
        <is>
          <t>AD 1905</t>
        </is>
      </c>
      <c r="D82" s="989" t="n">
        <v>87933</v>
      </c>
      <c r="E82" s="989" t="n">
        <v>71800</v>
      </c>
      <c r="F82" s="989" t="n">
        <v>95883</v>
      </c>
      <c r="G82" s="989" t="n"/>
      <c r="H82" s="989" t="n"/>
      <c r="I82" s="989" t="n">
        <v>43</v>
      </c>
      <c r="J82" s="989" t="n">
        <v>47</v>
      </c>
      <c r="K82" s="989" t="n">
        <v>43</v>
      </c>
      <c r="L82" s="989" t="n">
        <v>28</v>
      </c>
      <c r="M82" s="972" t="n"/>
      <c r="N82" s="972" t="inlineStr">
        <is>
          <t>SYT Clear</t>
        </is>
      </c>
    </row>
    <row r="83">
      <c r="A83" s="989" t="n">
        <v>226</v>
      </c>
      <c r="B83" s="444" t="inlineStr">
        <is>
          <t>Battle of Chesma</t>
        </is>
      </c>
      <c r="C83" s="444" t="inlineStr">
        <is>
          <t>AD 1770</t>
        </is>
      </c>
      <c r="D83" s="989" t="n">
        <v>90134</v>
      </c>
      <c r="E83" s="989" t="n">
        <v>61500</v>
      </c>
      <c r="F83" s="989" t="n">
        <v>98283</v>
      </c>
      <c r="G83" s="989" t="n"/>
      <c r="H83" s="989" t="n"/>
      <c r="I83" s="989" t="n">
        <v>48</v>
      </c>
      <c r="J83" s="989" t="n">
        <v>47</v>
      </c>
      <c r="K83" s="989" t="n">
        <v>45</v>
      </c>
      <c r="L83" s="989" t="n">
        <v>32</v>
      </c>
      <c r="M83" s="972" t="n"/>
      <c r="N83" s="972" t="inlineStr">
        <is>
          <t>Self Clear</t>
        </is>
      </c>
    </row>
    <row r="84">
      <c r="A84" s="989" t="n">
        <v>231</v>
      </c>
      <c r="B84" s="444" t="inlineStr">
        <is>
          <t>Battle of Navarino</t>
        </is>
      </c>
      <c r="C84" s="444" t="inlineStr">
        <is>
          <t>AD 1827</t>
        </is>
      </c>
      <c r="D84" s="989" t="n">
        <v>93919</v>
      </c>
      <c r="E84" s="989" t="n">
        <v>65700</v>
      </c>
      <c r="F84" s="989" t="n">
        <v>102410</v>
      </c>
      <c r="G84" s="989" t="n"/>
      <c r="H84" s="989" t="n"/>
      <c r="I84" s="989" t="n">
        <v>51</v>
      </c>
      <c r="J84" s="989" t="n">
        <v>51</v>
      </c>
      <c r="K84" s="989" t="n">
        <v>47</v>
      </c>
      <c r="L84" s="989" t="n">
        <v>32</v>
      </c>
      <c r="M84" s="972" t="n"/>
      <c r="N84" s="972" t="inlineStr">
        <is>
          <t>Self Clear</t>
        </is>
      </c>
    </row>
    <row r="85">
      <c r="A85" s="989" t="n">
        <v>240</v>
      </c>
      <c r="B85" s="444" t="inlineStr">
        <is>
          <t>Battle of Midway</t>
        </is>
      </c>
      <c r="C85" s="444" t="inlineStr">
        <is>
          <t>AD 1942</t>
        </is>
      </c>
      <c r="D85" s="989" t="n">
        <v>97704</v>
      </c>
      <c r="E85" s="989" t="n">
        <v>68900</v>
      </c>
      <c r="F85" s="989" t="n">
        <v>106538</v>
      </c>
      <c r="G85" s="989" t="n"/>
      <c r="H85" s="989" t="n"/>
      <c r="I85" s="989" t="n">
        <v>53</v>
      </c>
      <c r="J85" s="989" t="n">
        <v>52</v>
      </c>
      <c r="K85" s="989" t="n">
        <v>49</v>
      </c>
      <c r="L85" s="989" t="n">
        <v>35</v>
      </c>
      <c r="M85" s="972" t="n"/>
      <c r="N85" s="972" t="inlineStr">
        <is>
          <t>Self Clear</t>
        </is>
      </c>
    </row>
    <row r="86"/>
    <row r="87"/>
    <row r="88"/>
    <row r="89">
      <c r="A89" s="981" t="inlineStr">
        <is>
          <t>Ninjutsu (Yamato)</t>
        </is>
      </c>
      <c r="B89" s="982" t="n"/>
      <c r="C89" s="982" t="n"/>
      <c r="D89" s="982" t="n"/>
      <c r="E89" s="982" t="n"/>
      <c r="F89" s="982" t="n"/>
      <c r="G89" s="982" t="n"/>
      <c r="H89" s="982" t="n"/>
      <c r="I89" s="982" t="n"/>
      <c r="J89" s="982" t="n"/>
      <c r="K89" s="982" t="n"/>
      <c r="L89" s="987" t="n"/>
      <c r="M89" s="972" t="n"/>
      <c r="N89" s="972" t="n"/>
    </row>
    <row r="90">
      <c r="A90" s="984" t="inlineStr">
        <is>
          <t>No.</t>
        </is>
      </c>
      <c r="B90" s="984" t="inlineStr">
        <is>
          <t>Name</t>
        </is>
      </c>
      <c r="C90" s="984" t="inlineStr">
        <is>
          <t>Setting</t>
        </is>
      </c>
      <c r="D90" s="984" t="inlineStr">
        <is>
          <t>Rec. Nin.</t>
        </is>
      </c>
      <c r="E90" s="984" t="inlineStr">
        <is>
          <t>Clear Nin.</t>
        </is>
      </c>
      <c r="F90" s="984" t="inlineStr">
        <is>
          <t>Weakness</t>
        </is>
      </c>
      <c r="G90" s="984" t="inlineStr">
        <is>
          <t>HP</t>
        </is>
      </c>
      <c r="H90" s="984" t="inlineStr">
        <is>
          <t>Momochi</t>
        </is>
      </c>
      <c r="I90" s="984" t="inlineStr">
        <is>
          <t>Hitman</t>
        </is>
      </c>
      <c r="J90" s="984" t="inlineStr">
        <is>
          <t>Poisoner</t>
        </is>
      </c>
      <c r="K90" s="984" t="inlineStr">
        <is>
          <t>Amakusa</t>
        </is>
      </c>
      <c r="L90" s="984" t="inlineStr">
        <is>
          <t>Kitty</t>
        </is>
      </c>
      <c r="M90" s="972" t="n"/>
      <c r="N90" s="972" t="n"/>
    </row>
    <row r="91">
      <c r="A91" s="989" t="n">
        <v>5</v>
      </c>
      <c r="B91" s="444" t="inlineStr">
        <is>
          <t>Shimabara Rebellion</t>
        </is>
      </c>
      <c r="C91" s="444" t="inlineStr">
        <is>
          <t>AD 1637</t>
        </is>
      </c>
      <c r="D91" s="989" t="n">
        <v>1544</v>
      </c>
      <c r="E91" s="989" t="n"/>
      <c r="F91" s="989" t="inlineStr">
        <is>
          <t>Earth</t>
        </is>
      </c>
      <c r="G91" s="990" t="n"/>
      <c r="H91" s="989" t="n"/>
      <c r="I91" s="989" t="n"/>
      <c r="J91" s="989" t="n"/>
      <c r="K91" s="989" t="n"/>
      <c r="L91" s="989" t="n"/>
      <c r="M91" s="972" t="n"/>
      <c r="N91" s="972" t="n"/>
    </row>
    <row r="92">
      <c r="A92" s="989" t="n">
        <v>10</v>
      </c>
      <c r="B92" s="444" t="inlineStr">
        <is>
          <t>Honno-ji Incident</t>
        </is>
      </c>
      <c r="C92" s="444" t="inlineStr">
        <is>
          <t>AD 1582</t>
        </is>
      </c>
      <c r="D92" s="989" t="n">
        <v>2132</v>
      </c>
      <c r="E92" s="989" t="n"/>
      <c r="F92" s="989" t="inlineStr">
        <is>
          <t>Water</t>
        </is>
      </c>
      <c r="G92" s="990" t="n"/>
      <c r="H92" s="989" t="inlineStr">
        <is>
          <t>X</t>
        </is>
      </c>
      <c r="I92" s="989" t="inlineStr">
        <is>
          <t>X</t>
        </is>
      </c>
      <c r="J92" s="989" t="n"/>
      <c r="K92" s="989" t="inlineStr">
        <is>
          <t>X</t>
        </is>
      </c>
      <c r="L92" s="989" t="n"/>
      <c r="M92" s="972" t="n"/>
      <c r="N92" s="972" t="n"/>
    </row>
    <row r="93">
      <c r="A93" s="989" t="n">
        <v>20</v>
      </c>
      <c r="B93" s="444" t="inlineStr">
        <is>
          <t>Ganryu Showdown</t>
        </is>
      </c>
      <c r="C93" s="444" t="inlineStr">
        <is>
          <t>AD 1612</t>
        </is>
      </c>
      <c r="D93" s="989" t="n">
        <v>3517</v>
      </c>
      <c r="E93" s="989" t="n">
        <v>4500</v>
      </c>
      <c r="F93" s="989" t="inlineStr">
        <is>
          <t>Fire</t>
        </is>
      </c>
      <c r="G93" s="990" t="n"/>
      <c r="H93" s="989" t="inlineStr">
        <is>
          <t>X</t>
        </is>
      </c>
      <c r="I93" s="989" t="inlineStr">
        <is>
          <t>X</t>
        </is>
      </c>
      <c r="J93" s="989" t="n"/>
      <c r="K93" s="989" t="inlineStr">
        <is>
          <t>X</t>
        </is>
      </c>
      <c r="L93" s="989" t="n"/>
      <c r="M93" s="972" t="n"/>
      <c r="N93" s="972" t="n"/>
    </row>
    <row r="94">
      <c r="A94" s="989" t="n">
        <v>30</v>
      </c>
      <c r="B94" s="444" t="inlineStr">
        <is>
          <t>Ikedaya Incident</t>
        </is>
      </c>
      <c r="C94" s="444" t="inlineStr">
        <is>
          <t>AD 1864</t>
        </is>
      </c>
      <c r="D94" s="989" t="n">
        <v>6725</v>
      </c>
      <c r="E94" s="989" t="n">
        <v>7750</v>
      </c>
      <c r="F94" s="989" t="inlineStr">
        <is>
          <t>Wind</t>
        </is>
      </c>
      <c r="G94" s="990" t="n"/>
      <c r="H94" s="989" t="inlineStr">
        <is>
          <t>X</t>
        </is>
      </c>
      <c r="I94" s="989" t="inlineStr">
        <is>
          <t>X</t>
        </is>
      </c>
      <c r="J94" s="989" t="n"/>
      <c r="K94" s="989" t="inlineStr">
        <is>
          <t>X</t>
        </is>
      </c>
      <c r="L94" s="989" t="n"/>
      <c r="M94" s="972" t="n"/>
      <c r="N94" s="972" t="n"/>
    </row>
    <row r="95">
      <c r="A95" s="989" t="n">
        <v>35</v>
      </c>
      <c r="B95" s="444" t="inlineStr">
        <is>
          <t>The First Ninja War</t>
        </is>
      </c>
      <c r="C95" s="444" t="inlineStr">
        <is>
          <t>BC 429</t>
        </is>
      </c>
      <c r="D95" s="989" t="n">
        <v>7555</v>
      </c>
      <c r="E95" s="989" t="n">
        <v>9000</v>
      </c>
      <c r="F95" s="989" t="inlineStr">
        <is>
          <t>Wind</t>
        </is>
      </c>
      <c r="G95" s="990" t="n"/>
      <c r="H95" s="989" t="inlineStr">
        <is>
          <t>X</t>
        </is>
      </c>
      <c r="I95" s="989" t="inlineStr">
        <is>
          <t>X</t>
        </is>
      </c>
      <c r="J95" s="989" t="n"/>
      <c r="K95" s="989" t="inlineStr">
        <is>
          <t>X</t>
        </is>
      </c>
      <c r="L95" s="989" t="n"/>
      <c r="M95" s="972" t="n"/>
      <c r="N95" s="972" t="n"/>
    </row>
    <row r="96">
      <c r="A96" s="989" t="n">
        <v>40</v>
      </c>
      <c r="B96" s="444" t="inlineStr">
        <is>
          <t>Battle of Sekigahara</t>
        </is>
      </c>
      <c r="C96" s="444" t="inlineStr">
        <is>
          <t>AD 1600</t>
        </is>
      </c>
      <c r="D96" s="989" t="n">
        <v>14076</v>
      </c>
      <c r="E96" s="989" t="n"/>
      <c r="F96" s="989" t="inlineStr">
        <is>
          <t>Water</t>
        </is>
      </c>
      <c r="G96" s="990" t="n"/>
      <c r="H96" s="989" t="inlineStr">
        <is>
          <t>X</t>
        </is>
      </c>
      <c r="I96" s="989" t="inlineStr">
        <is>
          <t>X</t>
        </is>
      </c>
      <c r="J96" s="989" t="inlineStr">
        <is>
          <t>X</t>
        </is>
      </c>
      <c r="K96" s="989" t="n"/>
      <c r="L96" s="989" t="n"/>
      <c r="M96" s="972" t="n"/>
      <c r="N96" s="972" t="n"/>
    </row>
    <row r="97">
      <c r="A97" s="989" t="n">
        <v>52</v>
      </c>
      <c r="B97" s="444" t="inlineStr">
        <is>
          <t>Ikko-shu Uprising</t>
        </is>
      </c>
      <c r="C97" s="444" t="inlineStr">
        <is>
          <t>AD 1532</t>
        </is>
      </c>
      <c r="D97" s="989" t="n">
        <v>17595</v>
      </c>
      <c r="E97" s="989" t="n">
        <v>15900</v>
      </c>
      <c r="F97" s="989" t="inlineStr">
        <is>
          <t>Fire</t>
        </is>
      </c>
      <c r="G97" s="990" t="n"/>
      <c r="H97" s="989" t="inlineStr">
        <is>
          <t>X</t>
        </is>
      </c>
      <c r="I97" s="989" t="n"/>
      <c r="J97" s="989" t="inlineStr">
        <is>
          <t>X</t>
        </is>
      </c>
      <c r="K97" s="989" t="inlineStr">
        <is>
          <t>X</t>
        </is>
      </c>
      <c r="L97" s="989" t="n"/>
      <c r="M97" s="972" t="n"/>
      <c r="N97" s="972" t="n"/>
    </row>
    <row r="98">
      <c r="A98" s="989" t="n">
        <v>55</v>
      </c>
      <c r="B98" s="444" t="inlineStr">
        <is>
          <t>Battle of Okehazama</t>
        </is>
      </c>
      <c r="C98" s="444" t="inlineStr">
        <is>
          <t>AD 1560</t>
        </is>
      </c>
      <c r="D98" s="989" t="n">
        <v>18442</v>
      </c>
      <c r="E98" s="989" t="n">
        <v>16500</v>
      </c>
      <c r="F98" s="989" t="inlineStr">
        <is>
          <t>Fire</t>
        </is>
      </c>
      <c r="G98" s="990" t="n"/>
      <c r="H98" s="989" t="inlineStr">
        <is>
          <t>X</t>
        </is>
      </c>
      <c r="I98" s="989" t="n"/>
      <c r="J98" s="989" t="inlineStr">
        <is>
          <t>X</t>
        </is>
      </c>
      <c r="K98" s="989" t="inlineStr">
        <is>
          <t>X</t>
        </is>
      </c>
      <c r="L98" s="989" t="n"/>
      <c r="M98" s="972" t="n"/>
      <c r="N98" s="972" t="n"/>
    </row>
    <row r="99">
      <c r="A99" s="989" t="n">
        <v>63</v>
      </c>
      <c r="B99" s="444" t="inlineStr">
        <is>
          <t>The Second Ninja War</t>
        </is>
      </c>
      <c r="C99" s="444" t="inlineStr">
        <is>
          <t>BC 397</t>
        </is>
      </c>
      <c r="D99" s="989" t="n">
        <v>20853</v>
      </c>
      <c r="E99" s="989" t="n">
        <v>17200</v>
      </c>
      <c r="F99" s="989" t="inlineStr">
        <is>
          <t>Earth</t>
        </is>
      </c>
      <c r="G99" s="990" t="n"/>
      <c r="H99" s="989" t="inlineStr">
        <is>
          <t>X</t>
        </is>
      </c>
      <c r="I99" s="989" t="n"/>
      <c r="J99" s="989" t="inlineStr">
        <is>
          <t>X</t>
        </is>
      </c>
      <c r="K99" s="989" t="inlineStr">
        <is>
          <t>X</t>
        </is>
      </c>
      <c r="L99" s="989" t="n"/>
      <c r="M99" s="972" t="n"/>
      <c r="N99" s="972" t="n"/>
    </row>
    <row r="100">
      <c r="A100" s="989" t="n">
        <v>79</v>
      </c>
      <c r="B100" s="444" t="inlineStr">
        <is>
          <t>Kawanakajima Battle</t>
        </is>
      </c>
      <c r="C100" s="444" t="inlineStr">
        <is>
          <t>AD 1561</t>
        </is>
      </c>
      <c r="D100" s="989" t="n">
        <v>25697</v>
      </c>
      <c r="E100" s="989" t="n">
        <v>18700</v>
      </c>
      <c r="F100" s="989" t="inlineStr">
        <is>
          <t>Water</t>
        </is>
      </c>
      <c r="G100" s="990" t="n"/>
      <c r="H100" s="989" t="n">
        <v>29</v>
      </c>
      <c r="I100" s="989" t="n"/>
      <c r="J100" s="989" t="n">
        <v>12</v>
      </c>
      <c r="K100" s="989" t="n">
        <v>11</v>
      </c>
      <c r="L100" s="989" t="n"/>
      <c r="M100" s="972" t="n"/>
      <c r="N100" s="972" t="n"/>
    </row>
    <row r="101">
      <c r="A101" s="989" t="n">
        <v>82</v>
      </c>
      <c r="B101" s="444" t="inlineStr">
        <is>
          <t>Tengu Hunt</t>
        </is>
      </c>
      <c r="C101" s="444" t="inlineStr">
        <is>
          <t>AD 1999</t>
        </is>
      </c>
      <c r="D101" s="989" t="n">
        <v>26184</v>
      </c>
      <c r="E101" s="989" t="n">
        <v>20900</v>
      </c>
      <c r="F101" s="989" t="inlineStr">
        <is>
          <t>Fire</t>
        </is>
      </c>
      <c r="G101" s="990" t="n"/>
      <c r="H101" s="989" t="n">
        <v>30</v>
      </c>
      <c r="I101" s="989" t="n"/>
      <c r="J101" s="989" t="n">
        <v>14</v>
      </c>
      <c r="K101" s="989" t="n">
        <v>14</v>
      </c>
      <c r="L101" s="989" t="n"/>
      <c r="M101" s="972" t="n"/>
      <c r="N101" s="972" t="n"/>
    </row>
    <row r="102">
      <c r="A102" s="989" t="n">
        <v>88</v>
      </c>
      <c r="B102" s="444" t="inlineStr">
        <is>
          <t>Battle of Bun'ei</t>
        </is>
      </c>
      <c r="C102" s="444" t="inlineStr">
        <is>
          <t>AD 1274</t>
        </is>
      </c>
      <c r="D102" s="989" t="n">
        <v>28476</v>
      </c>
      <c r="E102" s="989" t="n">
        <v>25700</v>
      </c>
      <c r="F102" s="989" t="inlineStr">
        <is>
          <t>Wind</t>
        </is>
      </c>
      <c r="G102" s="990" t="n"/>
      <c r="H102" s="989" t="inlineStr">
        <is>
          <t>X</t>
        </is>
      </c>
      <c r="I102" s="989" t="inlineStr">
        <is>
          <t>X</t>
        </is>
      </c>
      <c r="J102" s="989" t="inlineStr">
        <is>
          <t>X</t>
        </is>
      </c>
      <c r="K102" s="989" t="n"/>
      <c r="L102" s="989" t="n"/>
      <c r="M102" s="972" t="n"/>
      <c r="N102" s="972" t="n"/>
    </row>
    <row r="103">
      <c r="A103" s="989" t="n">
        <v>98</v>
      </c>
      <c r="B103" s="988" t="inlineStr">
        <is>
          <t>The Third Ninja War</t>
        </is>
      </c>
      <c r="C103" s="444" t="inlineStr">
        <is>
          <t>BC 371</t>
        </is>
      </c>
      <c r="D103" s="989" t="n">
        <v>31385</v>
      </c>
      <c r="E103" s="989" t="n">
        <v>28500</v>
      </c>
      <c r="F103" s="1067" t="inlineStr">
        <is>
          <t>Fire</t>
        </is>
      </c>
      <c r="G103" s="991" t="n"/>
      <c r="H103" s="1067" t="inlineStr">
        <is>
          <t>X</t>
        </is>
      </c>
      <c r="I103" s="1067" t="inlineStr">
        <is>
          <t>X</t>
        </is>
      </c>
      <c r="J103" s="1067" t="inlineStr">
        <is>
          <t>X</t>
        </is>
      </c>
      <c r="K103" s="1067" t="n"/>
      <c r="L103" s="1067" t="n"/>
      <c r="M103" s="972" t="n"/>
      <c r="N103" s="972" t="n"/>
    </row>
    <row r="104">
      <c r="A104" s="989" t="n">
        <v>105</v>
      </c>
      <c r="B104" s="444" t="inlineStr">
        <is>
          <t>The Fourth Ninja War</t>
        </is>
      </c>
      <c r="C104" s="444" t="inlineStr">
        <is>
          <t>BC 324</t>
        </is>
      </c>
      <c r="D104" s="989" t="n">
        <v>33320</v>
      </c>
      <c r="E104" s="989" t="n">
        <v>28900</v>
      </c>
      <c r="F104" s="1067" t="inlineStr">
        <is>
          <t>Earth</t>
        </is>
      </c>
      <c r="G104" s="991" t="n"/>
      <c r="H104" s="1067" t="inlineStr">
        <is>
          <t>X</t>
        </is>
      </c>
      <c r="I104" s="1067" t="inlineStr">
        <is>
          <t>X</t>
        </is>
      </c>
      <c r="J104" s="1067" t="inlineStr">
        <is>
          <t>X</t>
        </is>
      </c>
      <c r="K104" s="1067" t="n"/>
      <c r="L104" s="1067" t="n"/>
      <c r="M104" s="972" t="n"/>
      <c r="N104" s="972" t="n"/>
    </row>
    <row r="105">
      <c r="A105" s="989" t="n">
        <v>116</v>
      </c>
      <c r="B105" s="444" t="inlineStr">
        <is>
          <t>Battle of Takamagahara</t>
        </is>
      </c>
      <c r="C105" s="444" t="inlineStr">
        <is>
          <t>BC 428</t>
        </is>
      </c>
      <c r="D105" s="989" t="n">
        <v>36828</v>
      </c>
      <c r="E105" s="989" t="n">
        <v>29700</v>
      </c>
      <c r="F105" s="1067" t="inlineStr">
        <is>
          <t>Fire</t>
        </is>
      </c>
      <c r="G105" s="991" t="n"/>
      <c r="H105" s="1067" t="inlineStr">
        <is>
          <t>X</t>
        </is>
      </c>
      <c r="I105" s="1067" t="inlineStr">
        <is>
          <t>X</t>
        </is>
      </c>
      <c r="J105" s="1067" t="inlineStr">
        <is>
          <t>X</t>
        </is>
      </c>
      <c r="K105" s="1067" t="n"/>
      <c r="L105" s="1067" t="n"/>
      <c r="M105" s="972" t="n"/>
      <c r="N105" s="972" t="n"/>
    </row>
    <row r="106">
      <c r="A106" s="989" t="n">
        <v>136</v>
      </c>
      <c r="B106" s="444" t="inlineStr">
        <is>
          <t>Onin War</t>
        </is>
      </c>
      <c r="C106" s="444" t="inlineStr">
        <is>
          <t>AD 1467</t>
        </is>
      </c>
      <c r="D106" s="989" t="n">
        <v>41431</v>
      </c>
      <c r="E106" s="989" t="n">
        <v>31900</v>
      </c>
      <c r="F106" s="1067" t="inlineStr">
        <is>
          <t>Fire</t>
        </is>
      </c>
      <c r="G106" s="992" t="n">
        <v>1582200</v>
      </c>
      <c r="H106" s="1067" t="n">
        <v>38</v>
      </c>
      <c r="I106" s="1067" t="n"/>
      <c r="J106" s="1067" t="n">
        <v>34</v>
      </c>
      <c r="K106" s="1067" t="n">
        <v>31</v>
      </c>
      <c r="L106" s="1067" t="n"/>
      <c r="M106" s="972" t="n"/>
      <c r="N106" s="972" t="inlineStr">
        <is>
          <t>Self Clear</t>
        </is>
      </c>
    </row>
    <row r="107">
      <c r="A107" s="989" t="n">
        <v>150</v>
      </c>
      <c r="B107" s="444" t="inlineStr">
        <is>
          <t>Crusade for Music</t>
        </is>
      </c>
      <c r="C107" s="444" t="inlineStr">
        <is>
          <t>AD 1979</t>
        </is>
      </c>
      <c r="D107" s="989" t="n">
        <v>46035</v>
      </c>
      <c r="E107" s="989" t="n">
        <v>32000</v>
      </c>
      <c r="F107" s="1067" t="inlineStr">
        <is>
          <t>Fire</t>
        </is>
      </c>
      <c r="G107" s="992" t="n">
        <v>1982066</v>
      </c>
      <c r="H107" s="1067" t="n">
        <v>41</v>
      </c>
      <c r="I107" s="1067" t="n">
        <v>41</v>
      </c>
      <c r="J107" s="1067" t="n">
        <v>38</v>
      </c>
      <c r="K107" s="1067" t="n"/>
      <c r="L107" s="1067" t="n"/>
      <c r="M107" s="972" t="n"/>
      <c r="N107" s="972" t="inlineStr">
        <is>
          <t>Self Clear</t>
        </is>
      </c>
    </row>
    <row r="108">
      <c r="A108" s="989" t="n">
        <v>158</v>
      </c>
      <c r="B108" s="444" t="inlineStr">
        <is>
          <t>Isshi Incident</t>
        </is>
      </c>
      <c r="C108" s="444" t="inlineStr">
        <is>
          <t>AD 645</t>
        </is>
      </c>
      <c r="D108" s="989" t="n">
        <v>50638</v>
      </c>
      <c r="E108" s="989" t="n">
        <v>42100</v>
      </c>
      <c r="F108" s="1067" t="inlineStr">
        <is>
          <t>Earth</t>
        </is>
      </c>
      <c r="G108" s="992" t="n">
        <v>2591266</v>
      </c>
      <c r="H108" s="1067" t="n">
        <v>43</v>
      </c>
      <c r="I108" s="1067" t="n"/>
      <c r="J108" s="1067" t="n">
        <v>41</v>
      </c>
      <c r="K108" s="1067" t="n">
        <v>43</v>
      </c>
      <c r="L108" s="1067" t="n"/>
      <c r="M108" s="972" t="n"/>
      <c r="N108" s="972" t="inlineStr">
        <is>
          <t>Self Clear</t>
        </is>
      </c>
    </row>
    <row r="109">
      <c r="A109" s="989" t="n">
        <v>180</v>
      </c>
      <c r="B109" s="444" t="inlineStr">
        <is>
          <t>Tensho Iga War</t>
        </is>
      </c>
      <c r="C109" s="444" t="inlineStr">
        <is>
          <t>AD 1579</t>
        </is>
      </c>
      <c r="D109" s="989" t="n">
        <v>55242</v>
      </c>
      <c r="E109" s="989" t="n">
        <v>44200</v>
      </c>
      <c r="F109" s="1067" t="inlineStr">
        <is>
          <t>Water</t>
        </is>
      </c>
      <c r="G109" s="992" t="n">
        <v>3759716</v>
      </c>
      <c r="H109" s="1067" t="n">
        <v>46</v>
      </c>
      <c r="I109" s="1067" t="n"/>
      <c r="J109" s="1067" t="n">
        <v>44</v>
      </c>
      <c r="K109" s="1067" t="n">
        <v>46</v>
      </c>
      <c r="L109" s="1067" t="n"/>
      <c r="M109" s="972" t="n"/>
      <c r="N109" s="972" t="inlineStr">
        <is>
          <t>Self Clear</t>
        </is>
      </c>
    </row>
    <row r="110">
      <c r="A110" s="989" t="n">
        <v>190</v>
      </c>
      <c r="B110" s="444" t="inlineStr">
        <is>
          <t>Genko War</t>
        </is>
      </c>
      <c r="C110" s="444" t="inlineStr">
        <is>
          <t>AD 1331</t>
        </is>
      </c>
      <c r="D110" s="989" t="n">
        <v>55242</v>
      </c>
      <c r="E110" s="989" t="n">
        <v>47600</v>
      </c>
      <c r="F110" s="1067" t="inlineStr">
        <is>
          <t>Wind</t>
        </is>
      </c>
      <c r="G110" s="991" t="n"/>
      <c r="H110" s="1067" t="n">
        <v>49</v>
      </c>
      <c r="I110" s="1067" t="n"/>
      <c r="J110" s="1067" t="n">
        <v>49</v>
      </c>
      <c r="K110" s="1067" t="n">
        <v>49</v>
      </c>
      <c r="L110" s="1067" t="n"/>
      <c r="M110" s="972" t="n"/>
      <c r="N110" s="972" t="inlineStr">
        <is>
          <t>Self Clear</t>
        </is>
      </c>
    </row>
    <row r="111">
      <c r="A111" s="989" t="n">
        <v>199</v>
      </c>
      <c r="B111" s="444" t="inlineStr">
        <is>
          <t>Battle of Dan-no-ura</t>
        </is>
      </c>
      <c r="C111" s="444" t="inlineStr">
        <is>
          <t>AD 1185</t>
        </is>
      </c>
      <c r="D111" s="989" t="n">
        <v>64449</v>
      </c>
      <c r="E111" s="989" t="n">
        <v>51600</v>
      </c>
      <c r="F111" s="1067" t="inlineStr">
        <is>
          <t>Fire</t>
        </is>
      </c>
      <c r="G111" s="991" t="n"/>
      <c r="H111" s="1067" t="n">
        <v>52</v>
      </c>
      <c r="I111" s="1067" t="n"/>
      <c r="J111" s="1067" t="n">
        <v>53</v>
      </c>
      <c r="K111" s="1067" t="n">
        <v>53</v>
      </c>
      <c r="L111" s="1067" t="n"/>
      <c r="M111" s="972" t="n"/>
      <c r="N111" s="972" t="inlineStr">
        <is>
          <t>Self Clear</t>
        </is>
      </c>
    </row>
    <row r="112">
      <c r="A112" s="989" t="n">
        <v>210</v>
      </c>
      <c r="B112" s="444" t="inlineStr">
        <is>
          <t>Campaign Against Ruler Date</t>
        </is>
      </c>
      <c r="C112" s="444" t="inlineStr">
        <is>
          <t>AD 1602</t>
        </is>
      </c>
      <c r="D112" s="989" t="n">
        <v>69052</v>
      </c>
      <c r="E112" s="989" t="n">
        <v>54400</v>
      </c>
      <c r="F112" s="1067" t="inlineStr">
        <is>
          <t>Earth</t>
        </is>
      </c>
      <c r="G112" s="991" t="n"/>
      <c r="H112" s="1067" t="n">
        <v>57</v>
      </c>
      <c r="I112" s="1067" t="n"/>
      <c r="J112" s="1067" t="n">
        <v>57</v>
      </c>
      <c r="K112" s="1067" t="n">
        <v>57</v>
      </c>
      <c r="L112" s="1067" t="n"/>
      <c r="M112" s="972" t="n"/>
      <c r="N112" s="972" t="inlineStr">
        <is>
          <t>Self Clear</t>
        </is>
      </c>
    </row>
    <row r="113">
      <c r="A113" s="989" t="n">
        <v>238</v>
      </c>
      <c r="B113" s="444" t="inlineStr">
        <is>
          <t>Siege of Ueda</t>
        </is>
      </c>
      <c r="C113" s="444" t="inlineStr">
        <is>
          <t>AD 1585</t>
        </is>
      </c>
      <c r="D113" s="989" t="n">
        <v>73656</v>
      </c>
      <c r="E113" s="989" t="n">
        <v>56500</v>
      </c>
      <c r="F113" s="1067" t="inlineStr">
        <is>
          <t>Water</t>
        </is>
      </c>
      <c r="G113" s="991" t="n"/>
      <c r="H113" s="1067" t="n">
        <v>60</v>
      </c>
      <c r="I113" s="1067" t="n"/>
      <c r="J113" s="1067" t="n">
        <v>60</v>
      </c>
      <c r="K113" s="1067" t="n">
        <v>60</v>
      </c>
      <c r="L113" s="1067" t="n"/>
      <c r="M113" s="972" t="n"/>
      <c r="N113" s="972" t="inlineStr">
        <is>
          <t>Self Clear</t>
        </is>
      </c>
    </row>
    <row r="114"/>
    <row r="115"/>
    <row r="116"/>
    <row r="117">
      <c r="A117" s="691" t="inlineStr">
        <is>
          <t>Defense (Kemet)</t>
        </is>
      </c>
      <c r="B117" s="974" t="n"/>
      <c r="C117" s="974" t="n"/>
      <c r="D117" s="974" t="n"/>
      <c r="E117" s="974" t="n"/>
      <c r="F117" s="974" t="n"/>
      <c r="G117" s="974" t="n"/>
      <c r="H117" s="974" t="n"/>
      <c r="I117" s="993" t="n"/>
      <c r="K117" s="972" t="n"/>
    </row>
    <row r="118">
      <c r="A118" s="994" t="inlineStr">
        <is>
          <t>No.</t>
        </is>
      </c>
      <c r="B118" s="994" t="inlineStr">
        <is>
          <t>Name</t>
        </is>
      </c>
      <c r="C118" s="994" t="inlineStr">
        <is>
          <t>Setting</t>
        </is>
      </c>
      <c r="D118" s="994" t="inlineStr">
        <is>
          <t>Rec. Def.</t>
        </is>
      </c>
      <c r="E118" s="994" t="inlineStr">
        <is>
          <t>Clear Def.</t>
        </is>
      </c>
      <c r="F118" s="994" t="inlineStr">
        <is>
          <t>Momochi</t>
        </is>
      </c>
      <c r="G118" s="994" t="inlineStr">
        <is>
          <t>Past Pyr.</t>
        </is>
      </c>
      <c r="H118" s="994" t="inlineStr">
        <is>
          <t>Huang</t>
        </is>
      </c>
      <c r="I118" s="994" t="inlineStr">
        <is>
          <t>Future Pyr.</t>
        </is>
      </c>
    </row>
    <row r="119">
      <c r="A119" s="989" t="n">
        <v>6</v>
      </c>
      <c r="B119" s="444" t="inlineStr">
        <is>
          <t>Battle of Kunyang</t>
        </is>
      </c>
      <c r="C119" s="444" t="inlineStr">
        <is>
          <t>AD 23</t>
        </is>
      </c>
      <c r="D119" s="989" t="n">
        <v>2710</v>
      </c>
      <c r="E119" s="989" t="n"/>
      <c r="F119" s="989" t="n"/>
      <c r="G119" s="989" t="inlineStr">
        <is>
          <t>X</t>
        </is>
      </c>
      <c r="H119" s="989" t="n"/>
      <c r="I119" s="989" t="inlineStr">
        <is>
          <t>X</t>
        </is>
      </c>
    </row>
    <row r="120">
      <c r="A120" s="989" t="n">
        <v>21</v>
      </c>
      <c r="B120" s="444" t="inlineStr">
        <is>
          <t>Battle of Stalingrad</t>
        </is>
      </c>
      <c r="C120" s="444" t="inlineStr">
        <is>
          <t>AD 1942</t>
        </is>
      </c>
      <c r="D120" s="989" t="n">
        <v>5421</v>
      </c>
      <c r="E120" s="989" t="n"/>
      <c r="F120" s="989" t="inlineStr">
        <is>
          <t>X</t>
        </is>
      </c>
      <c r="G120" s="989" t="inlineStr">
        <is>
          <t>X</t>
        </is>
      </c>
      <c r="H120" s="989" t="inlineStr">
        <is>
          <t>X</t>
        </is>
      </c>
      <c r="I120" s="989" t="n"/>
    </row>
    <row r="121">
      <c r="A121" s="989" t="n">
        <v>26</v>
      </c>
      <c r="B121" s="444" t="inlineStr">
        <is>
          <t>Battle of Vienna</t>
        </is>
      </c>
      <c r="C121" s="444" t="inlineStr">
        <is>
          <t>AD 1529</t>
        </is>
      </c>
      <c r="D121" s="989" t="n">
        <v>9888</v>
      </c>
      <c r="E121" s="989" t="n">
        <v>10000</v>
      </c>
      <c r="F121" s="989" t="inlineStr">
        <is>
          <t>X</t>
        </is>
      </c>
      <c r="G121" s="989" t="inlineStr">
        <is>
          <t>X</t>
        </is>
      </c>
      <c r="H121" s="989" t="inlineStr">
        <is>
          <t>X</t>
        </is>
      </c>
      <c r="I121" s="989" t="n"/>
    </row>
    <row r="122">
      <c r="A122" s="989" t="n">
        <v>47</v>
      </c>
      <c r="B122" s="444" t="inlineStr">
        <is>
          <t>Battle of Hongdu</t>
        </is>
      </c>
      <c r="C122" s="444" t="inlineStr">
        <is>
          <t>AD 1363</t>
        </is>
      </c>
      <c r="D122" s="989" t="n">
        <v>15496</v>
      </c>
      <c r="E122" s="989" t="n">
        <v>15000</v>
      </c>
      <c r="F122" s="989" t="inlineStr">
        <is>
          <t>X</t>
        </is>
      </c>
      <c r="G122" s="989" t="inlineStr">
        <is>
          <t>X</t>
        </is>
      </c>
      <c r="H122" s="989" t="inlineStr">
        <is>
          <t>X</t>
        </is>
      </c>
      <c r="I122" s="989" t="n"/>
    </row>
    <row r="123">
      <c r="A123" s="989" t="n">
        <v>51</v>
      </c>
      <c r="B123" s="444" t="inlineStr">
        <is>
          <t>Siege of Paris</t>
        </is>
      </c>
      <c r="C123" s="444" t="inlineStr">
        <is>
          <t>AD 885</t>
        </is>
      </c>
      <c r="D123" s="989" t="n">
        <v>18324</v>
      </c>
      <c r="E123" s="989" t="n">
        <v>16100</v>
      </c>
      <c r="F123" s="989" t="n">
        <v>20</v>
      </c>
      <c r="G123" s="989" t="n">
        <v>9</v>
      </c>
      <c r="H123" s="989" t="n">
        <v>9</v>
      </c>
      <c r="I123" s="989" t="n"/>
    </row>
    <row r="124">
      <c r="A124" s="989" t="n">
        <v>62</v>
      </c>
      <c r="B124" s="444" t="inlineStr">
        <is>
          <t>Battle of Yancheng</t>
        </is>
      </c>
      <c r="C124" s="444" t="inlineStr">
        <is>
          <t>AD 1139</t>
        </is>
      </c>
      <c r="D124" s="989" t="n">
        <v>18324</v>
      </c>
      <c r="E124" s="989" t="n">
        <v>19400</v>
      </c>
      <c r="F124" s="989" t="n">
        <v>23</v>
      </c>
      <c r="G124" s="989" t="n">
        <v>13</v>
      </c>
      <c r="H124" s="989" t="n">
        <v>11</v>
      </c>
      <c r="I124" s="989" t="n"/>
    </row>
    <row r="125">
      <c r="A125" s="989" t="n">
        <v>84</v>
      </c>
      <c r="B125" s="444" t="inlineStr">
        <is>
          <t>Battle of Handan</t>
        </is>
      </c>
      <c r="C125" s="444" t="inlineStr">
        <is>
          <t>BC 257</t>
        </is>
      </c>
      <c r="D125" s="989" t="n">
        <v>27328</v>
      </c>
      <c r="E125" s="989" t="n">
        <v>23000</v>
      </c>
      <c r="F125" s="989" t="n">
        <v>30</v>
      </c>
      <c r="G125" s="989" t="n">
        <v>16</v>
      </c>
      <c r="H125" s="989" t="n">
        <v>16</v>
      </c>
      <c r="I125" s="989" t="n"/>
    </row>
    <row r="126">
      <c r="A126" s="989" t="n">
        <v>90</v>
      </c>
      <c r="B126" s="444" t="inlineStr">
        <is>
          <t>Battle of Luoyang</t>
        </is>
      </c>
      <c r="C126" s="444" t="inlineStr">
        <is>
          <t>AD 564</t>
        </is>
      </c>
      <c r="D126" s="989" t="n">
        <v>30156</v>
      </c>
      <c r="E126" s="989" t="n">
        <v>25700</v>
      </c>
      <c r="F126" s="989" t="n">
        <v>30</v>
      </c>
      <c r="G126" s="989" t="n">
        <v>20</v>
      </c>
      <c r="H126" s="989" t="n">
        <v>20</v>
      </c>
      <c r="I126" s="989" t="n"/>
    </row>
    <row r="127">
      <c r="A127" s="989" t="n">
        <v>99</v>
      </c>
      <c r="B127" s="444" t="inlineStr">
        <is>
          <t>Siege of Odawara</t>
        </is>
      </c>
      <c r="C127" s="444" t="inlineStr">
        <is>
          <t>AD 1569</t>
        </is>
      </c>
      <c r="D127" s="989" t="n">
        <v>32983</v>
      </c>
      <c r="E127" s="989" t="n">
        <v>27300</v>
      </c>
      <c r="F127" s="989" t="n">
        <v>38</v>
      </c>
      <c r="G127" s="989" t="n">
        <v>20</v>
      </c>
      <c r="H127" s="989" t="n">
        <v>20</v>
      </c>
      <c r="I127" s="989" t="n"/>
    </row>
    <row r="128">
      <c r="A128" s="989" t="n">
        <v>110</v>
      </c>
      <c r="B128" s="444" t="inlineStr">
        <is>
          <t>Battle of Thermopylae</t>
        </is>
      </c>
      <c r="C128" s="444" t="inlineStr">
        <is>
          <t>BC 480</t>
        </is>
      </c>
      <c r="D128" s="989" t="n">
        <v>36648</v>
      </c>
      <c r="E128" s="989" t="n">
        <v>29200</v>
      </c>
      <c r="F128" s="989" t="inlineStr">
        <is>
          <t>X</t>
        </is>
      </c>
      <c r="G128" s="989" t="inlineStr">
        <is>
          <t>X</t>
        </is>
      </c>
      <c r="H128" s="989" t="inlineStr">
        <is>
          <t>X</t>
        </is>
      </c>
      <c r="I128" s="989" t="n"/>
    </row>
    <row r="129">
      <c r="A129" s="989" t="n">
        <v>124</v>
      </c>
      <c r="B129" s="444" t="inlineStr">
        <is>
          <t>Capital Defense</t>
        </is>
      </c>
      <c r="C129" s="444" t="inlineStr">
        <is>
          <t>AD 1449</t>
        </is>
      </c>
      <c r="D129" s="989" t="n">
        <v>39475</v>
      </c>
      <c r="E129" s="989" t="n">
        <v>34600</v>
      </c>
      <c r="F129" s="989" t="n">
        <v>30</v>
      </c>
      <c r="G129" s="989" t="n">
        <v>31</v>
      </c>
      <c r="H129" s="989" t="n">
        <v>30</v>
      </c>
      <c r="I129" s="989" t="n"/>
      <c r="J129" s="972" t="inlineStr">
        <is>
          <t>SYT Clear</t>
        </is>
      </c>
    </row>
    <row r="130">
      <c r="A130" s="989" t="n">
        <v>134</v>
      </c>
      <c r="B130" s="444" t="inlineStr">
        <is>
          <t>Izu Peninsula Battle</t>
        </is>
      </c>
      <c r="C130" s="444" t="inlineStr">
        <is>
          <t>AD 1581</t>
        </is>
      </c>
      <c r="D130" s="989" t="n">
        <v>41150</v>
      </c>
      <c r="E130" s="989" t="n">
        <v>37500</v>
      </c>
      <c r="F130" s="989" t="n">
        <v>42</v>
      </c>
      <c r="G130" s="989" t="n">
        <v>35</v>
      </c>
      <c r="H130" s="989" t="n">
        <v>30</v>
      </c>
      <c r="I130" s="989" t="n"/>
    </row>
    <row r="131">
      <c r="A131" s="989" t="n">
        <v>143</v>
      </c>
      <c r="B131" s="988" t="inlineStr">
        <is>
          <t>Hefei Campaign</t>
        </is>
      </c>
      <c r="C131" s="444" t="inlineStr">
        <is>
          <t>AD 215</t>
        </is>
      </c>
      <c r="D131" s="989" t="n">
        <v>43977</v>
      </c>
      <c r="E131" s="989" t="n">
        <v>37820</v>
      </c>
      <c r="F131" s="989" t="n">
        <v>35</v>
      </c>
      <c r="G131" s="989" t="n">
        <v>30</v>
      </c>
      <c r="H131" s="989" t="n">
        <v>30</v>
      </c>
      <c r="I131" s="989" t="n"/>
      <c r="J131" s="972" t="inlineStr">
        <is>
          <t>Self Clear</t>
        </is>
      </c>
    </row>
    <row r="132">
      <c r="A132" s="989" t="n">
        <v>146</v>
      </c>
      <c r="B132" s="444" t="inlineStr">
        <is>
          <t>Siege of Miletus</t>
        </is>
      </c>
      <c r="C132" s="444" t="inlineStr">
        <is>
          <t>BC 334</t>
        </is>
      </c>
      <c r="D132" s="989" t="n">
        <v>45652</v>
      </c>
      <c r="E132" s="989">
        <f>13800+11940+12080</f>
        <v/>
      </c>
      <c r="F132" s="989" t="n">
        <v>35</v>
      </c>
      <c r="G132" s="989" t="n">
        <v>30</v>
      </c>
      <c r="H132" s="989" t="n">
        <v>30</v>
      </c>
      <c r="I132" s="989" t="n"/>
      <c r="J132" s="972" t="inlineStr">
        <is>
          <t>Self Clear</t>
        </is>
      </c>
    </row>
    <row r="133">
      <c r="A133" s="989" t="n">
        <v>166</v>
      </c>
      <c r="B133" s="444" t="inlineStr">
        <is>
          <t>Defense of Pskov</t>
        </is>
      </c>
      <c r="C133" s="444" t="inlineStr">
        <is>
          <t>AD 1581</t>
        </is>
      </c>
      <c r="D133" s="989" t="n">
        <v>48480</v>
      </c>
      <c r="E133" s="989" t="n">
        <v>40800</v>
      </c>
      <c r="F133" s="989" t="n">
        <v>45</v>
      </c>
      <c r="G133" s="989" t="n">
        <v>30</v>
      </c>
      <c r="H133" s="989" t="n">
        <v>30</v>
      </c>
      <c r="I133" s="989" t="n"/>
      <c r="J133" s="972" t="inlineStr">
        <is>
          <t>Self Clear</t>
        </is>
      </c>
    </row>
    <row r="134">
      <c r="A134" s="989" t="n">
        <v>173</v>
      </c>
      <c r="B134" s="444" t="inlineStr">
        <is>
          <t>Battle of Iwaya Castle</t>
        </is>
      </c>
      <c r="C134" s="444" t="inlineStr">
        <is>
          <t>AD 1584</t>
        </is>
      </c>
      <c r="D134" s="989" t="n">
        <v>50155</v>
      </c>
      <c r="E134" s="989" t="n">
        <v>42800</v>
      </c>
      <c r="F134" s="989" t="n">
        <v>49</v>
      </c>
      <c r="G134" s="989" t="n">
        <v>40</v>
      </c>
      <c r="H134" s="989" t="n">
        <v>35</v>
      </c>
      <c r="I134" s="989" t="n"/>
    </row>
    <row r="135">
      <c r="A135" s="989" t="n">
        <v>185</v>
      </c>
      <c r="B135" s="444" t="inlineStr">
        <is>
          <t>Defense of Suiyang</t>
        </is>
      </c>
      <c r="C135" s="444" t="inlineStr">
        <is>
          <t>AD 756</t>
        </is>
      </c>
      <c r="D135" s="989" t="n">
        <v>52982</v>
      </c>
      <c r="E135" s="989" t="n">
        <v>41200</v>
      </c>
      <c r="F135" s="989" t="n">
        <v>40</v>
      </c>
      <c r="G135" s="989" t="n">
        <v>37</v>
      </c>
      <c r="H135" s="989" t="n">
        <v>31</v>
      </c>
      <c r="I135" s="989" t="n"/>
      <c r="J135" s="972" t="inlineStr">
        <is>
          <t>SYT Clear</t>
        </is>
      </c>
    </row>
    <row r="136">
      <c r="A136" s="989" t="n">
        <v>200</v>
      </c>
      <c r="B136" s="444" t="inlineStr">
        <is>
          <t>The Great Wall Battle</t>
        </is>
      </c>
      <c r="C136" s="444" t="inlineStr">
        <is>
          <t>BC 3664</t>
        </is>
      </c>
      <c r="D136" s="989" t="n">
        <v>55809</v>
      </c>
      <c r="E136" s="989" t="n">
        <v>46000</v>
      </c>
      <c r="F136" s="989" t="n">
        <v>49</v>
      </c>
      <c r="G136" s="989" t="n">
        <v>41</v>
      </c>
      <c r="H136" s="989" t="n">
        <v>30</v>
      </c>
      <c r="I136" s="989" t="n"/>
      <c r="J136" s="972" t="inlineStr">
        <is>
          <t>Self Clear</t>
        </is>
      </c>
    </row>
    <row r="137">
      <c r="A137" s="989" t="n">
        <v>215</v>
      </c>
      <c r="B137" s="444" t="inlineStr">
        <is>
          <t>Defense of Bianjing</t>
        </is>
      </c>
      <c r="C137" s="444" t="inlineStr">
        <is>
          <t>AD 1232</t>
        </is>
      </c>
      <c r="D137" s="989" t="n">
        <v>58636</v>
      </c>
      <c r="E137" s="989" t="n">
        <v>48400</v>
      </c>
      <c r="F137" s="989" t="n">
        <v>53</v>
      </c>
      <c r="G137" s="989" t="n">
        <v>44</v>
      </c>
      <c r="H137" s="989" t="n">
        <v>30</v>
      </c>
      <c r="I137" s="989" t="n"/>
      <c r="J137" s="972" t="inlineStr">
        <is>
          <t>Self Clear</t>
        </is>
      </c>
    </row>
    <row r="138">
      <c r="A138" s="989" t="n">
        <v>222</v>
      </c>
      <c r="B138" s="444" t="inlineStr">
        <is>
          <t>Siege of Belgrade</t>
        </is>
      </c>
      <c r="C138" s="444" t="inlineStr">
        <is>
          <t>AD 1455</t>
        </is>
      </c>
      <c r="D138" s="989" t="n">
        <v>61464</v>
      </c>
      <c r="E138" s="989" t="n">
        <v>48800</v>
      </c>
      <c r="F138" s="989" t="n">
        <v>53</v>
      </c>
      <c r="G138" s="989" t="n">
        <v>45</v>
      </c>
      <c r="H138" s="989" t="n">
        <v>31</v>
      </c>
      <c r="I138" s="989" t="n"/>
      <c r="J138" s="972" t="inlineStr">
        <is>
          <t>SYT Clear</t>
        </is>
      </c>
    </row>
    <row r="139">
      <c r="A139" s="989" t="n">
        <v>228</v>
      </c>
      <c r="B139" s="444" t="inlineStr">
        <is>
          <t>Siege of Diaoyu Castle</t>
        </is>
      </c>
      <c r="C139" s="444" t="inlineStr">
        <is>
          <t>AD 1259</t>
        </is>
      </c>
      <c r="D139" s="989" t="n">
        <v>64291</v>
      </c>
      <c r="E139" s="989" t="n">
        <v>53012</v>
      </c>
      <c r="F139" s="989" t="n">
        <v>60</v>
      </c>
      <c r="G139" s="989" t="n">
        <v>51</v>
      </c>
      <c r="H139" s="989" t="n">
        <v>36</v>
      </c>
      <c r="I139" s="989" t="n"/>
      <c r="J139" s="972" t="inlineStr">
        <is>
          <t>Self Clear</t>
        </is>
      </c>
    </row>
    <row r="140">
      <c r="A140" s="989" t="n">
        <v>234</v>
      </c>
      <c r="B140" s="444" t="inlineStr">
        <is>
          <t>The Third Impact</t>
        </is>
      </c>
      <c r="C140" s="444" t="inlineStr">
        <is>
          <t>AD 2016</t>
        </is>
      </c>
      <c r="D140" s="989" t="n">
        <v>67118</v>
      </c>
      <c r="E140" s="989" t="n">
        <v>54770</v>
      </c>
      <c r="F140" s="989" t="n">
        <v>60</v>
      </c>
      <c r="G140" s="989" t="n">
        <v>53</v>
      </c>
      <c r="H140" s="989" t="n">
        <v>41</v>
      </c>
      <c r="I140" s="989" t="n"/>
      <c r="J140" s="972" t="inlineStr">
        <is>
          <t>Self Clear</t>
        </is>
      </c>
    </row>
    <row r="141"/>
    <row r="142"/>
    <row r="143"/>
    <row r="144">
      <c r="A144" s="981" t="inlineStr">
        <is>
          <t>Dharma (Bharata)</t>
        </is>
      </c>
      <c r="B144" s="982" t="n"/>
      <c r="C144" s="982" t="n"/>
      <c r="D144" s="982" t="n"/>
      <c r="E144" s="982" t="n"/>
      <c r="F144" s="982" t="n"/>
      <c r="G144" s="982" t="n"/>
      <c r="H144" s="982" t="n"/>
      <c r="I144" s="982" t="n"/>
      <c r="J144" s="982" t="n"/>
      <c r="K144" s="987" t="n"/>
      <c r="L144" s="972" t="n"/>
      <c r="M144" s="972" t="n"/>
    </row>
    <row r="145">
      <c r="A145" s="984" t="inlineStr">
        <is>
          <t>No.</t>
        </is>
      </c>
      <c r="B145" s="984" t="inlineStr">
        <is>
          <t>Name</t>
        </is>
      </c>
      <c r="C145" s="984" t="inlineStr">
        <is>
          <t>Setting</t>
        </is>
      </c>
      <c r="D145" s="984" t="inlineStr">
        <is>
          <t>Rec. Dhar.</t>
        </is>
      </c>
      <c r="E145" s="984" t="inlineStr">
        <is>
          <t>Clear Dhar.</t>
        </is>
      </c>
      <c r="F145" s="984" t="inlineStr">
        <is>
          <t>Enemies</t>
        </is>
      </c>
      <c r="G145" s="984" t="inlineStr">
        <is>
          <t>Hitman</t>
        </is>
      </c>
      <c r="H145" s="984" t="inlineStr">
        <is>
          <t>Sanzang</t>
        </is>
      </c>
      <c r="I145" s="984" t="inlineStr">
        <is>
          <t>Dragon Horse</t>
        </is>
      </c>
      <c r="J145" s="984" t="inlineStr">
        <is>
          <t>Poisoner</t>
        </is>
      </c>
      <c r="K145" s="984" t="inlineStr">
        <is>
          <t>Mad Abe</t>
        </is>
      </c>
      <c r="L145" s="972" t="n"/>
      <c r="M145" s="972" t="n"/>
    </row>
    <row r="146">
      <c r="A146" s="989" t="n">
        <v>7</v>
      </c>
      <c r="B146" s="444" t="inlineStr">
        <is>
          <t>Yellow Turban Arises</t>
        </is>
      </c>
      <c r="C146" s="444" t="inlineStr">
        <is>
          <t>AD 184</t>
        </is>
      </c>
      <c r="D146" s="989" t="n">
        <v>2433</v>
      </c>
      <c r="E146" s="989" t="n"/>
      <c r="F146" s="989" t="n">
        <v>3</v>
      </c>
      <c r="G146" s="989" t="n"/>
      <c r="H146" s="989" t="n"/>
      <c r="I146" s="989" t="n"/>
      <c r="J146" s="989" t="n"/>
      <c r="K146" s="989" t="n"/>
      <c r="L146" s="972" t="n"/>
      <c r="M146" s="972" t="n"/>
    </row>
    <row r="147">
      <c r="A147" s="989" t="n">
        <v>19</v>
      </c>
      <c r="B147" s="444" t="inlineStr">
        <is>
          <t>Battle of Muye</t>
        </is>
      </c>
      <c r="C147" s="444" t="inlineStr">
        <is>
          <t>BC 1046</t>
        </is>
      </c>
      <c r="D147" s="989" t="n">
        <v>5308</v>
      </c>
      <c r="E147" s="989" t="n">
        <v>6300</v>
      </c>
      <c r="F147" s="989" t="n">
        <v>3</v>
      </c>
      <c r="G147" s="989" t="n"/>
      <c r="H147" s="989" t="n"/>
      <c r="I147" s="989" t="n"/>
      <c r="J147" s="989" t="n"/>
      <c r="K147" s="989" t="n"/>
      <c r="L147" s="972" t="n"/>
      <c r="M147" s="972" t="n"/>
    </row>
    <row r="148">
      <c r="A148" s="989" t="n">
        <v>22</v>
      </c>
      <c r="B148" s="444" t="inlineStr">
        <is>
          <t>The Ghost Hunt</t>
        </is>
      </c>
      <c r="C148" s="444" t="inlineStr">
        <is>
          <t>AD 698</t>
        </is>
      </c>
      <c r="D148" s="989" t="n">
        <v>6067</v>
      </c>
      <c r="E148" s="989" t="n">
        <v>6500</v>
      </c>
      <c r="F148" s="989" t="n">
        <v>1</v>
      </c>
      <c r="G148" s="989" t="n"/>
      <c r="H148" s="989" t="n"/>
      <c r="I148" s="989" t="n"/>
      <c r="J148" s="989" t="inlineStr">
        <is>
          <t>X</t>
        </is>
      </c>
      <c r="K148" s="989" t="n"/>
      <c r="L148" s="972" t="n"/>
      <c r="M148" s="972" t="n"/>
    </row>
    <row r="149">
      <c r="A149" s="989" t="n">
        <v>27</v>
      </c>
      <c r="B149" s="444" t="inlineStr">
        <is>
          <t>Ghost &amp; Student</t>
        </is>
      </c>
      <c r="C149" s="444" t="inlineStr">
        <is>
          <t>AD 1365</t>
        </is>
      </c>
      <c r="D149" s="989" t="n">
        <v>9474</v>
      </c>
      <c r="E149" s="989" t="n">
        <v>9600</v>
      </c>
      <c r="F149" s="989" t="n">
        <v>2</v>
      </c>
      <c r="G149" s="989" t="inlineStr">
        <is>
          <t>X</t>
        </is>
      </c>
      <c r="H149" s="989" t="n"/>
      <c r="I149" s="989" t="n"/>
      <c r="J149" s="989" t="inlineStr">
        <is>
          <t>X</t>
        </is>
      </c>
      <c r="K149" s="989" t="inlineStr">
        <is>
          <t>X</t>
        </is>
      </c>
      <c r="L149" s="972" t="n"/>
      <c r="M149" s="972" t="n"/>
    </row>
    <row r="150">
      <c r="A150" s="989" t="n">
        <v>43</v>
      </c>
      <c r="B150" s="444" t="inlineStr">
        <is>
          <t>The Battle of Zhuolu</t>
        </is>
      </c>
      <c r="C150" s="444" t="inlineStr">
        <is>
          <t>BC 2600</t>
        </is>
      </c>
      <c r="D150" s="989" t="n">
        <v>16202</v>
      </c>
      <c r="E150" s="989" t="n">
        <v>15200</v>
      </c>
      <c r="F150" s="989" t="n">
        <v>3</v>
      </c>
      <c r="G150" s="989" t="inlineStr">
        <is>
          <t>X</t>
        </is>
      </c>
      <c r="H150" s="989" t="n"/>
      <c r="I150" s="989" t="n"/>
      <c r="J150" s="989" t="inlineStr">
        <is>
          <t>X</t>
        </is>
      </c>
      <c r="K150" s="989" t="inlineStr">
        <is>
          <t>X</t>
        </is>
      </c>
      <c r="L150" s="972" t="n"/>
      <c r="M150" s="972" t="n"/>
    </row>
    <row r="151">
      <c r="A151" s="989" t="n">
        <v>48</v>
      </c>
      <c r="B151" s="444" t="inlineStr">
        <is>
          <t>Ruler of Demon Realm</t>
        </is>
      </c>
      <c r="C151" s="444" t="inlineStr">
        <is>
          <t>AD 367</t>
        </is>
      </c>
      <c r="D151" s="989" t="n">
        <v>17442</v>
      </c>
      <c r="E151" s="989" t="n">
        <v>16400</v>
      </c>
      <c r="F151" s="989" t="n">
        <v>1</v>
      </c>
      <c r="G151" s="989" t="inlineStr">
        <is>
          <t>X</t>
        </is>
      </c>
      <c r="H151" s="989" t="inlineStr">
        <is>
          <t>X</t>
        </is>
      </c>
      <c r="I151" s="989" t="inlineStr">
        <is>
          <t>X</t>
        </is>
      </c>
      <c r="J151" s="989" t="inlineStr">
        <is>
          <t>X</t>
        </is>
      </c>
      <c r="K151" s="989" t="n"/>
      <c r="L151" s="972" t="n"/>
      <c r="M151" s="972" t="n"/>
    </row>
    <row r="152">
      <c r="A152" s="989" t="n">
        <v>56</v>
      </c>
      <c r="B152" s="444" t="inlineStr">
        <is>
          <t>Nezha vs. Dragon King</t>
        </is>
      </c>
      <c r="C152" s="444" t="inlineStr">
        <is>
          <t>BC 1052</t>
        </is>
      </c>
      <c r="D152" s="989" t="n">
        <v>20451</v>
      </c>
      <c r="E152" s="989" t="n">
        <v>19000</v>
      </c>
      <c r="F152" s="989" t="n">
        <v>3</v>
      </c>
      <c r="G152" s="989" t="inlineStr">
        <is>
          <t>X</t>
        </is>
      </c>
      <c r="H152" s="989" t="inlineStr">
        <is>
          <t>X</t>
        </is>
      </c>
      <c r="I152" s="989" t="inlineStr">
        <is>
          <t>X</t>
        </is>
      </c>
      <c r="J152" s="989" t="inlineStr">
        <is>
          <t>X</t>
        </is>
      </c>
      <c r="K152" s="989" t="n"/>
      <c r="L152" s="972" t="n"/>
      <c r="M152" s="972" t="n"/>
    </row>
    <row r="153">
      <c r="A153" s="989" t="n">
        <v>66</v>
      </c>
      <c r="B153" s="444" t="inlineStr">
        <is>
          <t>Taming the Flood</t>
        </is>
      </c>
      <c r="C153" s="444" t="inlineStr">
        <is>
          <t>BC 2064</t>
        </is>
      </c>
      <c r="D153" s="989" t="n">
        <v>24001</v>
      </c>
      <c r="E153" s="989" t="n">
        <v>22200</v>
      </c>
      <c r="F153" s="989" t="n">
        <v>2</v>
      </c>
      <c r="G153" s="989" t="inlineStr">
        <is>
          <t>X</t>
        </is>
      </c>
      <c r="H153" s="989" t="inlineStr">
        <is>
          <t>X</t>
        </is>
      </c>
      <c r="I153" s="989" t="inlineStr">
        <is>
          <t>X</t>
        </is>
      </c>
      <c r="J153" s="989" t="inlineStr">
        <is>
          <t>X</t>
        </is>
      </c>
      <c r="K153" s="989" t="n"/>
      <c r="L153" s="972" t="n"/>
      <c r="M153" s="972" t="n"/>
    </row>
    <row r="154">
      <c r="A154" s="989" t="n">
        <v>71</v>
      </c>
      <c r="B154" s="444" t="inlineStr">
        <is>
          <t>Gate of Void</t>
        </is>
      </c>
      <c r="C154" s="444" t="inlineStr">
        <is>
          <t>AD 964</t>
        </is>
      </c>
      <c r="D154" s="989" t="n">
        <v>25500</v>
      </c>
      <c r="E154" s="989" t="n">
        <v>23500</v>
      </c>
      <c r="F154" s="989" t="n">
        <v>3</v>
      </c>
      <c r="G154" s="989" t="inlineStr">
        <is>
          <t>X</t>
        </is>
      </c>
      <c r="H154" s="989" t="inlineStr">
        <is>
          <t>X</t>
        </is>
      </c>
      <c r="I154" s="989" t="inlineStr">
        <is>
          <t>X</t>
        </is>
      </c>
      <c r="J154" s="989" t="inlineStr">
        <is>
          <t>X</t>
        </is>
      </c>
      <c r="K154" s="989" t="n"/>
      <c r="L154" s="972" t="n"/>
      <c r="M154" s="972" t="n"/>
    </row>
    <row r="155">
      <c r="A155" s="989" t="n">
        <v>83</v>
      </c>
      <c r="B155" s="444" t="inlineStr">
        <is>
          <t>Yellow River Array</t>
        </is>
      </c>
      <c r="C155" s="444" t="inlineStr">
        <is>
          <t>BC 1046</t>
        </is>
      </c>
      <c r="D155" s="989" t="n">
        <v>34960</v>
      </c>
      <c r="E155" s="989" t="n">
        <v>30100</v>
      </c>
      <c r="F155" s="989" t="n">
        <v>3</v>
      </c>
      <c r="G155" s="989" t="inlineStr">
        <is>
          <t>X</t>
        </is>
      </c>
      <c r="H155" s="989" t="inlineStr">
        <is>
          <t>X</t>
        </is>
      </c>
      <c r="I155" s="989" t="inlineStr">
        <is>
          <t>X</t>
        </is>
      </c>
      <c r="J155" s="989" t="inlineStr">
        <is>
          <t>X</t>
        </is>
      </c>
      <c r="K155" s="989" t="n"/>
      <c r="L155" s="972" t="n"/>
      <c r="M155" s="972" t="n"/>
    </row>
    <row r="156">
      <c r="A156" s="989" t="n">
        <v>92</v>
      </c>
      <c r="B156" s="444" t="inlineStr">
        <is>
          <t>Immortal Slayer Array</t>
        </is>
      </c>
      <c r="C156" s="444" t="inlineStr">
        <is>
          <t>BC 1046</t>
        </is>
      </c>
      <c r="D156" s="989" t="n">
        <v>39030</v>
      </c>
      <c r="E156" s="989" t="n">
        <v>36700</v>
      </c>
      <c r="F156" s="989" t="n">
        <v>3</v>
      </c>
      <c r="G156" s="989" t="inlineStr">
        <is>
          <t>X</t>
        </is>
      </c>
      <c r="H156" s="989" t="inlineStr">
        <is>
          <t>X</t>
        </is>
      </c>
      <c r="I156" s="989" t="inlineStr">
        <is>
          <t>X</t>
        </is>
      </c>
      <c r="J156" s="989" t="inlineStr">
        <is>
          <t>X</t>
        </is>
      </c>
      <c r="K156" s="989" t="n"/>
      <c r="L156" s="972" t="n"/>
      <c r="M156" s="972" t="n"/>
    </row>
    <row r="157">
      <c r="A157" s="989" t="n">
        <v>93</v>
      </c>
      <c r="B157" s="444" t="inlineStr">
        <is>
          <t>Mayhem Maker</t>
        </is>
      </c>
      <c r="C157" s="444" t="inlineStr">
        <is>
          <t>AD 25</t>
        </is>
      </c>
      <c r="D157" s="989" t="n">
        <v>39527</v>
      </c>
      <c r="E157" s="989" t="n">
        <v>36700</v>
      </c>
      <c r="F157" s="989" t="n">
        <v>3</v>
      </c>
      <c r="G157" s="989" t="inlineStr">
        <is>
          <t>X</t>
        </is>
      </c>
      <c r="H157" s="989" t="inlineStr">
        <is>
          <t>X</t>
        </is>
      </c>
      <c r="I157" s="989" t="inlineStr">
        <is>
          <t>X</t>
        </is>
      </c>
      <c r="J157" s="989" t="inlineStr">
        <is>
          <t>X</t>
        </is>
      </c>
      <c r="K157" s="989" t="n"/>
      <c r="L157" s="972" t="n"/>
      <c r="M157" s="972" t="n"/>
    </row>
    <row r="158">
      <c r="A158" s="989" t="n">
        <v>100</v>
      </c>
      <c r="B158" s="988" t="inlineStr">
        <is>
          <t>Laozi's Trilocation</t>
        </is>
      </c>
      <c r="C158" s="444" t="inlineStr">
        <is>
          <t>BC 2046</t>
        </is>
      </c>
      <c r="D158" s="989" t="n">
        <v>42633</v>
      </c>
      <c r="E158" s="989" t="n">
        <v>38300</v>
      </c>
      <c r="F158" s="989" t="n">
        <v>3</v>
      </c>
      <c r="G158" s="989" t="inlineStr">
        <is>
          <t>X</t>
        </is>
      </c>
      <c r="H158" s="989" t="inlineStr">
        <is>
          <t>X</t>
        </is>
      </c>
      <c r="I158" s="989" t="inlineStr">
        <is>
          <t>X</t>
        </is>
      </c>
      <c r="J158" s="989" t="inlineStr">
        <is>
          <t>X</t>
        </is>
      </c>
      <c r="K158" s="989" t="n"/>
      <c r="L158" s="972" t="n"/>
      <c r="M158" s="972" t="n"/>
    </row>
    <row r="159">
      <c r="A159" s="989" t="n">
        <v>118</v>
      </c>
      <c r="B159" s="444" t="inlineStr">
        <is>
          <t>Hitting Mount Buzhou</t>
        </is>
      </c>
      <c r="C159" s="444" t="inlineStr">
        <is>
          <t>BC 3165</t>
        </is>
      </c>
      <c r="D159" s="989" t="n">
        <v>49307</v>
      </c>
      <c r="E159" s="989" t="n">
        <v>39300</v>
      </c>
      <c r="F159" s="989" t="n">
        <v>1</v>
      </c>
      <c r="G159" s="989" t="inlineStr">
        <is>
          <t>X</t>
        </is>
      </c>
      <c r="H159" s="989" t="inlineStr">
        <is>
          <t>X</t>
        </is>
      </c>
      <c r="I159" s="989" t="inlineStr">
        <is>
          <t>X</t>
        </is>
      </c>
      <c r="J159" s="989" t="inlineStr">
        <is>
          <t>X</t>
        </is>
      </c>
      <c r="K159" s="989" t="n"/>
      <c r="L159" s="972" t="n"/>
      <c r="M159" s="972" t="n"/>
    </row>
    <row r="160">
      <c r="A160" s="989" t="n">
        <v>119</v>
      </c>
      <c r="B160" s="444" t="inlineStr">
        <is>
          <t>Buddha-Demon Battle</t>
        </is>
      </c>
      <c r="C160" s="444" t="inlineStr">
        <is>
          <t>BC 583</t>
        </is>
      </c>
      <c r="D160" s="989" t="n">
        <v>49644</v>
      </c>
      <c r="E160" s="989" t="n">
        <v>42800</v>
      </c>
      <c r="F160" s="989" t="n">
        <v>3</v>
      </c>
      <c r="G160" s="989" t="inlineStr">
        <is>
          <t>X</t>
        </is>
      </c>
      <c r="H160" s="989" t="inlineStr">
        <is>
          <t>X</t>
        </is>
      </c>
      <c r="I160" s="989" t="inlineStr">
        <is>
          <t>X</t>
        </is>
      </c>
      <c r="J160" s="989" t="inlineStr">
        <is>
          <t>X</t>
        </is>
      </c>
      <c r="K160" s="989" t="n"/>
      <c r="L160" s="972" t="n"/>
      <c r="M160" s="972" t="n"/>
    </row>
    <row r="161">
      <c r="A161" s="989" t="n">
        <v>128</v>
      </c>
      <c r="B161" s="444" t="inlineStr">
        <is>
          <t>Ragnarok</t>
        </is>
      </c>
      <c r="C161" s="444" t="inlineStr">
        <is>
          <t>AD 691</t>
        </is>
      </c>
      <c r="D161" s="989" t="n">
        <v>55849</v>
      </c>
      <c r="E161" s="989" t="n">
        <v>39800</v>
      </c>
      <c r="F161" s="989" t="n">
        <v>3</v>
      </c>
      <c r="G161" s="989" t="n">
        <v>30</v>
      </c>
      <c r="H161" s="989" t="n">
        <v>30</v>
      </c>
      <c r="I161" s="989" t="n">
        <v>31</v>
      </c>
      <c r="J161" s="989" t="n">
        <v>29</v>
      </c>
      <c r="K161" s="989" t="n"/>
      <c r="L161" s="972" t="n"/>
      <c r="M161" s="972" t="inlineStr">
        <is>
          <t>Pajamapantsdan Clear</t>
        </is>
      </c>
    </row>
    <row r="162">
      <c r="A162" s="989" t="n">
        <v>140</v>
      </c>
      <c r="B162" s="444" t="inlineStr">
        <is>
          <t>Mythical Beast</t>
        </is>
      </c>
      <c r="C162" s="444" t="inlineStr">
        <is>
          <t>BC 2153</t>
        </is>
      </c>
      <c r="D162" s="989" t="n">
        <v>62055</v>
      </c>
      <c r="E162" s="989" t="n">
        <v>48708</v>
      </c>
      <c r="F162" s="989" t="n">
        <v>3</v>
      </c>
      <c r="G162" s="989" t="n">
        <v>40</v>
      </c>
      <c r="H162" s="989" t="n">
        <v>31</v>
      </c>
      <c r="I162" s="989" t="n">
        <v>35</v>
      </c>
      <c r="J162" s="989" t="n">
        <v>38</v>
      </c>
      <c r="K162" s="989" t="n"/>
      <c r="L162" s="972" t="n"/>
      <c r="M162" s="972" t="inlineStr">
        <is>
          <t>Throne Clear</t>
        </is>
      </c>
    </row>
    <row r="163">
      <c r="A163" s="989" t="n">
        <v>154</v>
      </c>
      <c r="B163" s="444" t="inlineStr">
        <is>
          <t>Arhat</t>
        </is>
      </c>
      <c r="C163" s="444" t="inlineStr">
        <is>
          <t>BC 736</t>
        </is>
      </c>
      <c r="D163" s="989" t="n">
        <v>68260</v>
      </c>
      <c r="E163" s="989" t="n">
        <v>49700</v>
      </c>
      <c r="F163" s="989" t="n">
        <v>3</v>
      </c>
      <c r="G163" s="989" t="n">
        <v>41</v>
      </c>
      <c r="H163" s="989" t="n">
        <v>36</v>
      </c>
      <c r="I163" s="989" t="n">
        <v>36</v>
      </c>
      <c r="J163" s="989" t="n">
        <v>40</v>
      </c>
      <c r="K163" s="989" t="n"/>
      <c r="L163" s="972" t="n"/>
      <c r="M163" s="972" t="inlineStr">
        <is>
          <t>Self Clear</t>
        </is>
      </c>
    </row>
    <row r="164">
      <c r="A164" s="989" t="n">
        <v>171</v>
      </c>
      <c r="B164" s="444" t="inlineStr">
        <is>
          <t>Buddha Jih's Descent</t>
        </is>
      </c>
      <c r="C164" s="444" t="inlineStr">
        <is>
          <t>AD 1156</t>
        </is>
      </c>
      <c r="D164" s="989" t="n">
        <v>74466</v>
      </c>
      <c r="E164" s="989" t="n">
        <v>49700</v>
      </c>
      <c r="F164" s="989" t="n">
        <v>3</v>
      </c>
      <c r="G164" s="989" t="n">
        <v>45</v>
      </c>
      <c r="H164" s="989" t="n">
        <v>36</v>
      </c>
      <c r="I164" s="989" t="n">
        <v>37</v>
      </c>
      <c r="J164" s="989" t="n">
        <v>40</v>
      </c>
      <c r="K164" s="989" t="n"/>
      <c r="L164" s="972" t="n"/>
      <c r="M164" s="972" t="inlineStr">
        <is>
          <t>SYT Clear</t>
        </is>
      </c>
    </row>
    <row r="165">
      <c r="A165" s="989" t="n">
        <v>187</v>
      </c>
      <c r="B165" s="444" t="inlineStr">
        <is>
          <t>Eternity War</t>
        </is>
      </c>
      <c r="C165" s="444" t="inlineStr">
        <is>
          <t>BC 444</t>
        </is>
      </c>
      <c r="D165" s="989" t="n">
        <v>80671</v>
      </c>
      <c r="E165" s="989" t="n">
        <v>57700</v>
      </c>
      <c r="F165" s="989" t="n">
        <v>3</v>
      </c>
      <c r="G165" s="989" t="n">
        <v>49</v>
      </c>
      <c r="H165" s="989" t="n">
        <v>39</v>
      </c>
      <c r="I165" s="989" t="n">
        <v>40</v>
      </c>
      <c r="J165" s="989" t="n">
        <v>47</v>
      </c>
      <c r="K165" s="989" t="n"/>
      <c r="L165" s="972" t="n"/>
      <c r="M165" s="972" t="inlineStr">
        <is>
          <t>Self Clear</t>
        </is>
      </c>
    </row>
    <row r="166">
      <c r="A166" s="989" t="n">
        <v>198</v>
      </c>
      <c r="B166" s="444" t="inlineStr">
        <is>
          <t>Fire and Water Beasts</t>
        </is>
      </c>
      <c r="C166" s="444" t="inlineStr">
        <is>
          <t>BC 2354</t>
        </is>
      </c>
      <c r="D166" s="989" t="n">
        <v>80671</v>
      </c>
      <c r="E166" s="989" t="n">
        <v>60300</v>
      </c>
      <c r="F166" s="989" t="n">
        <v>1</v>
      </c>
      <c r="G166" s="989" t="n">
        <v>50</v>
      </c>
      <c r="H166" s="989" t="n">
        <v>42</v>
      </c>
      <c r="I166" s="989" t="n">
        <v>42</v>
      </c>
      <c r="J166" s="989" t="n">
        <v>47</v>
      </c>
      <c r="K166" s="989" t="n"/>
      <c r="L166" s="972" t="n"/>
      <c r="M166" s="972" t="n"/>
    </row>
    <row r="167">
      <c r="A167" s="989" t="n">
        <v>223</v>
      </c>
      <c r="B167" s="444" t="inlineStr">
        <is>
          <t>Dream Eater</t>
        </is>
      </c>
      <c r="C167" s="444" t="inlineStr">
        <is>
          <t>BC 2946</t>
        </is>
      </c>
      <c r="D167" s="989" t="n">
        <v>93082</v>
      </c>
      <c r="E167" s="989" t="n">
        <v>69700</v>
      </c>
      <c r="F167" s="989" t="n">
        <v>1</v>
      </c>
      <c r="G167" s="989" t="n">
        <v>60</v>
      </c>
      <c r="H167" s="989" t="n">
        <v>43</v>
      </c>
      <c r="I167" s="989" t="n">
        <v>53</v>
      </c>
      <c r="J167" s="989" t="n">
        <v>60</v>
      </c>
      <c r="K167" s="989" t="n"/>
      <c r="L167" s="972" t="n"/>
      <c r="M167" s="972" t="n"/>
    </row>
    <row r="168">
      <c r="A168" s="989" t="n">
        <v>236</v>
      </c>
      <c r="B168" s="444" t="inlineStr">
        <is>
          <t>Titanomachy</t>
        </is>
      </c>
      <c r="C168" s="444" t="inlineStr">
        <is>
          <t>BC 15000</t>
        </is>
      </c>
      <c r="D168" s="989" t="n">
        <v>99288</v>
      </c>
      <c r="E168" s="989" t="n">
        <v>73928</v>
      </c>
      <c r="F168" s="989" t="n">
        <v>3</v>
      </c>
      <c r="G168" s="989" t="n">
        <v>60</v>
      </c>
      <c r="H168" s="989" t="n">
        <v>50</v>
      </c>
      <c r="I168" s="989" t="n">
        <v>51</v>
      </c>
      <c r="J168" s="989" t="n">
        <v>60</v>
      </c>
      <c r="K168" s="989" t="n"/>
      <c r="L168" s="972" t="n"/>
      <c r="M168" s="972" t="inlineStr">
        <is>
          <t>Self Clear</t>
        </is>
      </c>
    </row>
    <row r="169"/>
    <row r="170"/>
    <row r="171"/>
    <row r="172">
      <c r="A172" s="691" t="inlineStr">
        <is>
          <t>Band (Koryeo)</t>
        </is>
      </c>
      <c r="B172" s="974" t="n"/>
      <c r="C172" s="974" t="n"/>
      <c r="D172" s="974" t="n"/>
      <c r="E172" s="974" t="n"/>
      <c r="F172" s="974" t="n"/>
      <c r="G172" s="974" t="n"/>
      <c r="H172" s="974" t="n"/>
      <c r="I172" s="974" t="n"/>
      <c r="J172" s="974" t="n"/>
      <c r="K172" s="995" t="n"/>
      <c r="L172" s="993" t="n"/>
    </row>
    <row r="173">
      <c r="A173" s="994" t="inlineStr">
        <is>
          <t>No.</t>
        </is>
      </c>
      <c r="B173" s="994" t="inlineStr">
        <is>
          <t>Name</t>
        </is>
      </c>
      <c r="C173" s="994" t="inlineStr">
        <is>
          <t>Setting</t>
        </is>
      </c>
      <c r="D173" s="994" t="inlineStr">
        <is>
          <t>Rec. Band</t>
        </is>
      </c>
      <c r="E173" s="994" t="inlineStr">
        <is>
          <t>Clear Band</t>
        </is>
      </c>
      <c r="F173" s="994" t="inlineStr">
        <is>
          <t>Style</t>
        </is>
      </c>
      <c r="G173" s="994" t="inlineStr">
        <is>
          <t>Score</t>
        </is>
      </c>
      <c r="H173" s="994" t="inlineStr">
        <is>
          <t>Athena</t>
        </is>
      </c>
      <c r="I173" s="994" t="inlineStr">
        <is>
          <t>Idol Boy</t>
        </is>
      </c>
      <c r="J173" s="994" t="inlineStr">
        <is>
          <t>Commissioner</t>
        </is>
      </c>
      <c r="K173" s="994" t="inlineStr">
        <is>
          <t>Dracula</t>
        </is>
      </c>
      <c r="L173" s="994" t="inlineStr">
        <is>
          <t>Huang</t>
        </is>
      </c>
    </row>
    <row r="174">
      <c r="A174" s="989" t="n">
        <v>12</v>
      </c>
      <c r="B174" s="444" t="inlineStr">
        <is>
          <t>Live in Bucharest</t>
        </is>
      </c>
      <c r="C174" s="444" t="inlineStr">
        <is>
          <t>AD 1992</t>
        </is>
      </c>
      <c r="D174" s="989" t="n">
        <v>4078</v>
      </c>
      <c r="E174" s="989" t="n"/>
      <c r="F174" s="989" t="inlineStr">
        <is>
          <t>Samba</t>
        </is>
      </c>
      <c r="G174" s="989" t="n">
        <v>2700</v>
      </c>
      <c r="H174" s="989" t="n"/>
      <c r="I174" s="989" t="n"/>
      <c r="J174" s="989" t="n"/>
      <c r="K174" s="989" t="n"/>
      <c r="L174" s="989" t="n"/>
    </row>
    <row r="175">
      <c r="A175" s="989" t="n">
        <v>16</v>
      </c>
      <c r="B175" s="444" t="inlineStr">
        <is>
          <t>Paris Opera House</t>
        </is>
      </c>
      <c r="C175" s="444" t="inlineStr">
        <is>
          <t>AD 1875</t>
        </is>
      </c>
      <c r="D175" s="989" t="n">
        <v>8157</v>
      </c>
      <c r="E175" s="989" t="n"/>
      <c r="F175" s="989" t="inlineStr">
        <is>
          <t>Blues</t>
        </is>
      </c>
      <c r="G175" s="989" t="n">
        <v>5500</v>
      </c>
      <c r="H175" s="989" t="n"/>
      <c r="I175" s="989" t="n"/>
      <c r="J175" s="989" t="n"/>
      <c r="K175" s="989" t="n"/>
      <c r="L175" s="989" t="n"/>
    </row>
    <row r="176">
      <c r="A176" s="989" t="n">
        <v>33</v>
      </c>
      <c r="B176" s="444" t="inlineStr">
        <is>
          <t>Theatre of Epidaurus</t>
        </is>
      </c>
      <c r="C176" s="444" t="inlineStr">
        <is>
          <t>BC 330</t>
        </is>
      </c>
      <c r="D176" s="989" t="n">
        <v>14655</v>
      </c>
      <c r="E176" s="989" t="n">
        <v>11800</v>
      </c>
      <c r="F176" s="989" t="inlineStr">
        <is>
          <t>Remix</t>
        </is>
      </c>
      <c r="G176" s="989" t="n">
        <v>13000</v>
      </c>
      <c r="H176" s="989" t="n"/>
      <c r="I176" s="989" t="n"/>
      <c r="J176" s="989" t="n"/>
      <c r="K176" s="989" t="n"/>
      <c r="L176" s="989" t="n"/>
    </row>
    <row r="177">
      <c r="A177" s="989" t="n">
        <v>41</v>
      </c>
      <c r="B177" s="444" t="inlineStr">
        <is>
          <t>Theatre of Dionysus</t>
        </is>
      </c>
      <c r="C177" s="444" t="inlineStr">
        <is>
          <t>BC 556</t>
        </is>
      </c>
      <c r="D177" s="989" t="n">
        <v>19540</v>
      </c>
      <c r="E177" s="989" t="n">
        <v>15000</v>
      </c>
      <c r="F177" s="989" t="inlineStr">
        <is>
          <t>Samba</t>
        </is>
      </c>
      <c r="G177" s="989" t="n">
        <v>19000</v>
      </c>
      <c r="H177" s="989" t="n"/>
      <c r="I177" s="989" t="n"/>
      <c r="J177" s="989" t="n"/>
      <c r="K177" s="989" t="n"/>
      <c r="L177" s="989" t="n"/>
    </row>
    <row r="178">
      <c r="A178" s="989" t="n">
        <v>50</v>
      </c>
      <c r="B178" s="444" t="inlineStr">
        <is>
          <t>Theatre of Merida</t>
        </is>
      </c>
      <c r="C178" s="444" t="inlineStr">
        <is>
          <t>BC 15</t>
        </is>
      </c>
      <c r="D178" s="989" t="n">
        <v>25434</v>
      </c>
      <c r="E178" s="989" t="n">
        <v>20600</v>
      </c>
      <c r="F178" s="989" t="inlineStr">
        <is>
          <t>Blues</t>
        </is>
      </c>
      <c r="G178" s="989" t="n">
        <v>26000</v>
      </c>
      <c r="H178" s="989" t="n">
        <v>9</v>
      </c>
      <c r="I178" s="989" t="n">
        <v>9</v>
      </c>
      <c r="J178" s="989" t="n">
        <v>9</v>
      </c>
      <c r="K178" s="989" t="n">
        <v>9</v>
      </c>
      <c r="L178" s="989" t="n">
        <v>9</v>
      </c>
    </row>
    <row r="179">
      <c r="A179" s="989" t="n">
        <v>69</v>
      </c>
      <c r="B179" s="444" t="inlineStr">
        <is>
          <t>Shakespeare's Globe</t>
        </is>
      </c>
      <c r="C179" s="444" t="inlineStr">
        <is>
          <t>AD 1599</t>
        </is>
      </c>
      <c r="D179" s="989" t="n">
        <v>33069</v>
      </c>
      <c r="E179" s="989" t="n">
        <v>26000</v>
      </c>
      <c r="F179" s="989" t="inlineStr">
        <is>
          <t>Remix</t>
        </is>
      </c>
      <c r="G179" s="989" t="n">
        <v>39000</v>
      </c>
      <c r="H179" s="989" t="n"/>
      <c r="I179" s="989" t="n"/>
      <c r="J179" s="989" t="n"/>
      <c r="K179" s="989" t="n"/>
      <c r="L179" s="989" t="n"/>
    </row>
    <row r="180">
      <c r="A180" s="989" t="n">
        <v>76</v>
      </c>
      <c r="B180" s="444" t="inlineStr">
        <is>
          <t>Musikverein</t>
        </is>
      </c>
      <c r="C180" s="444" t="inlineStr">
        <is>
          <t>AD 1869</t>
        </is>
      </c>
      <c r="D180" s="989" t="n">
        <v>38581</v>
      </c>
      <c r="E180" s="989" t="n">
        <v>30300</v>
      </c>
      <c r="F180" s="989" t="inlineStr">
        <is>
          <t>Blues</t>
        </is>
      </c>
      <c r="G180" s="989" t="n">
        <v>49000</v>
      </c>
      <c r="H180" s="989" t="n"/>
      <c r="I180" s="989" t="n"/>
      <c r="J180" s="989" t="n"/>
      <c r="K180" s="989" t="n"/>
      <c r="L180" s="989" t="n"/>
    </row>
    <row r="181">
      <c r="A181" s="989" t="n">
        <v>91</v>
      </c>
      <c r="B181" s="444" t="inlineStr">
        <is>
          <t>The Grimmys</t>
        </is>
      </c>
      <c r="C181" s="444" t="inlineStr">
        <is>
          <t>AD 1957</t>
        </is>
      </c>
      <c r="D181" s="989" t="n">
        <v>44092</v>
      </c>
      <c r="E181" s="989" t="n">
        <v>33900</v>
      </c>
      <c r="F181" s="989" t="inlineStr">
        <is>
          <t>Samba</t>
        </is>
      </c>
      <c r="G181" s="989" t="n">
        <v>60000</v>
      </c>
      <c r="H181" s="989" t="n"/>
      <c r="I181" s="989" t="n"/>
      <c r="J181" s="989" t="n"/>
      <c r="K181" s="989" t="n"/>
      <c r="L181" s="989" t="n"/>
    </row>
    <row r="182">
      <c r="A182" s="989" t="n">
        <v>101</v>
      </c>
      <c r="B182" s="444" t="inlineStr">
        <is>
          <t>La Scala</t>
        </is>
      </c>
      <c r="C182" s="444" t="inlineStr">
        <is>
          <t>AD 1778</t>
        </is>
      </c>
      <c r="D182" s="989" t="n">
        <v>49604</v>
      </c>
      <c r="E182" s="989" t="n">
        <v>36600</v>
      </c>
      <c r="F182" s="989" t="inlineStr">
        <is>
          <t>Blues</t>
        </is>
      </c>
      <c r="G182" s="989" t="n">
        <v>71000</v>
      </c>
      <c r="H182" s="989" t="n"/>
      <c r="I182" s="989" t="n"/>
      <c r="J182" s="989" t="n"/>
      <c r="K182" s="989" t="n"/>
      <c r="L182" s="989" t="n"/>
    </row>
    <row r="183">
      <c r="A183" s="989" t="n">
        <v>112</v>
      </c>
      <c r="B183" s="444" t="inlineStr">
        <is>
          <t>Empty Fort Strat</t>
        </is>
      </c>
      <c r="C183" s="444" t="inlineStr">
        <is>
          <t>AD 228</t>
        </is>
      </c>
      <c r="D183" s="989" t="n">
        <v>55116</v>
      </c>
      <c r="E183" s="989" t="n">
        <v>43000</v>
      </c>
      <c r="F183" s="989" t="inlineStr">
        <is>
          <t>Remix</t>
        </is>
      </c>
      <c r="G183" s="989" t="n">
        <v>85000</v>
      </c>
      <c r="H183" s="989" t="n"/>
      <c r="I183" s="989" t="n"/>
      <c r="J183" s="989" t="n"/>
      <c r="K183" s="989" t="n"/>
      <c r="L183" s="989" t="n"/>
      <c r="N183" s="972" t="inlineStr">
        <is>
          <t>SYT Clear</t>
        </is>
      </c>
    </row>
    <row r="184">
      <c r="A184" s="989" t="n">
        <v>127</v>
      </c>
      <c r="B184" s="444" t="inlineStr">
        <is>
          <t>The Peatles Concert</t>
        </is>
      </c>
      <c r="C184" s="444" t="inlineStr">
        <is>
          <t>AD 1964</t>
        </is>
      </c>
      <c r="D184" s="989" t="n">
        <v>57638</v>
      </c>
      <c r="E184" s="989" t="n">
        <v>44300</v>
      </c>
      <c r="F184" s="989" t="inlineStr">
        <is>
          <t>Remix</t>
        </is>
      </c>
      <c r="G184" s="989" t="n">
        <v>90000</v>
      </c>
      <c r="H184" s="989" t="n">
        <v>19</v>
      </c>
      <c r="I184" s="989" t="n">
        <v>30</v>
      </c>
      <c r="J184" s="989" t="n">
        <v>18</v>
      </c>
      <c r="K184" s="989" t="n">
        <v>29</v>
      </c>
      <c r="L184" s="989" t="n">
        <v>30</v>
      </c>
      <c r="N184" s="972" t="inlineStr">
        <is>
          <t>Self Clear</t>
        </is>
      </c>
    </row>
    <row r="185">
      <c r="A185" s="989" t="n">
        <v>135</v>
      </c>
      <c r="B185" s="444" t="inlineStr">
        <is>
          <t>Nomad Flute Songs</t>
        </is>
      </c>
      <c r="C185" s="444" t="inlineStr">
        <is>
          <t>AD 195</t>
        </is>
      </c>
      <c r="D185" s="989" t="n">
        <v>61888</v>
      </c>
      <c r="E185" s="989" t="n">
        <v>44300</v>
      </c>
      <c r="F185" s="989" t="inlineStr">
        <is>
          <t>Blues</t>
        </is>
      </c>
      <c r="G185" s="989" t="n">
        <v>100000</v>
      </c>
      <c r="H185" s="989" t="n"/>
      <c r="I185" s="989" t="n"/>
      <c r="J185" s="989" t="n"/>
      <c r="K185" s="989" t="n"/>
      <c r="L185" s="989" t="n"/>
    </row>
    <row r="186">
      <c r="A186" s="989" t="n">
        <v>151</v>
      </c>
      <c r="B186" s="988" t="inlineStr">
        <is>
          <t>Woodstock</t>
        </is>
      </c>
      <c r="C186" s="444" t="inlineStr">
        <is>
          <t>AD 1969</t>
        </is>
      </c>
      <c r="D186" s="989" t="n">
        <v>66139</v>
      </c>
      <c r="E186" s="989" t="n">
        <v>51000</v>
      </c>
      <c r="F186" s="989" t="inlineStr">
        <is>
          <t>Samba</t>
        </is>
      </c>
      <c r="G186" s="989" t="n">
        <v>110000</v>
      </c>
      <c r="H186" s="989" t="n"/>
      <c r="I186" s="989" t="n"/>
      <c r="J186" s="989" t="n"/>
      <c r="K186" s="989" t="n"/>
      <c r="L186" s="989" t="n"/>
    </row>
    <row r="187">
      <c r="A187" s="989" t="n">
        <v>162</v>
      </c>
      <c r="B187" s="444" t="inlineStr">
        <is>
          <t>Bolshoi Theatre</t>
        </is>
      </c>
      <c r="C187" s="444" t="inlineStr">
        <is>
          <t>AD 1856</t>
        </is>
      </c>
      <c r="D187" s="989" t="n">
        <v>68661</v>
      </c>
      <c r="E187" s="989" t="n">
        <v>52800</v>
      </c>
      <c r="F187" s="989" t="inlineStr">
        <is>
          <t>Blues</t>
        </is>
      </c>
      <c r="G187" s="989" t="n">
        <v>120000</v>
      </c>
      <c r="H187" s="989" t="n"/>
      <c r="I187" s="989" t="n"/>
      <c r="J187" s="989" t="n"/>
      <c r="K187" s="989" t="n"/>
      <c r="L187" s="989" t="n"/>
    </row>
    <row r="188">
      <c r="A188" s="989" t="n">
        <v>165</v>
      </c>
      <c r="B188" s="444" t="inlineStr">
        <is>
          <t>Sydney Opera House</t>
        </is>
      </c>
      <c r="C188" s="444" t="inlineStr">
        <is>
          <t>AD 1973</t>
        </is>
      </c>
      <c r="D188" s="989" t="n">
        <v>72912</v>
      </c>
      <c r="E188" s="989" t="n">
        <v>54900</v>
      </c>
      <c r="F188" s="989" t="inlineStr">
        <is>
          <t>Samba</t>
        </is>
      </c>
      <c r="G188" s="989" t="n">
        <v>135000</v>
      </c>
      <c r="H188" s="989" t="n"/>
      <c r="I188" s="989" t="n"/>
      <c r="J188" s="989" t="n"/>
      <c r="K188" s="989" t="n"/>
      <c r="L188" s="989" t="n"/>
    </row>
    <row r="189">
      <c r="A189" s="989" t="n">
        <v>177</v>
      </c>
      <c r="B189" s="444" t="inlineStr">
        <is>
          <t>Lucerne Festival</t>
        </is>
      </c>
      <c r="C189" s="444" t="inlineStr">
        <is>
          <t>AD 1983</t>
        </is>
      </c>
      <c r="D189" s="989" t="n">
        <v>77162</v>
      </c>
      <c r="E189" s="989" t="n">
        <v>59000</v>
      </c>
      <c r="F189" s="989" t="inlineStr">
        <is>
          <t>Blues</t>
        </is>
      </c>
      <c r="G189" s="989" t="n">
        <v>150000</v>
      </c>
      <c r="H189" s="989" t="n"/>
      <c r="I189" s="989" t="n"/>
      <c r="J189" s="989" t="n"/>
      <c r="K189" s="989" t="n"/>
      <c r="L189" s="989" t="n"/>
    </row>
    <row r="190">
      <c r="A190" s="989" t="n">
        <v>192</v>
      </c>
      <c r="B190" s="444" t="inlineStr">
        <is>
          <t>Hungarian Rhapsodie</t>
        </is>
      </c>
      <c r="C190" s="444" t="inlineStr">
        <is>
          <t>AD 1885</t>
        </is>
      </c>
      <c r="D190" s="989" t="n">
        <v>82674</v>
      </c>
      <c r="E190" s="989" t="n">
        <v>59000</v>
      </c>
      <c r="F190" s="989" t="inlineStr">
        <is>
          <t>Remix</t>
        </is>
      </c>
      <c r="G190" s="989" t="n">
        <v>170000</v>
      </c>
      <c r="H190" s="989" t="n"/>
      <c r="I190" s="989" t="n"/>
      <c r="J190" s="989" t="n"/>
      <c r="K190" s="989" t="n"/>
      <c r="L190" s="989" t="n"/>
    </row>
    <row r="191">
      <c r="A191" s="989" t="n">
        <v>201</v>
      </c>
      <c r="B191" s="444" t="inlineStr">
        <is>
          <t>Beowulf</t>
        </is>
      </c>
      <c r="C191" s="444" t="inlineStr">
        <is>
          <t>BC 407</t>
        </is>
      </c>
      <c r="D191" s="989" t="n">
        <v>88185</v>
      </c>
      <c r="E191" s="989" t="n">
        <v>61200</v>
      </c>
      <c r="F191" s="989" t="inlineStr">
        <is>
          <t>Remix</t>
        </is>
      </c>
      <c r="G191" s="989" t="n">
        <v>190000</v>
      </c>
      <c r="H191" s="989" t="n">
        <v>19</v>
      </c>
      <c r="I191" s="989" t="n">
        <v>31</v>
      </c>
      <c r="J191" s="989" t="n">
        <v>32</v>
      </c>
      <c r="K191" s="989" t="n">
        <v>50</v>
      </c>
      <c r="L191" s="989" t="n">
        <v>34</v>
      </c>
      <c r="N191" s="972" t="inlineStr">
        <is>
          <t>Self Clear</t>
        </is>
      </c>
    </row>
    <row r="192">
      <c r="A192" s="989" t="n">
        <v>209</v>
      </c>
      <c r="B192" s="444" t="inlineStr">
        <is>
          <t>Salzburg Festival</t>
        </is>
      </c>
      <c r="C192" s="444" t="inlineStr">
        <is>
          <t>AD 1920</t>
        </is>
      </c>
      <c r="D192" s="989" t="n">
        <v>93697</v>
      </c>
      <c r="E192" s="989" t="n">
        <v>67000</v>
      </c>
      <c r="F192" s="989" t="inlineStr">
        <is>
          <t>Samba</t>
        </is>
      </c>
      <c r="G192" s="989" t="n">
        <v>215000</v>
      </c>
      <c r="H192" s="989" t="n">
        <v>19</v>
      </c>
      <c r="I192" s="989" t="n">
        <v>41</v>
      </c>
      <c r="J192" s="989" t="n">
        <v>41</v>
      </c>
      <c r="K192" s="989" t="n">
        <v>53</v>
      </c>
      <c r="L192" s="989" t="n">
        <v>41</v>
      </c>
      <c r="N192" s="972" t="inlineStr">
        <is>
          <t>Self Clear</t>
        </is>
      </c>
    </row>
    <row r="193">
      <c r="A193" s="989" t="n">
        <v>213</v>
      </c>
      <c r="B193" s="444" t="inlineStr">
        <is>
          <t>The Nine Songs</t>
        </is>
      </c>
      <c r="C193" s="444" t="inlineStr">
        <is>
          <t>BC 302</t>
        </is>
      </c>
      <c r="D193" s="989" t="n">
        <v>99208</v>
      </c>
      <c r="E193" s="989" t="n">
        <v>76600</v>
      </c>
      <c r="F193" s="989" t="inlineStr">
        <is>
          <t>Blues</t>
        </is>
      </c>
      <c r="G193" s="989" t="n">
        <v>235000</v>
      </c>
      <c r="H193" s="989" t="n">
        <v>20</v>
      </c>
      <c r="I193" s="989" t="n">
        <v>60</v>
      </c>
      <c r="J193" s="989" t="n">
        <v>47</v>
      </c>
      <c r="K193" s="989" t="n">
        <v>55</v>
      </c>
      <c r="L193" s="989" t="n">
        <v>46</v>
      </c>
      <c r="N193" s="972" t="inlineStr">
        <is>
          <t>Self Clear</t>
        </is>
      </c>
    </row>
    <row r="194">
      <c r="A194" s="989" t="n">
        <v>221</v>
      </c>
      <c r="B194" s="444" t="inlineStr">
        <is>
          <t>Waldbuehne Berlin</t>
        </is>
      </c>
      <c r="C194" s="444" t="inlineStr">
        <is>
          <t>AD 1989</t>
        </is>
      </c>
      <c r="D194" s="989" t="n">
        <v>104720</v>
      </c>
      <c r="E194" s="989" t="n">
        <v>80900</v>
      </c>
      <c r="F194" s="989" t="inlineStr">
        <is>
          <t>Samba</t>
        </is>
      </c>
      <c r="G194" s="989" t="n">
        <v>260000</v>
      </c>
      <c r="H194" s="989" t="n">
        <v>30</v>
      </c>
      <c r="I194" s="989" t="n">
        <v>60</v>
      </c>
      <c r="J194" s="989" t="n">
        <v>51</v>
      </c>
      <c r="K194" s="989" t="n">
        <v>55</v>
      </c>
      <c r="L194" s="989" t="n">
        <v>48</v>
      </c>
      <c r="N194" s="972" t="inlineStr">
        <is>
          <t>Self Clear</t>
        </is>
      </c>
    </row>
    <row r="195">
      <c r="A195" s="989" t="n">
        <v>237</v>
      </c>
      <c r="B195" s="444" t="inlineStr">
        <is>
          <t>Canticle</t>
        </is>
      </c>
      <c r="C195" s="444" t="inlineStr">
        <is>
          <t>AD 30</t>
        </is>
      </c>
      <c r="D195" s="989" t="n">
        <v>110232</v>
      </c>
      <c r="E195" s="989" t="n">
        <v>88400</v>
      </c>
      <c r="F195" s="989" t="inlineStr">
        <is>
          <t>Remix</t>
        </is>
      </c>
      <c r="G195" s="989" t="n">
        <v>290000</v>
      </c>
      <c r="H195" s="989" t="n">
        <v>53</v>
      </c>
      <c r="I195" s="989" t="n">
        <v>60</v>
      </c>
      <c r="J195" s="989" t="n">
        <v>57</v>
      </c>
      <c r="K195" s="989" t="n">
        <v>57</v>
      </c>
      <c r="L195" s="989" t="n">
        <v>54</v>
      </c>
      <c r="N195" s="972" t="inlineStr">
        <is>
          <t>Self Clear</t>
        </is>
      </c>
    </row>
    <row r="196"/>
    <row r="197"/>
    <row r="198"/>
    <row r="199">
      <c r="A199" s="691" t="inlineStr">
        <is>
          <t>Siege (Cathay)</t>
        </is>
      </c>
      <c r="B199" s="974" t="n"/>
      <c r="C199" s="974" t="n"/>
      <c r="D199" s="974" t="n"/>
      <c r="E199" s="974" t="n"/>
      <c r="F199" s="974" t="n"/>
      <c r="G199" s="974" t="n"/>
      <c r="H199" s="993" t="n"/>
      <c r="I199" s="993" t="n"/>
      <c r="J199" s="972" t="n"/>
      <c r="K199" s="972" t="n"/>
    </row>
    <row r="200">
      <c r="A200" s="994" t="inlineStr">
        <is>
          <t>No.</t>
        </is>
      </c>
      <c r="B200" s="994" t="inlineStr">
        <is>
          <t>Name</t>
        </is>
      </c>
      <c r="C200" s="994" t="inlineStr">
        <is>
          <t>Setting</t>
        </is>
      </c>
      <c r="D200" s="994" t="inlineStr">
        <is>
          <t>Rec. Siege</t>
        </is>
      </c>
      <c r="E200" s="994" t="inlineStr">
        <is>
          <t>Clear Siege</t>
        </is>
      </c>
      <c r="F200" s="994" t="inlineStr">
        <is>
          <t>Formation</t>
        </is>
      </c>
      <c r="G200" s="994" t="inlineStr">
        <is>
          <t>Mad Abe</t>
        </is>
      </c>
      <c r="H200" s="994" t="inlineStr">
        <is>
          <t>Future Pyr.</t>
        </is>
      </c>
      <c r="I200" s="994" t="inlineStr">
        <is>
          <t>Others S+</t>
        </is>
      </c>
      <c r="J200" s="972" t="n"/>
    </row>
    <row r="201">
      <c r="A201" s="989" t="n">
        <v>11</v>
      </c>
      <c r="B201" s="444" t="inlineStr">
        <is>
          <t>Siege of Carthage</t>
        </is>
      </c>
      <c r="C201" s="444" t="inlineStr">
        <is>
          <t>AD 1582</t>
        </is>
      </c>
      <c r="D201" s="989" t="n">
        <v>4467</v>
      </c>
      <c r="E201" s="989" t="n"/>
      <c r="F201" s="989" t="n"/>
      <c r="G201" s="989" t="n"/>
      <c r="H201" s="989" t="n"/>
      <c r="I201" s="989" t="n"/>
      <c r="J201" s="972" t="n"/>
    </row>
    <row r="202">
      <c r="A202" s="989" t="n">
        <v>24</v>
      </c>
      <c r="B202" s="444" t="inlineStr">
        <is>
          <t>Battle of Hulao Pass</t>
        </is>
      </c>
      <c r="C202" s="444" t="inlineStr">
        <is>
          <t>AD 191</t>
        </is>
      </c>
      <c r="D202" s="989" t="n">
        <v>12814</v>
      </c>
      <c r="E202" s="989" t="n"/>
      <c r="F202" s="989" t="n"/>
      <c r="G202" s="989" t="n"/>
      <c r="H202" s="989" t="n"/>
      <c r="I202" s="989" t="n"/>
      <c r="J202" s="972" t="n"/>
    </row>
    <row r="203">
      <c r="A203" s="989" t="n">
        <v>32</v>
      </c>
      <c r="B203" s="444" t="inlineStr">
        <is>
          <t>Trojan War</t>
        </is>
      </c>
      <c r="C203" s="444" t="inlineStr">
        <is>
          <t>BC 1183</t>
        </is>
      </c>
      <c r="D203" s="989" t="n">
        <v>21566</v>
      </c>
      <c r="E203" s="989" t="n"/>
      <c r="F203" s="989" t="n"/>
      <c r="G203" s="989" t="n"/>
      <c r="H203" s="989" t="n"/>
      <c r="I203" s="989" t="n"/>
      <c r="J203" s="972" t="n"/>
    </row>
    <row r="204">
      <c r="A204" s="989" t="n">
        <v>38</v>
      </c>
      <c r="B204" s="444" t="inlineStr">
        <is>
          <t>Siege of Osaka</t>
        </is>
      </c>
      <c r="C204" s="444" t="inlineStr">
        <is>
          <t>AD 1615</t>
        </is>
      </c>
      <c r="D204" s="989" t="n">
        <v>29449</v>
      </c>
      <c r="E204" s="989" t="n"/>
      <c r="F204" s="989" t="n"/>
      <c r="G204" s="989" t="n"/>
      <c r="H204" s="989" t="n"/>
      <c r="I204" s="989" t="n"/>
      <c r="J204" s="972" t="n"/>
    </row>
    <row r="205">
      <c r="A205" s="989" t="n">
        <v>58</v>
      </c>
      <c r="B205" s="444" t="inlineStr">
        <is>
          <t>Battle of Jiange</t>
        </is>
      </c>
      <c r="C205" s="444" t="inlineStr">
        <is>
          <t>AD 263</t>
        </is>
      </c>
      <c r="D205" s="989" t="n">
        <v>51953</v>
      </c>
      <c r="E205" s="989" t="n">
        <v>38689</v>
      </c>
      <c r="F205" s="989" t="inlineStr">
        <is>
          <t>V</t>
        </is>
      </c>
      <c r="G205" s="989" t="n"/>
      <c r="H205" s="989" t="n"/>
      <c r="I205" s="989" t="n"/>
      <c r="J205" s="972" t="n"/>
    </row>
    <row r="206">
      <c r="A206" s="989" t="n">
        <v>65</v>
      </c>
      <c r="B206" s="444" t="inlineStr">
        <is>
          <t>Siege of Jerusalem</t>
        </is>
      </c>
      <c r="C206" s="444" t="inlineStr">
        <is>
          <t>AD 1187</t>
        </is>
      </c>
      <c r="D206" s="989" t="n">
        <v>59927</v>
      </c>
      <c r="E206" s="989" t="n">
        <v>42783</v>
      </c>
      <c r="F206" s="989" t="inlineStr">
        <is>
          <t>V</t>
        </is>
      </c>
      <c r="G206" s="989" t="n"/>
      <c r="H206" s="989" t="n"/>
      <c r="I206" s="989" t="n"/>
      <c r="J206" s="972" t="n"/>
    </row>
    <row r="207">
      <c r="A207" s="989" t="n">
        <v>80</v>
      </c>
      <c r="B207" s="444" t="inlineStr">
        <is>
          <t>Battle of Julu</t>
        </is>
      </c>
      <c r="C207" s="444" t="inlineStr">
        <is>
          <t>BC 206</t>
        </is>
      </c>
      <c r="D207" s="989" t="n">
        <v>78181</v>
      </c>
      <c r="E207" s="989" t="n">
        <v>57955</v>
      </c>
      <c r="F207" s="989" t="inlineStr">
        <is>
          <t>V</t>
        </is>
      </c>
      <c r="G207" s="989" t="n"/>
      <c r="H207" s="989" t="n"/>
      <c r="I207" s="989" t="n"/>
      <c r="J207" s="972" t="n"/>
    </row>
    <row r="208">
      <c r="A208" s="989" t="n">
        <v>86</v>
      </c>
      <c r="B208" s="444" t="inlineStr">
        <is>
          <t>Siege of Barad-du</t>
        </is>
      </c>
      <c r="C208" s="444" t="inlineStr">
        <is>
          <t>BC 4660</t>
        </is>
      </c>
      <c r="D208" s="989" t="n">
        <v>86901</v>
      </c>
      <c r="E208" s="989" t="n">
        <v>65956</v>
      </c>
      <c r="F208" s="989" t="inlineStr">
        <is>
          <t>V</t>
        </is>
      </c>
      <c r="G208" s="989" t="n"/>
      <c r="H208" s="989" t="n"/>
      <c r="I208" s="989" t="n"/>
      <c r="J208" s="972" t="n"/>
    </row>
    <row r="209">
      <c r="A209" s="989" t="n">
        <v>102</v>
      </c>
      <c r="B209" s="444" t="inlineStr">
        <is>
          <t>Battle of Rome</t>
        </is>
      </c>
      <c r="C209" s="444" t="inlineStr">
        <is>
          <t>AD 410</t>
        </is>
      </c>
      <c r="D209" s="989" t="n">
        <v>101493</v>
      </c>
      <c r="E209" s="989" t="n">
        <v>79077</v>
      </c>
      <c r="F209" s="989" t="inlineStr">
        <is>
          <t>V</t>
        </is>
      </c>
      <c r="G209" s="989" t="n"/>
      <c r="H209" s="989" t="n"/>
      <c r="I209" s="989" t="n"/>
      <c r="J209" s="972" t="n"/>
    </row>
    <row r="210">
      <c r="A210" s="989" t="n">
        <v>113</v>
      </c>
      <c r="B210" s="444" t="inlineStr">
        <is>
          <t>Battle of the Somme</t>
        </is>
      </c>
      <c r="C210" s="444" t="inlineStr">
        <is>
          <t>AD 1916</t>
        </is>
      </c>
      <c r="D210" s="989" t="n">
        <v>112896</v>
      </c>
      <c r="E210" s="989" t="n">
        <v>85082</v>
      </c>
      <c r="F210" s="989" t="inlineStr">
        <is>
          <t>V</t>
        </is>
      </c>
      <c r="G210" s="989" t="n"/>
      <c r="H210" s="989" t="n"/>
      <c r="I210" s="989" t="n"/>
      <c r="J210" s="972" t="n"/>
    </row>
    <row r="211">
      <c r="A211" s="989" t="n">
        <v>126</v>
      </c>
      <c r="B211" s="444" t="inlineStr">
        <is>
          <t>Battle of Chencang</t>
        </is>
      </c>
      <c r="C211" s="444" t="inlineStr">
        <is>
          <t>AD 299</t>
        </is>
      </c>
      <c r="D211" s="989" t="n">
        <v>124185</v>
      </c>
      <c r="E211" s="989" t="n">
        <v>89739</v>
      </c>
      <c r="F211" s="989" t="inlineStr">
        <is>
          <t>Dragon</t>
        </is>
      </c>
      <c r="G211" s="989" t="n">
        <v>22</v>
      </c>
      <c r="H211" s="989" t="n">
        <v>30</v>
      </c>
      <c r="I211" s="989" t="n">
        <v>30</v>
      </c>
      <c r="J211" s="972" t="inlineStr">
        <is>
          <t>SYT Clear</t>
        </is>
      </c>
    </row>
    <row r="212">
      <c r="A212" s="989" t="n">
        <v>132</v>
      </c>
      <c r="B212" s="444" t="inlineStr">
        <is>
          <t>Battle of Verdun</t>
        </is>
      </c>
      <c r="C212" s="444" t="inlineStr">
        <is>
          <t>AD 1916</t>
        </is>
      </c>
      <c r="D212" s="989" t="n">
        <v>135475</v>
      </c>
      <c r="E212" s="989" t="n">
        <v>102910</v>
      </c>
      <c r="F212" s="989" t="inlineStr">
        <is>
          <t>V</t>
        </is>
      </c>
      <c r="G212" s="989" t="n">
        <v>40</v>
      </c>
      <c r="H212" s="989" t="n">
        <v>35</v>
      </c>
      <c r="I212" s="989" t="n">
        <v>35</v>
      </c>
      <c r="J212" s="972" t="n"/>
    </row>
    <row r="213">
      <c r="A213" s="989" t="n">
        <v>138</v>
      </c>
      <c r="B213" s="988" t="inlineStr">
        <is>
          <t>The Siege of Tyre</t>
        </is>
      </c>
      <c r="C213" s="444" t="inlineStr">
        <is>
          <t>BC 332</t>
        </is>
      </c>
      <c r="D213" s="989" t="n">
        <v>141081</v>
      </c>
      <c r="E213" s="989" t="n">
        <v>95000</v>
      </c>
      <c r="F213" s="989" t="inlineStr">
        <is>
          <t>Dragon</t>
        </is>
      </c>
      <c r="G213" s="989" t="n">
        <v>35</v>
      </c>
      <c r="H213" s="989" t="n">
        <v>32</v>
      </c>
      <c r="I213" s="989" t="n">
        <v>30</v>
      </c>
      <c r="J213" s="972" t="inlineStr">
        <is>
          <t>Self Clear</t>
        </is>
      </c>
    </row>
    <row r="214">
      <c r="A214" s="989" t="n">
        <v>148</v>
      </c>
      <c r="B214" s="444" t="inlineStr">
        <is>
          <t>Gettysburg Campaign</t>
        </is>
      </c>
      <c r="C214" s="444" t="inlineStr">
        <is>
          <t>AD 1863</t>
        </is>
      </c>
      <c r="D214" s="989" t="n">
        <v>149568</v>
      </c>
      <c r="E214" s="989" t="n">
        <v>98458</v>
      </c>
      <c r="F214" s="989" t="inlineStr">
        <is>
          <t>Dragon</t>
        </is>
      </c>
      <c r="G214" s="989" t="n">
        <v>37</v>
      </c>
      <c r="H214" s="989" t="n">
        <v>36</v>
      </c>
      <c r="I214" s="989" t="n">
        <v>30</v>
      </c>
      <c r="J214" s="972" t="inlineStr">
        <is>
          <t>Self Clear</t>
        </is>
      </c>
    </row>
    <row r="215">
      <c r="A215" s="989" t="n">
        <v>164</v>
      </c>
      <c r="B215" s="444" t="inlineStr">
        <is>
          <t>World War Z</t>
        </is>
      </c>
      <c r="C215" s="444" t="inlineStr">
        <is>
          <t>AD 2065</t>
        </is>
      </c>
      <c r="D215" s="989" t="n">
        <v>158054</v>
      </c>
      <c r="E215" s="989" t="n">
        <v>103926</v>
      </c>
      <c r="F215" s="989" t="inlineStr">
        <is>
          <t>Dragon</t>
        </is>
      </c>
      <c r="G215" s="989" t="n">
        <v>43</v>
      </c>
      <c r="H215" s="989" t="n">
        <v>38</v>
      </c>
      <c r="I215" s="989" t="n">
        <v>30</v>
      </c>
      <c r="J215" s="972" t="inlineStr">
        <is>
          <t>Self Clear</t>
        </is>
      </c>
    </row>
    <row r="216">
      <c r="A216" s="989" t="n">
        <v>179</v>
      </c>
      <c r="B216" s="444" t="inlineStr">
        <is>
          <t>River-Crossing Battle of Caishi</t>
        </is>
      </c>
      <c r="C216" s="444" t="inlineStr">
        <is>
          <t>AD 1355</t>
        </is>
      </c>
      <c r="D216" s="989" t="n">
        <v>163660</v>
      </c>
      <c r="E216" s="989" t="n">
        <v>108000</v>
      </c>
      <c r="F216" s="989" t="inlineStr">
        <is>
          <t>Dragon</t>
        </is>
      </c>
      <c r="G216" s="989" t="n">
        <v>46</v>
      </c>
      <c r="H216" s="989" t="n">
        <v>39</v>
      </c>
      <c r="I216" s="989" t="n">
        <v>30</v>
      </c>
      <c r="J216" s="972" t="inlineStr">
        <is>
          <t>Self Clear</t>
        </is>
      </c>
    </row>
    <row r="217">
      <c r="A217" s="989" t="n">
        <v>191</v>
      </c>
      <c r="B217" s="444" t="inlineStr">
        <is>
          <t>Constantinople Battle</t>
        </is>
      </c>
      <c r="C217" s="444" t="inlineStr">
        <is>
          <t>AD 1453</t>
        </is>
      </c>
      <c r="D217" s="989" t="n">
        <v>172147</v>
      </c>
      <c r="E217" s="989" t="n">
        <v>118000</v>
      </c>
      <c r="F217" s="989" t="inlineStr">
        <is>
          <t>Dragon</t>
        </is>
      </c>
      <c r="G217" s="989" t="n">
        <v>48</v>
      </c>
      <c r="H217" s="989" t="n">
        <v>39</v>
      </c>
      <c r="I217" s="989" t="n">
        <v>35</v>
      </c>
      <c r="J217" s="972" t="inlineStr">
        <is>
          <t>Self Clear</t>
        </is>
      </c>
    </row>
    <row r="218">
      <c r="A218" s="989" t="n">
        <v>202</v>
      </c>
      <c r="B218" s="444" t="inlineStr">
        <is>
          <t>Battle of the Inca Conquest</t>
        </is>
      </c>
      <c r="C218" s="444" t="inlineStr">
        <is>
          <t>AD 1531</t>
        </is>
      </c>
      <c r="D218" s="989" t="n">
        <v>180633</v>
      </c>
      <c r="E218" s="989" t="n">
        <v>124926</v>
      </c>
      <c r="F218" s="989" t="inlineStr">
        <is>
          <t>Dragon</t>
        </is>
      </c>
      <c r="G218" s="989" t="n">
        <v>52</v>
      </c>
      <c r="H218" s="989" t="n">
        <v>41</v>
      </c>
      <c r="I218" s="989" t="n">
        <v>42</v>
      </c>
      <c r="J218" s="972" t="inlineStr">
        <is>
          <t>Self Clear</t>
        </is>
      </c>
    </row>
    <row r="219">
      <c r="A219" s="989" t="n">
        <v>212</v>
      </c>
      <c r="B219" s="444" t="inlineStr">
        <is>
          <t>Battle of Yique</t>
        </is>
      </c>
      <c r="C219" s="444" t="inlineStr">
        <is>
          <t>BC 293</t>
        </is>
      </c>
      <c r="D219" s="989" t="n">
        <v>186240</v>
      </c>
      <c r="E219" s="989" t="n">
        <v>122714</v>
      </c>
      <c r="F219" s="989" t="inlineStr">
        <is>
          <t>Dragon</t>
        </is>
      </c>
      <c r="G219" s="989" t="n">
        <v>51</v>
      </c>
      <c r="H219" s="989" t="n">
        <v>41</v>
      </c>
      <c r="I219" s="989" t="n">
        <v>41</v>
      </c>
      <c r="J219" s="972" t="inlineStr">
        <is>
          <t>Self Clear</t>
        </is>
      </c>
    </row>
    <row r="220">
      <c r="A220" s="989" t="n">
        <v>220</v>
      </c>
      <c r="B220" s="444" t="inlineStr">
        <is>
          <t>Battle of Yorktown</t>
        </is>
      </c>
      <c r="C220" s="444" t="inlineStr">
        <is>
          <t>AD 1781</t>
        </is>
      </c>
      <c r="D220" s="989" t="n">
        <v>194726</v>
      </c>
      <c r="E220" s="989" t="n">
        <v>124926</v>
      </c>
      <c r="F220" s="989" t="inlineStr">
        <is>
          <t>Dragon</t>
        </is>
      </c>
      <c r="G220" s="989" t="n">
        <v>52</v>
      </c>
      <c r="H220" s="989" t="n">
        <v>41</v>
      </c>
      <c r="I220" s="989" t="n">
        <v>42</v>
      </c>
      <c r="J220" s="972" t="inlineStr">
        <is>
          <t>Self Clear</t>
        </is>
      </c>
    </row>
    <row r="221">
      <c r="A221" s="989" t="n">
        <v>227</v>
      </c>
      <c r="B221" s="444" t="inlineStr">
        <is>
          <t>Siege of Harfleur</t>
        </is>
      </c>
      <c r="C221" s="444" t="inlineStr">
        <is>
          <t>AD 1415</t>
        </is>
      </c>
      <c r="D221" s="989" t="n">
        <v>203212</v>
      </c>
      <c r="E221" s="989" t="n">
        <v>157083</v>
      </c>
      <c r="F221" s="989" t="inlineStr">
        <is>
          <t>Dragon</t>
        </is>
      </c>
      <c r="G221" s="989" t="n"/>
      <c r="H221" s="989" t="n"/>
      <c r="I221" s="989" t="n"/>
      <c r="J221" s="972" t="n"/>
    </row>
    <row r="222">
      <c r="A222" s="989" t="n">
        <v>230</v>
      </c>
      <c r="B222" s="444" t="inlineStr">
        <is>
          <t>Battle of Falkirk</t>
        </is>
      </c>
      <c r="C222" s="444" t="inlineStr">
        <is>
          <t>AD 1298</t>
        </is>
      </c>
      <c r="D222" s="989" t="n">
        <v>208819</v>
      </c>
      <c r="E222" s="989" t="n">
        <v>144745</v>
      </c>
      <c r="F222" s="989" t="inlineStr">
        <is>
          <t>Dragon</t>
        </is>
      </c>
      <c r="G222" s="989" t="n">
        <v>60</v>
      </c>
      <c r="H222" s="989" t="n">
        <v>47</v>
      </c>
      <c r="I222" s="989" t="inlineStr">
        <is>
          <t>47-50</t>
        </is>
      </c>
      <c r="J222" s="972" t="inlineStr">
        <is>
          <t>Self Clear</t>
        </is>
      </c>
    </row>
    <row r="223">
      <c r="A223" s="989" t="n">
        <v>232</v>
      </c>
      <c r="B223" s="444" t="inlineStr">
        <is>
          <t>Battle of Camlan</t>
        </is>
      </c>
      <c r="C223" s="444" t="inlineStr">
        <is>
          <t>AD 573</t>
        </is>
      </c>
      <c r="D223" s="989" t="n">
        <v>217305</v>
      </c>
      <c r="E223" s="989" t="n"/>
      <c r="F223" s="989" t="inlineStr">
        <is>
          <t>Fish</t>
        </is>
      </c>
      <c r="G223" s="989" t="n">
        <v>60</v>
      </c>
      <c r="H223" s="989" t="n">
        <v>50</v>
      </c>
      <c r="I223" s="989" t="inlineStr">
        <is>
          <t>49-53</t>
        </is>
      </c>
      <c r="J223" s="972" t="inlineStr">
        <is>
          <t>Self Clear</t>
        </is>
      </c>
      <c r="K223" s="972" t="inlineStr">
        <is>
          <t>18 Flank / 10 Trinity</t>
        </is>
      </c>
    </row>
  </sheetData>
  <dataValidations count="4">
    <dataValidation sqref="F201:F223" showDropDown="1" showInputMessage="0" showErrorMessage="1" allowBlank="1" type="list">
      <formula1>"Dragon,Fish,V"</formula1>
    </dataValidation>
    <dataValidation sqref="F174:F195" showDropDown="1" showInputMessage="0" showErrorMessage="1" allowBlank="1" type="list">
      <formula1>"Samba,Blues,Remix"</formula1>
    </dataValidation>
    <dataValidation sqref="F91:F113" showDropDown="1" showInputMessage="0" showErrorMessage="1" allowBlank="1" type="list">
      <formula1>"Earth,Water,Fire,Wind"</formula1>
    </dataValidation>
    <dataValidation sqref="F35:F56" showDropDown="1" showInputMessage="0" showErrorMessage="1" allowBlank="1" type="list">
      <formula1>"Highway,Waters,Desert,Train"</formula1>
    </dataValidation>
  </dataValidations>
  <pageMargins left="0.75" right="0.75" top="1" bottom="1" header="0.5" footer="0.5"/>
  <tableParts count="21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</tableParts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M24"/>
  <sheetViews>
    <sheetView workbookViewId="0">
      <selection activeCell="A1" sqref="A1"/>
    </sheetView>
  </sheetViews>
  <sheetFormatPr baseColWidth="8" defaultColWidth="9.18" defaultRowHeight="15" customHeight="1"/>
  <cols>
    <col width="6.09" customWidth="1" style="1128" min="1" max="1"/>
    <col width="8" customWidth="1" style="1128" min="2" max="2"/>
    <col width="8.73" customWidth="1" style="1128" min="3" max="3"/>
    <col width="10.36" customWidth="1" style="1128" min="4" max="4"/>
    <col width="8.91" customWidth="1" style="1128" min="5" max="5"/>
    <col width="13.64" customWidth="1" style="1128" min="6" max="6"/>
    <col width="6.82" customWidth="1" style="1128" min="7" max="7"/>
    <col width="10.27" customWidth="1" style="1128" min="8" max="8"/>
    <col width="13.55" customWidth="1" style="1128" min="9" max="9"/>
    <col width="12.91" customWidth="1" style="1128" min="10" max="10"/>
    <col width="12.73" customWidth="1" style="1128" min="11" max="11"/>
    <col width="14" customWidth="1" style="1128" min="12" max="12"/>
  </cols>
  <sheetData>
    <row r="1">
      <c r="A1" s="1006" t="inlineStr">
        <is>
          <t>Drifter</t>
        </is>
      </c>
      <c r="B1" s="1006" t="inlineStr">
        <is>
          <t>Current Level</t>
        </is>
      </c>
      <c r="C1" s="1006" t="inlineStr">
        <is>
          <t>Talent per Lvl</t>
        </is>
      </c>
      <c r="D1" s="1006" t="inlineStr">
        <is>
          <t>All Drifter Talent</t>
        </is>
      </c>
      <c r="E1" s="1006" t="inlineStr">
        <is>
          <t>Female Talent</t>
        </is>
      </c>
      <c r="F1" s="1006" t="inlineStr">
        <is>
          <t>Male Talent</t>
        </is>
      </c>
      <c r="G1" s="1006" t="inlineStr">
        <is>
          <t>Self Talent</t>
        </is>
      </c>
      <c r="H1" s="1006" t="inlineStr">
        <is>
          <t>Against Females</t>
        </is>
      </c>
      <c r="I1" s="1006" t="inlineStr">
        <is>
          <t>Sword Dance</t>
        </is>
      </c>
      <c r="J1" s="1006" t="inlineStr">
        <is>
          <t>Rating per Drifter Lvl</t>
        </is>
      </c>
      <c r="K1" s="1006" t="inlineStr">
        <is>
          <t>Dance Rating (Male)</t>
        </is>
      </c>
      <c r="L1" s="1006" t="inlineStr">
        <is>
          <t>Dance Rating (Female)</t>
        </is>
      </c>
    </row>
    <row r="2">
      <c r="A2" s="1103" t="inlineStr">
        <is>
          <t>Excalibra</t>
        </is>
      </c>
      <c r="B2" s="1017" t="n">
        <v>60</v>
      </c>
      <c r="C2" s="1108">
        <f>XLOOKUP(A2,'Drifter Stats'!$A$4:$A$24,'Drifter Stats'!$L$4:$L$24,0)</f>
        <v/>
      </c>
      <c r="D2" s="1108">
        <f>M13</f>
        <v/>
      </c>
      <c r="E2" s="996" t="n"/>
      <c r="F2" s="1108">
        <f>M16</f>
        <v/>
      </c>
      <c r="G2" s="1108">
        <f>M12</f>
        <v/>
      </c>
      <c r="H2" s="996" t="n"/>
      <c r="I2" s="1108">
        <f>M14</f>
        <v/>
      </c>
      <c r="J2" s="1108">
        <f>FLOOR(10*(C2*(1+SUM(D2:H2))*3)*(1+I2),1)/10</f>
        <v/>
      </c>
      <c r="K2" s="1108">
        <f>B2*FLOOR(10*(C2*(1+SUM(D2:G2))*3)*(1+I2),1)/10</f>
        <v/>
      </c>
      <c r="L2" s="1108">
        <f>B2*FLOOR(10*(C2*(1+SUM(D2:H2))*3)*(1+I2),1)/10</f>
        <v/>
      </c>
    </row>
    <row r="3">
      <c r="A3" s="1103" t="inlineStr">
        <is>
          <t>Idol boy</t>
        </is>
      </c>
      <c r="B3" s="1017" t="n">
        <v>60</v>
      </c>
      <c r="C3" s="1108">
        <f>XLOOKUP(A3,'Drifter Stats'!$A$4:$A$24,'Drifter Stats'!$L$4:$L$24,0)</f>
        <v/>
      </c>
      <c r="D3" s="1108">
        <f>M13</f>
        <v/>
      </c>
      <c r="E3" s="996" t="n"/>
      <c r="F3" s="1108">
        <f>M16</f>
        <v/>
      </c>
      <c r="G3" s="996" t="n"/>
      <c r="H3" s="1108">
        <f>M17</f>
        <v/>
      </c>
      <c r="I3" s="996" t="n"/>
      <c r="J3" s="1108">
        <f>(C3*(1+SUM(D3:H3))*3)*(1+I3)</f>
        <v/>
      </c>
      <c r="K3" s="1108">
        <f>B3*FLOOR(10*(C3*(1+SUM(D3:G3))*3)*(1+I3),1)/10</f>
        <v/>
      </c>
      <c r="L3" s="1108">
        <f>B3*FLOOR(10*(C3*(1+SUM(D3:H3))*3)*(1+I3),1)/10</f>
        <v/>
      </c>
    </row>
    <row r="4">
      <c r="A4" s="1103" t="inlineStr">
        <is>
          <t>Dracula</t>
        </is>
      </c>
      <c r="B4" s="1017" t="n">
        <v>48</v>
      </c>
      <c r="C4" s="1108">
        <f>XLOOKUP(A4,'Drifter Stats'!$A$4:$A$24,'Drifter Stats'!$L$4:$L$24,0)</f>
        <v/>
      </c>
      <c r="D4" s="1108">
        <f>M13</f>
        <v/>
      </c>
      <c r="E4" s="996" t="n"/>
      <c r="F4" s="1108">
        <f>M16</f>
        <v/>
      </c>
      <c r="G4" s="996" t="n"/>
      <c r="H4" s="996" t="n"/>
      <c r="I4" s="996" t="n"/>
      <c r="J4" s="1108">
        <f>FLOOR(10*(C4*(1+SUM(D4:H4))*3)*(1+I4),1)/10</f>
        <v/>
      </c>
      <c r="K4" s="1108">
        <f>B4*FLOOR(10*(C4*(1+SUM(D4:G4))*3)*(1+I4),1)/10</f>
        <v/>
      </c>
      <c r="L4" s="1108">
        <f>B4*FLOOR(10*(C4*(1+SUM(D4:H4))*3)*(1+I4),1)/10</f>
        <v/>
      </c>
    </row>
    <row r="5">
      <c r="A5" s="1103" t="inlineStr">
        <is>
          <t>Athena</t>
        </is>
      </c>
      <c r="B5" s="1017" t="n">
        <v>19</v>
      </c>
      <c r="C5" s="1108">
        <f>XLOOKUP(A5,'Drifter Stats'!$A$4:$A$24,'Drifter Stats'!$L$4:$L$24,0)</f>
        <v/>
      </c>
      <c r="D5" s="1108">
        <f>M13</f>
        <v/>
      </c>
      <c r="E5" s="1108">
        <f>M15</f>
        <v/>
      </c>
      <c r="F5" s="996" t="n"/>
      <c r="G5" s="996" t="n"/>
      <c r="H5" s="996" t="n"/>
      <c r="I5" s="996" t="n"/>
      <c r="J5" s="1108">
        <f>FLOOR(10*(C5*(1+SUM(D5:H5))*3)*(1+I5),1)/10</f>
        <v/>
      </c>
      <c r="K5" s="1108">
        <f>B5*FLOOR(10*(C5*(1+SUM(D5:G5))*3)*(1+I5),1)/10</f>
        <v/>
      </c>
      <c r="L5" s="1108">
        <f>B5*FLOOR(10*(C5*(1+SUM(D5:H5))*3)*(1+I5),1)/10</f>
        <v/>
      </c>
    </row>
    <row r="6">
      <c r="A6" s="1103" t="inlineStr">
        <is>
          <t>Commissioner</t>
        </is>
      </c>
      <c r="B6" s="1017" t="n">
        <v>15</v>
      </c>
      <c r="C6" s="1108">
        <f>XLOOKUP(A6,'Drifter Stats'!$A$4:$A$24,'Drifter Stats'!$L$4:$L$24,0)</f>
        <v/>
      </c>
      <c r="D6" s="1108">
        <f>M13</f>
        <v/>
      </c>
      <c r="E6" s="1108">
        <f>M15</f>
        <v/>
      </c>
      <c r="F6" s="1108" t="n"/>
      <c r="G6" s="996" t="n"/>
      <c r="H6" s="996" t="n"/>
      <c r="I6" s="996" t="n"/>
      <c r="J6" s="1108">
        <f>FLOOR(10*(C6*(1+SUM(D6:H6))*3)*(1+I6),1)/10</f>
        <v/>
      </c>
      <c r="K6" s="1108">
        <f>B6*FLOOR(10*(C6*(1+SUM(D6:G6))*3)*(1+I6),1)/10</f>
        <v/>
      </c>
      <c r="L6" s="1108">
        <f>B6*FLOOR(10*(C6*(1+SUM(D6:H6))*3)*(1+I6),1)/10</f>
        <v/>
      </c>
    </row>
    <row r="7">
      <c r="A7" s="1103" t="inlineStr">
        <is>
          <t>Amakusa</t>
        </is>
      </c>
      <c r="B7" s="1017" t="n">
        <v>60</v>
      </c>
      <c r="C7" s="1108">
        <f>XLOOKUP(A7,'Drifter Stats'!$A$4:$A$24,'Drifter Stats'!$L$4:$L$24,0)</f>
        <v/>
      </c>
      <c r="D7" s="1108">
        <f>M13</f>
        <v/>
      </c>
      <c r="E7" s="996" t="n"/>
      <c r="F7" s="1108">
        <f>M16</f>
        <v/>
      </c>
      <c r="G7" s="996" t="n"/>
      <c r="H7" s="996" t="n"/>
      <c r="I7" s="996" t="n"/>
      <c r="J7" s="1108">
        <f>FLOOR(10*(C7*(1+SUM(D7:H7))*3)*(1+I7),1)/10</f>
        <v/>
      </c>
      <c r="K7" s="1108">
        <f>B7*FLOOR(10*(C7*(1+SUM(D7:G7))*3)*(1+I7),1)/10</f>
        <v/>
      </c>
      <c r="L7" s="1108">
        <f>B7*FLOOR(10*(C7*(1+SUM(D7:H7))*3)*(1+I7),1)/10</f>
        <v/>
      </c>
    </row>
    <row r="8">
      <c r="A8" s="781" t="n"/>
      <c r="B8" s="781" t="n"/>
      <c r="C8" s="781" t="n"/>
      <c r="D8" s="781" t="n"/>
      <c r="E8" s="781" t="n"/>
      <c r="F8" s="781" t="n"/>
      <c r="G8" s="781" t="n"/>
      <c r="H8" s="781" t="n"/>
      <c r="I8" s="781" t="n"/>
      <c r="J8" s="781" t="n"/>
      <c r="K8" s="781" t="n"/>
      <c r="L8" s="781" t="n"/>
    </row>
    <row r="9">
      <c r="A9" s="781" t="n"/>
      <c r="B9" s="781" t="n"/>
      <c r="C9" s="781" t="n"/>
      <c r="D9" s="781" t="n"/>
      <c r="E9" s="781" t="n"/>
      <c r="F9" s="781" t="n"/>
      <c r="G9" s="781" t="n"/>
      <c r="H9" s="781" t="n"/>
      <c r="I9" s="781" t="n"/>
      <c r="J9" s="781" t="n"/>
      <c r="K9" s="781" t="n"/>
      <c r="L9" s="781" t="n"/>
    </row>
    <row r="10">
      <c r="A10" s="781" t="n"/>
      <c r="B10" s="781" t="n"/>
      <c r="C10" s="781" t="n"/>
      <c r="D10" s="781" t="n"/>
      <c r="E10" s="781" t="n"/>
      <c r="F10" s="781" t="n"/>
      <c r="G10" s="781" t="n"/>
      <c r="H10" s="781" t="n"/>
      <c r="I10" s="781" t="n"/>
      <c r="J10" s="781" t="n"/>
      <c r="K10" s="781" t="n"/>
      <c r="L10" s="781" t="n"/>
    </row>
    <row r="11">
      <c r="A11" s="1006" t="inlineStr">
        <is>
          <t>Position</t>
        </is>
      </c>
      <c r="B11" s="1006" t="inlineStr">
        <is>
          <t>Enemy Score</t>
        </is>
      </c>
      <c r="C11" s="1006" t="inlineStr">
        <is>
          <t>Gender</t>
        </is>
      </c>
      <c r="D11" s="1006" t="inlineStr">
        <is>
          <t>Drifter</t>
        </is>
      </c>
      <c r="E11" s="1006" t="inlineStr">
        <is>
          <t>Player Score</t>
        </is>
      </c>
      <c r="F11" s="1006" t="inlineStr">
        <is>
          <t>Effective Enemy Score</t>
        </is>
      </c>
      <c r="G11" s="1006" t="inlineStr">
        <is>
          <t>Victory</t>
        </is>
      </c>
      <c r="H11" s="781" t="n"/>
      <c r="I11" s="1006" t="inlineStr">
        <is>
          <t>Skill Type</t>
        </is>
      </c>
      <c r="J11" s="999" t="inlineStr">
        <is>
          <t>Owner</t>
        </is>
      </c>
      <c r="K11" s="999" t="inlineStr">
        <is>
          <t>Rating</t>
        </is>
      </c>
      <c r="L11" s="999" t="inlineStr">
        <is>
          <t>Level</t>
        </is>
      </c>
      <c r="M11" s="999" t="inlineStr">
        <is>
          <t>Effect</t>
        </is>
      </c>
    </row>
    <row r="12">
      <c r="A12" s="1108" t="n">
        <v>1</v>
      </c>
      <c r="B12" s="1108">
        <f>XLOOKUP($B$18,'Rift Anecdotes'!$B$6:$B$27,'Rift Anecdotes'!$D$6:$D$27,0)</f>
        <v/>
      </c>
      <c r="C12" s="1067">
        <f>XLOOKUP($B$18,'Rift Anecdotes'!$X$6:$X$27,'Rift Anecdotes'!$Y$6:$Y$27,0)</f>
        <v/>
      </c>
      <c r="D12" s="1001" t="inlineStr">
        <is>
          <t>Excalibra</t>
        </is>
      </c>
      <c r="E12" s="1108">
        <f>FLOOR(IFERROR(VLOOKUP(D12,$A$2:$L$7,IF(C12="Male",11,12),false),0)*(1+ IF(D12="Commissioner", $M$20, 0)) + IF(D12="Dracula", $M$18*3, 0),1)</f>
        <v/>
      </c>
      <c r="F12" s="1108">
        <f>IF(AND(D12 = "Athena", C12 = "Male"), 0, (FLOOR(B12*(IF(D12="Amakusa", 1-$M$19, 1)) - 3*(IF(D12="Dracula",$M$18, 0)),1)))</f>
        <v/>
      </c>
      <c r="G12" s="1108">
        <f>IF(E12 &gt; F12, 1, 0)</f>
        <v/>
      </c>
      <c r="H12" s="781" t="n"/>
      <c r="I12" s="1010" t="inlineStr">
        <is>
          <t>Self Talent</t>
        </is>
      </c>
      <c r="J12" s="1003" t="inlineStr">
        <is>
          <t>Excalibra</t>
        </is>
      </c>
      <c r="K12" s="449">
        <f>IF(L10 &gt;= 10, 'Drifter Priority'!D41, 'Drifter Priority'!C41)</f>
        <v/>
      </c>
      <c r="L12" s="1004" t="n">
        <v>20</v>
      </c>
      <c r="M12" s="1005">
        <f>0.04*L12</f>
        <v/>
      </c>
    </row>
    <row r="13">
      <c r="A13" s="1108" t="n">
        <v>2</v>
      </c>
      <c r="B13" s="1108">
        <f>XLOOKUP($B$18,'Rift Anecdotes'!$B$6:$B$27,'Rift Anecdotes'!$E$6:$E$27,0)</f>
        <v/>
      </c>
      <c r="C13" s="1067">
        <f>XLOOKUP($B$18,'Rift Anecdotes'!$X$6:$X$27,'Rift Anecdotes'!$Z$6:$Z$27,0)</f>
        <v/>
      </c>
      <c r="D13" s="1001" t="inlineStr">
        <is>
          <t>Athena</t>
        </is>
      </c>
      <c r="E13" s="1108">
        <f>FLOOR(IFERROR(VLOOKUP(D13,$A$2:$L$7,IF(C13="Male",11,12),false),0) + IF(D13="Dracula", $M$18*3, 0) + 3*$M$21*G12,1)</f>
        <v/>
      </c>
      <c r="F13" s="1108">
        <f>IF(AND(D13 = "Athena", C13 = "Male"), 0, (FLOOR(B13*(IF(D13="Amakusa", 1-$M$19, 1)) - 3*(IF(D13="Dracula",$M$18, 0)),1)))</f>
        <v/>
      </c>
      <c r="G13" s="1108">
        <f>IF(E13 &gt; F13, 1, 0)</f>
        <v/>
      </c>
      <c r="H13" s="781" t="n"/>
      <c r="I13" s="1010" t="inlineStr">
        <is>
          <t>All Drifter Talent</t>
        </is>
      </c>
      <c r="J13" s="1003" t="inlineStr">
        <is>
          <t>Excalibra</t>
        </is>
      </c>
      <c r="K13" s="449">
        <f>IF(L11 &gt;= 10, 'Drifter Priority'!D42, 'Drifter Priority'!C42)</f>
        <v/>
      </c>
      <c r="L13" s="1004" t="n">
        <v>20</v>
      </c>
      <c r="M13" s="1005">
        <f>0.02*L13</f>
        <v/>
      </c>
    </row>
    <row r="14">
      <c r="A14" s="1108" t="n">
        <v>3</v>
      </c>
      <c r="B14" s="1108">
        <f>XLOOKUP($B$18,'Rift Anecdotes'!$B$6:$B$27,'Rift Anecdotes'!$F$6:$F$27,0)</f>
        <v/>
      </c>
      <c r="C14" s="1067">
        <f>XLOOKUP($B$18,'Rift Anecdotes'!$X$6:$X$27,'Rift Anecdotes'!$AA$6:$AA$27,0)</f>
        <v/>
      </c>
      <c r="D14" s="1001" t="inlineStr">
        <is>
          <t>Amakusa</t>
        </is>
      </c>
      <c r="E14" s="1108">
        <f>FLOOR(IFERROR(VLOOKUP(D14,$A$2:$L$7,IF(C14="Male",11,12),false),0) + IF(D14="Dracula", $M$18*3, 0) + 3*$M$21*SUM(G12:G13),1)</f>
        <v/>
      </c>
      <c r="F14" s="1108">
        <f>IF(AND(D14 = "Athena", C14 = "Male"), 0, (FLOOR(B14*(IF(D14="Amakusa", 1-$M$19, 1)) - 3*(IF(D14="Dracula",$M$18, 0)),1)))</f>
        <v/>
      </c>
      <c r="G14" s="1108">
        <f>IF(E14 &gt; F14, 1, 0)</f>
        <v/>
      </c>
      <c r="H14" s="781" t="n"/>
      <c r="I14" s="1010" t="inlineStr">
        <is>
          <t>Sword Dance</t>
        </is>
      </c>
      <c r="J14" s="1003" t="inlineStr">
        <is>
          <t>Excalibra</t>
        </is>
      </c>
      <c r="K14" s="449">
        <f>IF(L12 &gt;= 10, 'Drifter Priority'!D43, 'Drifter Priority'!C43)</f>
        <v/>
      </c>
      <c r="L14" s="1004" t="n">
        <v>20</v>
      </c>
      <c r="M14" s="1005">
        <f>0.03*L14</f>
        <v/>
      </c>
    </row>
    <row r="15">
      <c r="A15" s="1108" t="n">
        <v>4</v>
      </c>
      <c r="B15" s="1108">
        <f>XLOOKUP($B$18,'Rift Anecdotes'!$B$6:$B$27,'Rift Anecdotes'!$G$6:$G$27,0)</f>
        <v/>
      </c>
      <c r="C15" s="1067">
        <f>XLOOKUP($B$18,'Rift Anecdotes'!$X$6:$X$27,'Rift Anecdotes'!$AB$6:$AB$27,0)</f>
        <v/>
      </c>
      <c r="D15" s="1001" t="inlineStr">
        <is>
          <t>Idol Boy</t>
        </is>
      </c>
      <c r="E15" s="1108">
        <f>FLOOR(IFERROR(VLOOKUP(D15,$A$2:$L$7,IF(C15="Male",11,12),false),0) + IF(D15="Dracula", $M$18*3, 0) + 3*$M$21*SUM(G12:G14),1)</f>
        <v/>
      </c>
      <c r="F15" s="1108">
        <f>IF(AND(D15 = "Athena", C15 = "Male"), 0, (FLOOR(B15*(IF(D15="Amakusa", 1-$M$19, 1)) - 3*(IF(D15="Dracula",$M$18, 0)),1)))</f>
        <v/>
      </c>
      <c r="G15" s="1108">
        <f>IF(E15 &gt; F15, 1, 0)</f>
        <v/>
      </c>
      <c r="H15" s="781" t="n"/>
      <c r="I15" s="1010" t="inlineStr">
        <is>
          <t>All Female Talent</t>
        </is>
      </c>
      <c r="J15" s="1003" t="inlineStr">
        <is>
          <t>Athena</t>
        </is>
      </c>
      <c r="K15" s="449">
        <f>IF(L13 &gt;= 10, 'Drifter Priority'!D123, 'Drifter Priority'!C123)</f>
        <v/>
      </c>
      <c r="L15" s="1004" t="n">
        <v>10</v>
      </c>
      <c r="M15" s="1005">
        <f>0.03*L15</f>
        <v/>
      </c>
    </row>
    <row r="16">
      <c r="A16" s="1108" t="n">
        <v>5</v>
      </c>
      <c r="B16" s="1108">
        <f>XLOOKUP($B$18,'Rift Anecdotes'!$B$6:$B$27,'Rift Anecdotes'!$H$6:$H$27,0)</f>
        <v/>
      </c>
      <c r="C16" s="1067">
        <f>XLOOKUP($B$18,'Rift Anecdotes'!$X$6:$X$27,'Rift Anecdotes'!$AC$6:$AC$27,0)</f>
        <v/>
      </c>
      <c r="D16" s="1001" t="inlineStr">
        <is>
          <t>Dracula</t>
        </is>
      </c>
      <c r="E16" s="1108">
        <f>FLOOR(IFERROR(VLOOKUP(D16,$A$2:$L$7,IF(C16="Male",11,12),false),0) + IF(D16="Dracula", $M$18*3, 0) + 3*$M$21*SUM(G12:G15),1)</f>
        <v/>
      </c>
      <c r="F16" s="1108">
        <f>IF(AND(D16 = "Athena", C16 = "Male"), 0, (FLOOR(B16*(IF(D16="Amakusa", 1-$M$19, 1)) - 3*(IF(D16="Dracula",$M$18, 0)),1)))</f>
        <v/>
      </c>
      <c r="G16" s="1108">
        <f>IF(E16 &gt; F16, 1, 0)</f>
        <v/>
      </c>
      <c r="H16" s="781" t="n"/>
      <c r="I16" s="1010" t="inlineStr">
        <is>
          <t>All Male Talent</t>
        </is>
      </c>
      <c r="J16" s="1003" t="inlineStr">
        <is>
          <t>Idol Boy</t>
        </is>
      </c>
      <c r="K16" s="449">
        <f>IF(L14 &gt;= 10, 'Drifter Priority'!D285, 'Drifter Priority'!C285)</f>
        <v/>
      </c>
      <c r="L16" s="1004" t="n">
        <v>20</v>
      </c>
      <c r="M16" s="1005">
        <f>0.03*L16</f>
        <v/>
      </c>
    </row>
    <row r="17">
      <c r="A17" s="669" t="n"/>
      <c r="B17" s="669" t="n"/>
      <c r="C17" s="1037" t="n"/>
      <c r="D17" s="1037" t="n"/>
      <c r="E17" s="1037" t="n"/>
      <c r="F17" s="1037" t="n"/>
      <c r="G17" s="1037" t="n"/>
      <c r="H17" s="781" t="n"/>
      <c r="I17" s="1010" t="inlineStr">
        <is>
          <t>Against Female</t>
        </is>
      </c>
      <c r="J17" s="1003" t="inlineStr">
        <is>
          <t>Idol Boy</t>
        </is>
      </c>
      <c r="K17" s="449">
        <f>IF(L15 &gt;= 10, 'Drifter Priority'!D286, 'Drifter Priority'!C286)</f>
        <v/>
      </c>
      <c r="L17" s="1004" t="n">
        <v>20</v>
      </c>
      <c r="M17" s="1005">
        <f>0.05*L17</f>
        <v/>
      </c>
    </row>
    <row r="18">
      <c r="A18" s="1006" t="inlineStr">
        <is>
          <t>Anecdote</t>
        </is>
      </c>
      <c r="B18" s="1042" t="inlineStr">
        <is>
          <t>Six Dynasty Ritual Dance</t>
        </is>
      </c>
      <c r="C18" s="1129" t="n"/>
      <c r="D18" s="1037" t="n"/>
      <c r="E18" s="1037" t="n"/>
      <c r="F18" s="1037" t="n"/>
      <c r="G18" s="1037" t="n"/>
      <c r="H18" s="781" t="n"/>
      <c r="I18" s="1010" t="inlineStr">
        <is>
          <t>Mourning of the Rose</t>
        </is>
      </c>
      <c r="J18" s="1003" t="inlineStr">
        <is>
          <t>Dracula</t>
        </is>
      </c>
      <c r="K18" s="449">
        <f>IF(L16 &gt;= 10, 'Drifter Priority'!D108, 'Drifter Priority'!C108)</f>
        <v/>
      </c>
      <c r="L18" s="1004" t="n">
        <v>1</v>
      </c>
      <c r="M18" s="1005">
        <f>'Offering Speed'!$C$67*L18</f>
        <v/>
      </c>
    </row>
    <row r="19">
      <c r="A19" s="1008" t="inlineStr">
        <is>
          <t>Result</t>
        </is>
      </c>
      <c r="B19" s="1158">
        <f>IF(SUM(G12:G16) &gt; 2, "Win", "Lose")</f>
        <v/>
      </c>
      <c r="C19" s="1129" t="n"/>
      <c r="D19" s="1037" t="n"/>
      <c r="E19" s="1037" t="n"/>
      <c r="F19" s="1037" t="n"/>
      <c r="G19" s="1037" t="n"/>
      <c r="H19" s="781" t="n"/>
      <c r="I19" s="1010" t="inlineStr">
        <is>
          <t>Shadow Dance</t>
        </is>
      </c>
      <c r="J19" s="1003" t="inlineStr">
        <is>
          <t>Amakusa</t>
        </is>
      </c>
      <c r="K19" s="449">
        <f>IF(L17 &gt;= 10, 'Drifter Priority'!D28, 'Drifter Priority'!C28)</f>
        <v/>
      </c>
      <c r="L19" s="1004" t="n">
        <v>20</v>
      </c>
      <c r="M19" s="1005">
        <f>0.01*L19</f>
        <v/>
      </c>
    </row>
    <row r="20">
      <c r="A20" s="1037" t="n"/>
      <c r="B20" s="1037" t="n"/>
      <c r="C20" s="1037" t="n"/>
      <c r="D20" s="1037" t="n"/>
      <c r="E20" s="1037" t="n"/>
      <c r="F20" s="1037" t="n"/>
      <c r="G20" s="1037" t="n"/>
      <c r="H20" s="781" t="n"/>
      <c r="I20" s="1010" t="inlineStr">
        <is>
          <t>Principal Dancer</t>
        </is>
      </c>
      <c r="J20" s="1003">
        <f>A6</f>
        <v/>
      </c>
      <c r="K20" s="449">
        <f>IF(L18 &gt;= 10, 'Drifter Priority'!D267, 'Drifter Priority'!C267)</f>
        <v/>
      </c>
      <c r="L20" s="1004" t="n">
        <v>1</v>
      </c>
      <c r="M20" s="1005">
        <f>0.03*L20</f>
        <v/>
      </c>
    </row>
    <row r="21">
      <c r="A21" s="972" t="n"/>
      <c r="B21" s="972" t="n"/>
      <c r="C21" s="972" t="n"/>
      <c r="D21" s="972" t="n"/>
      <c r="E21" s="972" t="n"/>
      <c r="F21" s="972" t="n"/>
      <c r="I21" s="1103" t="inlineStr">
        <is>
          <t>Queens Legacy</t>
        </is>
      </c>
      <c r="J21" s="1103" t="inlineStr">
        <is>
          <t>Athena</t>
        </is>
      </c>
      <c r="K21" s="449">
        <f>IF(L19 &gt;= 10, 'Drifter Priority'!D122, 'Drifter Priority'!C122)</f>
        <v/>
      </c>
      <c r="L21" s="1017" t="n">
        <v>20</v>
      </c>
      <c r="M21" s="1108">
        <f>30*L21</f>
        <v/>
      </c>
    </row>
    <row r="22">
      <c r="A22" s="1015" t="inlineStr">
        <is>
          <t>Credit: SYT for base calculator</t>
        </is>
      </c>
      <c r="B22" s="972" t="n"/>
      <c r="C22" s="972" t="n"/>
      <c r="D22" s="972" t="n"/>
      <c r="E22" s="972" t="n"/>
      <c r="F22" s="972" t="n"/>
    </row>
    <row r="23">
      <c r="A23" s="972" t="n"/>
      <c r="B23" s="972" t="n"/>
      <c r="C23" s="972" t="n"/>
      <c r="D23" s="972" t="n"/>
      <c r="E23" s="972" t="n"/>
      <c r="F23" s="972" t="n"/>
    </row>
    <row r="24"/>
  </sheetData>
  <mergeCells count="2">
    <mergeCell ref="B18:C18"/>
    <mergeCell ref="B19:C19"/>
  </mergeCells>
  <conditionalFormatting sqref="B19">
    <cfRule type="cellIs" priority="1" operator="equal" dxfId="32">
      <formula>"Win"</formula>
    </cfRule>
    <cfRule type="cellIs" priority="2" operator="equal" dxfId="33">
      <formula>"Lose"</formula>
    </cfRule>
  </conditionalFormatting>
  <dataValidations count="5">
    <dataValidation sqref="K12:K21" showDropDown="0" showInputMessage="0" showErrorMessage="1" allowBlank="1" type="list">
      <formula1>"S,A,B/A,B,C/B,C,D/B,D/C,D,F,TBD,Variable"</formula1>
    </dataValidation>
    <dataValidation sqref="B18" showDropDown="0" showInputMessage="0" showErrorMessage="1" allowBlank="1" type="list">
      <formula1>"Feather Garment Dance,Versailles Palace Ball,Ball of Buckingham Palace,Swan Lake,Queen Charlotte's Ball,Broadway,Ball of Winter Palace,Liberation Rite,Great Dionysia,Sun Deity Festival,Romeo &amp; Juliet,Socialite Ball,Seven Devils,Dance World Cup,Carnival of"&amp;" Venice,Red Mill's Ball,Blackpool Dance Festival,General Xiang's Swordplay,The Dance Plague,Prix de Lausanne,Congress of Vienna,Six Dynasty Ritual Dance"</formula1>
    </dataValidation>
    <dataValidation sqref="C12:C16" showDropDown="1" showInputMessage="0" showErrorMessage="1" allowBlank="1" type="list">
      <formula1>"Female,Male"</formula1>
    </dataValidation>
    <dataValidation sqref="D12:D16" showDropDown="0" showInputMessage="0" showErrorMessage="1" allowBlank="1" type="list">
      <formula1>"Amakusa,Athena,Dracula,Excalibra,Idol Boy,Commissioner"</formula1>
    </dataValidation>
    <dataValidation sqref="A2:A7" showDropDown="0" showInputMessage="0" showErrorMessage="0" allowBlank="1" errorTitle="Invalid Drifter" error="Please select a valid drifter name from the list." promptTitle="Drifter Selection" prompt="Select a drifter name" type="list">
      <formula1>'Drifter Stats'!$A$4:$A$24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T24"/>
  <sheetViews>
    <sheetView workbookViewId="0">
      <selection activeCell="A1" sqref="A1"/>
    </sheetView>
  </sheetViews>
  <sheetFormatPr baseColWidth="8" defaultColWidth="9.18" defaultRowHeight="15" customHeight="1"/>
  <cols>
    <col width="9.73" customWidth="1" style="1128" min="1" max="1"/>
    <col width="18.09" customWidth="1" style="1128" min="2" max="2"/>
    <col width="8.550000000000001" customWidth="1" style="1128" min="3" max="3"/>
    <col width="7.91" customWidth="1" style="1128" min="4" max="4"/>
    <col width="12.18" customWidth="1" style="1128" min="5" max="5"/>
    <col width="9.18" customWidth="1" style="1128" min="6" max="6"/>
    <col width="7.27" customWidth="1" style="1128" min="7" max="7"/>
    <col width="9.09" customWidth="1" style="1128" min="8" max="8"/>
    <col width="9.640000000000001" customWidth="1" style="1128" min="9" max="9"/>
    <col width="4.36" customWidth="1" style="1128" min="10" max="10"/>
    <col width="4.73" customWidth="1" style="1128" min="11" max="11"/>
    <col width="3.91" customWidth="1" style="1128" min="12" max="12"/>
    <col width="9.27" customWidth="1" style="1128" min="13" max="13"/>
    <col width="14.09" customWidth="1" style="1128" min="14" max="14"/>
    <col width="11.82" customWidth="1" style="1128" min="15" max="15"/>
    <col width="3.27" customWidth="1" style="1128" min="17" max="17"/>
    <col width="2.55" customWidth="1" style="1128" min="18" max="18"/>
  </cols>
  <sheetData>
    <row r="1">
      <c r="A1" s="1013" t="inlineStr">
        <is>
          <t>Drifter</t>
        </is>
      </c>
      <c r="B1" s="1013" t="inlineStr">
        <is>
          <t>Current Level</t>
        </is>
      </c>
      <c r="C1" s="1006" t="inlineStr">
        <is>
          <t>Talent per Lvl</t>
        </is>
      </c>
      <c r="D1" s="1013" t="inlineStr">
        <is>
          <t>All Ally Band</t>
        </is>
      </c>
      <c r="E1" s="1013" t="inlineStr">
        <is>
          <t xml:space="preserve">As a Singer </t>
        </is>
      </c>
      <c r="F1" s="1013" t="inlineStr">
        <is>
          <t>Ally Singer</t>
        </is>
      </c>
      <c r="G1" s="1013" t="inlineStr">
        <is>
          <t>Ally Female</t>
        </is>
      </c>
      <c r="H1" s="1013" t="inlineStr">
        <is>
          <t xml:space="preserve">Ally Musician </t>
        </is>
      </c>
      <c r="I1" s="1013" t="inlineStr">
        <is>
          <t xml:space="preserve">As a Musician </t>
        </is>
      </c>
      <c r="J1" s="1013" t="inlineStr">
        <is>
          <t>Remix</t>
        </is>
      </c>
      <c r="K1" s="1013" t="inlineStr">
        <is>
          <t>Samba</t>
        </is>
      </c>
      <c r="L1" s="1013" t="inlineStr">
        <is>
          <t>Blues</t>
        </is>
      </c>
      <c r="M1" s="1013" t="inlineStr">
        <is>
          <t>Valkeryie Peak</t>
        </is>
      </c>
      <c r="N1" s="1013" t="inlineStr">
        <is>
          <t>Rating per Drifter Level</t>
        </is>
      </c>
      <c r="O1" s="1014" t="inlineStr">
        <is>
          <t>Score Contribution</t>
        </is>
      </c>
      <c r="P1" s="1015" t="n"/>
      <c r="Q1" s="1015" t="n"/>
      <c r="R1" s="1015" t="n"/>
      <c r="S1" s="972" t="n"/>
      <c r="T1" s="972" t="n"/>
    </row>
    <row r="2">
      <c r="A2" s="1016" t="inlineStr">
        <is>
          <t>Dracula</t>
        </is>
      </c>
      <c r="B2" s="1017" t="n">
        <v>53</v>
      </c>
      <c r="C2" s="1027">
        <f>XLOOKUP(A2,'Drifter Stats'!$A$4:$A$24,'Drifter Stats'!$B$4:$B$24,0)</f>
        <v/>
      </c>
      <c r="D2" s="1027">
        <f>$I$11</f>
        <v/>
      </c>
      <c r="E2" s="1027">
        <f>$I$12</f>
        <v/>
      </c>
      <c r="F2" s="1027">
        <f>$I$13</f>
        <v/>
      </c>
      <c r="G2" s="1019" t="n"/>
      <c r="H2" s="1019" t="n"/>
      <c r="I2" s="1019" t="n"/>
      <c r="J2" s="1027">
        <f>$I$16*IF($B$10 = J1, 1, 0)</f>
        <v/>
      </c>
      <c r="K2" s="1019" t="n"/>
      <c r="L2" s="1019" t="n"/>
      <c r="M2" s="1027">
        <f>$I$9</f>
        <v/>
      </c>
      <c r="N2" s="1027">
        <f>ROUND(10*C2*(SUM(D2:L2)+1)*(SUM(1+M2)),0)/10</f>
        <v/>
      </c>
      <c r="O2" s="444">
        <f>FLOOR(B2*N2,1)</f>
        <v/>
      </c>
      <c r="P2" s="1015" t="n"/>
      <c r="Q2" s="1020" t="n"/>
      <c r="R2" s="1020" t="n"/>
      <c r="S2" s="972" t="n"/>
      <c r="T2" s="972" t="n"/>
    </row>
    <row r="3">
      <c r="A3" s="1016" t="inlineStr">
        <is>
          <t>Idol Boy</t>
        </is>
      </c>
      <c r="B3" s="1017" t="n">
        <v>39</v>
      </c>
      <c r="C3" s="1027">
        <f>XLOOKUP(A3,'Drifter Stats'!$A$4:$A$24,'Drifter Stats'!$B$4:$B$24,0)</f>
        <v/>
      </c>
      <c r="D3" s="1027">
        <f>$I$11</f>
        <v/>
      </c>
      <c r="E3" s="1019" t="n"/>
      <c r="F3" s="1027">
        <f>$I$13</f>
        <v/>
      </c>
      <c r="G3" s="1019" t="n"/>
      <c r="H3" s="1019" t="n"/>
      <c r="I3" s="1019" t="n"/>
      <c r="J3" s="1019" t="n"/>
      <c r="K3" s="1027">
        <f>$I$17*IF($B$10 = K1, 1, 0)</f>
        <v/>
      </c>
      <c r="L3" s="1019" t="n"/>
      <c r="M3" s="1027">
        <f>$I$9</f>
        <v/>
      </c>
      <c r="N3" s="1027">
        <f>ROUND(10*C3*(SUM(D3:L3)+1)*(SUM(1+M3)),0)/10</f>
        <v/>
      </c>
      <c r="O3" s="444">
        <f>FLOOR(B3*N3,1)</f>
        <v/>
      </c>
      <c r="P3" s="1015" t="n"/>
      <c r="Q3" s="1020" t="n"/>
      <c r="R3" s="1020" t="n"/>
      <c r="S3" s="972" t="n"/>
      <c r="T3" s="972" t="n"/>
    </row>
    <row r="4">
      <c r="A4" s="1016" t="inlineStr">
        <is>
          <t>Madam Huang</t>
        </is>
      </c>
      <c r="B4" s="1017" t="n">
        <v>41</v>
      </c>
      <c r="C4" s="1027">
        <f>XLOOKUP(A4,'Drifter Stats'!$A$4:$A$24,'Drifter Stats'!$B$4:$B$24,0)</f>
        <v/>
      </c>
      <c r="D4" s="1027">
        <f>$I$11</f>
        <v/>
      </c>
      <c r="E4" s="1019" t="n"/>
      <c r="F4" s="1019" t="n"/>
      <c r="G4" s="1027">
        <f>$I$10</f>
        <v/>
      </c>
      <c r="H4" s="1027">
        <f>$I$15</f>
        <v/>
      </c>
      <c r="I4" s="1019" t="n"/>
      <c r="J4" s="1019" t="n"/>
      <c r="K4" s="1019" t="n"/>
      <c r="L4" s="1019" t="n"/>
      <c r="M4" s="1027">
        <f>$I$9</f>
        <v/>
      </c>
      <c r="N4" s="1027">
        <f>ROUND(10*C4*(SUM(D4:L4)+1)*(SUM(1+M4)),0)/10</f>
        <v/>
      </c>
      <c r="O4" s="444">
        <f>FLOOR(B4*N4,1)</f>
        <v/>
      </c>
      <c r="P4" s="1015" t="n"/>
      <c r="Q4" s="1020" t="n"/>
      <c r="R4" s="1020" t="n"/>
      <c r="S4" s="972" t="n"/>
      <c r="T4" s="972" t="n"/>
    </row>
    <row r="5">
      <c r="A5" s="1016" t="inlineStr">
        <is>
          <t>Athena</t>
        </is>
      </c>
      <c r="B5" s="1017" t="n">
        <v>19</v>
      </c>
      <c r="C5" s="1027">
        <f>XLOOKUP(A5,'Drifter Stats'!$A$4:$A$24,'Drifter Stats'!$B$4:$B$24,0)</f>
        <v/>
      </c>
      <c r="D5" s="1027">
        <f>$I$11</f>
        <v/>
      </c>
      <c r="E5" s="1019" t="n"/>
      <c r="F5" s="1019" t="n"/>
      <c r="G5" s="1027">
        <f>$I$10</f>
        <v/>
      </c>
      <c r="H5" s="1027">
        <f>$I$15</f>
        <v/>
      </c>
      <c r="I5" s="1019" t="n"/>
      <c r="J5" s="1019" t="n"/>
      <c r="K5" s="1019" t="n"/>
      <c r="L5" s="1027">
        <f>$I$18*IF($B$10 = L1, 1, 0)</f>
        <v/>
      </c>
      <c r="M5" s="1027">
        <f>$I$9</f>
        <v/>
      </c>
      <c r="N5" s="1027">
        <f>ROUND(10*C5*(SUM(D5:L5)+1)*(SUM(1+M5)),0)/10</f>
        <v/>
      </c>
      <c r="O5" s="444">
        <f>FLOOR(B5*N5,1)</f>
        <v/>
      </c>
      <c r="P5" s="1015" t="n"/>
      <c r="Q5" s="1020" t="n"/>
      <c r="R5" s="1020" t="n"/>
      <c r="S5" s="972" t="n"/>
      <c r="T5" s="972" t="n"/>
    </row>
    <row r="6">
      <c r="A6" s="1016" t="inlineStr">
        <is>
          <t>Commissioner</t>
        </is>
      </c>
      <c r="B6" s="1017" t="n">
        <v>41</v>
      </c>
      <c r="C6" s="1027">
        <f>XLOOKUP(A6,'Drifter Stats'!$A$4:$A$24,'Drifter Stats'!$B$4:$B$24,0)</f>
        <v/>
      </c>
      <c r="D6" s="1027">
        <f>$I$11</f>
        <v/>
      </c>
      <c r="E6" s="1019" t="n"/>
      <c r="F6" s="1019" t="n"/>
      <c r="G6" s="1027">
        <f>$I$10</f>
        <v/>
      </c>
      <c r="H6" s="1027">
        <f>$I$15</f>
        <v/>
      </c>
      <c r="I6" s="1027">
        <f>$I$14</f>
        <v/>
      </c>
      <c r="J6" s="1019" t="n"/>
      <c r="K6" s="1019" t="n"/>
      <c r="L6" s="1019" t="n"/>
      <c r="M6" s="1027">
        <f>$I$9</f>
        <v/>
      </c>
      <c r="N6" s="1027">
        <f>ROUND(10*C6*(SUM(D6:L6)+1)*(SUM(1+M6)),0)/10</f>
        <v/>
      </c>
      <c r="O6" s="444">
        <f>FLOOR(B6*N6,1)</f>
        <v/>
      </c>
      <c r="P6" s="1015" t="n"/>
      <c r="Q6" s="1020" t="n"/>
      <c r="R6" s="1020" t="n"/>
      <c r="S6" s="972" t="n"/>
      <c r="T6" s="972" t="n"/>
    </row>
    <row r="7">
      <c r="A7" s="1015" t="n"/>
      <c r="B7" s="1015" t="n"/>
      <c r="C7" s="1015" t="n"/>
      <c r="D7" s="1015" t="n"/>
      <c r="E7" s="1015" t="n"/>
      <c r="F7" s="1015" t="n"/>
      <c r="G7" s="1015" t="n"/>
      <c r="H7" s="1015" t="n"/>
      <c r="I7" s="1015" t="n"/>
      <c r="J7" s="1015" t="n"/>
      <c r="K7" s="1015" t="n"/>
      <c r="L7" s="1015" t="n"/>
      <c r="M7" s="1015" t="n"/>
      <c r="N7" s="1015" t="n"/>
      <c r="O7" s="1015" t="n"/>
      <c r="P7" s="1015" t="n"/>
      <c r="Q7" s="1015" t="n"/>
      <c r="R7" s="1015" t="n"/>
      <c r="S7" s="972" t="n"/>
      <c r="T7" s="972" t="n"/>
    </row>
    <row r="8">
      <c r="A8" s="1015" t="n"/>
      <c r="B8" s="1015" t="n"/>
      <c r="C8" s="1015" t="n"/>
      <c r="D8" s="1015" t="n"/>
      <c r="E8" s="1013" t="inlineStr">
        <is>
          <t>Skill Type</t>
        </is>
      </c>
      <c r="F8" s="1013" t="inlineStr">
        <is>
          <t>Owner</t>
        </is>
      </c>
      <c r="G8" s="1013" t="inlineStr">
        <is>
          <t>Rating</t>
        </is>
      </c>
      <c r="H8" s="1013" t="inlineStr">
        <is>
          <t>Level</t>
        </is>
      </c>
      <c r="I8" s="1013" t="inlineStr">
        <is>
          <t>Effect</t>
        </is>
      </c>
      <c r="J8" s="1021" t="inlineStr">
        <is>
          <t>Score per Level</t>
        </is>
      </c>
      <c r="K8" s="1015" t="n"/>
      <c r="L8" s="1015" t="n"/>
      <c r="M8" s="1015" t="n"/>
      <c r="N8" s="1015" t="n"/>
      <c r="O8" s="1015" t="n"/>
      <c r="P8" s="1015" t="n"/>
      <c r="Q8" s="1015" t="n"/>
      <c r="R8" s="1015" t="n"/>
      <c r="S8" s="972" t="n"/>
      <c r="T8" s="972" t="n"/>
    </row>
    <row r="9">
      <c r="A9" s="1006" t="inlineStr">
        <is>
          <t>Anecdote</t>
        </is>
      </c>
      <c r="B9" s="1022" t="inlineStr">
        <is>
          <t>Canticle</t>
        </is>
      </c>
      <c r="C9" s="1015" t="n"/>
      <c r="D9" s="1015" t="n"/>
      <c r="E9" s="1016" t="inlineStr">
        <is>
          <t>Valyrkie Peak Effect</t>
        </is>
      </c>
      <c r="F9" s="1016" t="inlineStr">
        <is>
          <t>Huang</t>
        </is>
      </c>
      <c r="G9" s="449">
        <f>IF(H7 &gt;= 10, 'Drifter Priority'!D237, 'Drifter Priority'!C237)</f>
        <v/>
      </c>
      <c r="H9" s="1023" t="n">
        <v>20</v>
      </c>
      <c r="I9" s="1027">
        <f>0.02*H9</f>
        <v/>
      </c>
      <c r="J9" s="1024">
        <f>IF(H9&lt;20, 1, 0)*(SUM(O2:O6)/(1+I9)*0.02)</f>
        <v/>
      </c>
      <c r="K9" s="1015" t="n"/>
      <c r="L9" s="1015" t="n"/>
      <c r="M9" s="1015" t="n"/>
      <c r="N9" s="1015" t="n"/>
      <c r="O9" s="1015" t="n"/>
      <c r="P9" s="1015" t="n"/>
      <c r="Q9" s="1015" t="n"/>
      <c r="R9" s="1015" t="n"/>
      <c r="S9" s="972" t="n"/>
      <c r="T9" s="972" t="n"/>
    </row>
    <row r="10">
      <c r="A10" s="1013" t="inlineStr">
        <is>
          <t>Song Type</t>
        </is>
      </c>
      <c r="B10" s="1025">
        <f>XLOOKUP(B9,'Rift Anecdotes'!$B$174:$B$195,'Rift Anecdotes'!$F$174:$F$195,0)</f>
        <v/>
      </c>
      <c r="C10" s="1015" t="n"/>
      <c r="D10" s="1015" t="n"/>
      <c r="E10" s="1016" t="inlineStr">
        <is>
          <t>Female Band Effect</t>
        </is>
      </c>
      <c r="F10" s="1016" t="inlineStr">
        <is>
          <t>Huang</t>
        </is>
      </c>
      <c r="G10" s="449">
        <f>IF(H8 &gt;= 10, 'Drifter Priority'!D236, 'Drifter Priority'!C236)</f>
        <v/>
      </c>
      <c r="H10" s="1023" t="n">
        <v>20</v>
      </c>
      <c r="I10" s="1027">
        <f>0.03*H10</f>
        <v/>
      </c>
      <c r="J10" s="1026">
        <f>IF(H10&lt;20, 1, 0)*((FLOOR(B4*C4,1)+FLOOR(B5*C5,1)+FLOOR(B6*C6,1))*0.03*SUM(1, I9))</f>
        <v/>
      </c>
      <c r="K10" s="1015" t="n"/>
      <c r="L10" s="1015" t="n"/>
      <c r="M10" s="1015" t="n"/>
      <c r="N10" s="1015" t="n"/>
      <c r="O10" s="1015" t="n"/>
      <c r="P10" s="1015" t="n"/>
      <c r="Q10" s="1015" t="n"/>
      <c r="R10" s="1015" t="n"/>
      <c r="S10" s="972" t="n"/>
      <c r="T10" s="972" t="n"/>
    </row>
    <row r="11">
      <c r="A11" s="1013" t="inlineStr">
        <is>
          <t>Target Score</t>
        </is>
      </c>
      <c r="B11" s="1027">
        <f>XLOOKUP(B9,'Rift Anecdotes'!$B$174:$B$195,'Rift Anecdotes'!$G$174:$G$195,0)</f>
        <v/>
      </c>
      <c r="C11" s="1015" t="n"/>
      <c r="D11" s="1015" t="n"/>
      <c r="E11" s="1016" t="inlineStr">
        <is>
          <t>All Ally Effect</t>
        </is>
      </c>
      <c r="F11" s="1016" t="inlineStr">
        <is>
          <t>Dracula</t>
        </is>
      </c>
      <c r="G11" s="449">
        <f>IF(H9 &gt;= 10, 'Drifter Priority'!D107, 'Drifter Priority'!C107)</f>
        <v/>
      </c>
      <c r="H11" s="1023" t="n">
        <v>20</v>
      </c>
      <c r="I11" s="1027">
        <f>0.02*H11</f>
        <v/>
      </c>
      <c r="J11" s="1026">
        <f>IF(H11&lt;20, 1, 0)*((FLOOR(B2*C2,1)+FLOOR(B3*C3,1)+FLOOR(B4*C4,1)+FLOOR(B5*C5,1)+FLOOR(B6*C6,1))*0.02*SUM(1, I9))</f>
        <v/>
      </c>
      <c r="K11" s="1015" t="n"/>
      <c r="L11" s="1015" t="n"/>
      <c r="M11" s="1015" t="n"/>
      <c r="N11" s="1015" t="n"/>
      <c r="O11" s="1015" t="n"/>
      <c r="P11" s="1015" t="n"/>
      <c r="Q11" s="1015" t="n"/>
      <c r="R11" s="1015" t="n"/>
      <c r="S11" s="972" t="n"/>
      <c r="T11" s="972" t="n"/>
    </row>
    <row r="12">
      <c r="A12" s="1159" t="inlineStr">
        <is>
          <t>Standard</t>
        </is>
      </c>
      <c r="B12" s="1129" t="n"/>
      <c r="C12" s="1015" t="n"/>
      <c r="D12" s="1015" t="n"/>
      <c r="E12" s="1016" t="inlineStr">
        <is>
          <t>As a Singer Effect</t>
        </is>
      </c>
      <c r="F12" s="1016" t="inlineStr">
        <is>
          <t>Dracula</t>
        </is>
      </c>
      <c r="G12" s="449">
        <f>IF(H10 &gt;= 10, 'Drifter Priority'!D105, 'Drifter Priority'!C105)</f>
        <v/>
      </c>
      <c r="H12" s="1023" t="n">
        <v>20</v>
      </c>
      <c r="I12" s="1027">
        <f>0.04*H12</f>
        <v/>
      </c>
      <c r="J12" s="1026">
        <f>IF(H12&lt;20, 1, 0)*((FLOOR(B2*C2,1))*0.04*SUM(1, I9))</f>
        <v/>
      </c>
      <c r="K12" s="1015" t="n"/>
      <c r="L12" s="1015" t="n"/>
      <c r="M12" s="1015" t="n"/>
      <c r="N12" s="1015" t="n"/>
      <c r="O12" s="1015" t="n"/>
      <c r="P12" s="1015" t="n"/>
      <c r="Q12" s="1015" t="n"/>
      <c r="R12" s="1015" t="n"/>
      <c r="S12" s="972" t="n"/>
      <c r="T12" s="972" t="n"/>
    </row>
    <row r="13">
      <c r="A13" s="1013" t="inlineStr">
        <is>
          <t>Expected Score</t>
        </is>
      </c>
      <c r="B13" s="1029">
        <f>SUM(O2:O6)+I19+I20</f>
        <v/>
      </c>
      <c r="C13" s="1015" t="n"/>
      <c r="D13" s="1015" t="n"/>
      <c r="E13" s="1016" t="inlineStr">
        <is>
          <t>Ally Singer Effect</t>
        </is>
      </c>
      <c r="F13" s="1016" t="inlineStr">
        <is>
          <t>Idol Boy</t>
        </is>
      </c>
      <c r="G13" s="449">
        <f>IF(H11 &gt;= 10, 'Drifter Priority'!D283, 'Drifter Priority'!C283)</f>
        <v/>
      </c>
      <c r="H13" s="1023" t="n">
        <v>20</v>
      </c>
      <c r="I13" s="1027">
        <f>0.04*H13</f>
        <v/>
      </c>
      <c r="J13" s="1026">
        <f>IF(H13&lt;20, 1, 0)*((FLOOR(B2*C2,1)+FLOOR(B3*C3,1))*0.04*SUM(1, I9))</f>
        <v/>
      </c>
      <c r="K13" s="1015" t="n"/>
      <c r="L13" s="1015" t="n"/>
      <c r="M13" s="1015" t="n"/>
      <c r="N13" s="1015" t="n"/>
      <c r="O13" s="1015" t="n"/>
      <c r="P13" s="1015" t="n"/>
      <c r="Q13" s="1015" t="n"/>
      <c r="R13" s="1015" t="n"/>
      <c r="S13" s="972" t="n"/>
      <c r="T13" s="972" t="n"/>
    </row>
    <row r="14">
      <c r="A14" s="1013" t="inlineStr">
        <is>
          <t>Difference</t>
        </is>
      </c>
      <c r="B14" s="1024">
        <f>B11-B13</f>
        <v/>
      </c>
      <c r="C14" s="825" t="n"/>
      <c r="D14" s="1015" t="n"/>
      <c r="E14" s="1016" t="inlineStr">
        <is>
          <t>As Musician Effect</t>
        </is>
      </c>
      <c r="F14" s="1016" t="inlineStr">
        <is>
          <t>Commissioner</t>
        </is>
      </c>
      <c r="G14" s="449">
        <f>IF(H12 &gt;= 10, 'Drifter Priority'!D266, 'Drifter Priority'!C266)</f>
        <v/>
      </c>
      <c r="H14" s="1023" t="n">
        <v>20</v>
      </c>
      <c r="I14" s="1027">
        <f>0.04*H14</f>
        <v/>
      </c>
      <c r="J14" s="1026">
        <f>IF(H14&lt;20, 1, 0)*((FLOOR(B6*C6,1))*0.04*SUM(1, I9))</f>
        <v/>
      </c>
      <c r="K14" s="1015" t="n"/>
      <c r="L14" s="1015" t="n"/>
      <c r="M14" s="1015" t="n"/>
      <c r="N14" s="1015" t="n"/>
      <c r="O14" s="1015" t="n"/>
      <c r="P14" s="1015" t="n"/>
      <c r="Q14" s="1015" t="n"/>
      <c r="R14" s="1015" t="n"/>
      <c r="S14" s="972" t="n"/>
      <c r="T14" s="972" t="n"/>
    </row>
    <row r="15">
      <c r="A15" s="1006" t="inlineStr">
        <is>
          <t>Result</t>
        </is>
      </c>
      <c r="B15" s="1030">
        <f>IF(B13&gt;B11, "Win", "Lose")</f>
        <v/>
      </c>
      <c r="C15" s="1015" t="n"/>
      <c r="D15" s="1015" t="n"/>
      <c r="E15" s="1016" t="inlineStr">
        <is>
          <t>Ally Musician Effect</t>
        </is>
      </c>
      <c r="F15" s="1016" t="inlineStr">
        <is>
          <t>Commissioner</t>
        </is>
      </c>
      <c r="G15" s="449">
        <f>IF(H13 &gt;= 10, 'Drifter Priority'!D268, 'Drifter Priority'!C268)</f>
        <v/>
      </c>
      <c r="H15" s="1023" t="n">
        <v>20</v>
      </c>
      <c r="I15" s="1027">
        <f>0.03*H15</f>
        <v/>
      </c>
      <c r="J15" s="1026">
        <f>IF(H15&lt;20, 1, 0)*(FLOOR(B4*C4,1)+FLOOR(B5*C5,1)+FLOOR(B6*C6,1))*0.03*SUM(1, I9)</f>
        <v/>
      </c>
      <c r="K15" s="1015" t="n"/>
      <c r="L15" s="1015" t="n"/>
      <c r="M15" s="1015" t="n"/>
      <c r="N15" s="1015" t="n"/>
      <c r="O15" s="1015" t="n"/>
      <c r="P15" s="1015" t="n"/>
      <c r="Q15" s="1015" t="n"/>
      <c r="R15" s="1015" t="n"/>
      <c r="S15" s="972" t="n"/>
      <c r="T15" s="972" t="n"/>
    </row>
    <row r="16">
      <c r="A16" s="1159" t="inlineStr">
        <is>
          <t>With Mysterious Bonus</t>
        </is>
      </c>
      <c r="B16" s="1129" t="n"/>
      <c r="C16" s="1015" t="n"/>
      <c r="D16" s="1015" t="n"/>
      <c r="E16" s="1016" t="inlineStr">
        <is>
          <t>Remix Effect</t>
        </is>
      </c>
      <c r="F16" s="1016" t="inlineStr">
        <is>
          <t>Dracula</t>
        </is>
      </c>
      <c r="G16" s="449">
        <f>IF(H14 &gt;= 10, 'Drifter Priority'!D106, 'Drifter Priority'!C106)</f>
        <v/>
      </c>
      <c r="H16" s="1023" t="n">
        <v>20</v>
      </c>
      <c r="I16" s="1027">
        <f>0.05*H16</f>
        <v/>
      </c>
      <c r="J16" s="1026">
        <f>IF(H16&lt;20, 1, 0)*((FLOOR(B2*C2,1))*0.05*SUM(1, I9))</f>
        <v/>
      </c>
      <c r="K16" s="1015" t="n"/>
      <c r="L16" s="1015" t="n"/>
      <c r="M16" s="1015" t="n"/>
      <c r="N16" s="1015" t="n"/>
      <c r="O16" s="1015" t="n"/>
      <c r="P16" s="1015" t="n"/>
      <c r="Q16" s="1015" t="n"/>
      <c r="R16" s="1015" t="n"/>
      <c r="S16" s="972" t="n"/>
      <c r="T16" s="972" t="n"/>
    </row>
    <row r="17">
      <c r="A17" s="1013" t="inlineStr">
        <is>
          <t>Expected Score</t>
        </is>
      </c>
      <c r="B17" s="1029">
        <f>B13+15000</f>
        <v/>
      </c>
      <c r="C17" s="1015" t="n"/>
      <c r="D17" s="1015" t="n"/>
      <c r="E17" s="1016" t="inlineStr">
        <is>
          <t>Samba Effect</t>
        </is>
      </c>
      <c r="F17" s="1016" t="inlineStr">
        <is>
          <t>Idol Boy</t>
        </is>
      </c>
      <c r="G17" s="449">
        <f>IF(H15 &gt;= 10, 'Drifter Priority'!D284, 'Drifter Priority'!C284)</f>
        <v/>
      </c>
      <c r="H17" s="1023" t="n">
        <v>20</v>
      </c>
      <c r="I17" s="1027">
        <f>0.05*H17</f>
        <v/>
      </c>
      <c r="J17" s="1026">
        <f>IF(H17&lt;20, 1, 0)*((FLOOR(B3*C3,1))*0.05*SUM(1, I9))</f>
        <v/>
      </c>
      <c r="K17" s="1015" t="n"/>
      <c r="L17" s="1015" t="n"/>
      <c r="M17" s="1015" t="n"/>
      <c r="N17" s="1015" t="n"/>
      <c r="O17" s="1015" t="n"/>
      <c r="P17" s="1015" t="n"/>
      <c r="Q17" s="1015" t="n"/>
      <c r="R17" s="1015" t="n"/>
      <c r="S17" s="972" t="n"/>
      <c r="T17" s="972" t="n"/>
    </row>
    <row r="18">
      <c r="A18" s="1013" t="inlineStr">
        <is>
          <t>Difference</t>
        </is>
      </c>
      <c r="B18" s="1024">
        <f>B11-B17</f>
        <v/>
      </c>
      <c r="C18" s="1015" t="n"/>
      <c r="D18" s="1015" t="n"/>
      <c r="E18" s="1016" t="inlineStr">
        <is>
          <t>Blues Effect</t>
        </is>
      </c>
      <c r="F18" s="1016" t="inlineStr">
        <is>
          <t>Athena</t>
        </is>
      </c>
      <c r="G18" s="449">
        <f>IF(H16 &gt;= 10, 'Drifter Priority'!D125, 'Drifter Priority'!C125)</f>
        <v/>
      </c>
      <c r="H18" s="1023" t="n">
        <v>10</v>
      </c>
      <c r="I18" s="1027">
        <f>0.05*H18</f>
        <v/>
      </c>
      <c r="J18" s="1026">
        <f>IF(H18&lt;20, 1, 0)*((FLOOR(B5*C5,1))*0.05*SUM(1, I9))</f>
        <v/>
      </c>
      <c r="K18" s="1015" t="n"/>
      <c r="L18" s="1015" t="n"/>
      <c r="M18" s="1015" t="n"/>
      <c r="N18" s="1015" t="n"/>
      <c r="O18" s="1015" t="n"/>
      <c r="P18" s="1015" t="n"/>
      <c r="Q18" s="1015" t="n"/>
      <c r="R18" s="1015" t="n"/>
      <c r="S18" s="972" t="n"/>
      <c r="T18" s="972" t="n"/>
    </row>
    <row r="19">
      <c r="A19" s="1006" t="inlineStr">
        <is>
          <t>Result</t>
        </is>
      </c>
      <c r="B19" s="1030">
        <f>IF(B17&gt;B11, "Win", "Lose")</f>
        <v/>
      </c>
      <c r="C19" s="1015" t="n"/>
      <c r="D19" s="1015" t="n"/>
      <c r="E19" s="1016" t="inlineStr">
        <is>
          <t>Stage Control</t>
        </is>
      </c>
      <c r="F19" s="1016" t="inlineStr">
        <is>
          <t>Idol Boy</t>
        </is>
      </c>
      <c r="G19" s="449">
        <f>IF(H17 &gt;= 10, 'Drifter Priority'!D282, 'Drifter Priority'!C282)</f>
        <v/>
      </c>
      <c r="H19" s="1023" t="n">
        <v>20</v>
      </c>
      <c r="I19" s="1027">
        <f>500*H19</f>
        <v/>
      </c>
      <c r="J19" s="1031">
        <f>IF(H19&gt;=0,1,0)*IF(H19&lt;20,1,0)*500</f>
        <v/>
      </c>
      <c r="K19" s="1015" t="n"/>
      <c r="L19" s="1015" t="n"/>
      <c r="M19" s="1015" t="n"/>
      <c r="N19" s="1015" t="n"/>
      <c r="O19" s="1015" t="n"/>
      <c r="P19" s="1015" t="n"/>
      <c r="Q19" s="1015" t="n"/>
      <c r="R19" s="1015" t="n"/>
      <c r="S19" s="972" t="n"/>
      <c r="T19" s="972" t="n"/>
    </row>
    <row r="20">
      <c r="A20" s="1015" t="inlineStr">
        <is>
          <t>Credit: SYT for base calculator</t>
        </is>
      </c>
      <c r="B20" s="1015" t="n"/>
      <c r="C20" s="1015" t="n"/>
      <c r="D20" s="1015" t="n"/>
      <c r="E20" s="1032" t="inlineStr">
        <is>
          <t>Athena's Delight</t>
        </is>
      </c>
      <c r="F20" s="1032" t="inlineStr">
        <is>
          <t>Athena</t>
        </is>
      </c>
      <c r="G20" s="449">
        <f>IF(H18 &gt;= 10, 'Drifter Priority'!D124, 'Drifter Priority'!C124)</f>
        <v/>
      </c>
      <c r="H20" s="1033" t="n">
        <v>20</v>
      </c>
      <c r="I20" s="1027">
        <f>IF(H20&gt;10,1,0)*(H20-10)*1000</f>
        <v/>
      </c>
      <c r="J20" s="1027">
        <f>IF(H20&gt;=10,1,0)*IF(H20&lt;20,1,0)*1000</f>
        <v/>
      </c>
      <c r="K20" s="1015" t="n"/>
      <c r="L20" s="1015" t="n"/>
      <c r="M20" s="1015" t="n"/>
      <c r="N20" s="1015" t="n"/>
      <c r="O20" s="1015" t="n"/>
      <c r="P20" s="1015" t="n"/>
      <c r="Q20" s="1015" t="n"/>
      <c r="R20" s="1015" t="n"/>
      <c r="S20" s="972" t="n"/>
      <c r="T20" s="972" t="n"/>
    </row>
    <row r="21">
      <c r="A21" s="1015" t="n"/>
      <c r="B21" s="1015" t="n"/>
      <c r="C21" s="1015" t="n"/>
      <c r="D21" s="1015" t="n"/>
      <c r="E21" s="1034" t="n"/>
      <c r="F21" s="1034" t="n"/>
      <c r="G21" s="1034" t="n"/>
      <c r="H21" s="1034" t="n"/>
      <c r="I21" s="1015" t="n"/>
      <c r="J21" s="1015" t="n"/>
      <c r="K21" s="1015" t="n"/>
      <c r="L21" s="1015" t="n"/>
      <c r="M21" s="1015" t="n"/>
      <c r="N21" s="1015" t="n"/>
      <c r="O21" s="1015" t="n"/>
      <c r="P21" s="1015" t="n"/>
      <c r="Q21" s="1015" t="n"/>
      <c r="R21" s="1015" t="n"/>
      <c r="S21" s="972" t="n"/>
      <c r="T21" s="972" t="n"/>
    </row>
    <row r="22">
      <c r="A22" s="1015" t="n"/>
      <c r="B22" s="1015" t="n"/>
      <c r="C22" s="1015" t="n"/>
      <c r="D22" s="1015" t="n"/>
      <c r="G22" s="1015" t="n"/>
      <c r="H22" s="1015" t="n"/>
      <c r="I22" s="1015" t="n"/>
      <c r="J22" s="1015" t="n"/>
      <c r="K22" s="1015" t="n"/>
      <c r="L22" s="1015" t="n"/>
      <c r="M22" s="1015" t="n"/>
      <c r="N22" s="1015" t="n"/>
      <c r="O22" s="1015" t="n"/>
      <c r="P22" s="1015" t="n"/>
      <c r="Q22" s="1015" t="n"/>
      <c r="R22" s="1015" t="n"/>
      <c r="S22" s="972" t="n"/>
      <c r="T22" s="972" t="n"/>
    </row>
    <row r="23">
      <c r="A23" s="972" t="n"/>
      <c r="B23" s="972" t="n"/>
      <c r="C23" s="972" t="n"/>
      <c r="D23" s="972" t="n"/>
      <c r="E23" s="972" t="n"/>
      <c r="F23" s="972" t="n"/>
      <c r="G23" s="972" t="n"/>
      <c r="H23" s="972" t="n"/>
      <c r="I23" s="972" t="n"/>
      <c r="J23" s="972" t="n"/>
      <c r="K23" s="972" t="n"/>
      <c r="L23" s="972" t="n"/>
      <c r="M23" s="972" t="n"/>
      <c r="N23" s="972" t="n"/>
      <c r="O23" s="972" t="n"/>
      <c r="P23" s="972" t="n"/>
      <c r="Q23" s="972" t="n"/>
      <c r="R23" s="972" t="n"/>
      <c r="S23" s="972" t="n"/>
      <c r="T23" s="972" t="n"/>
    </row>
    <row r="24"/>
  </sheetData>
  <mergeCells count="2">
    <mergeCell ref="A16:B16"/>
    <mergeCell ref="A12:B12"/>
  </mergeCells>
  <conditionalFormatting sqref="B15 B19">
    <cfRule type="cellIs" priority="1" operator="equal" dxfId="32">
      <formula>"Win"</formula>
    </cfRule>
    <cfRule type="cellIs" priority="2" operator="equal" dxfId="33">
      <formula>"Lose"</formula>
    </cfRule>
  </conditionalFormatting>
  <dataValidations count="4">
    <dataValidation sqref="G9:G20" showDropDown="0" showInputMessage="0" showErrorMessage="1" allowBlank="1" type="list">
      <formula1>"S,A,B/A,B,C/B,C,D/B,D/C,D,F,TBD,Variable"</formula1>
    </dataValidation>
    <dataValidation sqref="B9" showDropDown="0" showInputMessage="0" showErrorMessage="1" allowBlank="1" type="list">
      <formula1>"Live in Bucharest,Pairs Opera House,Theatre of Epidaurus,Theatre of Dionysus,Theatre of Merida,Shakespeare's Globe,Musikverein,The Grimmys,La Scala,Empty Fort Strat,The Peatles Concert,Nomad Flute Songs,Woodstock,Bolshoi Theatre,Sydney Opera House,Lucerne"&amp;" Festival,Hungarian Rhapsodie,Beowulf,Salzburg Festival,The Nine Songs,Waldbuehne Berlin,Canticle"</formula1>
    </dataValidation>
    <dataValidation sqref="B10" showDropDown="1" showInputMessage="0" showErrorMessage="1" allowBlank="1" type="list">
      <formula1>"Blues,Remix,Samba"</formula1>
    </dataValidation>
    <dataValidation sqref="A2:A6" showDropDown="0" showInputMessage="0" showErrorMessage="0" allowBlank="1" errorTitle="Invalid Drifter" error="Please select a valid drifter name from the list." promptTitle="Drifter Selection" prompt="Select a drifter name" type="list">
      <formula1>'Drifter Stats'!$A$4:$A$24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Z72"/>
  <sheetViews>
    <sheetView workbookViewId="0">
      <selection activeCell="A1" sqref="A1"/>
    </sheetView>
  </sheetViews>
  <sheetFormatPr baseColWidth="8" defaultColWidth="9.18" defaultRowHeight="15" customHeight="1"/>
  <cols>
    <col width="14.45" customWidth="1" style="1128" min="1" max="1"/>
    <col width="14.09" customWidth="1" style="1128" min="2" max="2"/>
    <col width="10" customWidth="1" style="1128" min="3" max="3"/>
    <col width="11.27" customWidth="1" style="1128" min="4" max="4"/>
    <col width="14" customWidth="1" style="1128" min="5" max="5"/>
    <col width="10.73" customWidth="1" style="1128" min="6" max="6"/>
    <col width="7" customWidth="1" style="1128" min="7" max="7"/>
    <col width="14.18" customWidth="1" style="1128" min="8" max="8"/>
    <col width="11.91" customWidth="1" style="1128" min="9" max="9"/>
  </cols>
  <sheetData>
    <row r="1">
      <c r="A1" s="1006" t="inlineStr">
        <is>
          <t>Drifter</t>
        </is>
      </c>
      <c r="B1" s="1006" t="inlineStr">
        <is>
          <t>Current Level</t>
        </is>
      </c>
      <c r="C1" s="1006" t="inlineStr">
        <is>
          <t>Talent per Lvl</t>
        </is>
      </c>
      <c r="D1" s="1006">
        <f>E22</f>
        <v/>
      </c>
      <c r="E1" s="1006">
        <f>E14</f>
        <v/>
      </c>
      <c r="F1" s="1006">
        <f>E17</f>
        <v/>
      </c>
      <c r="G1" s="1006">
        <f>E13</f>
        <v/>
      </c>
      <c r="H1" s="1006" t="inlineStr">
        <is>
          <t>Firepower Contributed</t>
        </is>
      </c>
      <c r="I1" s="1006" t="inlineStr">
        <is>
          <t>Armor Contributed</t>
        </is>
      </c>
      <c r="J1" s="1037" t="n"/>
      <c r="K1" s="1037" t="n"/>
      <c r="L1" s="1037" t="n"/>
      <c r="M1" s="1037" t="n"/>
      <c r="N1" s="1037" t="n"/>
      <c r="O1" s="1037" t="n"/>
      <c r="P1" s="1037" t="n"/>
      <c r="Q1" s="1037" t="n"/>
      <c r="R1" s="1037" t="n"/>
      <c r="S1" s="1037" t="n"/>
      <c r="T1" s="1037" t="n"/>
      <c r="U1" s="1037" t="n"/>
      <c r="V1" s="1037" t="n"/>
      <c r="W1" s="1037" t="n"/>
      <c r="X1" s="1037" t="n"/>
      <c r="Y1" s="1037" t="n"/>
      <c r="Z1" s="1037" t="n"/>
    </row>
    <row r="2">
      <c r="A2" s="1103" t="inlineStr">
        <is>
          <t>Peacekeeper</t>
        </is>
      </c>
      <c r="B2" s="1017" t="n">
        <v>35</v>
      </c>
      <c r="C2" s="1108">
        <f>XLOOKUP(A2,'Drifter Stats'!$A$4:$A$24,'Drifter Stats'!$D$4:$D$24,0)</f>
        <v/>
      </c>
      <c r="D2" s="1108">
        <f>$I$22*(COUNTIF($A$11:$A$14, $F$22)&gt;0)</f>
        <v/>
      </c>
      <c r="E2" s="1108">
        <f>$I$14*(COUNTIF($A$11:$A$14, $F$14)&gt;0)</f>
        <v/>
      </c>
      <c r="F2" s="1104" t="n"/>
      <c r="G2" s="1108">
        <f>$I$13*(COUNTIF($A$11:$A$14, $F$13)&gt;0)</f>
        <v/>
      </c>
      <c r="H2" s="1108">
        <f>B2*C2*(1+D2)+E2+F2</f>
        <v/>
      </c>
      <c r="I2" s="1108">
        <f>B2*C2*(1+D2)*10+G2</f>
        <v/>
      </c>
      <c r="J2" s="1037" t="n"/>
      <c r="K2" s="1037" t="n"/>
      <c r="L2" s="1037" t="n"/>
      <c r="M2" s="1037" t="n"/>
      <c r="N2" s="1037" t="n"/>
      <c r="O2" s="1037" t="n"/>
      <c r="P2" s="1037" t="n"/>
      <c r="Q2" s="1037" t="n"/>
      <c r="R2" s="1037" t="n"/>
      <c r="S2" s="1037" t="inlineStr">
        <is>
          <t>Treasure Island</t>
        </is>
      </c>
      <c r="T2" s="1037" t="inlineStr">
        <is>
          <t>Battle of Sinop</t>
        </is>
      </c>
      <c r="U2" s="1037" t="n"/>
      <c r="V2" s="1037" t="inlineStr">
        <is>
          <t>Anecdote</t>
        </is>
      </c>
      <c r="W2" s="1037" t="inlineStr">
        <is>
          <t>Enemy Seafaring</t>
        </is>
      </c>
      <c r="X2" s="1037" t="inlineStr">
        <is>
          <t>Enemy Firepower</t>
        </is>
      </c>
      <c r="Y2" s="1037" t="inlineStr">
        <is>
          <t>Firepower / Seafaring</t>
        </is>
      </c>
      <c r="Z2" s="1037" t="n"/>
    </row>
    <row r="3">
      <c r="A3" s="1103" t="inlineStr">
        <is>
          <t>St. Trinidad</t>
        </is>
      </c>
      <c r="B3" s="1017" t="n">
        <v>53</v>
      </c>
      <c r="C3" s="1108">
        <f>XLOOKUP(A3,'Drifter Stats'!$A$4:$A$24,'Drifter Stats'!$D$4:$D$24,0)</f>
        <v/>
      </c>
      <c r="D3" s="1108">
        <f>$I$22*(COUNTIF($A$11:$A$14, $F$22)&gt;0)</f>
        <v/>
      </c>
      <c r="E3" s="1108">
        <f>$I$14*(COUNTIF($A$11:$A$14, $F$14)&gt;0)</f>
        <v/>
      </c>
      <c r="F3" s="1104" t="n"/>
      <c r="G3" s="1108">
        <f>$I$13*(COUNTIF($A$11:$A$14, $F$13)&gt;0)</f>
        <v/>
      </c>
      <c r="H3" s="1108">
        <f>B3*C3*(1+D3)+E3+F3</f>
        <v/>
      </c>
      <c r="I3" s="1108">
        <f>B3*C3*(1+D3)*10+G3</f>
        <v/>
      </c>
      <c r="J3" s="1037" t="n"/>
      <c r="K3" s="1037" t="n"/>
      <c r="L3" s="1037" t="n"/>
      <c r="M3" s="1037" t="n"/>
      <c r="N3" s="1037" t="n"/>
      <c r="O3" s="1037" t="n"/>
      <c r="P3" s="1037" t="n"/>
      <c r="Q3" s="1037" t="n"/>
      <c r="R3" s="1037" t="n"/>
      <c r="S3" s="1036" t="n">
        <v>32235</v>
      </c>
      <c r="T3" s="1036" t="n">
        <v>34643</v>
      </c>
      <c r="U3" s="1037" t="n"/>
      <c r="V3" s="1037" t="inlineStr">
        <is>
          <t>Treasure Island</t>
        </is>
      </c>
      <c r="W3" s="1036" t="n">
        <v>58595</v>
      </c>
      <c r="X3" s="1036">
        <f>S46</f>
        <v/>
      </c>
      <c r="Y3" s="1036">
        <f>X3/W3</f>
        <v/>
      </c>
      <c r="Z3" s="1037" t="n"/>
    </row>
    <row r="4">
      <c r="A4" s="1103" t="inlineStr">
        <is>
          <t>Soleil Royal</t>
        </is>
      </c>
      <c r="B4" s="1017" t="n">
        <v>52</v>
      </c>
      <c r="C4" s="1108">
        <f>XLOOKUP(A4,'Drifter Stats'!$A$4:$A$24,'Drifter Stats'!$D$4:$D$24,0)</f>
        <v/>
      </c>
      <c r="D4" s="1108">
        <f>$I$22*(COUNTIF($A$11:$A$14, $F$22)&gt;0)</f>
        <v/>
      </c>
      <c r="E4" s="1108">
        <f>$I$14*(COUNTIF($A$11:$A$14, $F$14)&gt;0)</f>
        <v/>
      </c>
      <c r="F4" s="1108">
        <f>I17*(COUNTIF($A$11:$A$14, $F$17)&gt;0)*(COUNTIF($A$11:$A$14, $F$14)&gt;0)</f>
        <v/>
      </c>
      <c r="G4" s="1108">
        <f>$I$13*(COUNTIF($A$11:$A$14, $F$13)&gt;0)</f>
        <v/>
      </c>
      <c r="H4" s="1108">
        <f>B4*C4*(1+D4)+E4+F4</f>
        <v/>
      </c>
      <c r="I4" s="1108">
        <f>B4*C4*(1+D4)*10+G4</f>
        <v/>
      </c>
      <c r="J4" s="1037" t="n"/>
      <c r="K4" s="1037" t="n"/>
      <c r="L4" s="1037" t="n"/>
      <c r="M4" s="1037" t="n"/>
      <c r="N4" s="1037" t="n"/>
      <c r="O4" s="1037" t="n"/>
      <c r="P4" s="1037" t="n"/>
      <c r="Q4" s="1037" t="n"/>
      <c r="R4" s="1037" t="n"/>
      <c r="S4" s="1036" t="n">
        <v>30031</v>
      </c>
      <c r="T4" s="1036" t="n">
        <v>35599</v>
      </c>
      <c r="U4" s="1037" t="n"/>
      <c r="V4" s="1037" t="inlineStr">
        <is>
          <t>Battle of Sinop</t>
        </is>
      </c>
      <c r="W4" s="1036" t="n">
        <v>69249</v>
      </c>
      <c r="X4" s="1036">
        <f>T46</f>
        <v/>
      </c>
      <c r="Y4" s="1036">
        <f>X4/W4</f>
        <v/>
      </c>
      <c r="Z4" s="1037" t="n"/>
    </row>
    <row r="5">
      <c r="A5" s="1103" t="inlineStr">
        <is>
          <t>Dragon Horse</t>
        </is>
      </c>
      <c r="B5" s="1017" t="n">
        <v>49</v>
      </c>
      <c r="C5" s="1108">
        <f>XLOOKUP(A5,'Drifter Stats'!$A$4:$A$24,'Drifter Stats'!$D$4:$D$24,0)</f>
        <v/>
      </c>
      <c r="D5" s="1108">
        <f>$I$22*(COUNTIF($A$11:$A$14, $F$22)&gt;0)</f>
        <v/>
      </c>
      <c r="E5" s="1108">
        <f>$I$14*(COUNTIF($A$11:$A$14, $F$14)&gt;0)</f>
        <v/>
      </c>
      <c r="F5" s="1104" t="n"/>
      <c r="G5" s="1108">
        <f>$I$13*(COUNTIF($A$11:$A$14, $F$13)&gt;0)</f>
        <v/>
      </c>
      <c r="H5" s="1108">
        <f>B5*C5*(1+D5)+E5+F5</f>
        <v/>
      </c>
      <c r="I5" s="1108">
        <f>B5*C5*(1+D5)*10+G5</f>
        <v/>
      </c>
      <c r="J5" s="1037" t="n"/>
      <c r="K5" s="1037" t="n"/>
      <c r="L5" s="1037" t="n"/>
      <c r="M5" s="1037" t="n"/>
      <c r="N5" s="1037" t="n"/>
      <c r="O5" s="1037" t="n"/>
      <c r="P5" s="1037" t="n"/>
      <c r="Q5" s="1037" t="n"/>
      <c r="R5" s="1037" t="n"/>
      <c r="S5" s="1036" t="n">
        <v>30137</v>
      </c>
      <c r="T5" s="1036" t="n">
        <v>34103</v>
      </c>
      <c r="U5" s="1037" t="n"/>
      <c r="V5" s="1037" t="n"/>
      <c r="W5" s="1037" t="n"/>
      <c r="X5" s="1037" t="n"/>
      <c r="Y5" s="1037" t="n"/>
      <c r="Z5" s="1037" t="n"/>
    </row>
    <row r="6">
      <c r="A6" s="1103" t="inlineStr">
        <is>
          <t>Tridentman</t>
        </is>
      </c>
      <c r="B6" s="1017" t="n">
        <v>42</v>
      </c>
      <c r="C6" s="1108">
        <f>XLOOKUP(A6,'Drifter Stats'!$A$4:$A$24,'Drifter Stats'!$D$4:$D$24,0)</f>
        <v/>
      </c>
      <c r="D6" s="1108">
        <f>$I$22*(COUNTIF($A$11:$A$14, $F$22)&gt;0)</f>
        <v/>
      </c>
      <c r="E6" s="1108">
        <f>$I$14*(COUNTIF($A$11:$A$14, $F$14)&gt;0)</f>
        <v/>
      </c>
      <c r="F6" s="1104" t="n"/>
      <c r="G6" s="1108">
        <f>$I$13*(COUNTIF($A$11:$A$14, $F$13)&gt;0)</f>
        <v/>
      </c>
      <c r="H6" s="1108">
        <f>B6*C6*(1+D6)+E6+F6</f>
        <v/>
      </c>
      <c r="I6" s="1108">
        <f>B6*C6*(1+D6)*10+G6</f>
        <v/>
      </c>
      <c r="J6" s="1037" t="n"/>
      <c r="K6" s="1037" t="n"/>
      <c r="L6" s="1037" t="n"/>
      <c r="M6" s="1037" t="n"/>
      <c r="N6" s="1037" t="n"/>
      <c r="O6" s="1037" t="n"/>
      <c r="P6" s="1037" t="n"/>
      <c r="Q6" s="1037" t="n"/>
      <c r="R6" s="1037" t="n"/>
      <c r="S6" s="1036" t="n">
        <v>29961</v>
      </c>
      <c r="T6" s="1036" t="n">
        <v>35570</v>
      </c>
      <c r="U6" s="1037" t="n"/>
      <c r="V6" s="1037" t="n"/>
      <c r="W6" s="1037" t="n"/>
      <c r="X6" s="1037" t="n"/>
      <c r="Y6" s="1037" t="n"/>
      <c r="Z6" s="1037" t="n"/>
    </row>
    <row r="7">
      <c r="A7" s="1037" t="n"/>
      <c r="B7" s="1037" t="n"/>
      <c r="C7" s="1037" t="n"/>
      <c r="D7" s="1037" t="n"/>
      <c r="E7" s="1037" t="n"/>
      <c r="F7" s="1037" t="n"/>
      <c r="G7" s="1037" t="n"/>
      <c r="H7" s="1037" t="n"/>
      <c r="I7" s="1037" t="n"/>
      <c r="J7" s="1037" t="n"/>
      <c r="K7" s="1037" t="n"/>
      <c r="L7" s="1037" t="n"/>
      <c r="M7" s="1037" t="n"/>
      <c r="N7" s="1037" t="n"/>
      <c r="O7" s="1037" t="n"/>
      <c r="P7" s="1037" t="n"/>
      <c r="Q7" s="1037" t="n"/>
      <c r="R7" s="1037" t="n"/>
      <c r="S7" s="1036" t="n">
        <v>31164</v>
      </c>
      <c r="T7" s="1036" t="n">
        <v>35620</v>
      </c>
      <c r="U7" s="1037" t="n"/>
      <c r="V7" s="1037" t="n"/>
      <c r="W7" s="1037" t="n"/>
      <c r="X7" s="1037" t="n"/>
      <c r="Y7" s="1037" t="n"/>
      <c r="Z7" s="1037" t="n"/>
    </row>
    <row r="8">
      <c r="A8" s="1037" t="n"/>
      <c r="B8" s="1037" t="n"/>
      <c r="C8" s="1037" t="n"/>
      <c r="D8" s="1037" t="n"/>
      <c r="E8" s="1037" t="n"/>
      <c r="F8" s="1037" t="n"/>
      <c r="G8" s="1037" t="n"/>
      <c r="H8" s="1037" t="n"/>
      <c r="I8" s="1037" t="n"/>
      <c r="J8" s="1037" t="n"/>
      <c r="K8" s="1037" t="n"/>
      <c r="L8" s="1037" t="n"/>
      <c r="M8" s="1037" t="n"/>
      <c r="N8" s="1037" t="n"/>
      <c r="O8" s="1037" t="n"/>
      <c r="P8" s="1037" t="n"/>
      <c r="Q8" s="1037" t="n"/>
      <c r="R8" s="1037" t="n"/>
      <c r="S8" s="1036" t="n">
        <v>29630</v>
      </c>
      <c r="T8" s="1036" t="n">
        <v>34072</v>
      </c>
      <c r="U8" s="1037" t="n"/>
      <c r="V8" s="1037" t="n"/>
      <c r="W8" s="1037" t="n"/>
      <c r="X8" s="1037" t="n"/>
      <c r="Y8" s="1037" t="n"/>
      <c r="Z8" s="1037" t="n"/>
    </row>
    <row r="9">
      <c r="A9" s="1037" t="n"/>
      <c r="B9" s="1037" t="n"/>
      <c r="C9" s="1037" t="n"/>
      <c r="D9" s="1037" t="n"/>
      <c r="E9" s="1037" t="n"/>
      <c r="F9" s="1037" t="n"/>
      <c r="G9" s="1037" t="n"/>
      <c r="H9" s="1037" t="n"/>
      <c r="I9" s="1037" t="n"/>
      <c r="J9" s="1037" t="n"/>
      <c r="K9" s="1037" t="n"/>
      <c r="L9" s="1037" t="n"/>
      <c r="M9" s="1037" t="n"/>
      <c r="N9" s="1037" t="n"/>
      <c r="O9" s="1037" t="n"/>
      <c r="P9" s="1037" t="n"/>
      <c r="Q9" s="1037" t="n"/>
      <c r="R9" s="1037" t="n"/>
      <c r="S9" s="1036" t="n">
        <v>30670</v>
      </c>
      <c r="T9" s="1036" t="n">
        <v>35750</v>
      </c>
      <c r="U9" s="1037" t="n"/>
      <c r="V9" s="1037" t="n"/>
      <c r="W9" s="1037" t="n"/>
      <c r="X9" s="1037" t="n"/>
      <c r="Y9" s="1037" t="n"/>
      <c r="Z9" s="1037" t="n"/>
    </row>
    <row r="10">
      <c r="A10" s="1038" t="inlineStr">
        <is>
          <t>Drifter</t>
        </is>
      </c>
      <c r="B10" s="1006" t="inlineStr">
        <is>
          <t>Firepower</t>
        </is>
      </c>
      <c r="C10" s="1006" t="inlineStr">
        <is>
          <t>Armor</t>
        </is>
      </c>
      <c r="D10" s="1037" t="n"/>
      <c r="E10" s="1006" t="inlineStr">
        <is>
          <t>Skill Type</t>
        </is>
      </c>
      <c r="F10" s="999" t="inlineStr">
        <is>
          <t>Owner</t>
        </is>
      </c>
      <c r="G10" s="999" t="inlineStr">
        <is>
          <t>Rating</t>
        </is>
      </c>
      <c r="H10" s="999" t="inlineStr">
        <is>
          <t>Level</t>
        </is>
      </c>
      <c r="I10" s="999" t="inlineStr">
        <is>
          <t>Effect</t>
        </is>
      </c>
      <c r="J10" s="1006" t="inlineStr">
        <is>
          <t>% DMG Buff</t>
        </is>
      </c>
      <c r="K10" s="1037" t="n"/>
      <c r="L10" s="1037" t="n"/>
      <c r="M10" s="1037" t="n"/>
      <c r="N10" s="1037" t="n"/>
      <c r="O10" s="1037" t="n"/>
      <c r="P10" s="1037" t="n"/>
      <c r="Q10" s="1037" t="n"/>
      <c r="R10" s="1037" t="n"/>
      <c r="S10" s="1036" t="n">
        <v>29684</v>
      </c>
      <c r="T10" s="1036" t="n">
        <v>35299</v>
      </c>
      <c r="U10" s="1037" t="n"/>
      <c r="V10" s="1037" t="n"/>
      <c r="W10" s="1037" t="n"/>
      <c r="X10" s="1037" t="n"/>
      <c r="Y10" s="1037" t="n"/>
      <c r="Z10" s="1037" t="n"/>
    </row>
    <row r="11">
      <c r="A11" s="1075" t="inlineStr">
        <is>
          <t>St. Trinidad</t>
        </is>
      </c>
      <c r="B11" s="1108">
        <f>XLOOKUP(A11,$A$1:$A$6,$H$1:$H$6,0)</f>
        <v/>
      </c>
      <c r="C11" s="1108">
        <f>XLOOKUP(A11,$A$1:$A$6,$I$1:$I$6,0)</f>
        <v/>
      </c>
      <c r="D11" s="1037" t="n"/>
      <c r="E11" s="1010" t="inlineStr">
        <is>
          <t>Reduce Damage Taken</t>
        </is>
      </c>
      <c r="F11" s="1003" t="inlineStr">
        <is>
          <t>Peacekeeper</t>
        </is>
      </c>
      <c r="G11" s="449">
        <f>IF(H9 &gt;= 10, 'Drifter Priority'!D299, 'Drifter Priority'!C299)</f>
        <v/>
      </c>
      <c r="H11" s="1017" t="n">
        <v>20</v>
      </c>
      <c r="I11" s="1005">
        <f>0.01*H11</f>
        <v/>
      </c>
      <c r="J11" s="1044" t="n">
        <v>0.1523301748314632</v>
      </c>
      <c r="K11" s="1041" t="n"/>
      <c r="L11" s="1041" t="n"/>
      <c r="M11" s="1041" t="n"/>
      <c r="N11" s="1037" t="n"/>
      <c r="O11" s="1037" t="n"/>
      <c r="P11" s="1037" t="n"/>
      <c r="Q11" s="1037" t="n"/>
      <c r="R11" s="1037" t="n"/>
      <c r="S11" s="1036" t="n">
        <v>30022</v>
      </c>
      <c r="T11" s="1036" t="n">
        <v>35590</v>
      </c>
      <c r="U11" s="1037" t="n"/>
      <c r="V11" s="1037" t="n"/>
      <c r="W11" s="1037" t="n"/>
      <c r="X11" s="1037" t="n"/>
      <c r="Y11" s="1037" t="n"/>
      <c r="Z11" s="1037" t="n"/>
    </row>
    <row r="12">
      <c r="A12" s="1075" t="inlineStr">
        <is>
          <t>Soleil Royal</t>
        </is>
      </c>
      <c r="B12" s="1108">
        <f>XLOOKUP(A12,$A$1:$A$6,$H$1:$H$6,0)</f>
        <v/>
      </c>
      <c r="C12" s="1108">
        <f>XLOOKUP(A12,$A$1:$A$6,$I$1:$I$6,0)</f>
        <v/>
      </c>
      <c r="D12" s="1037" t="n"/>
      <c r="E12" s="1010" t="inlineStr">
        <is>
          <t>Armor Repair/Round</t>
        </is>
      </c>
      <c r="F12" s="1003" t="inlineStr">
        <is>
          <t>Peacekeeper</t>
        </is>
      </c>
      <c r="G12" s="449">
        <f>IF(H10 &gt;= 10, 'Drifter Priority'!D298, 'Drifter Priority'!C298)</f>
        <v/>
      </c>
      <c r="H12" s="1017" t="n">
        <v>20</v>
      </c>
      <c r="I12" s="1005">
        <f>150*H12</f>
        <v/>
      </c>
      <c r="J12" s="1044" t="n">
        <v>0.05964885964834887</v>
      </c>
      <c r="K12" s="1041" t="n"/>
      <c r="L12" s="1041" t="n"/>
      <c r="M12" s="1041" t="n"/>
      <c r="N12" s="1037" t="n"/>
      <c r="O12" s="1037" t="n"/>
      <c r="P12" s="1037" t="n"/>
      <c r="Q12" s="1037" t="n"/>
      <c r="R12" s="1037" t="n"/>
      <c r="S12" s="1036" t="n">
        <v>29671</v>
      </c>
      <c r="T12" s="1036" t="n">
        <v>35660</v>
      </c>
      <c r="U12" s="1037" t="n"/>
      <c r="V12" s="1037" t="n"/>
      <c r="W12" s="1037" t="n"/>
      <c r="X12" s="1037" t="n"/>
      <c r="Y12" s="1037" t="n"/>
      <c r="Z12" s="1037" t="n"/>
    </row>
    <row r="13">
      <c r="A13" s="1075" t="inlineStr">
        <is>
          <t>Dragon Horse</t>
        </is>
      </c>
      <c r="B13" s="1108">
        <f>XLOOKUP(A13,$A$1:$A$6,$H$1:$H$6,0)</f>
        <v/>
      </c>
      <c r="C13" s="1108">
        <f>XLOOKUP(A13,$A$1:$A$6,$I$1:$I$6,0)</f>
        <v/>
      </c>
      <c r="D13" s="1037" t="n"/>
      <c r="E13" s="1010" t="inlineStr">
        <is>
          <t>Ally Armor</t>
        </is>
      </c>
      <c r="F13" s="1003" t="inlineStr">
        <is>
          <t>Peacekeeper</t>
        </is>
      </c>
      <c r="G13" s="449">
        <f>IF(H11 &gt;= 10, 'Drifter Priority'!D300, 'Drifter Priority'!C300)</f>
        <v/>
      </c>
      <c r="H13" s="1017" t="n">
        <v>20</v>
      </c>
      <c r="I13" s="1005">
        <f>1500*H13</f>
        <v/>
      </c>
      <c r="J13" s="1044" t="n">
        <v>0.151039109851707</v>
      </c>
      <c r="K13" s="1041" t="n"/>
      <c r="L13" s="1041" t="n"/>
      <c r="M13" s="1041" t="n"/>
      <c r="N13" s="1037" t="n"/>
      <c r="O13" s="1037" t="n"/>
      <c r="P13" s="1037" t="n"/>
      <c r="Q13" s="1037" t="n"/>
      <c r="R13" s="1037" t="n"/>
      <c r="S13" s="1036" t="n">
        <v>31854</v>
      </c>
      <c r="T13" s="1036" t="n">
        <v>35192</v>
      </c>
      <c r="U13" s="1037" t="n"/>
      <c r="V13" s="1037" t="n"/>
      <c r="W13" s="1037" t="n"/>
      <c r="X13" s="1037" t="n"/>
      <c r="Y13" s="1037" t="n"/>
      <c r="Z13" s="1037" t="n"/>
    </row>
    <row r="14">
      <c r="A14" s="1075" t="inlineStr">
        <is>
          <t>Peacekeeper</t>
        </is>
      </c>
      <c r="B14" s="1108">
        <f>XLOOKUP(A14,$A$1:$A$6,$H$1:$H$6,0)</f>
        <v/>
      </c>
      <c r="C14" s="1108">
        <f>XLOOKUP(A14,$A$1:$A$6,$I$1:$I$6,0)</f>
        <v/>
      </c>
      <c r="D14" s="1037" t="n"/>
      <c r="E14" s="1010" t="inlineStr">
        <is>
          <t>Ally Firepower</t>
        </is>
      </c>
      <c r="F14" s="1003" t="inlineStr">
        <is>
          <t>St. Trinidad</t>
        </is>
      </c>
      <c r="G14" s="449">
        <f>IF(H12 &gt;= 10, 'Drifter Priority'!D314, 'Drifter Priority'!C314)</f>
        <v/>
      </c>
      <c r="H14" s="1017" t="n">
        <v>20</v>
      </c>
      <c r="I14" s="1005">
        <f>150*H14</f>
        <v/>
      </c>
      <c r="J14" s="1044" t="n">
        <v>0.1149427556976979</v>
      </c>
      <c r="K14" s="1041" t="n"/>
      <c r="L14" s="1041" t="n"/>
      <c r="M14" s="1041" t="n"/>
      <c r="N14" s="1037" t="n"/>
      <c r="O14" s="1037" t="n"/>
      <c r="P14" s="1037" t="n"/>
      <c r="Q14" s="1037" t="n"/>
      <c r="R14" s="1037" t="n"/>
      <c r="S14" s="1036" t="n">
        <v>30475</v>
      </c>
      <c r="T14" s="1036" t="n">
        <v>36908</v>
      </c>
      <c r="U14" s="1037" t="n"/>
      <c r="V14" s="1037" t="n"/>
      <c r="W14" s="1037" t="n"/>
      <c r="X14" s="1037" t="n"/>
      <c r="Y14" s="1037" t="n"/>
      <c r="Z14" s="1037" t="n"/>
    </row>
    <row r="15">
      <c r="A15" s="1037" t="n"/>
      <c r="B15" s="1037" t="n"/>
      <c r="C15" s="1037" t="n"/>
      <c r="D15" s="1037" t="n"/>
      <c r="E15" s="1010" t="inlineStr">
        <is>
          <t>Armor Lost Bonus</t>
        </is>
      </c>
      <c r="F15" s="1003" t="inlineStr">
        <is>
          <t>St. Trinidad</t>
        </is>
      </c>
      <c r="G15" s="449">
        <f>IF(H13 &gt;= 10, 'Drifter Priority'!D315, 'Drifter Priority'!C315)</f>
        <v/>
      </c>
      <c r="H15" s="1017" t="n">
        <v>20</v>
      </c>
      <c r="I15" s="1005">
        <f>100*H15</f>
        <v/>
      </c>
      <c r="J15" s="1044" t="n">
        <v>0.07617283380561002</v>
      </c>
      <c r="K15" s="1041" t="n"/>
      <c r="L15" s="1041" t="n"/>
      <c r="M15" s="1041" t="n"/>
      <c r="N15" s="1037" t="n"/>
      <c r="O15" s="1037" t="n"/>
      <c r="P15" s="1037" t="n"/>
      <c r="Q15" s="1037" t="n"/>
      <c r="R15" s="1037" t="n"/>
      <c r="S15" s="1036" t="n">
        <v>30284</v>
      </c>
      <c r="T15" s="1036" t="n">
        <v>35621</v>
      </c>
      <c r="U15" s="1037" t="n"/>
      <c r="V15" s="1037" t="n"/>
      <c r="W15" s="1037" t="n"/>
      <c r="X15" s="1037" t="n"/>
      <c r="Y15" s="1037" t="n"/>
      <c r="Z15" s="1037" t="n"/>
    </row>
    <row r="16">
      <c r="A16" s="1006" t="inlineStr">
        <is>
          <t>Anecdote</t>
        </is>
      </c>
      <c r="B16" s="1042" t="inlineStr">
        <is>
          <t>Battle of Midway</t>
        </is>
      </c>
      <c r="C16" s="1037" t="n"/>
      <c r="D16" s="1037" t="n"/>
      <c r="E16" s="1010" t="inlineStr">
        <is>
          <t>Firepower Per Round</t>
        </is>
      </c>
      <c r="F16" s="1003" t="inlineStr">
        <is>
          <t>St. Trinidad</t>
        </is>
      </c>
      <c r="G16" s="449">
        <f>IF(H14 &gt;= 10, 'Drifter Priority'!D316, 'Drifter Priority'!C316)</f>
        <v/>
      </c>
      <c r="H16" s="1017" t="n">
        <v>20</v>
      </c>
      <c r="I16" s="1005">
        <f>70*H16</f>
        <v/>
      </c>
      <c r="J16" s="1044" t="n">
        <v>0.07049214789468317</v>
      </c>
      <c r="K16" s="1041" t="n"/>
      <c r="L16" s="1041" t="n"/>
      <c r="M16" s="1041" t="n"/>
      <c r="N16" s="1037" t="n"/>
      <c r="O16" s="1037" t="n"/>
      <c r="P16" s="1037" t="n"/>
      <c r="Q16" s="1037" t="n"/>
      <c r="R16" s="1037" t="n"/>
      <c r="S16" s="1036" t="n">
        <v>31885</v>
      </c>
      <c r="T16" s="1036" t="n">
        <v>35873</v>
      </c>
      <c r="U16" s="1037" t="n"/>
      <c r="V16" s="1037" t="n"/>
      <c r="W16" s="1037" t="n"/>
      <c r="X16" s="1037" t="n"/>
      <c r="Y16" s="1037" t="n"/>
      <c r="Z16" s="1037" t="n"/>
    </row>
    <row r="17">
      <c r="A17" s="1043" t="inlineStr">
        <is>
          <t>Stele Choice</t>
        </is>
      </c>
      <c r="B17" s="798" t="inlineStr">
        <is>
          <t>DMG REDUC</t>
        </is>
      </c>
      <c r="C17" s="1037" t="n"/>
      <c r="D17" s="1037" t="n"/>
      <c r="E17" s="1010" t="inlineStr">
        <is>
          <t>Firepower Bonus</t>
        </is>
      </c>
      <c r="F17" s="1003" t="inlineStr">
        <is>
          <t>Soleil Royal</t>
        </is>
      </c>
      <c r="G17" s="449">
        <f>IF(H15 &gt;= 10, 'Drifter Priority'!D330, 'Drifter Priority'!C330)</f>
        <v/>
      </c>
      <c r="H17" s="1017" t="n">
        <v>20</v>
      </c>
      <c r="I17" s="1005">
        <f>300*H17</f>
        <v/>
      </c>
      <c r="J17" s="1044" t="n">
        <v>0.0574713778488487</v>
      </c>
      <c r="K17" s="1041" t="n"/>
      <c r="L17" s="1041" t="n"/>
      <c r="M17" s="1041" t="n"/>
      <c r="N17" s="1037" t="n"/>
      <c r="O17" s="1037" t="n"/>
      <c r="P17" s="1037" t="n"/>
      <c r="Q17" s="1037" t="n"/>
      <c r="R17" s="1037" t="n"/>
      <c r="S17" s="1036" t="n">
        <v>32203</v>
      </c>
      <c r="T17" s="1036" t="n">
        <v>34317</v>
      </c>
      <c r="U17" s="1037" t="n"/>
      <c r="V17" s="1037" t="n"/>
      <c r="W17" s="1037" t="n"/>
      <c r="X17" s="1037" t="n"/>
      <c r="Y17" s="1037" t="n"/>
      <c r="Z17" s="1037" t="n"/>
    </row>
    <row r="18">
      <c r="A18" s="1006" t="inlineStr">
        <is>
          <t>Fleet Firepower</t>
        </is>
      </c>
      <c r="B18" s="1103">
        <f>sum(B11:B14)</f>
        <v/>
      </c>
      <c r="C18" s="1037" t="n"/>
      <c r="D18" s="1037" t="n"/>
      <c r="E18" s="1010" t="inlineStr">
        <is>
          <t>CRIT Rate</t>
        </is>
      </c>
      <c r="F18" s="1003" t="inlineStr">
        <is>
          <t>Soleil Royal</t>
        </is>
      </c>
      <c r="G18" s="449">
        <f>IF(H16 &gt;= 10, 'Drifter Priority'!D331, 'Drifter Priority'!C331)</f>
        <v/>
      </c>
      <c r="H18" s="1017" t="n">
        <v>20</v>
      </c>
      <c r="I18" s="1005">
        <f>0.04*H18</f>
        <v/>
      </c>
      <c r="J18" s="1044" t="n">
        <v>0.2367223839681936</v>
      </c>
      <c r="K18" s="1041" t="n"/>
      <c r="L18" s="1037" t="n"/>
      <c r="M18" s="1037" t="n"/>
      <c r="N18" s="1037" t="n"/>
      <c r="O18" s="1037" t="n"/>
      <c r="P18" s="1037" t="n"/>
      <c r="Q18" s="1037" t="n"/>
      <c r="R18" s="1037" t="n"/>
      <c r="S18" s="1036" t="n">
        <v>30291</v>
      </c>
      <c r="T18" s="1036" t="n">
        <v>34548</v>
      </c>
      <c r="U18" s="1037" t="n"/>
      <c r="V18" s="1037" t="n"/>
      <c r="W18" s="1037" t="n"/>
      <c r="X18" s="1037" t="n"/>
      <c r="Y18" s="1037" t="n"/>
      <c r="Z18" s="1037" t="n"/>
    </row>
    <row r="19">
      <c r="A19" s="1006" t="inlineStr">
        <is>
          <t>Fleet Armor</t>
        </is>
      </c>
      <c r="B19" s="1103">
        <f>sum(C11:C14)</f>
        <v/>
      </c>
      <c r="C19" s="1037" t="n"/>
      <c r="D19" s="1037" t="n"/>
      <c r="E19" s="1103" t="inlineStr">
        <is>
          <t>Round 1 DMG</t>
        </is>
      </c>
      <c r="F19" s="1103" t="inlineStr">
        <is>
          <t>Soleil Royal</t>
        </is>
      </c>
      <c r="G19" s="449">
        <f>IF(H17 &gt;= 10, 'Drifter Priority'!D332, 'Drifter Priority'!C332)</f>
        <v/>
      </c>
      <c r="H19" s="1017" t="n">
        <v>20</v>
      </c>
      <c r="I19" s="1108">
        <f>0.25*H19</f>
        <v/>
      </c>
      <c r="J19" s="1044" t="n">
        <v>0.105715438342382</v>
      </c>
      <c r="K19" s="1041" t="n"/>
      <c r="L19" s="1041" t="n"/>
      <c r="M19" s="1041" t="n"/>
      <c r="N19" s="1037" t="n"/>
      <c r="O19" s="1037" t="n"/>
      <c r="P19" s="1037" t="n"/>
      <c r="Q19" s="1037" t="n"/>
      <c r="R19" s="1037" t="n"/>
      <c r="S19" s="1036" t="n">
        <v>30050</v>
      </c>
      <c r="T19" s="1036" t="n">
        <v>36612</v>
      </c>
      <c r="U19" s="1037" t="n"/>
      <c r="V19" s="1037" t="n"/>
      <c r="W19" s="1037" t="n"/>
      <c r="X19" s="1037" t="n"/>
      <c r="Y19" s="1037" t="n"/>
      <c r="Z19" s="1037" t="n"/>
    </row>
    <row r="20">
      <c r="A20" s="1006" t="inlineStr">
        <is>
          <t>Enemy Seafaring</t>
        </is>
      </c>
      <c r="B20" s="1103">
        <f>XLOOKUP($B$16,'Rift Anecdotes'!$B$63:$B$85,'Rift Anecdotes'!$F$63:$F$85,0)</f>
        <v/>
      </c>
      <c r="C20" s="1037" t="n"/>
      <c r="D20" s="1037" t="n"/>
      <c r="E20" s="1010" t="inlineStr">
        <is>
          <t>Firepower Reduction</t>
        </is>
      </c>
      <c r="F20" s="1003" t="inlineStr">
        <is>
          <t>Dragon Horse</t>
        </is>
      </c>
      <c r="G20" s="449">
        <f>IF(H18 &gt;= 10, 'Drifter Priority'!D188, 'Drifter Priority'!C188)</f>
        <v/>
      </c>
      <c r="H20" s="1017" t="n">
        <v>20</v>
      </c>
      <c r="I20" s="1005">
        <f>-'Offering Speed'!$C$67*H20</f>
        <v/>
      </c>
      <c r="J20" s="1044" t="n">
        <v>0.07700427965257295</v>
      </c>
      <c r="K20" s="1041" t="n"/>
      <c r="L20" s="1037" t="n"/>
      <c r="M20" s="1037" t="n"/>
      <c r="N20" s="1037" t="n"/>
      <c r="O20" s="1037" t="n"/>
      <c r="P20" s="1037" t="n"/>
      <c r="Q20" s="1037" t="n"/>
      <c r="R20" s="1037" t="n"/>
      <c r="S20" s="1036" t="n">
        <v>32274</v>
      </c>
      <c r="T20" s="1036" t="n">
        <v>36194</v>
      </c>
      <c r="U20" s="1037" t="n"/>
      <c r="V20" s="1037" t="n"/>
      <c r="W20" s="1037" t="n"/>
      <c r="X20" s="1037" t="n"/>
      <c r="Y20" s="1037" t="n"/>
      <c r="Z20" s="1037" t="n"/>
    </row>
    <row r="21">
      <c r="A21" s="1006" t="inlineStr">
        <is>
          <t>Enemy Firepower</t>
        </is>
      </c>
      <c r="B21" s="1103">
        <f>IF(IFERROR(VLOOKUP($B$16,'Rift Anecdotes'!$B$63:$G$85,6,FALSE),0) &gt; 0,IFERROR(VLOOKUP($B$16,'Rift Anecdotes'!$B$63:$G$85,6,FALSE),0), FLOOR(B20*0.52,1))</f>
        <v/>
      </c>
      <c r="C21" s="1037" t="n"/>
      <c r="D21" s="1037" t="n"/>
      <c r="E21" s="1010" t="inlineStr">
        <is>
          <t>CRIT DMG</t>
        </is>
      </c>
      <c r="F21" s="1003" t="inlineStr">
        <is>
          <t>Dragon Horse</t>
        </is>
      </c>
      <c r="G21" s="449">
        <f>IF(H19 &gt;= 10, 'Drifter Priority'!D189, 'Drifter Priority'!C189)</f>
        <v/>
      </c>
      <c r="H21" s="1017" t="n">
        <v>20</v>
      </c>
      <c r="I21" s="1005">
        <f>0.04*H21</f>
        <v/>
      </c>
      <c r="J21" s="1044" t="n">
        <v>0.1045</v>
      </c>
      <c r="K21" s="1041" t="n"/>
      <c r="L21" s="1041" t="n"/>
      <c r="M21" s="1037" t="n"/>
      <c r="N21" s="1037" t="n"/>
      <c r="O21" s="1037" t="n"/>
      <c r="P21" s="1037" t="n"/>
      <c r="Q21" s="1037" t="n"/>
      <c r="R21" s="1037" t="n"/>
      <c r="S21" s="1036" t="n">
        <v>31357</v>
      </c>
      <c r="T21" s="1036" t="n">
        <v>35521</v>
      </c>
      <c r="U21" s="1037" t="n"/>
      <c r="V21" s="1037" t="n"/>
      <c r="W21" s="1037" t="n"/>
      <c r="X21" s="1037" t="n"/>
      <c r="Y21" s="1037" t="n"/>
      <c r="Z21" s="1037" t="n"/>
    </row>
    <row r="22">
      <c r="A22" s="1006" t="inlineStr">
        <is>
          <t>DMG REDUC</t>
        </is>
      </c>
      <c r="B22" s="1103">
        <f>I11*(COUNTIF($A$11:$A$14, $F$11)&gt;0)+IF($B$17=A22, 0.05, 0)</f>
        <v/>
      </c>
      <c r="C22" s="1037" t="n"/>
      <c r="D22" s="1037" t="n"/>
      <c r="E22" s="1010" t="inlineStr">
        <is>
          <t>All Drifter Talent</t>
        </is>
      </c>
      <c r="F22" s="1003" t="inlineStr">
        <is>
          <t>Tridentman</t>
        </is>
      </c>
      <c r="G22" s="449">
        <f>IF(H20 &gt;= 10, 'Drifter Priority'!D77, 'Drifter Priority'!C77)</f>
        <v/>
      </c>
      <c r="H22" s="1017" t="n">
        <v>10</v>
      </c>
      <c r="I22" s="1005">
        <f>0.01*H22</f>
        <v/>
      </c>
      <c r="J22" s="1044" t="n">
        <v>0.1484976470579633</v>
      </c>
      <c r="K22" s="1041" t="n"/>
      <c r="L22" s="1037" t="n"/>
      <c r="M22" s="1037" t="n"/>
      <c r="N22" s="1037" t="n"/>
      <c r="O22" s="1037" t="n"/>
      <c r="P22" s="1037" t="n"/>
      <c r="Q22" s="1037" t="n"/>
      <c r="R22" s="1037" t="n"/>
      <c r="S22" s="1036" t="n">
        <v>29519</v>
      </c>
      <c r="T22" s="1036" t="n">
        <v>34726</v>
      </c>
      <c r="U22" s="1037" t="n"/>
      <c r="V22" s="1037" t="n"/>
      <c r="W22" s="1037" t="n"/>
      <c r="X22" s="1037" t="n"/>
      <c r="Y22" s="1037" t="n"/>
      <c r="Z22" s="1037" t="n"/>
    </row>
    <row r="23">
      <c r="A23" s="1006" t="inlineStr">
        <is>
          <t>Repair/Round</t>
        </is>
      </c>
      <c r="B23" s="1103">
        <f>I12*(COUNTIF($A$11:$A$14, $F$11)&gt;0)</f>
        <v/>
      </c>
      <c r="C23" s="1037" t="n"/>
      <c r="D23" s="1037" t="n"/>
      <c r="E23" s="1103" t="inlineStr">
        <is>
          <t>Round 1 DMG</t>
        </is>
      </c>
      <c r="F23" s="1103" t="inlineStr">
        <is>
          <t>Tridentman</t>
        </is>
      </c>
      <c r="G23" s="449">
        <f>IF(H21 &gt;= 10, 'Drifter Priority'!D76, 'Drifter Priority'!C76)</f>
        <v/>
      </c>
      <c r="H23" s="1017" t="n">
        <v>10</v>
      </c>
      <c r="I23" s="1108">
        <f>0.25*H23</f>
        <v/>
      </c>
      <c r="J23" s="1044" t="n">
        <v>0.1202141802121923</v>
      </c>
      <c r="K23" s="1041" t="n"/>
      <c r="L23" s="1037" t="n"/>
      <c r="M23" s="1037" t="n"/>
      <c r="N23" s="1037" t="n"/>
      <c r="O23" s="1037" t="n"/>
      <c r="P23" s="1037" t="n"/>
      <c r="Q23" s="1037" t="n"/>
      <c r="R23" s="1037" t="n"/>
      <c r="S23" s="1036" t="n">
        <v>30937</v>
      </c>
      <c r="T23" s="1036" t="n">
        <v>36540</v>
      </c>
      <c r="U23" s="1037" t="n"/>
      <c r="V23" s="1037" t="n"/>
      <c r="W23" s="1037" t="n"/>
      <c r="X23" s="1037" t="n"/>
      <c r="Y23" s="1037" t="n"/>
      <c r="Z23" s="1037" t="n"/>
    </row>
    <row r="24">
      <c r="A24" s="1006" t="inlineStr">
        <is>
          <t>Firepower/Round</t>
        </is>
      </c>
      <c r="B24" s="1103">
        <f>I16*(COUNTIF($A$11:$A$14, $F$16)&gt;0)</f>
        <v/>
      </c>
      <c r="C24" s="1037" t="n"/>
      <c r="D24" s="1037" t="n"/>
      <c r="E24" s="1037" t="n"/>
      <c r="F24" s="1037" t="n"/>
      <c r="H24" s="1037" t="n"/>
      <c r="I24" s="1037" t="n"/>
      <c r="J24" s="1037" t="inlineStr">
        <is>
          <t>Note: Manually Calculated 10-&gt;20</t>
        </is>
      </c>
      <c r="K24" s="1037" t="n"/>
      <c r="L24" s="1037" t="n"/>
      <c r="M24" s="1037" t="n"/>
      <c r="N24" s="1037" t="n"/>
      <c r="O24" s="1037" t="n"/>
      <c r="P24" s="1037" t="n"/>
      <c r="Q24" s="1037" t="n"/>
      <c r="R24" s="1037" t="n"/>
      <c r="S24" s="1036" t="n">
        <v>29904</v>
      </c>
      <c r="T24" s="1036" t="n">
        <v>35757</v>
      </c>
      <c r="U24" s="1037" t="n"/>
      <c r="V24" s="1037" t="n"/>
      <c r="W24" s="1037" t="n"/>
      <c r="X24" s="1037" t="n"/>
      <c r="Y24" s="1037" t="n"/>
      <c r="Z24" s="1037" t="n"/>
    </row>
    <row r="25">
      <c r="A25" s="1006">
        <f>E18</f>
        <v/>
      </c>
      <c r="B25" s="1103">
        <f>I18*(COUNTIF($A$11:$A$14, $F$18)&gt;0)+IF($B$17=A25, 0.05, 0)</f>
        <v/>
      </c>
      <c r="C25" s="1037" t="n"/>
      <c r="D25" s="1037" t="n"/>
      <c r="E25" s="1037" t="n"/>
      <c r="F25" s="1037" t="n"/>
      <c r="G25" s="1037" t="n"/>
      <c r="H25" s="1037" t="n"/>
      <c r="I25" s="1037" t="n"/>
      <c r="J25" s="1037" t="n"/>
      <c r="K25" s="1037" t="n"/>
      <c r="L25" s="1037" t="n"/>
      <c r="M25" s="1037" t="n"/>
      <c r="N25" s="1037" t="n"/>
      <c r="O25" s="1037" t="n"/>
      <c r="P25" s="1037" t="n"/>
      <c r="Q25" s="1037" t="n"/>
      <c r="R25" s="1037" t="n"/>
      <c r="S25" s="1036" t="n">
        <v>31749</v>
      </c>
      <c r="T25" s="1036" t="n">
        <v>36072</v>
      </c>
      <c r="U25" s="1037" t="n"/>
      <c r="V25" s="1037" t="n"/>
      <c r="W25" s="1037" t="n"/>
      <c r="X25" s="1037" t="n"/>
      <c r="Y25" s="1037" t="n"/>
      <c r="Z25" s="1037" t="n"/>
    </row>
    <row r="26">
      <c r="A26" s="1006" t="inlineStr">
        <is>
          <t>CRIT DMG Bonus</t>
        </is>
      </c>
      <c r="B26" s="1103">
        <f>I21*(COUNTIF($A$11:$A$14, $F$21)&gt;0)</f>
        <v/>
      </c>
      <c r="C26" s="1037" t="n"/>
      <c r="D26" s="1037" t="n"/>
      <c r="E26" s="1037" t="n"/>
      <c r="F26" s="1037" t="n"/>
      <c r="G26" s="1045" t="n"/>
      <c r="H26" s="1037" t="n"/>
      <c r="I26" s="1037" t="n"/>
      <c r="J26" s="1037" t="n"/>
      <c r="K26" s="1037" t="n"/>
      <c r="L26" s="1037" t="n"/>
      <c r="M26" s="1037" t="n"/>
      <c r="N26" s="1037" t="n"/>
      <c r="O26" s="1037" t="n"/>
      <c r="P26" s="1037" t="n"/>
      <c r="Q26" s="1037" t="n"/>
      <c r="R26" s="1037" t="n"/>
      <c r="S26" s="1036" t="n">
        <v>30941</v>
      </c>
      <c r="T26" s="1036" t="n">
        <v>36243</v>
      </c>
      <c r="U26" s="1037" t="n"/>
      <c r="V26" s="1037" t="n"/>
      <c r="W26" s="1037" t="n"/>
      <c r="X26" s="1037" t="n"/>
      <c r="Y26" s="1037" t="n"/>
      <c r="Z26" s="1037" t="n"/>
    </row>
    <row r="27">
      <c r="A27" s="1006">
        <f>E15</f>
        <v/>
      </c>
      <c r="B27" s="1103">
        <f>I15*(COUNTIF($A$11:$A$14, $F$15)&gt;0)</f>
        <v/>
      </c>
      <c r="C27" s="1037" t="n"/>
      <c r="D27" s="1037" t="n"/>
      <c r="E27" s="1037" t="n"/>
      <c r="F27" s="1037" t="n"/>
      <c r="G27" s="1037" t="n"/>
      <c r="H27" s="1037" t="n"/>
      <c r="I27" s="1037" t="n"/>
      <c r="J27" s="1037" t="n"/>
      <c r="K27" s="1037" t="n"/>
      <c r="L27" s="1037" t="n"/>
      <c r="M27" s="1037" t="n"/>
      <c r="N27" s="1037" t="n"/>
      <c r="O27" s="1037" t="n"/>
      <c r="P27" s="1037" t="n"/>
      <c r="Q27" s="1037" t="n"/>
      <c r="R27" s="1037" t="n"/>
      <c r="S27" s="1036" t="n">
        <v>30258</v>
      </c>
      <c r="T27" s="1036" t="n">
        <v>36452</v>
      </c>
      <c r="U27" s="1037" t="n"/>
      <c r="V27" s="1037" t="n"/>
      <c r="W27" s="1037" t="n"/>
      <c r="X27" s="1037" t="n"/>
      <c r="Y27" s="1037" t="n"/>
      <c r="Z27" s="1037" t="n"/>
    </row>
    <row r="28">
      <c r="A28" s="1006">
        <f>E20</f>
        <v/>
      </c>
      <c r="B28" s="1103">
        <f>I20*(COUNTIF($A$11:$A$14, $F$21)&gt;0)</f>
        <v/>
      </c>
      <c r="C28" s="1037" t="n"/>
      <c r="D28" s="1037" t="n"/>
      <c r="E28" s="1037" t="n"/>
      <c r="F28" s="1037" t="n"/>
      <c r="G28" s="1037" t="n"/>
      <c r="H28" s="1037" t="n"/>
      <c r="I28" s="1037" t="n"/>
      <c r="J28" s="1037" t="n"/>
      <c r="K28" s="1037" t="n"/>
      <c r="L28" s="1037" t="n"/>
      <c r="M28" s="1037" t="n"/>
      <c r="N28" s="1037" t="n"/>
      <c r="O28" s="1037" t="n"/>
      <c r="P28" s="1037" t="n"/>
      <c r="Q28" s="1037" t="n"/>
      <c r="R28" s="1037" t="n"/>
      <c r="S28" s="1036" t="n">
        <v>30974</v>
      </c>
      <c r="T28" s="1036" t="n">
        <v>34093</v>
      </c>
      <c r="U28" s="1037" t="n"/>
      <c r="V28" s="1037" t="n"/>
      <c r="W28" s="1037" t="n"/>
      <c r="X28" s="1037" t="n"/>
      <c r="Y28" s="1037" t="n"/>
      <c r="Z28" s="1037" t="n"/>
    </row>
    <row r="29">
      <c r="A29" s="1006">
        <f>E21</f>
        <v/>
      </c>
      <c r="B29" s="1103">
        <f>B18*(1.5+B26)</f>
        <v/>
      </c>
      <c r="C29" s="1037" t="n"/>
      <c r="D29" s="1037" t="n"/>
      <c r="E29" s="1037" t="n"/>
      <c r="F29" s="1037" t="n"/>
      <c r="G29" s="1037" t="n"/>
      <c r="H29" s="1037" t="n"/>
      <c r="I29" s="1037" t="n"/>
      <c r="J29" s="1037" t="n"/>
      <c r="K29" s="1037" t="n"/>
      <c r="L29" s="1037" t="n"/>
      <c r="M29" s="1037" t="n"/>
      <c r="N29" s="1037" t="n"/>
      <c r="O29" s="1037" t="n"/>
      <c r="P29" s="1037" t="n"/>
      <c r="Q29" s="1037" t="n"/>
      <c r="R29" s="1037" t="n"/>
      <c r="S29" s="1036" t="n">
        <v>31870</v>
      </c>
      <c r="T29" s="1036" t="n">
        <v>36168</v>
      </c>
      <c r="U29" s="1037" t="n"/>
      <c r="V29" s="1037" t="n"/>
      <c r="W29" s="1037" t="n"/>
      <c r="X29" s="1037" t="n"/>
      <c r="Y29" s="1037" t="n"/>
      <c r="Z29" s="1037" t="n"/>
    </row>
    <row r="30">
      <c r="A30" s="1006" t="inlineStr">
        <is>
          <t>Expected Base Damage</t>
        </is>
      </c>
      <c r="B30" s="1103">
        <f>B18*B25*(1.5+B26)+B18*(1-B25)</f>
        <v/>
      </c>
      <c r="C30" s="1037" t="n"/>
      <c r="D30" s="1037" t="n"/>
      <c r="E30" s="1037" t="n"/>
      <c r="F30" s="1037" t="n"/>
      <c r="G30" s="1037" t="n"/>
      <c r="H30" s="1037" t="n"/>
      <c r="I30" s="1037" t="n"/>
      <c r="J30" s="1037" t="n"/>
      <c r="K30" s="1037" t="n"/>
      <c r="L30" s="1037" t="n"/>
      <c r="M30" s="1037" t="n"/>
      <c r="N30" s="1037" t="n"/>
      <c r="O30" s="1037" t="n"/>
      <c r="P30" s="1037" t="n"/>
      <c r="Q30" s="1037" t="n"/>
      <c r="R30" s="1037" t="n"/>
      <c r="S30" s="1036" t="n">
        <v>31233</v>
      </c>
      <c r="T30" s="1036" t="n">
        <v>34295</v>
      </c>
      <c r="U30" s="1037" t="n"/>
      <c r="V30" s="1037" t="n"/>
      <c r="W30" s="1037" t="n"/>
      <c r="X30" s="1037" t="n"/>
      <c r="Y30" s="1037" t="n"/>
      <c r="Z30" s="1037" t="n"/>
    </row>
    <row r="31">
      <c r="A31" s="1006" t="inlineStr">
        <is>
          <t>First Round DMG</t>
        </is>
      </c>
      <c r="B31" s="1103">
        <f>B18*I19*(COUNTIF($A$11:$A$14, $F$19)&gt;0) + B18*I23*(COUNTIF($A$11:$A$14, $F$23)&gt;0)</f>
        <v/>
      </c>
      <c r="C31" s="1037" t="n"/>
      <c r="D31" s="1037" t="n"/>
      <c r="E31" s="1037" t="n"/>
      <c r="F31" s="1037" t="n"/>
      <c r="G31" s="1037" t="n"/>
      <c r="H31" s="1037" t="n"/>
      <c r="I31" s="1037" t="n"/>
      <c r="J31" s="1037" t="n"/>
      <c r="K31" s="1037" t="n"/>
      <c r="L31" s="1037" t="n"/>
      <c r="M31" s="1037" t="n"/>
      <c r="N31" s="1037" t="n"/>
      <c r="O31" s="1037" t="n"/>
      <c r="P31" s="1037" t="n"/>
      <c r="Q31" s="1037" t="n"/>
      <c r="R31" s="1037" t="n"/>
      <c r="S31" s="1036" t="n">
        <v>29242</v>
      </c>
      <c r="T31" s="1036" t="n">
        <v>33945</v>
      </c>
      <c r="U31" s="1037" t="n"/>
      <c r="V31" s="1037" t="n"/>
      <c r="W31" s="1037" t="n"/>
      <c r="X31" s="1037" t="n"/>
      <c r="Y31" s="1037" t="n"/>
      <c r="Z31" s="1037" t="n"/>
    </row>
    <row r="32">
      <c r="A32" s="1037" t="n"/>
      <c r="B32" s="1037" t="n"/>
      <c r="C32" s="1037" t="n"/>
      <c r="D32" s="1037" t="n"/>
      <c r="E32" s="1037" t="n"/>
      <c r="F32" s="1037" t="n"/>
      <c r="G32" s="1037" t="n"/>
      <c r="H32" s="1037" t="n"/>
      <c r="I32" s="1037" t="n"/>
      <c r="J32" s="1037" t="n"/>
      <c r="K32" s="1037" t="n"/>
      <c r="L32" s="1037" t="n"/>
      <c r="M32" s="1037" t="n"/>
      <c r="N32" s="1037" t="n"/>
      <c r="O32" s="1037" t="n"/>
      <c r="P32" s="1037" t="n"/>
      <c r="Q32" s="1037" t="n"/>
      <c r="R32" s="1037" t="n"/>
      <c r="S32" s="1036" t="n">
        <v>31764</v>
      </c>
      <c r="T32" s="1036" t="n">
        <v>36868</v>
      </c>
      <c r="U32" s="1037" t="n"/>
      <c r="V32" s="1037" t="n"/>
      <c r="W32" s="1037" t="n"/>
      <c r="X32" s="1037" t="n"/>
      <c r="Y32" s="1037" t="n"/>
      <c r="Z32" s="1037" t="n"/>
    </row>
    <row r="33">
      <c r="A33" s="825" t="n"/>
      <c r="B33" s="1006" t="inlineStr">
        <is>
          <t>Current</t>
        </is>
      </c>
      <c r="C33" s="1006" t="inlineStr">
        <is>
          <t>Baseline</t>
        </is>
      </c>
      <c r="D33" s="1037" t="n"/>
      <c r="E33" s="1037" t="n"/>
      <c r="F33" s="1037" t="n"/>
      <c r="G33" s="1037" t="n"/>
      <c r="H33" s="1037" t="n"/>
      <c r="I33" s="1037" t="n"/>
      <c r="J33" s="1037" t="n"/>
      <c r="K33" s="1037" t="n"/>
      <c r="L33" s="1037" t="n"/>
      <c r="M33" s="1037" t="n"/>
      <c r="N33" s="1037" t="n"/>
      <c r="O33" s="1037" t="n"/>
      <c r="P33" s="1037" t="n"/>
      <c r="Q33" s="1037" t="n"/>
      <c r="R33" s="1037" t="n"/>
      <c r="S33" s="1036" t="n">
        <v>29904</v>
      </c>
      <c r="T33" s="1036" t="n">
        <v>35568</v>
      </c>
      <c r="U33" s="1037" t="n"/>
      <c r="V33" s="1037" t="n"/>
      <c r="W33" s="1037" t="n"/>
      <c r="X33" s="1037" t="n"/>
      <c r="Y33" s="1037" t="n"/>
      <c r="Z33" s="1037" t="n"/>
    </row>
    <row r="34">
      <c r="A34" s="1006" t="inlineStr">
        <is>
          <t>Rounds Lasted</t>
        </is>
      </c>
      <c r="B34" s="800">
        <f t="array" ref="B34">IFERROR(INDEX(A47:A67, MATCH(0, F47:F67,FALSE)),"All")</f>
        <v/>
      </c>
      <c r="C34" s="1042" t="n">
        <v>17</v>
      </c>
      <c r="D34" s="1037" t="n"/>
      <c r="E34" s="1037" t="n"/>
      <c r="F34" s="1037" t="n"/>
      <c r="G34" s="1037" t="n"/>
      <c r="H34" s="1037" t="n"/>
      <c r="I34" s="1037" t="n"/>
      <c r="J34" s="1037" t="n"/>
      <c r="K34" s="1037" t="n"/>
      <c r="L34" s="1037" t="n"/>
      <c r="M34" s="1037" t="n"/>
      <c r="N34" s="1037" t="n"/>
      <c r="O34" s="1037" t="n"/>
      <c r="P34" s="1037" t="n"/>
      <c r="Q34" s="1037" t="n"/>
      <c r="R34" s="1037" t="n"/>
      <c r="S34" s="1036" t="n">
        <v>30526</v>
      </c>
      <c r="T34" s="1036" t="n">
        <v>36672</v>
      </c>
      <c r="U34" s="1037" t="n"/>
      <c r="V34" s="1037" t="n"/>
      <c r="W34" s="1037" t="n"/>
      <c r="X34" s="1037" t="n"/>
      <c r="Y34" s="1037" t="n"/>
      <c r="Z34" s="1037" t="n"/>
    </row>
    <row r="35">
      <c r="A35" s="1006" t="inlineStr">
        <is>
          <t>Damage Dealt</t>
        </is>
      </c>
      <c r="B35" s="1046">
        <f>sum(D47:D67)</f>
        <v/>
      </c>
      <c r="C35" s="1047" t="n">
        <v>2765816</v>
      </c>
      <c r="D35" s="1037" t="n"/>
      <c r="E35" s="1037" t="n"/>
      <c r="F35" s="1037" t="n"/>
      <c r="G35" s="1037" t="n"/>
      <c r="H35" s="1037" t="n"/>
      <c r="I35" s="1037" t="n"/>
      <c r="J35" s="1037" t="n"/>
      <c r="K35" s="1037" t="n"/>
      <c r="L35" s="1037" t="n"/>
      <c r="M35" s="1037" t="n"/>
      <c r="N35" s="1037" t="n"/>
      <c r="O35" s="1037" t="n"/>
      <c r="P35" s="1037" t="n"/>
      <c r="Q35" s="1037" t="n"/>
      <c r="R35" s="1037" t="n"/>
      <c r="S35" s="1036" t="n">
        <v>29418</v>
      </c>
      <c r="T35" s="1036" t="n">
        <v>33522</v>
      </c>
      <c r="U35" s="1037" t="n"/>
      <c r="V35" s="1037" t="n"/>
      <c r="W35" s="1037" t="n"/>
      <c r="X35" s="1037" t="n"/>
      <c r="Y35" s="1037" t="n"/>
      <c r="Z35" s="1037" t="n"/>
    </row>
    <row r="36">
      <c r="A36" s="825" t="n"/>
      <c r="B36" s="1037" t="n"/>
      <c r="C36" s="386" t="n"/>
      <c r="D36" s="1037" t="n"/>
      <c r="E36" s="1037" t="n"/>
      <c r="F36" s="1037" t="n"/>
      <c r="G36" s="1037" t="n"/>
      <c r="H36" s="1037" t="n"/>
      <c r="I36" s="1037" t="n"/>
      <c r="J36" s="1037" t="n"/>
      <c r="K36" s="1037" t="n"/>
      <c r="L36" s="1037" t="n"/>
      <c r="M36" s="1037" t="n"/>
      <c r="N36" s="1037" t="n"/>
      <c r="O36" s="1037" t="n"/>
      <c r="P36" s="1037" t="n"/>
      <c r="Q36" s="1037" t="n"/>
      <c r="R36" s="1037" t="n"/>
      <c r="S36" s="1036" t="n">
        <v>30964</v>
      </c>
      <c r="T36" s="1036" t="n">
        <v>35308</v>
      </c>
      <c r="U36" s="1037" t="n"/>
      <c r="V36" s="1037" t="n"/>
      <c r="W36" s="1037" t="n"/>
      <c r="X36" s="1037" t="n"/>
      <c r="Y36" s="1037" t="n"/>
      <c r="Z36" s="1037" t="n"/>
    </row>
    <row r="37">
      <c r="A37" s="1008" t="inlineStr">
        <is>
          <t>Difference</t>
        </is>
      </c>
      <c r="B37" s="1048">
        <f>B35-C35</f>
        <v/>
      </c>
      <c r="C37" s="1049" t="n"/>
      <c r="D37" s="1045" t="n"/>
      <c r="E37" s="1045" t="n"/>
      <c r="F37" s="1045" t="n"/>
      <c r="G37" s="1037" t="n"/>
      <c r="H37" s="1037" t="n"/>
      <c r="I37" s="1037" t="n"/>
      <c r="J37" s="1037" t="n"/>
      <c r="K37" s="1037" t="n"/>
      <c r="L37" s="1037" t="n"/>
      <c r="M37" s="1037" t="n"/>
      <c r="N37" s="1037" t="n"/>
      <c r="O37" s="1037" t="n"/>
      <c r="P37" s="1037" t="n"/>
      <c r="Q37" s="1037" t="n"/>
      <c r="R37" s="1037" t="n"/>
      <c r="S37" s="1036" t="n">
        <v>30922</v>
      </c>
      <c r="T37" s="1036" t="n">
        <v>36400</v>
      </c>
      <c r="U37" s="1037" t="n"/>
      <c r="V37" s="1037" t="n"/>
      <c r="W37" s="1037" t="n"/>
      <c r="X37" s="1037" t="n"/>
      <c r="Y37" s="1037" t="n"/>
      <c r="Z37" s="1037" t="n"/>
    </row>
    <row r="38">
      <c r="A38" s="1008" t="inlineStr">
        <is>
          <t>Percent</t>
        </is>
      </c>
      <c r="B38" s="1050">
        <f>(B35/C35)-1</f>
        <v/>
      </c>
      <c r="C38" s="1051" t="n"/>
      <c r="D38" s="1037" t="n"/>
      <c r="E38" s="1037" t="n"/>
      <c r="F38" s="1037" t="n"/>
      <c r="G38" s="1037" t="n"/>
      <c r="H38" s="1037" t="n"/>
      <c r="I38" s="1037" t="n"/>
      <c r="J38" s="1037" t="n"/>
      <c r="K38" s="1037" t="n"/>
      <c r="L38" s="1037" t="n"/>
      <c r="M38" s="1037" t="n"/>
      <c r="N38" s="1037" t="n"/>
      <c r="O38" s="1037" t="n"/>
      <c r="P38" s="1037" t="n"/>
      <c r="Q38" s="1037" t="n"/>
      <c r="R38" s="1037" t="n"/>
      <c r="S38" s="1036" t="n">
        <v>32043</v>
      </c>
      <c r="T38" s="1036" t="n">
        <v>36591</v>
      </c>
      <c r="U38" s="1037" t="n"/>
      <c r="V38" s="1037" t="n"/>
      <c r="W38" s="1037" t="n"/>
      <c r="X38" s="1037" t="n"/>
      <c r="Y38" s="1037" t="n"/>
      <c r="Z38" s="1037" t="n"/>
    </row>
    <row r="39">
      <c r="A39" s="1037" t="n"/>
      <c r="B39" s="1037" t="n"/>
      <c r="C39" s="1037" t="n"/>
      <c r="D39" s="1041" t="n"/>
      <c r="E39" s="1037" t="n"/>
      <c r="F39" s="1037" t="n"/>
      <c r="G39" s="1037" t="n"/>
      <c r="H39" s="1037" t="n"/>
      <c r="I39" s="1037" t="n"/>
      <c r="J39" s="1037" t="n"/>
      <c r="K39" s="1037" t="n"/>
      <c r="L39" s="1037" t="n"/>
      <c r="M39" s="1037" t="n"/>
      <c r="N39" s="1037" t="n"/>
      <c r="O39" s="1037" t="n"/>
      <c r="P39" s="1037" t="n"/>
      <c r="Q39" s="1037" t="n"/>
      <c r="R39" s="1037" t="n"/>
      <c r="S39" s="1036" t="n">
        <v>30196</v>
      </c>
      <c r="T39" s="1036" t="n">
        <v>35005</v>
      </c>
      <c r="U39" s="1037" t="n"/>
      <c r="V39" s="1037" t="n"/>
      <c r="W39" s="1037" t="n"/>
      <c r="X39" s="1037" t="n"/>
      <c r="Y39" s="1037" t="n"/>
      <c r="Z39" s="1037" t="n"/>
    </row>
    <row r="40">
      <c r="A40" s="1037" t="n"/>
      <c r="B40" s="1037" t="n"/>
      <c r="C40" s="1037" t="n"/>
      <c r="D40" s="1037" t="n"/>
      <c r="E40" s="1037" t="n"/>
      <c r="F40" s="1037" t="n"/>
      <c r="G40" s="1037" t="n"/>
      <c r="H40" s="1037" t="n"/>
      <c r="I40" s="1037" t="n"/>
      <c r="J40" s="1037" t="n"/>
      <c r="K40" s="1037" t="n"/>
      <c r="L40" s="1037" t="n"/>
      <c r="M40" s="1037" t="n"/>
      <c r="N40" s="1037" t="n"/>
      <c r="O40" s="1037" t="n"/>
      <c r="P40" s="1037" t="n"/>
      <c r="Q40" s="1037" t="n"/>
      <c r="R40" s="1037" t="n"/>
      <c r="S40" s="1036" t="n">
        <v>31515</v>
      </c>
      <c r="T40" s="1036" t="n">
        <v>34131</v>
      </c>
      <c r="U40" s="1037" t="n"/>
      <c r="V40" s="1037" t="n"/>
      <c r="W40" s="1037" t="n"/>
      <c r="X40" s="1037" t="n"/>
      <c r="Y40" s="1037" t="n"/>
      <c r="Z40" s="1037" t="n"/>
    </row>
    <row r="41">
      <c r="A41" s="1037" t="n"/>
      <c r="B41" s="1037" t="n"/>
      <c r="C41" s="1037" t="n"/>
      <c r="D41" s="1037" t="n"/>
      <c r="E41" s="1037" t="n"/>
      <c r="F41" s="1037" t="n"/>
      <c r="G41" s="1037" t="n"/>
      <c r="H41" s="1037" t="n"/>
      <c r="I41" s="1037" t="n"/>
      <c r="J41" s="1037" t="n"/>
      <c r="K41" s="1037" t="n"/>
      <c r="L41" s="1037" t="n"/>
      <c r="M41" s="1037" t="n"/>
      <c r="N41" s="1037" t="n"/>
      <c r="O41" s="1037" t="n"/>
      <c r="P41" s="1037" t="n"/>
      <c r="Q41" s="1037" t="n"/>
      <c r="R41" s="1037" t="n"/>
      <c r="S41" s="1036" t="n">
        <v>31421</v>
      </c>
      <c r="T41" s="1036" t="n">
        <v>33606</v>
      </c>
      <c r="U41" s="1037" t="n"/>
      <c r="V41" s="1037" t="n"/>
      <c r="W41" s="1037" t="n"/>
      <c r="X41" s="1037" t="n"/>
      <c r="Y41" s="1037" t="n"/>
      <c r="Z41" s="1037" t="n"/>
    </row>
    <row r="42">
      <c r="A42" s="1037" t="n"/>
      <c r="B42" s="1037" t="n"/>
      <c r="C42" s="1037" t="n"/>
      <c r="D42" s="1037" t="n"/>
      <c r="E42" s="1037" t="n"/>
      <c r="F42" s="1037" t="n"/>
      <c r="G42" s="1037" t="n"/>
      <c r="H42" s="1037" t="n"/>
      <c r="I42" s="1037" t="n"/>
      <c r="J42" s="1037" t="n"/>
      <c r="K42" s="1037" t="n"/>
      <c r="L42" s="1037" t="n"/>
      <c r="M42" s="1037" t="n"/>
      <c r="N42" s="1037" t="n"/>
      <c r="O42" s="1037" t="n"/>
      <c r="P42" s="1037" t="n"/>
      <c r="Q42" s="1037" t="n"/>
      <c r="R42" s="1037" t="n"/>
      <c r="S42" s="1036" t="n">
        <v>29680</v>
      </c>
      <c r="T42" s="1037" t="n"/>
      <c r="U42" s="1037" t="n"/>
      <c r="V42" s="1037" t="n"/>
      <c r="W42" s="1037" t="n"/>
      <c r="X42" s="1037" t="n"/>
      <c r="Y42" s="1037" t="n"/>
      <c r="Z42" s="1037" t="n"/>
    </row>
    <row r="43">
      <c r="A43" s="1037" t="n"/>
      <c r="B43" s="1037" t="n"/>
      <c r="C43" s="1037" t="n"/>
      <c r="D43" s="1037" t="n"/>
      <c r="E43" s="1037" t="n"/>
      <c r="F43" s="1037" t="n"/>
      <c r="G43" s="1037" t="n"/>
      <c r="H43" s="1037" t="n"/>
      <c r="I43" s="1037" t="n"/>
      <c r="J43" s="1037" t="n"/>
      <c r="K43" s="1037" t="n"/>
      <c r="L43" s="1037" t="n"/>
      <c r="M43" s="1037" t="n"/>
      <c r="N43" s="1037" t="n"/>
      <c r="O43" s="1037" t="n"/>
      <c r="P43" s="1037" t="n"/>
      <c r="Q43" s="1037" t="n"/>
      <c r="R43" s="1037" t="n"/>
      <c r="S43" s="1037" t="n"/>
      <c r="T43" s="1037" t="n"/>
      <c r="U43" s="1037" t="n"/>
      <c r="V43" s="1037" t="n"/>
      <c r="W43" s="1037" t="n"/>
      <c r="X43" s="1037" t="n"/>
      <c r="Y43" s="1037" t="n"/>
      <c r="Z43" s="1037" t="n"/>
    </row>
    <row r="44">
      <c r="A44" s="1037" t="n"/>
      <c r="B44" s="1037" t="n"/>
      <c r="C44" s="1037" t="n"/>
      <c r="D44" s="1037" t="n"/>
      <c r="E44" s="1037" t="n"/>
      <c r="F44" s="1037" t="n"/>
      <c r="G44" s="1037" t="n"/>
      <c r="H44" s="1037" t="n"/>
      <c r="I44" s="1037" t="n"/>
      <c r="J44" s="1037" t="n"/>
      <c r="K44" s="1037" t="n"/>
      <c r="L44" s="1037" t="n"/>
      <c r="M44" s="1037" t="n"/>
      <c r="N44" s="1037" t="n"/>
      <c r="O44" s="1037" t="n"/>
      <c r="P44" s="1037" t="n"/>
      <c r="Q44" s="1037" t="n"/>
      <c r="R44" s="1037" t="n"/>
      <c r="S44" s="1037" t="n"/>
      <c r="T44" s="1037" t="n"/>
      <c r="U44" s="1037" t="n"/>
      <c r="V44" s="1037" t="n"/>
      <c r="W44" s="1037" t="n"/>
      <c r="X44" s="1037" t="n"/>
      <c r="Y44" s="1037" t="n"/>
      <c r="Z44" s="1037" t="n"/>
    </row>
    <row r="45">
      <c r="A45" s="1052" t="inlineStr">
        <is>
          <t>Simulation</t>
        </is>
      </c>
      <c r="B45" s="1053" t="n"/>
      <c r="C45" s="1053" t="n"/>
      <c r="D45" s="1053" t="n"/>
      <c r="E45" s="1053" t="n"/>
      <c r="F45" s="1054" t="n"/>
      <c r="G45" s="1037" t="n"/>
      <c r="H45" s="1037" t="n"/>
      <c r="I45" s="1037" t="n"/>
      <c r="J45" s="1037" t="n"/>
      <c r="K45" s="1037" t="n"/>
      <c r="L45" s="1037" t="n"/>
      <c r="M45" s="1037" t="n"/>
      <c r="N45" s="1037" t="n"/>
      <c r="O45" s="1037" t="n"/>
      <c r="P45" s="1037" t="n"/>
      <c r="Q45" s="1037" t="n"/>
      <c r="R45" s="1037" t="n"/>
      <c r="S45" s="1037" t="n"/>
      <c r="T45" s="1037" t="n"/>
      <c r="U45" s="1037" t="n"/>
      <c r="V45" s="1037" t="n"/>
      <c r="W45" s="1037" t="n"/>
      <c r="X45" s="1037" t="n"/>
      <c r="Y45" s="1037" t="n"/>
      <c r="Z45" s="1037" t="n"/>
    </row>
    <row r="46">
      <c r="A46" s="1008" t="inlineStr">
        <is>
          <t>Round</t>
        </is>
      </c>
      <c r="B46" s="1008" t="inlineStr">
        <is>
          <t>Armor</t>
        </is>
      </c>
      <c r="C46" s="1008" t="inlineStr">
        <is>
          <t>Fleet Firepower</t>
        </is>
      </c>
      <c r="D46" s="1008" t="inlineStr">
        <is>
          <t>Expected Damage</t>
        </is>
      </c>
      <c r="E46" s="1008" t="inlineStr">
        <is>
          <t>Enemy Firepower</t>
        </is>
      </c>
      <c r="F46" s="1008" t="inlineStr">
        <is>
          <t>Final Armor</t>
        </is>
      </c>
      <c r="G46" s="1037" t="n"/>
      <c r="H46" s="1037" t="n"/>
      <c r="I46" s="1037" t="n"/>
      <c r="J46" s="1037" t="n"/>
      <c r="K46" s="1037" t="n"/>
      <c r="L46" s="1037" t="n"/>
      <c r="M46" s="1037" t="n"/>
      <c r="N46" s="1037" t="n"/>
      <c r="O46" s="1037" t="n"/>
      <c r="P46" s="1037" t="n"/>
      <c r="Q46" s="1037" t="n"/>
      <c r="R46" s="1037" t="inlineStr">
        <is>
          <t>Average</t>
        </is>
      </c>
      <c r="S46" s="1036">
        <f>AVERAGE(S7:S45)</f>
        <v/>
      </c>
      <c r="T46" s="1036">
        <f>AVERAGE(T7:T45)</f>
        <v/>
      </c>
      <c r="U46" s="1037" t="n"/>
      <c r="V46" s="1037" t="n"/>
      <c r="W46" s="1037" t="n"/>
      <c r="X46" s="1037" t="n"/>
      <c r="Y46" s="1037" t="n"/>
      <c r="Z46" s="1037" t="n"/>
    </row>
    <row r="47">
      <c r="A47" s="1108" t="n">
        <v>0</v>
      </c>
      <c r="B47" s="1108">
        <f>B19</f>
        <v/>
      </c>
      <c r="C47" s="1108">
        <f>B18</f>
        <v/>
      </c>
      <c r="D47" s="1108">
        <f>B31</f>
        <v/>
      </c>
      <c r="E47" s="1108">
        <f>B21</f>
        <v/>
      </c>
      <c r="F47" s="1108">
        <f>B47</f>
        <v/>
      </c>
      <c r="G47" s="1037" t="n"/>
      <c r="H47" s="1037" t="n"/>
      <c r="I47" s="1037" t="n"/>
      <c r="J47" s="1037" t="n"/>
      <c r="K47" s="1037" t="n"/>
      <c r="L47" s="1037" t="n"/>
      <c r="M47" s="1037" t="n"/>
      <c r="N47" s="1037" t="n"/>
      <c r="O47" s="1037" t="n"/>
      <c r="P47" s="1037" t="n"/>
      <c r="Q47" s="1037" t="n"/>
      <c r="R47" s="1037" t="n"/>
      <c r="S47" s="1037" t="n"/>
      <c r="T47" s="1037" t="n"/>
      <c r="U47" s="1037" t="n"/>
      <c r="V47" s="1037" t="n"/>
      <c r="W47" s="1037" t="n"/>
      <c r="X47" s="1037" t="n"/>
      <c r="Y47" s="1037" t="n"/>
      <c r="Z47" s="1037" t="n"/>
    </row>
    <row r="48">
      <c r="A48" s="1108" t="n">
        <v>1</v>
      </c>
      <c r="B48" s="1108">
        <f>B47</f>
        <v/>
      </c>
      <c r="C48" s="1108">
        <f>C47</f>
        <v/>
      </c>
      <c r="D48" s="1108">
        <f>(C48*$B$25*(1.5+$B$26)+C48*(1-$B$25))*IF(B48&gt;0, 1, 0)</f>
        <v/>
      </c>
      <c r="E48" s="1108">
        <f>E47</f>
        <v/>
      </c>
      <c r="F48" s="1108">
        <f>MAX((B48-E48*(1-$B$22)), 0)</f>
        <v/>
      </c>
      <c r="G48" s="1037" t="n"/>
      <c r="H48" s="1037" t="n"/>
      <c r="I48" s="1037" t="n"/>
      <c r="J48" s="1037" t="n"/>
      <c r="K48" s="1037" t="n"/>
      <c r="L48" s="1037" t="n"/>
      <c r="M48" s="1037" t="n"/>
      <c r="N48" s="1037" t="n"/>
      <c r="O48" s="1037" t="n"/>
      <c r="P48" s="1037" t="n"/>
      <c r="Q48" s="1037" t="n"/>
      <c r="R48" s="1037" t="n"/>
      <c r="S48" s="1037" t="n"/>
      <c r="T48" s="1037" t="n"/>
      <c r="U48" s="1037" t="n"/>
      <c r="V48" s="1037" t="n"/>
      <c r="W48" s="1037" t="n"/>
      <c r="X48" s="1037" t="n"/>
      <c r="Y48" s="1037" t="n"/>
      <c r="Z48" s="1037" t="n"/>
    </row>
    <row r="49">
      <c r="A49" s="1108" t="n">
        <v>2</v>
      </c>
      <c r="B49" s="1108">
        <f>(F48+$B$23)*IF(F48&gt;0, 1, 0)</f>
        <v/>
      </c>
      <c r="C49" s="1108">
        <f>($B$18+(A49-1)*$B$24+FLOOR((1-B49/$B$19)*10,1)*$B$27)*IF(B49&gt;0, 1, 0)</f>
        <v/>
      </c>
      <c r="D49" s="1108">
        <f>(C49*$B$25*(1.5+$B$26)+C49*(1-$B$25))*IF(B49&gt;0, 1, 0)</f>
        <v/>
      </c>
      <c r="E49" s="1108">
        <f>(E48+$B$28)*IF(B49&gt;0, 1, 0)</f>
        <v/>
      </c>
      <c r="F49" s="1108">
        <f>MAX((B49-E49*(1-$B$22)), 0)</f>
        <v/>
      </c>
      <c r="G49" s="1037" t="n"/>
      <c r="H49" s="1037" t="n"/>
      <c r="I49" s="1037" t="n"/>
      <c r="J49" s="1037" t="n"/>
      <c r="K49" s="1037" t="n"/>
      <c r="L49" s="1037" t="n"/>
      <c r="M49" s="1037" t="n"/>
      <c r="N49" s="1037" t="n"/>
      <c r="O49" s="1037" t="n"/>
      <c r="P49" s="1037" t="n"/>
      <c r="Q49" s="1037" t="n"/>
      <c r="R49" s="1037" t="n"/>
      <c r="S49" s="1037" t="n"/>
      <c r="T49" s="1037" t="n"/>
      <c r="U49" s="1037" t="n"/>
      <c r="V49" s="1037" t="n"/>
      <c r="W49" s="1037" t="n"/>
      <c r="X49" s="1037" t="n"/>
      <c r="Y49" s="1037" t="n"/>
      <c r="Z49" s="1037" t="n"/>
    </row>
    <row r="50">
      <c r="A50" s="1108" t="n">
        <v>3</v>
      </c>
      <c r="B50" s="1108">
        <f>(F49+$B$23)*IF(F49&gt;0, 1, 0)</f>
        <v/>
      </c>
      <c r="C50" s="1108">
        <f>($B$18+(A50-1)*$B$24+FLOOR((1-B50/$B$19)*10,1)*$B$27)*IF(B50&gt;0, 1, 0)</f>
        <v/>
      </c>
      <c r="D50" s="1108">
        <f>(C50*$B$25*(1.5+$B$26)+C50*(1-$B$25))*IF(B50&gt;0, 1, 0)</f>
        <v/>
      </c>
      <c r="E50" s="1108">
        <f>(E49+$B$28)*IF(B50&gt;0, 1, 0)</f>
        <v/>
      </c>
      <c r="F50" s="1108">
        <f>MAX((B50-E50*(1-$B$22)), 0)</f>
        <v/>
      </c>
      <c r="G50" s="1037" t="n"/>
      <c r="H50" s="1037" t="n"/>
      <c r="I50" s="1037" t="n"/>
      <c r="J50" s="1037" t="n"/>
      <c r="K50" s="1037" t="n"/>
      <c r="L50" s="1037" t="n"/>
      <c r="M50" s="1037" t="n"/>
      <c r="N50" s="1037" t="n"/>
      <c r="O50" s="1037" t="n"/>
      <c r="P50" s="1037" t="n"/>
      <c r="Q50" s="1037" t="n"/>
      <c r="R50" s="1037" t="n"/>
      <c r="S50" s="1037" t="n"/>
      <c r="T50" s="1037" t="n"/>
      <c r="U50" s="1037" t="n"/>
      <c r="V50" s="1037" t="n"/>
      <c r="W50" s="1037" t="n"/>
      <c r="X50" s="1037" t="n"/>
      <c r="Y50" s="1037" t="n"/>
      <c r="Z50" s="1037" t="n"/>
    </row>
    <row r="51">
      <c r="A51" s="1108" t="n">
        <v>4</v>
      </c>
      <c r="B51" s="1108">
        <f>(F50+$B$23)*IF(F50&gt;0, 1, 0)</f>
        <v/>
      </c>
      <c r="C51" s="1108">
        <f>($B$18+(A51-1)*$B$24+FLOOR((1-B51/$B$19)*10,1)*$B$27)*IF(B51&gt;0, 1, 0)</f>
        <v/>
      </c>
      <c r="D51" s="1108">
        <f>(C51*$B$25*(1.5+$B$26)+C51*(1-$B$25))*IF(B51&gt;0, 1, 0)</f>
        <v/>
      </c>
      <c r="E51" s="1108">
        <f>(E50+$B$28)*IF(B51&gt;0, 1, 0)</f>
        <v/>
      </c>
      <c r="F51" s="1108">
        <f>MAX((B51-E51*(1-$B$22)), 0)</f>
        <v/>
      </c>
      <c r="G51" s="1037" t="n"/>
      <c r="H51" s="1037" t="n"/>
      <c r="I51" s="1037" t="n"/>
      <c r="J51" s="1037" t="n"/>
      <c r="K51" s="1037" t="n"/>
      <c r="L51" s="1037" t="n"/>
      <c r="M51" s="1037" t="n"/>
      <c r="N51" s="1037" t="n"/>
      <c r="O51" s="1037" t="n"/>
      <c r="P51" s="1037" t="n"/>
      <c r="Q51" s="1037" t="n"/>
      <c r="R51" s="1037" t="n"/>
      <c r="S51" s="1037" t="n"/>
      <c r="T51" s="1037" t="n"/>
      <c r="U51" s="1037" t="n"/>
      <c r="V51" s="1037" t="n"/>
      <c r="W51" s="1037" t="n"/>
      <c r="X51" s="1037" t="n"/>
      <c r="Y51" s="1037" t="n"/>
      <c r="Z51" s="1037" t="n"/>
    </row>
    <row r="52">
      <c r="A52" s="1108" t="n">
        <v>5</v>
      </c>
      <c r="B52" s="1108">
        <f>(F51+$B$23)*IF(F51&gt;0, 1, 0)</f>
        <v/>
      </c>
      <c r="C52" s="1108">
        <f>($B$18+(A52-1)*$B$24+FLOOR((1-B52/$B$19)*10,1)*$B$27)*IF(B52&gt;0, 1, 0)</f>
        <v/>
      </c>
      <c r="D52" s="1108">
        <f>(C52*$B$25*(1.5+$B$26)+C52*(1-$B$25))*IF(B52&gt;0, 1, 0)</f>
        <v/>
      </c>
      <c r="E52" s="1108">
        <f>(E51+$B$28)*IF(B52&gt;0, 1, 0)</f>
        <v/>
      </c>
      <c r="F52" s="1108">
        <f>MAX((B52-E52*(1-$B$22)), 0)</f>
        <v/>
      </c>
      <c r="G52" s="1037" t="n"/>
      <c r="H52" s="1037" t="n"/>
      <c r="I52" s="1037" t="n"/>
      <c r="J52" s="1037" t="n"/>
      <c r="K52" s="1037" t="n"/>
      <c r="L52" s="1037" t="n"/>
      <c r="M52" s="1037" t="n"/>
      <c r="N52" s="1037" t="n"/>
      <c r="O52" s="1037" t="n"/>
      <c r="P52" s="1037" t="n"/>
      <c r="Q52" s="1037" t="n"/>
      <c r="R52" s="1037" t="n"/>
      <c r="S52" s="1037" t="n"/>
      <c r="T52" s="1037" t="n"/>
      <c r="U52" s="1037" t="n"/>
      <c r="V52" s="1037" t="n"/>
      <c r="W52" s="1037" t="n"/>
      <c r="X52" s="1037" t="n"/>
      <c r="Y52" s="1037" t="n"/>
      <c r="Z52" s="1037" t="n"/>
    </row>
    <row r="53">
      <c r="A53" s="1108" t="n">
        <v>6</v>
      </c>
      <c r="B53" s="1108">
        <f>(F52+$B$23)*IF(F52&gt;0, 1, 0)</f>
        <v/>
      </c>
      <c r="C53" s="1108">
        <f>($B$18+(A53-1)*$B$24+FLOOR((1-B53/$B$19)*10,1)*$B$27)*IF(B53&gt;0, 1, 0)</f>
        <v/>
      </c>
      <c r="D53" s="1108">
        <f>(C53*$B$25*(1.5+$B$26)+C53*(1-$B$25))*IF(B53&gt;0, 1, 0)</f>
        <v/>
      </c>
      <c r="E53" s="1108">
        <f>(E52+$B$28)*IF(B53&gt;0, 1, 0)</f>
        <v/>
      </c>
      <c r="F53" s="1108">
        <f>MAX((B53-E53*(1-$B$22)), 0)</f>
        <v/>
      </c>
      <c r="G53" s="1037" t="n"/>
      <c r="H53" s="1037" t="n"/>
      <c r="I53" s="1037" t="n"/>
      <c r="J53" s="1037" t="n"/>
      <c r="K53" s="1037" t="n"/>
      <c r="L53" s="1037" t="n"/>
      <c r="M53" s="1037" t="n"/>
      <c r="N53" s="1037" t="n"/>
      <c r="O53" s="1037" t="n"/>
      <c r="P53" s="1037" t="n"/>
      <c r="Q53" s="1037" t="n"/>
      <c r="R53" s="1037" t="n"/>
      <c r="S53" s="1037" t="n"/>
      <c r="T53" s="1037" t="n"/>
      <c r="U53" s="1037" t="n"/>
      <c r="V53" s="1037" t="n"/>
      <c r="W53" s="1037" t="n"/>
      <c r="X53" s="1037" t="n"/>
      <c r="Y53" s="1037" t="n"/>
      <c r="Z53" s="1037" t="n"/>
    </row>
    <row r="54">
      <c r="A54" s="1108" t="n">
        <v>7</v>
      </c>
      <c r="B54" s="1108">
        <f>(F53+$B$23)*IF(F53&gt;0, 1, 0)</f>
        <v/>
      </c>
      <c r="C54" s="1108">
        <f>($B$18+(A54-1)*$B$24+FLOOR((1-B54/$B$19)*10,1)*$B$27)*IF(B54&gt;0, 1, 0)</f>
        <v/>
      </c>
      <c r="D54" s="1108">
        <f>(C54*$B$25*(1.5+$B$26)+C54*(1-$B$25))*IF(B54&gt;0, 1, 0)</f>
        <v/>
      </c>
      <c r="E54" s="1108">
        <f>(E53+$B$28)*IF(B54&gt;0, 1, 0)</f>
        <v/>
      </c>
      <c r="F54" s="1108">
        <f>MAX((B54-E54*(1-$B$22)), 0)</f>
        <v/>
      </c>
      <c r="G54" s="1037" t="n"/>
      <c r="H54" s="1037" t="n"/>
      <c r="I54" s="1037" t="n"/>
      <c r="J54" s="1037" t="n"/>
      <c r="K54" s="1037" t="n"/>
      <c r="L54" s="1037" t="n"/>
      <c r="M54" s="1037" t="n"/>
      <c r="N54" s="1037" t="n"/>
      <c r="O54" s="1037" t="n"/>
      <c r="P54" s="1037" t="n"/>
      <c r="Q54" s="1037" t="n"/>
      <c r="R54" s="1037" t="n"/>
      <c r="S54" s="1037" t="n"/>
      <c r="T54" s="1037" t="n"/>
      <c r="U54" s="1037" t="n"/>
      <c r="V54" s="1037" t="n"/>
      <c r="W54" s="1037" t="n"/>
      <c r="X54" s="1037" t="n"/>
      <c r="Y54" s="1037" t="n"/>
      <c r="Z54" s="1037" t="n"/>
    </row>
    <row r="55">
      <c r="A55" s="1108" t="n">
        <v>8</v>
      </c>
      <c r="B55" s="1108">
        <f>(F54+$B$23)*IF(F54&gt;0, 1, 0)</f>
        <v/>
      </c>
      <c r="C55" s="1108">
        <f>($B$18+(A55-1)*$B$24+FLOOR((1-B55/$B$19)*10,1)*$B$27)*IF(B55&gt;0, 1, 0)</f>
        <v/>
      </c>
      <c r="D55" s="1108">
        <f>(C55*$B$25*(1.5+$B$26)+C55*(1-$B$25))*IF(B55&gt;0, 1, 0)</f>
        <v/>
      </c>
      <c r="E55" s="1108">
        <f>(E54+$B$28)*IF(B55&gt;0, 1, 0)</f>
        <v/>
      </c>
      <c r="F55" s="1108">
        <f>MAX((B55-E55*(1-$B$22)), 0)</f>
        <v/>
      </c>
      <c r="G55" s="1037" t="n"/>
      <c r="H55" s="1037" t="n"/>
      <c r="I55" s="1037" t="n"/>
      <c r="J55" s="1037" t="n"/>
      <c r="K55" s="1037" t="n"/>
      <c r="L55" s="1037" t="n"/>
      <c r="M55" s="1037" t="n"/>
      <c r="N55" s="1037" t="n"/>
      <c r="O55" s="1037" t="n"/>
      <c r="P55" s="1037" t="n"/>
      <c r="Q55" s="1037" t="n"/>
      <c r="R55" s="1037" t="n"/>
      <c r="S55" s="1037" t="n"/>
      <c r="T55" s="1037" t="n"/>
      <c r="U55" s="1037" t="n"/>
      <c r="V55" s="1037" t="n"/>
      <c r="W55" s="1037" t="n"/>
      <c r="X55" s="1037" t="n"/>
      <c r="Y55" s="1037" t="n"/>
      <c r="Z55" s="1037" t="n"/>
    </row>
    <row r="56">
      <c r="A56" s="1108" t="n">
        <v>9</v>
      </c>
      <c r="B56" s="1108">
        <f>(F55+$B$23)*IF(F55&gt;0, 1, 0)</f>
        <v/>
      </c>
      <c r="C56" s="1108">
        <f>($B$18+(A56-1)*$B$24+FLOOR((1-B56/$B$19)*10,1)*$B$27)*IF(B56&gt;0, 1, 0)</f>
        <v/>
      </c>
      <c r="D56" s="1108">
        <f>(C56*$B$25*(1.5+$B$26)+C56*(1-$B$25))*IF(B56&gt;0, 1, 0)</f>
        <v/>
      </c>
      <c r="E56" s="1108">
        <f>(E55+$B$28)*IF(B56&gt;0, 1, 0)</f>
        <v/>
      </c>
      <c r="F56" s="1108">
        <f>MAX((B56-E56*(1-$B$22)), 0)</f>
        <v/>
      </c>
      <c r="G56" s="1037" t="n"/>
      <c r="H56" s="1037" t="n"/>
      <c r="I56" s="1037" t="n"/>
      <c r="J56" s="1037" t="n"/>
      <c r="K56" s="1037" t="n"/>
      <c r="L56" s="1037" t="n"/>
      <c r="M56" s="1037" t="n"/>
      <c r="N56" s="1037" t="n"/>
      <c r="O56" s="1037" t="n"/>
      <c r="P56" s="1037" t="n"/>
      <c r="Q56" s="1037" t="n"/>
      <c r="R56" s="1037" t="n"/>
      <c r="S56" s="1037" t="n"/>
      <c r="T56" s="1037" t="n"/>
      <c r="U56" s="1037" t="n"/>
      <c r="V56" s="1037" t="n"/>
      <c r="W56" s="1037" t="n"/>
      <c r="X56" s="1037" t="n"/>
      <c r="Y56" s="1037" t="n"/>
      <c r="Z56" s="1037" t="n"/>
    </row>
    <row r="57">
      <c r="A57" s="1108" t="n">
        <v>10</v>
      </c>
      <c r="B57" s="1108">
        <f>(F56+$B$23)*IF(F56&gt;0, 1, 0)</f>
        <v/>
      </c>
      <c r="C57" s="1108">
        <f>($B$18+(A57-1)*$B$24+FLOOR((1-B57/$B$19)*10,1)*$B$27)*IF(B57&gt;0, 1, 0)</f>
        <v/>
      </c>
      <c r="D57" s="1108">
        <f>(C57*$B$25*(1.5+$B$26)+C57*(1-$B$25))*IF(B57&gt;0, 1, 0)</f>
        <v/>
      </c>
      <c r="E57" s="1108">
        <f>(E56+$B$28)*IF(B57&gt;0, 1, 0)</f>
        <v/>
      </c>
      <c r="F57" s="1108">
        <f>MAX((B57-E57*(1-$B$22)), 0)</f>
        <v/>
      </c>
      <c r="G57" s="1037" t="n"/>
      <c r="H57" s="1037" t="n"/>
      <c r="I57" s="1037" t="n"/>
      <c r="J57" s="1037" t="n"/>
      <c r="K57" s="1037" t="n"/>
      <c r="L57" s="1037" t="n"/>
      <c r="M57" s="1037" t="n"/>
      <c r="N57" s="1037" t="n"/>
      <c r="O57" s="1037" t="n"/>
      <c r="P57" s="1037" t="n"/>
      <c r="Q57" s="1037" t="n"/>
      <c r="R57" s="1037" t="n"/>
      <c r="S57" s="1037" t="n"/>
      <c r="T57" s="1037" t="n"/>
      <c r="U57" s="1037" t="n"/>
      <c r="V57" s="1037" t="n"/>
      <c r="W57" s="1037" t="n"/>
      <c r="X57" s="1037" t="n"/>
      <c r="Y57" s="1037" t="n"/>
      <c r="Z57" s="1037" t="n"/>
    </row>
    <row r="58">
      <c r="A58" s="1108" t="n">
        <v>11</v>
      </c>
      <c r="B58" s="1108">
        <f>(F57+$B$23)*IF(F57&gt;0, 1, 0)</f>
        <v/>
      </c>
      <c r="C58" s="1108">
        <f>($B$18+(A58-1)*$B$24+FLOOR((1-B58/$B$19)*10,1)*$B$27)*IF(B58&gt;0, 1, 0)</f>
        <v/>
      </c>
      <c r="D58" s="1108">
        <f>(C58*$B$25*(1.5+$B$26)+C58*(1-$B$25))*IF(B58&gt;0, 1, 0)</f>
        <v/>
      </c>
      <c r="E58" s="1108">
        <f>(E57+$B$28)*IF(B58&gt;0, 1, 0)</f>
        <v/>
      </c>
      <c r="F58" s="1108">
        <f>MAX((B58-E58*(1-$B$22)), 0)</f>
        <v/>
      </c>
      <c r="G58" s="1037" t="n"/>
      <c r="H58" s="1037" t="n"/>
      <c r="I58" s="1037" t="n"/>
      <c r="J58" s="1037" t="n"/>
      <c r="K58" s="1037" t="n"/>
      <c r="L58" s="1037" t="n"/>
      <c r="M58" s="1037" t="n"/>
      <c r="N58" s="1037" t="n"/>
      <c r="O58" s="1037" t="n"/>
      <c r="P58" s="1037" t="n"/>
      <c r="Q58" s="1037" t="n"/>
      <c r="R58" s="1037" t="n"/>
      <c r="S58" s="1037" t="n"/>
      <c r="T58" s="1037" t="n"/>
      <c r="U58" s="1037" t="n"/>
      <c r="V58" s="1037" t="n"/>
      <c r="W58" s="1037" t="n"/>
      <c r="X58" s="1037" t="n"/>
      <c r="Y58" s="1037" t="n"/>
      <c r="Z58" s="1037" t="n"/>
    </row>
    <row r="59">
      <c r="A59" s="1108" t="n">
        <v>12</v>
      </c>
      <c r="B59" s="1108">
        <f>(F58+$B$23)*IF(F58&gt;0, 1, 0)</f>
        <v/>
      </c>
      <c r="C59" s="1108">
        <f>($B$18+(A59-1)*$B$24+FLOOR((1-B59/$B$19)*10,1)*$B$27)*IF(B59&gt;0, 1, 0)</f>
        <v/>
      </c>
      <c r="D59" s="1108">
        <f>(C59*$B$25*(1.5+$B$26)+C59*(1-$B$25))*IF(B59&gt;0, 1, 0)</f>
        <v/>
      </c>
      <c r="E59" s="1108">
        <f>(E58+$B$28)*IF(B59&gt;0, 1, 0)</f>
        <v/>
      </c>
      <c r="F59" s="1108">
        <f>MAX((B59-E59*(1-$B$22)), 0)</f>
        <v/>
      </c>
      <c r="G59" s="1037" t="n"/>
      <c r="H59" s="1037" t="n"/>
      <c r="I59" s="1037" t="n"/>
      <c r="J59" s="1037" t="n"/>
      <c r="K59" s="1037" t="n"/>
      <c r="L59" s="1037" t="n"/>
      <c r="M59" s="1037" t="n"/>
      <c r="N59" s="1037" t="n"/>
      <c r="O59" s="1037" t="n"/>
      <c r="P59" s="1037" t="n"/>
      <c r="Q59" s="1037" t="n"/>
      <c r="R59" s="1037" t="n"/>
      <c r="S59" s="1037" t="n"/>
      <c r="T59" s="1037" t="n"/>
      <c r="U59" s="1037" t="n"/>
      <c r="V59" s="1037" t="n"/>
      <c r="W59" s="1037" t="n"/>
      <c r="X59" s="1037" t="n"/>
      <c r="Y59" s="1037" t="n"/>
      <c r="Z59" s="1037" t="n"/>
    </row>
    <row r="60">
      <c r="A60" s="1108" t="n">
        <v>13</v>
      </c>
      <c r="B60" s="1108">
        <f>(F59+$B$23)*IF(F59&gt;0, 1, 0)</f>
        <v/>
      </c>
      <c r="C60" s="1108">
        <f>($B$18+(A60-1)*$B$24+FLOOR((1-B60/$B$19)*10,1)*$B$27)*IF(B60&gt;0, 1, 0)</f>
        <v/>
      </c>
      <c r="D60" s="1108">
        <f>(C60*$B$25*(1.5+$B$26)+C60*(1-$B$25))*IF(B60&gt;0, 1, 0)</f>
        <v/>
      </c>
      <c r="E60" s="1108">
        <f>(E59+$B$28)*IF(B60&gt;0, 1, 0)</f>
        <v/>
      </c>
      <c r="F60" s="1108">
        <f>MAX((B60-E60*(1-$B$22)), 0)</f>
        <v/>
      </c>
      <c r="G60" s="1037" t="n"/>
      <c r="H60" s="1037" t="n"/>
      <c r="I60" s="1037" t="n"/>
      <c r="J60" s="1037" t="n"/>
      <c r="K60" s="1037" t="n"/>
      <c r="L60" s="1037" t="n"/>
      <c r="M60" s="1037" t="n"/>
      <c r="N60" s="1037" t="n"/>
      <c r="O60" s="1037" t="n"/>
      <c r="P60" s="1037" t="n"/>
      <c r="Q60" s="1037" t="n"/>
      <c r="R60" s="1037" t="n"/>
      <c r="S60" s="1037" t="n"/>
      <c r="T60" s="1037" t="n"/>
      <c r="U60" s="1037" t="n"/>
      <c r="V60" s="1037" t="n"/>
      <c r="W60" s="1037" t="n"/>
      <c r="X60" s="1037" t="n"/>
      <c r="Y60" s="1037" t="n"/>
      <c r="Z60" s="1037" t="n"/>
    </row>
    <row r="61">
      <c r="A61" s="1108" t="n">
        <v>14</v>
      </c>
      <c r="B61" s="1108">
        <f>(F60+$B$23)*IF(F60&gt;0, 1, 0)</f>
        <v/>
      </c>
      <c r="C61" s="1108">
        <f>($B$18+(A61-1)*$B$24+FLOOR((1-B61/$B$19)*10,1)*$B$27)*IF(B61&gt;0, 1, 0)</f>
        <v/>
      </c>
      <c r="D61" s="1108">
        <f>(C61*$B$25*(1.5+$B$26)+C61*(1-$B$25))*IF(B61&gt;0, 1, 0)</f>
        <v/>
      </c>
      <c r="E61" s="1108">
        <f>(E60+$B$28)*IF(B61&gt;0, 1, 0)</f>
        <v/>
      </c>
      <c r="F61" s="1108">
        <f>MAX((B61-E61*(1-$B$22)), 0)</f>
        <v/>
      </c>
      <c r="G61" s="1037" t="n"/>
      <c r="H61" s="1037" t="n"/>
      <c r="I61" s="1037" t="n"/>
      <c r="J61" s="1037" t="n"/>
      <c r="K61" s="1037" t="n"/>
      <c r="L61" s="1037" t="n"/>
      <c r="M61" s="1037" t="n"/>
      <c r="N61" s="1037" t="n"/>
      <c r="O61" s="1037" t="n"/>
      <c r="P61" s="1037" t="n"/>
      <c r="Q61" s="1037" t="n"/>
      <c r="R61" s="1037" t="n"/>
      <c r="S61" s="1037" t="n"/>
      <c r="T61" s="1037" t="n"/>
      <c r="U61" s="1037" t="n"/>
      <c r="V61" s="1037" t="n"/>
      <c r="W61" s="1037" t="n"/>
      <c r="X61" s="1037" t="n"/>
      <c r="Y61" s="1037" t="n"/>
      <c r="Z61" s="1037" t="n"/>
    </row>
    <row r="62">
      <c r="A62" s="1108" t="n">
        <v>15</v>
      </c>
      <c r="B62" s="1108">
        <f>(F61+$B$23)*IF(F61&gt;0, 1, 0)</f>
        <v/>
      </c>
      <c r="C62" s="1108">
        <f>($B$18+(A62-1)*$B$24+FLOOR((1-B62/$B$19)*10,1)*$B$27)*IF(B62&gt;0, 1, 0)</f>
        <v/>
      </c>
      <c r="D62" s="1108">
        <f>(C62*$B$25*(1.5+$B$26)+C62*(1-$B$25))*IF(B62&gt;0, 1, 0)</f>
        <v/>
      </c>
      <c r="E62" s="1108">
        <f>(E61+$B$28)*IF(B62&gt;0, 1, 0)</f>
        <v/>
      </c>
      <c r="F62" s="1108">
        <f>MAX((B62-E62*(1-$B$22)), 0)</f>
        <v/>
      </c>
      <c r="G62" s="1037" t="n"/>
      <c r="H62" s="1037" t="n"/>
      <c r="I62" s="1037" t="n"/>
      <c r="J62" s="1037" t="n"/>
      <c r="K62" s="1037" t="n"/>
      <c r="L62" s="1037" t="n"/>
      <c r="M62" s="1037" t="n"/>
      <c r="N62" s="1037" t="n"/>
      <c r="O62" s="1037" t="n"/>
      <c r="P62" s="1037" t="n"/>
      <c r="Q62" s="1037" t="n"/>
      <c r="R62" s="1037" t="n"/>
      <c r="S62" s="1037" t="n"/>
      <c r="T62" s="1037" t="n"/>
      <c r="U62" s="1037" t="n"/>
      <c r="V62" s="1037" t="n"/>
      <c r="W62" s="1037" t="n"/>
      <c r="X62" s="1037" t="n"/>
      <c r="Y62" s="1037" t="n"/>
      <c r="Z62" s="1037" t="n"/>
    </row>
    <row r="63">
      <c r="A63" s="1108" t="n">
        <v>16</v>
      </c>
      <c r="B63" s="1108">
        <f>(F62+$B$23)*IF(F62&gt;0, 1, 0)</f>
        <v/>
      </c>
      <c r="C63" s="1108">
        <f>($B$18+(A63-1)*$B$24+FLOOR((1-B63/$B$19)*10,1)*$B$27)*IF(B63&gt;0, 1, 0)</f>
        <v/>
      </c>
      <c r="D63" s="1108">
        <f>(C63*$B$25*(1.5+$B$26)+C63*(1-$B$25))*IF(B63&gt;0, 1, 0)</f>
        <v/>
      </c>
      <c r="E63" s="1108">
        <f>(E62+$B$28)*IF(B63&gt;0, 1, 0)</f>
        <v/>
      </c>
      <c r="F63" s="1108">
        <f>MAX((B63-E63*(1-$B$22)), 0)</f>
        <v/>
      </c>
      <c r="G63" s="1037" t="n"/>
      <c r="H63" s="1037" t="n"/>
      <c r="I63" s="1037" t="n"/>
      <c r="J63" s="1037" t="n"/>
      <c r="K63" s="1037" t="n"/>
      <c r="L63" s="1037" t="n"/>
      <c r="M63" s="1037" t="n"/>
      <c r="N63" s="1037" t="n"/>
      <c r="O63" s="1037" t="n"/>
      <c r="P63" s="1037" t="n"/>
      <c r="Q63" s="1037" t="n"/>
      <c r="R63" s="1037" t="n"/>
      <c r="S63" s="1037" t="n"/>
      <c r="T63" s="1037" t="n"/>
      <c r="U63" s="1037" t="n"/>
      <c r="V63" s="1037" t="n"/>
      <c r="W63" s="1037" t="n"/>
      <c r="X63" s="1037" t="n"/>
      <c r="Y63" s="1037" t="n"/>
      <c r="Z63" s="1037" t="n"/>
    </row>
    <row r="64">
      <c r="A64" s="1108" t="n">
        <v>17</v>
      </c>
      <c r="B64" s="1108">
        <f>(F63+$B$23)*IF(F63&gt;0, 1, 0)</f>
        <v/>
      </c>
      <c r="C64" s="1108">
        <f>($B$18+(A64-1)*$B$24+FLOOR((1-B64/$B$19)*10,1)*$B$27)*IF(B64&gt;0, 1, 0)</f>
        <v/>
      </c>
      <c r="D64" s="1108">
        <f>(C64*$B$25*(1.5+$B$26)+C64*(1-$B$25))*IF(B64&gt;0, 1, 0)</f>
        <v/>
      </c>
      <c r="E64" s="1108">
        <f>(E63+$B$28)*IF(B64&gt;0, 1, 0)</f>
        <v/>
      </c>
      <c r="F64" s="1108">
        <f>MAX((B64-E64*(1-$B$22)), 0)</f>
        <v/>
      </c>
      <c r="G64" s="1037" t="n"/>
      <c r="H64" s="1037" t="n"/>
      <c r="I64" s="1037" t="n"/>
      <c r="J64" s="1037" t="n"/>
      <c r="K64" s="1037" t="n"/>
      <c r="L64" s="1037" t="n"/>
      <c r="M64" s="1037" t="n"/>
      <c r="N64" s="1037" t="n"/>
      <c r="O64" s="1037" t="n"/>
      <c r="P64" s="1037" t="n"/>
      <c r="Q64" s="1037" t="n"/>
      <c r="R64" s="1037" t="n"/>
      <c r="S64" s="1037" t="n"/>
      <c r="T64" s="1037" t="n"/>
      <c r="U64" s="1037" t="n"/>
      <c r="V64" s="1037" t="n"/>
      <c r="W64" s="1037" t="n"/>
      <c r="X64" s="1037" t="n"/>
      <c r="Y64" s="1037" t="n"/>
      <c r="Z64" s="1037" t="n"/>
    </row>
    <row r="65">
      <c r="A65" s="1108" t="n">
        <v>18</v>
      </c>
      <c r="B65" s="1108">
        <f>(F64+$B$23)*IF(F64&gt;0, 1, 0)</f>
        <v/>
      </c>
      <c r="C65" s="1108">
        <f>($B$18+(A65-1)*$B$24+FLOOR((1-B65/$B$19)*10,1)*$B$27)*IF(B65&gt;0, 1, 0)</f>
        <v/>
      </c>
      <c r="D65" s="1108">
        <f>(C65*$B$25*(1.5+$B$26)+C65*(1-$B$25))*IF(B65&gt;0, 1, 0)</f>
        <v/>
      </c>
      <c r="E65" s="1108">
        <f>(E64+$B$28)*IF(B65&gt;0, 1, 0)</f>
        <v/>
      </c>
      <c r="F65" s="1108">
        <f>MAX((B65-E65*(1-$B$22)), 0)</f>
        <v/>
      </c>
      <c r="G65" s="1037" t="n"/>
      <c r="H65" s="1037" t="n"/>
      <c r="I65" s="1037" t="n"/>
      <c r="J65" s="1037" t="n"/>
      <c r="K65" s="1037" t="n"/>
      <c r="L65" s="1037" t="n"/>
      <c r="M65" s="1037" t="n"/>
      <c r="N65" s="1037" t="n"/>
      <c r="O65" s="1037" t="n"/>
      <c r="P65" s="1037" t="n"/>
      <c r="Q65" s="1037" t="n"/>
      <c r="R65" s="1037" t="n"/>
      <c r="S65" s="1037" t="n"/>
      <c r="T65" s="1037" t="n"/>
      <c r="U65" s="1037" t="n"/>
      <c r="V65" s="1037" t="n"/>
      <c r="W65" s="1037" t="n"/>
      <c r="X65" s="1037" t="n"/>
      <c r="Y65" s="1037" t="n"/>
      <c r="Z65" s="1037" t="n"/>
    </row>
    <row r="66">
      <c r="A66" s="1108" t="n">
        <v>19</v>
      </c>
      <c r="B66" s="1108">
        <f>(F65+$B$23)*IF(F65&gt;0, 1, 0)</f>
        <v/>
      </c>
      <c r="C66" s="1108">
        <f>($B$18+(A66-1)*$B$24+FLOOR((1-B66/$B$19)*10,1)*$B$27)*IF(B66&gt;0, 1, 0)</f>
        <v/>
      </c>
      <c r="D66" s="1108">
        <f>(C66*$B$25*(1.5+$B$26)+C66*(1-$B$25))*IF(B66&gt;0, 1, 0)</f>
        <v/>
      </c>
      <c r="E66" s="1108">
        <f>(E65+$B$28)*IF(B66&gt;0, 1, 0)</f>
        <v/>
      </c>
      <c r="F66" s="1108">
        <f>MAX((B66-E66*(1-$B$22)), 0)</f>
        <v/>
      </c>
      <c r="G66" s="1037" t="n"/>
      <c r="H66" s="1037" t="n"/>
      <c r="I66" s="1037" t="n"/>
      <c r="J66" s="1037" t="n"/>
      <c r="K66" s="1037" t="n"/>
      <c r="L66" s="1037" t="n"/>
      <c r="M66" s="1037" t="n"/>
      <c r="N66" s="1037" t="n"/>
      <c r="O66" s="1037" t="n"/>
      <c r="P66" s="1037" t="n"/>
      <c r="Q66" s="1037" t="n"/>
      <c r="R66" s="1037" t="n"/>
      <c r="S66" s="1037" t="n"/>
      <c r="T66" s="1037" t="n"/>
      <c r="U66" s="1037" t="n"/>
      <c r="V66" s="1037" t="n"/>
      <c r="W66" s="1037" t="n"/>
      <c r="X66" s="1037" t="n"/>
      <c r="Y66" s="1037" t="n"/>
      <c r="Z66" s="1037" t="n"/>
    </row>
    <row r="67">
      <c r="A67" s="1108" t="n">
        <v>20</v>
      </c>
      <c r="B67" s="1108">
        <f>(F66+$B$23)*IF(F66&gt;0, 1, 0)</f>
        <v/>
      </c>
      <c r="C67" s="1108">
        <f>($B$18+(A67-1)*$B$24+FLOOR((1-B67/$B$19)*10,1)*$B$27)*IF(B67&gt;0, 1, 0)</f>
        <v/>
      </c>
      <c r="D67" s="1108">
        <f>(C67*$B$25*(1.5+$B$26)+C67*(1-$B$25))*IF(B67&gt;0, 1, 0)</f>
        <v/>
      </c>
      <c r="E67" s="1108">
        <f>(E66+$B$28)*IF(B67&gt;0, 1, 0)</f>
        <v/>
      </c>
      <c r="F67" s="1108">
        <f>MAX((B67-E67*(1-$B$22)), 0)</f>
        <v/>
      </c>
      <c r="G67" s="1037" t="n"/>
      <c r="H67" s="1037" t="n"/>
      <c r="I67" s="1037" t="n"/>
      <c r="J67" s="1037" t="n"/>
      <c r="K67" s="1037" t="n"/>
      <c r="L67" s="1037" t="n"/>
      <c r="M67" s="1037" t="n"/>
      <c r="N67" s="1037" t="n"/>
      <c r="O67" s="1037" t="n"/>
      <c r="P67" s="1037" t="n"/>
      <c r="Q67" s="1037" t="n"/>
      <c r="R67" s="1037" t="n"/>
      <c r="S67" s="1037" t="n"/>
      <c r="T67" s="1037" t="n"/>
      <c r="U67" s="1037" t="n"/>
      <c r="V67" s="1037" t="n"/>
      <c r="W67" s="1037" t="n"/>
      <c r="X67" s="1037" t="n"/>
      <c r="Y67" s="1037" t="n"/>
      <c r="Z67" s="1037" t="n"/>
    </row>
    <row r="68">
      <c r="A68" s="669" t="n"/>
      <c r="B68" s="669" t="n"/>
      <c r="C68" s="669" t="n"/>
      <c r="D68" s="669" t="n"/>
      <c r="E68" s="669" t="n"/>
      <c r="F68" s="669" t="n"/>
      <c r="G68" s="669" t="n"/>
      <c r="H68" s="669" t="n"/>
      <c r="I68" s="669" t="n"/>
      <c r="J68" s="669" t="n"/>
      <c r="K68" s="669" t="n"/>
      <c r="L68" s="669" t="n"/>
      <c r="M68" s="669" t="n"/>
      <c r="N68" s="669" t="n"/>
      <c r="O68" s="669" t="n"/>
      <c r="P68" s="669" t="n"/>
      <c r="Q68" s="669" t="n"/>
      <c r="R68" s="669" t="n"/>
      <c r="S68" s="669" t="n"/>
      <c r="T68" s="669" t="n"/>
      <c r="U68" s="669" t="n"/>
      <c r="V68" s="669" t="n"/>
      <c r="W68" s="669" t="n"/>
      <c r="X68" s="669" t="n"/>
      <c r="Y68" s="669" t="n"/>
      <c r="Z68" s="669" t="n"/>
    </row>
    <row r="69">
      <c r="A69" s="669" t="n"/>
      <c r="B69" s="669" t="n"/>
      <c r="C69" s="669" t="n"/>
      <c r="D69" s="669" t="n"/>
      <c r="E69" s="669" t="n"/>
      <c r="F69" s="669" t="n"/>
      <c r="G69" s="669" t="n"/>
      <c r="H69" s="669" t="n"/>
      <c r="I69" s="669" t="n"/>
      <c r="J69" s="669" t="n"/>
      <c r="K69" s="669" t="n"/>
      <c r="L69" s="669" t="n"/>
      <c r="M69" s="669" t="n"/>
      <c r="N69" s="669" t="n"/>
      <c r="O69" s="669" t="n"/>
      <c r="P69" s="669" t="n"/>
      <c r="Q69" s="669" t="n"/>
      <c r="R69" s="669" t="n"/>
      <c r="S69" s="669" t="n"/>
      <c r="T69" s="669" t="n"/>
      <c r="U69" s="669" t="n"/>
      <c r="V69" s="669" t="n"/>
      <c r="W69" s="669" t="n"/>
      <c r="X69" s="669" t="n"/>
      <c r="Y69" s="669" t="n"/>
      <c r="Z69" s="669" t="n"/>
    </row>
    <row r="70">
      <c r="A70" s="669" t="n"/>
      <c r="B70" s="669" t="n"/>
      <c r="C70" s="669" t="n"/>
      <c r="D70" s="669" t="n"/>
      <c r="E70" s="669" t="n"/>
      <c r="F70" s="669" t="n"/>
      <c r="G70" s="669" t="n"/>
      <c r="H70" s="669" t="n"/>
      <c r="I70" s="669" t="n"/>
      <c r="J70" s="669" t="n"/>
      <c r="K70" s="669" t="n"/>
      <c r="L70" s="669" t="n"/>
      <c r="M70" s="669" t="n"/>
      <c r="N70" s="669" t="n"/>
      <c r="O70" s="669" t="n"/>
      <c r="P70" s="669" t="n"/>
      <c r="Q70" s="669" t="n"/>
      <c r="R70" s="669" t="n"/>
      <c r="S70" s="669" t="n"/>
      <c r="T70" s="669" t="n"/>
      <c r="U70" s="669" t="n"/>
      <c r="V70" s="669" t="n"/>
      <c r="W70" s="669" t="n"/>
      <c r="X70" s="669" t="n"/>
      <c r="Y70" s="669" t="n"/>
      <c r="Z70" s="669" t="n"/>
    </row>
    <row r="71">
      <c r="A71" s="669" t="n"/>
      <c r="B71" s="669" t="n"/>
      <c r="C71" s="669" t="n"/>
      <c r="D71" s="669" t="n"/>
      <c r="E71" s="669" t="n"/>
      <c r="F71" s="669" t="n"/>
      <c r="G71" s="669" t="n"/>
      <c r="H71" s="669" t="n"/>
      <c r="I71" s="669" t="n"/>
      <c r="J71" s="669" t="n"/>
      <c r="K71" s="669" t="n"/>
      <c r="L71" s="669" t="n"/>
      <c r="M71" s="669" t="n"/>
      <c r="N71" s="669" t="n"/>
      <c r="O71" s="669" t="n"/>
      <c r="P71" s="669" t="n"/>
      <c r="Q71" s="669" t="n"/>
      <c r="R71" s="669" t="n"/>
      <c r="S71" s="669" t="n"/>
      <c r="T71" s="669" t="n"/>
      <c r="U71" s="669" t="n"/>
      <c r="V71" s="669" t="n"/>
      <c r="W71" s="669" t="n"/>
      <c r="X71" s="669" t="n"/>
      <c r="Y71" s="669" t="n"/>
      <c r="Z71" s="669" t="n"/>
    </row>
    <row r="72">
      <c r="A72" s="669" t="n"/>
      <c r="B72" s="669" t="n"/>
      <c r="C72" s="669" t="n"/>
      <c r="D72" s="669" t="n"/>
      <c r="E72" s="669" t="n"/>
      <c r="F72" s="669" t="n"/>
      <c r="G72" s="669" t="n"/>
      <c r="H72" s="669" t="n"/>
      <c r="I72" s="669" t="n"/>
      <c r="J72" s="669" t="n"/>
      <c r="K72" s="669" t="n"/>
      <c r="L72" s="669" t="n"/>
      <c r="M72" s="669" t="n"/>
      <c r="N72" s="669" t="n"/>
      <c r="O72" s="669" t="n"/>
      <c r="P72" s="669" t="n"/>
      <c r="Q72" s="669" t="n"/>
      <c r="R72" s="669" t="n"/>
      <c r="S72" s="669" t="n"/>
      <c r="T72" s="669" t="n"/>
      <c r="U72" s="669" t="n"/>
      <c r="V72" s="669" t="n"/>
      <c r="W72" s="669" t="n"/>
      <c r="X72" s="669" t="n"/>
      <c r="Y72" s="669" t="n"/>
      <c r="Z72" s="669" t="n"/>
    </row>
  </sheetData>
  <dataValidations count="7">
    <dataValidation sqref="G11:G23" showDropDown="0" showInputMessage="0" showErrorMessage="1" allowBlank="1" type="list">
      <formula1>"S,A,B/A,B,C/B,C,D/B,D/C,D,F,TBD,Variable"</formula1>
    </dataValidation>
    <dataValidation sqref="A11:A14" showDropDown="0" showInputMessage="0" showErrorMessage="1" allowBlank="1" type="list">
      <formula1>"St. Trinidad,Soleil Royal,Dragon Horse,Peacekeeper,Tridentman"</formula1>
    </dataValidation>
    <dataValidation sqref="B16" showDropDown="0" showInputMessage="0" showErrorMessage="1" allowBlank="1" type="list">
      <formula1>"Battle of Baekgang,Battle of Actium,Battle of Noryang,Summit War,Battle of Trafalgar,Battle of Jutland,Carribean Battle,Battle of Leyte Gulf,Battle of Luermen,Battle of Gravelines,Treasure Battle,Battle of Diu,Battle of Sinop,Battle of Tangdao,Vikings,Bat"&amp;"tle of Lepanto,Battle of Gallipoli,Battle of Lissa,Philippine Sea Battle,Battle of Tsushima,Battle of Chesma,Battle of Navarino,Battle of Midway"</formula1>
    </dataValidation>
    <dataValidation sqref="B17" showDropDown="0" showInputMessage="0" showErrorMessage="1" allowBlank="1" type="list">
      <formula1>"DMG REDUC,CRIT Rate,Armor Recovery"</formula1>
    </dataValidation>
    <dataValidation sqref="A2:A6" showDropDown="0" showInputMessage="0" showErrorMessage="0" allowBlank="1" errorTitle="Invalid Selection" error="Please select a valid drifter name." type="list">
      <formula1>'Drifter Stats'!$A$4:$A$24</formula1>
    </dataValidation>
    <dataValidation sqref="A11:A14" showDropDown="0" showInputMessage="0" showErrorMessage="0" allowBlank="1" errorTitle="Invalid Selection" error="Please select a valid drifter name." type="list">
      <formula1>'Drifter Stats'!$A$4:$A$24</formula1>
    </dataValidation>
    <dataValidation sqref="B16" showDropDown="0" showInputMessage="0" showErrorMessage="0" allowBlank="1" errorTitle="Invalid Anecdote" error="Please select a valid anecdote." type="list">
      <formula1>'Rift Anecdotes'!$B$63:$B$85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AZ36"/>
  <sheetViews>
    <sheetView workbookViewId="0">
      <selection activeCell="A1" sqref="A1"/>
    </sheetView>
  </sheetViews>
  <sheetFormatPr baseColWidth="8" defaultColWidth="9.18" defaultRowHeight="15" customHeight="1"/>
  <cols>
    <col width="9.82" customWidth="1" style="1128" min="1" max="1"/>
    <col width="3.73" customWidth="1" style="1128" min="2" max="2"/>
    <col width="3.09" customWidth="1" style="1128" min="3" max="3"/>
    <col width="4.55" customWidth="1" style="1128" min="4" max="4"/>
    <col width="2.73" customWidth="1" style="1128" min="5" max="5"/>
    <col width="4.36" customWidth="1" style="1128" min="6" max="6"/>
    <col width="2.73" customWidth="1" style="1128" min="7" max="7"/>
    <col width="4.45" customWidth="1" style="1128" min="8" max="8"/>
    <col width="2.73" customWidth="1" style="1128" min="9" max="9"/>
    <col width="3.82" customWidth="1" style="1128" min="10" max="10"/>
    <col width="2.73" customWidth="1" style="1128" min="11" max="11"/>
    <col width="4.45" customWidth="1" style="1128" min="12" max="12"/>
    <col width="2.73" customWidth="1" style="1128" min="13" max="13"/>
    <col width="4" customWidth="1" style="1128" min="14" max="14"/>
    <col width="2.73" customWidth="1" style="1128" min="15" max="15"/>
    <col width="4.36" customWidth="1" style="1128" min="16" max="16"/>
    <col width="2.73" customWidth="1" style="1128" min="17" max="17"/>
    <col width="3.55" customWidth="1" style="1128" min="18" max="18"/>
    <col width="5.27" customWidth="1" style="1128" min="19" max="19"/>
    <col width="4.18" customWidth="1" style="1128" min="31" max="31"/>
    <col width="4.09" customWidth="1" style="1128" min="32" max="32"/>
    <col width="2.36" customWidth="1" style="1128" min="33" max="33"/>
    <col width="6.91" customWidth="1" style="1128" min="34" max="34"/>
    <col width="2.36" customWidth="1" style="1128" min="35" max="35"/>
    <col width="6" customWidth="1" style="1128" min="36" max="36"/>
    <col width="2.36" customWidth="1" style="1128" min="37" max="37"/>
    <col width="6.18" customWidth="1" style="1128" min="38" max="38"/>
    <col width="2.36" customWidth="1" style="1128" min="39" max="39"/>
    <col width="4.73" customWidth="1" style="1128" min="40" max="40"/>
    <col width="2.36" customWidth="1" style="1128" min="41" max="41"/>
    <col width="4.91" customWidth="1" style="1128" min="42" max="42"/>
    <col width="2.36" customWidth="1" style="1128" min="43" max="43"/>
    <col width="4.82" customWidth="1" style="1128" min="44" max="44"/>
    <col width="2.36" customWidth="1" style="1128" min="45" max="45"/>
    <col width="2.36" customWidth="1" style="1128" min="47" max="48"/>
  </cols>
  <sheetData>
    <row r="1">
      <c r="A1" s="666" t="inlineStr">
        <is>
          <t>Drifter Stat Gains Per Level</t>
        </is>
      </c>
      <c r="B1" s="669" t="n"/>
      <c r="C1" s="669" t="n"/>
      <c r="D1" s="669" t="n"/>
      <c r="E1" s="669" t="n"/>
      <c r="F1" s="669" t="n"/>
      <c r="G1" s="669" t="n"/>
      <c r="H1" s="669" t="n"/>
      <c r="I1" s="669" t="n"/>
      <c r="J1" s="669" t="n"/>
      <c r="K1" s="669" t="n"/>
      <c r="L1" s="669" t="n"/>
      <c r="M1" s="669" t="n"/>
      <c r="N1" s="669" t="n"/>
      <c r="O1" s="669" t="n"/>
      <c r="P1" s="669" t="n"/>
      <c r="Q1" s="669" t="n"/>
      <c r="R1" s="669" t="n"/>
      <c r="S1" s="669" t="n"/>
      <c r="T1" s="669" t="n"/>
      <c r="U1" s="669" t="n"/>
      <c r="V1" s="669" t="n"/>
      <c r="W1" s="669" t="n"/>
      <c r="X1" s="669" t="n"/>
      <c r="Y1" s="669" t="n"/>
      <c r="Z1" s="669" t="n"/>
      <c r="AA1" s="669" t="n"/>
      <c r="AB1" s="669" t="n"/>
      <c r="AC1" s="669" t="n"/>
      <c r="AD1" s="669" t="n"/>
      <c r="AE1" s="669" t="n"/>
      <c r="AF1" s="669" t="n"/>
      <c r="AG1" s="669" t="n"/>
      <c r="AH1" s="669" t="n"/>
      <c r="AI1" s="669" t="n"/>
      <c r="AJ1" s="669" t="n"/>
      <c r="AK1" s="669" t="n"/>
      <c r="AL1" s="669" t="n"/>
      <c r="AM1" s="669" t="n"/>
      <c r="AN1" s="669" t="n"/>
      <c r="AO1" s="669" t="n"/>
      <c r="AP1" s="669" t="n"/>
      <c r="AQ1" s="669" t="n"/>
      <c r="AR1" s="669" t="n"/>
      <c r="AS1" s="669" t="n"/>
      <c r="AT1" s="669" t="n"/>
      <c r="AU1" s="669" t="n"/>
      <c r="AV1" s="669" t="n"/>
      <c r="AZ1" s="0" t="n">
        <v>120</v>
      </c>
    </row>
    <row r="2">
      <c r="S2" s="1037" t="n"/>
      <c r="T2" s="1037" t="n"/>
      <c r="U2" s="1037" t="n"/>
      <c r="V2" s="1037" t="n"/>
      <c r="W2" s="1037" t="n"/>
      <c r="X2" s="669" t="n"/>
      <c r="Y2" s="669" t="n"/>
      <c r="Z2" s="669" t="n"/>
      <c r="AA2" s="669" t="n"/>
      <c r="AB2" s="669" t="n"/>
      <c r="AC2" s="669" t="n"/>
      <c r="AD2" s="669" t="n"/>
      <c r="AE2" s="1104" t="inlineStr">
        <is>
          <t>Level</t>
        </is>
      </c>
      <c r="AF2" s="1104" t="inlineStr">
        <is>
          <t>Band</t>
        </is>
      </c>
      <c r="AG2" s="1104" t="n"/>
      <c r="AH2" s="1104" t="inlineStr">
        <is>
          <t>Seafaring</t>
        </is>
      </c>
      <c r="AI2" s="1104" t="n"/>
      <c r="AJ2" s="1104" t="inlineStr">
        <is>
          <t>Ninjutsu</t>
        </is>
      </c>
      <c r="AK2" s="1104" t="n"/>
      <c r="AL2" s="1104" t="inlineStr">
        <is>
          <t>Defense</t>
        </is>
      </c>
      <c r="AM2" s="1104" t="n"/>
      <c r="AN2" s="1104" t="inlineStr">
        <is>
          <t>Siege</t>
        </is>
      </c>
      <c r="AO2" s="1104" t="n"/>
      <c r="AP2" s="1104" t="inlineStr">
        <is>
          <t>Dance</t>
        </is>
      </c>
      <c r="AQ2" s="1104" t="n"/>
      <c r="AR2" s="1104" t="inlineStr">
        <is>
          <t>Riding</t>
        </is>
      </c>
      <c r="AS2" s="1104" t="n"/>
      <c r="AT2" s="1104" t="inlineStr">
        <is>
          <t>Dharma</t>
        </is>
      </c>
      <c r="AU2" s="1104" t="n"/>
      <c r="AV2" s="1037" t="n"/>
    </row>
    <row r="3">
      <c r="A3" s="1055" t="inlineStr">
        <is>
          <t>Drifter</t>
        </is>
      </c>
      <c r="B3" s="1160" t="inlineStr">
        <is>
          <t>Band</t>
        </is>
      </c>
      <c r="C3" s="1153" t="n"/>
      <c r="D3" s="1057" t="inlineStr">
        <is>
          <t>Seafaring</t>
        </is>
      </c>
      <c r="E3" s="1152" t="n"/>
      <c r="F3" s="1160" t="inlineStr">
        <is>
          <t>Ninjutsu</t>
        </is>
      </c>
      <c r="G3" s="1153" t="n"/>
      <c r="H3" s="1057" t="inlineStr">
        <is>
          <t>Defense</t>
        </is>
      </c>
      <c r="I3" s="1152" t="n"/>
      <c r="J3" s="1160" t="inlineStr">
        <is>
          <t>Siege</t>
        </is>
      </c>
      <c r="K3" s="1153" t="n"/>
      <c r="L3" s="1057" t="inlineStr">
        <is>
          <t>Dance</t>
        </is>
      </c>
      <c r="M3" s="1152" t="n"/>
      <c r="N3" s="1160" t="inlineStr">
        <is>
          <t>Riding</t>
        </is>
      </c>
      <c r="O3" s="1153" t="n"/>
      <c r="P3" s="1057" t="inlineStr">
        <is>
          <t>Dharma</t>
        </is>
      </c>
      <c r="Q3" s="1152" t="n"/>
      <c r="R3" s="1006" t="n"/>
      <c r="S3" s="1059" t="inlineStr">
        <is>
          <t>Total</t>
        </is>
      </c>
      <c r="T3" s="1006" t="inlineStr">
        <is>
          <t>S+ Total</t>
        </is>
      </c>
      <c r="U3" s="1037" t="n"/>
      <c r="V3" s="1037" t="n"/>
      <c r="W3" s="1037" t="n"/>
      <c r="X3" s="1037" t="n"/>
      <c r="Y3" s="669" t="n"/>
      <c r="Z3" s="669" t="n"/>
      <c r="AA3" s="669" t="n"/>
      <c r="AB3" s="669" t="n"/>
      <c r="AC3" s="669" t="n"/>
      <c r="AD3" s="669" t="n"/>
      <c r="AE3" s="669" t="n"/>
      <c r="AF3" s="1108" t="n">
        <v>37</v>
      </c>
      <c r="AG3" s="1108" t="n">
        <v>1480</v>
      </c>
      <c r="AH3" s="1104" t="n"/>
      <c r="AI3" s="1108" t="n">
        <v>3552</v>
      </c>
      <c r="AJ3" s="1104" t="n"/>
      <c r="AK3" s="1108" t="n">
        <v>11520</v>
      </c>
      <c r="AL3" s="1108" t="n">
        <v>22</v>
      </c>
      <c r="AM3" s="1108" t="n">
        <v>12496</v>
      </c>
      <c r="AN3" s="1108" t="n">
        <v>40</v>
      </c>
      <c r="AO3" s="1108" t="n">
        <v>2146</v>
      </c>
      <c r="AP3" s="1104" t="n"/>
      <c r="AQ3" s="1108" t="n">
        <v>1813</v>
      </c>
      <c r="AR3" s="1104" t="n"/>
      <c r="AS3" s="1108" t="n">
        <v>4440</v>
      </c>
      <c r="AT3" s="1104" t="n"/>
      <c r="AU3" s="1108" t="n">
        <v>3071</v>
      </c>
      <c r="AV3" s="1104" t="n"/>
    </row>
    <row r="4">
      <c r="A4" s="1060" t="inlineStr">
        <is>
          <t>Momochi</t>
        </is>
      </c>
      <c r="B4" s="1060">
        <f>(AG3-AH3*$AZ$1)/$AF3</f>
        <v/>
      </c>
      <c r="C4" s="1061" t="inlineStr">
        <is>
          <t>C</t>
        </is>
      </c>
      <c r="D4" s="1062">
        <f>(AI3-AJ3*$AZ$1)/$AF3</f>
        <v/>
      </c>
      <c r="E4" s="1062" t="inlineStr">
        <is>
          <t>B</t>
        </is>
      </c>
      <c r="F4" s="1060">
        <f>(AK3-AL3*$AZ$1)/$AF3</f>
        <v/>
      </c>
      <c r="G4" s="1061" t="inlineStr">
        <is>
          <t>SSS</t>
        </is>
      </c>
      <c r="H4" s="1062">
        <f>(AM3-AN3*$AZ$1)/$AF3</f>
        <v/>
      </c>
      <c r="I4" s="1062" t="inlineStr">
        <is>
          <t>SS</t>
        </is>
      </c>
      <c r="J4" s="1060">
        <f>(AO3-AP3*$AZ$1)/$AF3</f>
        <v/>
      </c>
      <c r="K4" s="1061" t="inlineStr">
        <is>
          <t>C</t>
        </is>
      </c>
      <c r="L4" s="1062">
        <f>(AQ3-AR3*$AZ$1)/$AF3</f>
        <v/>
      </c>
      <c r="M4" s="1062" t="inlineStr">
        <is>
          <t>C</t>
        </is>
      </c>
      <c r="N4" s="1060">
        <f>(AS3-AT3*$AZ$1)/$AF3</f>
        <v/>
      </c>
      <c r="O4" s="1061" t="inlineStr">
        <is>
          <t>A</t>
        </is>
      </c>
      <c r="P4" s="1062">
        <f>(AU3-AV3*$AZ$1)/$AF3</f>
        <v/>
      </c>
      <c r="Q4" s="1062" t="inlineStr">
        <is>
          <t>B</t>
        </is>
      </c>
      <c r="R4" s="1063" t="n"/>
      <c r="S4" s="1061">
        <f>B4+D4+F4+H4+J4+L4+N4+P4</f>
        <v/>
      </c>
      <c r="T4" s="1103">
        <f>F4+H4</f>
        <v/>
      </c>
      <c r="U4" s="1037" t="n"/>
      <c r="V4" s="1037" t="n"/>
      <c r="W4" s="1037" t="n"/>
      <c r="X4" s="1037" t="n"/>
      <c r="Y4" s="669" t="n"/>
      <c r="Z4" s="669" t="n"/>
      <c r="AA4" s="669" t="n"/>
      <c r="AB4" s="669" t="n"/>
      <c r="AC4" s="669" t="n"/>
      <c r="AD4" s="669" t="n"/>
      <c r="AE4" s="669" t="n"/>
      <c r="AF4" s="1108" t="n">
        <v>28</v>
      </c>
      <c r="AG4" s="1108" t="n">
        <v>2352</v>
      </c>
      <c r="AH4" s="1104" t="n"/>
      <c r="AI4" s="1108" t="n">
        <v>3388</v>
      </c>
      <c r="AJ4" s="1104" t="n"/>
      <c r="AK4" s="1108" t="n">
        <v>9640</v>
      </c>
      <c r="AL4" s="1108" t="n">
        <v>22</v>
      </c>
      <c r="AM4" s="1108" t="n">
        <v>1232</v>
      </c>
      <c r="AN4" s="1104" t="n"/>
      <c r="AO4" s="1108" t="n">
        <v>1716</v>
      </c>
      <c r="AP4" s="1108" t="n">
        <v>1</v>
      </c>
      <c r="AQ4" s="1108" t="n">
        <v>6524</v>
      </c>
      <c r="AR4" s="1108" t="n">
        <v>14</v>
      </c>
      <c r="AS4" s="1108" t="n">
        <v>1652</v>
      </c>
      <c r="AT4" s="1104" t="n"/>
      <c r="AU4" s="1108" t="n">
        <v>2324</v>
      </c>
      <c r="AV4" s="1104" t="n"/>
    </row>
    <row r="5">
      <c r="A5" s="1064" t="inlineStr">
        <is>
          <t>Amakusa</t>
        </is>
      </c>
      <c r="B5" s="1064">
        <f>(AG4-AH4*$AZ$1)/$AF4</f>
        <v/>
      </c>
      <c r="C5" s="1065" t="inlineStr">
        <is>
          <t>B</t>
        </is>
      </c>
      <c r="D5" s="1066">
        <f>(AI4-AJ4*$AZ$1)/$AF4</f>
        <v/>
      </c>
      <c r="E5" s="1066" t="inlineStr">
        <is>
          <t>A</t>
        </is>
      </c>
      <c r="F5" s="1064">
        <f>(AK4-AL4*$AZ$1)/$AF4</f>
        <v/>
      </c>
      <c r="G5" s="1065" t="inlineStr">
        <is>
          <t>SSS</t>
        </is>
      </c>
      <c r="H5" s="1066">
        <f>(AM4-AN4*$AZ$1)/$AF4</f>
        <v/>
      </c>
      <c r="I5" s="1066" t="inlineStr">
        <is>
          <t>C</t>
        </is>
      </c>
      <c r="J5" s="1064">
        <f>(AO4-AP4*$AZ$1)/$AF4</f>
        <v/>
      </c>
      <c r="K5" s="1065" t="inlineStr">
        <is>
          <t>C</t>
        </is>
      </c>
      <c r="L5" s="1066">
        <f>(AQ4-AR4*$AZ$1)/$AF4</f>
        <v/>
      </c>
      <c r="M5" s="1066" t="inlineStr">
        <is>
          <t>S</t>
        </is>
      </c>
      <c r="N5" s="1064">
        <f>(AS4-AT4*$AZ$1)/$AF4</f>
        <v/>
      </c>
      <c r="O5" s="1065" t="inlineStr">
        <is>
          <t>C</t>
        </is>
      </c>
      <c r="P5" s="1066">
        <f>(AU4-AV4*$AZ$1)/$AF4</f>
        <v/>
      </c>
      <c r="Q5" s="1066" t="inlineStr">
        <is>
          <t>B</t>
        </is>
      </c>
      <c r="R5" s="1063" t="n"/>
      <c r="S5" s="1065">
        <f>B5+D5+F5+H5+J5+L5+N5+P5</f>
        <v/>
      </c>
      <c r="T5" s="1103">
        <f>F5+L5</f>
        <v/>
      </c>
      <c r="U5" s="1037" t="n"/>
      <c r="V5" s="1037" t="n"/>
      <c r="W5" s="1037" t="n"/>
      <c r="X5" s="1037" t="n"/>
      <c r="Y5" s="669" t="n"/>
      <c r="Z5" s="669" t="n"/>
      <c r="AA5" s="669" t="n"/>
      <c r="AB5" s="669" t="n"/>
      <c r="AC5" s="669" t="n"/>
      <c r="AD5" s="669" t="n"/>
      <c r="AE5" s="669" t="n"/>
      <c r="AF5" s="1108" t="n">
        <v>24</v>
      </c>
      <c r="AG5" s="1108" t="n">
        <v>1176</v>
      </c>
      <c r="AH5" s="1104" t="n"/>
      <c r="AI5" s="1108" t="n">
        <v>1128</v>
      </c>
      <c r="AJ5" s="1104" t="n"/>
      <c r="AK5" s="1108" t="n">
        <v>2232</v>
      </c>
      <c r="AL5" s="1108" t="n">
        <v>1</v>
      </c>
      <c r="AM5" s="1108" t="n">
        <v>2952</v>
      </c>
      <c r="AN5" s="1104" t="n"/>
      <c r="AO5" s="1108" t="n">
        <v>2136</v>
      </c>
      <c r="AP5" s="1104" t="n"/>
      <c r="AQ5" s="1108" t="n">
        <v>8880</v>
      </c>
      <c r="AR5" s="1108" t="n">
        <v>26</v>
      </c>
      <c r="AS5" s="1108" t="n">
        <v>1344</v>
      </c>
      <c r="AT5" s="1104" t="n"/>
      <c r="AU5" s="1108" t="n">
        <v>4416</v>
      </c>
      <c r="AV5" s="1108" t="n">
        <v>1</v>
      </c>
    </row>
    <row r="6">
      <c r="A6" s="1060" t="inlineStr">
        <is>
          <t>Excalibra</t>
        </is>
      </c>
      <c r="B6" s="1060">
        <f>(AG5-AH5*$AZ$1)/$AF5</f>
        <v/>
      </c>
      <c r="C6" s="1061" t="inlineStr">
        <is>
          <t>C</t>
        </is>
      </c>
      <c r="D6" s="1062">
        <f>(AI5-AJ5*$AZ$1)/$AF5</f>
        <v/>
      </c>
      <c r="E6" s="1062" t="inlineStr">
        <is>
          <t>C</t>
        </is>
      </c>
      <c r="F6" s="1060">
        <f>(AK5-AL5*$AZ$1)/$AF5</f>
        <v/>
      </c>
      <c r="G6" s="1061" t="inlineStr">
        <is>
          <t>B</t>
        </is>
      </c>
      <c r="H6" s="1062">
        <f>(AM5-AN5*$AZ$1)/$AF5</f>
        <v/>
      </c>
      <c r="I6" s="1062" t="inlineStr">
        <is>
          <t>A</t>
        </is>
      </c>
      <c r="J6" s="1060">
        <f>(AO5-AP5*$AZ$1)/$AF5</f>
        <v/>
      </c>
      <c r="K6" s="1061" t="inlineStr">
        <is>
          <t>B</t>
        </is>
      </c>
      <c r="L6" s="1062">
        <f>(AQ5-AR5*$AZ$1)/$AF5</f>
        <v/>
      </c>
      <c r="M6" s="1062" t="inlineStr">
        <is>
          <t>SSS</t>
        </is>
      </c>
      <c r="N6" s="1060">
        <f>(AS5-AT5*$AZ$1)/$AF5</f>
        <v/>
      </c>
      <c r="O6" s="1061" t="inlineStr">
        <is>
          <t>C</t>
        </is>
      </c>
      <c r="P6" s="1062">
        <f>(AU5-AV5*$AZ$1)/$AF5</f>
        <v/>
      </c>
      <c r="Q6" s="1062" t="inlineStr">
        <is>
          <t>S</t>
        </is>
      </c>
      <c r="R6" s="1063" t="n"/>
      <c r="S6" s="1061">
        <f>B6+D6+F6+H6+J6+L6+N6+P6</f>
        <v/>
      </c>
      <c r="T6" s="1103">
        <f>L6+P6</f>
        <v/>
      </c>
      <c r="U6" s="1037" t="n"/>
      <c r="V6" s="1037" t="n"/>
      <c r="W6" s="1037" t="n"/>
      <c r="X6" s="1037" t="n"/>
      <c r="Y6" s="669" t="n"/>
      <c r="Z6" s="669" t="n"/>
      <c r="AA6" s="669" t="n"/>
      <c r="AB6" s="669" t="n"/>
      <c r="AC6" s="669" t="n"/>
      <c r="AD6" s="669" t="n"/>
      <c r="AE6" s="669" t="n"/>
      <c r="AF6" s="1108" t="n">
        <v>36</v>
      </c>
      <c r="AG6" s="1108" t="n">
        <v>4968</v>
      </c>
      <c r="AH6" s="1104" t="n"/>
      <c r="AI6" s="1108" t="n">
        <v>684</v>
      </c>
      <c r="AJ6" s="1104" t="n"/>
      <c r="AK6" s="1108" t="n">
        <v>8640</v>
      </c>
      <c r="AL6" s="1108" t="n">
        <v>12</v>
      </c>
      <c r="AM6" s="1108" t="n">
        <v>3348</v>
      </c>
      <c r="AN6" s="1104" t="n"/>
      <c r="AO6" s="1108" t="n">
        <v>2664</v>
      </c>
      <c r="AP6" s="1108" t="n">
        <v>9</v>
      </c>
      <c r="AQ6" s="1108" t="n">
        <v>3600</v>
      </c>
      <c r="AR6" s="1104" t="n"/>
      <c r="AS6" s="1108" t="n">
        <v>10068</v>
      </c>
      <c r="AT6" s="1108" t="n">
        <v>20</v>
      </c>
      <c r="AU6" s="1108" t="n">
        <v>1836</v>
      </c>
      <c r="AV6" s="1104" t="n"/>
    </row>
    <row r="7">
      <c r="A7" s="1064" t="inlineStr">
        <is>
          <t>Night Kitty</t>
        </is>
      </c>
      <c r="B7" s="1064">
        <f>(AG6-AH6*$AZ$1)/$AF6</f>
        <v/>
      </c>
      <c r="C7" s="1065" t="inlineStr">
        <is>
          <t>A</t>
        </is>
      </c>
      <c r="D7" s="1066">
        <f>(AI6-AJ6*$AZ$1)/$AF6</f>
        <v/>
      </c>
      <c r="E7" s="1066" t="inlineStr">
        <is>
          <t>D</t>
        </is>
      </c>
      <c r="F7" s="1064">
        <f>(AK6-AL6*$AZ$1)/$AF6</f>
        <v/>
      </c>
      <c r="G7" s="1065" t="inlineStr">
        <is>
          <t>SS</t>
        </is>
      </c>
      <c r="H7" s="1066">
        <f>(AM6-AN6*$AZ$1)/$AF6</f>
        <v/>
      </c>
      <c r="I7" s="1066" t="inlineStr">
        <is>
          <t>B</t>
        </is>
      </c>
      <c r="J7" s="1064">
        <f>(AO6-AP6*$AZ$1)/$AF6</f>
        <v/>
      </c>
      <c r="K7" s="1065" t="inlineStr">
        <is>
          <t>C</t>
        </is>
      </c>
      <c r="L7" s="1066">
        <f>(AQ6-AR6*$AZ$1)/$AF6</f>
        <v/>
      </c>
      <c r="M7" s="1066" t="inlineStr">
        <is>
          <t>B</t>
        </is>
      </c>
      <c r="N7" s="1064">
        <f>(AS6-AT6*$AZ$1)/$AF6</f>
        <v/>
      </c>
      <c r="O7" s="1065" t="inlineStr">
        <is>
          <t>SS</t>
        </is>
      </c>
      <c r="P7" s="1066">
        <f>(AU6-AV6*$AZ$1)/$AF6</f>
        <v/>
      </c>
      <c r="Q7" s="1066" t="inlineStr">
        <is>
          <t>C</t>
        </is>
      </c>
      <c r="R7" s="1063" t="n"/>
      <c r="S7" s="1065">
        <f>B7+D7+F7+H7+J7+L7+N7+P7</f>
        <v/>
      </c>
      <c r="T7" s="1103">
        <f>F7+N7</f>
        <v/>
      </c>
      <c r="U7" s="1037" t="n"/>
      <c r="V7" s="1037" t="n"/>
      <c r="W7" s="1037" t="n"/>
      <c r="X7" s="1037" t="n"/>
      <c r="Y7" s="669" t="n"/>
      <c r="Z7" s="669" t="n"/>
      <c r="AA7" s="669" t="n"/>
      <c r="AB7" s="669" t="n"/>
      <c r="AC7" s="669" t="n"/>
      <c r="AD7" s="669" t="n"/>
      <c r="AE7" s="669" t="n"/>
      <c r="AF7" s="1108" t="n">
        <v>34</v>
      </c>
      <c r="AG7" s="1108" t="n">
        <v>1768</v>
      </c>
      <c r="AH7" s="1104" t="n"/>
      <c r="AI7" s="1108" t="n">
        <v>7080</v>
      </c>
      <c r="AJ7" s="1108" t="n">
        <v>8</v>
      </c>
      <c r="AK7" s="1108" t="n">
        <v>3298</v>
      </c>
      <c r="AL7" s="1104" t="n"/>
      <c r="AM7" s="1108" t="n">
        <v>3162</v>
      </c>
      <c r="AN7" s="1104" t="n"/>
      <c r="AO7" s="1108" t="n">
        <v>1854</v>
      </c>
      <c r="AP7" s="1108" t="n">
        <v>1</v>
      </c>
      <c r="AQ7" s="1108" t="n">
        <v>1360</v>
      </c>
      <c r="AR7" s="1104" t="n"/>
      <c r="AS7" s="1108" t="n">
        <v>8992</v>
      </c>
      <c r="AT7" s="1108" t="n">
        <v>16</v>
      </c>
      <c r="AU7" s="1108" t="n">
        <v>4726</v>
      </c>
      <c r="AV7" s="1104" t="n"/>
    </row>
    <row r="8">
      <c r="A8" s="1060" t="inlineStr">
        <is>
          <t>Tridentman</t>
        </is>
      </c>
      <c r="B8" s="1060">
        <f>(AG7-AH7*$AZ$1)/$AF7</f>
        <v/>
      </c>
      <c r="C8" s="1061" t="inlineStr">
        <is>
          <t>C</t>
        </is>
      </c>
      <c r="D8" s="1062">
        <f>(AI7-AJ7*$AZ$1)/$AF7</f>
        <v/>
      </c>
      <c r="E8" s="1062" t="inlineStr">
        <is>
          <t>S</t>
        </is>
      </c>
      <c r="F8" s="1060">
        <f>(AK7-AL7*$AZ$1)/$AF7</f>
        <v/>
      </c>
      <c r="G8" s="1061" t="inlineStr">
        <is>
          <t>B</t>
        </is>
      </c>
      <c r="H8" s="1062">
        <f>(AM7-AN7*$AZ$1)/$AF7</f>
        <v/>
      </c>
      <c r="I8" s="1062" t="inlineStr">
        <is>
          <t>B</t>
        </is>
      </c>
      <c r="J8" s="1060">
        <f>(AO7-AP7*$AZ$1)/$AF7</f>
        <v/>
      </c>
      <c r="K8" s="1061" t="inlineStr">
        <is>
          <t>C</t>
        </is>
      </c>
      <c r="L8" s="1062">
        <f>(AQ7-AR7*$AZ$1)/$AF7</f>
        <v/>
      </c>
      <c r="M8" s="1062" t="inlineStr">
        <is>
          <t>C</t>
        </is>
      </c>
      <c r="N8" s="1060">
        <f>(AS7-AT7*$AZ$1)/$AF7</f>
        <v/>
      </c>
      <c r="O8" s="1061" t="inlineStr">
        <is>
          <t>SS</t>
        </is>
      </c>
      <c r="P8" s="1062">
        <f>(AU7-AV7*$AZ$1)/$AF7</f>
        <v/>
      </c>
      <c r="Q8" s="1062" t="inlineStr">
        <is>
          <t>A</t>
        </is>
      </c>
      <c r="R8" s="1063" t="n"/>
      <c r="S8" s="1061">
        <f>B8+D8+F8+H8+J8+L8+N8+P8</f>
        <v/>
      </c>
      <c r="T8" s="1103">
        <f>D8+N8</f>
        <v/>
      </c>
      <c r="U8" s="1037" t="n"/>
      <c r="V8" s="1037" t="n"/>
      <c r="W8" s="1037" t="n"/>
      <c r="X8" s="1037" t="n"/>
      <c r="Y8" s="669" t="n"/>
      <c r="Z8" s="669" t="n"/>
      <c r="AA8" s="669" t="n"/>
      <c r="AB8" s="669" t="n"/>
      <c r="AC8" s="669" t="n"/>
      <c r="AD8" s="669" t="n"/>
      <c r="AE8" s="669" t="n"/>
      <c r="AF8" s="1108" t="n">
        <v>24</v>
      </c>
      <c r="AG8" s="1108" t="n">
        <v>1416</v>
      </c>
      <c r="AH8" s="1104" t="n"/>
      <c r="AI8" s="1108" t="n">
        <v>1008</v>
      </c>
      <c r="AJ8" s="1104" t="n"/>
      <c r="AK8" s="1108" t="n">
        <v>1320</v>
      </c>
      <c r="AL8" s="1104" t="n"/>
      <c r="AM8" s="1108" t="n">
        <v>2016</v>
      </c>
      <c r="AN8" s="1104" t="n"/>
      <c r="AO8" s="1108" t="n">
        <v>10560</v>
      </c>
      <c r="AP8" s="1108" t="n">
        <v>40</v>
      </c>
      <c r="AQ8" s="1108" t="n">
        <v>2112</v>
      </c>
      <c r="AR8" s="1104" t="n"/>
      <c r="AS8" s="1108" t="n">
        <v>2904</v>
      </c>
      <c r="AT8" s="1104" t="n"/>
      <c r="AU8" s="1108" t="n">
        <v>4488</v>
      </c>
      <c r="AV8" s="1108" t="n">
        <v>2</v>
      </c>
    </row>
    <row r="9">
      <c r="A9" s="1064" t="inlineStr">
        <is>
          <t>Mad Abe</t>
        </is>
      </c>
      <c r="B9" s="1064">
        <f>(AG8-AH8*$AZ$1)/$AF8</f>
        <v/>
      </c>
      <c r="C9" s="1065" t="inlineStr">
        <is>
          <t>C</t>
        </is>
      </c>
      <c r="D9" s="1066">
        <f>(AI8-AJ8*$AZ$1)/$AF8</f>
        <v/>
      </c>
      <c r="E9" s="1066" t="inlineStr">
        <is>
          <t>C</t>
        </is>
      </c>
      <c r="F9" s="1064">
        <f>(AK8-AL8*$AZ$1)/$AF8</f>
        <v/>
      </c>
      <c r="G9" s="1065" t="inlineStr">
        <is>
          <t>C</t>
        </is>
      </c>
      <c r="H9" s="1066">
        <f>(AM8-AN8*$AZ$1)/$AF8</f>
        <v/>
      </c>
      <c r="I9" s="1066" t="inlineStr">
        <is>
          <t>B</t>
        </is>
      </c>
      <c r="J9" s="1064">
        <f>(AO8-AP8*$AZ$1)/$AF8</f>
        <v/>
      </c>
      <c r="K9" s="1065" t="inlineStr">
        <is>
          <t>SSS</t>
        </is>
      </c>
      <c r="L9" s="1066">
        <f>(AQ8-AR8*$AZ$1)/$AF8</f>
        <v/>
      </c>
      <c r="M9" s="1066" t="inlineStr">
        <is>
          <t>B</t>
        </is>
      </c>
      <c r="N9" s="1064">
        <f>(AS8-AT8*$AZ$1)/$AF8</f>
        <v/>
      </c>
      <c r="O9" s="1065" t="inlineStr">
        <is>
          <t>A</t>
        </is>
      </c>
      <c r="P9" s="1066">
        <f>(AU8-AV8*$AZ$1)/$AF8</f>
        <v/>
      </c>
      <c r="Q9" s="1066" t="inlineStr">
        <is>
          <t>S</t>
        </is>
      </c>
      <c r="R9" s="1063" t="n"/>
      <c r="S9" s="1065">
        <f>B9+D9+F9+H9+J9+L9+N9+P9</f>
        <v/>
      </c>
      <c r="T9" s="1103">
        <f>J9+P9</f>
        <v/>
      </c>
      <c r="U9" s="1037" t="n"/>
      <c r="V9" s="1037" t="n"/>
      <c r="W9" s="1037" t="n"/>
      <c r="X9" s="1037" t="n"/>
      <c r="Y9" s="669" t="n"/>
      <c r="Z9" s="669" t="n"/>
      <c r="AA9" s="669" t="n"/>
      <c r="AB9" s="669" t="n"/>
      <c r="AC9" s="669" t="n"/>
      <c r="AD9" s="669" t="n"/>
      <c r="AE9" s="669" t="n"/>
      <c r="AF9" s="1108" t="n">
        <v>23</v>
      </c>
      <c r="AG9" s="1108" t="n">
        <v>9950</v>
      </c>
      <c r="AH9" s="1108" t="n">
        <v>35</v>
      </c>
      <c r="AI9" s="1108" t="n">
        <v>1242</v>
      </c>
      <c r="AJ9" s="1104" t="n"/>
      <c r="AK9" s="1108" t="n">
        <v>1265</v>
      </c>
      <c r="AL9" s="1104" t="n"/>
      <c r="AM9" s="1108" t="n">
        <v>1104</v>
      </c>
      <c r="AN9" s="1104" t="n"/>
      <c r="AO9" s="1108" t="n">
        <v>3498</v>
      </c>
      <c r="AP9" s="1108" t="n">
        <v>5</v>
      </c>
      <c r="AQ9" s="1108" t="n">
        <v>3915</v>
      </c>
      <c r="AR9" s="1108" t="n">
        <v>1</v>
      </c>
      <c r="AS9" s="1108" t="n">
        <v>2024</v>
      </c>
      <c r="AT9" s="1104" t="n"/>
      <c r="AU9" s="1108" t="n">
        <v>2024</v>
      </c>
      <c r="AV9" s="1104" t="n"/>
    </row>
    <row r="10">
      <c r="A10" s="1060" t="inlineStr">
        <is>
          <t>Dracula</t>
        </is>
      </c>
      <c r="B10" s="1060">
        <f>(AG9-AH9*$AZ$1)/$AF9</f>
        <v/>
      </c>
      <c r="C10" s="1061" t="inlineStr">
        <is>
          <t>SSS</t>
        </is>
      </c>
      <c r="D10" s="1062">
        <f>(AI9-AJ9*$AZ$1)/$AF9</f>
        <v/>
      </c>
      <c r="E10" s="1062" t="inlineStr">
        <is>
          <t>C</t>
        </is>
      </c>
      <c r="F10" s="1060">
        <f>(AK9-AL9*$AZ$1)/$AF9</f>
        <v/>
      </c>
      <c r="G10" s="1061" t="inlineStr">
        <is>
          <t>C</t>
        </is>
      </c>
      <c r="H10" s="1062">
        <f>(AM9-AN9*$AZ$1)/$AF9</f>
        <v/>
      </c>
      <c r="I10" s="1062" t="inlineStr">
        <is>
          <t>C</t>
        </is>
      </c>
      <c r="J10" s="1060">
        <f>(AO9-AP9*$AZ$1)/$AF9</f>
        <v/>
      </c>
      <c r="K10" s="1061" t="inlineStr">
        <is>
          <t>A</t>
        </is>
      </c>
      <c r="L10" s="1062">
        <f>(AQ9-AR9*$AZ$1)/$AF9</f>
        <v/>
      </c>
      <c r="M10" s="1062" t="inlineStr">
        <is>
          <t>S</t>
        </is>
      </c>
      <c r="N10" s="1060">
        <f>(AS9-AT9*$AZ$1)/$AF9</f>
        <v/>
      </c>
      <c r="O10" s="1061" t="inlineStr">
        <is>
          <t>B</t>
        </is>
      </c>
      <c r="P10" s="1062">
        <f>(AU9-AV9*$AZ$1)/$AF9</f>
        <v/>
      </c>
      <c r="Q10" s="1062" t="inlineStr">
        <is>
          <t>B</t>
        </is>
      </c>
      <c r="R10" s="1063" t="n"/>
      <c r="S10" s="1061">
        <f>B10+D10+F10+H10+J10+L10+N10+P10</f>
        <v/>
      </c>
      <c r="T10" s="1103">
        <f>B10+L10</f>
        <v/>
      </c>
      <c r="U10" s="1037" t="n"/>
      <c r="V10" s="1037" t="n"/>
      <c r="W10" s="1037" t="n"/>
      <c r="X10" s="1037" t="n"/>
      <c r="Y10" s="669" t="n"/>
      <c r="Z10" s="669" t="n"/>
      <c r="AA10" s="669" t="n"/>
      <c r="AB10" s="669" t="n"/>
      <c r="AC10" s="669" t="n"/>
      <c r="AD10" s="669" t="n"/>
      <c r="AE10" s="669" t="n"/>
      <c r="AF10" s="1108" t="n">
        <v>19</v>
      </c>
      <c r="AG10" s="1108" t="n">
        <v>6944</v>
      </c>
      <c r="AH10" s="1108" t="n">
        <v>30</v>
      </c>
      <c r="AI10" s="1108" t="n">
        <v>760</v>
      </c>
      <c r="AJ10" s="1104" t="n"/>
      <c r="AK10" s="1108" t="n">
        <v>798</v>
      </c>
      <c r="AL10" s="1104" t="n"/>
      <c r="AM10" s="1108" t="n">
        <v>1900</v>
      </c>
      <c r="AN10" s="1104" t="n"/>
      <c r="AO10" s="1108" t="n">
        <v>1140</v>
      </c>
      <c r="AP10" s="1104" t="n"/>
      <c r="AQ10" s="1108" t="n">
        <v>8350</v>
      </c>
      <c r="AR10" s="1108" t="n">
        <v>30</v>
      </c>
      <c r="AS10" s="1108" t="n">
        <v>1653</v>
      </c>
      <c r="AT10" s="1104" t="n"/>
      <c r="AU10" s="1108" t="n">
        <v>2622</v>
      </c>
      <c r="AV10" s="1104" t="n"/>
    </row>
    <row r="11">
      <c r="A11" s="1064" t="inlineStr">
        <is>
          <t>Athena</t>
        </is>
      </c>
      <c r="B11" s="1064">
        <f>(AG10-AH10*$AZ$1)/$AF10</f>
        <v/>
      </c>
      <c r="C11" s="1065" t="inlineStr">
        <is>
          <t>S</t>
        </is>
      </c>
      <c r="D11" s="1066">
        <f>(AI10-AJ10*$AZ$1)/$AF10</f>
        <v/>
      </c>
      <c r="E11" s="1066" t="inlineStr">
        <is>
          <t>C</t>
        </is>
      </c>
      <c r="F11" s="1064">
        <f>(AK10-AL10*$AZ$1)/$AF10</f>
        <v/>
      </c>
      <c r="G11" s="1065" t="inlineStr">
        <is>
          <t>C</t>
        </is>
      </c>
      <c r="H11" s="1066">
        <f>(AM10-AN10*$AZ$1)/$AF10</f>
        <v/>
      </c>
      <c r="I11" s="1066" t="inlineStr">
        <is>
          <t>B</t>
        </is>
      </c>
      <c r="J11" s="1064">
        <f>(AO10-AP10*$AZ$1)/$AF10</f>
        <v/>
      </c>
      <c r="K11" s="1065" t="inlineStr">
        <is>
          <t>C</t>
        </is>
      </c>
      <c r="L11" s="1066">
        <f>(AQ10-AR10*$AZ$1)/$AF10</f>
        <v/>
      </c>
      <c r="M11" s="1066" t="inlineStr">
        <is>
          <t>SSS</t>
        </is>
      </c>
      <c r="N11" s="1064">
        <f>(AS10-AT10*$AZ$1)/$AF10</f>
        <v/>
      </c>
      <c r="O11" s="1065" t="inlineStr">
        <is>
          <t>B</t>
        </is>
      </c>
      <c r="P11" s="1066">
        <f>(AU10-AV10*$AZ$1)/$AF10</f>
        <v/>
      </c>
      <c r="Q11" s="1066" t="inlineStr">
        <is>
          <t>A</t>
        </is>
      </c>
      <c r="R11" s="1063" t="n"/>
      <c r="S11" s="1065">
        <f>B11+D11+F11+H11+J11+L11+N11+P11</f>
        <v/>
      </c>
      <c r="T11" s="1103">
        <f>B11+L11</f>
        <v/>
      </c>
      <c r="U11" s="1037" t="n"/>
      <c r="V11" s="1037" t="n"/>
      <c r="W11" s="1037" t="n"/>
      <c r="X11" s="1037" t="n"/>
      <c r="Y11" s="669" t="n"/>
      <c r="Z11" s="669" t="n"/>
      <c r="AA11" s="669" t="n"/>
      <c r="AB11" s="669" t="n"/>
      <c r="AC11" s="669" t="n"/>
      <c r="AD11" s="669" t="n"/>
      <c r="AE11" s="669" t="n"/>
      <c r="AF11" s="1108" t="n">
        <v>30</v>
      </c>
      <c r="AG11" s="1108" t="n">
        <v>1800</v>
      </c>
      <c r="AH11" s="1104" t="n"/>
      <c r="AI11" s="1108" t="n">
        <v>4200</v>
      </c>
      <c r="AJ11" s="1104" t="n"/>
      <c r="AK11" s="1108" t="n">
        <v>3000</v>
      </c>
      <c r="AL11" s="1104" t="n"/>
      <c r="AM11" s="1108" t="n">
        <v>11940</v>
      </c>
      <c r="AN11" s="1108" t="n">
        <v>37</v>
      </c>
      <c r="AO11" s="1108" t="n">
        <v>7560</v>
      </c>
      <c r="AP11" s="1108" t="n">
        <v>18</v>
      </c>
      <c r="AQ11" s="1108" t="n">
        <v>2940</v>
      </c>
      <c r="AR11" s="1104" t="n"/>
      <c r="AS11" s="1108" t="n">
        <v>210</v>
      </c>
      <c r="AT11" s="1104" t="n"/>
      <c r="AU11" s="1108" t="n">
        <v>1410</v>
      </c>
      <c r="AV11" s="1104" t="n"/>
    </row>
    <row r="12">
      <c r="A12" s="1060" t="inlineStr">
        <is>
          <t>Past Pyramid</t>
        </is>
      </c>
      <c r="B12" s="1060">
        <f>(AG11-AH11*$AZ$1)/$AF11</f>
        <v/>
      </c>
      <c r="C12" s="1061" t="inlineStr">
        <is>
          <t>C</t>
        </is>
      </c>
      <c r="D12" s="1062">
        <f>(AI11-AJ11*$AZ$1)/$AF11</f>
        <v/>
      </c>
      <c r="E12" s="1062" t="inlineStr">
        <is>
          <t>A</t>
        </is>
      </c>
      <c r="F12" s="1060">
        <f>(AK11-AL11*$AZ$1)/$AF11</f>
        <v/>
      </c>
      <c r="G12" s="1061" t="inlineStr">
        <is>
          <t>B</t>
        </is>
      </c>
      <c r="H12" s="1062">
        <f>(AM11-AN11*$AZ$1)/$AF11</f>
        <v/>
      </c>
      <c r="I12" s="1062" t="inlineStr">
        <is>
          <t>SSS</t>
        </is>
      </c>
      <c r="J12" s="1060">
        <f>(AO11-AP11*$AZ$1)/$AF11</f>
        <v/>
      </c>
      <c r="K12" s="1061" t="inlineStr">
        <is>
          <t>S</t>
        </is>
      </c>
      <c r="L12" s="1062">
        <f>(AQ11-AR11*$AZ$1)/$AF11</f>
        <v/>
      </c>
      <c r="M12" s="1062" t="inlineStr">
        <is>
          <t>B</t>
        </is>
      </c>
      <c r="N12" s="1060">
        <f>(AS11-AT11*$AZ$1)/$AF11</f>
        <v/>
      </c>
      <c r="O12" s="1061" t="inlineStr">
        <is>
          <t>D</t>
        </is>
      </c>
      <c r="P12" s="1062">
        <f>(AU11-AV11*$AZ$1)/$AF11</f>
        <v/>
      </c>
      <c r="Q12" s="1062" t="inlineStr">
        <is>
          <t>C</t>
        </is>
      </c>
      <c r="R12" s="1063" t="n"/>
      <c r="S12" s="1061">
        <f>B12+D12+F12+H12+J12+L12+N12+P12</f>
        <v/>
      </c>
      <c r="T12" s="1103">
        <f>H12+J12</f>
        <v/>
      </c>
      <c r="U12" s="1037" t="n"/>
      <c r="V12" s="1037" t="n"/>
      <c r="W12" s="1037" t="n"/>
      <c r="X12" s="1037" t="n"/>
      <c r="Y12" s="669" t="n"/>
      <c r="Z12" s="669" t="n"/>
      <c r="AA12" s="669" t="n"/>
      <c r="AB12" s="669" t="n"/>
      <c r="AC12" s="669" t="n"/>
      <c r="AD12" s="669" t="n"/>
      <c r="AE12" s="669" t="n"/>
      <c r="AF12" s="1108" t="n">
        <v>30</v>
      </c>
      <c r="AG12" s="1108" t="n">
        <v>1740</v>
      </c>
      <c r="AH12" s="1104" t="n"/>
      <c r="AI12" s="1108" t="n">
        <v>3000</v>
      </c>
      <c r="AJ12" s="1104" t="n"/>
      <c r="AK12" s="1108" t="n">
        <v>1800</v>
      </c>
      <c r="AL12" s="1104" t="n"/>
      <c r="AM12" s="1108" t="n">
        <v>5640</v>
      </c>
      <c r="AN12" s="1108" t="n">
        <v>2</v>
      </c>
      <c r="AO12" s="1108" t="n">
        <v>11100</v>
      </c>
      <c r="AP12" s="1108" t="n">
        <v>30</v>
      </c>
      <c r="AQ12" s="1108" t="n">
        <v>4200</v>
      </c>
      <c r="AR12" s="1104" t="n"/>
      <c r="AS12" s="1108" t="n">
        <v>150</v>
      </c>
      <c r="AT12" s="1104" t="n"/>
      <c r="AU12" s="1108" t="n">
        <v>1800</v>
      </c>
      <c r="AV12" s="1104" t="n"/>
    </row>
    <row r="13">
      <c r="A13" s="1064" t="inlineStr">
        <is>
          <t>Future Pyramid</t>
        </is>
      </c>
      <c r="B13" s="1064">
        <f>(AG12-AH12*$AZ$1)/$AF12</f>
        <v/>
      </c>
      <c r="C13" s="1065" t="inlineStr">
        <is>
          <t>C</t>
        </is>
      </c>
      <c r="D13" s="1066">
        <f>(AI12-AJ12*$AZ$1)/$AF12</f>
        <v/>
      </c>
      <c r="E13" s="1066" t="inlineStr">
        <is>
          <t>B</t>
        </is>
      </c>
      <c r="F13" s="1064">
        <f>(AK12-AL12*$AZ$1)/$AF12</f>
        <v/>
      </c>
      <c r="G13" s="1065" t="inlineStr">
        <is>
          <t>C</t>
        </is>
      </c>
      <c r="H13" s="1066">
        <f>(AM12-AN12*$AZ$1)/$AF12</f>
        <v/>
      </c>
      <c r="I13" s="1066" t="inlineStr">
        <is>
          <t>S</t>
        </is>
      </c>
      <c r="J13" s="1064">
        <f>(AO12-AP12*$AZ$1)/$AF12</f>
        <v/>
      </c>
      <c r="K13" s="1065" t="inlineStr">
        <is>
          <t>SSS</t>
        </is>
      </c>
      <c r="L13" s="1066">
        <f>(AQ12-AR12*$AZ$1)/$AF12</f>
        <v/>
      </c>
      <c r="M13" s="1066" t="inlineStr">
        <is>
          <t>A</t>
        </is>
      </c>
      <c r="N13" s="1064">
        <f>(AS12-AT12*$AZ$1)/$AF12</f>
        <v/>
      </c>
      <c r="O13" s="1065" t="inlineStr">
        <is>
          <t>D</t>
        </is>
      </c>
      <c r="P13" s="1066">
        <f>(AU12-AV12*$AZ$1)/$AF12</f>
        <v/>
      </c>
      <c r="Q13" s="1066" t="inlineStr">
        <is>
          <t>C</t>
        </is>
      </c>
      <c r="R13" s="1063" t="n"/>
      <c r="S13" s="1065">
        <f>B13+D13+F13+H13+J13+L13+N13+P13</f>
        <v/>
      </c>
      <c r="T13" s="1103">
        <f>H13+J13</f>
        <v/>
      </c>
      <c r="U13" s="1037" t="n"/>
      <c r="V13" s="1037" t="n"/>
      <c r="W13" s="1037" t="n"/>
      <c r="X13" s="1037" t="n"/>
      <c r="Y13" s="669" t="n"/>
      <c r="Z13" s="669" t="n"/>
      <c r="AA13" s="669" t="n"/>
      <c r="AB13" s="669" t="n"/>
      <c r="AC13" s="669" t="n"/>
      <c r="AD13" s="669" t="n"/>
      <c r="AE13" s="669" t="n"/>
      <c r="AF13" s="1108" t="n">
        <v>32</v>
      </c>
      <c r="AG13" s="1108" t="n">
        <v>4448</v>
      </c>
      <c r="AH13" s="1104" t="n"/>
      <c r="AI13" s="1108" t="n">
        <v>2848</v>
      </c>
      <c r="AJ13" s="1104" t="n"/>
      <c r="AK13" s="1108" t="n">
        <v>3072</v>
      </c>
      <c r="AL13" s="1104" t="n"/>
      <c r="AM13" s="1108" t="n">
        <v>1696</v>
      </c>
      <c r="AN13" s="1104" t="n"/>
      <c r="AO13" s="1108" t="n">
        <v>2000</v>
      </c>
      <c r="AP13" s="1108" t="n">
        <v>6</v>
      </c>
      <c r="AQ13" s="1108" t="n">
        <v>1600</v>
      </c>
      <c r="AR13" s="1104" t="n"/>
      <c r="AS13" s="1108" t="n">
        <v>5656</v>
      </c>
      <c r="AT13" s="1108" t="n">
        <v>1</v>
      </c>
      <c r="AU13" s="1108" t="n">
        <v>11720</v>
      </c>
      <c r="AV13" s="1108" t="n">
        <v>31</v>
      </c>
    </row>
    <row r="14">
      <c r="A14" s="1060" t="inlineStr">
        <is>
          <t>Sanzang</t>
        </is>
      </c>
      <c r="B14" s="1060">
        <f>(AG13-AH13*$AZ$1)/$AF13</f>
        <v/>
      </c>
      <c r="C14" s="1061" t="inlineStr">
        <is>
          <t>A</t>
        </is>
      </c>
      <c r="D14" s="1062">
        <f>(AI13-AJ13*$AZ$1)/$AF13</f>
        <v/>
      </c>
      <c r="E14" s="1062" t="inlineStr">
        <is>
          <t>B</t>
        </is>
      </c>
      <c r="F14" s="1060">
        <f>(AK13-AL13*$AZ$1)/$AF13</f>
        <v/>
      </c>
      <c r="G14" s="1061" t="inlineStr">
        <is>
          <t>B</t>
        </is>
      </c>
      <c r="H14" s="1062">
        <f>(AM13-AN13*$AZ$1)/$AF13</f>
        <v/>
      </c>
      <c r="I14" s="1062" t="inlineStr">
        <is>
          <t>C</t>
        </is>
      </c>
      <c r="J14" s="1060">
        <f>(AO13-AP13*$AZ$1)/$AF13</f>
        <v/>
      </c>
      <c r="K14" s="1061" t="inlineStr">
        <is>
          <t>C</t>
        </is>
      </c>
      <c r="L14" s="1062">
        <f>(AQ13-AR13*$AZ$1)/$AF13</f>
        <v/>
      </c>
      <c r="M14" s="1062" t="inlineStr">
        <is>
          <t>C</t>
        </is>
      </c>
      <c r="N14" s="1060">
        <f>(AS13-AT13*$AZ$1)/$AF13</f>
        <v/>
      </c>
      <c r="O14" s="1061" t="inlineStr">
        <is>
          <t>S</t>
        </is>
      </c>
      <c r="P14" s="1062">
        <f>(AU13-AV13*$AZ$1)/$AF13</f>
        <v/>
      </c>
      <c r="Q14" s="1062" t="inlineStr">
        <is>
          <t>SSS</t>
        </is>
      </c>
      <c r="R14" s="1063" t="n"/>
      <c r="S14" s="1061">
        <f>B14+D14+F14+H14+J14+L14+N14+P14</f>
        <v/>
      </c>
      <c r="T14" s="1103">
        <f>N14+P14</f>
        <v/>
      </c>
      <c r="U14" s="1037" t="n"/>
      <c r="V14" s="1037" t="n"/>
      <c r="W14" s="1037" t="n"/>
      <c r="X14" s="1037" t="n"/>
      <c r="Y14" s="669" t="n"/>
      <c r="Z14" s="669" t="n"/>
      <c r="AA14" s="669" t="n"/>
      <c r="AB14" s="669" t="n"/>
      <c r="AC14" s="669" t="n"/>
      <c r="AD14" s="669" t="n"/>
      <c r="AE14" s="669" t="n"/>
      <c r="AF14" s="1108" t="n">
        <v>33</v>
      </c>
      <c r="AG14" s="1108" t="n">
        <v>1881</v>
      </c>
      <c r="AH14" s="1104" t="n"/>
      <c r="AI14" s="1108" t="n">
        <v>9330</v>
      </c>
      <c r="AJ14" s="1108" t="n">
        <v>20</v>
      </c>
      <c r="AK14" s="1108" t="n">
        <v>2871</v>
      </c>
      <c r="AL14" s="1104" t="n"/>
      <c r="AM14" s="1108" t="n">
        <v>3102</v>
      </c>
      <c r="AN14" s="1104" t="n"/>
      <c r="AO14" s="1108" t="n">
        <v>1452</v>
      </c>
      <c r="AP14" s="1104" t="n"/>
      <c r="AQ14" s="1108" t="n">
        <v>4224</v>
      </c>
      <c r="AR14" s="1104" t="n"/>
      <c r="AS14" s="1108" t="n">
        <v>1551</v>
      </c>
      <c r="AT14" s="1104" t="n"/>
      <c r="AU14" s="1108" t="n">
        <v>9384</v>
      </c>
      <c r="AV14" s="1108" t="n">
        <v>21</v>
      </c>
    </row>
    <row r="15">
      <c r="A15" s="1064" t="inlineStr">
        <is>
          <t>Dragon Horse</t>
        </is>
      </c>
      <c r="B15" s="1064">
        <f>(AG14-AH14*$AZ$1)/$AF14</f>
        <v/>
      </c>
      <c r="C15" s="1065" t="inlineStr">
        <is>
          <t>C</t>
        </is>
      </c>
      <c r="D15" s="1066">
        <f>(AI14-AJ14*$AZ$1)/$AF14</f>
        <v/>
      </c>
      <c r="E15" s="1066" t="inlineStr">
        <is>
          <t>SS</t>
        </is>
      </c>
      <c r="F15" s="1064">
        <f>(AK14-AL14*$AZ$1)/$AF14</f>
        <v/>
      </c>
      <c r="G15" s="1065" t="inlineStr">
        <is>
          <t>B</t>
        </is>
      </c>
      <c r="H15" s="1066">
        <f>(AM14-AN14*$AZ$1)/$AF14</f>
        <v/>
      </c>
      <c r="I15" s="1066" t="inlineStr">
        <is>
          <t>B</t>
        </is>
      </c>
      <c r="J15" s="1064">
        <f>(AO14-AP14*$AZ$1)/$AF14</f>
        <v/>
      </c>
      <c r="K15" s="1065" t="inlineStr">
        <is>
          <t>C</t>
        </is>
      </c>
      <c r="L15" s="1066">
        <f>(AQ14-AR14*$AZ$1)/$AF14</f>
        <v/>
      </c>
      <c r="M15" s="1066" t="inlineStr">
        <is>
          <t>A</t>
        </is>
      </c>
      <c r="N15" s="1064">
        <f>(AS14-AT14*$AZ$1)/$AF14</f>
        <v/>
      </c>
      <c r="O15" s="1065" t="inlineStr">
        <is>
          <t>C</t>
        </is>
      </c>
      <c r="P15" s="1066">
        <f>(AU14-AV14*$AZ$1)/$AF14</f>
        <v/>
      </c>
      <c r="Q15" s="1066" t="inlineStr">
        <is>
          <t>SS</t>
        </is>
      </c>
      <c r="R15" s="1063" t="n"/>
      <c r="S15" s="1065">
        <f>B15+D15+F15+H15+J15+L15+N15+P15</f>
        <v/>
      </c>
      <c r="T15" s="1103">
        <f>D15+P15</f>
        <v/>
      </c>
      <c r="U15" s="1037" t="n"/>
      <c r="V15" s="1037" t="n"/>
      <c r="W15" s="1037" t="n"/>
      <c r="X15" s="1037" t="n"/>
      <c r="Y15" s="669" t="n"/>
      <c r="Z15" s="669" t="n"/>
      <c r="AA15" s="669" t="n"/>
      <c r="AB15" s="669" t="n"/>
      <c r="AC15" s="669" t="n"/>
      <c r="AD15" s="669" t="n"/>
      <c r="AE15" s="669" t="n"/>
      <c r="AF15" s="1108" t="n">
        <v>30</v>
      </c>
      <c r="AG15" s="1108" t="n">
        <v>2490</v>
      </c>
      <c r="AH15" s="1104" t="n"/>
      <c r="AI15" s="1108" t="n">
        <v>1200</v>
      </c>
      <c r="AJ15" s="1104" t="n"/>
      <c r="AK15" s="1108" t="n">
        <v>1290</v>
      </c>
      <c r="AL15" s="1104" t="n"/>
      <c r="AM15" s="1108" t="n">
        <v>5220</v>
      </c>
      <c r="AN15" s="1108" t="n">
        <v>3</v>
      </c>
      <c r="AO15" s="1108" t="n">
        <v>7350</v>
      </c>
      <c r="AP15" s="1108" t="n">
        <v>20</v>
      </c>
      <c r="AQ15" s="1108" t="n">
        <v>2520</v>
      </c>
      <c r="AR15" s="1104" t="n"/>
      <c r="AS15" s="1108" t="n">
        <v>13500</v>
      </c>
      <c r="AT15" s="1108" t="n">
        <v>50</v>
      </c>
      <c r="AU15" s="1108" t="n">
        <v>3630</v>
      </c>
      <c r="AV15" s="1104" t="n"/>
    </row>
    <row r="16">
      <c r="A16" s="1060" t="inlineStr">
        <is>
          <t>Guan Yu</t>
        </is>
      </c>
      <c r="B16" s="1060">
        <f>(AG15-AH15*$AZ$1)/$AF15</f>
        <v/>
      </c>
      <c r="C16" s="1061" t="inlineStr">
        <is>
          <t>B</t>
        </is>
      </c>
      <c r="D16" s="1062">
        <f>(AI15-AJ15*$AZ$1)/$AF15</f>
        <v/>
      </c>
      <c r="E16" s="1062" t="inlineStr">
        <is>
          <t>C</t>
        </is>
      </c>
      <c r="F16" s="1060">
        <f>(AK15-AL15*$AZ$1)/$AF15</f>
        <v/>
      </c>
      <c r="G16" s="1061" t="inlineStr">
        <is>
          <t>C</t>
        </is>
      </c>
      <c r="H16" s="1062">
        <f>(AM15-AN15*$AZ$1)/$AF15</f>
        <v/>
      </c>
      <c r="I16" s="1062" t="inlineStr">
        <is>
          <t>S</t>
        </is>
      </c>
      <c r="J16" s="1060">
        <f>(AO15-AP15*$AZ$1)/$AF15</f>
        <v/>
      </c>
      <c r="K16" s="1061" t="inlineStr">
        <is>
          <t>S</t>
        </is>
      </c>
      <c r="L16" s="1062">
        <f>(AQ15-AR15*$AZ$1)/$AF15</f>
        <v/>
      </c>
      <c r="M16" s="1062" t="inlineStr">
        <is>
          <t>B</t>
        </is>
      </c>
      <c r="N16" s="1060">
        <f>(AS15-AT15*$AZ$1)/$AF15</f>
        <v/>
      </c>
      <c r="O16" s="1061" t="inlineStr">
        <is>
          <t>SSS</t>
        </is>
      </c>
      <c r="P16" s="1062">
        <f>(AU15-AV15*$AZ$1)/$AF15</f>
        <v/>
      </c>
      <c r="Q16" s="1062" t="inlineStr">
        <is>
          <t>A</t>
        </is>
      </c>
      <c r="R16" s="1063" t="n"/>
      <c r="S16" s="1061">
        <f>B16+D16+F16+H16+J16+L16+N16+P16</f>
        <v/>
      </c>
      <c r="T16" s="1103">
        <f>H16+J16+N16</f>
        <v/>
      </c>
      <c r="U16" s="1037" t="n"/>
      <c r="V16" s="1037" t="n"/>
      <c r="W16" s="1037" t="n"/>
      <c r="X16" s="1037" t="n"/>
      <c r="Y16" s="669" t="n"/>
      <c r="Z16" s="669" t="n"/>
      <c r="AA16" s="669" t="n"/>
      <c r="AB16" s="669" t="n"/>
      <c r="AC16" s="669" t="n"/>
      <c r="AD16" s="669" t="n"/>
      <c r="AE16" s="669" t="n"/>
      <c r="AF16" s="1108" t="n">
        <v>34</v>
      </c>
      <c r="AG16" s="1108" t="n">
        <v>3400</v>
      </c>
      <c r="AH16" s="1104" t="n"/>
      <c r="AI16" s="1108" t="n">
        <v>2040</v>
      </c>
      <c r="AJ16" s="1104" t="n"/>
      <c r="AK16" s="1108" t="n">
        <v>9762</v>
      </c>
      <c r="AL16" s="1108" t="n">
        <v>21</v>
      </c>
      <c r="AM16" s="1108" t="n">
        <v>680</v>
      </c>
      <c r="AN16" s="1104" t="n"/>
      <c r="AO16" s="1108" t="n">
        <v>4080</v>
      </c>
      <c r="AP16" s="1104" t="n"/>
      <c r="AQ16" s="1108" t="n">
        <v>3366</v>
      </c>
      <c r="AR16" s="1104" t="n"/>
      <c r="AS16" s="1108" t="n">
        <v>1768</v>
      </c>
      <c r="AT16" s="1104" t="n"/>
      <c r="AU16" s="1108" t="n">
        <v>10554</v>
      </c>
      <c r="AV16" s="1108" t="n">
        <v>31</v>
      </c>
    </row>
    <row r="17">
      <c r="A17" s="1064" t="inlineStr">
        <is>
          <t>Poisoner</t>
        </is>
      </c>
      <c r="B17" s="1064">
        <f>(AG16-AH16*$AZ$1)/$AF16</f>
        <v/>
      </c>
      <c r="C17" s="1065" t="inlineStr">
        <is>
          <t>B</t>
        </is>
      </c>
      <c r="D17" s="1066">
        <f>(AI16-AJ16*$AZ$1)/$AF16</f>
        <v/>
      </c>
      <c r="E17" s="1066" t="inlineStr">
        <is>
          <t>C</t>
        </is>
      </c>
      <c r="F17" s="1064">
        <f>(AK16-AL16*$AZ$1)/$AF16</f>
        <v/>
      </c>
      <c r="G17" s="1065" t="inlineStr">
        <is>
          <t>SS</t>
        </is>
      </c>
      <c r="H17" s="1066">
        <f>(AM16-AN16*$AZ$1)/$AF16</f>
        <v/>
      </c>
      <c r="I17" s="1066" t="inlineStr">
        <is>
          <t>D</t>
        </is>
      </c>
      <c r="J17" s="1064">
        <f>(AO16-AP16*$AZ$1)/$AF16</f>
        <v/>
      </c>
      <c r="K17" s="1065" t="inlineStr">
        <is>
          <t>A</t>
        </is>
      </c>
      <c r="L17" s="1066">
        <f>(AQ16-AR16*$AZ$1)/$AF16</f>
        <v/>
      </c>
      <c r="M17" s="1066" t="inlineStr">
        <is>
          <t>B</t>
        </is>
      </c>
      <c r="N17" s="1064">
        <f>(AS16-AT16*$AZ$1)/$AF16</f>
        <v/>
      </c>
      <c r="O17" s="1065" t="inlineStr">
        <is>
          <t>C</t>
        </is>
      </c>
      <c r="P17" s="1066">
        <f>(AU16-AV16*$AZ$1)/$AF16</f>
        <v/>
      </c>
      <c r="Q17" s="1066" t="inlineStr">
        <is>
          <t>SS</t>
        </is>
      </c>
      <c r="R17" s="1063" t="n"/>
      <c r="S17" s="1065">
        <f>B17+D17+F17+H17+J17+L17+N17+P17</f>
        <v/>
      </c>
      <c r="T17" s="1103">
        <f>F17+P17</f>
        <v/>
      </c>
      <c r="U17" s="1037" t="n"/>
      <c r="V17" s="1037" t="n"/>
      <c r="W17" s="1037" t="n"/>
      <c r="X17" s="1037" t="n"/>
      <c r="Y17" s="669" t="n"/>
      <c r="Z17" s="669" t="n"/>
      <c r="AA17" s="669" t="n"/>
      <c r="AB17" s="669" t="n"/>
      <c r="AC17" s="669" t="n"/>
      <c r="AD17" s="669" t="n"/>
      <c r="AE17" s="669" t="n"/>
      <c r="AF17" s="1108" t="n">
        <v>30</v>
      </c>
      <c r="AG17" s="1108" t="n">
        <v>8640</v>
      </c>
      <c r="AH17" s="1108" t="n">
        <v>21</v>
      </c>
      <c r="AI17" s="1108" t="n">
        <v>1770</v>
      </c>
      <c r="AJ17" s="1104" t="n"/>
      <c r="AK17" s="1108" t="n">
        <v>1200</v>
      </c>
      <c r="AL17" s="1104" t="n"/>
      <c r="AM17" s="1108" t="n">
        <v>13800</v>
      </c>
      <c r="AN17" s="1108" t="n">
        <v>55</v>
      </c>
      <c r="AO17" s="1108" t="n">
        <v>3720</v>
      </c>
      <c r="AP17" s="1104" t="n"/>
      <c r="AQ17" s="1108" t="n">
        <v>2670</v>
      </c>
      <c r="AR17" s="1104" t="n"/>
      <c r="AS17" s="1108" t="n">
        <v>1410</v>
      </c>
      <c r="AT17" s="1104" t="n"/>
      <c r="AU17" s="1108" t="n">
        <v>2790</v>
      </c>
      <c r="AV17" s="1104" t="n"/>
    </row>
    <row r="18">
      <c r="A18" s="1060" t="inlineStr">
        <is>
          <t>Madam Huang</t>
        </is>
      </c>
      <c r="B18" s="1060">
        <f>(AG17-AH17*$AZ$1)/$AF17</f>
        <v/>
      </c>
      <c r="C18" s="1061" t="inlineStr">
        <is>
          <t>SS</t>
        </is>
      </c>
      <c r="D18" s="1062">
        <f>(AI17-AJ17*$AZ$1)/$AF17</f>
        <v/>
      </c>
      <c r="E18" s="1062" t="inlineStr">
        <is>
          <t>C</t>
        </is>
      </c>
      <c r="F18" s="1060">
        <f>(AK17-AL17*$AZ$1)/$AF17</f>
        <v/>
      </c>
      <c r="G18" s="1061" t="inlineStr">
        <is>
          <t>C</t>
        </is>
      </c>
      <c r="H18" s="1062">
        <f>(AM17-AN17*$AZ$1)/$AF17</f>
        <v/>
      </c>
      <c r="I18" s="1062" t="inlineStr">
        <is>
          <t>SSS</t>
        </is>
      </c>
      <c r="J18" s="1060">
        <f>(AO17-AP17*$AZ$1)/$AF17</f>
        <v/>
      </c>
      <c r="K18" s="1061" t="inlineStr">
        <is>
          <t>A</t>
        </is>
      </c>
      <c r="L18" s="1062">
        <f>(AQ17-AR17*$AZ$1)/$AF17</f>
        <v/>
      </c>
      <c r="M18" s="1062" t="inlineStr">
        <is>
          <t>B</t>
        </is>
      </c>
      <c r="N18" s="1060">
        <f>(AS17-AT17*$AZ$1)/$AF17</f>
        <v/>
      </c>
      <c r="O18" s="1061" t="inlineStr">
        <is>
          <t>C</t>
        </is>
      </c>
      <c r="P18" s="1062">
        <f>(AU17-AV17*$AZ$1)/$AF17</f>
        <v/>
      </c>
      <c r="Q18" s="1062" t="inlineStr">
        <is>
          <t>B</t>
        </is>
      </c>
      <c r="R18" s="1063" t="n"/>
      <c r="S18" s="1061">
        <f>B18+D18+F18+H18+J18+L18+N18+P18</f>
        <v/>
      </c>
      <c r="T18" s="1103">
        <f>B18+H18</f>
        <v/>
      </c>
      <c r="U18" s="1037" t="n"/>
      <c r="V18" s="1037" t="n"/>
      <c r="W18" s="1037" t="n"/>
      <c r="X18" s="1037" t="n"/>
      <c r="Y18" s="669" t="n"/>
      <c r="Z18" s="669" t="n"/>
      <c r="AA18" s="669" t="n"/>
      <c r="AB18" s="669" t="n"/>
      <c r="AC18" s="669" t="n"/>
      <c r="AD18" s="669" t="n"/>
      <c r="AE18" s="669" t="n"/>
      <c r="AF18" s="1108" t="n">
        <v>39</v>
      </c>
      <c r="AG18" s="1108" t="n">
        <v>2067</v>
      </c>
      <c r="AH18" s="1104" t="n"/>
      <c r="AI18" s="1108" t="n">
        <v>3315</v>
      </c>
      <c r="AJ18" s="1104" t="n"/>
      <c r="AK18" s="1108" t="n">
        <v>8181</v>
      </c>
      <c r="AL18" s="1108" t="n">
        <v>10</v>
      </c>
      <c r="AM18" s="1108" t="n">
        <v>4719</v>
      </c>
      <c r="AN18" s="1104" t="n"/>
      <c r="AO18" s="1108" t="n">
        <v>4632</v>
      </c>
      <c r="AP18" s="1108" t="n">
        <v>10</v>
      </c>
      <c r="AQ18" s="1108" t="n">
        <v>1638</v>
      </c>
      <c r="AR18" s="1104" t="n"/>
      <c r="AS18" s="1108" t="n">
        <v>2340</v>
      </c>
      <c r="AT18" s="1104" t="n"/>
      <c r="AU18" s="1108" t="n">
        <v>12960</v>
      </c>
      <c r="AV18" s="1108" t="n">
        <v>30</v>
      </c>
    </row>
    <row r="19">
      <c r="A19" s="1064" t="inlineStr">
        <is>
          <t>Hitman No.1</t>
        </is>
      </c>
      <c r="B19" s="1064">
        <f>(AG18-AH18*$AZ$1)/$AF18</f>
        <v/>
      </c>
      <c r="C19" s="1065" t="inlineStr">
        <is>
          <t>C</t>
        </is>
      </c>
      <c r="D19" s="1066">
        <f>(AI18-AJ18*$AZ$1)/$AF18</f>
        <v/>
      </c>
      <c r="E19" s="1066" t="inlineStr">
        <is>
          <t>B</t>
        </is>
      </c>
      <c r="F19" s="1064">
        <f>(AK18-AL18*$AZ$1)/$AF18</f>
        <v/>
      </c>
      <c r="G19" s="1065" t="inlineStr">
        <is>
          <t>S</t>
        </is>
      </c>
      <c r="H19" s="1066">
        <f>(AM18-AN18*$AZ$1)/$AF18</f>
        <v/>
      </c>
      <c r="I19" s="1066" t="inlineStr">
        <is>
          <t>A</t>
        </is>
      </c>
      <c r="J19" s="1064">
        <f>(AO18-AP18*$AZ$1)/$AF18</f>
        <v/>
      </c>
      <c r="K19" s="1065" t="inlineStr">
        <is>
          <t>B</t>
        </is>
      </c>
      <c r="L19" s="1066">
        <f>(AQ18-AR18*$AZ$1)/$AF18</f>
        <v/>
      </c>
      <c r="M19" s="1066" t="inlineStr">
        <is>
          <t>C</t>
        </is>
      </c>
      <c r="N19" s="1064">
        <f>(AS18-AT18*$AZ$1)/$AF18</f>
        <v/>
      </c>
      <c r="O19" s="1065" t="inlineStr">
        <is>
          <t>C</t>
        </is>
      </c>
      <c r="P19" s="1066">
        <f>(AU18-AV18*$AZ$1)/$AF18</f>
        <v/>
      </c>
      <c r="Q19" s="1066" t="inlineStr">
        <is>
          <t>SSS</t>
        </is>
      </c>
      <c r="R19" s="1063" t="n"/>
      <c r="S19" s="1065">
        <f>B19+D19+F19+H19+J19+L19+N19+P19</f>
        <v/>
      </c>
      <c r="T19" s="1103">
        <f>F19+P19</f>
        <v/>
      </c>
      <c r="U19" s="1037" t="n"/>
      <c r="V19" s="1037" t="n"/>
      <c r="W19" s="1037" t="n"/>
      <c r="X19" s="1037" t="n"/>
      <c r="Y19" s="669" t="n"/>
      <c r="Z19" s="669" t="n"/>
      <c r="AA19" s="669" t="n"/>
      <c r="AB19" s="669" t="n"/>
      <c r="AC19" s="669" t="n"/>
      <c r="AD19" s="669" t="n"/>
      <c r="AE19" s="669" t="n"/>
      <c r="AF19" s="1108" t="n">
        <v>10</v>
      </c>
      <c r="AG19" s="1108" t="n">
        <v>4770</v>
      </c>
      <c r="AH19" s="1108" t="n">
        <v>22</v>
      </c>
      <c r="AI19" s="1108" t="n">
        <v>820</v>
      </c>
      <c r="AJ19" s="1104" t="n"/>
      <c r="AK19" s="1108" t="n">
        <v>980</v>
      </c>
      <c r="AL19" s="1104" t="n"/>
      <c r="AM19" s="1108" t="n">
        <v>450</v>
      </c>
      <c r="AN19" s="1104" t="n"/>
      <c r="AO19" s="1108" t="n">
        <v>520</v>
      </c>
      <c r="AP19" s="1104" t="n"/>
      <c r="AQ19" s="1108" t="n">
        <v>1920</v>
      </c>
      <c r="AR19" s="1108" t="n">
        <v>1</v>
      </c>
      <c r="AS19" s="1108" t="n">
        <v>2010</v>
      </c>
      <c r="AT19" s="1108" t="n">
        <v>2</v>
      </c>
      <c r="AU19" s="1108" t="n">
        <v>410</v>
      </c>
      <c r="AV19" s="1104" t="n"/>
    </row>
    <row r="20">
      <c r="A20" s="1060" t="inlineStr">
        <is>
          <t>Commissioner</t>
        </is>
      </c>
      <c r="B20" s="1060">
        <f>(AG19-AH19*$AZ$1)/$AF19</f>
        <v/>
      </c>
      <c r="C20" s="1061" t="inlineStr">
        <is>
          <t>SS</t>
        </is>
      </c>
      <c r="D20" s="1062">
        <f>(AI19-AJ19*$AZ$1)/$AF19</f>
        <v/>
      </c>
      <c r="E20" s="1062" t="inlineStr">
        <is>
          <t>B</t>
        </is>
      </c>
      <c r="F20" s="1060">
        <f>(AK19-AL19*$AZ$1)/$AF19</f>
        <v/>
      </c>
      <c r="G20" s="1061" t="inlineStr">
        <is>
          <t>B</t>
        </is>
      </c>
      <c r="H20" s="1062">
        <f>(AM19-AN19*$AZ$1)/$AF19</f>
        <v/>
      </c>
      <c r="I20" s="1062" t="inlineStr">
        <is>
          <t>C</t>
        </is>
      </c>
      <c r="J20" s="1060">
        <f>(AO19-AP19*$AZ$1)/$AF19</f>
        <v/>
      </c>
      <c r="K20" s="1061" t="inlineStr">
        <is>
          <t>C</t>
        </is>
      </c>
      <c r="L20" s="1062">
        <f>(AQ19-AR19*$AZ$1)/$AF19</f>
        <v/>
      </c>
      <c r="M20" s="1062" t="inlineStr">
        <is>
          <t>S</t>
        </is>
      </c>
      <c r="N20" s="1060">
        <f>(AS19-AT19*$AZ$1)/$AF19</f>
        <v/>
      </c>
      <c r="O20" s="1061" t="inlineStr">
        <is>
          <t>S</t>
        </is>
      </c>
      <c r="P20" s="1062">
        <f>(AU19-AV19*$AZ$1)/$AF19</f>
        <v/>
      </c>
      <c r="Q20" s="1062" t="inlineStr">
        <is>
          <t>C</t>
        </is>
      </c>
      <c r="R20" s="1063" t="n"/>
      <c r="S20" s="1061">
        <f>B20+D20+F20+H20+J20+L20+N20+P20</f>
        <v/>
      </c>
      <c r="T20" s="1103">
        <f>B20+L20+N20</f>
        <v/>
      </c>
      <c r="U20" s="1037" t="n"/>
      <c r="V20" s="1037" t="n"/>
      <c r="W20" s="1037" t="n"/>
      <c r="X20" s="1037" t="n"/>
      <c r="Y20" s="669" t="n"/>
      <c r="Z20" s="669" t="n"/>
      <c r="AA20" s="669" t="n"/>
      <c r="AB20" s="669" t="n"/>
      <c r="AC20" s="669" t="n"/>
      <c r="AD20" s="669" t="n"/>
      <c r="AE20" s="669" t="n"/>
      <c r="AF20" s="1108" t="n">
        <v>26</v>
      </c>
      <c r="AG20" s="1108" t="n">
        <v>9248</v>
      </c>
      <c r="AH20" s="1108" t="n">
        <v>32</v>
      </c>
      <c r="AI20" s="1108" t="n">
        <v>2444</v>
      </c>
      <c r="AJ20" s="1104" t="n"/>
      <c r="AK20" s="1108" t="n">
        <v>3224</v>
      </c>
      <c r="AL20" s="1104" t="n"/>
      <c r="AM20" s="1108" t="n">
        <v>1456</v>
      </c>
      <c r="AN20" s="1104" t="n"/>
      <c r="AO20" s="1108" t="n">
        <v>2106</v>
      </c>
      <c r="AP20" s="1104" t="n"/>
      <c r="AQ20" s="1108" t="n">
        <v>8204</v>
      </c>
      <c r="AR20" s="1108" t="n">
        <v>22</v>
      </c>
      <c r="AS20" s="1108" t="n">
        <v>1066</v>
      </c>
      <c r="AT20" s="1104" t="n"/>
      <c r="AU20" s="1108" t="n">
        <v>1378</v>
      </c>
      <c r="AV20" s="1104" t="n"/>
    </row>
    <row r="21">
      <c r="A21" s="1064" t="inlineStr">
        <is>
          <t>Idol Boy</t>
        </is>
      </c>
      <c r="B21" s="1064">
        <f>(AG20-AH20*$AZ$1)/$AF20</f>
        <v/>
      </c>
      <c r="C21" s="1065" t="inlineStr">
        <is>
          <t>SS</t>
        </is>
      </c>
      <c r="D21" s="1066">
        <f>(AI20-AJ20*$AZ$1)/$AF20</f>
        <v/>
      </c>
      <c r="E21" s="1066" t="inlineStr">
        <is>
          <t>B</t>
        </is>
      </c>
      <c r="F21" s="1064">
        <f>(AK20-AL20*$AZ$1)/$AF20</f>
        <v/>
      </c>
      <c r="G21" s="1065" t="inlineStr">
        <is>
          <t>A</t>
        </is>
      </c>
      <c r="H21" s="1066">
        <f>(AM20-AN20*$AZ$1)/$AF20</f>
        <v/>
      </c>
      <c r="I21" s="1066" t="inlineStr">
        <is>
          <t>C</t>
        </is>
      </c>
      <c r="J21" s="1064">
        <f>(AO20-AP20*$AZ$1)/$AF20</f>
        <v/>
      </c>
      <c r="K21" s="1065" t="inlineStr">
        <is>
          <t>B</t>
        </is>
      </c>
      <c r="L21" s="1066">
        <f>(AQ20-AR20*$AZ$1)/$AF20</f>
        <v/>
      </c>
      <c r="M21" s="1066" t="inlineStr">
        <is>
          <t>SS</t>
        </is>
      </c>
      <c r="N21" s="1064">
        <f>(AS20-AT20*$AZ$1)/$AF20</f>
        <v/>
      </c>
      <c r="O21" s="1065" t="inlineStr">
        <is>
          <t>C</t>
        </is>
      </c>
      <c r="P21" s="1066">
        <f>(AU20-AV20*$AZ$1)/$AF20</f>
        <v/>
      </c>
      <c r="Q21" s="1066" t="inlineStr">
        <is>
          <t>C</t>
        </is>
      </c>
      <c r="R21" s="1063" t="n"/>
      <c r="S21" s="1065">
        <f>B21+D21+F21+H21+J21+L21+N21+P21</f>
        <v/>
      </c>
      <c r="T21" s="1103">
        <f>B21+L21</f>
        <v/>
      </c>
      <c r="U21" s="1037" t="n"/>
      <c r="V21" s="1037" t="n"/>
      <c r="W21" s="1037" t="n"/>
      <c r="X21" s="1037" t="n"/>
      <c r="Y21" s="669" t="n"/>
      <c r="Z21" s="669" t="n"/>
      <c r="AA21" s="669" t="n"/>
      <c r="AB21" s="669" t="n"/>
      <c r="AC21" s="669" t="n"/>
      <c r="AD21" s="669" t="n"/>
      <c r="AE21" s="669" t="n"/>
      <c r="AF21" s="1108" t="n">
        <v>20</v>
      </c>
      <c r="AG21" s="1108" t="n">
        <v>2800</v>
      </c>
      <c r="AH21" s="1104" t="n"/>
      <c r="AI21" s="1108" t="n">
        <v>8600</v>
      </c>
      <c r="AJ21" s="1108" t="n">
        <v>30</v>
      </c>
      <c r="AK21" s="1108" t="n">
        <v>1160</v>
      </c>
      <c r="AL21" s="1104" t="n"/>
      <c r="AM21" s="1108" t="n">
        <v>3320</v>
      </c>
      <c r="AN21" s="1108" t="n">
        <v>1</v>
      </c>
      <c r="AO21" s="1108" t="n">
        <v>3040</v>
      </c>
      <c r="AP21" s="1108" t="n">
        <v>10</v>
      </c>
      <c r="AQ21" s="1108" t="n">
        <v>900</v>
      </c>
      <c r="AR21" s="1104" t="n"/>
      <c r="AS21" s="1108" t="n">
        <v>1840</v>
      </c>
      <c r="AT21" s="1104" t="n"/>
      <c r="AU21" s="1108" t="n">
        <v>940</v>
      </c>
      <c r="AV21" s="1104" t="n"/>
    </row>
    <row r="22">
      <c r="A22" s="1060" t="inlineStr">
        <is>
          <t>Peacekeeper</t>
        </is>
      </c>
      <c r="B22" s="1060">
        <f>(AG21-AH21*$AZ$1)/$AF21</f>
        <v/>
      </c>
      <c r="C22" s="1061" t="inlineStr">
        <is>
          <t>A</t>
        </is>
      </c>
      <c r="D22" s="1062">
        <f>(AI21-AJ21*$AZ$1)/$AF21</f>
        <v/>
      </c>
      <c r="E22" s="1062" t="inlineStr">
        <is>
          <t>SSS</t>
        </is>
      </c>
      <c r="F22" s="1060">
        <f>(AK21-AL21*$AZ$1)/$AF21</f>
        <v/>
      </c>
      <c r="G22" s="1061" t="inlineStr">
        <is>
          <t>C</t>
        </is>
      </c>
      <c r="H22" s="1062">
        <f>(AM21-AN21*$AZ$1)/$AF21</f>
        <v/>
      </c>
      <c r="I22" s="1062" t="inlineStr">
        <is>
          <t>S</t>
        </is>
      </c>
      <c r="J22" s="1060">
        <f>(AO21-AP21*$AZ$1)/$AF21</f>
        <v/>
      </c>
      <c r="K22" s="1061" t="inlineStr">
        <is>
          <t>B</t>
        </is>
      </c>
      <c r="L22" s="1062">
        <f>(AQ21-AR21*$AZ$1)/$AF21</f>
        <v/>
      </c>
      <c r="M22" s="1062" t="inlineStr">
        <is>
          <t>C</t>
        </is>
      </c>
      <c r="N22" s="1060">
        <f>(AS21-AT21*$AZ$1)/$AF21</f>
        <v/>
      </c>
      <c r="O22" s="1061" t="inlineStr">
        <is>
          <t>B</t>
        </is>
      </c>
      <c r="P22" s="1062">
        <f>(AU21-AV21*$AZ$1)/$AF21</f>
        <v/>
      </c>
      <c r="Q22" s="1062" t="inlineStr">
        <is>
          <t>C</t>
        </is>
      </c>
      <c r="R22" s="1063" t="n"/>
      <c r="S22" s="1061">
        <f>B22+D22+F22+H22+J22+L22+N22+P22</f>
        <v/>
      </c>
      <c r="T22" s="1103">
        <f>D22+H22</f>
        <v/>
      </c>
      <c r="U22" s="1037" t="n"/>
      <c r="V22" s="1037" t="n"/>
      <c r="W22" s="1037" t="n"/>
      <c r="X22" s="1037" t="n"/>
      <c r="Y22" s="669" t="n"/>
      <c r="Z22" s="669" t="n"/>
      <c r="AA22" s="669" t="n"/>
      <c r="AB22" s="669" t="n"/>
      <c r="AC22" s="669" t="n"/>
      <c r="AD22" s="669" t="n"/>
      <c r="AE22" s="669" t="n"/>
      <c r="AF22" s="1108" t="n">
        <v>30</v>
      </c>
      <c r="AG22" s="1108" t="n">
        <v>1170</v>
      </c>
      <c r="AH22" s="1104" t="n"/>
      <c r="AI22" s="1108" t="n">
        <v>10800</v>
      </c>
      <c r="AJ22" s="1108" t="n">
        <v>30</v>
      </c>
      <c r="AK22" s="1108" t="n">
        <v>570</v>
      </c>
      <c r="AL22" s="1104" t="n"/>
      <c r="AM22" s="1108" t="n">
        <v>1590</v>
      </c>
      <c r="AN22" s="1104" t="n"/>
      <c r="AO22" s="1108" t="n">
        <v>5430</v>
      </c>
      <c r="AP22" s="1108" t="n">
        <v>2</v>
      </c>
      <c r="AQ22" s="1108" t="n">
        <v>2460</v>
      </c>
      <c r="AR22" s="1104" t="n"/>
      <c r="AS22" s="1108" t="n">
        <v>3000</v>
      </c>
      <c r="AT22" s="1104" t="n"/>
      <c r="AU22" s="1108" t="n">
        <v>3870</v>
      </c>
      <c r="AV22" s="1104" t="n"/>
    </row>
    <row r="23">
      <c r="A23" s="1064" t="inlineStr">
        <is>
          <t>St. Trinidad</t>
        </is>
      </c>
      <c r="B23" s="1064">
        <f>(AG22-AH22*$AZ$1)/$AF22</f>
        <v/>
      </c>
      <c r="C23" s="1065" t="inlineStr">
        <is>
          <t>C</t>
        </is>
      </c>
      <c r="D23" s="1066">
        <f>(AI22-AJ22*$AZ$1)/$AF22</f>
        <v/>
      </c>
      <c r="E23" s="1066" t="inlineStr">
        <is>
          <t>SSS</t>
        </is>
      </c>
      <c r="F23" s="1064">
        <f>(AK22-AL22*$AZ$1)/$AF22</f>
        <v/>
      </c>
      <c r="G23" s="1065" t="inlineStr">
        <is>
          <t>D</t>
        </is>
      </c>
      <c r="H23" s="1066">
        <f>(AM22-AN22*$AZ$1)/$AF22</f>
        <v/>
      </c>
      <c r="I23" s="1066" t="inlineStr">
        <is>
          <t>C</t>
        </is>
      </c>
      <c r="J23" s="1064">
        <f>(AO22-AP22*$AZ$1)/$AF22</f>
        <v/>
      </c>
      <c r="K23" s="1065" t="inlineStr">
        <is>
          <t>S</t>
        </is>
      </c>
      <c r="L23" s="1066">
        <f>(AQ22-AR22*$AZ$1)/$AF22</f>
        <v/>
      </c>
      <c r="M23" s="1066" t="inlineStr">
        <is>
          <t>B</t>
        </is>
      </c>
      <c r="N23" s="1064">
        <f>(AS22-AT22*$AZ$1)/$AF22</f>
        <v/>
      </c>
      <c r="O23" s="1065" t="inlineStr">
        <is>
          <t>B</t>
        </is>
      </c>
      <c r="P23" s="1066">
        <f>(AU22-AV22*$AZ$1)/$AF22</f>
        <v/>
      </c>
      <c r="Q23" s="1066" t="inlineStr">
        <is>
          <t>A</t>
        </is>
      </c>
      <c r="R23" s="1063" t="n"/>
      <c r="S23" s="1065">
        <f>B23+D23+F23+H23+J23+L23+N23+P23</f>
        <v/>
      </c>
      <c r="T23" s="1103">
        <f>D23+J23</f>
        <v/>
      </c>
      <c r="U23" s="1037" t="n"/>
      <c r="V23" s="1037" t="n"/>
      <c r="W23" s="1037" t="n"/>
      <c r="X23" s="1037" t="n"/>
      <c r="Y23" s="669" t="n"/>
      <c r="Z23" s="669" t="n"/>
      <c r="AA23" s="669" t="n"/>
      <c r="AB23" s="669" t="n"/>
      <c r="AC23" s="669" t="n"/>
      <c r="AD23" s="669" t="n"/>
      <c r="AE23" s="669" t="n"/>
      <c r="AF23" s="1108" t="n">
        <v>30</v>
      </c>
      <c r="AG23" s="1108" t="n">
        <v>2460</v>
      </c>
      <c r="AH23" s="1104" t="n"/>
      <c r="AI23" s="1108" t="n">
        <v>10110</v>
      </c>
      <c r="AJ23" s="1108" t="n">
        <v>30</v>
      </c>
      <c r="AK23" s="1108" t="n">
        <v>3780</v>
      </c>
      <c r="AL23" s="1104" t="n"/>
      <c r="AM23" s="1108" t="n">
        <v>2970</v>
      </c>
      <c r="AN23" s="1104" t="n"/>
      <c r="AO23" s="1108" t="n">
        <v>7140</v>
      </c>
      <c r="AP23" s="1108" t="n">
        <v>9</v>
      </c>
      <c r="AQ23" s="1108" t="n">
        <v>1740</v>
      </c>
      <c r="AR23" s="1104" t="n"/>
      <c r="AS23" s="1108" t="n">
        <v>1530</v>
      </c>
      <c r="AT23" s="1104" t="n"/>
      <c r="AU23" s="1108" t="n">
        <v>600</v>
      </c>
      <c r="AV23" s="1104" t="n"/>
    </row>
    <row r="24">
      <c r="A24" s="1060" t="inlineStr">
        <is>
          <t>Soleil Royal</t>
        </is>
      </c>
      <c r="B24" s="1060">
        <f>(AG23-AH23*$AZ$1)/$AF23</f>
        <v/>
      </c>
      <c r="C24" s="1061" t="inlineStr">
        <is>
          <t>B</t>
        </is>
      </c>
      <c r="D24" s="1062">
        <f>(AI23-AJ23*$AZ$1)/$AF23</f>
        <v/>
      </c>
      <c r="E24" s="1062" t="inlineStr">
        <is>
          <t>SS</t>
        </is>
      </c>
      <c r="F24" s="1060">
        <f>(AK23-AL23*$AZ$1)/$AF23</f>
        <v/>
      </c>
      <c r="G24" s="1061" t="inlineStr">
        <is>
          <t>A</t>
        </is>
      </c>
      <c r="H24" s="1062">
        <f>(AM23-AN23*$AZ$1)/$AF23</f>
        <v/>
      </c>
      <c r="I24" s="1062" t="inlineStr">
        <is>
          <t>B</t>
        </is>
      </c>
      <c r="J24" s="1060">
        <f>(AO23-AP23*$AZ$1)/$AF23</f>
        <v/>
      </c>
      <c r="K24" s="1061" t="inlineStr">
        <is>
          <t>SS</t>
        </is>
      </c>
      <c r="L24" s="1062">
        <f>(AQ23-AR23*$AZ$1)/$AF23</f>
        <v/>
      </c>
      <c r="M24" s="1062" t="inlineStr">
        <is>
          <t>C</t>
        </is>
      </c>
      <c r="N24" s="1060">
        <f>(AS23-AT23*$AZ$1)/$AF23</f>
        <v/>
      </c>
      <c r="O24" s="1061" t="inlineStr">
        <is>
          <t>C</t>
        </is>
      </c>
      <c r="P24" s="1062">
        <f>(AU23-AV23*$AZ$1)/$AF23</f>
        <v/>
      </c>
      <c r="Q24" s="1062" t="inlineStr">
        <is>
          <t>D</t>
        </is>
      </c>
      <c r="R24" s="1010" t="n"/>
      <c r="S24" s="1061">
        <f>B24+D24+F24+H24+J24+L24+N24+P24</f>
        <v/>
      </c>
      <c r="T24" s="1067">
        <f>D24+J24</f>
        <v/>
      </c>
      <c r="U24" s="669" t="n"/>
      <c r="V24" s="669" t="n"/>
      <c r="W24" s="669" t="n"/>
      <c r="X24" s="669" t="n"/>
      <c r="Y24" s="669" t="n"/>
      <c r="Z24" s="669" t="n"/>
      <c r="AA24" s="669" t="n"/>
      <c r="AB24" s="669" t="n"/>
      <c r="AC24" s="669" t="n"/>
      <c r="AD24" s="669" t="n"/>
      <c r="AE24" s="669" t="n"/>
      <c r="AF24" s="669" t="n"/>
      <c r="AG24" s="669" t="n"/>
      <c r="AH24" s="669" t="n"/>
      <c r="AI24" s="669" t="n"/>
      <c r="AJ24" s="669" t="n"/>
      <c r="AK24" s="669" t="n"/>
      <c r="AL24" s="669" t="n"/>
      <c r="AM24" s="669" t="n"/>
      <c r="AN24" s="669" t="n"/>
      <c r="AO24" s="669" t="n"/>
      <c r="AP24" s="669" t="n"/>
      <c r="AQ24" s="669" t="n"/>
      <c r="AR24" s="669" t="n"/>
      <c r="AS24" s="669" t="n"/>
      <c r="AT24" s="669" t="n"/>
      <c r="AU24" s="669" t="n"/>
      <c r="AV24" s="669" t="n"/>
    </row>
    <row r="25">
      <c r="A25" s="669" t="n"/>
      <c r="B25" s="669" t="n"/>
      <c r="C25" s="669" t="n"/>
      <c r="D25" s="669" t="n"/>
      <c r="E25" s="669" t="n"/>
      <c r="F25" s="669" t="n"/>
      <c r="G25" s="669" t="n"/>
      <c r="H25" s="669" t="n"/>
      <c r="I25" s="669" t="n"/>
      <c r="J25" s="669" t="n"/>
      <c r="K25" s="669" t="n"/>
      <c r="L25" s="669" t="n"/>
      <c r="M25" s="669" t="n"/>
      <c r="N25" s="669" t="n"/>
      <c r="O25" s="669" t="n"/>
      <c r="P25" s="669" t="n"/>
      <c r="Q25" s="669" t="n"/>
      <c r="R25" s="669" t="n"/>
      <c r="S25" s="669" t="n"/>
      <c r="T25" s="669" t="n"/>
      <c r="U25" s="669" t="n"/>
      <c r="V25" s="669" t="n"/>
      <c r="W25" s="669" t="n"/>
      <c r="X25" s="669" t="n"/>
      <c r="Y25" s="669" t="n"/>
      <c r="Z25" s="669" t="n"/>
      <c r="AA25" s="669" t="n"/>
      <c r="AB25" s="669" t="n"/>
      <c r="AC25" s="669" t="n"/>
      <c r="AD25" s="669" t="n"/>
      <c r="AE25" s="669" t="n"/>
      <c r="AF25" s="669" t="n"/>
      <c r="AG25" s="669" t="n"/>
      <c r="AH25" s="669" t="n"/>
      <c r="AI25" s="669" t="n"/>
      <c r="AJ25" s="669" t="n"/>
      <c r="AK25" s="669" t="n"/>
      <c r="AL25" s="669" t="n"/>
      <c r="AM25" s="669" t="n"/>
      <c r="AN25" s="669" t="n"/>
      <c r="AO25" s="669" t="n"/>
      <c r="AP25" s="669" t="n"/>
      <c r="AQ25" s="669" t="n"/>
      <c r="AR25" s="669" t="n"/>
      <c r="AS25" s="669" t="n"/>
      <c r="AT25" s="669" t="n"/>
      <c r="AU25" s="669" t="n"/>
      <c r="AV25" s="669" t="n"/>
    </row>
    <row r="26">
      <c r="A26" s="669" t="n"/>
      <c r="B26" s="1067" t="inlineStr">
        <is>
          <t>Rank</t>
        </is>
      </c>
      <c r="C26" s="1067" t="inlineStr">
        <is>
          <t>Min</t>
        </is>
      </c>
      <c r="D26" s="1067" t="inlineStr">
        <is>
          <t>Max</t>
        </is>
      </c>
      <c r="E26" s="669" t="n"/>
      <c r="F26" s="669" t="n"/>
      <c r="G26" s="669" t="n"/>
      <c r="H26" s="669" t="n"/>
      <c r="I26" s="669" t="n"/>
      <c r="J26" s="669" t="n"/>
      <c r="K26" s="669" t="n"/>
      <c r="L26" s="669" t="n"/>
      <c r="M26" s="669" t="n"/>
      <c r="N26" s="669" t="n"/>
      <c r="O26" s="669" t="n"/>
      <c r="P26" s="669" t="n"/>
      <c r="Q26" s="669" t="n"/>
      <c r="R26" s="669" t="n"/>
      <c r="S26" s="669" t="n"/>
      <c r="T26" s="669" t="n"/>
      <c r="U26" s="669" t="n"/>
      <c r="V26" s="669" t="n"/>
      <c r="W26" s="669" t="n"/>
      <c r="X26" s="669" t="n"/>
      <c r="Y26" s="669" t="n"/>
      <c r="Z26" s="669" t="n"/>
      <c r="AA26" s="669" t="n"/>
      <c r="AB26" s="669" t="n"/>
      <c r="AC26" s="669" t="n"/>
      <c r="AD26" s="669" t="n"/>
      <c r="AE26" s="669" t="n"/>
      <c r="AF26" s="669" t="n"/>
      <c r="AG26" s="669" t="n"/>
      <c r="AH26" s="669" t="n"/>
      <c r="AI26" s="669" t="n"/>
      <c r="AJ26" s="669" t="n"/>
      <c r="AK26" s="669" t="n"/>
      <c r="AL26" s="669" t="n"/>
      <c r="AM26" s="669" t="n"/>
      <c r="AN26" s="669" t="n"/>
      <c r="AO26" s="669" t="n"/>
      <c r="AP26" s="669" t="n"/>
      <c r="AQ26" s="669" t="n"/>
      <c r="AR26" s="669" t="n"/>
      <c r="AS26" s="669" t="n"/>
      <c r="AT26" s="669" t="n"/>
      <c r="AU26" s="669" t="n"/>
      <c r="AV26" s="669" t="n"/>
    </row>
    <row r="27">
      <c r="A27" s="669" t="n"/>
      <c r="B27" s="1103" t="inlineStr">
        <is>
          <t>SSS</t>
        </is>
      </c>
      <c r="C27" s="1067" t="n">
        <v>240</v>
      </c>
      <c r="D27" s="1067" t="n">
        <v>250</v>
      </c>
      <c r="E27" s="669" t="n"/>
      <c r="F27" s="669" t="n"/>
      <c r="G27" s="669" t="n"/>
      <c r="H27" s="669" t="n"/>
      <c r="I27" s="669" t="n"/>
      <c r="J27" s="669" t="n"/>
      <c r="K27" s="669" t="n"/>
      <c r="L27" s="669" t="n"/>
      <c r="M27" s="669" t="n"/>
      <c r="N27" s="669" t="n"/>
      <c r="O27" s="669" t="n"/>
      <c r="P27" s="669" t="n"/>
      <c r="Q27" s="669" t="n"/>
      <c r="R27" s="669" t="n"/>
      <c r="S27" s="669" t="n"/>
      <c r="T27" s="669" t="n"/>
      <c r="U27" s="669" t="n"/>
      <c r="V27" s="669" t="n"/>
      <c r="W27" s="669" t="n"/>
      <c r="X27" s="669" t="n"/>
      <c r="Y27" s="669" t="n"/>
      <c r="Z27" s="669" t="n"/>
      <c r="AA27" s="669" t="n"/>
      <c r="AB27" s="669" t="n"/>
      <c r="AC27" s="669" t="n"/>
      <c r="AD27" s="669" t="n"/>
      <c r="AE27" s="669" t="n"/>
      <c r="AF27" s="669" t="n"/>
      <c r="AG27" s="669" t="n"/>
      <c r="AH27" s="669" t="n"/>
      <c r="AI27" s="669" t="n"/>
      <c r="AJ27" s="669" t="n"/>
      <c r="AK27" s="669" t="n"/>
      <c r="AL27" s="669" t="n"/>
      <c r="AM27" s="669" t="n"/>
      <c r="AN27" s="669" t="n"/>
      <c r="AO27" s="669" t="n"/>
      <c r="AP27" s="669" t="n"/>
      <c r="AQ27" s="669" t="n"/>
      <c r="AR27" s="669" t="n"/>
      <c r="AS27" s="669" t="n"/>
      <c r="AT27" s="669" t="n"/>
      <c r="AU27" s="669" t="n"/>
      <c r="AV27" s="669" t="n"/>
    </row>
    <row r="28">
      <c r="A28" s="669" t="n"/>
      <c r="B28" s="1103" t="inlineStr">
        <is>
          <t>SS</t>
        </is>
      </c>
      <c r="C28" s="1067" t="n">
        <v>200</v>
      </c>
      <c r="D28" s="1067" t="n">
        <v>217</v>
      </c>
      <c r="E28" s="669" t="n"/>
      <c r="F28" s="669" t="n"/>
      <c r="G28" s="972" t="n"/>
    </row>
    <row r="29">
      <c r="A29" s="669" t="n"/>
      <c r="B29" s="1103" t="inlineStr">
        <is>
          <t>S</t>
        </is>
      </c>
      <c r="C29" s="1067" t="n">
        <v>160</v>
      </c>
      <c r="D29" s="1067" t="n">
        <v>180</v>
      </c>
      <c r="E29" s="669" t="n"/>
      <c r="F29" s="669" t="n"/>
      <c r="G29" s="972" t="n"/>
    </row>
    <row r="30">
      <c r="A30" s="669" t="n"/>
      <c r="B30" s="1103" t="inlineStr">
        <is>
          <t>A</t>
        </is>
      </c>
      <c r="C30" s="1067" t="n">
        <v>120</v>
      </c>
      <c r="D30" s="1067" t="n">
        <v>140</v>
      </c>
      <c r="E30" s="669" t="n"/>
      <c r="F30" s="669" t="n"/>
      <c r="G30" s="972" t="n"/>
    </row>
    <row r="31">
      <c r="A31" s="669" t="n"/>
      <c r="B31" s="1103" t="inlineStr">
        <is>
          <t>B</t>
        </is>
      </c>
      <c r="C31" s="1067" t="n">
        <v>82</v>
      </c>
      <c r="D31" s="1067" t="n">
        <v>100</v>
      </c>
      <c r="E31" s="669" t="n"/>
      <c r="F31" s="669" t="n"/>
      <c r="G31" s="972" t="n"/>
    </row>
    <row r="32">
      <c r="A32" s="669" t="n"/>
      <c r="B32" s="1103" t="inlineStr">
        <is>
          <t>C</t>
        </is>
      </c>
      <c r="C32" s="1067" t="n">
        <v>39</v>
      </c>
      <c r="D32" s="1067" t="n">
        <v>60</v>
      </c>
      <c r="E32" s="669" t="n"/>
      <c r="F32" s="669" t="n"/>
      <c r="G32" s="972" t="n"/>
    </row>
    <row r="33">
      <c r="A33" s="669" t="n"/>
      <c r="B33" s="1103" t="inlineStr">
        <is>
          <t>D</t>
        </is>
      </c>
      <c r="C33" s="1067" t="n">
        <v>5</v>
      </c>
      <c r="D33" s="1067" t="n">
        <v>20</v>
      </c>
      <c r="E33" s="669" t="n"/>
      <c r="F33" s="669" t="n"/>
      <c r="G33" s="972" t="n"/>
    </row>
    <row r="34">
      <c r="A34" s="669" t="n"/>
      <c r="B34" s="669" t="n"/>
      <c r="C34" s="669" t="n"/>
      <c r="D34" s="669" t="n"/>
      <c r="E34" s="669" t="n"/>
      <c r="F34" s="669" t="n"/>
      <c r="G34" s="972" t="n"/>
    </row>
    <row r="35">
      <c r="A35" s="972" t="n"/>
      <c r="B35" s="972" t="n"/>
      <c r="C35" s="972" t="n"/>
      <c r="D35" s="972" t="n"/>
      <c r="E35" s="972" t="n"/>
      <c r="F35" s="972" t="n"/>
      <c r="G35" s="972" t="n"/>
    </row>
    <row r="36">
      <c r="A36" s="972" t="n"/>
      <c r="B36" s="972" t="n"/>
      <c r="C36" s="972" t="n"/>
      <c r="D36" s="972" t="n"/>
      <c r="E36" s="972" t="n"/>
      <c r="F36" s="972" t="n"/>
      <c r="G36" s="972" t="n"/>
    </row>
  </sheetData>
  <mergeCells count="8">
    <mergeCell ref="F3:G3"/>
    <mergeCell ref="L3:M3"/>
    <mergeCell ref="J3:K3"/>
    <mergeCell ref="P3:Q3"/>
    <mergeCell ref="N3:O3"/>
    <mergeCell ref="B3:C3"/>
    <mergeCell ref="D3:E3"/>
    <mergeCell ref="H3:I3"/>
  </mergeCells>
  <dataValidations count="1">
    <dataValidation sqref="B27:B33 C4:C24 E4:E24 G4:G24 I4:I24 K4:K24 M4:M24 O4:O24 Q4:Q24" showDropDown="1" showInputMessage="0" showErrorMessage="1" allowBlank="1" type="list">
      <formula1>"SSS,SS,S,A,B,C,D"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AA334"/>
  <sheetViews>
    <sheetView workbookViewId="0">
      <selection activeCell="A1" sqref="A1"/>
    </sheetView>
  </sheetViews>
  <sheetFormatPr baseColWidth="8" defaultColWidth="9.18" defaultRowHeight="15" customHeight="1"/>
  <cols>
    <col width="16.09" customWidth="1" style="1128" min="1" max="1"/>
    <col width="9.449999999999999" customWidth="1" style="1128" min="2" max="2"/>
    <col width="14.73" customWidth="1" style="1128" min="13" max="13"/>
  </cols>
  <sheetData>
    <row r="1">
      <c r="A1" s="1162" t="inlineStr">
        <is>
          <t>⚠ PROTECTED LOOKUP TABLE — Do not modify or delete this sheet.</t>
        </is>
      </c>
      <c r="B1" s="1069" t="n"/>
      <c r="C1" s="1070" t="inlineStr">
        <is>
          <t>Notes</t>
        </is>
      </c>
      <c r="D1" s="1071" t="n"/>
      <c r="E1" s="1071" t="n"/>
      <c r="F1" s="1072" t="n"/>
      <c r="G1" s="1072" t="n"/>
      <c r="H1" s="1072" t="n"/>
      <c r="I1" s="1072" t="n"/>
      <c r="J1" s="1072" t="n"/>
      <c r="K1" s="1072" t="n"/>
      <c r="L1" s="1072" t="n"/>
      <c r="M1" s="1073" t="n"/>
      <c r="N1" s="669" t="n"/>
      <c r="O1" s="669" t="n"/>
      <c r="P1" s="669" t="n"/>
      <c r="Q1" s="669" t="n"/>
      <c r="R1" s="669" t="n"/>
      <c r="S1" s="669" t="n"/>
      <c r="T1" s="669" t="n"/>
      <c r="U1" s="669" t="n"/>
      <c r="V1" s="669" t="n"/>
      <c r="W1" s="669" t="n"/>
      <c r="X1" s="669" t="n"/>
      <c r="Y1" s="669" t="n"/>
      <c r="Z1" s="669" t="n"/>
      <c r="AA1" s="669" t="n"/>
    </row>
    <row r="2">
      <c r="A2" s="1080" t="inlineStr">
        <is>
          <t>Passive</t>
        </is>
      </c>
      <c r="B2" s="1103" t="inlineStr">
        <is>
          <t>S</t>
        </is>
      </c>
      <c r="C2" s="1075" t="inlineStr">
        <is>
          <t>INTEL</t>
        </is>
      </c>
      <c r="D2" s="373" t="n"/>
      <c r="E2" s="373" t="n"/>
      <c r="F2" s="237" t="n"/>
      <c r="G2" s="237" t="n"/>
      <c r="H2" s="237" t="n"/>
      <c r="I2" s="237" t="n"/>
      <c r="J2" s="237" t="n"/>
      <c r="K2" s="237" t="n"/>
      <c r="L2" s="237" t="n"/>
      <c r="M2" s="238" t="n"/>
      <c r="N2" s="669" t="n"/>
      <c r="O2" s="669" t="n"/>
      <c r="P2" s="669" t="n"/>
      <c r="Q2" s="669" t="n"/>
      <c r="R2" s="669" t="n"/>
      <c r="S2" s="669" t="n"/>
      <c r="T2" s="669" t="n"/>
      <c r="U2" s="669" t="n"/>
      <c r="V2" s="669" t="n"/>
      <c r="W2" s="669" t="n"/>
      <c r="X2" s="669" t="n"/>
      <c r="Y2" s="669" t="n"/>
      <c r="Z2" s="669" t="n"/>
      <c r="AA2" s="669" t="n"/>
    </row>
    <row r="3">
      <c r="A3" s="1080" t="inlineStr">
        <is>
          <t>Ninjutsu</t>
        </is>
      </c>
      <c r="B3" s="1103" t="inlineStr">
        <is>
          <t>S</t>
        </is>
      </c>
      <c r="C3" s="1037" t="inlineStr">
        <is>
          <t>Primary damage dealer with a guaranteed spot in the lineup</t>
        </is>
      </c>
      <c r="D3" s="1037" t="n"/>
      <c r="E3" s="1037" t="n"/>
      <c r="F3" s="669" t="n"/>
      <c r="G3" s="669" t="n"/>
      <c r="H3" s="669" t="n"/>
      <c r="I3" s="669" t="n"/>
      <c r="J3" s="669" t="n"/>
      <c r="K3" s="669" t="n"/>
      <c r="L3" s="669" t="n"/>
      <c r="M3" s="1095" t="n"/>
      <c r="N3" s="669" t="n"/>
      <c r="O3" s="669" t="n"/>
      <c r="P3" s="669" t="n"/>
      <c r="Q3" s="669" t="n"/>
      <c r="R3" s="669" t="n"/>
      <c r="S3" s="669" t="n"/>
      <c r="T3" s="669" t="n"/>
      <c r="U3" s="669" t="n"/>
      <c r="V3" s="669" t="n"/>
      <c r="W3" s="669" t="n"/>
      <c r="X3" s="669" t="n"/>
      <c r="Y3" s="669" t="n"/>
      <c r="Z3" s="669" t="n"/>
      <c r="AA3" s="669" t="n"/>
    </row>
    <row r="4">
      <c r="A4" s="1080" t="inlineStr">
        <is>
          <t>Defense</t>
        </is>
      </c>
      <c r="B4" s="1103" t="inlineStr">
        <is>
          <t>A</t>
        </is>
      </c>
      <c r="C4" s="1075" t="inlineStr">
        <is>
          <t>Occupies the flex 3rd slot and is potentially replaceable with Future Pyramid</t>
        </is>
      </c>
      <c r="D4" s="373" t="n"/>
      <c r="E4" s="373" t="n"/>
      <c r="F4" s="237" t="n"/>
      <c r="G4" s="237" t="n"/>
      <c r="H4" s="237" t="n"/>
      <c r="I4" s="237" t="n"/>
      <c r="J4" s="237" t="n"/>
      <c r="K4" s="237" t="n"/>
      <c r="L4" s="237" t="n"/>
      <c r="M4" s="238" t="n"/>
      <c r="N4" s="669" t="n"/>
      <c r="O4" s="669" t="n"/>
      <c r="P4" s="669" t="n"/>
      <c r="Q4" s="669" t="n"/>
      <c r="R4" s="669" t="n"/>
      <c r="S4" s="669" t="n"/>
      <c r="T4" s="669" t="n"/>
      <c r="U4" s="669" t="n"/>
      <c r="V4" s="669" t="n"/>
      <c r="W4" s="669" t="n"/>
      <c r="X4" s="669" t="n"/>
      <c r="Y4" s="669" t="n"/>
      <c r="Z4" s="669" t="n"/>
      <c r="AA4" s="669" t="n"/>
    </row>
    <row r="5">
      <c r="A5" s="1080" t="inlineStr">
        <is>
          <t>Growth Speed</t>
        </is>
      </c>
      <c r="B5" s="1103" t="inlineStr">
        <is>
          <t>Medium</t>
        </is>
      </c>
      <c r="C5" s="1037" t="n"/>
      <c r="D5" s="1037" t="n"/>
      <c r="E5" s="1037" t="n"/>
      <c r="F5" s="669" t="n"/>
      <c r="G5" s="669" t="n"/>
      <c r="H5" s="669" t="n"/>
      <c r="I5" s="669" t="n"/>
      <c r="J5" s="669" t="n"/>
      <c r="K5" s="669" t="n"/>
      <c r="L5" s="669" t="n"/>
      <c r="M5" s="1095" t="n"/>
      <c r="N5" s="669" t="n"/>
      <c r="O5" s="669" t="n"/>
      <c r="P5" s="669" t="n"/>
      <c r="Q5" s="669" t="n"/>
      <c r="R5" s="669" t="n"/>
      <c r="S5" s="669" t="n"/>
      <c r="T5" s="669" t="n"/>
      <c r="U5" s="669" t="n"/>
      <c r="V5" s="669" t="n"/>
      <c r="W5" s="669" t="n"/>
      <c r="X5" s="669" t="n"/>
      <c r="Y5" s="669" t="n"/>
      <c r="Z5" s="669" t="n"/>
      <c r="AA5" s="669" t="n"/>
    </row>
    <row r="6">
      <c r="A6" s="1080" t="inlineStr">
        <is>
          <t>Leveling Prority</t>
        </is>
      </c>
      <c r="B6" s="1103" t="inlineStr">
        <is>
          <t>S</t>
        </is>
      </c>
      <c r="C6" s="1075" t="n"/>
      <c r="D6" s="373" t="n"/>
      <c r="E6" s="373" t="n"/>
      <c r="F6" s="237" t="n"/>
      <c r="G6" s="237" t="n"/>
      <c r="H6" s="237" t="n"/>
      <c r="I6" s="237" t="n"/>
      <c r="J6" s="237" t="n"/>
      <c r="K6" s="237" t="n"/>
      <c r="L6" s="237" t="n"/>
      <c r="M6" s="238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</row>
    <row r="7">
      <c r="A7" s="1064" t="n"/>
      <c r="B7" s="1066" t="n"/>
      <c r="C7" s="1037" t="n"/>
      <c r="D7" s="1037" t="n"/>
      <c r="E7" s="1037" t="n"/>
      <c r="F7" s="669" t="n"/>
      <c r="G7" s="669" t="n"/>
      <c r="H7" s="669" t="n"/>
      <c r="I7" s="669" t="n"/>
      <c r="J7" s="669" t="n"/>
      <c r="K7" s="669" t="n"/>
      <c r="L7" s="669" t="n"/>
      <c r="M7" s="1095" t="n"/>
      <c r="N7" s="669" t="n"/>
      <c r="O7" s="669" t="n"/>
      <c r="P7" s="669" t="n"/>
      <c r="Q7" s="669" t="n"/>
      <c r="R7" s="669" t="n"/>
      <c r="S7" s="669" t="n"/>
      <c r="T7" s="669" t="n"/>
      <c r="U7" s="669" t="n"/>
      <c r="V7" s="669" t="n"/>
      <c r="W7" s="669" t="n"/>
      <c r="X7" s="669" t="n"/>
      <c r="Y7" s="669" t="n"/>
      <c r="Z7" s="669" t="n"/>
      <c r="AA7" s="669" t="n"/>
    </row>
    <row r="8">
      <c r="A8" s="1080" t="inlineStr">
        <is>
          <t>Name</t>
        </is>
      </c>
      <c r="B8" s="1080" t="inlineStr">
        <is>
          <t>Type</t>
        </is>
      </c>
      <c r="C8" s="1080" t="inlineStr">
        <is>
          <t>Lv10 Priority</t>
        </is>
      </c>
      <c r="D8" s="1080" t="inlineStr">
        <is>
          <t>Lv20 Priority</t>
        </is>
      </c>
      <c r="E8" s="1076" t="inlineStr">
        <is>
          <t>Notes</t>
        </is>
      </c>
      <c r="F8" s="1077" t="n"/>
      <c r="G8" s="1077" t="n"/>
      <c r="H8" s="1077" t="n"/>
      <c r="I8" s="1077" t="n"/>
      <c r="J8" s="1077" t="n"/>
      <c r="K8" s="1077" t="n"/>
      <c r="L8" s="1077" t="n"/>
      <c r="M8" s="1078" t="n"/>
      <c r="N8" s="669" t="n"/>
      <c r="O8" s="669" t="n"/>
      <c r="P8" s="669" t="n"/>
      <c r="Q8" s="669" t="n"/>
      <c r="R8" s="669" t="n"/>
      <c r="S8" s="669" t="n"/>
      <c r="T8" s="669" t="n"/>
      <c r="U8" s="669" t="n"/>
      <c r="V8" s="669" t="n"/>
      <c r="W8" s="669" t="n"/>
      <c r="X8" s="669" t="n"/>
      <c r="Y8" s="669" t="n"/>
      <c r="Z8" s="669" t="n"/>
      <c r="AA8" s="669" t="n"/>
    </row>
    <row r="9">
      <c r="A9" s="1103" t="inlineStr">
        <is>
          <t>Aqua - Water Bullet</t>
        </is>
      </c>
      <c r="B9" s="1103" t="inlineStr">
        <is>
          <t>Ninjutsu</t>
        </is>
      </c>
      <c r="C9" s="1103" t="inlineStr">
        <is>
          <t>S</t>
        </is>
      </c>
      <c r="D9" s="1103" t="inlineStr">
        <is>
          <t>C</t>
        </is>
      </c>
      <c r="E9" s="1075" t="inlineStr">
        <is>
          <t>Primary source of ninjutsu fight damage; Doesn't improve Max HP% DMG after lv10</t>
        </is>
      </c>
      <c r="F9" s="237" t="n"/>
      <c r="G9" s="237" t="n"/>
      <c r="H9" s="237" t="n"/>
      <c r="I9" s="237" t="n"/>
      <c r="J9" s="237" t="n"/>
      <c r="K9" s="237" t="n"/>
      <c r="L9" s="237" t="n"/>
      <c r="M9" s="238" t="n"/>
      <c r="N9" s="669" t="n"/>
      <c r="O9" s="669" t="n"/>
      <c r="P9" s="669" t="n"/>
      <c r="Q9" s="669" t="n"/>
      <c r="R9" s="669" t="n"/>
      <c r="S9" s="669" t="n"/>
      <c r="T9" s="669" t="n"/>
      <c r="U9" s="669" t="n"/>
      <c r="V9" s="669" t="n"/>
      <c r="W9" s="669" t="n"/>
      <c r="X9" s="669" t="n"/>
      <c r="Y9" s="669" t="n"/>
      <c r="Z9" s="669" t="n"/>
      <c r="AA9" s="669" t="n"/>
    </row>
    <row r="10">
      <c r="A10" s="1103" t="inlineStr">
        <is>
          <t>Wood - Spring</t>
        </is>
      </c>
      <c r="B10" s="1103" t="inlineStr">
        <is>
          <t>Ninjutsu</t>
        </is>
      </c>
      <c r="C10" s="1103" t="inlineStr">
        <is>
          <t>S</t>
        </is>
      </c>
      <c r="D10" s="1103" t="inlineStr">
        <is>
          <t>S</t>
        </is>
      </c>
      <c r="E10" s="1037" t="inlineStr">
        <is>
          <t>Allows more water bullet usage; Adds up to 3% max HP regen at lv20 to sustain Momochi</t>
        </is>
      </c>
      <c r="F10" s="669" t="n"/>
      <c r="G10" s="669" t="n"/>
      <c r="H10" s="669" t="n"/>
      <c r="I10" s="669" t="n"/>
      <c r="J10" s="669" t="n"/>
      <c r="K10" s="669" t="n"/>
      <c r="L10" s="669" t="n"/>
      <c r="M10" s="1095" t="n"/>
      <c r="N10" s="669" t="n"/>
      <c r="O10" s="669" t="n"/>
      <c r="P10" s="669" t="n"/>
      <c r="Q10" s="669" t="n"/>
      <c r="R10" s="669" t="n"/>
      <c r="S10" s="669" t="n"/>
      <c r="T10" s="669" t="n"/>
      <c r="U10" s="669" t="n"/>
      <c r="V10" s="669" t="n"/>
      <c r="W10" s="669" t="n"/>
      <c r="X10" s="669" t="n"/>
      <c r="Y10" s="669" t="n"/>
      <c r="Z10" s="669" t="n"/>
      <c r="AA10" s="669" t="n"/>
    </row>
    <row r="11">
      <c r="A11" s="1103" t="inlineStr">
        <is>
          <t>Wind - Wind Cutter</t>
        </is>
      </c>
      <c r="B11" s="1103" t="inlineStr">
        <is>
          <t>Ninjutsu</t>
        </is>
      </c>
      <c r="C11" s="1103" t="inlineStr">
        <is>
          <t>F</t>
        </is>
      </c>
      <c r="D11" s="1103" t="inlineStr">
        <is>
          <t>F</t>
        </is>
      </c>
      <c r="E11" s="1075" t="inlineStr">
        <is>
          <t>More expensive than water bullet; Ignore DEF effect appears to not work</t>
        </is>
      </c>
      <c r="F11" s="237" t="n"/>
      <c r="G11" s="237" t="n"/>
      <c r="H11" s="237" t="n"/>
      <c r="I11" s="237" t="n"/>
      <c r="J11" s="237" t="n"/>
      <c r="K11" s="237" t="n"/>
      <c r="L11" s="237" t="n"/>
      <c r="M11" s="238" t="n"/>
      <c r="N11" s="669" t="n"/>
      <c r="O11" s="669" t="n"/>
      <c r="P11" s="669" t="n"/>
      <c r="Q11" s="669" t="n"/>
      <c r="R11" s="669" t="n"/>
      <c r="S11" s="669" t="n"/>
      <c r="T11" s="669" t="n"/>
      <c r="U11" s="669" t="n"/>
      <c r="V11" s="669" t="n"/>
      <c r="W11" s="669" t="n"/>
      <c r="X11" s="669" t="n"/>
      <c r="Y11" s="669" t="n"/>
      <c r="Z11" s="669" t="n"/>
      <c r="AA11" s="669" t="n"/>
    </row>
    <row r="12">
      <c r="A12" s="1103" t="inlineStr">
        <is>
          <t>Aqua - Water Wall</t>
        </is>
      </c>
      <c r="B12" s="1103" t="inlineStr">
        <is>
          <t>Defense</t>
        </is>
      </c>
      <c r="C12" s="1103" t="inlineStr">
        <is>
          <t>S</t>
        </is>
      </c>
      <c r="D12" s="1103" t="inlineStr">
        <is>
          <t>S</t>
        </is>
      </c>
      <c r="E12" s="1075" t="n"/>
      <c r="F12" s="237" t="n"/>
      <c r="G12" s="237" t="n"/>
      <c r="H12" s="237" t="n"/>
      <c r="I12" s="237" t="n"/>
      <c r="J12" s="237" t="n"/>
      <c r="K12" s="237" t="n"/>
      <c r="L12" s="237" t="n"/>
      <c r="M12" s="238" t="n"/>
      <c r="N12" s="669" t="n"/>
      <c r="O12" s="669" t="n"/>
      <c r="P12" s="669" t="n"/>
      <c r="Q12" s="669" t="n"/>
      <c r="R12" s="669" t="n"/>
      <c r="S12" s="669" t="n"/>
      <c r="T12" s="669" t="n"/>
      <c r="U12" s="669" t="n"/>
      <c r="V12" s="669" t="n"/>
      <c r="W12" s="669" t="n"/>
      <c r="X12" s="669" t="n"/>
      <c r="Y12" s="669" t="n"/>
      <c r="Z12" s="669" t="n"/>
      <c r="AA12" s="669" t="n"/>
    </row>
    <row r="13">
      <c r="A13" s="1103" t="inlineStr">
        <is>
          <t>Aqua - Resuscitation</t>
        </is>
      </c>
      <c r="B13" s="1103" t="inlineStr">
        <is>
          <t>Defense</t>
        </is>
      </c>
      <c r="C13" s="1103" t="inlineStr">
        <is>
          <t>A</t>
        </is>
      </c>
      <c r="D13" s="1103" t="inlineStr">
        <is>
          <t>B</t>
        </is>
      </c>
      <c r="E13" s="1079" t="inlineStr">
        <is>
          <t>Relatively flat healing that falls behind on later anecdotes</t>
        </is>
      </c>
      <c r="F13" s="1093" t="n"/>
      <c r="G13" s="1093" t="n"/>
      <c r="H13" s="1093" t="n"/>
      <c r="I13" s="1093" t="n"/>
      <c r="J13" s="1093" t="n"/>
      <c r="K13" s="1093" t="n"/>
      <c r="L13" s="1093" t="n"/>
      <c r="M13" s="965" t="n"/>
      <c r="N13" s="669" t="n"/>
      <c r="O13" s="669" t="n"/>
      <c r="P13" s="669" t="n"/>
      <c r="Q13" s="669" t="n"/>
      <c r="R13" s="669" t="n"/>
      <c r="S13" s="669" t="n"/>
      <c r="T13" s="669" t="n"/>
      <c r="U13" s="669" t="n"/>
      <c r="V13" s="669" t="n"/>
      <c r="W13" s="669" t="n"/>
      <c r="X13" s="669" t="n"/>
      <c r="Y13" s="669" t="n"/>
      <c r="Z13" s="669" t="n"/>
      <c r="AA13" s="669" t="n"/>
    </row>
    <row r="14">
      <c r="A14" s="1037" t="n"/>
      <c r="B14" s="1066" t="n"/>
      <c r="C14" s="1037" t="n"/>
      <c r="D14" s="1037" t="n"/>
      <c r="E14" s="1037" t="n"/>
      <c r="F14" s="669" t="n"/>
      <c r="G14" s="669" t="n"/>
      <c r="H14" s="669" t="n"/>
      <c r="I14" s="669" t="n"/>
      <c r="J14" s="669" t="n"/>
      <c r="K14" s="669" t="n"/>
      <c r="L14" s="669" t="n"/>
      <c r="M14" s="669" t="n"/>
      <c r="N14" s="669" t="n"/>
      <c r="O14" s="669" t="n"/>
      <c r="P14" s="669" t="n"/>
      <c r="Q14" s="669" t="n"/>
      <c r="R14" s="669" t="n"/>
      <c r="S14" s="669" t="n"/>
      <c r="T14" s="669" t="n"/>
      <c r="U14" s="669" t="n"/>
      <c r="V14" s="669" t="n"/>
      <c r="W14" s="669" t="n"/>
      <c r="X14" s="669" t="n"/>
      <c r="Y14" s="669" t="n"/>
      <c r="Z14" s="669" t="n"/>
      <c r="AA14" s="669" t="n"/>
    </row>
    <row r="15">
      <c r="A15" s="1037" t="n"/>
      <c r="B15" s="1066" t="n"/>
      <c r="C15" s="1037" t="n"/>
      <c r="D15" s="1037" t="n"/>
      <c r="E15" s="1037" t="n"/>
      <c r="F15" s="669" t="n"/>
      <c r="G15" s="669" t="n"/>
      <c r="H15" s="669" t="n"/>
      <c r="I15" s="669" t="n"/>
      <c r="J15" s="669" t="n"/>
      <c r="K15" s="669" t="n"/>
      <c r="L15" s="669" t="n"/>
      <c r="M15" s="669" t="n"/>
      <c r="N15" s="669" t="n"/>
      <c r="O15" s="669" t="n"/>
      <c r="P15" s="669" t="n"/>
      <c r="Q15" s="669" t="n"/>
      <c r="R15" s="669" t="n"/>
      <c r="S15" s="669" t="n"/>
      <c r="T15" s="669" t="n"/>
      <c r="U15" s="669" t="n"/>
      <c r="V15" s="669" t="n"/>
      <c r="W15" s="669" t="n"/>
      <c r="X15" s="669" t="n"/>
      <c r="Y15" s="669" t="n"/>
      <c r="Z15" s="669" t="n"/>
      <c r="AA15" s="669" t="n"/>
    </row>
    <row r="16">
      <c r="A16" s="1037" t="n"/>
      <c r="B16" s="1066" t="n"/>
      <c r="C16" s="1037" t="n"/>
      <c r="D16" s="1037" t="n"/>
      <c r="E16" s="1037" t="n"/>
      <c r="F16" s="669" t="n"/>
      <c r="G16" s="669" t="n"/>
      <c r="H16" s="669" t="n"/>
      <c r="I16" s="669" t="n"/>
      <c r="J16" s="669" t="n"/>
      <c r="K16" s="669" t="n"/>
      <c r="L16" s="669" t="n"/>
      <c r="M16" s="669" t="n"/>
      <c r="N16" s="669" t="n"/>
      <c r="O16" s="669" t="n"/>
      <c r="P16" s="669" t="n"/>
      <c r="Q16" s="669" t="n"/>
      <c r="R16" s="669" t="n"/>
      <c r="S16" s="669" t="n"/>
      <c r="T16" s="669" t="n"/>
      <c r="U16" s="669" t="n"/>
      <c r="V16" s="669" t="n"/>
      <c r="W16" s="669" t="n"/>
      <c r="X16" s="669" t="n"/>
      <c r="Y16" s="669" t="n"/>
      <c r="Z16" s="669" t="n"/>
      <c r="AA16" s="669" t="n"/>
    </row>
    <row r="17">
      <c r="A17" s="1068" t="inlineStr">
        <is>
          <t>Amakusa</t>
        </is>
      </c>
      <c r="B17" s="1069" t="n"/>
      <c r="C17" s="1070" t="inlineStr">
        <is>
          <t>Notes</t>
        </is>
      </c>
      <c r="D17" s="1071" t="n"/>
      <c r="E17" s="1071" t="n"/>
      <c r="F17" s="1072" t="n"/>
      <c r="G17" s="1072" t="n"/>
      <c r="H17" s="1072" t="n"/>
      <c r="I17" s="1072" t="n"/>
      <c r="J17" s="1072" t="n"/>
      <c r="K17" s="1072" t="n"/>
      <c r="L17" s="1072" t="n"/>
      <c r="M17" s="1073" t="n"/>
      <c r="N17" s="669" t="n"/>
      <c r="O17" s="669" t="n"/>
      <c r="P17" s="669" t="n"/>
      <c r="Q17" s="669" t="n"/>
      <c r="R17" s="669" t="n"/>
      <c r="S17" s="669" t="n"/>
      <c r="T17" s="669" t="n"/>
      <c r="U17" s="669" t="n"/>
      <c r="V17" s="669" t="n"/>
      <c r="W17" s="669" t="n"/>
      <c r="X17" s="669" t="n"/>
      <c r="Y17" s="669" t="n"/>
      <c r="Z17" s="669" t="n"/>
      <c r="AA17" s="669" t="n"/>
    </row>
    <row r="18">
      <c r="A18" s="1080" t="inlineStr">
        <is>
          <t>Passive</t>
        </is>
      </c>
      <c r="B18" s="1103" t="inlineStr">
        <is>
          <t>B</t>
        </is>
      </c>
      <c r="C18" s="1075" t="inlineStr">
        <is>
          <t>RUSH</t>
        </is>
      </c>
      <c r="D18" s="373" t="n"/>
      <c r="E18" s="373" t="n"/>
      <c r="F18" s="237" t="n"/>
      <c r="G18" s="237" t="n"/>
      <c r="H18" s="237" t="n"/>
      <c r="I18" s="237" t="n"/>
      <c r="J18" s="237" t="n"/>
      <c r="K18" s="237" t="n"/>
      <c r="L18" s="237" t="n"/>
      <c r="M18" s="238" t="n"/>
      <c r="N18" s="669" t="n"/>
      <c r="O18" s="669" t="n"/>
      <c r="P18" s="669" t="n"/>
      <c r="Q18" s="669" t="n"/>
      <c r="R18" s="669" t="n"/>
      <c r="S18" s="669" t="n"/>
      <c r="T18" s="669" t="n"/>
      <c r="U18" s="669" t="n"/>
      <c r="V18" s="669" t="n"/>
      <c r="W18" s="669" t="n"/>
      <c r="X18" s="669" t="n"/>
      <c r="Y18" s="669" t="n"/>
      <c r="Z18" s="669" t="n"/>
      <c r="AA18" s="669" t="n"/>
    </row>
    <row r="19">
      <c r="A19" s="1080" t="inlineStr">
        <is>
          <t>Ninjutsu</t>
        </is>
      </c>
      <c r="B19" s="1103" t="inlineStr">
        <is>
          <t>A</t>
        </is>
      </c>
      <c r="C19" s="1037" t="inlineStr">
        <is>
          <t>Competes with Hitman for the flex 3rd slot. Main advantage is the largest drifter health pool and ability to manage Chakra using Wildfire</t>
        </is>
      </c>
      <c r="D19" s="1037" t="n"/>
      <c r="E19" s="1037" t="n"/>
      <c r="F19" s="669" t="n"/>
      <c r="G19" s="669" t="n"/>
      <c r="H19" s="669" t="n"/>
      <c r="I19" s="669" t="n"/>
      <c r="J19" s="669" t="n"/>
      <c r="K19" s="669" t="n"/>
      <c r="L19" s="669" t="n"/>
      <c r="M19" s="1095" t="n"/>
      <c r="N19" s="669" t="n"/>
      <c r="O19" s="669" t="n"/>
      <c r="P19" s="669" t="n"/>
      <c r="Q19" s="669" t="n"/>
      <c r="R19" s="669" t="n"/>
      <c r="S19" s="669" t="n"/>
      <c r="T19" s="669" t="n"/>
      <c r="U19" s="669" t="n"/>
      <c r="V19" s="669" t="n"/>
      <c r="W19" s="669" t="n"/>
      <c r="X19" s="669" t="n"/>
      <c r="Y19" s="669" t="n"/>
      <c r="Z19" s="669" t="n"/>
      <c r="AA19" s="669" t="n"/>
    </row>
    <row r="20">
      <c r="A20" s="1080" t="inlineStr">
        <is>
          <t>Dance</t>
        </is>
      </c>
      <c r="B20" s="1103" t="inlineStr">
        <is>
          <t>S</t>
        </is>
      </c>
      <c r="C20" s="1075" t="inlineStr">
        <is>
          <t>Core unit that enables clears on later anecdotes with lower drifter investment than other compositions</t>
        </is>
      </c>
      <c r="D20" s="373" t="n"/>
      <c r="E20" s="373" t="n"/>
      <c r="F20" s="237" t="n"/>
      <c r="G20" s="237" t="n"/>
      <c r="H20" s="237" t="n"/>
      <c r="I20" s="237" t="n"/>
      <c r="J20" s="237" t="n"/>
      <c r="K20" s="237" t="n"/>
      <c r="L20" s="237" t="n"/>
      <c r="M20" s="238" t="n"/>
      <c r="N20" s="669" t="n"/>
      <c r="O20" s="669" t="n"/>
      <c r="P20" s="669" t="n"/>
      <c r="Q20" s="669" t="n"/>
      <c r="R20" s="669" t="n"/>
      <c r="S20" s="669" t="n"/>
      <c r="T20" s="669" t="n"/>
      <c r="U20" s="669" t="n"/>
      <c r="V20" s="669" t="n"/>
      <c r="W20" s="669" t="n"/>
      <c r="X20" s="669" t="n"/>
      <c r="Y20" s="669" t="n"/>
      <c r="Z20" s="669" t="n"/>
      <c r="AA20" s="669" t="n"/>
    </row>
    <row r="21">
      <c r="A21" s="1080" t="inlineStr">
        <is>
          <t>Growth Speed</t>
        </is>
      </c>
      <c r="B21" s="1103" t="inlineStr">
        <is>
          <t>Medium</t>
        </is>
      </c>
      <c r="C21" s="1037" t="n"/>
      <c r="D21" s="1037" t="n"/>
      <c r="E21" s="1037" t="n"/>
      <c r="F21" s="669" t="n"/>
      <c r="G21" s="669" t="n"/>
      <c r="H21" s="669" t="n"/>
      <c r="I21" s="669" t="n"/>
      <c r="J21" s="669" t="n"/>
      <c r="K21" s="669" t="n"/>
      <c r="L21" s="669" t="n"/>
      <c r="M21" s="1095" t="n"/>
      <c r="N21" s="669" t="n"/>
      <c r="O21" s="669" t="n"/>
      <c r="P21" s="669" t="n"/>
      <c r="Q21" s="669" t="n"/>
      <c r="R21" s="669" t="n"/>
      <c r="S21" s="669" t="n"/>
      <c r="T21" s="669" t="n"/>
      <c r="U21" s="669" t="n"/>
      <c r="V21" s="669" t="n"/>
      <c r="W21" s="669" t="n"/>
      <c r="X21" s="669" t="n"/>
      <c r="Y21" s="669" t="n"/>
      <c r="Z21" s="669" t="n"/>
      <c r="AA21" s="669" t="n"/>
    </row>
    <row r="22">
      <c r="A22" s="1080" t="inlineStr">
        <is>
          <t>Leveling Priority</t>
        </is>
      </c>
      <c r="B22" s="1103" t="inlineStr">
        <is>
          <t>A</t>
        </is>
      </c>
      <c r="C22" s="1075" t="n"/>
      <c r="D22" s="373" t="n"/>
      <c r="E22" s="373" t="n"/>
      <c r="F22" s="237" t="n"/>
      <c r="G22" s="237" t="n"/>
      <c r="H22" s="237" t="n"/>
      <c r="I22" s="237" t="n"/>
      <c r="J22" s="237" t="n"/>
      <c r="K22" s="237" t="n"/>
      <c r="L22" s="237" t="n"/>
      <c r="M22" s="238" t="n"/>
      <c r="N22" s="669" t="n"/>
      <c r="O22" s="669" t="n"/>
      <c r="P22" s="669" t="n"/>
      <c r="Q22" s="669" t="n"/>
      <c r="R22" s="669" t="n"/>
      <c r="S22" s="669" t="n"/>
      <c r="T22" s="669" t="n"/>
      <c r="U22" s="669" t="n"/>
      <c r="V22" s="669" t="n"/>
      <c r="W22" s="669" t="n"/>
      <c r="X22" s="669" t="n"/>
      <c r="Y22" s="669" t="n"/>
      <c r="Z22" s="669" t="n"/>
      <c r="AA22" s="669" t="n"/>
    </row>
    <row r="23">
      <c r="A23" s="1064" t="n"/>
      <c r="B23" s="1066" t="n"/>
      <c r="C23" s="1037" t="n"/>
      <c r="D23" s="1037" t="n"/>
      <c r="E23" s="1037" t="n"/>
      <c r="F23" s="669" t="n"/>
      <c r="G23" s="669" t="n"/>
      <c r="H23" s="669" t="n"/>
      <c r="I23" s="669" t="n"/>
      <c r="J23" s="669" t="n"/>
      <c r="K23" s="669" t="n"/>
      <c r="L23" s="669" t="n"/>
      <c r="M23" s="1095" t="n"/>
      <c r="N23" s="669" t="n"/>
      <c r="O23" s="669" t="n"/>
      <c r="P23" s="669" t="n"/>
      <c r="Q23" s="669" t="n"/>
      <c r="R23" s="669" t="n"/>
      <c r="S23" s="669" t="n"/>
      <c r="T23" s="669" t="n"/>
      <c r="U23" s="669" t="n"/>
      <c r="V23" s="669" t="n"/>
      <c r="W23" s="669" t="n"/>
      <c r="X23" s="669" t="n"/>
      <c r="Y23" s="669" t="n"/>
      <c r="Z23" s="669" t="n"/>
      <c r="AA23" s="669" t="n"/>
    </row>
    <row r="24">
      <c r="A24" s="1080" t="inlineStr">
        <is>
          <t>Name</t>
        </is>
      </c>
      <c r="B24" s="1080" t="inlineStr">
        <is>
          <t>Type</t>
        </is>
      </c>
      <c r="C24" s="1080" t="inlineStr">
        <is>
          <t>Lv10 Priority</t>
        </is>
      </c>
      <c r="D24" s="1080" t="inlineStr">
        <is>
          <t>Lv20 Priority</t>
        </is>
      </c>
      <c r="E24" s="1076" t="inlineStr">
        <is>
          <t>Notes</t>
        </is>
      </c>
      <c r="F24" s="1077" t="n"/>
      <c r="G24" s="1077" t="n"/>
      <c r="H24" s="1077" t="n"/>
      <c r="I24" s="1077" t="n"/>
      <c r="J24" s="1077" t="n"/>
      <c r="K24" s="1077" t="n"/>
      <c r="L24" s="1077" t="n"/>
      <c r="M24" s="1078" t="n"/>
      <c r="N24" s="669" t="n"/>
      <c r="O24" s="669" t="n"/>
      <c r="P24" s="669" t="n"/>
      <c r="Q24" s="669" t="n"/>
      <c r="R24" s="669" t="n"/>
      <c r="S24" s="669" t="n"/>
      <c r="T24" s="669" t="n"/>
      <c r="U24" s="669" t="n"/>
      <c r="V24" s="669" t="n"/>
      <c r="W24" s="669" t="n"/>
      <c r="X24" s="669" t="n"/>
      <c r="Y24" s="669" t="n"/>
      <c r="Z24" s="669" t="n"/>
      <c r="AA24" s="669" t="n"/>
    </row>
    <row r="25">
      <c r="A25" s="1103" t="inlineStr">
        <is>
          <t>Fire Mystery</t>
        </is>
      </c>
      <c r="B25" s="1103" t="inlineStr">
        <is>
          <t>Ninjutsu</t>
        </is>
      </c>
      <c r="C25" s="1103" t="inlineStr">
        <is>
          <t>C</t>
        </is>
      </c>
      <c r="D25" s="1103" t="inlineStr">
        <is>
          <t>C</t>
        </is>
      </c>
      <c r="E25" s="1075" t="inlineStr">
        <is>
          <t>Only increases ally fire DMG. As base attack is wind, only boosts Wildfire and Conflagration when in an optimal lineup</t>
        </is>
      </c>
      <c r="F25" s="237" t="n"/>
      <c r="G25" s="237" t="n"/>
      <c r="H25" s="237" t="n"/>
      <c r="I25" s="237" t="n"/>
      <c r="J25" s="237" t="n"/>
      <c r="K25" s="237" t="n"/>
      <c r="L25" s="237" t="n"/>
      <c r="M25" s="238" t="n"/>
      <c r="N25" s="669" t="n"/>
      <c r="O25" s="669" t="n"/>
      <c r="P25" s="669" t="n"/>
      <c r="Q25" s="669" t="n"/>
      <c r="R25" s="669" t="n"/>
      <c r="S25" s="669" t="n"/>
      <c r="T25" s="669" t="n"/>
      <c r="U25" s="669" t="n"/>
      <c r="V25" s="669" t="n"/>
      <c r="W25" s="669" t="n"/>
      <c r="X25" s="669" t="n"/>
      <c r="Y25" s="669" t="n"/>
      <c r="Z25" s="669" t="n"/>
      <c r="AA25" s="669" t="n"/>
    </row>
    <row r="26">
      <c r="A26" s="1103" t="inlineStr">
        <is>
          <t>Fire - Conflagration</t>
        </is>
      </c>
      <c r="B26" s="1103" t="inlineStr">
        <is>
          <t>Ninjutsu</t>
        </is>
      </c>
      <c r="C26" s="1103" t="inlineStr">
        <is>
          <t>C</t>
        </is>
      </c>
      <c r="D26" s="1103" t="inlineStr">
        <is>
          <t>D</t>
        </is>
      </c>
      <c r="E26" s="1037" t="inlineStr">
        <is>
          <t>Extra damage from activating Fire Marks are considered non-elemental, and do not benefit from Fire Mystery; Outdamaged by wildfire spam at lv20</t>
        </is>
      </c>
      <c r="F26" s="669" t="n"/>
      <c r="G26" s="669" t="n"/>
      <c r="H26" s="669" t="n"/>
      <c r="I26" s="669" t="n"/>
      <c r="J26" s="669" t="n"/>
      <c r="K26" s="669" t="n"/>
      <c r="L26" s="669" t="n"/>
      <c r="M26" s="1095" t="n"/>
      <c r="N26" s="669" t="n"/>
      <c r="O26" s="669" t="n"/>
      <c r="P26" s="669" t="n"/>
      <c r="Q26" s="669" t="n"/>
      <c r="R26" s="669" t="n"/>
      <c r="S26" s="669" t="n"/>
      <c r="T26" s="669" t="n"/>
      <c r="U26" s="669" t="n"/>
      <c r="V26" s="669" t="n"/>
      <c r="W26" s="669" t="n"/>
      <c r="X26" s="669" t="n"/>
      <c r="Y26" s="669" t="n"/>
      <c r="Z26" s="669" t="n"/>
      <c r="AA26" s="669" t="n"/>
    </row>
    <row r="27">
      <c r="A27" s="1103" t="inlineStr">
        <is>
          <t>Fire - Wildfire</t>
        </is>
      </c>
      <c r="B27" s="1103" t="inlineStr">
        <is>
          <t>Ninjutsu</t>
        </is>
      </c>
      <c r="C27" s="1103" t="inlineStr">
        <is>
          <t>B</t>
        </is>
      </c>
      <c r="D27" s="1103" t="inlineStr">
        <is>
          <t>B</t>
        </is>
      </c>
      <c r="E27" s="1075" t="inlineStr">
        <is>
          <t>Primary means of managing chakra to allow Wood - Spring to trigger; Decent source of damage at lv20</t>
        </is>
      </c>
      <c r="F27" s="237" t="n"/>
      <c r="G27" s="237" t="n"/>
      <c r="H27" s="237" t="n"/>
      <c r="I27" s="237" t="n"/>
      <c r="J27" s="237" t="n"/>
      <c r="K27" s="237" t="n"/>
      <c r="L27" s="237" t="n"/>
      <c r="M27" s="238" t="n"/>
      <c r="N27" s="669" t="n"/>
      <c r="O27" s="669" t="n"/>
      <c r="P27" s="669" t="n"/>
      <c r="Q27" s="669" t="n"/>
      <c r="R27" s="669" t="n"/>
      <c r="S27" s="669" t="n"/>
      <c r="T27" s="669" t="n"/>
      <c r="U27" s="669" t="n"/>
      <c r="V27" s="669" t="n"/>
      <c r="W27" s="669" t="n"/>
      <c r="X27" s="669" t="n"/>
      <c r="Y27" s="669" t="n"/>
      <c r="Z27" s="669" t="n"/>
      <c r="AA27" s="669" t="n"/>
    </row>
    <row r="28">
      <c r="A28" s="1103" t="inlineStr">
        <is>
          <t>Ninpo - Shadow Dance</t>
        </is>
      </c>
      <c r="B28" s="1103" t="inlineStr">
        <is>
          <t>Dance</t>
        </is>
      </c>
      <c r="C28" s="1103" t="inlineStr">
        <is>
          <t>S</t>
        </is>
      </c>
      <c r="D28" s="1103" t="inlineStr">
        <is>
          <t>S</t>
        </is>
      </c>
      <c r="E28" s="1075" t="inlineStr">
        <is>
          <t>Core skill to Amakusa dance lineups</t>
        </is>
      </c>
      <c r="F28" s="237" t="n"/>
      <c r="G28" s="237" t="n"/>
      <c r="H28" s="237" t="n"/>
      <c r="I28" s="237" t="n"/>
      <c r="J28" s="237" t="n"/>
      <c r="K28" s="237" t="n"/>
      <c r="L28" s="237" t="n"/>
      <c r="M28" s="238" t="n"/>
      <c r="N28" s="669" t="n"/>
      <c r="O28" s="669" t="n"/>
      <c r="P28" s="669" t="n"/>
      <c r="Q28" s="669" t="n"/>
      <c r="R28" s="669" t="n"/>
      <c r="S28" s="669" t="n"/>
      <c r="T28" s="669" t="n"/>
      <c r="U28" s="669" t="n"/>
      <c r="V28" s="669" t="n"/>
      <c r="W28" s="669" t="n"/>
      <c r="X28" s="669" t="n"/>
      <c r="Y28" s="669" t="n"/>
      <c r="Z28" s="669" t="n"/>
      <c r="AA28" s="669" t="n"/>
    </row>
    <row r="29">
      <c r="A29" s="1103" t="inlineStr">
        <is>
          <t>Fire Attack</t>
        </is>
      </c>
      <c r="B29" s="1103" t="inlineStr">
        <is>
          <t>Siege</t>
        </is>
      </c>
      <c r="C29" s="1103" t="inlineStr">
        <is>
          <t>D</t>
        </is>
      </c>
      <c r="D29" s="1103" t="inlineStr">
        <is>
          <t>D</t>
        </is>
      </c>
      <c r="E29" s="1079" t="inlineStr">
        <is>
          <t>Only benefits Amakusa; Base siege proficiency is too low to last many rounds</t>
        </is>
      </c>
      <c r="F29" s="1093" t="n"/>
      <c r="G29" s="1093" t="n"/>
      <c r="H29" s="1093" t="n"/>
      <c r="I29" s="1093" t="n"/>
      <c r="J29" s="1093" t="n"/>
      <c r="K29" s="1093" t="n"/>
      <c r="L29" s="1093" t="n"/>
      <c r="M29" s="965" t="n"/>
      <c r="N29" s="669" t="n"/>
      <c r="O29" s="669" t="n"/>
      <c r="P29" s="669" t="n"/>
      <c r="Q29" s="669" t="n"/>
      <c r="R29" s="669" t="n"/>
      <c r="S29" s="669" t="n"/>
      <c r="T29" s="669" t="n"/>
      <c r="U29" s="669" t="n"/>
      <c r="V29" s="669" t="n"/>
      <c r="W29" s="669" t="n"/>
      <c r="X29" s="669" t="n"/>
      <c r="Y29" s="669" t="n"/>
      <c r="Z29" s="669" t="n"/>
      <c r="AA29" s="669" t="n"/>
    </row>
    <row r="30">
      <c r="A30" s="1037" t="n"/>
      <c r="B30" s="1066" t="n"/>
      <c r="C30" s="1037" t="n"/>
      <c r="D30" s="1037" t="n"/>
      <c r="E30" s="1037" t="n"/>
      <c r="F30" s="669" t="n"/>
      <c r="G30" s="669" t="n"/>
      <c r="H30" s="669" t="n"/>
      <c r="I30" s="669" t="n"/>
      <c r="J30" s="669" t="n"/>
      <c r="K30" s="669" t="n"/>
      <c r="L30" s="669" t="n"/>
      <c r="M30" s="669" t="n"/>
      <c r="N30" s="669" t="n"/>
      <c r="O30" s="669" t="n"/>
      <c r="P30" s="669" t="n"/>
      <c r="Q30" s="669" t="n"/>
      <c r="R30" s="669" t="n"/>
      <c r="S30" s="669" t="n"/>
      <c r="T30" s="669" t="n"/>
      <c r="U30" s="669" t="n"/>
      <c r="V30" s="669" t="n"/>
      <c r="W30" s="669" t="n"/>
      <c r="X30" s="669" t="n"/>
      <c r="Y30" s="669" t="n"/>
      <c r="Z30" s="669" t="n"/>
      <c r="AA30" s="669" t="n"/>
    </row>
    <row r="31">
      <c r="A31" s="1037" t="n"/>
      <c r="B31" s="1066" t="n"/>
      <c r="C31" s="1037" t="n"/>
      <c r="D31" s="1037" t="n"/>
      <c r="E31" s="1037" t="n"/>
      <c r="F31" s="669" t="n"/>
      <c r="G31" s="669" t="n"/>
      <c r="H31" s="669" t="n"/>
      <c r="I31" s="669" t="n"/>
      <c r="J31" s="669" t="n"/>
      <c r="K31" s="669" t="n"/>
      <c r="L31" s="669" t="n"/>
      <c r="M31" s="669" t="n"/>
      <c r="N31" s="669" t="n"/>
      <c r="O31" s="669" t="n"/>
      <c r="P31" s="669" t="n"/>
      <c r="Q31" s="669" t="n"/>
      <c r="R31" s="669" t="n"/>
      <c r="S31" s="669" t="n"/>
      <c r="T31" s="669" t="n"/>
      <c r="U31" s="669" t="n"/>
      <c r="V31" s="669" t="n"/>
      <c r="W31" s="669" t="n"/>
      <c r="X31" s="669" t="n"/>
      <c r="Y31" s="669" t="n"/>
      <c r="Z31" s="669" t="n"/>
      <c r="AA31" s="669" t="n"/>
    </row>
    <row r="32">
      <c r="A32" s="1037" t="n"/>
      <c r="B32" s="1066" t="n"/>
      <c r="C32" s="1037" t="n"/>
      <c r="D32" s="1037" t="n"/>
      <c r="E32" s="1037" t="n"/>
      <c r="F32" s="669" t="n"/>
      <c r="G32" s="669" t="n"/>
      <c r="H32" s="669" t="n"/>
      <c r="I32" s="669" t="n"/>
      <c r="J32" s="669" t="n"/>
      <c r="K32" s="669" t="n"/>
      <c r="L32" s="669" t="n"/>
      <c r="M32" s="669" t="n"/>
      <c r="N32" s="669" t="n"/>
      <c r="O32" s="669" t="n"/>
      <c r="P32" s="669" t="n"/>
      <c r="Q32" s="669" t="n"/>
      <c r="R32" s="669" t="n"/>
      <c r="S32" s="669" t="n"/>
      <c r="T32" s="669" t="n"/>
      <c r="U32" s="669" t="n"/>
      <c r="V32" s="669" t="n"/>
      <c r="W32" s="669" t="n"/>
      <c r="X32" s="669" t="n"/>
      <c r="Y32" s="669" t="n"/>
      <c r="Z32" s="669" t="n"/>
      <c r="AA32" s="669" t="n"/>
    </row>
    <row r="33">
      <c r="A33" s="1068" t="inlineStr">
        <is>
          <t>Excalibra</t>
        </is>
      </c>
      <c r="B33" s="1069" t="n"/>
      <c r="C33" s="1070" t="inlineStr">
        <is>
          <t>Notes</t>
        </is>
      </c>
      <c r="D33" s="1071" t="n"/>
      <c r="E33" s="1071" t="n"/>
      <c r="F33" s="1072" t="n"/>
      <c r="G33" s="1072" t="n"/>
      <c r="H33" s="1072" t="n"/>
      <c r="I33" s="1072" t="n"/>
      <c r="J33" s="1072" t="n"/>
      <c r="K33" s="1072" t="n"/>
      <c r="L33" s="1072" t="n"/>
      <c r="M33" s="1073" t="n"/>
      <c r="N33" s="669" t="n"/>
      <c r="O33" s="669" t="n"/>
      <c r="P33" s="669" t="n"/>
      <c r="Q33" s="669" t="n"/>
      <c r="R33" s="669" t="n"/>
      <c r="S33" s="669" t="n"/>
      <c r="T33" s="669" t="n"/>
      <c r="U33" s="669" t="n"/>
      <c r="V33" s="669" t="n"/>
      <c r="W33" s="669" t="n"/>
      <c r="X33" s="669" t="n"/>
      <c r="Y33" s="669" t="n"/>
      <c r="Z33" s="669" t="n"/>
      <c r="AA33" s="669" t="n"/>
    </row>
    <row r="34">
      <c r="A34" s="1080" t="inlineStr">
        <is>
          <t>Passive</t>
        </is>
      </c>
      <c r="B34" s="1103" t="inlineStr">
        <is>
          <t>B</t>
        </is>
      </c>
      <c r="C34" s="1075" t="inlineStr">
        <is>
          <t>CRIT; 100% can be achieved without heavy investment</t>
        </is>
      </c>
      <c r="D34" s="373" t="n"/>
      <c r="E34" s="373" t="n"/>
      <c r="F34" s="237" t="n"/>
      <c r="G34" s="237" t="n"/>
      <c r="H34" s="237" t="n"/>
      <c r="I34" s="237" t="n"/>
      <c r="J34" s="237" t="n"/>
      <c r="K34" s="237" t="n"/>
      <c r="L34" s="237" t="n"/>
      <c r="M34" s="238" t="n"/>
      <c r="N34" s="669" t="n"/>
      <c r="O34" s="669" t="n"/>
      <c r="P34" s="669" t="n"/>
      <c r="Q34" s="669" t="n"/>
      <c r="R34" s="669" t="n"/>
      <c r="S34" s="669" t="n"/>
      <c r="T34" s="669" t="n"/>
      <c r="U34" s="669" t="n"/>
      <c r="V34" s="669" t="n"/>
      <c r="W34" s="669" t="n"/>
      <c r="X34" s="669" t="n"/>
      <c r="Y34" s="669" t="n"/>
      <c r="Z34" s="669" t="n"/>
      <c r="AA34" s="669" t="n"/>
    </row>
    <row r="35">
      <c r="A35" s="1080" t="inlineStr">
        <is>
          <t>Dharma</t>
        </is>
      </c>
      <c r="B35" s="1103" t="inlineStr">
        <is>
          <t>D</t>
        </is>
      </c>
      <c r="C35" s="1037" t="inlineStr">
        <is>
          <t>Could potentially see use on single target fights, but unlikely to displace core members</t>
        </is>
      </c>
      <c r="D35" s="1037" t="n"/>
      <c r="E35" s="1037" t="n"/>
      <c r="F35" s="669" t="n"/>
      <c r="G35" s="669" t="n"/>
      <c r="H35" s="669" t="n"/>
      <c r="I35" s="669" t="n"/>
      <c r="J35" s="669" t="n"/>
      <c r="K35" s="669" t="n"/>
      <c r="L35" s="669" t="n"/>
      <c r="M35" s="1095" t="n"/>
      <c r="N35" s="669" t="n"/>
      <c r="O35" s="669" t="n"/>
      <c r="P35" s="669" t="n"/>
      <c r="Q35" s="669" t="n"/>
      <c r="R35" s="669" t="n"/>
      <c r="S35" s="669" t="n"/>
      <c r="T35" s="669" t="n"/>
      <c r="U35" s="669" t="n"/>
      <c r="V35" s="669" t="n"/>
      <c r="W35" s="669" t="n"/>
      <c r="X35" s="669" t="n"/>
      <c r="Y35" s="669" t="n"/>
      <c r="Z35" s="669" t="n"/>
      <c r="AA35" s="669" t="n"/>
    </row>
    <row r="36">
      <c r="A36" s="1080" t="inlineStr">
        <is>
          <t>Dance</t>
        </is>
      </c>
      <c r="B36" s="1103" t="inlineStr">
        <is>
          <t>S</t>
        </is>
      </c>
      <c r="C36" s="1075" t="inlineStr">
        <is>
          <t>Core unit to all dance compositions; Relatively low level requirements (37) in Amakusa composition</t>
        </is>
      </c>
      <c r="D36" s="373" t="n"/>
      <c r="E36" s="373" t="n"/>
      <c r="F36" s="237" t="n"/>
      <c r="G36" s="237" t="n"/>
      <c r="H36" s="237" t="n"/>
      <c r="I36" s="237" t="n"/>
      <c r="J36" s="237" t="n"/>
      <c r="K36" s="237" t="n"/>
      <c r="L36" s="237" t="n"/>
      <c r="M36" s="238" t="n"/>
      <c r="N36" s="669" t="n"/>
      <c r="O36" s="669" t="n"/>
      <c r="P36" s="669" t="n"/>
      <c r="Q36" s="669" t="n"/>
      <c r="R36" s="669" t="n"/>
      <c r="S36" s="669" t="n"/>
      <c r="T36" s="669" t="n"/>
      <c r="U36" s="669" t="n"/>
      <c r="V36" s="669" t="n"/>
      <c r="W36" s="669" t="n"/>
      <c r="X36" s="669" t="n"/>
      <c r="Y36" s="669" t="n"/>
      <c r="Z36" s="669" t="n"/>
      <c r="AA36" s="669" t="n"/>
    </row>
    <row r="37">
      <c r="A37" s="1080" t="inlineStr">
        <is>
          <t>Growth Speed</t>
        </is>
      </c>
      <c r="B37" s="1103" t="inlineStr">
        <is>
          <t>High</t>
        </is>
      </c>
      <c r="C37" s="1037" t="n"/>
      <c r="D37" s="1037" t="n"/>
      <c r="E37" s="1037" t="n"/>
      <c r="F37" s="669" t="n"/>
      <c r="G37" s="669" t="n"/>
      <c r="H37" s="669" t="n"/>
      <c r="I37" s="669" t="n"/>
      <c r="J37" s="669" t="n"/>
      <c r="K37" s="669" t="n"/>
      <c r="L37" s="669" t="n"/>
      <c r="M37" s="1095" t="n"/>
      <c r="N37" s="669" t="n"/>
      <c r="O37" s="669" t="n"/>
      <c r="P37" s="669" t="n"/>
      <c r="Q37" s="669" t="n"/>
      <c r="R37" s="669" t="n"/>
      <c r="S37" s="669" t="n"/>
      <c r="T37" s="669" t="n"/>
      <c r="U37" s="669" t="n"/>
      <c r="V37" s="669" t="n"/>
      <c r="W37" s="669" t="n"/>
      <c r="X37" s="669" t="n"/>
      <c r="Y37" s="669" t="n"/>
      <c r="Z37" s="669" t="n"/>
      <c r="AA37" s="669" t="n"/>
    </row>
    <row r="38">
      <c r="A38" s="1080" t="inlineStr">
        <is>
          <t>Leveling Priority</t>
        </is>
      </c>
      <c r="B38" s="1103" t="inlineStr">
        <is>
          <t>C</t>
        </is>
      </c>
      <c r="C38" s="1075" t="inlineStr">
        <is>
          <t>Competes with Momochi for Yamato materials; Only core in one anecdote type and does not require full level investment</t>
        </is>
      </c>
      <c r="D38" s="373" t="n"/>
      <c r="E38" s="373" t="n"/>
      <c r="F38" s="237" t="n"/>
      <c r="G38" s="237" t="n"/>
      <c r="H38" s="237" t="n"/>
      <c r="I38" s="237" t="n"/>
      <c r="J38" s="237" t="n"/>
      <c r="K38" s="237" t="n"/>
      <c r="L38" s="237" t="n"/>
      <c r="M38" s="238" t="n"/>
      <c r="N38" s="669" t="n"/>
      <c r="O38" s="669" t="n"/>
      <c r="P38" s="669" t="n"/>
      <c r="Q38" s="669" t="n"/>
      <c r="R38" s="669" t="n"/>
      <c r="S38" s="669" t="n"/>
      <c r="T38" s="669" t="n"/>
      <c r="U38" s="669" t="n"/>
      <c r="V38" s="669" t="n"/>
      <c r="W38" s="669" t="n"/>
      <c r="X38" s="669" t="n"/>
      <c r="Y38" s="669" t="n"/>
      <c r="Z38" s="669" t="n"/>
      <c r="AA38" s="669" t="n"/>
    </row>
    <row r="39">
      <c r="A39" s="1064" t="n"/>
      <c r="B39" s="1066" t="n"/>
      <c r="C39" s="1037" t="n"/>
      <c r="D39" s="1037" t="n"/>
      <c r="E39" s="1037" t="n"/>
      <c r="F39" s="669" t="n"/>
      <c r="G39" s="669" t="n"/>
      <c r="H39" s="669" t="n"/>
      <c r="I39" s="669" t="n"/>
      <c r="J39" s="669" t="n"/>
      <c r="K39" s="669" t="n"/>
      <c r="L39" s="669" t="n"/>
      <c r="M39" s="1095" t="n"/>
      <c r="N39" s="669" t="n"/>
      <c r="O39" s="669" t="n"/>
      <c r="P39" s="669" t="n"/>
      <c r="Q39" s="669" t="n"/>
      <c r="R39" s="669" t="n"/>
      <c r="S39" s="669" t="n"/>
      <c r="T39" s="669" t="n"/>
      <c r="U39" s="669" t="n"/>
      <c r="V39" s="669" t="n"/>
      <c r="W39" s="669" t="n"/>
      <c r="X39" s="669" t="n"/>
      <c r="Y39" s="669" t="n"/>
      <c r="Z39" s="669" t="n"/>
      <c r="AA39" s="669" t="n"/>
    </row>
    <row r="40">
      <c r="A40" s="1080" t="inlineStr">
        <is>
          <t>Name</t>
        </is>
      </c>
      <c r="B40" s="1080" t="inlineStr">
        <is>
          <t>Type</t>
        </is>
      </c>
      <c r="C40" s="1080" t="inlineStr">
        <is>
          <t>Lv10 Priority</t>
        </is>
      </c>
      <c r="D40" s="1080" t="inlineStr">
        <is>
          <t>Lv20 Priority</t>
        </is>
      </c>
      <c r="E40" s="1076" t="inlineStr">
        <is>
          <t>Notes</t>
        </is>
      </c>
      <c r="F40" s="1077" t="n"/>
      <c r="G40" s="1077" t="n"/>
      <c r="H40" s="1077" t="n"/>
      <c r="I40" s="1077" t="n"/>
      <c r="J40" s="1077" t="n"/>
      <c r="K40" s="1077" t="n"/>
      <c r="L40" s="1077" t="n"/>
      <c r="M40" s="1078" t="n"/>
      <c r="N40" s="669" t="n"/>
      <c r="O40" s="669" t="n"/>
      <c r="P40" s="669" t="n"/>
      <c r="Q40" s="669" t="n"/>
      <c r="R40" s="669" t="n"/>
      <c r="S40" s="669" t="n"/>
      <c r="T40" s="669" t="n"/>
      <c r="U40" s="669" t="n"/>
      <c r="V40" s="669" t="n"/>
      <c r="W40" s="669" t="n"/>
      <c r="X40" s="669" t="n"/>
      <c r="Y40" s="669" t="n"/>
      <c r="Z40" s="669" t="n"/>
      <c r="AA40" s="669" t="n"/>
    </row>
    <row r="41">
      <c r="A41" s="1103" t="inlineStr">
        <is>
          <t>Ghost Dancer</t>
        </is>
      </c>
      <c r="B41" s="1103" t="inlineStr">
        <is>
          <t>Dance</t>
        </is>
      </c>
      <c r="C41" s="1103" t="inlineStr">
        <is>
          <t>A</t>
        </is>
      </c>
      <c r="D41" s="1103" t="inlineStr">
        <is>
          <t>A</t>
        </is>
      </c>
      <c r="E41" s="1075" t="inlineStr">
        <is>
          <t>Reduces level investment required to hit score milestones</t>
        </is>
      </c>
      <c r="F41" s="237" t="n"/>
      <c r="G41" s="237" t="n"/>
      <c r="H41" s="237" t="n"/>
      <c r="I41" s="237" t="n"/>
      <c r="J41" s="237" t="n"/>
      <c r="K41" s="237" t="n"/>
      <c r="L41" s="237" t="n"/>
      <c r="M41" s="238" t="n"/>
      <c r="N41" s="669" t="n"/>
      <c r="O41" s="669" t="n"/>
      <c r="P41" s="669" t="n"/>
      <c r="Q41" s="669" t="n"/>
      <c r="R41" s="669" t="n"/>
      <c r="S41" s="669" t="n"/>
      <c r="T41" s="669" t="n"/>
      <c r="U41" s="669" t="n"/>
      <c r="V41" s="669" t="n"/>
      <c r="W41" s="669" t="n"/>
      <c r="X41" s="669" t="n"/>
      <c r="Y41" s="669" t="n"/>
      <c r="Z41" s="669" t="n"/>
      <c r="AA41" s="669" t="n"/>
    </row>
    <row r="42">
      <c r="A42" s="1103" t="inlineStr">
        <is>
          <t>Sword Dance</t>
        </is>
      </c>
      <c r="B42" s="1103" t="inlineStr">
        <is>
          <t>Dance</t>
        </is>
      </c>
      <c r="C42" s="1103" t="inlineStr">
        <is>
          <t>A</t>
        </is>
      </c>
      <c r="D42" s="1103" t="inlineStr">
        <is>
          <t>A</t>
        </is>
      </c>
      <c r="E42" s="1037" t="inlineStr">
        <is>
          <t>Reduces level investment required to hit score milestones</t>
        </is>
      </c>
      <c r="F42" s="669" t="n"/>
      <c r="G42" s="669" t="n"/>
      <c r="H42" s="669" t="n"/>
      <c r="I42" s="669" t="n"/>
      <c r="J42" s="669" t="n"/>
      <c r="K42" s="669" t="n"/>
      <c r="L42" s="669" t="n"/>
      <c r="M42" s="1095" t="n"/>
      <c r="N42" s="669" t="n"/>
      <c r="O42" s="669" t="n"/>
      <c r="P42" s="669" t="n"/>
      <c r="Q42" s="669" t="n"/>
      <c r="R42" s="669" t="n"/>
      <c r="S42" s="669" t="n"/>
      <c r="T42" s="669" t="n"/>
      <c r="U42" s="669" t="n"/>
      <c r="V42" s="669" t="n"/>
      <c r="W42" s="669" t="n"/>
      <c r="X42" s="669" t="n"/>
      <c r="Y42" s="669" t="n"/>
      <c r="Z42" s="669" t="n"/>
      <c r="AA42" s="669" t="n"/>
    </row>
    <row r="43">
      <c r="A43" s="1103" t="inlineStr">
        <is>
          <t>Blade Dance</t>
        </is>
      </c>
      <c r="B43" s="1103" t="inlineStr">
        <is>
          <t>Dance</t>
        </is>
      </c>
      <c r="C43" s="1103" t="inlineStr">
        <is>
          <t>S</t>
        </is>
      </c>
      <c r="D43" s="1103" t="inlineStr">
        <is>
          <t>S</t>
        </is>
      </c>
      <c r="E43" s="1075" t="inlineStr">
        <is>
          <t>Required to allow Amakusa to hit score milestones</t>
        </is>
      </c>
      <c r="F43" s="237" t="n"/>
      <c r="G43" s="237" t="n"/>
      <c r="H43" s="237" t="n"/>
      <c r="I43" s="237" t="n"/>
      <c r="J43" s="237" t="n"/>
      <c r="K43" s="237" t="n"/>
      <c r="L43" s="237" t="n"/>
      <c r="M43" s="238" t="n"/>
      <c r="N43" s="669" t="n"/>
      <c r="O43" s="669" t="n"/>
      <c r="P43" s="669" t="n"/>
      <c r="Q43" s="669" t="n"/>
      <c r="R43" s="669" t="n"/>
      <c r="S43" s="669" t="n"/>
      <c r="T43" s="669" t="n"/>
      <c r="U43" s="669" t="n"/>
      <c r="V43" s="669" t="n"/>
      <c r="W43" s="669" t="n"/>
      <c r="X43" s="669" t="n"/>
      <c r="Y43" s="669" t="n"/>
      <c r="Z43" s="669" t="n"/>
      <c r="AA43" s="669" t="n"/>
    </row>
    <row r="44">
      <c r="A44" s="1103" t="inlineStr">
        <is>
          <t>Shadow Slash</t>
        </is>
      </c>
      <c r="B44" s="1103" t="inlineStr">
        <is>
          <t>Dharma</t>
        </is>
      </c>
      <c r="C44" s="1103" t="inlineStr">
        <is>
          <t>D</t>
        </is>
      </c>
      <c r="D44" s="1103" t="inlineStr">
        <is>
          <t>D</t>
        </is>
      </c>
      <c r="E44" s="1075" t="inlineStr">
        <is>
          <t>Could potentially deal decent damage buffed by Abe / Naga</t>
        </is>
      </c>
      <c r="F44" s="237" t="n"/>
      <c r="G44" s="237" t="n"/>
      <c r="H44" s="237" t="n"/>
      <c r="I44" s="237" t="n"/>
      <c r="J44" s="237" t="n"/>
      <c r="K44" s="237" t="n"/>
      <c r="L44" s="237" t="n"/>
      <c r="M44" s="238" t="n"/>
      <c r="N44" s="669" t="n"/>
      <c r="O44" s="669" t="n"/>
      <c r="P44" s="669" t="n"/>
      <c r="Q44" s="669" t="n"/>
      <c r="R44" s="669" t="n"/>
      <c r="S44" s="669" t="n"/>
      <c r="T44" s="669" t="n"/>
      <c r="U44" s="669" t="n"/>
      <c r="V44" s="669" t="n"/>
      <c r="W44" s="669" t="n"/>
      <c r="X44" s="669" t="n"/>
      <c r="Y44" s="669" t="n"/>
      <c r="Z44" s="669" t="n"/>
      <c r="AA44" s="669" t="n"/>
    </row>
    <row r="45">
      <c r="A45" s="1103" t="inlineStr">
        <is>
          <t>Gale</t>
        </is>
      </c>
      <c r="B45" s="1103" t="inlineStr">
        <is>
          <t>Ninjutsu</t>
        </is>
      </c>
      <c r="C45" s="1103" t="inlineStr">
        <is>
          <t>C</t>
        </is>
      </c>
      <c r="D45" s="1103" t="inlineStr">
        <is>
          <t>C</t>
        </is>
      </c>
      <c r="E45" s="1079" t="inlineStr">
        <is>
          <t>Best wind advantaged skill; Held back by low ninjutsu talent and high chakra cost</t>
        </is>
      </c>
      <c r="F45" s="1093" t="n"/>
      <c r="G45" s="1093" t="n"/>
      <c r="H45" s="1093" t="n"/>
      <c r="I45" s="1093" t="n"/>
      <c r="J45" s="1093" t="n"/>
      <c r="K45" s="1093" t="n"/>
      <c r="L45" s="1093" t="n"/>
      <c r="M45" s="965" t="n"/>
      <c r="N45" s="669" t="n"/>
      <c r="O45" s="669" t="n"/>
      <c r="P45" s="669" t="n"/>
      <c r="Q45" s="669" t="n"/>
      <c r="R45" s="669" t="n"/>
      <c r="S45" s="669" t="n"/>
      <c r="T45" s="669" t="n"/>
      <c r="U45" s="669" t="n"/>
      <c r="V45" s="669" t="n"/>
      <c r="W45" s="669" t="n"/>
      <c r="X45" s="669" t="n"/>
      <c r="Y45" s="669" t="n"/>
      <c r="Z45" s="669" t="n"/>
      <c r="AA45" s="669" t="n"/>
    </row>
    <row r="46">
      <c r="A46" s="1037" t="n"/>
      <c r="B46" s="1066" t="n"/>
      <c r="C46" s="1037" t="n"/>
      <c r="D46" s="1037" t="n"/>
      <c r="E46" s="1037" t="n"/>
      <c r="F46" s="669" t="n"/>
      <c r="G46" s="669" t="n"/>
      <c r="H46" s="669" t="n"/>
      <c r="I46" s="669" t="n"/>
      <c r="J46" s="669" t="n"/>
      <c r="K46" s="669" t="n"/>
      <c r="L46" s="669" t="n"/>
      <c r="M46" s="669" t="n"/>
      <c r="N46" s="669" t="n"/>
      <c r="O46" s="669" t="n"/>
      <c r="P46" s="669" t="n"/>
      <c r="Q46" s="669" t="n"/>
      <c r="R46" s="669" t="n"/>
      <c r="S46" s="669" t="n"/>
      <c r="T46" s="669" t="n"/>
      <c r="U46" s="669" t="n"/>
      <c r="V46" s="669" t="n"/>
      <c r="W46" s="669" t="n"/>
      <c r="X46" s="669" t="n"/>
      <c r="Y46" s="669" t="n"/>
      <c r="Z46" s="669" t="n"/>
      <c r="AA46" s="669" t="n"/>
    </row>
    <row r="47">
      <c r="A47" s="1037" t="n"/>
      <c r="B47" s="1066" t="n"/>
      <c r="C47" s="1037" t="n"/>
      <c r="D47" s="1037" t="n"/>
      <c r="E47" s="1037" t="n"/>
      <c r="F47" s="669" t="n"/>
      <c r="G47" s="669" t="n"/>
      <c r="H47" s="669" t="n"/>
      <c r="I47" s="669" t="n"/>
      <c r="J47" s="669" t="n"/>
      <c r="K47" s="669" t="n"/>
      <c r="L47" s="669" t="n"/>
      <c r="M47" s="669" t="n"/>
      <c r="N47" s="669" t="n"/>
      <c r="O47" s="669" t="n"/>
      <c r="P47" s="669" t="n"/>
      <c r="Q47" s="669" t="n"/>
      <c r="R47" s="669" t="n"/>
      <c r="S47" s="669" t="n"/>
      <c r="T47" s="669" t="n"/>
      <c r="U47" s="669" t="n"/>
      <c r="V47" s="669" t="n"/>
      <c r="W47" s="669" t="n"/>
      <c r="X47" s="669" t="n"/>
      <c r="Y47" s="669" t="n"/>
      <c r="Z47" s="669" t="n"/>
      <c r="AA47" s="669" t="n"/>
    </row>
    <row r="48">
      <c r="A48" s="1037" t="n"/>
      <c r="B48" s="1066" t="n"/>
      <c r="C48" s="1037" t="n"/>
      <c r="D48" s="1037" t="n"/>
      <c r="E48" s="1037" t="n"/>
      <c r="F48" s="669" t="n"/>
      <c r="G48" s="669" t="n"/>
      <c r="H48" s="669" t="n"/>
      <c r="I48" s="669" t="n"/>
      <c r="J48" s="669" t="n"/>
      <c r="K48" s="669" t="n"/>
      <c r="L48" s="669" t="n"/>
      <c r="M48" s="669" t="n"/>
      <c r="N48" s="669" t="n"/>
      <c r="O48" s="669" t="n"/>
      <c r="P48" s="669" t="n"/>
      <c r="Q48" s="669" t="n"/>
      <c r="R48" s="669" t="n"/>
      <c r="S48" s="669" t="n"/>
      <c r="T48" s="669" t="n"/>
      <c r="U48" s="669" t="n"/>
      <c r="V48" s="669" t="n"/>
      <c r="W48" s="669" t="n"/>
      <c r="X48" s="669" t="n"/>
      <c r="Y48" s="669" t="n"/>
      <c r="Z48" s="669" t="n"/>
      <c r="AA48" s="669" t="n"/>
    </row>
    <row r="49">
      <c r="A49" s="1068" t="inlineStr">
        <is>
          <t>Night Kitty</t>
        </is>
      </c>
      <c r="B49" s="1069" t="n"/>
      <c r="C49" s="1070" t="inlineStr">
        <is>
          <t>Notes</t>
        </is>
      </c>
      <c r="D49" s="1071" t="n"/>
      <c r="E49" s="1071" t="n"/>
      <c r="F49" s="1072" t="n"/>
      <c r="G49" s="1072" t="n"/>
      <c r="H49" s="1072" t="n"/>
      <c r="I49" s="1072" t="n"/>
      <c r="J49" s="1072" t="n"/>
      <c r="K49" s="1072" t="n"/>
      <c r="L49" s="1072" t="n"/>
      <c r="M49" s="1073" t="n"/>
      <c r="N49" s="669" t="n"/>
      <c r="O49" s="669" t="n"/>
      <c r="P49" s="669" t="n"/>
      <c r="Q49" s="669" t="n"/>
      <c r="R49" s="669" t="n"/>
      <c r="S49" s="669" t="n"/>
      <c r="T49" s="669" t="n"/>
      <c r="U49" s="669" t="n"/>
      <c r="V49" s="669" t="n"/>
      <c r="W49" s="669" t="n"/>
      <c r="X49" s="669" t="n"/>
      <c r="Y49" s="669" t="n"/>
      <c r="Z49" s="669" t="n"/>
      <c r="AA49" s="669" t="n"/>
    </row>
    <row r="50">
      <c r="A50" s="1080" t="inlineStr">
        <is>
          <t>Passive</t>
        </is>
      </c>
      <c r="B50" s="1103" t="inlineStr">
        <is>
          <t>A</t>
        </is>
      </c>
      <c r="C50" s="1075" t="inlineStr">
        <is>
          <t>Btads</t>
        </is>
      </c>
      <c r="D50" s="373" t="n"/>
      <c r="E50" s="373" t="n"/>
      <c r="F50" s="237" t="n"/>
      <c r="G50" s="237" t="n"/>
      <c r="H50" s="237" t="n"/>
      <c r="I50" s="237" t="n"/>
      <c r="J50" s="237" t="n"/>
      <c r="K50" s="237" t="n"/>
      <c r="L50" s="237" t="n"/>
      <c r="M50" s="238" t="n"/>
      <c r="N50" s="669" t="n"/>
      <c r="O50" s="669" t="n"/>
      <c r="P50" s="669" t="n"/>
      <c r="Q50" s="669" t="n"/>
      <c r="R50" s="669" t="n"/>
      <c r="S50" s="669" t="n"/>
      <c r="T50" s="669" t="n"/>
      <c r="U50" s="669" t="n"/>
      <c r="V50" s="669" t="n"/>
      <c r="W50" s="669" t="n"/>
      <c r="X50" s="669" t="n"/>
      <c r="Y50" s="669" t="n"/>
      <c r="Z50" s="669" t="n"/>
      <c r="AA50" s="669" t="n"/>
    </row>
    <row r="51">
      <c r="A51" s="1080" t="inlineStr">
        <is>
          <t>Riding</t>
        </is>
      </c>
      <c r="B51" s="1103" t="inlineStr">
        <is>
          <t>A</t>
        </is>
      </c>
      <c r="C51" s="1037" t="inlineStr">
        <is>
          <t>Best 3rd slot</t>
        </is>
      </c>
      <c r="D51" s="1037" t="n"/>
      <c r="E51" s="1037" t="n"/>
      <c r="F51" s="669" t="n"/>
      <c r="G51" s="669" t="n"/>
      <c r="H51" s="669" t="n"/>
      <c r="I51" s="669" t="n"/>
      <c r="J51" s="669" t="n"/>
      <c r="K51" s="669" t="n"/>
      <c r="L51" s="669" t="n"/>
      <c r="M51" s="1095" t="n"/>
      <c r="N51" s="669" t="n"/>
      <c r="O51" s="669" t="n"/>
      <c r="P51" s="669" t="n"/>
      <c r="Q51" s="669" t="n"/>
      <c r="R51" s="669" t="n"/>
      <c r="S51" s="669" t="n"/>
      <c r="T51" s="669" t="n"/>
      <c r="U51" s="669" t="n"/>
      <c r="V51" s="669" t="n"/>
      <c r="W51" s="669" t="n"/>
      <c r="X51" s="669" t="n"/>
      <c r="Y51" s="669" t="n"/>
      <c r="Z51" s="669" t="n"/>
      <c r="AA51" s="669" t="n"/>
    </row>
    <row r="52">
      <c r="A52" s="1080" t="inlineStr">
        <is>
          <t>Ninjutsu</t>
        </is>
      </c>
      <c r="B52" s="1103" t="inlineStr">
        <is>
          <t>B</t>
        </is>
      </c>
      <c r="C52" s="1075" t="inlineStr">
        <is>
          <t>Competes for 3rd flex slot; Optimal composition does not benefit much from her skills</t>
        </is>
      </c>
      <c r="D52" s="373" t="n"/>
      <c r="E52" s="373" t="n"/>
      <c r="F52" s="237" t="n"/>
      <c r="G52" s="237" t="n"/>
      <c r="H52" s="237" t="n"/>
      <c r="I52" s="237" t="n"/>
      <c r="J52" s="237" t="n"/>
      <c r="K52" s="237" t="n"/>
      <c r="L52" s="237" t="n"/>
      <c r="M52" s="238" t="n"/>
      <c r="N52" s="669" t="n"/>
      <c r="O52" s="669" t="n"/>
      <c r="P52" s="669" t="n"/>
      <c r="Q52" s="669" t="n"/>
      <c r="R52" s="669" t="n"/>
      <c r="S52" s="669" t="n"/>
      <c r="T52" s="669" t="n"/>
      <c r="U52" s="669" t="n"/>
      <c r="V52" s="669" t="n"/>
      <c r="W52" s="669" t="n"/>
      <c r="X52" s="669" t="n"/>
      <c r="Y52" s="669" t="n"/>
      <c r="Z52" s="669" t="n"/>
      <c r="AA52" s="669" t="n"/>
    </row>
    <row r="53">
      <c r="A53" s="1080" t="inlineStr">
        <is>
          <t>Growth Speed</t>
        </is>
      </c>
      <c r="B53" s="1103" t="inlineStr">
        <is>
          <t>Medium</t>
        </is>
      </c>
      <c r="C53" s="1037" t="n"/>
      <c r="D53" s="1037" t="n"/>
      <c r="E53" s="1037" t="n"/>
      <c r="F53" s="669" t="n"/>
      <c r="G53" s="669" t="n"/>
      <c r="H53" s="669" t="n"/>
      <c r="I53" s="669" t="n"/>
      <c r="J53" s="669" t="n"/>
      <c r="K53" s="669" t="n"/>
      <c r="L53" s="669" t="n"/>
      <c r="M53" s="1095" t="n"/>
      <c r="N53" s="669" t="n"/>
      <c r="O53" s="669" t="n"/>
      <c r="P53" s="669" t="n"/>
      <c r="Q53" s="669" t="n"/>
      <c r="R53" s="669" t="n"/>
      <c r="S53" s="669" t="n"/>
      <c r="T53" s="669" t="n"/>
      <c r="U53" s="669" t="n"/>
      <c r="V53" s="669" t="n"/>
      <c r="W53" s="669" t="n"/>
      <c r="X53" s="669" t="n"/>
      <c r="Y53" s="669" t="n"/>
      <c r="Z53" s="669" t="n"/>
      <c r="AA53" s="669" t="n"/>
    </row>
    <row r="54">
      <c r="A54" s="1080" t="inlineStr">
        <is>
          <t>Leveling Priority</t>
        </is>
      </c>
      <c r="B54" s="1103" t="inlineStr">
        <is>
          <t>A</t>
        </is>
      </c>
      <c r="C54" s="1075" t="inlineStr">
        <is>
          <t>Competes with Abe for Murika materials; 3rd best drifter for riding; Farming passive</t>
        </is>
      </c>
      <c r="D54" s="373" t="n"/>
      <c r="E54" s="373" t="n"/>
      <c r="F54" s="237" t="n"/>
      <c r="G54" s="237" t="n"/>
      <c r="H54" s="237" t="n"/>
      <c r="I54" s="237" t="n"/>
      <c r="J54" s="237" t="n"/>
      <c r="K54" s="237" t="n"/>
      <c r="L54" s="237" t="n"/>
      <c r="M54" s="238" t="n"/>
      <c r="N54" s="669" t="n"/>
      <c r="O54" s="669" t="n"/>
      <c r="P54" s="669" t="n"/>
      <c r="Q54" s="669" t="n"/>
      <c r="R54" s="669" t="n"/>
      <c r="S54" s="669" t="n"/>
      <c r="T54" s="669" t="n"/>
      <c r="U54" s="669" t="n"/>
      <c r="V54" s="669" t="n"/>
      <c r="W54" s="669" t="n"/>
      <c r="X54" s="669" t="n"/>
      <c r="Y54" s="669" t="n"/>
      <c r="Z54" s="669" t="n"/>
      <c r="AA54" s="669" t="n"/>
    </row>
    <row r="55">
      <c r="A55" s="1064" t="n"/>
      <c r="B55" s="1066" t="n"/>
      <c r="C55" s="1037" t="n"/>
      <c r="D55" s="1037" t="n"/>
      <c r="E55" s="1037" t="n"/>
      <c r="F55" s="669" t="n"/>
      <c r="G55" s="669" t="n"/>
      <c r="H55" s="669" t="n"/>
      <c r="I55" s="669" t="n"/>
      <c r="J55" s="669" t="n"/>
      <c r="K55" s="669" t="n"/>
      <c r="L55" s="669" t="n"/>
      <c r="M55" s="1095" t="n"/>
      <c r="N55" s="669" t="n"/>
      <c r="O55" s="669" t="n"/>
      <c r="P55" s="669" t="n"/>
      <c r="Q55" s="669" t="n"/>
      <c r="R55" s="669" t="n"/>
      <c r="S55" s="669" t="n"/>
      <c r="T55" s="669" t="n"/>
      <c r="U55" s="669" t="n"/>
      <c r="V55" s="669" t="n"/>
      <c r="W55" s="669" t="n"/>
      <c r="X55" s="669" t="n"/>
      <c r="Y55" s="669" t="n"/>
      <c r="Z55" s="669" t="n"/>
      <c r="AA55" s="669" t="n"/>
    </row>
    <row r="56">
      <c r="A56" s="1080" t="inlineStr">
        <is>
          <t>Name</t>
        </is>
      </c>
      <c r="B56" s="1080" t="inlineStr">
        <is>
          <t>Type</t>
        </is>
      </c>
      <c r="C56" s="1080" t="inlineStr">
        <is>
          <t>Lv10 Priority</t>
        </is>
      </c>
      <c r="D56" s="1080" t="inlineStr">
        <is>
          <t>Lv20 Priority</t>
        </is>
      </c>
      <c r="E56" s="1076" t="inlineStr">
        <is>
          <t>Notes</t>
        </is>
      </c>
      <c r="F56" s="1077" t="n"/>
      <c r="G56" s="1077" t="n"/>
      <c r="H56" s="1077" t="n"/>
      <c r="I56" s="1077" t="n"/>
      <c r="J56" s="1077" t="n"/>
      <c r="K56" s="1077" t="n"/>
      <c r="L56" s="1077" t="n"/>
      <c r="M56" s="1078" t="n"/>
      <c r="N56" s="669" t="n"/>
      <c r="O56" s="669" t="n"/>
      <c r="P56" s="669" t="n"/>
      <c r="Q56" s="669" t="n"/>
      <c r="R56" s="669" t="n"/>
      <c r="S56" s="669" t="n"/>
      <c r="T56" s="669" t="n"/>
      <c r="U56" s="669" t="n"/>
      <c r="V56" s="669" t="n"/>
      <c r="W56" s="669" t="n"/>
      <c r="X56" s="669" t="n"/>
      <c r="Y56" s="669" t="n"/>
      <c r="Z56" s="669" t="n"/>
      <c r="AA56" s="669" t="n"/>
    </row>
    <row r="57">
      <c r="A57" s="1103" t="inlineStr">
        <is>
          <t>Shadow Trace</t>
        </is>
      </c>
      <c r="B57" s="1103" t="inlineStr">
        <is>
          <t>Riding</t>
        </is>
      </c>
      <c r="C57" s="1103" t="inlineStr">
        <is>
          <t>B</t>
        </is>
      </c>
      <c r="D57" s="1103" t="inlineStr">
        <is>
          <t>B</t>
        </is>
      </c>
      <c r="E57" s="1075" t="inlineStr">
        <is>
          <t>SPD bonus is a final multiplier on her speed</t>
        </is>
      </c>
      <c r="F57" s="237" t="n"/>
      <c r="G57" s="237" t="n"/>
      <c r="H57" s="237" t="n"/>
      <c r="I57" s="237" t="n"/>
      <c r="J57" s="237" t="n"/>
      <c r="K57" s="237" t="n"/>
      <c r="L57" s="237" t="n"/>
      <c r="M57" s="238" t="n"/>
      <c r="N57" s="669" t="n"/>
      <c r="O57" s="669" t="n"/>
      <c r="P57" s="669" t="n"/>
      <c r="Q57" s="669" t="n"/>
      <c r="R57" s="669" t="n"/>
      <c r="S57" s="669" t="n"/>
      <c r="T57" s="669" t="n"/>
      <c r="U57" s="669" t="n"/>
      <c r="V57" s="669" t="n"/>
      <c r="W57" s="669" t="n"/>
      <c r="X57" s="669" t="n"/>
      <c r="Y57" s="669" t="n"/>
      <c r="Z57" s="669" t="n"/>
      <c r="AA57" s="669" t="n"/>
    </row>
    <row r="58">
      <c r="A58" s="1103" t="inlineStr">
        <is>
          <t>Entranch Tactic</t>
        </is>
      </c>
      <c r="B58" s="1103" t="inlineStr">
        <is>
          <t>Siege</t>
        </is>
      </c>
      <c r="C58" s="1103" t="inlineStr">
        <is>
          <t>B</t>
        </is>
      </c>
      <c r="D58" s="1103" t="inlineStr">
        <is>
          <t>B</t>
        </is>
      </c>
      <c r="E58" s="1037" t="inlineStr">
        <is>
          <t>Affects all drifters</t>
        </is>
      </c>
      <c r="F58" s="669" t="n"/>
      <c r="G58" s="669" t="n"/>
      <c r="H58" s="669" t="n"/>
      <c r="I58" s="669" t="n"/>
      <c r="J58" s="669" t="n"/>
      <c r="K58" s="669" t="n"/>
      <c r="L58" s="669" t="n"/>
      <c r="M58" s="1095" t="n"/>
      <c r="N58" s="669" t="n"/>
      <c r="O58" s="669" t="n"/>
      <c r="P58" s="669" t="n"/>
      <c r="Q58" s="669" t="n"/>
      <c r="R58" s="669" t="n"/>
      <c r="S58" s="669" t="n"/>
      <c r="T58" s="669" t="n"/>
      <c r="U58" s="669" t="n"/>
      <c r="V58" s="669" t="n"/>
      <c r="W58" s="669" t="n"/>
      <c r="X58" s="669" t="n"/>
      <c r="Y58" s="669" t="n"/>
      <c r="Z58" s="669" t="n"/>
      <c r="AA58" s="669" t="n"/>
    </row>
    <row r="59">
      <c r="A59" s="1103" t="inlineStr">
        <is>
          <t>Side Kick</t>
        </is>
      </c>
      <c r="B59" s="1103" t="inlineStr">
        <is>
          <t>Riding</t>
        </is>
      </c>
      <c r="C59" s="1103" t="inlineStr">
        <is>
          <t>C</t>
        </is>
      </c>
      <c r="D59" s="1103" t="inlineStr">
        <is>
          <t>D/C</t>
        </is>
      </c>
      <c r="E59" s="1075" t="inlineStr">
        <is>
          <t>Difficult activation conditions depending on team/enemy speeds; Potent if it does activate; Nearly impossible to meaningfully use on later anecdotes</t>
        </is>
      </c>
      <c r="F59" s="237" t="n"/>
      <c r="G59" s="237" t="n"/>
      <c r="H59" s="237" t="n"/>
      <c r="I59" s="237" t="n"/>
      <c r="J59" s="237" t="n"/>
      <c r="K59" s="237" t="n"/>
      <c r="L59" s="237" t="n"/>
      <c r="M59" s="238" t="n"/>
      <c r="N59" s="669" t="n"/>
      <c r="O59" s="669" t="n"/>
      <c r="P59" s="669" t="n"/>
      <c r="Q59" s="669" t="n"/>
      <c r="R59" s="669" t="n"/>
      <c r="S59" s="669" t="n"/>
      <c r="T59" s="669" t="n"/>
      <c r="U59" s="669" t="n"/>
      <c r="V59" s="669" t="n"/>
      <c r="W59" s="669" t="n"/>
      <c r="X59" s="669" t="n"/>
      <c r="Y59" s="669" t="n"/>
      <c r="Z59" s="669" t="n"/>
      <c r="AA59" s="669" t="n"/>
    </row>
    <row r="60">
      <c r="A60" s="1103" t="inlineStr">
        <is>
          <t>Ground Raid</t>
        </is>
      </c>
      <c r="B60" s="1103" t="inlineStr">
        <is>
          <t>Ninjutsu</t>
        </is>
      </c>
      <c r="C60" s="1103" t="inlineStr">
        <is>
          <t>C</t>
        </is>
      </c>
      <c r="D60" s="1103" t="inlineStr">
        <is>
          <t>C</t>
        </is>
      </c>
      <c r="E60" s="1075" t="inlineStr">
        <is>
          <t>Negative marks don't appear to have any implemented negative effects</t>
        </is>
      </c>
      <c r="F60" s="237" t="n"/>
      <c r="G60" s="237" t="n"/>
      <c r="H60" s="237" t="n"/>
      <c r="I60" s="237" t="n"/>
      <c r="J60" s="237" t="n"/>
      <c r="K60" s="237" t="n"/>
      <c r="L60" s="237" t="n"/>
      <c r="M60" s="238" t="n"/>
      <c r="N60" s="669" t="n"/>
      <c r="O60" s="669" t="n"/>
      <c r="P60" s="669" t="n"/>
      <c r="Q60" s="669" t="n"/>
      <c r="R60" s="669" t="n"/>
      <c r="S60" s="669" t="n"/>
      <c r="T60" s="669" t="n"/>
      <c r="U60" s="669" t="n"/>
      <c r="V60" s="669" t="n"/>
      <c r="W60" s="669" t="n"/>
      <c r="X60" s="669" t="n"/>
      <c r="Y60" s="669" t="n"/>
      <c r="Z60" s="669" t="n"/>
      <c r="AA60" s="669" t="n"/>
    </row>
    <row r="61">
      <c r="A61" s="1103" t="inlineStr">
        <is>
          <t>Dark Moon Descending</t>
        </is>
      </c>
      <c r="B61" s="1103" t="inlineStr">
        <is>
          <t>Ninjutsu</t>
        </is>
      </c>
      <c r="C61" s="1103" t="inlineStr">
        <is>
          <t>C</t>
        </is>
      </c>
      <c r="D61" s="1103" t="inlineStr">
        <is>
          <t>C</t>
        </is>
      </c>
      <c r="E61" s="1079" t="inlineStr">
        <is>
          <t>Doesn't improve %HP DMG. Offers little benefit to Momochi/Poisoner</t>
        </is>
      </c>
      <c r="F61" s="1093" t="n"/>
      <c r="G61" s="1093" t="n"/>
      <c r="H61" s="1093" t="n"/>
      <c r="I61" s="1093" t="n"/>
      <c r="J61" s="1093" t="n"/>
      <c r="K61" s="1093" t="n"/>
      <c r="L61" s="1093" t="n"/>
      <c r="M61" s="965" t="n"/>
      <c r="N61" s="669" t="n"/>
      <c r="O61" s="669" t="n"/>
      <c r="P61" s="669" t="n"/>
      <c r="Q61" s="669" t="n"/>
      <c r="R61" s="669" t="n"/>
      <c r="S61" s="669" t="n"/>
      <c r="T61" s="669" t="n"/>
      <c r="U61" s="669" t="n"/>
      <c r="V61" s="669" t="n"/>
      <c r="W61" s="669" t="n"/>
      <c r="X61" s="669" t="n"/>
      <c r="Y61" s="669" t="n"/>
      <c r="Z61" s="669" t="n"/>
      <c r="AA61" s="669" t="n"/>
    </row>
    <row r="62">
      <c r="A62" s="1037" t="n"/>
      <c r="B62" s="1066" t="n"/>
      <c r="C62" s="1037" t="n"/>
      <c r="D62" s="1037" t="n"/>
      <c r="E62" s="1037" t="n"/>
      <c r="F62" s="669" t="n"/>
      <c r="G62" s="669" t="n"/>
      <c r="H62" s="669" t="n"/>
      <c r="I62" s="669" t="n"/>
      <c r="J62" s="669" t="n"/>
      <c r="K62" s="669" t="n"/>
      <c r="L62" s="669" t="n"/>
      <c r="M62" s="669" t="n"/>
      <c r="N62" s="669" t="n"/>
      <c r="O62" s="669" t="n"/>
      <c r="P62" s="669" t="n"/>
      <c r="Q62" s="669" t="n"/>
      <c r="R62" s="669" t="n"/>
      <c r="S62" s="669" t="n"/>
      <c r="T62" s="669" t="n"/>
      <c r="U62" s="669" t="n"/>
      <c r="V62" s="669" t="n"/>
      <c r="W62" s="669" t="n"/>
      <c r="X62" s="669" t="n"/>
      <c r="Y62" s="669" t="n"/>
      <c r="Z62" s="669" t="n"/>
      <c r="AA62" s="669" t="n"/>
    </row>
    <row r="63">
      <c r="A63" s="1037" t="n"/>
      <c r="B63" s="1066" t="n"/>
      <c r="C63" s="1037" t="n"/>
      <c r="D63" s="1037" t="n"/>
      <c r="E63" s="1037" t="n"/>
      <c r="F63" s="669" t="n"/>
      <c r="G63" s="669" t="n"/>
      <c r="H63" s="669" t="n"/>
      <c r="I63" s="669" t="n"/>
      <c r="J63" s="669" t="n"/>
      <c r="K63" s="669" t="n"/>
      <c r="L63" s="669" t="n"/>
      <c r="M63" s="669" t="n"/>
      <c r="N63" s="669" t="n"/>
      <c r="O63" s="669" t="n"/>
      <c r="P63" s="669" t="n"/>
      <c r="Q63" s="669" t="n"/>
      <c r="R63" s="669" t="n"/>
      <c r="S63" s="669" t="n"/>
      <c r="T63" s="669" t="n"/>
      <c r="U63" s="669" t="n"/>
      <c r="V63" s="669" t="n"/>
      <c r="W63" s="669" t="n"/>
      <c r="X63" s="669" t="n"/>
      <c r="Y63" s="669" t="n"/>
      <c r="Z63" s="669" t="n"/>
      <c r="AA63" s="669" t="n"/>
    </row>
    <row r="64">
      <c r="A64" s="1037" t="n"/>
      <c r="B64" s="1066" t="n"/>
      <c r="C64" s="1037" t="n"/>
      <c r="D64" s="1037" t="n"/>
      <c r="E64" s="1037" t="n"/>
      <c r="F64" s="669" t="n"/>
      <c r="G64" s="669" t="n"/>
      <c r="H64" s="669" t="n"/>
      <c r="I64" s="669" t="n"/>
      <c r="J64" s="669" t="n"/>
      <c r="K64" s="669" t="n"/>
      <c r="L64" s="669" t="n"/>
      <c r="M64" s="669" t="n"/>
      <c r="N64" s="669" t="n"/>
      <c r="O64" s="669" t="n"/>
      <c r="P64" s="669" t="n"/>
      <c r="Q64" s="669" t="n"/>
      <c r="R64" s="669" t="n"/>
      <c r="S64" s="669" t="n"/>
      <c r="T64" s="669" t="n"/>
      <c r="U64" s="669" t="n"/>
      <c r="V64" s="669" t="n"/>
      <c r="W64" s="669" t="n"/>
      <c r="X64" s="669" t="n"/>
      <c r="Y64" s="669" t="n"/>
      <c r="Z64" s="669" t="n"/>
      <c r="AA64" s="669" t="n"/>
    </row>
    <row r="65">
      <c r="A65" s="1068" t="inlineStr">
        <is>
          <t>Tridentman</t>
        </is>
      </c>
      <c r="B65" s="1069" t="n"/>
      <c r="C65" s="1070" t="inlineStr">
        <is>
          <t>Notes</t>
        </is>
      </c>
      <c r="D65" s="1071" t="n"/>
      <c r="E65" s="1071" t="n"/>
      <c r="F65" s="1072" t="n"/>
      <c r="G65" s="1072" t="n"/>
      <c r="H65" s="1072" t="n"/>
      <c r="I65" s="1072" t="n"/>
      <c r="J65" s="1072" t="n"/>
      <c r="K65" s="1072" t="n"/>
      <c r="L65" s="1072" t="n"/>
      <c r="M65" s="1073" t="n"/>
      <c r="N65" s="669" t="n"/>
      <c r="O65" s="669" t="n"/>
      <c r="P65" s="669" t="n"/>
      <c r="Q65" s="669" t="n"/>
      <c r="R65" s="669" t="n"/>
      <c r="S65" s="669" t="n"/>
      <c r="T65" s="669" t="n"/>
      <c r="U65" s="669" t="n"/>
      <c r="V65" s="669" t="n"/>
      <c r="W65" s="669" t="n"/>
      <c r="X65" s="669" t="n"/>
      <c r="Y65" s="669" t="n"/>
      <c r="Z65" s="669" t="n"/>
      <c r="AA65" s="669" t="n"/>
    </row>
    <row r="66">
      <c r="A66" s="1080" t="inlineStr">
        <is>
          <t>Passive</t>
        </is>
      </c>
      <c r="B66" s="1103" t="inlineStr">
        <is>
          <t>A</t>
        </is>
      </c>
      <c r="C66" s="1075" t="inlineStr">
        <is>
          <t>2x Card Drops</t>
        </is>
      </c>
      <c r="D66" s="373" t="n"/>
      <c r="E66" s="373" t="n"/>
      <c r="F66" s="237" t="n"/>
      <c r="G66" s="237" t="n"/>
      <c r="H66" s="237" t="n"/>
      <c r="I66" s="237" t="n"/>
      <c r="J66" s="237" t="n"/>
      <c r="K66" s="237" t="n"/>
      <c r="L66" s="237" t="n"/>
      <c r="M66" s="238" t="n"/>
      <c r="N66" s="669" t="n"/>
      <c r="O66" s="669" t="n"/>
      <c r="P66" s="669" t="n"/>
      <c r="Q66" s="669" t="n"/>
      <c r="R66" s="669" t="n"/>
      <c r="S66" s="669" t="n"/>
      <c r="T66" s="669" t="n"/>
      <c r="U66" s="669" t="n"/>
      <c r="V66" s="669" t="n"/>
      <c r="W66" s="669" t="n"/>
      <c r="X66" s="669" t="n"/>
      <c r="Y66" s="669" t="n"/>
      <c r="Z66" s="669" t="n"/>
      <c r="AA66" s="669" t="n"/>
    </row>
    <row r="67">
      <c r="A67" s="1080" t="inlineStr">
        <is>
          <t>Riding</t>
        </is>
      </c>
      <c r="B67" s="1103" t="inlineStr">
        <is>
          <t>A</t>
        </is>
      </c>
      <c r="C67" s="1037" t="inlineStr">
        <is>
          <t>Best 2nd slot</t>
        </is>
      </c>
      <c r="D67" s="1037" t="n"/>
      <c r="E67" s="1037" t="n"/>
      <c r="F67" s="669" t="n"/>
      <c r="G67" s="669" t="n"/>
      <c r="H67" s="669" t="n"/>
      <c r="I67" s="669" t="n"/>
      <c r="J67" s="669" t="n"/>
      <c r="K67" s="669" t="n"/>
      <c r="L67" s="669" t="n"/>
      <c r="M67" s="1095" t="n"/>
      <c r="N67" s="669" t="n"/>
      <c r="O67" s="669" t="n"/>
      <c r="P67" s="669" t="n"/>
      <c r="Q67" s="669" t="n"/>
      <c r="R67" s="669" t="n"/>
      <c r="S67" s="669" t="n"/>
      <c r="T67" s="669" t="n"/>
      <c r="U67" s="669" t="n"/>
      <c r="V67" s="669" t="n"/>
      <c r="W67" s="669" t="n"/>
      <c r="X67" s="669" t="n"/>
      <c r="Y67" s="669" t="n"/>
      <c r="Z67" s="669" t="n"/>
      <c r="AA67" s="669" t="n"/>
    </row>
    <row r="68">
      <c r="A68" s="1080" t="inlineStr">
        <is>
          <t>Sailing</t>
        </is>
      </c>
      <c r="B68" s="1103" t="inlineStr">
        <is>
          <t>B</t>
        </is>
      </c>
      <c r="C68" s="1075" t="inlineStr">
        <is>
          <t>Weakest of the 5 primary sailing members</t>
        </is>
      </c>
      <c r="D68" s="373" t="n"/>
      <c r="E68" s="373" t="n"/>
      <c r="F68" s="237" t="n"/>
      <c r="G68" s="237" t="n"/>
      <c r="H68" s="237" t="n"/>
      <c r="I68" s="237" t="n"/>
      <c r="J68" s="237" t="n"/>
      <c r="K68" s="237" t="n"/>
      <c r="L68" s="237" t="n"/>
      <c r="M68" s="238" t="n"/>
      <c r="N68" s="669" t="n"/>
      <c r="O68" s="669" t="n"/>
      <c r="P68" s="669" t="n"/>
      <c r="Q68" s="669" t="n"/>
      <c r="R68" s="669" t="n"/>
      <c r="S68" s="669" t="n"/>
      <c r="T68" s="669" t="n"/>
      <c r="U68" s="669" t="n"/>
      <c r="V68" s="669" t="n"/>
      <c r="W68" s="669" t="n"/>
      <c r="X68" s="669" t="n"/>
      <c r="Y68" s="669" t="n"/>
      <c r="Z68" s="669" t="n"/>
      <c r="AA68" s="669" t="n"/>
    </row>
    <row r="69">
      <c r="A69" s="1080" t="inlineStr">
        <is>
          <t>Growth Speed</t>
        </is>
      </c>
      <c r="B69" s="1103" t="inlineStr">
        <is>
          <t>Medium</t>
        </is>
      </c>
      <c r="C69" s="1037" t="n"/>
      <c r="D69" s="1037" t="n"/>
      <c r="E69" s="1037" t="n"/>
      <c r="F69" s="669" t="n"/>
      <c r="G69" s="669" t="n"/>
      <c r="H69" s="669" t="n"/>
      <c r="I69" s="669" t="n"/>
      <c r="J69" s="669" t="n"/>
      <c r="K69" s="669" t="n"/>
      <c r="L69" s="669" t="n"/>
      <c r="M69" s="1095" t="n"/>
      <c r="N69" s="669" t="n"/>
      <c r="O69" s="669" t="n"/>
      <c r="P69" s="669" t="n"/>
      <c r="Q69" s="669" t="n"/>
      <c r="R69" s="669" t="n"/>
      <c r="S69" s="669" t="n"/>
      <c r="T69" s="669" t="n"/>
      <c r="U69" s="669" t="n"/>
      <c r="V69" s="669" t="n"/>
      <c r="W69" s="669" t="n"/>
      <c r="X69" s="669" t="n"/>
      <c r="Y69" s="669" t="n"/>
      <c r="Z69" s="669" t="n"/>
      <c r="AA69" s="669" t="n"/>
    </row>
    <row r="70">
      <c r="A70" s="1080" t="inlineStr">
        <is>
          <t>Leveling Priority</t>
        </is>
      </c>
      <c r="B70" s="1103" t="inlineStr">
        <is>
          <t>A</t>
        </is>
      </c>
      <c r="C70" s="1075" t="inlineStr">
        <is>
          <t>Competes with Abe for Murika materials; Second best drifter for riding; Farming passive</t>
        </is>
      </c>
      <c r="D70" s="373" t="n"/>
      <c r="E70" s="373" t="n"/>
      <c r="F70" s="237" t="n"/>
      <c r="G70" s="237" t="n"/>
      <c r="H70" s="237" t="n"/>
      <c r="I70" s="237" t="n"/>
      <c r="J70" s="237" t="n"/>
      <c r="K70" s="237" t="n"/>
      <c r="L70" s="237" t="n"/>
      <c r="M70" s="238" t="n"/>
      <c r="N70" s="669" t="n"/>
      <c r="O70" s="669" t="n"/>
      <c r="P70" s="669" t="n"/>
      <c r="Q70" s="669" t="n"/>
      <c r="R70" s="669" t="n"/>
      <c r="S70" s="669" t="n"/>
      <c r="T70" s="669" t="n"/>
      <c r="U70" s="669" t="n"/>
      <c r="V70" s="669" t="n"/>
      <c r="W70" s="669" t="n"/>
      <c r="X70" s="669" t="n"/>
      <c r="Y70" s="669" t="n"/>
      <c r="Z70" s="669" t="n"/>
      <c r="AA70" s="669" t="n"/>
    </row>
    <row r="71">
      <c r="A71" s="1064" t="n"/>
      <c r="B71" s="1066" t="n"/>
      <c r="C71" s="1037" t="n"/>
      <c r="D71" s="1037" t="n"/>
      <c r="E71" s="1037" t="n"/>
      <c r="F71" s="669" t="n"/>
      <c r="G71" s="669" t="n"/>
      <c r="H71" s="669" t="n"/>
      <c r="I71" s="669" t="n"/>
      <c r="J71" s="669" t="n"/>
      <c r="K71" s="669" t="n"/>
      <c r="L71" s="669" t="n"/>
      <c r="M71" s="1095" t="n"/>
      <c r="N71" s="669" t="n"/>
      <c r="O71" s="669" t="n"/>
      <c r="P71" s="669" t="n"/>
      <c r="Q71" s="669" t="n"/>
      <c r="R71" s="669" t="n"/>
      <c r="S71" s="669" t="n"/>
      <c r="T71" s="669" t="n"/>
      <c r="U71" s="669" t="n"/>
      <c r="V71" s="669" t="n"/>
      <c r="W71" s="669" t="n"/>
      <c r="X71" s="669" t="n"/>
      <c r="Y71" s="669" t="n"/>
      <c r="Z71" s="669" t="n"/>
      <c r="AA71" s="669" t="n"/>
    </row>
    <row r="72">
      <c r="A72" s="1080" t="inlineStr">
        <is>
          <t>Name</t>
        </is>
      </c>
      <c r="B72" s="1080" t="inlineStr">
        <is>
          <t>Type</t>
        </is>
      </c>
      <c r="C72" s="1080" t="inlineStr">
        <is>
          <t>Lv10 Priority</t>
        </is>
      </c>
      <c r="D72" s="1080" t="inlineStr">
        <is>
          <t>Lv20 Priority</t>
        </is>
      </c>
      <c r="E72" s="1076" t="inlineStr">
        <is>
          <t>Notes</t>
        </is>
      </c>
      <c r="F72" s="1077" t="n"/>
      <c r="G72" s="1077" t="n"/>
      <c r="H72" s="1077" t="n"/>
      <c r="I72" s="1077" t="n"/>
      <c r="J72" s="1077" t="n"/>
      <c r="K72" s="1077" t="n"/>
      <c r="L72" s="1077" t="n"/>
      <c r="M72" s="1078" t="n"/>
      <c r="N72" s="669" t="n"/>
      <c r="O72" s="669" t="n"/>
      <c r="P72" s="669" t="n"/>
      <c r="Q72" s="669" t="n"/>
      <c r="R72" s="669" t="n"/>
      <c r="S72" s="669" t="n"/>
      <c r="T72" s="669" t="n"/>
      <c r="U72" s="669" t="n"/>
      <c r="V72" s="669" t="n"/>
      <c r="W72" s="669" t="n"/>
      <c r="X72" s="669" t="n"/>
      <c r="Y72" s="669" t="n"/>
      <c r="Z72" s="669" t="n"/>
      <c r="AA72" s="669" t="n"/>
    </row>
    <row r="73">
      <c r="A73" s="1103" t="inlineStr">
        <is>
          <t>Sea Breeze</t>
        </is>
      </c>
      <c r="B73" s="1103" t="inlineStr">
        <is>
          <t>Riding</t>
        </is>
      </c>
      <c r="C73" s="1103" t="inlineStr">
        <is>
          <t>A</t>
        </is>
      </c>
      <c r="D73" s="1103" t="inlineStr">
        <is>
          <t>A</t>
        </is>
      </c>
      <c r="E73" s="1075" t="inlineStr">
        <is>
          <t>Acts as a multiplier on team SPD</t>
        </is>
      </c>
      <c r="F73" s="237" t="n"/>
      <c r="G73" s="237" t="n"/>
      <c r="H73" s="237" t="n"/>
      <c r="I73" s="237" t="n"/>
      <c r="J73" s="237" t="n"/>
      <c r="K73" s="237" t="n"/>
      <c r="L73" s="237" t="n"/>
      <c r="M73" s="238" t="n"/>
      <c r="N73" s="669" t="n"/>
      <c r="O73" s="669" t="n"/>
      <c r="P73" s="669" t="n"/>
      <c r="Q73" s="669" t="n"/>
      <c r="R73" s="669" t="n"/>
      <c r="S73" s="669" t="n"/>
      <c r="T73" s="669" t="n"/>
      <c r="U73" s="669" t="n"/>
      <c r="V73" s="669" t="n"/>
      <c r="W73" s="669" t="n"/>
      <c r="X73" s="669" t="n"/>
      <c r="Y73" s="669" t="n"/>
      <c r="Z73" s="669" t="n"/>
      <c r="AA73" s="669" t="n"/>
    </row>
    <row r="74">
      <c r="A74" s="1103" t="inlineStr">
        <is>
          <t>Tidal Power</t>
        </is>
      </c>
      <c r="B74" s="1103" t="inlineStr">
        <is>
          <t>Siege</t>
        </is>
      </c>
      <c r="C74" s="1103" t="inlineStr">
        <is>
          <t>D</t>
        </is>
      </c>
      <c r="D74" s="1103" t="inlineStr">
        <is>
          <t>D</t>
        </is>
      </c>
      <c r="E74" s="1037" t="inlineStr">
        <is>
          <t>Only benefits Tridentman; Base siege proficiency is too low to last many rounds</t>
        </is>
      </c>
      <c r="F74" s="669" t="n"/>
      <c r="G74" s="669" t="n"/>
      <c r="H74" s="669" t="n"/>
      <c r="I74" s="669" t="n"/>
      <c r="J74" s="669" t="n"/>
      <c r="K74" s="669" t="n"/>
      <c r="L74" s="669" t="n"/>
      <c r="M74" s="1095" t="n"/>
      <c r="N74" s="669" t="n"/>
      <c r="O74" s="669" t="n"/>
      <c r="P74" s="669" t="n"/>
      <c r="Q74" s="669" t="n"/>
      <c r="R74" s="669" t="n"/>
      <c r="S74" s="669" t="n"/>
      <c r="T74" s="669" t="n"/>
      <c r="U74" s="669" t="n"/>
      <c r="V74" s="669" t="n"/>
      <c r="W74" s="669" t="n"/>
      <c r="X74" s="669" t="n"/>
      <c r="Y74" s="669" t="n"/>
      <c r="Z74" s="669" t="n"/>
      <c r="AA74" s="669" t="n"/>
    </row>
    <row r="75">
      <c r="A75" s="1103" t="inlineStr">
        <is>
          <t>Tide Rider</t>
        </is>
      </c>
      <c r="B75" s="1103" t="inlineStr">
        <is>
          <t>Riding</t>
        </is>
      </c>
      <c r="C75" s="1103" t="inlineStr">
        <is>
          <t>D</t>
        </is>
      </c>
      <c r="D75" s="1103" t="inlineStr">
        <is>
          <t>C/B</t>
        </is>
      </c>
      <c r="E75" s="1075" t="inlineStr">
        <is>
          <t>Needed for the very last anecdote. Useless before that.</t>
        </is>
      </c>
      <c r="F75" s="237" t="n"/>
      <c r="G75" s="237" t="n"/>
      <c r="H75" s="237" t="n"/>
      <c r="I75" s="237" t="n"/>
      <c r="J75" s="237" t="n"/>
      <c r="K75" s="237" t="n"/>
      <c r="L75" s="237" t="n"/>
      <c r="M75" s="238" t="n"/>
      <c r="N75" s="669" t="n"/>
      <c r="O75" s="669" t="n"/>
      <c r="P75" s="669" t="n"/>
      <c r="Q75" s="669" t="n"/>
      <c r="R75" s="669" t="n"/>
      <c r="S75" s="669" t="n"/>
      <c r="T75" s="669" t="n"/>
      <c r="U75" s="669" t="n"/>
      <c r="V75" s="669" t="n"/>
      <c r="W75" s="669" t="n"/>
      <c r="X75" s="669" t="n"/>
      <c r="Y75" s="669" t="n"/>
      <c r="Z75" s="669" t="n"/>
      <c r="AA75" s="669" t="n"/>
    </row>
    <row r="76">
      <c r="A76" s="1103" t="inlineStr">
        <is>
          <t>Fish Pack</t>
        </is>
      </c>
      <c r="B76" s="1103" t="inlineStr">
        <is>
          <t>Sailing</t>
        </is>
      </c>
      <c r="C76" s="1103" t="inlineStr">
        <is>
          <t>B</t>
        </is>
      </c>
      <c r="D76" s="1103" t="inlineStr">
        <is>
          <t>B</t>
        </is>
      </c>
      <c r="E76" s="1075" t="n"/>
      <c r="F76" s="237" t="n"/>
      <c r="G76" s="237" t="n"/>
      <c r="H76" s="237" t="n"/>
      <c r="I76" s="237" t="n"/>
      <c r="J76" s="237" t="n"/>
      <c r="K76" s="237" t="n"/>
      <c r="L76" s="237" t="n"/>
      <c r="M76" s="238" t="n"/>
      <c r="N76" s="669" t="n"/>
      <c r="O76" s="669" t="n"/>
      <c r="P76" s="669" t="n"/>
      <c r="Q76" s="669" t="n"/>
      <c r="R76" s="669" t="n"/>
      <c r="S76" s="669" t="n"/>
      <c r="T76" s="669" t="n"/>
      <c r="U76" s="669" t="n"/>
      <c r="V76" s="669" t="n"/>
      <c r="W76" s="669" t="n"/>
      <c r="X76" s="669" t="n"/>
      <c r="Y76" s="669" t="n"/>
      <c r="Z76" s="669" t="n"/>
      <c r="AA76" s="669" t="n"/>
    </row>
    <row r="77">
      <c r="A77" s="1103" t="inlineStr">
        <is>
          <t>Child of the Ocean</t>
        </is>
      </c>
      <c r="B77" s="1103" t="inlineStr">
        <is>
          <t>Sailing</t>
        </is>
      </c>
      <c r="C77" s="1103" t="inlineStr">
        <is>
          <t>B</t>
        </is>
      </c>
      <c r="D77" s="1103" t="inlineStr">
        <is>
          <t>B</t>
        </is>
      </c>
      <c r="E77" s="1079" t="inlineStr">
        <is>
          <t>Gains value with overall drifter level</t>
        </is>
      </c>
      <c r="F77" s="1093" t="n"/>
      <c r="G77" s="1093" t="n"/>
      <c r="H77" s="1093" t="n"/>
      <c r="I77" s="1093" t="n"/>
      <c r="J77" s="1093" t="n"/>
      <c r="K77" s="1093" t="n"/>
      <c r="L77" s="1093" t="n"/>
      <c r="M77" s="965" t="n"/>
      <c r="N77" s="669" t="n"/>
      <c r="O77" s="669" t="n"/>
      <c r="P77" s="669" t="n"/>
      <c r="Q77" s="669" t="n"/>
      <c r="R77" s="669" t="n"/>
      <c r="S77" s="669" t="n"/>
      <c r="T77" s="669" t="n"/>
      <c r="U77" s="669" t="n"/>
      <c r="V77" s="669" t="n"/>
      <c r="W77" s="669" t="n"/>
      <c r="X77" s="669" t="n"/>
      <c r="Y77" s="669" t="n"/>
      <c r="Z77" s="669" t="n"/>
      <c r="AA77" s="669" t="n"/>
    </row>
    <row r="78">
      <c r="A78" s="1037" t="n"/>
      <c r="B78" s="1066" t="n"/>
      <c r="C78" s="1037" t="n"/>
      <c r="D78" s="1037" t="n"/>
      <c r="E78" s="1037" t="n"/>
      <c r="F78" s="669" t="n"/>
      <c r="G78" s="669" t="n"/>
      <c r="H78" s="669" t="n"/>
      <c r="I78" s="669" t="n"/>
      <c r="J78" s="669" t="n"/>
      <c r="K78" s="669" t="n"/>
      <c r="L78" s="669" t="n"/>
      <c r="M78" s="669" t="n"/>
      <c r="N78" s="669" t="n"/>
      <c r="O78" s="669" t="n"/>
      <c r="P78" s="669" t="n"/>
      <c r="Q78" s="669" t="n"/>
      <c r="R78" s="669" t="n"/>
      <c r="S78" s="669" t="n"/>
      <c r="T78" s="669" t="n"/>
      <c r="U78" s="669" t="n"/>
      <c r="V78" s="669" t="n"/>
      <c r="W78" s="669" t="n"/>
      <c r="X78" s="669" t="n"/>
      <c r="Y78" s="669" t="n"/>
      <c r="Z78" s="669" t="n"/>
      <c r="AA78" s="669" t="n"/>
    </row>
    <row r="79">
      <c r="A79" s="1037" t="n"/>
      <c r="B79" s="1066" t="n"/>
      <c r="C79" s="1037" t="n"/>
      <c r="D79" s="1037" t="n"/>
      <c r="E79" s="1037" t="n"/>
      <c r="F79" s="669" t="n"/>
      <c r="G79" s="669" t="n"/>
      <c r="H79" s="669" t="n"/>
      <c r="I79" s="669" t="n"/>
      <c r="J79" s="669" t="n"/>
      <c r="K79" s="669" t="n"/>
      <c r="L79" s="669" t="n"/>
      <c r="M79" s="669" t="n"/>
      <c r="N79" s="669" t="n"/>
      <c r="O79" s="669" t="n"/>
      <c r="P79" s="669" t="n"/>
      <c r="Q79" s="669" t="n"/>
      <c r="R79" s="669" t="n"/>
      <c r="S79" s="669" t="n"/>
      <c r="T79" s="669" t="n"/>
      <c r="U79" s="669" t="n"/>
      <c r="V79" s="669" t="n"/>
      <c r="W79" s="669" t="n"/>
      <c r="X79" s="669" t="n"/>
      <c r="Y79" s="669" t="n"/>
      <c r="Z79" s="669" t="n"/>
      <c r="AA79" s="669" t="n"/>
    </row>
    <row r="80">
      <c r="A80" s="1037" t="n"/>
      <c r="B80" s="1066" t="n"/>
      <c r="C80" s="1037" t="n"/>
      <c r="D80" s="1037" t="n"/>
      <c r="E80" s="1037" t="n"/>
      <c r="F80" s="669" t="n"/>
      <c r="G80" s="669" t="n"/>
      <c r="H80" s="669" t="n"/>
      <c r="I80" s="669" t="n"/>
      <c r="J80" s="669" t="n"/>
      <c r="K80" s="669" t="n"/>
      <c r="L80" s="669" t="n"/>
      <c r="M80" s="669" t="n"/>
      <c r="N80" s="669" t="n"/>
      <c r="O80" s="669" t="n"/>
      <c r="P80" s="669" t="n"/>
      <c r="Q80" s="669" t="n"/>
      <c r="R80" s="669" t="n"/>
      <c r="S80" s="669" t="n"/>
      <c r="T80" s="669" t="n"/>
      <c r="U80" s="669" t="n"/>
      <c r="V80" s="669" t="n"/>
      <c r="W80" s="669" t="n"/>
      <c r="X80" s="669" t="n"/>
      <c r="Y80" s="669" t="n"/>
      <c r="Z80" s="669" t="n"/>
      <c r="AA80" s="669" t="n"/>
    </row>
    <row r="81">
      <c r="A81" s="1068" t="inlineStr">
        <is>
          <t>Mad Abe</t>
        </is>
      </c>
      <c r="B81" s="1069" t="n"/>
      <c r="C81" s="1070" t="inlineStr">
        <is>
          <t>Notes</t>
        </is>
      </c>
      <c r="D81" s="1071" t="n"/>
      <c r="E81" s="1071" t="n"/>
      <c r="F81" s="1072" t="n"/>
      <c r="G81" s="1072" t="n"/>
      <c r="H81" s="1072" t="n"/>
      <c r="I81" s="1072" t="n"/>
      <c r="J81" s="1072" t="n"/>
      <c r="K81" s="1072" t="n"/>
      <c r="L81" s="1072" t="n"/>
      <c r="M81" s="1073" t="n"/>
      <c r="N81" s="669" t="n"/>
      <c r="O81" s="669" t="n"/>
      <c r="P81" s="669" t="n"/>
      <c r="Q81" s="669" t="n"/>
      <c r="R81" s="669" t="n"/>
      <c r="S81" s="669" t="n"/>
      <c r="T81" s="669" t="n"/>
      <c r="U81" s="669" t="n"/>
      <c r="V81" s="669" t="n"/>
      <c r="W81" s="669" t="n"/>
      <c r="X81" s="669" t="n"/>
      <c r="Y81" s="669" t="n"/>
      <c r="Z81" s="669" t="n"/>
      <c r="AA81" s="669" t="n"/>
    </row>
    <row r="82">
      <c r="A82" s="1080" t="inlineStr">
        <is>
          <t>Passive</t>
        </is>
      </c>
      <c r="B82" s="1103" t="inlineStr">
        <is>
          <t>D</t>
        </is>
      </c>
      <c r="C82" s="1075" t="inlineStr">
        <is>
          <t>Demon Cells</t>
        </is>
      </c>
      <c r="D82" s="373" t="n"/>
      <c r="E82" s="373" t="n"/>
      <c r="F82" s="237" t="n"/>
      <c r="G82" s="237" t="n"/>
      <c r="H82" s="237" t="n"/>
      <c r="I82" s="237" t="n"/>
      <c r="J82" s="237" t="n"/>
      <c r="K82" s="237" t="n"/>
      <c r="L82" s="237" t="n"/>
      <c r="M82" s="238" t="n"/>
      <c r="N82" s="669" t="n"/>
      <c r="O82" s="669" t="n"/>
      <c r="P82" s="669" t="n"/>
      <c r="Q82" s="669" t="n"/>
      <c r="R82" s="669" t="n"/>
      <c r="S82" s="669" t="n"/>
      <c r="T82" s="669" t="n"/>
      <c r="U82" s="669" t="n"/>
      <c r="V82" s="669" t="n"/>
      <c r="W82" s="669" t="n"/>
      <c r="X82" s="669" t="n"/>
      <c r="Y82" s="669" t="n"/>
      <c r="Z82" s="669" t="n"/>
      <c r="AA82" s="669" t="n"/>
    </row>
    <row r="83">
      <c r="A83" s="1080" t="inlineStr">
        <is>
          <t>Siege</t>
        </is>
      </c>
      <c r="B83" s="1103" t="inlineStr">
        <is>
          <t>S</t>
        </is>
      </c>
      <c r="C83" s="1037" t="inlineStr">
        <is>
          <t>2nd highest siege talent; Potential for the highest ATK/HP due to high growth speed</t>
        </is>
      </c>
      <c r="D83" s="1037" t="n"/>
      <c r="E83" s="1037" t="n"/>
      <c r="F83" s="669" t="n"/>
      <c r="G83" s="669" t="n"/>
      <c r="H83" s="669" t="n"/>
      <c r="I83" s="669" t="n"/>
      <c r="J83" s="669" t="n"/>
      <c r="K83" s="669" t="n"/>
      <c r="L83" s="669" t="n"/>
      <c r="M83" s="1095" t="n"/>
      <c r="N83" s="669" t="n"/>
      <c r="O83" s="669" t="n"/>
      <c r="P83" s="669" t="n"/>
      <c r="Q83" s="669" t="n"/>
      <c r="R83" s="669" t="n"/>
      <c r="S83" s="669" t="n"/>
      <c r="T83" s="669" t="n"/>
      <c r="U83" s="669" t="n"/>
      <c r="V83" s="669" t="n"/>
      <c r="W83" s="669" t="n"/>
      <c r="X83" s="669" t="n"/>
      <c r="Y83" s="669" t="n"/>
      <c r="Z83" s="669" t="n"/>
      <c r="AA83" s="669" t="n"/>
    </row>
    <row r="84">
      <c r="A84" s="1080" t="inlineStr">
        <is>
          <t>Dharma</t>
        </is>
      </c>
      <c r="B84" s="1103" t="inlineStr">
        <is>
          <t>B</t>
        </is>
      </c>
      <c r="C84" s="1075" t="inlineStr">
        <is>
          <t>Replaces Hitman; Provides a unique DEF boost to reduce team healing requirements, freeing Poisoner up to poison more often</t>
        </is>
      </c>
      <c r="D84" s="373" t="n"/>
      <c r="E84" s="373" t="n"/>
      <c r="F84" s="237" t="n"/>
      <c r="G84" s="237" t="n"/>
      <c r="H84" s="237" t="n"/>
      <c r="I84" s="237" t="n"/>
      <c r="J84" s="237" t="n"/>
      <c r="K84" s="237" t="n"/>
      <c r="L84" s="237" t="n"/>
      <c r="M84" s="238" t="n"/>
      <c r="N84" s="669" t="n"/>
      <c r="O84" s="669" t="n"/>
      <c r="P84" s="669" t="n"/>
      <c r="Q84" s="669" t="n"/>
      <c r="R84" s="669" t="n"/>
      <c r="S84" s="669" t="n"/>
      <c r="T84" s="669" t="n"/>
      <c r="U84" s="669" t="n"/>
      <c r="V84" s="669" t="n"/>
      <c r="W84" s="669" t="n"/>
      <c r="X84" s="669" t="n"/>
      <c r="Y84" s="669" t="n"/>
      <c r="Z84" s="669" t="n"/>
      <c r="AA84" s="669" t="n"/>
    </row>
    <row r="85">
      <c r="A85" s="1080" t="inlineStr">
        <is>
          <t>Growth Speed</t>
        </is>
      </c>
      <c r="B85" s="1103" t="inlineStr">
        <is>
          <t>High</t>
        </is>
      </c>
      <c r="C85" s="1037" t="n"/>
      <c r="D85" s="1037" t="n"/>
      <c r="E85" s="1037" t="n"/>
      <c r="F85" s="669" t="n"/>
      <c r="G85" s="669" t="n"/>
      <c r="H85" s="669" t="n"/>
      <c r="I85" s="669" t="n"/>
      <c r="J85" s="669" t="n"/>
      <c r="K85" s="669" t="n"/>
      <c r="L85" s="669" t="n"/>
      <c r="M85" s="1095" t="n"/>
      <c r="N85" s="669" t="n"/>
      <c r="O85" s="669" t="n"/>
      <c r="P85" s="669" t="n"/>
      <c r="Q85" s="669" t="n"/>
      <c r="R85" s="669" t="n"/>
      <c r="S85" s="669" t="n"/>
      <c r="T85" s="669" t="n"/>
      <c r="U85" s="669" t="n"/>
      <c r="V85" s="669" t="n"/>
      <c r="W85" s="669" t="n"/>
      <c r="X85" s="669" t="n"/>
      <c r="Y85" s="669" t="n"/>
      <c r="Z85" s="669" t="n"/>
      <c r="AA85" s="669" t="n"/>
    </row>
    <row r="86">
      <c r="A86" s="1080" t="inlineStr">
        <is>
          <t>Leveling Priority</t>
        </is>
      </c>
      <c r="B86" s="1103" t="inlineStr">
        <is>
          <t>B/A</t>
        </is>
      </c>
      <c r="C86" s="1075" t="inlineStr">
        <is>
          <t>Competes with Kitty/Tridentman for Murika materials; High value in two anecdote types; Fast growth potential enables high level relative to other drifters; Terrible passive</t>
        </is>
      </c>
      <c r="D86" s="373" t="n"/>
      <c r="E86" s="373" t="n"/>
      <c r="F86" s="237" t="n"/>
      <c r="G86" s="237" t="n"/>
      <c r="H86" s="237" t="n"/>
      <c r="I86" s="237" t="n"/>
      <c r="J86" s="237" t="n"/>
      <c r="K86" s="237" t="n"/>
      <c r="L86" s="237" t="n"/>
      <c r="M86" s="238" t="n"/>
      <c r="N86" s="669" t="n"/>
      <c r="O86" s="669" t="n"/>
      <c r="P86" s="669" t="n"/>
      <c r="Q86" s="669" t="n"/>
      <c r="R86" s="669" t="n"/>
      <c r="S86" s="669" t="n"/>
      <c r="T86" s="669" t="n"/>
      <c r="U86" s="669" t="n"/>
      <c r="V86" s="669" t="n"/>
      <c r="W86" s="669" t="n"/>
      <c r="X86" s="669" t="n"/>
      <c r="Y86" s="669" t="n"/>
      <c r="Z86" s="669" t="n"/>
      <c r="AA86" s="669" t="n"/>
    </row>
    <row r="87">
      <c r="A87" s="1064" t="n"/>
      <c r="B87" s="1066" t="n"/>
      <c r="C87" s="1037" t="n"/>
      <c r="D87" s="1037" t="n"/>
      <c r="E87" s="1037" t="n"/>
      <c r="F87" s="669" t="n"/>
      <c r="G87" s="669" t="n"/>
      <c r="H87" s="669" t="n"/>
      <c r="I87" s="669" t="n"/>
      <c r="J87" s="669" t="n"/>
      <c r="K87" s="669" t="n"/>
      <c r="L87" s="669" t="n"/>
      <c r="M87" s="1095" t="n"/>
      <c r="N87" s="669" t="n"/>
      <c r="O87" s="669" t="n"/>
      <c r="P87" s="669" t="n"/>
      <c r="Q87" s="669" t="n"/>
      <c r="R87" s="669" t="n"/>
      <c r="S87" s="669" t="n"/>
      <c r="T87" s="669" t="n"/>
      <c r="U87" s="669" t="n"/>
      <c r="V87" s="669" t="n"/>
      <c r="W87" s="669" t="n"/>
      <c r="X87" s="669" t="n"/>
      <c r="Y87" s="669" t="n"/>
      <c r="Z87" s="669" t="n"/>
      <c r="AA87" s="669" t="n"/>
    </row>
    <row r="88">
      <c r="A88" s="1080" t="inlineStr">
        <is>
          <t>Name</t>
        </is>
      </c>
      <c r="B88" s="1080" t="inlineStr">
        <is>
          <t>Type</t>
        </is>
      </c>
      <c r="C88" s="1080" t="inlineStr">
        <is>
          <t>Lv10 Priority</t>
        </is>
      </c>
      <c r="D88" s="1080" t="inlineStr">
        <is>
          <t>Lv20 Priority</t>
        </is>
      </c>
      <c r="E88" s="1076" t="inlineStr">
        <is>
          <t>Notes</t>
        </is>
      </c>
      <c r="F88" s="1077" t="n"/>
      <c r="G88" s="1077" t="n"/>
      <c r="H88" s="1077" t="n"/>
      <c r="I88" s="1077" t="n"/>
      <c r="J88" s="1077" t="n"/>
      <c r="K88" s="1077" t="n"/>
      <c r="L88" s="1077" t="n"/>
      <c r="M88" s="1078" t="n"/>
      <c r="N88" s="669" t="n"/>
      <c r="O88" s="669" t="n"/>
      <c r="P88" s="669" t="n"/>
      <c r="Q88" s="669" t="n"/>
      <c r="R88" s="669" t="n"/>
      <c r="S88" s="669" t="n"/>
      <c r="T88" s="669" t="n"/>
      <c r="U88" s="669" t="n"/>
      <c r="V88" s="669" t="n"/>
      <c r="W88" s="669" t="n"/>
      <c r="X88" s="669" t="n"/>
      <c r="Y88" s="669" t="n"/>
      <c r="Z88" s="669" t="n"/>
      <c r="AA88" s="669" t="n"/>
    </row>
    <row r="89">
      <c r="A89" s="1103" t="inlineStr">
        <is>
          <t>Sharp Edge</t>
        </is>
      </c>
      <c r="B89" s="1103" t="inlineStr">
        <is>
          <t>Siege</t>
        </is>
      </c>
      <c r="C89" s="1103" t="inlineStr">
        <is>
          <t>C</t>
        </is>
      </c>
      <c r="D89" s="1103" t="inlineStr">
        <is>
          <t>C</t>
        </is>
      </c>
      <c r="E89" s="1075" t="inlineStr">
        <is>
          <t>Only works in V formation; V formation not recommended</t>
        </is>
      </c>
      <c r="F89" s="237" t="n"/>
      <c r="G89" s="237" t="n"/>
      <c r="H89" s="237" t="n"/>
      <c r="I89" s="237" t="n"/>
      <c r="J89" s="237" t="n"/>
      <c r="K89" s="237" t="n"/>
      <c r="L89" s="237" t="n"/>
      <c r="M89" s="238" t="n"/>
      <c r="N89" s="669" t="n"/>
      <c r="O89" s="669" t="n"/>
      <c r="P89" s="669" t="n"/>
      <c r="Q89" s="669" t="n"/>
      <c r="R89" s="669" t="n"/>
      <c r="S89" s="669" t="n"/>
      <c r="T89" s="669" t="n"/>
      <c r="U89" s="669" t="n"/>
      <c r="V89" s="669" t="n"/>
      <c r="W89" s="669" t="n"/>
      <c r="X89" s="669" t="n"/>
      <c r="Y89" s="669" t="n"/>
      <c r="Z89" s="669" t="n"/>
      <c r="AA89" s="669" t="n"/>
    </row>
    <row r="90">
      <c r="A90" s="1103" t="inlineStr">
        <is>
          <t>Modern Tech</t>
        </is>
      </c>
      <c r="B90" s="1103" t="inlineStr">
        <is>
          <t>Siege</t>
        </is>
      </c>
      <c r="C90" s="1103" t="inlineStr">
        <is>
          <t>S</t>
        </is>
      </c>
      <c r="D90" s="1103" t="inlineStr">
        <is>
          <t>S</t>
        </is>
      </c>
      <c r="E90" s="1037" t="inlineStr">
        <is>
          <t>Direct ATK/HP boost to entire team</t>
        </is>
      </c>
      <c r="F90" s="669" t="n"/>
      <c r="G90" s="669" t="n"/>
      <c r="H90" s="669" t="n"/>
      <c r="I90" s="669" t="n"/>
      <c r="J90" s="669" t="n"/>
      <c r="K90" s="669" t="n"/>
      <c r="L90" s="669" t="n"/>
      <c r="M90" s="1095" t="n"/>
      <c r="N90" s="669" t="n"/>
      <c r="O90" s="669" t="n"/>
      <c r="P90" s="669" t="n"/>
      <c r="Q90" s="669" t="n"/>
      <c r="R90" s="669" t="n"/>
      <c r="S90" s="669" t="n"/>
      <c r="T90" s="669" t="n"/>
      <c r="U90" s="669" t="n"/>
      <c r="V90" s="669" t="n"/>
      <c r="W90" s="669" t="n"/>
      <c r="X90" s="669" t="n"/>
      <c r="Y90" s="669" t="n"/>
      <c r="Z90" s="669" t="n"/>
      <c r="AA90" s="669" t="n"/>
    </row>
    <row r="91">
      <c r="A91" s="1103" t="inlineStr">
        <is>
          <t>Concentrated Fire</t>
        </is>
      </c>
      <c r="B91" s="1103" t="inlineStr">
        <is>
          <t>Siege</t>
        </is>
      </c>
      <c r="C91" s="1103" t="inlineStr">
        <is>
          <t>C</t>
        </is>
      </c>
      <c r="D91" s="1103" t="inlineStr">
        <is>
          <t>C</t>
        </is>
      </c>
      <c r="E91" s="1075" t="inlineStr">
        <is>
          <t>Only works in V formation; Only benefits Abe; V formation not recommended</t>
        </is>
      </c>
      <c r="F91" s="237" t="n"/>
      <c r="G91" s="237" t="n"/>
      <c r="H91" s="237" t="n"/>
      <c r="I91" s="237" t="n"/>
      <c r="J91" s="237" t="n"/>
      <c r="K91" s="237" t="n"/>
      <c r="L91" s="237" t="n"/>
      <c r="M91" s="238" t="n"/>
      <c r="N91" s="669" t="n"/>
      <c r="O91" s="669" t="n"/>
      <c r="P91" s="669" t="n"/>
      <c r="Q91" s="669" t="n"/>
      <c r="R91" s="669" t="n"/>
      <c r="S91" s="669" t="n"/>
      <c r="T91" s="669" t="n"/>
      <c r="U91" s="669" t="n"/>
      <c r="V91" s="669" t="n"/>
      <c r="W91" s="669" t="n"/>
      <c r="X91" s="669" t="n"/>
      <c r="Y91" s="669" t="n"/>
      <c r="Z91" s="669" t="n"/>
      <c r="AA91" s="669" t="n"/>
    </row>
    <row r="92">
      <c r="A92" s="1103" t="inlineStr">
        <is>
          <t>Master of War</t>
        </is>
      </c>
      <c r="B92" s="1103" t="inlineStr">
        <is>
          <t>Dharma</t>
        </is>
      </c>
      <c r="C92" s="1103" t="inlineStr">
        <is>
          <t>B</t>
        </is>
      </c>
      <c r="D92" s="1103" t="inlineStr">
        <is>
          <t>B</t>
        </is>
      </c>
      <c r="E92" s="1075" t="inlineStr">
        <is>
          <t>Buffs Sanzang's damage</t>
        </is>
      </c>
      <c r="F92" s="237" t="n"/>
      <c r="G92" s="237" t="n"/>
      <c r="H92" s="237" t="n"/>
      <c r="I92" s="237" t="n"/>
      <c r="J92" s="237" t="n"/>
      <c r="K92" s="237" t="n"/>
      <c r="L92" s="237" t="n"/>
      <c r="M92" s="238" t="n"/>
      <c r="N92" s="669" t="n"/>
      <c r="O92" s="669" t="n"/>
      <c r="P92" s="669" t="n"/>
      <c r="Q92" s="669" t="n"/>
      <c r="R92" s="669" t="n"/>
      <c r="S92" s="669" t="n"/>
      <c r="T92" s="669" t="n"/>
      <c r="U92" s="669" t="n"/>
      <c r="V92" s="669" t="n"/>
      <c r="W92" s="669" t="n"/>
      <c r="X92" s="669" t="n"/>
      <c r="Y92" s="669" t="n"/>
      <c r="Z92" s="669" t="n"/>
      <c r="AA92" s="669" t="n"/>
    </row>
    <row r="93">
      <c r="A93" s="1103" t="inlineStr">
        <is>
          <t>Might of Titan</t>
        </is>
      </c>
      <c r="B93" s="1103" t="inlineStr">
        <is>
          <t>Dharma</t>
        </is>
      </c>
      <c r="C93" s="1103" t="inlineStr">
        <is>
          <t>B</t>
        </is>
      </c>
      <c r="D93" s="1103" t="inlineStr">
        <is>
          <t>B</t>
        </is>
      </c>
      <c r="E93" s="1079" t="inlineStr">
        <is>
          <t>Reduces healing requirements moderately</t>
        </is>
      </c>
      <c r="F93" s="1093" t="n"/>
      <c r="G93" s="1093" t="n"/>
      <c r="H93" s="1093" t="n"/>
      <c r="I93" s="1093" t="n"/>
      <c r="J93" s="1093" t="n"/>
      <c r="K93" s="1093" t="n"/>
      <c r="L93" s="1093" t="n"/>
      <c r="M93" s="965" t="n"/>
      <c r="N93" s="669" t="n"/>
      <c r="O93" s="669" t="n"/>
      <c r="P93" s="669" t="n"/>
      <c r="Q93" s="669" t="n"/>
      <c r="R93" s="669" t="n"/>
      <c r="S93" s="669" t="n"/>
      <c r="T93" s="669" t="n"/>
      <c r="U93" s="669" t="n"/>
      <c r="V93" s="669" t="n"/>
      <c r="W93" s="669" t="n"/>
      <c r="X93" s="669" t="n"/>
      <c r="Y93" s="669" t="n"/>
      <c r="Z93" s="669" t="n"/>
      <c r="AA93" s="669" t="n"/>
    </row>
    <row r="94">
      <c r="A94" s="1037" t="n"/>
      <c r="B94" s="1066" t="n"/>
      <c r="C94" s="1037" t="n"/>
      <c r="D94" s="1037" t="n"/>
      <c r="E94" s="1037" t="n"/>
      <c r="F94" s="669" t="n"/>
      <c r="G94" s="669" t="n"/>
      <c r="H94" s="669" t="n"/>
      <c r="I94" s="669" t="n"/>
      <c r="J94" s="669" t="n"/>
      <c r="K94" s="669" t="n"/>
      <c r="L94" s="669" t="n"/>
      <c r="M94" s="669" t="n"/>
      <c r="N94" s="669" t="n"/>
      <c r="O94" s="669" t="n"/>
      <c r="P94" s="669" t="n"/>
      <c r="Q94" s="669" t="n"/>
      <c r="R94" s="669" t="n"/>
      <c r="S94" s="669" t="n"/>
      <c r="T94" s="669" t="n"/>
      <c r="U94" s="669" t="n"/>
      <c r="V94" s="669" t="n"/>
      <c r="W94" s="669" t="n"/>
      <c r="X94" s="669" t="n"/>
      <c r="Y94" s="669" t="n"/>
      <c r="Z94" s="669" t="n"/>
      <c r="AA94" s="669" t="n"/>
    </row>
    <row r="95">
      <c r="A95" s="1037" t="n"/>
      <c r="B95" s="1066" t="n"/>
      <c r="C95" s="1037" t="n"/>
      <c r="D95" s="1037" t="n"/>
      <c r="E95" s="1037" t="n"/>
      <c r="F95" s="669" t="n"/>
      <c r="G95" s="669" t="n"/>
      <c r="H95" s="669" t="n"/>
      <c r="I95" s="669" t="n"/>
      <c r="J95" s="669" t="n"/>
      <c r="K95" s="669" t="n"/>
      <c r="L95" s="669" t="n"/>
      <c r="M95" s="669" t="n"/>
      <c r="N95" s="669" t="n"/>
      <c r="O95" s="669" t="n"/>
      <c r="P95" s="669" t="n"/>
      <c r="Q95" s="669" t="n"/>
      <c r="R95" s="669" t="n"/>
      <c r="S95" s="669" t="n"/>
      <c r="T95" s="669" t="n"/>
      <c r="U95" s="669" t="n"/>
      <c r="V95" s="669" t="n"/>
      <c r="W95" s="669" t="n"/>
      <c r="X95" s="669" t="n"/>
      <c r="Y95" s="669" t="n"/>
      <c r="Z95" s="669" t="n"/>
      <c r="AA95" s="669" t="n"/>
    </row>
    <row r="96">
      <c r="A96" s="1037" t="n"/>
      <c r="B96" s="1066" t="n"/>
      <c r="C96" s="1037" t="n"/>
      <c r="D96" s="1037" t="n"/>
      <c r="E96" s="1037" t="n"/>
      <c r="F96" s="669" t="n"/>
      <c r="G96" s="669" t="n"/>
      <c r="H96" s="669" t="n"/>
      <c r="I96" s="669" t="n"/>
      <c r="J96" s="669" t="n"/>
      <c r="K96" s="669" t="n"/>
      <c r="L96" s="669" t="n"/>
      <c r="M96" s="669" t="n"/>
      <c r="N96" s="669" t="n"/>
      <c r="O96" s="669" t="n"/>
      <c r="P96" s="669" t="n"/>
      <c r="Q96" s="669" t="n"/>
      <c r="R96" s="669" t="n"/>
      <c r="S96" s="669" t="n"/>
      <c r="T96" s="669" t="n"/>
      <c r="U96" s="669" t="n"/>
      <c r="V96" s="669" t="n"/>
      <c r="W96" s="669" t="n"/>
      <c r="X96" s="669" t="n"/>
      <c r="Y96" s="669" t="n"/>
      <c r="Z96" s="669" t="n"/>
      <c r="AA96" s="669" t="n"/>
    </row>
    <row r="97">
      <c r="A97" s="1068" t="inlineStr">
        <is>
          <t>Dracula</t>
        </is>
      </c>
      <c r="B97" s="1069" t="n"/>
      <c r="C97" s="1070" t="inlineStr">
        <is>
          <t>Notes</t>
        </is>
      </c>
      <c r="D97" s="1071" t="n"/>
      <c r="E97" s="1071" t="n"/>
      <c r="F97" s="1072" t="n"/>
      <c r="G97" s="1072" t="n"/>
      <c r="H97" s="1072" t="n"/>
      <c r="I97" s="1072" t="n"/>
      <c r="J97" s="1072" t="n"/>
      <c r="K97" s="1072" t="n"/>
      <c r="L97" s="1072" t="n"/>
      <c r="M97" s="1073" t="n"/>
      <c r="N97" s="669" t="n"/>
      <c r="O97" s="669" t="n"/>
      <c r="P97" s="669" t="n"/>
      <c r="Q97" s="669" t="n"/>
      <c r="R97" s="669" t="n"/>
      <c r="S97" s="669" t="n"/>
      <c r="T97" s="669" t="n"/>
      <c r="U97" s="669" t="n"/>
      <c r="V97" s="669" t="n"/>
      <c r="W97" s="669" t="n"/>
      <c r="X97" s="669" t="n"/>
      <c r="Y97" s="669" t="n"/>
      <c r="Z97" s="669" t="n"/>
      <c r="AA97" s="669" t="n"/>
    </row>
    <row r="98">
      <c r="A98" s="1080" t="inlineStr">
        <is>
          <t>Passive</t>
        </is>
      </c>
      <c r="B98" s="1103" t="inlineStr">
        <is>
          <t>B</t>
        </is>
      </c>
      <c r="C98" s="1075" t="inlineStr">
        <is>
          <t>Lifesteal Rate</t>
        </is>
      </c>
      <c r="D98" s="373" t="n"/>
      <c r="E98" s="373" t="n"/>
      <c r="F98" s="237" t="n"/>
      <c r="G98" s="237" t="n"/>
      <c r="H98" s="237" t="n"/>
      <c r="I98" s="237" t="n"/>
      <c r="J98" s="237" t="n"/>
      <c r="K98" s="237" t="n"/>
      <c r="L98" s="237" t="n"/>
      <c r="M98" s="238" t="n"/>
      <c r="N98" s="669" t="n"/>
      <c r="O98" s="669" t="n"/>
      <c r="P98" s="669" t="n"/>
      <c r="Q98" s="669" t="n"/>
      <c r="R98" s="669" t="n"/>
      <c r="S98" s="669" t="n"/>
      <c r="T98" s="669" t="n"/>
      <c r="U98" s="669" t="n"/>
      <c r="V98" s="669" t="n"/>
      <c r="W98" s="669" t="n"/>
      <c r="X98" s="669" t="n"/>
      <c r="Y98" s="669" t="n"/>
      <c r="Z98" s="669" t="n"/>
      <c r="AA98" s="669" t="n"/>
    </row>
    <row r="99">
      <c r="A99" s="1080" t="inlineStr">
        <is>
          <t>Band</t>
        </is>
      </c>
      <c r="B99" s="1103" t="inlineStr">
        <is>
          <t>S</t>
        </is>
      </c>
      <c r="C99" s="1037" t="inlineStr">
        <is>
          <t>Highest band talent per level</t>
        </is>
      </c>
      <c r="D99" s="1037" t="n"/>
      <c r="E99" s="1037" t="n"/>
      <c r="F99" s="669" t="n"/>
      <c r="G99" s="669" t="n"/>
      <c r="H99" s="669" t="n"/>
      <c r="I99" s="669" t="n"/>
      <c r="J99" s="669" t="n"/>
      <c r="K99" s="669" t="n"/>
      <c r="L99" s="669" t="n"/>
      <c r="M99" s="1095" t="n"/>
      <c r="N99" s="669" t="n"/>
      <c r="O99" s="669" t="n"/>
      <c r="P99" s="669" t="n"/>
      <c r="Q99" s="669" t="n"/>
      <c r="R99" s="669" t="n"/>
      <c r="S99" s="669" t="n"/>
      <c r="T99" s="669" t="n"/>
      <c r="U99" s="669" t="n"/>
      <c r="V99" s="669" t="n"/>
      <c r="W99" s="669" t="n"/>
      <c r="X99" s="669" t="n"/>
      <c r="Y99" s="669" t="n"/>
      <c r="Z99" s="669" t="n"/>
      <c r="AA99" s="669" t="n"/>
    </row>
    <row r="100">
      <c r="A100" s="1080" t="inlineStr">
        <is>
          <t>Dance</t>
        </is>
      </c>
      <c r="B100" s="1103" t="inlineStr">
        <is>
          <t>C</t>
        </is>
      </c>
      <c r="C100" s="1075" t="inlineStr">
        <is>
          <t>Potential option to clear Socialite Ball anecdote; Very little use outside of it</t>
        </is>
      </c>
      <c r="D100" s="373" t="n"/>
      <c r="E100" s="373" t="n"/>
      <c r="F100" s="237" t="n"/>
      <c r="G100" s="237" t="n"/>
      <c r="H100" s="237" t="n"/>
      <c r="I100" s="237" t="n"/>
      <c r="J100" s="237" t="n"/>
      <c r="K100" s="237" t="n"/>
      <c r="L100" s="237" t="n"/>
      <c r="M100" s="238" t="n"/>
      <c r="N100" s="669" t="n"/>
      <c r="O100" s="669" t="n"/>
      <c r="P100" s="669" t="n"/>
      <c r="Q100" s="669" t="n"/>
      <c r="R100" s="669" t="n"/>
      <c r="S100" s="669" t="n"/>
      <c r="T100" s="669" t="n"/>
      <c r="U100" s="669" t="n"/>
      <c r="V100" s="669" t="n"/>
      <c r="W100" s="669" t="n"/>
      <c r="X100" s="669" t="n"/>
      <c r="Y100" s="669" t="n"/>
      <c r="Z100" s="669" t="n"/>
      <c r="AA100" s="669" t="n"/>
    </row>
    <row r="101">
      <c r="A101" s="1080" t="inlineStr">
        <is>
          <t>Growth Speed</t>
        </is>
      </c>
      <c r="B101" s="1103" t="inlineStr">
        <is>
          <t>Low</t>
        </is>
      </c>
      <c r="C101" s="1037" t="n"/>
      <c r="D101" s="1037" t="n"/>
      <c r="E101" s="1037" t="n"/>
      <c r="F101" s="669" t="n"/>
      <c r="G101" s="669" t="n"/>
      <c r="H101" s="669" t="n"/>
      <c r="I101" s="669" t="n"/>
      <c r="J101" s="669" t="n"/>
      <c r="K101" s="669" t="n"/>
      <c r="L101" s="669" t="n"/>
      <c r="M101" s="1095" t="n"/>
      <c r="N101" s="669" t="n"/>
      <c r="O101" s="669" t="n"/>
      <c r="P101" s="669" t="n"/>
      <c r="Q101" s="669" t="n"/>
      <c r="R101" s="669" t="n"/>
      <c r="S101" s="669" t="n"/>
      <c r="T101" s="669" t="n"/>
      <c r="U101" s="669" t="n"/>
      <c r="V101" s="669" t="n"/>
      <c r="W101" s="669" t="n"/>
      <c r="X101" s="669" t="n"/>
      <c r="Y101" s="669" t="n"/>
      <c r="Z101" s="669" t="n"/>
      <c r="AA101" s="669" t="n"/>
    </row>
    <row r="102">
      <c r="A102" s="1080" t="inlineStr">
        <is>
          <t>Leveling Priority</t>
        </is>
      </c>
      <c r="B102" s="1103" t="inlineStr">
        <is>
          <t>C</t>
        </is>
      </c>
      <c r="C102" s="1075" t="inlineStr">
        <is>
          <t>High value in one anecdote type; Slow growth potential limits level relative to other drifters; Moderate passive</t>
        </is>
      </c>
      <c r="D102" s="373" t="n"/>
      <c r="E102" s="373" t="n"/>
      <c r="F102" s="237" t="n"/>
      <c r="G102" s="237" t="n"/>
      <c r="H102" s="237" t="n"/>
      <c r="I102" s="237" t="n"/>
      <c r="J102" s="237" t="n"/>
      <c r="K102" s="237" t="n"/>
      <c r="L102" s="237" t="n"/>
      <c r="M102" s="238" t="n"/>
      <c r="N102" s="669" t="n"/>
      <c r="O102" s="669" t="n"/>
      <c r="P102" s="669" t="n"/>
      <c r="Q102" s="669" t="n"/>
      <c r="R102" s="669" t="n"/>
      <c r="S102" s="669" t="n"/>
      <c r="T102" s="669" t="n"/>
      <c r="U102" s="669" t="n"/>
      <c r="V102" s="669" t="n"/>
      <c r="W102" s="669" t="n"/>
      <c r="X102" s="669" t="n"/>
      <c r="Y102" s="669" t="n"/>
      <c r="Z102" s="669" t="n"/>
      <c r="AA102" s="669" t="n"/>
    </row>
    <row r="103">
      <c r="A103" s="1064" t="n"/>
      <c r="B103" s="1066" t="n"/>
      <c r="C103" s="1037" t="n"/>
      <c r="D103" s="1037" t="n"/>
      <c r="E103" s="1037" t="n"/>
      <c r="F103" s="669" t="n"/>
      <c r="G103" s="669" t="n"/>
      <c r="H103" s="669" t="n"/>
      <c r="I103" s="669" t="n"/>
      <c r="J103" s="669" t="n"/>
      <c r="K103" s="669" t="n"/>
      <c r="L103" s="669" t="n"/>
      <c r="M103" s="1095" t="n"/>
      <c r="N103" s="669" t="n"/>
      <c r="O103" s="669" t="n"/>
      <c r="P103" s="669" t="n"/>
      <c r="Q103" s="669" t="n"/>
      <c r="R103" s="669" t="n"/>
      <c r="S103" s="669" t="n"/>
      <c r="T103" s="669" t="n"/>
      <c r="U103" s="669" t="n"/>
      <c r="V103" s="669" t="n"/>
      <c r="W103" s="669" t="n"/>
      <c r="X103" s="669" t="n"/>
      <c r="Y103" s="669" t="n"/>
      <c r="Z103" s="669" t="n"/>
      <c r="AA103" s="669" t="n"/>
    </row>
    <row r="104">
      <c r="A104" s="1080" t="inlineStr">
        <is>
          <t>Name</t>
        </is>
      </c>
      <c r="B104" s="1080" t="inlineStr">
        <is>
          <t>Type</t>
        </is>
      </c>
      <c r="C104" s="1080" t="inlineStr">
        <is>
          <t>Lv10 Priority</t>
        </is>
      </c>
      <c r="D104" s="1080" t="inlineStr">
        <is>
          <t>Lv20 Priority</t>
        </is>
      </c>
      <c r="E104" s="1076" t="inlineStr">
        <is>
          <t>Notes</t>
        </is>
      </c>
      <c r="F104" s="1077" t="n"/>
      <c r="G104" s="1077" t="n"/>
      <c r="H104" s="1077" t="n"/>
      <c r="I104" s="1077" t="n"/>
      <c r="J104" s="1077" t="n"/>
      <c r="K104" s="1077" t="n"/>
      <c r="L104" s="1077" t="n"/>
      <c r="M104" s="1078" t="n"/>
      <c r="N104" s="669" t="n"/>
      <c r="O104" s="669" t="n"/>
      <c r="P104" s="669" t="n"/>
      <c r="Q104" s="669" t="n"/>
      <c r="R104" s="669" t="n"/>
      <c r="S104" s="669" t="n"/>
      <c r="T104" s="669" t="n"/>
      <c r="U104" s="669" t="n"/>
      <c r="V104" s="669" t="n"/>
      <c r="W104" s="669" t="n"/>
      <c r="X104" s="669" t="n"/>
      <c r="Y104" s="669" t="n"/>
      <c r="Z104" s="669" t="n"/>
      <c r="AA104" s="669" t="n"/>
    </row>
    <row r="105">
      <c r="A105" s="1103" t="inlineStr">
        <is>
          <t>Moon Rhapsody</t>
        </is>
      </c>
      <c r="B105" s="1103" t="inlineStr">
        <is>
          <t>Band</t>
        </is>
      </c>
      <c r="C105" s="1103" t="inlineStr">
        <is>
          <t>C</t>
        </is>
      </c>
      <c r="D105" s="1103" t="inlineStr">
        <is>
          <t>C</t>
        </is>
      </c>
      <c r="E105" s="1075" t="inlineStr">
        <is>
          <t>Requires Dracula in the front two positions</t>
        </is>
      </c>
      <c r="F105" s="237" t="n"/>
      <c r="G105" s="237" t="n"/>
      <c r="H105" s="237" t="n"/>
      <c r="I105" s="237" t="n"/>
      <c r="J105" s="237" t="n"/>
      <c r="K105" s="237" t="n"/>
      <c r="L105" s="237" t="n"/>
      <c r="M105" s="238" t="n"/>
      <c r="N105" s="669" t="n"/>
      <c r="O105" s="669" t="n"/>
      <c r="P105" s="669" t="n"/>
      <c r="Q105" s="669" t="n"/>
      <c r="R105" s="669" t="n"/>
      <c r="S105" s="669" t="n"/>
      <c r="T105" s="669" t="n"/>
      <c r="U105" s="669" t="n"/>
      <c r="V105" s="669" t="n"/>
      <c r="W105" s="669" t="n"/>
      <c r="X105" s="669" t="n"/>
      <c r="Y105" s="669" t="n"/>
      <c r="Z105" s="669" t="n"/>
      <c r="AA105" s="669" t="n"/>
    </row>
    <row r="106">
      <c r="A106" s="1103" t="inlineStr">
        <is>
          <t>Ultrasonic SInging</t>
        </is>
      </c>
      <c r="B106" s="1103" t="inlineStr">
        <is>
          <t>Band</t>
        </is>
      </c>
      <c r="C106" s="1103" t="inlineStr">
        <is>
          <t>C</t>
        </is>
      </c>
      <c r="D106" s="1103" t="inlineStr">
        <is>
          <t>C/B</t>
        </is>
      </c>
      <c r="E106" s="1037" t="inlineStr">
        <is>
          <t>Useful for certain anecdotes; Required for final anecdote</t>
        </is>
      </c>
      <c r="F106" s="669" t="n"/>
      <c r="G106" s="669" t="n"/>
      <c r="H106" s="669" t="n"/>
      <c r="I106" s="669" t="n"/>
      <c r="J106" s="669" t="n"/>
      <c r="K106" s="669" t="n"/>
      <c r="L106" s="669" t="n"/>
      <c r="M106" s="1095" t="n"/>
      <c r="N106" s="669" t="n"/>
      <c r="O106" s="669" t="n"/>
      <c r="P106" s="669" t="n"/>
      <c r="Q106" s="669" t="n"/>
      <c r="R106" s="669" t="n"/>
      <c r="S106" s="669" t="n"/>
      <c r="T106" s="669" t="n"/>
      <c r="U106" s="669" t="n"/>
      <c r="V106" s="669" t="n"/>
      <c r="W106" s="669" t="n"/>
      <c r="X106" s="669" t="n"/>
      <c r="Y106" s="669" t="n"/>
      <c r="Z106" s="669" t="n"/>
      <c r="AA106" s="669" t="n"/>
    </row>
    <row r="107">
      <c r="A107" s="1103" t="inlineStr">
        <is>
          <t>Scarlet Dance</t>
        </is>
      </c>
      <c r="B107" s="1103" t="inlineStr">
        <is>
          <t>Band</t>
        </is>
      </c>
      <c r="C107" s="1103" t="inlineStr">
        <is>
          <t>B</t>
        </is>
      </c>
      <c r="D107" s="1103" t="inlineStr">
        <is>
          <t>B</t>
        </is>
      </c>
      <c r="E107" s="1075" t="inlineStr">
        <is>
          <t>Affects all allies</t>
        </is>
      </c>
      <c r="F107" s="237" t="n"/>
      <c r="G107" s="237" t="n"/>
      <c r="H107" s="237" t="n"/>
      <c r="I107" s="237" t="n"/>
      <c r="J107" s="237" t="n"/>
      <c r="K107" s="237" t="n"/>
      <c r="L107" s="237" t="n"/>
      <c r="M107" s="238" t="n"/>
      <c r="N107" s="669" t="n"/>
      <c r="O107" s="669" t="n"/>
      <c r="P107" s="669" t="n"/>
      <c r="Q107" s="669" t="n"/>
      <c r="R107" s="669" t="n"/>
      <c r="S107" s="669" t="n"/>
      <c r="T107" s="669" t="n"/>
      <c r="U107" s="669" t="n"/>
      <c r="V107" s="669" t="n"/>
      <c r="W107" s="669" t="n"/>
      <c r="X107" s="669" t="n"/>
      <c r="Y107" s="669" t="n"/>
      <c r="Z107" s="669" t="n"/>
      <c r="AA107" s="669" t="n"/>
    </row>
    <row r="108">
      <c r="A108" s="1103" t="inlineStr">
        <is>
          <t>Mourning of the Rose</t>
        </is>
      </c>
      <c r="B108" s="1103" t="inlineStr">
        <is>
          <t>Dance</t>
        </is>
      </c>
      <c r="C108" s="1103" t="inlineStr">
        <is>
          <t>D</t>
        </is>
      </c>
      <c r="D108" s="1103" t="inlineStr">
        <is>
          <t>F</t>
        </is>
      </c>
      <c r="E108" s="1075" t="inlineStr">
        <is>
          <t>Score transfer is 3x the listed rating; Scales poorly</t>
        </is>
      </c>
      <c r="F108" s="237" t="n"/>
      <c r="G108" s="237" t="n"/>
      <c r="H108" s="237" t="n"/>
      <c r="I108" s="237" t="n"/>
      <c r="J108" s="237" t="n"/>
      <c r="K108" s="237" t="n"/>
      <c r="L108" s="237" t="n"/>
      <c r="M108" s="238" t="n"/>
      <c r="N108" s="669" t="n"/>
      <c r="O108" s="669" t="n"/>
      <c r="P108" s="669" t="n"/>
      <c r="Q108" s="669" t="n"/>
      <c r="R108" s="669" t="n"/>
      <c r="S108" s="669" t="n"/>
      <c r="T108" s="669" t="n"/>
      <c r="U108" s="669" t="n"/>
      <c r="V108" s="669" t="n"/>
      <c r="W108" s="669" t="n"/>
      <c r="X108" s="669" t="n"/>
      <c r="Y108" s="669" t="n"/>
      <c r="Z108" s="669" t="n"/>
      <c r="AA108" s="669" t="n"/>
    </row>
    <row r="109">
      <c r="A109" s="1103" t="inlineStr">
        <is>
          <t>Forbidden Spear</t>
        </is>
      </c>
      <c r="B109" s="1103" t="inlineStr">
        <is>
          <t>Siege</t>
        </is>
      </c>
      <c r="C109" s="1103" t="inlineStr">
        <is>
          <t>D/C</t>
        </is>
      </c>
      <c r="D109" s="1103" t="inlineStr">
        <is>
          <t>D/C</t>
        </is>
      </c>
      <c r="E109" s="1079" t="inlineStr">
        <is>
          <t>Little overall benefit observed</t>
        </is>
      </c>
      <c r="F109" s="1093" t="n"/>
      <c r="G109" s="1093" t="n"/>
      <c r="H109" s="1093" t="n"/>
      <c r="I109" s="1093" t="n"/>
      <c r="J109" s="1093" t="n"/>
      <c r="K109" s="1093" t="n"/>
      <c r="L109" s="1093" t="n"/>
      <c r="M109" s="965" t="n"/>
      <c r="N109" s="669" t="n"/>
      <c r="O109" s="669" t="n"/>
      <c r="P109" s="669" t="n"/>
      <c r="Q109" s="669" t="n"/>
      <c r="R109" s="669" t="n"/>
      <c r="S109" s="669" t="n"/>
      <c r="T109" s="669" t="n"/>
      <c r="U109" s="669" t="n"/>
      <c r="V109" s="669" t="n"/>
      <c r="W109" s="669" t="n"/>
      <c r="X109" s="669" t="n"/>
      <c r="Y109" s="669" t="n"/>
      <c r="Z109" s="669" t="n"/>
      <c r="AA109" s="669" t="n"/>
    </row>
    <row r="110">
      <c r="A110" s="1037" t="n"/>
      <c r="B110" s="1066" t="n"/>
      <c r="C110" s="1037" t="n"/>
      <c r="D110" s="1037" t="n"/>
      <c r="E110" s="1037" t="n"/>
      <c r="F110" s="669" t="n"/>
      <c r="G110" s="669" t="n"/>
      <c r="H110" s="669" t="n"/>
      <c r="I110" s="669" t="n"/>
      <c r="J110" s="669" t="n"/>
      <c r="K110" s="669" t="n"/>
      <c r="L110" s="669" t="n"/>
      <c r="M110" s="669" t="n"/>
      <c r="N110" s="669" t="n"/>
      <c r="O110" s="669" t="n"/>
      <c r="P110" s="669" t="n"/>
      <c r="Q110" s="669" t="n"/>
      <c r="R110" s="669" t="n"/>
      <c r="S110" s="669" t="n"/>
      <c r="T110" s="669" t="n"/>
      <c r="U110" s="669" t="n"/>
      <c r="V110" s="669" t="n"/>
      <c r="W110" s="669" t="n"/>
      <c r="X110" s="669" t="n"/>
      <c r="Y110" s="669" t="n"/>
      <c r="Z110" s="669" t="n"/>
      <c r="AA110" s="669" t="n"/>
    </row>
    <row r="111">
      <c r="A111" s="1037" t="n"/>
      <c r="B111" s="1066" t="n"/>
      <c r="C111" s="1037" t="n"/>
      <c r="D111" s="1037" t="n"/>
      <c r="E111" s="1037" t="n"/>
      <c r="F111" s="669" t="n"/>
      <c r="G111" s="669" t="n"/>
      <c r="H111" s="669" t="n"/>
      <c r="I111" s="669" t="n"/>
      <c r="J111" s="669" t="n"/>
      <c r="K111" s="669" t="n"/>
      <c r="L111" s="669" t="n"/>
      <c r="M111" s="669" t="n"/>
      <c r="N111" s="669" t="n"/>
      <c r="O111" s="669" t="n"/>
      <c r="P111" s="669" t="n"/>
      <c r="Q111" s="669" t="n"/>
      <c r="R111" s="669" t="n"/>
      <c r="S111" s="669" t="n"/>
      <c r="T111" s="669" t="n"/>
      <c r="U111" s="669" t="n"/>
      <c r="V111" s="669" t="n"/>
      <c r="W111" s="669" t="n"/>
      <c r="X111" s="669" t="n"/>
      <c r="Y111" s="669" t="n"/>
      <c r="Z111" s="669" t="n"/>
      <c r="AA111" s="669" t="n"/>
    </row>
    <row r="112">
      <c r="A112" s="1037" t="n"/>
      <c r="B112" s="1066" t="n"/>
      <c r="C112" s="1037" t="n"/>
      <c r="D112" s="1037" t="n"/>
      <c r="E112" s="1037" t="n"/>
      <c r="F112" s="669" t="n"/>
      <c r="G112" s="669" t="n"/>
      <c r="H112" s="669" t="n"/>
      <c r="I112" s="669" t="n"/>
      <c r="J112" s="669" t="n"/>
      <c r="K112" s="669" t="n"/>
      <c r="L112" s="669" t="n"/>
      <c r="M112" s="669" t="n"/>
      <c r="N112" s="669" t="n"/>
      <c r="O112" s="669" t="n"/>
      <c r="P112" s="669" t="n"/>
      <c r="Q112" s="669" t="n"/>
      <c r="R112" s="669" t="n"/>
      <c r="S112" s="669" t="n"/>
      <c r="T112" s="669" t="n"/>
      <c r="U112" s="669" t="n"/>
      <c r="V112" s="669" t="n"/>
      <c r="W112" s="669" t="n"/>
      <c r="X112" s="669" t="n"/>
      <c r="Y112" s="669" t="n"/>
      <c r="Z112" s="669" t="n"/>
      <c r="AA112" s="669" t="n"/>
    </row>
    <row r="113">
      <c r="A113" s="1068" t="inlineStr">
        <is>
          <t>Athena</t>
        </is>
      </c>
      <c r="B113" s="1069" t="n"/>
      <c r="C113" s="1070" t="inlineStr">
        <is>
          <t>Notes</t>
        </is>
      </c>
      <c r="D113" s="1071" t="n"/>
      <c r="E113" s="1071" t="n"/>
      <c r="F113" s="1072" t="n"/>
      <c r="G113" s="1072" t="n"/>
      <c r="H113" s="1072" t="n"/>
      <c r="I113" s="1072" t="n"/>
      <c r="J113" s="1072" t="n"/>
      <c r="K113" s="1072" t="n"/>
      <c r="L113" s="1072" t="n"/>
      <c r="M113" s="1073" t="n"/>
      <c r="N113" s="669" t="n"/>
      <c r="O113" s="669" t="n"/>
      <c r="P113" s="669" t="n"/>
      <c r="Q113" s="669" t="n"/>
      <c r="R113" s="669" t="n"/>
      <c r="S113" s="669" t="n"/>
      <c r="T113" s="669" t="n"/>
      <c r="U113" s="669" t="n"/>
      <c r="V113" s="669" t="n"/>
      <c r="W113" s="669" t="n"/>
      <c r="X113" s="669" t="n"/>
      <c r="Y113" s="669" t="n"/>
      <c r="Z113" s="669" t="n"/>
      <c r="AA113" s="669" t="n"/>
    </row>
    <row r="114">
      <c r="A114" s="1080" t="inlineStr">
        <is>
          <t>Passive</t>
        </is>
      </c>
      <c r="B114" s="1103" t="inlineStr">
        <is>
          <t>D</t>
        </is>
      </c>
      <c r="C114" s="1075" t="inlineStr">
        <is>
          <t>Angel Cells</t>
        </is>
      </c>
      <c r="D114" s="373" t="n"/>
      <c r="E114" s="373" t="n"/>
      <c r="F114" s="237" t="n"/>
      <c r="G114" s="237" t="n"/>
      <c r="H114" s="237" t="n"/>
      <c r="I114" s="237" t="n"/>
      <c r="J114" s="237" t="n"/>
      <c r="K114" s="237" t="n"/>
      <c r="L114" s="237" t="n"/>
      <c r="M114" s="238" t="n"/>
      <c r="N114" s="669" t="n"/>
      <c r="O114" s="669" t="n"/>
      <c r="P114" s="669" t="n"/>
      <c r="Q114" s="669" t="n"/>
      <c r="R114" s="669" t="n"/>
      <c r="S114" s="669" t="n"/>
      <c r="T114" s="669" t="n"/>
      <c r="U114" s="669" t="n"/>
      <c r="V114" s="669" t="n"/>
      <c r="W114" s="669" t="n"/>
      <c r="X114" s="669" t="n"/>
      <c r="Y114" s="669" t="n"/>
      <c r="Z114" s="669" t="n"/>
      <c r="AA114" s="669" t="n"/>
    </row>
    <row r="115">
      <c r="A115" s="1080" t="inlineStr">
        <is>
          <t>Band</t>
        </is>
      </c>
      <c r="B115" s="1103" t="inlineStr">
        <is>
          <t>B</t>
        </is>
      </c>
      <c r="C115" s="1037" t="inlineStr">
        <is>
          <t>Weakest member of core band lineup</t>
        </is>
      </c>
      <c r="D115" s="1037" t="n"/>
      <c r="E115" s="1037" t="n"/>
      <c r="F115" s="669" t="n"/>
      <c r="G115" s="669" t="n"/>
      <c r="H115" s="669" t="n"/>
      <c r="I115" s="669" t="n"/>
      <c r="J115" s="669" t="n"/>
      <c r="K115" s="669" t="n"/>
      <c r="L115" s="669" t="n"/>
      <c r="M115" s="1095" t="n"/>
      <c r="N115" s="669" t="n"/>
      <c r="O115" s="669" t="n"/>
      <c r="P115" s="669" t="n"/>
      <c r="Q115" s="669" t="n"/>
      <c r="R115" s="669" t="n"/>
      <c r="S115" s="669" t="n"/>
      <c r="T115" s="669" t="n"/>
      <c r="U115" s="669" t="n"/>
      <c r="V115" s="669" t="n"/>
      <c r="W115" s="669" t="n"/>
      <c r="X115" s="669" t="n"/>
      <c r="Y115" s="669" t="n"/>
      <c r="Z115" s="669" t="n"/>
      <c r="AA115" s="669" t="n"/>
    </row>
    <row r="116">
      <c r="A116" s="1080" t="inlineStr">
        <is>
          <t>Dance</t>
        </is>
      </c>
      <c r="B116" s="1103" t="inlineStr">
        <is>
          <t>S</t>
        </is>
      </c>
      <c r="C116" s="1075" t="inlineStr">
        <is>
          <t>Part of core lineup but requires no level investment and low skill investment</t>
        </is>
      </c>
      <c r="D116" s="373" t="n"/>
      <c r="E116" s="373" t="n"/>
      <c r="F116" s="237" t="n"/>
      <c r="G116" s="237" t="n"/>
      <c r="H116" s="237" t="n"/>
      <c r="I116" s="237" t="n"/>
      <c r="J116" s="237" t="n"/>
      <c r="K116" s="237" t="n"/>
      <c r="L116" s="237" t="n"/>
      <c r="M116" s="238" t="n"/>
      <c r="N116" s="669" t="n"/>
      <c r="O116" s="669" t="n"/>
      <c r="P116" s="669" t="n"/>
      <c r="Q116" s="669" t="n"/>
      <c r="R116" s="669" t="n"/>
      <c r="S116" s="669" t="n"/>
      <c r="T116" s="669" t="n"/>
      <c r="U116" s="669" t="n"/>
      <c r="V116" s="669" t="n"/>
      <c r="W116" s="669" t="n"/>
      <c r="X116" s="669" t="n"/>
      <c r="Y116" s="669" t="n"/>
      <c r="Z116" s="669" t="n"/>
      <c r="AA116" s="669" t="n"/>
    </row>
    <row r="117">
      <c r="A117" s="1080" t="inlineStr">
        <is>
          <t>Growth Speed</t>
        </is>
      </c>
      <c r="B117" s="1103" t="inlineStr">
        <is>
          <t>Low</t>
        </is>
      </c>
      <c r="C117" s="1037" t="n"/>
      <c r="D117" s="1037" t="n"/>
      <c r="E117" s="1037" t="n"/>
      <c r="F117" s="669" t="n"/>
      <c r="G117" s="669" t="n"/>
      <c r="H117" s="669" t="n"/>
      <c r="I117" s="669" t="n"/>
      <c r="J117" s="669" t="n"/>
      <c r="K117" s="669" t="n"/>
      <c r="L117" s="669" t="n"/>
      <c r="M117" s="1095" t="n"/>
      <c r="N117" s="669" t="n"/>
      <c r="O117" s="669" t="n"/>
      <c r="P117" s="669" t="n"/>
      <c r="Q117" s="669" t="n"/>
      <c r="R117" s="669" t="n"/>
      <c r="S117" s="669" t="n"/>
      <c r="T117" s="669" t="n"/>
      <c r="U117" s="669" t="n"/>
      <c r="V117" s="669" t="n"/>
      <c r="W117" s="669" t="n"/>
      <c r="X117" s="669" t="n"/>
      <c r="Y117" s="669" t="n"/>
      <c r="Z117" s="669" t="n"/>
      <c r="AA117" s="669" t="n"/>
    </row>
    <row r="118">
      <c r="A118" s="1080" t="inlineStr">
        <is>
          <t>Leveling Priority</t>
        </is>
      </c>
      <c r="B118" s="1103" t="inlineStr">
        <is>
          <t>D</t>
        </is>
      </c>
      <c r="C118" s="1075" t="inlineStr">
        <is>
          <t>High value in one anecdote type + moderate value in another; Slow growth potential limits level relative to other drifters; Terrible passive</t>
        </is>
      </c>
      <c r="D118" s="373" t="n"/>
      <c r="E118" s="373" t="n"/>
      <c r="F118" s="237" t="n"/>
      <c r="G118" s="237" t="n"/>
      <c r="H118" s="237" t="n"/>
      <c r="I118" s="237" t="n"/>
      <c r="J118" s="237" t="n"/>
      <c r="K118" s="237" t="n"/>
      <c r="L118" s="237" t="n"/>
      <c r="M118" s="238" t="n"/>
      <c r="N118" s="669" t="n"/>
      <c r="O118" s="669" t="n"/>
      <c r="P118" s="669" t="n"/>
      <c r="Q118" s="669" t="n"/>
      <c r="R118" s="669" t="n"/>
      <c r="S118" s="669" t="n"/>
      <c r="T118" s="669" t="n"/>
      <c r="U118" s="669" t="n"/>
      <c r="V118" s="669" t="n"/>
      <c r="W118" s="669" t="n"/>
      <c r="X118" s="669" t="n"/>
      <c r="Y118" s="669" t="n"/>
      <c r="Z118" s="669" t="n"/>
      <c r="AA118" s="669" t="n"/>
    </row>
    <row r="119">
      <c r="A119" s="1064" t="n"/>
      <c r="B119" s="1066" t="n"/>
      <c r="C119" s="1037" t="n"/>
      <c r="D119" s="1037" t="n"/>
      <c r="E119" s="1037" t="n"/>
      <c r="F119" s="669" t="n"/>
      <c r="G119" s="669" t="n"/>
      <c r="H119" s="669" t="n"/>
      <c r="I119" s="669" t="n"/>
      <c r="J119" s="669" t="n"/>
      <c r="K119" s="669" t="n"/>
      <c r="L119" s="669" t="n"/>
      <c r="M119" s="1095" t="n"/>
      <c r="N119" s="669" t="n"/>
      <c r="O119" s="669" t="n"/>
      <c r="P119" s="669" t="n"/>
      <c r="Q119" s="669" t="n"/>
      <c r="R119" s="669" t="n"/>
      <c r="S119" s="669" t="n"/>
      <c r="T119" s="669" t="n"/>
      <c r="U119" s="669" t="n"/>
      <c r="V119" s="669" t="n"/>
      <c r="W119" s="669" t="n"/>
      <c r="X119" s="669" t="n"/>
      <c r="Y119" s="669" t="n"/>
      <c r="Z119" s="669" t="n"/>
      <c r="AA119" s="669" t="n"/>
    </row>
    <row r="120">
      <c r="A120" s="1080" t="inlineStr">
        <is>
          <t>Name</t>
        </is>
      </c>
      <c r="B120" s="1080" t="inlineStr">
        <is>
          <t>Type</t>
        </is>
      </c>
      <c r="C120" s="1080" t="inlineStr">
        <is>
          <t>Lv10 Priority</t>
        </is>
      </c>
      <c r="D120" s="1080" t="inlineStr">
        <is>
          <t>Lv20 Priority</t>
        </is>
      </c>
      <c r="E120" s="1076" t="inlineStr">
        <is>
          <t>Notes</t>
        </is>
      </c>
      <c r="F120" s="1077" t="n"/>
      <c r="G120" s="1077" t="n"/>
      <c r="H120" s="1077" t="n"/>
      <c r="I120" s="1077" t="n"/>
      <c r="J120" s="1077" t="n"/>
      <c r="K120" s="1077" t="n"/>
      <c r="L120" s="1077" t="n"/>
      <c r="M120" s="1078" t="n"/>
      <c r="N120" s="669" t="n"/>
      <c r="O120" s="669" t="n"/>
      <c r="P120" s="669" t="n"/>
      <c r="Q120" s="669" t="n"/>
      <c r="R120" s="669" t="n"/>
      <c r="S120" s="669" t="n"/>
      <c r="T120" s="669" t="n"/>
      <c r="U120" s="669" t="n"/>
      <c r="V120" s="669" t="n"/>
      <c r="W120" s="669" t="n"/>
      <c r="X120" s="669" t="n"/>
      <c r="Y120" s="669" t="n"/>
      <c r="Z120" s="669" t="n"/>
      <c r="AA120" s="669" t="n"/>
    </row>
    <row r="121">
      <c r="A121" s="1103" t="inlineStr">
        <is>
          <t>Charming Goddess</t>
        </is>
      </c>
      <c r="B121" s="1103" t="inlineStr">
        <is>
          <t>Dance</t>
        </is>
      </c>
      <c r="C121" s="1103" t="inlineStr">
        <is>
          <t>Variable</t>
        </is>
      </c>
      <c r="D121" s="1103" t="inlineStr">
        <is>
          <t>Variable</t>
        </is>
      </c>
      <c r="E121" s="1075" t="inlineStr">
        <is>
          <t>Can activate at lv1, but may require multiple restarts; Extra levels reduce RNG; Also potentially determines chance for score bonus in band.</t>
        </is>
      </c>
      <c r="F121" s="237" t="n"/>
      <c r="G121" s="237" t="n"/>
      <c r="H121" s="237" t="n"/>
      <c r="I121" s="237" t="n"/>
      <c r="J121" s="237" t="n"/>
      <c r="K121" s="237" t="n"/>
      <c r="L121" s="237" t="n"/>
      <c r="M121" s="238" t="n"/>
      <c r="N121" s="669" t="n"/>
      <c r="O121" s="669" t="n"/>
      <c r="P121" s="669" t="n"/>
      <c r="Q121" s="669" t="n"/>
      <c r="R121" s="669" t="n"/>
      <c r="S121" s="669" t="n"/>
      <c r="T121" s="669" t="n"/>
      <c r="U121" s="669" t="n"/>
      <c r="V121" s="669" t="n"/>
      <c r="W121" s="669" t="n"/>
      <c r="X121" s="669" t="n"/>
      <c r="Y121" s="669" t="n"/>
      <c r="Z121" s="669" t="n"/>
      <c r="AA121" s="669" t="n"/>
    </row>
    <row r="122">
      <c r="A122" s="1103" t="inlineStr">
        <is>
          <t>Dance Queen's Legacy</t>
        </is>
      </c>
      <c r="B122" s="1103" t="inlineStr">
        <is>
          <t>Dance</t>
        </is>
      </c>
      <c r="C122" s="1103" t="inlineStr">
        <is>
          <t>C</t>
        </is>
      </c>
      <c r="D122" s="1103" t="inlineStr">
        <is>
          <t>C</t>
        </is>
      </c>
      <c r="E122" s="1037" t="inlineStr">
        <is>
          <t>Slightly reduces level requirements for clears; Only required lv20 for final anecdote</t>
        </is>
      </c>
      <c r="F122" s="669" t="n"/>
      <c r="G122" s="669" t="n"/>
      <c r="H122" s="669" t="n"/>
      <c r="I122" s="669" t="n"/>
      <c r="J122" s="669" t="n"/>
      <c r="K122" s="669" t="n"/>
      <c r="L122" s="669" t="n"/>
      <c r="M122" s="1095" t="n"/>
      <c r="N122" s="669" t="n"/>
      <c r="O122" s="669" t="n"/>
      <c r="P122" s="669" t="n"/>
      <c r="Q122" s="669" t="n"/>
      <c r="R122" s="669" t="n"/>
      <c r="S122" s="669" t="n"/>
      <c r="T122" s="669" t="n"/>
      <c r="U122" s="669" t="n"/>
      <c r="V122" s="669" t="n"/>
      <c r="W122" s="669" t="n"/>
      <c r="X122" s="669" t="n"/>
      <c r="Y122" s="669" t="n"/>
      <c r="Z122" s="669" t="n"/>
      <c r="AA122" s="669" t="n"/>
    </row>
    <row r="123">
      <c r="A123" s="1103" t="inlineStr">
        <is>
          <t>Light of Wisdom</t>
        </is>
      </c>
      <c r="B123" s="1103" t="inlineStr">
        <is>
          <t>Dance</t>
        </is>
      </c>
      <c r="C123" s="1103" t="inlineStr">
        <is>
          <t>F</t>
        </is>
      </c>
      <c r="D123" s="1103" t="inlineStr">
        <is>
          <t>F</t>
        </is>
      </c>
      <c r="E123" s="1075" t="inlineStr">
        <is>
          <t>Neither Idol Boy nor Amakusa compositions rely on female dancer skills</t>
        </is>
      </c>
      <c r="F123" s="237" t="n"/>
      <c r="G123" s="237" t="n"/>
      <c r="H123" s="237" t="n"/>
      <c r="I123" s="237" t="n"/>
      <c r="J123" s="237" t="n"/>
      <c r="K123" s="237" t="n"/>
      <c r="L123" s="237" t="n"/>
      <c r="M123" s="238" t="n"/>
      <c r="N123" s="669" t="n"/>
      <c r="O123" s="669" t="n"/>
      <c r="P123" s="669" t="n"/>
      <c r="Q123" s="669" t="n"/>
      <c r="R123" s="669" t="n"/>
      <c r="S123" s="669" t="n"/>
      <c r="T123" s="669" t="n"/>
      <c r="U123" s="669" t="n"/>
      <c r="V123" s="669" t="n"/>
      <c r="W123" s="669" t="n"/>
      <c r="X123" s="669" t="n"/>
      <c r="Y123" s="669" t="n"/>
      <c r="Z123" s="669" t="n"/>
      <c r="AA123" s="669" t="n"/>
    </row>
    <row r="124">
      <c r="A124" s="1103" t="inlineStr">
        <is>
          <t>Athena's Delight</t>
        </is>
      </c>
      <c r="B124" s="1103" t="inlineStr">
        <is>
          <t>Band</t>
        </is>
      </c>
      <c r="C124" s="1103" t="inlineStr">
        <is>
          <t>C</t>
        </is>
      </c>
      <c r="D124" s="1103" t="inlineStr">
        <is>
          <t>S</t>
        </is>
      </c>
      <c r="E124" s="1075" t="inlineStr">
        <is>
          <t xml:space="preserve">Base skill activates Idol Boy Crowd Control skill; Lv11+ adds 1000 bonus score per level </t>
        </is>
      </c>
      <c r="F124" s="237" t="n"/>
      <c r="G124" s="237" t="n"/>
      <c r="H124" s="237" t="n"/>
      <c r="I124" s="237" t="n"/>
      <c r="J124" s="237" t="n"/>
      <c r="K124" s="237" t="n"/>
      <c r="L124" s="237" t="n"/>
      <c r="M124" s="238" t="n"/>
      <c r="N124" s="669" t="n"/>
      <c r="O124" s="669" t="n"/>
      <c r="P124" s="669" t="n"/>
      <c r="Q124" s="669" t="n"/>
      <c r="R124" s="669" t="n"/>
      <c r="S124" s="669" t="n"/>
      <c r="T124" s="669" t="n"/>
      <c r="U124" s="669" t="n"/>
      <c r="V124" s="669" t="n"/>
      <c r="W124" s="669" t="n"/>
      <c r="X124" s="669" t="n"/>
      <c r="Y124" s="669" t="n"/>
      <c r="Z124" s="669" t="n"/>
      <c r="AA124" s="669" t="n"/>
    </row>
    <row r="125">
      <c r="A125" s="1103" t="inlineStr">
        <is>
          <t>Lonesome Blues</t>
        </is>
      </c>
      <c r="B125" s="1103" t="inlineStr">
        <is>
          <t>Band</t>
        </is>
      </c>
      <c r="C125" s="1103" t="inlineStr">
        <is>
          <t>F</t>
        </is>
      </c>
      <c r="D125" s="1103" t="inlineStr">
        <is>
          <t>F</t>
        </is>
      </c>
      <c r="E125" s="1079" t="inlineStr">
        <is>
          <t>None of the last 6 anecdotes are type Blues</t>
        </is>
      </c>
      <c r="F125" s="1093" t="n"/>
      <c r="G125" s="1093" t="n"/>
      <c r="H125" s="1093" t="n"/>
      <c r="I125" s="1093" t="n"/>
      <c r="J125" s="1093" t="n"/>
      <c r="K125" s="1093" t="n"/>
      <c r="L125" s="1093" t="n"/>
      <c r="M125" s="965" t="n"/>
      <c r="N125" s="669" t="n"/>
      <c r="O125" s="669" t="n"/>
      <c r="P125" s="669" t="n"/>
      <c r="Q125" s="669" t="n"/>
      <c r="R125" s="669" t="n"/>
      <c r="S125" s="669" t="n"/>
      <c r="T125" s="669" t="n"/>
      <c r="U125" s="669" t="n"/>
      <c r="V125" s="669" t="n"/>
      <c r="W125" s="669" t="n"/>
      <c r="X125" s="669" t="n"/>
      <c r="Y125" s="669" t="n"/>
      <c r="Z125" s="669" t="n"/>
      <c r="AA125" s="669" t="n"/>
    </row>
    <row r="126">
      <c r="A126" s="1037" t="n"/>
      <c r="B126" s="1066" t="n"/>
      <c r="C126" s="1037" t="n"/>
      <c r="D126" s="1037" t="n"/>
      <c r="E126" s="1037" t="n"/>
      <c r="F126" s="669" t="n"/>
      <c r="G126" s="669" t="n"/>
      <c r="H126" s="669" t="n"/>
      <c r="I126" s="669" t="n"/>
      <c r="J126" s="669" t="n"/>
      <c r="K126" s="669" t="n"/>
      <c r="L126" s="669" t="n"/>
      <c r="M126" s="669" t="n"/>
      <c r="N126" s="669" t="n"/>
      <c r="O126" s="669" t="n"/>
      <c r="P126" s="669" t="n"/>
      <c r="Q126" s="669" t="n"/>
      <c r="R126" s="669" t="n"/>
      <c r="S126" s="669" t="n"/>
      <c r="T126" s="669" t="n"/>
      <c r="U126" s="669" t="n"/>
      <c r="V126" s="669" t="n"/>
      <c r="W126" s="669" t="n"/>
      <c r="X126" s="669" t="n"/>
      <c r="Y126" s="669" t="n"/>
      <c r="Z126" s="669" t="n"/>
      <c r="AA126" s="669" t="n"/>
    </row>
    <row r="127">
      <c r="A127" s="1037" t="n"/>
      <c r="B127" s="1066" t="n"/>
      <c r="C127" s="1037" t="n"/>
      <c r="D127" s="1037" t="n"/>
      <c r="E127" s="1037" t="n"/>
      <c r="F127" s="669" t="n"/>
      <c r="G127" s="669" t="n"/>
      <c r="H127" s="669" t="n"/>
      <c r="I127" s="669" t="n"/>
      <c r="J127" s="669" t="n"/>
      <c r="K127" s="669" t="n"/>
      <c r="L127" s="669" t="n"/>
      <c r="M127" s="669" t="n"/>
      <c r="N127" s="669" t="n"/>
      <c r="O127" s="669" t="n"/>
      <c r="P127" s="669" t="n"/>
      <c r="Q127" s="669" t="n"/>
      <c r="R127" s="669" t="n"/>
      <c r="S127" s="669" t="n"/>
      <c r="T127" s="669" t="n"/>
      <c r="U127" s="669" t="n"/>
      <c r="V127" s="669" t="n"/>
      <c r="W127" s="669" t="n"/>
      <c r="X127" s="669" t="n"/>
      <c r="Y127" s="669" t="n"/>
      <c r="Z127" s="669" t="n"/>
      <c r="AA127" s="669" t="n"/>
    </row>
    <row r="128">
      <c r="A128" s="1037" t="n"/>
      <c r="B128" s="1066" t="n"/>
      <c r="C128" s="1037" t="n"/>
      <c r="D128" s="1037" t="n"/>
      <c r="E128" s="1037" t="n"/>
      <c r="F128" s="669" t="n"/>
      <c r="G128" s="669" t="n"/>
      <c r="H128" s="669" t="n"/>
      <c r="I128" s="669" t="n"/>
      <c r="J128" s="669" t="n"/>
      <c r="K128" s="669" t="n"/>
      <c r="L128" s="669" t="n"/>
      <c r="M128" s="669" t="n"/>
      <c r="N128" s="669" t="n"/>
      <c r="O128" s="669" t="n"/>
      <c r="P128" s="669" t="n"/>
      <c r="Q128" s="669" t="n"/>
      <c r="R128" s="669" t="n"/>
      <c r="S128" s="669" t="n"/>
      <c r="T128" s="669" t="n"/>
      <c r="U128" s="669" t="n"/>
      <c r="V128" s="669" t="n"/>
      <c r="W128" s="669" t="n"/>
      <c r="X128" s="669" t="n"/>
      <c r="Y128" s="669" t="n"/>
      <c r="Z128" s="669" t="n"/>
      <c r="AA128" s="669" t="n"/>
    </row>
    <row r="129">
      <c r="A129" s="1068" t="inlineStr">
        <is>
          <t>Past Pyramid</t>
        </is>
      </c>
      <c r="B129" s="1069" t="n"/>
      <c r="C129" s="1070" t="inlineStr">
        <is>
          <t>Notes</t>
        </is>
      </c>
      <c r="D129" s="1071" t="n"/>
      <c r="E129" s="1071" t="n"/>
      <c r="F129" s="1072" t="n"/>
      <c r="G129" s="1072" t="n"/>
      <c r="H129" s="1072" t="n"/>
      <c r="I129" s="1072" t="n"/>
      <c r="J129" s="1072" t="n"/>
      <c r="K129" s="1072" t="n"/>
      <c r="L129" s="1072" t="n"/>
      <c r="M129" s="1073" t="n"/>
      <c r="N129" s="669" t="n"/>
      <c r="O129" s="669" t="n"/>
      <c r="P129" s="669" t="n"/>
      <c r="Q129" s="669" t="n"/>
      <c r="R129" s="669" t="n"/>
      <c r="S129" s="669" t="n"/>
      <c r="T129" s="669" t="n"/>
      <c r="U129" s="669" t="n"/>
      <c r="V129" s="669" t="n"/>
      <c r="W129" s="669" t="n"/>
      <c r="X129" s="669" t="n"/>
      <c r="Y129" s="669" t="n"/>
      <c r="Z129" s="669" t="n"/>
      <c r="AA129" s="669" t="n"/>
    </row>
    <row r="130">
      <c r="A130" s="1080" t="inlineStr">
        <is>
          <t>Passive</t>
        </is>
      </c>
      <c r="B130" s="1103" t="inlineStr">
        <is>
          <t>B</t>
        </is>
      </c>
      <c r="C130" s="1075" t="inlineStr">
        <is>
          <t>DMG REDUC</t>
        </is>
      </c>
      <c r="D130" s="373" t="n"/>
      <c r="E130" s="373" t="n"/>
      <c r="F130" s="237" t="n"/>
      <c r="G130" s="237" t="n"/>
      <c r="H130" s="237" t="n"/>
      <c r="I130" s="237" t="n"/>
      <c r="J130" s="237" t="n"/>
      <c r="K130" s="237" t="n"/>
      <c r="L130" s="237" t="n"/>
      <c r="M130" s="238" t="n"/>
      <c r="N130" s="669" t="n"/>
      <c r="O130" s="669" t="n"/>
      <c r="P130" s="669" t="n"/>
      <c r="Q130" s="669" t="n"/>
      <c r="R130" s="669" t="n"/>
      <c r="S130" s="669" t="n"/>
      <c r="T130" s="669" t="n"/>
      <c r="U130" s="669" t="n"/>
      <c r="V130" s="669" t="n"/>
      <c r="W130" s="669" t="n"/>
      <c r="X130" s="669" t="n"/>
      <c r="Y130" s="669" t="n"/>
      <c r="Z130" s="669" t="n"/>
      <c r="AA130" s="669" t="n"/>
    </row>
    <row r="131">
      <c r="A131" s="1080" t="inlineStr">
        <is>
          <t>Defense</t>
        </is>
      </c>
      <c r="B131" s="1103" t="inlineStr">
        <is>
          <t>A</t>
        </is>
      </c>
      <c r="C131" s="1037" t="n"/>
      <c r="D131" s="1037" t="n"/>
      <c r="E131" s="1037" t="n"/>
      <c r="F131" s="669" t="n"/>
      <c r="G131" s="669" t="n"/>
      <c r="H131" s="669" t="n"/>
      <c r="I131" s="669" t="n"/>
      <c r="J131" s="669" t="n"/>
      <c r="K131" s="669" t="n"/>
      <c r="L131" s="669" t="n"/>
      <c r="M131" s="1095" t="n"/>
      <c r="N131" s="669" t="n"/>
      <c r="O131" s="669" t="n"/>
      <c r="P131" s="669" t="n"/>
      <c r="Q131" s="669" t="n"/>
      <c r="R131" s="669" t="n"/>
      <c r="S131" s="669" t="n"/>
      <c r="T131" s="669" t="n"/>
      <c r="U131" s="669" t="n"/>
      <c r="V131" s="669" t="n"/>
      <c r="W131" s="669" t="n"/>
      <c r="X131" s="669" t="n"/>
      <c r="Y131" s="669" t="n"/>
      <c r="Z131" s="669" t="n"/>
      <c r="AA131" s="669" t="n"/>
    </row>
    <row r="132">
      <c r="A132" s="1080" t="inlineStr">
        <is>
          <t>Siege</t>
        </is>
      </c>
      <c r="B132" s="1103" t="inlineStr">
        <is>
          <t>B</t>
        </is>
      </c>
      <c r="C132" s="1075" t="n"/>
      <c r="D132" s="373" t="n"/>
      <c r="E132" s="373" t="n"/>
      <c r="F132" s="237" t="n"/>
      <c r="G132" s="237" t="n"/>
      <c r="H132" s="237" t="n"/>
      <c r="I132" s="237" t="n"/>
      <c r="J132" s="237" t="n"/>
      <c r="K132" s="237" t="n"/>
      <c r="L132" s="237" t="n"/>
      <c r="M132" s="238" t="n"/>
      <c r="N132" s="669" t="n"/>
      <c r="O132" s="669" t="n"/>
      <c r="P132" s="669" t="n"/>
      <c r="Q132" s="669" t="n"/>
      <c r="R132" s="669" t="n"/>
      <c r="S132" s="669" t="n"/>
      <c r="T132" s="669" t="n"/>
      <c r="U132" s="669" t="n"/>
      <c r="V132" s="669" t="n"/>
      <c r="W132" s="669" t="n"/>
      <c r="X132" s="669" t="n"/>
      <c r="Y132" s="669" t="n"/>
      <c r="Z132" s="669" t="n"/>
      <c r="AA132" s="669" t="n"/>
    </row>
    <row r="133">
      <c r="A133" s="1080" t="inlineStr">
        <is>
          <t>Growth Speed</t>
        </is>
      </c>
      <c r="B133" s="1103" t="inlineStr">
        <is>
          <t>Low</t>
        </is>
      </c>
      <c r="C133" s="1037" t="n"/>
      <c r="D133" s="1037" t="n"/>
      <c r="E133" s="1037" t="n"/>
      <c r="F133" s="669" t="n"/>
      <c r="G133" s="669" t="n"/>
      <c r="H133" s="669" t="n"/>
      <c r="I133" s="669" t="n"/>
      <c r="J133" s="669" t="n"/>
      <c r="K133" s="669" t="n"/>
      <c r="L133" s="669" t="n"/>
      <c r="M133" s="1095" t="n"/>
      <c r="N133" s="669" t="n"/>
      <c r="O133" s="669" t="n"/>
      <c r="P133" s="669" t="n"/>
      <c r="Q133" s="669" t="n"/>
      <c r="R133" s="669" t="n"/>
      <c r="S133" s="669" t="n"/>
      <c r="T133" s="669" t="n"/>
      <c r="U133" s="669" t="n"/>
      <c r="V133" s="669" t="n"/>
      <c r="W133" s="669" t="n"/>
      <c r="X133" s="669" t="n"/>
      <c r="Y133" s="669" t="n"/>
      <c r="Z133" s="669" t="n"/>
      <c r="AA133" s="669" t="n"/>
    </row>
    <row r="134">
      <c r="A134" s="1080" t="inlineStr">
        <is>
          <t>Leveling Priority</t>
        </is>
      </c>
      <c r="B134" s="1103" t="inlineStr">
        <is>
          <t>B</t>
        </is>
      </c>
      <c r="C134" s="1075" t="inlineStr">
        <is>
          <t>High value in one anecdote type + moderate value in another; Slow growth potential limits level relative to other drifters; Moderate passive</t>
        </is>
      </c>
      <c r="D134" s="373" t="n"/>
      <c r="E134" s="373" t="n"/>
      <c r="F134" s="237" t="n"/>
      <c r="G134" s="237" t="n"/>
      <c r="H134" s="237" t="n"/>
      <c r="I134" s="237" t="n"/>
      <c r="J134" s="237" t="n"/>
      <c r="K134" s="237" t="n"/>
      <c r="L134" s="237" t="n"/>
      <c r="M134" s="238" t="n"/>
      <c r="N134" s="669" t="n"/>
      <c r="O134" s="669" t="n"/>
      <c r="P134" s="669" t="n"/>
      <c r="Q134" s="669" t="n"/>
      <c r="R134" s="669" t="n"/>
      <c r="S134" s="669" t="n"/>
      <c r="T134" s="669" t="n"/>
      <c r="U134" s="669" t="n"/>
      <c r="V134" s="669" t="n"/>
      <c r="W134" s="669" t="n"/>
      <c r="X134" s="669" t="n"/>
      <c r="Y134" s="669" t="n"/>
      <c r="Z134" s="669" t="n"/>
      <c r="AA134" s="669" t="n"/>
    </row>
    <row r="135">
      <c r="A135" s="1064" t="n"/>
      <c r="B135" s="1066" t="n"/>
      <c r="C135" s="1037" t="n"/>
      <c r="D135" s="1037" t="n"/>
      <c r="E135" s="1037" t="n"/>
      <c r="F135" s="669" t="n"/>
      <c r="G135" s="669" t="n"/>
      <c r="H135" s="669" t="n"/>
      <c r="I135" s="669" t="n"/>
      <c r="J135" s="669" t="n"/>
      <c r="K135" s="669" t="n"/>
      <c r="L135" s="669" t="n"/>
      <c r="M135" s="1095" t="n"/>
      <c r="N135" s="669" t="n"/>
      <c r="O135" s="669" t="n"/>
      <c r="P135" s="669" t="n"/>
      <c r="Q135" s="669" t="n"/>
      <c r="R135" s="669" t="n"/>
      <c r="S135" s="669" t="n"/>
      <c r="T135" s="669" t="n"/>
      <c r="U135" s="669" t="n"/>
      <c r="V135" s="669" t="n"/>
      <c r="W135" s="669" t="n"/>
      <c r="X135" s="669" t="n"/>
      <c r="Y135" s="669" t="n"/>
      <c r="Z135" s="669" t="n"/>
      <c r="AA135" s="669" t="n"/>
    </row>
    <row r="136">
      <c r="A136" s="1080" t="inlineStr">
        <is>
          <t>Name</t>
        </is>
      </c>
      <c r="B136" s="1080" t="inlineStr">
        <is>
          <t>Type</t>
        </is>
      </c>
      <c r="C136" s="1080" t="inlineStr">
        <is>
          <t>Lv10 Priority</t>
        </is>
      </c>
      <c r="D136" s="1080" t="inlineStr">
        <is>
          <t>Lv20 Priority</t>
        </is>
      </c>
      <c r="E136" s="1076" t="inlineStr">
        <is>
          <t>Notes</t>
        </is>
      </c>
      <c r="F136" s="1077" t="n"/>
      <c r="G136" s="1077" t="n"/>
      <c r="H136" s="1077" t="n"/>
      <c r="I136" s="1077" t="n"/>
      <c r="J136" s="1077" t="n"/>
      <c r="K136" s="1077" t="n"/>
      <c r="L136" s="1077" t="n"/>
      <c r="M136" s="1078" t="n"/>
      <c r="N136" s="669" t="n"/>
      <c r="O136" s="669" t="n"/>
      <c r="P136" s="669" t="n"/>
      <c r="Q136" s="669" t="n"/>
      <c r="R136" s="669" t="n"/>
      <c r="S136" s="669" t="n"/>
      <c r="T136" s="669" t="n"/>
      <c r="U136" s="669" t="n"/>
      <c r="V136" s="669" t="n"/>
      <c r="W136" s="669" t="n"/>
      <c r="X136" s="669" t="n"/>
      <c r="Y136" s="669" t="n"/>
      <c r="Z136" s="669" t="n"/>
      <c r="AA136" s="669" t="n"/>
    </row>
    <row r="137">
      <c r="A137" s="1103" t="inlineStr">
        <is>
          <t>Obsidian Shield</t>
        </is>
      </c>
      <c r="B137" s="1103" t="inlineStr">
        <is>
          <t>Defense</t>
        </is>
      </c>
      <c r="C137" s="1103" t="inlineStr">
        <is>
          <t>B</t>
        </is>
      </c>
      <c r="D137" s="1103" t="inlineStr">
        <is>
          <t>B</t>
        </is>
      </c>
      <c r="E137" s="1075" t="inlineStr">
        <is>
          <t>Potentially only boosts Past/Future Pyramid; Does not boost HP; Potentially reduces damage taken?</t>
        </is>
      </c>
      <c r="F137" s="237" t="n"/>
      <c r="G137" s="237" t="n"/>
      <c r="H137" s="237" t="n"/>
      <c r="I137" s="237" t="n"/>
      <c r="J137" s="237" t="n"/>
      <c r="K137" s="237" t="n"/>
      <c r="L137" s="237" t="n"/>
      <c r="M137" s="238" t="n"/>
      <c r="N137" s="669" t="n"/>
      <c r="O137" s="669" t="n"/>
      <c r="P137" s="669" t="n"/>
      <c r="Q137" s="669" t="n"/>
      <c r="R137" s="669" t="n"/>
      <c r="S137" s="669" t="n"/>
      <c r="T137" s="669" t="n"/>
      <c r="U137" s="669" t="n"/>
      <c r="V137" s="669" t="n"/>
      <c r="W137" s="669" t="n"/>
      <c r="X137" s="669" t="n"/>
      <c r="Y137" s="669" t="n"/>
      <c r="Z137" s="669" t="n"/>
      <c r="AA137" s="669" t="n"/>
    </row>
    <row r="138">
      <c r="A138" s="1103" t="inlineStr">
        <is>
          <t>Revenant Aura</t>
        </is>
      </c>
      <c r="B138" s="1103" t="inlineStr">
        <is>
          <t>Defense</t>
        </is>
      </c>
      <c r="C138" s="1103" t="inlineStr">
        <is>
          <t>B</t>
        </is>
      </c>
      <c r="D138" s="1103" t="inlineStr">
        <is>
          <t>B</t>
        </is>
      </c>
      <c r="E138" s="1037" t="n"/>
      <c r="F138" s="669" t="n"/>
      <c r="G138" s="669" t="n"/>
      <c r="H138" s="669" t="n"/>
      <c r="I138" s="669" t="n"/>
      <c r="J138" s="669" t="n"/>
      <c r="K138" s="669" t="n"/>
      <c r="L138" s="669" t="n"/>
      <c r="M138" s="1095" t="n"/>
      <c r="N138" s="669" t="n"/>
      <c r="O138" s="669" t="n"/>
      <c r="P138" s="669" t="n"/>
      <c r="Q138" s="669" t="n"/>
      <c r="R138" s="669" t="n"/>
      <c r="S138" s="669" t="n"/>
      <c r="T138" s="669" t="n"/>
      <c r="U138" s="669" t="n"/>
      <c r="V138" s="669" t="n"/>
      <c r="W138" s="669" t="n"/>
      <c r="X138" s="669" t="n"/>
      <c r="Y138" s="669" t="n"/>
      <c r="Z138" s="669" t="n"/>
      <c r="AA138" s="669" t="n"/>
    </row>
    <row r="139">
      <c r="A139" s="1103" t="inlineStr">
        <is>
          <t>Tremendous Pressure</t>
        </is>
      </c>
      <c r="B139" s="1103" t="inlineStr">
        <is>
          <t>Defense</t>
        </is>
      </c>
      <c r="C139" s="1103" t="inlineStr">
        <is>
          <t>C</t>
        </is>
      </c>
      <c r="D139" s="1103" t="inlineStr">
        <is>
          <t>C</t>
        </is>
      </c>
      <c r="E139" s="1075" t="inlineStr">
        <is>
          <t>Does not scale well in later anecdotes; Activation time varies wildly</t>
        </is>
      </c>
      <c r="F139" s="237" t="n"/>
      <c r="G139" s="237" t="n"/>
      <c r="H139" s="237" t="n"/>
      <c r="I139" s="237" t="n"/>
      <c r="J139" s="237" t="n"/>
      <c r="K139" s="237" t="n"/>
      <c r="L139" s="237" t="n"/>
      <c r="M139" s="238" t="n"/>
      <c r="N139" s="669" t="n"/>
      <c r="O139" s="669" t="n"/>
      <c r="P139" s="669" t="n"/>
      <c r="Q139" s="669" t="n"/>
      <c r="R139" s="669" t="n"/>
      <c r="S139" s="669" t="n"/>
      <c r="T139" s="669" t="n"/>
      <c r="U139" s="669" t="n"/>
      <c r="V139" s="669" t="n"/>
      <c r="W139" s="669" t="n"/>
      <c r="X139" s="669" t="n"/>
      <c r="Y139" s="669" t="n"/>
      <c r="Z139" s="669" t="n"/>
      <c r="AA139" s="669" t="n"/>
    </row>
    <row r="140">
      <c r="A140" s="1103" t="inlineStr">
        <is>
          <t>Divine Wind</t>
        </is>
      </c>
      <c r="B140" s="1103" t="inlineStr">
        <is>
          <t>Siege</t>
        </is>
      </c>
      <c r="C140" s="1103" t="inlineStr">
        <is>
          <t>B</t>
        </is>
      </c>
      <c r="D140" s="1103" t="inlineStr">
        <is>
          <t>B</t>
        </is>
      </c>
      <c r="E140" s="1075" t="inlineStr">
        <is>
          <t>Affects all drifters</t>
        </is>
      </c>
      <c r="F140" s="237" t="n"/>
      <c r="G140" s="237" t="n"/>
      <c r="H140" s="237" t="n"/>
      <c r="I140" s="237" t="n"/>
      <c r="J140" s="237" t="n"/>
      <c r="K140" s="237" t="n"/>
      <c r="L140" s="237" t="n"/>
      <c r="M140" s="238" t="n"/>
      <c r="N140" s="669" t="n"/>
      <c r="O140" s="669" t="n"/>
      <c r="P140" s="669" t="n"/>
      <c r="Q140" s="669" t="n"/>
      <c r="R140" s="669" t="n"/>
      <c r="S140" s="669" t="n"/>
      <c r="T140" s="669" t="n"/>
      <c r="U140" s="669" t="n"/>
      <c r="V140" s="669" t="n"/>
      <c r="W140" s="669" t="n"/>
      <c r="X140" s="669" t="n"/>
      <c r="Y140" s="669" t="n"/>
      <c r="Z140" s="669" t="n"/>
      <c r="AA140" s="669" t="n"/>
    </row>
    <row r="141">
      <c r="A141" s="1103" t="inlineStr">
        <is>
          <t>Pharaoh's Curse</t>
        </is>
      </c>
      <c r="B141" s="1103" t="inlineStr">
        <is>
          <t>Siege</t>
        </is>
      </c>
      <c r="C141" s="1103" t="inlineStr">
        <is>
          <t>B</t>
        </is>
      </c>
      <c r="D141" s="1103" t="inlineStr">
        <is>
          <t>B</t>
        </is>
      </c>
      <c r="E141" s="1079" t="inlineStr">
        <is>
          <t>Only affects Past Pyramid</t>
        </is>
      </c>
      <c r="F141" s="1093" t="n"/>
      <c r="G141" s="1093" t="n"/>
      <c r="H141" s="1093" t="n"/>
      <c r="I141" s="1093" t="n"/>
      <c r="J141" s="1093" t="n"/>
      <c r="K141" s="1093" t="n"/>
      <c r="L141" s="1093" t="n"/>
      <c r="M141" s="965" t="n"/>
      <c r="N141" s="669" t="n"/>
      <c r="O141" s="669" t="n"/>
      <c r="P141" s="669" t="n"/>
      <c r="Q141" s="669" t="n"/>
      <c r="R141" s="669" t="n"/>
      <c r="S141" s="669" t="n"/>
      <c r="T141" s="669" t="n"/>
      <c r="U141" s="669" t="n"/>
      <c r="V141" s="669" t="n"/>
      <c r="W141" s="669" t="n"/>
      <c r="X141" s="669" t="n"/>
      <c r="Y141" s="669" t="n"/>
      <c r="Z141" s="669" t="n"/>
      <c r="AA141" s="669" t="n"/>
    </row>
    <row r="142">
      <c r="A142" s="1037" t="n"/>
      <c r="B142" s="1066" t="n"/>
      <c r="C142" s="1037" t="n"/>
      <c r="D142" s="1037" t="n"/>
      <c r="E142" s="1037" t="n"/>
      <c r="F142" s="669" t="n"/>
      <c r="G142" s="669" t="n"/>
      <c r="H142" s="669" t="n"/>
      <c r="I142" s="669" t="n"/>
      <c r="J142" s="669" t="n"/>
      <c r="K142" s="669" t="n"/>
      <c r="L142" s="669" t="n"/>
      <c r="M142" s="669" t="n"/>
      <c r="N142" s="669" t="n"/>
      <c r="O142" s="669" t="n"/>
      <c r="P142" s="669" t="n"/>
      <c r="Q142" s="669" t="n"/>
      <c r="R142" s="669" t="n"/>
      <c r="S142" s="669" t="n"/>
      <c r="T142" s="669" t="n"/>
      <c r="U142" s="669" t="n"/>
      <c r="V142" s="669" t="n"/>
      <c r="W142" s="669" t="n"/>
      <c r="X142" s="669" t="n"/>
      <c r="Y142" s="669" t="n"/>
      <c r="Z142" s="669" t="n"/>
      <c r="AA142" s="669" t="n"/>
    </row>
    <row r="143">
      <c r="A143" s="1037" t="n"/>
      <c r="B143" s="1066" t="n"/>
      <c r="C143" s="1037" t="n"/>
      <c r="D143" s="1037" t="n"/>
      <c r="E143" s="1037" t="n"/>
      <c r="F143" s="669" t="n"/>
      <c r="G143" s="669" t="n"/>
      <c r="H143" s="669" t="n"/>
      <c r="I143" s="669" t="n"/>
      <c r="J143" s="669" t="n"/>
      <c r="K143" s="669" t="n"/>
      <c r="L143" s="669" t="n"/>
      <c r="M143" s="669" t="n"/>
      <c r="N143" s="669" t="n"/>
      <c r="O143" s="669" t="n"/>
      <c r="P143" s="669" t="n"/>
      <c r="Q143" s="669" t="n"/>
      <c r="R143" s="669" t="n"/>
      <c r="S143" s="669" t="n"/>
      <c r="T143" s="669" t="n"/>
      <c r="U143" s="669" t="n"/>
      <c r="V143" s="669" t="n"/>
      <c r="W143" s="669" t="n"/>
      <c r="X143" s="669" t="n"/>
      <c r="Y143" s="669" t="n"/>
      <c r="Z143" s="669" t="n"/>
      <c r="AA143" s="669" t="n"/>
    </row>
    <row r="144">
      <c r="A144" s="1037" t="n"/>
      <c r="B144" s="1066" t="n"/>
      <c r="C144" s="1037" t="n"/>
      <c r="D144" s="1037" t="n"/>
      <c r="E144" s="1037" t="n"/>
      <c r="F144" s="669" t="n"/>
      <c r="G144" s="669" t="n"/>
      <c r="H144" s="669" t="n"/>
      <c r="I144" s="669" t="n"/>
      <c r="J144" s="669" t="n"/>
      <c r="K144" s="669" t="n"/>
      <c r="L144" s="669" t="n"/>
      <c r="M144" s="669" t="n"/>
      <c r="N144" s="669" t="n"/>
      <c r="O144" s="669" t="n"/>
      <c r="P144" s="669" t="n"/>
      <c r="Q144" s="669" t="n"/>
      <c r="R144" s="669" t="n"/>
      <c r="S144" s="669" t="n"/>
      <c r="T144" s="669" t="n"/>
      <c r="U144" s="669" t="n"/>
      <c r="V144" s="669" t="n"/>
      <c r="W144" s="669" t="n"/>
      <c r="X144" s="669" t="n"/>
      <c r="Y144" s="669" t="n"/>
      <c r="Z144" s="669" t="n"/>
      <c r="AA144" s="669" t="n"/>
    </row>
    <row r="145">
      <c r="A145" s="1068" t="inlineStr">
        <is>
          <t>Future Pyramid</t>
        </is>
      </c>
      <c r="B145" s="1069" t="n"/>
      <c r="C145" s="1070" t="inlineStr">
        <is>
          <t>Notes</t>
        </is>
      </c>
      <c r="D145" s="1071" t="n"/>
      <c r="E145" s="1071" t="n"/>
      <c r="F145" s="1072" t="n"/>
      <c r="G145" s="1072" t="n"/>
      <c r="H145" s="1072" t="n"/>
      <c r="I145" s="1072" t="n"/>
      <c r="J145" s="1072" t="n"/>
      <c r="K145" s="1072" t="n"/>
      <c r="L145" s="1072" t="n"/>
      <c r="M145" s="1073" t="n"/>
      <c r="N145" s="669" t="n"/>
      <c r="O145" s="669" t="n"/>
      <c r="P145" s="669" t="n"/>
      <c r="Q145" s="669" t="n"/>
      <c r="R145" s="669" t="n"/>
      <c r="S145" s="669" t="n"/>
      <c r="T145" s="669" t="n"/>
      <c r="U145" s="669" t="n"/>
      <c r="V145" s="669" t="n"/>
      <c r="W145" s="669" t="n"/>
      <c r="X145" s="669" t="n"/>
      <c r="Y145" s="669" t="n"/>
      <c r="Z145" s="669" t="n"/>
      <c r="AA145" s="669" t="n"/>
    </row>
    <row r="146">
      <c r="A146" s="1080" t="inlineStr">
        <is>
          <t>Passive</t>
        </is>
      </c>
      <c r="B146" s="1103" t="inlineStr">
        <is>
          <t>B</t>
        </is>
      </c>
      <c r="C146" s="1075" t="inlineStr">
        <is>
          <t>1st Round DMG</t>
        </is>
      </c>
      <c r="D146" s="373" t="n"/>
      <c r="E146" s="373" t="n"/>
      <c r="F146" s="237" t="n"/>
      <c r="G146" s="237" t="n"/>
      <c r="H146" s="237" t="n"/>
      <c r="I146" s="237" t="n"/>
      <c r="J146" s="237" t="n"/>
      <c r="K146" s="237" t="n"/>
      <c r="L146" s="237" t="n"/>
      <c r="M146" s="238" t="n"/>
      <c r="N146" s="669" t="n"/>
      <c r="O146" s="669" t="n"/>
      <c r="P146" s="669" t="n"/>
      <c r="Q146" s="669" t="n"/>
      <c r="R146" s="669" t="n"/>
      <c r="S146" s="669" t="n"/>
      <c r="T146" s="669" t="n"/>
      <c r="U146" s="669" t="n"/>
      <c r="V146" s="669" t="n"/>
      <c r="W146" s="669" t="n"/>
      <c r="X146" s="669" t="n"/>
      <c r="Y146" s="669" t="n"/>
      <c r="Z146" s="669" t="n"/>
      <c r="AA146" s="669" t="n"/>
    </row>
    <row r="147">
      <c r="A147" s="1080" t="inlineStr">
        <is>
          <t>Siege</t>
        </is>
      </c>
      <c r="B147" s="1103" t="inlineStr">
        <is>
          <t>S</t>
        </is>
      </c>
      <c r="C147" s="1037" t="inlineStr">
        <is>
          <t>Highest skill gain; Gains the most from Dragon Formation</t>
        </is>
      </c>
      <c r="D147" s="1037" t="n"/>
      <c r="E147" s="1037" t="n"/>
      <c r="F147" s="669" t="n"/>
      <c r="G147" s="669" t="n"/>
      <c r="H147" s="669" t="n"/>
      <c r="I147" s="669" t="n"/>
      <c r="J147" s="669" t="n"/>
      <c r="K147" s="669" t="n"/>
      <c r="L147" s="669" t="n"/>
      <c r="M147" s="1095" t="n"/>
      <c r="N147" s="669" t="n"/>
      <c r="O147" s="669" t="n"/>
      <c r="P147" s="669" t="n"/>
      <c r="Q147" s="669" t="n"/>
      <c r="R147" s="669" t="n"/>
      <c r="S147" s="669" t="n"/>
      <c r="T147" s="669" t="n"/>
      <c r="U147" s="669" t="n"/>
      <c r="V147" s="669" t="n"/>
      <c r="W147" s="669" t="n"/>
      <c r="X147" s="669" t="n"/>
      <c r="Y147" s="669" t="n"/>
      <c r="Z147" s="669" t="n"/>
      <c r="AA147" s="669" t="n"/>
    </row>
    <row r="148">
      <c r="A148" s="1080" t="inlineStr">
        <is>
          <t>Defense</t>
        </is>
      </c>
      <c r="B148" s="1103" t="inlineStr">
        <is>
          <t>B/A</t>
        </is>
      </c>
      <c r="C148" s="1075" t="inlineStr">
        <is>
          <t>Potential replacement for Momochi</t>
        </is>
      </c>
      <c r="D148" s="373" t="n"/>
      <c r="E148" s="373" t="n"/>
      <c r="F148" s="237" t="n"/>
      <c r="G148" s="237" t="n"/>
      <c r="H148" s="237" t="n"/>
      <c r="I148" s="237" t="n"/>
      <c r="J148" s="237" t="n"/>
      <c r="K148" s="237" t="n"/>
      <c r="L148" s="237" t="n"/>
      <c r="M148" s="238" t="n"/>
      <c r="N148" s="669" t="n"/>
      <c r="O148" s="669" t="n"/>
      <c r="P148" s="669" t="n"/>
      <c r="Q148" s="669" t="n"/>
      <c r="R148" s="669" t="n"/>
      <c r="S148" s="669" t="n"/>
      <c r="T148" s="669" t="n"/>
      <c r="U148" s="669" t="n"/>
      <c r="V148" s="669" t="n"/>
      <c r="W148" s="669" t="n"/>
      <c r="X148" s="669" t="n"/>
      <c r="Y148" s="669" t="n"/>
      <c r="Z148" s="669" t="n"/>
      <c r="AA148" s="669" t="n"/>
    </row>
    <row r="149">
      <c r="A149" s="1080" t="inlineStr">
        <is>
          <t>Growth Speed</t>
        </is>
      </c>
      <c r="B149" s="1103" t="inlineStr">
        <is>
          <t>Low</t>
        </is>
      </c>
      <c r="C149" s="1037" t="n"/>
      <c r="D149" s="1037" t="n"/>
      <c r="E149" s="1037" t="n"/>
      <c r="F149" s="669" t="n"/>
      <c r="G149" s="669" t="n"/>
      <c r="H149" s="669" t="n"/>
      <c r="I149" s="669" t="n"/>
      <c r="J149" s="669" t="n"/>
      <c r="K149" s="669" t="n"/>
      <c r="L149" s="669" t="n"/>
      <c r="M149" s="1095" t="n"/>
      <c r="N149" s="669" t="n"/>
      <c r="O149" s="669" t="n"/>
      <c r="P149" s="669" t="n"/>
      <c r="Q149" s="669" t="n"/>
      <c r="R149" s="669" t="n"/>
      <c r="S149" s="669" t="n"/>
      <c r="T149" s="669" t="n"/>
      <c r="U149" s="669" t="n"/>
      <c r="V149" s="669" t="n"/>
      <c r="W149" s="669" t="n"/>
      <c r="X149" s="669" t="n"/>
      <c r="Y149" s="669" t="n"/>
      <c r="Z149" s="669" t="n"/>
      <c r="AA149" s="669" t="n"/>
    </row>
    <row r="150">
      <c r="A150" s="1080" t="inlineStr">
        <is>
          <t>Leveling Priority</t>
        </is>
      </c>
      <c r="B150" s="1103" t="inlineStr">
        <is>
          <t>B</t>
        </is>
      </c>
      <c r="C150" s="1075" t="inlineStr">
        <is>
          <t>High value in one anecdote type + low value in another; Slow growth potential limits level relative to other drifters; Moderate passive</t>
        </is>
      </c>
      <c r="D150" s="373" t="n"/>
      <c r="E150" s="373" t="n"/>
      <c r="F150" s="237" t="n"/>
      <c r="G150" s="237" t="n"/>
      <c r="H150" s="237" t="n"/>
      <c r="I150" s="237" t="n"/>
      <c r="J150" s="237" t="n"/>
      <c r="K150" s="237" t="n"/>
      <c r="L150" s="237" t="n"/>
      <c r="M150" s="238" t="n"/>
      <c r="N150" s="669" t="n"/>
      <c r="O150" s="669" t="n"/>
      <c r="P150" s="669" t="n"/>
      <c r="Q150" s="669" t="n"/>
      <c r="R150" s="669" t="n"/>
      <c r="S150" s="669" t="n"/>
      <c r="T150" s="669" t="n"/>
      <c r="U150" s="669" t="n"/>
      <c r="V150" s="669" t="n"/>
      <c r="W150" s="669" t="n"/>
      <c r="X150" s="669" t="n"/>
      <c r="Y150" s="669" t="n"/>
      <c r="Z150" s="669" t="n"/>
      <c r="AA150" s="669" t="n"/>
    </row>
    <row r="151">
      <c r="A151" s="1064" t="n"/>
      <c r="B151" s="1066" t="n"/>
      <c r="C151" s="1037" t="n"/>
      <c r="D151" s="1037" t="n"/>
      <c r="E151" s="1037" t="n"/>
      <c r="F151" s="669" t="n"/>
      <c r="G151" s="669" t="n"/>
      <c r="H151" s="669" t="n"/>
      <c r="I151" s="669" t="n"/>
      <c r="J151" s="669" t="n"/>
      <c r="K151" s="669" t="n"/>
      <c r="L151" s="669" t="n"/>
      <c r="M151" s="1095" t="n"/>
      <c r="N151" s="669" t="n"/>
      <c r="O151" s="669" t="n"/>
      <c r="P151" s="669" t="n"/>
      <c r="Q151" s="669" t="n"/>
      <c r="R151" s="669" t="n"/>
      <c r="S151" s="669" t="n"/>
      <c r="T151" s="669" t="n"/>
      <c r="U151" s="669" t="n"/>
      <c r="V151" s="669" t="n"/>
      <c r="W151" s="669" t="n"/>
      <c r="X151" s="669" t="n"/>
      <c r="Y151" s="669" t="n"/>
      <c r="Z151" s="669" t="n"/>
      <c r="AA151" s="669" t="n"/>
    </row>
    <row r="152">
      <c r="A152" s="1080" t="inlineStr">
        <is>
          <t>Name</t>
        </is>
      </c>
      <c r="B152" s="1080" t="inlineStr">
        <is>
          <t>Type</t>
        </is>
      </c>
      <c r="C152" s="1080" t="inlineStr">
        <is>
          <t>Lv10 Priority</t>
        </is>
      </c>
      <c r="D152" s="1080" t="inlineStr">
        <is>
          <t>Lv20 Priority</t>
        </is>
      </c>
      <c r="E152" s="1076" t="inlineStr">
        <is>
          <t>Notes</t>
        </is>
      </c>
      <c r="F152" s="1077" t="n"/>
      <c r="G152" s="1077" t="n"/>
      <c r="H152" s="1077" t="n"/>
      <c r="I152" s="1077" t="n"/>
      <c r="J152" s="1077" t="n"/>
      <c r="K152" s="1077" t="n"/>
      <c r="L152" s="1077" t="n"/>
      <c r="M152" s="1078" t="n"/>
      <c r="N152" s="669" t="n"/>
      <c r="O152" s="669" t="n"/>
      <c r="P152" s="669" t="n"/>
      <c r="Q152" s="669" t="n"/>
      <c r="R152" s="669" t="n"/>
      <c r="S152" s="669" t="n"/>
      <c r="T152" s="669" t="n"/>
      <c r="U152" s="669" t="n"/>
      <c r="V152" s="669" t="n"/>
      <c r="W152" s="669" t="n"/>
      <c r="X152" s="669" t="n"/>
      <c r="Y152" s="669" t="n"/>
      <c r="Z152" s="669" t="n"/>
      <c r="AA152" s="669" t="n"/>
    </row>
    <row r="153">
      <c r="A153" s="1103" t="inlineStr">
        <is>
          <t>Kinetic Shield</t>
        </is>
      </c>
      <c r="B153" s="1103" t="inlineStr">
        <is>
          <t>Siege</t>
        </is>
      </c>
      <c r="C153" s="1103" t="inlineStr">
        <is>
          <t>A</t>
        </is>
      </c>
      <c r="D153" s="1103" t="inlineStr">
        <is>
          <t>A</t>
        </is>
      </c>
      <c r="E153" s="1075" t="inlineStr">
        <is>
          <t>Affects all drifters</t>
        </is>
      </c>
      <c r="F153" s="237" t="n"/>
      <c r="G153" s="237" t="n"/>
      <c r="H153" s="237" t="n"/>
      <c r="I153" s="237" t="n"/>
      <c r="J153" s="237" t="n"/>
      <c r="K153" s="237" t="n"/>
      <c r="L153" s="237" t="n"/>
      <c r="M153" s="238" t="n"/>
      <c r="N153" s="669" t="n"/>
      <c r="O153" s="669" t="n"/>
      <c r="P153" s="669" t="n"/>
      <c r="Q153" s="669" t="n"/>
      <c r="R153" s="669" t="n"/>
      <c r="S153" s="669" t="n"/>
      <c r="T153" s="669" t="n"/>
      <c r="U153" s="669" t="n"/>
      <c r="V153" s="669" t="n"/>
      <c r="W153" s="669" t="n"/>
      <c r="X153" s="669" t="n"/>
      <c r="Y153" s="669" t="n"/>
      <c r="Z153" s="669" t="n"/>
      <c r="AA153" s="669" t="n"/>
    </row>
    <row r="154">
      <c r="A154" s="1103" t="inlineStr">
        <is>
          <t>Energy Transformation</t>
        </is>
      </c>
      <c r="B154" s="1103" t="inlineStr">
        <is>
          <t>Siege</t>
        </is>
      </c>
      <c r="C154" s="1103" t="inlineStr">
        <is>
          <t>A</t>
        </is>
      </c>
      <c r="D154" s="1103" t="inlineStr">
        <is>
          <t>A</t>
        </is>
      </c>
      <c r="E154" s="1037" t="inlineStr">
        <is>
          <t>Only affects Future Pyramid</t>
        </is>
      </c>
      <c r="F154" s="669" t="n"/>
      <c r="G154" s="669" t="n"/>
      <c r="H154" s="669" t="n"/>
      <c r="I154" s="669" t="n"/>
      <c r="J154" s="669" t="n"/>
      <c r="K154" s="669" t="n"/>
      <c r="L154" s="669" t="n"/>
      <c r="M154" s="1095" t="n"/>
      <c r="N154" s="669" t="n"/>
      <c r="O154" s="669" t="n"/>
      <c r="P154" s="669" t="n"/>
      <c r="Q154" s="669" t="n"/>
      <c r="R154" s="669" t="n"/>
      <c r="S154" s="669" t="n"/>
      <c r="T154" s="669" t="n"/>
      <c r="U154" s="669" t="n"/>
      <c r="V154" s="669" t="n"/>
      <c r="W154" s="669" t="n"/>
      <c r="X154" s="669" t="n"/>
      <c r="Y154" s="669" t="n"/>
      <c r="Z154" s="669" t="n"/>
      <c r="AA154" s="669" t="n"/>
    </row>
    <row r="155">
      <c r="A155" s="1103" t="inlineStr">
        <is>
          <t>Overclocked Radiation</t>
        </is>
      </c>
      <c r="B155" s="1103" t="inlineStr">
        <is>
          <t>Siege</t>
        </is>
      </c>
      <c r="C155" s="1103" t="inlineStr">
        <is>
          <t>B</t>
        </is>
      </c>
      <c r="D155" s="1103" t="inlineStr">
        <is>
          <t>B</t>
        </is>
      </c>
      <c r="E155" s="1075" t="inlineStr">
        <is>
          <t>Affects all drifters</t>
        </is>
      </c>
      <c r="F155" s="237" t="n"/>
      <c r="G155" s="237" t="n"/>
      <c r="H155" s="237" t="n"/>
      <c r="I155" s="237" t="n"/>
      <c r="J155" s="237" t="n"/>
      <c r="K155" s="237" t="n"/>
      <c r="L155" s="237" t="n"/>
      <c r="M155" s="238" t="n"/>
      <c r="N155" s="669" t="n"/>
      <c r="O155" s="669" t="n"/>
      <c r="P155" s="669" t="n"/>
      <c r="Q155" s="669" t="n"/>
      <c r="R155" s="669" t="n"/>
      <c r="S155" s="669" t="n"/>
      <c r="T155" s="669" t="n"/>
      <c r="U155" s="669" t="n"/>
      <c r="V155" s="669" t="n"/>
      <c r="W155" s="669" t="n"/>
      <c r="X155" s="669" t="n"/>
      <c r="Y155" s="669" t="n"/>
      <c r="Z155" s="669" t="n"/>
      <c r="AA155" s="669" t="n"/>
    </row>
    <row r="156">
      <c r="A156" s="1103" t="inlineStr">
        <is>
          <t>Source of Radiation</t>
        </is>
      </c>
      <c r="B156" s="1103" t="inlineStr">
        <is>
          <t>Defense</t>
        </is>
      </c>
      <c r="C156" s="1103" t="inlineStr">
        <is>
          <t>D</t>
        </is>
      </c>
      <c r="D156" s="1103" t="inlineStr">
        <is>
          <t>D</t>
        </is>
      </c>
      <c r="E156" s="1075" t="inlineStr">
        <is>
          <t>Temporary version of Momochi Water Wall; Relies on spotty AI usage</t>
        </is>
      </c>
      <c r="F156" s="237" t="n"/>
      <c r="G156" s="237" t="n"/>
      <c r="H156" s="237" t="n"/>
      <c r="I156" s="237" t="n"/>
      <c r="J156" s="237" t="n"/>
      <c r="K156" s="237" t="n"/>
      <c r="L156" s="237" t="n"/>
      <c r="M156" s="238" t="n"/>
      <c r="N156" s="669" t="n"/>
      <c r="O156" s="669" t="n"/>
      <c r="P156" s="669" t="n"/>
      <c r="Q156" s="669" t="n"/>
      <c r="R156" s="669" t="n"/>
      <c r="S156" s="669" t="n"/>
      <c r="T156" s="669" t="n"/>
      <c r="U156" s="669" t="n"/>
      <c r="V156" s="669" t="n"/>
      <c r="W156" s="669" t="n"/>
      <c r="X156" s="669" t="n"/>
      <c r="Y156" s="669" t="n"/>
      <c r="Z156" s="669" t="n"/>
      <c r="AA156" s="669" t="n"/>
    </row>
    <row r="157">
      <c r="A157" s="1103" t="inlineStr">
        <is>
          <t>Lightning Charge</t>
        </is>
      </c>
      <c r="B157" s="1103" t="inlineStr">
        <is>
          <t>Defense</t>
        </is>
      </c>
      <c r="C157" s="1103" t="inlineStr">
        <is>
          <t>B</t>
        </is>
      </c>
      <c r="D157" s="1103" t="inlineStr">
        <is>
          <t>B</t>
        </is>
      </c>
      <c r="E157" s="1079" t="inlineStr">
        <is>
          <t>Potentially allows more damage dealt than Momochi</t>
        </is>
      </c>
      <c r="F157" s="1093" t="n"/>
      <c r="G157" s="1093" t="n"/>
      <c r="H157" s="1093" t="n"/>
      <c r="I157" s="1093" t="n"/>
      <c r="J157" s="1093" t="n"/>
      <c r="K157" s="1093" t="n"/>
      <c r="L157" s="1093" t="n"/>
      <c r="M157" s="965" t="n"/>
      <c r="N157" s="669" t="n"/>
      <c r="O157" s="669" t="n"/>
      <c r="P157" s="669" t="n"/>
      <c r="Q157" s="669" t="n"/>
      <c r="R157" s="669" t="n"/>
      <c r="S157" s="669" t="n"/>
      <c r="T157" s="669" t="n"/>
      <c r="U157" s="669" t="n"/>
      <c r="V157" s="669" t="n"/>
      <c r="W157" s="669" t="n"/>
      <c r="X157" s="669" t="n"/>
      <c r="Y157" s="669" t="n"/>
      <c r="Z157" s="669" t="n"/>
      <c r="AA157" s="669" t="n"/>
    </row>
    <row r="158">
      <c r="A158" s="1037" t="n"/>
      <c r="B158" s="1066" t="n"/>
      <c r="C158" s="1037" t="n"/>
      <c r="D158" s="1037" t="n"/>
      <c r="E158" s="1037" t="n"/>
      <c r="F158" s="669" t="n"/>
      <c r="G158" s="669" t="n"/>
      <c r="H158" s="669" t="n"/>
      <c r="I158" s="669" t="n"/>
      <c r="J158" s="669" t="n"/>
      <c r="K158" s="669" t="n"/>
      <c r="L158" s="669" t="n"/>
      <c r="M158" s="669" t="n"/>
      <c r="N158" s="669" t="n"/>
      <c r="O158" s="669" t="n"/>
      <c r="P158" s="669" t="n"/>
      <c r="Q158" s="669" t="n"/>
      <c r="R158" s="669" t="n"/>
      <c r="S158" s="669" t="n"/>
      <c r="T158" s="669" t="n"/>
      <c r="U158" s="669" t="n"/>
      <c r="V158" s="669" t="n"/>
      <c r="W158" s="669" t="n"/>
      <c r="X158" s="669" t="n"/>
      <c r="Y158" s="669" t="n"/>
      <c r="Z158" s="669" t="n"/>
      <c r="AA158" s="669" t="n"/>
    </row>
    <row r="159">
      <c r="A159" s="1037" t="n"/>
      <c r="B159" s="1066" t="n"/>
      <c r="C159" s="1037" t="n"/>
      <c r="D159" s="1037" t="n"/>
      <c r="E159" s="1037" t="n"/>
      <c r="F159" s="669" t="n"/>
      <c r="G159" s="669" t="n"/>
      <c r="H159" s="669" t="n"/>
      <c r="I159" s="669" t="n"/>
      <c r="J159" s="669" t="n"/>
      <c r="K159" s="669" t="n"/>
      <c r="L159" s="669" t="n"/>
      <c r="M159" s="669" t="n"/>
      <c r="N159" s="669" t="n"/>
      <c r="O159" s="669" t="n"/>
      <c r="P159" s="669" t="n"/>
      <c r="Q159" s="669" t="n"/>
      <c r="R159" s="669" t="n"/>
      <c r="S159" s="669" t="n"/>
      <c r="T159" s="669" t="n"/>
      <c r="U159" s="669" t="n"/>
      <c r="V159" s="669" t="n"/>
      <c r="W159" s="669" t="n"/>
      <c r="X159" s="669" t="n"/>
      <c r="Y159" s="669" t="n"/>
      <c r="Z159" s="669" t="n"/>
      <c r="AA159" s="669" t="n"/>
    </row>
    <row r="160">
      <c r="A160" s="1037" t="n"/>
      <c r="B160" s="1066" t="n"/>
      <c r="C160" s="1037" t="n"/>
      <c r="D160" s="1037" t="n"/>
      <c r="E160" s="1037" t="n"/>
      <c r="F160" s="669" t="n"/>
      <c r="G160" s="669" t="n"/>
      <c r="H160" s="669" t="n"/>
      <c r="I160" s="669" t="n"/>
      <c r="J160" s="669" t="n"/>
      <c r="K160" s="669" t="n"/>
      <c r="L160" s="669" t="n"/>
      <c r="M160" s="669" t="n"/>
      <c r="N160" s="669" t="n"/>
      <c r="O160" s="669" t="n"/>
      <c r="P160" s="669" t="n"/>
      <c r="Q160" s="669" t="n"/>
      <c r="R160" s="669" t="n"/>
      <c r="S160" s="669" t="n"/>
      <c r="T160" s="669" t="n"/>
      <c r="U160" s="669" t="n"/>
      <c r="V160" s="669" t="n"/>
      <c r="W160" s="669" t="n"/>
      <c r="X160" s="669" t="n"/>
      <c r="Y160" s="669" t="n"/>
      <c r="Z160" s="669" t="n"/>
      <c r="AA160" s="669" t="n"/>
    </row>
    <row r="161">
      <c r="A161" s="1068" t="inlineStr">
        <is>
          <t>Sanzang</t>
        </is>
      </c>
      <c r="B161" s="1069" t="n"/>
      <c r="C161" s="1070" t="inlineStr">
        <is>
          <t>Notes</t>
        </is>
      </c>
      <c r="D161" s="1071" t="n"/>
      <c r="E161" s="1071" t="n"/>
      <c r="F161" s="1072" t="n"/>
      <c r="G161" s="1072" t="n"/>
      <c r="H161" s="1072" t="n"/>
      <c r="I161" s="1072" t="n"/>
      <c r="J161" s="1072" t="n"/>
      <c r="K161" s="1072" t="n"/>
      <c r="L161" s="1072" t="n"/>
      <c r="M161" s="1073" t="n"/>
      <c r="N161" s="669" t="n"/>
      <c r="O161" s="669" t="n"/>
      <c r="P161" s="669" t="n"/>
      <c r="Q161" s="669" t="n"/>
      <c r="R161" s="669" t="n"/>
      <c r="S161" s="669" t="n"/>
      <c r="T161" s="669" t="n"/>
      <c r="U161" s="669" t="n"/>
      <c r="V161" s="669" t="n"/>
      <c r="W161" s="669" t="n"/>
      <c r="X161" s="669" t="n"/>
      <c r="Y161" s="669" t="n"/>
      <c r="Z161" s="669" t="n"/>
      <c r="AA161" s="669" t="n"/>
    </row>
    <row r="162">
      <c r="A162" s="1080" t="inlineStr">
        <is>
          <t>Passive</t>
        </is>
      </c>
      <c r="B162" s="1103" t="inlineStr">
        <is>
          <t>C</t>
        </is>
      </c>
      <c r="C162" s="1075" t="inlineStr">
        <is>
          <t>HP</t>
        </is>
      </c>
      <c r="D162" s="373" t="n"/>
      <c r="E162" s="373" t="n"/>
      <c r="F162" s="237" t="n"/>
      <c r="G162" s="237" t="n"/>
      <c r="H162" s="237" t="n"/>
      <c r="I162" s="237" t="n"/>
      <c r="J162" s="237" t="n"/>
      <c r="K162" s="237" t="n"/>
      <c r="L162" s="237" t="n"/>
      <c r="M162" s="238" t="n"/>
      <c r="N162" s="669" t="n"/>
      <c r="O162" s="669" t="n"/>
      <c r="P162" s="669" t="n"/>
      <c r="Q162" s="669" t="n"/>
      <c r="R162" s="669" t="n"/>
      <c r="S162" s="669" t="n"/>
      <c r="T162" s="669" t="n"/>
      <c r="U162" s="669" t="n"/>
      <c r="V162" s="669" t="n"/>
      <c r="W162" s="669" t="n"/>
      <c r="X162" s="669" t="n"/>
      <c r="Y162" s="669" t="n"/>
      <c r="Z162" s="669" t="n"/>
      <c r="AA162" s="669" t="n"/>
    </row>
    <row r="163">
      <c r="A163" s="1080" t="inlineStr">
        <is>
          <t>Dharma</t>
        </is>
      </c>
      <c r="B163" s="1103" t="inlineStr">
        <is>
          <t>S</t>
        </is>
      </c>
      <c r="C163" s="1037" t="inlineStr">
        <is>
          <t>Highest non-poison damage dealer; Core member</t>
        </is>
      </c>
      <c r="D163" s="1037" t="n"/>
      <c r="E163" s="1037" t="n"/>
      <c r="F163" s="669" t="n"/>
      <c r="G163" s="669" t="n"/>
      <c r="H163" s="669" t="n"/>
      <c r="I163" s="669" t="n"/>
      <c r="J163" s="669" t="n"/>
      <c r="K163" s="669" t="n"/>
      <c r="L163" s="669" t="n"/>
      <c r="M163" s="1095" t="n"/>
      <c r="N163" s="669" t="n"/>
      <c r="O163" s="669" t="n"/>
      <c r="P163" s="669" t="n"/>
      <c r="Q163" s="669" t="n"/>
      <c r="R163" s="669" t="n"/>
      <c r="S163" s="669" t="n"/>
      <c r="T163" s="669" t="n"/>
      <c r="U163" s="669" t="n"/>
      <c r="V163" s="669" t="n"/>
      <c r="W163" s="669" t="n"/>
      <c r="X163" s="669" t="n"/>
      <c r="Y163" s="669" t="n"/>
      <c r="Z163" s="669" t="n"/>
      <c r="AA163" s="669" t="n"/>
    </row>
    <row r="164">
      <c r="A164" s="1080" t="inlineStr">
        <is>
          <t>Riding</t>
        </is>
      </c>
      <c r="B164" s="1103" t="inlineStr">
        <is>
          <t>D</t>
        </is>
      </c>
      <c r="C164" s="1075" t="inlineStr">
        <is>
          <t>Generally worse version of Night Kitty</t>
        </is>
      </c>
      <c r="D164" s="373" t="n"/>
      <c r="E164" s="373" t="n"/>
      <c r="F164" s="237" t="n"/>
      <c r="G164" s="237" t="n"/>
      <c r="H164" s="237" t="n"/>
      <c r="I164" s="237" t="n"/>
      <c r="J164" s="237" t="n"/>
      <c r="K164" s="237" t="n"/>
      <c r="L164" s="237" t="n"/>
      <c r="M164" s="238" t="n"/>
      <c r="N164" s="669" t="n"/>
      <c r="O164" s="669" t="n"/>
      <c r="P164" s="669" t="n"/>
      <c r="Q164" s="669" t="n"/>
      <c r="R164" s="669" t="n"/>
      <c r="S164" s="669" t="n"/>
      <c r="T164" s="669" t="n"/>
      <c r="U164" s="669" t="n"/>
      <c r="V164" s="669" t="n"/>
      <c r="W164" s="669" t="n"/>
      <c r="X164" s="669" t="n"/>
      <c r="Y164" s="669" t="n"/>
      <c r="Z164" s="669" t="n"/>
      <c r="AA164" s="669" t="n"/>
    </row>
    <row r="165">
      <c r="A165" s="1080" t="inlineStr">
        <is>
          <t>Growth Speed</t>
        </is>
      </c>
      <c r="B165" s="1103" t="inlineStr">
        <is>
          <t>Low</t>
        </is>
      </c>
      <c r="C165" s="1037" t="n"/>
      <c r="D165" s="1037" t="n"/>
      <c r="E165" s="1037" t="n"/>
      <c r="F165" s="669" t="n"/>
      <c r="G165" s="669" t="n"/>
      <c r="H165" s="669" t="n"/>
      <c r="I165" s="669" t="n"/>
      <c r="J165" s="669" t="n"/>
      <c r="K165" s="669" t="n"/>
      <c r="L165" s="669" t="n"/>
      <c r="M165" s="1095" t="n"/>
      <c r="N165" s="669" t="n"/>
      <c r="O165" s="669" t="n"/>
      <c r="P165" s="669" t="n"/>
      <c r="Q165" s="669" t="n"/>
      <c r="R165" s="669" t="n"/>
      <c r="S165" s="669" t="n"/>
      <c r="T165" s="669" t="n"/>
      <c r="U165" s="669" t="n"/>
      <c r="V165" s="669" t="n"/>
      <c r="W165" s="669" t="n"/>
      <c r="X165" s="669" t="n"/>
      <c r="Y165" s="669" t="n"/>
      <c r="Z165" s="669" t="n"/>
      <c r="AA165" s="669" t="n"/>
    </row>
    <row r="166">
      <c r="A166" s="1080" t="inlineStr">
        <is>
          <t>Leveling Priority</t>
        </is>
      </c>
      <c r="B166" s="1103" t="inlineStr">
        <is>
          <t>B</t>
        </is>
      </c>
      <c r="C166" s="1075" t="inlineStr">
        <is>
          <t>High value in one anecdote type ; Slow growth potential limits level relative to other drifters; Underwhelming passive</t>
        </is>
      </c>
      <c r="D166" s="373" t="n"/>
      <c r="E166" s="373" t="n"/>
      <c r="F166" s="237" t="n"/>
      <c r="G166" s="237" t="n"/>
      <c r="H166" s="237" t="n"/>
      <c r="I166" s="237" t="n"/>
      <c r="J166" s="237" t="n"/>
      <c r="K166" s="237" t="n"/>
      <c r="L166" s="237" t="n"/>
      <c r="M166" s="238" t="n"/>
      <c r="N166" s="669" t="n"/>
      <c r="O166" s="669" t="n"/>
      <c r="P166" s="669" t="n"/>
      <c r="Q166" s="669" t="n"/>
      <c r="R166" s="669" t="n"/>
      <c r="S166" s="669" t="n"/>
      <c r="T166" s="669" t="n"/>
      <c r="U166" s="669" t="n"/>
      <c r="V166" s="669" t="n"/>
      <c r="W166" s="669" t="n"/>
      <c r="X166" s="669" t="n"/>
      <c r="Y166" s="669" t="n"/>
      <c r="Z166" s="669" t="n"/>
      <c r="AA166" s="669" t="n"/>
    </row>
    <row r="167">
      <c r="A167" s="1064" t="n"/>
      <c r="B167" s="1066" t="n"/>
      <c r="C167" s="1037" t="n"/>
      <c r="D167" s="1037" t="n"/>
      <c r="E167" s="1037" t="n"/>
      <c r="F167" s="669" t="n"/>
      <c r="G167" s="669" t="n"/>
      <c r="H167" s="669" t="n"/>
      <c r="I167" s="669" t="n"/>
      <c r="J167" s="669" t="n"/>
      <c r="K167" s="669" t="n"/>
      <c r="L167" s="669" t="n"/>
      <c r="M167" s="1095" t="n"/>
      <c r="N167" s="669" t="n"/>
      <c r="O167" s="669" t="n"/>
      <c r="P167" s="669" t="n"/>
      <c r="Q167" s="669" t="n"/>
      <c r="R167" s="669" t="n"/>
      <c r="S167" s="669" t="n"/>
      <c r="T167" s="669" t="n"/>
      <c r="U167" s="669" t="n"/>
      <c r="V167" s="669" t="n"/>
      <c r="W167" s="669" t="n"/>
      <c r="X167" s="669" t="n"/>
      <c r="Y167" s="669" t="n"/>
      <c r="Z167" s="669" t="n"/>
      <c r="AA167" s="669" t="n"/>
    </row>
    <row r="168">
      <c r="A168" s="1080" t="inlineStr">
        <is>
          <t>Name</t>
        </is>
      </c>
      <c r="B168" s="1080" t="inlineStr">
        <is>
          <t>Type</t>
        </is>
      </c>
      <c r="C168" s="1080" t="inlineStr">
        <is>
          <t>Lv10 Priority</t>
        </is>
      </c>
      <c r="D168" s="1080" t="inlineStr">
        <is>
          <t>Lv20 Priority</t>
        </is>
      </c>
      <c r="E168" s="1076" t="inlineStr">
        <is>
          <t>Notes</t>
        </is>
      </c>
      <c r="F168" s="1077" t="n"/>
      <c r="G168" s="1077" t="n"/>
      <c r="H168" s="1077" t="n"/>
      <c r="I168" s="1077" t="n"/>
      <c r="J168" s="1077" t="n"/>
      <c r="K168" s="1077" t="n"/>
      <c r="L168" s="1077" t="n"/>
      <c r="M168" s="1078" t="n"/>
      <c r="N168" s="669" t="n"/>
      <c r="O168" s="669" t="n"/>
      <c r="P168" s="669" t="n"/>
      <c r="Q168" s="669" t="n"/>
      <c r="R168" s="669" t="n"/>
      <c r="S168" s="669" t="n"/>
      <c r="T168" s="669" t="n"/>
      <c r="U168" s="669" t="n"/>
      <c r="V168" s="669" t="n"/>
      <c r="W168" s="669" t="n"/>
      <c r="X168" s="669" t="n"/>
      <c r="Y168" s="669" t="n"/>
      <c r="Z168" s="669" t="n"/>
      <c r="AA168" s="669" t="n"/>
    </row>
    <row r="169">
      <c r="A169" s="1103" t="inlineStr">
        <is>
          <t>Mighty Palm</t>
        </is>
      </c>
      <c r="B169" s="1103" t="inlineStr">
        <is>
          <t>Dharma</t>
        </is>
      </c>
      <c r="C169" s="1103" t="inlineStr">
        <is>
          <t>F</t>
        </is>
      </c>
      <c r="D169" s="1103" t="inlineStr">
        <is>
          <t>F</t>
        </is>
      </c>
      <c r="E169" s="1075" t="inlineStr">
        <is>
          <t>DMG bonus for &gt; 50% HP is additive, making it underwhelming for the rage cost</t>
        </is>
      </c>
      <c r="F169" s="237" t="n"/>
      <c r="G169" s="237" t="n"/>
      <c r="H169" s="237" t="n"/>
      <c r="I169" s="237" t="n"/>
      <c r="J169" s="237" t="n"/>
      <c r="K169" s="237" t="n"/>
      <c r="L169" s="237" t="n"/>
      <c r="M169" s="238" t="n"/>
      <c r="N169" s="669" t="n"/>
      <c r="O169" s="669" t="n"/>
      <c r="P169" s="669" t="n"/>
      <c r="Q169" s="669" t="n"/>
      <c r="R169" s="669" t="n"/>
      <c r="S169" s="669" t="n"/>
      <c r="T169" s="669" t="n"/>
      <c r="U169" s="669" t="n"/>
      <c r="V169" s="669" t="n"/>
      <c r="W169" s="669" t="n"/>
      <c r="X169" s="669" t="n"/>
      <c r="Y169" s="669" t="n"/>
      <c r="Z169" s="669" t="n"/>
      <c r="AA169" s="669" t="n"/>
    </row>
    <row r="170">
      <c r="A170" s="1103" t="inlineStr">
        <is>
          <t>Cicada Slough</t>
        </is>
      </c>
      <c r="B170" s="1103" t="inlineStr">
        <is>
          <t>Dharma</t>
        </is>
      </c>
      <c r="C170" s="1103" t="inlineStr">
        <is>
          <t>B</t>
        </is>
      </c>
      <c r="D170" s="1103" t="inlineStr">
        <is>
          <t>B</t>
        </is>
      </c>
      <c r="E170" s="1037" t="inlineStr">
        <is>
          <t>HP Recovery one time only; Primarily a Spell DMG boost</t>
        </is>
      </c>
      <c r="F170" s="669" t="n"/>
      <c r="G170" s="669" t="n"/>
      <c r="H170" s="669" t="n"/>
      <c r="I170" s="669" t="n"/>
      <c r="J170" s="669" t="n"/>
      <c r="K170" s="669" t="n"/>
      <c r="L170" s="669" t="n"/>
      <c r="M170" s="1095" t="n"/>
      <c r="N170" s="669" t="n"/>
      <c r="O170" s="669" t="n"/>
      <c r="P170" s="669" t="n"/>
      <c r="Q170" s="669" t="n"/>
      <c r="R170" s="669" t="n"/>
      <c r="S170" s="669" t="n"/>
      <c r="T170" s="669" t="n"/>
      <c r="U170" s="669" t="n"/>
      <c r="V170" s="669" t="n"/>
      <c r="W170" s="669" t="n"/>
      <c r="X170" s="669" t="n"/>
      <c r="Y170" s="669" t="n"/>
      <c r="Z170" s="669" t="n"/>
      <c r="AA170" s="669" t="n"/>
    </row>
    <row r="171">
      <c r="A171" s="1103" t="inlineStr">
        <is>
          <t>Purification Mantra</t>
        </is>
      </c>
      <c r="B171" s="1103" t="inlineStr">
        <is>
          <t>Dharma</t>
        </is>
      </c>
      <c r="C171" s="1103" t="inlineStr">
        <is>
          <t>A</t>
        </is>
      </c>
      <c r="D171" s="1103" t="inlineStr">
        <is>
          <t>A</t>
        </is>
      </c>
      <c r="E171" s="1075" t="inlineStr">
        <is>
          <t>Heavy hitting in 3-enemy fights; Low rage cost</t>
        </is>
      </c>
      <c r="F171" s="237" t="n"/>
      <c r="G171" s="237" t="n"/>
      <c r="H171" s="237" t="n"/>
      <c r="I171" s="237" t="n"/>
      <c r="J171" s="237" t="n"/>
      <c r="K171" s="237" t="n"/>
      <c r="L171" s="237" t="n"/>
      <c r="M171" s="238" t="n"/>
      <c r="N171" s="669" t="n"/>
      <c r="O171" s="669" t="n"/>
      <c r="P171" s="669" t="n"/>
      <c r="Q171" s="669" t="n"/>
      <c r="R171" s="669" t="n"/>
      <c r="S171" s="669" t="n"/>
      <c r="T171" s="669" t="n"/>
      <c r="U171" s="669" t="n"/>
      <c r="V171" s="669" t="n"/>
      <c r="W171" s="669" t="n"/>
      <c r="X171" s="669" t="n"/>
      <c r="Y171" s="669" t="n"/>
      <c r="Z171" s="669" t="n"/>
      <c r="AA171" s="669" t="n"/>
    </row>
    <row r="172">
      <c r="A172" s="1103" t="inlineStr">
        <is>
          <t>Merit Mantra</t>
        </is>
      </c>
      <c r="B172" s="1103" t="inlineStr">
        <is>
          <t>Riding</t>
        </is>
      </c>
      <c r="C172" s="1103" t="inlineStr">
        <is>
          <t>D</t>
        </is>
      </c>
      <c r="D172" s="1103" t="inlineStr">
        <is>
          <t>D</t>
        </is>
      </c>
      <c r="E172" s="1075" t="inlineStr">
        <is>
          <t>Side kick with easier activation conditions; Unlikely to use Sanzang in riding</t>
        </is>
      </c>
      <c r="F172" s="237" t="n"/>
      <c r="G172" s="237" t="n"/>
      <c r="H172" s="237" t="n"/>
      <c r="I172" s="237" t="n"/>
      <c r="J172" s="237" t="n"/>
      <c r="K172" s="237" t="n"/>
      <c r="L172" s="237" t="n"/>
      <c r="M172" s="238" t="n"/>
      <c r="N172" s="669" t="n"/>
      <c r="O172" s="669" t="n"/>
      <c r="P172" s="669" t="n"/>
      <c r="Q172" s="669" t="n"/>
      <c r="R172" s="669" t="n"/>
      <c r="S172" s="669" t="n"/>
      <c r="T172" s="669" t="n"/>
      <c r="U172" s="669" t="n"/>
      <c r="V172" s="669" t="n"/>
      <c r="W172" s="669" t="n"/>
      <c r="X172" s="669" t="n"/>
      <c r="Y172" s="669" t="n"/>
      <c r="Z172" s="669" t="n"/>
      <c r="AA172" s="669" t="n"/>
    </row>
    <row r="173">
      <c r="A173" s="1103" t="inlineStr">
        <is>
          <t>Temple Gale</t>
        </is>
      </c>
      <c r="B173" s="1103" t="inlineStr">
        <is>
          <t>Siege</t>
        </is>
      </c>
      <c r="C173" s="1103" t="inlineStr">
        <is>
          <t>C</t>
        </is>
      </c>
      <c r="D173" s="1103" t="inlineStr">
        <is>
          <t>C</t>
        </is>
      </c>
      <c r="E173" s="1079" t="inlineStr">
        <is>
          <t>Only affects Sanzang</t>
        </is>
      </c>
      <c r="F173" s="1093" t="n"/>
      <c r="G173" s="1093" t="n"/>
      <c r="H173" s="1093" t="n"/>
      <c r="I173" s="1093" t="n"/>
      <c r="J173" s="1093" t="n"/>
      <c r="K173" s="1093" t="n"/>
      <c r="L173" s="1093" t="n"/>
      <c r="M173" s="965" t="n"/>
      <c r="N173" s="669" t="n"/>
      <c r="O173" s="669" t="n"/>
      <c r="P173" s="669" t="n"/>
      <c r="Q173" s="669" t="n"/>
      <c r="R173" s="669" t="n"/>
      <c r="S173" s="669" t="n"/>
      <c r="T173" s="669" t="n"/>
      <c r="U173" s="669" t="n"/>
      <c r="V173" s="669" t="n"/>
      <c r="W173" s="669" t="n"/>
      <c r="X173" s="669" t="n"/>
      <c r="Y173" s="669" t="n"/>
      <c r="Z173" s="669" t="n"/>
      <c r="AA173" s="669" t="n"/>
    </row>
    <row r="174">
      <c r="A174" s="1037" t="n"/>
      <c r="B174" s="1066" t="n"/>
      <c r="C174" s="1037" t="n"/>
      <c r="D174" s="1037" t="n"/>
      <c r="E174" s="1037" t="n"/>
      <c r="F174" s="669" t="n"/>
      <c r="G174" s="669" t="n"/>
      <c r="H174" s="669" t="n"/>
      <c r="I174" s="669" t="n"/>
      <c r="J174" s="669" t="n"/>
      <c r="K174" s="669" t="n"/>
      <c r="L174" s="669" t="n"/>
      <c r="M174" s="669" t="n"/>
      <c r="N174" s="669" t="n"/>
      <c r="O174" s="669" t="n"/>
      <c r="P174" s="669" t="n"/>
      <c r="Q174" s="669" t="n"/>
      <c r="R174" s="669" t="n"/>
      <c r="S174" s="669" t="n"/>
      <c r="T174" s="669" t="n"/>
      <c r="U174" s="669" t="n"/>
      <c r="V174" s="669" t="n"/>
      <c r="W174" s="669" t="n"/>
      <c r="X174" s="669" t="n"/>
      <c r="Y174" s="669" t="n"/>
      <c r="Z174" s="669" t="n"/>
      <c r="AA174" s="669" t="n"/>
    </row>
    <row r="175">
      <c r="A175" s="1037" t="n"/>
      <c r="B175" s="1066" t="n"/>
      <c r="C175" s="1037" t="n"/>
      <c r="D175" s="1037" t="n"/>
      <c r="E175" s="1037" t="n"/>
      <c r="F175" s="669" t="n"/>
      <c r="G175" s="669" t="n"/>
      <c r="H175" s="669" t="n"/>
      <c r="I175" s="669" t="n"/>
      <c r="J175" s="669" t="n"/>
      <c r="K175" s="669" t="n"/>
      <c r="L175" s="669" t="n"/>
      <c r="M175" s="669" t="n"/>
      <c r="N175" s="669" t="n"/>
      <c r="O175" s="669" t="n"/>
      <c r="P175" s="669" t="n"/>
      <c r="Q175" s="669" t="n"/>
      <c r="R175" s="669" t="n"/>
      <c r="S175" s="669" t="n"/>
      <c r="T175" s="669" t="n"/>
      <c r="U175" s="669" t="n"/>
      <c r="V175" s="669" t="n"/>
      <c r="W175" s="669" t="n"/>
      <c r="X175" s="669" t="n"/>
      <c r="Y175" s="669" t="n"/>
      <c r="Z175" s="669" t="n"/>
      <c r="AA175" s="669" t="n"/>
    </row>
    <row r="176">
      <c r="A176" s="1037" t="n"/>
      <c r="B176" s="1066" t="n"/>
      <c r="C176" s="1037" t="n"/>
      <c r="D176" s="1037" t="n"/>
      <c r="E176" s="1037" t="n"/>
      <c r="F176" s="669" t="n"/>
      <c r="G176" s="669" t="n"/>
      <c r="H176" s="669" t="n"/>
      <c r="I176" s="669" t="n"/>
      <c r="J176" s="669" t="n"/>
      <c r="K176" s="669" t="n"/>
      <c r="L176" s="669" t="n"/>
      <c r="M176" s="669" t="n"/>
      <c r="N176" s="669" t="n"/>
      <c r="O176" s="669" t="n"/>
      <c r="P176" s="669" t="n"/>
      <c r="Q176" s="669" t="n"/>
      <c r="R176" s="669" t="n"/>
      <c r="S176" s="669" t="n"/>
      <c r="T176" s="669" t="n"/>
      <c r="U176" s="669" t="n"/>
      <c r="V176" s="669" t="n"/>
      <c r="W176" s="669" t="n"/>
      <c r="X176" s="669" t="n"/>
      <c r="Y176" s="669" t="n"/>
      <c r="Z176" s="669" t="n"/>
      <c r="AA176" s="669" t="n"/>
    </row>
    <row r="177">
      <c r="A177" s="1068" t="inlineStr">
        <is>
          <t>Naga the Dragon Horse</t>
        </is>
      </c>
      <c r="B177" s="1069" t="n"/>
      <c r="C177" s="1070" t="inlineStr">
        <is>
          <t>Notes</t>
        </is>
      </c>
      <c r="D177" s="1071" t="n"/>
      <c r="E177" s="1071" t="n"/>
      <c r="F177" s="1072" t="n"/>
      <c r="G177" s="1072" t="n"/>
      <c r="H177" s="1072" t="n"/>
      <c r="I177" s="1072" t="n"/>
      <c r="J177" s="1072" t="n"/>
      <c r="K177" s="1072" t="n"/>
      <c r="L177" s="1072" t="n"/>
      <c r="M177" s="1073" t="n"/>
      <c r="N177" s="669" t="n"/>
      <c r="O177" s="669" t="n"/>
      <c r="P177" s="669" t="n"/>
      <c r="Q177" s="669" t="n"/>
      <c r="R177" s="669" t="n"/>
      <c r="S177" s="669" t="n"/>
      <c r="T177" s="669" t="n"/>
      <c r="U177" s="669" t="n"/>
      <c r="V177" s="669" t="n"/>
      <c r="W177" s="669" t="n"/>
      <c r="X177" s="669" t="n"/>
      <c r="Y177" s="669" t="n"/>
      <c r="Z177" s="669" t="n"/>
      <c r="AA177" s="669" t="n"/>
    </row>
    <row r="178">
      <c r="A178" s="1080" t="inlineStr">
        <is>
          <t>Passive</t>
        </is>
      </c>
      <c r="B178" s="1103" t="inlineStr">
        <is>
          <t>S</t>
        </is>
      </c>
      <c r="C178" s="1075" t="inlineStr">
        <is>
          <t>Travel SPD</t>
        </is>
      </c>
      <c r="D178" s="373" t="n"/>
      <c r="E178" s="373" t="n"/>
      <c r="F178" s="237" t="n"/>
      <c r="G178" s="237" t="n"/>
      <c r="H178" s="237" t="n"/>
      <c r="I178" s="237" t="n"/>
      <c r="J178" s="237" t="n"/>
      <c r="K178" s="237" t="n"/>
      <c r="L178" s="237" t="n"/>
      <c r="M178" s="238" t="n"/>
      <c r="N178" s="669" t="n"/>
      <c r="O178" s="669" t="n"/>
      <c r="P178" s="669" t="n"/>
      <c r="Q178" s="669" t="n"/>
      <c r="R178" s="669" t="n"/>
      <c r="S178" s="669" t="n"/>
      <c r="T178" s="669" t="n"/>
      <c r="U178" s="669" t="n"/>
      <c r="V178" s="669" t="n"/>
      <c r="W178" s="669" t="n"/>
      <c r="X178" s="669" t="n"/>
      <c r="Y178" s="669" t="n"/>
      <c r="Z178" s="669" t="n"/>
      <c r="AA178" s="669" t="n"/>
    </row>
    <row r="179">
      <c r="A179" s="1080" t="inlineStr">
        <is>
          <t>Dharma</t>
        </is>
      </c>
      <c r="B179" s="1103" t="inlineStr">
        <is>
          <t>S</t>
        </is>
      </c>
      <c r="C179" s="1037" t="inlineStr">
        <is>
          <t>Ability to transfer rage cannot be replicated; Core member</t>
        </is>
      </c>
      <c r="D179" s="1037" t="n"/>
      <c r="E179" s="1037" t="n"/>
      <c r="F179" s="669" t="n"/>
      <c r="G179" s="669" t="n"/>
      <c r="H179" s="669" t="n"/>
      <c r="I179" s="669" t="n"/>
      <c r="J179" s="669" t="n"/>
      <c r="K179" s="669" t="n"/>
      <c r="L179" s="669" t="n"/>
      <c r="M179" s="1095" t="n"/>
      <c r="N179" s="669" t="n"/>
      <c r="O179" s="669" t="n"/>
      <c r="P179" s="669" t="n"/>
      <c r="Q179" s="669" t="n"/>
      <c r="R179" s="669" t="n"/>
      <c r="S179" s="669" t="n"/>
      <c r="T179" s="669" t="n"/>
      <c r="U179" s="669" t="n"/>
      <c r="V179" s="669" t="n"/>
      <c r="W179" s="669" t="n"/>
      <c r="X179" s="669" t="n"/>
      <c r="Y179" s="669" t="n"/>
      <c r="Z179" s="669" t="n"/>
      <c r="AA179" s="669" t="n"/>
    </row>
    <row r="180">
      <c r="A180" s="1080" t="inlineStr">
        <is>
          <t>Sailing</t>
        </is>
      </c>
      <c r="B180" s="1103" t="inlineStr">
        <is>
          <t>A</t>
        </is>
      </c>
      <c r="C180" s="1075" t="inlineStr">
        <is>
          <t>2nd weakest of the 5 primary sailing members</t>
        </is>
      </c>
      <c r="D180" s="373" t="n"/>
      <c r="E180" s="373" t="n"/>
      <c r="F180" s="237" t="n"/>
      <c r="G180" s="237" t="n"/>
      <c r="H180" s="237" t="n"/>
      <c r="I180" s="237" t="n"/>
      <c r="J180" s="237" t="n"/>
      <c r="K180" s="237" t="n"/>
      <c r="L180" s="237" t="n"/>
      <c r="M180" s="238" t="n"/>
      <c r="N180" s="669" t="n"/>
      <c r="O180" s="669" t="n"/>
      <c r="P180" s="669" t="n"/>
      <c r="Q180" s="669" t="n"/>
      <c r="R180" s="669" t="n"/>
      <c r="S180" s="669" t="n"/>
      <c r="T180" s="669" t="n"/>
      <c r="U180" s="669" t="n"/>
      <c r="V180" s="669" t="n"/>
      <c r="W180" s="669" t="n"/>
      <c r="X180" s="669" t="n"/>
      <c r="Y180" s="669" t="n"/>
      <c r="Z180" s="669" t="n"/>
      <c r="AA180" s="669" t="n"/>
    </row>
    <row r="181">
      <c r="A181" s="1080" t="inlineStr">
        <is>
          <t>Growth Speed</t>
        </is>
      </c>
      <c r="B181" s="1103" t="inlineStr">
        <is>
          <t>Low</t>
        </is>
      </c>
      <c r="C181" s="1037" t="n"/>
      <c r="D181" s="1037" t="n"/>
      <c r="E181" s="1037" t="n"/>
      <c r="F181" s="669" t="n"/>
      <c r="G181" s="669" t="n"/>
      <c r="H181" s="669" t="n"/>
      <c r="I181" s="669" t="n"/>
      <c r="J181" s="669" t="n"/>
      <c r="K181" s="669" t="n"/>
      <c r="L181" s="669" t="n"/>
      <c r="M181" s="1095" t="n"/>
      <c r="N181" s="669" t="n"/>
      <c r="O181" s="669" t="n"/>
      <c r="P181" s="669" t="n"/>
      <c r="Q181" s="669" t="n"/>
      <c r="R181" s="669" t="n"/>
      <c r="S181" s="669" t="n"/>
      <c r="T181" s="669" t="n"/>
      <c r="U181" s="669" t="n"/>
      <c r="V181" s="669" t="n"/>
      <c r="W181" s="669" t="n"/>
      <c r="X181" s="669" t="n"/>
      <c r="Y181" s="669" t="n"/>
      <c r="Z181" s="669" t="n"/>
      <c r="AA181" s="669" t="n"/>
    </row>
    <row r="182">
      <c r="A182" s="1080" t="inlineStr">
        <is>
          <t>Leveling Priority</t>
        </is>
      </c>
      <c r="B182" s="1103" t="inlineStr">
        <is>
          <t>S</t>
        </is>
      </c>
      <c r="C182" s="1075" t="inlineStr">
        <is>
          <t>High value in two anecdote types; Slow growth potential limits level relative to other drifters; Most valueable passive</t>
        </is>
      </c>
      <c r="D182" s="373" t="n"/>
      <c r="E182" s="373" t="n"/>
      <c r="F182" s="237" t="n"/>
      <c r="G182" s="237" t="n"/>
      <c r="H182" s="237" t="n"/>
      <c r="I182" s="237" t="n"/>
      <c r="J182" s="237" t="n"/>
      <c r="K182" s="237" t="n"/>
      <c r="L182" s="237" t="n"/>
      <c r="M182" s="238" t="n"/>
      <c r="N182" s="669" t="n"/>
      <c r="O182" s="669" t="n"/>
      <c r="P182" s="669" t="n"/>
      <c r="Q182" s="669" t="n"/>
      <c r="R182" s="669" t="n"/>
      <c r="S182" s="669" t="n"/>
      <c r="T182" s="669" t="n"/>
      <c r="U182" s="669" t="n"/>
      <c r="V182" s="669" t="n"/>
      <c r="W182" s="669" t="n"/>
      <c r="X182" s="669" t="n"/>
      <c r="Y182" s="669" t="n"/>
      <c r="Z182" s="669" t="n"/>
      <c r="AA182" s="669" t="n"/>
    </row>
    <row r="183">
      <c r="A183" s="1064" t="n"/>
      <c r="B183" s="1066" t="n"/>
      <c r="C183" s="1037" t="n"/>
      <c r="D183" s="1037" t="n"/>
      <c r="E183" s="1037" t="n"/>
      <c r="F183" s="669" t="n"/>
      <c r="G183" s="669" t="n"/>
      <c r="H183" s="669" t="n"/>
      <c r="I183" s="669" t="n"/>
      <c r="J183" s="669" t="n"/>
      <c r="K183" s="669" t="n"/>
      <c r="L183" s="669" t="n"/>
      <c r="M183" s="1095" t="n"/>
      <c r="N183" s="669" t="n"/>
      <c r="O183" s="669" t="n"/>
      <c r="P183" s="669" t="n"/>
      <c r="Q183" s="669" t="n"/>
      <c r="R183" s="669" t="n"/>
      <c r="S183" s="669" t="n"/>
      <c r="T183" s="669" t="n"/>
      <c r="U183" s="669" t="n"/>
      <c r="V183" s="669" t="n"/>
      <c r="W183" s="669" t="n"/>
      <c r="X183" s="669" t="n"/>
      <c r="Y183" s="669" t="n"/>
      <c r="Z183" s="669" t="n"/>
      <c r="AA183" s="669" t="n"/>
    </row>
    <row r="184">
      <c r="A184" s="1080" t="inlineStr">
        <is>
          <t>Name</t>
        </is>
      </c>
      <c r="B184" s="1080" t="inlineStr">
        <is>
          <t>Type</t>
        </is>
      </c>
      <c r="C184" s="1080" t="inlineStr">
        <is>
          <t>Lv10 Priority</t>
        </is>
      </c>
      <c r="D184" s="1080" t="inlineStr">
        <is>
          <t>Lv20 Priority</t>
        </is>
      </c>
      <c r="E184" s="1076" t="inlineStr">
        <is>
          <t>Notes</t>
        </is>
      </c>
      <c r="F184" s="1077" t="n"/>
      <c r="G184" s="1077" t="n"/>
      <c r="H184" s="1077" t="n"/>
      <c r="I184" s="1077" t="n"/>
      <c r="J184" s="1077" t="n"/>
      <c r="K184" s="1077" t="n"/>
      <c r="L184" s="1077" t="n"/>
      <c r="M184" s="1078" t="n"/>
      <c r="N184" s="669" t="n"/>
      <c r="O184" s="669" t="n"/>
      <c r="P184" s="669" t="n"/>
      <c r="Q184" s="669" t="n"/>
      <c r="R184" s="669" t="n"/>
      <c r="S184" s="669" t="n"/>
      <c r="T184" s="669" t="n"/>
      <c r="U184" s="669" t="n"/>
      <c r="V184" s="669" t="n"/>
      <c r="W184" s="669" t="n"/>
      <c r="X184" s="669" t="n"/>
      <c r="Y184" s="669" t="n"/>
      <c r="Z184" s="669" t="n"/>
      <c r="AA184" s="669" t="n"/>
    </row>
    <row r="185">
      <c r="A185" s="1103" t="inlineStr">
        <is>
          <t>Ascending Dragon Seal</t>
        </is>
      </c>
      <c r="B185" s="1103" t="inlineStr">
        <is>
          <t>Dharma</t>
        </is>
      </c>
      <c r="C185" s="1103" t="inlineStr">
        <is>
          <t>C/B</t>
        </is>
      </c>
      <c r="D185" s="1103" t="inlineStr">
        <is>
          <t>C/B</t>
        </is>
      </c>
      <c r="E185" s="1075" t="inlineStr">
        <is>
          <t>Rage transfer works at lv1; DMG bonus valuable if Sanzang is the target</t>
        </is>
      </c>
      <c r="F185" s="237" t="n"/>
      <c r="G185" s="237" t="n"/>
      <c r="H185" s="237" t="n"/>
      <c r="I185" s="237" t="n"/>
      <c r="J185" s="237" t="n"/>
      <c r="K185" s="237" t="n"/>
      <c r="L185" s="237" t="n"/>
      <c r="M185" s="238" t="n"/>
      <c r="N185" s="669" t="n"/>
      <c r="O185" s="669" t="n"/>
      <c r="P185" s="669" t="n"/>
      <c r="Q185" s="669" t="n"/>
      <c r="R185" s="669" t="n"/>
      <c r="S185" s="669" t="n"/>
      <c r="T185" s="669" t="n"/>
      <c r="U185" s="669" t="n"/>
      <c r="V185" s="669" t="n"/>
      <c r="W185" s="669" t="n"/>
      <c r="X185" s="669" t="n"/>
      <c r="Y185" s="669" t="n"/>
      <c r="Z185" s="669" t="n"/>
      <c r="AA185" s="669" t="n"/>
    </row>
    <row r="186">
      <c r="A186" s="1103" t="inlineStr">
        <is>
          <t>Dragon Roar</t>
        </is>
      </c>
      <c r="B186" s="1103" t="inlineStr">
        <is>
          <t>Dharma</t>
        </is>
      </c>
      <c r="C186" s="1103" t="inlineStr">
        <is>
          <t>C</t>
        </is>
      </c>
      <c r="D186" s="1103" t="inlineStr">
        <is>
          <t>C</t>
        </is>
      </c>
      <c r="E186" s="1037" t="inlineStr">
        <is>
          <t>Affects all drifters; Low potency per level</t>
        </is>
      </c>
      <c r="F186" s="669" t="n"/>
      <c r="G186" s="669" t="n"/>
      <c r="H186" s="669" t="n"/>
      <c r="I186" s="669" t="n"/>
      <c r="J186" s="669" t="n"/>
      <c r="K186" s="669" t="n"/>
      <c r="L186" s="669" t="n"/>
      <c r="M186" s="1095" t="n"/>
      <c r="N186" s="669" t="n"/>
      <c r="O186" s="669" t="n"/>
      <c r="P186" s="669" t="n"/>
      <c r="Q186" s="669" t="n"/>
      <c r="R186" s="669" t="n"/>
      <c r="S186" s="669" t="n"/>
      <c r="T186" s="669" t="n"/>
      <c r="U186" s="669" t="n"/>
      <c r="V186" s="669" t="n"/>
      <c r="W186" s="669" t="n"/>
      <c r="X186" s="669" t="n"/>
      <c r="Y186" s="669" t="n"/>
      <c r="Z186" s="669" t="n"/>
      <c r="AA186" s="669" t="n"/>
    </row>
    <row r="187">
      <c r="A187" s="1103" t="inlineStr">
        <is>
          <t>Dragon Chant</t>
        </is>
      </c>
      <c r="B187" s="1103" t="inlineStr">
        <is>
          <t>Dharma</t>
        </is>
      </c>
      <c r="C187" s="1103" t="inlineStr">
        <is>
          <t>D</t>
        </is>
      </c>
      <c r="D187" s="1103" t="inlineStr">
        <is>
          <t>D</t>
        </is>
      </c>
      <c r="E187" s="1075" t="inlineStr">
        <is>
          <t>Generally not worth holding rage for</t>
        </is>
      </c>
      <c r="F187" s="237" t="n"/>
      <c r="G187" s="237" t="n"/>
      <c r="H187" s="237" t="n"/>
      <c r="I187" s="237" t="n"/>
      <c r="J187" s="237" t="n"/>
      <c r="K187" s="237" t="n"/>
      <c r="L187" s="237" t="n"/>
      <c r="M187" s="238" t="n"/>
      <c r="N187" s="669" t="n"/>
      <c r="O187" s="669" t="n"/>
      <c r="P187" s="669" t="n"/>
      <c r="Q187" s="669" t="n"/>
      <c r="R187" s="669" t="n"/>
      <c r="S187" s="669" t="n"/>
      <c r="T187" s="669" t="n"/>
      <c r="U187" s="669" t="n"/>
      <c r="V187" s="669" t="n"/>
      <c r="W187" s="669" t="n"/>
      <c r="X187" s="669" t="n"/>
      <c r="Y187" s="669" t="n"/>
      <c r="Z187" s="669" t="n"/>
      <c r="AA187" s="669" t="n"/>
    </row>
    <row r="188">
      <c r="A188" s="1103" t="inlineStr">
        <is>
          <t>Heavenly Sanskrit</t>
        </is>
      </c>
      <c r="B188" s="1103" t="inlineStr">
        <is>
          <t>Sailing</t>
        </is>
      </c>
      <c r="C188" s="1103" t="inlineStr">
        <is>
          <t>A</t>
        </is>
      </c>
      <c r="D188" s="1103" t="inlineStr">
        <is>
          <t>A</t>
        </is>
      </c>
      <c r="E188" s="1075" t="inlineStr">
        <is>
          <t>Value increases the closer you approach to lasting 17-18 rounds in a fight</t>
        </is>
      </c>
      <c r="F188" s="237" t="n"/>
      <c r="G188" s="237" t="n"/>
      <c r="H188" s="237" t="n"/>
      <c r="I188" s="237" t="n"/>
      <c r="J188" s="237" t="n"/>
      <c r="K188" s="237" t="n"/>
      <c r="L188" s="237" t="n"/>
      <c r="M188" s="238" t="n"/>
      <c r="N188" s="669" t="n"/>
      <c r="O188" s="669" t="n"/>
      <c r="P188" s="669" t="n"/>
      <c r="Q188" s="669" t="n"/>
      <c r="R188" s="669" t="n"/>
      <c r="S188" s="669" t="n"/>
      <c r="T188" s="669" t="n"/>
      <c r="U188" s="669" t="n"/>
      <c r="V188" s="669" t="n"/>
      <c r="W188" s="669" t="n"/>
      <c r="X188" s="669" t="n"/>
      <c r="Y188" s="669" t="n"/>
      <c r="Z188" s="669" t="n"/>
      <c r="AA188" s="669" t="n"/>
    </row>
    <row r="189">
      <c r="A189" s="1103" t="inlineStr">
        <is>
          <t>Dragon Blessing</t>
        </is>
      </c>
      <c r="B189" s="1103" t="inlineStr">
        <is>
          <t>Sailing</t>
        </is>
      </c>
      <c r="C189" s="1103" t="inlineStr">
        <is>
          <t>B</t>
        </is>
      </c>
      <c r="D189" s="1103" t="inlineStr">
        <is>
          <t>A</t>
        </is>
      </c>
      <c r="E189" s="1079" t="inlineStr">
        <is>
          <t>Highly depending on having leveled Soleil CRIT to lv20</t>
        </is>
      </c>
      <c r="F189" s="1093" t="n"/>
      <c r="G189" s="1093" t="n"/>
      <c r="H189" s="1093" t="n"/>
      <c r="I189" s="1093" t="n"/>
      <c r="J189" s="1093" t="n"/>
      <c r="K189" s="1093" t="n"/>
      <c r="L189" s="1093" t="n"/>
      <c r="M189" s="965" t="n"/>
      <c r="N189" s="669" t="n"/>
      <c r="O189" s="669" t="n"/>
      <c r="P189" s="669" t="n"/>
      <c r="Q189" s="669" t="n"/>
      <c r="R189" s="669" t="n"/>
      <c r="S189" s="669" t="n"/>
      <c r="T189" s="669" t="n"/>
      <c r="U189" s="669" t="n"/>
      <c r="V189" s="669" t="n"/>
      <c r="W189" s="669" t="n"/>
      <c r="X189" s="669" t="n"/>
      <c r="Y189" s="669" t="n"/>
      <c r="Z189" s="669" t="n"/>
      <c r="AA189" s="669" t="n"/>
    </row>
    <row r="190">
      <c r="A190" s="1037" t="n"/>
      <c r="B190" s="1066" t="n"/>
      <c r="C190" s="1037" t="n"/>
      <c r="D190" s="1037" t="n"/>
      <c r="E190" s="1037" t="n"/>
      <c r="F190" s="669" t="n"/>
      <c r="G190" s="669" t="n"/>
      <c r="H190" s="669" t="n"/>
      <c r="I190" s="669" t="n"/>
      <c r="J190" s="669" t="n"/>
      <c r="K190" s="669" t="n"/>
      <c r="L190" s="669" t="n"/>
      <c r="M190" s="669" t="n"/>
      <c r="N190" s="669" t="n"/>
      <c r="O190" s="669" t="n"/>
      <c r="P190" s="669" t="n"/>
      <c r="Q190" s="669" t="n"/>
      <c r="R190" s="669" t="n"/>
      <c r="S190" s="669" t="n"/>
      <c r="T190" s="669" t="n"/>
      <c r="U190" s="669" t="n"/>
      <c r="V190" s="669" t="n"/>
      <c r="W190" s="669" t="n"/>
      <c r="X190" s="669" t="n"/>
      <c r="Y190" s="669" t="n"/>
      <c r="Z190" s="669" t="n"/>
      <c r="AA190" s="669" t="n"/>
    </row>
    <row r="191">
      <c r="A191" s="1037" t="n"/>
      <c r="B191" s="1066" t="n"/>
      <c r="C191" s="1037" t="n"/>
      <c r="D191" s="1037" t="n"/>
      <c r="E191" s="1037" t="n"/>
      <c r="F191" s="669" t="n"/>
      <c r="G191" s="669" t="n"/>
      <c r="H191" s="669" t="n"/>
      <c r="I191" s="669" t="n"/>
      <c r="J191" s="669" t="n"/>
      <c r="K191" s="669" t="n"/>
      <c r="L191" s="669" t="n"/>
      <c r="M191" s="669" t="n"/>
      <c r="N191" s="669" t="n"/>
      <c r="O191" s="669" t="n"/>
      <c r="P191" s="669" t="n"/>
      <c r="Q191" s="669" t="n"/>
      <c r="R191" s="669" t="n"/>
      <c r="S191" s="669" t="n"/>
      <c r="T191" s="669" t="n"/>
      <c r="U191" s="669" t="n"/>
      <c r="V191" s="669" t="n"/>
      <c r="W191" s="669" t="n"/>
      <c r="X191" s="669" t="n"/>
      <c r="Y191" s="669" t="n"/>
      <c r="Z191" s="669" t="n"/>
      <c r="AA191" s="669" t="n"/>
    </row>
    <row r="192">
      <c r="A192" s="1037" t="n"/>
      <c r="B192" s="1066" t="n"/>
      <c r="C192" s="1037" t="n"/>
      <c r="D192" s="1037" t="n"/>
      <c r="E192" s="1037" t="n"/>
      <c r="F192" s="669" t="n"/>
      <c r="G192" s="669" t="n"/>
      <c r="H192" s="669" t="n"/>
      <c r="I192" s="669" t="n"/>
      <c r="J192" s="669" t="n"/>
      <c r="K192" s="669" t="n"/>
      <c r="L192" s="669" t="n"/>
      <c r="M192" s="669" t="n"/>
      <c r="N192" s="669" t="n"/>
      <c r="O192" s="669" t="n"/>
      <c r="P192" s="669" t="n"/>
      <c r="Q192" s="669" t="n"/>
      <c r="R192" s="669" t="n"/>
      <c r="S192" s="669" t="n"/>
      <c r="T192" s="669" t="n"/>
      <c r="U192" s="669" t="n"/>
      <c r="V192" s="669" t="n"/>
      <c r="W192" s="669" t="n"/>
      <c r="X192" s="669" t="n"/>
      <c r="Y192" s="669" t="n"/>
      <c r="Z192" s="669" t="n"/>
      <c r="AA192" s="669" t="n"/>
    </row>
    <row r="193">
      <c r="A193" s="1068" t="inlineStr">
        <is>
          <t>Guan Yu</t>
        </is>
      </c>
      <c r="B193" s="1069" t="n"/>
      <c r="C193" s="1070" t="inlineStr">
        <is>
          <t>Notes</t>
        </is>
      </c>
      <c r="D193" s="1071" t="n"/>
      <c r="E193" s="1071" t="n"/>
      <c r="F193" s="1072" t="n"/>
      <c r="G193" s="1072" t="n"/>
      <c r="H193" s="1072" t="n"/>
      <c r="I193" s="1072" t="n"/>
      <c r="J193" s="1072" t="n"/>
      <c r="K193" s="1072" t="n"/>
      <c r="L193" s="1072" t="n"/>
      <c r="M193" s="1073" t="n"/>
      <c r="N193" s="669" t="n"/>
      <c r="O193" s="669" t="n"/>
      <c r="P193" s="669" t="n"/>
      <c r="Q193" s="669" t="n"/>
      <c r="R193" s="669" t="n"/>
      <c r="S193" s="669" t="n"/>
      <c r="T193" s="669" t="n"/>
      <c r="U193" s="669" t="n"/>
      <c r="V193" s="669" t="n"/>
      <c r="W193" s="669" t="n"/>
      <c r="X193" s="669" t="n"/>
      <c r="Y193" s="669" t="n"/>
      <c r="Z193" s="669" t="n"/>
      <c r="AA193" s="669" t="n"/>
    </row>
    <row r="194">
      <c r="A194" s="1080" t="inlineStr">
        <is>
          <t>Passive</t>
        </is>
      </c>
      <c r="B194" s="1103" t="inlineStr">
        <is>
          <t>A</t>
        </is>
      </c>
      <c r="C194" s="1075" t="inlineStr">
        <is>
          <t>CRIT DMG</t>
        </is>
      </c>
      <c r="D194" s="373" t="n"/>
      <c r="E194" s="373" t="n"/>
      <c r="F194" s="237" t="n"/>
      <c r="G194" s="237" t="n"/>
      <c r="H194" s="237" t="n"/>
      <c r="I194" s="237" t="n"/>
      <c r="J194" s="237" t="n"/>
      <c r="K194" s="237" t="n"/>
      <c r="L194" s="237" t="n"/>
      <c r="M194" s="238" t="n"/>
      <c r="N194" s="669" t="n"/>
      <c r="O194" s="669" t="n"/>
      <c r="P194" s="669" t="n"/>
      <c r="Q194" s="669" t="n"/>
      <c r="R194" s="669" t="n"/>
      <c r="S194" s="669" t="n"/>
      <c r="T194" s="669" t="n"/>
      <c r="U194" s="669" t="n"/>
      <c r="V194" s="669" t="n"/>
      <c r="W194" s="669" t="n"/>
      <c r="X194" s="669" t="n"/>
      <c r="Y194" s="669" t="n"/>
      <c r="Z194" s="669" t="n"/>
      <c r="AA194" s="669" t="n"/>
    </row>
    <row r="195">
      <c r="A195" s="1080" t="inlineStr">
        <is>
          <t>Riding</t>
        </is>
      </c>
      <c r="B195" s="1103" t="inlineStr">
        <is>
          <t>S</t>
        </is>
      </c>
      <c r="C195" s="1037" t="inlineStr">
        <is>
          <t>Highest base talent; All skills are impactful</t>
        </is>
      </c>
      <c r="D195" s="1037" t="n"/>
      <c r="E195" s="1037" t="n"/>
      <c r="F195" s="669" t="n"/>
      <c r="G195" s="669" t="n"/>
      <c r="H195" s="669" t="n"/>
      <c r="I195" s="669" t="n"/>
      <c r="J195" s="669" t="n"/>
      <c r="K195" s="669" t="n"/>
      <c r="L195" s="669" t="n"/>
      <c r="M195" s="1095" t="n"/>
      <c r="N195" s="669" t="n"/>
      <c r="O195" s="669" t="n"/>
      <c r="P195" s="669" t="n"/>
      <c r="Q195" s="669" t="n"/>
      <c r="R195" s="669" t="n"/>
      <c r="S195" s="669" t="n"/>
      <c r="T195" s="669" t="n"/>
      <c r="U195" s="669" t="n"/>
      <c r="V195" s="669" t="n"/>
      <c r="W195" s="669" t="n"/>
      <c r="X195" s="669" t="n"/>
      <c r="Y195" s="669" t="n"/>
      <c r="Z195" s="669" t="n"/>
      <c r="AA195" s="669" t="n"/>
    </row>
    <row r="196">
      <c r="A196" s="1080" t="inlineStr">
        <is>
          <t>Siege</t>
        </is>
      </c>
      <c r="B196" s="1103" t="inlineStr">
        <is>
          <t>B</t>
        </is>
      </c>
      <c r="C196" s="1075" t="inlineStr">
        <is>
          <t>Relatively high base talent</t>
        </is>
      </c>
      <c r="D196" s="373" t="n"/>
      <c r="E196" s="373" t="n"/>
      <c r="F196" s="237" t="n"/>
      <c r="G196" s="237" t="n"/>
      <c r="H196" s="237" t="n"/>
      <c r="I196" s="237" t="n"/>
      <c r="J196" s="237" t="n"/>
      <c r="K196" s="237" t="n"/>
      <c r="L196" s="237" t="n"/>
      <c r="M196" s="238" t="n"/>
      <c r="N196" s="669" t="n"/>
      <c r="O196" s="669" t="n"/>
      <c r="P196" s="669" t="n"/>
      <c r="Q196" s="669" t="n"/>
      <c r="R196" s="669" t="n"/>
      <c r="S196" s="669" t="n"/>
      <c r="T196" s="669" t="n"/>
      <c r="U196" s="669" t="n"/>
      <c r="V196" s="669" t="n"/>
      <c r="W196" s="669" t="n"/>
      <c r="X196" s="669" t="n"/>
      <c r="Y196" s="669" t="n"/>
      <c r="Z196" s="669" t="n"/>
      <c r="AA196" s="669" t="n"/>
    </row>
    <row r="197">
      <c r="A197" s="1080" t="inlineStr">
        <is>
          <t>Growth Speed</t>
        </is>
      </c>
      <c r="B197" s="1103" t="inlineStr">
        <is>
          <t>Medium</t>
        </is>
      </c>
      <c r="C197" s="1037" t="n"/>
      <c r="D197" s="1037" t="n"/>
      <c r="E197" s="1037" t="n"/>
      <c r="F197" s="669" t="n"/>
      <c r="G197" s="669" t="n"/>
      <c r="H197" s="669" t="n"/>
      <c r="I197" s="669" t="n"/>
      <c r="J197" s="669" t="n"/>
      <c r="K197" s="669" t="n"/>
      <c r="L197" s="669" t="n"/>
      <c r="M197" s="1095" t="n"/>
      <c r="N197" s="669" t="n"/>
      <c r="O197" s="669" t="n"/>
      <c r="P197" s="669" t="n"/>
      <c r="Q197" s="669" t="n"/>
      <c r="R197" s="669" t="n"/>
      <c r="S197" s="669" t="n"/>
      <c r="T197" s="669" t="n"/>
      <c r="U197" s="669" t="n"/>
      <c r="V197" s="669" t="n"/>
      <c r="W197" s="669" t="n"/>
      <c r="X197" s="669" t="n"/>
      <c r="Y197" s="669" t="n"/>
      <c r="Z197" s="669" t="n"/>
      <c r="AA197" s="669" t="n"/>
    </row>
    <row r="198">
      <c r="A198" s="1080" t="inlineStr">
        <is>
          <t>Leveling Priority</t>
        </is>
      </c>
      <c r="B198" s="1103" t="inlineStr">
        <is>
          <t>A</t>
        </is>
      </c>
      <c r="C198" s="1075" t="inlineStr">
        <is>
          <t>Competes with Huang for Cathay material; High value in one anecdote type + moderate value in another; High value passive</t>
        </is>
      </c>
      <c r="D198" s="373" t="n"/>
      <c r="E198" s="373" t="n"/>
      <c r="F198" s="237" t="n"/>
      <c r="G198" s="237" t="n"/>
      <c r="H198" s="237" t="n"/>
      <c r="I198" s="237" t="n"/>
      <c r="J198" s="237" t="n"/>
      <c r="K198" s="237" t="n"/>
      <c r="L198" s="237" t="n"/>
      <c r="M198" s="238" t="n"/>
      <c r="N198" s="669" t="n"/>
      <c r="O198" s="669" t="n"/>
      <c r="P198" s="669" t="n"/>
      <c r="Q198" s="669" t="n"/>
      <c r="R198" s="669" t="n"/>
      <c r="S198" s="669" t="n"/>
      <c r="T198" s="669" t="n"/>
      <c r="U198" s="669" t="n"/>
      <c r="V198" s="669" t="n"/>
      <c r="W198" s="669" t="n"/>
      <c r="X198" s="669" t="n"/>
      <c r="Y198" s="669" t="n"/>
      <c r="Z198" s="669" t="n"/>
      <c r="AA198" s="669" t="n"/>
    </row>
    <row r="199">
      <c r="A199" s="1064" t="n"/>
      <c r="B199" s="1066" t="n"/>
      <c r="C199" s="1037" t="n"/>
      <c r="D199" s="1037" t="n"/>
      <c r="E199" s="1037" t="n"/>
      <c r="F199" s="669" t="n"/>
      <c r="G199" s="669" t="n"/>
      <c r="H199" s="669" t="n"/>
      <c r="I199" s="669" t="n"/>
      <c r="J199" s="669" t="n"/>
      <c r="K199" s="669" t="n"/>
      <c r="L199" s="669" t="n"/>
      <c r="M199" s="1095" t="n"/>
      <c r="N199" s="669" t="n"/>
      <c r="O199" s="669" t="n"/>
      <c r="P199" s="669" t="n"/>
      <c r="Q199" s="669" t="n"/>
      <c r="R199" s="669" t="n"/>
      <c r="S199" s="669" t="n"/>
      <c r="T199" s="669" t="n"/>
      <c r="U199" s="669" t="n"/>
      <c r="V199" s="669" t="n"/>
      <c r="W199" s="669" t="n"/>
      <c r="X199" s="669" t="n"/>
      <c r="Y199" s="669" t="n"/>
      <c r="Z199" s="669" t="n"/>
      <c r="AA199" s="669" t="n"/>
    </row>
    <row r="200">
      <c r="A200" s="1080" t="inlineStr">
        <is>
          <t>Name</t>
        </is>
      </c>
      <c r="B200" s="1080" t="inlineStr">
        <is>
          <t>Type</t>
        </is>
      </c>
      <c r="C200" s="1080" t="inlineStr">
        <is>
          <t>Lv10 Priority</t>
        </is>
      </c>
      <c r="D200" s="1080" t="inlineStr">
        <is>
          <t>Lv20 Priority</t>
        </is>
      </c>
      <c r="E200" s="1076" t="inlineStr">
        <is>
          <t>Notes</t>
        </is>
      </c>
      <c r="F200" s="1077" t="n"/>
      <c r="G200" s="1077" t="n"/>
      <c r="H200" s="1077" t="n"/>
      <c r="I200" s="1077" t="n"/>
      <c r="J200" s="1077" t="n"/>
      <c r="K200" s="1077" t="n"/>
      <c r="L200" s="1077" t="n"/>
      <c r="M200" s="1078" t="n"/>
      <c r="N200" s="669" t="n"/>
      <c r="O200" s="669" t="n"/>
      <c r="P200" s="669" t="n"/>
      <c r="Q200" s="669" t="n"/>
      <c r="R200" s="669" t="n"/>
      <c r="S200" s="669" t="n"/>
      <c r="T200" s="669" t="n"/>
      <c r="U200" s="669" t="n"/>
      <c r="V200" s="669" t="n"/>
      <c r="W200" s="669" t="n"/>
      <c r="X200" s="669" t="n"/>
      <c r="Y200" s="669" t="n"/>
      <c r="Z200" s="669" t="n"/>
      <c r="AA200" s="669" t="n"/>
    </row>
    <row r="201">
      <c r="A201" s="1103" t="inlineStr">
        <is>
          <t>Drag and Stab</t>
        </is>
      </c>
      <c r="B201" s="1103" t="inlineStr">
        <is>
          <t>Riding</t>
        </is>
      </c>
      <c r="C201" s="1103" t="inlineStr">
        <is>
          <t>S</t>
        </is>
      </c>
      <c r="D201" s="1103" t="inlineStr">
        <is>
          <t>S</t>
        </is>
      </c>
      <c r="E201" s="1075" t="inlineStr">
        <is>
          <t>Most impactful riding skill</t>
        </is>
      </c>
      <c r="F201" s="237" t="n"/>
      <c r="G201" s="237" t="n"/>
      <c r="H201" s="237" t="n"/>
      <c r="I201" s="237" t="n"/>
      <c r="J201" s="237" t="n"/>
      <c r="K201" s="237" t="n"/>
      <c r="L201" s="237" t="n"/>
      <c r="M201" s="238" t="n"/>
      <c r="N201" s="669" t="n"/>
      <c r="O201" s="669" t="n"/>
      <c r="P201" s="669" t="n"/>
      <c r="Q201" s="669" t="n"/>
      <c r="R201" s="669" t="n"/>
      <c r="S201" s="669" t="n"/>
      <c r="T201" s="669" t="n"/>
      <c r="U201" s="669" t="n"/>
      <c r="V201" s="669" t="n"/>
      <c r="W201" s="669" t="n"/>
      <c r="X201" s="669" t="n"/>
      <c r="Y201" s="669" t="n"/>
      <c r="Z201" s="669" t="n"/>
      <c r="AA201" s="669" t="n"/>
    </row>
    <row r="202">
      <c r="A202" s="1103" t="inlineStr">
        <is>
          <t>Horror of Fame</t>
        </is>
      </c>
      <c r="B202" s="1103" t="inlineStr">
        <is>
          <t>Riding</t>
        </is>
      </c>
      <c r="C202" s="1103" t="inlineStr">
        <is>
          <t>A</t>
        </is>
      </c>
      <c r="D202" s="1103" t="inlineStr">
        <is>
          <t>A</t>
        </is>
      </c>
      <c r="E202" s="1037" t="n"/>
      <c r="F202" s="669" t="n"/>
      <c r="G202" s="669" t="n"/>
      <c r="H202" s="669" t="n"/>
      <c r="I202" s="669" t="n"/>
      <c r="J202" s="669" t="n"/>
      <c r="K202" s="669" t="n"/>
      <c r="L202" s="669" t="n"/>
      <c r="M202" s="1095" t="n"/>
      <c r="N202" s="669" t="n"/>
      <c r="O202" s="669" t="n"/>
      <c r="P202" s="669" t="n"/>
      <c r="Q202" s="669" t="n"/>
      <c r="R202" s="669" t="n"/>
      <c r="S202" s="669" t="n"/>
      <c r="T202" s="669" t="n"/>
      <c r="U202" s="669" t="n"/>
      <c r="V202" s="669" t="n"/>
      <c r="W202" s="669" t="n"/>
      <c r="X202" s="669" t="n"/>
      <c r="Y202" s="669" t="n"/>
      <c r="Z202" s="669" t="n"/>
      <c r="AA202" s="669" t="n"/>
    </row>
    <row r="203">
      <c r="A203" s="1103" t="inlineStr">
        <is>
          <t>Solitary Journey</t>
        </is>
      </c>
      <c r="B203" s="1103" t="inlineStr">
        <is>
          <t>Riding</t>
        </is>
      </c>
      <c r="C203" s="1103" t="inlineStr">
        <is>
          <t>A</t>
        </is>
      </c>
      <c r="D203" s="1103" t="inlineStr">
        <is>
          <t>A</t>
        </is>
      </c>
      <c r="E203" s="1075" t="n"/>
      <c r="F203" s="237" t="n"/>
      <c r="G203" s="237" t="n"/>
      <c r="H203" s="237" t="n"/>
      <c r="I203" s="237" t="n"/>
      <c r="J203" s="237" t="n"/>
      <c r="K203" s="237" t="n"/>
      <c r="L203" s="237" t="n"/>
      <c r="M203" s="238" t="n"/>
      <c r="N203" s="669" t="n"/>
      <c r="O203" s="669" t="n"/>
      <c r="P203" s="669" t="n"/>
      <c r="Q203" s="669" t="n"/>
      <c r="R203" s="669" t="n"/>
      <c r="S203" s="669" t="n"/>
      <c r="T203" s="669" t="n"/>
      <c r="U203" s="669" t="n"/>
      <c r="V203" s="669" t="n"/>
      <c r="W203" s="669" t="n"/>
      <c r="X203" s="669" t="n"/>
      <c r="Y203" s="669" t="n"/>
      <c r="Z203" s="669" t="n"/>
      <c r="AA203" s="669" t="n"/>
    </row>
    <row r="204">
      <c r="A204" s="1103" t="inlineStr">
        <is>
          <t>Crescent</t>
        </is>
      </c>
      <c r="B204" s="1103" t="inlineStr">
        <is>
          <t>Siege</t>
        </is>
      </c>
      <c r="C204" s="1103" t="inlineStr">
        <is>
          <t>A</t>
        </is>
      </c>
      <c r="D204" s="1103" t="inlineStr">
        <is>
          <t>S</t>
        </is>
      </c>
      <c r="E204" s="1075" t="inlineStr">
        <is>
          <t>Dragon Formation is generally recommended</t>
        </is>
      </c>
      <c r="F204" s="237" t="n"/>
      <c r="G204" s="237" t="n"/>
      <c r="H204" s="237" t="n"/>
      <c r="I204" s="237" t="n"/>
      <c r="J204" s="237" t="n"/>
      <c r="K204" s="237" t="n"/>
      <c r="L204" s="237" t="n"/>
      <c r="M204" s="238" t="n"/>
      <c r="N204" s="669" t="n"/>
      <c r="O204" s="669" t="n"/>
      <c r="P204" s="669" t="n"/>
      <c r="Q204" s="669" t="n"/>
      <c r="R204" s="669" t="n"/>
      <c r="S204" s="669" t="n"/>
      <c r="T204" s="669" t="n"/>
      <c r="U204" s="669" t="n"/>
      <c r="V204" s="669" t="n"/>
      <c r="W204" s="669" t="n"/>
      <c r="X204" s="669" t="n"/>
      <c r="Y204" s="669" t="n"/>
      <c r="Z204" s="669" t="n"/>
      <c r="AA204" s="669" t="n"/>
    </row>
    <row r="205">
      <c r="A205" s="1103" t="inlineStr">
        <is>
          <t>Relentless Pursuit</t>
        </is>
      </c>
      <c r="B205" s="1103" t="inlineStr">
        <is>
          <t>Defense</t>
        </is>
      </c>
      <c r="C205" s="1103" t="inlineStr">
        <is>
          <t>F</t>
        </is>
      </c>
      <c r="D205" s="1103" t="inlineStr">
        <is>
          <t>F</t>
        </is>
      </c>
      <c r="E205" s="1079" t="inlineStr">
        <is>
          <t>Unclear activation conditions; Low base defense talent</t>
        </is>
      </c>
      <c r="F205" s="1093" t="n"/>
      <c r="G205" s="1093" t="n"/>
      <c r="H205" s="1093" t="n"/>
      <c r="I205" s="1093" t="n"/>
      <c r="J205" s="1093" t="n"/>
      <c r="K205" s="1093" t="n"/>
      <c r="L205" s="1093" t="n"/>
      <c r="M205" s="965" t="n"/>
      <c r="N205" s="669" t="n"/>
      <c r="O205" s="669" t="n"/>
      <c r="P205" s="669" t="n"/>
      <c r="Q205" s="669" t="n"/>
      <c r="R205" s="669" t="n"/>
      <c r="S205" s="669" t="n"/>
      <c r="T205" s="669" t="n"/>
      <c r="U205" s="669" t="n"/>
      <c r="V205" s="669" t="n"/>
      <c r="W205" s="669" t="n"/>
      <c r="X205" s="669" t="n"/>
      <c r="Y205" s="669" t="n"/>
      <c r="Z205" s="669" t="n"/>
      <c r="AA205" s="669" t="n"/>
    </row>
    <row r="206">
      <c r="A206" s="1037" t="n"/>
      <c r="B206" s="1066" t="n"/>
      <c r="C206" s="1037" t="n"/>
      <c r="D206" s="1037" t="n"/>
      <c r="E206" s="1037" t="n"/>
      <c r="F206" s="669" t="n"/>
      <c r="G206" s="669" t="n"/>
      <c r="H206" s="669" t="n"/>
      <c r="I206" s="669" t="n"/>
      <c r="J206" s="669" t="n"/>
      <c r="K206" s="669" t="n"/>
      <c r="L206" s="669" t="n"/>
      <c r="M206" s="669" t="n"/>
      <c r="N206" s="669" t="n"/>
      <c r="O206" s="669" t="n"/>
      <c r="P206" s="669" t="n"/>
      <c r="Q206" s="669" t="n"/>
      <c r="R206" s="669" t="n"/>
      <c r="S206" s="669" t="n"/>
      <c r="T206" s="669" t="n"/>
      <c r="U206" s="669" t="n"/>
      <c r="V206" s="669" t="n"/>
      <c r="W206" s="669" t="n"/>
      <c r="X206" s="669" t="n"/>
      <c r="Y206" s="669" t="n"/>
      <c r="Z206" s="669" t="n"/>
      <c r="AA206" s="669" t="n"/>
    </row>
    <row r="207">
      <c r="A207" s="1037" t="n"/>
      <c r="B207" s="1066" t="n"/>
      <c r="C207" s="1037" t="n"/>
      <c r="D207" s="1037" t="n"/>
      <c r="E207" s="1037" t="n"/>
      <c r="F207" s="669" t="n"/>
      <c r="G207" s="669" t="n"/>
      <c r="H207" s="669" t="n"/>
      <c r="I207" s="669" t="n"/>
      <c r="J207" s="669" t="n"/>
      <c r="K207" s="669" t="n"/>
      <c r="L207" s="669" t="n"/>
      <c r="M207" s="669" t="n"/>
      <c r="N207" s="669" t="n"/>
      <c r="O207" s="669" t="n"/>
      <c r="P207" s="669" t="n"/>
      <c r="Q207" s="669" t="n"/>
      <c r="R207" s="669" t="n"/>
      <c r="S207" s="669" t="n"/>
      <c r="T207" s="669" t="n"/>
      <c r="U207" s="669" t="n"/>
      <c r="V207" s="669" t="n"/>
      <c r="W207" s="669" t="n"/>
      <c r="X207" s="669" t="n"/>
      <c r="Y207" s="669" t="n"/>
      <c r="Z207" s="669" t="n"/>
      <c r="AA207" s="669" t="n"/>
    </row>
    <row r="208">
      <c r="A208" s="1037" t="n"/>
      <c r="B208" s="1066" t="n"/>
      <c r="C208" s="1037" t="n"/>
      <c r="D208" s="1037" t="n"/>
      <c r="E208" s="1037" t="n"/>
      <c r="F208" s="669" t="n"/>
      <c r="G208" s="669" t="n"/>
      <c r="H208" s="669" t="n"/>
      <c r="I208" s="669" t="n"/>
      <c r="J208" s="669" t="n"/>
      <c r="K208" s="669" t="n"/>
      <c r="L208" s="669" t="n"/>
      <c r="M208" s="669" t="n"/>
      <c r="N208" s="669" t="n"/>
      <c r="O208" s="669" t="n"/>
      <c r="P208" s="669" t="n"/>
      <c r="Q208" s="669" t="n"/>
      <c r="R208" s="669" t="n"/>
      <c r="S208" s="669" t="n"/>
      <c r="T208" s="669" t="n"/>
      <c r="U208" s="669" t="n"/>
      <c r="V208" s="669" t="n"/>
      <c r="W208" s="669" t="n"/>
      <c r="X208" s="669" t="n"/>
      <c r="Y208" s="669" t="n"/>
      <c r="Z208" s="669" t="n"/>
      <c r="AA208" s="669" t="n"/>
    </row>
    <row r="209">
      <c r="A209" s="1068" t="inlineStr">
        <is>
          <t>Poisoner Hua Tuo</t>
        </is>
      </c>
      <c r="B209" s="1069" t="n"/>
      <c r="C209" s="1070" t="inlineStr">
        <is>
          <t>Notes</t>
        </is>
      </c>
      <c r="D209" s="1071" t="n"/>
      <c r="E209" s="1071" t="n"/>
      <c r="F209" s="1072" t="n"/>
      <c r="G209" s="1072" t="n"/>
      <c r="H209" s="1072" t="n"/>
      <c r="I209" s="1072" t="n"/>
      <c r="J209" s="1072" t="n"/>
      <c r="K209" s="1072" t="n"/>
      <c r="L209" s="1072" t="n"/>
      <c r="M209" s="1073" t="n"/>
      <c r="N209" s="669" t="n"/>
      <c r="O209" s="669" t="n"/>
      <c r="P209" s="669" t="n"/>
      <c r="Q209" s="669" t="n"/>
      <c r="R209" s="669" t="n"/>
      <c r="S209" s="669" t="n"/>
      <c r="T209" s="669" t="n"/>
      <c r="U209" s="669" t="n"/>
      <c r="V209" s="669" t="n"/>
      <c r="W209" s="669" t="n"/>
      <c r="X209" s="669" t="n"/>
      <c r="Y209" s="669" t="n"/>
      <c r="Z209" s="669" t="n"/>
      <c r="AA209" s="669" t="n"/>
    </row>
    <row r="210">
      <c r="A210" s="1080" t="inlineStr">
        <is>
          <t>Passive</t>
        </is>
      </c>
      <c r="B210" s="1103" t="inlineStr">
        <is>
          <t>S</t>
        </is>
      </c>
      <c r="C210" s="1075" t="inlineStr">
        <is>
          <t>2x Reagent Drops</t>
        </is>
      </c>
      <c r="D210" s="373" t="n"/>
      <c r="E210" s="373" t="n"/>
      <c r="F210" s="237" t="n"/>
      <c r="G210" s="237" t="n"/>
      <c r="H210" s="237" t="n"/>
      <c r="I210" s="237" t="n"/>
      <c r="J210" s="237" t="n"/>
      <c r="K210" s="237" t="n"/>
      <c r="L210" s="237" t="n"/>
      <c r="M210" s="238" t="n"/>
      <c r="N210" s="669" t="n"/>
      <c r="O210" s="669" t="n"/>
      <c r="P210" s="669" t="n"/>
      <c r="Q210" s="669" t="n"/>
      <c r="R210" s="669" t="n"/>
      <c r="S210" s="669" t="n"/>
      <c r="T210" s="669" t="n"/>
      <c r="U210" s="669" t="n"/>
      <c r="V210" s="669" t="n"/>
      <c r="W210" s="669" t="n"/>
      <c r="X210" s="669" t="n"/>
      <c r="Y210" s="669" t="n"/>
      <c r="Z210" s="669" t="n"/>
      <c r="AA210" s="669" t="n"/>
    </row>
    <row r="211">
      <c r="A211" s="1080" t="inlineStr">
        <is>
          <t>Ninjustu</t>
        </is>
      </c>
      <c r="B211" s="1103" t="inlineStr">
        <is>
          <t>S</t>
        </is>
      </c>
      <c r="C211" s="1037" t="inlineStr">
        <is>
          <t>Core damage dealer via Leech %HP DMG; Only means of healing most team members</t>
        </is>
      </c>
      <c r="D211" s="1037" t="n"/>
      <c r="E211" s="1037" t="n"/>
      <c r="F211" s="669" t="n"/>
      <c r="G211" s="669" t="n"/>
      <c r="H211" s="669" t="n"/>
      <c r="I211" s="669" t="n"/>
      <c r="J211" s="669" t="n"/>
      <c r="K211" s="669" t="n"/>
      <c r="L211" s="669" t="n"/>
      <c r="M211" s="1095" t="n"/>
      <c r="N211" s="669" t="n"/>
      <c r="O211" s="669" t="n"/>
      <c r="P211" s="669" t="n"/>
      <c r="Q211" s="669" t="n"/>
      <c r="R211" s="669" t="n"/>
      <c r="S211" s="669" t="n"/>
      <c r="T211" s="669" t="n"/>
      <c r="U211" s="669" t="n"/>
      <c r="V211" s="669" t="n"/>
      <c r="W211" s="669" t="n"/>
      <c r="X211" s="669" t="n"/>
      <c r="Y211" s="669" t="n"/>
      <c r="Z211" s="669" t="n"/>
      <c r="AA211" s="669" t="n"/>
    </row>
    <row r="212">
      <c r="A212" s="1080" t="inlineStr">
        <is>
          <t>Dharma</t>
        </is>
      </c>
      <c r="B212" s="1103" t="inlineStr">
        <is>
          <t>S</t>
        </is>
      </c>
      <c r="C212" s="1075" t="inlineStr">
        <is>
          <t>Core damage dealer via poison %HP DMG; Team healer; Generally target for Naga rage transfer</t>
        </is>
      </c>
      <c r="D212" s="373" t="n"/>
      <c r="E212" s="373" t="n"/>
      <c r="F212" s="237" t="n"/>
      <c r="G212" s="237" t="n"/>
      <c r="H212" s="237" t="n"/>
      <c r="I212" s="237" t="n"/>
      <c r="J212" s="237" t="n"/>
      <c r="K212" s="237" t="n"/>
      <c r="L212" s="237" t="n"/>
      <c r="M212" s="238" t="n"/>
      <c r="N212" s="669" t="n"/>
      <c r="O212" s="669" t="n"/>
      <c r="P212" s="669" t="n"/>
      <c r="Q212" s="669" t="n"/>
      <c r="R212" s="669" t="n"/>
      <c r="S212" s="669" t="n"/>
      <c r="T212" s="669" t="n"/>
      <c r="U212" s="669" t="n"/>
      <c r="V212" s="669" t="n"/>
      <c r="W212" s="669" t="n"/>
      <c r="X212" s="669" t="n"/>
      <c r="Y212" s="669" t="n"/>
      <c r="Z212" s="669" t="n"/>
      <c r="AA212" s="669" t="n"/>
    </row>
    <row r="213">
      <c r="A213" s="1080" t="inlineStr">
        <is>
          <t>Growth Speed</t>
        </is>
      </c>
      <c r="B213" s="1103" t="inlineStr">
        <is>
          <t>Medium</t>
        </is>
      </c>
      <c r="C213" s="1037" t="n"/>
      <c r="D213" s="1037" t="n"/>
      <c r="E213" s="1037" t="n"/>
      <c r="F213" s="669" t="n"/>
      <c r="G213" s="669" t="n"/>
      <c r="H213" s="669" t="n"/>
      <c r="I213" s="669" t="n"/>
      <c r="J213" s="669" t="n"/>
      <c r="K213" s="669" t="n"/>
      <c r="L213" s="669" t="n"/>
      <c r="M213" s="1095" t="n"/>
      <c r="N213" s="669" t="n"/>
      <c r="O213" s="669" t="n"/>
      <c r="P213" s="669" t="n"/>
      <c r="Q213" s="669" t="n"/>
      <c r="R213" s="669" t="n"/>
      <c r="S213" s="669" t="n"/>
      <c r="T213" s="669" t="n"/>
      <c r="U213" s="669" t="n"/>
      <c r="V213" s="669" t="n"/>
      <c r="W213" s="669" t="n"/>
      <c r="X213" s="669" t="n"/>
      <c r="Y213" s="669" t="n"/>
      <c r="Z213" s="669" t="n"/>
      <c r="AA213" s="669" t="n"/>
    </row>
    <row r="214">
      <c r="A214" s="1080" t="inlineStr">
        <is>
          <t>Leveling Priority</t>
        </is>
      </c>
      <c r="B214" s="1103" t="inlineStr">
        <is>
          <t>S</t>
        </is>
      </c>
      <c r="C214" s="1075" t="inlineStr">
        <is>
          <t>Competes with Huang for Cathay material; Highest value in two anecdote types; High value passive</t>
        </is>
      </c>
      <c r="D214" s="373" t="n"/>
      <c r="E214" s="373" t="n"/>
      <c r="F214" s="237" t="n"/>
      <c r="G214" s="237" t="n"/>
      <c r="H214" s="237" t="n"/>
      <c r="I214" s="237" t="n"/>
      <c r="J214" s="237" t="n"/>
      <c r="K214" s="237" t="n"/>
      <c r="L214" s="237" t="n"/>
      <c r="M214" s="238" t="n"/>
      <c r="N214" s="669" t="n"/>
      <c r="O214" s="669" t="n"/>
      <c r="P214" s="669" t="n"/>
      <c r="Q214" s="669" t="n"/>
      <c r="R214" s="669" t="n"/>
      <c r="S214" s="669" t="n"/>
      <c r="T214" s="669" t="n"/>
      <c r="U214" s="669" t="n"/>
      <c r="V214" s="669" t="n"/>
      <c r="W214" s="669" t="n"/>
      <c r="X214" s="669" t="n"/>
      <c r="Y214" s="669" t="n"/>
      <c r="Z214" s="669" t="n"/>
      <c r="AA214" s="669" t="n"/>
    </row>
    <row r="215">
      <c r="A215" s="1064" t="n"/>
      <c r="B215" s="1066" t="n"/>
      <c r="C215" s="1037" t="n"/>
      <c r="D215" s="1037" t="n"/>
      <c r="E215" s="1037" t="n"/>
      <c r="F215" s="669" t="n"/>
      <c r="G215" s="669" t="n"/>
      <c r="H215" s="669" t="n"/>
      <c r="I215" s="669" t="n"/>
      <c r="J215" s="669" t="n"/>
      <c r="K215" s="669" t="n"/>
      <c r="L215" s="669" t="n"/>
      <c r="M215" s="1095" t="n"/>
      <c r="N215" s="669" t="n"/>
      <c r="O215" s="669" t="n"/>
      <c r="P215" s="669" t="n"/>
      <c r="Q215" s="669" t="n"/>
      <c r="R215" s="669" t="n"/>
      <c r="S215" s="669" t="n"/>
      <c r="T215" s="669" t="n"/>
      <c r="U215" s="669" t="n"/>
      <c r="V215" s="669" t="n"/>
      <c r="W215" s="669" t="n"/>
      <c r="X215" s="669" t="n"/>
      <c r="Y215" s="669" t="n"/>
      <c r="Z215" s="669" t="n"/>
      <c r="AA215" s="669" t="n"/>
    </row>
    <row r="216">
      <c r="A216" s="1080" t="inlineStr">
        <is>
          <t>Name</t>
        </is>
      </c>
      <c r="B216" s="1080" t="inlineStr">
        <is>
          <t>Type</t>
        </is>
      </c>
      <c r="C216" s="1080" t="inlineStr">
        <is>
          <t>Lv10 Priority</t>
        </is>
      </c>
      <c r="D216" s="1080" t="inlineStr">
        <is>
          <t>Lv20 Priority</t>
        </is>
      </c>
      <c r="E216" s="1076" t="inlineStr">
        <is>
          <t>Notes</t>
        </is>
      </c>
      <c r="F216" s="1077" t="n"/>
      <c r="G216" s="1077" t="n"/>
      <c r="H216" s="1077" t="n"/>
      <c r="I216" s="1077" t="n"/>
      <c r="J216" s="1077" t="n"/>
      <c r="K216" s="1077" t="n"/>
      <c r="L216" s="1077" t="n"/>
      <c r="M216" s="1078" t="n"/>
      <c r="N216" s="669" t="n"/>
      <c r="O216" s="669" t="n"/>
      <c r="P216" s="669" t="n"/>
      <c r="Q216" s="669" t="n"/>
      <c r="R216" s="669" t="n"/>
      <c r="S216" s="669" t="n"/>
      <c r="T216" s="669" t="n"/>
      <c r="U216" s="669" t="n"/>
      <c r="V216" s="669" t="n"/>
      <c r="W216" s="669" t="n"/>
      <c r="X216" s="669" t="n"/>
      <c r="Y216" s="669" t="n"/>
      <c r="Z216" s="669" t="n"/>
      <c r="AA216" s="669" t="n"/>
    </row>
    <row r="217">
      <c r="A217" s="1103" t="inlineStr">
        <is>
          <t>Leechcraft</t>
        </is>
      </c>
      <c r="B217" s="1103" t="inlineStr">
        <is>
          <t>Dharma</t>
        </is>
      </c>
      <c r="C217" s="1103" t="inlineStr">
        <is>
          <t>C</t>
        </is>
      </c>
      <c r="D217" s="1103" t="inlineStr">
        <is>
          <t>C</t>
        </is>
      </c>
      <c r="E217" s="1075" t="inlineStr">
        <is>
          <t>Only needed if one drifter is below recommended level for the anecdote; High opportunity cost</t>
        </is>
      </c>
      <c r="F217" s="237" t="n"/>
      <c r="G217" s="237" t="n"/>
      <c r="H217" s="237" t="n"/>
      <c r="I217" s="237" t="n"/>
      <c r="J217" s="237" t="n"/>
      <c r="K217" s="237" t="n"/>
      <c r="L217" s="237" t="n"/>
      <c r="M217" s="238" t="n"/>
      <c r="N217" s="669" t="n"/>
      <c r="O217" s="669" t="n"/>
      <c r="P217" s="669" t="n"/>
      <c r="Q217" s="669" t="n"/>
      <c r="R217" s="669" t="n"/>
      <c r="S217" s="669" t="n"/>
      <c r="T217" s="669" t="n"/>
      <c r="U217" s="669" t="n"/>
      <c r="V217" s="669" t="n"/>
      <c r="W217" s="669" t="n"/>
      <c r="X217" s="669" t="n"/>
      <c r="Y217" s="669" t="n"/>
      <c r="Z217" s="669" t="n"/>
      <c r="AA217" s="669" t="n"/>
    </row>
    <row r="218">
      <c r="A218" s="1103" t="inlineStr">
        <is>
          <t>Rejuvenation</t>
        </is>
      </c>
      <c r="B218" s="1103" t="inlineStr">
        <is>
          <t>Dharma</t>
        </is>
      </c>
      <c r="C218" s="1103" t="inlineStr">
        <is>
          <t>S</t>
        </is>
      </c>
      <c r="D218" s="1103" t="inlineStr">
        <is>
          <t>S</t>
        </is>
      </c>
      <c r="E218" s="1037" t="inlineStr">
        <is>
          <t>Primary team heal; Higher potency frees up turns to refresh poison</t>
        </is>
      </c>
      <c r="F218" s="669" t="n"/>
      <c r="G218" s="669" t="n"/>
      <c r="H218" s="669" t="n"/>
      <c r="I218" s="669" t="n"/>
      <c r="J218" s="669" t="n"/>
      <c r="K218" s="669" t="n"/>
      <c r="L218" s="669" t="n"/>
      <c r="M218" s="1095" t="n"/>
      <c r="N218" s="669" t="n"/>
      <c r="O218" s="669" t="n"/>
      <c r="P218" s="669" t="n"/>
      <c r="Q218" s="669" t="n"/>
      <c r="R218" s="669" t="n"/>
      <c r="S218" s="669" t="n"/>
      <c r="T218" s="669" t="n"/>
      <c r="U218" s="669" t="n"/>
      <c r="V218" s="669" t="n"/>
      <c r="W218" s="669" t="n"/>
      <c r="X218" s="669" t="n"/>
      <c r="Y218" s="669" t="n"/>
      <c r="Z218" s="669" t="n"/>
      <c r="AA218" s="669" t="n"/>
    </row>
    <row r="219">
      <c r="A219" s="1103" t="inlineStr">
        <is>
          <t>Soul Break</t>
        </is>
      </c>
      <c r="B219" s="1103" t="inlineStr">
        <is>
          <t>Dharma</t>
        </is>
      </c>
      <c r="C219" s="1103" t="inlineStr">
        <is>
          <t>S</t>
        </is>
      </c>
      <c r="D219" s="1103" t="inlineStr">
        <is>
          <t>C</t>
        </is>
      </c>
      <c r="E219" s="1075" t="inlineStr">
        <is>
          <t>Primary source of team damage; Does not improve % HP DMG after lv10</t>
        </is>
      </c>
      <c r="F219" s="237" t="n"/>
      <c r="G219" s="237" t="n"/>
      <c r="H219" s="237" t="n"/>
      <c r="I219" s="237" t="n"/>
      <c r="J219" s="237" t="n"/>
      <c r="K219" s="237" t="n"/>
      <c r="L219" s="237" t="n"/>
      <c r="M219" s="238" t="n"/>
      <c r="N219" s="669" t="n"/>
      <c r="O219" s="669" t="n"/>
      <c r="P219" s="669" t="n"/>
      <c r="Q219" s="669" t="n"/>
      <c r="R219" s="669" t="n"/>
      <c r="S219" s="669" t="n"/>
      <c r="T219" s="669" t="n"/>
      <c r="U219" s="669" t="n"/>
      <c r="V219" s="669" t="n"/>
      <c r="W219" s="669" t="n"/>
      <c r="X219" s="669" t="n"/>
      <c r="Y219" s="669" t="n"/>
      <c r="Z219" s="669" t="n"/>
      <c r="AA219" s="669" t="n"/>
    </row>
    <row r="220">
      <c r="A220" s="1103" t="inlineStr">
        <is>
          <t>Heart Devourer</t>
        </is>
      </c>
      <c r="B220" s="1103" t="inlineStr">
        <is>
          <t>Ninjutsu</t>
        </is>
      </c>
      <c r="C220" s="1103" t="inlineStr">
        <is>
          <t>D</t>
        </is>
      </c>
      <c r="D220" s="1103" t="inlineStr">
        <is>
          <t>D</t>
        </is>
      </c>
      <c r="E220" s="1075" t="inlineStr">
        <is>
          <t>Leech generally doesn't need poison marks</t>
        </is>
      </c>
      <c r="F220" s="237" t="n"/>
      <c r="G220" s="237" t="n"/>
      <c r="H220" s="237" t="n"/>
      <c r="I220" s="237" t="n"/>
      <c r="J220" s="237" t="n"/>
      <c r="K220" s="237" t="n"/>
      <c r="L220" s="237" t="n"/>
      <c r="M220" s="238" t="n"/>
      <c r="N220" s="669" t="n"/>
      <c r="O220" s="669" t="n"/>
      <c r="P220" s="669" t="n"/>
      <c r="Q220" s="669" t="n"/>
      <c r="R220" s="669" t="n"/>
      <c r="S220" s="669" t="n"/>
      <c r="T220" s="669" t="n"/>
      <c r="U220" s="669" t="n"/>
      <c r="V220" s="669" t="n"/>
      <c r="W220" s="669" t="n"/>
      <c r="X220" s="669" t="n"/>
      <c r="Y220" s="669" t="n"/>
      <c r="Z220" s="669" t="n"/>
      <c r="AA220" s="669" t="n"/>
    </row>
    <row r="221">
      <c r="A221" s="1103" t="inlineStr">
        <is>
          <t>Leech</t>
        </is>
      </c>
      <c r="B221" s="1103" t="inlineStr">
        <is>
          <t>Ninjutsu</t>
        </is>
      </c>
      <c r="C221" s="1103" t="inlineStr">
        <is>
          <t>S</t>
        </is>
      </c>
      <c r="D221" s="1103" t="inlineStr">
        <is>
          <t>C</t>
        </is>
      </c>
      <c r="E221" s="1079" t="inlineStr">
        <is>
          <t>Primary source of team damage; Does not improve % HP DMG after lv10; Best DMG per turn at 0 marks</t>
        </is>
      </c>
      <c r="F221" s="1093" t="n"/>
      <c r="G221" s="1093" t="n"/>
      <c r="H221" s="1093" t="n"/>
      <c r="I221" s="1093" t="n"/>
      <c r="J221" s="1093" t="n"/>
      <c r="K221" s="1093" t="n"/>
      <c r="L221" s="1093" t="n"/>
      <c r="M221" s="965" t="n"/>
      <c r="N221" s="669" t="n"/>
      <c r="O221" s="669" t="n"/>
      <c r="P221" s="669" t="n"/>
      <c r="Q221" s="669" t="n"/>
      <c r="R221" s="669" t="n"/>
      <c r="S221" s="669" t="n"/>
      <c r="T221" s="669" t="n"/>
      <c r="U221" s="669" t="n"/>
      <c r="V221" s="669" t="n"/>
      <c r="W221" s="669" t="n"/>
      <c r="X221" s="669" t="n"/>
      <c r="Y221" s="669" t="n"/>
      <c r="Z221" s="669" t="n"/>
      <c r="AA221" s="669" t="n"/>
    </row>
    <row r="222">
      <c r="A222" s="1037" t="n"/>
      <c r="B222" s="1066" t="n"/>
      <c r="C222" s="1037" t="n"/>
      <c r="D222" s="1037" t="n"/>
      <c r="E222" s="1037" t="n"/>
      <c r="F222" s="669" t="n"/>
      <c r="G222" s="669" t="n"/>
      <c r="H222" s="669" t="n"/>
      <c r="I222" s="669" t="n"/>
      <c r="J222" s="669" t="n"/>
      <c r="K222" s="669" t="n"/>
      <c r="L222" s="669" t="n"/>
      <c r="M222" s="669" t="n"/>
      <c r="N222" s="669" t="n"/>
      <c r="O222" s="669" t="n"/>
      <c r="P222" s="669" t="n"/>
      <c r="Q222" s="669" t="n"/>
      <c r="R222" s="669" t="n"/>
      <c r="S222" s="669" t="n"/>
      <c r="T222" s="669" t="n"/>
      <c r="U222" s="669" t="n"/>
      <c r="V222" s="669" t="n"/>
      <c r="W222" s="669" t="n"/>
      <c r="X222" s="669" t="n"/>
      <c r="Y222" s="669" t="n"/>
      <c r="Z222" s="669" t="n"/>
      <c r="AA222" s="669" t="n"/>
    </row>
    <row r="223">
      <c r="A223" s="1037" t="n"/>
      <c r="B223" s="1066" t="n"/>
      <c r="C223" s="1037" t="n"/>
      <c r="D223" s="1037" t="n"/>
      <c r="E223" s="1037" t="n"/>
      <c r="F223" s="669" t="n"/>
      <c r="G223" s="669" t="n"/>
      <c r="H223" s="669" t="n"/>
      <c r="I223" s="669" t="n"/>
      <c r="J223" s="669" t="n"/>
      <c r="K223" s="669" t="n"/>
      <c r="L223" s="669" t="n"/>
      <c r="M223" s="669" t="n"/>
      <c r="N223" s="669" t="n"/>
      <c r="O223" s="669" t="n"/>
      <c r="P223" s="669" t="n"/>
      <c r="Q223" s="669" t="n"/>
      <c r="R223" s="669" t="n"/>
      <c r="S223" s="669" t="n"/>
      <c r="T223" s="669" t="n"/>
      <c r="U223" s="669" t="n"/>
      <c r="V223" s="669" t="n"/>
      <c r="W223" s="669" t="n"/>
      <c r="X223" s="669" t="n"/>
      <c r="Y223" s="669" t="n"/>
      <c r="Z223" s="669" t="n"/>
      <c r="AA223" s="669" t="n"/>
    </row>
    <row r="224">
      <c r="A224" s="1037" t="n"/>
      <c r="B224" s="1066" t="n"/>
      <c r="C224" s="1037" t="n"/>
      <c r="D224" s="1037" t="n"/>
      <c r="E224" s="1037" t="n"/>
      <c r="F224" s="669" t="n"/>
      <c r="G224" s="669" t="n"/>
      <c r="H224" s="669" t="n"/>
      <c r="I224" s="669" t="n"/>
      <c r="J224" s="669" t="n"/>
      <c r="K224" s="669" t="n"/>
      <c r="L224" s="669" t="n"/>
      <c r="M224" s="669" t="n"/>
      <c r="N224" s="669" t="n"/>
      <c r="O224" s="669" t="n"/>
      <c r="P224" s="669" t="n"/>
      <c r="Q224" s="669" t="n"/>
      <c r="R224" s="669" t="n"/>
      <c r="S224" s="669" t="n"/>
      <c r="T224" s="669" t="n"/>
      <c r="U224" s="669" t="n"/>
      <c r="V224" s="669" t="n"/>
      <c r="W224" s="669" t="n"/>
      <c r="X224" s="669" t="n"/>
      <c r="Y224" s="669" t="n"/>
      <c r="Z224" s="669" t="n"/>
      <c r="AA224" s="669" t="n"/>
    </row>
    <row r="225">
      <c r="A225" s="1068" t="inlineStr">
        <is>
          <t>Madam Huang</t>
        </is>
      </c>
      <c r="B225" s="1069" t="n"/>
      <c r="C225" s="1070" t="inlineStr">
        <is>
          <t>Notes</t>
        </is>
      </c>
      <c r="D225" s="1071" t="n"/>
      <c r="E225" s="1071" t="n"/>
      <c r="F225" s="1072" t="n"/>
      <c r="G225" s="1072" t="n"/>
      <c r="H225" s="1072" t="n"/>
      <c r="I225" s="1072" t="n"/>
      <c r="J225" s="1072" t="n"/>
      <c r="K225" s="1072" t="n"/>
      <c r="L225" s="1072" t="n"/>
      <c r="M225" s="1073" t="n"/>
      <c r="N225" s="669" t="n"/>
      <c r="O225" s="669" t="n"/>
      <c r="P225" s="669" t="n"/>
      <c r="Q225" s="669" t="n"/>
      <c r="R225" s="669" t="n"/>
      <c r="S225" s="669" t="n"/>
      <c r="T225" s="669" t="n"/>
      <c r="U225" s="669" t="n"/>
      <c r="V225" s="669" t="n"/>
      <c r="W225" s="669" t="n"/>
      <c r="X225" s="669" t="n"/>
      <c r="Y225" s="669" t="n"/>
      <c r="Z225" s="669" t="n"/>
      <c r="AA225" s="669" t="n"/>
    </row>
    <row r="226">
      <c r="A226" s="1080" t="inlineStr">
        <is>
          <t>Passive</t>
        </is>
      </c>
      <c r="B226" s="1103" t="inlineStr">
        <is>
          <t>D</t>
        </is>
      </c>
      <c r="C226" s="1075" t="inlineStr">
        <is>
          <t>Mecha Cells</t>
        </is>
      </c>
      <c r="D226" s="373" t="n"/>
      <c r="E226" s="373" t="n"/>
      <c r="F226" s="237" t="n"/>
      <c r="G226" s="237" t="n"/>
      <c r="H226" s="237" t="n"/>
      <c r="I226" s="237" t="n"/>
      <c r="J226" s="237" t="n"/>
      <c r="K226" s="237" t="n"/>
      <c r="L226" s="237" t="n"/>
      <c r="M226" s="238" t="n"/>
      <c r="N226" s="669" t="n"/>
      <c r="O226" s="669" t="n"/>
      <c r="P226" s="669" t="n"/>
      <c r="Q226" s="669" t="n"/>
      <c r="R226" s="669" t="n"/>
      <c r="S226" s="669" t="n"/>
      <c r="T226" s="669" t="n"/>
      <c r="U226" s="669" t="n"/>
      <c r="V226" s="669" t="n"/>
      <c r="W226" s="669" t="n"/>
      <c r="X226" s="669" t="n"/>
      <c r="Y226" s="669" t="n"/>
      <c r="Z226" s="669" t="n"/>
      <c r="AA226" s="669" t="n"/>
    </row>
    <row r="227">
      <c r="A227" s="1080" t="inlineStr">
        <is>
          <t>Band</t>
        </is>
      </c>
      <c r="B227" s="1103" t="inlineStr">
        <is>
          <t>A</t>
        </is>
      </c>
      <c r="C227" s="1037" t="inlineStr">
        <is>
          <t>Moderate band talent gain per level</t>
        </is>
      </c>
      <c r="D227" s="1037" t="n"/>
      <c r="E227" s="1037" t="n"/>
      <c r="F227" s="669" t="n"/>
      <c r="G227" s="669" t="n"/>
      <c r="H227" s="669" t="n"/>
      <c r="I227" s="669" t="n"/>
      <c r="J227" s="669" t="n"/>
      <c r="K227" s="669" t="n"/>
      <c r="L227" s="669" t="n"/>
      <c r="M227" s="1095" t="n"/>
      <c r="N227" s="669" t="n"/>
      <c r="O227" s="669" t="n"/>
      <c r="P227" s="669" t="n"/>
      <c r="Q227" s="669" t="n"/>
      <c r="R227" s="669" t="n"/>
      <c r="S227" s="669" t="n"/>
      <c r="T227" s="669" t="n"/>
      <c r="U227" s="669" t="n"/>
      <c r="V227" s="669" t="n"/>
      <c r="W227" s="669" t="n"/>
      <c r="X227" s="669" t="n"/>
      <c r="Y227" s="669" t="n"/>
      <c r="Z227" s="669" t="n"/>
      <c r="AA227" s="669" t="n"/>
    </row>
    <row r="228">
      <c r="A228" s="1080" t="inlineStr">
        <is>
          <t>Defense</t>
        </is>
      </c>
      <c r="B228" s="1103" t="inlineStr">
        <is>
          <t>S</t>
        </is>
      </c>
      <c r="C228" s="1075" t="inlineStr">
        <is>
          <t>Core damage dealer; Buffs team ATK</t>
        </is>
      </c>
      <c r="D228" s="373" t="n"/>
      <c r="E228" s="373" t="n"/>
      <c r="F228" s="237" t="n"/>
      <c r="G228" s="237" t="n"/>
      <c r="H228" s="237" t="n"/>
      <c r="I228" s="237" t="n"/>
      <c r="J228" s="237" t="n"/>
      <c r="K228" s="237" t="n"/>
      <c r="L228" s="237" t="n"/>
      <c r="M228" s="238" t="n"/>
      <c r="N228" s="669" t="n"/>
      <c r="O228" s="669" t="n"/>
      <c r="P228" s="669" t="n"/>
      <c r="Q228" s="669" t="n"/>
      <c r="R228" s="669" t="n"/>
      <c r="S228" s="669" t="n"/>
      <c r="T228" s="669" t="n"/>
      <c r="U228" s="669" t="n"/>
      <c r="V228" s="669" t="n"/>
      <c r="W228" s="669" t="n"/>
      <c r="X228" s="669" t="n"/>
      <c r="Y228" s="669" t="n"/>
      <c r="Z228" s="669" t="n"/>
      <c r="AA228" s="669" t="n"/>
    </row>
    <row r="229">
      <c r="A229" s="1080" t="inlineStr">
        <is>
          <t>Growth Speed</t>
        </is>
      </c>
      <c r="B229" s="1103" t="inlineStr">
        <is>
          <t>High</t>
        </is>
      </c>
      <c r="C229" s="1037" t="n"/>
      <c r="D229" s="1037" t="n"/>
      <c r="E229" s="1037" t="n"/>
      <c r="F229" s="669" t="n"/>
      <c r="G229" s="669" t="n"/>
      <c r="H229" s="669" t="n"/>
      <c r="I229" s="669" t="n"/>
      <c r="J229" s="669" t="n"/>
      <c r="K229" s="669" t="n"/>
      <c r="L229" s="669" t="n"/>
      <c r="M229" s="1095" t="n"/>
      <c r="N229" s="669" t="n"/>
      <c r="O229" s="669" t="n"/>
      <c r="P229" s="669" t="n"/>
      <c r="Q229" s="669" t="n"/>
      <c r="R229" s="669" t="n"/>
      <c r="S229" s="669" t="n"/>
      <c r="T229" s="669" t="n"/>
      <c r="U229" s="669" t="n"/>
      <c r="V229" s="669" t="n"/>
      <c r="W229" s="669" t="n"/>
      <c r="X229" s="669" t="n"/>
      <c r="Y229" s="669" t="n"/>
      <c r="Z229" s="669" t="n"/>
      <c r="AA229" s="669" t="n"/>
    </row>
    <row r="230">
      <c r="A230" s="1080" t="inlineStr">
        <is>
          <t>Leveling Priority</t>
        </is>
      </c>
      <c r="B230" s="1103" t="inlineStr">
        <is>
          <t>A</t>
        </is>
      </c>
      <c r="C230" s="1075" t="inlineStr">
        <is>
          <t>Competes with Guan Yu/Poisoner for Cathay material; High value in two anecdote types; Terrible passive</t>
        </is>
      </c>
      <c r="D230" s="373" t="n"/>
      <c r="E230" s="373" t="n"/>
      <c r="F230" s="237" t="n"/>
      <c r="G230" s="237" t="n"/>
      <c r="H230" s="237" t="n"/>
      <c r="I230" s="237" t="n"/>
      <c r="J230" s="237" t="n"/>
      <c r="K230" s="237" t="n"/>
      <c r="L230" s="237" t="n"/>
      <c r="M230" s="238" t="n"/>
      <c r="N230" s="669" t="n"/>
      <c r="O230" s="669" t="n"/>
      <c r="P230" s="669" t="n"/>
      <c r="Q230" s="669" t="n"/>
      <c r="R230" s="669" t="n"/>
      <c r="S230" s="669" t="n"/>
      <c r="T230" s="669" t="n"/>
      <c r="U230" s="669" t="n"/>
      <c r="V230" s="669" t="n"/>
      <c r="W230" s="669" t="n"/>
      <c r="X230" s="669" t="n"/>
      <c r="Y230" s="669" t="n"/>
      <c r="Z230" s="669" t="n"/>
      <c r="AA230" s="669" t="n"/>
    </row>
    <row r="231">
      <c r="A231" s="1064" t="n"/>
      <c r="B231" s="1066" t="n"/>
      <c r="C231" s="1037" t="n"/>
      <c r="D231" s="1037" t="n"/>
      <c r="E231" s="1037" t="n"/>
      <c r="F231" s="669" t="n"/>
      <c r="G231" s="669" t="n"/>
      <c r="H231" s="669" t="n"/>
      <c r="I231" s="669" t="n"/>
      <c r="J231" s="669" t="n"/>
      <c r="K231" s="669" t="n"/>
      <c r="L231" s="669" t="n"/>
      <c r="M231" s="1095" t="n"/>
      <c r="N231" s="669" t="n"/>
      <c r="O231" s="669" t="n"/>
      <c r="P231" s="669" t="n"/>
      <c r="Q231" s="669" t="n"/>
      <c r="R231" s="669" t="n"/>
      <c r="S231" s="669" t="n"/>
      <c r="T231" s="669" t="n"/>
      <c r="U231" s="669" t="n"/>
      <c r="V231" s="669" t="n"/>
      <c r="W231" s="669" t="n"/>
      <c r="X231" s="669" t="n"/>
      <c r="Y231" s="669" t="n"/>
      <c r="Z231" s="669" t="n"/>
      <c r="AA231" s="669" t="n"/>
    </row>
    <row r="232">
      <c r="A232" s="1080" t="inlineStr">
        <is>
          <t>Name</t>
        </is>
      </c>
      <c r="B232" s="1080" t="inlineStr">
        <is>
          <t>Type</t>
        </is>
      </c>
      <c r="C232" s="1080" t="inlineStr">
        <is>
          <t>Lv10 Priority</t>
        </is>
      </c>
      <c r="D232" s="1080" t="inlineStr">
        <is>
          <t>Lv20 Priority</t>
        </is>
      </c>
      <c r="E232" s="1076" t="inlineStr">
        <is>
          <t>Notes</t>
        </is>
      </c>
      <c r="F232" s="1077" t="n"/>
      <c r="G232" s="1077" t="n"/>
      <c r="H232" s="1077" t="n"/>
      <c r="I232" s="1077" t="n"/>
      <c r="J232" s="1077" t="n"/>
      <c r="K232" s="1077" t="n"/>
      <c r="L232" s="1077" t="n"/>
      <c r="M232" s="1078" t="n"/>
      <c r="N232" s="669" t="n"/>
      <c r="O232" s="669" t="n"/>
      <c r="P232" s="669" t="n"/>
      <c r="Q232" s="669" t="n"/>
      <c r="R232" s="669" t="n"/>
      <c r="S232" s="669" t="n"/>
      <c r="T232" s="669" t="n"/>
      <c r="U232" s="669" t="n"/>
      <c r="V232" s="669" t="n"/>
      <c r="W232" s="669" t="n"/>
      <c r="X232" s="669" t="n"/>
      <c r="Y232" s="669" t="n"/>
      <c r="Z232" s="669" t="n"/>
      <c r="AA232" s="669" t="n"/>
    </row>
    <row r="233">
      <c r="A233" s="1103" t="inlineStr">
        <is>
          <t>Zhuge Crossbow</t>
        </is>
      </c>
      <c r="B233" s="1103" t="inlineStr">
        <is>
          <t>Defense</t>
        </is>
      </c>
      <c r="C233" s="1103" t="inlineStr">
        <is>
          <t>A</t>
        </is>
      </c>
      <c r="D233" s="1103" t="inlineStr">
        <is>
          <t>A</t>
        </is>
      </c>
      <c r="E233" s="1075" t="n"/>
      <c r="F233" s="237" t="n"/>
      <c r="G233" s="237" t="n"/>
      <c r="H233" s="237" t="n"/>
      <c r="I233" s="237" t="n"/>
      <c r="J233" s="237" t="n"/>
      <c r="K233" s="237" t="n"/>
      <c r="L233" s="237" t="n"/>
      <c r="M233" s="238" t="n"/>
      <c r="N233" s="669" t="n"/>
      <c r="O233" s="669" t="n"/>
      <c r="P233" s="669" t="n"/>
      <c r="Q233" s="669" t="n"/>
      <c r="R233" s="669" t="n"/>
      <c r="S233" s="669" t="n"/>
      <c r="T233" s="669" t="n"/>
      <c r="U233" s="669" t="n"/>
      <c r="V233" s="669" t="n"/>
      <c r="W233" s="669" t="n"/>
      <c r="X233" s="669" t="n"/>
      <c r="Y233" s="669" t="n"/>
      <c r="Z233" s="669" t="n"/>
      <c r="AA233" s="669" t="n"/>
    </row>
    <row r="234">
      <c r="A234" s="1103" t="inlineStr">
        <is>
          <t>Mechanics</t>
        </is>
      </c>
      <c r="B234" s="1103" t="inlineStr">
        <is>
          <t>Defense</t>
        </is>
      </c>
      <c r="C234" s="1103" t="inlineStr">
        <is>
          <t>S</t>
        </is>
      </c>
      <c r="D234" s="1103" t="inlineStr">
        <is>
          <t>S</t>
        </is>
      </c>
      <c r="E234" s="1037" t="inlineStr">
        <is>
          <t>Affects all allies</t>
        </is>
      </c>
      <c r="F234" s="669" t="n"/>
      <c r="G234" s="669" t="n"/>
      <c r="H234" s="669" t="n"/>
      <c r="I234" s="669" t="n"/>
      <c r="J234" s="669" t="n"/>
      <c r="K234" s="669" t="n"/>
      <c r="L234" s="669" t="n"/>
      <c r="M234" s="1095" t="n"/>
      <c r="N234" s="669" t="n"/>
      <c r="O234" s="669" t="n"/>
      <c r="P234" s="669" t="n"/>
      <c r="Q234" s="669" t="n"/>
      <c r="R234" s="669" t="n"/>
      <c r="S234" s="669" t="n"/>
      <c r="T234" s="669" t="n"/>
      <c r="U234" s="669" t="n"/>
      <c r="V234" s="669" t="n"/>
      <c r="W234" s="669" t="n"/>
      <c r="X234" s="669" t="n"/>
      <c r="Y234" s="669" t="n"/>
      <c r="Z234" s="669" t="n"/>
      <c r="AA234" s="669" t="n"/>
    </row>
    <row r="235">
      <c r="A235" s="1103" t="inlineStr">
        <is>
          <t>Thunder Cannon</t>
        </is>
      </c>
      <c r="B235" s="1103" t="inlineStr">
        <is>
          <t>Defense</t>
        </is>
      </c>
      <c r="C235" s="1103" t="inlineStr">
        <is>
          <t>A</t>
        </is>
      </c>
      <c r="D235" s="1103" t="inlineStr">
        <is>
          <t>A</t>
        </is>
      </c>
      <c r="E235" s="1075" t="inlineStr">
        <is>
          <t>Generally clears the screen; Can buy time for Momochi Resuscitation; Spotty AI skill usage</t>
        </is>
      </c>
      <c r="F235" s="237" t="n"/>
      <c r="G235" s="237" t="n"/>
      <c r="H235" s="237" t="n"/>
      <c r="I235" s="237" t="n"/>
      <c r="J235" s="237" t="n"/>
      <c r="K235" s="237" t="n"/>
      <c r="L235" s="237" t="n"/>
      <c r="M235" s="238" t="n"/>
      <c r="N235" s="669" t="n"/>
      <c r="O235" s="669" t="n"/>
      <c r="P235" s="669" t="n"/>
      <c r="Q235" s="669" t="n"/>
      <c r="R235" s="669" t="n"/>
      <c r="S235" s="669" t="n"/>
      <c r="T235" s="669" t="n"/>
      <c r="U235" s="669" t="n"/>
      <c r="V235" s="669" t="n"/>
      <c r="W235" s="669" t="n"/>
      <c r="X235" s="669" t="n"/>
      <c r="Y235" s="669" t="n"/>
      <c r="Z235" s="669" t="n"/>
      <c r="AA235" s="669" t="n"/>
    </row>
    <row r="236">
      <c r="A236" s="1103" t="inlineStr">
        <is>
          <t>Professional Tuning</t>
        </is>
      </c>
      <c r="B236" s="1103" t="inlineStr">
        <is>
          <t>Band</t>
        </is>
      </c>
      <c r="C236" s="1103" t="inlineStr">
        <is>
          <t>B</t>
        </is>
      </c>
      <c r="D236" s="1103" t="inlineStr">
        <is>
          <t>B</t>
        </is>
      </c>
      <c r="E236" s="1075" t="inlineStr">
        <is>
          <t>Optimal compositon is 3/5 female</t>
        </is>
      </c>
      <c r="F236" s="237" t="n"/>
      <c r="G236" s="237" t="n"/>
      <c r="H236" s="237" t="n"/>
      <c r="I236" s="237" t="n"/>
      <c r="J236" s="237" t="n"/>
      <c r="K236" s="237" t="n"/>
      <c r="L236" s="237" t="n"/>
      <c r="M236" s="238" t="n"/>
      <c r="N236" s="669" t="n"/>
      <c r="O236" s="669" t="n"/>
      <c r="P236" s="669" t="n"/>
      <c r="Q236" s="669" t="n"/>
      <c r="R236" s="669" t="n"/>
      <c r="S236" s="669" t="n"/>
      <c r="T236" s="669" t="n"/>
      <c r="U236" s="669" t="n"/>
      <c r="V236" s="669" t="n"/>
      <c r="W236" s="669" t="n"/>
      <c r="X236" s="669" t="n"/>
      <c r="Y236" s="669" t="n"/>
      <c r="Z236" s="669" t="n"/>
      <c r="AA236" s="669" t="n"/>
    </row>
    <row r="237">
      <c r="A237" s="1103" t="inlineStr">
        <is>
          <t>Valkyrie's Peak</t>
        </is>
      </c>
      <c r="B237" s="1103" t="inlineStr">
        <is>
          <t>Band</t>
        </is>
      </c>
      <c r="C237" s="1103" t="inlineStr">
        <is>
          <t>S</t>
        </is>
      </c>
      <c r="D237" s="1103" t="inlineStr">
        <is>
          <t>S</t>
        </is>
      </c>
      <c r="E237" s="1079" t="inlineStr">
        <is>
          <t>Highest value band boost</t>
        </is>
      </c>
      <c r="F237" s="1093" t="n"/>
      <c r="G237" s="1093" t="n"/>
      <c r="H237" s="1093" t="n"/>
      <c r="I237" s="1093" t="n"/>
      <c r="J237" s="1093" t="n"/>
      <c r="K237" s="1093" t="n"/>
      <c r="L237" s="1093" t="n"/>
      <c r="M237" s="965" t="n"/>
      <c r="N237" s="669" t="n"/>
      <c r="O237" s="669" t="n"/>
      <c r="P237" s="669" t="n"/>
      <c r="Q237" s="669" t="n"/>
      <c r="R237" s="669" t="n"/>
      <c r="S237" s="669" t="n"/>
      <c r="T237" s="669" t="n"/>
      <c r="U237" s="669" t="n"/>
      <c r="V237" s="669" t="n"/>
      <c r="W237" s="669" t="n"/>
      <c r="X237" s="669" t="n"/>
      <c r="Y237" s="669" t="n"/>
      <c r="Z237" s="669" t="n"/>
      <c r="AA237" s="669" t="n"/>
    </row>
    <row r="238">
      <c r="A238" s="1037" t="n"/>
      <c r="B238" s="1066" t="n"/>
      <c r="C238" s="1037" t="n"/>
      <c r="D238" s="1037" t="n"/>
      <c r="E238" s="1037" t="n"/>
      <c r="F238" s="669" t="n"/>
      <c r="G238" s="669" t="n"/>
      <c r="H238" s="669" t="n"/>
      <c r="I238" s="669" t="n"/>
      <c r="J238" s="669" t="n"/>
      <c r="K238" s="669" t="n"/>
      <c r="L238" s="669" t="n"/>
      <c r="M238" s="669" t="n"/>
      <c r="N238" s="669" t="n"/>
      <c r="O238" s="669" t="n"/>
      <c r="P238" s="669" t="n"/>
      <c r="Q238" s="669" t="n"/>
      <c r="R238" s="669" t="n"/>
      <c r="S238" s="669" t="n"/>
      <c r="T238" s="669" t="n"/>
      <c r="U238" s="669" t="n"/>
      <c r="V238" s="669" t="n"/>
      <c r="W238" s="669" t="n"/>
      <c r="X238" s="669" t="n"/>
      <c r="Y238" s="669" t="n"/>
      <c r="Z238" s="669" t="n"/>
      <c r="AA238" s="669" t="n"/>
    </row>
    <row r="239">
      <c r="A239" s="1037" t="n"/>
      <c r="B239" s="1066" t="n"/>
      <c r="C239" s="1037" t="n"/>
      <c r="D239" s="1037" t="n"/>
      <c r="E239" s="1037" t="n"/>
      <c r="F239" s="669" t="n"/>
      <c r="G239" s="669" t="n"/>
      <c r="H239" s="669" t="n"/>
      <c r="I239" s="669" t="n"/>
      <c r="J239" s="669" t="n"/>
      <c r="K239" s="669" t="n"/>
      <c r="L239" s="669" t="n"/>
      <c r="M239" s="669" t="n"/>
      <c r="N239" s="669" t="n"/>
      <c r="O239" s="669" t="n"/>
      <c r="P239" s="669" t="n"/>
      <c r="Q239" s="669" t="n"/>
      <c r="R239" s="669" t="n"/>
      <c r="S239" s="669" t="n"/>
      <c r="T239" s="669" t="n"/>
      <c r="U239" s="669" t="n"/>
      <c r="V239" s="669" t="n"/>
      <c r="W239" s="669" t="n"/>
      <c r="X239" s="669" t="n"/>
      <c r="Y239" s="669" t="n"/>
      <c r="Z239" s="669" t="n"/>
      <c r="AA239" s="669" t="n"/>
    </row>
    <row r="240">
      <c r="A240" s="1037" t="n"/>
      <c r="B240" s="1066" t="n"/>
      <c r="C240" s="1037" t="n"/>
      <c r="D240" s="1037" t="n"/>
      <c r="E240" s="1037" t="n"/>
      <c r="F240" s="669" t="n"/>
      <c r="G240" s="669" t="n"/>
      <c r="H240" s="669" t="n"/>
      <c r="I240" s="669" t="n"/>
      <c r="J240" s="669" t="n"/>
      <c r="K240" s="669" t="n"/>
      <c r="L240" s="669" t="n"/>
      <c r="M240" s="669" t="n"/>
      <c r="N240" s="669" t="n"/>
      <c r="O240" s="669" t="n"/>
      <c r="P240" s="669" t="n"/>
      <c r="Q240" s="669" t="n"/>
      <c r="R240" s="669" t="n"/>
      <c r="S240" s="669" t="n"/>
      <c r="T240" s="669" t="n"/>
      <c r="U240" s="669" t="n"/>
      <c r="V240" s="669" t="n"/>
      <c r="W240" s="669" t="n"/>
      <c r="X240" s="669" t="n"/>
      <c r="Y240" s="669" t="n"/>
      <c r="Z240" s="669" t="n"/>
      <c r="AA240" s="669" t="n"/>
    </row>
    <row r="241">
      <c r="A241" s="1068" t="inlineStr">
        <is>
          <t>Hitman No.1</t>
        </is>
      </c>
      <c r="B241" s="1069" t="n"/>
      <c r="C241" s="1070" t="inlineStr">
        <is>
          <t>Notes</t>
        </is>
      </c>
      <c r="D241" s="1071" t="n"/>
      <c r="E241" s="1071" t="n"/>
      <c r="F241" s="1072" t="n"/>
      <c r="G241" s="1072" t="n"/>
      <c r="H241" s="1072" t="n"/>
      <c r="I241" s="1072" t="n"/>
      <c r="J241" s="1072" t="n"/>
      <c r="K241" s="1072" t="n"/>
      <c r="L241" s="1072" t="n"/>
      <c r="M241" s="1073" t="n"/>
      <c r="N241" s="669" t="n"/>
      <c r="O241" s="669" t="n"/>
      <c r="P241" s="669" t="n"/>
      <c r="Q241" s="669" t="n"/>
      <c r="R241" s="669" t="n"/>
      <c r="S241" s="669" t="n"/>
      <c r="T241" s="669" t="n"/>
      <c r="U241" s="669" t="n"/>
      <c r="V241" s="669" t="n"/>
      <c r="W241" s="669" t="n"/>
      <c r="X241" s="669" t="n"/>
      <c r="Y241" s="669" t="n"/>
      <c r="Z241" s="669" t="n"/>
      <c r="AA241" s="669" t="n"/>
    </row>
    <row r="242">
      <c r="A242" s="1080" t="inlineStr">
        <is>
          <t>Passive</t>
        </is>
      </c>
      <c r="B242" s="1103" t="inlineStr">
        <is>
          <t>A</t>
        </is>
      </c>
      <c r="C242" s="1075" t="inlineStr">
        <is>
          <t>ATK</t>
        </is>
      </c>
      <c r="D242" s="373" t="n"/>
      <c r="E242" s="373" t="n"/>
      <c r="F242" s="237" t="n"/>
      <c r="G242" s="237" t="n"/>
      <c r="H242" s="237" t="n"/>
      <c r="I242" s="237" t="n"/>
      <c r="J242" s="237" t="n"/>
      <c r="K242" s="237" t="n"/>
      <c r="L242" s="237" t="n"/>
      <c r="M242" s="238" t="n"/>
      <c r="N242" s="669" t="n"/>
      <c r="O242" s="669" t="n"/>
      <c r="P242" s="669" t="n"/>
      <c r="Q242" s="669" t="n"/>
      <c r="R242" s="669" t="n"/>
      <c r="S242" s="669" t="n"/>
      <c r="T242" s="669" t="n"/>
      <c r="U242" s="669" t="n"/>
      <c r="V242" s="669" t="n"/>
      <c r="W242" s="669" t="n"/>
      <c r="X242" s="669" t="n"/>
      <c r="Y242" s="669" t="n"/>
      <c r="Z242" s="669" t="n"/>
      <c r="AA242" s="669" t="n"/>
    </row>
    <row r="243">
      <c r="A243" s="1080" t="inlineStr">
        <is>
          <t>Dharma</t>
        </is>
      </c>
      <c r="B243" s="1103" t="inlineStr">
        <is>
          <t>B</t>
        </is>
      </c>
      <c r="C243" s="1037" t="inlineStr">
        <is>
          <t>2nd highest talent; High innate HP; Easy rage management through Meditation; Low skill damage</t>
        </is>
      </c>
      <c r="D243" s="1037" t="n"/>
      <c r="E243" s="1037" t="n"/>
      <c r="F243" s="669" t="n"/>
      <c r="G243" s="669" t="n"/>
      <c r="H243" s="669" t="n"/>
      <c r="I243" s="669" t="n"/>
      <c r="J243" s="669" t="n"/>
      <c r="K243" s="669" t="n"/>
      <c r="L243" s="669" t="n"/>
      <c r="M243" s="1095" t="n"/>
      <c r="N243" s="669" t="n"/>
      <c r="O243" s="669" t="n"/>
      <c r="P243" s="669" t="n"/>
      <c r="Q243" s="669" t="n"/>
      <c r="R243" s="669" t="n"/>
      <c r="S243" s="669" t="n"/>
      <c r="T243" s="669" t="n"/>
      <c r="U243" s="669" t="n"/>
      <c r="V243" s="669" t="n"/>
      <c r="W243" s="669" t="n"/>
      <c r="X243" s="669" t="n"/>
      <c r="Y243" s="669" t="n"/>
      <c r="Z243" s="669" t="n"/>
      <c r="AA243" s="669" t="n"/>
    </row>
    <row r="244">
      <c r="A244" s="1080" t="inlineStr">
        <is>
          <t>Ninjutsu</t>
        </is>
      </c>
      <c r="B244" s="1103" t="inlineStr">
        <is>
          <t>B/A</t>
        </is>
      </c>
      <c r="C244" s="1075" t="inlineStr">
        <is>
          <t>Competes with Amakusa for the flex 3rd slot. High damage on fire-weak fights and high survivability on water-weak fights; Difficult to manage chakra</t>
        </is>
      </c>
      <c r="D244" s="373" t="n"/>
      <c r="E244" s="373" t="n"/>
      <c r="F244" s="237" t="n"/>
      <c r="G244" s="237" t="n"/>
      <c r="H244" s="237" t="n"/>
      <c r="I244" s="237" t="n"/>
      <c r="J244" s="237" t="n"/>
      <c r="K244" s="237" t="n"/>
      <c r="L244" s="237" t="n"/>
      <c r="M244" s="238" t="n"/>
      <c r="N244" s="669" t="n"/>
      <c r="O244" s="669" t="n"/>
      <c r="P244" s="669" t="n"/>
      <c r="Q244" s="669" t="n"/>
      <c r="R244" s="669" t="n"/>
      <c r="S244" s="669" t="n"/>
      <c r="T244" s="669" t="n"/>
      <c r="U244" s="669" t="n"/>
      <c r="V244" s="669" t="n"/>
      <c r="W244" s="669" t="n"/>
      <c r="X244" s="669" t="n"/>
      <c r="Y244" s="669" t="n"/>
      <c r="Z244" s="669" t="n"/>
      <c r="AA244" s="669" t="n"/>
    </row>
    <row r="245">
      <c r="A245" s="1080" t="inlineStr">
        <is>
          <t>Growth Speed</t>
        </is>
      </c>
      <c r="B245" s="1103" t="inlineStr">
        <is>
          <t>Medium</t>
        </is>
      </c>
      <c r="C245" s="1037" t="n"/>
      <c r="D245" s="1037" t="n"/>
      <c r="E245" s="1037" t="n"/>
      <c r="F245" s="669" t="n"/>
      <c r="G245" s="669" t="n"/>
      <c r="H245" s="669" t="n"/>
      <c r="I245" s="669" t="n"/>
      <c r="J245" s="669" t="n"/>
      <c r="K245" s="669" t="n"/>
      <c r="L245" s="669" t="n"/>
      <c r="M245" s="1095" t="n"/>
      <c r="N245" s="669" t="n"/>
      <c r="O245" s="669" t="n"/>
      <c r="P245" s="669" t="n"/>
      <c r="Q245" s="669" t="n"/>
      <c r="R245" s="669" t="n"/>
      <c r="S245" s="669" t="n"/>
      <c r="T245" s="669" t="n"/>
      <c r="U245" s="669" t="n"/>
      <c r="V245" s="669" t="n"/>
      <c r="W245" s="669" t="n"/>
      <c r="X245" s="669" t="n"/>
      <c r="Y245" s="669" t="n"/>
      <c r="Z245" s="669" t="n"/>
      <c r="AA245" s="669" t="n"/>
    </row>
    <row r="246">
      <c r="A246" s="1080" t="inlineStr">
        <is>
          <t>Leveling Priority</t>
        </is>
      </c>
      <c r="B246" s="1103" t="inlineStr">
        <is>
          <t>B/A</t>
        </is>
      </c>
      <c r="C246" s="1075" t="inlineStr">
        <is>
          <t>Competes with Commissioner for Koryeo material; Replaceable in two anecdote types; Good passive</t>
        </is>
      </c>
      <c r="D246" s="373" t="n"/>
      <c r="E246" s="373" t="n"/>
      <c r="F246" s="237" t="n"/>
      <c r="G246" s="237" t="n"/>
      <c r="H246" s="237" t="n"/>
      <c r="I246" s="237" t="n"/>
      <c r="J246" s="237" t="n"/>
      <c r="K246" s="237" t="n"/>
      <c r="L246" s="237" t="n"/>
      <c r="M246" s="238" t="n"/>
      <c r="N246" s="669" t="n"/>
      <c r="O246" s="669" t="n"/>
      <c r="P246" s="669" t="n"/>
      <c r="Q246" s="669" t="n"/>
      <c r="R246" s="669" t="n"/>
      <c r="S246" s="669" t="n"/>
      <c r="T246" s="669" t="n"/>
      <c r="U246" s="669" t="n"/>
      <c r="V246" s="669" t="n"/>
      <c r="W246" s="669" t="n"/>
      <c r="X246" s="669" t="n"/>
      <c r="Y246" s="669" t="n"/>
      <c r="Z246" s="669" t="n"/>
      <c r="AA246" s="669" t="n"/>
    </row>
    <row r="247">
      <c r="A247" s="1064" t="n"/>
      <c r="B247" s="1066" t="n"/>
      <c r="C247" s="1037" t="n"/>
      <c r="D247" s="1037" t="n"/>
      <c r="E247" s="1037" t="n"/>
      <c r="F247" s="669" t="n"/>
      <c r="G247" s="669" t="n"/>
      <c r="H247" s="669" t="n"/>
      <c r="I247" s="669" t="n"/>
      <c r="J247" s="669" t="n"/>
      <c r="K247" s="669" t="n"/>
      <c r="L247" s="669" t="n"/>
      <c r="M247" s="1095" t="n"/>
      <c r="N247" s="669" t="n"/>
      <c r="O247" s="669" t="n"/>
      <c r="P247" s="669" t="n"/>
      <c r="Q247" s="669" t="n"/>
      <c r="R247" s="669" t="n"/>
      <c r="S247" s="669" t="n"/>
      <c r="T247" s="669" t="n"/>
      <c r="U247" s="669" t="n"/>
      <c r="V247" s="669" t="n"/>
      <c r="W247" s="669" t="n"/>
      <c r="X247" s="669" t="n"/>
      <c r="Y247" s="669" t="n"/>
      <c r="Z247" s="669" t="n"/>
      <c r="AA247" s="669" t="n"/>
    </row>
    <row r="248">
      <c r="A248" s="1080" t="inlineStr">
        <is>
          <t>Name</t>
        </is>
      </c>
      <c r="B248" s="1080" t="inlineStr">
        <is>
          <t>Type</t>
        </is>
      </c>
      <c r="C248" s="1080" t="inlineStr">
        <is>
          <t>Lv10 Priority</t>
        </is>
      </c>
      <c r="D248" s="1080" t="inlineStr">
        <is>
          <t>Lv20 Priority</t>
        </is>
      </c>
      <c r="E248" s="1076" t="inlineStr">
        <is>
          <t>Notes</t>
        </is>
      </c>
      <c r="F248" s="1077" t="n"/>
      <c r="G248" s="1077" t="n"/>
      <c r="H248" s="1077" t="n"/>
      <c r="I248" s="1077" t="n"/>
      <c r="J248" s="1077" t="n"/>
      <c r="K248" s="1077" t="n"/>
      <c r="L248" s="1077" t="n"/>
      <c r="M248" s="1078" t="n"/>
      <c r="N248" s="669" t="n"/>
      <c r="O248" s="669" t="n"/>
      <c r="P248" s="669" t="n"/>
      <c r="Q248" s="669" t="n"/>
      <c r="R248" s="669" t="n"/>
      <c r="S248" s="669" t="n"/>
      <c r="T248" s="669" t="n"/>
      <c r="U248" s="669" t="n"/>
      <c r="V248" s="669" t="n"/>
      <c r="W248" s="669" t="n"/>
      <c r="X248" s="669" t="n"/>
      <c r="Y248" s="669" t="n"/>
      <c r="Z248" s="669" t="n"/>
      <c r="AA248" s="669" t="n"/>
    </row>
    <row r="249">
      <c r="A249" s="1103" t="inlineStr">
        <is>
          <t>Strength Slash</t>
        </is>
      </c>
      <c r="B249" s="1103" t="inlineStr">
        <is>
          <t>Dharma</t>
        </is>
      </c>
      <c r="C249" s="1103" t="inlineStr">
        <is>
          <t>B</t>
        </is>
      </c>
      <c r="D249" s="1103" t="inlineStr">
        <is>
          <t>B</t>
        </is>
      </c>
      <c r="E249" s="1075" t="inlineStr">
        <is>
          <t>Better than Strength Field on single target fights; Lowest HP targeting counter-productive for poison; Strength Awakening is useless</t>
        </is>
      </c>
      <c r="F249" s="237" t="n"/>
      <c r="G249" s="237" t="n"/>
      <c r="H249" s="237" t="n"/>
      <c r="I249" s="237" t="n"/>
      <c r="J249" s="237" t="n"/>
      <c r="K249" s="237" t="n"/>
      <c r="L249" s="237" t="n"/>
      <c r="M249" s="238" t="n"/>
      <c r="N249" s="669" t="n"/>
      <c r="O249" s="669" t="n"/>
      <c r="P249" s="669" t="n"/>
      <c r="Q249" s="669" t="n"/>
      <c r="R249" s="669" t="n"/>
      <c r="S249" s="669" t="n"/>
      <c r="T249" s="669" t="n"/>
      <c r="U249" s="669" t="n"/>
      <c r="V249" s="669" t="n"/>
      <c r="W249" s="669" t="n"/>
      <c r="X249" s="669" t="n"/>
      <c r="Y249" s="669" t="n"/>
      <c r="Z249" s="669" t="n"/>
      <c r="AA249" s="669" t="n"/>
    </row>
    <row r="250">
      <c r="A250" s="1103" t="inlineStr">
        <is>
          <t>Meditation</t>
        </is>
      </c>
      <c r="B250" s="1103" t="inlineStr">
        <is>
          <t>Dharma</t>
        </is>
      </c>
      <c r="C250" s="1103" t="inlineStr">
        <is>
          <t>B</t>
        </is>
      </c>
      <c r="D250" s="1103" t="inlineStr">
        <is>
          <t>B</t>
        </is>
      </c>
      <c r="E250" s="1037" t="inlineStr">
        <is>
          <t>Used on alternating turns to keep hitman's rage above poisoner's</t>
        </is>
      </c>
      <c r="F250" s="669" t="n"/>
      <c r="G250" s="669" t="n"/>
      <c r="H250" s="669" t="n"/>
      <c r="I250" s="669" t="n"/>
      <c r="J250" s="669" t="n"/>
      <c r="K250" s="669" t="n"/>
      <c r="L250" s="669" t="n"/>
      <c r="M250" s="1095" t="n"/>
      <c r="N250" s="669" t="n"/>
      <c r="O250" s="669" t="n"/>
      <c r="P250" s="669" t="n"/>
      <c r="Q250" s="669" t="n"/>
      <c r="R250" s="669" t="n"/>
      <c r="S250" s="669" t="n"/>
      <c r="T250" s="669" t="n"/>
      <c r="U250" s="669" t="n"/>
      <c r="V250" s="669" t="n"/>
      <c r="W250" s="669" t="n"/>
      <c r="X250" s="669" t="n"/>
      <c r="Y250" s="669" t="n"/>
      <c r="Z250" s="669" t="n"/>
      <c r="AA250" s="669" t="n"/>
    </row>
    <row r="251">
      <c r="A251" s="1103" t="inlineStr">
        <is>
          <t>Strength Field</t>
        </is>
      </c>
      <c r="B251" s="1103" t="inlineStr">
        <is>
          <t>Dharma</t>
        </is>
      </c>
      <c r="C251" s="1103" t="inlineStr">
        <is>
          <t>A</t>
        </is>
      </c>
      <c r="D251" s="1103" t="inlineStr">
        <is>
          <t>C</t>
        </is>
      </c>
      <c r="E251" s="1075" t="inlineStr">
        <is>
          <t>Requires a 2nd enemy to activate 2nd hit; Only gains base DMG after lv10</t>
        </is>
      </c>
      <c r="F251" s="237" t="n"/>
      <c r="G251" s="237" t="n"/>
      <c r="H251" s="237" t="n"/>
      <c r="I251" s="237" t="n"/>
      <c r="J251" s="237" t="n"/>
      <c r="K251" s="237" t="n"/>
      <c r="L251" s="237" t="n"/>
      <c r="M251" s="238" t="n"/>
      <c r="N251" s="669" t="n"/>
      <c r="O251" s="669" t="n"/>
      <c r="P251" s="669" t="n"/>
      <c r="Q251" s="669" t="n"/>
      <c r="R251" s="669" t="n"/>
      <c r="S251" s="669" t="n"/>
      <c r="T251" s="669" t="n"/>
      <c r="U251" s="669" t="n"/>
      <c r="V251" s="669" t="n"/>
      <c r="W251" s="669" t="n"/>
      <c r="X251" s="669" t="n"/>
      <c r="Y251" s="669" t="n"/>
      <c r="Z251" s="669" t="n"/>
      <c r="AA251" s="669" t="n"/>
    </row>
    <row r="252">
      <c r="A252" s="1103" t="inlineStr">
        <is>
          <t>Strength Sword</t>
        </is>
      </c>
      <c r="B252" s="1103" t="inlineStr">
        <is>
          <t>Ninjutsu</t>
        </is>
      </c>
      <c r="C252" s="1103" t="inlineStr">
        <is>
          <t>A</t>
        </is>
      </c>
      <c r="D252" s="1103" t="inlineStr">
        <is>
          <t>A</t>
        </is>
      </c>
      <c r="E252" s="1075" t="inlineStr">
        <is>
          <t>Fire bonus is a final DMG multiplier; Ignore DEF effect appears not to work</t>
        </is>
      </c>
      <c r="F252" s="237" t="n"/>
      <c r="G252" s="237" t="n"/>
      <c r="H252" s="237" t="n"/>
      <c r="I252" s="237" t="n"/>
      <c r="J252" s="237" t="n"/>
      <c r="K252" s="237" t="n"/>
      <c r="L252" s="237" t="n"/>
      <c r="M252" s="238" t="n"/>
      <c r="N252" s="669" t="n"/>
      <c r="O252" s="669" t="n"/>
      <c r="P252" s="669" t="n"/>
      <c r="Q252" s="669" t="n"/>
      <c r="R252" s="669" t="n"/>
      <c r="S252" s="669" t="n"/>
      <c r="T252" s="669" t="n"/>
      <c r="U252" s="669" t="n"/>
      <c r="V252" s="669" t="n"/>
      <c r="W252" s="669" t="n"/>
      <c r="X252" s="669" t="n"/>
      <c r="Y252" s="669" t="n"/>
      <c r="Z252" s="669" t="n"/>
      <c r="AA252" s="669" t="n"/>
    </row>
    <row r="253">
      <c r="A253" s="1103" t="inlineStr">
        <is>
          <t>Strength Insight</t>
        </is>
      </c>
      <c r="B253" s="1103" t="inlineStr">
        <is>
          <t>Siege</t>
        </is>
      </c>
      <c r="C253" s="1103" t="inlineStr">
        <is>
          <t>D/C</t>
        </is>
      </c>
      <c r="D253" s="1103" t="inlineStr">
        <is>
          <t>D/C</t>
        </is>
      </c>
      <c r="E253" s="1079" t="inlineStr">
        <is>
          <t>Only affects Hitman; Siege skill too low to matter</t>
        </is>
      </c>
      <c r="F253" s="1093" t="n"/>
      <c r="G253" s="1093" t="n"/>
      <c r="H253" s="1093" t="n"/>
      <c r="I253" s="1093" t="n"/>
      <c r="J253" s="1093" t="n"/>
      <c r="K253" s="1093" t="n"/>
      <c r="L253" s="1093" t="n"/>
      <c r="M253" s="965" t="n"/>
      <c r="N253" s="669" t="n"/>
      <c r="O253" s="669" t="n"/>
      <c r="P253" s="669" t="n"/>
      <c r="Q253" s="669" t="n"/>
      <c r="R253" s="669" t="n"/>
      <c r="S253" s="669" t="n"/>
      <c r="T253" s="669" t="n"/>
      <c r="U253" s="669" t="n"/>
      <c r="V253" s="669" t="n"/>
      <c r="W253" s="669" t="n"/>
      <c r="X253" s="669" t="n"/>
      <c r="Y253" s="669" t="n"/>
      <c r="Z253" s="669" t="n"/>
      <c r="AA253" s="669" t="n"/>
    </row>
    <row r="254">
      <c r="A254" s="1037" t="n"/>
      <c r="B254" s="1066" t="n"/>
      <c r="C254" s="1037" t="n"/>
      <c r="D254" s="1037" t="n"/>
      <c r="E254" s="1037" t="n"/>
      <c r="F254" s="669" t="n"/>
      <c r="G254" s="669" t="n"/>
      <c r="H254" s="669" t="n"/>
      <c r="I254" s="669" t="n"/>
      <c r="J254" s="669" t="n"/>
      <c r="K254" s="669" t="n"/>
      <c r="L254" s="669" t="n"/>
      <c r="M254" s="669" t="n"/>
      <c r="N254" s="669" t="n"/>
      <c r="O254" s="669" t="n"/>
      <c r="P254" s="669" t="n"/>
      <c r="Q254" s="669" t="n"/>
      <c r="R254" s="669" t="n"/>
      <c r="S254" s="669" t="n"/>
      <c r="T254" s="669" t="n"/>
      <c r="U254" s="669" t="n"/>
      <c r="V254" s="669" t="n"/>
      <c r="W254" s="669" t="n"/>
      <c r="X254" s="669" t="n"/>
      <c r="Y254" s="669" t="n"/>
      <c r="Z254" s="669" t="n"/>
      <c r="AA254" s="669" t="n"/>
    </row>
    <row r="255">
      <c r="A255" s="1037" t="n"/>
      <c r="B255" s="1066" t="n"/>
      <c r="C255" s="1037" t="n"/>
      <c r="D255" s="1037" t="n"/>
      <c r="E255" s="1037" t="n"/>
      <c r="F255" s="669" t="n"/>
      <c r="G255" s="669" t="n"/>
      <c r="H255" s="669" t="n"/>
      <c r="I255" s="669" t="n"/>
      <c r="J255" s="669" t="n"/>
      <c r="K255" s="669" t="n"/>
      <c r="L255" s="669" t="n"/>
      <c r="M255" s="669" t="n"/>
      <c r="N255" s="669" t="n"/>
      <c r="O255" s="669" t="n"/>
      <c r="P255" s="669" t="n"/>
      <c r="Q255" s="669" t="n"/>
      <c r="R255" s="669" t="n"/>
      <c r="S255" s="669" t="n"/>
      <c r="T255" s="669" t="n"/>
      <c r="U255" s="669" t="n"/>
      <c r="V255" s="669" t="n"/>
      <c r="W255" s="669" t="n"/>
      <c r="X255" s="669" t="n"/>
      <c r="Y255" s="669" t="n"/>
      <c r="Z255" s="669" t="n"/>
      <c r="AA255" s="669" t="n"/>
    </row>
    <row r="256">
      <c r="A256" s="1037" t="n"/>
      <c r="B256" s="1066" t="n"/>
      <c r="C256" s="1037" t="n"/>
      <c r="D256" s="1037" t="n"/>
      <c r="E256" s="1037" t="n"/>
      <c r="F256" s="669" t="n"/>
      <c r="G256" s="669" t="n"/>
      <c r="H256" s="669" t="n"/>
      <c r="I256" s="669" t="n"/>
      <c r="J256" s="669" t="n"/>
      <c r="K256" s="669" t="n"/>
      <c r="L256" s="669" t="n"/>
      <c r="M256" s="669" t="n"/>
      <c r="N256" s="669" t="n"/>
      <c r="O256" s="669" t="n"/>
      <c r="P256" s="669" t="n"/>
      <c r="Q256" s="669" t="n"/>
      <c r="R256" s="669" t="n"/>
      <c r="S256" s="669" t="n"/>
      <c r="T256" s="669" t="n"/>
      <c r="U256" s="669" t="n"/>
      <c r="V256" s="669" t="n"/>
      <c r="W256" s="669" t="n"/>
      <c r="X256" s="669" t="n"/>
      <c r="Y256" s="669" t="n"/>
      <c r="Z256" s="669" t="n"/>
      <c r="AA256" s="669" t="n"/>
    </row>
    <row r="257">
      <c r="A257" s="1068" t="inlineStr">
        <is>
          <t>Koryeon Commissioner</t>
        </is>
      </c>
      <c r="B257" s="1069" t="n"/>
      <c r="C257" s="1070" t="inlineStr">
        <is>
          <t>Notes</t>
        </is>
      </c>
      <c r="D257" s="1071" t="n"/>
      <c r="E257" s="1071" t="n"/>
      <c r="F257" s="1072" t="n"/>
      <c r="G257" s="1072" t="n"/>
      <c r="H257" s="1072" t="n"/>
      <c r="I257" s="1072" t="n"/>
      <c r="J257" s="1072" t="n"/>
      <c r="K257" s="1072" t="n"/>
      <c r="L257" s="1072" t="n"/>
      <c r="M257" s="1073" t="n"/>
      <c r="N257" s="669" t="n"/>
      <c r="O257" s="669" t="n"/>
      <c r="P257" s="669" t="n"/>
      <c r="Q257" s="669" t="n"/>
      <c r="R257" s="669" t="n"/>
      <c r="S257" s="669" t="n"/>
      <c r="T257" s="669" t="n"/>
      <c r="U257" s="669" t="n"/>
      <c r="V257" s="669" t="n"/>
      <c r="W257" s="669" t="n"/>
      <c r="X257" s="669" t="n"/>
      <c r="Y257" s="669" t="n"/>
      <c r="Z257" s="669" t="n"/>
      <c r="AA257" s="669" t="n"/>
    </row>
    <row r="258">
      <c r="A258" s="1080" t="inlineStr">
        <is>
          <t>Passive</t>
        </is>
      </c>
      <c r="B258" s="1103" t="inlineStr">
        <is>
          <t>D</t>
        </is>
      </c>
      <c r="C258" s="1075" t="inlineStr">
        <is>
          <t>Zombie Cells</t>
        </is>
      </c>
      <c r="D258" s="373" t="n"/>
      <c r="E258" s="373" t="n"/>
      <c r="F258" s="237" t="n"/>
      <c r="G258" s="237" t="n"/>
      <c r="H258" s="237" t="n"/>
      <c r="I258" s="237" t="n"/>
      <c r="J258" s="237" t="n"/>
      <c r="K258" s="237" t="n"/>
      <c r="L258" s="237" t="n"/>
      <c r="M258" s="238" t="n"/>
      <c r="N258" s="669" t="n"/>
      <c r="O258" s="669" t="n"/>
      <c r="P258" s="669" t="n"/>
      <c r="Q258" s="669" t="n"/>
      <c r="R258" s="669" t="n"/>
      <c r="S258" s="669" t="n"/>
      <c r="T258" s="669" t="n"/>
      <c r="U258" s="669" t="n"/>
      <c r="V258" s="669" t="n"/>
      <c r="W258" s="669" t="n"/>
      <c r="X258" s="669" t="n"/>
      <c r="Y258" s="669" t="n"/>
      <c r="Z258" s="669" t="n"/>
      <c r="AA258" s="669" t="n"/>
    </row>
    <row r="259">
      <c r="A259" s="1080" t="inlineStr">
        <is>
          <t>Band</t>
        </is>
      </c>
      <c r="B259" s="1103" t="inlineStr">
        <is>
          <t>A</t>
        </is>
      </c>
      <c r="C259" s="1037" t="inlineStr">
        <is>
          <t>2nd highest talent</t>
        </is>
      </c>
      <c r="D259" s="1037" t="n"/>
      <c r="E259" s="1037" t="n"/>
      <c r="F259" s="669" t="n"/>
      <c r="G259" s="669" t="n"/>
      <c r="H259" s="669" t="n"/>
      <c r="I259" s="669" t="n"/>
      <c r="J259" s="669" t="n"/>
      <c r="K259" s="669" t="n"/>
      <c r="L259" s="669" t="n"/>
      <c r="M259" s="1095" t="n"/>
      <c r="N259" s="669" t="n"/>
      <c r="O259" s="669" t="n"/>
      <c r="P259" s="669" t="n"/>
      <c r="Q259" s="669" t="n"/>
      <c r="R259" s="669" t="n"/>
      <c r="S259" s="669" t="n"/>
      <c r="T259" s="669" t="n"/>
      <c r="U259" s="669" t="n"/>
      <c r="V259" s="669" t="n"/>
      <c r="W259" s="669" t="n"/>
      <c r="X259" s="669" t="n"/>
      <c r="Y259" s="669" t="n"/>
      <c r="Z259" s="669" t="n"/>
      <c r="AA259" s="669" t="n"/>
    </row>
    <row r="260">
      <c r="A260" s="1080" t="inlineStr">
        <is>
          <t>Dance</t>
        </is>
      </c>
      <c r="B260" s="1103" t="inlineStr">
        <is>
          <t>B</t>
        </is>
      </c>
      <c r="C260" s="1075" t="inlineStr">
        <is>
          <t>Worse version of Amakusa; Unable to complete several of the last anecdotes at lv60 with all maxed skills; Lowest level requirements for 2nd to last anecdote</t>
        </is>
      </c>
      <c r="D260" s="373" t="n"/>
      <c r="E260" s="373" t="n"/>
      <c r="F260" s="237" t="n"/>
      <c r="G260" s="237" t="n"/>
      <c r="H260" s="237" t="n"/>
      <c r="I260" s="237" t="n"/>
      <c r="J260" s="237" t="n"/>
      <c r="K260" s="237" t="n"/>
      <c r="L260" s="237" t="n"/>
      <c r="M260" s="238" t="n"/>
      <c r="N260" s="669" t="n"/>
      <c r="O260" s="669" t="n"/>
      <c r="P260" s="669" t="n"/>
      <c r="Q260" s="669" t="n"/>
      <c r="R260" s="669" t="n"/>
      <c r="S260" s="669" t="n"/>
      <c r="T260" s="669" t="n"/>
      <c r="U260" s="669" t="n"/>
      <c r="V260" s="669" t="n"/>
      <c r="W260" s="669" t="n"/>
      <c r="X260" s="669" t="n"/>
      <c r="Y260" s="669" t="n"/>
      <c r="Z260" s="669" t="n"/>
      <c r="AA260" s="669" t="n"/>
    </row>
    <row r="261">
      <c r="A261" s="1080" t="inlineStr">
        <is>
          <t>Riding</t>
        </is>
      </c>
      <c r="B261" s="1103" t="inlineStr">
        <is>
          <t>D/B</t>
        </is>
      </c>
      <c r="C261" s="1075" t="inlineStr">
        <is>
          <t>Faster than Kitty on later train stages; Dead weight on non-train stages</t>
        </is>
      </c>
      <c r="D261" s="373" t="n"/>
      <c r="E261" s="373" t="n"/>
      <c r="F261" s="237" t="n"/>
      <c r="G261" s="237" t="n"/>
      <c r="H261" s="237" t="n"/>
      <c r="I261" s="237" t="n"/>
      <c r="J261" s="237" t="n"/>
      <c r="K261" s="237" t="n"/>
      <c r="L261" s="237" t="n"/>
      <c r="M261" s="238" t="n"/>
      <c r="N261" s="669" t="n"/>
      <c r="O261" s="669" t="n"/>
      <c r="P261" s="669" t="n"/>
      <c r="Q261" s="669" t="n"/>
      <c r="R261" s="669" t="n"/>
      <c r="S261" s="669" t="n"/>
      <c r="T261" s="669" t="n"/>
      <c r="U261" s="669" t="n"/>
      <c r="V261" s="669" t="n"/>
      <c r="W261" s="669" t="n"/>
      <c r="X261" s="669" t="n"/>
      <c r="Y261" s="669" t="n"/>
      <c r="Z261" s="669" t="n"/>
      <c r="AA261" s="669" t="n"/>
    </row>
    <row r="262">
      <c r="A262" s="1080" t="inlineStr">
        <is>
          <t>Growth Speed</t>
        </is>
      </c>
      <c r="B262" s="1103" t="inlineStr">
        <is>
          <t>High</t>
        </is>
      </c>
      <c r="C262" s="1037" t="n"/>
      <c r="D262" s="1037" t="n"/>
      <c r="E262" s="1037" t="n"/>
      <c r="F262" s="669" t="n"/>
      <c r="G262" s="669" t="n"/>
      <c r="H262" s="669" t="n"/>
      <c r="I262" s="669" t="n"/>
      <c r="J262" s="669" t="n"/>
      <c r="K262" s="669" t="n"/>
      <c r="L262" s="669" t="n"/>
      <c r="M262" s="1095" t="n"/>
      <c r="N262" s="669" t="n"/>
      <c r="O262" s="669" t="n"/>
      <c r="P262" s="669" t="n"/>
      <c r="Q262" s="669" t="n"/>
      <c r="R262" s="669" t="n"/>
      <c r="S262" s="669" t="n"/>
      <c r="T262" s="669" t="n"/>
      <c r="U262" s="669" t="n"/>
      <c r="V262" s="669" t="n"/>
      <c r="W262" s="669" t="n"/>
      <c r="X262" s="669" t="n"/>
      <c r="Y262" s="669" t="n"/>
      <c r="Z262" s="669" t="n"/>
      <c r="AA262" s="669" t="n"/>
    </row>
    <row r="263">
      <c r="A263" s="1080" t="inlineStr">
        <is>
          <t>Leveling Priority</t>
        </is>
      </c>
      <c r="B263" s="1103" t="inlineStr">
        <is>
          <t>C</t>
        </is>
      </c>
      <c r="C263" s="1075" t="inlineStr">
        <is>
          <t>Competes with Hitman/Idol Boy for Koryeo material; Only necessary for one anecdote type; Fast growth potential enables high level relative to other drifters; Terrible passive</t>
        </is>
      </c>
      <c r="D263" s="373" t="n"/>
      <c r="E263" s="373" t="n"/>
      <c r="F263" s="237" t="n"/>
      <c r="G263" s="237" t="n"/>
      <c r="H263" s="237" t="n"/>
      <c r="I263" s="237" t="n"/>
      <c r="J263" s="237" t="n"/>
      <c r="K263" s="237" t="n"/>
      <c r="L263" s="237" t="n"/>
      <c r="M263" s="238" t="n"/>
      <c r="N263" s="669" t="n"/>
      <c r="O263" s="669" t="n"/>
      <c r="P263" s="669" t="n"/>
      <c r="Q263" s="669" t="n"/>
      <c r="R263" s="669" t="n"/>
      <c r="S263" s="669" t="n"/>
      <c r="T263" s="669" t="n"/>
      <c r="U263" s="669" t="n"/>
      <c r="V263" s="669" t="n"/>
      <c r="W263" s="669" t="n"/>
      <c r="X263" s="669" t="n"/>
      <c r="Y263" s="669" t="n"/>
      <c r="Z263" s="669" t="n"/>
      <c r="AA263" s="669" t="n"/>
    </row>
    <row r="264">
      <c r="A264" s="1064" t="n"/>
      <c r="B264" s="1066" t="n"/>
      <c r="C264" s="1037" t="n"/>
      <c r="D264" s="1037" t="n"/>
      <c r="E264" s="1037" t="n"/>
      <c r="F264" s="669" t="n"/>
      <c r="G264" s="669" t="n"/>
      <c r="H264" s="669" t="n"/>
      <c r="I264" s="669" t="n"/>
      <c r="J264" s="669" t="n"/>
      <c r="K264" s="669" t="n"/>
      <c r="L264" s="669" t="n"/>
      <c r="M264" s="1095" t="n"/>
      <c r="N264" s="669" t="n"/>
      <c r="O264" s="669" t="n"/>
      <c r="P264" s="669" t="n"/>
      <c r="Q264" s="669" t="n"/>
      <c r="R264" s="669" t="n"/>
      <c r="S264" s="669" t="n"/>
      <c r="T264" s="669" t="n"/>
      <c r="U264" s="669" t="n"/>
      <c r="V264" s="669" t="n"/>
      <c r="W264" s="669" t="n"/>
      <c r="X264" s="669" t="n"/>
      <c r="Y264" s="669" t="n"/>
      <c r="Z264" s="669" t="n"/>
      <c r="AA264" s="669" t="n"/>
    </row>
    <row r="265">
      <c r="A265" s="1080" t="inlineStr">
        <is>
          <t>Name</t>
        </is>
      </c>
      <c r="B265" s="1080" t="inlineStr">
        <is>
          <t>Type</t>
        </is>
      </c>
      <c r="C265" s="1080" t="inlineStr">
        <is>
          <t>Lv10 Priority</t>
        </is>
      </c>
      <c r="D265" s="1080" t="inlineStr">
        <is>
          <t>Lv20 Priority</t>
        </is>
      </c>
      <c r="E265" s="1076" t="inlineStr">
        <is>
          <t>Notes</t>
        </is>
      </c>
      <c r="F265" s="1077" t="n"/>
      <c r="G265" s="1077" t="n"/>
      <c r="H265" s="1077" t="n"/>
      <c r="I265" s="1077" t="n"/>
      <c r="J265" s="1077" t="n"/>
      <c r="K265" s="1077" t="n"/>
      <c r="L265" s="1077" t="n"/>
      <c r="M265" s="1078" t="n"/>
      <c r="N265" s="669" t="n"/>
      <c r="O265" s="669" t="n"/>
      <c r="P265" s="669" t="n"/>
      <c r="Q265" s="669" t="n"/>
      <c r="R265" s="669" t="n"/>
      <c r="S265" s="669" t="n"/>
      <c r="T265" s="669" t="n"/>
      <c r="U265" s="669" t="n"/>
      <c r="V265" s="669" t="n"/>
      <c r="W265" s="669" t="n"/>
      <c r="X265" s="669" t="n"/>
      <c r="Y265" s="669" t="n"/>
      <c r="Z265" s="669" t="n"/>
      <c r="AA265" s="669" t="n"/>
    </row>
    <row r="266">
      <c r="A266" s="1103" t="inlineStr">
        <is>
          <t>Country Metal</t>
        </is>
      </c>
      <c r="B266" s="1103" t="inlineStr">
        <is>
          <t>Band</t>
        </is>
      </c>
      <c r="C266" s="1103" t="inlineStr">
        <is>
          <t>C</t>
        </is>
      </c>
      <c r="D266" s="1103" t="inlineStr">
        <is>
          <t>C</t>
        </is>
      </c>
      <c r="E266" s="1075" t="inlineStr">
        <is>
          <t>Requires Commissioner to be in one of the 3 back slots</t>
        </is>
      </c>
      <c r="F266" s="237" t="n"/>
      <c r="G266" s="237" t="n"/>
      <c r="H266" s="237" t="n"/>
      <c r="I266" s="237" t="n"/>
      <c r="J266" s="237" t="n"/>
      <c r="K266" s="237" t="n"/>
      <c r="L266" s="237" t="n"/>
      <c r="M266" s="238" t="n"/>
      <c r="N266" s="669" t="n"/>
      <c r="O266" s="669" t="n"/>
      <c r="P266" s="669" t="n"/>
      <c r="Q266" s="669" t="n"/>
      <c r="R266" s="669" t="n"/>
      <c r="S266" s="669" t="n"/>
      <c r="T266" s="669" t="n"/>
      <c r="U266" s="669" t="n"/>
      <c r="V266" s="669" t="n"/>
      <c r="W266" s="669" t="n"/>
      <c r="X266" s="669" t="n"/>
      <c r="Y266" s="669" t="n"/>
      <c r="Z266" s="669" t="n"/>
      <c r="AA266" s="669" t="n"/>
    </row>
    <row r="267">
      <c r="A267" s="1103" t="inlineStr">
        <is>
          <t>Principal Dancer</t>
        </is>
      </c>
      <c r="B267" s="1103" t="inlineStr">
        <is>
          <t>Dance</t>
        </is>
      </c>
      <c r="C267" s="1103" t="inlineStr">
        <is>
          <t>D/B</t>
        </is>
      </c>
      <c r="D267" s="1103" t="inlineStr">
        <is>
          <t>D/B</t>
        </is>
      </c>
      <c r="E267" s="1037" t="inlineStr">
        <is>
          <t>Only affects Commissioner; Requires Commissioner to be in the first slot; Final multiplier on her score; Useless if not using her</t>
        </is>
      </c>
      <c r="F267" s="669" t="n"/>
      <c r="G267" s="669" t="n"/>
      <c r="H267" s="669" t="n"/>
      <c r="I267" s="669" t="n"/>
      <c r="J267" s="669" t="n"/>
      <c r="K267" s="669" t="n"/>
      <c r="L267" s="669" t="n"/>
      <c r="M267" s="1095" t="n"/>
      <c r="N267" s="669" t="n"/>
      <c r="O267" s="669" t="n"/>
      <c r="P267" s="669" t="n"/>
      <c r="Q267" s="669" t="n"/>
      <c r="R267" s="669" t="n"/>
      <c r="S267" s="669" t="n"/>
      <c r="T267" s="669" t="n"/>
      <c r="U267" s="669" t="n"/>
      <c r="V267" s="669" t="n"/>
      <c r="W267" s="669" t="n"/>
      <c r="X267" s="669" t="n"/>
      <c r="Y267" s="669" t="n"/>
      <c r="Z267" s="669" t="n"/>
      <c r="AA267" s="669" t="n"/>
    </row>
    <row r="268">
      <c r="A268" s="1103" t="inlineStr">
        <is>
          <t>Absolute Command</t>
        </is>
      </c>
      <c r="B268" s="1103" t="inlineStr">
        <is>
          <t>Band</t>
        </is>
      </c>
      <c r="C268" s="1103" t="inlineStr">
        <is>
          <t>B</t>
        </is>
      </c>
      <c r="D268" s="1103" t="inlineStr">
        <is>
          <t>B</t>
        </is>
      </c>
      <c r="E268" s="1075" t="n"/>
      <c r="F268" s="237" t="n"/>
      <c r="G268" s="237" t="n"/>
      <c r="H268" s="237" t="n"/>
      <c r="I268" s="237" t="n"/>
      <c r="J268" s="237" t="n"/>
      <c r="K268" s="237" t="n"/>
      <c r="L268" s="237" t="n"/>
      <c r="M268" s="238" t="n"/>
      <c r="N268" s="669" t="n"/>
      <c r="O268" s="669" t="n"/>
      <c r="P268" s="669" t="n"/>
      <c r="Q268" s="669" t="n"/>
      <c r="R268" s="669" t="n"/>
      <c r="S268" s="669" t="n"/>
      <c r="T268" s="669" t="n"/>
      <c r="U268" s="669" t="n"/>
      <c r="V268" s="669" t="n"/>
      <c r="W268" s="669" t="n"/>
      <c r="X268" s="669" t="n"/>
      <c r="Y268" s="669" t="n"/>
      <c r="Z268" s="669" t="n"/>
      <c r="AA268" s="669" t="n"/>
    </row>
    <row r="269">
      <c r="A269" s="1103" t="inlineStr">
        <is>
          <t>Pre-war Deployment</t>
        </is>
      </c>
      <c r="B269" s="1103" t="inlineStr">
        <is>
          <t>Riding</t>
        </is>
      </c>
      <c r="C269" s="1103" t="inlineStr">
        <is>
          <t>D</t>
        </is>
      </c>
      <c r="D269" s="1103" t="inlineStr">
        <is>
          <t>D</t>
        </is>
      </c>
      <c r="E269" s="1075" t="inlineStr">
        <is>
          <t>SPD boost only lasts 1s</t>
        </is>
      </c>
      <c r="F269" s="237" t="n"/>
      <c r="G269" s="237" t="n"/>
      <c r="H269" s="237" t="n"/>
      <c r="I269" s="237" t="n"/>
      <c r="J269" s="237" t="n"/>
      <c r="K269" s="237" t="n"/>
      <c r="L269" s="237" t="n"/>
      <c r="M269" s="238" t="n"/>
      <c r="N269" s="669" t="n"/>
      <c r="O269" s="669" t="n"/>
      <c r="P269" s="669" t="n"/>
      <c r="Q269" s="669" t="n"/>
      <c r="R269" s="669" t="n"/>
      <c r="S269" s="669" t="n"/>
      <c r="T269" s="669" t="n"/>
      <c r="U269" s="669" t="n"/>
      <c r="V269" s="669" t="n"/>
      <c r="W269" s="669" t="n"/>
      <c r="X269" s="669" t="n"/>
      <c r="Y269" s="669" t="n"/>
      <c r="Z269" s="669" t="n"/>
      <c r="AA269" s="669" t="n"/>
    </row>
    <row r="270">
      <c r="A270" s="1103" t="inlineStr">
        <is>
          <t>Officer's Train</t>
        </is>
      </c>
      <c r="B270" s="1103" t="inlineStr">
        <is>
          <t>Riding</t>
        </is>
      </c>
      <c r="C270" s="1103" t="inlineStr">
        <is>
          <t>D/B</t>
        </is>
      </c>
      <c r="D270" s="1103" t="inlineStr">
        <is>
          <t>D/B</t>
        </is>
      </c>
      <c r="E270" s="1079" t="inlineStr">
        <is>
          <t>Only useful on train stages; Several of the last anecdotes are train races</t>
        </is>
      </c>
      <c r="F270" s="1093" t="n"/>
      <c r="G270" s="1093" t="n"/>
      <c r="H270" s="1093" t="n"/>
      <c r="I270" s="1093" t="n"/>
      <c r="J270" s="1093" t="n"/>
      <c r="K270" s="1093" t="n"/>
      <c r="L270" s="1093" t="n"/>
      <c r="M270" s="965" t="n"/>
      <c r="N270" s="669" t="n"/>
      <c r="O270" s="669" t="n"/>
      <c r="P270" s="669" t="n"/>
      <c r="Q270" s="669" t="n"/>
      <c r="R270" s="669" t="n"/>
      <c r="S270" s="669" t="n"/>
      <c r="T270" s="669" t="n"/>
      <c r="U270" s="669" t="n"/>
      <c r="V270" s="669" t="n"/>
      <c r="W270" s="669" t="n"/>
      <c r="X270" s="669" t="n"/>
      <c r="Y270" s="669" t="n"/>
      <c r="Z270" s="669" t="n"/>
      <c r="AA270" s="669" t="n"/>
    </row>
    <row r="271">
      <c r="A271" s="1037" t="n"/>
      <c r="B271" s="1066" t="n"/>
      <c r="C271" s="1037" t="n"/>
      <c r="D271" s="1037" t="n"/>
      <c r="E271" s="1037" t="n"/>
      <c r="F271" s="669" t="n"/>
      <c r="G271" s="669" t="n"/>
      <c r="H271" s="669" t="n"/>
      <c r="I271" s="669" t="n"/>
      <c r="J271" s="669" t="n"/>
      <c r="K271" s="669" t="n"/>
      <c r="L271" s="669" t="n"/>
      <c r="M271" s="669" t="n"/>
      <c r="N271" s="669" t="n"/>
      <c r="O271" s="669" t="n"/>
      <c r="P271" s="669" t="n"/>
      <c r="Q271" s="669" t="n"/>
      <c r="R271" s="669" t="n"/>
      <c r="S271" s="669" t="n"/>
      <c r="T271" s="669" t="n"/>
      <c r="U271" s="669" t="n"/>
      <c r="V271" s="669" t="n"/>
      <c r="W271" s="669" t="n"/>
      <c r="X271" s="669" t="n"/>
      <c r="Y271" s="669" t="n"/>
      <c r="Z271" s="669" t="n"/>
      <c r="AA271" s="669" t="n"/>
    </row>
    <row r="272">
      <c r="A272" s="1037" t="n"/>
      <c r="B272" s="1066" t="n"/>
      <c r="C272" s="1037" t="n"/>
      <c r="D272" s="1037" t="n"/>
      <c r="E272" s="1037" t="n"/>
      <c r="F272" s="669" t="n"/>
      <c r="G272" s="669" t="n"/>
      <c r="H272" s="669" t="n"/>
      <c r="I272" s="669" t="n"/>
      <c r="J272" s="669" t="n"/>
      <c r="K272" s="669" t="n"/>
      <c r="L272" s="669" t="n"/>
      <c r="M272" s="669" t="n"/>
      <c r="N272" s="669" t="n"/>
      <c r="O272" s="669" t="n"/>
      <c r="P272" s="669" t="n"/>
      <c r="Q272" s="669" t="n"/>
      <c r="R272" s="669" t="n"/>
      <c r="S272" s="669" t="n"/>
      <c r="T272" s="669" t="n"/>
      <c r="U272" s="669" t="n"/>
      <c r="V272" s="669" t="n"/>
      <c r="W272" s="669" t="n"/>
      <c r="X272" s="669" t="n"/>
      <c r="Y272" s="669" t="n"/>
      <c r="Z272" s="669" t="n"/>
      <c r="AA272" s="669" t="n"/>
    </row>
    <row r="273">
      <c r="A273" s="1037" t="n"/>
      <c r="B273" s="1066" t="n"/>
      <c r="C273" s="1037" t="n"/>
      <c r="D273" s="1037" t="n"/>
      <c r="E273" s="1037" t="n"/>
      <c r="F273" s="669" t="n"/>
      <c r="G273" s="669" t="n"/>
      <c r="H273" s="669" t="n"/>
      <c r="I273" s="669" t="n"/>
      <c r="J273" s="669" t="n"/>
      <c r="K273" s="669" t="n"/>
      <c r="L273" s="669" t="n"/>
      <c r="M273" s="669" t="n"/>
      <c r="N273" s="669" t="n"/>
      <c r="O273" s="669" t="n"/>
      <c r="P273" s="669" t="n"/>
      <c r="Q273" s="669" t="n"/>
      <c r="R273" s="669" t="n"/>
      <c r="S273" s="669" t="n"/>
      <c r="T273" s="669" t="n"/>
      <c r="U273" s="669" t="n"/>
      <c r="V273" s="669" t="n"/>
      <c r="W273" s="669" t="n"/>
      <c r="X273" s="669" t="n"/>
      <c r="Y273" s="669" t="n"/>
      <c r="Z273" s="669" t="n"/>
      <c r="AA273" s="669" t="n"/>
    </row>
    <row r="274">
      <c r="A274" s="1068" t="inlineStr">
        <is>
          <t>Idol Boy</t>
        </is>
      </c>
      <c r="B274" s="1069" t="n"/>
      <c r="C274" s="1070" t="inlineStr">
        <is>
          <t>Notes</t>
        </is>
      </c>
      <c r="D274" s="1071" t="n"/>
      <c r="E274" s="1071" t="n"/>
      <c r="F274" s="1072" t="n"/>
      <c r="G274" s="1072" t="n"/>
      <c r="H274" s="1072" t="n"/>
      <c r="I274" s="1072" t="n"/>
      <c r="J274" s="1072" t="n"/>
      <c r="K274" s="1072" t="n"/>
      <c r="L274" s="1072" t="n"/>
      <c r="M274" s="1073" t="n"/>
      <c r="N274" s="669" t="n"/>
      <c r="O274" s="669" t="n"/>
      <c r="P274" s="669" t="n"/>
      <c r="Q274" s="669" t="n"/>
      <c r="R274" s="669" t="n"/>
      <c r="S274" s="669" t="n"/>
      <c r="T274" s="669" t="n"/>
      <c r="U274" s="669" t="n"/>
      <c r="V274" s="669" t="n"/>
      <c r="W274" s="669" t="n"/>
      <c r="X274" s="669" t="n"/>
      <c r="Y274" s="669" t="n"/>
      <c r="Z274" s="669" t="n"/>
      <c r="AA274" s="669" t="n"/>
    </row>
    <row r="275">
      <c r="A275" s="1080" t="inlineStr">
        <is>
          <t>Passive</t>
        </is>
      </c>
      <c r="B275" s="1103" t="inlineStr">
        <is>
          <t>D</t>
        </is>
      </c>
      <c r="C275" s="1075" t="inlineStr">
        <is>
          <t>Mutant Cells</t>
        </is>
      </c>
      <c r="D275" s="373" t="n"/>
      <c r="E275" s="373" t="n"/>
      <c r="F275" s="237" t="n"/>
      <c r="G275" s="237" t="n"/>
      <c r="H275" s="237" t="n"/>
      <c r="I275" s="237" t="n"/>
      <c r="J275" s="237" t="n"/>
      <c r="K275" s="237" t="n"/>
      <c r="L275" s="237" t="n"/>
      <c r="M275" s="238" t="n"/>
      <c r="N275" s="669" t="n"/>
      <c r="O275" s="669" t="n"/>
      <c r="P275" s="669" t="n"/>
      <c r="Q275" s="669" t="n"/>
      <c r="R275" s="669" t="n"/>
      <c r="S275" s="669" t="n"/>
      <c r="T275" s="669" t="n"/>
      <c r="U275" s="669" t="n"/>
      <c r="V275" s="669" t="n"/>
      <c r="W275" s="669" t="n"/>
      <c r="X275" s="669" t="n"/>
      <c r="Y275" s="669" t="n"/>
      <c r="Z275" s="669" t="n"/>
      <c r="AA275" s="669" t="n"/>
    </row>
    <row r="276">
      <c r="A276" s="1080" t="inlineStr">
        <is>
          <t>Band</t>
        </is>
      </c>
      <c r="B276" s="1103" t="inlineStr">
        <is>
          <t>B</t>
        </is>
      </c>
      <c r="C276" s="1037" t="inlineStr">
        <is>
          <t>2nd weakest of core 5 members</t>
        </is>
      </c>
      <c r="D276" s="1037" t="n"/>
      <c r="E276" s="1037" t="n"/>
      <c r="F276" s="669" t="n"/>
      <c r="G276" s="669" t="n"/>
      <c r="H276" s="669" t="n"/>
      <c r="I276" s="669" t="n"/>
      <c r="J276" s="669" t="n"/>
      <c r="K276" s="669" t="n"/>
      <c r="L276" s="669" t="n"/>
      <c r="M276" s="1095" t="n"/>
      <c r="N276" s="669" t="n"/>
      <c r="O276" s="669" t="n"/>
      <c r="P276" s="669" t="n"/>
      <c r="Q276" s="669" t="n"/>
      <c r="R276" s="669" t="n"/>
      <c r="S276" s="669" t="n"/>
      <c r="T276" s="669" t="n"/>
      <c r="U276" s="669" t="n"/>
      <c r="V276" s="669" t="n"/>
      <c r="W276" s="669" t="n"/>
      <c r="X276" s="669" t="n"/>
      <c r="Y276" s="669" t="n"/>
      <c r="Z276" s="669" t="n"/>
      <c r="AA276" s="669" t="n"/>
    </row>
    <row r="277">
      <c r="A277" s="1080" t="inlineStr">
        <is>
          <t>Dance</t>
        </is>
      </c>
      <c r="B277" s="1103" t="inlineStr">
        <is>
          <t>B</t>
        </is>
      </c>
      <c r="C277" s="1075" t="inlineStr">
        <is>
          <t>Requires maximum investment compared with Amakusa comp; Struggles against all-male anecdotes; Easiest means of clearing Socialite Ball (lv26-30 required)</t>
        </is>
      </c>
      <c r="D277" s="373" t="n"/>
      <c r="E277" s="373" t="n"/>
      <c r="F277" s="237" t="n"/>
      <c r="G277" s="237" t="n"/>
      <c r="H277" s="237" t="n"/>
      <c r="I277" s="237" t="n"/>
      <c r="J277" s="237" t="n"/>
      <c r="K277" s="237" t="n"/>
      <c r="L277" s="237" t="n"/>
      <c r="M277" s="238" t="n"/>
      <c r="N277" s="669" t="n"/>
      <c r="O277" s="669" t="n"/>
      <c r="P277" s="669" t="n"/>
      <c r="Q277" s="669" t="n"/>
      <c r="R277" s="669" t="n"/>
      <c r="S277" s="669" t="n"/>
      <c r="T277" s="669" t="n"/>
      <c r="U277" s="669" t="n"/>
      <c r="V277" s="669" t="n"/>
      <c r="W277" s="669" t="n"/>
      <c r="X277" s="669" t="n"/>
      <c r="Y277" s="669" t="n"/>
      <c r="Z277" s="669" t="n"/>
      <c r="AA277" s="669" t="n"/>
    </row>
    <row r="278">
      <c r="A278" s="1080" t="inlineStr">
        <is>
          <t>Growth Speed</t>
        </is>
      </c>
      <c r="B278" s="1103" t="inlineStr">
        <is>
          <t>Medium</t>
        </is>
      </c>
      <c r="C278" s="1037" t="n"/>
      <c r="D278" s="1037" t="n"/>
      <c r="E278" s="1037" t="n"/>
      <c r="F278" s="669" t="n"/>
      <c r="G278" s="669" t="n"/>
      <c r="H278" s="669" t="n"/>
      <c r="I278" s="669" t="n"/>
      <c r="J278" s="669" t="n"/>
      <c r="K278" s="669" t="n"/>
      <c r="L278" s="669" t="n"/>
      <c r="M278" s="1095" t="n"/>
      <c r="N278" s="669" t="n"/>
      <c r="O278" s="669" t="n"/>
      <c r="P278" s="669" t="n"/>
      <c r="Q278" s="669" t="n"/>
      <c r="R278" s="669" t="n"/>
      <c r="S278" s="669" t="n"/>
      <c r="T278" s="669" t="n"/>
      <c r="U278" s="669" t="n"/>
      <c r="V278" s="669" t="n"/>
      <c r="W278" s="669" t="n"/>
      <c r="X278" s="669" t="n"/>
      <c r="Y278" s="669" t="n"/>
      <c r="Z278" s="669" t="n"/>
      <c r="AA278" s="669" t="n"/>
    </row>
    <row r="279">
      <c r="A279" s="1080" t="inlineStr">
        <is>
          <t>Leveling Priority</t>
        </is>
      </c>
      <c r="B279" s="1103" t="inlineStr">
        <is>
          <t>C</t>
        </is>
      </c>
      <c r="C279" s="1075" t="inlineStr">
        <is>
          <t>Competes with Commissioner for Koryeo material; Only necessary for one anecdote type; Slight leveling helpful to clear one anecdote; Terrible passive</t>
        </is>
      </c>
      <c r="D279" s="373" t="n"/>
      <c r="E279" s="373" t="n"/>
      <c r="F279" s="237" t="n"/>
      <c r="G279" s="237" t="n"/>
      <c r="H279" s="237" t="n"/>
      <c r="I279" s="237" t="n"/>
      <c r="J279" s="237" t="n"/>
      <c r="K279" s="237" t="n"/>
      <c r="L279" s="237" t="n"/>
      <c r="M279" s="238" t="n"/>
      <c r="N279" s="669" t="n"/>
      <c r="O279" s="669" t="n"/>
      <c r="P279" s="669" t="n"/>
      <c r="Q279" s="669" t="n"/>
      <c r="R279" s="669" t="n"/>
      <c r="S279" s="669" t="n"/>
      <c r="T279" s="669" t="n"/>
      <c r="U279" s="669" t="n"/>
      <c r="V279" s="669" t="n"/>
      <c r="W279" s="669" t="n"/>
      <c r="X279" s="669" t="n"/>
      <c r="Y279" s="669" t="n"/>
      <c r="Z279" s="669" t="n"/>
      <c r="AA279" s="669" t="n"/>
    </row>
    <row r="280">
      <c r="A280" s="1064" t="n"/>
      <c r="B280" s="1066" t="n"/>
      <c r="C280" s="1037" t="n"/>
      <c r="D280" s="1037" t="n"/>
      <c r="E280" s="1037" t="n"/>
      <c r="F280" s="669" t="n"/>
      <c r="G280" s="669" t="n"/>
      <c r="H280" s="669" t="n"/>
      <c r="I280" s="669" t="n"/>
      <c r="J280" s="669" t="n"/>
      <c r="K280" s="669" t="n"/>
      <c r="L280" s="669" t="n"/>
      <c r="M280" s="1095" t="n"/>
      <c r="N280" s="669" t="n"/>
      <c r="O280" s="669" t="n"/>
      <c r="P280" s="669" t="n"/>
      <c r="Q280" s="669" t="n"/>
      <c r="R280" s="669" t="n"/>
      <c r="S280" s="669" t="n"/>
      <c r="T280" s="669" t="n"/>
      <c r="U280" s="669" t="n"/>
      <c r="V280" s="669" t="n"/>
      <c r="W280" s="669" t="n"/>
      <c r="X280" s="669" t="n"/>
      <c r="Y280" s="669" t="n"/>
      <c r="Z280" s="669" t="n"/>
      <c r="AA280" s="669" t="n"/>
    </row>
    <row r="281">
      <c r="A281" s="1080" t="inlineStr">
        <is>
          <t>Name</t>
        </is>
      </c>
      <c r="B281" s="1080" t="inlineStr">
        <is>
          <t>Type</t>
        </is>
      </c>
      <c r="C281" s="1080" t="inlineStr">
        <is>
          <t>Lv10 Priority</t>
        </is>
      </c>
      <c r="D281" s="1080" t="inlineStr">
        <is>
          <t>Lv20 Priority</t>
        </is>
      </c>
      <c r="E281" s="1076" t="inlineStr">
        <is>
          <t>Notes</t>
        </is>
      </c>
      <c r="F281" s="1077" t="n"/>
      <c r="G281" s="1077" t="n"/>
      <c r="H281" s="1077" t="n"/>
      <c r="I281" s="1077" t="n"/>
      <c r="J281" s="1077" t="n"/>
      <c r="K281" s="1077" t="n"/>
      <c r="L281" s="1077" t="n"/>
      <c r="M281" s="1078" t="n"/>
      <c r="N281" s="669" t="n"/>
      <c r="O281" s="669" t="n"/>
      <c r="P281" s="669" t="n"/>
      <c r="Q281" s="669" t="n"/>
      <c r="R281" s="669" t="n"/>
      <c r="S281" s="669" t="n"/>
      <c r="T281" s="669" t="n"/>
      <c r="U281" s="669" t="n"/>
      <c r="V281" s="669" t="n"/>
      <c r="W281" s="669" t="n"/>
      <c r="X281" s="669" t="n"/>
      <c r="Y281" s="669" t="n"/>
      <c r="Z281" s="669" t="n"/>
      <c r="AA281" s="669" t="n"/>
    </row>
    <row r="282">
      <c r="A282" s="1103" t="inlineStr">
        <is>
          <t>Stage Control</t>
        </is>
      </c>
      <c r="B282" s="1103" t="inlineStr">
        <is>
          <t>Band</t>
        </is>
      </c>
      <c r="C282" s="1103" t="inlineStr">
        <is>
          <t>A</t>
        </is>
      </c>
      <c r="D282" s="1103" t="inlineStr">
        <is>
          <t>A</t>
        </is>
      </c>
      <c r="E282" s="1075" t="inlineStr">
        <is>
          <t>Requires Athena's Delight to activate</t>
        </is>
      </c>
      <c r="F282" s="237" t="n"/>
      <c r="G282" s="237" t="n"/>
      <c r="H282" s="237" t="n"/>
      <c r="I282" s="237" t="n"/>
      <c r="J282" s="237" t="n"/>
      <c r="K282" s="237" t="n"/>
      <c r="L282" s="237" t="n"/>
      <c r="M282" s="238" t="n"/>
      <c r="N282" s="669" t="n"/>
      <c r="O282" s="669" t="n"/>
      <c r="P282" s="669" t="n"/>
      <c r="Q282" s="669" t="n"/>
      <c r="R282" s="669" t="n"/>
      <c r="S282" s="669" t="n"/>
      <c r="T282" s="669" t="n"/>
      <c r="U282" s="669" t="n"/>
      <c r="V282" s="669" t="n"/>
      <c r="W282" s="669" t="n"/>
      <c r="X282" s="669" t="n"/>
      <c r="Y282" s="669" t="n"/>
      <c r="Z282" s="669" t="n"/>
      <c r="AA282" s="669" t="n"/>
    </row>
    <row r="283">
      <c r="A283" s="1103" t="inlineStr">
        <is>
          <t>Harmonium Chorus</t>
        </is>
      </c>
      <c r="B283" s="1103" t="inlineStr">
        <is>
          <t>Band</t>
        </is>
      </c>
      <c r="C283" s="1103" t="inlineStr">
        <is>
          <t>B</t>
        </is>
      </c>
      <c r="D283" s="1103" t="inlineStr">
        <is>
          <t>B</t>
        </is>
      </c>
      <c r="E283" s="1037" t="n"/>
      <c r="F283" s="669" t="n"/>
      <c r="G283" s="669" t="n"/>
      <c r="H283" s="669" t="n"/>
      <c r="I283" s="669" t="n"/>
      <c r="J283" s="669" t="n"/>
      <c r="K283" s="669" t="n"/>
      <c r="L283" s="669" t="n"/>
      <c r="M283" s="1095" t="n"/>
      <c r="N283" s="669" t="n"/>
      <c r="O283" s="669" t="n"/>
      <c r="P283" s="669" t="n"/>
      <c r="Q283" s="669" t="n"/>
      <c r="R283" s="669" t="n"/>
      <c r="S283" s="669" t="n"/>
      <c r="T283" s="669" t="n"/>
      <c r="U283" s="669" t="n"/>
      <c r="V283" s="669" t="n"/>
      <c r="W283" s="669" t="n"/>
      <c r="X283" s="669" t="n"/>
      <c r="Y283" s="669" t="n"/>
      <c r="Z283" s="669" t="n"/>
      <c r="AA283" s="669" t="n"/>
    </row>
    <row r="284">
      <c r="A284" s="1103" t="inlineStr">
        <is>
          <t>Passionate Samba</t>
        </is>
      </c>
      <c r="B284" s="1103" t="inlineStr">
        <is>
          <t>Band</t>
        </is>
      </c>
      <c r="C284" s="1103" t="inlineStr">
        <is>
          <t>C</t>
        </is>
      </c>
      <c r="D284" s="1103" t="inlineStr">
        <is>
          <t>C/B</t>
        </is>
      </c>
      <c r="E284" s="1075" t="inlineStr">
        <is>
          <t>3 of the last 4 anecdotes are type Samba</t>
        </is>
      </c>
      <c r="F284" s="237" t="n"/>
      <c r="G284" s="237" t="n"/>
      <c r="H284" s="237" t="n"/>
      <c r="I284" s="237" t="n"/>
      <c r="J284" s="237" t="n"/>
      <c r="K284" s="237" t="n"/>
      <c r="L284" s="237" t="n"/>
      <c r="M284" s="238" t="n"/>
      <c r="N284" s="669" t="n"/>
      <c r="O284" s="669" t="n"/>
      <c r="P284" s="669" t="n"/>
      <c r="Q284" s="669" t="n"/>
      <c r="R284" s="669" t="n"/>
      <c r="S284" s="669" t="n"/>
      <c r="T284" s="669" t="n"/>
      <c r="U284" s="669" t="n"/>
      <c r="V284" s="669" t="n"/>
      <c r="W284" s="669" t="n"/>
      <c r="X284" s="669" t="n"/>
      <c r="Y284" s="669" t="n"/>
      <c r="Z284" s="669" t="n"/>
      <c r="AA284" s="669" t="n"/>
    </row>
    <row r="285">
      <c r="A285" s="1103" t="inlineStr">
        <is>
          <t>Idol Worship</t>
        </is>
      </c>
      <c r="B285" s="1103" t="inlineStr">
        <is>
          <t>Dance</t>
        </is>
      </c>
      <c r="C285" s="1103" t="inlineStr">
        <is>
          <t>S</t>
        </is>
      </c>
      <c r="D285" s="1103" t="inlineStr">
        <is>
          <t>S</t>
        </is>
      </c>
      <c r="E285" s="1075" t="inlineStr">
        <is>
          <t>Required to allow Amakusa to hit score milestones</t>
        </is>
      </c>
      <c r="F285" s="237" t="n"/>
      <c r="G285" s="237" t="n"/>
      <c r="H285" s="237" t="n"/>
      <c r="I285" s="237" t="n"/>
      <c r="J285" s="237" t="n"/>
      <c r="K285" s="237" t="n"/>
      <c r="L285" s="237" t="n"/>
      <c r="M285" s="238" t="n"/>
      <c r="N285" s="669" t="n"/>
      <c r="O285" s="669" t="n"/>
      <c r="P285" s="669" t="n"/>
      <c r="Q285" s="669" t="n"/>
      <c r="R285" s="669" t="n"/>
      <c r="S285" s="669" t="n"/>
      <c r="T285" s="669" t="n"/>
      <c r="U285" s="669" t="n"/>
      <c r="V285" s="669" t="n"/>
      <c r="W285" s="669" t="n"/>
      <c r="X285" s="669" t="n"/>
      <c r="Y285" s="669" t="n"/>
      <c r="Z285" s="669" t="n"/>
      <c r="AA285" s="669" t="n"/>
    </row>
    <row r="286">
      <c r="A286" s="1103" t="inlineStr">
        <is>
          <t>Pink Charm</t>
        </is>
      </c>
      <c r="B286" s="1103" t="inlineStr">
        <is>
          <t>Dance</t>
        </is>
      </c>
      <c r="C286" s="1103" t="inlineStr">
        <is>
          <t>B</t>
        </is>
      </c>
      <c r="D286" s="1103" t="inlineStr">
        <is>
          <t>D</t>
        </is>
      </c>
      <c r="E286" s="1079" t="inlineStr">
        <is>
          <t>Reduces level investment needed to clear Socialite Ball</t>
        </is>
      </c>
      <c r="F286" s="1093" t="n"/>
      <c r="G286" s="1093" t="n"/>
      <c r="H286" s="1093" t="n"/>
      <c r="I286" s="1093" t="n"/>
      <c r="J286" s="1093" t="n"/>
      <c r="K286" s="1093" t="n"/>
      <c r="L286" s="1093" t="n"/>
      <c r="M286" s="965" t="n"/>
      <c r="N286" s="669" t="n"/>
      <c r="O286" s="669" t="n"/>
      <c r="P286" s="669" t="n"/>
      <c r="Q286" s="669" t="n"/>
      <c r="R286" s="669" t="n"/>
      <c r="S286" s="669" t="n"/>
      <c r="T286" s="669" t="n"/>
      <c r="U286" s="669" t="n"/>
      <c r="V286" s="669" t="n"/>
      <c r="W286" s="669" t="n"/>
      <c r="X286" s="669" t="n"/>
      <c r="Y286" s="669" t="n"/>
      <c r="Z286" s="669" t="n"/>
      <c r="AA286" s="669" t="n"/>
    </row>
    <row r="287">
      <c r="A287" s="1037" t="n"/>
      <c r="B287" s="1066" t="n"/>
      <c r="C287" s="1037" t="n"/>
      <c r="D287" s="1037" t="n"/>
      <c r="E287" s="1037" t="n"/>
      <c r="F287" s="669" t="n"/>
      <c r="G287" s="669" t="n"/>
      <c r="H287" s="669" t="n"/>
      <c r="I287" s="669" t="n"/>
      <c r="J287" s="669" t="n"/>
      <c r="K287" s="669" t="n"/>
      <c r="L287" s="669" t="n"/>
      <c r="M287" s="669" t="n"/>
      <c r="N287" s="669" t="n"/>
      <c r="O287" s="669" t="n"/>
      <c r="P287" s="669" t="n"/>
      <c r="Q287" s="669" t="n"/>
      <c r="R287" s="669" t="n"/>
      <c r="S287" s="669" t="n"/>
      <c r="T287" s="669" t="n"/>
      <c r="U287" s="669" t="n"/>
      <c r="V287" s="669" t="n"/>
      <c r="W287" s="669" t="n"/>
      <c r="X287" s="669" t="n"/>
      <c r="Y287" s="669" t="n"/>
      <c r="Z287" s="669" t="n"/>
      <c r="AA287" s="669" t="n"/>
    </row>
    <row r="288">
      <c r="A288" s="1037" t="n"/>
      <c r="B288" s="1066" t="n"/>
      <c r="C288" s="1037" t="n"/>
      <c r="D288" s="1037" t="n"/>
      <c r="E288" s="1037" t="n"/>
      <c r="F288" s="669" t="n"/>
      <c r="G288" s="669" t="n"/>
      <c r="H288" s="669" t="n"/>
      <c r="I288" s="669" t="n"/>
      <c r="J288" s="669" t="n"/>
      <c r="K288" s="669" t="n"/>
      <c r="L288" s="669" t="n"/>
      <c r="M288" s="669" t="n"/>
      <c r="N288" s="669" t="n"/>
      <c r="O288" s="669" t="n"/>
      <c r="P288" s="669" t="n"/>
      <c r="Q288" s="669" t="n"/>
      <c r="R288" s="669" t="n"/>
      <c r="S288" s="669" t="n"/>
      <c r="T288" s="669" t="n"/>
      <c r="U288" s="669" t="n"/>
      <c r="V288" s="669" t="n"/>
      <c r="W288" s="669" t="n"/>
      <c r="X288" s="669" t="n"/>
      <c r="Y288" s="669" t="n"/>
      <c r="Z288" s="669" t="n"/>
      <c r="AA288" s="669" t="n"/>
    </row>
    <row r="289">
      <c r="A289" s="1037" t="n"/>
      <c r="B289" s="1066" t="n"/>
      <c r="C289" s="1037" t="n"/>
      <c r="D289" s="1037" t="n"/>
      <c r="E289" s="1037" t="n"/>
      <c r="F289" s="669" t="n"/>
      <c r="G289" s="669" t="n"/>
      <c r="H289" s="669" t="n"/>
      <c r="I289" s="669" t="n"/>
      <c r="J289" s="669" t="n"/>
      <c r="K289" s="669" t="n"/>
      <c r="L289" s="669" t="n"/>
      <c r="M289" s="669" t="n"/>
      <c r="N289" s="669" t="n"/>
      <c r="O289" s="669" t="n"/>
      <c r="P289" s="669" t="n"/>
      <c r="Q289" s="669" t="n"/>
      <c r="R289" s="669" t="n"/>
      <c r="S289" s="669" t="n"/>
      <c r="T289" s="669" t="n"/>
      <c r="U289" s="669" t="n"/>
      <c r="V289" s="669" t="n"/>
      <c r="W289" s="669" t="n"/>
      <c r="X289" s="669" t="n"/>
      <c r="Y289" s="669" t="n"/>
      <c r="Z289" s="669" t="n"/>
      <c r="AA289" s="669" t="n"/>
    </row>
    <row r="290">
      <c r="A290" s="1068" t="inlineStr">
        <is>
          <t>Peacekeeper</t>
        </is>
      </c>
      <c r="B290" s="1069" t="n"/>
      <c r="C290" s="1070" t="inlineStr">
        <is>
          <t>Notes</t>
        </is>
      </c>
      <c r="D290" s="1071" t="n"/>
      <c r="E290" s="1071" t="n"/>
      <c r="F290" s="1072" t="n"/>
      <c r="G290" s="1072" t="n"/>
      <c r="H290" s="1072" t="n"/>
      <c r="I290" s="1072" t="n"/>
      <c r="J290" s="1072" t="n"/>
      <c r="K290" s="1072" t="n"/>
      <c r="L290" s="1072" t="n"/>
      <c r="M290" s="1073" t="n"/>
      <c r="N290" s="669" t="n"/>
      <c r="O290" s="669" t="n"/>
      <c r="P290" s="669" t="n"/>
      <c r="Q290" s="669" t="n"/>
      <c r="R290" s="669" t="n"/>
      <c r="S290" s="669" t="n"/>
      <c r="T290" s="669" t="n"/>
      <c r="U290" s="669" t="n"/>
      <c r="V290" s="669" t="n"/>
      <c r="W290" s="669" t="n"/>
      <c r="X290" s="669" t="n"/>
      <c r="Y290" s="669" t="n"/>
      <c r="Z290" s="669" t="n"/>
      <c r="AA290" s="669" t="n"/>
    </row>
    <row r="291">
      <c r="A291" s="1080" t="inlineStr">
        <is>
          <t>Passive</t>
        </is>
      </c>
      <c r="B291" s="1103" t="inlineStr">
        <is>
          <t>C</t>
        </is>
      </c>
      <c r="C291" s="1075" t="inlineStr">
        <is>
          <t>DEF</t>
        </is>
      </c>
      <c r="D291" s="373" t="n"/>
      <c r="E291" s="373" t="n"/>
      <c r="F291" s="237" t="n"/>
      <c r="G291" s="237" t="n"/>
      <c r="H291" s="237" t="n"/>
      <c r="I291" s="237" t="n"/>
      <c r="J291" s="237" t="n"/>
      <c r="K291" s="237" t="n"/>
      <c r="L291" s="237" t="n"/>
      <c r="M291" s="238" t="n"/>
      <c r="N291" s="669" t="n"/>
      <c r="O291" s="669" t="n"/>
      <c r="P291" s="669" t="n"/>
      <c r="Q291" s="669" t="n"/>
      <c r="R291" s="669" t="n"/>
      <c r="S291" s="669" t="n"/>
      <c r="T291" s="669" t="n"/>
      <c r="U291" s="669" t="n"/>
      <c r="V291" s="669" t="n"/>
      <c r="W291" s="669" t="n"/>
      <c r="X291" s="669" t="n"/>
      <c r="Y291" s="669" t="n"/>
      <c r="Z291" s="669" t="n"/>
      <c r="AA291" s="669" t="n"/>
    </row>
    <row r="292">
      <c r="A292" s="1080" t="inlineStr">
        <is>
          <t>Sailing</t>
        </is>
      </c>
      <c r="B292" s="1103" t="inlineStr">
        <is>
          <t>S</t>
        </is>
      </c>
      <c r="C292" s="1037" t="inlineStr">
        <is>
          <t>Strongest of the 5 sailing options</t>
        </is>
      </c>
      <c r="D292" s="1037" t="n"/>
      <c r="E292" s="1037" t="n"/>
      <c r="F292" s="669" t="n"/>
      <c r="G292" s="669" t="n"/>
      <c r="H292" s="669" t="n"/>
      <c r="I292" s="669" t="n"/>
      <c r="J292" s="669" t="n"/>
      <c r="K292" s="669" t="n"/>
      <c r="L292" s="669" t="n"/>
      <c r="M292" s="1095" t="n"/>
      <c r="N292" s="669" t="n"/>
      <c r="O292" s="669" t="n"/>
      <c r="P292" s="669" t="n"/>
      <c r="Q292" s="669" t="n"/>
      <c r="R292" s="669" t="n"/>
      <c r="S292" s="669" t="n"/>
      <c r="T292" s="669" t="n"/>
      <c r="U292" s="669" t="n"/>
      <c r="V292" s="669" t="n"/>
      <c r="W292" s="669" t="n"/>
      <c r="X292" s="669" t="n"/>
      <c r="Y292" s="669" t="n"/>
      <c r="Z292" s="669" t="n"/>
      <c r="AA292" s="669" t="n"/>
    </row>
    <row r="293">
      <c r="A293" s="1080" t="inlineStr">
        <is>
          <t>Defense</t>
        </is>
      </c>
      <c r="B293" s="1103" t="inlineStr">
        <is>
          <t>D</t>
        </is>
      </c>
      <c r="C293" s="1075" t="n"/>
      <c r="D293" s="373" t="n"/>
      <c r="E293" s="373" t="n"/>
      <c r="F293" s="237" t="n"/>
      <c r="G293" s="237" t="n"/>
      <c r="H293" s="237" t="n"/>
      <c r="I293" s="237" t="n"/>
      <c r="J293" s="237" t="n"/>
      <c r="K293" s="237" t="n"/>
      <c r="L293" s="237" t="n"/>
      <c r="M293" s="238" t="n"/>
      <c r="N293" s="669" t="n"/>
      <c r="O293" s="669" t="n"/>
      <c r="P293" s="669" t="n"/>
      <c r="Q293" s="669" t="n"/>
      <c r="R293" s="669" t="n"/>
      <c r="S293" s="669" t="n"/>
      <c r="T293" s="669" t="n"/>
      <c r="U293" s="669" t="n"/>
      <c r="V293" s="669" t="n"/>
      <c r="W293" s="669" t="n"/>
      <c r="X293" s="669" t="n"/>
      <c r="Y293" s="669" t="n"/>
      <c r="Z293" s="669" t="n"/>
      <c r="AA293" s="669" t="n"/>
    </row>
    <row r="294">
      <c r="A294" s="1080" t="inlineStr">
        <is>
          <t>Growth Speed</t>
        </is>
      </c>
      <c r="B294" s="1103" t="inlineStr">
        <is>
          <t>High</t>
        </is>
      </c>
      <c r="C294" s="1037" t="n"/>
      <c r="D294" s="1037" t="n"/>
      <c r="E294" s="1037" t="n"/>
      <c r="F294" s="669" t="n"/>
      <c r="G294" s="669" t="n"/>
      <c r="H294" s="669" t="n"/>
      <c r="I294" s="669" t="n"/>
      <c r="J294" s="669" t="n"/>
      <c r="K294" s="669" t="n"/>
      <c r="L294" s="669" t="n"/>
      <c r="M294" s="1095" t="n"/>
      <c r="N294" s="669" t="n"/>
      <c r="O294" s="669" t="n"/>
      <c r="P294" s="669" t="n"/>
      <c r="Q294" s="669" t="n"/>
      <c r="R294" s="669" t="n"/>
      <c r="S294" s="669" t="n"/>
      <c r="T294" s="669" t="n"/>
      <c r="U294" s="669" t="n"/>
      <c r="V294" s="669" t="n"/>
      <c r="W294" s="669" t="n"/>
      <c r="X294" s="669" t="n"/>
      <c r="Y294" s="669" t="n"/>
      <c r="Z294" s="669" t="n"/>
      <c r="AA294" s="669" t="n"/>
    </row>
    <row r="295">
      <c r="A295" s="1080" t="inlineStr">
        <is>
          <t>Leveling Priority</t>
        </is>
      </c>
      <c r="B295" s="1103" t="inlineStr">
        <is>
          <t>B</t>
        </is>
      </c>
      <c r="C295" s="1075" t="inlineStr">
        <is>
          <t>Competes with Trinidad/Soleil for Britland material; Highest value for pure sailing focus; Lower value for sailing/siege focus; Low value passive</t>
        </is>
      </c>
      <c r="D295" s="373" t="n"/>
      <c r="E295" s="373" t="n"/>
      <c r="F295" s="237" t="n"/>
      <c r="G295" s="237" t="n"/>
      <c r="H295" s="237" t="n"/>
      <c r="I295" s="237" t="n"/>
      <c r="J295" s="237" t="n"/>
      <c r="K295" s="237" t="n"/>
      <c r="L295" s="237" t="n"/>
      <c r="M295" s="238" t="n"/>
      <c r="N295" s="669" t="n"/>
      <c r="O295" s="669" t="n"/>
      <c r="P295" s="669" t="n"/>
      <c r="Q295" s="669" t="n"/>
      <c r="R295" s="669" t="n"/>
      <c r="S295" s="669" t="n"/>
      <c r="T295" s="669" t="n"/>
      <c r="U295" s="669" t="n"/>
      <c r="V295" s="669" t="n"/>
      <c r="W295" s="669" t="n"/>
      <c r="X295" s="669" t="n"/>
      <c r="Y295" s="669" t="n"/>
      <c r="Z295" s="669" t="n"/>
      <c r="AA295" s="669" t="n"/>
    </row>
    <row r="296">
      <c r="A296" s="1064" t="n"/>
      <c r="B296" s="1066" t="n"/>
      <c r="C296" s="1037" t="n"/>
      <c r="D296" s="1037" t="n"/>
      <c r="E296" s="1037" t="n"/>
      <c r="F296" s="669" t="n"/>
      <c r="G296" s="669" t="n"/>
      <c r="H296" s="669" t="n"/>
      <c r="I296" s="669" t="n"/>
      <c r="J296" s="669" t="n"/>
      <c r="K296" s="669" t="n"/>
      <c r="L296" s="669" t="n"/>
      <c r="M296" s="1095" t="n"/>
      <c r="N296" s="669" t="n"/>
      <c r="O296" s="669" t="n"/>
      <c r="P296" s="669" t="n"/>
      <c r="Q296" s="669" t="n"/>
      <c r="R296" s="669" t="n"/>
      <c r="S296" s="669" t="n"/>
      <c r="T296" s="669" t="n"/>
      <c r="U296" s="669" t="n"/>
      <c r="V296" s="669" t="n"/>
      <c r="W296" s="669" t="n"/>
      <c r="X296" s="669" t="n"/>
      <c r="Y296" s="669" t="n"/>
      <c r="Z296" s="669" t="n"/>
      <c r="AA296" s="669" t="n"/>
    </row>
    <row r="297">
      <c r="A297" s="1080" t="inlineStr">
        <is>
          <t>Name</t>
        </is>
      </c>
      <c r="B297" s="1080" t="inlineStr">
        <is>
          <t>Type</t>
        </is>
      </c>
      <c r="C297" s="1080" t="inlineStr">
        <is>
          <t>Lv10 Priority</t>
        </is>
      </c>
      <c r="D297" s="1080" t="inlineStr">
        <is>
          <t>Lv20 Priority</t>
        </is>
      </c>
      <c r="E297" s="1076" t="inlineStr">
        <is>
          <t>Notes</t>
        </is>
      </c>
      <c r="F297" s="1077" t="n"/>
      <c r="G297" s="1077" t="n"/>
      <c r="H297" s="1077" t="n"/>
      <c r="I297" s="1077" t="n"/>
      <c r="J297" s="1077" t="n"/>
      <c r="K297" s="1077" t="n"/>
      <c r="L297" s="1077" t="n"/>
      <c r="M297" s="1078" t="n"/>
      <c r="N297" s="669" t="n"/>
      <c r="O297" s="669" t="n"/>
      <c r="P297" s="669" t="n"/>
      <c r="Q297" s="669" t="n"/>
      <c r="R297" s="669" t="n"/>
      <c r="S297" s="669" t="n"/>
      <c r="T297" s="669" t="n"/>
      <c r="U297" s="669" t="n"/>
      <c r="V297" s="669" t="n"/>
      <c r="W297" s="669" t="n"/>
      <c r="X297" s="669" t="n"/>
      <c r="Y297" s="669" t="n"/>
      <c r="Z297" s="669" t="n"/>
      <c r="AA297" s="669" t="n"/>
    </row>
    <row r="298">
      <c r="A298" s="1103" t="inlineStr">
        <is>
          <t>Mending Expertise</t>
        </is>
      </c>
      <c r="B298" s="1103" t="inlineStr">
        <is>
          <t>Sailing</t>
        </is>
      </c>
      <c r="C298" s="1103" t="inlineStr">
        <is>
          <t>C</t>
        </is>
      </c>
      <c r="D298" s="1103" t="inlineStr">
        <is>
          <t>C</t>
        </is>
      </c>
      <c r="E298" s="1075" t="n"/>
      <c r="F298" s="237" t="n"/>
      <c r="G298" s="237" t="n"/>
      <c r="H298" s="237" t="n"/>
      <c r="I298" s="237" t="n"/>
      <c r="J298" s="237" t="n"/>
      <c r="K298" s="237" t="n"/>
      <c r="L298" s="237" t="n"/>
      <c r="M298" s="238" t="n"/>
      <c r="N298" s="669" t="n"/>
      <c r="O298" s="669" t="n"/>
      <c r="P298" s="669" t="n"/>
      <c r="Q298" s="669" t="n"/>
      <c r="R298" s="669" t="n"/>
      <c r="S298" s="669" t="n"/>
      <c r="T298" s="669" t="n"/>
      <c r="U298" s="669" t="n"/>
      <c r="V298" s="669" t="n"/>
      <c r="W298" s="669" t="n"/>
      <c r="X298" s="669" t="n"/>
      <c r="Y298" s="669" t="n"/>
      <c r="Z298" s="669" t="n"/>
      <c r="AA298" s="669" t="n"/>
    </row>
    <row r="299">
      <c r="A299" s="1103" t="inlineStr">
        <is>
          <t>Impact Resistance</t>
        </is>
      </c>
      <c r="B299" s="1103" t="inlineStr">
        <is>
          <t>Sailing</t>
        </is>
      </c>
      <c r="C299" s="1103" t="inlineStr">
        <is>
          <t>A</t>
        </is>
      </c>
      <c r="D299" s="1103" t="inlineStr">
        <is>
          <t>A</t>
        </is>
      </c>
      <c r="E299" s="1037" t="n"/>
      <c r="F299" s="669" t="n"/>
      <c r="G299" s="669" t="n"/>
      <c r="H299" s="669" t="n"/>
      <c r="I299" s="669" t="n"/>
      <c r="J299" s="669" t="n"/>
      <c r="K299" s="669" t="n"/>
      <c r="L299" s="669" t="n"/>
      <c r="M299" s="1095" t="n"/>
      <c r="N299" s="669" t="n"/>
      <c r="O299" s="669" t="n"/>
      <c r="P299" s="669" t="n"/>
      <c r="Q299" s="669" t="n"/>
      <c r="R299" s="669" t="n"/>
      <c r="S299" s="669" t="n"/>
      <c r="T299" s="669" t="n"/>
      <c r="U299" s="669" t="n"/>
      <c r="V299" s="669" t="n"/>
      <c r="W299" s="669" t="n"/>
      <c r="X299" s="669" t="n"/>
      <c r="Y299" s="669" t="n"/>
      <c r="Z299" s="669" t="n"/>
      <c r="AA299" s="669" t="n"/>
    </row>
    <row r="300">
      <c r="A300" s="1103" t="inlineStr">
        <is>
          <t>Justice Barrier</t>
        </is>
      </c>
      <c r="B300" s="1103" t="inlineStr">
        <is>
          <t>Sailing</t>
        </is>
      </c>
      <c r="C300" s="1103" t="inlineStr">
        <is>
          <t>S</t>
        </is>
      </c>
      <c r="D300" s="1103" t="inlineStr">
        <is>
          <t>S</t>
        </is>
      </c>
      <c r="E300" s="1075" t="inlineStr">
        <is>
          <t>Fleet armor increases by 4x listed value</t>
        </is>
      </c>
      <c r="F300" s="237" t="n"/>
      <c r="G300" s="237" t="n"/>
      <c r="H300" s="237" t="n"/>
      <c r="I300" s="237" t="n"/>
      <c r="J300" s="237" t="n"/>
      <c r="K300" s="237" t="n"/>
      <c r="L300" s="237" t="n"/>
      <c r="M300" s="238" t="n"/>
      <c r="N300" s="669" t="n"/>
      <c r="O300" s="669" t="n"/>
      <c r="P300" s="669" t="n"/>
      <c r="Q300" s="669" t="n"/>
      <c r="R300" s="669" t="n"/>
      <c r="S300" s="669" t="n"/>
      <c r="T300" s="669" t="n"/>
      <c r="U300" s="669" t="n"/>
      <c r="V300" s="669" t="n"/>
      <c r="W300" s="669" t="n"/>
      <c r="X300" s="669" t="n"/>
      <c r="Y300" s="669" t="n"/>
      <c r="Z300" s="669" t="n"/>
      <c r="AA300" s="669" t="n"/>
    </row>
    <row r="301">
      <c r="A301" s="1103" t="inlineStr">
        <is>
          <t>Energy Shield</t>
        </is>
      </c>
      <c r="B301" s="1103" t="inlineStr">
        <is>
          <t>Defense</t>
        </is>
      </c>
      <c r="C301" s="1103" t="inlineStr">
        <is>
          <t>F</t>
        </is>
      </c>
      <c r="D301" s="1103" t="inlineStr">
        <is>
          <t>F</t>
        </is>
      </c>
      <c r="E301" s="1075" t="n"/>
      <c r="F301" s="237" t="n"/>
      <c r="G301" s="237" t="n"/>
      <c r="H301" s="237" t="n"/>
      <c r="I301" s="237" t="n"/>
      <c r="J301" s="237" t="n"/>
      <c r="K301" s="237" t="n"/>
      <c r="L301" s="237" t="n"/>
      <c r="M301" s="238" t="n"/>
      <c r="N301" s="669" t="n"/>
      <c r="O301" s="669" t="n"/>
      <c r="P301" s="669" t="n"/>
      <c r="Q301" s="669" t="n"/>
      <c r="R301" s="669" t="n"/>
      <c r="S301" s="669" t="n"/>
      <c r="T301" s="669" t="n"/>
      <c r="U301" s="669" t="n"/>
      <c r="V301" s="669" t="n"/>
      <c r="W301" s="669" t="n"/>
      <c r="X301" s="669" t="n"/>
      <c r="Y301" s="669" t="n"/>
      <c r="Z301" s="669" t="n"/>
      <c r="AA301" s="669" t="n"/>
    </row>
    <row r="302">
      <c r="A302" s="1103" t="inlineStr">
        <is>
          <t>Heart of Peace</t>
        </is>
      </c>
      <c r="B302" s="1103" t="inlineStr">
        <is>
          <t>Siege</t>
        </is>
      </c>
      <c r="C302" s="1103" t="inlineStr">
        <is>
          <t>A</t>
        </is>
      </c>
      <c r="D302" s="1103" t="inlineStr">
        <is>
          <t>A</t>
        </is>
      </c>
      <c r="E302" s="1079" t="inlineStr">
        <is>
          <t>Affects all drifters</t>
        </is>
      </c>
      <c r="F302" s="1093" t="n"/>
      <c r="G302" s="1093" t="n"/>
      <c r="H302" s="1093" t="n"/>
      <c r="I302" s="1093" t="n"/>
      <c r="J302" s="1093" t="n"/>
      <c r="K302" s="1093" t="n"/>
      <c r="L302" s="1093" t="n"/>
      <c r="M302" s="965" t="n"/>
      <c r="N302" s="669" t="n"/>
      <c r="O302" s="669" t="n"/>
      <c r="P302" s="669" t="n"/>
      <c r="Q302" s="669" t="n"/>
      <c r="R302" s="669" t="n"/>
      <c r="S302" s="669" t="n"/>
      <c r="T302" s="669" t="n"/>
      <c r="U302" s="669" t="n"/>
      <c r="V302" s="669" t="n"/>
      <c r="W302" s="669" t="n"/>
      <c r="X302" s="669" t="n"/>
      <c r="Y302" s="669" t="n"/>
      <c r="Z302" s="669" t="n"/>
      <c r="AA302" s="669" t="n"/>
    </row>
    <row r="303">
      <c r="A303" s="1037" t="n"/>
      <c r="B303" s="1066" t="n"/>
      <c r="C303" s="1037" t="n"/>
      <c r="D303" s="1037" t="n"/>
      <c r="E303" s="1037" t="n"/>
      <c r="F303" s="669" t="n"/>
      <c r="G303" s="669" t="n"/>
      <c r="H303" s="669" t="n"/>
      <c r="I303" s="669" t="n"/>
      <c r="J303" s="669" t="n"/>
      <c r="K303" s="669" t="n"/>
      <c r="L303" s="669" t="n"/>
      <c r="M303" s="669" t="n"/>
      <c r="N303" s="669" t="n"/>
      <c r="O303" s="669" t="n"/>
      <c r="P303" s="669" t="n"/>
      <c r="Q303" s="669" t="n"/>
      <c r="R303" s="669" t="n"/>
      <c r="S303" s="669" t="n"/>
      <c r="T303" s="669" t="n"/>
      <c r="U303" s="669" t="n"/>
      <c r="V303" s="669" t="n"/>
      <c r="W303" s="669" t="n"/>
      <c r="X303" s="669" t="n"/>
      <c r="Y303" s="669" t="n"/>
      <c r="Z303" s="669" t="n"/>
      <c r="AA303" s="669" t="n"/>
    </row>
    <row r="304">
      <c r="A304" s="1037" t="n"/>
      <c r="B304" s="1066" t="n"/>
      <c r="C304" s="1037" t="n"/>
      <c r="D304" s="1037" t="n"/>
      <c r="E304" s="1037" t="n"/>
      <c r="F304" s="669" t="n"/>
      <c r="G304" s="669" t="n"/>
      <c r="H304" s="669" t="n"/>
      <c r="I304" s="669" t="n"/>
      <c r="J304" s="669" t="n"/>
      <c r="K304" s="669" t="n"/>
      <c r="L304" s="669" t="n"/>
      <c r="M304" s="669" t="n"/>
      <c r="N304" s="669" t="n"/>
      <c r="O304" s="669" t="n"/>
      <c r="P304" s="669" t="n"/>
      <c r="Q304" s="669" t="n"/>
      <c r="R304" s="669" t="n"/>
      <c r="S304" s="669" t="n"/>
      <c r="T304" s="669" t="n"/>
      <c r="U304" s="669" t="n"/>
      <c r="V304" s="669" t="n"/>
      <c r="W304" s="669" t="n"/>
      <c r="X304" s="669" t="n"/>
      <c r="Y304" s="669" t="n"/>
      <c r="Z304" s="669" t="n"/>
      <c r="AA304" s="669" t="n"/>
    </row>
    <row r="305">
      <c r="A305" s="1037" t="n"/>
      <c r="B305" s="1066" t="n"/>
      <c r="C305" s="1037" t="n"/>
      <c r="D305" s="1037" t="n"/>
      <c r="E305" s="1037" t="n"/>
      <c r="F305" s="669" t="n"/>
      <c r="G305" s="669" t="n"/>
      <c r="H305" s="669" t="n"/>
      <c r="I305" s="669" t="n"/>
      <c r="J305" s="669" t="n"/>
      <c r="K305" s="669" t="n"/>
      <c r="L305" s="669" t="n"/>
      <c r="M305" s="669" t="n"/>
      <c r="N305" s="669" t="n"/>
      <c r="O305" s="669" t="n"/>
      <c r="P305" s="669" t="n"/>
      <c r="Q305" s="669" t="n"/>
      <c r="R305" s="669" t="n"/>
      <c r="S305" s="669" t="n"/>
      <c r="T305" s="669" t="n"/>
      <c r="U305" s="669" t="n"/>
      <c r="V305" s="669" t="n"/>
      <c r="W305" s="669" t="n"/>
      <c r="X305" s="669" t="n"/>
      <c r="Y305" s="669" t="n"/>
      <c r="Z305" s="669" t="n"/>
      <c r="AA305" s="669" t="n"/>
    </row>
    <row r="306">
      <c r="A306" s="1068" t="inlineStr">
        <is>
          <t>St. Trinidad</t>
        </is>
      </c>
      <c r="B306" s="1069" t="n"/>
      <c r="C306" s="1070" t="inlineStr">
        <is>
          <t>Notes</t>
        </is>
      </c>
      <c r="D306" s="1071" t="n"/>
      <c r="E306" s="1071" t="n"/>
      <c r="F306" s="1072" t="n"/>
      <c r="G306" s="1072" t="n"/>
      <c r="H306" s="1072" t="n"/>
      <c r="I306" s="1072" t="n"/>
      <c r="J306" s="1072" t="n"/>
      <c r="K306" s="1072" t="n"/>
      <c r="L306" s="1072" t="n"/>
      <c r="M306" s="1073" t="n"/>
      <c r="N306" s="669" t="n"/>
      <c r="O306" s="669" t="n"/>
      <c r="P306" s="669" t="n"/>
      <c r="Q306" s="669" t="n"/>
      <c r="R306" s="669" t="n"/>
      <c r="S306" s="669" t="n"/>
      <c r="T306" s="669" t="n"/>
      <c r="U306" s="669" t="n"/>
      <c r="V306" s="669" t="n"/>
      <c r="W306" s="669" t="n"/>
      <c r="X306" s="669" t="n"/>
      <c r="Y306" s="669" t="n"/>
      <c r="Z306" s="669" t="n"/>
      <c r="AA306" s="669" t="n"/>
    </row>
    <row r="307">
      <c r="A307" s="1080" t="inlineStr">
        <is>
          <t>Passive</t>
        </is>
      </c>
      <c r="B307" s="1103" t="inlineStr">
        <is>
          <t>B</t>
        </is>
      </c>
      <c r="C307" s="1075" t="inlineStr">
        <is>
          <t>1st Round DMG</t>
        </is>
      </c>
      <c r="D307" s="373" t="n"/>
      <c r="E307" s="373" t="n"/>
      <c r="F307" s="237" t="n"/>
      <c r="G307" s="237" t="n"/>
      <c r="H307" s="237" t="n"/>
      <c r="I307" s="237" t="n"/>
      <c r="J307" s="237" t="n"/>
      <c r="K307" s="237" t="n"/>
      <c r="L307" s="237" t="n"/>
      <c r="M307" s="238" t="n"/>
      <c r="N307" s="669" t="n"/>
      <c r="O307" s="669" t="n"/>
      <c r="P307" s="669" t="n"/>
      <c r="Q307" s="669" t="n"/>
      <c r="R307" s="669" t="n"/>
      <c r="S307" s="669" t="n"/>
      <c r="T307" s="669" t="n"/>
      <c r="U307" s="669" t="n"/>
      <c r="V307" s="669" t="n"/>
      <c r="W307" s="669" t="n"/>
      <c r="X307" s="669" t="n"/>
      <c r="Y307" s="669" t="n"/>
      <c r="Z307" s="669" t="n"/>
      <c r="AA307" s="669" t="n"/>
    </row>
    <row r="308">
      <c r="A308" s="1080" t="inlineStr">
        <is>
          <t>Sailing</t>
        </is>
      </c>
      <c r="B308" s="1103" t="inlineStr">
        <is>
          <t>S</t>
        </is>
      </c>
      <c r="C308" s="1037" t="inlineStr">
        <is>
          <t>2nd Strongest of the 5 sailing options</t>
        </is>
      </c>
      <c r="D308" s="1037" t="n"/>
      <c r="E308" s="1037" t="n"/>
      <c r="F308" s="669" t="n"/>
      <c r="G308" s="669" t="n"/>
      <c r="H308" s="669" t="n"/>
      <c r="I308" s="669" t="n"/>
      <c r="J308" s="669" t="n"/>
      <c r="K308" s="669" t="n"/>
      <c r="L308" s="669" t="n"/>
      <c r="M308" s="1095" t="n"/>
      <c r="N308" s="669" t="n"/>
      <c r="O308" s="669" t="n"/>
      <c r="P308" s="669" t="n"/>
      <c r="Q308" s="669" t="n"/>
      <c r="R308" s="669" t="n"/>
      <c r="S308" s="669" t="n"/>
      <c r="T308" s="669" t="n"/>
      <c r="U308" s="669" t="n"/>
      <c r="V308" s="669" t="n"/>
      <c r="W308" s="669" t="n"/>
      <c r="X308" s="669" t="n"/>
      <c r="Y308" s="669" t="n"/>
      <c r="Z308" s="669" t="n"/>
      <c r="AA308" s="669" t="n"/>
    </row>
    <row r="309">
      <c r="A309" s="1080" t="inlineStr">
        <is>
          <t>Siege</t>
        </is>
      </c>
      <c r="B309" s="1103" t="inlineStr">
        <is>
          <t>B</t>
        </is>
      </c>
      <c r="C309" s="1075" t="inlineStr">
        <is>
          <t>Relatively high base talent</t>
        </is>
      </c>
      <c r="D309" s="373" t="n"/>
      <c r="E309" s="373" t="n"/>
      <c r="F309" s="237" t="n"/>
      <c r="G309" s="237" t="n"/>
      <c r="H309" s="237" t="n"/>
      <c r="I309" s="237" t="n"/>
      <c r="J309" s="237" t="n"/>
      <c r="K309" s="237" t="n"/>
      <c r="L309" s="237" t="n"/>
      <c r="M309" s="238" t="n"/>
      <c r="N309" s="669" t="n"/>
      <c r="O309" s="669" t="n"/>
      <c r="P309" s="669" t="n"/>
      <c r="Q309" s="669" t="n"/>
      <c r="R309" s="669" t="n"/>
      <c r="S309" s="669" t="n"/>
      <c r="T309" s="669" t="n"/>
      <c r="U309" s="669" t="n"/>
      <c r="V309" s="669" t="n"/>
      <c r="W309" s="669" t="n"/>
      <c r="X309" s="669" t="n"/>
      <c r="Y309" s="669" t="n"/>
      <c r="Z309" s="669" t="n"/>
      <c r="AA309" s="669" t="n"/>
    </row>
    <row r="310">
      <c r="A310" s="1080" t="inlineStr">
        <is>
          <t>Growth Speed</t>
        </is>
      </c>
      <c r="B310" s="1103" t="inlineStr">
        <is>
          <t>Medium</t>
        </is>
      </c>
      <c r="C310" s="1037" t="n"/>
      <c r="D310" s="1037" t="n"/>
      <c r="E310" s="1037" t="n"/>
      <c r="F310" s="669" t="n"/>
      <c r="G310" s="669" t="n"/>
      <c r="H310" s="669" t="n"/>
      <c r="I310" s="669" t="n"/>
      <c r="J310" s="669" t="n"/>
      <c r="K310" s="669" t="n"/>
      <c r="L310" s="669" t="n"/>
      <c r="M310" s="1095" t="n"/>
      <c r="N310" s="669" t="n"/>
      <c r="O310" s="669" t="n"/>
      <c r="P310" s="669" t="n"/>
      <c r="Q310" s="669" t="n"/>
      <c r="R310" s="669" t="n"/>
      <c r="S310" s="669" t="n"/>
      <c r="T310" s="669" t="n"/>
      <c r="U310" s="669" t="n"/>
      <c r="V310" s="669" t="n"/>
      <c r="W310" s="669" t="n"/>
      <c r="X310" s="669" t="n"/>
      <c r="Y310" s="669" t="n"/>
      <c r="Z310" s="669" t="n"/>
      <c r="AA310" s="669" t="n"/>
    </row>
    <row r="311">
      <c r="A311" s="1080" t="inlineStr">
        <is>
          <t>Leveling Priority</t>
        </is>
      </c>
      <c r="B311" s="1103" t="inlineStr">
        <is>
          <t>B</t>
        </is>
      </c>
      <c r="C311" s="1075" t="inlineStr">
        <is>
          <t>Competes with Peacekeeper for Britland material; Highest value for sailing/siege focus; Lower value for pure sailing focus; Moderate value passive</t>
        </is>
      </c>
      <c r="D311" s="373" t="n"/>
      <c r="E311" s="373" t="n"/>
      <c r="F311" s="237" t="n"/>
      <c r="G311" s="237" t="n"/>
      <c r="H311" s="237" t="n"/>
      <c r="I311" s="237" t="n"/>
      <c r="J311" s="237" t="n"/>
      <c r="K311" s="237" t="n"/>
      <c r="L311" s="237" t="n"/>
      <c r="M311" s="238" t="n"/>
      <c r="N311" s="669" t="n"/>
      <c r="O311" s="669" t="n"/>
      <c r="P311" s="669" t="n"/>
      <c r="Q311" s="669" t="n"/>
      <c r="R311" s="669" t="n"/>
      <c r="S311" s="669" t="n"/>
      <c r="T311" s="669" t="n"/>
      <c r="U311" s="669" t="n"/>
      <c r="V311" s="669" t="n"/>
      <c r="W311" s="669" t="n"/>
      <c r="X311" s="669" t="n"/>
      <c r="Y311" s="669" t="n"/>
      <c r="Z311" s="669" t="n"/>
      <c r="AA311" s="669" t="n"/>
    </row>
    <row r="312">
      <c r="A312" s="1064" t="n"/>
      <c r="B312" s="1066" t="n"/>
      <c r="C312" s="1037" t="n"/>
      <c r="D312" s="1037" t="n"/>
      <c r="E312" s="1037" t="n"/>
      <c r="F312" s="669" t="n"/>
      <c r="G312" s="669" t="n"/>
      <c r="H312" s="669" t="n"/>
      <c r="I312" s="669" t="n"/>
      <c r="J312" s="669" t="n"/>
      <c r="K312" s="669" t="n"/>
      <c r="L312" s="669" t="n"/>
      <c r="M312" s="1095" t="n"/>
      <c r="N312" s="669" t="n"/>
      <c r="O312" s="669" t="n"/>
      <c r="P312" s="669" t="n"/>
      <c r="Q312" s="669" t="n"/>
      <c r="R312" s="669" t="n"/>
      <c r="S312" s="669" t="n"/>
      <c r="T312" s="669" t="n"/>
      <c r="U312" s="669" t="n"/>
      <c r="V312" s="669" t="n"/>
      <c r="W312" s="669" t="n"/>
      <c r="X312" s="669" t="n"/>
      <c r="Y312" s="669" t="n"/>
      <c r="Z312" s="669" t="n"/>
      <c r="AA312" s="669" t="n"/>
    </row>
    <row r="313">
      <c r="A313" s="1080" t="inlineStr">
        <is>
          <t>Name</t>
        </is>
      </c>
      <c r="B313" s="1080" t="inlineStr">
        <is>
          <t>Type</t>
        </is>
      </c>
      <c r="C313" s="1080" t="inlineStr">
        <is>
          <t>Lv10 Priority</t>
        </is>
      </c>
      <c r="D313" s="1080" t="inlineStr">
        <is>
          <t>Lv20 Priority</t>
        </is>
      </c>
      <c r="E313" s="1076" t="inlineStr">
        <is>
          <t>Notes</t>
        </is>
      </c>
      <c r="F313" s="1077" t="n"/>
      <c r="G313" s="1077" t="n"/>
      <c r="H313" s="1077" t="n"/>
      <c r="I313" s="1077" t="n"/>
      <c r="J313" s="1077" t="n"/>
      <c r="K313" s="1077" t="n"/>
      <c r="L313" s="1077" t="n"/>
      <c r="M313" s="1078" t="n"/>
      <c r="N313" s="669" t="n"/>
      <c r="O313" s="669" t="n"/>
      <c r="P313" s="669" t="n"/>
      <c r="Q313" s="669" t="n"/>
      <c r="R313" s="669" t="n"/>
      <c r="S313" s="669" t="n"/>
      <c r="T313" s="669" t="n"/>
      <c r="U313" s="669" t="n"/>
      <c r="V313" s="669" t="n"/>
      <c r="W313" s="669" t="n"/>
      <c r="X313" s="669" t="n"/>
      <c r="Y313" s="669" t="n"/>
      <c r="Z313" s="669" t="n"/>
      <c r="AA313" s="669" t="n"/>
    </row>
    <row r="314">
      <c r="A314" s="1103" t="inlineStr">
        <is>
          <t>Spirit Barrier</t>
        </is>
      </c>
      <c r="B314" s="1103" t="inlineStr">
        <is>
          <t>Sailing</t>
        </is>
      </c>
      <c r="C314" s="1103" t="inlineStr">
        <is>
          <t>B</t>
        </is>
      </c>
      <c r="D314" s="1103" t="inlineStr">
        <is>
          <t>B</t>
        </is>
      </c>
      <c r="E314" s="1075" t="inlineStr">
        <is>
          <t>Fleet firepower increases by 4x listed value</t>
        </is>
      </c>
      <c r="F314" s="237" t="n"/>
      <c r="G314" s="237" t="n"/>
      <c r="H314" s="237" t="n"/>
      <c r="I314" s="237" t="n"/>
      <c r="J314" s="237" t="n"/>
      <c r="K314" s="237" t="n"/>
      <c r="L314" s="237" t="n"/>
      <c r="M314" s="238" t="n"/>
      <c r="N314" s="669" t="n"/>
      <c r="O314" s="669" t="n"/>
      <c r="P314" s="669" t="n"/>
      <c r="Q314" s="669" t="n"/>
      <c r="R314" s="669" t="n"/>
      <c r="S314" s="669" t="n"/>
      <c r="T314" s="669" t="n"/>
      <c r="U314" s="669" t="n"/>
      <c r="V314" s="669" t="n"/>
      <c r="W314" s="669" t="n"/>
      <c r="X314" s="669" t="n"/>
      <c r="Y314" s="669" t="n"/>
      <c r="Z314" s="669" t="n"/>
      <c r="AA314" s="669" t="n"/>
    </row>
    <row r="315">
      <c r="A315" s="1103" t="inlineStr">
        <is>
          <t>Sanctuary Expansion</t>
        </is>
      </c>
      <c r="B315" s="1103" t="inlineStr">
        <is>
          <t>Sailing</t>
        </is>
      </c>
      <c r="C315" s="1103" t="inlineStr">
        <is>
          <t>C</t>
        </is>
      </c>
      <c r="D315" s="1103" t="inlineStr">
        <is>
          <t>C</t>
        </is>
      </c>
      <c r="E315" s="1037" t="n"/>
      <c r="F315" s="669" t="n"/>
      <c r="G315" s="669" t="n"/>
      <c r="H315" s="669" t="n"/>
      <c r="I315" s="669" t="n"/>
      <c r="J315" s="669" t="n"/>
      <c r="K315" s="669" t="n"/>
      <c r="L315" s="669" t="n"/>
      <c r="M315" s="1095" t="n"/>
      <c r="N315" s="669" t="n"/>
      <c r="O315" s="669" t="n"/>
      <c r="P315" s="669" t="n"/>
      <c r="Q315" s="669" t="n"/>
      <c r="R315" s="669" t="n"/>
      <c r="S315" s="669" t="n"/>
      <c r="T315" s="669" t="n"/>
      <c r="U315" s="669" t="n"/>
      <c r="V315" s="669" t="n"/>
      <c r="W315" s="669" t="n"/>
      <c r="X315" s="669" t="n"/>
      <c r="Y315" s="669" t="n"/>
      <c r="Z315" s="669" t="n"/>
      <c r="AA315" s="669" t="n"/>
    </row>
    <row r="316">
      <c r="A316" s="1103" t="inlineStr">
        <is>
          <t>Holy Light Protection</t>
        </is>
      </c>
      <c r="B316" s="1103" t="inlineStr">
        <is>
          <t>Sailing</t>
        </is>
      </c>
      <c r="C316" s="1103" t="inlineStr">
        <is>
          <t>C</t>
        </is>
      </c>
      <c r="D316" s="1103" t="inlineStr">
        <is>
          <t>C</t>
        </is>
      </c>
      <c r="E316" s="1075" t="n"/>
      <c r="F316" s="237" t="n"/>
      <c r="G316" s="237" t="n"/>
      <c r="H316" s="237" t="n"/>
      <c r="I316" s="237" t="n"/>
      <c r="J316" s="237" t="n"/>
      <c r="K316" s="237" t="n"/>
      <c r="L316" s="237" t="n"/>
      <c r="M316" s="238" t="n"/>
      <c r="N316" s="669" t="n"/>
      <c r="O316" s="669" t="n"/>
      <c r="P316" s="669" t="n"/>
      <c r="Q316" s="669" t="n"/>
      <c r="R316" s="669" t="n"/>
      <c r="S316" s="669" t="n"/>
      <c r="T316" s="669" t="n"/>
      <c r="U316" s="669" t="n"/>
      <c r="V316" s="669" t="n"/>
      <c r="W316" s="669" t="n"/>
      <c r="X316" s="669" t="n"/>
      <c r="Y316" s="669" t="n"/>
      <c r="Z316" s="669" t="n"/>
      <c r="AA316" s="669" t="n"/>
    </row>
    <row r="317">
      <c r="A317" s="1103" t="inlineStr">
        <is>
          <t>Flank Reinforcement</t>
        </is>
      </c>
      <c r="B317" s="1103" t="inlineStr">
        <is>
          <t>Siege</t>
        </is>
      </c>
      <c r="C317" s="1103" t="inlineStr">
        <is>
          <t>D</t>
        </is>
      </c>
      <c r="D317" s="1103" t="inlineStr">
        <is>
          <t>S</t>
        </is>
      </c>
      <c r="E317" s="1075" t="inlineStr">
        <is>
          <t>Significantly better performance than dragon on the final anecdote; Only required lv18 to win</t>
        </is>
      </c>
      <c r="F317" s="237" t="n"/>
      <c r="G317" s="237" t="n"/>
      <c r="H317" s="237" t="n"/>
      <c r="I317" s="237" t="n"/>
      <c r="J317" s="237" t="n"/>
      <c r="K317" s="237" t="n"/>
      <c r="L317" s="237" t="n"/>
      <c r="M317" s="238" t="n"/>
      <c r="N317" s="669" t="n"/>
      <c r="O317" s="669" t="n"/>
      <c r="P317" s="669" t="n"/>
      <c r="Q317" s="669" t="n"/>
      <c r="R317" s="669" t="n"/>
      <c r="S317" s="669" t="n"/>
      <c r="T317" s="669" t="n"/>
      <c r="U317" s="669" t="n"/>
      <c r="V317" s="669" t="n"/>
      <c r="W317" s="669" t="n"/>
      <c r="X317" s="669" t="n"/>
      <c r="Y317" s="669" t="n"/>
      <c r="Z317" s="669" t="n"/>
      <c r="AA317" s="669" t="n"/>
    </row>
    <row r="318">
      <c r="A318" s="1103" t="inlineStr">
        <is>
          <t>Trinity</t>
        </is>
      </c>
      <c r="B318" s="1103" t="inlineStr">
        <is>
          <t>Siege</t>
        </is>
      </c>
      <c r="C318" s="1103" t="inlineStr">
        <is>
          <t>D</t>
        </is>
      </c>
      <c r="D318" s="1103" t="inlineStr">
        <is>
          <t>D/C</t>
        </is>
      </c>
      <c r="E318" s="1079" t="inlineStr">
        <is>
          <t>Lower overall benefit than Flank Reinforcement; Only required lv10 to win final anecdote</t>
        </is>
      </c>
      <c r="F318" s="1093" t="n"/>
      <c r="G318" s="1093" t="n"/>
      <c r="H318" s="1093" t="n"/>
      <c r="I318" s="1093" t="n"/>
      <c r="J318" s="1093" t="n"/>
      <c r="K318" s="1093" t="n"/>
      <c r="L318" s="1093" t="n"/>
      <c r="M318" s="965" t="n"/>
      <c r="N318" s="669" t="n"/>
      <c r="O318" s="669" t="n"/>
      <c r="P318" s="669" t="n"/>
      <c r="Q318" s="669" t="n"/>
      <c r="R318" s="669" t="n"/>
      <c r="S318" s="669" t="n"/>
      <c r="T318" s="669" t="n"/>
      <c r="U318" s="669" t="n"/>
      <c r="V318" s="669" t="n"/>
      <c r="W318" s="669" t="n"/>
      <c r="X318" s="669" t="n"/>
      <c r="Y318" s="669" t="n"/>
      <c r="Z318" s="669" t="n"/>
      <c r="AA318" s="669" t="n"/>
    </row>
    <row r="319">
      <c r="A319" s="1037" t="n"/>
      <c r="B319" s="1066" t="n"/>
      <c r="C319" s="1037" t="n"/>
      <c r="D319" s="1037" t="n"/>
      <c r="E319" s="1037" t="n"/>
      <c r="F319" s="669" t="n"/>
      <c r="G319" s="669" t="n"/>
      <c r="H319" s="669" t="n"/>
      <c r="I319" s="669" t="n"/>
      <c r="J319" s="669" t="n"/>
      <c r="K319" s="669" t="n"/>
      <c r="L319" s="669" t="n"/>
      <c r="M319" s="669" t="n"/>
      <c r="N319" s="669" t="n"/>
      <c r="O319" s="669" t="n"/>
      <c r="P319" s="669" t="n"/>
      <c r="Q319" s="669" t="n"/>
      <c r="R319" s="669" t="n"/>
      <c r="S319" s="669" t="n"/>
      <c r="T319" s="669" t="n"/>
      <c r="U319" s="669" t="n"/>
      <c r="V319" s="669" t="n"/>
      <c r="W319" s="669" t="n"/>
      <c r="X319" s="669" t="n"/>
      <c r="Y319" s="669" t="n"/>
      <c r="Z319" s="669" t="n"/>
      <c r="AA319" s="669" t="n"/>
    </row>
    <row r="320">
      <c r="A320" s="1037" t="n"/>
      <c r="B320" s="1066" t="n"/>
      <c r="C320" s="1037" t="n"/>
      <c r="D320" s="1037" t="n"/>
      <c r="E320" s="1037" t="n"/>
      <c r="F320" s="669" t="n"/>
      <c r="G320" s="669" t="n"/>
      <c r="H320" s="669" t="n"/>
      <c r="I320" s="669" t="n"/>
      <c r="J320" s="669" t="n"/>
      <c r="K320" s="669" t="n"/>
      <c r="L320" s="669" t="n"/>
      <c r="M320" s="669" t="n"/>
      <c r="N320" s="669" t="n"/>
      <c r="O320" s="669" t="n"/>
      <c r="P320" s="669" t="n"/>
      <c r="Q320" s="669" t="n"/>
      <c r="R320" s="669" t="n"/>
      <c r="S320" s="669" t="n"/>
      <c r="T320" s="669" t="n"/>
      <c r="U320" s="669" t="n"/>
      <c r="V320" s="669" t="n"/>
      <c r="W320" s="669" t="n"/>
      <c r="X320" s="669" t="n"/>
      <c r="Y320" s="669" t="n"/>
      <c r="Z320" s="669" t="n"/>
      <c r="AA320" s="669" t="n"/>
    </row>
    <row r="321">
      <c r="A321" s="1037" t="n"/>
      <c r="B321" s="1066" t="n"/>
      <c r="C321" s="1037" t="n"/>
      <c r="D321" s="1037" t="n"/>
      <c r="E321" s="1037" t="n"/>
      <c r="F321" s="669" t="n"/>
      <c r="G321" s="669" t="n"/>
      <c r="H321" s="669" t="n"/>
      <c r="I321" s="669" t="n"/>
      <c r="J321" s="669" t="n"/>
      <c r="K321" s="669" t="n"/>
      <c r="L321" s="669" t="n"/>
      <c r="M321" s="669" t="n"/>
      <c r="N321" s="669" t="n"/>
      <c r="O321" s="669" t="n"/>
      <c r="P321" s="669" t="n"/>
      <c r="Q321" s="669" t="n"/>
      <c r="R321" s="669" t="n"/>
      <c r="S321" s="669" t="n"/>
      <c r="T321" s="669" t="n"/>
      <c r="U321" s="669" t="n"/>
      <c r="V321" s="669" t="n"/>
      <c r="W321" s="669" t="n"/>
      <c r="X321" s="669" t="n"/>
      <c r="Y321" s="669" t="n"/>
      <c r="Z321" s="669" t="n"/>
      <c r="AA321" s="669" t="n"/>
    </row>
    <row r="322">
      <c r="A322" s="1068" t="inlineStr">
        <is>
          <t>Soleil Royal</t>
        </is>
      </c>
      <c r="B322" s="1069" t="n"/>
      <c r="C322" s="1070" t="inlineStr">
        <is>
          <t>Notes</t>
        </is>
      </c>
      <c r="D322" s="1071" t="n"/>
      <c r="E322" s="1071" t="n"/>
      <c r="F322" s="1072" t="n"/>
      <c r="G322" s="1072" t="n"/>
      <c r="H322" s="1072" t="n"/>
      <c r="I322" s="1072" t="n"/>
      <c r="J322" s="1072" t="n"/>
      <c r="K322" s="1072" t="n"/>
      <c r="L322" s="1072" t="n"/>
      <c r="M322" s="1073" t="n"/>
      <c r="N322" s="669" t="n"/>
      <c r="O322" s="669" t="n"/>
      <c r="P322" s="669" t="n"/>
      <c r="Q322" s="669" t="n"/>
      <c r="R322" s="669" t="n"/>
      <c r="S322" s="669" t="n"/>
      <c r="T322" s="669" t="n"/>
      <c r="U322" s="669" t="n"/>
      <c r="V322" s="669" t="n"/>
      <c r="W322" s="669" t="n"/>
      <c r="X322" s="669" t="n"/>
      <c r="Y322" s="669" t="n"/>
      <c r="Z322" s="669" t="n"/>
      <c r="AA322" s="669" t="n"/>
    </row>
    <row r="323">
      <c r="A323" s="1080" t="inlineStr">
        <is>
          <t>Passive</t>
        </is>
      </c>
      <c r="B323" s="1103" t="inlineStr">
        <is>
          <t>B</t>
        </is>
      </c>
      <c r="C323" s="1075" t="inlineStr">
        <is>
          <t>1st Round DMG</t>
        </is>
      </c>
      <c r="D323" s="373" t="n"/>
      <c r="E323" s="373" t="n"/>
      <c r="F323" s="237" t="n"/>
      <c r="G323" s="237" t="n"/>
      <c r="H323" s="237" t="n"/>
      <c r="I323" s="237" t="n"/>
      <c r="J323" s="237" t="n"/>
      <c r="K323" s="237" t="n"/>
      <c r="L323" s="237" t="n"/>
      <c r="M323" s="238" t="n"/>
      <c r="N323" s="669" t="n"/>
      <c r="O323" s="669" t="n"/>
      <c r="P323" s="669" t="n"/>
      <c r="Q323" s="669" t="n"/>
      <c r="R323" s="669" t="n"/>
      <c r="S323" s="669" t="n"/>
      <c r="T323" s="669" t="n"/>
      <c r="U323" s="669" t="n"/>
      <c r="V323" s="669" t="n"/>
      <c r="W323" s="669" t="n"/>
      <c r="X323" s="669" t="n"/>
      <c r="Y323" s="669" t="n"/>
      <c r="Z323" s="669" t="n"/>
      <c r="AA323" s="669" t="n"/>
    </row>
    <row r="324">
      <c r="A324" s="1080" t="inlineStr">
        <is>
          <t>Sailing</t>
        </is>
      </c>
      <c r="B324" s="1103" t="inlineStr">
        <is>
          <t>S</t>
        </is>
      </c>
      <c r="C324" s="1037" t="inlineStr">
        <is>
          <t>Part of Trinidad/Soleil/Tridentman/Peacekeeper composition</t>
        </is>
      </c>
      <c r="D324" s="1037" t="n"/>
      <c r="E324" s="1037" t="n"/>
      <c r="F324" s="669" t="n"/>
      <c r="G324" s="669" t="n"/>
      <c r="H324" s="669" t="n"/>
      <c r="I324" s="669" t="n"/>
      <c r="J324" s="669" t="n"/>
      <c r="K324" s="669" t="n"/>
      <c r="L324" s="669" t="n"/>
      <c r="M324" s="1095" t="n"/>
      <c r="N324" s="669" t="n"/>
      <c r="O324" s="669" t="n"/>
      <c r="P324" s="669" t="n"/>
      <c r="Q324" s="669" t="n"/>
      <c r="R324" s="669" t="n"/>
      <c r="S324" s="669" t="n"/>
      <c r="T324" s="669" t="n"/>
      <c r="U324" s="669" t="n"/>
      <c r="V324" s="669" t="n"/>
      <c r="W324" s="669" t="n"/>
      <c r="X324" s="669" t="n"/>
      <c r="Y324" s="669" t="n"/>
      <c r="Z324" s="669" t="n"/>
      <c r="AA324" s="669" t="n"/>
    </row>
    <row r="325">
      <c r="A325" s="1080" t="inlineStr">
        <is>
          <t>Siege</t>
        </is>
      </c>
      <c r="B325" s="1103" t="inlineStr">
        <is>
          <t>B</t>
        </is>
      </c>
      <c r="C325" s="1075" t="inlineStr">
        <is>
          <t>Relatively high base talent</t>
        </is>
      </c>
      <c r="D325" s="373" t="n"/>
      <c r="E325" s="373" t="n"/>
      <c r="F325" s="237" t="n"/>
      <c r="G325" s="237" t="n"/>
      <c r="H325" s="237" t="n"/>
      <c r="I325" s="237" t="n"/>
      <c r="J325" s="237" t="n"/>
      <c r="K325" s="237" t="n"/>
      <c r="L325" s="237" t="n"/>
      <c r="M325" s="238" t="n"/>
      <c r="N325" s="669" t="n"/>
      <c r="O325" s="669" t="n"/>
      <c r="P325" s="669" t="n"/>
      <c r="Q325" s="669" t="n"/>
      <c r="R325" s="669" t="n"/>
      <c r="S325" s="669" t="n"/>
      <c r="T325" s="669" t="n"/>
      <c r="U325" s="669" t="n"/>
      <c r="V325" s="669" t="n"/>
      <c r="W325" s="669" t="n"/>
      <c r="X325" s="669" t="n"/>
      <c r="Y325" s="669" t="n"/>
      <c r="Z325" s="669" t="n"/>
      <c r="AA325" s="669" t="n"/>
    </row>
    <row r="326">
      <c r="A326" s="1080" t="inlineStr">
        <is>
          <t>Growth Speed</t>
        </is>
      </c>
      <c r="B326" s="1103" t="inlineStr">
        <is>
          <t>Medium</t>
        </is>
      </c>
      <c r="C326" s="1037" t="n"/>
      <c r="D326" s="1037" t="n"/>
      <c r="E326" s="1037" t="n"/>
      <c r="F326" s="669" t="n"/>
      <c r="G326" s="669" t="n"/>
      <c r="H326" s="669" t="n"/>
      <c r="I326" s="669" t="n"/>
      <c r="J326" s="669" t="n"/>
      <c r="K326" s="669" t="n"/>
      <c r="L326" s="669" t="n"/>
      <c r="M326" s="1095" t="n"/>
      <c r="N326" s="669" t="n"/>
      <c r="O326" s="669" t="n"/>
      <c r="P326" s="669" t="n"/>
      <c r="Q326" s="669" t="n"/>
      <c r="R326" s="669" t="n"/>
      <c r="S326" s="669" t="n"/>
      <c r="T326" s="669" t="n"/>
      <c r="U326" s="669" t="n"/>
      <c r="V326" s="669" t="n"/>
      <c r="W326" s="669" t="n"/>
      <c r="X326" s="669" t="n"/>
      <c r="Y326" s="669" t="n"/>
      <c r="Z326" s="669" t="n"/>
      <c r="AA326" s="669" t="n"/>
    </row>
    <row r="327">
      <c r="A327" s="1080" t="inlineStr">
        <is>
          <t>Leveling Priority</t>
        </is>
      </c>
      <c r="B327" s="1103" t="inlineStr">
        <is>
          <t>B</t>
        </is>
      </c>
      <c r="C327" s="1075" t="inlineStr">
        <is>
          <t>Competes with Peacekeeper for Britland material; Highest value for sailing/siege focus; Lower value for pure sailing focus; Moderate value passive</t>
        </is>
      </c>
      <c r="D327" s="373" t="n"/>
      <c r="E327" s="373" t="n"/>
      <c r="F327" s="237" t="n"/>
      <c r="G327" s="237" t="n"/>
      <c r="H327" s="237" t="n"/>
      <c r="I327" s="237" t="n"/>
      <c r="J327" s="237" t="n"/>
      <c r="K327" s="237" t="n"/>
      <c r="L327" s="237" t="n"/>
      <c r="M327" s="238" t="n"/>
      <c r="N327" s="669" t="n"/>
      <c r="O327" s="669" t="n"/>
      <c r="P327" s="669" t="n"/>
      <c r="Q327" s="669" t="n"/>
      <c r="R327" s="669" t="n"/>
      <c r="S327" s="669" t="n"/>
      <c r="T327" s="669" t="n"/>
      <c r="U327" s="669" t="n"/>
      <c r="V327" s="669" t="n"/>
      <c r="W327" s="669" t="n"/>
      <c r="X327" s="669" t="n"/>
      <c r="Y327" s="669" t="n"/>
      <c r="Z327" s="669" t="n"/>
      <c r="AA327" s="669" t="n"/>
    </row>
    <row r="328">
      <c r="A328" s="1064" t="n"/>
      <c r="B328" s="1066" t="n"/>
      <c r="C328" s="1037" t="n"/>
      <c r="D328" s="1037" t="n"/>
      <c r="E328" s="1037" t="n"/>
      <c r="F328" s="669" t="n"/>
      <c r="G328" s="669" t="n"/>
      <c r="H328" s="669" t="n"/>
      <c r="I328" s="669" t="n"/>
      <c r="J328" s="669" t="n"/>
      <c r="K328" s="669" t="n"/>
      <c r="L328" s="669" t="n"/>
      <c r="M328" s="1095" t="n"/>
      <c r="N328" s="669" t="n"/>
      <c r="O328" s="669" t="n"/>
      <c r="P328" s="669" t="n"/>
      <c r="Q328" s="669" t="n"/>
      <c r="R328" s="669" t="n"/>
      <c r="S328" s="669" t="n"/>
      <c r="T328" s="669" t="n"/>
      <c r="U328" s="669" t="n"/>
      <c r="V328" s="669" t="n"/>
      <c r="W328" s="669" t="n"/>
      <c r="X328" s="669" t="n"/>
      <c r="Y328" s="669" t="n"/>
      <c r="Z328" s="669" t="n"/>
      <c r="AA328" s="669" t="n"/>
    </row>
    <row r="329">
      <c r="A329" s="1080" t="inlineStr">
        <is>
          <t>Name</t>
        </is>
      </c>
      <c r="B329" s="1080" t="inlineStr">
        <is>
          <t>Type</t>
        </is>
      </c>
      <c r="C329" s="1080" t="inlineStr">
        <is>
          <t>Lv10 Priority</t>
        </is>
      </c>
      <c r="D329" s="1080" t="inlineStr">
        <is>
          <t>Lv20 Priority</t>
        </is>
      </c>
      <c r="E329" s="1076" t="inlineStr">
        <is>
          <t>Notes</t>
        </is>
      </c>
      <c r="F329" s="1077" t="n"/>
      <c r="G329" s="1077" t="n"/>
      <c r="H329" s="1077" t="n"/>
      <c r="I329" s="1077" t="n"/>
      <c r="J329" s="1077" t="n"/>
      <c r="K329" s="1077" t="n"/>
      <c r="L329" s="1077" t="n"/>
      <c r="M329" s="1078" t="n"/>
      <c r="N329" s="669" t="n"/>
      <c r="O329" s="669" t="n"/>
      <c r="P329" s="669" t="n"/>
      <c r="Q329" s="669" t="n"/>
      <c r="R329" s="669" t="n"/>
      <c r="S329" s="669" t="n"/>
      <c r="T329" s="669" t="n"/>
      <c r="U329" s="669" t="n"/>
      <c r="V329" s="669" t="n"/>
      <c r="W329" s="669" t="n"/>
      <c r="X329" s="669" t="n"/>
      <c r="Y329" s="669" t="n"/>
      <c r="Z329" s="669" t="n"/>
      <c r="AA329" s="669" t="n"/>
    </row>
    <row r="330">
      <c r="A330" s="1103" t="inlineStr">
        <is>
          <t>Tactical Command</t>
        </is>
      </c>
      <c r="B330" s="1103" t="inlineStr">
        <is>
          <t>Sailing</t>
        </is>
      </c>
      <c r="C330" s="1103" t="inlineStr">
        <is>
          <t>C</t>
        </is>
      </c>
      <c r="D330" s="1103" t="inlineStr">
        <is>
          <t>C</t>
        </is>
      </c>
      <c r="E330" s="1075" t="n"/>
      <c r="F330" s="237" t="n"/>
      <c r="G330" s="237" t="n"/>
      <c r="H330" s="237" t="n"/>
      <c r="I330" s="237" t="n"/>
      <c r="J330" s="237" t="n"/>
      <c r="K330" s="237" t="n"/>
      <c r="L330" s="237" t="n"/>
      <c r="M330" s="238" t="n"/>
      <c r="N330" s="669" t="n"/>
      <c r="O330" s="669" t="n"/>
      <c r="P330" s="669" t="n"/>
      <c r="Q330" s="669" t="n"/>
      <c r="R330" s="669" t="n"/>
      <c r="S330" s="669" t="n"/>
      <c r="T330" s="669" t="n"/>
      <c r="U330" s="669" t="n"/>
      <c r="V330" s="669" t="n"/>
      <c r="W330" s="669" t="n"/>
      <c r="X330" s="669" t="n"/>
      <c r="Y330" s="669" t="n"/>
      <c r="Z330" s="669" t="n"/>
      <c r="AA330" s="669" t="n"/>
    </row>
    <row r="331">
      <c r="A331" s="1103" t="inlineStr">
        <is>
          <t>Command of the Sea</t>
        </is>
      </c>
      <c r="B331" s="1103" t="inlineStr">
        <is>
          <t>Sailing</t>
        </is>
      </c>
      <c r="C331" s="1103" t="inlineStr">
        <is>
          <t>S</t>
        </is>
      </c>
      <c r="D331" s="1103" t="inlineStr">
        <is>
          <t>S</t>
        </is>
      </c>
      <c r="E331" s="1037" t="inlineStr">
        <is>
          <t>Highest value sailing bonus</t>
        </is>
      </c>
      <c r="F331" s="669" t="n"/>
      <c r="G331" s="669" t="n"/>
      <c r="H331" s="669" t="n"/>
      <c r="I331" s="669" t="n"/>
      <c r="J331" s="669" t="n"/>
      <c r="K331" s="669" t="n"/>
      <c r="L331" s="669" t="n"/>
      <c r="M331" s="1095" t="n"/>
      <c r="N331" s="669" t="n"/>
      <c r="O331" s="669" t="n"/>
      <c r="P331" s="669" t="n"/>
      <c r="Q331" s="669" t="n"/>
      <c r="R331" s="669" t="n"/>
      <c r="S331" s="669" t="n"/>
      <c r="T331" s="669" t="n"/>
      <c r="U331" s="669" t="n"/>
      <c r="V331" s="669" t="n"/>
      <c r="W331" s="669" t="n"/>
      <c r="X331" s="669" t="n"/>
      <c r="Y331" s="669" t="n"/>
      <c r="Z331" s="669" t="n"/>
      <c r="AA331" s="669" t="n"/>
    </row>
    <row r="332">
      <c r="A332" s="1103" t="inlineStr">
        <is>
          <t>Preemptive Attack</t>
        </is>
      </c>
      <c r="B332" s="1103" t="inlineStr">
        <is>
          <t>Sailing</t>
        </is>
      </c>
      <c r="C332" s="1103" t="inlineStr">
        <is>
          <t>B</t>
        </is>
      </c>
      <c r="D332" s="1103" t="inlineStr">
        <is>
          <t>B</t>
        </is>
      </c>
      <c r="E332" s="1075" t="n"/>
      <c r="F332" s="237" t="n"/>
      <c r="G332" s="237" t="n"/>
      <c r="H332" s="237" t="n"/>
      <c r="I332" s="237" t="n"/>
      <c r="J332" s="237" t="n"/>
      <c r="K332" s="237" t="n"/>
      <c r="L332" s="237" t="n"/>
      <c r="M332" s="238" t="n"/>
      <c r="N332" s="669" t="n"/>
      <c r="O332" s="669" t="n"/>
      <c r="P332" s="669" t="n"/>
      <c r="Q332" s="669" t="n"/>
      <c r="R332" s="669" t="n"/>
      <c r="S332" s="669" t="n"/>
      <c r="T332" s="669" t="n"/>
      <c r="U332" s="669" t="n"/>
      <c r="V332" s="669" t="n"/>
      <c r="W332" s="669" t="n"/>
      <c r="X332" s="669" t="n"/>
      <c r="Y332" s="669" t="n"/>
      <c r="Z332" s="669" t="n"/>
      <c r="AA332" s="669" t="n"/>
    </row>
    <row r="333">
      <c r="A333" s="1103" t="inlineStr">
        <is>
          <t>Trap Master</t>
        </is>
      </c>
      <c r="B333" s="1103" t="inlineStr">
        <is>
          <t>Siege</t>
        </is>
      </c>
      <c r="C333" s="1103" t="inlineStr">
        <is>
          <t>F</t>
        </is>
      </c>
      <c r="D333" s="1103" t="inlineStr">
        <is>
          <t>F</t>
        </is>
      </c>
      <c r="E333" s="1075" t="inlineStr">
        <is>
          <t>Ring Formation is not recommended</t>
        </is>
      </c>
      <c r="F333" s="237" t="n"/>
      <c r="G333" s="237" t="n"/>
      <c r="H333" s="237" t="n"/>
      <c r="I333" s="237" t="n"/>
      <c r="J333" s="237" t="n"/>
      <c r="K333" s="237" t="n"/>
      <c r="L333" s="237" t="n"/>
      <c r="M333" s="238" t="n"/>
      <c r="N333" s="669" t="n"/>
      <c r="O333" s="669" t="n"/>
      <c r="P333" s="669" t="n"/>
      <c r="Q333" s="669" t="n"/>
      <c r="R333" s="669" t="n"/>
      <c r="S333" s="669" t="n"/>
      <c r="T333" s="669" t="n"/>
      <c r="U333" s="669" t="n"/>
      <c r="V333" s="669" t="n"/>
      <c r="W333" s="669" t="n"/>
      <c r="X333" s="669" t="n"/>
      <c r="Y333" s="669" t="n"/>
      <c r="Z333" s="669" t="n"/>
      <c r="AA333" s="669" t="n"/>
    </row>
    <row r="334">
      <c r="A334" s="1103" t="inlineStr">
        <is>
          <t>Will of France</t>
        </is>
      </c>
      <c r="B334" s="1103" t="inlineStr">
        <is>
          <t>Siege</t>
        </is>
      </c>
      <c r="C334" s="1103" t="inlineStr">
        <is>
          <t>B</t>
        </is>
      </c>
      <c r="D334" s="1103" t="inlineStr">
        <is>
          <t>B</t>
        </is>
      </c>
      <c r="E334" s="1079" t="inlineStr">
        <is>
          <t>Affects all drifters</t>
        </is>
      </c>
      <c r="F334" s="1093" t="n"/>
      <c r="G334" s="1093" t="n"/>
      <c r="H334" s="1093" t="n"/>
      <c r="I334" s="1093" t="n"/>
      <c r="J334" s="1093" t="n"/>
      <c r="K334" s="1093" t="n"/>
      <c r="L334" s="1093" t="n"/>
      <c r="M334" s="965" t="n"/>
      <c r="N334" s="669" t="n"/>
      <c r="O334" s="669" t="n"/>
      <c r="P334" s="669" t="n"/>
      <c r="Q334" s="669" t="n"/>
      <c r="R334" s="669" t="n"/>
      <c r="S334" s="669" t="n"/>
      <c r="T334" s="669" t="n"/>
      <c r="U334" s="669" t="n"/>
      <c r="V334" s="669" t="n"/>
      <c r="W334" s="669" t="n"/>
      <c r="X334" s="669" t="n"/>
      <c r="Y334" s="669" t="n"/>
      <c r="Z334" s="669" t="n"/>
      <c r="AA334" s="669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dataValidations count="3">
    <dataValidation sqref="B2:B4 B6 B18:B20 B22 B34:B36 B38 B50:B52 B54 B66:B68 B70 B82:B84 B86 B98:B100 B102 B114:B116 B118 B130:B132 B134 B146:B148 B150 B162:B164 B166 B178:B180 B182 B194:B196 B198 B210:B212 B214 B226:B228 B242:B244 B246 B258:B261 B263 B275:B277 B279 B291:B293 B295 B307:B309 B311 B323:B325 B327 C9:D13 C25:D29 C41:D45 C57:D61 C73:D77 C89:D93 C105:D109 C121:D125 C137:D141 C153:D157 C169:D173 C185:D189 C201:D205 C217:D221 C233:D237 C249:D253 C266:D270 C282:D286 C298:D302 C314:D318 C330:D334" showDropDown="0" showInputMessage="0" showErrorMessage="1" allowBlank="1" type="list">
      <formula1>"S,A,B/A,B,C/B,C,D/B,D/C,D,F,TBD,Variable"</formula1>
    </dataValidation>
    <dataValidation sqref="B5 B21 B37 B53 B69 B85 B101 B117 B133 B149 B165 B181 B197 B213 B229 B245 B262 B278 B294 B310 B326" showDropDown="1" showInputMessage="0" showErrorMessage="1" allowBlank="1" type="list">
      <formula1>"High,Medium,Low"</formula1>
    </dataValidation>
    <dataValidation sqref="B9:B13 B25:B29 B41:B45 B57:B61 B73:B77 B89:B93 B105:B109 B121:B125 B137:B141 B153:B157 B169:B173 B185:B189 B201:B205 B217:B221 B233:B237 B249:B253 B266:B270 B282:B286 B298:B302 B314:B318 B330:B334" showDropDown="1" showInputMessage="0" showErrorMessage="1" allowBlank="1" type="list">
      <formula1>"Dance,Riding,Sailing,Ninjutsu,Defense,Dharma,Band,Siege"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AB1043"/>
  <sheetViews>
    <sheetView workbookViewId="0">
      <selection activeCell="A1" sqref="A1"/>
    </sheetView>
  </sheetViews>
  <sheetFormatPr baseColWidth="8" defaultColWidth="9.18" defaultRowHeight="15" customHeight="1"/>
  <cols>
    <col width="14" customWidth="1" style="1128" min="1" max="1"/>
    <col width="14.55" customWidth="1" style="1128" min="2" max="2"/>
    <col width="9.27" customWidth="1" style="1128" min="3" max="3"/>
    <col width="6.82" customWidth="1" style="1128" min="4" max="4"/>
    <col width="6.73" customWidth="1" style="1128" min="5" max="5"/>
    <col width="9.359999999999999" customWidth="1" style="1128" min="6" max="6"/>
  </cols>
  <sheetData>
    <row r="1">
      <c r="A1" s="669" t="n"/>
      <c r="B1" s="669" t="n"/>
      <c r="C1" s="669" t="n"/>
      <c r="D1" s="669" t="n"/>
      <c r="E1" s="669" t="n"/>
      <c r="F1" s="669" t="n"/>
      <c r="G1" s="669" t="n"/>
      <c r="H1" s="669" t="n"/>
      <c r="I1" s="669" t="n"/>
      <c r="J1" s="669" t="n"/>
      <c r="K1" s="669" t="n"/>
      <c r="L1" s="669" t="n"/>
      <c r="M1" s="669" t="n"/>
      <c r="N1" s="669" t="n"/>
      <c r="O1" s="669" t="n"/>
      <c r="P1" s="669" t="n"/>
      <c r="Q1" s="669" t="n"/>
      <c r="R1" s="669" t="n"/>
      <c r="S1" s="669" t="n"/>
      <c r="T1" s="669" t="n"/>
      <c r="U1" s="669" t="n"/>
      <c r="V1" s="669" t="n"/>
      <c r="W1" s="669" t="n"/>
      <c r="X1" s="669" t="n"/>
      <c r="Y1" s="669" t="n"/>
      <c r="Z1" s="669" t="n"/>
      <c r="AA1" s="669" t="n"/>
      <c r="AB1" s="669" t="n"/>
    </row>
    <row r="2">
      <c r="A2" s="1081" t="inlineStr">
        <is>
          <t>Priest</t>
        </is>
      </c>
      <c r="B2" s="237" t="n"/>
      <c r="C2" s="237" t="n"/>
      <c r="D2" s="237" t="n"/>
      <c r="E2" s="237" t="n"/>
      <c r="F2" s="237" t="n"/>
      <c r="G2" s="238" t="n"/>
      <c r="H2" s="669" t="n"/>
      <c r="J2" s="1082" t="inlineStr">
        <is>
          <t>Primary Priest Breakpoints</t>
        </is>
      </c>
      <c r="K2" s="1083" t="n"/>
      <c r="L2" s="1077" t="n"/>
      <c r="M2" s="1077" t="n"/>
      <c r="N2" s="1078" t="n"/>
      <c r="O2" s="669" t="n"/>
      <c r="P2" s="669" t="n"/>
      <c r="Q2" s="669" t="n"/>
      <c r="R2" s="669" t="n"/>
      <c r="S2" s="669" t="n"/>
      <c r="T2" s="669" t="n"/>
      <c r="U2" s="669" t="n"/>
      <c r="V2" s="669" t="n"/>
      <c r="W2" s="669" t="n"/>
      <c r="X2" s="669" t="n"/>
      <c r="Y2" s="669" t="n"/>
      <c r="Z2" s="669" t="n"/>
      <c r="AA2" s="669" t="n"/>
    </row>
    <row r="3">
      <c r="A3" s="1084" t="inlineStr">
        <is>
          <t>Sanctum</t>
        </is>
      </c>
      <c r="B3" s="1067" t="inlineStr">
        <is>
          <t>Prairie</t>
        </is>
      </c>
      <c r="G3" s="1095" t="n"/>
      <c r="H3" s="669" t="n"/>
      <c r="J3" s="1085" t="n"/>
      <c r="K3" s="1086" t="n"/>
      <c r="L3" s="1086" t="n"/>
      <c r="M3" s="1086" t="n"/>
      <c r="N3" s="1087" t="n"/>
      <c r="O3" s="669" t="n"/>
      <c r="P3" s="669" t="n"/>
      <c r="Q3" s="669" t="n"/>
      <c r="R3" s="669" t="n"/>
      <c r="S3" s="669" t="n"/>
      <c r="T3" s="669" t="n"/>
      <c r="U3" s="669" t="n"/>
      <c r="V3" s="669" t="n"/>
      <c r="W3" s="669" t="n"/>
      <c r="X3" s="669" t="n"/>
      <c r="Y3" s="669" t="n"/>
      <c r="Z3" s="669" t="n"/>
      <c r="AA3" s="669" t="n"/>
    </row>
    <row r="4">
      <c r="A4" s="1084" t="inlineStr">
        <is>
          <t>Protolith</t>
        </is>
      </c>
      <c r="B4" s="1023" t="n">
        <v>3080000</v>
      </c>
      <c r="C4" s="669" t="n"/>
      <c r="D4" s="669" t="n"/>
      <c r="E4" s="669" t="n"/>
      <c r="F4" s="669" t="n"/>
      <c r="G4" s="1095" t="n"/>
      <c r="H4" s="669" t="n"/>
      <c r="J4" s="853" t="inlineStr">
        <is>
          <t>3* SS vs. 5* Purple</t>
        </is>
      </c>
      <c r="K4" s="1089" t="n"/>
      <c r="L4" s="1089" t="n"/>
      <c r="M4" s="1089" t="inlineStr">
        <is>
          <t>4* SS vs. 5* Purple</t>
        </is>
      </c>
      <c r="N4" s="1090" t="n"/>
      <c r="O4" s="669" t="n"/>
      <c r="P4" s="669" t="n"/>
      <c r="Q4" s="669" t="n"/>
      <c r="R4" s="669" t="n"/>
      <c r="S4" s="669" t="n"/>
      <c r="T4" s="669" t="n"/>
      <c r="U4" s="669" t="n"/>
      <c r="V4" s="669" t="n"/>
      <c r="W4" s="669" t="n"/>
      <c r="X4" s="669" t="n"/>
      <c r="Y4" s="669" t="n"/>
      <c r="Z4" s="669" t="n"/>
      <c r="AA4" s="669" t="n"/>
    </row>
    <row r="5">
      <c r="A5" s="1091" t="n"/>
      <c r="B5" s="669" t="n"/>
      <c r="C5" s="669" t="n"/>
      <c r="D5" s="669" t="n"/>
      <c r="E5" s="669" t="n"/>
      <c r="F5" s="669" t="n"/>
      <c r="G5" s="1095" t="n"/>
      <c r="H5" s="669" t="n"/>
      <c r="J5" s="1092" t="inlineStr">
        <is>
          <t>SS wins for purple in [33, 104]</t>
        </is>
      </c>
      <c r="K5" s="1093" t="n"/>
      <c r="L5" s="1093" t="n"/>
      <c r="M5" s="1093" t="inlineStr">
        <is>
          <t>SS wins for purple &gt; lvl 23</t>
        </is>
      </c>
      <c r="N5" s="965" t="n"/>
      <c r="P5" s="669" t="n"/>
      <c r="Q5" s="669" t="n"/>
      <c r="R5" s="669" t="n"/>
      <c r="S5" s="669" t="n"/>
      <c r="T5" s="669" t="n"/>
      <c r="U5" s="669" t="n"/>
      <c r="V5" s="669" t="n"/>
      <c r="W5" s="669" t="n"/>
      <c r="X5" s="669" t="n"/>
      <c r="Y5" s="669" t="n"/>
      <c r="Z5" s="669" t="n"/>
      <c r="AA5" s="669" t="n"/>
    </row>
    <row r="6">
      <c r="A6" s="1094" t="inlineStr">
        <is>
          <t>Option 1</t>
        </is>
      </c>
      <c r="B6" s="1067" t="inlineStr">
        <is>
          <t>Pegasus (SSS)</t>
        </is>
      </c>
      <c r="C6" s="738" t="n"/>
      <c r="D6" s="738" t="n"/>
      <c r="E6" s="1089" t="n"/>
      <c r="F6" s="1089" t="n"/>
      <c r="G6" s="1090" t="n"/>
      <c r="H6" s="669" t="n"/>
      <c r="J6" s="1085" t="n"/>
      <c r="K6" s="1086" t="n"/>
      <c r="L6" s="1086" t="n"/>
      <c r="M6" s="1086" t="n"/>
      <c r="N6" s="1087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</row>
    <row r="7">
      <c r="A7" s="1084" t="inlineStr">
        <is>
          <t>Stars</t>
        </is>
      </c>
      <c r="B7" s="1023" t="n">
        <v>3</v>
      </c>
      <c r="C7" s="669" t="n"/>
      <c r="D7" s="669" t="n"/>
      <c r="E7" s="669" t="n"/>
      <c r="F7" s="669" t="n"/>
      <c r="G7" s="1095" t="n"/>
      <c r="J7" s="853" t="inlineStr">
        <is>
          <t>3* SSS vs. 5* Purple</t>
        </is>
      </c>
      <c r="K7" s="1089" t="n"/>
      <c r="L7" s="1089" t="n"/>
      <c r="M7" s="1089" t="inlineStr">
        <is>
          <t>4* SSS vs. 5* Purple</t>
        </is>
      </c>
      <c r="N7" s="1090" t="n"/>
      <c r="P7" s="669" t="n"/>
      <c r="Q7" s="669" t="n"/>
      <c r="R7" s="669" t="n"/>
      <c r="S7" s="669" t="n"/>
      <c r="T7" s="669" t="n"/>
      <c r="U7" s="669" t="n"/>
      <c r="V7" s="669" t="n"/>
      <c r="W7" s="669" t="n"/>
      <c r="X7" s="669" t="n"/>
      <c r="Y7" s="669" t="n"/>
      <c r="Z7" s="669" t="n"/>
      <c r="AA7" s="669" t="n"/>
    </row>
    <row r="8">
      <c r="A8" s="1084" t="inlineStr">
        <is>
          <t>Level</t>
        </is>
      </c>
      <c r="B8" s="1027">
        <f>MIN(IFERROR(VLOOKUP(B7,$N$61:$P$67,2,TRUE),0), IFERROR(VLOOKUP($B$4,$K$71:$L$310,2,TRUE),0))</f>
        <v/>
      </c>
      <c r="C8" s="669" t="n"/>
      <c r="D8" s="669" t="n"/>
      <c r="E8" s="669" t="n"/>
      <c r="F8" s="669" t="n"/>
      <c r="G8" s="1095" t="n"/>
      <c r="J8" s="1092" t="inlineStr">
        <is>
          <t>SSS wins for purple in [24, 118]</t>
        </is>
      </c>
      <c r="K8" s="1093" t="n"/>
      <c r="L8" s="1093" t="n"/>
      <c r="M8" s="1093" t="inlineStr">
        <is>
          <t>SSS wins for purple &gt; lvl 17</t>
        </is>
      </c>
      <c r="N8" s="965" t="n"/>
      <c r="P8" s="669" t="n"/>
      <c r="Q8" s="669" t="n"/>
      <c r="R8" s="669" t="n"/>
      <c r="S8" s="669" t="n"/>
      <c r="T8" s="669" t="n"/>
      <c r="U8" s="669" t="n"/>
      <c r="V8" s="669" t="n"/>
      <c r="W8" s="669" t="n"/>
      <c r="X8" s="669" t="n"/>
      <c r="Y8" s="669" t="n"/>
      <c r="Z8" s="669" t="n"/>
      <c r="AA8" s="669" t="n"/>
    </row>
    <row r="9">
      <c r="A9" s="792" t="inlineStr">
        <is>
          <t>Biome</t>
        </is>
      </c>
      <c r="B9" s="792" t="inlineStr">
        <is>
          <t>Rarity</t>
        </is>
      </c>
      <c r="C9" s="792" t="inlineStr">
        <is>
          <t>Adaptability</t>
        </is>
      </c>
      <c r="D9" s="792" t="inlineStr">
        <is>
          <t>Level Gain</t>
        </is>
      </c>
      <c r="E9" s="792" t="inlineStr">
        <is>
          <t>Base Glory</t>
        </is>
      </c>
      <c r="F9" s="792" t="inlineStr">
        <is>
          <t>Neutral Glory</t>
        </is>
      </c>
      <c r="G9" s="792" t="inlineStr">
        <is>
          <t>Sanctum Glory</t>
        </is>
      </c>
      <c r="P9" s="669" t="n"/>
      <c r="Q9" s="669" t="n"/>
      <c r="R9" s="669" t="n"/>
      <c r="S9" s="669" t="n"/>
      <c r="T9" s="669" t="n"/>
      <c r="U9" s="669" t="n"/>
      <c r="V9" s="669" t="n"/>
      <c r="W9" s="669" t="n"/>
      <c r="X9" s="669" t="n"/>
      <c r="Y9" s="669" t="n"/>
      <c r="Z9" s="669" t="n"/>
      <c r="AA9" s="669" t="n"/>
    </row>
    <row r="10">
      <c r="A10" s="1067">
        <f>XLOOKUP($B6,$B$45:$B$176,$C$45:$C$176,0)</f>
        <v/>
      </c>
      <c r="B10" s="1067">
        <f>XLOOKUP($B6,$B$45:$B$176,$D$45:$D$176,0)</f>
        <v/>
      </c>
      <c r="C10" s="1067">
        <f>XLOOKUP($B6,$B$45:$B$176,$F$45:$F$176,0)</f>
        <v/>
      </c>
      <c r="D10" s="1109">
        <f>XLOOKUP(B10,$I$46:$I$49,$J$46:$J$49,0)</f>
        <v/>
      </c>
      <c r="E10" s="1109">
        <f>IFERROR(VLOOKUP(B10,$I$46:$Q$49,B7+2,FALSE),0)</f>
        <v/>
      </c>
      <c r="F10" s="1109">
        <f>E10+D10*B8</f>
        <v/>
      </c>
      <c r="G10" s="1096">
        <f>FLOOR(F10*(1+IF(A10=$B$3,IFERROR(VLOOKUP(C10,$I$61:$J$65,2,FALSE),0)/100,0)),1)</f>
        <v/>
      </c>
      <c r="H10" s="669" t="n"/>
      <c r="P10" s="669" t="n"/>
      <c r="Q10" s="669" t="n"/>
      <c r="R10" s="669" t="n"/>
      <c r="S10" s="669" t="n"/>
      <c r="T10" s="669" t="n"/>
      <c r="U10" s="669" t="n"/>
      <c r="V10" s="669" t="n"/>
      <c r="W10" s="669" t="n"/>
      <c r="X10" s="669" t="n"/>
      <c r="Y10" s="669" t="n"/>
      <c r="Z10" s="669" t="n"/>
      <c r="AA10" s="669" t="n"/>
      <c r="AB10" s="669" t="n"/>
    </row>
    <row r="11">
      <c r="A11" s="1091" t="n"/>
      <c r="B11" s="669" t="n"/>
      <c r="C11" s="669" t="n"/>
      <c r="D11" s="669" t="n"/>
      <c r="E11" s="669" t="n"/>
      <c r="F11" s="669" t="n"/>
      <c r="G11" s="1095" t="n"/>
      <c r="H11" s="669" t="n"/>
      <c r="P11" s="669" t="n"/>
      <c r="Q11" s="669" t="n"/>
      <c r="R11" s="669" t="n"/>
      <c r="S11" s="669" t="n"/>
      <c r="T11" s="669" t="n"/>
      <c r="U11" s="669" t="n"/>
      <c r="V11" s="669" t="n"/>
      <c r="W11" s="669" t="n"/>
      <c r="X11" s="669" t="n"/>
      <c r="Y11" s="669" t="n"/>
      <c r="Z11" s="669" t="n"/>
      <c r="AA11" s="669" t="n"/>
      <c r="AB11" s="669" t="n"/>
    </row>
    <row r="12">
      <c r="A12" s="1094" t="inlineStr">
        <is>
          <t>Option 2</t>
        </is>
      </c>
      <c r="B12" s="1067" t="inlineStr">
        <is>
          <t>Pegasus (SS)</t>
        </is>
      </c>
      <c r="C12" s="738" t="n"/>
      <c r="D12" s="738" t="n"/>
      <c r="E12" s="1089" t="n"/>
      <c r="F12" s="1089" t="n"/>
      <c r="G12" s="1090" t="n"/>
      <c r="H12" s="669" t="n"/>
      <c r="K12" s="669" t="n"/>
      <c r="L12" s="669" t="n"/>
      <c r="M12" s="669" t="n"/>
      <c r="N12" s="669" t="n"/>
      <c r="O12" s="669" t="n"/>
      <c r="P12" s="669" t="n"/>
      <c r="Q12" s="669" t="n"/>
      <c r="R12" s="669" t="n"/>
      <c r="S12" s="669" t="n"/>
      <c r="T12" s="669" t="n"/>
      <c r="U12" s="669" t="n"/>
      <c r="V12" s="669" t="n"/>
      <c r="W12" s="669" t="n"/>
      <c r="X12" s="669" t="n"/>
      <c r="Y12" s="669" t="n"/>
      <c r="Z12" s="669" t="n"/>
      <c r="AA12" s="669" t="n"/>
      <c r="AB12" s="669" t="n"/>
    </row>
    <row r="13">
      <c r="A13" s="1084" t="inlineStr">
        <is>
          <t>Stars</t>
        </is>
      </c>
      <c r="B13" s="1023" t="n">
        <v>4</v>
      </c>
      <c r="C13" s="669" t="n"/>
      <c r="D13" s="669" t="n"/>
      <c r="E13" s="669" t="n"/>
      <c r="F13" s="669" t="n"/>
      <c r="G13" s="1095" t="n"/>
      <c r="H13" s="669" t="n"/>
      <c r="K13" s="669" t="n"/>
      <c r="L13" s="669" t="n"/>
      <c r="M13" s="669" t="n"/>
      <c r="N13" s="669" t="n"/>
      <c r="O13" s="669" t="n"/>
      <c r="P13" s="669" t="n"/>
      <c r="Q13" s="669" t="n"/>
      <c r="R13" s="669" t="n"/>
      <c r="S13" s="669" t="n"/>
      <c r="T13" s="669" t="n"/>
      <c r="U13" s="669" t="n"/>
      <c r="V13" s="669" t="n"/>
      <c r="W13" s="669" t="n"/>
      <c r="X13" s="669" t="n"/>
      <c r="Y13" s="669" t="n"/>
      <c r="Z13" s="669" t="n"/>
      <c r="AA13" s="669" t="n"/>
      <c r="AB13" s="669" t="n"/>
    </row>
    <row r="14">
      <c r="A14" s="1084" t="inlineStr">
        <is>
          <t>Level</t>
        </is>
      </c>
      <c r="B14" s="1027">
        <f>MIN(IFERROR(VLOOKUP(B13,$N$61:$P$67,2,TRUE),0), IFERROR(VLOOKUP($B$4,$K$71:$L$310,2,TRUE),0))</f>
        <v/>
      </c>
      <c r="C14" s="669" t="n"/>
      <c r="D14" s="669" t="n"/>
      <c r="E14" s="669" t="n"/>
      <c r="F14" s="669" t="n"/>
      <c r="G14" s="1095" t="n"/>
      <c r="H14" s="669" t="n"/>
      <c r="P14" s="669" t="n"/>
      <c r="Q14" s="669" t="n"/>
      <c r="R14" s="669" t="n"/>
      <c r="S14" s="669" t="n"/>
      <c r="T14" s="669" t="n"/>
      <c r="U14" s="669" t="n"/>
      <c r="V14" s="669" t="n"/>
      <c r="W14" s="669" t="n"/>
      <c r="X14" s="669" t="n"/>
      <c r="Y14" s="669" t="n"/>
      <c r="Z14" s="669" t="n"/>
      <c r="AA14" s="669" t="n"/>
      <c r="AB14" s="669" t="n"/>
    </row>
    <row r="15">
      <c r="A15" s="792" t="inlineStr">
        <is>
          <t>Biome</t>
        </is>
      </c>
      <c r="B15" s="792" t="inlineStr">
        <is>
          <t>Rarity</t>
        </is>
      </c>
      <c r="C15" s="792" t="inlineStr">
        <is>
          <t>Adaptability</t>
        </is>
      </c>
      <c r="D15" s="792" t="inlineStr">
        <is>
          <t>Level Gain</t>
        </is>
      </c>
      <c r="E15" s="792" t="inlineStr">
        <is>
          <t>Base Glory</t>
        </is>
      </c>
      <c r="F15" s="792" t="inlineStr">
        <is>
          <t>Neutral Glory</t>
        </is>
      </c>
      <c r="G15" s="792" t="inlineStr">
        <is>
          <t>Sanctum Glory</t>
        </is>
      </c>
      <c r="H15" s="669" t="n"/>
      <c r="P15" s="669" t="n"/>
      <c r="Q15" s="669" t="n"/>
      <c r="R15" s="669" t="n"/>
      <c r="S15" s="669" t="n"/>
      <c r="T15" s="669" t="n"/>
      <c r="U15" s="669" t="n"/>
      <c r="V15" s="669" t="n"/>
      <c r="W15" s="669" t="n"/>
      <c r="X15" s="669" t="n"/>
      <c r="Y15" s="669" t="n"/>
      <c r="Z15" s="669" t="n"/>
      <c r="AA15" s="669" t="n"/>
      <c r="AB15" s="669" t="n"/>
    </row>
    <row r="16">
      <c r="A16" s="1067">
        <f>XLOOKUP($B12,$B$45:$B$176,$C$45:$C$176,0)</f>
        <v/>
      </c>
      <c r="B16" s="1067">
        <f>XLOOKUP($B12,$B$45:$B$176,$D$45:$D$176,0)</f>
        <v/>
      </c>
      <c r="C16" s="1067">
        <f>XLOOKUP($B12,$B$45:$B$176,$F$45:$F$176,0)</f>
        <v/>
      </c>
      <c r="D16" s="1109">
        <f>XLOOKUP(B16,$I$46:$I$49,$J$46:$J$49,0)</f>
        <v/>
      </c>
      <c r="E16" s="1109">
        <f>IFERROR(VLOOKUP(B16,$I$46:$Q$49,B13+2,FALSE),0)</f>
        <v/>
      </c>
      <c r="F16" s="1109">
        <f>E16+D16*B14</f>
        <v/>
      </c>
      <c r="G16" s="1096">
        <f>FLOOR(F16*(1+IF(A16=$B$3,IFERROR(VLOOKUP(C16,$I$61:$J$65,2,FALSE),0)/100,0)),1)</f>
        <v/>
      </c>
      <c r="H16" s="669" t="n"/>
      <c r="P16" s="669" t="n"/>
      <c r="Q16" s="669" t="n"/>
      <c r="R16" s="669" t="n"/>
      <c r="S16" s="669" t="n"/>
      <c r="T16" s="669" t="n"/>
      <c r="U16" s="669" t="n"/>
      <c r="V16" s="669" t="n"/>
      <c r="W16" s="669" t="n"/>
      <c r="X16" s="669" t="n"/>
      <c r="Y16" s="669" t="n"/>
      <c r="Z16" s="669" t="n"/>
      <c r="AA16" s="669" t="n"/>
      <c r="AB16" s="669" t="n"/>
    </row>
    <row r="17">
      <c r="A17" s="669" t="n"/>
      <c r="B17" s="669" t="n"/>
      <c r="C17" s="669" t="n"/>
      <c r="D17" s="669" t="n"/>
      <c r="E17" s="669" t="n"/>
      <c r="F17" s="669" t="n"/>
      <c r="G17" s="669" t="n"/>
      <c r="H17" s="669" t="n"/>
      <c r="P17" s="669" t="n"/>
      <c r="Q17" s="669" t="n"/>
      <c r="R17" s="669" t="n"/>
      <c r="S17" s="669" t="n"/>
      <c r="T17" s="669" t="n"/>
      <c r="U17" s="669" t="n"/>
      <c r="V17" s="669" t="n"/>
      <c r="W17" s="669" t="n"/>
      <c r="X17" s="669" t="n"/>
      <c r="Y17" s="669" t="n"/>
      <c r="Z17" s="669" t="n"/>
      <c r="AA17" s="669" t="n"/>
      <c r="AB17" s="669" t="n"/>
    </row>
    <row r="18">
      <c r="A18" s="669" t="n"/>
      <c r="B18" s="669" t="n"/>
      <c r="C18" s="669" t="n"/>
      <c r="D18" s="669" t="n"/>
      <c r="E18" s="669" t="n"/>
      <c r="F18" s="669" t="n"/>
      <c r="G18" s="669" t="n"/>
      <c r="H18" s="669" t="n"/>
      <c r="P18" s="669" t="n"/>
      <c r="Q18" s="669" t="n"/>
      <c r="R18" s="669" t="n"/>
      <c r="S18" s="669" t="n"/>
      <c r="T18" s="669" t="n"/>
      <c r="U18" s="669" t="n"/>
      <c r="V18" s="669" t="n"/>
      <c r="W18" s="669" t="n"/>
      <c r="X18" s="669" t="n"/>
      <c r="Y18" s="669" t="n"/>
      <c r="Z18" s="669" t="n"/>
      <c r="AA18" s="669" t="n"/>
      <c r="AB18" s="669" t="n"/>
    </row>
    <row r="19">
      <c r="A19" s="669" t="n"/>
      <c r="B19" s="669" t="n"/>
      <c r="C19" s="669" t="n"/>
      <c r="D19" s="669" t="n"/>
      <c r="E19" s="669" t="n"/>
      <c r="F19" s="669" t="n"/>
      <c r="G19" s="669" t="n"/>
      <c r="H19" s="669" t="n"/>
      <c r="P19" s="669" t="n"/>
      <c r="Q19" s="669" t="n"/>
      <c r="R19" s="669" t="n"/>
      <c r="S19" s="669" t="n"/>
      <c r="T19" s="669" t="n"/>
      <c r="U19" s="669" t="n"/>
      <c r="V19" s="669" t="n"/>
      <c r="W19" s="669" t="n"/>
      <c r="X19" s="669" t="n"/>
      <c r="Y19" s="669" t="n"/>
      <c r="Z19" s="669" t="n"/>
      <c r="AA19" s="669" t="n"/>
      <c r="AB19" s="669" t="n"/>
    </row>
    <row r="20">
      <c r="A20" s="669" t="n"/>
      <c r="B20" s="669" t="n"/>
      <c r="C20" s="669" t="n"/>
      <c r="D20" s="669" t="n"/>
      <c r="E20" s="669" t="n"/>
      <c r="F20" s="669" t="n"/>
      <c r="G20" s="669" t="n"/>
      <c r="H20" s="669" t="n"/>
      <c r="P20" s="669" t="n"/>
      <c r="Q20" s="669" t="n"/>
      <c r="R20" s="669" t="n"/>
      <c r="S20" s="669" t="n"/>
      <c r="T20" s="669" t="n"/>
      <c r="U20" s="669" t="n"/>
      <c r="V20" s="669" t="n"/>
      <c r="W20" s="669" t="n"/>
      <c r="X20" s="669" t="n"/>
      <c r="Y20" s="669" t="n"/>
      <c r="Z20" s="669" t="n"/>
      <c r="AA20" s="669" t="n"/>
      <c r="AB20" s="669" t="n"/>
    </row>
    <row r="21">
      <c r="A21" s="1081" t="inlineStr">
        <is>
          <t>Devotee</t>
        </is>
      </c>
      <c r="B21" s="237" t="n"/>
      <c r="C21" s="237" t="n"/>
      <c r="D21" s="237" t="n"/>
      <c r="E21" s="237" t="n"/>
      <c r="F21" s="237" t="n"/>
      <c r="G21" s="238" t="n"/>
      <c r="H21" s="669" t="n"/>
      <c r="J21" s="1082" t="inlineStr">
        <is>
          <t>Primary Devotee Breakpoints</t>
        </is>
      </c>
      <c r="K21" s="1083" t="n"/>
      <c r="L21" s="1077" t="n"/>
      <c r="M21" s="1077" t="n"/>
      <c r="N21" s="1078" t="n"/>
      <c r="P21" s="669" t="n"/>
      <c r="Q21" s="669" t="n"/>
      <c r="R21" s="669" t="n"/>
      <c r="S21" s="669" t="n"/>
      <c r="T21" s="669" t="n"/>
      <c r="U21" s="669" t="n"/>
      <c r="V21" s="669" t="n"/>
      <c r="W21" s="669" t="n"/>
      <c r="X21" s="669" t="n"/>
      <c r="Y21" s="669" t="n"/>
      <c r="Z21" s="669" t="n"/>
      <c r="AA21" s="669" t="n"/>
      <c r="AB21" s="669" t="n"/>
    </row>
    <row r="22">
      <c r="A22" s="1084" t="inlineStr">
        <is>
          <t>Sanctum</t>
        </is>
      </c>
      <c r="B22" s="1067" t="inlineStr">
        <is>
          <t>Desert</t>
        </is>
      </c>
      <c r="G22" s="1095" t="n"/>
      <c r="H22" s="669" t="n"/>
      <c r="J22" s="1085" t="n"/>
      <c r="K22" s="1086" t="n"/>
      <c r="L22" s="1086" t="n"/>
      <c r="M22" s="1086" t="n"/>
      <c r="N22" s="1087" t="n"/>
      <c r="P22" s="669" t="n"/>
      <c r="Q22" s="669" t="n"/>
      <c r="R22" s="669" t="n"/>
      <c r="S22" s="669" t="n"/>
      <c r="T22" s="669" t="n"/>
      <c r="U22" s="669" t="n"/>
      <c r="V22" s="669" t="n"/>
      <c r="W22" s="669" t="n"/>
      <c r="X22" s="669" t="n"/>
      <c r="Y22" s="669" t="n"/>
      <c r="Z22" s="669" t="n"/>
      <c r="AA22" s="669" t="n"/>
      <c r="AB22" s="669" t="n"/>
    </row>
    <row r="23">
      <c r="A23" s="1084" t="inlineStr">
        <is>
          <t>Protolith</t>
        </is>
      </c>
      <c r="B23" s="1023" t="n">
        <v>100000</v>
      </c>
      <c r="C23" s="669" t="n"/>
      <c r="D23" s="669" t="n"/>
      <c r="E23" s="669" t="n"/>
      <c r="F23" s="669" t="n"/>
      <c r="G23" s="1095" t="n"/>
      <c r="H23" s="669" t="n"/>
      <c r="J23" s="853" t="inlineStr">
        <is>
          <t>3* S vs. 5* Purple</t>
        </is>
      </c>
      <c r="K23" s="1089" t="n"/>
      <c r="L23" s="1089" t="n"/>
      <c r="M23" s="1089" t="inlineStr">
        <is>
          <t>4* S vs. 5* Purple</t>
        </is>
      </c>
      <c r="N23" s="1090" t="n"/>
      <c r="P23" s="669" t="n"/>
      <c r="Q23" s="669" t="n"/>
      <c r="R23" s="669" t="n"/>
      <c r="S23" s="669" t="n"/>
      <c r="T23" s="669" t="n"/>
      <c r="U23" s="669" t="n"/>
      <c r="V23" s="669" t="n"/>
      <c r="W23" s="669" t="n"/>
      <c r="X23" s="669" t="n"/>
      <c r="Y23" s="669" t="n"/>
      <c r="Z23" s="669" t="n"/>
      <c r="AA23" s="669" t="n"/>
      <c r="AB23" s="669" t="n"/>
    </row>
    <row r="24">
      <c r="A24" s="1091" t="n"/>
      <c r="B24" s="669" t="n"/>
      <c r="C24" s="669" t="n"/>
      <c r="D24" s="669" t="n"/>
      <c r="E24" s="669" t="n"/>
      <c r="F24" s="669" t="n"/>
      <c r="G24" s="1095" t="n"/>
      <c r="H24" s="669" t="n"/>
      <c r="J24" s="1092" t="inlineStr">
        <is>
          <t>Purple always wins</t>
        </is>
      </c>
      <c r="K24" s="1093" t="n"/>
      <c r="L24" s="1093" t="n"/>
      <c r="M24" s="1093" t="inlineStr">
        <is>
          <t>Purple always wins</t>
        </is>
      </c>
      <c r="N24" s="965" t="n"/>
      <c r="O24" s="669" t="n"/>
      <c r="P24" s="669" t="n"/>
      <c r="Q24" s="669" t="n"/>
      <c r="R24" s="669" t="n"/>
      <c r="S24" s="669" t="n"/>
      <c r="T24" s="669" t="n"/>
      <c r="U24" s="669" t="n"/>
      <c r="V24" s="669" t="n"/>
      <c r="W24" s="669" t="n"/>
      <c r="X24" s="669" t="n"/>
      <c r="Y24" s="669" t="n"/>
      <c r="Z24" s="669" t="n"/>
      <c r="AA24" s="669" t="n"/>
      <c r="AB24" s="669" t="n"/>
    </row>
    <row r="25">
      <c r="A25" s="1094" t="inlineStr">
        <is>
          <t>Option 1</t>
        </is>
      </c>
      <c r="B25" s="1067" t="inlineStr">
        <is>
          <t>Elkobra</t>
        </is>
      </c>
      <c r="C25" s="738" t="n"/>
      <c r="D25" s="738" t="n"/>
      <c r="E25" s="1089" t="n"/>
      <c r="F25" s="1089" t="n"/>
      <c r="G25" s="1090" t="n"/>
      <c r="H25" s="669" t="n"/>
      <c r="J25" s="1085" t="n"/>
      <c r="K25" s="1086" t="n"/>
      <c r="L25" s="1086" t="n"/>
      <c r="M25" s="1086" t="n"/>
      <c r="N25" s="1087" t="n"/>
      <c r="O25" s="669" t="n"/>
      <c r="P25" s="669" t="n"/>
      <c r="Q25" s="669" t="n"/>
      <c r="R25" s="669" t="n"/>
      <c r="S25" s="669" t="n"/>
      <c r="T25" s="669" t="n"/>
      <c r="U25" s="669" t="n"/>
      <c r="V25" s="669" t="n"/>
      <c r="W25" s="669" t="n"/>
      <c r="X25" s="669" t="n"/>
      <c r="Y25" s="669" t="n"/>
      <c r="Z25" s="669" t="n"/>
      <c r="AA25" s="669" t="n"/>
      <c r="AB25" s="669" t="n"/>
    </row>
    <row r="26">
      <c r="A26" s="1084" t="inlineStr">
        <is>
          <t>Stars</t>
        </is>
      </c>
      <c r="B26" s="1023" t="n">
        <v>4</v>
      </c>
      <c r="C26" s="669" t="n"/>
      <c r="D26" s="669" t="n"/>
      <c r="E26" s="669" t="n"/>
      <c r="F26" s="669" t="n"/>
      <c r="G26" s="1095" t="n"/>
      <c r="H26" s="669" t="n"/>
      <c r="J26" s="853" t="inlineStr">
        <is>
          <t>3* SS vs. 5* Purple</t>
        </is>
      </c>
      <c r="K26" s="1089" t="n"/>
      <c r="L26" s="1089" t="n"/>
      <c r="M26" s="1089" t="inlineStr">
        <is>
          <t>4* SS vs. 5* Purple</t>
        </is>
      </c>
      <c r="N26" s="1090" t="n"/>
      <c r="O26" s="669" t="n"/>
      <c r="P26" s="669" t="n"/>
      <c r="Q26" s="669" t="n"/>
      <c r="R26" s="669" t="n"/>
      <c r="S26" s="669" t="n"/>
      <c r="T26" s="669" t="n"/>
      <c r="U26" s="669" t="n"/>
      <c r="V26" s="669" t="n"/>
      <c r="W26" s="669" t="n"/>
      <c r="X26" s="669" t="n"/>
      <c r="Y26" s="669" t="n"/>
      <c r="Z26" s="669" t="n"/>
      <c r="AA26" s="669" t="n"/>
      <c r="AB26" s="669" t="n"/>
    </row>
    <row r="27">
      <c r="A27" s="1084" t="inlineStr">
        <is>
          <t>Level</t>
        </is>
      </c>
      <c r="B27" s="1027">
        <f>MIN(IFERROR(VLOOKUP(B26,$N$61:$P$67,3,TRUE),0), IFERROR(VLOOKUP($B$23,$K$71:$L$310,2,TRUE),0))</f>
        <v/>
      </c>
      <c r="C27" s="669" t="n"/>
      <c r="D27" s="669" t="n"/>
      <c r="E27" s="669" t="n"/>
      <c r="F27" s="669" t="n"/>
      <c r="G27" s="1095" t="n"/>
      <c r="H27" s="669" t="n"/>
      <c r="J27" s="1092" t="inlineStr">
        <is>
          <t>Purple always wins</t>
        </is>
      </c>
      <c r="K27" s="1093" t="n"/>
      <c r="L27" s="1093" t="n"/>
      <c r="M27" s="1093" t="inlineStr">
        <is>
          <t>SS wins for purple in [39, 70]</t>
        </is>
      </c>
      <c r="N27" s="965" t="n"/>
      <c r="O27" s="669" t="n"/>
      <c r="P27" s="669" t="n"/>
      <c r="Q27" s="669" t="n"/>
      <c r="R27" s="669" t="n"/>
      <c r="S27" s="669" t="n"/>
      <c r="T27" s="669" t="n"/>
      <c r="U27" s="669" t="n"/>
      <c r="V27" s="669" t="n"/>
      <c r="W27" s="669" t="n"/>
      <c r="X27" s="669" t="n"/>
      <c r="Y27" s="669" t="n"/>
      <c r="Z27" s="669" t="n"/>
      <c r="AA27" s="669" t="n"/>
      <c r="AB27" s="669" t="n"/>
    </row>
    <row r="28">
      <c r="A28" s="792" t="inlineStr">
        <is>
          <t>Biome</t>
        </is>
      </c>
      <c r="B28" s="792" t="inlineStr">
        <is>
          <t>Rarity</t>
        </is>
      </c>
      <c r="C28" s="792" t="inlineStr">
        <is>
          <t>Adaptability</t>
        </is>
      </c>
      <c r="D28" s="792" t="inlineStr">
        <is>
          <t>Level Gain</t>
        </is>
      </c>
      <c r="E28" s="792" t="inlineStr">
        <is>
          <t>Base Glory</t>
        </is>
      </c>
      <c r="F28" s="792" t="inlineStr">
        <is>
          <t>Neutral Glory</t>
        </is>
      </c>
      <c r="G28" s="792" t="inlineStr">
        <is>
          <t>Sanctum Glory</t>
        </is>
      </c>
      <c r="H28" s="669" t="n"/>
      <c r="J28" s="1085" t="n"/>
      <c r="K28" s="1086" t="n"/>
      <c r="L28" s="1086" t="n"/>
      <c r="M28" s="1086" t="n"/>
      <c r="N28" s="1087" t="n"/>
      <c r="O28" s="669" t="n"/>
      <c r="P28" s="669" t="n"/>
      <c r="Q28" s="669" t="n"/>
      <c r="R28" s="669" t="n"/>
      <c r="S28" s="669" t="n"/>
      <c r="T28" s="669" t="n"/>
      <c r="U28" s="669" t="n"/>
      <c r="V28" s="669" t="n"/>
      <c r="W28" s="669" t="n"/>
      <c r="X28" s="669" t="n"/>
      <c r="Y28" s="669" t="n"/>
      <c r="Z28" s="669" t="n"/>
      <c r="AA28" s="669" t="n"/>
      <c r="AB28" s="669" t="n"/>
    </row>
    <row r="29">
      <c r="A29" s="1067">
        <f>XLOOKUP($B25,$B$45:$B$176,$C$45:$C$176,0)</f>
        <v/>
      </c>
      <c r="B29" s="1067">
        <f>XLOOKUP($B25,$B$45:$B$176,$D$45:$D$176,0)</f>
        <v/>
      </c>
      <c r="C29" s="1067">
        <f>XLOOKUP($B25,$B$45:$B$176,$F$45:$F$176,0)</f>
        <v/>
      </c>
      <c r="D29" s="1109">
        <f>XLOOKUP(B29,$I$53:$I$57,$J$53:$J$57,0)</f>
        <v/>
      </c>
      <c r="E29" s="1109">
        <f>IFERROR(VLOOKUP(B29,$I$53:$Q$57,B26+2,FALSE),0)</f>
        <v/>
      </c>
      <c r="F29" s="1109">
        <f>E29+D29*B27</f>
        <v/>
      </c>
      <c r="G29" s="1096">
        <f>FLOOR(F29*(1+IF(A29=$B$22,IFERROR(VLOOKUP(C29,$I$61:$J$65,2,FALSE),0)/100,0)),1)</f>
        <v/>
      </c>
      <c r="H29" s="669" t="n"/>
      <c r="J29" s="853" t="inlineStr">
        <is>
          <t>3* SS/SSS vs. 5* Purple</t>
        </is>
      </c>
      <c r="K29" s="1089" t="n"/>
      <c r="L29" s="1089" t="n"/>
      <c r="M29" s="1089" t="inlineStr">
        <is>
          <t>4* SS/SSS vs. 5* Purple</t>
        </is>
      </c>
      <c r="N29" s="1090" t="n"/>
      <c r="O29" s="669" t="n"/>
      <c r="P29" s="669" t="n"/>
      <c r="Q29" s="669" t="n"/>
      <c r="R29" s="669" t="n"/>
      <c r="S29" s="669" t="n"/>
      <c r="T29" s="669" t="n"/>
      <c r="U29" s="669" t="n"/>
      <c r="V29" s="669" t="n"/>
      <c r="W29" s="669" t="n"/>
      <c r="X29" s="669" t="n"/>
      <c r="Y29" s="669" t="n"/>
      <c r="Z29" s="669" t="n"/>
      <c r="AA29" s="669" t="n"/>
      <c r="AB29" s="669" t="n"/>
    </row>
    <row r="30">
      <c r="A30" s="1091" t="n"/>
      <c r="B30" s="669" t="n"/>
      <c r="C30" s="669" t="n"/>
      <c r="D30" s="669" t="n"/>
      <c r="E30" s="669" t="n"/>
      <c r="F30" s="669" t="n"/>
      <c r="G30" s="1095" t="n"/>
      <c r="H30" s="669" t="n"/>
      <c r="J30" s="1092" t="inlineStr">
        <is>
          <t>SSS wins for purple in [32, 48]</t>
        </is>
      </c>
      <c r="K30" s="1093" t="n"/>
      <c r="L30" s="1093" t="n"/>
      <c r="M30" s="1093" t="inlineStr">
        <is>
          <t>SSS wins for purple &gt; lvl 24</t>
        </is>
      </c>
      <c r="N30" s="965" t="n"/>
      <c r="O30" s="669" t="n"/>
      <c r="P30" s="669" t="n"/>
      <c r="Q30" s="669" t="n"/>
      <c r="R30" s="669" t="n"/>
      <c r="S30" s="669" t="n"/>
      <c r="T30" s="669" t="n"/>
      <c r="U30" s="669" t="n"/>
      <c r="V30" s="669" t="n"/>
      <c r="W30" s="669" t="n"/>
      <c r="X30" s="669" t="n"/>
      <c r="Y30" s="669" t="n"/>
      <c r="Z30" s="669" t="n"/>
      <c r="AA30" s="669" t="n"/>
      <c r="AB30" s="669" t="n"/>
    </row>
    <row r="31">
      <c r="A31" s="1094" t="inlineStr">
        <is>
          <t>Option 2</t>
        </is>
      </c>
      <c r="B31" s="1067" t="inlineStr">
        <is>
          <t>Cobraking</t>
        </is>
      </c>
      <c r="C31" s="738" t="n"/>
      <c r="D31" s="738" t="n"/>
      <c r="E31" s="1089" t="n"/>
      <c r="F31" s="1089" t="n"/>
      <c r="G31" s="1090" t="n"/>
      <c r="H31" s="669" t="n"/>
      <c r="I31" s="669" t="n"/>
      <c r="J31" s="669" t="n"/>
      <c r="K31" s="669" t="n"/>
      <c r="L31" s="669" t="n"/>
      <c r="M31" s="669" t="n"/>
      <c r="N31" s="669" t="n"/>
      <c r="O31" s="669" t="n"/>
      <c r="P31" s="669" t="n"/>
      <c r="Q31" s="669" t="n"/>
      <c r="R31" s="669" t="n"/>
      <c r="S31" s="669" t="n"/>
      <c r="T31" s="669" t="n"/>
      <c r="U31" s="669" t="n"/>
      <c r="V31" s="669" t="n"/>
      <c r="W31" s="669" t="n"/>
      <c r="X31" s="669" t="n"/>
      <c r="Y31" s="669" t="n"/>
      <c r="Z31" s="669" t="n"/>
      <c r="AA31" s="669" t="n"/>
      <c r="AB31" s="669" t="n"/>
    </row>
    <row r="32">
      <c r="A32" s="1084" t="inlineStr">
        <is>
          <t>Stars</t>
        </is>
      </c>
      <c r="B32" s="1023" t="n">
        <v>5</v>
      </c>
      <c r="C32" s="669" t="n"/>
      <c r="D32" s="669" t="n"/>
      <c r="E32" s="669" t="n"/>
      <c r="F32" s="669" t="n"/>
      <c r="G32" s="1095" t="n"/>
      <c r="H32" s="669" t="n"/>
      <c r="I32" s="669" t="n"/>
      <c r="J32" s="669" t="n"/>
      <c r="K32" s="669" t="n"/>
      <c r="L32" s="669" t="n"/>
      <c r="M32" s="669" t="n"/>
      <c r="N32" s="669" t="n"/>
      <c r="O32" s="669" t="n"/>
      <c r="P32" s="669" t="n"/>
      <c r="Q32" s="669" t="n"/>
      <c r="R32" s="669" t="n"/>
      <c r="S32" s="669" t="n"/>
      <c r="T32" s="669" t="n"/>
      <c r="U32" s="669" t="n"/>
      <c r="V32" s="669" t="n"/>
      <c r="W32" s="669" t="n"/>
      <c r="X32" s="669" t="n"/>
      <c r="Y32" s="669" t="n"/>
      <c r="Z32" s="669" t="n"/>
      <c r="AA32" s="669" t="n"/>
      <c r="AB32" s="669" t="n"/>
    </row>
    <row r="33">
      <c r="A33" s="1084" t="inlineStr">
        <is>
          <t>Level</t>
        </is>
      </c>
      <c r="B33" s="1027">
        <f>MIN(IFERROR(VLOOKUP(B32,$N$61:$P$67,3,TRUE),0), IFERROR(VLOOKUP($B$23,$K$71:$L$310,2,TRUE),0))</f>
        <v/>
      </c>
      <c r="C33" s="669" t="n"/>
      <c r="D33" s="669" t="n"/>
      <c r="E33" s="669" t="n"/>
      <c r="F33" s="669" t="n"/>
      <c r="G33" s="1095" t="n"/>
      <c r="H33" s="669" t="n"/>
      <c r="I33" s="669" t="n"/>
      <c r="J33" s="669" t="n"/>
      <c r="K33" s="669" t="n"/>
      <c r="L33" s="669" t="n"/>
      <c r="M33" s="669" t="n"/>
      <c r="N33" s="669" t="n"/>
      <c r="O33" s="669" t="n"/>
      <c r="P33" s="669" t="n"/>
      <c r="Q33" s="669" t="n"/>
      <c r="R33" s="669" t="n"/>
      <c r="S33" s="669" t="n"/>
      <c r="T33" s="669" t="n"/>
      <c r="U33" s="669" t="n"/>
      <c r="V33" s="669" t="n"/>
      <c r="W33" s="669" t="n"/>
      <c r="X33" s="669" t="n"/>
      <c r="Y33" s="669" t="n"/>
      <c r="Z33" s="669" t="n"/>
      <c r="AA33" s="669" t="n"/>
      <c r="AB33" s="669" t="n"/>
    </row>
    <row r="34">
      <c r="A34" s="792" t="inlineStr">
        <is>
          <t>Biome</t>
        </is>
      </c>
      <c r="B34" s="792" t="inlineStr">
        <is>
          <t>Rarity</t>
        </is>
      </c>
      <c r="C34" s="792" t="inlineStr">
        <is>
          <t>Adaptability</t>
        </is>
      </c>
      <c r="D34" s="792" t="inlineStr">
        <is>
          <t>Level Gain</t>
        </is>
      </c>
      <c r="E34" s="792" t="inlineStr">
        <is>
          <t>Base Glory</t>
        </is>
      </c>
      <c r="F34" s="792" t="inlineStr">
        <is>
          <t>Neutral Glory</t>
        </is>
      </c>
      <c r="G34" s="792" t="inlineStr">
        <is>
          <t>Sanctum Glory</t>
        </is>
      </c>
      <c r="H34" s="669" t="n"/>
      <c r="I34" s="669" t="n"/>
      <c r="J34" s="669" t="n"/>
      <c r="K34" s="669" t="n"/>
      <c r="L34" s="669" t="n"/>
      <c r="M34" s="669" t="n"/>
      <c r="N34" s="669" t="n"/>
      <c r="O34" s="669" t="n"/>
      <c r="P34" s="669" t="n"/>
      <c r="Q34" s="669" t="n"/>
      <c r="R34" s="669" t="n"/>
      <c r="S34" s="669" t="n"/>
      <c r="T34" s="669" t="n"/>
      <c r="U34" s="669" t="n"/>
      <c r="V34" s="669" t="n"/>
      <c r="W34" s="669" t="n"/>
      <c r="X34" s="669" t="n"/>
      <c r="Y34" s="669" t="n"/>
      <c r="Z34" s="669" t="n"/>
      <c r="AA34" s="669" t="n"/>
      <c r="AB34" s="669" t="n"/>
    </row>
    <row r="35">
      <c r="A35" s="1067">
        <f>XLOOKUP($B31,$B$45:$B$176,$C$45:$C$176,0)</f>
        <v/>
      </c>
      <c r="B35" s="1067">
        <f>XLOOKUP($B31,$B$45:$B$176,$D$45:$D$176,0)</f>
        <v/>
      </c>
      <c r="C35" s="1067">
        <f>XLOOKUP($B31,$B$45:$B$176,$F$45:$F$176,0)</f>
        <v/>
      </c>
      <c r="D35" s="1109">
        <f>XLOOKUP(B35,$I$53:$I$57,$J$53:$J$57,0)</f>
        <v/>
      </c>
      <c r="E35" s="1109">
        <f>IFERROR(VLOOKUP(B35,$I$53:$Q$57,B32+2,FALSE),0)</f>
        <v/>
      </c>
      <c r="F35" s="1109">
        <f>E35+D35*B33</f>
        <v/>
      </c>
      <c r="G35" s="1096">
        <f>FLOOR(F35*(1+IF(A35=$B$22,IFERROR(VLOOKUP(C35,$I$61:$J$65,2,FALSE),0)/100,0)),1)</f>
        <v/>
      </c>
      <c r="H35" s="669" t="n"/>
      <c r="I35" s="669" t="n"/>
      <c r="J35" s="669" t="n"/>
      <c r="K35" s="669" t="n"/>
      <c r="L35" s="669" t="n"/>
      <c r="M35" s="669" t="n"/>
      <c r="N35" s="669" t="n"/>
      <c r="O35" s="669" t="n"/>
      <c r="P35" s="669" t="n"/>
      <c r="Q35" s="669" t="n"/>
      <c r="R35" s="669" t="n"/>
      <c r="S35" s="669" t="n"/>
      <c r="T35" s="669" t="n"/>
      <c r="U35" s="669" t="n"/>
      <c r="V35" s="669" t="n"/>
      <c r="W35" s="669" t="n"/>
      <c r="X35" s="669" t="n"/>
      <c r="Y35" s="669" t="n"/>
      <c r="Z35" s="669" t="n"/>
      <c r="AA35" s="669" t="n"/>
      <c r="AB35" s="669" t="n"/>
    </row>
    <row r="36">
      <c r="A36" s="669" t="n"/>
      <c r="B36" s="669" t="n"/>
      <c r="C36" s="669" t="n"/>
      <c r="D36" s="669" t="n"/>
      <c r="E36" s="669" t="n"/>
      <c r="F36" s="669" t="n"/>
      <c r="G36" s="669" t="n"/>
      <c r="H36" s="669" t="n"/>
      <c r="I36" s="669" t="n"/>
      <c r="J36" s="669" t="n"/>
      <c r="K36" s="669" t="n"/>
      <c r="L36" s="669" t="n"/>
      <c r="M36" s="669" t="n"/>
      <c r="N36" s="669" t="n"/>
      <c r="O36" s="669" t="n"/>
      <c r="P36" s="669" t="n"/>
      <c r="Q36" s="669" t="n"/>
      <c r="R36" s="669" t="n"/>
      <c r="S36" s="669" t="n"/>
      <c r="T36" s="669" t="n"/>
      <c r="U36" s="669" t="n"/>
      <c r="V36" s="669" t="n"/>
      <c r="W36" s="669" t="n"/>
      <c r="X36" s="669" t="n"/>
      <c r="Y36" s="669" t="n"/>
      <c r="Z36" s="669" t="n"/>
      <c r="AA36" s="669" t="n"/>
      <c r="AB36" s="669" t="n"/>
    </row>
    <row r="37">
      <c r="A37" s="669" t="n"/>
      <c r="B37" s="669" t="n"/>
      <c r="C37" s="669" t="n"/>
      <c r="D37" s="669" t="n"/>
      <c r="E37" s="669" t="n"/>
      <c r="F37" s="669" t="n"/>
      <c r="G37" s="669" t="n"/>
      <c r="H37" s="669" t="n"/>
      <c r="I37" s="669" t="n"/>
      <c r="J37" s="669" t="n"/>
      <c r="K37" s="669" t="n"/>
      <c r="L37" s="669" t="n"/>
      <c r="M37" s="669" t="n"/>
      <c r="N37" s="669" t="n"/>
      <c r="O37" s="669" t="n"/>
      <c r="P37" s="669" t="n"/>
      <c r="Q37" s="669" t="n"/>
      <c r="R37" s="669" t="n"/>
      <c r="S37" s="669" t="n"/>
      <c r="T37" s="669" t="n"/>
      <c r="U37" s="669" t="n"/>
      <c r="V37" s="669" t="n"/>
      <c r="W37" s="669" t="n"/>
      <c r="X37" s="669" t="n"/>
      <c r="Y37" s="669" t="n"/>
      <c r="Z37" s="669" t="n"/>
      <c r="AA37" s="669" t="n"/>
      <c r="AB37" s="669" t="n"/>
    </row>
    <row r="38">
      <c r="A38" s="669" t="n"/>
      <c r="B38" s="669" t="n"/>
      <c r="C38" s="669" t="n"/>
      <c r="D38" s="669" t="n"/>
      <c r="E38" s="669" t="n"/>
      <c r="F38" s="669" t="n"/>
      <c r="G38" s="669" t="n"/>
      <c r="H38" s="669" t="n"/>
      <c r="I38" s="669" t="n"/>
      <c r="J38" s="669" t="n"/>
      <c r="K38" s="669" t="n"/>
      <c r="L38" s="669" t="n"/>
      <c r="M38" s="669" t="n"/>
      <c r="N38" s="669" t="n"/>
      <c r="O38" s="669" t="n"/>
      <c r="P38" s="669" t="n"/>
      <c r="Q38" s="669" t="n"/>
      <c r="R38" s="669" t="n"/>
      <c r="S38" s="669" t="n"/>
      <c r="T38" s="669" t="n"/>
      <c r="U38" s="669" t="n"/>
      <c r="V38" s="669" t="n"/>
      <c r="W38" s="669" t="n"/>
      <c r="X38" s="669" t="n"/>
      <c r="Y38" s="669" t="n"/>
      <c r="Z38" s="669" t="n"/>
      <c r="AA38" s="669" t="n"/>
      <c r="AB38" s="669" t="n"/>
    </row>
    <row r="39">
      <c r="A39" s="669" t="n"/>
      <c r="B39" s="669" t="n"/>
      <c r="C39" s="669" t="n"/>
      <c r="D39" s="669" t="n"/>
      <c r="E39" s="669" t="n"/>
      <c r="F39" s="669" t="n"/>
      <c r="G39" s="669" t="n"/>
      <c r="H39" s="669" t="n"/>
      <c r="I39" s="669" t="n"/>
      <c r="J39" s="669" t="n"/>
      <c r="K39" s="669" t="n"/>
      <c r="L39" s="669" t="n"/>
      <c r="M39" s="669" t="n"/>
      <c r="N39" s="669" t="n"/>
      <c r="O39" s="669" t="n"/>
      <c r="P39" s="669" t="n"/>
      <c r="Q39" s="669" t="n"/>
      <c r="R39" s="669" t="n"/>
      <c r="S39" s="669" t="n"/>
      <c r="T39" s="669" t="n"/>
      <c r="U39" s="669" t="n"/>
      <c r="V39" s="669" t="n"/>
      <c r="W39" s="669" t="n"/>
      <c r="X39" s="669" t="n"/>
      <c r="Y39" s="669" t="n"/>
      <c r="Z39" s="669" t="n"/>
      <c r="AA39" s="669" t="n"/>
      <c r="AB39" s="669" t="n"/>
    </row>
    <row r="40">
      <c r="A40" s="669" t="n"/>
      <c r="B40" s="669" t="n"/>
      <c r="C40" s="669" t="n"/>
      <c r="D40" s="669" t="n"/>
      <c r="E40" s="669" t="n"/>
      <c r="F40" s="669" t="n"/>
      <c r="G40" s="669" t="n"/>
      <c r="H40" s="669" t="n"/>
      <c r="I40" s="669" t="n"/>
      <c r="J40" s="669" t="n"/>
      <c r="K40" s="669" t="n"/>
      <c r="L40" s="669" t="n"/>
      <c r="M40" s="669" t="n"/>
      <c r="N40" s="669" t="n"/>
      <c r="O40" s="669" t="n"/>
      <c r="P40" s="669" t="n"/>
      <c r="Q40" s="669" t="n"/>
      <c r="R40" s="669" t="n"/>
      <c r="S40" s="669" t="n"/>
      <c r="T40" s="669" t="n"/>
      <c r="U40" s="669" t="n"/>
      <c r="V40" s="669" t="n"/>
      <c r="W40" s="669" t="n"/>
      <c r="X40" s="669" t="n"/>
      <c r="Y40" s="669" t="n"/>
      <c r="Z40" s="669" t="n"/>
      <c r="AA40" s="669" t="n"/>
      <c r="AB40" s="669" t="n"/>
    </row>
    <row r="41">
      <c r="A41" s="669" t="n"/>
      <c r="B41" s="669" t="n"/>
      <c r="C41" s="669" t="n"/>
      <c r="D41" s="669" t="n"/>
      <c r="E41" s="669" t="n"/>
      <c r="F41" s="669" t="n"/>
      <c r="G41" s="669" t="n"/>
      <c r="H41" s="669" t="n"/>
      <c r="I41" s="669" t="n"/>
      <c r="J41" s="669" t="n"/>
      <c r="K41" s="669" t="n"/>
      <c r="L41" s="669" t="n"/>
      <c r="M41" s="669" t="n"/>
      <c r="N41" s="669" t="n"/>
      <c r="O41" s="669" t="n"/>
      <c r="P41" s="669" t="n"/>
      <c r="Q41" s="669" t="n"/>
      <c r="R41" s="669" t="n"/>
      <c r="S41" s="669" t="n"/>
      <c r="T41" s="669" t="n"/>
      <c r="U41" s="669" t="n"/>
      <c r="V41" s="669" t="n"/>
      <c r="W41" s="669" t="n"/>
      <c r="X41" s="669" t="n"/>
      <c r="Y41" s="669" t="n"/>
      <c r="Z41" s="669" t="n"/>
      <c r="AA41" s="669" t="n"/>
      <c r="AB41" s="669" t="n"/>
    </row>
    <row r="42">
      <c r="A42" s="669" t="n"/>
      <c r="B42" s="669" t="n"/>
      <c r="C42" s="669" t="n"/>
      <c r="D42" s="669" t="n"/>
      <c r="E42" s="669" t="n"/>
      <c r="F42" s="669" t="n"/>
      <c r="G42" s="669" t="n"/>
      <c r="H42" s="669" t="n"/>
      <c r="I42" s="669" t="n"/>
      <c r="J42" s="669" t="n"/>
      <c r="K42" s="669" t="n"/>
      <c r="L42" s="669" t="n"/>
      <c r="M42" s="669" t="n"/>
      <c r="N42" s="669" t="n"/>
      <c r="O42" s="669" t="n"/>
      <c r="P42" s="669" t="n"/>
      <c r="Q42" s="669" t="n"/>
      <c r="R42" s="669" t="n"/>
      <c r="S42" s="669" t="n"/>
      <c r="T42" s="669" t="n"/>
      <c r="U42" s="669" t="n"/>
      <c r="V42" s="669" t="n"/>
      <c r="W42" s="669" t="n"/>
      <c r="X42" s="669" t="n"/>
      <c r="Y42" s="669" t="n"/>
      <c r="Z42" s="669" t="n"/>
      <c r="AA42" s="669" t="n"/>
      <c r="AB42" s="669" t="n"/>
    </row>
    <row r="43">
      <c r="A43" s="669" t="n"/>
      <c r="B43" s="669" t="n"/>
      <c r="C43" s="669" t="n"/>
      <c r="D43" s="669" t="n"/>
      <c r="E43" s="669" t="n"/>
      <c r="F43" s="669" t="n"/>
      <c r="G43" s="669" t="n"/>
      <c r="H43" s="669" t="n"/>
    </row>
    <row r="44">
      <c r="A44" s="666" t="n"/>
      <c r="B44" s="1097" t="inlineStr">
        <is>
          <t>Name</t>
        </is>
      </c>
      <c r="C44" s="1098" t="inlineStr">
        <is>
          <t>Biome</t>
        </is>
      </c>
      <c r="D44" s="1098" t="inlineStr">
        <is>
          <t>Rarity</t>
        </is>
      </c>
      <c r="E44" s="1098" t="inlineStr">
        <is>
          <t>Type</t>
        </is>
      </c>
      <c r="F44" s="1098" t="inlineStr">
        <is>
          <t>Adaptability</t>
        </is>
      </c>
      <c r="G44" s="669" t="n"/>
      <c r="I44" s="1099" t="inlineStr">
        <is>
          <t>Priest</t>
        </is>
      </c>
      <c r="J44" s="1100" t="n"/>
      <c r="K44" s="1100" t="n"/>
      <c r="L44" s="1100" t="n"/>
      <c r="M44" s="1100" t="n"/>
      <c r="N44" s="1100" t="n"/>
      <c r="O44" s="1100" t="n"/>
      <c r="P44" s="1100" t="n"/>
      <c r="Q44" s="1101" t="n"/>
      <c r="R44" s="669" t="n"/>
      <c r="S44" s="669" t="n"/>
      <c r="T44" s="669" t="n"/>
      <c r="U44" s="669" t="n"/>
      <c r="V44" s="669" t="n"/>
      <c r="W44" s="669" t="n"/>
      <c r="X44" s="669" t="n"/>
      <c r="Y44" s="669" t="n"/>
      <c r="Z44" s="669" t="n"/>
      <c r="AA44" s="669" t="n"/>
      <c r="AB44" s="669" t="n"/>
    </row>
    <row r="45">
      <c r="A45" s="1037" t="n"/>
      <c r="B45" s="1104" t="inlineStr">
        <is>
          <t>Brionac (SSS)</t>
        </is>
      </c>
      <c r="C45" s="1103" t="inlineStr">
        <is>
          <t>Forest</t>
        </is>
      </c>
      <c r="D45" s="1103" t="inlineStr">
        <is>
          <t>SSS</t>
        </is>
      </c>
      <c r="E45" s="1103" t="inlineStr">
        <is>
          <t>Priest</t>
        </is>
      </c>
      <c r="F45" s="1103" t="inlineStr">
        <is>
          <t>SSS</t>
        </is>
      </c>
      <c r="G45" s="669" t="n"/>
      <c r="H45" s="781" t="n"/>
      <c r="I45" s="1104" t="inlineStr">
        <is>
          <t>Rarity</t>
        </is>
      </c>
      <c r="J45" s="1104" t="inlineStr">
        <is>
          <t>Level Gain</t>
        </is>
      </c>
      <c r="K45" s="1104" t="inlineStr">
        <is>
          <t>1* Base</t>
        </is>
      </c>
      <c r="L45" s="1104" t="inlineStr">
        <is>
          <t>2* Base</t>
        </is>
      </c>
      <c r="M45" s="1104" t="inlineStr">
        <is>
          <t>3* Base</t>
        </is>
      </c>
      <c r="N45" s="1104" t="inlineStr">
        <is>
          <t>4* Base</t>
        </is>
      </c>
      <c r="O45" s="1104" t="inlineStr">
        <is>
          <t>5* Base</t>
        </is>
      </c>
      <c r="P45" s="1104" t="inlineStr">
        <is>
          <t>6* Base</t>
        </is>
      </c>
      <c r="Q45" s="1104" t="inlineStr">
        <is>
          <t>7* Base</t>
        </is>
      </c>
      <c r="R45" s="669" t="n"/>
      <c r="S45" s="669" t="n"/>
      <c r="T45" s="669" t="n"/>
      <c r="U45" s="669" t="n"/>
      <c r="V45" s="669" t="n"/>
      <c r="W45" s="669" t="n"/>
      <c r="X45" s="669" t="n"/>
      <c r="Y45" s="669" t="n"/>
      <c r="Z45" s="669" t="n"/>
      <c r="AA45" s="669" t="n"/>
      <c r="AB45" s="669" t="n"/>
    </row>
    <row r="46">
      <c r="A46" s="1037" t="n"/>
      <c r="B46" s="1104" t="inlineStr">
        <is>
          <t>Brionac (SS)</t>
        </is>
      </c>
      <c r="C46" s="1103" t="inlineStr">
        <is>
          <t>Forest</t>
        </is>
      </c>
      <c r="D46" s="1103" t="inlineStr">
        <is>
          <t>SS</t>
        </is>
      </c>
      <c r="E46" s="1103" t="inlineStr">
        <is>
          <t>Priest</t>
        </is>
      </c>
      <c r="F46" s="1103" t="inlineStr">
        <is>
          <t>SSS</t>
        </is>
      </c>
      <c r="G46" s="669" t="n"/>
      <c r="H46" s="781" t="n"/>
      <c r="I46" s="1104" t="inlineStr">
        <is>
          <t>SSS</t>
        </is>
      </c>
      <c r="J46" s="1108" t="n">
        <v>250</v>
      </c>
      <c r="K46" s="1108" t="n">
        <v>0</v>
      </c>
      <c r="L46" s="1108" t="n">
        <v>25</v>
      </c>
      <c r="M46" s="1108" t="n">
        <v>125</v>
      </c>
      <c r="N46" s="1108" t="n">
        <v>725</v>
      </c>
      <c r="O46" s="1108" t="n">
        <v>2825</v>
      </c>
      <c r="P46" s="1108" t="n">
        <v>6125</v>
      </c>
      <c r="Q46" s="1108" t="n">
        <v>22925</v>
      </c>
      <c r="R46" s="669" t="n"/>
      <c r="S46" s="669" t="n"/>
      <c r="T46" s="669" t="n"/>
      <c r="U46" s="669" t="n"/>
      <c r="V46" s="669" t="n"/>
      <c r="W46" s="669" t="n"/>
      <c r="X46" s="669" t="n"/>
      <c r="Y46" s="669" t="n"/>
      <c r="Z46" s="669" t="n"/>
      <c r="AA46" s="669" t="n"/>
      <c r="AB46" s="669" t="n"/>
    </row>
    <row r="47">
      <c r="A47" s="1037" t="n"/>
      <c r="B47" s="1104" t="inlineStr">
        <is>
          <t>T-Rex (SSS)</t>
        </is>
      </c>
      <c r="C47" s="1103" t="inlineStr">
        <is>
          <t>Forest</t>
        </is>
      </c>
      <c r="D47" s="1103" t="inlineStr">
        <is>
          <t>SSS</t>
        </is>
      </c>
      <c r="E47" s="1103" t="inlineStr">
        <is>
          <t>Priest</t>
        </is>
      </c>
      <c r="F47" s="1103" t="inlineStr">
        <is>
          <t>SSS</t>
        </is>
      </c>
      <c r="G47" s="669" t="n"/>
      <c r="H47" s="781" t="n"/>
      <c r="I47" s="1104" t="inlineStr">
        <is>
          <t>SS</t>
        </is>
      </c>
      <c r="J47" s="1108" t="n">
        <v>225</v>
      </c>
      <c r="K47" s="1108" t="n">
        <v>0</v>
      </c>
      <c r="L47" s="1108" t="n">
        <v>25</v>
      </c>
      <c r="M47" s="1108" t="n">
        <v>125</v>
      </c>
      <c r="N47" s="1108" t="n">
        <v>725</v>
      </c>
      <c r="O47" s="1108" t="n">
        <v>2825</v>
      </c>
      <c r="P47" s="1108" t="n">
        <v>6125</v>
      </c>
      <c r="Q47" s="1108" t="n">
        <v>22925</v>
      </c>
      <c r="R47" s="669" t="n"/>
      <c r="S47" s="669" t="n"/>
      <c r="T47" s="669" t="n"/>
      <c r="U47" s="669" t="n"/>
      <c r="V47" s="669" t="n"/>
      <c r="W47" s="669" t="n"/>
      <c r="X47" s="669" t="n"/>
      <c r="Y47" s="669" t="n"/>
      <c r="Z47" s="669" t="n"/>
      <c r="AA47" s="669" t="n"/>
      <c r="AB47" s="669" t="n"/>
    </row>
    <row r="48">
      <c r="A48" s="1037" t="n"/>
      <c r="B48" s="1104" t="inlineStr">
        <is>
          <t>T-Rex (SS)</t>
        </is>
      </c>
      <c r="C48" s="1103" t="inlineStr">
        <is>
          <t>Forest</t>
        </is>
      </c>
      <c r="D48" s="1103" t="inlineStr">
        <is>
          <t>SS</t>
        </is>
      </c>
      <c r="E48" s="1103" t="inlineStr">
        <is>
          <t>Priest</t>
        </is>
      </c>
      <c r="F48" s="1103" t="inlineStr">
        <is>
          <t>SSS</t>
        </is>
      </c>
      <c r="G48" s="669" t="n"/>
      <c r="H48" s="781" t="n"/>
      <c r="I48" s="1104" t="inlineStr">
        <is>
          <t>S</t>
        </is>
      </c>
      <c r="J48" s="1108" t="n">
        <v>200</v>
      </c>
      <c r="K48" s="1108" t="n">
        <v>0</v>
      </c>
      <c r="L48" s="1108" t="n">
        <v>25</v>
      </c>
      <c r="M48" s="1108" t="n">
        <v>125</v>
      </c>
      <c r="N48" s="1108" t="n">
        <v>725</v>
      </c>
      <c r="O48" s="1108" t="n">
        <v>2825</v>
      </c>
      <c r="P48" s="1108" t="n">
        <v>6125</v>
      </c>
      <c r="Q48" s="1104" t="n"/>
      <c r="R48" s="669" t="n"/>
      <c r="S48" s="669" t="n"/>
      <c r="T48" s="669" t="n"/>
      <c r="U48" s="669" t="n"/>
      <c r="V48" s="669" t="n"/>
      <c r="W48" s="669" t="n"/>
      <c r="X48" s="669" t="n"/>
      <c r="Y48" s="669" t="n"/>
      <c r="Z48" s="669" t="n"/>
      <c r="AA48" s="669" t="n"/>
      <c r="AB48" s="669" t="n"/>
    </row>
    <row r="49">
      <c r="A49" s="1037" t="n"/>
      <c r="B49" s="1104" t="inlineStr">
        <is>
          <t>Embergator</t>
        </is>
      </c>
      <c r="C49" s="1103" t="inlineStr">
        <is>
          <t>Forest</t>
        </is>
      </c>
      <c r="D49" s="1103" t="inlineStr">
        <is>
          <t>S</t>
        </is>
      </c>
      <c r="E49" s="1103" t="inlineStr">
        <is>
          <t>Priest</t>
        </is>
      </c>
      <c r="F49" s="1103" t="inlineStr">
        <is>
          <t>SS</t>
        </is>
      </c>
      <c r="G49" s="669" t="n"/>
      <c r="H49" s="781" t="n"/>
      <c r="I49" s="1104" t="inlineStr">
        <is>
          <t>Purple</t>
        </is>
      </c>
      <c r="J49" s="1108" t="n">
        <v>175</v>
      </c>
      <c r="K49" s="1108" t="n">
        <v>0</v>
      </c>
      <c r="L49" s="1108" t="n">
        <v>25</v>
      </c>
      <c r="M49" s="1108" t="n">
        <v>125</v>
      </c>
      <c r="N49" s="1108" t="n">
        <v>725</v>
      </c>
      <c r="O49" s="1108" t="n">
        <v>2825</v>
      </c>
      <c r="P49" s="1104" t="n"/>
      <c r="Q49" s="1104" t="n"/>
      <c r="R49" s="669" t="n"/>
      <c r="S49" s="669" t="n"/>
      <c r="T49" s="669" t="n"/>
      <c r="U49" s="669" t="n"/>
      <c r="V49" s="669" t="n"/>
      <c r="W49" s="669" t="n"/>
      <c r="X49" s="669" t="n"/>
      <c r="Y49" s="669" t="n"/>
      <c r="Z49" s="669" t="n"/>
      <c r="AA49" s="669" t="n"/>
      <c r="AB49" s="669" t="n"/>
    </row>
    <row r="50">
      <c r="A50" s="1037" t="n"/>
      <c r="B50" s="1104" t="inlineStr">
        <is>
          <t>Pythonwing</t>
        </is>
      </c>
      <c r="C50" s="1103" t="inlineStr">
        <is>
          <t>Forest</t>
        </is>
      </c>
      <c r="D50" s="1103" t="inlineStr">
        <is>
          <t>Purple</t>
        </is>
      </c>
      <c r="E50" s="1103" t="inlineStr">
        <is>
          <t>Priest</t>
        </is>
      </c>
      <c r="F50" s="1103" t="inlineStr">
        <is>
          <t>A</t>
        </is>
      </c>
      <c r="G50" s="669" t="n"/>
      <c r="H50" s="781" t="n"/>
      <c r="I50" s="1037" t="n"/>
      <c r="J50" s="1037" t="n"/>
      <c r="K50" s="1037" t="n"/>
      <c r="L50" s="1037" t="n"/>
      <c r="M50" s="1037" t="n"/>
      <c r="N50" s="1037" t="n"/>
      <c r="O50" s="1037" t="n"/>
      <c r="P50" s="1037" t="n"/>
      <c r="Q50" s="1037" t="n"/>
      <c r="R50" s="669" t="n"/>
      <c r="S50" s="669" t="n"/>
      <c r="T50" s="669" t="n"/>
      <c r="U50" s="669" t="n"/>
      <c r="V50" s="669" t="n"/>
      <c r="W50" s="669" t="n"/>
      <c r="X50" s="669" t="n"/>
      <c r="Y50" s="669" t="n"/>
      <c r="Z50" s="669" t="n"/>
      <c r="AA50" s="669" t="n"/>
      <c r="AB50" s="669" t="n"/>
    </row>
    <row r="51">
      <c r="A51" s="1037" t="n"/>
      <c r="B51" s="1104" t="inlineStr">
        <is>
          <t>Aroundight (SSS)</t>
        </is>
      </c>
      <c r="C51" s="1103" t="inlineStr">
        <is>
          <t>Forest</t>
        </is>
      </c>
      <c r="D51" s="1103" t="inlineStr">
        <is>
          <t>SSS</t>
        </is>
      </c>
      <c r="E51" s="1103" t="inlineStr">
        <is>
          <t>Devotee</t>
        </is>
      </c>
      <c r="F51" s="1103" t="inlineStr">
        <is>
          <t>SSS</t>
        </is>
      </c>
      <c r="G51" s="669" t="n"/>
      <c r="I51" s="1099" t="inlineStr">
        <is>
          <t>Devotee</t>
        </is>
      </c>
      <c r="J51" s="1106" t="n"/>
      <c r="K51" s="1106" t="n"/>
      <c r="L51" s="1106" t="n"/>
      <c r="M51" s="1106" t="n"/>
      <c r="N51" s="1106" t="n"/>
      <c r="O51" s="1106" t="n"/>
      <c r="P51" s="1106" t="n"/>
      <c r="Q51" s="1107" t="n"/>
      <c r="R51" s="669" t="n"/>
      <c r="S51" s="669" t="n"/>
      <c r="T51" s="669" t="n"/>
      <c r="U51" s="669" t="n"/>
      <c r="V51" s="669" t="n"/>
      <c r="W51" s="669" t="n"/>
      <c r="X51" s="669" t="n"/>
      <c r="Y51" s="669" t="n"/>
      <c r="Z51" s="669" t="n"/>
      <c r="AA51" s="669" t="n"/>
      <c r="AB51" s="669" t="n"/>
    </row>
    <row r="52">
      <c r="A52" s="1037" t="n"/>
      <c r="B52" s="1104" t="inlineStr">
        <is>
          <t>Aroundight (SS)</t>
        </is>
      </c>
      <c r="C52" s="1103" t="inlineStr">
        <is>
          <t>Forest</t>
        </is>
      </c>
      <c r="D52" s="1103" t="inlineStr">
        <is>
          <t>SS</t>
        </is>
      </c>
      <c r="E52" s="1103" t="inlineStr">
        <is>
          <t>Devotee</t>
        </is>
      </c>
      <c r="F52" s="1103" t="inlineStr">
        <is>
          <t>SSS</t>
        </is>
      </c>
      <c r="G52" s="669" t="n"/>
      <c r="H52" s="781" t="n"/>
      <c r="I52" s="1104" t="inlineStr">
        <is>
          <t>Rarity</t>
        </is>
      </c>
      <c r="J52" s="1104" t="inlineStr">
        <is>
          <t>Level Gain</t>
        </is>
      </c>
      <c r="K52" s="1104" t="inlineStr">
        <is>
          <t>1* Base</t>
        </is>
      </c>
      <c r="L52" s="1104" t="inlineStr">
        <is>
          <t>2* Base</t>
        </is>
      </c>
      <c r="M52" s="1104" t="inlineStr">
        <is>
          <t>3* Base</t>
        </is>
      </c>
      <c r="N52" s="1104" t="inlineStr">
        <is>
          <t>4* Base</t>
        </is>
      </c>
      <c r="O52" s="1104" t="inlineStr">
        <is>
          <t>5* Base</t>
        </is>
      </c>
      <c r="P52" s="1104" t="inlineStr">
        <is>
          <t>6* Base</t>
        </is>
      </c>
      <c r="Q52" s="1104" t="inlineStr">
        <is>
          <t>7* Base</t>
        </is>
      </c>
      <c r="R52" s="669" t="n"/>
      <c r="S52" s="669" t="n"/>
      <c r="T52" s="669" t="n"/>
      <c r="U52" s="669" t="n"/>
      <c r="V52" s="669" t="n"/>
      <c r="W52" s="669" t="n"/>
      <c r="X52" s="669" t="n"/>
      <c r="Y52" s="669" t="n"/>
      <c r="Z52" s="669" t="n"/>
      <c r="AA52" s="669" t="n"/>
      <c r="AB52" s="669" t="n"/>
    </row>
    <row r="53">
      <c r="A53" s="1037" t="n"/>
      <c r="B53" s="1104" t="inlineStr">
        <is>
          <t>Gae Bolg (SSS)</t>
        </is>
      </c>
      <c r="C53" s="1103" t="inlineStr">
        <is>
          <t>Forest</t>
        </is>
      </c>
      <c r="D53" s="1103" t="inlineStr">
        <is>
          <t>SSS</t>
        </is>
      </c>
      <c r="E53" s="1103" t="inlineStr">
        <is>
          <t>Devotee</t>
        </is>
      </c>
      <c r="F53" s="1103" t="inlineStr">
        <is>
          <t>SSS</t>
        </is>
      </c>
      <c r="G53" s="669" t="n"/>
      <c r="H53" s="781" t="n"/>
      <c r="I53" s="1104" t="inlineStr">
        <is>
          <t>SSS</t>
        </is>
      </c>
      <c r="J53" s="1108" t="n">
        <v>50</v>
      </c>
      <c r="K53" s="1108" t="n">
        <v>0</v>
      </c>
      <c r="L53" s="1108" t="n">
        <v>5</v>
      </c>
      <c r="M53" s="1108" t="n">
        <v>25</v>
      </c>
      <c r="N53" s="1108" t="n">
        <v>127</v>
      </c>
      <c r="O53" s="1108" t="n">
        <v>661</v>
      </c>
      <c r="P53" s="1108" t="n">
        <v>1543</v>
      </c>
      <c r="Q53" s="1108" t="n">
        <v>4411</v>
      </c>
      <c r="R53" s="669" t="n"/>
      <c r="S53" s="669" t="n"/>
      <c r="T53" s="669" t="n"/>
      <c r="U53" s="669" t="n"/>
      <c r="V53" s="669" t="n"/>
      <c r="W53" s="669" t="n"/>
      <c r="X53" s="669" t="n"/>
      <c r="Y53" s="669" t="n"/>
      <c r="Z53" s="669" t="n"/>
      <c r="AA53" s="669" t="n"/>
      <c r="AB53" s="669" t="n"/>
    </row>
    <row r="54">
      <c r="A54" s="1037" t="n"/>
      <c r="B54" s="1104" t="inlineStr">
        <is>
          <t>Gae Bolg (SS)</t>
        </is>
      </c>
      <c r="C54" s="1103" t="inlineStr">
        <is>
          <t>Forest</t>
        </is>
      </c>
      <c r="D54" s="1103" t="inlineStr">
        <is>
          <t>SS</t>
        </is>
      </c>
      <c r="E54" s="1103" t="inlineStr">
        <is>
          <t>Devotee</t>
        </is>
      </c>
      <c r="F54" s="1103" t="inlineStr">
        <is>
          <t>SSS</t>
        </is>
      </c>
      <c r="G54" s="669" t="n"/>
      <c r="H54" s="781" t="n"/>
      <c r="I54" s="1104" t="inlineStr">
        <is>
          <t>SS</t>
        </is>
      </c>
      <c r="J54" s="1108" t="n">
        <v>45</v>
      </c>
      <c r="K54" s="1108" t="n">
        <v>0</v>
      </c>
      <c r="L54" s="1108" t="n">
        <v>5</v>
      </c>
      <c r="M54" s="1108" t="n">
        <v>25</v>
      </c>
      <c r="N54" s="1108" t="n">
        <v>127</v>
      </c>
      <c r="O54" s="1108" t="n">
        <v>661</v>
      </c>
      <c r="P54" s="1108" t="n">
        <v>1543</v>
      </c>
      <c r="Q54" s="1108" t="n">
        <v>4411</v>
      </c>
      <c r="R54" s="669" t="n"/>
      <c r="S54" s="669" t="n"/>
      <c r="T54" s="669" t="n"/>
      <c r="U54" s="669" t="n"/>
      <c r="V54" s="669" t="n"/>
      <c r="W54" s="669" t="n"/>
      <c r="X54" s="669" t="n"/>
      <c r="Y54" s="669" t="n"/>
      <c r="Z54" s="669" t="n"/>
      <c r="AA54" s="669" t="n"/>
      <c r="AB54" s="669" t="n"/>
    </row>
    <row r="55">
      <c r="A55" s="1037" t="n"/>
      <c r="B55" s="1104" t="inlineStr">
        <is>
          <t>Gjallarhorn (SSS)</t>
        </is>
      </c>
      <c r="C55" s="1103" t="inlineStr">
        <is>
          <t>Forest</t>
        </is>
      </c>
      <c r="D55" s="1103" t="inlineStr">
        <is>
          <t>SSS</t>
        </is>
      </c>
      <c r="E55" s="1103" t="inlineStr">
        <is>
          <t>Devotee</t>
        </is>
      </c>
      <c r="F55" s="1103" t="inlineStr">
        <is>
          <t>SSS</t>
        </is>
      </c>
      <c r="G55" s="669" t="n"/>
      <c r="H55" s="781" t="n"/>
      <c r="I55" s="1104" t="inlineStr">
        <is>
          <t>S</t>
        </is>
      </c>
      <c r="J55" s="1108" t="n">
        <v>40</v>
      </c>
      <c r="K55" s="1108" t="n">
        <v>0</v>
      </c>
      <c r="L55" s="1108" t="n">
        <v>5</v>
      </c>
      <c r="M55" s="1108" t="n">
        <v>25</v>
      </c>
      <c r="N55" s="1108" t="n">
        <v>127</v>
      </c>
      <c r="O55" s="1108" t="n">
        <v>661</v>
      </c>
      <c r="P55" s="1108" t="n">
        <v>1543</v>
      </c>
      <c r="Q55" s="1104" t="n"/>
      <c r="R55" s="669" t="n"/>
      <c r="S55" s="669" t="n"/>
      <c r="T55" s="669" t="n"/>
      <c r="U55" s="669" t="n"/>
      <c r="V55" s="669" t="n"/>
      <c r="W55" s="669" t="n"/>
      <c r="X55" s="669" t="n"/>
      <c r="Y55" s="669" t="n"/>
      <c r="Z55" s="669" t="n"/>
      <c r="AA55" s="669" t="n"/>
      <c r="AB55" s="669" t="n"/>
    </row>
    <row r="56">
      <c r="A56" s="1037" t="n"/>
      <c r="B56" s="1104" t="inlineStr">
        <is>
          <t>Gjallarhorn (SS)</t>
        </is>
      </c>
      <c r="C56" s="1103" t="inlineStr">
        <is>
          <t>Forest</t>
        </is>
      </c>
      <c r="D56" s="1103" t="inlineStr">
        <is>
          <t>SS</t>
        </is>
      </c>
      <c r="E56" s="1103" t="inlineStr">
        <is>
          <t>Devotee</t>
        </is>
      </c>
      <c r="F56" s="1103" t="inlineStr">
        <is>
          <t>SSS</t>
        </is>
      </c>
      <c r="G56" s="669" t="n"/>
      <c r="H56" s="781" t="n"/>
      <c r="I56" s="1104" t="inlineStr">
        <is>
          <t>Purple</t>
        </is>
      </c>
      <c r="J56" s="1108" t="n">
        <v>35</v>
      </c>
      <c r="K56" s="1108" t="n">
        <v>0</v>
      </c>
      <c r="L56" s="1108" t="n">
        <v>5</v>
      </c>
      <c r="M56" s="1108" t="n">
        <v>25</v>
      </c>
      <c r="N56" s="1108" t="n">
        <v>127</v>
      </c>
      <c r="O56" s="1108" t="n">
        <v>661</v>
      </c>
      <c r="P56" s="1104" t="n"/>
      <c r="Q56" s="1104" t="n"/>
      <c r="R56" s="669" t="n"/>
      <c r="S56" s="669" t="n"/>
      <c r="T56" s="669" t="n"/>
      <c r="U56" s="669" t="n"/>
      <c r="V56" s="669" t="n"/>
      <c r="W56" s="669" t="n"/>
      <c r="X56" s="669" t="n"/>
      <c r="Y56" s="669" t="n"/>
      <c r="Z56" s="669" t="n"/>
      <c r="AA56" s="669" t="n"/>
      <c r="AB56" s="669" t="n"/>
    </row>
    <row r="57">
      <c r="A57" s="1037" t="n"/>
      <c r="B57" s="1104" t="inlineStr">
        <is>
          <t>Chaomon</t>
        </is>
      </c>
      <c r="C57" s="1103" t="inlineStr">
        <is>
          <t>Forest</t>
        </is>
      </c>
      <c r="D57" s="1103" t="inlineStr">
        <is>
          <t>SS</t>
        </is>
      </c>
      <c r="E57" s="1103" t="inlineStr">
        <is>
          <t>Devotee</t>
        </is>
      </c>
      <c r="F57" s="1103" t="inlineStr">
        <is>
          <t>SS</t>
        </is>
      </c>
      <c r="G57" s="669" t="n"/>
      <c r="H57" s="781" t="n"/>
      <c r="I57" s="1104" t="inlineStr">
        <is>
          <t>Blue</t>
        </is>
      </c>
      <c r="J57" s="1108" t="n">
        <v>30</v>
      </c>
      <c r="K57" s="1108" t="n">
        <v>0</v>
      </c>
      <c r="L57" s="1108" t="n">
        <v>5</v>
      </c>
      <c r="M57" s="1108" t="n">
        <v>25</v>
      </c>
      <c r="N57" s="1108" t="n">
        <v>127</v>
      </c>
      <c r="O57" s="1104" t="n"/>
      <c r="P57" s="1104" t="n"/>
      <c r="Q57" s="1104" t="n"/>
      <c r="R57" s="669" t="n"/>
      <c r="S57" s="669" t="n"/>
      <c r="T57" s="669" t="n"/>
      <c r="U57" s="669" t="n"/>
      <c r="V57" s="669" t="n"/>
      <c r="W57" s="669" t="n"/>
      <c r="X57" s="669" t="n"/>
      <c r="Y57" s="669" t="n"/>
      <c r="Z57" s="669" t="n"/>
      <c r="AA57" s="669" t="n"/>
      <c r="AB57" s="669" t="n"/>
    </row>
    <row r="58">
      <c r="A58" s="1037" t="n"/>
      <c r="B58" s="1104" t="inlineStr">
        <is>
          <t>Ugarmon</t>
        </is>
      </c>
      <c r="C58" s="1103" t="inlineStr">
        <is>
          <t>Forest</t>
        </is>
      </c>
      <c r="D58" s="1103" t="inlineStr">
        <is>
          <t>S</t>
        </is>
      </c>
      <c r="E58" s="1103" t="inlineStr">
        <is>
          <t>Devotee</t>
        </is>
      </c>
      <c r="F58" s="1103" t="inlineStr">
        <is>
          <t>SS</t>
        </is>
      </c>
      <c r="G58" s="669" t="n"/>
      <c r="H58" s="781" t="n"/>
      <c r="I58" s="1037" t="n"/>
      <c r="J58" s="1037" t="n"/>
      <c r="K58" s="1037" t="n"/>
      <c r="L58" s="1037" t="n"/>
      <c r="M58" s="1037" t="n"/>
      <c r="N58" s="1037" t="n"/>
      <c r="O58" s="1037" t="n"/>
      <c r="P58" s="1037" t="n"/>
      <c r="Q58" s="1037" t="n"/>
      <c r="R58" s="669" t="n"/>
      <c r="S58" s="669" t="n"/>
      <c r="T58" s="669" t="n"/>
      <c r="U58" s="669" t="n"/>
      <c r="V58" s="669" t="n"/>
      <c r="W58" s="669" t="n"/>
      <c r="X58" s="669" t="n"/>
      <c r="Y58" s="669" t="n"/>
      <c r="Z58" s="669" t="n"/>
      <c r="AA58" s="669" t="n"/>
      <c r="AB58" s="669" t="n"/>
    </row>
    <row r="59">
      <c r="A59" s="1037" t="n"/>
      <c r="B59" s="1104" t="inlineStr">
        <is>
          <t>Netherstag</t>
        </is>
      </c>
      <c r="C59" s="1103" t="inlineStr">
        <is>
          <t>Forest</t>
        </is>
      </c>
      <c r="D59" s="1103" t="inlineStr">
        <is>
          <t>S</t>
        </is>
      </c>
      <c r="E59" s="1103" t="inlineStr">
        <is>
          <t>Devotee</t>
        </is>
      </c>
      <c r="F59" s="1103" t="inlineStr">
        <is>
          <t>SS</t>
        </is>
      </c>
      <c r="G59" s="669" t="n"/>
      <c r="H59" s="781" t="n"/>
      <c r="I59" s="1037" t="n"/>
      <c r="J59" s="1037" t="n"/>
      <c r="K59" s="1037" t="n"/>
      <c r="L59" s="1037" t="n"/>
      <c r="M59" s="1037" t="n"/>
      <c r="N59" s="1037" t="n"/>
      <c r="O59" s="1037" t="n"/>
      <c r="P59" s="1037" t="n"/>
      <c r="Q59" s="1037" t="n"/>
      <c r="R59" s="669" t="n"/>
      <c r="S59" s="669" t="n"/>
      <c r="T59" s="669" t="n"/>
      <c r="U59" s="669" t="n"/>
      <c r="V59" s="669" t="n"/>
      <c r="W59" s="669" t="n"/>
      <c r="X59" s="669" t="n"/>
      <c r="Y59" s="669" t="n"/>
      <c r="Z59" s="669" t="n"/>
      <c r="AA59" s="669" t="n"/>
      <c r="AB59" s="669" t="n"/>
    </row>
    <row r="60">
      <c r="A60" s="1037" t="n"/>
      <c r="B60" s="1104" t="inlineStr">
        <is>
          <t>Tyrannocroc</t>
        </is>
      </c>
      <c r="C60" s="1103" t="inlineStr">
        <is>
          <t>Forest</t>
        </is>
      </c>
      <c r="D60" s="1103" t="inlineStr">
        <is>
          <t>S</t>
        </is>
      </c>
      <c r="E60" s="1103" t="inlineStr">
        <is>
          <t>Devotee</t>
        </is>
      </c>
      <c r="F60" s="1103" t="inlineStr">
        <is>
          <t>SS</t>
        </is>
      </c>
      <c r="G60" s="669" t="n"/>
      <c r="H60" s="781" t="n"/>
      <c r="I60" s="1104" t="inlineStr">
        <is>
          <t>Adaptability</t>
        </is>
      </c>
      <c r="J60" s="1104" t="inlineStr">
        <is>
          <t>% Multiplier</t>
        </is>
      </c>
      <c r="K60" s="1037" t="n"/>
      <c r="L60" s="1037" t="n"/>
      <c r="M60" s="1037" t="n"/>
      <c r="N60" s="1103" t="inlineStr">
        <is>
          <t>Star</t>
        </is>
      </c>
      <c r="O60" s="1103" t="inlineStr">
        <is>
          <t>Max Priest</t>
        </is>
      </c>
      <c r="P60" s="1103" t="inlineStr">
        <is>
          <t>Max Devotee</t>
        </is>
      </c>
      <c r="R60" s="669" t="n"/>
      <c r="S60" s="669" t="n"/>
      <c r="T60" s="669" t="n"/>
      <c r="U60" s="669" t="n"/>
      <c r="V60" s="669" t="n"/>
      <c r="W60" s="669" t="n"/>
      <c r="X60" s="669" t="n"/>
      <c r="Y60" s="669" t="n"/>
      <c r="Z60" s="669" t="n"/>
      <c r="AA60" s="669" t="n"/>
      <c r="AB60" s="669" t="n"/>
    </row>
    <row r="61">
      <c r="A61" s="1037" t="n"/>
      <c r="B61" s="1104" t="inlineStr">
        <is>
          <t>Deathbat</t>
        </is>
      </c>
      <c r="C61" s="1103" t="inlineStr">
        <is>
          <t>Forest</t>
        </is>
      </c>
      <c r="D61" s="1103" t="inlineStr">
        <is>
          <t>S</t>
        </is>
      </c>
      <c r="E61" s="1103" t="inlineStr">
        <is>
          <t>Devotee</t>
        </is>
      </c>
      <c r="F61" s="1103" t="inlineStr">
        <is>
          <t>S</t>
        </is>
      </c>
      <c r="G61" s="669" t="n"/>
      <c r="H61" s="781" t="n"/>
      <c r="I61" s="1104" t="inlineStr">
        <is>
          <t>SSS</t>
        </is>
      </c>
      <c r="J61" s="1108" t="n">
        <v>40</v>
      </c>
      <c r="K61" s="1037" t="n"/>
      <c r="L61" s="1037" t="n"/>
      <c r="M61" s="1037" t="n"/>
      <c r="N61" s="1104" t="n">
        <v>1</v>
      </c>
      <c r="O61" s="1104" t="n">
        <v>20</v>
      </c>
      <c r="P61" s="1104" t="n">
        <v>10</v>
      </c>
      <c r="Q61" s="1037" t="n"/>
      <c r="R61" s="669" t="n"/>
      <c r="S61" s="669" t="n"/>
      <c r="T61" s="669" t="n"/>
      <c r="U61" s="669" t="n"/>
      <c r="V61" s="669" t="n"/>
      <c r="W61" s="669" t="n"/>
      <c r="X61" s="669" t="n"/>
      <c r="Y61" s="669" t="n"/>
      <c r="Z61" s="669" t="n"/>
      <c r="AA61" s="669" t="n"/>
      <c r="AB61" s="669" t="n"/>
    </row>
    <row r="62">
      <c r="A62" s="1037" t="n"/>
      <c r="B62" s="1104" t="inlineStr">
        <is>
          <t>Ladomon</t>
        </is>
      </c>
      <c r="C62" s="1103" t="inlineStr">
        <is>
          <t>Forest</t>
        </is>
      </c>
      <c r="D62" s="1103" t="inlineStr">
        <is>
          <t>S</t>
        </is>
      </c>
      <c r="E62" s="1103" t="inlineStr">
        <is>
          <t>Devotee</t>
        </is>
      </c>
      <c r="F62" s="1103" t="inlineStr">
        <is>
          <t>S</t>
        </is>
      </c>
      <c r="G62" s="669" t="n"/>
      <c r="H62" s="781" t="n"/>
      <c r="I62" s="1104" t="inlineStr">
        <is>
          <t>SS</t>
        </is>
      </c>
      <c r="J62" s="1108" t="n">
        <v>34</v>
      </c>
      <c r="K62" s="1037" t="n"/>
      <c r="L62" s="1037" t="n"/>
      <c r="M62" s="1037" t="n"/>
      <c r="N62" s="1104" t="n">
        <v>2</v>
      </c>
      <c r="O62" s="1104" t="n">
        <v>40</v>
      </c>
      <c r="P62" s="1104" t="n">
        <v>20</v>
      </c>
      <c r="Q62" s="1037" t="n"/>
      <c r="R62" s="669" t="n"/>
      <c r="S62" s="669" t="n"/>
      <c r="T62" s="669" t="n"/>
      <c r="U62" s="669" t="n"/>
      <c r="V62" s="669" t="n"/>
      <c r="W62" s="669" t="n"/>
      <c r="X62" s="669" t="n"/>
      <c r="Y62" s="669" t="n"/>
      <c r="Z62" s="669" t="n"/>
      <c r="AA62" s="669" t="n"/>
      <c r="AB62" s="669" t="n"/>
    </row>
    <row r="63">
      <c r="A63" s="1037" t="n"/>
      <c r="B63" s="1104" t="inlineStr">
        <is>
          <t>Shorewing</t>
        </is>
      </c>
      <c r="C63" s="1103" t="inlineStr">
        <is>
          <t>Forest</t>
        </is>
      </c>
      <c r="D63" s="1103" t="inlineStr">
        <is>
          <t>S</t>
        </is>
      </c>
      <c r="E63" s="1103" t="inlineStr">
        <is>
          <t>Devotee</t>
        </is>
      </c>
      <c r="F63" s="1103" t="inlineStr">
        <is>
          <t>S</t>
        </is>
      </c>
      <c r="G63" s="669" t="n"/>
      <c r="H63" s="781" t="n"/>
      <c r="I63" s="1104" t="inlineStr">
        <is>
          <t>S</t>
        </is>
      </c>
      <c r="J63" s="1108" t="n">
        <v>28</v>
      </c>
      <c r="K63" s="1037" t="n"/>
      <c r="L63" s="1037" t="n"/>
      <c r="M63" s="1037" t="n"/>
      <c r="N63" s="1104" t="n">
        <v>3</v>
      </c>
      <c r="O63" s="1104" t="n">
        <v>80</v>
      </c>
      <c r="P63" s="1104" t="n">
        <v>40</v>
      </c>
      <c r="Q63" s="1037" t="n"/>
      <c r="R63" s="669" t="n"/>
      <c r="S63" s="669" t="n"/>
      <c r="T63" s="669" t="n"/>
      <c r="U63" s="669" t="n"/>
      <c r="V63" s="669" t="n"/>
      <c r="W63" s="669" t="n"/>
      <c r="X63" s="669" t="n"/>
      <c r="Y63" s="669" t="n"/>
      <c r="Z63" s="669" t="n"/>
      <c r="AA63" s="669" t="n"/>
      <c r="AB63" s="669" t="n"/>
    </row>
    <row r="64">
      <c r="A64" s="1037" t="n"/>
      <c r="B64" s="1104" t="inlineStr">
        <is>
          <t>Tigergator</t>
        </is>
      </c>
      <c r="C64" s="1103" t="inlineStr">
        <is>
          <t>Forest</t>
        </is>
      </c>
      <c r="D64" s="1103" t="inlineStr">
        <is>
          <t>S</t>
        </is>
      </c>
      <c r="E64" s="1103" t="inlineStr">
        <is>
          <t>Devotee</t>
        </is>
      </c>
      <c r="F64" s="1103" t="inlineStr">
        <is>
          <t>S</t>
        </is>
      </c>
      <c r="G64" s="669" t="n"/>
      <c r="H64" s="781" t="n"/>
      <c r="I64" s="1104" t="inlineStr">
        <is>
          <t>A</t>
        </is>
      </c>
      <c r="J64" s="1108" t="n">
        <v>22</v>
      </c>
      <c r="K64" s="1037" t="n"/>
      <c r="L64" s="1037" t="n"/>
      <c r="M64" s="1037" t="n"/>
      <c r="N64" s="1104" t="n">
        <v>4</v>
      </c>
      <c r="O64" s="1104" t="n">
        <v>120</v>
      </c>
      <c r="P64" s="1104" t="n">
        <v>60</v>
      </c>
      <c r="Q64" s="1037" t="n"/>
      <c r="R64" s="669" t="n"/>
      <c r="S64" s="669" t="n"/>
      <c r="T64" s="669" t="n"/>
      <c r="U64" s="669" t="n"/>
      <c r="V64" s="669" t="n"/>
      <c r="W64" s="669" t="n"/>
      <c r="X64" s="669" t="n"/>
      <c r="Y64" s="669" t="n"/>
      <c r="Z64" s="669" t="n"/>
      <c r="AA64" s="669" t="n"/>
      <c r="AB64" s="669" t="n"/>
    </row>
    <row r="65">
      <c r="A65" s="1037" t="n"/>
      <c r="B65" s="1104" t="inlineStr">
        <is>
          <t>Goregator</t>
        </is>
      </c>
      <c r="C65" s="1103" t="inlineStr">
        <is>
          <t>Forest</t>
        </is>
      </c>
      <c r="D65" s="1103" t="inlineStr">
        <is>
          <t>S</t>
        </is>
      </c>
      <c r="E65" s="1103" t="inlineStr">
        <is>
          <t>Devotee</t>
        </is>
      </c>
      <c r="F65" s="1103" t="inlineStr">
        <is>
          <t>S</t>
        </is>
      </c>
      <c r="G65" s="669" t="n"/>
      <c r="H65" s="669" t="n"/>
      <c r="I65" s="1104" t="inlineStr">
        <is>
          <t>B</t>
        </is>
      </c>
      <c r="J65" s="1108" t="n">
        <v>16</v>
      </c>
      <c r="K65" s="1037" t="n"/>
      <c r="L65" s="1037" t="n"/>
      <c r="M65" s="1037" t="n"/>
      <c r="N65" s="1104" t="n">
        <v>5</v>
      </c>
      <c r="O65" s="1104" t="n">
        <v>160</v>
      </c>
      <c r="P65" s="1104" t="n">
        <v>80</v>
      </c>
      <c r="Q65" s="1037" t="n"/>
      <c r="R65" s="669" t="n"/>
      <c r="S65" s="669" t="n"/>
      <c r="T65" s="669" t="n"/>
      <c r="U65" s="669" t="n"/>
      <c r="V65" s="669" t="n"/>
      <c r="W65" s="669" t="n"/>
      <c r="X65" s="669" t="n"/>
      <c r="Y65" s="669" t="n"/>
      <c r="Z65" s="669" t="n"/>
      <c r="AA65" s="669" t="n"/>
      <c r="AB65" s="669" t="n"/>
    </row>
    <row r="66">
      <c r="A66" s="1037" t="n"/>
      <c r="B66" s="1104" t="inlineStr">
        <is>
          <t>Sortisnake</t>
        </is>
      </c>
      <c r="C66" s="1103" t="inlineStr">
        <is>
          <t>Forest</t>
        </is>
      </c>
      <c r="D66" s="1103" t="inlineStr">
        <is>
          <t>S</t>
        </is>
      </c>
      <c r="E66" s="1103" t="inlineStr">
        <is>
          <t>Devotee</t>
        </is>
      </c>
      <c r="F66" s="1103" t="inlineStr">
        <is>
          <t>S</t>
        </is>
      </c>
      <c r="G66" s="669" t="n"/>
      <c r="H66" s="669" t="n"/>
      <c r="I66" s="669" t="n"/>
      <c r="J66" s="669" t="n"/>
      <c r="K66" s="669" t="n"/>
      <c r="L66" s="669" t="n"/>
      <c r="M66" s="669" t="n"/>
      <c r="N66" s="1109" t="n">
        <v>6</v>
      </c>
      <c r="O66" s="1109" t="n">
        <v>200</v>
      </c>
      <c r="P66" s="1109" t="n">
        <v>100</v>
      </c>
      <c r="Q66" s="669" t="n"/>
      <c r="R66" s="669" t="n"/>
      <c r="S66" s="669" t="n"/>
      <c r="T66" s="669" t="n"/>
      <c r="U66" s="669" t="n"/>
      <c r="V66" s="669" t="n"/>
      <c r="W66" s="669" t="n"/>
      <c r="X66" s="669" t="n"/>
      <c r="Y66" s="669" t="n"/>
      <c r="Z66" s="669" t="n"/>
      <c r="AA66" s="669" t="n"/>
      <c r="AB66" s="669" t="n"/>
    </row>
    <row r="67">
      <c r="A67" s="1037" t="n"/>
      <c r="B67" s="1104" t="inlineStr">
        <is>
          <t>Antlerfang</t>
        </is>
      </c>
      <c r="C67" s="1103" t="inlineStr">
        <is>
          <t>Forest</t>
        </is>
      </c>
      <c r="D67" s="1103" t="inlineStr">
        <is>
          <t>S</t>
        </is>
      </c>
      <c r="E67" s="1103" t="inlineStr">
        <is>
          <t>Devotee</t>
        </is>
      </c>
      <c r="F67" s="1103" t="inlineStr">
        <is>
          <t>S</t>
        </is>
      </c>
      <c r="G67" s="669" t="n"/>
      <c r="H67" s="669" t="n"/>
      <c r="I67" s="669" t="n"/>
      <c r="J67" s="669" t="n"/>
      <c r="K67" s="669" t="n"/>
      <c r="L67" s="669" t="n"/>
      <c r="M67" s="669" t="n"/>
      <c r="N67" s="1109" t="n">
        <v>7</v>
      </c>
      <c r="O67" s="1109" t="n">
        <v>240</v>
      </c>
      <c r="P67" s="1109" t="n">
        <v>120</v>
      </c>
      <c r="Q67" s="669" t="n"/>
      <c r="R67" s="669" t="n"/>
      <c r="S67" s="669" t="n"/>
      <c r="T67" s="669" t="n"/>
      <c r="U67" s="669" t="n"/>
      <c r="V67" s="669" t="n"/>
      <c r="W67" s="669" t="n"/>
      <c r="X67" s="669" t="n"/>
      <c r="Y67" s="669" t="n"/>
      <c r="Z67" s="669" t="n"/>
      <c r="AA67" s="669" t="n"/>
      <c r="AB67" s="669" t="n"/>
    </row>
    <row r="68">
      <c r="A68" s="1037" t="n"/>
      <c r="B68" s="1104" t="inlineStr">
        <is>
          <t>Titanclaw</t>
        </is>
      </c>
      <c r="C68" s="1103" t="inlineStr">
        <is>
          <t>Forest</t>
        </is>
      </c>
      <c r="D68" s="1103" t="inlineStr">
        <is>
          <t>S</t>
        </is>
      </c>
      <c r="E68" s="1103" t="inlineStr">
        <is>
          <t>Devotee</t>
        </is>
      </c>
      <c r="F68" s="1103" t="inlineStr">
        <is>
          <t>S</t>
        </is>
      </c>
      <c r="G68" s="669" t="n"/>
      <c r="H68" s="669" t="n"/>
      <c r="I68" s="669" t="n"/>
      <c r="J68" s="669" t="n"/>
      <c r="K68" s="669" t="n"/>
      <c r="L68" s="669" t="n"/>
      <c r="M68" s="669" t="n"/>
      <c r="N68" s="669" t="n"/>
      <c r="O68" s="669" t="n"/>
      <c r="P68" s="669" t="n"/>
      <c r="Q68" s="669" t="n"/>
      <c r="R68" s="669" t="n"/>
      <c r="S68" s="669" t="n"/>
      <c r="T68" s="669" t="n"/>
      <c r="U68" s="669" t="n"/>
      <c r="V68" s="669" t="n"/>
      <c r="W68" s="669" t="n"/>
      <c r="X68" s="669" t="n"/>
      <c r="Y68" s="669" t="n"/>
      <c r="Z68" s="669" t="n"/>
      <c r="AA68" s="669" t="n"/>
      <c r="AB68" s="669" t="n"/>
    </row>
    <row r="69">
      <c r="A69" s="1037" t="n"/>
      <c r="B69" s="1104" t="inlineStr">
        <is>
          <t>Demonic Flying Fox</t>
        </is>
      </c>
      <c r="C69" s="1103" t="inlineStr">
        <is>
          <t>Forest</t>
        </is>
      </c>
      <c r="D69" s="1103" t="inlineStr">
        <is>
          <t>Purple</t>
        </is>
      </c>
      <c r="E69" s="1103" t="inlineStr">
        <is>
          <t>Devotee</t>
        </is>
      </c>
      <c r="F69" s="1103" t="inlineStr">
        <is>
          <t>A</t>
        </is>
      </c>
      <c r="G69" s="669" t="n"/>
      <c r="H69" s="669" t="n"/>
      <c r="I69" s="669" t="n"/>
      <c r="J69" s="669" t="n"/>
      <c r="K69" s="669" t="n"/>
      <c r="L69" s="669" t="n"/>
      <c r="M69" s="669" t="n"/>
      <c r="N69" s="669" t="n"/>
      <c r="O69" s="669" t="n"/>
      <c r="P69" s="669" t="n"/>
      <c r="Q69" s="669" t="n"/>
      <c r="R69" s="669" t="n"/>
      <c r="S69" s="669" t="n"/>
      <c r="T69" s="669" t="n"/>
      <c r="U69" s="669" t="n"/>
      <c r="V69" s="669" t="n"/>
      <c r="W69" s="669" t="n"/>
      <c r="X69" s="669" t="n"/>
      <c r="Y69" s="669" t="n"/>
      <c r="Z69" s="669" t="n"/>
      <c r="AA69" s="669" t="n"/>
      <c r="AB69" s="669" t="n"/>
    </row>
    <row r="70">
      <c r="A70" s="1037" t="n"/>
      <c r="B70" s="1104" t="inlineStr">
        <is>
          <t>Vampire Bat</t>
        </is>
      </c>
      <c r="C70" s="1103" t="inlineStr">
        <is>
          <t>Forest</t>
        </is>
      </c>
      <c r="D70" s="1103" t="inlineStr">
        <is>
          <t>Blue</t>
        </is>
      </c>
      <c r="E70" s="1103" t="inlineStr">
        <is>
          <t>Devotee</t>
        </is>
      </c>
      <c r="F70" s="1103" t="inlineStr">
        <is>
          <t>B</t>
        </is>
      </c>
      <c r="G70" s="669" t="n"/>
      <c r="H70" s="669" t="n"/>
      <c r="I70" s="1067" t="inlineStr">
        <is>
          <t>Level</t>
        </is>
      </c>
      <c r="J70" s="1067" t="inlineStr">
        <is>
          <t>Protolith</t>
        </is>
      </c>
      <c r="K70" s="1067" t="inlineStr">
        <is>
          <t>Cumulative</t>
        </is>
      </c>
      <c r="L70" s="1067" t="inlineStr">
        <is>
          <t>Level 2</t>
        </is>
      </c>
      <c r="M70" s="669" t="n"/>
      <c r="N70" s="669" t="n"/>
      <c r="O70" s="669" t="n"/>
      <c r="P70" s="669" t="n"/>
      <c r="Q70" s="669" t="n"/>
      <c r="R70" s="669" t="n"/>
      <c r="S70" s="669" t="n"/>
      <c r="T70" s="669" t="n"/>
      <c r="U70" s="669" t="n"/>
      <c r="V70" s="669" t="n"/>
      <c r="W70" s="669" t="n"/>
      <c r="X70" s="669" t="n"/>
      <c r="Y70" s="669" t="n"/>
      <c r="Z70" s="669" t="n"/>
      <c r="AA70" s="669" t="n"/>
      <c r="AB70" s="669" t="n"/>
    </row>
    <row r="71">
      <c r="A71" s="1037" t="n"/>
      <c r="B71" s="1104" t="inlineStr">
        <is>
          <t>Avalon (SSS)</t>
        </is>
      </c>
      <c r="C71" s="1103" t="inlineStr">
        <is>
          <t>Tundra</t>
        </is>
      </c>
      <c r="D71" s="1103" t="inlineStr">
        <is>
          <t>SSS</t>
        </is>
      </c>
      <c r="E71" s="1103" t="inlineStr">
        <is>
          <t>Priest</t>
        </is>
      </c>
      <c r="F71" s="1103" t="inlineStr">
        <is>
          <t>SSS</t>
        </is>
      </c>
      <c r="G71" s="669" t="n"/>
      <c r="H71" s="669" t="n"/>
      <c r="I71" s="1109" t="n">
        <v>1</v>
      </c>
      <c r="J71" s="1110" t="n">
        <v>0</v>
      </c>
      <c r="K71" s="1112">
        <f>SUM(J71:INDEX($J:$J,70+I71))</f>
        <v/>
      </c>
      <c r="L71" s="1109" t="n">
        <v>1</v>
      </c>
      <c r="M71" s="669" t="n"/>
      <c r="N71" s="669" t="n"/>
      <c r="O71" s="669" t="n"/>
      <c r="P71" s="669" t="n"/>
      <c r="Q71" s="669" t="n"/>
      <c r="R71" s="669" t="n"/>
      <c r="S71" s="669" t="n"/>
      <c r="T71" s="669" t="n"/>
      <c r="U71" s="669" t="n"/>
      <c r="V71" s="669" t="n"/>
      <c r="W71" s="669" t="n"/>
      <c r="X71" s="669" t="n"/>
      <c r="Y71" s="669" t="n"/>
      <c r="Z71" s="669" t="n"/>
      <c r="AA71" s="669" t="n"/>
      <c r="AB71" s="669" t="n"/>
    </row>
    <row r="72">
      <c r="A72" s="1037" t="n"/>
      <c r="B72" s="1104" t="inlineStr">
        <is>
          <t>Avalon (SS)</t>
        </is>
      </c>
      <c r="C72" s="1103" t="inlineStr">
        <is>
          <t>Tundra</t>
        </is>
      </c>
      <c r="D72" s="1103" t="inlineStr">
        <is>
          <t>SS</t>
        </is>
      </c>
      <c r="E72" s="1103" t="inlineStr">
        <is>
          <t>Priest</t>
        </is>
      </c>
      <c r="F72" s="1103" t="inlineStr">
        <is>
          <t>SSS</t>
        </is>
      </c>
      <c r="G72" s="669" t="n"/>
      <c r="H72" s="669" t="n"/>
      <c r="I72" s="1109" t="n">
        <v>2</v>
      </c>
      <c r="J72" s="1112">
        <f>'Offering Speed'!$C$69*(I71+1)</f>
        <v/>
      </c>
      <c r="K72" s="1112">
        <f>SUM(J71:INDEX($J:$J,70+I72))</f>
        <v/>
      </c>
      <c r="L72" s="1109" t="n">
        <v>2</v>
      </c>
      <c r="M72" s="669" t="n"/>
      <c r="N72" s="669" t="n"/>
      <c r="O72" s="669" t="n"/>
      <c r="P72" s="669" t="n"/>
      <c r="Q72" s="669" t="n"/>
      <c r="R72" s="669" t="n"/>
      <c r="S72" s="669" t="n"/>
      <c r="T72" s="669" t="n"/>
      <c r="U72" s="669" t="n"/>
      <c r="V72" s="669" t="n"/>
      <c r="W72" s="669" t="n"/>
      <c r="X72" s="669" t="n"/>
      <c r="Y72" s="669" t="n"/>
      <c r="Z72" s="669" t="n"/>
      <c r="AA72" s="669" t="n"/>
      <c r="AB72" s="669" t="n"/>
    </row>
    <row r="73">
      <c r="A73" s="1037" t="n"/>
      <c r="B73" s="1104" t="inlineStr">
        <is>
          <t>Mammoth (SSS)</t>
        </is>
      </c>
      <c r="C73" s="1103" t="inlineStr">
        <is>
          <t>Tundra</t>
        </is>
      </c>
      <c r="D73" s="1103" t="inlineStr">
        <is>
          <t>SSS</t>
        </is>
      </c>
      <c r="E73" s="1103" t="inlineStr">
        <is>
          <t>Priest</t>
        </is>
      </c>
      <c r="F73" s="1103" t="inlineStr">
        <is>
          <t>SSS</t>
        </is>
      </c>
      <c r="G73" s="669" t="n"/>
      <c r="H73" s="669" t="n"/>
      <c r="I73" s="1109" t="n">
        <v>3</v>
      </c>
      <c r="J73" s="1112">
        <f>'Offering Speed'!$C$69*(I72+1)</f>
        <v/>
      </c>
      <c r="K73" s="1112">
        <f>SUM(J71:INDEX($J:$J,70+I73))</f>
        <v/>
      </c>
      <c r="L73" s="1109" t="n">
        <v>3</v>
      </c>
      <c r="M73" s="669" t="n"/>
      <c r="N73" s="669" t="n"/>
      <c r="O73" s="669" t="n"/>
      <c r="P73" s="669" t="n"/>
      <c r="Q73" s="669" t="n"/>
      <c r="R73" s="669" t="n"/>
      <c r="S73" s="669" t="n"/>
      <c r="T73" s="669" t="n"/>
      <c r="U73" s="669" t="n"/>
      <c r="V73" s="669" t="n"/>
      <c r="W73" s="669" t="n"/>
      <c r="X73" s="669" t="n"/>
      <c r="Y73" s="669" t="n"/>
      <c r="Z73" s="669" t="n"/>
      <c r="AA73" s="669" t="n"/>
      <c r="AB73" s="669" t="n"/>
    </row>
    <row r="74">
      <c r="A74" s="1037" t="n"/>
      <c r="B74" s="1104" t="inlineStr">
        <is>
          <t>Mammoth (SS)</t>
        </is>
      </c>
      <c r="C74" s="1103" t="inlineStr">
        <is>
          <t>Tundra</t>
        </is>
      </c>
      <c r="D74" s="1103" t="inlineStr">
        <is>
          <t>SS</t>
        </is>
      </c>
      <c r="E74" s="1103" t="inlineStr">
        <is>
          <t>Priest</t>
        </is>
      </c>
      <c r="F74" s="1103" t="inlineStr">
        <is>
          <t>SSS</t>
        </is>
      </c>
      <c r="G74" s="669" t="n"/>
      <c r="H74" s="669" t="n"/>
      <c r="I74" s="1109" t="n">
        <v>4</v>
      </c>
      <c r="J74" s="1112">
        <f>'Offering Speed'!$C$69*(I73+1)</f>
        <v/>
      </c>
      <c r="K74" s="1112">
        <f>SUM(J71:INDEX($J:$J,70+I74))</f>
        <v/>
      </c>
      <c r="L74" s="1109" t="n">
        <v>4</v>
      </c>
      <c r="M74" s="669" t="n"/>
      <c r="N74" s="669" t="n"/>
      <c r="O74" s="669" t="n"/>
      <c r="P74" s="669" t="n"/>
      <c r="Q74" s="669" t="n"/>
      <c r="R74" s="669" t="n"/>
      <c r="S74" s="669" t="n"/>
      <c r="T74" s="669" t="n"/>
      <c r="U74" s="669" t="n"/>
      <c r="V74" s="669" t="n"/>
      <c r="W74" s="669" t="n"/>
      <c r="X74" s="669" t="n"/>
      <c r="Y74" s="669" t="n"/>
      <c r="Z74" s="669" t="n"/>
      <c r="AA74" s="669" t="n"/>
      <c r="AB74" s="669" t="n"/>
    </row>
    <row r="75">
      <c r="A75" s="1037" t="n"/>
      <c r="B75" s="1104" t="inlineStr">
        <is>
          <t>Stormander</t>
        </is>
      </c>
      <c r="C75" s="1103" t="inlineStr">
        <is>
          <t>Tundra</t>
        </is>
      </c>
      <c r="D75" s="1103" t="inlineStr">
        <is>
          <t>S</t>
        </is>
      </c>
      <c r="E75" s="1103" t="inlineStr">
        <is>
          <t>Priest</t>
        </is>
      </c>
      <c r="F75" s="1103" t="inlineStr">
        <is>
          <t>SS</t>
        </is>
      </c>
      <c r="G75" s="669" t="n"/>
      <c r="H75" s="669" t="n"/>
      <c r="I75" s="1109" t="n">
        <v>5</v>
      </c>
      <c r="J75" s="1112">
        <f>'Offering Speed'!$C$69*(I74+1)</f>
        <v/>
      </c>
      <c r="K75" s="1112">
        <f>SUM(J71:INDEX($J:$J,70+I75))</f>
        <v/>
      </c>
      <c r="L75" s="1109" t="n">
        <v>5</v>
      </c>
      <c r="M75" s="669" t="n"/>
      <c r="N75" s="669" t="n"/>
      <c r="O75" s="669" t="n"/>
      <c r="P75" s="669" t="n"/>
      <c r="Q75" s="669" t="n"/>
      <c r="R75" s="669" t="n"/>
      <c r="S75" s="669" t="n"/>
      <c r="T75" s="669" t="n"/>
      <c r="U75" s="669" t="n"/>
      <c r="V75" s="669" t="n"/>
      <c r="W75" s="669" t="n"/>
      <c r="X75" s="669" t="n"/>
      <c r="Y75" s="669" t="n"/>
      <c r="Z75" s="669" t="n"/>
      <c r="AA75" s="669" t="n"/>
      <c r="AB75" s="669" t="n"/>
    </row>
    <row r="76">
      <c r="A76" s="1037" t="n"/>
      <c r="B76" s="1104" t="inlineStr">
        <is>
          <t>Gullinbursti (SSS)</t>
        </is>
      </c>
      <c r="C76" s="1103" t="inlineStr">
        <is>
          <t>Tundra</t>
        </is>
      </c>
      <c r="D76" s="1103" t="inlineStr">
        <is>
          <t>SSS</t>
        </is>
      </c>
      <c r="E76" s="1103" t="inlineStr">
        <is>
          <t>Devotee</t>
        </is>
      </c>
      <c r="F76" s="1103" t="inlineStr">
        <is>
          <t>SSS</t>
        </is>
      </c>
      <c r="G76" s="669" t="n"/>
      <c r="H76" s="669" t="n"/>
      <c r="I76" s="1109" t="n">
        <v>6</v>
      </c>
      <c r="J76" s="1112">
        <f>'Offering Speed'!$C$69*(I75+1)</f>
        <v/>
      </c>
      <c r="K76" s="1112">
        <f>SUM(J71:INDEX($J:$J,70+I76))</f>
        <v/>
      </c>
      <c r="L76" s="1109" t="n">
        <v>6</v>
      </c>
      <c r="M76" s="669" t="n"/>
      <c r="N76" s="669" t="n"/>
      <c r="O76" s="669" t="n"/>
      <c r="P76" s="669" t="n"/>
      <c r="Q76" s="669" t="n"/>
      <c r="R76" s="669" t="n"/>
      <c r="S76" s="669" t="n"/>
      <c r="T76" s="669" t="n"/>
      <c r="U76" s="669" t="n"/>
      <c r="V76" s="669" t="n"/>
      <c r="W76" s="669" t="n"/>
      <c r="X76" s="669" t="n"/>
      <c r="Y76" s="669" t="n"/>
      <c r="Z76" s="669" t="n"/>
      <c r="AA76" s="669" t="n"/>
      <c r="AB76" s="669" t="n"/>
    </row>
    <row r="77">
      <c r="A77" s="1037" t="n"/>
      <c r="B77" s="1104" t="inlineStr">
        <is>
          <t>Gullinbursti (SS)</t>
        </is>
      </c>
      <c r="C77" s="1103" t="inlineStr">
        <is>
          <t>Tundra</t>
        </is>
      </c>
      <c r="D77" s="1103" t="inlineStr">
        <is>
          <t>SS</t>
        </is>
      </c>
      <c r="E77" s="1103" t="inlineStr">
        <is>
          <t>Devotee</t>
        </is>
      </c>
      <c r="F77" s="1103" t="inlineStr">
        <is>
          <t>SSS</t>
        </is>
      </c>
      <c r="G77" s="669" t="n"/>
      <c r="H77" s="669" t="n"/>
      <c r="I77" s="1109" t="n">
        <v>7</v>
      </c>
      <c r="J77" s="1112">
        <f>'Offering Speed'!$C$69*(I76+1)</f>
        <v/>
      </c>
      <c r="K77" s="1112">
        <f>SUM(J71:INDEX($J:$J,70+I77))</f>
        <v/>
      </c>
      <c r="L77" s="1109" t="n">
        <v>7</v>
      </c>
      <c r="M77" s="669" t="n"/>
      <c r="N77" s="669" t="n"/>
      <c r="O77" s="669" t="n"/>
      <c r="P77" s="669" t="n"/>
      <c r="Q77" s="669" t="n"/>
      <c r="R77" s="669" t="n"/>
      <c r="S77" s="669" t="n"/>
      <c r="T77" s="669" t="n"/>
      <c r="U77" s="669" t="n"/>
      <c r="V77" s="669" t="n"/>
      <c r="W77" s="669" t="n"/>
      <c r="X77" s="669" t="n"/>
      <c r="Y77" s="669" t="n"/>
      <c r="Z77" s="669" t="n"/>
      <c r="AA77" s="669" t="n"/>
      <c r="AB77" s="669" t="n"/>
    </row>
    <row r="78">
      <c r="A78" s="1037" t="n"/>
      <c r="B78" s="1104" t="inlineStr">
        <is>
          <t>Eljudnir (SSS)</t>
        </is>
      </c>
      <c r="C78" s="1103" t="inlineStr">
        <is>
          <t>Tundra</t>
        </is>
      </c>
      <c r="D78" s="1103" t="inlineStr">
        <is>
          <t>SSS</t>
        </is>
      </c>
      <c r="E78" s="1103" t="inlineStr">
        <is>
          <t>Devotee</t>
        </is>
      </c>
      <c r="F78" s="1103" t="inlineStr">
        <is>
          <t>SSS</t>
        </is>
      </c>
      <c r="G78" s="669" t="n"/>
      <c r="H78" s="669" t="n"/>
      <c r="I78" s="1109" t="n">
        <v>8</v>
      </c>
      <c r="J78" s="1112">
        <f>'Offering Speed'!$C$69*(I77+1)</f>
        <v/>
      </c>
      <c r="K78" s="1112">
        <f>SUM(J71:INDEX($J:$J,70+I78))</f>
        <v/>
      </c>
      <c r="L78" s="1109" t="n">
        <v>8</v>
      </c>
      <c r="M78" s="669" t="n"/>
      <c r="N78" s="669" t="n"/>
      <c r="O78" s="669" t="n"/>
      <c r="P78" s="669" t="n"/>
      <c r="Q78" s="669" t="n"/>
      <c r="R78" s="669" t="n"/>
      <c r="S78" s="669" t="n"/>
      <c r="T78" s="669" t="n"/>
      <c r="U78" s="669" t="n"/>
      <c r="V78" s="669" t="n"/>
      <c r="W78" s="669" t="n"/>
      <c r="X78" s="669" t="n"/>
      <c r="Y78" s="669" t="n"/>
      <c r="Z78" s="669" t="n"/>
      <c r="AA78" s="669" t="n"/>
      <c r="AB78" s="669" t="n"/>
    </row>
    <row r="79">
      <c r="A79" s="1037" t="n"/>
      <c r="B79" s="1104" t="inlineStr">
        <is>
          <t>Eljudnir (SS)</t>
        </is>
      </c>
      <c r="C79" s="1103" t="inlineStr">
        <is>
          <t>Tundra</t>
        </is>
      </c>
      <c r="D79" s="1103" t="inlineStr">
        <is>
          <t>SS</t>
        </is>
      </c>
      <c r="E79" s="1103" t="inlineStr">
        <is>
          <t>Devotee</t>
        </is>
      </c>
      <c r="F79" s="1103" t="inlineStr">
        <is>
          <t>SSS</t>
        </is>
      </c>
      <c r="G79" s="669" t="n"/>
      <c r="H79" s="669" t="n"/>
      <c r="I79" s="1109" t="n">
        <v>9</v>
      </c>
      <c r="J79" s="1112">
        <f>'Offering Speed'!$C$69*(I78+1)</f>
        <v/>
      </c>
      <c r="K79" s="1112">
        <f>SUM(J71:INDEX($J:$J,70+I79))</f>
        <v/>
      </c>
      <c r="L79" s="1109" t="n">
        <v>9</v>
      </c>
      <c r="M79" s="669" t="n"/>
      <c r="N79" s="669" t="n"/>
      <c r="O79" s="669" t="n"/>
      <c r="P79" s="669" t="n"/>
      <c r="Q79" s="669" t="n"/>
      <c r="R79" s="669" t="n"/>
      <c r="S79" s="669" t="n"/>
      <c r="T79" s="669" t="n"/>
      <c r="U79" s="669" t="n"/>
      <c r="V79" s="669" t="n"/>
      <c r="W79" s="669" t="n"/>
      <c r="X79" s="669" t="n"/>
      <c r="Y79" s="669" t="n"/>
      <c r="Z79" s="669" t="n"/>
      <c r="AA79" s="669" t="n"/>
      <c r="AB79" s="669" t="n"/>
    </row>
    <row r="80">
      <c r="A80" s="1037" t="n"/>
      <c r="B80" s="1104" t="inlineStr">
        <is>
          <t>Fragarach (SSS)</t>
        </is>
      </c>
      <c r="C80" s="1103" t="inlineStr">
        <is>
          <t>Tundra</t>
        </is>
      </c>
      <c r="D80" s="1103" t="inlineStr">
        <is>
          <t>SSS</t>
        </is>
      </c>
      <c r="E80" s="1103" t="inlineStr">
        <is>
          <t>Devotee</t>
        </is>
      </c>
      <c r="F80" s="1103" t="inlineStr">
        <is>
          <t>SSS</t>
        </is>
      </c>
      <c r="G80" s="669" t="n"/>
      <c r="H80" s="669" t="n"/>
      <c r="I80" s="1109" t="n">
        <v>10</v>
      </c>
      <c r="J80" s="1112">
        <f>'Offering Speed'!$C$69*(I79+1)</f>
        <v/>
      </c>
      <c r="K80" s="1112">
        <f>SUM(J71:INDEX($J:$J,70+I80))</f>
        <v/>
      </c>
      <c r="L80" s="1109" t="n">
        <v>10</v>
      </c>
      <c r="M80" s="669" t="n"/>
      <c r="N80" s="669" t="n"/>
      <c r="O80" s="669" t="n"/>
      <c r="P80" s="669" t="n"/>
      <c r="Q80" s="669" t="n"/>
      <c r="R80" s="669" t="n"/>
      <c r="S80" s="669" t="n"/>
      <c r="T80" s="669" t="n"/>
      <c r="U80" s="669" t="n"/>
      <c r="V80" s="669" t="n"/>
      <c r="W80" s="669" t="n"/>
      <c r="X80" s="669" t="n"/>
      <c r="Y80" s="669" t="n"/>
      <c r="Z80" s="669" t="n"/>
      <c r="AA80" s="669" t="n"/>
      <c r="AB80" s="669" t="n"/>
    </row>
    <row r="81">
      <c r="A81" s="1037" t="n"/>
      <c r="B81" s="1104" t="inlineStr">
        <is>
          <t>Fragarach (SS)</t>
        </is>
      </c>
      <c r="C81" s="1103" t="inlineStr">
        <is>
          <t>Tundra</t>
        </is>
      </c>
      <c r="D81" s="1103" t="inlineStr">
        <is>
          <t>SS</t>
        </is>
      </c>
      <c r="E81" s="1103" t="inlineStr">
        <is>
          <t>Devotee</t>
        </is>
      </c>
      <c r="F81" s="1103" t="inlineStr">
        <is>
          <t>SSS</t>
        </is>
      </c>
      <c r="G81" s="669" t="n"/>
      <c r="H81" s="669" t="n"/>
      <c r="I81" s="1109" t="n">
        <v>11</v>
      </c>
      <c r="J81" s="1112">
        <f>'Offering Speed'!$C$69*(I80+1)</f>
        <v/>
      </c>
      <c r="K81" s="1112">
        <f>SUM(J71:INDEX($J:$J,70+I81))</f>
        <v/>
      </c>
      <c r="L81" s="1109" t="n">
        <v>11</v>
      </c>
      <c r="M81" s="669" t="n"/>
      <c r="N81" s="669" t="n"/>
      <c r="O81" s="669" t="n"/>
      <c r="P81" s="669" t="n"/>
      <c r="Q81" s="669" t="n"/>
      <c r="R81" s="669" t="n"/>
      <c r="S81" s="669" t="n"/>
      <c r="T81" s="669" t="n"/>
      <c r="U81" s="669" t="n"/>
      <c r="V81" s="669" t="n"/>
      <c r="W81" s="669" t="n"/>
      <c r="X81" s="669" t="n"/>
      <c r="Y81" s="669" t="n"/>
      <c r="Z81" s="669" t="n"/>
      <c r="AA81" s="669" t="n"/>
      <c r="AB81" s="669" t="n"/>
    </row>
    <row r="82">
      <c r="A82" s="1037" t="n"/>
      <c r="B82" s="1104" t="inlineStr">
        <is>
          <t>Lunarcalf</t>
        </is>
      </c>
      <c r="C82" s="1103" t="inlineStr">
        <is>
          <t>Tundra</t>
        </is>
      </c>
      <c r="D82" s="1103" t="inlineStr">
        <is>
          <t>SS</t>
        </is>
      </c>
      <c r="E82" s="1103" t="inlineStr">
        <is>
          <t>Devotee</t>
        </is>
      </c>
      <c r="F82" s="1103" t="inlineStr">
        <is>
          <t>SS</t>
        </is>
      </c>
      <c r="G82" s="669" t="n"/>
      <c r="H82" s="669" t="n"/>
      <c r="I82" s="1109" t="n">
        <v>12</v>
      </c>
      <c r="J82" s="1112">
        <f>'Offering Speed'!$C$69*(I81+1)</f>
        <v/>
      </c>
      <c r="K82" s="1112">
        <f>SUM(J71:INDEX($J:$J,70+I82))</f>
        <v/>
      </c>
      <c r="L82" s="1109" t="n">
        <v>12</v>
      </c>
      <c r="M82" s="669" t="n"/>
      <c r="N82" s="669" t="n"/>
      <c r="O82" s="669" t="n"/>
      <c r="P82" s="669" t="n"/>
      <c r="Q82" s="669" t="n"/>
      <c r="R82" s="669" t="n"/>
      <c r="S82" s="669" t="n"/>
      <c r="T82" s="669" t="n"/>
      <c r="U82" s="669" t="n"/>
      <c r="V82" s="669" t="n"/>
      <c r="W82" s="669" t="n"/>
      <c r="X82" s="669" t="n"/>
      <c r="Y82" s="669" t="n"/>
      <c r="Z82" s="669" t="n"/>
      <c r="AA82" s="669" t="n"/>
      <c r="AB82" s="669" t="n"/>
    </row>
    <row r="83">
      <c r="A83" s="1037" t="n"/>
      <c r="B83" s="1104" t="inlineStr">
        <is>
          <t>Gloomdart</t>
        </is>
      </c>
      <c r="C83" s="1103" t="inlineStr">
        <is>
          <t>Tundra</t>
        </is>
      </c>
      <c r="D83" s="1103" t="inlineStr">
        <is>
          <t>S</t>
        </is>
      </c>
      <c r="E83" s="1103" t="inlineStr">
        <is>
          <t>Devotee</t>
        </is>
      </c>
      <c r="F83" s="1103" t="inlineStr">
        <is>
          <t>SS</t>
        </is>
      </c>
      <c r="G83" s="669" t="n"/>
      <c r="H83" s="669" t="n"/>
      <c r="I83" s="1109" t="n">
        <v>13</v>
      </c>
      <c r="J83" s="1112">
        <f>'Offering Speed'!$C$69*(I82+1)</f>
        <v/>
      </c>
      <c r="K83" s="1112">
        <f>SUM(J71:INDEX($J:$J,70+I83))</f>
        <v/>
      </c>
      <c r="L83" s="1109" t="n">
        <v>13</v>
      </c>
      <c r="M83" s="669" t="n"/>
      <c r="N83" s="669" t="n"/>
      <c r="O83" s="669" t="n"/>
      <c r="P83" s="669" t="n"/>
      <c r="Q83" s="669" t="n"/>
      <c r="R83" s="669" t="n"/>
      <c r="S83" s="669" t="n"/>
      <c r="T83" s="669" t="n"/>
      <c r="U83" s="669" t="n"/>
      <c r="V83" s="669" t="n"/>
      <c r="W83" s="669" t="n"/>
      <c r="X83" s="669" t="n"/>
      <c r="Y83" s="669" t="n"/>
      <c r="Z83" s="669" t="n"/>
      <c r="AA83" s="669" t="n"/>
      <c r="AB83" s="669" t="n"/>
    </row>
    <row r="84">
      <c r="A84" s="1037" t="n"/>
      <c r="B84" s="1104" t="inlineStr">
        <is>
          <t>Snarefang</t>
        </is>
      </c>
      <c r="C84" s="1103" t="inlineStr">
        <is>
          <t>Tundra</t>
        </is>
      </c>
      <c r="D84" s="1103" t="inlineStr">
        <is>
          <t>S</t>
        </is>
      </c>
      <c r="E84" s="1103" t="inlineStr">
        <is>
          <t>Devotee</t>
        </is>
      </c>
      <c r="F84" s="1103" t="inlineStr">
        <is>
          <t>SS</t>
        </is>
      </c>
      <c r="G84" s="669" t="n"/>
      <c r="H84" s="669" t="n"/>
      <c r="I84" s="1109" t="n">
        <v>14</v>
      </c>
      <c r="J84" s="1112">
        <f>'Offering Speed'!$C$69*(I83+1)</f>
        <v/>
      </c>
      <c r="K84" s="1112">
        <f>SUM(J71:INDEX($J:$J,70+I84))</f>
        <v/>
      </c>
      <c r="L84" s="1109" t="n">
        <v>14</v>
      </c>
      <c r="M84" s="669" t="n"/>
      <c r="N84" s="669" t="n"/>
      <c r="O84" s="669" t="n"/>
      <c r="P84" s="669" t="n"/>
      <c r="Q84" s="669" t="n"/>
      <c r="R84" s="669" t="n"/>
      <c r="S84" s="669" t="n"/>
      <c r="T84" s="669" t="n"/>
      <c r="U84" s="669" t="n"/>
      <c r="V84" s="669" t="n"/>
      <c r="W84" s="669" t="n"/>
      <c r="X84" s="669" t="n"/>
      <c r="Y84" s="669" t="n"/>
      <c r="Z84" s="669" t="n"/>
      <c r="AA84" s="669" t="n"/>
      <c r="AB84" s="669" t="n"/>
    </row>
    <row r="85">
      <c r="A85" s="1037" t="n"/>
      <c r="B85" s="1104" t="inlineStr">
        <is>
          <t>Direantler</t>
        </is>
      </c>
      <c r="C85" s="1103" t="inlineStr">
        <is>
          <t>Tundra</t>
        </is>
      </c>
      <c r="D85" s="1103" t="inlineStr">
        <is>
          <t>S</t>
        </is>
      </c>
      <c r="E85" s="1103" t="inlineStr">
        <is>
          <t>Devotee</t>
        </is>
      </c>
      <c r="F85" s="1103" t="inlineStr">
        <is>
          <t>SS</t>
        </is>
      </c>
      <c r="G85" s="669" t="n"/>
      <c r="H85" s="669" t="n"/>
      <c r="I85" s="1109" t="n">
        <v>15</v>
      </c>
      <c r="J85" s="1112">
        <f>'Offering Speed'!$C$69*(I84+1)</f>
        <v/>
      </c>
      <c r="K85" s="1112">
        <f>SUM(J71:INDEX($J:$J,70+I85))</f>
        <v/>
      </c>
      <c r="L85" s="1109" t="n">
        <v>15</v>
      </c>
      <c r="M85" s="669" t="n"/>
      <c r="N85" s="669" t="n"/>
      <c r="O85" s="669" t="n"/>
      <c r="P85" s="669" t="n"/>
      <c r="Q85" s="669" t="n"/>
      <c r="R85" s="669" t="n"/>
      <c r="S85" s="669" t="n"/>
      <c r="T85" s="669" t="n"/>
      <c r="U85" s="669" t="n"/>
      <c r="V85" s="669" t="n"/>
      <c r="W85" s="669" t="n"/>
      <c r="X85" s="669" t="n"/>
      <c r="Y85" s="669" t="n"/>
      <c r="Z85" s="669" t="n"/>
      <c r="AA85" s="669" t="n"/>
      <c r="AB85" s="669" t="n"/>
    </row>
    <row r="86">
      <c r="A86" s="1037" t="n"/>
      <c r="B86" s="1104" t="inlineStr">
        <is>
          <t>Sabermoose</t>
        </is>
      </c>
      <c r="C86" s="1103" t="inlineStr">
        <is>
          <t>Tundra</t>
        </is>
      </c>
      <c r="D86" s="1103" t="inlineStr">
        <is>
          <t>S</t>
        </is>
      </c>
      <c r="E86" s="1103" t="inlineStr">
        <is>
          <t>Devotee</t>
        </is>
      </c>
      <c r="F86" s="1103" t="inlineStr">
        <is>
          <t>S</t>
        </is>
      </c>
      <c r="G86" s="669" t="n"/>
      <c r="H86" s="669" t="n"/>
      <c r="I86" s="1109" t="n">
        <v>16</v>
      </c>
      <c r="J86" s="1112">
        <f>'Offering Speed'!$C$69*(I85+1)</f>
        <v/>
      </c>
      <c r="K86" s="1112">
        <f>SUM(J71:INDEX($J:$J,70+I86))</f>
        <v/>
      </c>
      <c r="L86" s="1109" t="n">
        <v>16</v>
      </c>
      <c r="M86" s="669" t="n"/>
      <c r="N86" s="669" t="n"/>
      <c r="O86" s="669" t="n"/>
      <c r="P86" s="669" t="n"/>
      <c r="Q86" s="669" t="n"/>
      <c r="R86" s="669" t="n"/>
      <c r="S86" s="669" t="n"/>
      <c r="T86" s="669" t="n"/>
      <c r="U86" s="669" t="n"/>
      <c r="V86" s="669" t="n"/>
      <c r="W86" s="669" t="n"/>
      <c r="X86" s="669" t="n"/>
      <c r="Y86" s="669" t="n"/>
      <c r="Z86" s="669" t="n"/>
      <c r="AA86" s="669" t="n"/>
      <c r="AB86" s="669" t="n"/>
    </row>
    <row r="87">
      <c r="A87" s="1037" t="n"/>
      <c r="B87" s="1104" t="inlineStr">
        <is>
          <t>Dreadnose</t>
        </is>
      </c>
      <c r="C87" s="1103" t="inlineStr">
        <is>
          <t>Tundra</t>
        </is>
      </c>
      <c r="D87" s="1103" t="inlineStr">
        <is>
          <t>S</t>
        </is>
      </c>
      <c r="E87" s="1103" t="inlineStr">
        <is>
          <t>Devotee</t>
        </is>
      </c>
      <c r="F87" s="1103" t="inlineStr">
        <is>
          <t>S</t>
        </is>
      </c>
      <c r="G87" s="669" t="n"/>
      <c r="H87" s="669" t="n"/>
      <c r="I87" s="1109" t="n">
        <v>17</v>
      </c>
      <c r="J87" s="1112">
        <f>'Offering Speed'!$C$69*(I86+1)</f>
        <v/>
      </c>
      <c r="K87" s="1112">
        <f>SUM(J71:INDEX($J:$J,70+I87))</f>
        <v/>
      </c>
      <c r="L87" s="1109" t="n">
        <v>17</v>
      </c>
      <c r="M87" s="669" t="n"/>
      <c r="N87" s="669" t="n"/>
      <c r="O87" s="669" t="n"/>
      <c r="P87" s="669" t="n"/>
      <c r="Q87" s="669" t="n"/>
      <c r="R87" s="669" t="n"/>
      <c r="S87" s="669" t="n"/>
      <c r="T87" s="669" t="n"/>
      <c r="U87" s="669" t="n"/>
      <c r="V87" s="669" t="n"/>
      <c r="W87" s="669" t="n"/>
      <c r="X87" s="669" t="n"/>
      <c r="Y87" s="669" t="n"/>
      <c r="Z87" s="669" t="n"/>
      <c r="AA87" s="669" t="n"/>
      <c r="AB87" s="669" t="n"/>
    </row>
    <row r="88">
      <c r="A88" s="1037" t="n"/>
      <c r="B88" s="1104" t="inlineStr">
        <is>
          <t>Elkwing</t>
        </is>
      </c>
      <c r="C88" s="1103" t="inlineStr">
        <is>
          <t>Tundra</t>
        </is>
      </c>
      <c r="D88" s="1103" t="inlineStr">
        <is>
          <t>S</t>
        </is>
      </c>
      <c r="E88" s="1103" t="inlineStr">
        <is>
          <t>Devotee</t>
        </is>
      </c>
      <c r="F88" s="1103" t="inlineStr">
        <is>
          <t>S</t>
        </is>
      </c>
      <c r="G88" s="669" t="n"/>
      <c r="H88" s="669" t="n"/>
      <c r="I88" s="1109" t="n">
        <v>18</v>
      </c>
      <c r="J88" s="1112">
        <f>'Offering Speed'!$C$69*(I87+1)</f>
        <v/>
      </c>
      <c r="K88" s="1112">
        <f>SUM(J71:INDEX($J:$J,70+I88))</f>
        <v/>
      </c>
      <c r="L88" s="1109" t="n">
        <v>18</v>
      </c>
      <c r="M88" s="669" t="n"/>
      <c r="N88" s="669" t="n"/>
      <c r="O88" s="669" t="n"/>
      <c r="P88" s="669" t="n"/>
      <c r="Q88" s="669" t="n"/>
      <c r="R88" s="669" t="n"/>
      <c r="S88" s="669" t="n"/>
      <c r="T88" s="669" t="n"/>
      <c r="U88" s="669" t="n"/>
      <c r="V88" s="669" t="n"/>
      <c r="W88" s="669" t="n"/>
      <c r="X88" s="669" t="n"/>
      <c r="Y88" s="669" t="n"/>
      <c r="Z88" s="669" t="n"/>
      <c r="AA88" s="669" t="n"/>
      <c r="AB88" s="669" t="n"/>
    </row>
    <row r="89">
      <c r="A89" s="1037" t="n"/>
      <c r="B89" s="1104" t="inlineStr">
        <is>
          <t>Titanimon</t>
        </is>
      </c>
      <c r="C89" s="1103" t="inlineStr">
        <is>
          <t>Tundra</t>
        </is>
      </c>
      <c r="D89" s="1103" t="inlineStr">
        <is>
          <t>S</t>
        </is>
      </c>
      <c r="E89" s="1103" t="inlineStr">
        <is>
          <t>Devotee</t>
        </is>
      </c>
      <c r="F89" s="1103" t="inlineStr">
        <is>
          <t>S</t>
        </is>
      </c>
      <c r="G89" s="669" t="n"/>
      <c r="H89" s="669" t="n"/>
      <c r="I89" s="1109" t="n">
        <v>19</v>
      </c>
      <c r="J89" s="1112">
        <f>'Offering Speed'!$C$69*(I88+1)</f>
        <v/>
      </c>
      <c r="K89" s="1112">
        <f>SUM(J71:INDEX($J:$J,70+I89))</f>
        <v/>
      </c>
      <c r="L89" s="1109" t="n">
        <v>19</v>
      </c>
      <c r="M89" s="669" t="n"/>
      <c r="N89" s="669" t="n"/>
      <c r="O89" s="669" t="n"/>
      <c r="P89" s="669" t="n"/>
      <c r="Q89" s="669" t="n"/>
      <c r="R89" s="669" t="n"/>
      <c r="S89" s="669" t="n"/>
      <c r="T89" s="669" t="n"/>
      <c r="U89" s="669" t="n"/>
      <c r="V89" s="669" t="n"/>
      <c r="W89" s="669" t="n"/>
      <c r="X89" s="669" t="n"/>
      <c r="Y89" s="669" t="n"/>
      <c r="Z89" s="669" t="n"/>
      <c r="AA89" s="669" t="n"/>
      <c r="AB89" s="669" t="n"/>
    </row>
    <row r="90">
      <c r="A90" s="1037" t="n"/>
      <c r="B90" s="1104" t="inlineStr">
        <is>
          <t>Hartblinker</t>
        </is>
      </c>
      <c r="C90" s="1103" t="inlineStr">
        <is>
          <t>Tundra</t>
        </is>
      </c>
      <c r="D90" s="1103" t="inlineStr">
        <is>
          <t>S</t>
        </is>
      </c>
      <c r="E90" s="1103" t="inlineStr">
        <is>
          <t>Devotee</t>
        </is>
      </c>
      <c r="F90" s="1103" t="inlineStr">
        <is>
          <t>S</t>
        </is>
      </c>
      <c r="G90" s="669" t="n"/>
      <c r="H90" s="669" t="n"/>
      <c r="I90" s="1109" t="n">
        <v>20</v>
      </c>
      <c r="J90" s="1112">
        <f>'Offering Speed'!$C$69*(I89+1)</f>
        <v/>
      </c>
      <c r="K90" s="1112">
        <f>SUM(J71:INDEX($J:$J,70+I90))</f>
        <v/>
      </c>
      <c r="L90" s="1109" t="n">
        <v>20</v>
      </c>
      <c r="M90" s="669" t="n"/>
      <c r="N90" s="669" t="n"/>
      <c r="O90" s="669" t="n"/>
      <c r="P90" s="669" t="n"/>
      <c r="Q90" s="669" t="n"/>
      <c r="R90" s="669" t="n"/>
      <c r="S90" s="669" t="n"/>
      <c r="T90" s="669" t="n"/>
      <c r="U90" s="669" t="n"/>
      <c r="V90" s="669" t="n"/>
      <c r="W90" s="669" t="n"/>
      <c r="X90" s="669" t="n"/>
      <c r="Y90" s="669" t="n"/>
      <c r="Z90" s="669" t="n"/>
      <c r="AA90" s="669" t="n"/>
      <c r="AB90" s="669" t="n"/>
    </row>
    <row r="91">
      <c r="A91" s="1037" t="n"/>
      <c r="B91" s="1104" t="inlineStr">
        <is>
          <t>Snaketaur</t>
        </is>
      </c>
      <c r="C91" s="1103" t="inlineStr">
        <is>
          <t>Tundra</t>
        </is>
      </c>
      <c r="D91" s="1103" t="inlineStr">
        <is>
          <t>S</t>
        </is>
      </c>
      <c r="E91" s="1103" t="inlineStr">
        <is>
          <t>Devotee</t>
        </is>
      </c>
      <c r="F91" s="1103" t="inlineStr">
        <is>
          <t>S</t>
        </is>
      </c>
      <c r="G91" s="669" t="n"/>
      <c r="H91" s="669" t="n"/>
      <c r="I91" s="1109" t="n">
        <v>21</v>
      </c>
      <c r="J91" s="1112">
        <f>'Offering Speed'!$C$69*(I90+1)</f>
        <v/>
      </c>
      <c r="K91" s="1112">
        <f>SUM(J71:INDEX($J:$J,70+I91))</f>
        <v/>
      </c>
      <c r="L91" s="1109" t="n">
        <v>21</v>
      </c>
      <c r="M91" s="669" t="n"/>
      <c r="N91" s="669" t="n"/>
      <c r="O91" s="669" t="n"/>
      <c r="P91" s="669" t="n"/>
      <c r="Q91" s="669" t="n"/>
      <c r="R91" s="669" t="n"/>
      <c r="S91" s="669" t="n"/>
      <c r="T91" s="669" t="n"/>
      <c r="U91" s="669" t="n"/>
      <c r="V91" s="669" t="n"/>
      <c r="W91" s="669" t="n"/>
      <c r="X91" s="669" t="n"/>
      <c r="Y91" s="669" t="n"/>
      <c r="Z91" s="669" t="n"/>
      <c r="AA91" s="669" t="n"/>
      <c r="AB91" s="669" t="n"/>
    </row>
    <row r="92">
      <c r="A92" s="1037" t="n"/>
      <c r="B92" s="1104" t="inlineStr">
        <is>
          <t>Darkroc</t>
        </is>
      </c>
      <c r="C92" s="1103" t="inlineStr">
        <is>
          <t>Tundra</t>
        </is>
      </c>
      <c r="D92" s="1103" t="inlineStr">
        <is>
          <t>S</t>
        </is>
      </c>
      <c r="E92" s="1103" t="inlineStr">
        <is>
          <t>Devotee</t>
        </is>
      </c>
      <c r="F92" s="1103" t="inlineStr">
        <is>
          <t>S</t>
        </is>
      </c>
      <c r="G92" s="669" t="n"/>
      <c r="H92" s="669" t="n"/>
      <c r="I92" s="1109" t="n">
        <v>22</v>
      </c>
      <c r="J92" s="1112">
        <f>'Offering Speed'!$C$69*(I91+1)</f>
        <v/>
      </c>
      <c r="K92" s="1112">
        <f>SUM(J71:INDEX($J:$J,70+I92))</f>
        <v/>
      </c>
      <c r="L92" s="1109" t="n">
        <v>22</v>
      </c>
      <c r="M92" s="669" t="n"/>
      <c r="N92" s="669" t="n"/>
      <c r="O92" s="669" t="n"/>
      <c r="P92" s="669" t="n"/>
      <c r="Q92" s="669" t="n"/>
      <c r="R92" s="669" t="n"/>
      <c r="S92" s="669" t="n"/>
      <c r="T92" s="669" t="n"/>
      <c r="U92" s="669" t="n"/>
      <c r="V92" s="669" t="n"/>
      <c r="W92" s="669" t="n"/>
      <c r="X92" s="669" t="n"/>
      <c r="Y92" s="669" t="n"/>
      <c r="Z92" s="669" t="n"/>
      <c r="AA92" s="669" t="n"/>
      <c r="AB92" s="669" t="n"/>
    </row>
    <row r="93">
      <c r="A93" s="1037" t="n"/>
      <c r="B93" s="1104" t="inlineStr">
        <is>
          <t>Daz Tingo</t>
        </is>
      </c>
      <c r="C93" s="1103" t="inlineStr">
        <is>
          <t>Tundra</t>
        </is>
      </c>
      <c r="D93" s="1103" t="inlineStr">
        <is>
          <t>S</t>
        </is>
      </c>
      <c r="E93" s="1103" t="inlineStr">
        <is>
          <t>Devotee</t>
        </is>
      </c>
      <c r="F93" s="1103" t="inlineStr">
        <is>
          <t>S</t>
        </is>
      </c>
      <c r="G93" s="669" t="n"/>
      <c r="H93" s="669" t="n"/>
      <c r="I93" s="1109" t="n">
        <v>23</v>
      </c>
      <c r="J93" s="1112">
        <f>'Offering Speed'!$C$69*(I92+1)</f>
        <v/>
      </c>
      <c r="K93" s="1112">
        <f>SUM(J71:INDEX($J:$J,70+I93))</f>
        <v/>
      </c>
      <c r="L93" s="1109" t="n">
        <v>23</v>
      </c>
      <c r="M93" s="669" t="n"/>
      <c r="N93" s="669" t="n"/>
      <c r="O93" s="669" t="n"/>
      <c r="P93" s="669" t="n"/>
      <c r="Q93" s="669" t="n"/>
      <c r="R93" s="669" t="n"/>
      <c r="S93" s="669" t="n"/>
      <c r="T93" s="669" t="n"/>
      <c r="U93" s="669" t="n"/>
      <c r="V93" s="669" t="n"/>
      <c r="W93" s="669" t="n"/>
      <c r="X93" s="669" t="n"/>
      <c r="Y93" s="669" t="n"/>
      <c r="Z93" s="669" t="n"/>
      <c r="AA93" s="669" t="n"/>
      <c r="AB93" s="669" t="n"/>
    </row>
    <row r="94">
      <c r="A94" s="1037" t="n"/>
      <c r="B94" s="1104" t="inlineStr">
        <is>
          <t>Crocodeer</t>
        </is>
      </c>
      <c r="C94" s="1103" t="inlineStr">
        <is>
          <t>Tundra</t>
        </is>
      </c>
      <c r="D94" s="1103" t="inlineStr">
        <is>
          <t>Purple</t>
        </is>
      </c>
      <c r="E94" s="1103" t="inlineStr">
        <is>
          <t>Devotee</t>
        </is>
      </c>
      <c r="F94" s="1103" t="inlineStr">
        <is>
          <t>A</t>
        </is>
      </c>
      <c r="G94" s="669" t="n"/>
      <c r="H94" s="669" t="n"/>
      <c r="I94" s="1109" t="n">
        <v>24</v>
      </c>
      <c r="J94" s="1112">
        <f>'Offering Speed'!$C$69*(I93+1)</f>
        <v/>
      </c>
      <c r="K94" s="1112">
        <f>SUM(J71:INDEX($J:$J,70+I94))</f>
        <v/>
      </c>
      <c r="L94" s="1109" t="n">
        <v>24</v>
      </c>
      <c r="M94" s="669" t="n"/>
      <c r="N94" s="669" t="n"/>
      <c r="O94" s="669" t="n"/>
      <c r="P94" s="669" t="n"/>
      <c r="Q94" s="669" t="n"/>
      <c r="R94" s="669" t="n"/>
      <c r="S94" s="669" t="n"/>
      <c r="T94" s="669" t="n"/>
      <c r="U94" s="669" t="n"/>
      <c r="V94" s="669" t="n"/>
      <c r="W94" s="669" t="n"/>
      <c r="X94" s="669" t="n"/>
      <c r="Y94" s="669" t="n"/>
      <c r="Z94" s="669" t="n"/>
      <c r="AA94" s="669" t="n"/>
      <c r="AB94" s="669" t="n"/>
    </row>
    <row r="95">
      <c r="A95" s="1037" t="n"/>
      <c r="B95" s="1104" t="inlineStr">
        <is>
          <t>Moose</t>
        </is>
      </c>
      <c r="C95" s="1103" t="inlineStr">
        <is>
          <t>Tundra</t>
        </is>
      </c>
      <c r="D95" s="1103" t="inlineStr">
        <is>
          <t>Purple</t>
        </is>
      </c>
      <c r="E95" s="1103" t="inlineStr">
        <is>
          <t>Devotee</t>
        </is>
      </c>
      <c r="F95" s="1103" t="inlineStr">
        <is>
          <t>A</t>
        </is>
      </c>
      <c r="G95" s="669" t="n"/>
      <c r="H95" s="669" t="n"/>
      <c r="I95" s="1109" t="n">
        <v>25</v>
      </c>
      <c r="J95" s="1112">
        <f>'Offering Speed'!$C$69*(I94+1)</f>
        <v/>
      </c>
      <c r="K95" s="1112">
        <f>SUM(J71:INDEX($J:$J,70+I95))</f>
        <v/>
      </c>
      <c r="L95" s="1109" t="n">
        <v>25</v>
      </c>
      <c r="M95" s="669" t="n"/>
      <c r="N95" s="669" t="n"/>
      <c r="O95" s="669" t="n"/>
      <c r="P95" s="669" t="n"/>
      <c r="Q95" s="669" t="n"/>
      <c r="R95" s="669" t="n"/>
      <c r="S95" s="669" t="n"/>
      <c r="T95" s="669" t="n"/>
      <c r="U95" s="669" t="n"/>
      <c r="V95" s="669" t="n"/>
      <c r="W95" s="669" t="n"/>
      <c r="X95" s="669" t="n"/>
      <c r="Y95" s="669" t="n"/>
      <c r="Z95" s="669" t="n"/>
      <c r="AA95" s="669" t="n"/>
      <c r="AB95" s="669" t="n"/>
    </row>
    <row r="96">
      <c r="A96" s="1037" t="n"/>
      <c r="B96" s="1104" t="inlineStr">
        <is>
          <t>Reindeer</t>
        </is>
      </c>
      <c r="C96" s="1103" t="inlineStr">
        <is>
          <t>Tundra</t>
        </is>
      </c>
      <c r="D96" s="1103" t="inlineStr">
        <is>
          <t>Blue</t>
        </is>
      </c>
      <c r="E96" s="1103" t="inlineStr">
        <is>
          <t>Devotee</t>
        </is>
      </c>
      <c r="F96" s="1103" t="inlineStr">
        <is>
          <t>B</t>
        </is>
      </c>
      <c r="G96" s="669" t="n"/>
      <c r="H96" s="669" t="n"/>
      <c r="I96" s="1109" t="n">
        <v>26</v>
      </c>
      <c r="J96" s="1112">
        <f>'Offering Speed'!$C$69*(I95+1)</f>
        <v/>
      </c>
      <c r="K96" s="1112">
        <f>SUM(J71:INDEX($J:$J,70+I96))</f>
        <v/>
      </c>
      <c r="L96" s="1109" t="n">
        <v>26</v>
      </c>
      <c r="M96" s="669" t="n"/>
      <c r="N96" s="669" t="n"/>
      <c r="O96" s="669" t="n"/>
      <c r="P96" s="669" t="n"/>
      <c r="Q96" s="669" t="n"/>
      <c r="R96" s="669" t="n"/>
      <c r="S96" s="669" t="n"/>
      <c r="T96" s="669" t="n"/>
      <c r="U96" s="669" t="n"/>
      <c r="V96" s="669" t="n"/>
      <c r="W96" s="669" t="n"/>
      <c r="X96" s="669" t="n"/>
      <c r="Y96" s="669" t="n"/>
      <c r="Z96" s="669" t="n"/>
      <c r="AA96" s="669" t="n"/>
      <c r="AB96" s="669" t="n"/>
    </row>
    <row r="97">
      <c r="A97" s="1037" t="n"/>
      <c r="B97" s="1104" t="inlineStr">
        <is>
          <t>Megingjord (SSS)</t>
        </is>
      </c>
      <c r="C97" s="1103" t="inlineStr">
        <is>
          <t>Desert</t>
        </is>
      </c>
      <c r="D97" s="1103" t="inlineStr">
        <is>
          <t>SSS</t>
        </is>
      </c>
      <c r="E97" s="1103" t="inlineStr">
        <is>
          <t>Priest</t>
        </is>
      </c>
      <c r="F97" s="1103" t="inlineStr">
        <is>
          <t>SSS</t>
        </is>
      </c>
      <c r="G97" s="669" t="n"/>
      <c r="H97" s="669" t="n"/>
      <c r="I97" s="1109" t="n">
        <v>27</v>
      </c>
      <c r="J97" s="1112">
        <f>'Offering Speed'!$C$69*(I96+1)</f>
        <v/>
      </c>
      <c r="K97" s="1112">
        <f>SUM(J71:INDEX($J:$J,70+I97))</f>
        <v/>
      </c>
      <c r="L97" s="1109" t="n">
        <v>27</v>
      </c>
      <c r="M97" s="669" t="n"/>
      <c r="N97" s="669" t="n"/>
      <c r="O97" s="669" t="n"/>
      <c r="P97" s="669" t="n"/>
      <c r="Q97" s="669" t="n"/>
      <c r="R97" s="669" t="n"/>
      <c r="S97" s="669" t="n"/>
      <c r="T97" s="669" t="n"/>
      <c r="U97" s="669" t="n"/>
      <c r="V97" s="669" t="n"/>
      <c r="W97" s="669" t="n"/>
      <c r="X97" s="669" t="n"/>
      <c r="Y97" s="669" t="n"/>
      <c r="Z97" s="669" t="n"/>
      <c r="AA97" s="669" t="n"/>
      <c r="AB97" s="669" t="n"/>
    </row>
    <row r="98">
      <c r="A98" s="1037" t="n"/>
      <c r="B98" s="1104" t="inlineStr">
        <is>
          <t>Megingjord (SS)</t>
        </is>
      </c>
      <c r="C98" s="1103" t="inlineStr">
        <is>
          <t>Desert</t>
        </is>
      </c>
      <c r="D98" s="1103" t="inlineStr">
        <is>
          <t>SS</t>
        </is>
      </c>
      <c r="E98" s="1103" t="inlineStr">
        <is>
          <t>Priest</t>
        </is>
      </c>
      <c r="F98" s="1103" t="inlineStr">
        <is>
          <t>SSS</t>
        </is>
      </c>
      <c r="G98" s="669" t="n"/>
      <c r="H98" s="669" t="n"/>
      <c r="I98" s="1109" t="n">
        <v>28</v>
      </c>
      <c r="J98" s="1112">
        <f>'Offering Speed'!$C$69*(I97+1)</f>
        <v/>
      </c>
      <c r="K98" s="1112">
        <f>SUM(J71:INDEX($J:$J,70+I98))</f>
        <v/>
      </c>
      <c r="L98" s="1109" t="n">
        <v>28</v>
      </c>
      <c r="M98" s="669" t="n"/>
      <c r="N98" s="669" t="n"/>
      <c r="O98" s="669" t="n"/>
      <c r="P98" s="669" t="n"/>
      <c r="Q98" s="669" t="n"/>
      <c r="R98" s="669" t="n"/>
      <c r="S98" s="669" t="n"/>
      <c r="T98" s="669" t="n"/>
      <c r="U98" s="669" t="n"/>
      <c r="V98" s="669" t="n"/>
      <c r="W98" s="669" t="n"/>
      <c r="X98" s="669" t="n"/>
      <c r="Y98" s="669" t="n"/>
      <c r="Z98" s="669" t="n"/>
      <c r="AA98" s="669" t="n"/>
      <c r="AB98" s="669" t="n"/>
    </row>
    <row r="99">
      <c r="A99" s="1037" t="n"/>
      <c r="B99" s="1104" t="inlineStr">
        <is>
          <t>Harpy (SSS)</t>
        </is>
      </c>
      <c r="C99" s="1103" t="inlineStr">
        <is>
          <t>Desert</t>
        </is>
      </c>
      <c r="D99" s="1103" t="inlineStr">
        <is>
          <t>SSS</t>
        </is>
      </c>
      <c r="E99" s="1103" t="inlineStr">
        <is>
          <t>Priest</t>
        </is>
      </c>
      <c r="F99" s="1103" t="inlineStr">
        <is>
          <t>SSS</t>
        </is>
      </c>
      <c r="G99" s="669" t="n"/>
      <c r="H99" s="669" t="n"/>
      <c r="I99" s="1109" t="n">
        <v>29</v>
      </c>
      <c r="J99" s="1112">
        <f>'Offering Speed'!$C$69*(I98+1)</f>
        <v/>
      </c>
      <c r="K99" s="1112">
        <f>SUM(J71:INDEX($J:$J,70+I99))</f>
        <v/>
      </c>
      <c r="L99" s="1109" t="n">
        <v>29</v>
      </c>
      <c r="M99" s="669" t="n"/>
      <c r="N99" s="669" t="n"/>
      <c r="O99" s="669" t="n"/>
      <c r="P99" s="669" t="n"/>
      <c r="Q99" s="669" t="n"/>
      <c r="R99" s="669" t="n"/>
      <c r="S99" s="669" t="n"/>
      <c r="T99" s="669" t="n"/>
      <c r="U99" s="669" t="n"/>
      <c r="V99" s="669" t="n"/>
      <c r="W99" s="669" t="n"/>
      <c r="X99" s="669" t="n"/>
      <c r="Y99" s="669" t="n"/>
      <c r="Z99" s="669" t="n"/>
      <c r="AA99" s="669" t="n"/>
      <c r="AB99" s="669" t="n"/>
    </row>
    <row r="100">
      <c r="A100" s="1037" t="n"/>
      <c r="B100" s="1104" t="inlineStr">
        <is>
          <t>Harpy (SS)</t>
        </is>
      </c>
      <c r="C100" s="1103" t="inlineStr">
        <is>
          <t>Desert</t>
        </is>
      </c>
      <c r="D100" s="1103" t="inlineStr">
        <is>
          <t>SS</t>
        </is>
      </c>
      <c r="E100" s="1103" t="inlineStr">
        <is>
          <t>Priest</t>
        </is>
      </c>
      <c r="F100" s="1103" t="inlineStr">
        <is>
          <t>SSS</t>
        </is>
      </c>
      <c r="G100" s="669" t="n"/>
      <c r="H100" s="669" t="n"/>
      <c r="I100" s="1109" t="n">
        <v>30</v>
      </c>
      <c r="J100" s="1112">
        <f>'Offering Speed'!$C$69*(I99+1)</f>
        <v/>
      </c>
      <c r="K100" s="1112">
        <f>SUM(J71:INDEX($J:$J,70+I100))</f>
        <v/>
      </c>
      <c r="L100" s="1109" t="n">
        <v>30</v>
      </c>
      <c r="M100" s="669" t="n"/>
      <c r="N100" s="669" t="n"/>
      <c r="O100" s="669" t="n"/>
      <c r="P100" s="669" t="n"/>
      <c r="Q100" s="669" t="n"/>
      <c r="R100" s="669" t="n"/>
      <c r="S100" s="669" t="n"/>
      <c r="T100" s="669" t="n"/>
      <c r="U100" s="669" t="n"/>
      <c r="V100" s="669" t="n"/>
      <c r="W100" s="669" t="n"/>
      <c r="X100" s="669" t="n"/>
      <c r="Y100" s="669" t="n"/>
      <c r="Z100" s="669" t="n"/>
      <c r="AA100" s="669" t="n"/>
      <c r="AB100" s="669" t="n"/>
    </row>
    <row r="101">
      <c r="A101" s="1037" t="n"/>
      <c r="B101" s="1104" t="inlineStr">
        <is>
          <t>Infernalisk</t>
        </is>
      </c>
      <c r="C101" s="1103" t="inlineStr">
        <is>
          <t>Desert</t>
        </is>
      </c>
      <c r="D101" s="1103" t="inlineStr">
        <is>
          <t>S</t>
        </is>
      </c>
      <c r="E101" s="1103" t="inlineStr">
        <is>
          <t>Priest</t>
        </is>
      </c>
      <c r="F101" s="1103" t="inlineStr">
        <is>
          <t>SS</t>
        </is>
      </c>
      <c r="G101" s="669" t="n"/>
      <c r="H101" s="669" t="n"/>
      <c r="I101" s="1109" t="n">
        <v>31</v>
      </c>
      <c r="J101" s="1112">
        <f>'Offering Speed'!$C$69*(I100+1)</f>
        <v/>
      </c>
      <c r="K101" s="1112">
        <f>SUM(J71:INDEX($J:$J,70+I101))</f>
        <v/>
      </c>
      <c r="L101" s="1109" t="n">
        <v>31</v>
      </c>
      <c r="M101" s="669" t="n"/>
      <c r="N101" s="669" t="n"/>
      <c r="O101" s="669" t="n"/>
      <c r="P101" s="669" t="n"/>
      <c r="Q101" s="669" t="n"/>
      <c r="R101" s="669" t="n"/>
      <c r="S101" s="669" t="n"/>
      <c r="T101" s="669" t="n"/>
      <c r="U101" s="669" t="n"/>
      <c r="V101" s="669" t="n"/>
      <c r="W101" s="669" t="n"/>
      <c r="X101" s="669" t="n"/>
      <c r="Y101" s="669" t="n"/>
      <c r="Z101" s="669" t="n"/>
      <c r="AA101" s="669" t="n"/>
      <c r="AB101" s="669" t="n"/>
    </row>
    <row r="102">
      <c r="A102" s="1037" t="n"/>
      <c r="B102" s="1104" t="inlineStr">
        <is>
          <t>Leobat</t>
        </is>
      </c>
      <c r="C102" s="1103" t="inlineStr">
        <is>
          <t>Desert</t>
        </is>
      </c>
      <c r="D102" s="1103" t="inlineStr">
        <is>
          <t>Purple</t>
        </is>
      </c>
      <c r="E102" s="1103" t="inlineStr">
        <is>
          <t>Priest</t>
        </is>
      </c>
      <c r="F102" s="1103" t="inlineStr">
        <is>
          <t>A</t>
        </is>
      </c>
      <c r="G102" s="669" t="n"/>
      <c r="H102" s="669" t="n"/>
      <c r="I102" s="1109" t="n">
        <v>32</v>
      </c>
      <c r="J102" s="1112">
        <f>'Offering Speed'!$C$69*(I101+1)</f>
        <v/>
      </c>
      <c r="K102" s="1112">
        <f>SUM(J71:INDEX($J:$J,70+I102))</f>
        <v/>
      </c>
      <c r="L102" s="1109" t="n">
        <v>32</v>
      </c>
      <c r="M102" s="669" t="n"/>
      <c r="N102" s="669" t="n"/>
      <c r="O102" s="669" t="n"/>
      <c r="P102" s="669" t="n"/>
      <c r="Q102" s="669" t="n"/>
      <c r="R102" s="669" t="n"/>
      <c r="S102" s="669" t="n"/>
      <c r="T102" s="669" t="n"/>
      <c r="U102" s="669" t="n"/>
      <c r="V102" s="669" t="n"/>
      <c r="W102" s="669" t="n"/>
      <c r="X102" s="669" t="n"/>
      <c r="Y102" s="669" t="n"/>
      <c r="Z102" s="669" t="n"/>
      <c r="AA102" s="669" t="n"/>
      <c r="AB102" s="669" t="n"/>
    </row>
    <row r="103">
      <c r="A103" s="1037" t="n"/>
      <c r="B103" s="1104" t="inlineStr">
        <is>
          <t>Gandiva (SSS)</t>
        </is>
      </c>
      <c r="C103" s="1103" t="inlineStr">
        <is>
          <t>Desert</t>
        </is>
      </c>
      <c r="D103" s="1103" t="inlineStr">
        <is>
          <t>SSS</t>
        </is>
      </c>
      <c r="E103" s="1103" t="inlineStr">
        <is>
          <t>Devotee</t>
        </is>
      </c>
      <c r="F103" s="1103" t="inlineStr">
        <is>
          <t>SSS</t>
        </is>
      </c>
      <c r="G103" s="669" t="n"/>
      <c r="H103" s="669" t="n"/>
      <c r="I103" s="1109" t="n">
        <v>33</v>
      </c>
      <c r="J103" s="1112">
        <f>'Offering Speed'!$C$69*(I102+1)</f>
        <v/>
      </c>
      <c r="K103" s="1112">
        <f>SUM(J71:INDEX($J:$J,70+I103))</f>
        <v/>
      </c>
      <c r="L103" s="1109" t="n">
        <v>33</v>
      </c>
      <c r="M103" s="669" t="n"/>
      <c r="N103" s="669" t="n"/>
      <c r="O103" s="669" t="n"/>
      <c r="P103" s="669" t="n"/>
      <c r="Q103" s="669" t="n"/>
      <c r="R103" s="669" t="n"/>
      <c r="S103" s="669" t="n"/>
      <c r="T103" s="669" t="n"/>
      <c r="U103" s="669" t="n"/>
      <c r="V103" s="669" t="n"/>
      <c r="W103" s="669" t="n"/>
      <c r="X103" s="669" t="n"/>
      <c r="Y103" s="669" t="n"/>
      <c r="Z103" s="669" t="n"/>
      <c r="AA103" s="669" t="n"/>
      <c r="AB103" s="669" t="n"/>
    </row>
    <row r="104">
      <c r="A104" s="1037" t="n"/>
      <c r="B104" s="1104" t="inlineStr">
        <is>
          <t>Gandiva (SS)</t>
        </is>
      </c>
      <c r="C104" s="1103" t="inlineStr">
        <is>
          <t>Desert</t>
        </is>
      </c>
      <c r="D104" s="1103" t="inlineStr">
        <is>
          <t>SS</t>
        </is>
      </c>
      <c r="E104" s="1103" t="inlineStr">
        <is>
          <t>Devotee</t>
        </is>
      </c>
      <c r="F104" s="1103" t="inlineStr">
        <is>
          <t>SSS</t>
        </is>
      </c>
      <c r="G104" s="669" t="n"/>
      <c r="H104" s="669" t="n"/>
      <c r="I104" s="1109" t="n">
        <v>34</v>
      </c>
      <c r="J104" s="1112">
        <f>'Offering Speed'!$C$69*(I103+1)</f>
        <v/>
      </c>
      <c r="K104" s="1112">
        <f>SUM(J71:INDEX($J:$J,70+I104))</f>
        <v/>
      </c>
      <c r="L104" s="1109" t="n">
        <v>34</v>
      </c>
      <c r="M104" s="669" t="n"/>
      <c r="N104" s="669" t="n"/>
      <c r="O104" s="669" t="n"/>
      <c r="P104" s="669" t="n"/>
      <c r="Q104" s="669" t="n"/>
      <c r="R104" s="669" t="n"/>
      <c r="S104" s="669" t="n"/>
      <c r="T104" s="669" t="n"/>
      <c r="U104" s="669" t="n"/>
      <c r="V104" s="669" t="n"/>
      <c r="W104" s="669" t="n"/>
      <c r="X104" s="669" t="n"/>
      <c r="Y104" s="669" t="n"/>
      <c r="Z104" s="669" t="n"/>
      <c r="AA104" s="669" t="n"/>
      <c r="AB104" s="669" t="n"/>
    </row>
    <row r="105">
      <c r="A105" s="1037" t="n"/>
      <c r="B105" s="1104" t="inlineStr">
        <is>
          <t>Laevateinn (SSS)</t>
        </is>
      </c>
      <c r="C105" s="1103" t="inlineStr">
        <is>
          <t>Desert</t>
        </is>
      </c>
      <c r="D105" s="1103" t="inlineStr">
        <is>
          <t>SSS</t>
        </is>
      </c>
      <c r="E105" s="1103" t="inlineStr">
        <is>
          <t>Devotee</t>
        </is>
      </c>
      <c r="F105" s="1103" t="inlineStr">
        <is>
          <t>SSS</t>
        </is>
      </c>
      <c r="G105" s="669" t="n"/>
      <c r="H105" s="669" t="n"/>
      <c r="I105" s="1109" t="n">
        <v>35</v>
      </c>
      <c r="J105" s="1112">
        <f>'Offering Speed'!$C$69*(I104+1)</f>
        <v/>
      </c>
      <c r="K105" s="1112">
        <f>SUM(J71:INDEX($J:$J,70+I105))</f>
        <v/>
      </c>
      <c r="L105" s="1109" t="n">
        <v>35</v>
      </c>
      <c r="M105" s="669" t="n"/>
      <c r="N105" s="669" t="n"/>
      <c r="O105" s="669" t="n"/>
      <c r="P105" s="669" t="n"/>
      <c r="Q105" s="669" t="n"/>
      <c r="R105" s="669" t="n"/>
      <c r="S105" s="669" t="n"/>
      <c r="T105" s="669" t="n"/>
      <c r="U105" s="669" t="n"/>
      <c r="V105" s="669" t="n"/>
      <c r="W105" s="669" t="n"/>
      <c r="X105" s="669" t="n"/>
      <c r="Y105" s="669" t="n"/>
      <c r="Z105" s="669" t="n"/>
      <c r="AA105" s="669" t="n"/>
      <c r="AB105" s="669" t="n"/>
    </row>
    <row r="106">
      <c r="A106" s="1037" t="n"/>
      <c r="B106" s="1104" t="inlineStr">
        <is>
          <t>Laevateinn (SS)</t>
        </is>
      </c>
      <c r="C106" s="1103" t="inlineStr">
        <is>
          <t>Desert</t>
        </is>
      </c>
      <c r="D106" s="1103" t="inlineStr">
        <is>
          <t>SS</t>
        </is>
      </c>
      <c r="E106" s="1103" t="inlineStr">
        <is>
          <t>Devotee</t>
        </is>
      </c>
      <c r="F106" s="1103" t="inlineStr">
        <is>
          <t>SSS</t>
        </is>
      </c>
      <c r="G106" s="669" t="n"/>
      <c r="H106" s="669" t="n"/>
      <c r="I106" s="1109" t="n">
        <v>36</v>
      </c>
      <c r="J106" s="1112">
        <f>'Offering Speed'!$C$69*(I105+1)</f>
        <v/>
      </c>
      <c r="K106" s="1112">
        <f>SUM(J71:INDEX($J:$J,70+I106))</f>
        <v/>
      </c>
      <c r="L106" s="1109" t="n">
        <v>36</v>
      </c>
      <c r="M106" s="669" t="n"/>
      <c r="N106" s="669" t="n"/>
      <c r="O106" s="669" t="n"/>
      <c r="P106" s="669" t="n"/>
      <c r="Q106" s="669" t="n"/>
      <c r="R106" s="669" t="n"/>
      <c r="S106" s="669" t="n"/>
      <c r="T106" s="669" t="n"/>
      <c r="U106" s="669" t="n"/>
      <c r="V106" s="669" t="n"/>
      <c r="W106" s="669" t="n"/>
      <c r="X106" s="669" t="n"/>
      <c r="Y106" s="669" t="n"/>
      <c r="Z106" s="669" t="n"/>
      <c r="AA106" s="669" t="n"/>
      <c r="AB106" s="669" t="n"/>
    </row>
    <row r="107">
      <c r="A107" s="1037" t="n"/>
      <c r="B107" s="1104" t="inlineStr">
        <is>
          <t>Gungnir (SSS)</t>
        </is>
      </c>
      <c r="C107" s="1103" t="inlineStr">
        <is>
          <t>Desert</t>
        </is>
      </c>
      <c r="D107" s="1103" t="inlineStr">
        <is>
          <t>SSS</t>
        </is>
      </c>
      <c r="E107" s="1103" t="inlineStr">
        <is>
          <t>Devotee</t>
        </is>
      </c>
      <c r="F107" s="1103" t="inlineStr">
        <is>
          <t>SSS</t>
        </is>
      </c>
      <c r="G107" s="669" t="n"/>
      <c r="H107" s="669" t="n"/>
      <c r="I107" s="1109" t="n">
        <v>37</v>
      </c>
      <c r="J107" s="1112">
        <f>'Offering Speed'!$C$69*(I106+1)</f>
        <v/>
      </c>
      <c r="K107" s="1112">
        <f>SUM(J71:INDEX($J:$J,70+I107))</f>
        <v/>
      </c>
      <c r="L107" s="1109" t="n">
        <v>37</v>
      </c>
      <c r="M107" s="669" t="n"/>
      <c r="N107" s="669" t="n"/>
      <c r="O107" s="669" t="n"/>
      <c r="P107" s="669" t="n"/>
      <c r="Q107" s="669" t="n"/>
      <c r="R107" s="669" t="n"/>
      <c r="S107" s="669" t="n"/>
      <c r="T107" s="669" t="n"/>
      <c r="U107" s="669" t="n"/>
      <c r="V107" s="669" t="n"/>
      <c r="W107" s="669" t="n"/>
      <c r="X107" s="669" t="n"/>
      <c r="Y107" s="669" t="n"/>
      <c r="Z107" s="669" t="n"/>
      <c r="AA107" s="669" t="n"/>
      <c r="AB107" s="669" t="n"/>
    </row>
    <row r="108">
      <c r="A108" s="1037" t="n"/>
      <c r="B108" s="1104" t="inlineStr">
        <is>
          <t>Gungnir (SS)</t>
        </is>
      </c>
      <c r="C108" s="1103" t="inlineStr">
        <is>
          <t>Desert</t>
        </is>
      </c>
      <c r="D108" s="1103" t="inlineStr">
        <is>
          <t>SS</t>
        </is>
      </c>
      <c r="E108" s="1103" t="inlineStr">
        <is>
          <t>Devotee</t>
        </is>
      </c>
      <c r="F108" s="1103" t="inlineStr">
        <is>
          <t>SSS</t>
        </is>
      </c>
      <c r="G108" s="669" t="n"/>
      <c r="H108" s="669" t="n"/>
      <c r="I108" s="1109" t="n">
        <v>38</v>
      </c>
      <c r="J108" s="1112">
        <f>'Offering Speed'!$C$69*(I107+1)</f>
        <v/>
      </c>
      <c r="K108" s="1112">
        <f>SUM(J71:INDEX($J:$J,70+I108))</f>
        <v/>
      </c>
      <c r="L108" s="1109" t="n">
        <v>38</v>
      </c>
      <c r="M108" s="669" t="n"/>
      <c r="N108" s="669" t="n"/>
      <c r="O108" s="669" t="n"/>
      <c r="P108" s="669" t="n"/>
      <c r="Q108" s="669" t="n"/>
      <c r="R108" s="669" t="n"/>
      <c r="S108" s="669" t="n"/>
      <c r="T108" s="669" t="n"/>
      <c r="U108" s="669" t="n"/>
      <c r="V108" s="669" t="n"/>
      <c r="W108" s="669" t="n"/>
      <c r="X108" s="669" t="n"/>
      <c r="Y108" s="669" t="n"/>
      <c r="Z108" s="669" t="n"/>
      <c r="AA108" s="669" t="n"/>
      <c r="AB108" s="669" t="n"/>
    </row>
    <row r="109">
      <c r="A109" s="1037" t="n"/>
      <c r="B109" s="1104" t="inlineStr">
        <is>
          <t>Behemoth</t>
        </is>
      </c>
      <c r="C109" s="1103" t="inlineStr">
        <is>
          <t>Desert</t>
        </is>
      </c>
      <c r="D109" s="1103" t="inlineStr">
        <is>
          <t>SS</t>
        </is>
      </c>
      <c r="E109" s="1103" t="inlineStr">
        <is>
          <t>Devotee</t>
        </is>
      </c>
      <c r="F109" s="1103" t="inlineStr">
        <is>
          <t>SS</t>
        </is>
      </c>
      <c r="G109" s="669" t="n"/>
      <c r="H109" s="669" t="n"/>
      <c r="I109" s="1109" t="n">
        <v>39</v>
      </c>
      <c r="J109" s="1112">
        <f>'Offering Speed'!$C$69*(I108+1)</f>
        <v/>
      </c>
      <c r="K109" s="1112">
        <f>SUM(J71:INDEX($J:$J,70+I109))</f>
        <v/>
      </c>
      <c r="L109" s="1109" t="n">
        <v>39</v>
      </c>
      <c r="M109" s="669" t="n"/>
      <c r="N109" s="669" t="n"/>
      <c r="O109" s="669" t="n"/>
      <c r="P109" s="669" t="n"/>
      <c r="Q109" s="669" t="n"/>
      <c r="R109" s="669" t="n"/>
      <c r="S109" s="669" t="n"/>
      <c r="T109" s="669" t="n"/>
      <c r="U109" s="669" t="n"/>
      <c r="V109" s="669" t="n"/>
      <c r="W109" s="669" t="n"/>
      <c r="X109" s="669" t="n"/>
      <c r="Y109" s="669" t="n"/>
      <c r="Z109" s="669" t="n"/>
      <c r="AA109" s="669" t="n"/>
      <c r="AB109" s="669" t="n"/>
    </row>
    <row r="110">
      <c r="A110" s="1037" t="n"/>
      <c r="B110" s="1104" t="inlineStr">
        <is>
          <t>Ignilion</t>
        </is>
      </c>
      <c r="C110" s="1103" t="inlineStr">
        <is>
          <t>Desert</t>
        </is>
      </c>
      <c r="D110" s="1103" t="inlineStr">
        <is>
          <t>S</t>
        </is>
      </c>
      <c r="E110" s="1103" t="inlineStr">
        <is>
          <t>Devotee</t>
        </is>
      </c>
      <c r="F110" s="1103" t="inlineStr">
        <is>
          <t>SS</t>
        </is>
      </c>
      <c r="G110" s="669" t="n"/>
      <c r="H110" s="669" t="n"/>
      <c r="I110" s="1109" t="n">
        <v>40</v>
      </c>
      <c r="J110" s="1112">
        <f>'Offering Speed'!$C$69*(I109+1)</f>
        <v/>
      </c>
      <c r="K110" s="1112">
        <f>SUM(J71:INDEX($J:$J,70+I110))</f>
        <v/>
      </c>
      <c r="L110" s="1109" t="n">
        <v>40</v>
      </c>
      <c r="M110" s="669" t="n"/>
      <c r="N110" s="669" t="n"/>
      <c r="O110" s="669" t="n"/>
      <c r="P110" s="669" t="n"/>
      <c r="Q110" s="669" t="n"/>
      <c r="R110" s="669" t="n"/>
      <c r="S110" s="669" t="n"/>
      <c r="T110" s="669" t="n"/>
      <c r="U110" s="669" t="n"/>
      <c r="V110" s="669" t="n"/>
      <c r="W110" s="669" t="n"/>
      <c r="X110" s="669" t="n"/>
      <c r="Y110" s="669" t="n"/>
      <c r="Z110" s="669" t="n"/>
      <c r="AA110" s="669" t="n"/>
      <c r="AB110" s="669" t="n"/>
    </row>
    <row r="111">
      <c r="A111" s="1037" t="n"/>
      <c r="B111" s="1104" t="inlineStr">
        <is>
          <t>Blazebuck</t>
        </is>
      </c>
      <c r="C111" s="1103" t="inlineStr">
        <is>
          <t>Desert</t>
        </is>
      </c>
      <c r="D111" s="1103" t="inlineStr">
        <is>
          <t>S</t>
        </is>
      </c>
      <c r="E111" s="1103" t="inlineStr">
        <is>
          <t>Devotee</t>
        </is>
      </c>
      <c r="F111" s="1103" t="inlineStr">
        <is>
          <t>SS</t>
        </is>
      </c>
      <c r="G111" s="669" t="n"/>
      <c r="H111" s="669" t="n"/>
      <c r="I111" s="1109" t="n">
        <v>41</v>
      </c>
      <c r="J111" s="1112">
        <f>'Offering Speed'!$C$69*(I110+1)</f>
        <v/>
      </c>
      <c r="K111" s="1112">
        <f>SUM(J71:INDEX($J:$J,70+I111))</f>
        <v/>
      </c>
      <c r="L111" s="1109" t="n">
        <v>41</v>
      </c>
      <c r="M111" s="669" t="n"/>
      <c r="N111" s="669" t="n"/>
      <c r="O111" s="669" t="n"/>
      <c r="P111" s="669" t="n"/>
      <c r="Q111" s="669" t="n"/>
      <c r="R111" s="669" t="n"/>
      <c r="S111" s="669" t="n"/>
      <c r="T111" s="669" t="n"/>
      <c r="U111" s="669" t="n"/>
      <c r="V111" s="669" t="n"/>
      <c r="W111" s="669" t="n"/>
      <c r="X111" s="669" t="n"/>
      <c r="Y111" s="669" t="n"/>
      <c r="Z111" s="669" t="n"/>
      <c r="AA111" s="669" t="n"/>
      <c r="AB111" s="669" t="n"/>
    </row>
    <row r="112">
      <c r="A112" s="1037" t="n"/>
      <c r="B112" s="1104" t="inlineStr">
        <is>
          <t>Batannos</t>
        </is>
      </c>
      <c r="C112" s="1103" t="inlineStr">
        <is>
          <t>Desert</t>
        </is>
      </c>
      <c r="D112" s="1103" t="inlineStr">
        <is>
          <t>S</t>
        </is>
      </c>
      <c r="E112" s="1103" t="inlineStr">
        <is>
          <t>Devotee</t>
        </is>
      </c>
      <c r="F112" s="1103" t="inlineStr">
        <is>
          <t>SS</t>
        </is>
      </c>
      <c r="G112" s="669" t="n"/>
      <c r="H112" s="669" t="n"/>
      <c r="I112" s="1109" t="n">
        <v>42</v>
      </c>
      <c r="J112" s="1112">
        <f>'Offering Speed'!$C$69*(I111+1)</f>
        <v/>
      </c>
      <c r="K112" s="1112">
        <f>SUM(J71:INDEX($J:$J,70+I112))</f>
        <v/>
      </c>
      <c r="L112" s="1109" t="n">
        <v>42</v>
      </c>
      <c r="M112" s="669" t="n"/>
      <c r="N112" s="669" t="n"/>
      <c r="O112" s="669" t="n"/>
      <c r="P112" s="669" t="n"/>
      <c r="Q112" s="669" t="n"/>
      <c r="R112" s="669" t="n"/>
      <c r="S112" s="669" t="n"/>
      <c r="T112" s="669" t="n"/>
      <c r="U112" s="669" t="n"/>
      <c r="V112" s="669" t="n"/>
      <c r="W112" s="669" t="n"/>
      <c r="X112" s="669" t="n"/>
      <c r="Y112" s="669" t="n"/>
      <c r="Z112" s="669" t="n"/>
      <c r="AA112" s="669" t="n"/>
      <c r="AB112" s="669" t="n"/>
    </row>
    <row r="113">
      <c r="A113" s="1037" t="n"/>
      <c r="B113" s="1104" t="inlineStr">
        <is>
          <t>Elkobra</t>
        </is>
      </c>
      <c r="C113" s="1103" t="inlineStr">
        <is>
          <t>Desert</t>
        </is>
      </c>
      <c r="D113" s="1103" t="inlineStr">
        <is>
          <t>S</t>
        </is>
      </c>
      <c r="E113" s="1103" t="inlineStr">
        <is>
          <t>Devotee</t>
        </is>
      </c>
      <c r="F113" s="1103" t="inlineStr">
        <is>
          <t>S</t>
        </is>
      </c>
      <c r="G113" s="669" t="n"/>
      <c r="H113" s="669" t="n"/>
      <c r="I113" s="1109" t="n">
        <v>43</v>
      </c>
      <c r="J113" s="1112">
        <f>'Offering Speed'!$C$69*(I112+1)</f>
        <v/>
      </c>
      <c r="K113" s="1112">
        <f>SUM(J71:INDEX($J:$J,70+I113))</f>
        <v/>
      </c>
      <c r="L113" s="1109" t="n">
        <v>43</v>
      </c>
      <c r="M113" s="669" t="n"/>
      <c r="N113" s="669" t="n"/>
      <c r="O113" s="669" t="n"/>
      <c r="P113" s="669" t="n"/>
      <c r="Q113" s="669" t="n"/>
      <c r="R113" s="669" t="n"/>
      <c r="S113" s="669" t="n"/>
      <c r="T113" s="669" t="n"/>
      <c r="U113" s="669" t="n"/>
      <c r="V113" s="669" t="n"/>
      <c r="W113" s="669" t="n"/>
      <c r="X113" s="669" t="n"/>
      <c r="Y113" s="669" t="n"/>
      <c r="Z113" s="669" t="n"/>
      <c r="AA113" s="669" t="n"/>
      <c r="AB113" s="669" t="n"/>
    </row>
    <row r="114">
      <c r="A114" s="1037" t="n"/>
      <c r="B114" s="1104" t="inlineStr">
        <is>
          <t>Cardimon</t>
        </is>
      </c>
      <c r="C114" s="1103" t="inlineStr">
        <is>
          <t>Desert</t>
        </is>
      </c>
      <c r="D114" s="1103" t="inlineStr">
        <is>
          <t>S</t>
        </is>
      </c>
      <c r="E114" s="1103" t="inlineStr">
        <is>
          <t>Devotee</t>
        </is>
      </c>
      <c r="F114" s="1103" t="inlineStr">
        <is>
          <t>S</t>
        </is>
      </c>
      <c r="G114" s="669" t="n"/>
      <c r="H114" s="669" t="n"/>
      <c r="I114" s="1109" t="n">
        <v>44</v>
      </c>
      <c r="J114" s="1112">
        <f>'Offering Speed'!$C$69*(I113+1)</f>
        <v/>
      </c>
      <c r="K114" s="1112">
        <f>SUM(J71:INDEX($J:$J,70+I114))</f>
        <v/>
      </c>
      <c r="L114" s="1109" t="n">
        <v>44</v>
      </c>
      <c r="M114" s="669" t="n"/>
      <c r="N114" s="669" t="n"/>
      <c r="O114" s="669" t="n"/>
      <c r="P114" s="669" t="n"/>
      <c r="Q114" s="669" t="n"/>
      <c r="R114" s="669" t="n"/>
      <c r="S114" s="669" t="n"/>
      <c r="T114" s="669" t="n"/>
      <c r="U114" s="669" t="n"/>
      <c r="V114" s="669" t="n"/>
      <c r="W114" s="669" t="n"/>
      <c r="X114" s="669" t="n"/>
      <c r="Y114" s="669" t="n"/>
      <c r="Z114" s="669" t="n"/>
      <c r="AA114" s="669" t="n"/>
      <c r="AB114" s="669" t="n"/>
    </row>
    <row r="115">
      <c r="A115" s="1037" t="n"/>
      <c r="B115" s="1104" t="inlineStr">
        <is>
          <t>Gurglethon</t>
        </is>
      </c>
      <c r="C115" s="1103" t="inlineStr">
        <is>
          <t>Desert</t>
        </is>
      </c>
      <c r="D115" s="1103" t="inlineStr">
        <is>
          <t>S</t>
        </is>
      </c>
      <c r="E115" s="1103" t="inlineStr">
        <is>
          <t>Devotee</t>
        </is>
      </c>
      <c r="F115" s="1103" t="inlineStr">
        <is>
          <t>S</t>
        </is>
      </c>
      <c r="G115" s="669" t="n"/>
      <c r="H115" s="669" t="n"/>
      <c r="I115" s="1109" t="n">
        <v>45</v>
      </c>
      <c r="J115" s="1112">
        <f>'Offering Speed'!$C$69*(I114+1)</f>
        <v/>
      </c>
      <c r="K115" s="1112">
        <f>SUM(J71:INDEX($J:$J,70+I115))</f>
        <v/>
      </c>
      <c r="L115" s="1109" t="n">
        <v>45</v>
      </c>
      <c r="M115" s="669" t="n"/>
      <c r="N115" s="669" t="n"/>
      <c r="O115" s="669" t="n"/>
      <c r="P115" s="669" t="n"/>
      <c r="Q115" s="669" t="n"/>
      <c r="R115" s="669" t="n"/>
      <c r="S115" s="669" t="n"/>
      <c r="T115" s="669" t="n"/>
      <c r="U115" s="669" t="n"/>
      <c r="V115" s="669" t="n"/>
      <c r="W115" s="669" t="n"/>
      <c r="X115" s="669" t="n"/>
      <c r="Y115" s="669" t="n"/>
      <c r="Z115" s="669" t="n"/>
      <c r="AA115" s="669" t="n"/>
      <c r="AB115" s="669" t="n"/>
    </row>
    <row r="116">
      <c r="A116" s="1037" t="n"/>
      <c r="B116" s="1104" t="inlineStr">
        <is>
          <t>Faramon</t>
        </is>
      </c>
      <c r="C116" s="1103" t="inlineStr">
        <is>
          <t>Desert</t>
        </is>
      </c>
      <c r="D116" s="1103" t="inlineStr">
        <is>
          <t>S</t>
        </is>
      </c>
      <c r="E116" s="1103" t="inlineStr">
        <is>
          <t>Devotee</t>
        </is>
      </c>
      <c r="F116" s="1103" t="inlineStr">
        <is>
          <t>S</t>
        </is>
      </c>
      <c r="G116" s="669" t="n"/>
      <c r="H116" s="669" t="n"/>
      <c r="I116" s="1109" t="n">
        <v>46</v>
      </c>
      <c r="J116" s="1112">
        <f>'Offering Speed'!$C$69*(I115+1)</f>
        <v/>
      </c>
      <c r="K116" s="1112">
        <f>SUM(J71:INDEX($J:$J,70+I116))</f>
        <v/>
      </c>
      <c r="L116" s="1109" t="n">
        <v>46</v>
      </c>
      <c r="M116" s="669" t="n"/>
      <c r="N116" s="669" t="n"/>
      <c r="O116" s="669" t="n"/>
      <c r="P116" s="669" t="n"/>
      <c r="Q116" s="669" t="n"/>
      <c r="R116" s="669" t="n"/>
      <c r="S116" s="669" t="n"/>
      <c r="T116" s="669" t="n"/>
      <c r="U116" s="669" t="n"/>
      <c r="V116" s="669" t="n"/>
      <c r="W116" s="669" t="n"/>
      <c r="X116" s="669" t="n"/>
      <c r="Y116" s="669" t="n"/>
      <c r="Z116" s="669" t="n"/>
      <c r="AA116" s="669" t="n"/>
      <c r="AB116" s="669" t="n"/>
    </row>
    <row r="117">
      <c r="A117" s="1037" t="n"/>
      <c r="B117" s="1104" t="inlineStr">
        <is>
          <t>Harmticore</t>
        </is>
      </c>
      <c r="C117" s="1103" t="inlineStr">
        <is>
          <t>Desert</t>
        </is>
      </c>
      <c r="D117" s="1103" t="inlineStr">
        <is>
          <t>S</t>
        </is>
      </c>
      <c r="E117" s="1103" t="inlineStr">
        <is>
          <t>Devotee</t>
        </is>
      </c>
      <c r="F117" s="1103" t="inlineStr">
        <is>
          <t>S</t>
        </is>
      </c>
      <c r="G117" s="669" t="n"/>
      <c r="H117" s="669" t="n"/>
      <c r="I117" s="1109" t="n">
        <v>47</v>
      </c>
      <c r="J117" s="1112">
        <f>'Offering Speed'!$C$69*(I116+1)</f>
        <v/>
      </c>
      <c r="K117" s="1112">
        <f>SUM(J71:INDEX($J:$J,70+I117))</f>
        <v/>
      </c>
      <c r="L117" s="1109" t="n">
        <v>47</v>
      </c>
      <c r="M117" s="669" t="n"/>
      <c r="N117" s="669" t="n"/>
      <c r="O117" s="669" t="n"/>
      <c r="P117" s="669" t="n"/>
      <c r="Q117" s="669" t="n"/>
      <c r="R117" s="669" t="n"/>
      <c r="S117" s="669" t="n"/>
      <c r="T117" s="669" t="n"/>
      <c r="U117" s="669" t="n"/>
      <c r="V117" s="669" t="n"/>
      <c r="W117" s="669" t="n"/>
      <c r="X117" s="669" t="n"/>
      <c r="Y117" s="669" t="n"/>
      <c r="Z117" s="669" t="n"/>
      <c r="AA117" s="669" t="n"/>
      <c r="AB117" s="669" t="n"/>
    </row>
    <row r="118">
      <c r="A118" s="1037" t="n"/>
      <c r="B118" s="1104" t="inlineStr">
        <is>
          <t>Rattlescone</t>
        </is>
      </c>
      <c r="C118" s="1103" t="inlineStr">
        <is>
          <t>Desert</t>
        </is>
      </c>
      <c r="D118" s="1103" t="inlineStr">
        <is>
          <t>S</t>
        </is>
      </c>
      <c r="E118" s="1103" t="inlineStr">
        <is>
          <t>Devotee</t>
        </is>
      </c>
      <c r="F118" s="1103" t="inlineStr">
        <is>
          <t>S</t>
        </is>
      </c>
      <c r="G118" s="669" t="n"/>
      <c r="H118" s="669" t="n"/>
      <c r="I118" s="1109" t="n">
        <v>48</v>
      </c>
      <c r="J118" s="1112">
        <f>'Offering Speed'!$C$69*(I117+1)</f>
        <v/>
      </c>
      <c r="K118" s="1112">
        <f>SUM(J71:INDEX($J:$J,70+I118))</f>
        <v/>
      </c>
      <c r="L118" s="1109" t="n">
        <v>48</v>
      </c>
      <c r="M118" s="669" t="n"/>
      <c r="N118" s="669" t="n"/>
      <c r="O118" s="669" t="n"/>
      <c r="P118" s="669" t="n"/>
      <c r="Q118" s="669" t="n"/>
      <c r="R118" s="669" t="n"/>
      <c r="S118" s="669" t="n"/>
      <c r="T118" s="669" t="n"/>
      <c r="U118" s="669" t="n"/>
      <c r="V118" s="669" t="n"/>
      <c r="W118" s="669" t="n"/>
      <c r="X118" s="669" t="n"/>
      <c r="Y118" s="669" t="n"/>
      <c r="Z118" s="669" t="n"/>
      <c r="AA118" s="669" t="n"/>
      <c r="AB118" s="669" t="n"/>
    </row>
    <row r="119">
      <c r="A119" s="1037" t="n"/>
      <c r="B119" s="1104" t="inlineStr">
        <is>
          <t>Snakebat</t>
        </is>
      </c>
      <c r="C119" s="1103" t="inlineStr">
        <is>
          <t>Desert</t>
        </is>
      </c>
      <c r="D119" s="1103" t="inlineStr">
        <is>
          <t>S</t>
        </is>
      </c>
      <c r="E119" s="1103" t="inlineStr">
        <is>
          <t>Devotee</t>
        </is>
      </c>
      <c r="F119" s="1103" t="inlineStr">
        <is>
          <t>S</t>
        </is>
      </c>
      <c r="G119" s="669" t="n"/>
      <c r="H119" s="669" t="n"/>
      <c r="I119" s="1109" t="n">
        <v>49</v>
      </c>
      <c r="J119" s="1112">
        <f>'Offering Speed'!$C$69*(I118+1)</f>
        <v/>
      </c>
      <c r="K119" s="1112">
        <f>SUM(J71:INDEX($J:$J,70+I119))</f>
        <v/>
      </c>
      <c r="L119" s="1109" t="n">
        <v>49</v>
      </c>
      <c r="M119" s="669" t="n"/>
      <c r="N119" s="669" t="n"/>
      <c r="O119" s="669" t="n"/>
      <c r="P119" s="669" t="n"/>
      <c r="Q119" s="669" t="n"/>
      <c r="R119" s="669" t="n"/>
      <c r="S119" s="669" t="n"/>
      <c r="T119" s="669" t="n"/>
      <c r="U119" s="669" t="n"/>
      <c r="V119" s="669" t="n"/>
      <c r="W119" s="669" t="n"/>
      <c r="X119" s="669" t="n"/>
      <c r="Y119" s="669" t="n"/>
      <c r="Z119" s="669" t="n"/>
      <c r="AA119" s="669" t="n"/>
      <c r="AB119" s="669" t="n"/>
    </row>
    <row r="120">
      <c r="A120" s="1037" t="n"/>
      <c r="B120" s="1104" t="inlineStr">
        <is>
          <t>Flamethorn</t>
        </is>
      </c>
      <c r="C120" s="1103" t="inlineStr">
        <is>
          <t>Desert</t>
        </is>
      </c>
      <c r="D120" s="1103" t="inlineStr">
        <is>
          <t>S</t>
        </is>
      </c>
      <c r="E120" s="1103" t="inlineStr">
        <is>
          <t>Devotee</t>
        </is>
      </c>
      <c r="F120" s="1103" t="inlineStr">
        <is>
          <t>S</t>
        </is>
      </c>
      <c r="G120" s="669" t="n"/>
      <c r="H120" s="669" t="n"/>
      <c r="I120" s="1109" t="n">
        <v>50</v>
      </c>
      <c r="J120" s="1112">
        <f>'Offering Speed'!$C$69*(I119+1)</f>
        <v/>
      </c>
      <c r="K120" s="1112">
        <f>SUM(J71:INDEX($J:$J,70+I120))</f>
        <v/>
      </c>
      <c r="L120" s="1109" t="n">
        <v>50</v>
      </c>
      <c r="M120" s="669" t="n"/>
      <c r="N120" s="669" t="n"/>
      <c r="O120" s="669" t="n"/>
      <c r="P120" s="669" t="n"/>
      <c r="Q120" s="669" t="n"/>
      <c r="R120" s="669" t="n"/>
      <c r="S120" s="669" t="n"/>
      <c r="T120" s="669" t="n"/>
      <c r="U120" s="669" t="n"/>
      <c r="V120" s="669" t="n"/>
      <c r="W120" s="669" t="n"/>
      <c r="X120" s="669" t="n"/>
      <c r="Y120" s="669" t="n"/>
      <c r="Z120" s="669" t="n"/>
      <c r="AA120" s="669" t="n"/>
      <c r="AB120" s="669" t="n"/>
    </row>
    <row r="121">
      <c r="A121" s="1037" t="n"/>
      <c r="B121" s="1104" t="inlineStr">
        <is>
          <t>Cobraking</t>
        </is>
      </c>
      <c r="C121" s="1103" t="inlineStr">
        <is>
          <t>Desert</t>
        </is>
      </c>
      <c r="D121" s="1103" t="inlineStr">
        <is>
          <t>Purple</t>
        </is>
      </c>
      <c r="E121" s="1103" t="inlineStr">
        <is>
          <t>Devotee</t>
        </is>
      </c>
      <c r="F121" s="1103" t="inlineStr">
        <is>
          <t>A</t>
        </is>
      </c>
      <c r="G121" s="669" t="n"/>
      <c r="H121" s="669" t="n"/>
      <c r="I121" s="1109" t="n">
        <v>51</v>
      </c>
      <c r="J121" s="1112">
        <f>'Offering Speed'!$C$69*(I120+1)</f>
        <v/>
      </c>
      <c r="K121" s="1112">
        <f>SUM(J71:INDEX($J:$J,70+I121))</f>
        <v/>
      </c>
      <c r="L121" s="1109" t="n">
        <v>51</v>
      </c>
      <c r="M121" s="669" t="n"/>
      <c r="N121" s="669" t="n"/>
      <c r="O121" s="669" t="n"/>
      <c r="P121" s="669" t="n"/>
      <c r="Q121" s="669" t="n"/>
      <c r="R121" s="669" t="n"/>
      <c r="S121" s="669" t="n"/>
      <c r="T121" s="669" t="n"/>
      <c r="U121" s="669" t="n"/>
      <c r="V121" s="669" t="n"/>
      <c r="W121" s="669" t="n"/>
      <c r="X121" s="669" t="n"/>
      <c r="Y121" s="669" t="n"/>
      <c r="Z121" s="669" t="n"/>
      <c r="AA121" s="669" t="n"/>
      <c r="AB121" s="669" t="n"/>
    </row>
    <row r="122">
      <c r="A122" s="1037" t="n"/>
      <c r="B122" s="1104" t="inlineStr">
        <is>
          <t>Rattlesnake</t>
        </is>
      </c>
      <c r="C122" s="1103" t="inlineStr">
        <is>
          <t>Desert</t>
        </is>
      </c>
      <c r="D122" s="1103" t="inlineStr">
        <is>
          <t>Blue</t>
        </is>
      </c>
      <c r="E122" s="1103" t="inlineStr">
        <is>
          <t>Devotee</t>
        </is>
      </c>
      <c r="F122" s="1103" t="inlineStr">
        <is>
          <t>B</t>
        </is>
      </c>
      <c r="G122" s="669" t="n"/>
      <c r="H122" s="669" t="n"/>
      <c r="I122" s="1109" t="n">
        <v>52</v>
      </c>
      <c r="J122" s="1112">
        <f>'Offering Speed'!$C$69*(I121+1)</f>
        <v/>
      </c>
      <c r="K122" s="1112">
        <f>SUM(J71:INDEX($J:$J,70+I122))</f>
        <v/>
      </c>
      <c r="L122" s="1109" t="n">
        <v>52</v>
      </c>
      <c r="M122" s="669" t="n"/>
      <c r="N122" s="669" t="n"/>
      <c r="O122" s="669" t="n"/>
      <c r="P122" s="669" t="n"/>
      <c r="Q122" s="669" t="n"/>
      <c r="R122" s="669" t="n"/>
      <c r="S122" s="669" t="n"/>
      <c r="T122" s="669" t="n"/>
      <c r="U122" s="669" t="n"/>
      <c r="V122" s="669" t="n"/>
      <c r="W122" s="669" t="n"/>
      <c r="X122" s="669" t="n"/>
      <c r="Y122" s="669" t="n"/>
      <c r="Z122" s="669" t="n"/>
      <c r="AA122" s="669" t="n"/>
      <c r="AB122" s="669" t="n"/>
    </row>
    <row r="123">
      <c r="A123" s="1037" t="n"/>
      <c r="B123" s="1104" t="inlineStr">
        <is>
          <t>Typhon (SSS)</t>
        </is>
      </c>
      <c r="C123" s="1103" t="inlineStr">
        <is>
          <t>Swamp</t>
        </is>
      </c>
      <c r="D123" s="1103" t="inlineStr">
        <is>
          <t>SSS</t>
        </is>
      </c>
      <c r="E123" s="1103" t="inlineStr">
        <is>
          <t>Priest</t>
        </is>
      </c>
      <c r="F123" s="1103" t="inlineStr">
        <is>
          <t>SSS</t>
        </is>
      </c>
      <c r="G123" s="669" t="n"/>
      <c r="H123" s="669" t="n"/>
      <c r="I123" s="1109" t="n">
        <v>53</v>
      </c>
      <c r="J123" s="1112">
        <f>'Offering Speed'!$C$69*(I122+1)</f>
        <v/>
      </c>
      <c r="K123" s="1112">
        <f>SUM(J71:INDEX($J:$J,70+I123))</f>
        <v/>
      </c>
      <c r="L123" s="1109" t="n">
        <v>53</v>
      </c>
      <c r="M123" s="669" t="n"/>
      <c r="N123" s="669" t="n"/>
      <c r="O123" s="669" t="n"/>
      <c r="P123" s="669" t="n"/>
      <c r="Q123" s="669" t="n"/>
      <c r="R123" s="669" t="n"/>
      <c r="S123" s="669" t="n"/>
      <c r="T123" s="669" t="n"/>
      <c r="U123" s="669" t="n"/>
      <c r="V123" s="669" t="n"/>
      <c r="W123" s="669" t="n"/>
      <c r="X123" s="669" t="n"/>
      <c r="Y123" s="669" t="n"/>
      <c r="Z123" s="669" t="n"/>
      <c r="AA123" s="669" t="n"/>
      <c r="AB123" s="669" t="n"/>
    </row>
    <row r="124">
      <c r="A124" s="1037" t="n"/>
      <c r="B124" s="1104" t="inlineStr">
        <is>
          <t>Typhon (SS)</t>
        </is>
      </c>
      <c r="C124" s="1103" t="inlineStr">
        <is>
          <t>Swamp</t>
        </is>
      </c>
      <c r="D124" s="1103" t="inlineStr">
        <is>
          <t>SS</t>
        </is>
      </c>
      <c r="E124" s="1103" t="inlineStr">
        <is>
          <t>Priest</t>
        </is>
      </c>
      <c r="F124" s="1103" t="inlineStr">
        <is>
          <t>SSS</t>
        </is>
      </c>
      <c r="G124" s="669" t="n"/>
      <c r="H124" s="669" t="n"/>
      <c r="I124" s="1109" t="n">
        <v>54</v>
      </c>
      <c r="J124" s="1112">
        <f>'Offering Speed'!$C$69*(I123+1)</f>
        <v/>
      </c>
      <c r="K124" s="1112">
        <f>SUM(J71:INDEX($J:$J,70+I124))</f>
        <v/>
      </c>
      <c r="L124" s="1109" t="n">
        <v>54</v>
      </c>
      <c r="M124" s="669" t="n"/>
      <c r="N124" s="669" t="n"/>
      <c r="O124" s="669" t="n"/>
      <c r="P124" s="669" t="n"/>
      <c r="Q124" s="669" t="n"/>
      <c r="R124" s="669" t="n"/>
      <c r="S124" s="669" t="n"/>
      <c r="T124" s="669" t="n"/>
      <c r="U124" s="669" t="n"/>
      <c r="V124" s="669" t="n"/>
      <c r="W124" s="669" t="n"/>
      <c r="X124" s="669" t="n"/>
      <c r="Y124" s="669" t="n"/>
      <c r="Z124" s="669" t="n"/>
      <c r="AA124" s="669" t="n"/>
      <c r="AB124" s="669" t="n"/>
    </row>
    <row r="125">
      <c r="A125" s="1037" t="n"/>
      <c r="B125" s="1104" t="inlineStr">
        <is>
          <t>Tyrfing (SSS)</t>
        </is>
      </c>
      <c r="C125" s="1103" t="inlineStr">
        <is>
          <t>Swamp</t>
        </is>
      </c>
      <c r="D125" s="1103" t="inlineStr">
        <is>
          <t>SSS</t>
        </is>
      </c>
      <c r="E125" s="1103" t="inlineStr">
        <is>
          <t>Priest</t>
        </is>
      </c>
      <c r="F125" s="1103" t="inlineStr">
        <is>
          <t>SSS</t>
        </is>
      </c>
      <c r="G125" s="669" t="n"/>
      <c r="H125" s="669" t="n"/>
      <c r="I125" s="1109" t="n">
        <v>55</v>
      </c>
      <c r="J125" s="1112">
        <f>'Offering Speed'!$C$69*(I124+1)</f>
        <v/>
      </c>
      <c r="K125" s="1112">
        <f>SUM(J71:INDEX($J:$J,70+I125))</f>
        <v/>
      </c>
      <c r="L125" s="1109" t="n">
        <v>55</v>
      </c>
      <c r="M125" s="669" t="n"/>
      <c r="N125" s="669" t="n"/>
      <c r="O125" s="669" t="n"/>
      <c r="P125" s="669" t="n"/>
      <c r="Q125" s="669" t="n"/>
      <c r="R125" s="669" t="n"/>
      <c r="S125" s="669" t="n"/>
      <c r="T125" s="669" t="n"/>
      <c r="U125" s="669" t="n"/>
      <c r="V125" s="669" t="n"/>
      <c r="W125" s="669" t="n"/>
      <c r="X125" s="669" t="n"/>
      <c r="Y125" s="669" t="n"/>
      <c r="Z125" s="669" t="n"/>
      <c r="AA125" s="669" t="n"/>
      <c r="AB125" s="669" t="n"/>
    </row>
    <row r="126">
      <c r="A126" s="1037" t="n"/>
      <c r="B126" s="1104" t="inlineStr">
        <is>
          <t>Tyrfing (SS)</t>
        </is>
      </c>
      <c r="C126" s="1103" t="inlineStr">
        <is>
          <t>Swamp</t>
        </is>
      </c>
      <c r="D126" s="1103" t="inlineStr">
        <is>
          <t>SS</t>
        </is>
      </c>
      <c r="E126" s="1103" t="inlineStr">
        <is>
          <t>Priest</t>
        </is>
      </c>
      <c r="F126" s="1103" t="inlineStr">
        <is>
          <t>SSS</t>
        </is>
      </c>
      <c r="G126" s="669" t="n"/>
      <c r="H126" s="669" t="n"/>
      <c r="I126" s="1109" t="n">
        <v>56</v>
      </c>
      <c r="J126" s="1112">
        <f>'Offering Speed'!$C$69*(I125+1)</f>
        <v/>
      </c>
      <c r="K126" s="1112">
        <f>SUM(J71:INDEX($J:$J,70+I126))</f>
        <v/>
      </c>
      <c r="L126" s="1109" t="n">
        <v>56</v>
      </c>
      <c r="M126" s="669" t="n"/>
      <c r="N126" s="669" t="n"/>
      <c r="O126" s="669" t="n"/>
      <c r="P126" s="669" t="n"/>
      <c r="Q126" s="669" t="n"/>
      <c r="R126" s="669" t="n"/>
      <c r="S126" s="669" t="n"/>
      <c r="T126" s="669" t="n"/>
      <c r="U126" s="669" t="n"/>
      <c r="V126" s="669" t="n"/>
      <c r="W126" s="669" t="n"/>
      <c r="X126" s="669" t="n"/>
      <c r="Y126" s="669" t="n"/>
      <c r="Z126" s="669" t="n"/>
      <c r="AA126" s="669" t="n"/>
      <c r="AB126" s="669" t="n"/>
    </row>
    <row r="127">
      <c r="A127" s="1037" t="n"/>
      <c r="B127" s="1104" t="inlineStr">
        <is>
          <t>Brontoscorpio (SSS)</t>
        </is>
      </c>
      <c r="C127" s="1103" t="inlineStr">
        <is>
          <t>Swamp</t>
        </is>
      </c>
      <c r="D127" s="1103" t="inlineStr">
        <is>
          <t>SSS</t>
        </is>
      </c>
      <c r="E127" s="1103" t="inlineStr">
        <is>
          <t>Priest</t>
        </is>
      </c>
      <c r="F127" s="1103" t="inlineStr">
        <is>
          <t>SSS</t>
        </is>
      </c>
      <c r="G127" s="669" t="n"/>
      <c r="H127" s="669" t="n"/>
      <c r="I127" s="1109" t="n">
        <v>57</v>
      </c>
      <c r="J127" s="1112">
        <f>'Offering Speed'!$C$69*(I126+1)</f>
        <v/>
      </c>
      <c r="K127" s="1112">
        <f>SUM(J71:INDEX($J:$J,70+I127))</f>
        <v/>
      </c>
      <c r="L127" s="1109" t="n">
        <v>57</v>
      </c>
      <c r="M127" s="669" t="n"/>
      <c r="N127" s="669" t="n"/>
      <c r="O127" s="669" t="n"/>
      <c r="P127" s="669" t="n"/>
      <c r="Q127" s="669" t="n"/>
      <c r="R127" s="669" t="n"/>
      <c r="S127" s="669" t="n"/>
      <c r="T127" s="669" t="n"/>
      <c r="U127" s="669" t="n"/>
      <c r="V127" s="669" t="n"/>
      <c r="W127" s="669" t="n"/>
      <c r="X127" s="669" t="n"/>
      <c r="Y127" s="669" t="n"/>
      <c r="Z127" s="669" t="n"/>
      <c r="AA127" s="669" t="n"/>
      <c r="AB127" s="669" t="n"/>
    </row>
    <row r="128">
      <c r="A128" s="1037" t="n"/>
      <c r="B128" s="1104" t="inlineStr">
        <is>
          <t>Brontoscorpio (SS)</t>
        </is>
      </c>
      <c r="C128" s="1103" t="inlineStr">
        <is>
          <t>Swamp</t>
        </is>
      </c>
      <c r="D128" s="1103" t="inlineStr">
        <is>
          <t>SS</t>
        </is>
      </c>
      <c r="E128" s="1103" t="inlineStr">
        <is>
          <t>Priest</t>
        </is>
      </c>
      <c r="F128" s="1103" t="inlineStr">
        <is>
          <t>SSS</t>
        </is>
      </c>
      <c r="G128" s="669" t="n"/>
      <c r="H128" s="669" t="n"/>
      <c r="I128" s="1109" t="n">
        <v>58</v>
      </c>
      <c r="J128" s="1112">
        <f>'Offering Speed'!$C$69*(I127+1)</f>
        <v/>
      </c>
      <c r="K128" s="1112">
        <f>SUM(J71:INDEX($J:$J,70+I128))</f>
        <v/>
      </c>
      <c r="L128" s="1109" t="n">
        <v>58</v>
      </c>
      <c r="M128" s="669" t="n"/>
      <c r="N128" s="669" t="n"/>
      <c r="O128" s="669" t="n"/>
      <c r="P128" s="669" t="n"/>
      <c r="Q128" s="669" t="n"/>
      <c r="R128" s="669" t="n"/>
      <c r="S128" s="669" t="n"/>
      <c r="T128" s="669" t="n"/>
      <c r="U128" s="669" t="n"/>
      <c r="V128" s="669" t="n"/>
      <c r="W128" s="669" t="n"/>
      <c r="X128" s="669" t="n"/>
      <c r="Y128" s="669" t="n"/>
      <c r="Z128" s="669" t="n"/>
      <c r="AA128" s="669" t="n"/>
      <c r="AB128" s="669" t="n"/>
    </row>
    <row r="129">
      <c r="A129" s="1037" t="n"/>
      <c r="B129" s="1104" t="inlineStr">
        <is>
          <t>Crocochad</t>
        </is>
      </c>
      <c r="C129" s="1103" t="inlineStr">
        <is>
          <t>Swamp</t>
        </is>
      </c>
      <c r="D129" s="1103" t="inlineStr">
        <is>
          <t>S</t>
        </is>
      </c>
      <c r="E129" s="1103" t="inlineStr">
        <is>
          <t>Priest</t>
        </is>
      </c>
      <c r="F129" s="1103" t="inlineStr">
        <is>
          <t>SS</t>
        </is>
      </c>
      <c r="G129" s="669" t="n"/>
      <c r="H129" s="669" t="n"/>
      <c r="I129" s="1109" t="n">
        <v>59</v>
      </c>
      <c r="J129" s="1112">
        <f>'Offering Speed'!$C$69*(I128+1)</f>
        <v/>
      </c>
      <c r="K129" s="1112">
        <f>SUM(J71:INDEX($J:$J,70+I129))</f>
        <v/>
      </c>
      <c r="L129" s="1109" t="n">
        <v>59</v>
      </c>
      <c r="M129" s="669" t="n"/>
      <c r="N129" s="669" t="n"/>
      <c r="O129" s="669" t="n"/>
      <c r="P129" s="669" t="n"/>
      <c r="Q129" s="669" t="n"/>
      <c r="R129" s="669" t="n"/>
      <c r="S129" s="669" t="n"/>
      <c r="T129" s="669" t="n"/>
      <c r="U129" s="669" t="n"/>
      <c r="V129" s="669" t="n"/>
      <c r="W129" s="669" t="n"/>
      <c r="X129" s="669" t="n"/>
      <c r="Y129" s="669" t="n"/>
      <c r="Z129" s="669" t="n"/>
      <c r="AA129" s="669" t="n"/>
      <c r="AB129" s="669" t="n"/>
    </row>
    <row r="130">
      <c r="A130" s="1037" t="n"/>
      <c r="B130" s="1104" t="inlineStr">
        <is>
          <t>Mystletainn (SSS)</t>
        </is>
      </c>
      <c r="C130" s="1103" t="inlineStr">
        <is>
          <t>Swamp</t>
        </is>
      </c>
      <c r="D130" s="1103" t="inlineStr">
        <is>
          <t>SSS</t>
        </is>
      </c>
      <c r="E130" s="1103" t="inlineStr">
        <is>
          <t>Devotee</t>
        </is>
      </c>
      <c r="F130" s="1103" t="inlineStr">
        <is>
          <t>SSS</t>
        </is>
      </c>
      <c r="G130" s="669" t="n"/>
      <c r="H130" s="669" t="n"/>
      <c r="I130" s="1109" t="n">
        <v>60</v>
      </c>
      <c r="J130" s="1112">
        <f>'Offering Speed'!$C$69*(I129+1) + 'Offering Speed'!$C$70*MAX(I130-'Offering Speed'!$C$69, 0)</f>
        <v/>
      </c>
      <c r="K130" s="1112">
        <f>SUM(J71:INDEX($J:$J,70+I130))</f>
        <v/>
      </c>
      <c r="L130" s="1109" t="n">
        <v>60</v>
      </c>
      <c r="M130" s="669" t="n"/>
      <c r="N130" s="669" t="n"/>
      <c r="O130" s="669" t="n"/>
      <c r="P130" s="669" t="n"/>
      <c r="Q130" s="669" t="n"/>
      <c r="R130" s="669" t="n"/>
      <c r="S130" s="669" t="n"/>
      <c r="T130" s="669" t="n"/>
      <c r="U130" s="669" t="n"/>
      <c r="V130" s="669" t="n"/>
      <c r="W130" s="669" t="n"/>
      <c r="X130" s="669" t="n"/>
      <c r="Y130" s="669" t="n"/>
      <c r="Z130" s="669" t="n"/>
      <c r="AA130" s="669" t="n"/>
      <c r="AB130" s="669" t="n"/>
    </row>
    <row r="131">
      <c r="A131" s="1037" t="n"/>
      <c r="B131" s="1104" t="inlineStr">
        <is>
          <t>Mystletainn (SS)</t>
        </is>
      </c>
      <c r="C131" s="1103" t="inlineStr">
        <is>
          <t>Swamp</t>
        </is>
      </c>
      <c r="D131" s="1103" t="inlineStr">
        <is>
          <t>SS</t>
        </is>
      </c>
      <c r="E131" s="1103" t="inlineStr">
        <is>
          <t>Devotee</t>
        </is>
      </c>
      <c r="F131" s="1103" t="inlineStr">
        <is>
          <t>SSS</t>
        </is>
      </c>
      <c r="G131" s="669" t="n"/>
      <c r="H131" s="669" t="n"/>
      <c r="I131" s="1109" t="n">
        <v>61</v>
      </c>
      <c r="J131" s="1112">
        <f>'Offering Speed'!$C$69*(I130+1) + 'Offering Speed'!$C$70*MAX(I131-'Offering Speed'!$C$69, 0)</f>
        <v/>
      </c>
      <c r="K131" s="1112">
        <f>SUM(J71:INDEX($J:$J,70+I131))</f>
        <v/>
      </c>
      <c r="L131" s="1109" t="n">
        <v>61</v>
      </c>
      <c r="M131" s="669" t="n"/>
      <c r="N131" s="669" t="n"/>
      <c r="O131" s="669" t="n"/>
      <c r="P131" s="669" t="n"/>
      <c r="Q131" s="669" t="n"/>
      <c r="R131" s="669" t="n"/>
      <c r="S131" s="669" t="n"/>
      <c r="T131" s="669" t="n"/>
      <c r="U131" s="669" t="n"/>
      <c r="V131" s="669" t="n"/>
      <c r="W131" s="669" t="n"/>
      <c r="X131" s="669" t="n"/>
      <c r="Y131" s="669" t="n"/>
      <c r="Z131" s="669" t="n"/>
      <c r="AA131" s="669" t="n"/>
      <c r="AB131" s="669" t="n"/>
    </row>
    <row r="132">
      <c r="A132" s="1037" t="n"/>
      <c r="B132" s="1104" t="inlineStr">
        <is>
          <t>Joyeuse (SSS)</t>
        </is>
      </c>
      <c r="C132" s="1103" t="inlineStr">
        <is>
          <t>Swamp</t>
        </is>
      </c>
      <c r="D132" s="1103" t="inlineStr">
        <is>
          <t>SSS</t>
        </is>
      </c>
      <c r="E132" s="1103" t="inlineStr">
        <is>
          <t>Devotee</t>
        </is>
      </c>
      <c r="F132" s="1103" t="inlineStr">
        <is>
          <t>SSS</t>
        </is>
      </c>
      <c r="G132" s="669" t="n"/>
      <c r="H132" s="669" t="n"/>
      <c r="I132" s="1109" t="n">
        <v>62</v>
      </c>
      <c r="J132" s="1112">
        <f>'Offering Speed'!$C$69*(I131+1) + 'Offering Speed'!$C$70*MAX(I132-'Offering Speed'!$C$69, 0)</f>
        <v/>
      </c>
      <c r="K132" s="1112">
        <f>SUM(J71:INDEX($J:$J,70+I132))</f>
        <v/>
      </c>
      <c r="L132" s="1109" t="n">
        <v>62</v>
      </c>
      <c r="M132" s="669" t="n"/>
      <c r="N132" s="669" t="n"/>
      <c r="O132" s="669" t="n"/>
      <c r="P132" s="669" t="n"/>
      <c r="Q132" s="669" t="n"/>
      <c r="R132" s="669" t="n"/>
      <c r="S132" s="669" t="n"/>
      <c r="T132" s="669" t="n"/>
      <c r="U132" s="669" t="n"/>
      <c r="V132" s="669" t="n"/>
      <c r="W132" s="669" t="n"/>
      <c r="X132" s="669" t="n"/>
      <c r="Y132" s="669" t="n"/>
      <c r="Z132" s="669" t="n"/>
      <c r="AA132" s="669" t="n"/>
      <c r="AB132" s="669" t="n"/>
    </row>
    <row r="133">
      <c r="A133" s="1037" t="n"/>
      <c r="B133" s="1104" t="inlineStr">
        <is>
          <t>Joyeuse (SS)</t>
        </is>
      </c>
      <c r="C133" s="1103" t="inlineStr">
        <is>
          <t>Swamp</t>
        </is>
      </c>
      <c r="D133" s="1103" t="inlineStr">
        <is>
          <t>SS</t>
        </is>
      </c>
      <c r="E133" s="1103" t="inlineStr">
        <is>
          <t>Devotee</t>
        </is>
      </c>
      <c r="F133" s="1103" t="inlineStr">
        <is>
          <t>SSS</t>
        </is>
      </c>
      <c r="G133" s="669" t="n"/>
      <c r="H133" s="669" t="n"/>
      <c r="I133" s="1109" t="n">
        <v>63</v>
      </c>
      <c r="J133" s="1112">
        <f>'Offering Speed'!$C$69*(I132+1) + 'Offering Speed'!$C$70*MAX(I133-'Offering Speed'!$C$69, 0)</f>
        <v/>
      </c>
      <c r="K133" s="1112">
        <f>SUM(J71:INDEX($J:$J,70+I133))</f>
        <v/>
      </c>
      <c r="L133" s="1109" t="n">
        <v>63</v>
      </c>
      <c r="M133" s="669" t="n"/>
      <c r="N133" s="669" t="n"/>
      <c r="O133" s="669" t="n"/>
      <c r="P133" s="669" t="n"/>
      <c r="Q133" s="669" t="n"/>
      <c r="R133" s="669" t="n"/>
      <c r="S133" s="669" t="n"/>
      <c r="T133" s="669" t="n"/>
      <c r="U133" s="669" t="n"/>
      <c r="V133" s="669" t="n"/>
      <c r="W133" s="669" t="n"/>
      <c r="X133" s="669" t="n"/>
      <c r="Y133" s="669" t="n"/>
      <c r="Z133" s="669" t="n"/>
      <c r="AA133" s="669" t="n"/>
      <c r="AB133" s="669" t="n"/>
    </row>
    <row r="134">
      <c r="A134" s="1037" t="n"/>
      <c r="B134" s="1104" t="inlineStr">
        <is>
          <t>Durandal (SSS)</t>
        </is>
      </c>
      <c r="C134" s="1103" t="inlineStr">
        <is>
          <t>Swamp</t>
        </is>
      </c>
      <c r="D134" s="1103" t="inlineStr">
        <is>
          <t>SSS</t>
        </is>
      </c>
      <c r="E134" s="1103" t="inlineStr">
        <is>
          <t>Devotee</t>
        </is>
      </c>
      <c r="F134" s="1103" t="inlineStr">
        <is>
          <t>SSS</t>
        </is>
      </c>
      <c r="G134" s="669" t="n"/>
      <c r="H134" s="669" t="n"/>
      <c r="I134" s="1109" t="n">
        <v>64</v>
      </c>
      <c r="J134" s="1112">
        <f>'Offering Speed'!$C$69*(I133+1) + 'Offering Speed'!$C$70*MAX(I134-'Offering Speed'!$C$69, 0)</f>
        <v/>
      </c>
      <c r="K134" s="1112">
        <f>SUM(J71:INDEX($J:$J,70+I134))</f>
        <v/>
      </c>
      <c r="L134" s="1109" t="n">
        <v>64</v>
      </c>
      <c r="M134" s="669" t="n"/>
      <c r="N134" s="669" t="n"/>
      <c r="O134" s="669" t="n"/>
      <c r="P134" s="669" t="n"/>
      <c r="Q134" s="669" t="n"/>
      <c r="R134" s="669" t="n"/>
      <c r="S134" s="669" t="n"/>
      <c r="T134" s="669" t="n"/>
      <c r="U134" s="669" t="n"/>
      <c r="V134" s="669" t="n"/>
      <c r="W134" s="669" t="n"/>
      <c r="X134" s="669" t="n"/>
      <c r="Y134" s="669" t="n"/>
      <c r="Z134" s="669" t="n"/>
      <c r="AA134" s="669" t="n"/>
      <c r="AB134" s="669" t="n"/>
    </row>
    <row r="135">
      <c r="A135" s="1037" t="n"/>
      <c r="B135" s="1104" t="inlineStr">
        <is>
          <t>Durandal (SS)</t>
        </is>
      </c>
      <c r="C135" s="1103" t="inlineStr">
        <is>
          <t>Swamp</t>
        </is>
      </c>
      <c r="D135" s="1103" t="inlineStr">
        <is>
          <t>SS</t>
        </is>
      </c>
      <c r="E135" s="1103" t="inlineStr">
        <is>
          <t>Devotee</t>
        </is>
      </c>
      <c r="F135" s="1103" t="inlineStr">
        <is>
          <t>SSS</t>
        </is>
      </c>
      <c r="G135" s="669" t="n"/>
      <c r="H135" s="669" t="n"/>
      <c r="I135" s="1109" t="n">
        <v>65</v>
      </c>
      <c r="J135" s="1112">
        <f>'Offering Speed'!$C$69*(I134+1) + 'Offering Speed'!$C$70*MAX(I135-'Offering Speed'!$C$69, 0)</f>
        <v/>
      </c>
      <c r="K135" s="1112">
        <f>SUM(J71:INDEX($J:$J,70+I135))</f>
        <v/>
      </c>
      <c r="L135" s="1109" t="n">
        <v>65</v>
      </c>
      <c r="M135" s="669" t="n"/>
      <c r="N135" s="669" t="n"/>
      <c r="O135" s="669" t="n"/>
      <c r="P135" s="669" t="n"/>
      <c r="Q135" s="669" t="n"/>
      <c r="R135" s="669" t="n"/>
      <c r="S135" s="669" t="n"/>
      <c r="T135" s="669" t="n"/>
      <c r="U135" s="669" t="n"/>
      <c r="V135" s="669" t="n"/>
      <c r="W135" s="669" t="n"/>
      <c r="X135" s="669" t="n"/>
      <c r="Y135" s="669" t="n"/>
      <c r="Z135" s="669" t="n"/>
      <c r="AA135" s="669" t="n"/>
      <c r="AB135" s="669" t="n"/>
    </row>
    <row r="136">
      <c r="A136" s="1037" t="n"/>
      <c r="B136" s="1104" t="inlineStr">
        <is>
          <t>Hydra</t>
        </is>
      </c>
      <c r="C136" s="1103" t="inlineStr">
        <is>
          <t>Swamp</t>
        </is>
      </c>
      <c r="D136" s="1103" t="inlineStr">
        <is>
          <t>SS</t>
        </is>
      </c>
      <c r="E136" s="1103" t="inlineStr">
        <is>
          <t>Devotee</t>
        </is>
      </c>
      <c r="F136" s="1103" t="inlineStr">
        <is>
          <t>SS</t>
        </is>
      </c>
      <c r="G136" s="669" t="n"/>
      <c r="H136" s="669" t="n"/>
      <c r="I136" s="1109" t="n">
        <v>66</v>
      </c>
      <c r="J136" s="1112">
        <f>'Offering Speed'!$C$69*(I135+1) + 'Offering Speed'!$C$70*MAX(I136-'Offering Speed'!$C$69, 0)</f>
        <v/>
      </c>
      <c r="K136" s="1112">
        <f>SUM(J71:INDEX($J:$J,70+I136))</f>
        <v/>
      </c>
      <c r="L136" s="1109" t="n">
        <v>66</v>
      </c>
      <c r="M136" s="669" t="n"/>
      <c r="N136" s="669" t="n"/>
      <c r="O136" s="669" t="n"/>
      <c r="P136" s="669" t="n"/>
      <c r="Q136" s="669" t="n"/>
      <c r="R136" s="669" t="n"/>
      <c r="S136" s="669" t="n"/>
      <c r="T136" s="669" t="n"/>
      <c r="U136" s="669" t="n"/>
      <c r="V136" s="669" t="n"/>
      <c r="W136" s="669" t="n"/>
      <c r="X136" s="669" t="n"/>
      <c r="Y136" s="669" t="n"/>
      <c r="Z136" s="669" t="n"/>
      <c r="AA136" s="669" t="n"/>
      <c r="AB136" s="669" t="n"/>
    </row>
    <row r="137">
      <c r="A137" s="1037" t="n"/>
      <c r="B137" s="1104" t="inlineStr">
        <is>
          <t>Wraithwing</t>
        </is>
      </c>
      <c r="C137" s="1103" t="inlineStr">
        <is>
          <t>Swamp</t>
        </is>
      </c>
      <c r="D137" s="1103" t="inlineStr">
        <is>
          <t>S</t>
        </is>
      </c>
      <c r="E137" s="1103" t="inlineStr">
        <is>
          <t>Devotee</t>
        </is>
      </c>
      <c r="F137" s="1103" t="inlineStr">
        <is>
          <t>SS</t>
        </is>
      </c>
      <c r="G137" s="669" t="n"/>
      <c r="H137" s="669" t="n"/>
      <c r="I137" s="1109" t="n">
        <v>67</v>
      </c>
      <c r="J137" s="1112">
        <f>'Offering Speed'!$C$69*(I136+1) + 'Offering Speed'!$C$70*MAX(I137-'Offering Speed'!$C$69, 0)</f>
        <v/>
      </c>
      <c r="K137" s="1112">
        <f>SUM(J71:INDEX($J:$J,70+I137))</f>
        <v/>
      </c>
      <c r="L137" s="1109" t="n">
        <v>67</v>
      </c>
      <c r="M137" s="669" t="n"/>
      <c r="N137" s="669" t="n"/>
      <c r="O137" s="669" t="n"/>
      <c r="P137" s="669" t="n"/>
      <c r="Q137" s="669" t="n"/>
      <c r="R137" s="669" t="n"/>
      <c r="S137" s="669" t="n"/>
      <c r="T137" s="669" t="n"/>
      <c r="U137" s="669" t="n"/>
      <c r="V137" s="669" t="n"/>
      <c r="W137" s="669" t="n"/>
      <c r="X137" s="669" t="n"/>
      <c r="Y137" s="669" t="n"/>
      <c r="Z137" s="669" t="n"/>
      <c r="AA137" s="669" t="n"/>
      <c r="AB137" s="669" t="n"/>
    </row>
    <row r="138">
      <c r="A138" s="1037" t="n"/>
      <c r="B138" s="1104" t="inlineStr">
        <is>
          <t>Ironhart</t>
        </is>
      </c>
      <c r="C138" s="1103" t="inlineStr">
        <is>
          <t>Swamp</t>
        </is>
      </c>
      <c r="D138" s="1103" t="inlineStr">
        <is>
          <t>S</t>
        </is>
      </c>
      <c r="E138" s="1103" t="inlineStr">
        <is>
          <t>Devotee</t>
        </is>
      </c>
      <c r="F138" s="1103" t="inlineStr">
        <is>
          <t>SS</t>
        </is>
      </c>
      <c r="G138" s="669" t="n"/>
      <c r="H138" s="669" t="n"/>
      <c r="I138" s="1109" t="n">
        <v>68</v>
      </c>
      <c r="J138" s="1112">
        <f>'Offering Speed'!$C$69*(I137+1) + 'Offering Speed'!$C$70*MAX(I138-'Offering Speed'!$C$69, 0)</f>
        <v/>
      </c>
      <c r="K138" s="1112">
        <f>SUM(J71:INDEX($J:$J,70+I138))</f>
        <v/>
      </c>
      <c r="L138" s="1109" t="n">
        <v>68</v>
      </c>
      <c r="M138" s="669" t="n"/>
      <c r="N138" s="669" t="n"/>
      <c r="O138" s="669" t="n"/>
      <c r="P138" s="669" t="n"/>
      <c r="Q138" s="669" t="n"/>
      <c r="R138" s="669" t="n"/>
      <c r="S138" s="669" t="n"/>
      <c r="T138" s="669" t="n"/>
      <c r="U138" s="669" t="n"/>
      <c r="V138" s="669" t="n"/>
      <c r="W138" s="669" t="n"/>
      <c r="X138" s="669" t="n"/>
      <c r="Y138" s="669" t="n"/>
      <c r="Z138" s="669" t="n"/>
      <c r="AA138" s="669" t="n"/>
      <c r="AB138" s="669" t="n"/>
    </row>
    <row r="139">
      <c r="A139" s="1037" t="n"/>
      <c r="B139" s="1104" t="inlineStr">
        <is>
          <t>Venomander</t>
        </is>
      </c>
      <c r="C139" s="1103" t="inlineStr">
        <is>
          <t>Swamp</t>
        </is>
      </c>
      <c r="D139" s="1103" t="inlineStr">
        <is>
          <t>S</t>
        </is>
      </c>
      <c r="E139" s="1103" t="inlineStr">
        <is>
          <t>Devotee</t>
        </is>
      </c>
      <c r="F139" s="1103" t="inlineStr">
        <is>
          <t>SS</t>
        </is>
      </c>
      <c r="G139" s="669" t="n"/>
      <c r="H139" s="669" t="n"/>
      <c r="I139" s="1109" t="n">
        <v>69</v>
      </c>
      <c r="J139" s="1112">
        <f>'Offering Speed'!$C$69*(I138+1) + 'Offering Speed'!$C$70*MAX(I139-'Offering Speed'!$C$69, 0)</f>
        <v/>
      </c>
      <c r="K139" s="1112">
        <f>SUM(J71:INDEX($J:$J,70+I139))</f>
        <v/>
      </c>
      <c r="L139" s="1109" t="n">
        <v>69</v>
      </c>
      <c r="M139" s="669" t="n"/>
      <c r="N139" s="669" t="n"/>
      <c r="O139" s="669" t="n"/>
      <c r="P139" s="669" t="n"/>
      <c r="Q139" s="669" t="n"/>
      <c r="R139" s="669" t="n"/>
      <c r="S139" s="669" t="n"/>
      <c r="T139" s="669" t="n"/>
      <c r="U139" s="669" t="n"/>
      <c r="V139" s="669" t="n"/>
      <c r="W139" s="669" t="n"/>
      <c r="X139" s="669" t="n"/>
      <c r="Y139" s="669" t="n"/>
      <c r="Z139" s="669" t="n"/>
      <c r="AA139" s="669" t="n"/>
      <c r="AB139" s="669" t="n"/>
    </row>
    <row r="140">
      <c r="A140" s="1037" t="n"/>
      <c r="B140" s="1104" t="inlineStr">
        <is>
          <t>Elkgator</t>
        </is>
      </c>
      <c r="C140" s="1103" t="inlineStr">
        <is>
          <t>Swamp</t>
        </is>
      </c>
      <c r="D140" s="1103" t="inlineStr">
        <is>
          <t>S</t>
        </is>
      </c>
      <c r="E140" s="1103" t="inlineStr">
        <is>
          <t>Devotee</t>
        </is>
      </c>
      <c r="F140" s="1103" t="inlineStr">
        <is>
          <t>S</t>
        </is>
      </c>
      <c r="G140" s="669" t="n"/>
      <c r="H140" s="669" t="n"/>
      <c r="I140" s="1109" t="n">
        <v>70</v>
      </c>
      <c r="J140" s="1112">
        <f>'Offering Speed'!$C$69*(I139+1) + 'Offering Speed'!$C$70*MAX(I140-'Offering Speed'!$C$69, 0)</f>
        <v/>
      </c>
      <c r="K140" s="1112">
        <f>SUM(J71:INDEX($J:$J,70+I140))</f>
        <v/>
      </c>
      <c r="L140" s="1109" t="n">
        <v>70</v>
      </c>
      <c r="M140" s="669" t="n"/>
      <c r="N140" s="669" t="n"/>
      <c r="O140" s="669" t="n"/>
      <c r="P140" s="669" t="n"/>
      <c r="Q140" s="669" t="n"/>
      <c r="R140" s="669" t="n"/>
      <c r="S140" s="669" t="n"/>
      <c r="T140" s="669" t="n"/>
      <c r="U140" s="669" t="n"/>
      <c r="V140" s="669" t="n"/>
      <c r="W140" s="669" t="n"/>
      <c r="X140" s="669" t="n"/>
      <c r="Y140" s="669" t="n"/>
      <c r="Z140" s="669" t="n"/>
      <c r="AA140" s="669" t="n"/>
      <c r="AB140" s="669" t="n"/>
    </row>
    <row r="141">
      <c r="A141" s="1037" t="n"/>
      <c r="B141" s="1104" t="inlineStr">
        <is>
          <t>Cobragator</t>
        </is>
      </c>
      <c r="C141" s="1103" t="inlineStr">
        <is>
          <t>Swamp</t>
        </is>
      </c>
      <c r="D141" s="1103" t="inlineStr">
        <is>
          <t>S</t>
        </is>
      </c>
      <c r="E141" s="1103" t="inlineStr">
        <is>
          <t>Devotee</t>
        </is>
      </c>
      <c r="F141" s="1103" t="inlineStr">
        <is>
          <t>S</t>
        </is>
      </c>
      <c r="G141" s="669" t="n"/>
      <c r="H141" s="669" t="n"/>
      <c r="I141" s="1109" t="n">
        <v>71</v>
      </c>
      <c r="J141" s="1112">
        <f>'Offering Speed'!$C$69*(I140+1) + 'Offering Speed'!$C$70*MAX(I141-'Offering Speed'!$C$69, 0)</f>
        <v/>
      </c>
      <c r="K141" s="1112">
        <f>SUM(J71:INDEX($J:$J,70+I141))</f>
        <v/>
      </c>
      <c r="L141" s="1109" t="n">
        <v>71</v>
      </c>
      <c r="M141" s="669" t="n"/>
      <c r="N141" s="669" t="n"/>
      <c r="O141" s="669" t="n"/>
      <c r="P141" s="669" t="n"/>
      <c r="Q141" s="669" t="n"/>
      <c r="R141" s="669" t="n"/>
      <c r="S141" s="669" t="n"/>
      <c r="T141" s="669" t="n"/>
      <c r="U141" s="669" t="n"/>
      <c r="V141" s="669" t="n"/>
      <c r="W141" s="669" t="n"/>
      <c r="X141" s="669" t="n"/>
      <c r="Y141" s="669" t="n"/>
      <c r="Z141" s="669" t="n"/>
      <c r="AA141" s="669" t="n"/>
      <c r="AB141" s="669" t="n"/>
    </row>
    <row r="142">
      <c r="A142" s="1037" t="n"/>
      <c r="B142" s="1104" t="inlineStr">
        <is>
          <t>BretroCroc</t>
        </is>
      </c>
      <c r="C142" s="1103" t="inlineStr">
        <is>
          <t>Swamp</t>
        </is>
      </c>
      <c r="D142" s="1103" t="inlineStr">
        <is>
          <t>S</t>
        </is>
      </c>
      <c r="E142" s="1103" t="inlineStr">
        <is>
          <t>Devotee</t>
        </is>
      </c>
      <c r="F142" s="1103" t="inlineStr">
        <is>
          <t>S</t>
        </is>
      </c>
      <c r="G142" s="669" t="n"/>
      <c r="H142" s="669" t="n"/>
      <c r="I142" s="1109" t="n">
        <v>72</v>
      </c>
      <c r="J142" s="1112">
        <f>'Offering Speed'!$C$69*(I141+1) + 'Offering Speed'!$C$70*MAX(I142-'Offering Speed'!$C$69, 0)</f>
        <v/>
      </c>
      <c r="K142" s="1112">
        <f>SUM(J71:INDEX($J:$J,70+I142))</f>
        <v/>
      </c>
      <c r="L142" s="1109" t="n">
        <v>72</v>
      </c>
      <c r="M142" s="669" t="n"/>
      <c r="N142" s="669" t="n"/>
      <c r="O142" s="669" t="n"/>
      <c r="P142" s="669" t="n"/>
      <c r="Q142" s="669" t="n"/>
      <c r="R142" s="669" t="n"/>
      <c r="S142" s="669" t="n"/>
      <c r="T142" s="669" t="n"/>
      <c r="U142" s="669" t="n"/>
      <c r="V142" s="669" t="n"/>
      <c r="W142" s="669" t="n"/>
      <c r="X142" s="669" t="n"/>
      <c r="Y142" s="669" t="n"/>
      <c r="Z142" s="669" t="n"/>
      <c r="AA142" s="669" t="n"/>
      <c r="AB142" s="669" t="n"/>
    </row>
    <row r="143">
      <c r="A143" s="1037" t="n"/>
      <c r="B143" s="1104" t="inlineStr">
        <is>
          <t>Vancedon</t>
        </is>
      </c>
      <c r="C143" s="1103" t="inlineStr">
        <is>
          <t>Swamp</t>
        </is>
      </c>
      <c r="D143" s="1103" t="inlineStr">
        <is>
          <t>S</t>
        </is>
      </c>
      <c r="E143" s="1103" t="inlineStr">
        <is>
          <t>Devotee</t>
        </is>
      </c>
      <c r="F143" s="1103" t="inlineStr">
        <is>
          <t>S</t>
        </is>
      </c>
      <c r="G143" s="669" t="n"/>
      <c r="H143" s="669" t="n"/>
      <c r="I143" s="1109" t="n">
        <v>73</v>
      </c>
      <c r="J143" s="1112">
        <f>'Offering Speed'!$C$69*(I142+1) + 'Offering Speed'!$C$70*MAX(I143-'Offering Speed'!$C$69, 0)</f>
        <v/>
      </c>
      <c r="K143" s="1112">
        <f>SUM(J71:INDEX($J:$J,70+I143))</f>
        <v/>
      </c>
      <c r="L143" s="1109" t="n">
        <v>73</v>
      </c>
      <c r="M143" s="669" t="n"/>
      <c r="N143" s="669" t="n"/>
      <c r="O143" s="669" t="n"/>
      <c r="P143" s="669" t="n"/>
      <c r="Q143" s="669" t="n"/>
      <c r="R143" s="669" t="n"/>
      <c r="S143" s="669" t="n"/>
      <c r="T143" s="669" t="n"/>
      <c r="U143" s="669" t="n"/>
      <c r="V143" s="669" t="n"/>
      <c r="W143" s="669" t="n"/>
      <c r="X143" s="669" t="n"/>
      <c r="Y143" s="669" t="n"/>
      <c r="Z143" s="669" t="n"/>
      <c r="AA143" s="669" t="n"/>
      <c r="AB143" s="669" t="n"/>
    </row>
    <row r="144">
      <c r="A144" s="1037" t="n"/>
      <c r="B144" s="1104" t="inlineStr">
        <is>
          <t>Crocthulu</t>
        </is>
      </c>
      <c r="C144" s="1103" t="inlineStr">
        <is>
          <t>Swamp</t>
        </is>
      </c>
      <c r="D144" s="1103" t="inlineStr">
        <is>
          <t>S</t>
        </is>
      </c>
      <c r="E144" s="1103" t="inlineStr">
        <is>
          <t>Devotee</t>
        </is>
      </c>
      <c r="F144" s="1103" t="inlineStr">
        <is>
          <t>S</t>
        </is>
      </c>
      <c r="G144" s="669" t="n"/>
      <c r="H144" s="669" t="n"/>
      <c r="I144" s="1109" t="n">
        <v>74</v>
      </c>
      <c r="J144" s="1112">
        <f>'Offering Speed'!$C$69*(I143+1) + 'Offering Speed'!$C$70*MAX(I144-'Offering Speed'!$C$69, 0)</f>
        <v/>
      </c>
      <c r="K144" s="1112">
        <f>SUM(J71:INDEX($J:$J,70+I144))</f>
        <v/>
      </c>
      <c r="L144" s="1109" t="n">
        <v>74</v>
      </c>
      <c r="M144" s="669" t="n"/>
      <c r="N144" s="669" t="n"/>
      <c r="O144" s="669" t="n"/>
      <c r="P144" s="669" t="n"/>
      <c r="Q144" s="669" t="n"/>
      <c r="R144" s="669" t="n"/>
      <c r="S144" s="669" t="n"/>
      <c r="T144" s="669" t="n"/>
      <c r="U144" s="669" t="n"/>
      <c r="V144" s="669" t="n"/>
      <c r="W144" s="669" t="n"/>
      <c r="X144" s="669" t="n"/>
      <c r="Y144" s="669" t="n"/>
      <c r="Z144" s="669" t="n"/>
      <c r="AA144" s="669" t="n"/>
      <c r="AB144" s="669" t="n"/>
    </row>
    <row r="145">
      <c r="A145" s="1037" t="n"/>
      <c r="B145" s="1104" t="inlineStr">
        <is>
          <t>Hyperpaw</t>
        </is>
      </c>
      <c r="C145" s="1103" t="inlineStr">
        <is>
          <t>Swamp</t>
        </is>
      </c>
      <c r="D145" s="1103" t="inlineStr">
        <is>
          <t>S</t>
        </is>
      </c>
      <c r="E145" s="1103" t="inlineStr">
        <is>
          <t>Devotee</t>
        </is>
      </c>
      <c r="F145" s="1103" t="inlineStr">
        <is>
          <t>S</t>
        </is>
      </c>
      <c r="G145" s="669" t="n"/>
      <c r="H145" s="669" t="n"/>
      <c r="I145" s="1109" t="n">
        <v>75</v>
      </c>
      <c r="J145" s="1112">
        <f>'Offering Speed'!$C$69*(I144+1) + 'Offering Speed'!$C$70*MAX(I145-'Offering Speed'!$C$69, 0)</f>
        <v/>
      </c>
      <c r="K145" s="1112">
        <f>SUM(J71:INDEX($J:$J,70+I145))</f>
        <v/>
      </c>
      <c r="L145" s="1109" t="n">
        <v>75</v>
      </c>
      <c r="M145" s="669" t="n"/>
      <c r="N145" s="669" t="n"/>
      <c r="O145" s="669" t="n"/>
      <c r="P145" s="669" t="n"/>
      <c r="Q145" s="669" t="n"/>
      <c r="R145" s="669" t="n"/>
      <c r="S145" s="669" t="n"/>
      <c r="T145" s="669" t="n"/>
      <c r="U145" s="669" t="n"/>
      <c r="V145" s="669" t="n"/>
      <c r="W145" s="669" t="n"/>
      <c r="X145" s="669" t="n"/>
      <c r="Y145" s="669" t="n"/>
      <c r="Z145" s="669" t="n"/>
      <c r="AA145" s="669" t="n"/>
      <c r="AB145" s="669" t="n"/>
    </row>
    <row r="146">
      <c r="A146" s="1037" t="n"/>
      <c r="B146" s="1104" t="inlineStr">
        <is>
          <t>Cobradeer</t>
        </is>
      </c>
      <c r="C146" s="1103" t="inlineStr">
        <is>
          <t>Swamp</t>
        </is>
      </c>
      <c r="D146" s="1103" t="inlineStr">
        <is>
          <t>S</t>
        </is>
      </c>
      <c r="E146" s="1103" t="inlineStr">
        <is>
          <t>Devotee</t>
        </is>
      </c>
      <c r="F146" s="1103" t="inlineStr">
        <is>
          <t>S</t>
        </is>
      </c>
      <c r="G146" s="669" t="n"/>
      <c r="H146" s="669" t="n"/>
      <c r="I146" s="1109" t="n">
        <v>76</v>
      </c>
      <c r="J146" s="1112">
        <f>'Offering Speed'!$C$69*(I145+1) + 'Offering Speed'!$C$70*MAX(I146-'Offering Speed'!$C$69, 0)</f>
        <v/>
      </c>
      <c r="K146" s="1112">
        <f>SUM(J71:INDEX($J:$J,70+I146))</f>
        <v/>
      </c>
      <c r="L146" s="1109" t="n">
        <v>76</v>
      </c>
      <c r="M146" s="669" t="n"/>
      <c r="N146" s="669" t="n"/>
      <c r="O146" s="669" t="n"/>
      <c r="P146" s="669" t="n"/>
      <c r="Q146" s="669" t="n"/>
      <c r="R146" s="669" t="n"/>
      <c r="S146" s="669" t="n"/>
      <c r="T146" s="669" t="n"/>
      <c r="U146" s="669" t="n"/>
      <c r="V146" s="669" t="n"/>
      <c r="W146" s="669" t="n"/>
      <c r="X146" s="669" t="n"/>
      <c r="Y146" s="669" t="n"/>
      <c r="Z146" s="669" t="n"/>
      <c r="AA146" s="669" t="n"/>
      <c r="AB146" s="669" t="n"/>
    </row>
    <row r="147">
      <c r="A147" s="1037" t="n"/>
      <c r="B147" s="1104" t="inlineStr">
        <is>
          <t>Pyroclad</t>
        </is>
      </c>
      <c r="C147" s="1103" t="inlineStr">
        <is>
          <t>Swamp</t>
        </is>
      </c>
      <c r="D147" s="1103" t="inlineStr">
        <is>
          <t>S</t>
        </is>
      </c>
      <c r="E147" s="1103" t="inlineStr">
        <is>
          <t>Devotee</t>
        </is>
      </c>
      <c r="F147" s="1103" t="inlineStr">
        <is>
          <t>S</t>
        </is>
      </c>
      <c r="G147" s="669" t="n"/>
      <c r="H147" s="669" t="n"/>
      <c r="I147" s="1109" t="n">
        <v>77</v>
      </c>
      <c r="J147" s="1112">
        <f>'Offering Speed'!$C$69*(I146+1) + 'Offering Speed'!$C$70*MAX(I147-'Offering Speed'!$C$69, 0)</f>
        <v/>
      </c>
      <c r="K147" s="1112">
        <f>SUM(J71:INDEX($J:$J,70+I147))</f>
        <v/>
      </c>
      <c r="L147" s="1109" t="n">
        <v>77</v>
      </c>
      <c r="M147" s="669" t="n"/>
      <c r="N147" s="669" t="n"/>
      <c r="O147" s="669" t="n"/>
      <c r="P147" s="669" t="n"/>
      <c r="Q147" s="669" t="n"/>
      <c r="R147" s="669" t="n"/>
      <c r="S147" s="669" t="n"/>
      <c r="T147" s="669" t="n"/>
      <c r="U147" s="669" t="n"/>
      <c r="V147" s="669" t="n"/>
      <c r="W147" s="669" t="n"/>
      <c r="X147" s="669" t="n"/>
      <c r="Y147" s="669" t="n"/>
      <c r="Z147" s="669" t="n"/>
      <c r="AA147" s="669" t="n"/>
      <c r="AB147" s="669" t="n"/>
    </row>
    <row r="148">
      <c r="A148" s="1037" t="n"/>
      <c r="B148" s="1104" t="inlineStr">
        <is>
          <t>Antlergator</t>
        </is>
      </c>
      <c r="C148" s="1103" t="inlineStr">
        <is>
          <t>Swamp</t>
        </is>
      </c>
      <c r="D148" s="1103" t="inlineStr">
        <is>
          <t>Purple</t>
        </is>
      </c>
      <c r="E148" s="1103" t="inlineStr">
        <is>
          <t>Devotee</t>
        </is>
      </c>
      <c r="F148" s="1103" t="inlineStr">
        <is>
          <t>A</t>
        </is>
      </c>
      <c r="G148" s="669" t="n"/>
      <c r="H148" s="669" t="n"/>
      <c r="I148" s="1109" t="n">
        <v>78</v>
      </c>
      <c r="J148" s="1112">
        <f>'Offering Speed'!$C$69*(I147+1) + 'Offering Speed'!$C$70*MAX(I148-'Offering Speed'!$C$69, 0)</f>
        <v/>
      </c>
      <c r="K148" s="1112">
        <f>SUM(J71:INDEX($J:$J,70+I148))</f>
        <v/>
      </c>
      <c r="L148" s="1109" t="n">
        <v>78</v>
      </c>
      <c r="M148" s="669" t="n"/>
      <c r="N148" s="669" t="n"/>
      <c r="O148" s="669" t="n"/>
      <c r="P148" s="669" t="n"/>
      <c r="Q148" s="669" t="n"/>
      <c r="R148" s="669" t="n"/>
      <c r="S148" s="669" t="n"/>
      <c r="T148" s="669" t="n"/>
      <c r="U148" s="669" t="n"/>
      <c r="V148" s="669" t="n"/>
      <c r="W148" s="669" t="n"/>
      <c r="X148" s="669" t="n"/>
      <c r="Y148" s="669" t="n"/>
      <c r="Z148" s="669" t="n"/>
      <c r="AA148" s="669" t="n"/>
      <c r="AB148" s="669" t="n"/>
    </row>
    <row r="149">
      <c r="A149" s="1037" t="n"/>
      <c r="B149" s="1104" t="inlineStr">
        <is>
          <t>Caiman</t>
        </is>
      </c>
      <c r="C149" s="1103" t="inlineStr">
        <is>
          <t>Swamp</t>
        </is>
      </c>
      <c r="D149" s="1103" t="inlineStr">
        <is>
          <t>Purple</t>
        </is>
      </c>
      <c r="E149" s="1103" t="inlineStr">
        <is>
          <t>Devotee</t>
        </is>
      </c>
      <c r="F149" s="1103" t="inlineStr">
        <is>
          <t>A</t>
        </is>
      </c>
      <c r="G149" s="669" t="n"/>
      <c r="H149" s="669" t="n"/>
      <c r="I149" s="1109" t="n">
        <v>79</v>
      </c>
      <c r="J149" s="1112">
        <f>'Offering Speed'!$C$69*(I148+1) + 'Offering Speed'!$C$70*MAX(I149-'Offering Speed'!$C$69, 0)</f>
        <v/>
      </c>
      <c r="K149" s="1112">
        <f>SUM(J71:INDEX($J:$J,70+I149))</f>
        <v/>
      </c>
      <c r="L149" s="1109" t="n">
        <v>79</v>
      </c>
      <c r="M149" s="669" t="n"/>
      <c r="N149" s="669" t="n"/>
      <c r="O149" s="669" t="n"/>
      <c r="P149" s="669" t="n"/>
      <c r="Q149" s="669" t="n"/>
      <c r="R149" s="669" t="n"/>
      <c r="S149" s="669" t="n"/>
      <c r="T149" s="669" t="n"/>
      <c r="U149" s="669" t="n"/>
      <c r="V149" s="669" t="n"/>
      <c r="W149" s="669" t="n"/>
      <c r="X149" s="669" t="n"/>
      <c r="Y149" s="669" t="n"/>
      <c r="Z149" s="669" t="n"/>
      <c r="AA149" s="669" t="n"/>
      <c r="AB149" s="669" t="n"/>
    </row>
    <row r="150">
      <c r="A150" s="1037" t="n"/>
      <c r="B150" s="1104" t="inlineStr">
        <is>
          <t>Yangzigator</t>
        </is>
      </c>
      <c r="C150" s="1103" t="inlineStr">
        <is>
          <t>Swamp</t>
        </is>
      </c>
      <c r="D150" s="1103" t="inlineStr">
        <is>
          <t>Blue</t>
        </is>
      </c>
      <c r="E150" s="1103" t="inlineStr">
        <is>
          <t>Devotee</t>
        </is>
      </c>
      <c r="F150" s="1103" t="inlineStr">
        <is>
          <t>B</t>
        </is>
      </c>
      <c r="G150" s="669" t="n"/>
      <c r="H150" s="669" t="n"/>
      <c r="I150" s="1109" t="n">
        <v>80</v>
      </c>
      <c r="J150" s="1112">
        <f>'Offering Speed'!$C$69*(I149+1) + 'Offering Speed'!$C$70*MAX(I150-'Offering Speed'!$C$69, 0)</f>
        <v/>
      </c>
      <c r="K150" s="1112">
        <f>SUM(J71:INDEX($J:$J,70+I150))</f>
        <v/>
      </c>
      <c r="L150" s="1109" t="n">
        <v>80</v>
      </c>
      <c r="M150" s="669" t="n"/>
      <c r="N150" s="669" t="n"/>
      <c r="O150" s="669" t="n"/>
      <c r="P150" s="669" t="n"/>
      <c r="Q150" s="669" t="n"/>
      <c r="R150" s="669" t="n"/>
      <c r="S150" s="669" t="n"/>
      <c r="T150" s="669" t="n"/>
      <c r="U150" s="669" t="n"/>
      <c r="V150" s="669" t="n"/>
      <c r="W150" s="669" t="n"/>
      <c r="X150" s="669" t="n"/>
      <c r="Y150" s="669" t="n"/>
      <c r="Z150" s="669" t="n"/>
      <c r="AA150" s="669" t="n"/>
      <c r="AB150" s="669" t="n"/>
    </row>
    <row r="151">
      <c r="A151" s="1037" t="n"/>
      <c r="B151" s="1104" t="inlineStr">
        <is>
          <t>Aegis (SSS)</t>
        </is>
      </c>
      <c r="C151" s="1103" t="inlineStr">
        <is>
          <t>Prairie</t>
        </is>
      </c>
      <c r="D151" s="1103" t="inlineStr">
        <is>
          <t>SSS</t>
        </is>
      </c>
      <c r="E151" s="1103" t="inlineStr">
        <is>
          <t>Priest</t>
        </is>
      </c>
      <c r="F151" s="1103" t="inlineStr">
        <is>
          <t>SSS</t>
        </is>
      </c>
      <c r="G151" s="669" t="n"/>
      <c r="H151" s="669" t="n"/>
      <c r="I151" s="1109" t="n">
        <v>81</v>
      </c>
      <c r="J151" s="1112">
        <f>'Offering Speed'!$C$69*(I150+1) + 'Offering Speed'!$C$70*MAX(I151-'Offering Speed'!$C$69, 0)</f>
        <v/>
      </c>
      <c r="K151" s="1112">
        <f>SUM(J71:INDEX($J:$J,70+I151))</f>
        <v/>
      </c>
      <c r="L151" s="1109" t="n">
        <v>81</v>
      </c>
      <c r="M151" s="669" t="n"/>
      <c r="N151" s="669" t="n"/>
      <c r="O151" s="669" t="n"/>
      <c r="P151" s="669" t="n"/>
      <c r="Q151" s="669" t="n"/>
      <c r="R151" s="669" t="n"/>
      <c r="S151" s="669" t="n"/>
      <c r="T151" s="669" t="n"/>
      <c r="U151" s="669" t="n"/>
      <c r="V151" s="669" t="n"/>
      <c r="W151" s="669" t="n"/>
      <c r="X151" s="669" t="n"/>
      <c r="Y151" s="669" t="n"/>
      <c r="Z151" s="669" t="n"/>
      <c r="AA151" s="669" t="n"/>
      <c r="AB151" s="669" t="n"/>
    </row>
    <row r="152">
      <c r="A152" s="1037" t="n"/>
      <c r="B152" s="1104" t="inlineStr">
        <is>
          <t>Aegis (SS)</t>
        </is>
      </c>
      <c r="C152" s="1103" t="inlineStr">
        <is>
          <t>Prairie</t>
        </is>
      </c>
      <c r="D152" s="1103" t="inlineStr">
        <is>
          <t>SS</t>
        </is>
      </c>
      <c r="E152" s="1103" t="inlineStr">
        <is>
          <t>Priest</t>
        </is>
      </c>
      <c r="F152" s="1103" t="inlineStr">
        <is>
          <t>SSS</t>
        </is>
      </c>
      <c r="G152" s="669" t="n"/>
      <c r="H152" s="669" t="n"/>
      <c r="I152" s="1109" t="n">
        <v>82</v>
      </c>
      <c r="J152" s="1112">
        <f>'Offering Speed'!$C$69*(I151+1) + 'Offering Speed'!$C$70*MAX(I152-'Offering Speed'!$C$69, 0)</f>
        <v/>
      </c>
      <c r="K152" s="1112">
        <f>SUM(J71:INDEX($J:$J,70+I152))</f>
        <v/>
      </c>
      <c r="L152" s="1109" t="n">
        <v>82</v>
      </c>
      <c r="M152" s="669" t="n"/>
      <c r="N152" s="669" t="n"/>
      <c r="O152" s="669" t="n"/>
      <c r="P152" s="669" t="n"/>
      <c r="Q152" s="669" t="n"/>
      <c r="R152" s="669" t="n"/>
      <c r="S152" s="669" t="n"/>
      <c r="T152" s="669" t="n"/>
      <c r="U152" s="669" t="n"/>
      <c r="V152" s="669" t="n"/>
      <c r="W152" s="669" t="n"/>
      <c r="X152" s="669" t="n"/>
      <c r="Y152" s="669" t="n"/>
      <c r="Z152" s="669" t="n"/>
      <c r="AA152" s="669" t="n"/>
      <c r="AB152" s="669" t="n"/>
    </row>
    <row r="153">
      <c r="A153" s="1037" t="n"/>
      <c r="B153" s="1104" t="inlineStr">
        <is>
          <t>Pegasus (SSS)</t>
        </is>
      </c>
      <c r="C153" s="1103" t="inlineStr">
        <is>
          <t>Prairie</t>
        </is>
      </c>
      <c r="D153" s="1103" t="inlineStr">
        <is>
          <t>SSS</t>
        </is>
      </c>
      <c r="E153" s="1103" t="inlineStr">
        <is>
          <t>Priest</t>
        </is>
      </c>
      <c r="F153" s="1103" t="inlineStr">
        <is>
          <t>SSS</t>
        </is>
      </c>
      <c r="G153" s="669" t="n"/>
      <c r="H153" s="669" t="n"/>
      <c r="I153" s="1109" t="n">
        <v>83</v>
      </c>
      <c r="J153" s="1112">
        <f>'Offering Speed'!$C$69*(I152+1) + 'Offering Speed'!$C$70*MAX(I153-'Offering Speed'!$C$69, 0)</f>
        <v/>
      </c>
      <c r="K153" s="1112">
        <f>SUM(J71:INDEX($J:$J,70+I153))</f>
        <v/>
      </c>
      <c r="L153" s="1109" t="n">
        <v>83</v>
      </c>
      <c r="M153" s="669" t="n"/>
      <c r="N153" s="669" t="n"/>
      <c r="O153" s="669" t="n"/>
      <c r="P153" s="669" t="n"/>
      <c r="Q153" s="669" t="n"/>
      <c r="R153" s="669" t="n"/>
      <c r="S153" s="669" t="n"/>
      <c r="T153" s="669" t="n"/>
      <c r="U153" s="669" t="n"/>
      <c r="V153" s="669" t="n"/>
      <c r="W153" s="669" t="n"/>
      <c r="X153" s="669" t="n"/>
      <c r="Y153" s="669" t="n"/>
      <c r="Z153" s="669" t="n"/>
      <c r="AA153" s="669" t="n"/>
      <c r="AB153" s="669" t="n"/>
    </row>
    <row r="154">
      <c r="A154" s="1037" t="n"/>
      <c r="B154" s="1104" t="inlineStr">
        <is>
          <t>Pegasus (SS)</t>
        </is>
      </c>
      <c r="C154" s="1103" t="inlineStr">
        <is>
          <t>Prairie</t>
        </is>
      </c>
      <c r="D154" s="1103" t="inlineStr">
        <is>
          <t>SS</t>
        </is>
      </c>
      <c r="E154" s="1103" t="inlineStr">
        <is>
          <t>Priest</t>
        </is>
      </c>
      <c r="F154" s="1103" t="inlineStr">
        <is>
          <t>SSS</t>
        </is>
      </c>
      <c r="G154" s="669" t="n"/>
      <c r="H154" s="669" t="n"/>
      <c r="I154" s="1109" t="n">
        <v>84</v>
      </c>
      <c r="J154" s="1112">
        <f>'Offering Speed'!$C$69*(I153+1) + 'Offering Speed'!$C$70*MAX(I154-'Offering Speed'!$C$69, 0)</f>
        <v/>
      </c>
      <c r="K154" s="1112">
        <f>SUM(J71:INDEX($J:$J,70+I154))</f>
        <v/>
      </c>
      <c r="L154" s="1109" t="n">
        <v>84</v>
      </c>
      <c r="M154" s="669" t="n"/>
      <c r="N154" s="669" t="n"/>
      <c r="O154" s="669" t="n"/>
      <c r="P154" s="669" t="n"/>
      <c r="Q154" s="669" t="n"/>
      <c r="R154" s="669" t="n"/>
      <c r="S154" s="669" t="n"/>
      <c r="T154" s="669" t="n"/>
      <c r="U154" s="669" t="n"/>
      <c r="V154" s="669" t="n"/>
      <c r="W154" s="669" t="n"/>
      <c r="X154" s="669" t="n"/>
      <c r="Y154" s="669" t="n"/>
      <c r="Z154" s="669" t="n"/>
      <c r="AA154" s="669" t="n"/>
      <c r="AB154" s="669" t="n"/>
    </row>
    <row r="155">
      <c r="A155" s="1037" t="n"/>
      <c r="B155" s="1104" t="inlineStr">
        <is>
          <t>Pyromaw</t>
        </is>
      </c>
      <c r="C155" s="1103" t="inlineStr">
        <is>
          <t>Prairie</t>
        </is>
      </c>
      <c r="D155" s="1103" t="inlineStr">
        <is>
          <t>S</t>
        </is>
      </c>
      <c r="E155" s="1103" t="inlineStr">
        <is>
          <t>Priest</t>
        </is>
      </c>
      <c r="F155" s="1103" t="inlineStr">
        <is>
          <t>SS</t>
        </is>
      </c>
      <c r="G155" s="669" t="n"/>
      <c r="H155" s="669" t="n"/>
      <c r="I155" s="1109" t="n">
        <v>85</v>
      </c>
      <c r="J155" s="1112">
        <f>'Offering Speed'!$C$69*(I154+1) + 'Offering Speed'!$C$70*MAX(I155-'Offering Speed'!$C$69, 0)</f>
        <v/>
      </c>
      <c r="K155" s="1112">
        <f>SUM(J71:INDEX($J:$J,70+I155))</f>
        <v/>
      </c>
      <c r="L155" s="1109" t="n">
        <v>85</v>
      </c>
      <c r="M155" s="669" t="n"/>
      <c r="N155" s="669" t="n"/>
      <c r="O155" s="669" t="n"/>
      <c r="P155" s="669" t="n"/>
      <c r="Q155" s="669" t="n"/>
      <c r="R155" s="669" t="n"/>
      <c r="S155" s="669" t="n"/>
      <c r="T155" s="669" t="n"/>
      <c r="U155" s="669" t="n"/>
      <c r="V155" s="669" t="n"/>
      <c r="W155" s="669" t="n"/>
      <c r="X155" s="669" t="n"/>
      <c r="Y155" s="669" t="n"/>
      <c r="Z155" s="669" t="n"/>
      <c r="AA155" s="669" t="n"/>
      <c r="AB155" s="669" t="n"/>
    </row>
    <row r="156">
      <c r="A156" s="1037" t="n"/>
      <c r="B156" s="1104" t="inlineStr">
        <is>
          <t>Gram (SSS)</t>
        </is>
      </c>
      <c r="C156" s="1103" t="inlineStr">
        <is>
          <t>Prairie</t>
        </is>
      </c>
      <c r="D156" s="1103" t="inlineStr">
        <is>
          <t>SSS</t>
        </is>
      </c>
      <c r="E156" s="1103" t="inlineStr">
        <is>
          <t>Devotee</t>
        </is>
      </c>
      <c r="F156" s="1103" t="inlineStr">
        <is>
          <t>SSS</t>
        </is>
      </c>
      <c r="G156" s="669" t="n"/>
      <c r="H156" s="669" t="n"/>
      <c r="I156" s="1109" t="n">
        <v>86</v>
      </c>
      <c r="J156" s="1112">
        <f>'Offering Speed'!$C$69*(I155+1) + 'Offering Speed'!$C$70*MAX(I156-'Offering Speed'!$C$69, 0)</f>
        <v/>
      </c>
      <c r="K156" s="1112">
        <f>SUM(J71:INDEX($J:$J,70+I156))</f>
        <v/>
      </c>
      <c r="L156" s="1109" t="n">
        <v>86</v>
      </c>
      <c r="M156" s="669" t="n"/>
      <c r="N156" s="669" t="n"/>
      <c r="O156" s="669" t="n"/>
      <c r="P156" s="669" t="n"/>
      <c r="Q156" s="669" t="n"/>
      <c r="R156" s="669" t="n"/>
      <c r="S156" s="669" t="n"/>
      <c r="T156" s="669" t="n"/>
      <c r="U156" s="669" t="n"/>
      <c r="V156" s="669" t="n"/>
      <c r="W156" s="669" t="n"/>
      <c r="X156" s="669" t="n"/>
      <c r="Y156" s="669" t="n"/>
      <c r="Z156" s="669" t="n"/>
      <c r="AA156" s="669" t="n"/>
      <c r="AB156" s="669" t="n"/>
    </row>
    <row r="157">
      <c r="A157" s="1037" t="n"/>
      <c r="B157" s="1104" t="inlineStr">
        <is>
          <t>Gram (SS)</t>
        </is>
      </c>
      <c r="C157" s="1103" t="inlineStr">
        <is>
          <t>Prairie</t>
        </is>
      </c>
      <c r="D157" s="1103" t="inlineStr">
        <is>
          <t>SS</t>
        </is>
      </c>
      <c r="E157" s="1103" t="inlineStr">
        <is>
          <t>Devotee</t>
        </is>
      </c>
      <c r="F157" s="1103" t="inlineStr">
        <is>
          <t>SSS</t>
        </is>
      </c>
      <c r="G157" s="669" t="n"/>
      <c r="H157" s="669" t="n"/>
      <c r="I157" s="1109" t="n">
        <v>87</v>
      </c>
      <c r="J157" s="1112">
        <f>'Offering Speed'!$C$69*(I156+1) + 'Offering Speed'!$C$70*MAX(I157-'Offering Speed'!$C$69, 0)</f>
        <v/>
      </c>
      <c r="K157" s="1112">
        <f>SUM(J71:INDEX($J:$J,70+I157))</f>
        <v/>
      </c>
      <c r="L157" s="1109" t="n">
        <v>87</v>
      </c>
      <c r="M157" s="669" t="n"/>
      <c r="N157" s="669" t="n"/>
      <c r="O157" s="669" t="n"/>
      <c r="P157" s="669" t="n"/>
      <c r="Q157" s="669" t="n"/>
      <c r="R157" s="669" t="n"/>
      <c r="S157" s="669" t="n"/>
      <c r="T157" s="669" t="n"/>
      <c r="U157" s="669" t="n"/>
      <c r="V157" s="669" t="n"/>
      <c r="W157" s="669" t="n"/>
      <c r="X157" s="669" t="n"/>
      <c r="Y157" s="669" t="n"/>
      <c r="Z157" s="669" t="n"/>
      <c r="AA157" s="669" t="n"/>
      <c r="AB157" s="669" t="n"/>
    </row>
    <row r="158">
      <c r="A158" s="1037" t="n"/>
      <c r="B158" s="1104" t="inlineStr">
        <is>
          <t>Balmung (SSS)</t>
        </is>
      </c>
      <c r="C158" s="1103" t="inlineStr">
        <is>
          <t>Prairie</t>
        </is>
      </c>
      <c r="D158" s="1103" t="inlineStr">
        <is>
          <t>SSS</t>
        </is>
      </c>
      <c r="E158" s="1103" t="inlineStr">
        <is>
          <t>Devotee</t>
        </is>
      </c>
      <c r="F158" s="1103" t="inlineStr">
        <is>
          <t>SSS</t>
        </is>
      </c>
      <c r="G158" s="669" t="n"/>
      <c r="H158" s="669" t="n"/>
      <c r="I158" s="1109" t="n">
        <v>88</v>
      </c>
      <c r="J158" s="1112">
        <f>'Offering Speed'!$C$69*(I157+1) + 'Offering Speed'!$C$70*MAX(I158-'Offering Speed'!$C$69, 0)</f>
        <v/>
      </c>
      <c r="K158" s="1112">
        <f>SUM(J71:INDEX($J:$J,70+I158))</f>
        <v/>
      </c>
      <c r="L158" s="1109" t="n">
        <v>88</v>
      </c>
      <c r="M158" s="669" t="n"/>
      <c r="N158" s="669" t="n"/>
      <c r="O158" s="669" t="n"/>
      <c r="P158" s="669" t="n"/>
      <c r="Q158" s="669" t="n"/>
      <c r="R158" s="669" t="n"/>
      <c r="S158" s="669" t="n"/>
      <c r="T158" s="669" t="n"/>
      <c r="U158" s="669" t="n"/>
      <c r="V158" s="669" t="n"/>
      <c r="W158" s="669" t="n"/>
      <c r="X158" s="669" t="n"/>
      <c r="Y158" s="669" t="n"/>
      <c r="Z158" s="669" t="n"/>
      <c r="AA158" s="669" t="n"/>
      <c r="AB158" s="669" t="n"/>
    </row>
    <row r="159">
      <c r="A159" s="1037" t="n"/>
      <c r="B159" s="1104" t="inlineStr">
        <is>
          <t>Balmung (SS)</t>
        </is>
      </c>
      <c r="C159" s="1103" t="inlineStr">
        <is>
          <t>Prairie</t>
        </is>
      </c>
      <c r="D159" s="1103" t="inlineStr">
        <is>
          <t>SS</t>
        </is>
      </c>
      <c r="E159" s="1103" t="inlineStr">
        <is>
          <t>Devotee</t>
        </is>
      </c>
      <c r="F159" s="1103" t="inlineStr">
        <is>
          <t>SSS</t>
        </is>
      </c>
      <c r="G159" s="669" t="n"/>
      <c r="H159" s="669" t="n"/>
      <c r="I159" s="1109" t="n">
        <v>89</v>
      </c>
      <c r="J159" s="1112">
        <f>'Offering Speed'!$C$69*(I158+1) + 'Offering Speed'!$C$70*MAX(I159-'Offering Speed'!$C$69, 0)</f>
        <v/>
      </c>
      <c r="K159" s="1112">
        <f>SUM(J71:INDEX($J:$J,70+I159))</f>
        <v/>
      </c>
      <c r="L159" s="1109" t="n">
        <v>89</v>
      </c>
      <c r="M159" s="669" t="n"/>
      <c r="N159" s="669" t="n"/>
      <c r="O159" s="669" t="n"/>
      <c r="P159" s="669" t="n"/>
      <c r="Q159" s="669" t="n"/>
      <c r="R159" s="669" t="n"/>
      <c r="S159" s="669" t="n"/>
      <c r="T159" s="669" t="n"/>
      <c r="U159" s="669" t="n"/>
      <c r="V159" s="669" t="n"/>
      <c r="W159" s="669" t="n"/>
      <c r="X159" s="669" t="n"/>
      <c r="Y159" s="669" t="n"/>
      <c r="Z159" s="669" t="n"/>
      <c r="AA159" s="669" t="n"/>
      <c r="AB159" s="669" t="n"/>
    </row>
    <row r="160">
      <c r="A160" s="1037" t="n"/>
      <c r="B160" s="1104" t="inlineStr">
        <is>
          <t>Sleipnir (SSS)</t>
        </is>
      </c>
      <c r="C160" s="1103" t="inlineStr">
        <is>
          <t>Prairie</t>
        </is>
      </c>
      <c r="D160" s="1103" t="inlineStr">
        <is>
          <t>SSS</t>
        </is>
      </c>
      <c r="E160" s="1103" t="inlineStr">
        <is>
          <t>Devotee</t>
        </is>
      </c>
      <c r="F160" s="1103" t="inlineStr">
        <is>
          <t>SSS</t>
        </is>
      </c>
      <c r="G160" s="669" t="n"/>
      <c r="H160" s="669" t="n"/>
      <c r="I160" s="1109" t="n">
        <v>90</v>
      </c>
      <c r="J160" s="1112">
        <f>'Offering Speed'!$C$69*(I159+1) + 'Offering Speed'!$C$70*MAX(I160-'Offering Speed'!$C$69, 0)</f>
        <v/>
      </c>
      <c r="K160" s="1112">
        <f>SUM(J71:INDEX($J:$J,70+I160))</f>
        <v/>
      </c>
      <c r="L160" s="1109" t="n">
        <v>90</v>
      </c>
      <c r="M160" s="669" t="n"/>
      <c r="N160" s="669" t="n"/>
      <c r="O160" s="669" t="n"/>
      <c r="P160" s="669" t="n"/>
      <c r="Q160" s="669" t="n"/>
      <c r="R160" s="669" t="n"/>
      <c r="S160" s="669" t="n"/>
      <c r="T160" s="669" t="n"/>
      <c r="U160" s="669" t="n"/>
      <c r="V160" s="669" t="n"/>
      <c r="W160" s="669" t="n"/>
      <c r="X160" s="669" t="n"/>
      <c r="Y160" s="669" t="n"/>
      <c r="Z160" s="669" t="n"/>
      <c r="AA160" s="669" t="n"/>
      <c r="AB160" s="669" t="n"/>
    </row>
    <row r="161">
      <c r="A161" s="1037" t="n"/>
      <c r="B161" s="1104" t="inlineStr">
        <is>
          <t>Sleipnir (SS)</t>
        </is>
      </c>
      <c r="C161" s="1103" t="inlineStr">
        <is>
          <t>Prairie</t>
        </is>
      </c>
      <c r="D161" s="1103" t="inlineStr">
        <is>
          <t>SS</t>
        </is>
      </c>
      <c r="E161" s="1103" t="inlineStr">
        <is>
          <t>Devotee</t>
        </is>
      </c>
      <c r="F161" s="1103" t="inlineStr">
        <is>
          <t>SSS</t>
        </is>
      </c>
      <c r="G161" s="669" t="n"/>
      <c r="H161" s="669" t="n"/>
      <c r="I161" s="1109" t="n">
        <v>91</v>
      </c>
      <c r="J161" s="1112">
        <f>'Offering Speed'!$C$69*(I160+1) + 'Offering Speed'!$C$70*MAX(I161-'Offering Speed'!$C$69, 0)</f>
        <v/>
      </c>
      <c r="K161" s="1112">
        <f>SUM(J71:INDEX($J:$J,70+I161))</f>
        <v/>
      </c>
      <c r="L161" s="1109" t="n">
        <v>91</v>
      </c>
      <c r="M161" s="669" t="n"/>
      <c r="N161" s="669" t="n"/>
      <c r="O161" s="669" t="n"/>
      <c r="P161" s="669" t="n"/>
      <c r="Q161" s="669" t="n"/>
      <c r="R161" s="669" t="n"/>
      <c r="S161" s="669" t="n"/>
      <c r="T161" s="669" t="n"/>
      <c r="U161" s="669" t="n"/>
      <c r="V161" s="669" t="n"/>
      <c r="W161" s="669" t="n"/>
      <c r="X161" s="669" t="n"/>
      <c r="Y161" s="669" t="n"/>
      <c r="Z161" s="669" t="n"/>
      <c r="AA161" s="669" t="n"/>
      <c r="AB161" s="669" t="n"/>
    </row>
    <row r="162">
      <c r="A162" s="1037" t="n"/>
      <c r="B162" s="1104" t="inlineStr">
        <is>
          <t>Griffin</t>
        </is>
      </c>
      <c r="C162" s="1103" t="inlineStr">
        <is>
          <t>Prairie</t>
        </is>
      </c>
      <c r="D162" s="1103" t="inlineStr">
        <is>
          <t>SS</t>
        </is>
      </c>
      <c r="E162" s="1103" t="inlineStr">
        <is>
          <t>Devotee</t>
        </is>
      </c>
      <c r="F162" s="1103" t="inlineStr">
        <is>
          <t>SS</t>
        </is>
      </c>
      <c r="G162" s="669" t="n"/>
      <c r="H162" s="669" t="n"/>
      <c r="I162" s="1109" t="n">
        <v>92</v>
      </c>
      <c r="J162" s="1112">
        <f>'Offering Speed'!$C$69*(I161+1) + 'Offering Speed'!$C$70*MAX(I162-'Offering Speed'!$C$69, 0)</f>
        <v/>
      </c>
      <c r="K162" s="1112">
        <f>SUM(J71:INDEX($J:$J,70+I162))</f>
        <v/>
      </c>
      <c r="L162" s="1109" t="n">
        <v>92</v>
      </c>
      <c r="M162" s="669" t="n"/>
      <c r="N162" s="669" t="n"/>
      <c r="O162" s="669" t="n"/>
      <c r="P162" s="669" t="n"/>
      <c r="Q162" s="669" t="n"/>
      <c r="R162" s="669" t="n"/>
      <c r="S162" s="669" t="n"/>
      <c r="T162" s="669" t="n"/>
      <c r="U162" s="669" t="n"/>
      <c r="V162" s="669" t="n"/>
      <c r="W162" s="669" t="n"/>
      <c r="X162" s="669" t="n"/>
      <c r="Y162" s="669" t="n"/>
      <c r="Z162" s="669" t="n"/>
      <c r="AA162" s="669" t="n"/>
      <c r="AB162" s="669" t="n"/>
    </row>
    <row r="163">
      <c r="A163" s="1037" t="n"/>
      <c r="B163" s="1104" t="inlineStr">
        <is>
          <t>Hellwing</t>
        </is>
      </c>
      <c r="C163" s="1103" t="inlineStr">
        <is>
          <t>Prairie</t>
        </is>
      </c>
      <c r="D163" s="1103" t="inlineStr">
        <is>
          <t>S</t>
        </is>
      </c>
      <c r="E163" s="1103" t="inlineStr">
        <is>
          <t>Devotee</t>
        </is>
      </c>
      <c r="F163" s="1103" t="inlineStr">
        <is>
          <t>SS</t>
        </is>
      </c>
      <c r="G163" s="669" t="n"/>
      <c r="H163" s="669" t="n"/>
      <c r="I163" s="1109" t="n">
        <v>93</v>
      </c>
      <c r="J163" s="1112">
        <f>'Offering Speed'!$C$69*(I162+1) + 'Offering Speed'!$C$70*MAX(I163-'Offering Speed'!$C$69, 0)</f>
        <v/>
      </c>
      <c r="K163" s="1112">
        <f>SUM(J71:INDEX($J:$J,70+I163))</f>
        <v/>
      </c>
      <c r="L163" s="1109" t="n">
        <v>93</v>
      </c>
      <c r="M163" s="669" t="n"/>
      <c r="N163" s="669" t="n"/>
      <c r="O163" s="669" t="n"/>
      <c r="P163" s="669" t="n"/>
      <c r="Q163" s="669" t="n"/>
      <c r="R163" s="669" t="n"/>
      <c r="S163" s="669" t="n"/>
      <c r="T163" s="669" t="n"/>
      <c r="U163" s="669" t="n"/>
      <c r="V163" s="669" t="n"/>
      <c r="W163" s="669" t="n"/>
      <c r="X163" s="669" t="n"/>
      <c r="Y163" s="669" t="n"/>
      <c r="Z163" s="669" t="n"/>
      <c r="AA163" s="669" t="n"/>
      <c r="AB163" s="669" t="n"/>
    </row>
    <row r="164">
      <c r="A164" s="1037" t="n"/>
      <c r="B164" s="1104" t="inlineStr">
        <is>
          <t>Voidrake</t>
        </is>
      </c>
      <c r="C164" s="1103" t="inlineStr">
        <is>
          <t>Prairie</t>
        </is>
      </c>
      <c r="D164" s="1103" t="inlineStr">
        <is>
          <t>S</t>
        </is>
      </c>
      <c r="E164" s="1103" t="inlineStr">
        <is>
          <t>Devotee</t>
        </is>
      </c>
      <c r="F164" s="1103" t="inlineStr">
        <is>
          <t>SS</t>
        </is>
      </c>
      <c r="G164" s="669" t="n"/>
      <c r="H164" s="669" t="n"/>
      <c r="I164" s="1109" t="n">
        <v>94</v>
      </c>
      <c r="J164" s="1112">
        <f>'Offering Speed'!$C$69*(I163+1) + 'Offering Speed'!$C$70*MAX(I164-'Offering Speed'!$C$69, 0)</f>
        <v/>
      </c>
      <c r="K164" s="1112">
        <f>SUM(J71:INDEX($J:$J,70+I164))</f>
        <v/>
      </c>
      <c r="L164" s="1109" t="n">
        <v>94</v>
      </c>
      <c r="M164" s="669" t="n"/>
      <c r="N164" s="669" t="n"/>
      <c r="O164" s="669" t="n"/>
      <c r="P164" s="669" t="n"/>
      <c r="Q164" s="669" t="n"/>
      <c r="R164" s="669" t="n"/>
      <c r="S164" s="669" t="n"/>
      <c r="T164" s="669" t="n"/>
      <c r="U164" s="669" t="n"/>
      <c r="V164" s="669" t="n"/>
      <c r="W164" s="669" t="n"/>
      <c r="X164" s="669" t="n"/>
      <c r="Y164" s="669" t="n"/>
      <c r="Z164" s="669" t="n"/>
      <c r="AA164" s="669" t="n"/>
      <c r="AB164" s="669" t="n"/>
    </row>
    <row r="165">
      <c r="A165" s="1037" t="n"/>
      <c r="B165" s="1104" t="inlineStr">
        <is>
          <t>Tartigris</t>
        </is>
      </c>
      <c r="C165" s="1103" t="inlineStr">
        <is>
          <t>Prairie</t>
        </is>
      </c>
      <c r="D165" s="1103" t="inlineStr">
        <is>
          <t>S</t>
        </is>
      </c>
      <c r="E165" s="1103" t="inlineStr">
        <is>
          <t>Devotee</t>
        </is>
      </c>
      <c r="F165" s="1103" t="inlineStr">
        <is>
          <t>SS</t>
        </is>
      </c>
      <c r="G165" s="669" t="n"/>
      <c r="H165" s="669" t="n"/>
      <c r="I165" s="1109" t="n">
        <v>95</v>
      </c>
      <c r="J165" s="1112">
        <f>'Offering Speed'!$C$69*(I164+1) + 'Offering Speed'!$C$70*MAX(I165-'Offering Speed'!$C$69, 0)</f>
        <v/>
      </c>
      <c r="K165" s="1112">
        <f>SUM(J71:INDEX($J:$J,70+I165))</f>
        <v/>
      </c>
      <c r="L165" s="1109" t="n">
        <v>95</v>
      </c>
      <c r="M165" s="669" t="n"/>
      <c r="N165" s="669" t="n"/>
      <c r="O165" s="669" t="n"/>
      <c r="P165" s="669" t="n"/>
      <c r="Q165" s="669" t="n"/>
      <c r="R165" s="669" t="n"/>
      <c r="S165" s="669" t="n"/>
      <c r="T165" s="669" t="n"/>
      <c r="U165" s="669" t="n"/>
      <c r="V165" s="669" t="n"/>
      <c r="W165" s="669" t="n"/>
      <c r="X165" s="669" t="n"/>
      <c r="Y165" s="669" t="n"/>
      <c r="Z165" s="669" t="n"/>
      <c r="AA165" s="669" t="n"/>
      <c r="AB165" s="669" t="n"/>
    </row>
    <row r="166">
      <c r="A166" s="1037" t="n"/>
      <c r="B166" s="1104" t="inlineStr">
        <is>
          <t>Tigermoose</t>
        </is>
      </c>
      <c r="C166" s="1103" t="inlineStr">
        <is>
          <t>Prairie</t>
        </is>
      </c>
      <c r="D166" s="1103" t="inlineStr">
        <is>
          <t>S</t>
        </is>
      </c>
      <c r="E166" s="1103" t="inlineStr">
        <is>
          <t>Devotee</t>
        </is>
      </c>
      <c r="F166" s="1103" t="inlineStr">
        <is>
          <t>S</t>
        </is>
      </c>
      <c r="G166" s="669" t="n"/>
      <c r="H166" s="669" t="n"/>
      <c r="I166" s="1109" t="n">
        <v>96</v>
      </c>
      <c r="J166" s="1112">
        <f>'Offering Speed'!$C$69*(I165+1) + 'Offering Speed'!$C$70*MAX(I166-'Offering Speed'!$C$69, 0)</f>
        <v/>
      </c>
      <c r="K166" s="1112">
        <f>SUM(J71:INDEX($J:$J,70+I166))</f>
        <v/>
      </c>
      <c r="L166" s="1109" t="n">
        <v>96</v>
      </c>
      <c r="M166" s="669" t="n"/>
      <c r="N166" s="669" t="n"/>
      <c r="O166" s="669" t="n"/>
      <c r="P166" s="669" t="n"/>
      <c r="Q166" s="669" t="n"/>
      <c r="R166" s="669" t="n"/>
      <c r="S166" s="669" t="n"/>
      <c r="T166" s="669" t="n"/>
      <c r="U166" s="669" t="n"/>
      <c r="V166" s="669" t="n"/>
      <c r="W166" s="669" t="n"/>
      <c r="X166" s="669" t="n"/>
      <c r="Y166" s="669" t="n"/>
      <c r="Z166" s="669" t="n"/>
      <c r="AA166" s="669" t="n"/>
      <c r="AB166" s="669" t="n"/>
    </row>
    <row r="167">
      <c r="A167" s="1037" t="n"/>
      <c r="B167" s="1104" t="inlineStr">
        <is>
          <t>Taromon</t>
        </is>
      </c>
      <c r="C167" s="1103" t="inlineStr">
        <is>
          <t>Prairie</t>
        </is>
      </c>
      <c r="D167" s="1103" t="inlineStr">
        <is>
          <t>S</t>
        </is>
      </c>
      <c r="E167" s="1103" t="inlineStr">
        <is>
          <t>Devotee</t>
        </is>
      </c>
      <c r="F167" s="1103" t="inlineStr">
        <is>
          <t>S</t>
        </is>
      </c>
      <c r="G167" s="669" t="n"/>
      <c r="H167" s="669" t="n"/>
      <c r="I167" s="1109" t="n">
        <v>97</v>
      </c>
      <c r="J167" s="1112">
        <f>'Offering Speed'!$C$69*(I166+1) + 'Offering Speed'!$C$70*MAX(I167-'Offering Speed'!$C$69, 0)</f>
        <v/>
      </c>
      <c r="K167" s="1112">
        <f>SUM(J71:INDEX($J:$J,70+I167))</f>
        <v/>
      </c>
      <c r="L167" s="1109" t="n">
        <v>97</v>
      </c>
      <c r="M167" s="669" t="n"/>
      <c r="N167" s="669" t="n"/>
      <c r="O167" s="669" t="n"/>
      <c r="P167" s="669" t="n"/>
      <c r="Q167" s="669" t="n"/>
      <c r="R167" s="669" t="n"/>
      <c r="S167" s="669" t="n"/>
      <c r="T167" s="669" t="n"/>
      <c r="U167" s="669" t="n"/>
      <c r="V167" s="669" t="n"/>
      <c r="W167" s="669" t="n"/>
      <c r="X167" s="669" t="n"/>
      <c r="Y167" s="669" t="n"/>
      <c r="Z167" s="669" t="n"/>
      <c r="AA167" s="669" t="n"/>
      <c r="AB167" s="669" t="n"/>
    </row>
    <row r="168">
      <c r="A168" s="1037" t="n"/>
      <c r="B168" s="1104" t="inlineStr">
        <is>
          <t>Mantiger</t>
        </is>
      </c>
      <c r="C168" s="1103" t="inlineStr">
        <is>
          <t>Prairie</t>
        </is>
      </c>
      <c r="D168" s="1103" t="inlineStr">
        <is>
          <t>S</t>
        </is>
      </c>
      <c r="E168" s="1103" t="inlineStr">
        <is>
          <t>Devotee</t>
        </is>
      </c>
      <c r="F168" s="1103" t="inlineStr">
        <is>
          <t>S</t>
        </is>
      </c>
      <c r="G168" s="669" t="n"/>
      <c r="H168" s="669" t="n"/>
      <c r="I168" s="1109" t="n">
        <v>98</v>
      </c>
      <c r="J168" s="1112">
        <f>'Offering Speed'!$C$69*(I167+1) + 'Offering Speed'!$C$70*MAX(I168-'Offering Speed'!$C$69, 0)</f>
        <v/>
      </c>
      <c r="K168" s="1112">
        <f>SUM(J71:INDEX($J:$J,70+I168))</f>
        <v/>
      </c>
      <c r="L168" s="1109" t="n">
        <v>98</v>
      </c>
      <c r="M168" s="669" t="n"/>
      <c r="N168" s="669" t="n"/>
      <c r="O168" s="669" t="n"/>
      <c r="P168" s="669" t="n"/>
      <c r="Q168" s="669" t="n"/>
      <c r="R168" s="669" t="n"/>
      <c r="S168" s="669" t="n"/>
      <c r="T168" s="669" t="n"/>
      <c r="U168" s="669" t="n"/>
      <c r="V168" s="669" t="n"/>
      <c r="W168" s="669" t="n"/>
      <c r="X168" s="669" t="n"/>
      <c r="Y168" s="669" t="n"/>
      <c r="Z168" s="669" t="n"/>
      <c r="AA168" s="669" t="n"/>
      <c r="AB168" s="669" t="n"/>
    </row>
    <row r="169">
      <c r="A169" s="1037" t="n"/>
      <c r="B169" s="1104" t="inlineStr">
        <is>
          <t>Seachimera</t>
        </is>
      </c>
      <c r="C169" s="1103" t="inlineStr">
        <is>
          <t>Prairie</t>
        </is>
      </c>
      <c r="D169" s="1103" t="inlineStr">
        <is>
          <t>S</t>
        </is>
      </c>
      <c r="E169" s="1103" t="inlineStr">
        <is>
          <t>Devotee</t>
        </is>
      </c>
      <c r="F169" s="1103" t="inlineStr">
        <is>
          <t>S</t>
        </is>
      </c>
      <c r="G169" s="669" t="n"/>
      <c r="H169" s="669" t="n"/>
      <c r="I169" s="1109" t="n">
        <v>99</v>
      </c>
      <c r="J169" s="1112">
        <f>'Offering Speed'!$C$69*(I168+1) + 'Offering Speed'!$C$70*MAX(I169-'Offering Speed'!$C$69, 0)</f>
        <v/>
      </c>
      <c r="K169" s="1112">
        <f>SUM(J71:INDEX($J:$J,70+I169))</f>
        <v/>
      </c>
      <c r="L169" s="1109" t="n">
        <v>99</v>
      </c>
      <c r="M169" s="669" t="n"/>
      <c r="N169" s="669" t="n"/>
      <c r="O169" s="669" t="n"/>
      <c r="P169" s="669" t="n"/>
      <c r="Q169" s="669" t="n"/>
      <c r="R169" s="669" t="n"/>
      <c r="S169" s="669" t="n"/>
      <c r="T169" s="669" t="n"/>
      <c r="U169" s="669" t="n"/>
      <c r="V169" s="669" t="n"/>
      <c r="W169" s="669" t="n"/>
      <c r="X169" s="669" t="n"/>
      <c r="Y169" s="669" t="n"/>
      <c r="Z169" s="669" t="n"/>
      <c r="AA169" s="669" t="n"/>
      <c r="AB169" s="669" t="n"/>
    </row>
    <row r="170">
      <c r="A170" s="1037" t="n"/>
      <c r="B170" s="1104" t="inlineStr">
        <is>
          <t>Smoremon</t>
        </is>
      </c>
      <c r="C170" s="1103" t="inlineStr">
        <is>
          <t>Prairie</t>
        </is>
      </c>
      <c r="D170" s="1103" t="inlineStr">
        <is>
          <t>S</t>
        </is>
      </c>
      <c r="E170" s="1103" t="inlineStr">
        <is>
          <t>Devotee</t>
        </is>
      </c>
      <c r="F170" s="1103" t="inlineStr">
        <is>
          <t>S</t>
        </is>
      </c>
      <c r="G170" s="669" t="n"/>
      <c r="H170" s="669" t="n"/>
      <c r="I170" s="1109" t="n">
        <v>100</v>
      </c>
      <c r="J170" s="1112">
        <f>'Offering Speed'!$C$69*(I169+1) + 'Offering Speed'!$C$70*MAX(I170-'Offering Speed'!$C$69, 0)</f>
        <v/>
      </c>
      <c r="K170" s="1112">
        <f>SUM(J71:INDEX($J:$J,70+I170))</f>
        <v/>
      </c>
      <c r="L170" s="1109" t="n">
        <v>100</v>
      </c>
      <c r="M170" s="669" t="n"/>
      <c r="N170" s="669" t="n"/>
      <c r="O170" s="669" t="n"/>
      <c r="P170" s="669" t="n"/>
      <c r="Q170" s="669" t="n"/>
      <c r="R170" s="669" t="n"/>
      <c r="S170" s="669" t="n"/>
      <c r="T170" s="669" t="n"/>
      <c r="U170" s="669" t="n"/>
      <c r="V170" s="669" t="n"/>
      <c r="W170" s="669" t="n"/>
      <c r="X170" s="669" t="n"/>
      <c r="Y170" s="669" t="n"/>
      <c r="Z170" s="669" t="n"/>
      <c r="AA170" s="669" t="n"/>
      <c r="AB170" s="669" t="n"/>
    </row>
    <row r="171">
      <c r="A171" s="1037" t="n"/>
      <c r="B171" s="1104" t="inlineStr">
        <is>
          <t>Mantiharpy</t>
        </is>
      </c>
      <c r="C171" s="1103" t="inlineStr">
        <is>
          <t>Prairie</t>
        </is>
      </c>
      <c r="D171" s="1103" t="inlineStr">
        <is>
          <t>S</t>
        </is>
      </c>
      <c r="E171" s="1103" t="inlineStr">
        <is>
          <t>Devotee</t>
        </is>
      </c>
      <c r="F171" s="1103" t="inlineStr">
        <is>
          <t>S</t>
        </is>
      </c>
      <c r="G171" s="669" t="n"/>
      <c r="H171" s="669" t="n"/>
      <c r="I171" s="1109" t="n">
        <v>101</v>
      </c>
      <c r="J171" s="1112">
        <f>'Offering Speed'!$C$69*(I170+1) + 'Offering Speed'!$C$70*MAX(I171-'Offering Speed'!$C$69, 0)</f>
        <v/>
      </c>
      <c r="K171" s="1112">
        <f>SUM(J71:INDEX($J:$J,70+I171))</f>
        <v/>
      </c>
      <c r="L171" s="1109" t="n">
        <v>101</v>
      </c>
      <c r="M171" s="669" t="n"/>
      <c r="N171" s="669" t="n"/>
      <c r="O171" s="669" t="n"/>
      <c r="P171" s="669" t="n"/>
      <c r="Q171" s="669" t="n"/>
      <c r="R171" s="669" t="n"/>
      <c r="S171" s="669" t="n"/>
      <c r="T171" s="669" t="n"/>
      <c r="U171" s="669" t="n"/>
      <c r="V171" s="669" t="n"/>
      <c r="W171" s="669" t="n"/>
      <c r="X171" s="669" t="n"/>
      <c r="Y171" s="669" t="n"/>
      <c r="Z171" s="669" t="n"/>
      <c r="AA171" s="669" t="n"/>
      <c r="AB171" s="669" t="n"/>
    </row>
    <row r="172">
      <c r="A172" s="1037" t="n"/>
      <c r="B172" s="1104" t="inlineStr">
        <is>
          <t>Crocowing</t>
        </is>
      </c>
      <c r="C172" s="1103" t="inlineStr">
        <is>
          <t>Prairie</t>
        </is>
      </c>
      <c r="D172" s="1103" t="inlineStr">
        <is>
          <t>S</t>
        </is>
      </c>
      <c r="E172" s="1103" t="inlineStr">
        <is>
          <t>Devotee</t>
        </is>
      </c>
      <c r="F172" s="1103" t="inlineStr">
        <is>
          <t>S</t>
        </is>
      </c>
      <c r="G172" s="669" t="n"/>
      <c r="H172" s="669" t="n"/>
      <c r="I172" s="1109" t="n">
        <v>102</v>
      </c>
      <c r="J172" s="1112">
        <f>'Offering Speed'!$C$69*(I171+1) + 'Offering Speed'!$C$70*MAX(I172-'Offering Speed'!$C$69, 0)</f>
        <v/>
      </c>
      <c r="K172" s="1112">
        <f>SUM(J71:INDEX($J:$J,70+I172))</f>
        <v/>
      </c>
      <c r="L172" s="1109" t="n">
        <v>102</v>
      </c>
      <c r="M172" s="669" t="n"/>
      <c r="N172" s="669" t="n"/>
      <c r="O172" s="669" t="n"/>
      <c r="P172" s="669" t="n"/>
      <c r="Q172" s="669" t="n"/>
      <c r="R172" s="669" t="n"/>
      <c r="S172" s="669" t="n"/>
      <c r="T172" s="669" t="n"/>
      <c r="U172" s="669" t="n"/>
      <c r="V172" s="669" t="n"/>
      <c r="W172" s="669" t="n"/>
      <c r="X172" s="669" t="n"/>
      <c r="Y172" s="669" t="n"/>
      <c r="Z172" s="669" t="n"/>
      <c r="AA172" s="669" t="n"/>
      <c r="AB172" s="669" t="n"/>
    </row>
    <row r="173">
      <c r="A173" s="1037" t="n"/>
      <c r="B173" s="1104" t="inlineStr">
        <is>
          <t>Centiger</t>
        </is>
      </c>
      <c r="C173" s="1103" t="inlineStr">
        <is>
          <t>Prairie</t>
        </is>
      </c>
      <c r="D173" s="1103" t="inlineStr">
        <is>
          <t>S</t>
        </is>
      </c>
      <c r="E173" s="1103" t="inlineStr">
        <is>
          <t>Devotee</t>
        </is>
      </c>
      <c r="F173" s="1103" t="inlineStr">
        <is>
          <t>S</t>
        </is>
      </c>
      <c r="G173" s="669" t="n"/>
      <c r="H173" s="669" t="n"/>
      <c r="I173" s="1109" t="n">
        <v>103</v>
      </c>
      <c r="J173" s="1112">
        <f>'Offering Speed'!$C$69*(I172+1) + 'Offering Speed'!$C$70*MAX(I173-'Offering Speed'!$C$69, 0)</f>
        <v/>
      </c>
      <c r="K173" s="1112">
        <f>SUM(J71:INDEX($J:$J,70+I173))</f>
        <v/>
      </c>
      <c r="L173" s="1109" t="n">
        <v>103</v>
      </c>
      <c r="M173" s="669" t="n"/>
      <c r="N173" s="669" t="n"/>
      <c r="O173" s="669" t="n"/>
      <c r="P173" s="669" t="n"/>
      <c r="Q173" s="669" t="n"/>
      <c r="R173" s="669" t="n"/>
      <c r="S173" s="669" t="n"/>
      <c r="T173" s="669" t="n"/>
      <c r="U173" s="669" t="n"/>
      <c r="V173" s="669" t="n"/>
      <c r="W173" s="669" t="n"/>
      <c r="X173" s="669" t="n"/>
      <c r="Y173" s="669" t="n"/>
      <c r="Z173" s="669" t="n"/>
      <c r="AA173" s="669" t="n"/>
      <c r="AB173" s="669" t="n"/>
    </row>
    <row r="174">
      <c r="A174" s="1037" t="n"/>
      <c r="B174" s="1104" t="inlineStr">
        <is>
          <t>Rattlecat</t>
        </is>
      </c>
      <c r="C174" s="1103" t="inlineStr">
        <is>
          <t>Prairie</t>
        </is>
      </c>
      <c r="D174" s="1103" t="inlineStr">
        <is>
          <t>Purple</t>
        </is>
      </c>
      <c r="E174" s="1103" t="inlineStr">
        <is>
          <t>Devotee</t>
        </is>
      </c>
      <c r="F174" s="1103" t="inlineStr">
        <is>
          <t>A</t>
        </is>
      </c>
      <c r="G174" s="669" t="n"/>
      <c r="H174" s="669" t="n"/>
      <c r="I174" s="1109" t="n">
        <v>104</v>
      </c>
      <c r="J174" s="1112">
        <f>'Offering Speed'!$C$69*(I173+1) + 'Offering Speed'!$C$70*MAX(I174-'Offering Speed'!$C$69, 0)</f>
        <v/>
      </c>
      <c r="K174" s="1112">
        <f>SUM(J71:INDEX($J:$J,70+I174))</f>
        <v/>
      </c>
      <c r="L174" s="1109" t="n">
        <v>104</v>
      </c>
      <c r="M174" s="669" t="n"/>
      <c r="N174" s="669" t="n"/>
      <c r="O174" s="669" t="n"/>
      <c r="P174" s="669" t="n"/>
      <c r="Q174" s="669" t="n"/>
      <c r="R174" s="669" t="n"/>
      <c r="S174" s="669" t="n"/>
      <c r="T174" s="669" t="n"/>
      <c r="U174" s="669" t="n"/>
      <c r="V174" s="669" t="n"/>
      <c r="W174" s="669" t="n"/>
      <c r="X174" s="669" t="n"/>
      <c r="Y174" s="669" t="n"/>
      <c r="Z174" s="669" t="n"/>
      <c r="AA174" s="669" t="n"/>
      <c r="AB174" s="669" t="n"/>
    </row>
    <row r="175">
      <c r="A175" s="1037" t="n"/>
      <c r="B175" s="1104" t="inlineStr">
        <is>
          <t>Sabertooth</t>
        </is>
      </c>
      <c r="C175" s="1103" t="inlineStr">
        <is>
          <t>Prairie</t>
        </is>
      </c>
      <c r="D175" s="1103" t="inlineStr">
        <is>
          <t>Purple</t>
        </is>
      </c>
      <c r="E175" s="1103" t="inlineStr">
        <is>
          <t>Devotee</t>
        </is>
      </c>
      <c r="F175" s="1103" t="inlineStr">
        <is>
          <t>A</t>
        </is>
      </c>
      <c r="G175" s="669" t="n"/>
      <c r="H175" s="669" t="n"/>
      <c r="I175" s="1109" t="n">
        <v>105</v>
      </c>
      <c r="J175" s="1112">
        <f>'Offering Speed'!$C$69*(I174+1) + 'Offering Speed'!$C$70*MAX(I175-'Offering Speed'!$C$69, 0)</f>
        <v/>
      </c>
      <c r="K175" s="1112">
        <f>SUM(J71:INDEX($J:$J,70+I175))</f>
        <v/>
      </c>
      <c r="L175" s="1109" t="n">
        <v>105</v>
      </c>
      <c r="M175" s="669" t="n"/>
      <c r="N175" s="669" t="n"/>
      <c r="O175" s="669" t="n"/>
      <c r="P175" s="669" t="n"/>
      <c r="Q175" s="669" t="n"/>
      <c r="R175" s="669" t="n"/>
      <c r="S175" s="669" t="n"/>
      <c r="T175" s="669" t="n"/>
      <c r="U175" s="669" t="n"/>
      <c r="V175" s="669" t="n"/>
      <c r="W175" s="669" t="n"/>
      <c r="X175" s="669" t="n"/>
      <c r="Y175" s="669" t="n"/>
      <c r="Z175" s="669" t="n"/>
      <c r="AA175" s="669" t="n"/>
      <c r="AB175" s="669" t="n"/>
    </row>
    <row r="176">
      <c r="A176" s="1037" t="n"/>
      <c r="B176" s="1109" t="inlineStr">
        <is>
          <t>Clouded Leopard</t>
        </is>
      </c>
      <c r="C176" s="1067" t="inlineStr">
        <is>
          <t>Prairie</t>
        </is>
      </c>
      <c r="D176" s="1067" t="inlineStr">
        <is>
          <t>Blue</t>
        </is>
      </c>
      <c r="E176" s="1067" t="inlineStr">
        <is>
          <t>Devotee</t>
        </is>
      </c>
      <c r="F176" s="1067" t="inlineStr">
        <is>
          <t>B</t>
        </is>
      </c>
      <c r="G176" s="669" t="n"/>
      <c r="H176" s="669" t="n"/>
      <c r="I176" s="1109" t="n">
        <v>106</v>
      </c>
      <c r="J176" s="1112">
        <f>'Offering Speed'!$C$69*(I175+1) + 'Offering Speed'!$C$70*MAX(I176-'Offering Speed'!$C$69, 0)</f>
        <v/>
      </c>
      <c r="K176" s="1112">
        <f>SUM(J71:INDEX($J:$J,70+I176))</f>
        <v/>
      </c>
      <c r="L176" s="1109" t="n">
        <v>106</v>
      </c>
      <c r="M176" s="669" t="n"/>
      <c r="N176" s="669" t="n"/>
      <c r="O176" s="669" t="n"/>
      <c r="P176" s="669" t="n"/>
      <c r="Q176" s="669" t="n"/>
      <c r="R176" s="669" t="n"/>
      <c r="S176" s="669" t="n"/>
      <c r="T176" s="669" t="n"/>
      <c r="U176" s="669" t="n"/>
      <c r="V176" s="669" t="n"/>
      <c r="W176" s="669" t="n"/>
      <c r="X176" s="669" t="n"/>
      <c r="Y176" s="669" t="n"/>
      <c r="Z176" s="669" t="n"/>
      <c r="AA176" s="669" t="n"/>
      <c r="AB176" s="669" t="n"/>
    </row>
    <row r="177">
      <c r="A177" s="1037" t="n"/>
      <c r="G177" s="669" t="n"/>
      <c r="H177" s="669" t="n"/>
      <c r="I177" s="1109" t="n">
        <v>107</v>
      </c>
      <c r="J177" s="1112">
        <f>'Offering Speed'!$C$69*(I176+1) + 'Offering Speed'!$C$70*MAX(I177-'Offering Speed'!$C$69, 0)</f>
        <v/>
      </c>
      <c r="K177" s="1112">
        <f>SUM(J71:INDEX($J:$J,70+I177))</f>
        <v/>
      </c>
      <c r="L177" s="1109" t="n">
        <v>107</v>
      </c>
      <c r="M177" s="669" t="n"/>
      <c r="N177" s="669" t="n"/>
      <c r="O177" s="669" t="n"/>
      <c r="P177" s="669" t="n"/>
      <c r="Q177" s="669" t="n"/>
      <c r="R177" s="669" t="n"/>
      <c r="S177" s="669" t="n"/>
      <c r="T177" s="669" t="n"/>
      <c r="U177" s="669" t="n"/>
      <c r="V177" s="669" t="n"/>
      <c r="W177" s="669" t="n"/>
      <c r="X177" s="669" t="n"/>
      <c r="Y177" s="669" t="n"/>
      <c r="Z177" s="669" t="n"/>
      <c r="AA177" s="669" t="n"/>
      <c r="AB177" s="669" t="n"/>
    </row>
    <row r="178">
      <c r="A178" s="669" t="n"/>
      <c r="G178" s="669" t="n"/>
      <c r="H178" s="669" t="n"/>
      <c r="I178" s="1109" t="n">
        <v>108</v>
      </c>
      <c r="J178" s="1112">
        <f>'Offering Speed'!$C$69*(I177+1) + 'Offering Speed'!$C$70*MAX(I178-'Offering Speed'!$C$69, 0)</f>
        <v/>
      </c>
      <c r="K178" s="1112">
        <f>SUM(J71:INDEX($J:$J,70+I178))</f>
        <v/>
      </c>
      <c r="L178" s="1109" t="n">
        <v>108</v>
      </c>
      <c r="M178" s="669" t="n"/>
      <c r="N178" s="669" t="n"/>
      <c r="O178" s="669" t="n"/>
      <c r="P178" s="669" t="n"/>
      <c r="Q178" s="669" t="n"/>
      <c r="R178" s="669" t="n"/>
      <c r="S178" s="669" t="n"/>
      <c r="T178" s="669" t="n"/>
      <c r="U178" s="669" t="n"/>
      <c r="V178" s="669" t="n"/>
      <c r="W178" s="669" t="n"/>
      <c r="X178" s="669" t="n"/>
      <c r="Y178" s="669" t="n"/>
      <c r="Z178" s="669" t="n"/>
      <c r="AA178" s="669" t="n"/>
      <c r="AB178" s="669" t="n"/>
    </row>
    <row r="179">
      <c r="I179" s="1109" t="n">
        <v>109</v>
      </c>
      <c r="J179" s="1112">
        <f>'Offering Speed'!$C$69*(I178+1) + 'Offering Speed'!$C$70*MAX(I179-'Offering Speed'!$C$69, 0)</f>
        <v/>
      </c>
      <c r="K179" s="1112">
        <f>SUM(J71:INDEX($J:$J,70+I179))</f>
        <v/>
      </c>
      <c r="L179" s="1109" t="n">
        <v>109</v>
      </c>
      <c r="M179" s="669" t="n"/>
      <c r="N179" s="669" t="n"/>
      <c r="O179" s="669" t="n"/>
      <c r="P179" s="669" t="n"/>
      <c r="Q179" s="669" t="n"/>
      <c r="R179" s="669" t="n"/>
      <c r="S179" s="669" t="n"/>
      <c r="T179" s="669" t="n"/>
      <c r="U179" s="669" t="n"/>
      <c r="V179" s="669" t="n"/>
      <c r="W179" s="669" t="n"/>
      <c r="X179" s="669" t="n"/>
      <c r="Y179" s="669" t="n"/>
      <c r="Z179" s="669" t="n"/>
      <c r="AA179" s="669" t="n"/>
      <c r="AB179" s="669" t="n"/>
    </row>
    <row r="180">
      <c r="I180" s="1109" t="n">
        <v>110</v>
      </c>
      <c r="J180" s="1112">
        <f>'Offering Speed'!$C$69*(I179+1) + 'Offering Speed'!$C$70*MAX(I180-'Offering Speed'!$C$69, 0)</f>
        <v/>
      </c>
      <c r="K180" s="1112">
        <f>SUM(J71:INDEX($J:$J,70+I180))</f>
        <v/>
      </c>
      <c r="L180" s="1109" t="n">
        <v>110</v>
      </c>
      <c r="M180" s="669" t="n"/>
      <c r="N180" s="669" t="n"/>
      <c r="O180" s="669" t="n"/>
      <c r="P180" s="669" t="n"/>
      <c r="Q180" s="669" t="n"/>
      <c r="R180" s="669" t="n"/>
      <c r="S180" s="669" t="n"/>
      <c r="T180" s="669" t="n"/>
      <c r="U180" s="669" t="n"/>
      <c r="V180" s="669" t="n"/>
      <c r="W180" s="669" t="n"/>
      <c r="X180" s="669" t="n"/>
      <c r="Y180" s="669" t="n"/>
      <c r="Z180" s="669" t="n"/>
      <c r="AA180" s="669" t="n"/>
      <c r="AB180" s="669" t="n"/>
    </row>
    <row r="181">
      <c r="I181" s="1109" t="n">
        <v>111</v>
      </c>
      <c r="J181" s="1112">
        <f>'Offering Speed'!$C$69*(I180+1) + 'Offering Speed'!$C$70*MAX(I181-'Offering Speed'!$C$69, 0)</f>
        <v/>
      </c>
      <c r="K181" s="1112">
        <f>SUM(J71:INDEX($J:$J,70+I181))</f>
        <v/>
      </c>
      <c r="L181" s="1109" t="n">
        <v>111</v>
      </c>
      <c r="M181" s="669" t="n"/>
      <c r="N181" s="669" t="n"/>
      <c r="O181" s="669" t="n"/>
      <c r="P181" s="669" t="n"/>
      <c r="Q181" s="669" t="n"/>
      <c r="R181" s="669" t="n"/>
      <c r="S181" s="669" t="n"/>
      <c r="T181" s="669" t="n"/>
      <c r="U181" s="669" t="n"/>
      <c r="V181" s="669" t="n"/>
      <c r="W181" s="669" t="n"/>
      <c r="X181" s="669" t="n"/>
      <c r="Y181" s="669" t="n"/>
      <c r="Z181" s="669" t="n"/>
      <c r="AA181" s="669" t="n"/>
      <c r="AB181" s="669" t="n"/>
    </row>
    <row r="182">
      <c r="I182" s="1109" t="n">
        <v>112</v>
      </c>
      <c r="J182" s="1112">
        <f>'Offering Speed'!$C$69*(I181+1) + 'Offering Speed'!$C$70*MAX(I182-'Offering Speed'!$C$69, 0)</f>
        <v/>
      </c>
      <c r="K182" s="1112">
        <f>SUM(J71:INDEX($J:$J,70+I182))</f>
        <v/>
      </c>
      <c r="L182" s="1109" t="n">
        <v>112</v>
      </c>
      <c r="M182" s="669" t="n"/>
      <c r="N182" s="669" t="n"/>
      <c r="O182" s="669" t="n"/>
      <c r="P182" s="669" t="n"/>
      <c r="Q182" s="669" t="n"/>
      <c r="R182" s="669" t="n"/>
      <c r="S182" s="669" t="n"/>
      <c r="T182" s="669" t="n"/>
      <c r="U182" s="669" t="n"/>
      <c r="V182" s="669" t="n"/>
      <c r="W182" s="669" t="n"/>
      <c r="X182" s="669" t="n"/>
      <c r="Y182" s="669" t="n"/>
      <c r="Z182" s="669" t="n"/>
      <c r="AA182" s="669" t="n"/>
      <c r="AB182" s="669" t="n"/>
    </row>
    <row r="183">
      <c r="I183" s="1109" t="n">
        <v>113</v>
      </c>
      <c r="J183" s="1112">
        <f>'Offering Speed'!$C$69*(I182+1) + 'Offering Speed'!$C$70*MAX(I183-'Offering Speed'!$C$69, 0)</f>
        <v/>
      </c>
      <c r="K183" s="1112">
        <f>SUM(J71:INDEX($J:$J,70+I183))</f>
        <v/>
      </c>
      <c r="L183" s="1109" t="n">
        <v>113</v>
      </c>
      <c r="M183" s="669" t="n"/>
      <c r="N183" s="669" t="n"/>
      <c r="O183" s="669" t="n"/>
      <c r="P183" s="669" t="n"/>
      <c r="Q183" s="669" t="n"/>
      <c r="R183" s="669" t="n"/>
      <c r="S183" s="669" t="n"/>
      <c r="T183" s="669" t="n"/>
      <c r="U183" s="669" t="n"/>
      <c r="V183" s="669" t="n"/>
      <c r="W183" s="669" t="n"/>
      <c r="X183" s="669" t="n"/>
      <c r="Y183" s="669" t="n"/>
      <c r="Z183" s="669" t="n"/>
      <c r="AA183" s="669" t="n"/>
      <c r="AB183" s="669" t="n"/>
    </row>
    <row r="184">
      <c r="I184" s="1109" t="n">
        <v>114</v>
      </c>
      <c r="J184" s="1112">
        <f>'Offering Speed'!$C$69*(I183+1) + 'Offering Speed'!$C$70*MAX(I184-'Offering Speed'!$C$69, 0)</f>
        <v/>
      </c>
      <c r="K184" s="1112">
        <f>SUM(J71:INDEX($J:$J,70+I184))</f>
        <v/>
      </c>
      <c r="L184" s="1109" t="n">
        <v>114</v>
      </c>
      <c r="M184" s="669" t="n"/>
      <c r="N184" s="669" t="n"/>
      <c r="O184" s="669" t="n"/>
      <c r="P184" s="669" t="n"/>
      <c r="Q184" s="669" t="n"/>
      <c r="R184" s="669" t="n"/>
      <c r="S184" s="669" t="n"/>
      <c r="T184" s="669" t="n"/>
      <c r="U184" s="669" t="n"/>
      <c r="V184" s="669" t="n"/>
      <c r="W184" s="669" t="n"/>
      <c r="X184" s="669" t="n"/>
      <c r="Y184" s="669" t="n"/>
      <c r="Z184" s="669" t="n"/>
      <c r="AA184" s="669" t="n"/>
      <c r="AB184" s="669" t="n"/>
    </row>
    <row r="185">
      <c r="I185" s="1109" t="n">
        <v>115</v>
      </c>
      <c r="J185" s="1112">
        <f>'Offering Speed'!$C$69*(I184+1) + 'Offering Speed'!$C$70*MAX(I185-'Offering Speed'!$C$69, 0)</f>
        <v/>
      </c>
      <c r="K185" s="1112">
        <f>SUM(J71:INDEX($J:$J,70+I185))</f>
        <v/>
      </c>
      <c r="L185" s="1109" t="n">
        <v>115</v>
      </c>
      <c r="M185" s="669" t="n"/>
      <c r="N185" s="669" t="n"/>
      <c r="O185" s="669" t="n"/>
      <c r="P185" s="669" t="n"/>
      <c r="Q185" s="669" t="n"/>
      <c r="R185" s="669" t="n"/>
      <c r="S185" s="669" t="n"/>
      <c r="T185" s="669" t="n"/>
      <c r="U185" s="669" t="n"/>
      <c r="V185" s="669" t="n"/>
      <c r="W185" s="669" t="n"/>
      <c r="X185" s="669" t="n"/>
      <c r="Y185" s="669" t="n"/>
      <c r="Z185" s="669" t="n"/>
      <c r="AA185" s="669" t="n"/>
      <c r="AB185" s="669" t="n"/>
    </row>
    <row r="186">
      <c r="I186" s="1109" t="n">
        <v>116</v>
      </c>
      <c r="J186" s="1112">
        <f>'Offering Speed'!$C$69*(I185+1) + 'Offering Speed'!$C$70*MAX(I186-'Offering Speed'!$C$69, 0)</f>
        <v/>
      </c>
      <c r="K186" s="1112">
        <f>SUM(J71:INDEX($J:$J,70+I186))</f>
        <v/>
      </c>
      <c r="L186" s="1109" t="n">
        <v>116</v>
      </c>
      <c r="M186" s="669" t="n"/>
      <c r="N186" s="669" t="n"/>
      <c r="O186" s="669" t="n"/>
      <c r="P186" s="669" t="n"/>
      <c r="Q186" s="669" t="n"/>
      <c r="R186" s="669" t="n"/>
      <c r="S186" s="669" t="n"/>
      <c r="T186" s="669" t="n"/>
      <c r="U186" s="669" t="n"/>
      <c r="V186" s="669" t="n"/>
      <c r="W186" s="669" t="n"/>
      <c r="X186" s="669" t="n"/>
      <c r="Y186" s="669" t="n"/>
      <c r="Z186" s="669" t="n"/>
      <c r="AA186" s="669" t="n"/>
      <c r="AB186" s="669" t="n"/>
    </row>
    <row r="187">
      <c r="I187" s="1109" t="n">
        <v>117</v>
      </c>
      <c r="J187" s="1112">
        <f>'Offering Speed'!$C$69*(I186+1) + 'Offering Speed'!$C$70*MAX(I187-'Offering Speed'!$C$69, 0)</f>
        <v/>
      </c>
      <c r="K187" s="1112">
        <f>SUM(J71:INDEX($J:$J,70+I187))</f>
        <v/>
      </c>
      <c r="L187" s="1109" t="n">
        <v>117</v>
      </c>
      <c r="M187" s="669" t="n"/>
      <c r="N187" s="669" t="n"/>
      <c r="O187" s="669" t="n"/>
      <c r="P187" s="669" t="n"/>
      <c r="Q187" s="669" t="n"/>
      <c r="R187" s="669" t="n"/>
      <c r="S187" s="669" t="n"/>
      <c r="T187" s="669" t="n"/>
      <c r="U187" s="669" t="n"/>
      <c r="V187" s="669" t="n"/>
      <c r="W187" s="669" t="n"/>
      <c r="X187" s="669" t="n"/>
      <c r="Y187" s="669" t="n"/>
      <c r="Z187" s="669" t="n"/>
      <c r="AA187" s="669" t="n"/>
      <c r="AB187" s="669" t="n"/>
    </row>
    <row r="188">
      <c r="I188" s="1109" t="n">
        <v>118</v>
      </c>
      <c r="J188" s="1112">
        <f>'Offering Speed'!$C$69*(I187+1) + 'Offering Speed'!$C$70*MAX(I188-'Offering Speed'!$C$69, 0)</f>
        <v/>
      </c>
      <c r="K188" s="1112">
        <f>SUM(J71:INDEX($J:$J,70+I188))</f>
        <v/>
      </c>
      <c r="L188" s="1109" t="n">
        <v>118</v>
      </c>
      <c r="M188" s="669" t="n"/>
      <c r="N188" s="669" t="n"/>
      <c r="O188" s="669" t="n"/>
      <c r="P188" s="669" t="n"/>
      <c r="Q188" s="669" t="n"/>
      <c r="R188" s="669" t="n"/>
      <c r="S188" s="669" t="n"/>
      <c r="T188" s="669" t="n"/>
      <c r="U188" s="669" t="n"/>
      <c r="V188" s="669" t="n"/>
      <c r="W188" s="669" t="n"/>
      <c r="X188" s="669" t="n"/>
      <c r="Y188" s="669" t="n"/>
      <c r="Z188" s="669" t="n"/>
      <c r="AA188" s="669" t="n"/>
      <c r="AB188" s="669" t="n"/>
    </row>
    <row r="189">
      <c r="I189" s="1109" t="n">
        <v>119</v>
      </c>
      <c r="J189" s="1112">
        <f>'Offering Speed'!$C$69*(I188+1) + 'Offering Speed'!$C$70*MAX(I189-'Offering Speed'!$C$69, 0)</f>
        <v/>
      </c>
      <c r="K189" s="1112">
        <f>SUM(J71:INDEX($J:$J,70+I189))</f>
        <v/>
      </c>
      <c r="L189" s="1109" t="n">
        <v>119</v>
      </c>
      <c r="M189" s="669" t="n"/>
      <c r="N189" s="669" t="n"/>
      <c r="O189" s="669" t="n"/>
      <c r="P189" s="669" t="n"/>
      <c r="Q189" s="669" t="n"/>
      <c r="R189" s="669" t="n"/>
      <c r="S189" s="669" t="n"/>
      <c r="T189" s="669" t="n"/>
      <c r="U189" s="669" t="n"/>
      <c r="V189" s="669" t="n"/>
      <c r="W189" s="669" t="n"/>
      <c r="X189" s="669" t="n"/>
      <c r="Y189" s="669" t="n"/>
      <c r="Z189" s="669" t="n"/>
      <c r="AA189" s="669" t="n"/>
      <c r="AB189" s="669" t="n"/>
    </row>
    <row r="190">
      <c r="I190" s="1109" t="n">
        <v>120</v>
      </c>
      <c r="J190" s="1112">
        <f>'Offering Speed'!$C$69*(I189+1) + 'Offering Speed'!$C$70*MAX(I190-'Offering Speed'!$C$69, 0)</f>
        <v/>
      </c>
      <c r="K190" s="1112">
        <f>SUM(J71:INDEX($J:$J,70+I190))</f>
        <v/>
      </c>
      <c r="L190" s="1109" t="n">
        <v>120</v>
      </c>
      <c r="M190" s="669" t="n"/>
      <c r="N190" s="669" t="n"/>
      <c r="O190" s="669" t="n"/>
      <c r="P190" s="669" t="n"/>
      <c r="Q190" s="669" t="n"/>
      <c r="R190" s="669" t="n"/>
      <c r="S190" s="669" t="n"/>
      <c r="T190" s="669" t="n"/>
      <c r="U190" s="669" t="n"/>
      <c r="V190" s="669" t="n"/>
      <c r="W190" s="669" t="n"/>
      <c r="X190" s="669" t="n"/>
      <c r="Y190" s="669" t="n"/>
      <c r="Z190" s="669" t="n"/>
      <c r="AA190" s="669" t="n"/>
      <c r="AB190" s="669" t="n"/>
    </row>
    <row r="191">
      <c r="I191" s="1109" t="n">
        <v>121</v>
      </c>
      <c r="J191" s="1112">
        <f>'Offering Speed'!$C$69*(I190+1) + 'Offering Speed'!$C$70*MAX(I191-'Offering Speed'!$C$69, 0)</f>
        <v/>
      </c>
      <c r="K191" s="1112">
        <f>SUM(J71:INDEX($J:$J,70+I191))</f>
        <v/>
      </c>
      <c r="L191" s="1109" t="n">
        <v>121</v>
      </c>
      <c r="M191" s="669" t="n"/>
      <c r="N191" s="669" t="n"/>
      <c r="O191" s="669" t="n"/>
      <c r="P191" s="669" t="n"/>
      <c r="Q191" s="669" t="n"/>
      <c r="R191" s="669" t="n"/>
      <c r="S191" s="669" t="n"/>
      <c r="T191" s="669" t="n"/>
      <c r="U191" s="669" t="n"/>
      <c r="V191" s="669" t="n"/>
      <c r="W191" s="669" t="n"/>
      <c r="X191" s="669" t="n"/>
      <c r="Y191" s="669" t="n"/>
      <c r="Z191" s="669" t="n"/>
      <c r="AA191" s="669" t="n"/>
      <c r="AB191" s="669" t="n"/>
    </row>
    <row r="192">
      <c r="I192" s="1109" t="n">
        <v>122</v>
      </c>
      <c r="J192" s="1112">
        <f>'Offering Speed'!$C$69*(I191+1) + 'Offering Speed'!$C$70*MAX(I192-'Offering Speed'!$C$69, 0)</f>
        <v/>
      </c>
      <c r="K192" s="1112">
        <f>SUM(J71:INDEX($J:$J,70+I192))</f>
        <v/>
      </c>
      <c r="L192" s="1109" t="n">
        <v>122</v>
      </c>
      <c r="M192" s="669" t="n"/>
      <c r="N192" s="669" t="n"/>
      <c r="O192" s="669" t="n"/>
      <c r="P192" s="669" t="n"/>
      <c r="Q192" s="669" t="n"/>
      <c r="R192" s="669" t="n"/>
      <c r="S192" s="669" t="n"/>
      <c r="T192" s="669" t="n"/>
      <c r="U192" s="669" t="n"/>
      <c r="V192" s="669" t="n"/>
      <c r="W192" s="669" t="n"/>
      <c r="X192" s="669" t="n"/>
      <c r="Y192" s="669" t="n"/>
      <c r="Z192" s="669" t="n"/>
      <c r="AA192" s="669" t="n"/>
      <c r="AB192" s="669" t="n"/>
    </row>
    <row r="193">
      <c r="I193" s="1109" t="n">
        <v>123</v>
      </c>
      <c r="J193" s="1112">
        <f>'Offering Speed'!$C$69*(I192+1) + 'Offering Speed'!$C$70*MAX(I193-'Offering Speed'!$C$69, 0)</f>
        <v/>
      </c>
      <c r="K193" s="1112">
        <f>SUM(J71:INDEX($J:$J,70+I193))</f>
        <v/>
      </c>
      <c r="L193" s="1109" t="n">
        <v>123</v>
      </c>
      <c r="M193" s="669" t="n"/>
      <c r="N193" s="669" t="n"/>
      <c r="O193" s="669" t="n"/>
      <c r="P193" s="669" t="n"/>
      <c r="Q193" s="669" t="n"/>
      <c r="R193" s="669" t="n"/>
      <c r="S193" s="669" t="n"/>
      <c r="T193" s="669" t="n"/>
      <c r="U193" s="669" t="n"/>
      <c r="V193" s="669" t="n"/>
      <c r="W193" s="669" t="n"/>
      <c r="X193" s="669" t="n"/>
      <c r="Y193" s="669" t="n"/>
      <c r="Z193" s="669" t="n"/>
      <c r="AA193" s="669" t="n"/>
      <c r="AB193" s="669" t="n"/>
    </row>
    <row r="194">
      <c r="I194" s="1109" t="n">
        <v>124</v>
      </c>
      <c r="J194" s="1112">
        <f>'Offering Speed'!$C$69*(I193+1) + 'Offering Speed'!$C$70*MAX(I194-'Offering Speed'!$C$69, 0)</f>
        <v/>
      </c>
      <c r="K194" s="1112">
        <f>SUM(J71:INDEX($J:$J,70+I194))</f>
        <v/>
      </c>
      <c r="L194" s="1109" t="n">
        <v>124</v>
      </c>
      <c r="M194" s="669" t="n"/>
      <c r="N194" s="669" t="n"/>
      <c r="O194" s="669" t="n"/>
      <c r="P194" s="669" t="n"/>
      <c r="Q194" s="669" t="n"/>
      <c r="R194" s="669" t="n"/>
      <c r="S194" s="669" t="n"/>
      <c r="T194" s="669" t="n"/>
      <c r="U194" s="669" t="n"/>
      <c r="V194" s="669" t="n"/>
      <c r="W194" s="669" t="n"/>
      <c r="X194" s="669" t="n"/>
      <c r="Y194" s="669" t="n"/>
      <c r="Z194" s="669" t="n"/>
      <c r="AA194" s="669" t="n"/>
      <c r="AB194" s="669" t="n"/>
    </row>
    <row r="195">
      <c r="I195" s="1109" t="n">
        <v>125</v>
      </c>
      <c r="J195" s="1112">
        <f>'Offering Speed'!$C$69*(I194+1) + 'Offering Speed'!$C$70*MAX(I195-'Offering Speed'!$C$69, 0)</f>
        <v/>
      </c>
      <c r="K195" s="1112">
        <f>SUM(J71:INDEX($J:$J,70+I195))</f>
        <v/>
      </c>
      <c r="L195" s="1109" t="n">
        <v>125</v>
      </c>
      <c r="M195" s="669" t="n"/>
      <c r="N195" s="669" t="n"/>
      <c r="O195" s="669" t="n"/>
      <c r="P195" s="669" t="n"/>
      <c r="Q195" s="669" t="n"/>
      <c r="R195" s="669" t="n"/>
      <c r="S195" s="669" t="n"/>
      <c r="T195" s="669" t="n"/>
      <c r="U195" s="669" t="n"/>
      <c r="V195" s="669" t="n"/>
      <c r="W195" s="669" t="n"/>
      <c r="X195" s="669" t="n"/>
      <c r="Y195" s="669" t="n"/>
      <c r="Z195" s="669" t="n"/>
      <c r="AA195" s="669" t="n"/>
      <c r="AB195" s="669" t="n"/>
    </row>
    <row r="196">
      <c r="I196" s="1109" t="n">
        <v>126</v>
      </c>
      <c r="J196" s="1112">
        <f>'Offering Speed'!$C$69*(I195+1) + 'Offering Speed'!$C$70*MAX(I196-'Offering Speed'!$C$69, 0)</f>
        <v/>
      </c>
      <c r="K196" s="1112">
        <f>SUM(J71:INDEX($J:$J,70+I196))</f>
        <v/>
      </c>
      <c r="L196" s="1109" t="n">
        <v>126</v>
      </c>
      <c r="M196" s="669" t="n"/>
      <c r="N196" s="669" t="n"/>
      <c r="O196" s="669" t="n"/>
      <c r="P196" s="669" t="n"/>
      <c r="Q196" s="669" t="n"/>
      <c r="R196" s="669" t="n"/>
      <c r="S196" s="669" t="n"/>
      <c r="T196" s="669" t="n"/>
      <c r="U196" s="669" t="n"/>
      <c r="V196" s="669" t="n"/>
      <c r="W196" s="669" t="n"/>
      <c r="X196" s="669" t="n"/>
      <c r="Y196" s="669" t="n"/>
      <c r="Z196" s="669" t="n"/>
      <c r="AA196" s="669" t="n"/>
      <c r="AB196" s="669" t="n"/>
    </row>
    <row r="197">
      <c r="I197" s="1109" t="n">
        <v>127</v>
      </c>
      <c r="J197" s="1112">
        <f>'Offering Speed'!$C$69*(I196+1) + 'Offering Speed'!$C$70*MAX(I197-'Offering Speed'!$C$69, 0)</f>
        <v/>
      </c>
      <c r="K197" s="1112">
        <f>SUM(J71:INDEX($J:$J,70+I197))</f>
        <v/>
      </c>
      <c r="L197" s="1109" t="n">
        <v>127</v>
      </c>
      <c r="M197" s="669" t="n"/>
      <c r="N197" s="669" t="n"/>
      <c r="O197" s="669" t="n"/>
      <c r="P197" s="669" t="n"/>
      <c r="Q197" s="669" t="n"/>
      <c r="R197" s="669" t="n"/>
      <c r="S197" s="669" t="n"/>
      <c r="T197" s="669" t="n"/>
      <c r="U197" s="669" t="n"/>
      <c r="V197" s="669" t="n"/>
      <c r="W197" s="669" t="n"/>
      <c r="X197" s="669" t="n"/>
      <c r="Y197" s="669" t="n"/>
      <c r="Z197" s="669" t="n"/>
      <c r="AA197" s="669" t="n"/>
      <c r="AB197" s="669" t="n"/>
    </row>
    <row r="198">
      <c r="I198" s="1109" t="n">
        <v>128</v>
      </c>
      <c r="J198" s="1112">
        <f>'Offering Speed'!$C$69*(I197+1) + 'Offering Speed'!$C$70*MAX(I198-'Offering Speed'!$C$69, 0)</f>
        <v/>
      </c>
      <c r="K198" s="1112">
        <f>SUM(J71:INDEX($J:$J,70+I198))</f>
        <v/>
      </c>
      <c r="L198" s="1109" t="n">
        <v>128</v>
      </c>
      <c r="M198" s="669" t="n"/>
      <c r="N198" s="669" t="n"/>
      <c r="O198" s="669" t="n"/>
      <c r="P198" s="669" t="n"/>
      <c r="Q198" s="669" t="n"/>
      <c r="R198" s="669" t="n"/>
      <c r="S198" s="669" t="n"/>
      <c r="T198" s="669" t="n"/>
      <c r="U198" s="669" t="n"/>
      <c r="V198" s="669" t="n"/>
      <c r="W198" s="669" t="n"/>
      <c r="X198" s="669" t="n"/>
      <c r="Y198" s="669" t="n"/>
      <c r="Z198" s="669" t="n"/>
      <c r="AA198" s="669" t="n"/>
      <c r="AB198" s="669" t="n"/>
    </row>
    <row r="199">
      <c r="I199" s="1109" t="n">
        <v>129</v>
      </c>
      <c r="J199" s="1112">
        <f>'Offering Speed'!$C$69*(I198+1) + 'Offering Speed'!$C$70*MAX(I199-'Offering Speed'!$C$69, 0)</f>
        <v/>
      </c>
      <c r="K199" s="1112">
        <f>SUM(J71:INDEX($J:$J,70+I199))</f>
        <v/>
      </c>
      <c r="L199" s="1109" t="n">
        <v>129</v>
      </c>
      <c r="M199" s="669" t="n"/>
      <c r="N199" s="669" t="n"/>
      <c r="O199" s="669" t="n"/>
      <c r="P199" s="669" t="n"/>
      <c r="Q199" s="669" t="n"/>
      <c r="R199" s="669" t="n"/>
      <c r="S199" s="669" t="n"/>
      <c r="T199" s="669" t="n"/>
      <c r="U199" s="669" t="n"/>
      <c r="V199" s="669" t="n"/>
      <c r="W199" s="669" t="n"/>
      <c r="X199" s="669" t="n"/>
      <c r="Y199" s="669" t="n"/>
      <c r="Z199" s="669" t="n"/>
      <c r="AA199" s="669" t="n"/>
      <c r="AB199" s="669" t="n"/>
    </row>
    <row r="200">
      <c r="I200" s="1109" t="n">
        <v>130</v>
      </c>
      <c r="J200" s="1112">
        <f>'Offering Speed'!$C$69*(I199+1) + 'Offering Speed'!$C$70*MAX(I200-'Offering Speed'!$C$69, 0)</f>
        <v/>
      </c>
      <c r="K200" s="1112">
        <f>SUM(J71:INDEX($J:$J,70+I200))</f>
        <v/>
      </c>
      <c r="L200" s="1109" t="n">
        <v>130</v>
      </c>
      <c r="M200" s="669" t="n"/>
      <c r="N200" s="669" t="n"/>
      <c r="O200" s="669" t="n"/>
      <c r="P200" s="669" t="n"/>
      <c r="Q200" s="669" t="n"/>
      <c r="R200" s="669" t="n"/>
      <c r="S200" s="669" t="n"/>
      <c r="T200" s="669" t="n"/>
      <c r="U200" s="669" t="n"/>
      <c r="V200" s="669" t="n"/>
      <c r="W200" s="669" t="n"/>
      <c r="X200" s="669" t="n"/>
      <c r="Y200" s="669" t="n"/>
      <c r="Z200" s="669" t="n"/>
      <c r="AA200" s="669" t="n"/>
      <c r="AB200" s="669" t="n"/>
    </row>
    <row r="201">
      <c r="I201" s="1109" t="n">
        <v>131</v>
      </c>
      <c r="J201" s="1112">
        <f>'Offering Speed'!$C$69*(I200+1) + 'Offering Speed'!$C$70*MAX(I201-'Offering Speed'!$C$69, 0)</f>
        <v/>
      </c>
      <c r="K201" s="1112">
        <f>SUM(J71:INDEX($J:$J,70+I201))</f>
        <v/>
      </c>
      <c r="L201" s="1109" t="n">
        <v>131</v>
      </c>
      <c r="M201" s="669" t="n"/>
      <c r="N201" s="669" t="n"/>
      <c r="O201" s="669" t="n"/>
      <c r="P201" s="669" t="n"/>
      <c r="Q201" s="669" t="n"/>
      <c r="R201" s="669" t="n"/>
      <c r="S201" s="669" t="n"/>
      <c r="T201" s="669" t="n"/>
      <c r="U201" s="669" t="n"/>
      <c r="V201" s="669" t="n"/>
      <c r="W201" s="669" t="n"/>
      <c r="X201" s="669" t="n"/>
      <c r="Y201" s="669" t="n"/>
      <c r="Z201" s="669" t="n"/>
      <c r="AA201" s="669" t="n"/>
      <c r="AB201" s="669" t="n"/>
    </row>
    <row r="202">
      <c r="I202" s="1109" t="n">
        <v>132</v>
      </c>
      <c r="J202" s="1112">
        <f>'Offering Speed'!$C$69*(I201+1) + 'Offering Speed'!$C$70*MAX(I202-'Offering Speed'!$C$69, 0)</f>
        <v/>
      </c>
      <c r="K202" s="1112">
        <f>SUM(J71:INDEX($J:$J,70+I202))</f>
        <v/>
      </c>
      <c r="L202" s="1109" t="n">
        <v>132</v>
      </c>
      <c r="M202" s="669" t="n"/>
      <c r="N202" s="669" t="n"/>
      <c r="O202" s="669" t="n"/>
      <c r="P202" s="669" t="n"/>
      <c r="Q202" s="669" t="n"/>
      <c r="R202" s="669" t="n"/>
      <c r="S202" s="669" t="n"/>
      <c r="T202" s="669" t="n"/>
      <c r="U202" s="669" t="n"/>
      <c r="V202" s="669" t="n"/>
      <c r="W202" s="669" t="n"/>
      <c r="X202" s="669" t="n"/>
      <c r="Y202" s="669" t="n"/>
      <c r="Z202" s="669" t="n"/>
      <c r="AA202" s="669" t="n"/>
      <c r="AB202" s="669" t="n"/>
    </row>
    <row r="203">
      <c r="I203" s="1109" t="n">
        <v>133</v>
      </c>
      <c r="J203" s="1112">
        <f>'Offering Speed'!$C$69*(I202+1) + 'Offering Speed'!$C$70*MAX(I203-'Offering Speed'!$C$69, 0)</f>
        <v/>
      </c>
      <c r="K203" s="1112">
        <f>SUM(J71:INDEX($J:$J,70+I203))</f>
        <v/>
      </c>
      <c r="L203" s="1109" t="n">
        <v>133</v>
      </c>
      <c r="M203" s="669" t="n"/>
      <c r="N203" s="669" t="n"/>
      <c r="O203" s="669" t="n"/>
      <c r="P203" s="669" t="n"/>
      <c r="Q203" s="669" t="n"/>
      <c r="R203" s="669" t="n"/>
      <c r="S203" s="669" t="n"/>
      <c r="T203" s="669" t="n"/>
      <c r="U203" s="669" t="n"/>
      <c r="V203" s="669" t="n"/>
      <c r="W203" s="669" t="n"/>
      <c r="X203" s="669" t="n"/>
      <c r="Y203" s="669" t="n"/>
      <c r="Z203" s="669" t="n"/>
      <c r="AA203" s="669" t="n"/>
      <c r="AB203" s="669" t="n"/>
    </row>
    <row r="204">
      <c r="I204" s="1109" t="n">
        <v>134</v>
      </c>
      <c r="J204" s="1112">
        <f>'Offering Speed'!$C$69*(I203+1) + 'Offering Speed'!$C$70*MAX(I204-'Offering Speed'!$C$69, 0)</f>
        <v/>
      </c>
      <c r="K204" s="1112">
        <f>SUM(J71:INDEX($J:$J,70+I204))</f>
        <v/>
      </c>
      <c r="L204" s="1109" t="n">
        <v>134</v>
      </c>
      <c r="M204" s="669" t="n"/>
      <c r="N204" s="669" t="n"/>
      <c r="O204" s="669" t="n"/>
      <c r="P204" s="669" t="n"/>
      <c r="Q204" s="669" t="n"/>
      <c r="R204" s="669" t="n"/>
      <c r="S204" s="669" t="n"/>
      <c r="T204" s="669" t="n"/>
      <c r="U204" s="669" t="n"/>
      <c r="V204" s="669" t="n"/>
      <c r="W204" s="669" t="n"/>
      <c r="X204" s="669" t="n"/>
      <c r="Y204" s="669" t="n"/>
      <c r="Z204" s="669" t="n"/>
      <c r="AA204" s="669" t="n"/>
      <c r="AB204" s="669" t="n"/>
    </row>
    <row r="205">
      <c r="I205" s="1109" t="n">
        <v>135</v>
      </c>
      <c r="J205" s="1112">
        <f>'Offering Speed'!$C$69*(I204+1) + 'Offering Speed'!$C$70*MAX(I205-'Offering Speed'!$C$69, 0)</f>
        <v/>
      </c>
      <c r="K205" s="1112">
        <f>SUM(J71:INDEX($J:$J,70+I205))</f>
        <v/>
      </c>
      <c r="L205" s="1109" t="n">
        <v>135</v>
      </c>
      <c r="M205" s="669" t="n"/>
      <c r="N205" s="669" t="n"/>
      <c r="O205" s="669" t="n"/>
      <c r="P205" s="669" t="n"/>
      <c r="Q205" s="669" t="n"/>
      <c r="R205" s="669" t="n"/>
      <c r="S205" s="669" t="n"/>
      <c r="T205" s="669" t="n"/>
      <c r="U205" s="669" t="n"/>
      <c r="V205" s="669" t="n"/>
      <c r="W205" s="669" t="n"/>
      <c r="X205" s="669" t="n"/>
      <c r="Y205" s="669" t="n"/>
      <c r="Z205" s="669" t="n"/>
      <c r="AA205" s="669" t="n"/>
      <c r="AB205" s="669" t="n"/>
    </row>
    <row r="206">
      <c r="I206" s="1109" t="n">
        <v>136</v>
      </c>
      <c r="J206" s="1112">
        <f>'Offering Speed'!$C$69*(I205+1) + 'Offering Speed'!$C$70*MAX(I206-'Offering Speed'!$C$69, 0)</f>
        <v/>
      </c>
      <c r="K206" s="1112">
        <f>SUM(J71:INDEX($J:$J,70+I206))</f>
        <v/>
      </c>
      <c r="L206" s="1109" t="n">
        <v>136</v>
      </c>
      <c r="M206" s="669" t="n"/>
      <c r="N206" s="669" t="n"/>
      <c r="O206" s="669" t="n"/>
      <c r="P206" s="669" t="n"/>
      <c r="Q206" s="669" t="n"/>
      <c r="R206" s="669" t="n"/>
      <c r="S206" s="669" t="n"/>
      <c r="T206" s="669" t="n"/>
      <c r="U206" s="669" t="n"/>
      <c r="V206" s="669" t="n"/>
      <c r="W206" s="669" t="n"/>
      <c r="X206" s="669" t="n"/>
      <c r="Y206" s="669" t="n"/>
      <c r="Z206" s="669" t="n"/>
      <c r="AA206" s="669" t="n"/>
      <c r="AB206" s="669" t="n"/>
    </row>
    <row r="207">
      <c r="I207" s="1109" t="n">
        <v>137</v>
      </c>
      <c r="J207" s="1112">
        <f>'Offering Speed'!$C$69*(I206+1) + 'Offering Speed'!$C$70*MAX(I207-'Offering Speed'!$C$69, 0)</f>
        <v/>
      </c>
      <c r="K207" s="1112">
        <f>SUM(J71:INDEX($J:$J,70+I207))</f>
        <v/>
      </c>
      <c r="L207" s="1109" t="n">
        <v>137</v>
      </c>
      <c r="M207" s="669" t="n"/>
      <c r="N207" s="669" t="n"/>
      <c r="O207" s="669" t="n"/>
      <c r="P207" s="669" t="n"/>
      <c r="Q207" s="669" t="n"/>
      <c r="R207" s="669" t="n"/>
      <c r="S207" s="669" t="n"/>
      <c r="T207" s="669" t="n"/>
      <c r="U207" s="669" t="n"/>
      <c r="V207" s="669" t="n"/>
      <c r="W207" s="669" t="n"/>
      <c r="X207" s="669" t="n"/>
      <c r="Y207" s="669" t="n"/>
      <c r="Z207" s="669" t="n"/>
      <c r="AA207" s="669" t="n"/>
      <c r="AB207" s="669" t="n"/>
    </row>
    <row r="208">
      <c r="I208" s="1109" t="n">
        <v>138</v>
      </c>
      <c r="J208" s="1112">
        <f>'Offering Speed'!$C$69*(I207+1) + 'Offering Speed'!$C$70*MAX(I208-'Offering Speed'!$C$69, 0)</f>
        <v/>
      </c>
      <c r="K208" s="1112">
        <f>SUM(J71:INDEX($J:$J,70+I208))</f>
        <v/>
      </c>
      <c r="L208" s="1109" t="n">
        <v>138</v>
      </c>
      <c r="M208" s="669" t="n"/>
      <c r="N208" s="669" t="n"/>
      <c r="O208" s="669" t="n"/>
      <c r="P208" s="669" t="n"/>
      <c r="Q208" s="669" t="n"/>
      <c r="R208" s="669" t="n"/>
      <c r="S208" s="669" t="n"/>
      <c r="T208" s="669" t="n"/>
      <c r="U208" s="669" t="n"/>
      <c r="V208" s="669" t="n"/>
      <c r="W208" s="669" t="n"/>
      <c r="X208" s="669" t="n"/>
      <c r="Y208" s="669" t="n"/>
      <c r="Z208" s="669" t="n"/>
      <c r="AA208" s="669" t="n"/>
      <c r="AB208" s="669" t="n"/>
    </row>
    <row r="209">
      <c r="I209" s="1109" t="n">
        <v>139</v>
      </c>
      <c r="J209" s="1112">
        <f>'Offering Speed'!$C$69*(I208+1) + 'Offering Speed'!$C$70*MAX(I209-'Offering Speed'!$C$69, 0)</f>
        <v/>
      </c>
      <c r="K209" s="1112">
        <f>SUM(J71:INDEX($J:$J,70+I209))</f>
        <v/>
      </c>
      <c r="L209" s="1109" t="n">
        <v>139</v>
      </c>
      <c r="M209" s="669" t="n"/>
      <c r="N209" s="669" t="n"/>
      <c r="O209" s="669" t="n"/>
      <c r="P209" s="669" t="n"/>
      <c r="Q209" s="669" t="n"/>
      <c r="R209" s="669" t="n"/>
      <c r="S209" s="669" t="n"/>
      <c r="T209" s="669" t="n"/>
      <c r="U209" s="669" t="n"/>
      <c r="V209" s="669" t="n"/>
      <c r="W209" s="669" t="n"/>
      <c r="X209" s="669" t="n"/>
      <c r="Y209" s="669" t="n"/>
      <c r="Z209" s="669" t="n"/>
      <c r="AA209" s="669" t="n"/>
      <c r="AB209" s="669" t="n"/>
    </row>
    <row r="210">
      <c r="I210" s="1109" t="n">
        <v>140</v>
      </c>
      <c r="J210" s="1112">
        <f>'Offering Speed'!$C$69*(I209+1) + 'Offering Speed'!$C$70*MAX(I210-'Offering Speed'!$C$69, 0)</f>
        <v/>
      </c>
      <c r="K210" s="1112">
        <f>SUM(J71:INDEX($J:$J,70+I210))</f>
        <v/>
      </c>
      <c r="L210" s="1109" t="n">
        <v>140</v>
      </c>
      <c r="M210" s="669" t="n"/>
      <c r="N210" s="669" t="n"/>
      <c r="O210" s="669" t="n"/>
      <c r="P210" s="669" t="n"/>
      <c r="Q210" s="669" t="n"/>
      <c r="R210" s="669" t="n"/>
      <c r="S210" s="669" t="n"/>
      <c r="T210" s="669" t="n"/>
      <c r="U210" s="669" t="n"/>
      <c r="V210" s="669" t="n"/>
      <c r="W210" s="669" t="n"/>
      <c r="X210" s="669" t="n"/>
      <c r="Y210" s="669" t="n"/>
      <c r="Z210" s="669" t="n"/>
      <c r="AA210" s="669" t="n"/>
      <c r="AB210" s="669" t="n"/>
    </row>
    <row r="211">
      <c r="I211" s="1109" t="n">
        <v>141</v>
      </c>
      <c r="J211" s="1112">
        <f>'Offering Speed'!$C$69*(I210+1) + 'Offering Speed'!$C$70*MAX(I211-'Offering Speed'!$C$69, 0)</f>
        <v/>
      </c>
      <c r="K211" s="1112">
        <f>SUM(J71:INDEX($J:$J,70+I211))</f>
        <v/>
      </c>
      <c r="L211" s="1109" t="n">
        <v>141</v>
      </c>
      <c r="M211" s="669" t="n"/>
      <c r="N211" s="669" t="n"/>
      <c r="O211" s="669" t="n"/>
      <c r="P211" s="669" t="n"/>
      <c r="Q211" s="669" t="n"/>
      <c r="R211" s="669" t="n"/>
      <c r="S211" s="669" t="n"/>
      <c r="T211" s="669" t="n"/>
      <c r="U211" s="669" t="n"/>
      <c r="V211" s="669" t="n"/>
      <c r="W211" s="669" t="n"/>
      <c r="X211" s="669" t="n"/>
      <c r="Y211" s="669" t="n"/>
      <c r="Z211" s="669" t="n"/>
      <c r="AA211" s="669" t="n"/>
      <c r="AB211" s="669" t="n"/>
    </row>
    <row r="212">
      <c r="I212" s="1109" t="n">
        <v>142</v>
      </c>
      <c r="J212" s="1112">
        <f>'Offering Speed'!$C$69*(I211+1) + 'Offering Speed'!$C$70*MAX(I212-'Offering Speed'!$C$69, 0)</f>
        <v/>
      </c>
      <c r="K212" s="1112">
        <f>SUM(J71:INDEX($J:$J,70+I212))</f>
        <v/>
      </c>
      <c r="L212" s="1109" t="n">
        <v>142</v>
      </c>
      <c r="M212" s="669" t="n"/>
      <c r="N212" s="669" t="n"/>
      <c r="O212" s="669" t="n"/>
      <c r="P212" s="669" t="n"/>
      <c r="Q212" s="669" t="n"/>
      <c r="R212" s="669" t="n"/>
      <c r="S212" s="669" t="n"/>
      <c r="T212" s="669" t="n"/>
      <c r="U212" s="669" t="n"/>
      <c r="V212" s="669" t="n"/>
      <c r="W212" s="669" t="n"/>
      <c r="X212" s="669" t="n"/>
      <c r="Y212" s="669" t="n"/>
      <c r="Z212" s="669" t="n"/>
      <c r="AA212" s="669" t="n"/>
      <c r="AB212" s="669" t="n"/>
    </row>
    <row r="213">
      <c r="I213" s="1109" t="n">
        <v>143</v>
      </c>
      <c r="J213" s="1112">
        <f>'Offering Speed'!$C$69*(I212+1) + 'Offering Speed'!$C$70*MAX(I213-'Offering Speed'!$C$69, 0)</f>
        <v/>
      </c>
      <c r="K213" s="1112">
        <f>SUM(J71:INDEX($J:$J,70+I213))</f>
        <v/>
      </c>
      <c r="L213" s="1109" t="n">
        <v>143</v>
      </c>
      <c r="M213" s="669" t="n"/>
      <c r="N213" s="669" t="n"/>
      <c r="O213" s="669" t="n"/>
      <c r="P213" s="669" t="n"/>
      <c r="Q213" s="669" t="n"/>
      <c r="R213" s="669" t="n"/>
      <c r="S213" s="669" t="n"/>
      <c r="T213" s="669" t="n"/>
      <c r="U213" s="669" t="n"/>
      <c r="V213" s="669" t="n"/>
      <c r="W213" s="669" t="n"/>
      <c r="X213" s="669" t="n"/>
      <c r="Y213" s="669" t="n"/>
      <c r="Z213" s="669" t="n"/>
      <c r="AA213" s="669" t="n"/>
      <c r="AB213" s="669" t="n"/>
    </row>
    <row r="214">
      <c r="I214" s="1109" t="n">
        <v>144</v>
      </c>
      <c r="J214" s="1112">
        <f>'Offering Speed'!$C$69*(I213+1) + 'Offering Speed'!$C$70*MAX(I214-'Offering Speed'!$C$69, 0)</f>
        <v/>
      </c>
      <c r="K214" s="1112">
        <f>SUM(J71:INDEX($J:$J,70+I214))</f>
        <v/>
      </c>
      <c r="L214" s="1109" t="n">
        <v>144</v>
      </c>
      <c r="M214" s="669" t="n"/>
      <c r="N214" s="669" t="n"/>
      <c r="O214" s="669" t="n"/>
      <c r="P214" s="669" t="n"/>
      <c r="Q214" s="669" t="n"/>
      <c r="R214" s="669" t="n"/>
      <c r="S214" s="669" t="n"/>
      <c r="T214" s="669" t="n"/>
      <c r="U214" s="669" t="n"/>
      <c r="V214" s="669" t="n"/>
      <c r="W214" s="669" t="n"/>
      <c r="X214" s="669" t="n"/>
      <c r="Y214" s="669" t="n"/>
      <c r="Z214" s="669" t="n"/>
      <c r="AA214" s="669" t="n"/>
      <c r="AB214" s="669" t="n"/>
    </row>
    <row r="215">
      <c r="I215" s="1109" t="n">
        <v>145</v>
      </c>
      <c r="J215" s="1112">
        <f>'Offering Speed'!$C$69*(I214+1) + 'Offering Speed'!$C$70*MAX(I215-'Offering Speed'!$C$69, 0)</f>
        <v/>
      </c>
      <c r="K215" s="1112">
        <f>SUM(J71:INDEX($J:$J,70+I215))</f>
        <v/>
      </c>
      <c r="L215" s="1109" t="n">
        <v>145</v>
      </c>
      <c r="M215" s="669" t="n"/>
      <c r="N215" s="669" t="n"/>
      <c r="O215" s="669" t="n"/>
      <c r="P215" s="669" t="n"/>
      <c r="Q215" s="669" t="n"/>
      <c r="R215" s="669" t="n"/>
      <c r="S215" s="669" t="n"/>
      <c r="T215" s="669" t="n"/>
      <c r="U215" s="669" t="n"/>
      <c r="V215" s="669" t="n"/>
      <c r="W215" s="669" t="n"/>
      <c r="X215" s="669" t="n"/>
      <c r="Y215" s="669" t="n"/>
      <c r="Z215" s="669" t="n"/>
      <c r="AA215" s="669" t="n"/>
      <c r="AB215" s="669" t="n"/>
    </row>
    <row r="216">
      <c r="I216" s="1109" t="n">
        <v>146</v>
      </c>
      <c r="J216" s="1112">
        <f>'Offering Speed'!$C$69*(I215+1) + 'Offering Speed'!$C$70*MAX(I216-'Offering Speed'!$C$69, 0)</f>
        <v/>
      </c>
      <c r="K216" s="1112">
        <f>SUM(J71:INDEX($J:$J,70+I216))</f>
        <v/>
      </c>
      <c r="L216" s="1109" t="n">
        <v>146</v>
      </c>
      <c r="M216" s="669" t="n"/>
      <c r="N216" s="669" t="n"/>
      <c r="O216" s="669" t="n"/>
      <c r="P216" s="669" t="n"/>
      <c r="Q216" s="669" t="n"/>
      <c r="R216" s="669" t="n"/>
      <c r="S216" s="669" t="n"/>
      <c r="T216" s="669" t="n"/>
      <c r="U216" s="669" t="n"/>
      <c r="V216" s="669" t="n"/>
      <c r="W216" s="669" t="n"/>
      <c r="X216" s="669" t="n"/>
      <c r="Y216" s="669" t="n"/>
      <c r="Z216" s="669" t="n"/>
      <c r="AA216" s="669" t="n"/>
      <c r="AB216" s="669" t="n"/>
    </row>
    <row r="217">
      <c r="I217" s="1109" t="n">
        <v>147</v>
      </c>
      <c r="J217" s="1112">
        <f>'Offering Speed'!$C$69*(I216+1) + 'Offering Speed'!$C$70*MAX(I217-'Offering Speed'!$C$69, 0)</f>
        <v/>
      </c>
      <c r="K217" s="1112">
        <f>SUM(J71:INDEX($J:$J,70+I217))</f>
        <v/>
      </c>
      <c r="L217" s="1109" t="n">
        <v>147</v>
      </c>
      <c r="M217" s="669" t="n"/>
      <c r="N217" s="669" t="n"/>
      <c r="O217" s="669" t="n"/>
      <c r="P217" s="669" t="n"/>
      <c r="Q217" s="669" t="n"/>
      <c r="R217" s="669" t="n"/>
      <c r="S217" s="669" t="n"/>
      <c r="T217" s="669" t="n"/>
      <c r="U217" s="669" t="n"/>
      <c r="V217" s="669" t="n"/>
      <c r="W217" s="669" t="n"/>
      <c r="X217" s="669" t="n"/>
      <c r="Y217" s="669" t="n"/>
      <c r="Z217" s="669" t="n"/>
      <c r="AA217" s="669" t="n"/>
      <c r="AB217" s="669" t="n"/>
    </row>
    <row r="218">
      <c r="I218" s="1109" t="n">
        <v>148</v>
      </c>
      <c r="J218" s="1112">
        <f>'Offering Speed'!$C$69*(I217+1) + 'Offering Speed'!$C$70*MAX(I218-'Offering Speed'!$C$69, 0)</f>
        <v/>
      </c>
      <c r="K218" s="1112">
        <f>SUM(J71:INDEX($J:$J,70+I218))</f>
        <v/>
      </c>
      <c r="L218" s="1109" t="n">
        <v>148</v>
      </c>
      <c r="M218" s="669" t="n"/>
      <c r="N218" s="669" t="n"/>
      <c r="O218" s="669" t="n"/>
      <c r="P218" s="669" t="n"/>
      <c r="Q218" s="669" t="n"/>
      <c r="R218" s="669" t="n"/>
      <c r="S218" s="669" t="n"/>
      <c r="T218" s="669" t="n"/>
      <c r="U218" s="669" t="n"/>
      <c r="V218" s="669" t="n"/>
      <c r="W218" s="669" t="n"/>
      <c r="X218" s="669" t="n"/>
      <c r="Y218" s="669" t="n"/>
      <c r="Z218" s="669" t="n"/>
      <c r="AA218" s="669" t="n"/>
      <c r="AB218" s="669" t="n"/>
    </row>
    <row r="219">
      <c r="I219" s="1109" t="n">
        <v>149</v>
      </c>
      <c r="J219" s="1112">
        <f>'Offering Speed'!$C$69*(I218+1) + 'Offering Speed'!$C$70*MAX(I219-'Offering Speed'!$C$69, 0)</f>
        <v/>
      </c>
      <c r="K219" s="1112">
        <f>SUM(J71:INDEX($J:$J,70+I219))</f>
        <v/>
      </c>
      <c r="L219" s="1109" t="n">
        <v>149</v>
      </c>
      <c r="M219" s="669" t="n"/>
      <c r="N219" s="669" t="n"/>
      <c r="O219" s="669" t="n"/>
      <c r="P219" s="669" t="n"/>
      <c r="Q219" s="669" t="n"/>
      <c r="R219" s="669" t="n"/>
      <c r="S219" s="669" t="n"/>
      <c r="T219" s="669" t="n"/>
      <c r="U219" s="669" t="n"/>
      <c r="V219" s="669" t="n"/>
      <c r="W219" s="669" t="n"/>
      <c r="X219" s="669" t="n"/>
      <c r="Y219" s="669" t="n"/>
      <c r="Z219" s="669" t="n"/>
      <c r="AA219" s="669" t="n"/>
      <c r="AB219" s="669" t="n"/>
    </row>
    <row r="220">
      <c r="I220" s="1109" t="n">
        <v>150</v>
      </c>
      <c r="J220" s="1112">
        <f>'Offering Speed'!$C$69*(I219+1) + 'Offering Speed'!$C$70*MAX(I220-'Offering Speed'!$C$69, 0)</f>
        <v/>
      </c>
      <c r="K220" s="1112">
        <f>SUM(J71:INDEX($J:$J,70+I220))</f>
        <v/>
      </c>
      <c r="L220" s="1109" t="n">
        <v>150</v>
      </c>
      <c r="M220" s="669" t="n"/>
      <c r="N220" s="669" t="n"/>
      <c r="O220" s="669" t="n"/>
      <c r="P220" s="669" t="n"/>
      <c r="Q220" s="669" t="n"/>
      <c r="R220" s="669" t="n"/>
      <c r="S220" s="669" t="n"/>
      <c r="T220" s="669" t="n"/>
      <c r="U220" s="669" t="n"/>
      <c r="V220" s="669" t="n"/>
      <c r="W220" s="669" t="n"/>
      <c r="X220" s="669" t="n"/>
      <c r="Y220" s="669" t="n"/>
      <c r="Z220" s="669" t="n"/>
      <c r="AA220" s="669" t="n"/>
      <c r="AB220" s="669" t="n"/>
    </row>
    <row r="221">
      <c r="I221" s="1109" t="n">
        <v>151</v>
      </c>
      <c r="J221" s="1112">
        <f>'Offering Speed'!$C$69*(I220+1) + 'Offering Speed'!$C$70*MAX(I221-'Offering Speed'!$C$69, 0)</f>
        <v/>
      </c>
      <c r="K221" s="1112">
        <f>SUM(J71:INDEX($J:$J,70+I221))</f>
        <v/>
      </c>
      <c r="L221" s="1109" t="n">
        <v>151</v>
      </c>
      <c r="M221" s="669" t="n"/>
      <c r="N221" s="669" t="n"/>
      <c r="O221" s="669" t="n"/>
      <c r="P221" s="669" t="n"/>
      <c r="Q221" s="669" t="n"/>
      <c r="R221" s="669" t="n"/>
      <c r="S221" s="669" t="n"/>
      <c r="T221" s="669" t="n"/>
      <c r="U221" s="669" t="n"/>
      <c r="V221" s="669" t="n"/>
      <c r="W221" s="669" t="n"/>
      <c r="X221" s="669" t="n"/>
      <c r="Y221" s="669" t="n"/>
      <c r="Z221" s="669" t="n"/>
      <c r="AA221" s="669" t="n"/>
      <c r="AB221" s="669" t="n"/>
    </row>
    <row r="222">
      <c r="I222" s="1109" t="n">
        <v>152</v>
      </c>
      <c r="J222" s="1112">
        <f>'Offering Speed'!$C$69*(I221+1) + 'Offering Speed'!$C$70*MAX(I222-'Offering Speed'!$C$69, 0)</f>
        <v/>
      </c>
      <c r="K222" s="1112">
        <f>SUM(J71:INDEX($J:$J,70+I222))</f>
        <v/>
      </c>
      <c r="L222" s="1109" t="n">
        <v>152</v>
      </c>
      <c r="M222" s="669" t="n"/>
      <c r="N222" s="669" t="n"/>
      <c r="O222" s="669" t="n"/>
      <c r="P222" s="669" t="n"/>
      <c r="Q222" s="669" t="n"/>
      <c r="R222" s="669" t="n"/>
      <c r="S222" s="669" t="n"/>
      <c r="T222" s="669" t="n"/>
      <c r="U222" s="669" t="n"/>
      <c r="V222" s="669" t="n"/>
      <c r="W222" s="669" t="n"/>
      <c r="X222" s="669" t="n"/>
      <c r="Y222" s="669" t="n"/>
      <c r="Z222" s="669" t="n"/>
      <c r="AA222" s="669" t="n"/>
      <c r="AB222" s="669" t="n"/>
    </row>
    <row r="223">
      <c r="I223" s="1109" t="n">
        <v>153</v>
      </c>
      <c r="J223" s="1112">
        <f>'Offering Speed'!$C$69*(I222+1) + 'Offering Speed'!$C$70*MAX(I223-'Offering Speed'!$C$69, 0)</f>
        <v/>
      </c>
      <c r="K223" s="1112">
        <f>SUM(J71:INDEX($J:$J,70+I223))</f>
        <v/>
      </c>
      <c r="L223" s="1109" t="n">
        <v>153</v>
      </c>
      <c r="M223" s="669" t="n"/>
      <c r="N223" s="669" t="n"/>
      <c r="O223" s="669" t="n"/>
      <c r="P223" s="669" t="n"/>
      <c r="Q223" s="669" t="n"/>
      <c r="R223" s="669" t="n"/>
      <c r="S223" s="669" t="n"/>
      <c r="T223" s="669" t="n"/>
      <c r="U223" s="669" t="n"/>
      <c r="V223" s="669" t="n"/>
      <c r="W223" s="669" t="n"/>
      <c r="X223" s="669" t="n"/>
      <c r="Y223" s="669" t="n"/>
      <c r="Z223" s="669" t="n"/>
      <c r="AA223" s="669" t="n"/>
      <c r="AB223" s="669" t="n"/>
    </row>
    <row r="224">
      <c r="I224" s="1109" t="n">
        <v>154</v>
      </c>
      <c r="J224" s="1112">
        <f>'Offering Speed'!$C$69*(I223+1) + 'Offering Speed'!$C$70*MAX(I224-'Offering Speed'!$C$69, 0)</f>
        <v/>
      </c>
      <c r="K224" s="1112">
        <f>SUM(J71:INDEX($J:$J,70+I224))</f>
        <v/>
      </c>
      <c r="L224" s="1109" t="n">
        <v>154</v>
      </c>
      <c r="M224" s="669" t="n"/>
      <c r="N224" s="669" t="n"/>
      <c r="O224" s="669" t="n"/>
      <c r="P224" s="669" t="n"/>
      <c r="Q224" s="669" t="n"/>
      <c r="R224" s="669" t="n"/>
      <c r="S224" s="669" t="n"/>
      <c r="T224" s="669" t="n"/>
      <c r="U224" s="669" t="n"/>
      <c r="V224" s="669" t="n"/>
      <c r="W224" s="669" t="n"/>
      <c r="X224" s="669" t="n"/>
      <c r="Y224" s="669" t="n"/>
      <c r="Z224" s="669" t="n"/>
      <c r="AA224" s="669" t="n"/>
      <c r="AB224" s="669" t="n"/>
    </row>
    <row r="225">
      <c r="I225" s="1109" t="n">
        <v>155</v>
      </c>
      <c r="J225" s="1112">
        <f>'Offering Speed'!$C$69*(I224+1) + 'Offering Speed'!$C$70*MAX(I225-'Offering Speed'!$C$69, 0)</f>
        <v/>
      </c>
      <c r="K225" s="1112">
        <f>SUM(J71:INDEX($J:$J,70+I225))</f>
        <v/>
      </c>
      <c r="L225" s="1109" t="n">
        <v>155</v>
      </c>
      <c r="M225" s="669" t="n"/>
      <c r="N225" s="669" t="n"/>
      <c r="O225" s="669" t="n"/>
      <c r="P225" s="669" t="n"/>
      <c r="Q225" s="669" t="n"/>
      <c r="R225" s="669" t="n"/>
      <c r="S225" s="669" t="n"/>
      <c r="T225" s="669" t="n"/>
      <c r="U225" s="669" t="n"/>
      <c r="V225" s="669" t="n"/>
      <c r="W225" s="669" t="n"/>
      <c r="X225" s="669" t="n"/>
      <c r="Y225" s="669" t="n"/>
      <c r="Z225" s="669" t="n"/>
      <c r="AA225" s="669" t="n"/>
      <c r="AB225" s="669" t="n"/>
    </row>
    <row r="226">
      <c r="I226" s="1109" t="n">
        <v>156</v>
      </c>
      <c r="J226" s="1112">
        <f>'Offering Speed'!$C$69*(I225+1) + 'Offering Speed'!$C$70*MAX(I226-'Offering Speed'!$C$69, 0)</f>
        <v/>
      </c>
      <c r="K226" s="1112">
        <f>SUM(J71:INDEX($J:$J,70+I226))</f>
        <v/>
      </c>
      <c r="L226" s="1109" t="n">
        <v>156</v>
      </c>
      <c r="M226" s="669" t="n"/>
      <c r="N226" s="669" t="n"/>
      <c r="O226" s="669" t="n"/>
      <c r="P226" s="669" t="n"/>
      <c r="Q226" s="669" t="n"/>
      <c r="R226" s="669" t="n"/>
      <c r="S226" s="669" t="n"/>
      <c r="T226" s="669" t="n"/>
      <c r="U226" s="669" t="n"/>
      <c r="V226" s="669" t="n"/>
      <c r="W226" s="669" t="n"/>
      <c r="X226" s="669" t="n"/>
      <c r="Y226" s="669" t="n"/>
      <c r="Z226" s="669" t="n"/>
      <c r="AA226" s="669" t="n"/>
      <c r="AB226" s="669" t="n"/>
    </row>
    <row r="227">
      <c r="I227" s="1109" t="n">
        <v>157</v>
      </c>
      <c r="J227" s="1112">
        <f>'Offering Speed'!$C$69*(I226+1) + 'Offering Speed'!$C$70*MAX(I227-'Offering Speed'!$C$69, 0)</f>
        <v/>
      </c>
      <c r="K227" s="1112">
        <f>SUM(J71:INDEX($J:$J,70+I227))</f>
        <v/>
      </c>
      <c r="L227" s="1109" t="n">
        <v>157</v>
      </c>
      <c r="M227" s="669" t="n"/>
      <c r="N227" s="669" t="n"/>
      <c r="O227" s="669" t="n"/>
      <c r="P227" s="669" t="n"/>
      <c r="Q227" s="669" t="n"/>
      <c r="R227" s="669" t="n"/>
      <c r="S227" s="669" t="n"/>
      <c r="T227" s="669" t="n"/>
      <c r="U227" s="669" t="n"/>
      <c r="V227" s="669" t="n"/>
      <c r="W227" s="669" t="n"/>
      <c r="X227" s="669" t="n"/>
      <c r="Y227" s="669" t="n"/>
      <c r="Z227" s="669" t="n"/>
      <c r="AA227" s="669" t="n"/>
      <c r="AB227" s="669" t="n"/>
    </row>
    <row r="228">
      <c r="I228" s="1109" t="n">
        <v>158</v>
      </c>
      <c r="J228" s="1112">
        <f>'Offering Speed'!$C$69*(I227+1) + 'Offering Speed'!$C$70*MAX(I228-'Offering Speed'!$C$69, 0)</f>
        <v/>
      </c>
      <c r="K228" s="1112">
        <f>SUM(J71:INDEX($J:$J,70+I228))</f>
        <v/>
      </c>
      <c r="L228" s="1109" t="n">
        <v>158</v>
      </c>
      <c r="M228" s="669" t="n"/>
      <c r="N228" s="669" t="n"/>
      <c r="O228" s="669" t="n"/>
      <c r="P228" s="669" t="n"/>
      <c r="Q228" s="669" t="n"/>
      <c r="R228" s="669" t="n"/>
      <c r="S228" s="669" t="n"/>
      <c r="T228" s="669" t="n"/>
      <c r="U228" s="669" t="n"/>
      <c r="V228" s="669" t="n"/>
      <c r="W228" s="669" t="n"/>
      <c r="X228" s="669" t="n"/>
      <c r="Y228" s="669" t="n"/>
      <c r="Z228" s="669" t="n"/>
      <c r="AA228" s="669" t="n"/>
      <c r="AB228" s="669" t="n"/>
    </row>
    <row r="229">
      <c r="I229" s="1109" t="n">
        <v>159</v>
      </c>
      <c r="J229" s="1112">
        <f>'Offering Speed'!$C$69*(I228+1) + 'Offering Speed'!$C$70*MAX(I229-'Offering Speed'!$C$69, 0)</f>
        <v/>
      </c>
      <c r="K229" s="1112">
        <f>SUM(J71:INDEX($J:$J,70+I229))</f>
        <v/>
      </c>
      <c r="L229" s="1109" t="n">
        <v>159</v>
      </c>
      <c r="M229" s="669" t="n"/>
      <c r="N229" s="669" t="n"/>
      <c r="O229" s="669" t="n"/>
      <c r="P229" s="669" t="n"/>
      <c r="Q229" s="669" t="n"/>
      <c r="R229" s="669" t="n"/>
      <c r="S229" s="669" t="n"/>
      <c r="T229" s="669" t="n"/>
      <c r="U229" s="669" t="n"/>
      <c r="V229" s="669" t="n"/>
      <c r="W229" s="669" t="n"/>
      <c r="X229" s="669" t="n"/>
      <c r="Y229" s="669" t="n"/>
      <c r="Z229" s="669" t="n"/>
      <c r="AA229" s="669" t="n"/>
      <c r="AB229" s="669" t="n"/>
    </row>
    <row r="230">
      <c r="I230" s="1109" t="n">
        <v>160</v>
      </c>
      <c r="J230" s="1112">
        <f>'Offering Speed'!$C$69*(I229+1) + 'Offering Speed'!$C$70*MAX(I230-'Offering Speed'!$C$69, 0)</f>
        <v/>
      </c>
      <c r="K230" s="1112">
        <f>SUM(J71:INDEX($J:$J,70+I230))</f>
        <v/>
      </c>
      <c r="L230" s="1109" t="n">
        <v>160</v>
      </c>
      <c r="M230" s="669" t="n"/>
      <c r="N230" s="669" t="n"/>
      <c r="O230" s="669" t="n"/>
      <c r="P230" s="669" t="n"/>
      <c r="Q230" s="669" t="n"/>
      <c r="R230" s="669" t="n"/>
      <c r="S230" s="669" t="n"/>
      <c r="T230" s="669" t="n"/>
      <c r="U230" s="669" t="n"/>
      <c r="V230" s="669" t="n"/>
      <c r="W230" s="669" t="n"/>
      <c r="X230" s="669" t="n"/>
      <c r="Y230" s="669" t="n"/>
      <c r="Z230" s="669" t="n"/>
      <c r="AA230" s="669" t="n"/>
      <c r="AB230" s="669" t="n"/>
    </row>
    <row r="231">
      <c r="I231" s="1109" t="n">
        <v>161</v>
      </c>
      <c r="J231" s="1112">
        <f>'Offering Speed'!$C$69*(I230+1) + 'Offering Speed'!$C$70*MAX(I231-'Offering Speed'!$C$69, 0)</f>
        <v/>
      </c>
      <c r="K231" s="1112">
        <f>SUM(J71:INDEX($J:$J,70+I231))</f>
        <v/>
      </c>
      <c r="L231" s="1109" t="n">
        <v>161</v>
      </c>
      <c r="M231" s="669" t="n"/>
      <c r="N231" s="669" t="n"/>
      <c r="O231" s="669" t="n"/>
      <c r="P231" s="669" t="n"/>
      <c r="Q231" s="669" t="n"/>
      <c r="R231" s="669" t="n"/>
      <c r="S231" s="669" t="n"/>
      <c r="T231" s="669" t="n"/>
      <c r="U231" s="669" t="n"/>
      <c r="V231" s="669" t="n"/>
      <c r="W231" s="669" t="n"/>
      <c r="X231" s="669" t="n"/>
      <c r="Y231" s="669" t="n"/>
      <c r="Z231" s="669" t="n"/>
      <c r="AA231" s="669" t="n"/>
      <c r="AB231" s="669" t="n"/>
    </row>
    <row r="232">
      <c r="I232" s="1109" t="n">
        <v>162</v>
      </c>
      <c r="J232" s="1112">
        <f>'Offering Speed'!$C$69*(I231+1) + 'Offering Speed'!$C$70*MAX(I232-'Offering Speed'!$C$69, 0)</f>
        <v/>
      </c>
      <c r="K232" s="1112">
        <f>SUM(J71:INDEX($J:$J,70+I232))</f>
        <v/>
      </c>
      <c r="L232" s="1109" t="n">
        <v>162</v>
      </c>
      <c r="M232" s="669" t="n"/>
      <c r="N232" s="669" t="n"/>
      <c r="O232" s="669" t="n"/>
      <c r="P232" s="669" t="n"/>
      <c r="Q232" s="669" t="n"/>
      <c r="R232" s="669" t="n"/>
      <c r="S232" s="669" t="n"/>
      <c r="T232" s="669" t="n"/>
      <c r="U232" s="669" t="n"/>
      <c r="V232" s="669" t="n"/>
      <c r="W232" s="669" t="n"/>
      <c r="X232" s="669" t="n"/>
      <c r="Y232" s="669" t="n"/>
      <c r="Z232" s="669" t="n"/>
      <c r="AA232" s="669" t="n"/>
      <c r="AB232" s="669" t="n"/>
    </row>
    <row r="233">
      <c r="I233" s="1109" t="n">
        <v>163</v>
      </c>
      <c r="J233" s="1112">
        <f>'Offering Speed'!$C$69*(I232+1) + 'Offering Speed'!$C$70*MAX(I233-'Offering Speed'!$C$69, 0)</f>
        <v/>
      </c>
      <c r="K233" s="1112">
        <f>SUM(J71:INDEX($J:$J,70+I233))</f>
        <v/>
      </c>
      <c r="L233" s="1109" t="n">
        <v>163</v>
      </c>
      <c r="M233" s="669" t="n"/>
      <c r="N233" s="669" t="n"/>
      <c r="O233" s="669" t="n"/>
      <c r="P233" s="669" t="n"/>
      <c r="Q233" s="669" t="n"/>
      <c r="R233" s="669" t="n"/>
      <c r="S233" s="669" t="n"/>
      <c r="T233" s="669" t="n"/>
      <c r="U233" s="669" t="n"/>
      <c r="V233" s="669" t="n"/>
      <c r="W233" s="669" t="n"/>
      <c r="X233" s="669" t="n"/>
      <c r="Y233" s="669" t="n"/>
      <c r="Z233" s="669" t="n"/>
      <c r="AA233" s="669" t="n"/>
      <c r="AB233" s="669" t="n"/>
    </row>
    <row r="234">
      <c r="I234" s="1109" t="n">
        <v>164</v>
      </c>
      <c r="J234" s="1112">
        <f>'Offering Speed'!$C$69*(I233+1) + 'Offering Speed'!$C$70*MAX(I234-'Offering Speed'!$C$69, 0)</f>
        <v/>
      </c>
      <c r="K234" s="1112">
        <f>SUM(J71:INDEX($J:$J,70+I234))</f>
        <v/>
      </c>
      <c r="L234" s="1109" t="n">
        <v>164</v>
      </c>
      <c r="M234" s="669" t="n"/>
      <c r="N234" s="669" t="n"/>
      <c r="O234" s="669" t="n"/>
      <c r="P234" s="669" t="n"/>
      <c r="Q234" s="669" t="n"/>
      <c r="R234" s="669" t="n"/>
      <c r="S234" s="669" t="n"/>
      <c r="T234" s="669" t="n"/>
      <c r="U234" s="669" t="n"/>
      <c r="V234" s="669" t="n"/>
      <c r="W234" s="669" t="n"/>
      <c r="X234" s="669" t="n"/>
      <c r="Y234" s="669" t="n"/>
      <c r="Z234" s="669" t="n"/>
      <c r="AA234" s="669" t="n"/>
      <c r="AB234" s="669" t="n"/>
    </row>
    <row r="235">
      <c r="I235" s="1109" t="n">
        <v>165</v>
      </c>
      <c r="J235" s="1112">
        <f>'Offering Speed'!$C$69*(I234+1) + 'Offering Speed'!$C$70*MAX(I235-'Offering Speed'!$C$69, 0)</f>
        <v/>
      </c>
      <c r="K235" s="1112">
        <f>SUM(J71:INDEX($J:$J,70+I235))</f>
        <v/>
      </c>
      <c r="L235" s="1109" t="n">
        <v>165</v>
      </c>
      <c r="M235" s="669" t="n"/>
      <c r="N235" s="669" t="n"/>
      <c r="O235" s="669" t="n"/>
      <c r="P235" s="669" t="n"/>
      <c r="Q235" s="669" t="n"/>
      <c r="R235" s="669" t="n"/>
      <c r="S235" s="669" t="n"/>
      <c r="T235" s="669" t="n"/>
      <c r="U235" s="669" t="n"/>
      <c r="V235" s="669" t="n"/>
      <c r="W235" s="669" t="n"/>
      <c r="X235" s="669" t="n"/>
      <c r="Y235" s="669" t="n"/>
      <c r="Z235" s="669" t="n"/>
      <c r="AA235" s="669" t="n"/>
      <c r="AB235" s="669" t="n"/>
    </row>
    <row r="236">
      <c r="I236" s="1109" t="n">
        <v>166</v>
      </c>
      <c r="J236" s="1112">
        <f>'Offering Speed'!$C$69*(I235+1) + 'Offering Speed'!$C$70*MAX(I236-'Offering Speed'!$C$69, 0)</f>
        <v/>
      </c>
      <c r="K236" s="1112">
        <f>SUM(J71:INDEX($J:$J,70+I236))</f>
        <v/>
      </c>
      <c r="L236" s="1109" t="n">
        <v>166</v>
      </c>
      <c r="M236" s="669" t="n"/>
      <c r="N236" s="669" t="n"/>
      <c r="O236" s="669" t="n"/>
      <c r="P236" s="669" t="n"/>
      <c r="Q236" s="669" t="n"/>
      <c r="R236" s="669" t="n"/>
      <c r="S236" s="669" t="n"/>
      <c r="T236" s="669" t="n"/>
      <c r="U236" s="669" t="n"/>
      <c r="V236" s="669" t="n"/>
      <c r="W236" s="669" t="n"/>
      <c r="X236" s="669" t="n"/>
      <c r="Y236" s="669" t="n"/>
      <c r="Z236" s="669" t="n"/>
      <c r="AA236" s="669" t="n"/>
      <c r="AB236" s="669" t="n"/>
    </row>
    <row r="237">
      <c r="I237" s="1109" t="n">
        <v>167</v>
      </c>
      <c r="J237" s="1112">
        <f>'Offering Speed'!$C$69*(I236+1) + 'Offering Speed'!$C$70*MAX(I237-'Offering Speed'!$C$69, 0)</f>
        <v/>
      </c>
      <c r="K237" s="1112">
        <f>SUM(J71:INDEX($J:$J,70+I237))</f>
        <v/>
      </c>
      <c r="L237" s="1109" t="n">
        <v>167</v>
      </c>
      <c r="M237" s="669" t="n"/>
      <c r="N237" s="669" t="n"/>
      <c r="O237" s="669" t="n"/>
      <c r="P237" s="669" t="n"/>
      <c r="Q237" s="669" t="n"/>
      <c r="R237" s="669" t="n"/>
      <c r="S237" s="669" t="n"/>
      <c r="T237" s="669" t="n"/>
      <c r="U237" s="669" t="n"/>
      <c r="V237" s="669" t="n"/>
      <c r="W237" s="669" t="n"/>
      <c r="X237" s="669" t="n"/>
      <c r="Y237" s="669" t="n"/>
      <c r="Z237" s="669" t="n"/>
      <c r="AA237" s="669" t="n"/>
      <c r="AB237" s="669" t="n"/>
    </row>
    <row r="238">
      <c r="I238" s="1109" t="n">
        <v>168</v>
      </c>
      <c r="J238" s="1112">
        <f>'Offering Speed'!$C$69*(I237+1) + 'Offering Speed'!$C$70*MAX(I238-'Offering Speed'!$C$69, 0)</f>
        <v/>
      </c>
      <c r="K238" s="1112">
        <f>SUM(J71:INDEX($J:$J,70+I238))</f>
        <v/>
      </c>
      <c r="L238" s="1109" t="n">
        <v>168</v>
      </c>
      <c r="M238" s="669" t="n"/>
      <c r="N238" s="669" t="n"/>
      <c r="O238" s="669" t="n"/>
      <c r="P238" s="669" t="n"/>
      <c r="Q238" s="669" t="n"/>
      <c r="R238" s="669" t="n"/>
      <c r="S238" s="669" t="n"/>
      <c r="T238" s="669" t="n"/>
      <c r="U238" s="669" t="n"/>
      <c r="V238" s="669" t="n"/>
      <c r="W238" s="669" t="n"/>
      <c r="X238" s="669" t="n"/>
      <c r="Y238" s="669" t="n"/>
      <c r="Z238" s="669" t="n"/>
      <c r="AA238" s="669" t="n"/>
      <c r="AB238" s="669" t="n"/>
    </row>
    <row r="239">
      <c r="I239" s="1109" t="n">
        <v>169</v>
      </c>
      <c r="J239" s="1112">
        <f>'Offering Speed'!$C$69*(I238+1) + 'Offering Speed'!$C$70*MAX(I239-'Offering Speed'!$C$69, 0)</f>
        <v/>
      </c>
      <c r="K239" s="1112">
        <f>SUM(J71:INDEX($J:$J,70+I239))</f>
        <v/>
      </c>
      <c r="L239" s="1109" t="n">
        <v>169</v>
      </c>
      <c r="M239" s="669" t="n"/>
      <c r="N239" s="669" t="n"/>
      <c r="O239" s="669" t="n"/>
      <c r="P239" s="669" t="n"/>
      <c r="Q239" s="669" t="n"/>
      <c r="R239" s="669" t="n"/>
      <c r="S239" s="669" t="n"/>
      <c r="T239" s="669" t="n"/>
      <c r="U239" s="669" t="n"/>
      <c r="V239" s="669" t="n"/>
      <c r="W239" s="669" t="n"/>
      <c r="X239" s="669" t="n"/>
      <c r="Y239" s="669" t="n"/>
      <c r="Z239" s="669" t="n"/>
      <c r="AA239" s="669" t="n"/>
      <c r="AB239" s="669" t="n"/>
    </row>
    <row r="240">
      <c r="I240" s="1109" t="n">
        <v>170</v>
      </c>
      <c r="J240" s="1112">
        <f>'Offering Speed'!$C$69*(I239+1) + 'Offering Speed'!$C$70*MAX(I240-'Offering Speed'!$C$69, 0)</f>
        <v/>
      </c>
      <c r="K240" s="1112">
        <f>SUM(J71:INDEX($J:$J,70+I240))</f>
        <v/>
      </c>
      <c r="L240" s="1109" t="n">
        <v>170</v>
      </c>
      <c r="M240" s="669" t="n"/>
      <c r="N240" s="669" t="n"/>
      <c r="O240" s="669" t="n"/>
      <c r="P240" s="669" t="n"/>
      <c r="Q240" s="669" t="n"/>
      <c r="R240" s="669" t="n"/>
      <c r="S240" s="669" t="n"/>
      <c r="T240" s="669" t="n"/>
      <c r="U240" s="669" t="n"/>
      <c r="V240" s="669" t="n"/>
      <c r="W240" s="669" t="n"/>
      <c r="X240" s="669" t="n"/>
      <c r="Y240" s="669" t="n"/>
      <c r="Z240" s="669" t="n"/>
      <c r="AA240" s="669" t="n"/>
      <c r="AB240" s="669" t="n"/>
    </row>
    <row r="241">
      <c r="I241" s="1109" t="n">
        <v>171</v>
      </c>
      <c r="J241" s="1112">
        <f>'Offering Speed'!$C$69*(I240+1) + 'Offering Speed'!$C$70*MAX(I241-'Offering Speed'!$C$69, 0)</f>
        <v/>
      </c>
      <c r="K241" s="1112">
        <f>SUM(J71:INDEX($J:$J,70+I241))</f>
        <v/>
      </c>
      <c r="L241" s="1109" t="n">
        <v>171</v>
      </c>
      <c r="M241" s="669" t="n"/>
      <c r="N241" s="669" t="n"/>
      <c r="O241" s="669" t="n"/>
      <c r="P241" s="669" t="n"/>
      <c r="Q241" s="669" t="n"/>
      <c r="R241" s="669" t="n"/>
      <c r="S241" s="669" t="n"/>
      <c r="T241" s="669" t="n"/>
      <c r="U241" s="669" t="n"/>
      <c r="V241" s="669" t="n"/>
      <c r="W241" s="669" t="n"/>
      <c r="X241" s="669" t="n"/>
      <c r="Y241" s="669" t="n"/>
      <c r="Z241" s="669" t="n"/>
      <c r="AA241" s="669" t="n"/>
      <c r="AB241" s="669" t="n"/>
    </row>
    <row r="242">
      <c r="I242" s="1109" t="n">
        <v>172</v>
      </c>
      <c r="J242" s="1112">
        <f>'Offering Speed'!$C$69*(I241+1) + 'Offering Speed'!$C$70*MAX(I242-'Offering Speed'!$C$69, 0)</f>
        <v/>
      </c>
      <c r="K242" s="1112">
        <f>SUM(J71:INDEX($J:$J,70+I242))</f>
        <v/>
      </c>
      <c r="L242" s="1109" t="n">
        <v>172</v>
      </c>
      <c r="M242" s="669" t="n"/>
      <c r="N242" s="669" t="n"/>
      <c r="O242" s="669" t="n"/>
      <c r="P242" s="669" t="n"/>
      <c r="Q242" s="669" t="n"/>
      <c r="R242" s="669" t="n"/>
      <c r="S242" s="669" t="n"/>
      <c r="T242" s="669" t="n"/>
      <c r="U242" s="669" t="n"/>
      <c r="V242" s="669" t="n"/>
      <c r="W242" s="669" t="n"/>
      <c r="X242" s="669" t="n"/>
      <c r="Y242" s="669" t="n"/>
      <c r="Z242" s="669" t="n"/>
      <c r="AA242" s="669" t="n"/>
      <c r="AB242" s="669" t="n"/>
    </row>
    <row r="243">
      <c r="I243" s="1109" t="n">
        <v>173</v>
      </c>
      <c r="J243" s="1112">
        <f>'Offering Speed'!$C$69*(I242+1) + 'Offering Speed'!$C$70*MAX(I243-'Offering Speed'!$C$69, 0)</f>
        <v/>
      </c>
      <c r="K243" s="1112">
        <f>SUM(J71:INDEX($J:$J,70+I243))</f>
        <v/>
      </c>
      <c r="L243" s="1109" t="n">
        <v>173</v>
      </c>
      <c r="M243" s="669" t="n"/>
      <c r="N243" s="669" t="n"/>
      <c r="O243" s="669" t="n"/>
      <c r="P243" s="669" t="n"/>
      <c r="Q243" s="669" t="n"/>
      <c r="R243" s="669" t="n"/>
      <c r="S243" s="669" t="n"/>
      <c r="T243" s="669" t="n"/>
      <c r="U243" s="669" t="n"/>
      <c r="V243" s="669" t="n"/>
      <c r="W243" s="669" t="n"/>
      <c r="X243" s="669" t="n"/>
      <c r="Y243" s="669" t="n"/>
      <c r="Z243" s="669" t="n"/>
      <c r="AA243" s="669" t="n"/>
      <c r="AB243" s="669" t="n"/>
    </row>
    <row r="244">
      <c r="I244" s="1109" t="n">
        <v>174</v>
      </c>
      <c r="J244" s="1112">
        <f>'Offering Speed'!$C$69*(I243+1) + 'Offering Speed'!$C$70*MAX(I244-'Offering Speed'!$C$69, 0)</f>
        <v/>
      </c>
      <c r="K244" s="1112">
        <f>SUM(J71:INDEX($J:$J,70+I244))</f>
        <v/>
      </c>
      <c r="L244" s="1109" t="n">
        <v>174</v>
      </c>
      <c r="M244" s="669" t="n"/>
      <c r="N244" s="669" t="n"/>
      <c r="O244" s="669" t="n"/>
      <c r="P244" s="669" t="n"/>
      <c r="Q244" s="669" t="n"/>
      <c r="R244" s="669" t="n"/>
      <c r="S244" s="669" t="n"/>
      <c r="T244" s="669" t="n"/>
      <c r="U244" s="669" t="n"/>
      <c r="V244" s="669" t="n"/>
      <c r="W244" s="669" t="n"/>
      <c r="X244" s="669" t="n"/>
      <c r="Y244" s="669" t="n"/>
      <c r="Z244" s="669" t="n"/>
      <c r="AA244" s="669" t="n"/>
      <c r="AB244" s="669" t="n"/>
    </row>
    <row r="245">
      <c r="I245" s="1109" t="n">
        <v>175</v>
      </c>
      <c r="J245" s="1112">
        <f>'Offering Speed'!$C$69*(I244+1) + 'Offering Speed'!$C$70*MAX(I245-'Offering Speed'!$C$69, 0)</f>
        <v/>
      </c>
      <c r="K245" s="1112">
        <f>SUM(J71:INDEX($J:$J,70+I245))</f>
        <v/>
      </c>
      <c r="L245" s="1109" t="n">
        <v>175</v>
      </c>
      <c r="M245" s="669" t="n"/>
      <c r="N245" s="669" t="n"/>
      <c r="O245" s="669" t="n"/>
      <c r="P245" s="669" t="n"/>
      <c r="Q245" s="669" t="n"/>
      <c r="R245" s="669" t="n"/>
      <c r="S245" s="669" t="n"/>
      <c r="T245" s="669" t="n"/>
      <c r="U245" s="669" t="n"/>
      <c r="V245" s="669" t="n"/>
      <c r="W245" s="669" t="n"/>
      <c r="X245" s="669" t="n"/>
      <c r="Y245" s="669" t="n"/>
      <c r="Z245" s="669" t="n"/>
      <c r="AA245" s="669" t="n"/>
      <c r="AB245" s="669" t="n"/>
    </row>
    <row r="246">
      <c r="I246" s="1109" t="n">
        <v>176</v>
      </c>
      <c r="J246" s="1112">
        <f>'Offering Speed'!$C$69*(I245+1) + 'Offering Speed'!$C$70*MAX(I246-'Offering Speed'!$C$69, 0)</f>
        <v/>
      </c>
      <c r="K246" s="1112">
        <f>SUM(J71:INDEX($J:$J,70+I246))</f>
        <v/>
      </c>
      <c r="L246" s="1109" t="n">
        <v>176</v>
      </c>
      <c r="M246" s="669" t="n"/>
      <c r="N246" s="669" t="n"/>
      <c r="O246" s="669" t="n"/>
      <c r="P246" s="669" t="n"/>
      <c r="Q246" s="669" t="n"/>
      <c r="R246" s="669" t="n"/>
      <c r="S246" s="669" t="n"/>
      <c r="T246" s="669" t="n"/>
      <c r="U246" s="669" t="n"/>
      <c r="V246" s="669" t="n"/>
      <c r="W246" s="669" t="n"/>
      <c r="X246" s="669" t="n"/>
      <c r="Y246" s="669" t="n"/>
      <c r="Z246" s="669" t="n"/>
      <c r="AA246" s="669" t="n"/>
      <c r="AB246" s="669" t="n"/>
    </row>
    <row r="247">
      <c r="I247" s="1109" t="n">
        <v>177</v>
      </c>
      <c r="J247" s="1112">
        <f>'Offering Speed'!$C$69*(I246+1) + 'Offering Speed'!$C$70*MAX(I247-'Offering Speed'!$C$69, 0)</f>
        <v/>
      </c>
      <c r="K247" s="1112">
        <f>SUM(J71:INDEX($J:$J,70+I247))</f>
        <v/>
      </c>
      <c r="L247" s="1109" t="n">
        <v>177</v>
      </c>
      <c r="M247" s="669" t="n"/>
      <c r="N247" s="669" t="n"/>
      <c r="O247" s="669" t="n"/>
      <c r="P247" s="669" t="n"/>
      <c r="Q247" s="669" t="n"/>
      <c r="R247" s="669" t="n"/>
      <c r="S247" s="669" t="n"/>
      <c r="T247" s="669" t="n"/>
      <c r="U247" s="669" t="n"/>
      <c r="V247" s="669" t="n"/>
      <c r="W247" s="669" t="n"/>
      <c r="X247" s="669" t="n"/>
      <c r="Y247" s="669" t="n"/>
      <c r="Z247" s="669" t="n"/>
      <c r="AA247" s="669" t="n"/>
      <c r="AB247" s="669" t="n"/>
    </row>
    <row r="248">
      <c r="I248" s="1109" t="n">
        <v>178</v>
      </c>
      <c r="J248" s="1112">
        <f>'Offering Speed'!$C$69*(I247+1) + 'Offering Speed'!$C$70*MAX(I248-'Offering Speed'!$C$69, 0)</f>
        <v/>
      </c>
      <c r="K248" s="1112">
        <f>SUM(J71:INDEX($J:$J,70+I248))</f>
        <v/>
      </c>
      <c r="L248" s="1109" t="n">
        <v>178</v>
      </c>
      <c r="M248" s="669" t="n"/>
      <c r="N248" s="669" t="n"/>
      <c r="O248" s="669" t="n"/>
      <c r="P248" s="669" t="n"/>
      <c r="Q248" s="669" t="n"/>
      <c r="R248" s="669" t="n"/>
      <c r="S248" s="669" t="n"/>
      <c r="T248" s="669" t="n"/>
      <c r="U248" s="669" t="n"/>
      <c r="V248" s="669" t="n"/>
      <c r="W248" s="669" t="n"/>
      <c r="X248" s="669" t="n"/>
      <c r="Y248" s="669" t="n"/>
      <c r="Z248" s="669" t="n"/>
      <c r="AA248" s="669" t="n"/>
      <c r="AB248" s="669" t="n"/>
    </row>
    <row r="249">
      <c r="I249" s="1109" t="n">
        <v>179</v>
      </c>
      <c r="J249" s="1112">
        <f>'Offering Speed'!$C$69*(I248+1) + 'Offering Speed'!$C$70*MAX(I249-'Offering Speed'!$C$69, 0)</f>
        <v/>
      </c>
      <c r="K249" s="1112">
        <f>SUM(J71:INDEX($J:$J,70+I249))</f>
        <v/>
      </c>
      <c r="L249" s="1109" t="n">
        <v>179</v>
      </c>
      <c r="M249" s="669" t="n"/>
      <c r="N249" s="669" t="n"/>
      <c r="O249" s="669" t="n"/>
      <c r="P249" s="669" t="n"/>
      <c r="Q249" s="669" t="n"/>
      <c r="R249" s="669" t="n"/>
      <c r="S249" s="669" t="n"/>
      <c r="T249" s="669" t="n"/>
      <c r="U249" s="669" t="n"/>
      <c r="V249" s="669" t="n"/>
      <c r="W249" s="669" t="n"/>
      <c r="X249" s="669" t="n"/>
      <c r="Y249" s="669" t="n"/>
      <c r="Z249" s="669" t="n"/>
      <c r="AA249" s="669" t="n"/>
      <c r="AB249" s="669" t="n"/>
    </row>
    <row r="250">
      <c r="I250" s="1109" t="n">
        <v>180</v>
      </c>
      <c r="J250" s="1112">
        <f>'Offering Speed'!$C$69*(I249+1) + 'Offering Speed'!$C$70*MAX(I250-'Offering Speed'!$C$69, 0)</f>
        <v/>
      </c>
      <c r="K250" s="1112">
        <f>SUM(J71:INDEX($J:$J,70+I250))</f>
        <v/>
      </c>
      <c r="L250" s="1109" t="n">
        <v>180</v>
      </c>
      <c r="M250" s="669" t="n"/>
      <c r="N250" s="669" t="n"/>
      <c r="O250" s="669" t="n"/>
      <c r="P250" s="669" t="n"/>
      <c r="Q250" s="669" t="n"/>
      <c r="R250" s="669" t="n"/>
      <c r="S250" s="669" t="n"/>
      <c r="T250" s="669" t="n"/>
      <c r="U250" s="669" t="n"/>
      <c r="V250" s="669" t="n"/>
      <c r="W250" s="669" t="n"/>
      <c r="X250" s="669" t="n"/>
      <c r="Y250" s="669" t="n"/>
      <c r="Z250" s="669" t="n"/>
      <c r="AA250" s="669" t="n"/>
      <c r="AB250" s="669" t="n"/>
    </row>
    <row r="251">
      <c r="I251" s="1109" t="n">
        <v>181</v>
      </c>
      <c r="J251" s="1112">
        <f>'Offering Speed'!$C$69*(I250+1) + 'Offering Speed'!$C$70*MAX(I251-'Offering Speed'!$C$69, 0)</f>
        <v/>
      </c>
      <c r="K251" s="1112">
        <f>SUM(J71:INDEX($J:$J,70+I251))</f>
        <v/>
      </c>
      <c r="L251" s="1109" t="n">
        <v>181</v>
      </c>
      <c r="M251" s="669" t="n"/>
      <c r="N251" s="669" t="n"/>
      <c r="O251" s="669" t="n"/>
      <c r="P251" s="669" t="n"/>
      <c r="Q251" s="669" t="n"/>
      <c r="R251" s="669" t="n"/>
      <c r="S251" s="669" t="n"/>
      <c r="T251" s="669" t="n"/>
      <c r="U251" s="669" t="n"/>
      <c r="V251" s="669" t="n"/>
      <c r="W251" s="669" t="n"/>
      <c r="X251" s="669" t="n"/>
      <c r="Y251" s="669" t="n"/>
      <c r="Z251" s="669" t="n"/>
      <c r="AA251" s="669" t="n"/>
      <c r="AB251" s="669" t="n"/>
    </row>
    <row r="252">
      <c r="I252" s="1109" t="n">
        <v>182</v>
      </c>
      <c r="J252" s="1112">
        <f>'Offering Speed'!$C$69*(I251+1) + 'Offering Speed'!$C$70*MAX(I252-'Offering Speed'!$C$69, 0)</f>
        <v/>
      </c>
      <c r="K252" s="1112">
        <f>SUM(J71:INDEX($J:$J,70+I252))</f>
        <v/>
      </c>
      <c r="L252" s="1109" t="n">
        <v>182</v>
      </c>
      <c r="M252" s="669" t="n"/>
      <c r="N252" s="669" t="n"/>
      <c r="O252" s="669" t="n"/>
      <c r="P252" s="669" t="n"/>
      <c r="Q252" s="669" t="n"/>
      <c r="R252" s="669" t="n"/>
      <c r="S252" s="669" t="n"/>
      <c r="T252" s="669" t="n"/>
      <c r="U252" s="669" t="n"/>
      <c r="V252" s="669" t="n"/>
      <c r="W252" s="669" t="n"/>
      <c r="X252" s="669" t="n"/>
      <c r="Y252" s="669" t="n"/>
      <c r="Z252" s="669" t="n"/>
      <c r="AA252" s="669" t="n"/>
      <c r="AB252" s="669" t="n"/>
    </row>
    <row r="253">
      <c r="I253" s="1109" t="n">
        <v>183</v>
      </c>
      <c r="J253" s="1112">
        <f>'Offering Speed'!$C$69*(I252+1) + 'Offering Speed'!$C$70*MAX(I253-'Offering Speed'!$C$69, 0)</f>
        <v/>
      </c>
      <c r="K253" s="1112">
        <f>SUM(J71:INDEX($J:$J,70+I253))</f>
        <v/>
      </c>
      <c r="L253" s="1109" t="n">
        <v>183</v>
      </c>
      <c r="M253" s="669" t="n"/>
      <c r="N253" s="669" t="n"/>
      <c r="O253" s="669" t="n"/>
      <c r="P253" s="669" t="n"/>
      <c r="Q253" s="669" t="n"/>
      <c r="R253" s="669" t="n"/>
      <c r="S253" s="669" t="n"/>
      <c r="T253" s="669" t="n"/>
      <c r="U253" s="669" t="n"/>
      <c r="V253" s="669" t="n"/>
      <c r="W253" s="669" t="n"/>
      <c r="X253" s="669" t="n"/>
      <c r="Y253" s="669" t="n"/>
      <c r="Z253" s="669" t="n"/>
      <c r="AA253" s="669" t="n"/>
      <c r="AB253" s="669" t="n"/>
    </row>
    <row r="254">
      <c r="I254" s="1109" t="n">
        <v>184</v>
      </c>
      <c r="J254" s="1112">
        <f>'Offering Speed'!$C$69*(I253+1) + 'Offering Speed'!$C$70*MAX(I254-'Offering Speed'!$C$69, 0)</f>
        <v/>
      </c>
      <c r="K254" s="1112">
        <f>SUM(J71:INDEX($J:$J,70+I254))</f>
        <v/>
      </c>
      <c r="L254" s="1109" t="n">
        <v>184</v>
      </c>
      <c r="M254" s="669" t="n"/>
      <c r="N254" s="669" t="n"/>
      <c r="O254" s="669" t="n"/>
      <c r="P254" s="669" t="n"/>
      <c r="Q254" s="669" t="n"/>
      <c r="R254" s="669" t="n"/>
      <c r="S254" s="669" t="n"/>
      <c r="T254" s="669" t="n"/>
      <c r="U254" s="669" t="n"/>
      <c r="V254" s="669" t="n"/>
      <c r="W254" s="669" t="n"/>
      <c r="X254" s="669" t="n"/>
      <c r="Y254" s="669" t="n"/>
      <c r="Z254" s="669" t="n"/>
      <c r="AA254" s="669" t="n"/>
      <c r="AB254" s="669" t="n"/>
    </row>
    <row r="255">
      <c r="I255" s="1109" t="n">
        <v>185</v>
      </c>
      <c r="J255" s="1112">
        <f>'Offering Speed'!$C$69*(I254+1) + 'Offering Speed'!$C$70*MAX(I255-'Offering Speed'!$C$69, 0)</f>
        <v/>
      </c>
      <c r="K255" s="1112">
        <f>SUM(J71:INDEX($J:$J,70+I255))</f>
        <v/>
      </c>
      <c r="L255" s="1109" t="n">
        <v>185</v>
      </c>
      <c r="M255" s="669" t="n"/>
      <c r="N255" s="669" t="n"/>
      <c r="O255" s="669" t="n"/>
      <c r="P255" s="669" t="n"/>
      <c r="Q255" s="669" t="n"/>
      <c r="R255" s="669" t="n"/>
      <c r="S255" s="669" t="n"/>
      <c r="T255" s="669" t="n"/>
      <c r="U255" s="669" t="n"/>
      <c r="V255" s="669" t="n"/>
      <c r="W255" s="669" t="n"/>
      <c r="X255" s="669" t="n"/>
      <c r="Y255" s="669" t="n"/>
      <c r="Z255" s="669" t="n"/>
      <c r="AA255" s="669" t="n"/>
      <c r="AB255" s="669" t="n"/>
    </row>
    <row r="256">
      <c r="I256" s="1109" t="n">
        <v>186</v>
      </c>
      <c r="J256" s="1112">
        <f>'Offering Speed'!$C$69*(I255+1) + 'Offering Speed'!$C$70*MAX(I256-'Offering Speed'!$C$69, 0)</f>
        <v/>
      </c>
      <c r="K256" s="1112">
        <f>SUM(J71:INDEX($J:$J,70+I256))</f>
        <v/>
      </c>
      <c r="L256" s="1109" t="n">
        <v>186</v>
      </c>
      <c r="M256" s="669" t="n"/>
      <c r="N256" s="669" t="n"/>
      <c r="O256" s="669" t="n"/>
      <c r="P256" s="669" t="n"/>
      <c r="Q256" s="669" t="n"/>
      <c r="R256" s="669" t="n"/>
      <c r="S256" s="669" t="n"/>
      <c r="T256" s="669" t="n"/>
      <c r="U256" s="669" t="n"/>
      <c r="V256" s="669" t="n"/>
      <c r="W256" s="669" t="n"/>
      <c r="X256" s="669" t="n"/>
      <c r="Y256" s="669" t="n"/>
      <c r="Z256" s="669" t="n"/>
      <c r="AA256" s="669" t="n"/>
      <c r="AB256" s="669" t="n"/>
    </row>
    <row r="257">
      <c r="I257" s="1109" t="n">
        <v>187</v>
      </c>
      <c r="J257" s="1112">
        <f>'Offering Speed'!$C$69*(I256+1) + 'Offering Speed'!$C$70*MAX(I257-'Offering Speed'!$C$69, 0)</f>
        <v/>
      </c>
      <c r="K257" s="1112">
        <f>SUM(J71:INDEX($J:$J,70+I257))</f>
        <v/>
      </c>
      <c r="L257" s="1109" t="n">
        <v>187</v>
      </c>
      <c r="M257" s="669" t="n"/>
      <c r="N257" s="669" t="n"/>
      <c r="O257" s="669" t="n"/>
      <c r="P257" s="669" t="n"/>
      <c r="Q257" s="669" t="n"/>
      <c r="R257" s="669" t="n"/>
      <c r="S257" s="669" t="n"/>
      <c r="T257" s="669" t="n"/>
      <c r="U257" s="669" t="n"/>
      <c r="V257" s="669" t="n"/>
      <c r="W257" s="669" t="n"/>
      <c r="X257" s="669" t="n"/>
      <c r="Y257" s="669" t="n"/>
      <c r="Z257" s="669" t="n"/>
      <c r="AA257" s="669" t="n"/>
      <c r="AB257" s="669" t="n"/>
    </row>
    <row r="258">
      <c r="I258" s="1109" t="n">
        <v>188</v>
      </c>
      <c r="J258" s="1112">
        <f>'Offering Speed'!$C$69*(I257+1) + 'Offering Speed'!$C$70*MAX(I258-'Offering Speed'!$C$69, 0)</f>
        <v/>
      </c>
      <c r="K258" s="1112">
        <f>SUM(J71:INDEX($J:$J,70+I258))</f>
        <v/>
      </c>
      <c r="L258" s="1109" t="n">
        <v>188</v>
      </c>
      <c r="M258" s="669" t="n"/>
      <c r="N258" s="669" t="n"/>
      <c r="O258" s="669" t="n"/>
      <c r="P258" s="669" t="n"/>
      <c r="Q258" s="669" t="n"/>
      <c r="R258" s="669" t="n"/>
      <c r="S258" s="669" t="n"/>
      <c r="T258" s="669" t="n"/>
      <c r="U258" s="669" t="n"/>
      <c r="V258" s="669" t="n"/>
      <c r="W258" s="669" t="n"/>
      <c r="X258" s="669" t="n"/>
      <c r="Y258" s="669" t="n"/>
      <c r="Z258" s="669" t="n"/>
      <c r="AA258" s="669" t="n"/>
      <c r="AB258" s="669" t="n"/>
    </row>
    <row r="259">
      <c r="I259" s="1109" t="n">
        <v>189</v>
      </c>
      <c r="J259" s="1112">
        <f>'Offering Speed'!$C$69*(I258+1) + 'Offering Speed'!$C$70*MAX(I259-'Offering Speed'!$C$69, 0)</f>
        <v/>
      </c>
      <c r="K259" s="1112">
        <f>SUM(J71:INDEX($J:$J,70+I259))</f>
        <v/>
      </c>
      <c r="L259" s="1109" t="n">
        <v>189</v>
      </c>
      <c r="M259" s="669" t="n"/>
      <c r="N259" s="669" t="n"/>
      <c r="O259" s="669" t="n"/>
      <c r="P259" s="669" t="n"/>
      <c r="Q259" s="669" t="n"/>
      <c r="R259" s="669" t="n"/>
      <c r="S259" s="669" t="n"/>
      <c r="T259" s="669" t="n"/>
      <c r="U259" s="669" t="n"/>
      <c r="V259" s="669" t="n"/>
      <c r="W259" s="669" t="n"/>
      <c r="X259" s="669" t="n"/>
      <c r="Y259" s="669" t="n"/>
      <c r="Z259" s="669" t="n"/>
      <c r="AA259" s="669" t="n"/>
      <c r="AB259" s="669" t="n"/>
    </row>
    <row r="260">
      <c r="I260" s="1109" t="n">
        <v>190</v>
      </c>
      <c r="J260" s="1112">
        <f>'Offering Speed'!$C$69*(I259+1) + 'Offering Speed'!$C$70*MAX(I260-'Offering Speed'!$C$69, 0)</f>
        <v/>
      </c>
      <c r="K260" s="1112">
        <f>SUM(J71:INDEX($J:$J,70+I260))</f>
        <v/>
      </c>
      <c r="L260" s="1109" t="n">
        <v>190</v>
      </c>
      <c r="M260" s="669" t="n"/>
      <c r="N260" s="669" t="n"/>
      <c r="O260" s="669" t="n"/>
      <c r="P260" s="669" t="n"/>
      <c r="Q260" s="669" t="n"/>
      <c r="R260" s="669" t="n"/>
      <c r="S260" s="669" t="n"/>
      <c r="T260" s="669" t="n"/>
      <c r="U260" s="669" t="n"/>
      <c r="V260" s="669" t="n"/>
      <c r="W260" s="669" t="n"/>
      <c r="X260" s="669" t="n"/>
      <c r="Y260" s="669" t="n"/>
      <c r="Z260" s="669" t="n"/>
      <c r="AA260" s="669" t="n"/>
      <c r="AB260" s="669" t="n"/>
    </row>
    <row r="261">
      <c r="I261" s="1109" t="n">
        <v>191</v>
      </c>
      <c r="J261" s="1112">
        <f>'Offering Speed'!$C$69*(I260+1) + 'Offering Speed'!$C$70*MAX(I261-'Offering Speed'!$C$69, 0)</f>
        <v/>
      </c>
      <c r="K261" s="1112">
        <f>SUM(J71:INDEX($J:$J,70+I261))</f>
        <v/>
      </c>
      <c r="L261" s="1109" t="n">
        <v>191</v>
      </c>
      <c r="M261" s="669" t="n"/>
      <c r="N261" s="669" t="n"/>
      <c r="O261" s="669" t="n"/>
      <c r="P261" s="669" t="n"/>
      <c r="Q261" s="669" t="n"/>
      <c r="R261" s="669" t="n"/>
      <c r="S261" s="669" t="n"/>
      <c r="T261" s="669" t="n"/>
      <c r="U261" s="669" t="n"/>
      <c r="V261" s="669" t="n"/>
      <c r="W261" s="669" t="n"/>
      <c r="X261" s="669" t="n"/>
      <c r="Y261" s="669" t="n"/>
      <c r="Z261" s="669" t="n"/>
      <c r="AA261" s="669" t="n"/>
      <c r="AB261" s="669" t="n"/>
    </row>
    <row r="262">
      <c r="I262" s="1109" t="n">
        <v>192</v>
      </c>
      <c r="J262" s="1112">
        <f>'Offering Speed'!$C$69*(I261+1) + 'Offering Speed'!$C$70*MAX(I262-'Offering Speed'!$C$69, 0)</f>
        <v/>
      </c>
      <c r="K262" s="1112">
        <f>SUM(J71:INDEX($J:$J,70+I262))</f>
        <v/>
      </c>
      <c r="L262" s="1109" t="n">
        <v>192</v>
      </c>
      <c r="M262" s="669" t="n"/>
      <c r="N262" s="669" t="n"/>
      <c r="O262" s="669" t="n"/>
      <c r="P262" s="669" t="n"/>
      <c r="Q262" s="669" t="n"/>
      <c r="R262" s="669" t="n"/>
      <c r="S262" s="669" t="n"/>
      <c r="T262" s="669" t="n"/>
      <c r="U262" s="669" t="n"/>
      <c r="V262" s="669" t="n"/>
      <c r="W262" s="669" t="n"/>
      <c r="X262" s="669" t="n"/>
      <c r="Y262" s="669" t="n"/>
      <c r="Z262" s="669" t="n"/>
      <c r="AA262" s="669" t="n"/>
      <c r="AB262" s="669" t="n"/>
    </row>
    <row r="263">
      <c r="I263" s="1109" t="n">
        <v>193</v>
      </c>
      <c r="J263" s="1112">
        <f>'Offering Speed'!$C$69*(I262+1) + 'Offering Speed'!$C$70*MAX(I263-'Offering Speed'!$C$69, 0)</f>
        <v/>
      </c>
      <c r="K263" s="1112">
        <f>SUM(J71:INDEX($J:$J,70+I263))</f>
        <v/>
      </c>
      <c r="L263" s="1109" t="n">
        <v>193</v>
      </c>
      <c r="M263" s="669" t="n"/>
      <c r="N263" s="669" t="n"/>
      <c r="O263" s="669" t="n"/>
      <c r="P263" s="669" t="n"/>
      <c r="Q263" s="669" t="n"/>
      <c r="R263" s="669" t="n"/>
      <c r="S263" s="669" t="n"/>
      <c r="T263" s="669" t="n"/>
      <c r="U263" s="669" t="n"/>
      <c r="V263" s="669" t="n"/>
      <c r="W263" s="669" t="n"/>
      <c r="X263" s="669" t="n"/>
      <c r="Y263" s="669" t="n"/>
      <c r="Z263" s="669" t="n"/>
      <c r="AA263" s="669" t="n"/>
      <c r="AB263" s="669" t="n"/>
    </row>
    <row r="264">
      <c r="I264" s="1109" t="n">
        <v>194</v>
      </c>
      <c r="J264" s="1112">
        <f>'Offering Speed'!$C$69*(I263+1) + 'Offering Speed'!$C$70*MAX(I264-'Offering Speed'!$C$69, 0)</f>
        <v/>
      </c>
      <c r="K264" s="1112">
        <f>SUM(J71:INDEX($J:$J,70+I264))</f>
        <v/>
      </c>
      <c r="L264" s="1109" t="n">
        <v>194</v>
      </c>
      <c r="M264" s="669" t="n"/>
      <c r="N264" s="669" t="n"/>
      <c r="O264" s="669" t="n"/>
      <c r="P264" s="669" t="n"/>
      <c r="Q264" s="669" t="n"/>
      <c r="R264" s="669" t="n"/>
      <c r="S264" s="669" t="n"/>
      <c r="T264" s="669" t="n"/>
      <c r="U264" s="669" t="n"/>
      <c r="V264" s="669" t="n"/>
      <c r="W264" s="669" t="n"/>
      <c r="X264" s="669" t="n"/>
      <c r="Y264" s="669" t="n"/>
      <c r="Z264" s="669" t="n"/>
      <c r="AA264" s="669" t="n"/>
      <c r="AB264" s="669" t="n"/>
    </row>
    <row r="265">
      <c r="I265" s="1109" t="n">
        <v>195</v>
      </c>
      <c r="J265" s="1112">
        <f>'Offering Speed'!$C$69*(I264+1) + 'Offering Speed'!$C$70*MAX(I265-'Offering Speed'!$C$69, 0)</f>
        <v/>
      </c>
      <c r="K265" s="1112">
        <f>SUM(J71:INDEX($J:$J,70+I265))</f>
        <v/>
      </c>
      <c r="L265" s="1109" t="n">
        <v>195</v>
      </c>
      <c r="M265" s="669" t="n"/>
      <c r="N265" s="669" t="n"/>
      <c r="O265" s="669" t="n"/>
      <c r="P265" s="669" t="n"/>
      <c r="Q265" s="669" t="n"/>
      <c r="R265" s="669" t="n"/>
      <c r="S265" s="669" t="n"/>
      <c r="T265" s="669" t="n"/>
      <c r="U265" s="669" t="n"/>
      <c r="V265" s="669" t="n"/>
      <c r="W265" s="669" t="n"/>
      <c r="X265" s="669" t="n"/>
      <c r="Y265" s="669" t="n"/>
      <c r="Z265" s="669" t="n"/>
      <c r="AA265" s="669" t="n"/>
      <c r="AB265" s="669" t="n"/>
    </row>
    <row r="266">
      <c r="I266" s="1109" t="n">
        <v>196</v>
      </c>
      <c r="J266" s="1112">
        <f>'Offering Speed'!$C$69*(I265+1) + 'Offering Speed'!$C$70*MAX(I266-'Offering Speed'!$C$69, 0)</f>
        <v/>
      </c>
      <c r="K266" s="1112">
        <f>SUM(J71:INDEX($J:$J,70+I266))</f>
        <v/>
      </c>
      <c r="L266" s="1109" t="n">
        <v>196</v>
      </c>
      <c r="M266" s="669" t="n"/>
      <c r="N266" s="669" t="n"/>
      <c r="O266" s="669" t="n"/>
      <c r="P266" s="669" t="n"/>
      <c r="Q266" s="669" t="n"/>
      <c r="R266" s="669" t="n"/>
      <c r="S266" s="669" t="n"/>
      <c r="T266" s="669" t="n"/>
      <c r="U266" s="669" t="n"/>
      <c r="V266" s="669" t="n"/>
      <c r="W266" s="669" t="n"/>
      <c r="X266" s="669" t="n"/>
      <c r="Y266" s="669" t="n"/>
      <c r="Z266" s="669" t="n"/>
      <c r="AA266" s="669" t="n"/>
      <c r="AB266" s="669" t="n"/>
    </row>
    <row r="267">
      <c r="I267" s="1109" t="n">
        <v>197</v>
      </c>
      <c r="J267" s="1112">
        <f>'Offering Speed'!$C$69*(I266+1) + 'Offering Speed'!$C$70*MAX(I267-'Offering Speed'!$C$69, 0)</f>
        <v/>
      </c>
      <c r="K267" s="1112">
        <f>SUM(J71:INDEX($J:$J,70+I267))</f>
        <v/>
      </c>
      <c r="L267" s="1109" t="n">
        <v>197</v>
      </c>
      <c r="M267" s="669" t="n"/>
      <c r="N267" s="669" t="n"/>
      <c r="O267" s="669" t="n"/>
      <c r="P267" s="669" t="n"/>
      <c r="Q267" s="669" t="n"/>
      <c r="R267" s="669" t="n"/>
      <c r="S267" s="669" t="n"/>
      <c r="T267" s="669" t="n"/>
      <c r="U267" s="669" t="n"/>
      <c r="V267" s="669" t="n"/>
      <c r="W267" s="669" t="n"/>
      <c r="X267" s="669" t="n"/>
      <c r="Y267" s="669" t="n"/>
      <c r="Z267" s="669" t="n"/>
      <c r="AA267" s="669" t="n"/>
      <c r="AB267" s="669" t="n"/>
    </row>
    <row r="268">
      <c r="I268" s="1109" t="n">
        <v>198</v>
      </c>
      <c r="J268" s="1112">
        <f>'Offering Speed'!$C$69*(I267+1) + 'Offering Speed'!$C$70*MAX(I268-'Offering Speed'!$C$69, 0)</f>
        <v/>
      </c>
      <c r="K268" s="1112">
        <f>SUM(J71:INDEX($J:$J,70+I268))</f>
        <v/>
      </c>
      <c r="L268" s="1109" t="n">
        <v>198</v>
      </c>
      <c r="M268" s="669" t="n"/>
      <c r="N268" s="669" t="n"/>
      <c r="O268" s="669" t="n"/>
      <c r="P268" s="669" t="n"/>
      <c r="Q268" s="669" t="n"/>
      <c r="R268" s="669" t="n"/>
      <c r="S268" s="669" t="n"/>
      <c r="T268" s="669" t="n"/>
      <c r="U268" s="669" t="n"/>
      <c r="V268" s="669" t="n"/>
      <c r="W268" s="669" t="n"/>
      <c r="X268" s="669" t="n"/>
      <c r="Y268" s="669" t="n"/>
      <c r="Z268" s="669" t="n"/>
      <c r="AA268" s="669" t="n"/>
      <c r="AB268" s="669" t="n"/>
    </row>
    <row r="269">
      <c r="I269" s="1109" t="n">
        <v>199</v>
      </c>
      <c r="J269" s="1112">
        <f>'Offering Speed'!$C$69*(I268+1) + 'Offering Speed'!$C$70*MAX(I269-'Offering Speed'!$C$69, 0)</f>
        <v/>
      </c>
      <c r="K269" s="1112">
        <f>SUM(J71:INDEX($J:$J,70+I269))</f>
        <v/>
      </c>
      <c r="L269" s="1109" t="n">
        <v>199</v>
      </c>
      <c r="M269" s="669" t="n"/>
      <c r="N269" s="669" t="n"/>
      <c r="O269" s="669" t="n"/>
      <c r="P269" s="669" t="n"/>
      <c r="Q269" s="669" t="n"/>
      <c r="R269" s="669" t="n"/>
      <c r="S269" s="669" t="n"/>
      <c r="T269" s="669" t="n"/>
      <c r="U269" s="669" t="n"/>
      <c r="V269" s="669" t="n"/>
      <c r="W269" s="669" t="n"/>
      <c r="X269" s="669" t="n"/>
      <c r="Y269" s="669" t="n"/>
      <c r="Z269" s="669" t="n"/>
      <c r="AA269" s="669" t="n"/>
      <c r="AB269" s="669" t="n"/>
    </row>
    <row r="270">
      <c r="I270" s="1109" t="n">
        <v>200</v>
      </c>
      <c r="J270" s="1112">
        <f>'Offering Speed'!$C$69*(I269+1) + 'Offering Speed'!$C$70*MAX(I270-'Offering Speed'!$C$69, 0)</f>
        <v/>
      </c>
      <c r="K270" s="1112">
        <f>SUM(J71:INDEX($J:$J,70+I270))</f>
        <v/>
      </c>
      <c r="L270" s="1109" t="n">
        <v>200</v>
      </c>
      <c r="M270" s="669" t="n"/>
      <c r="N270" s="669" t="n"/>
      <c r="O270" s="669" t="n"/>
      <c r="P270" s="669" t="n"/>
      <c r="Q270" s="669" t="n"/>
      <c r="R270" s="669" t="n"/>
      <c r="S270" s="669" t="n"/>
      <c r="T270" s="669" t="n"/>
      <c r="U270" s="669" t="n"/>
      <c r="V270" s="669" t="n"/>
      <c r="W270" s="669" t="n"/>
      <c r="X270" s="669" t="n"/>
      <c r="Y270" s="669" t="n"/>
      <c r="Z270" s="669" t="n"/>
      <c r="AA270" s="669" t="n"/>
      <c r="AB270" s="669" t="n"/>
    </row>
    <row r="271">
      <c r="I271" s="1109" t="n">
        <v>201</v>
      </c>
      <c r="J271" s="1112">
        <f>'Offering Speed'!$C$69*(I270+1) + 'Offering Speed'!$C$70*MAX(I271-'Offering Speed'!$C$69, 0)</f>
        <v/>
      </c>
      <c r="K271" s="1112">
        <f>SUM(J71:INDEX($J:$J,70+I271))</f>
        <v/>
      </c>
      <c r="L271" s="1109" t="n">
        <v>201</v>
      </c>
      <c r="M271" s="669" t="n"/>
      <c r="N271" s="669" t="n"/>
      <c r="O271" s="669" t="n"/>
      <c r="P271" s="669" t="n"/>
      <c r="Q271" s="669" t="n"/>
      <c r="R271" s="669" t="n"/>
      <c r="S271" s="669" t="n"/>
      <c r="T271" s="669" t="n"/>
      <c r="U271" s="669" t="n"/>
      <c r="V271" s="669" t="n"/>
      <c r="W271" s="669" t="n"/>
      <c r="X271" s="669" t="n"/>
      <c r="Y271" s="669" t="n"/>
      <c r="Z271" s="669" t="n"/>
      <c r="AA271" s="669" t="n"/>
      <c r="AB271" s="669" t="n"/>
    </row>
    <row r="272">
      <c r="I272" s="1109" t="n">
        <v>202</v>
      </c>
      <c r="J272" s="1112">
        <f>'Offering Speed'!$C$69*(I271+1) + 'Offering Speed'!$C$70*MAX(I272-'Offering Speed'!$C$69, 0)</f>
        <v/>
      </c>
      <c r="K272" s="1112">
        <f>SUM(J71:INDEX($J:$J,70+I272))</f>
        <v/>
      </c>
      <c r="L272" s="1109" t="n">
        <v>202</v>
      </c>
      <c r="M272" s="669" t="n"/>
      <c r="N272" s="669" t="n"/>
      <c r="O272" s="669" t="n"/>
      <c r="P272" s="669" t="n"/>
      <c r="Q272" s="669" t="n"/>
      <c r="R272" s="669" t="n"/>
      <c r="S272" s="669" t="n"/>
      <c r="T272" s="669" t="n"/>
      <c r="U272" s="669" t="n"/>
      <c r="V272" s="669" t="n"/>
      <c r="W272" s="669" t="n"/>
      <c r="X272" s="669" t="n"/>
      <c r="Y272" s="669" t="n"/>
      <c r="Z272" s="669" t="n"/>
      <c r="AA272" s="669" t="n"/>
      <c r="AB272" s="669" t="n"/>
    </row>
    <row r="273">
      <c r="I273" s="1109" t="n">
        <v>203</v>
      </c>
      <c r="J273" s="1112">
        <f>'Offering Speed'!$C$69*(I272+1) + 'Offering Speed'!$C$70*MAX(I273-'Offering Speed'!$C$69, 0)</f>
        <v/>
      </c>
      <c r="K273" s="1112">
        <f>SUM(J71:INDEX($J:$J,70+I273))</f>
        <v/>
      </c>
      <c r="L273" s="1109" t="n">
        <v>203</v>
      </c>
      <c r="M273" s="669" t="n"/>
      <c r="N273" s="669" t="n"/>
      <c r="O273" s="669" t="n"/>
      <c r="P273" s="669" t="n"/>
      <c r="Q273" s="669" t="n"/>
      <c r="R273" s="669" t="n"/>
      <c r="S273" s="669" t="n"/>
      <c r="T273" s="669" t="n"/>
      <c r="U273" s="669" t="n"/>
      <c r="V273" s="669" t="n"/>
      <c r="W273" s="669" t="n"/>
      <c r="X273" s="669" t="n"/>
      <c r="Y273" s="669" t="n"/>
      <c r="Z273" s="669" t="n"/>
      <c r="AA273" s="669" t="n"/>
      <c r="AB273" s="669" t="n"/>
    </row>
    <row r="274">
      <c r="I274" s="1109" t="n">
        <v>204</v>
      </c>
      <c r="J274" s="1112">
        <f>'Offering Speed'!$C$69*(I273+1) + 'Offering Speed'!$C$70*MAX(I274-'Offering Speed'!$C$69, 0)</f>
        <v/>
      </c>
      <c r="K274" s="1112">
        <f>SUM(J71:INDEX($J:$J,70+I274))</f>
        <v/>
      </c>
      <c r="L274" s="1109" t="n">
        <v>204</v>
      </c>
      <c r="M274" s="669" t="n"/>
      <c r="N274" s="669" t="n"/>
      <c r="O274" s="669" t="n"/>
      <c r="P274" s="669" t="n"/>
      <c r="Q274" s="669" t="n"/>
      <c r="R274" s="669" t="n"/>
      <c r="S274" s="669" t="n"/>
      <c r="T274" s="669" t="n"/>
      <c r="U274" s="669" t="n"/>
      <c r="V274" s="669" t="n"/>
      <c r="W274" s="669" t="n"/>
      <c r="X274" s="669" t="n"/>
      <c r="Y274" s="669" t="n"/>
      <c r="Z274" s="669" t="n"/>
      <c r="AA274" s="669" t="n"/>
      <c r="AB274" s="669" t="n"/>
    </row>
    <row r="275">
      <c r="I275" s="1109" t="n">
        <v>205</v>
      </c>
      <c r="J275" s="1112">
        <f>'Offering Speed'!$C$69*(I274+1) + 'Offering Speed'!$C$70*MAX(I275-'Offering Speed'!$C$69, 0)</f>
        <v/>
      </c>
      <c r="K275" s="1112">
        <f>SUM(J71:INDEX($J:$J,70+I275))</f>
        <v/>
      </c>
      <c r="L275" s="1109" t="n">
        <v>205</v>
      </c>
      <c r="M275" s="669" t="n"/>
      <c r="N275" s="669" t="n"/>
      <c r="O275" s="669" t="n"/>
      <c r="P275" s="669" t="n"/>
      <c r="Q275" s="669" t="n"/>
      <c r="R275" s="669" t="n"/>
      <c r="S275" s="669" t="n"/>
      <c r="T275" s="669" t="n"/>
      <c r="U275" s="669" t="n"/>
      <c r="V275" s="669" t="n"/>
      <c r="W275" s="669" t="n"/>
      <c r="X275" s="669" t="n"/>
      <c r="Y275" s="669" t="n"/>
      <c r="Z275" s="669" t="n"/>
      <c r="AA275" s="669" t="n"/>
      <c r="AB275" s="669" t="n"/>
    </row>
    <row r="276">
      <c r="I276" s="1109" t="n">
        <v>206</v>
      </c>
      <c r="J276" s="1112">
        <f>'Offering Speed'!$C$69*(I275+1) + 'Offering Speed'!$C$70*MAX(I276-'Offering Speed'!$C$69, 0)</f>
        <v/>
      </c>
      <c r="K276" s="1112">
        <f>SUM(J71:INDEX($J:$J,70+I276))</f>
        <v/>
      </c>
      <c r="L276" s="1109" t="n">
        <v>206</v>
      </c>
      <c r="M276" s="669" t="n"/>
      <c r="N276" s="669" t="n"/>
      <c r="O276" s="669" t="n"/>
      <c r="P276" s="669" t="n"/>
      <c r="Q276" s="669" t="n"/>
      <c r="R276" s="669" t="n"/>
      <c r="S276" s="669" t="n"/>
      <c r="T276" s="669" t="n"/>
      <c r="U276" s="669" t="n"/>
      <c r="V276" s="669" t="n"/>
      <c r="W276" s="669" t="n"/>
      <c r="X276" s="669" t="n"/>
      <c r="Y276" s="669" t="n"/>
      <c r="Z276" s="669" t="n"/>
      <c r="AA276" s="669" t="n"/>
      <c r="AB276" s="669" t="n"/>
    </row>
    <row r="277">
      <c r="I277" s="1109" t="n">
        <v>207</v>
      </c>
      <c r="J277" s="1112">
        <f>'Offering Speed'!$C$69*(I276+1) + 'Offering Speed'!$C$70*MAX(I277-'Offering Speed'!$C$69, 0)</f>
        <v/>
      </c>
      <c r="K277" s="1112">
        <f>SUM(J71:INDEX($J:$J,70+I277))</f>
        <v/>
      </c>
      <c r="L277" s="1109" t="n">
        <v>207</v>
      </c>
      <c r="M277" s="669" t="n"/>
      <c r="N277" s="669" t="n"/>
      <c r="O277" s="669" t="n"/>
      <c r="P277" s="669" t="n"/>
      <c r="Q277" s="669" t="n"/>
      <c r="R277" s="669" t="n"/>
      <c r="S277" s="669" t="n"/>
      <c r="T277" s="669" t="n"/>
      <c r="U277" s="669" t="n"/>
      <c r="V277" s="669" t="n"/>
      <c r="W277" s="669" t="n"/>
      <c r="X277" s="669" t="n"/>
      <c r="Y277" s="669" t="n"/>
      <c r="Z277" s="669" t="n"/>
      <c r="AA277" s="669" t="n"/>
      <c r="AB277" s="669" t="n"/>
    </row>
    <row r="278">
      <c r="I278" s="1109" t="n">
        <v>208</v>
      </c>
      <c r="J278" s="1112">
        <f>'Offering Speed'!$C$69*(I277+1) + 'Offering Speed'!$C$70*MAX(I278-'Offering Speed'!$C$69, 0)</f>
        <v/>
      </c>
      <c r="K278" s="1112">
        <f>SUM(J71:INDEX($J:$J,70+I278))</f>
        <v/>
      </c>
      <c r="L278" s="1109" t="n">
        <v>208</v>
      </c>
      <c r="M278" s="669" t="n"/>
      <c r="N278" s="669" t="n"/>
      <c r="O278" s="669" t="n"/>
      <c r="P278" s="669" t="n"/>
      <c r="Q278" s="669" t="n"/>
      <c r="R278" s="669" t="n"/>
      <c r="S278" s="669" t="n"/>
      <c r="T278" s="669" t="n"/>
      <c r="U278" s="669" t="n"/>
      <c r="V278" s="669" t="n"/>
      <c r="W278" s="669" t="n"/>
      <c r="X278" s="669" t="n"/>
      <c r="Y278" s="669" t="n"/>
      <c r="Z278" s="669" t="n"/>
      <c r="AA278" s="669" t="n"/>
      <c r="AB278" s="669" t="n"/>
    </row>
    <row r="279">
      <c r="I279" s="1109" t="n">
        <v>209</v>
      </c>
      <c r="J279" s="1112">
        <f>'Offering Speed'!$C$69*(I278+1) + 'Offering Speed'!$C$70*MAX(I279-'Offering Speed'!$C$69, 0)</f>
        <v/>
      </c>
      <c r="K279" s="1112">
        <f>SUM(J71:INDEX($J:$J,70+I279))</f>
        <v/>
      </c>
      <c r="L279" s="1109" t="n">
        <v>209</v>
      </c>
      <c r="M279" s="669" t="n"/>
      <c r="N279" s="669" t="n"/>
      <c r="O279" s="669" t="n"/>
      <c r="P279" s="669" t="n"/>
      <c r="Q279" s="669" t="n"/>
      <c r="R279" s="669" t="n"/>
      <c r="S279" s="669" t="n"/>
      <c r="T279" s="669" t="n"/>
      <c r="U279" s="669" t="n"/>
      <c r="V279" s="669" t="n"/>
      <c r="W279" s="669" t="n"/>
      <c r="X279" s="669" t="n"/>
      <c r="Y279" s="669" t="n"/>
      <c r="Z279" s="669" t="n"/>
      <c r="AA279" s="669" t="n"/>
      <c r="AB279" s="669" t="n"/>
    </row>
    <row r="280">
      <c r="I280" s="1109" t="n">
        <v>210</v>
      </c>
      <c r="J280" s="1112">
        <f>'Offering Speed'!$C$69*(I279+1) + 'Offering Speed'!$C$70*MAX(I280-'Offering Speed'!$C$69, 0)</f>
        <v/>
      </c>
      <c r="K280" s="1112">
        <f>SUM(J71:INDEX($J:$J,70+I280))</f>
        <v/>
      </c>
      <c r="L280" s="1109" t="n">
        <v>210</v>
      </c>
      <c r="M280" s="669" t="n"/>
      <c r="N280" s="669" t="n"/>
      <c r="O280" s="669" t="n"/>
      <c r="P280" s="669" t="n"/>
      <c r="Q280" s="669" t="n"/>
      <c r="R280" s="669" t="n"/>
      <c r="S280" s="669" t="n"/>
      <c r="T280" s="669" t="n"/>
      <c r="U280" s="669" t="n"/>
      <c r="V280" s="669" t="n"/>
      <c r="W280" s="669" t="n"/>
      <c r="X280" s="669" t="n"/>
      <c r="Y280" s="669" t="n"/>
      <c r="Z280" s="669" t="n"/>
      <c r="AA280" s="669" t="n"/>
      <c r="AB280" s="669" t="n"/>
    </row>
    <row r="281">
      <c r="I281" s="1109" t="n">
        <v>211</v>
      </c>
      <c r="J281" s="1112">
        <f>'Offering Speed'!$C$69*(I280+1) + 'Offering Speed'!$C$70*MAX(I281-'Offering Speed'!$C$69, 0)</f>
        <v/>
      </c>
      <c r="K281" s="1112">
        <f>SUM(J71:INDEX($J:$J,70+I281))</f>
        <v/>
      </c>
      <c r="L281" s="1109" t="n">
        <v>211</v>
      </c>
      <c r="M281" s="669" t="n"/>
      <c r="N281" s="669" t="n"/>
      <c r="O281" s="669" t="n"/>
      <c r="P281" s="669" t="n"/>
      <c r="Q281" s="669" t="n"/>
      <c r="R281" s="669" t="n"/>
      <c r="S281" s="669" t="n"/>
      <c r="T281" s="669" t="n"/>
      <c r="U281" s="669" t="n"/>
      <c r="V281" s="669" t="n"/>
      <c r="W281" s="669" t="n"/>
      <c r="X281" s="669" t="n"/>
      <c r="Y281" s="669" t="n"/>
      <c r="Z281" s="669" t="n"/>
      <c r="AA281" s="669" t="n"/>
      <c r="AB281" s="669" t="n"/>
    </row>
    <row r="282">
      <c r="I282" s="1109" t="n">
        <v>212</v>
      </c>
      <c r="J282" s="1112">
        <f>'Offering Speed'!$C$69*(I281+1) + 'Offering Speed'!$C$70*MAX(I282-'Offering Speed'!$C$69, 0)</f>
        <v/>
      </c>
      <c r="K282" s="1112">
        <f>SUM(J71:INDEX($J:$J,70+I282))</f>
        <v/>
      </c>
      <c r="L282" s="1109" t="n">
        <v>212</v>
      </c>
      <c r="M282" s="669" t="n"/>
      <c r="N282" s="669" t="n"/>
      <c r="O282" s="669" t="n"/>
      <c r="P282" s="669" t="n"/>
      <c r="Q282" s="669" t="n"/>
      <c r="R282" s="669" t="n"/>
      <c r="S282" s="669" t="n"/>
      <c r="T282" s="669" t="n"/>
      <c r="U282" s="669" t="n"/>
      <c r="V282" s="669" t="n"/>
      <c r="W282" s="669" t="n"/>
      <c r="X282" s="669" t="n"/>
      <c r="Y282" s="669" t="n"/>
      <c r="Z282" s="669" t="n"/>
      <c r="AA282" s="669" t="n"/>
      <c r="AB282" s="669" t="n"/>
    </row>
    <row r="283">
      <c r="I283" s="1109" t="n">
        <v>213</v>
      </c>
      <c r="J283" s="1112">
        <f>'Offering Speed'!$C$69*(I282+1) + 'Offering Speed'!$C$70*MAX(I283-'Offering Speed'!$C$69, 0)</f>
        <v/>
      </c>
      <c r="K283" s="1112">
        <f>SUM(J71:INDEX($J:$J,70+I283))</f>
        <v/>
      </c>
      <c r="L283" s="1109" t="n">
        <v>213</v>
      </c>
      <c r="M283" s="669" t="n"/>
      <c r="N283" s="669" t="n"/>
      <c r="O283" s="669" t="n"/>
      <c r="P283" s="669" t="n"/>
      <c r="Q283" s="669" t="n"/>
      <c r="R283" s="669" t="n"/>
      <c r="S283" s="669" t="n"/>
      <c r="T283" s="669" t="n"/>
      <c r="U283" s="669" t="n"/>
      <c r="V283" s="669" t="n"/>
      <c r="W283" s="669" t="n"/>
      <c r="X283" s="669" t="n"/>
      <c r="Y283" s="669" t="n"/>
      <c r="Z283" s="669" t="n"/>
      <c r="AA283" s="669" t="n"/>
      <c r="AB283" s="669" t="n"/>
    </row>
    <row r="284">
      <c r="I284" s="1109" t="n">
        <v>214</v>
      </c>
      <c r="J284" s="1112">
        <f>'Offering Speed'!$C$69*(I283+1) + 'Offering Speed'!$C$70*MAX(I284-'Offering Speed'!$C$69, 0)</f>
        <v/>
      </c>
      <c r="K284" s="1112">
        <f>SUM(J71:INDEX($J:$J,70+I284))</f>
        <v/>
      </c>
      <c r="L284" s="1109" t="n">
        <v>214</v>
      </c>
      <c r="M284" s="669" t="n"/>
      <c r="N284" s="669" t="n"/>
      <c r="O284" s="669" t="n"/>
      <c r="P284" s="669" t="n"/>
      <c r="Q284" s="669" t="n"/>
      <c r="R284" s="669" t="n"/>
      <c r="S284" s="669" t="n"/>
      <c r="T284" s="669" t="n"/>
      <c r="U284" s="669" t="n"/>
      <c r="V284" s="669" t="n"/>
      <c r="W284" s="669" t="n"/>
      <c r="X284" s="669" t="n"/>
      <c r="Y284" s="669" t="n"/>
      <c r="Z284" s="669" t="n"/>
      <c r="AA284" s="669" t="n"/>
      <c r="AB284" s="669" t="n"/>
    </row>
    <row r="285">
      <c r="I285" s="1109" t="n">
        <v>215</v>
      </c>
      <c r="J285" s="1112">
        <f>'Offering Speed'!$C$69*(I284+1) + 'Offering Speed'!$C$70*MAX(I285-'Offering Speed'!$C$69, 0)</f>
        <v/>
      </c>
      <c r="K285" s="1112">
        <f>SUM(J71:INDEX($J:$J,70+I285))</f>
        <v/>
      </c>
      <c r="L285" s="1109" t="n">
        <v>215</v>
      </c>
      <c r="M285" s="669" t="n"/>
      <c r="N285" s="669" t="n"/>
      <c r="O285" s="669" t="n"/>
      <c r="P285" s="669" t="n"/>
      <c r="Q285" s="669" t="n"/>
      <c r="R285" s="669" t="n"/>
      <c r="S285" s="669" t="n"/>
      <c r="T285" s="669" t="n"/>
      <c r="U285" s="669" t="n"/>
      <c r="V285" s="669" t="n"/>
      <c r="W285" s="669" t="n"/>
      <c r="X285" s="669" t="n"/>
      <c r="Y285" s="669" t="n"/>
      <c r="Z285" s="669" t="n"/>
      <c r="AA285" s="669" t="n"/>
      <c r="AB285" s="669" t="n"/>
    </row>
    <row r="286">
      <c r="I286" s="1109" t="n">
        <v>216</v>
      </c>
      <c r="J286" s="1112">
        <f>'Offering Speed'!$C$69*(I285+1) + 'Offering Speed'!$C$70*MAX(I286-'Offering Speed'!$C$69, 0)</f>
        <v/>
      </c>
      <c r="K286" s="1112">
        <f>SUM(J71:INDEX($J:$J,70+I286))</f>
        <v/>
      </c>
      <c r="L286" s="1109" t="n">
        <v>216</v>
      </c>
      <c r="M286" s="669" t="n"/>
      <c r="N286" s="669" t="n"/>
      <c r="O286" s="669" t="n"/>
      <c r="P286" s="669" t="n"/>
      <c r="Q286" s="669" t="n"/>
      <c r="R286" s="669" t="n"/>
      <c r="S286" s="669" t="n"/>
      <c r="T286" s="669" t="n"/>
      <c r="U286" s="669" t="n"/>
      <c r="V286" s="669" t="n"/>
      <c r="W286" s="669" t="n"/>
      <c r="X286" s="669" t="n"/>
      <c r="Y286" s="669" t="n"/>
      <c r="Z286" s="669" t="n"/>
      <c r="AA286" s="669" t="n"/>
      <c r="AB286" s="669" t="n"/>
    </row>
    <row r="287">
      <c r="I287" s="1109" t="n">
        <v>217</v>
      </c>
      <c r="J287" s="1112">
        <f>'Offering Speed'!$C$69*(I286+1) + 'Offering Speed'!$C$70*MAX(I287-'Offering Speed'!$C$69, 0)</f>
        <v/>
      </c>
      <c r="K287" s="1112">
        <f>SUM(J71:INDEX($J:$J,70+I287))</f>
        <v/>
      </c>
      <c r="L287" s="1109" t="n">
        <v>217</v>
      </c>
      <c r="M287" s="669" t="n"/>
      <c r="N287" s="669" t="n"/>
      <c r="O287" s="669" t="n"/>
      <c r="P287" s="669" t="n"/>
      <c r="Q287" s="669" t="n"/>
      <c r="R287" s="669" t="n"/>
      <c r="S287" s="669" t="n"/>
      <c r="T287" s="669" t="n"/>
      <c r="U287" s="669" t="n"/>
      <c r="V287" s="669" t="n"/>
      <c r="W287" s="669" t="n"/>
      <c r="X287" s="669" t="n"/>
      <c r="Y287" s="669" t="n"/>
      <c r="Z287" s="669" t="n"/>
      <c r="AA287" s="669" t="n"/>
      <c r="AB287" s="669" t="n"/>
    </row>
    <row r="288">
      <c r="I288" s="1109" t="n">
        <v>218</v>
      </c>
      <c r="J288" s="1112">
        <f>'Offering Speed'!$C$69*(I287+1) + 'Offering Speed'!$C$70*MAX(I288-'Offering Speed'!$C$69, 0)</f>
        <v/>
      </c>
      <c r="K288" s="1112">
        <f>SUM(J71:INDEX($J:$J,70+I288))</f>
        <v/>
      </c>
      <c r="L288" s="1109" t="n">
        <v>218</v>
      </c>
      <c r="M288" s="669" t="n"/>
      <c r="N288" s="669" t="n"/>
      <c r="O288" s="669" t="n"/>
      <c r="P288" s="669" t="n"/>
      <c r="Q288" s="669" t="n"/>
      <c r="R288" s="669" t="n"/>
      <c r="S288" s="669" t="n"/>
      <c r="T288" s="669" t="n"/>
      <c r="U288" s="669" t="n"/>
      <c r="V288" s="669" t="n"/>
      <c r="W288" s="669" t="n"/>
      <c r="X288" s="669" t="n"/>
      <c r="Y288" s="669" t="n"/>
      <c r="Z288" s="669" t="n"/>
      <c r="AA288" s="669" t="n"/>
      <c r="AB288" s="669" t="n"/>
    </row>
    <row r="289">
      <c r="I289" s="1109" t="n">
        <v>219</v>
      </c>
      <c r="J289" s="1112">
        <f>'Offering Speed'!$C$69*(I288+1) + 'Offering Speed'!$C$70*MAX(I289-'Offering Speed'!$C$69, 0)</f>
        <v/>
      </c>
      <c r="K289" s="1112">
        <f>SUM(J71:INDEX($J:$J,70+I289))</f>
        <v/>
      </c>
      <c r="L289" s="1109" t="n">
        <v>219</v>
      </c>
      <c r="M289" s="669" t="n"/>
      <c r="N289" s="669" t="n"/>
      <c r="O289" s="669" t="n"/>
      <c r="P289" s="669" t="n"/>
      <c r="Q289" s="669" t="n"/>
      <c r="R289" s="669" t="n"/>
      <c r="S289" s="669" t="n"/>
      <c r="T289" s="669" t="n"/>
      <c r="U289" s="669" t="n"/>
      <c r="V289" s="669" t="n"/>
      <c r="W289" s="669" t="n"/>
      <c r="X289" s="669" t="n"/>
      <c r="Y289" s="669" t="n"/>
      <c r="Z289" s="669" t="n"/>
      <c r="AA289" s="669" t="n"/>
      <c r="AB289" s="669" t="n"/>
    </row>
    <row r="290">
      <c r="I290" s="1109" t="n">
        <v>220</v>
      </c>
      <c r="J290" s="1112">
        <f>'Offering Speed'!$C$69*(I289+1) + 'Offering Speed'!$C$70*MAX(I290-'Offering Speed'!$C$69, 0)</f>
        <v/>
      </c>
      <c r="K290" s="1112">
        <f>SUM(J71:INDEX($J:$J,70+I290))</f>
        <v/>
      </c>
      <c r="L290" s="1109" t="n">
        <v>220</v>
      </c>
      <c r="M290" s="669" t="n"/>
      <c r="N290" s="669" t="n"/>
      <c r="O290" s="669" t="n"/>
      <c r="P290" s="669" t="n"/>
      <c r="Q290" s="669" t="n"/>
      <c r="R290" s="669" t="n"/>
      <c r="S290" s="669" t="n"/>
      <c r="T290" s="669" t="n"/>
      <c r="U290" s="669" t="n"/>
      <c r="V290" s="669" t="n"/>
      <c r="W290" s="669" t="n"/>
      <c r="X290" s="669" t="n"/>
      <c r="Y290" s="669" t="n"/>
      <c r="Z290" s="669" t="n"/>
      <c r="AA290" s="669" t="n"/>
      <c r="AB290" s="669" t="n"/>
    </row>
    <row r="291">
      <c r="I291" s="1109" t="n">
        <v>221</v>
      </c>
      <c r="J291" s="1112">
        <f>'Offering Speed'!$C$69*(I290+1) + 'Offering Speed'!$C$70*MAX(I291-'Offering Speed'!$C$69, 0)</f>
        <v/>
      </c>
      <c r="K291" s="1112">
        <f>SUM(J71:INDEX($J:$J,70+I291))</f>
        <v/>
      </c>
      <c r="L291" s="1109" t="n">
        <v>221</v>
      </c>
      <c r="M291" s="669" t="n"/>
      <c r="N291" s="669" t="n"/>
      <c r="O291" s="669" t="n"/>
      <c r="P291" s="669" t="n"/>
      <c r="Q291" s="669" t="n"/>
      <c r="R291" s="669" t="n"/>
      <c r="S291" s="669" t="n"/>
      <c r="T291" s="669" t="n"/>
      <c r="U291" s="669" t="n"/>
      <c r="V291" s="669" t="n"/>
      <c r="W291" s="669" t="n"/>
      <c r="X291" s="669" t="n"/>
      <c r="Y291" s="669" t="n"/>
      <c r="Z291" s="669" t="n"/>
      <c r="AA291" s="669" t="n"/>
      <c r="AB291" s="669" t="n"/>
    </row>
    <row r="292">
      <c r="I292" s="1109" t="n">
        <v>222</v>
      </c>
      <c r="J292" s="1112">
        <f>'Offering Speed'!$C$69*(I291+1) + 'Offering Speed'!$C$70*MAX(I292-'Offering Speed'!$C$69, 0)</f>
        <v/>
      </c>
      <c r="K292" s="1112">
        <f>SUM(J71:INDEX($J:$J,70+I292))</f>
        <v/>
      </c>
      <c r="L292" s="1109" t="n">
        <v>222</v>
      </c>
      <c r="M292" s="669" t="n"/>
      <c r="N292" s="669" t="n"/>
      <c r="O292" s="669" t="n"/>
      <c r="P292" s="669" t="n"/>
      <c r="Q292" s="669" t="n"/>
      <c r="R292" s="669" t="n"/>
      <c r="S292" s="669" t="n"/>
      <c r="T292" s="669" t="n"/>
      <c r="U292" s="669" t="n"/>
      <c r="V292" s="669" t="n"/>
      <c r="W292" s="669" t="n"/>
      <c r="X292" s="669" t="n"/>
      <c r="Y292" s="669" t="n"/>
      <c r="Z292" s="669" t="n"/>
      <c r="AA292" s="669" t="n"/>
      <c r="AB292" s="669" t="n"/>
    </row>
    <row r="293">
      <c r="I293" s="1109" t="n">
        <v>223</v>
      </c>
      <c r="J293" s="1112">
        <f>'Offering Speed'!$C$69*(I292+1) + 'Offering Speed'!$C$70*MAX(I293-'Offering Speed'!$C$69, 0)</f>
        <v/>
      </c>
      <c r="K293" s="1112">
        <f>SUM(J71:INDEX($J:$J,70+I293))</f>
        <v/>
      </c>
      <c r="L293" s="1109" t="n">
        <v>223</v>
      </c>
      <c r="M293" s="669" t="n"/>
      <c r="N293" s="669" t="n"/>
      <c r="O293" s="669" t="n"/>
      <c r="P293" s="669" t="n"/>
      <c r="Q293" s="669" t="n"/>
      <c r="R293" s="669" t="n"/>
      <c r="S293" s="669" t="n"/>
      <c r="T293" s="669" t="n"/>
      <c r="U293" s="669" t="n"/>
      <c r="V293" s="669" t="n"/>
      <c r="W293" s="669" t="n"/>
      <c r="X293" s="669" t="n"/>
      <c r="Y293" s="669" t="n"/>
      <c r="Z293" s="669" t="n"/>
      <c r="AA293" s="669" t="n"/>
      <c r="AB293" s="669" t="n"/>
    </row>
    <row r="294">
      <c r="I294" s="1109" t="n">
        <v>224</v>
      </c>
      <c r="J294" s="1112">
        <f>'Offering Speed'!$C$69*(I293+1) + 'Offering Speed'!$C$70*MAX(I294-'Offering Speed'!$C$69, 0)</f>
        <v/>
      </c>
      <c r="K294" s="1112">
        <f>SUM(J71:INDEX($J:$J,70+I294))</f>
        <v/>
      </c>
      <c r="L294" s="1109" t="n">
        <v>224</v>
      </c>
      <c r="M294" s="669" t="n"/>
      <c r="N294" s="669" t="n"/>
      <c r="O294" s="669" t="n"/>
      <c r="P294" s="669" t="n"/>
      <c r="Q294" s="669" t="n"/>
      <c r="R294" s="669" t="n"/>
      <c r="S294" s="669" t="n"/>
      <c r="T294" s="669" t="n"/>
      <c r="U294" s="669" t="n"/>
      <c r="V294" s="669" t="n"/>
      <c r="W294" s="669" t="n"/>
      <c r="X294" s="669" t="n"/>
      <c r="Y294" s="669" t="n"/>
      <c r="Z294" s="669" t="n"/>
      <c r="AA294" s="669" t="n"/>
      <c r="AB294" s="669" t="n"/>
    </row>
    <row r="295">
      <c r="I295" s="1109" t="n">
        <v>225</v>
      </c>
      <c r="J295" s="1112">
        <f>'Offering Speed'!$C$69*(I294+1) + 'Offering Speed'!$C$70*MAX(I295-'Offering Speed'!$C$69, 0)</f>
        <v/>
      </c>
      <c r="K295" s="1112">
        <f>SUM(J71:INDEX($J:$J,70+I295))</f>
        <v/>
      </c>
      <c r="L295" s="1109" t="n">
        <v>225</v>
      </c>
      <c r="M295" s="669" t="n"/>
      <c r="N295" s="669" t="n"/>
      <c r="O295" s="669" t="n"/>
      <c r="P295" s="669" t="n"/>
      <c r="Q295" s="669" t="n"/>
      <c r="R295" s="669" t="n"/>
      <c r="S295" s="669" t="n"/>
      <c r="T295" s="669" t="n"/>
      <c r="U295" s="669" t="n"/>
      <c r="V295" s="669" t="n"/>
      <c r="W295" s="669" t="n"/>
      <c r="X295" s="669" t="n"/>
      <c r="Y295" s="669" t="n"/>
      <c r="Z295" s="669" t="n"/>
      <c r="AA295" s="669" t="n"/>
      <c r="AB295" s="669" t="n"/>
    </row>
    <row r="296">
      <c r="I296" s="1109" t="n">
        <v>226</v>
      </c>
      <c r="J296" s="1112">
        <f>'Offering Speed'!$C$69*(I295+1) + 'Offering Speed'!$C$70*MAX(I296-'Offering Speed'!$C$69, 0)</f>
        <v/>
      </c>
      <c r="K296" s="1112">
        <f>SUM(J71:INDEX($J:$J,70+I296))</f>
        <v/>
      </c>
      <c r="L296" s="1109" t="n">
        <v>226</v>
      </c>
      <c r="M296" s="669" t="n"/>
      <c r="N296" s="669" t="n"/>
      <c r="O296" s="669" t="n"/>
      <c r="P296" s="669" t="n"/>
      <c r="Q296" s="669" t="n"/>
      <c r="R296" s="669" t="n"/>
      <c r="S296" s="669" t="n"/>
      <c r="T296" s="669" t="n"/>
      <c r="U296" s="669" t="n"/>
      <c r="V296" s="669" t="n"/>
      <c r="W296" s="669" t="n"/>
      <c r="X296" s="669" t="n"/>
      <c r="Y296" s="669" t="n"/>
      <c r="Z296" s="669" t="n"/>
      <c r="AA296" s="669" t="n"/>
      <c r="AB296" s="669" t="n"/>
    </row>
    <row r="297">
      <c r="I297" s="1109" t="n">
        <v>227</v>
      </c>
      <c r="J297" s="1112">
        <f>'Offering Speed'!$C$69*(I296+1) + 'Offering Speed'!$C$70*MAX(I297-'Offering Speed'!$C$69, 0)</f>
        <v/>
      </c>
      <c r="K297" s="1112">
        <f>SUM(J71:INDEX($J:$J,70+I297))</f>
        <v/>
      </c>
      <c r="L297" s="1109" t="n">
        <v>227</v>
      </c>
      <c r="M297" s="669" t="n"/>
      <c r="N297" s="669" t="n"/>
      <c r="O297" s="669" t="n"/>
      <c r="P297" s="669" t="n"/>
      <c r="Q297" s="669" t="n"/>
      <c r="R297" s="669" t="n"/>
      <c r="S297" s="669" t="n"/>
      <c r="T297" s="669" t="n"/>
      <c r="U297" s="669" t="n"/>
      <c r="V297" s="669" t="n"/>
      <c r="W297" s="669" t="n"/>
      <c r="X297" s="669" t="n"/>
      <c r="Y297" s="669" t="n"/>
      <c r="Z297" s="669" t="n"/>
      <c r="AA297" s="669" t="n"/>
      <c r="AB297" s="669" t="n"/>
    </row>
    <row r="298">
      <c r="I298" s="1109" t="n">
        <v>228</v>
      </c>
      <c r="J298" s="1112">
        <f>'Offering Speed'!$C$69*(I297+1) + 'Offering Speed'!$C$70*MAX(I298-'Offering Speed'!$C$69, 0)</f>
        <v/>
      </c>
      <c r="K298" s="1112">
        <f>SUM(J71:INDEX($J:$J,70+I298))</f>
        <v/>
      </c>
      <c r="L298" s="1109" t="n">
        <v>228</v>
      </c>
      <c r="M298" s="669" t="n"/>
      <c r="N298" s="669" t="n"/>
      <c r="O298" s="669" t="n"/>
      <c r="P298" s="669" t="n"/>
      <c r="Q298" s="669" t="n"/>
      <c r="R298" s="669" t="n"/>
      <c r="S298" s="669" t="n"/>
      <c r="T298" s="669" t="n"/>
      <c r="U298" s="669" t="n"/>
      <c r="V298" s="669" t="n"/>
      <c r="W298" s="669" t="n"/>
      <c r="X298" s="669" t="n"/>
      <c r="Y298" s="669" t="n"/>
      <c r="Z298" s="669" t="n"/>
      <c r="AA298" s="669" t="n"/>
      <c r="AB298" s="669" t="n"/>
    </row>
    <row r="299">
      <c r="I299" s="1109" t="n">
        <v>229</v>
      </c>
      <c r="J299" s="1112">
        <f>'Offering Speed'!$C$69*(I298+1) + 'Offering Speed'!$C$70*MAX(I299-'Offering Speed'!$C$69, 0)</f>
        <v/>
      </c>
      <c r="K299" s="1112">
        <f>SUM(J71:INDEX($J:$J,70+I299))</f>
        <v/>
      </c>
      <c r="L299" s="1109" t="n">
        <v>229</v>
      </c>
      <c r="M299" s="669" t="n"/>
      <c r="N299" s="669" t="n"/>
      <c r="O299" s="669" t="n"/>
      <c r="P299" s="669" t="n"/>
      <c r="Q299" s="669" t="n"/>
      <c r="R299" s="669" t="n"/>
      <c r="S299" s="669" t="n"/>
      <c r="T299" s="669" t="n"/>
      <c r="U299" s="669" t="n"/>
      <c r="V299" s="669" t="n"/>
      <c r="W299" s="669" t="n"/>
      <c r="X299" s="669" t="n"/>
      <c r="Y299" s="669" t="n"/>
      <c r="Z299" s="669" t="n"/>
      <c r="AA299" s="669" t="n"/>
      <c r="AB299" s="669" t="n"/>
    </row>
    <row r="300">
      <c r="I300" s="1109" t="n">
        <v>230</v>
      </c>
      <c r="J300" s="1112">
        <f>'Offering Speed'!$C$69*(I299+1) + 'Offering Speed'!$C$70*MAX(I300-'Offering Speed'!$C$69, 0)</f>
        <v/>
      </c>
      <c r="K300" s="1112">
        <f>SUM(J71:INDEX($J:$J,70+I300))</f>
        <v/>
      </c>
      <c r="L300" s="1109" t="n">
        <v>230</v>
      </c>
      <c r="M300" s="669" t="n"/>
      <c r="N300" s="669" t="n"/>
      <c r="O300" s="669" t="n"/>
      <c r="P300" s="669" t="n"/>
      <c r="Q300" s="669" t="n"/>
      <c r="R300" s="669" t="n"/>
      <c r="S300" s="669" t="n"/>
      <c r="T300" s="669" t="n"/>
      <c r="U300" s="669" t="n"/>
      <c r="V300" s="669" t="n"/>
      <c r="W300" s="669" t="n"/>
      <c r="X300" s="669" t="n"/>
      <c r="Y300" s="669" t="n"/>
      <c r="Z300" s="669" t="n"/>
      <c r="AA300" s="669" t="n"/>
      <c r="AB300" s="669" t="n"/>
    </row>
    <row r="301">
      <c r="I301" s="1109" t="n">
        <v>231</v>
      </c>
      <c r="J301" s="1112">
        <f>'Offering Speed'!$C$69*(I300+1) + 'Offering Speed'!$C$70*MAX(I301-'Offering Speed'!$C$69, 0)</f>
        <v/>
      </c>
      <c r="K301" s="1112">
        <f>SUM(J71:INDEX($J:$J,70+I301))</f>
        <v/>
      </c>
      <c r="L301" s="1109" t="n">
        <v>231</v>
      </c>
      <c r="M301" s="669" t="n"/>
      <c r="N301" s="669" t="n"/>
      <c r="O301" s="669" t="n"/>
      <c r="P301" s="669" t="n"/>
      <c r="Q301" s="669" t="n"/>
      <c r="R301" s="669" t="n"/>
      <c r="S301" s="669" t="n"/>
      <c r="T301" s="669" t="n"/>
      <c r="U301" s="669" t="n"/>
      <c r="V301" s="669" t="n"/>
      <c r="W301" s="669" t="n"/>
      <c r="X301" s="669" t="n"/>
      <c r="Y301" s="669" t="n"/>
      <c r="Z301" s="669" t="n"/>
      <c r="AA301" s="669" t="n"/>
      <c r="AB301" s="669" t="n"/>
    </row>
    <row r="302">
      <c r="I302" s="1109" t="n">
        <v>232</v>
      </c>
      <c r="J302" s="1112">
        <f>'Offering Speed'!$C$69*(I301+1) + 'Offering Speed'!$C$70*MAX(I302-'Offering Speed'!$C$69, 0)</f>
        <v/>
      </c>
      <c r="K302" s="1112">
        <f>SUM(J71:INDEX($J:$J,70+I302))</f>
        <v/>
      </c>
      <c r="L302" s="1109" t="n">
        <v>232</v>
      </c>
      <c r="M302" s="669" t="n"/>
      <c r="N302" s="669" t="n"/>
      <c r="O302" s="669" t="n"/>
      <c r="P302" s="669" t="n"/>
      <c r="Q302" s="669" t="n"/>
      <c r="R302" s="669" t="n"/>
      <c r="S302" s="669" t="n"/>
      <c r="T302" s="669" t="n"/>
      <c r="U302" s="669" t="n"/>
      <c r="V302" s="669" t="n"/>
      <c r="W302" s="669" t="n"/>
      <c r="X302" s="669" t="n"/>
      <c r="Y302" s="669" t="n"/>
      <c r="Z302" s="669" t="n"/>
      <c r="AA302" s="669" t="n"/>
      <c r="AB302" s="669" t="n"/>
    </row>
    <row r="303">
      <c r="I303" s="1109" t="n">
        <v>233</v>
      </c>
      <c r="J303" s="1112">
        <f>'Offering Speed'!$C$69*(I302+1) + 'Offering Speed'!$C$70*MAX(I303-'Offering Speed'!$C$69, 0)</f>
        <v/>
      </c>
      <c r="K303" s="1112">
        <f>SUM(J71:INDEX($J:$J,70+I303))</f>
        <v/>
      </c>
      <c r="L303" s="1109" t="n">
        <v>233</v>
      </c>
      <c r="M303" s="669" t="n"/>
      <c r="N303" s="669" t="n"/>
      <c r="O303" s="669" t="n"/>
      <c r="P303" s="669" t="n"/>
      <c r="Q303" s="669" t="n"/>
      <c r="R303" s="669" t="n"/>
      <c r="S303" s="669" t="n"/>
      <c r="T303" s="669" t="n"/>
      <c r="U303" s="669" t="n"/>
      <c r="V303" s="669" t="n"/>
      <c r="W303" s="669" t="n"/>
      <c r="X303" s="669" t="n"/>
      <c r="Y303" s="669" t="n"/>
      <c r="Z303" s="669" t="n"/>
      <c r="AA303" s="669" t="n"/>
      <c r="AB303" s="669" t="n"/>
    </row>
    <row r="304">
      <c r="I304" s="1109" t="n">
        <v>234</v>
      </c>
      <c r="J304" s="1112">
        <f>'Offering Speed'!$C$69*(I303+1) + 'Offering Speed'!$C$70*MAX(I304-'Offering Speed'!$C$69, 0)</f>
        <v/>
      </c>
      <c r="K304" s="1112">
        <f>SUM(J71:INDEX($J:$J,70+I304))</f>
        <v/>
      </c>
      <c r="L304" s="1109" t="n">
        <v>234</v>
      </c>
      <c r="M304" s="669" t="n"/>
      <c r="N304" s="669" t="n"/>
      <c r="O304" s="669" t="n"/>
      <c r="P304" s="669" t="n"/>
      <c r="Q304" s="669" t="n"/>
      <c r="R304" s="669" t="n"/>
      <c r="S304" s="669" t="n"/>
      <c r="T304" s="669" t="n"/>
      <c r="U304" s="669" t="n"/>
      <c r="V304" s="669" t="n"/>
      <c r="W304" s="669" t="n"/>
      <c r="X304" s="669" t="n"/>
      <c r="Y304" s="669" t="n"/>
      <c r="Z304" s="669" t="n"/>
      <c r="AA304" s="669" t="n"/>
      <c r="AB304" s="669" t="n"/>
    </row>
    <row r="305">
      <c r="I305" s="1109" t="n">
        <v>235</v>
      </c>
      <c r="J305" s="1112">
        <f>'Offering Speed'!$C$69*(I304+1) + 'Offering Speed'!$C$70*MAX(I305-'Offering Speed'!$C$69, 0)</f>
        <v/>
      </c>
      <c r="K305" s="1112">
        <f>SUM(J71:INDEX($J:$J,70+I305))</f>
        <v/>
      </c>
      <c r="L305" s="1109" t="n">
        <v>235</v>
      </c>
      <c r="M305" s="669" t="n"/>
      <c r="N305" s="669" t="n"/>
      <c r="O305" s="669" t="n"/>
      <c r="P305" s="669" t="n"/>
      <c r="Q305" s="669" t="n"/>
      <c r="R305" s="669" t="n"/>
      <c r="S305" s="669" t="n"/>
      <c r="T305" s="669" t="n"/>
      <c r="U305" s="669" t="n"/>
      <c r="V305" s="669" t="n"/>
      <c r="W305" s="669" t="n"/>
      <c r="X305" s="669" t="n"/>
      <c r="Y305" s="669" t="n"/>
      <c r="Z305" s="669" t="n"/>
      <c r="AA305" s="669" t="n"/>
      <c r="AB305" s="669" t="n"/>
    </row>
    <row r="306">
      <c r="I306" s="1109" t="n">
        <v>236</v>
      </c>
      <c r="J306" s="1112">
        <f>'Offering Speed'!$C$69*(I305+1) + 'Offering Speed'!$C$70*MAX(I306-'Offering Speed'!$C$69, 0)</f>
        <v/>
      </c>
      <c r="K306" s="1112">
        <f>SUM(J71:INDEX($J:$J,70+I306))</f>
        <v/>
      </c>
      <c r="L306" s="1109" t="n">
        <v>236</v>
      </c>
      <c r="M306" s="669" t="n"/>
      <c r="N306" s="669" t="n"/>
      <c r="O306" s="669" t="n"/>
      <c r="P306" s="669" t="n"/>
      <c r="Q306" s="669" t="n"/>
      <c r="R306" s="669" t="n"/>
      <c r="S306" s="669" t="n"/>
      <c r="T306" s="669" t="n"/>
      <c r="U306" s="669" t="n"/>
      <c r="V306" s="669" t="n"/>
      <c r="W306" s="669" t="n"/>
      <c r="X306" s="669" t="n"/>
      <c r="Y306" s="669" t="n"/>
      <c r="Z306" s="669" t="n"/>
      <c r="AA306" s="669" t="n"/>
      <c r="AB306" s="669" t="n"/>
    </row>
    <row r="307">
      <c r="I307" s="1109" t="n">
        <v>237</v>
      </c>
      <c r="J307" s="1112">
        <f>'Offering Speed'!$C$69*(I306+1) + 'Offering Speed'!$C$70*MAX(I307-'Offering Speed'!$C$69, 0)</f>
        <v/>
      </c>
      <c r="K307" s="1112">
        <f>SUM(J71:INDEX($J:$J,70+I307))</f>
        <v/>
      </c>
      <c r="L307" s="1109" t="n">
        <v>237</v>
      </c>
      <c r="M307" s="669" t="n"/>
      <c r="N307" s="669" t="n"/>
      <c r="O307" s="669" t="n"/>
      <c r="P307" s="669" t="n"/>
      <c r="Q307" s="669" t="n"/>
      <c r="R307" s="669" t="n"/>
      <c r="S307" s="669" t="n"/>
      <c r="T307" s="669" t="n"/>
      <c r="U307" s="669" t="n"/>
      <c r="V307" s="669" t="n"/>
      <c r="W307" s="669" t="n"/>
      <c r="X307" s="669" t="n"/>
      <c r="Y307" s="669" t="n"/>
      <c r="Z307" s="669" t="n"/>
      <c r="AA307" s="669" t="n"/>
      <c r="AB307" s="669" t="n"/>
    </row>
    <row r="308">
      <c r="I308" s="1109" t="n">
        <v>238</v>
      </c>
      <c r="J308" s="1112">
        <f>'Offering Speed'!$C$69*(I307+1) + 'Offering Speed'!$C$70*MAX(I308-'Offering Speed'!$C$69, 0)</f>
        <v/>
      </c>
      <c r="K308" s="1112">
        <f>SUM(J71:INDEX($J:$J,70+I308))</f>
        <v/>
      </c>
      <c r="L308" s="1109" t="n">
        <v>238</v>
      </c>
      <c r="M308" s="669" t="n"/>
      <c r="N308" s="669" t="n"/>
      <c r="O308" s="669" t="n"/>
      <c r="P308" s="669" t="n"/>
      <c r="Q308" s="669" t="n"/>
      <c r="R308" s="669" t="n"/>
      <c r="S308" s="669" t="n"/>
      <c r="T308" s="669" t="n"/>
      <c r="U308" s="669" t="n"/>
      <c r="V308" s="669" t="n"/>
      <c r="W308" s="669" t="n"/>
      <c r="X308" s="669" t="n"/>
      <c r="Y308" s="669" t="n"/>
      <c r="Z308" s="669" t="n"/>
      <c r="AA308" s="669" t="n"/>
      <c r="AB308" s="669" t="n"/>
    </row>
    <row r="309">
      <c r="I309" s="1109" t="n">
        <v>239</v>
      </c>
      <c r="J309" s="1112">
        <f>'Offering Speed'!$C$69*(I308+1) + 'Offering Speed'!$C$70*MAX(I309-'Offering Speed'!$C$69, 0)</f>
        <v/>
      </c>
      <c r="K309" s="1112">
        <f>SUM(J71:INDEX($J:$J,70+I309))</f>
        <v/>
      </c>
      <c r="L309" s="1109" t="n">
        <v>239</v>
      </c>
      <c r="M309" s="669" t="n"/>
      <c r="N309" s="669" t="n"/>
      <c r="O309" s="669" t="n"/>
      <c r="P309" s="669" t="n"/>
      <c r="Q309" s="669" t="n"/>
      <c r="R309" s="669" t="n"/>
      <c r="S309" s="669" t="n"/>
      <c r="T309" s="669" t="n"/>
      <c r="U309" s="669" t="n"/>
      <c r="V309" s="669" t="n"/>
      <c r="W309" s="669" t="n"/>
      <c r="X309" s="669" t="n"/>
      <c r="Y309" s="669" t="n"/>
      <c r="Z309" s="669" t="n"/>
      <c r="AA309" s="669" t="n"/>
      <c r="AB309" s="669" t="n"/>
    </row>
    <row r="310">
      <c r="I310" s="1109" t="n">
        <v>240</v>
      </c>
      <c r="J310" s="1112">
        <f>'Offering Speed'!$C$69*(I309+1) + 'Offering Speed'!$C$70*MAX(I310-'Offering Speed'!$C$69, 0)</f>
        <v/>
      </c>
      <c r="K310" s="1112">
        <f>SUM(J71:INDEX($J:$J,70+I310))</f>
        <v/>
      </c>
      <c r="L310" s="1109" t="n">
        <v>240</v>
      </c>
      <c r="M310" s="669" t="n"/>
      <c r="N310" s="669" t="n"/>
      <c r="O310" s="669" t="n"/>
      <c r="P310" s="669" t="n"/>
      <c r="Q310" s="669" t="n"/>
      <c r="R310" s="669" t="n"/>
      <c r="S310" s="669" t="n"/>
      <c r="T310" s="669" t="n"/>
      <c r="U310" s="669" t="n"/>
      <c r="V310" s="669" t="n"/>
      <c r="W310" s="669" t="n"/>
      <c r="X310" s="669" t="n"/>
      <c r="Y310" s="669" t="n"/>
      <c r="Z310" s="669" t="n"/>
      <c r="AA310" s="669" t="n"/>
      <c r="AB310" s="669" t="n"/>
    </row>
    <row r="311">
      <c r="I311" s="669" t="n"/>
      <c r="J311" s="669" t="n"/>
      <c r="K311" s="669" t="n"/>
      <c r="L311" s="669" t="n"/>
      <c r="M311" s="669" t="n"/>
      <c r="N311" s="669" t="n"/>
      <c r="O311" s="669" t="n"/>
      <c r="P311" s="669" t="n"/>
      <c r="Q311" s="669" t="n"/>
      <c r="R311" s="669" t="n"/>
      <c r="S311" s="669" t="n"/>
      <c r="T311" s="669" t="n"/>
      <c r="U311" s="669" t="n"/>
      <c r="V311" s="669" t="n"/>
      <c r="W311" s="669" t="n"/>
      <c r="X311" s="669" t="n"/>
      <c r="Y311" s="669" t="n"/>
      <c r="Z311" s="669" t="n"/>
      <c r="AA311" s="669" t="n"/>
      <c r="AB311" s="669" t="n"/>
    </row>
    <row r="312">
      <c r="I312" s="669" t="n"/>
      <c r="J312" s="669" t="n"/>
      <c r="K312" s="669" t="n"/>
      <c r="L312" s="669" t="n"/>
      <c r="M312" s="669" t="n"/>
      <c r="N312" s="669" t="n"/>
      <c r="O312" s="669" t="n"/>
      <c r="P312" s="669" t="n"/>
      <c r="Q312" s="669" t="n"/>
      <c r="R312" s="669" t="n"/>
      <c r="S312" s="669" t="n"/>
      <c r="T312" s="669" t="n"/>
      <c r="U312" s="669" t="n"/>
      <c r="V312" s="669" t="n"/>
      <c r="W312" s="669" t="n"/>
      <c r="X312" s="669" t="n"/>
      <c r="Y312" s="669" t="n"/>
      <c r="Z312" s="669" t="n"/>
      <c r="AA312" s="669" t="n"/>
      <c r="AB312" s="669" t="n"/>
    </row>
    <row r="313">
      <c r="I313" s="669" t="n"/>
      <c r="J313" s="669" t="n"/>
      <c r="K313" s="669" t="n"/>
      <c r="L313" s="669" t="n"/>
      <c r="M313" s="669" t="n"/>
      <c r="N313" s="669" t="n"/>
      <c r="O313" s="669" t="n"/>
      <c r="P313" s="669" t="n"/>
      <c r="Q313" s="669" t="n"/>
      <c r="R313" s="669" t="n"/>
      <c r="S313" s="669" t="n"/>
      <c r="T313" s="669" t="n"/>
      <c r="U313" s="669" t="n"/>
      <c r="V313" s="669" t="n"/>
      <c r="W313" s="669" t="n"/>
      <c r="X313" s="669" t="n"/>
      <c r="Y313" s="669" t="n"/>
      <c r="Z313" s="669" t="n"/>
      <c r="AA313" s="669" t="n"/>
      <c r="AB313" s="669" t="n"/>
    </row>
    <row r="314">
      <c r="I314" s="669" t="n"/>
      <c r="J314" s="669" t="n"/>
      <c r="K314" s="669" t="n"/>
      <c r="L314" s="669" t="n"/>
      <c r="M314" s="669" t="n"/>
      <c r="N314" s="669" t="n"/>
      <c r="O314" s="669" t="n"/>
      <c r="P314" s="669" t="n"/>
      <c r="Q314" s="669" t="n"/>
      <c r="R314" s="669" t="n"/>
      <c r="S314" s="669" t="n"/>
      <c r="T314" s="669" t="n"/>
      <c r="U314" s="669" t="n"/>
      <c r="V314" s="669" t="n"/>
      <c r="W314" s="669" t="n"/>
      <c r="X314" s="669" t="n"/>
      <c r="Y314" s="669" t="n"/>
      <c r="Z314" s="669" t="n"/>
      <c r="AA314" s="669" t="n"/>
      <c r="AB314" s="669" t="n"/>
    </row>
    <row r="315">
      <c r="I315" s="669" t="n"/>
      <c r="J315" s="669" t="n"/>
      <c r="K315" s="669" t="n"/>
      <c r="L315" s="669" t="n"/>
      <c r="M315" s="669" t="n"/>
      <c r="N315" s="669" t="n"/>
      <c r="O315" s="669" t="n"/>
      <c r="P315" s="669" t="n"/>
      <c r="Q315" s="669" t="n"/>
      <c r="R315" s="669" t="n"/>
      <c r="S315" s="669" t="n"/>
      <c r="T315" s="669" t="n"/>
      <c r="U315" s="669" t="n"/>
      <c r="V315" s="669" t="n"/>
      <c r="W315" s="669" t="n"/>
      <c r="X315" s="669" t="n"/>
      <c r="Y315" s="669" t="n"/>
      <c r="Z315" s="669" t="n"/>
      <c r="AA315" s="669" t="n"/>
      <c r="AB315" s="669" t="n"/>
    </row>
    <row r="316">
      <c r="I316" s="669" t="n"/>
      <c r="J316" s="669" t="n"/>
      <c r="K316" s="669" t="n"/>
      <c r="L316" s="669" t="n"/>
      <c r="M316" s="669" t="n"/>
      <c r="N316" s="669" t="n"/>
      <c r="O316" s="669" t="n"/>
      <c r="P316" s="669" t="n"/>
      <c r="Q316" s="669" t="n"/>
      <c r="R316" s="669" t="n"/>
      <c r="S316" s="669" t="n"/>
      <c r="T316" s="669" t="n"/>
      <c r="U316" s="669" t="n"/>
      <c r="V316" s="669" t="n"/>
      <c r="W316" s="669" t="n"/>
      <c r="X316" s="669" t="n"/>
      <c r="Y316" s="669" t="n"/>
      <c r="Z316" s="669" t="n"/>
      <c r="AA316" s="669" t="n"/>
      <c r="AB316" s="669" t="n"/>
    </row>
    <row r="317">
      <c r="I317" s="669" t="n"/>
      <c r="J317" s="669" t="n"/>
      <c r="K317" s="669" t="n"/>
      <c r="L317" s="669" t="n"/>
      <c r="M317" s="669" t="n"/>
      <c r="N317" s="669" t="n"/>
      <c r="O317" s="669" t="n"/>
      <c r="P317" s="669" t="n"/>
      <c r="Q317" s="669" t="n"/>
      <c r="R317" s="669" t="n"/>
      <c r="S317" s="669" t="n"/>
      <c r="T317" s="669" t="n"/>
      <c r="U317" s="669" t="n"/>
      <c r="V317" s="669" t="n"/>
      <c r="W317" s="669" t="n"/>
      <c r="X317" s="669" t="n"/>
      <c r="Y317" s="669" t="n"/>
      <c r="Z317" s="669" t="n"/>
      <c r="AA317" s="669" t="n"/>
      <c r="AB317" s="669" t="n"/>
    </row>
    <row r="318">
      <c r="I318" s="669" t="n"/>
      <c r="J318" s="669" t="n"/>
      <c r="K318" s="669" t="n"/>
      <c r="L318" s="669" t="n"/>
      <c r="M318" s="669" t="n"/>
      <c r="N318" s="669" t="n"/>
      <c r="O318" s="669" t="n"/>
      <c r="P318" s="669" t="n"/>
      <c r="Q318" s="669" t="n"/>
      <c r="R318" s="669" t="n"/>
      <c r="S318" s="669" t="n"/>
      <c r="T318" s="669" t="n"/>
      <c r="U318" s="669" t="n"/>
      <c r="V318" s="669" t="n"/>
      <c r="W318" s="669" t="n"/>
      <c r="X318" s="669" t="n"/>
      <c r="Y318" s="669" t="n"/>
      <c r="Z318" s="669" t="n"/>
      <c r="AA318" s="669" t="n"/>
      <c r="AB318" s="669" t="n"/>
    </row>
    <row r="319">
      <c r="I319" s="669" t="n"/>
      <c r="J319" s="669" t="n"/>
      <c r="K319" s="669" t="n"/>
      <c r="L319" s="669" t="n"/>
      <c r="M319" s="669" t="n"/>
      <c r="N319" s="669" t="n"/>
      <c r="O319" s="669" t="n"/>
      <c r="P319" s="669" t="n"/>
      <c r="Q319" s="669" t="n"/>
      <c r="R319" s="669" t="n"/>
      <c r="S319" s="669" t="n"/>
      <c r="T319" s="669" t="n"/>
      <c r="U319" s="669" t="n"/>
      <c r="V319" s="669" t="n"/>
      <c r="W319" s="669" t="n"/>
      <c r="X319" s="669" t="n"/>
      <c r="Y319" s="669" t="n"/>
      <c r="Z319" s="669" t="n"/>
      <c r="AA319" s="669" t="n"/>
      <c r="AB319" s="669" t="n"/>
    </row>
    <row r="320">
      <c r="I320" s="669" t="n"/>
      <c r="J320" s="669" t="n"/>
      <c r="K320" s="669" t="n"/>
      <c r="L320" s="669" t="n"/>
      <c r="M320" s="669" t="n"/>
      <c r="N320" s="669" t="n"/>
      <c r="O320" s="669" t="n"/>
      <c r="P320" s="669" t="n"/>
      <c r="Q320" s="669" t="n"/>
      <c r="R320" s="669" t="n"/>
      <c r="S320" s="669" t="n"/>
      <c r="T320" s="669" t="n"/>
      <c r="U320" s="669" t="n"/>
      <c r="V320" s="669" t="n"/>
      <c r="W320" s="669" t="n"/>
      <c r="X320" s="669" t="n"/>
      <c r="Y320" s="669" t="n"/>
      <c r="Z320" s="669" t="n"/>
      <c r="AA320" s="669" t="n"/>
      <c r="AB320" s="669" t="n"/>
    </row>
    <row r="321">
      <c r="I321" s="669" t="n"/>
      <c r="J321" s="669" t="n"/>
      <c r="K321" s="669" t="n"/>
      <c r="L321" s="669" t="n"/>
      <c r="M321" s="669" t="n"/>
      <c r="N321" s="669" t="n"/>
      <c r="O321" s="669" t="n"/>
      <c r="P321" s="669" t="n"/>
      <c r="Q321" s="669" t="n"/>
      <c r="R321" s="669" t="n"/>
      <c r="S321" s="669" t="n"/>
      <c r="T321" s="669" t="n"/>
      <c r="U321" s="669" t="n"/>
      <c r="V321" s="669" t="n"/>
      <c r="W321" s="669" t="n"/>
      <c r="X321" s="669" t="n"/>
      <c r="Y321" s="669" t="n"/>
      <c r="Z321" s="669" t="n"/>
      <c r="AA321" s="669" t="n"/>
      <c r="AB321" s="669" t="n"/>
    </row>
    <row r="322">
      <c r="I322" s="669" t="n"/>
      <c r="J322" s="669" t="n"/>
      <c r="K322" s="669" t="n"/>
      <c r="L322" s="669" t="n"/>
      <c r="M322" s="669" t="n"/>
      <c r="N322" s="669" t="n"/>
      <c r="O322" s="669" t="n"/>
      <c r="P322" s="669" t="n"/>
      <c r="Q322" s="669" t="n"/>
      <c r="R322" s="669" t="n"/>
      <c r="S322" s="669" t="n"/>
      <c r="T322" s="669" t="n"/>
      <c r="U322" s="669" t="n"/>
      <c r="V322" s="669" t="n"/>
      <c r="W322" s="669" t="n"/>
      <c r="X322" s="669" t="n"/>
      <c r="Y322" s="669" t="n"/>
      <c r="Z322" s="669" t="n"/>
      <c r="AA322" s="669" t="n"/>
      <c r="AB322" s="669" t="n"/>
    </row>
    <row r="323">
      <c r="I323" s="669" t="n"/>
      <c r="J323" s="669" t="n"/>
      <c r="K323" s="669" t="n"/>
      <c r="L323" s="669" t="n"/>
      <c r="M323" s="669" t="n"/>
      <c r="N323" s="669" t="n"/>
      <c r="O323" s="669" t="n"/>
      <c r="P323" s="669" t="n"/>
      <c r="Q323" s="669" t="n"/>
      <c r="R323" s="669" t="n"/>
      <c r="S323" s="669" t="n"/>
      <c r="T323" s="669" t="n"/>
      <c r="U323" s="669" t="n"/>
      <c r="V323" s="669" t="n"/>
      <c r="W323" s="669" t="n"/>
      <c r="X323" s="669" t="n"/>
      <c r="Y323" s="669" t="n"/>
      <c r="Z323" s="669" t="n"/>
      <c r="AA323" s="669" t="n"/>
      <c r="AB323" s="669" t="n"/>
    </row>
    <row r="324">
      <c r="I324" s="669" t="n"/>
      <c r="J324" s="669" t="n"/>
      <c r="K324" s="669" t="n"/>
      <c r="L324" s="669" t="n"/>
      <c r="M324" s="669" t="n"/>
      <c r="N324" s="669" t="n"/>
      <c r="O324" s="669" t="n"/>
      <c r="P324" s="669" t="n"/>
      <c r="Q324" s="669" t="n"/>
      <c r="R324" s="669" t="n"/>
      <c r="S324" s="669" t="n"/>
      <c r="T324" s="669" t="n"/>
      <c r="U324" s="669" t="n"/>
      <c r="V324" s="669" t="n"/>
      <c r="W324" s="669" t="n"/>
      <c r="X324" s="669" t="n"/>
      <c r="Y324" s="669" t="n"/>
      <c r="Z324" s="669" t="n"/>
      <c r="AA324" s="669" t="n"/>
      <c r="AB324" s="669" t="n"/>
    </row>
    <row r="325">
      <c r="I325" s="669" t="n"/>
      <c r="J325" s="669" t="n"/>
      <c r="K325" s="669" t="n"/>
      <c r="L325" s="669" t="n"/>
      <c r="M325" s="669" t="n"/>
      <c r="N325" s="669" t="n"/>
      <c r="O325" s="669" t="n"/>
      <c r="P325" s="669" t="n"/>
      <c r="Q325" s="669" t="n"/>
      <c r="R325" s="669" t="n"/>
      <c r="S325" s="669" t="n"/>
      <c r="T325" s="669" t="n"/>
      <c r="U325" s="669" t="n"/>
      <c r="V325" s="669" t="n"/>
      <c r="W325" s="669" t="n"/>
      <c r="X325" s="669" t="n"/>
      <c r="Y325" s="669" t="n"/>
      <c r="Z325" s="669" t="n"/>
      <c r="AA325" s="669" t="n"/>
      <c r="AB325" s="669" t="n"/>
    </row>
    <row r="326">
      <c r="I326" s="669" t="n"/>
      <c r="J326" s="669" t="n"/>
      <c r="K326" s="669" t="n"/>
      <c r="L326" s="669" t="n"/>
      <c r="M326" s="669" t="n"/>
      <c r="N326" s="669" t="n"/>
      <c r="O326" s="669" t="n"/>
      <c r="P326" s="669" t="n"/>
      <c r="Q326" s="669" t="n"/>
      <c r="R326" s="669" t="n"/>
      <c r="S326" s="669" t="n"/>
      <c r="T326" s="669" t="n"/>
      <c r="U326" s="669" t="n"/>
      <c r="V326" s="669" t="n"/>
      <c r="W326" s="669" t="n"/>
      <c r="X326" s="669" t="n"/>
      <c r="Y326" s="669" t="n"/>
      <c r="Z326" s="669" t="n"/>
      <c r="AA326" s="669" t="n"/>
      <c r="AB326" s="669" t="n"/>
    </row>
    <row r="327">
      <c r="I327" s="669" t="n"/>
      <c r="J327" s="669" t="n"/>
      <c r="K327" s="669" t="n"/>
      <c r="L327" s="669" t="n"/>
      <c r="M327" s="669" t="n"/>
      <c r="N327" s="669" t="n"/>
      <c r="O327" s="669" t="n"/>
      <c r="P327" s="669" t="n"/>
      <c r="Q327" s="669" t="n"/>
      <c r="R327" s="669" t="n"/>
      <c r="S327" s="669" t="n"/>
      <c r="T327" s="669" t="n"/>
      <c r="U327" s="669" t="n"/>
      <c r="V327" s="669" t="n"/>
      <c r="W327" s="669" t="n"/>
      <c r="X327" s="669" t="n"/>
      <c r="Y327" s="669" t="n"/>
      <c r="Z327" s="669" t="n"/>
      <c r="AA327" s="669" t="n"/>
      <c r="AB327" s="669" t="n"/>
    </row>
    <row r="328">
      <c r="I328" s="669" t="n"/>
      <c r="J328" s="669" t="n"/>
      <c r="K328" s="669" t="n"/>
      <c r="L328" s="669" t="n"/>
      <c r="M328" s="669" t="n"/>
      <c r="N328" s="669" t="n"/>
      <c r="O328" s="669" t="n"/>
      <c r="P328" s="669" t="n"/>
      <c r="Q328" s="669" t="n"/>
      <c r="R328" s="669" t="n"/>
      <c r="S328" s="669" t="n"/>
      <c r="T328" s="669" t="n"/>
      <c r="U328" s="669" t="n"/>
      <c r="V328" s="669" t="n"/>
      <c r="W328" s="669" t="n"/>
      <c r="X328" s="669" t="n"/>
      <c r="Y328" s="669" t="n"/>
      <c r="Z328" s="669" t="n"/>
      <c r="AA328" s="669" t="n"/>
      <c r="AB328" s="669" t="n"/>
    </row>
    <row r="329">
      <c r="I329" s="669" t="n"/>
      <c r="J329" s="669" t="n"/>
      <c r="K329" s="669" t="n"/>
      <c r="L329" s="669" t="n"/>
      <c r="M329" s="669" t="n"/>
      <c r="N329" s="669" t="n"/>
      <c r="O329" s="669" t="n"/>
      <c r="P329" s="669" t="n"/>
      <c r="Q329" s="669" t="n"/>
      <c r="R329" s="669" t="n"/>
      <c r="S329" s="669" t="n"/>
      <c r="T329" s="669" t="n"/>
      <c r="U329" s="669" t="n"/>
      <c r="V329" s="669" t="n"/>
      <c r="W329" s="669" t="n"/>
      <c r="X329" s="669" t="n"/>
      <c r="Y329" s="669" t="n"/>
      <c r="Z329" s="669" t="n"/>
      <c r="AA329" s="669" t="n"/>
      <c r="AB329" s="669" t="n"/>
    </row>
    <row r="330">
      <c r="I330" s="669" t="n"/>
      <c r="J330" s="669" t="n"/>
      <c r="K330" s="669" t="n"/>
      <c r="L330" s="669" t="n"/>
      <c r="M330" s="669" t="n"/>
      <c r="N330" s="669" t="n"/>
      <c r="O330" s="669" t="n"/>
      <c r="P330" s="669" t="n"/>
      <c r="Q330" s="669" t="n"/>
      <c r="R330" s="669" t="n"/>
      <c r="S330" s="669" t="n"/>
      <c r="T330" s="669" t="n"/>
      <c r="U330" s="669" t="n"/>
      <c r="V330" s="669" t="n"/>
      <c r="W330" s="669" t="n"/>
      <c r="X330" s="669" t="n"/>
      <c r="Y330" s="669" t="n"/>
      <c r="Z330" s="669" t="n"/>
      <c r="AA330" s="669" t="n"/>
      <c r="AB330" s="669" t="n"/>
    </row>
    <row r="331">
      <c r="I331" s="669" t="n"/>
      <c r="J331" s="669" t="n"/>
      <c r="K331" s="669" t="n"/>
      <c r="L331" s="669" t="n"/>
      <c r="M331" s="669" t="n"/>
      <c r="N331" s="669" t="n"/>
      <c r="O331" s="669" t="n"/>
      <c r="P331" s="669" t="n"/>
      <c r="Q331" s="669" t="n"/>
      <c r="R331" s="669" t="n"/>
      <c r="S331" s="669" t="n"/>
      <c r="T331" s="669" t="n"/>
      <c r="U331" s="669" t="n"/>
      <c r="V331" s="669" t="n"/>
      <c r="W331" s="669" t="n"/>
      <c r="X331" s="669" t="n"/>
      <c r="Y331" s="669" t="n"/>
      <c r="Z331" s="669" t="n"/>
      <c r="AA331" s="669" t="n"/>
      <c r="AB331" s="669" t="n"/>
    </row>
    <row r="332">
      <c r="I332" s="669" t="n"/>
      <c r="J332" s="669" t="n"/>
      <c r="K332" s="669" t="n"/>
      <c r="L332" s="669" t="n"/>
      <c r="M332" s="669" t="n"/>
      <c r="N332" s="669" t="n"/>
      <c r="O332" s="669" t="n"/>
      <c r="P332" s="669" t="n"/>
      <c r="Q332" s="669" t="n"/>
      <c r="R332" s="669" t="n"/>
      <c r="S332" s="669" t="n"/>
      <c r="T332" s="669" t="n"/>
      <c r="U332" s="669" t="n"/>
      <c r="V332" s="669" t="n"/>
      <c r="W332" s="669" t="n"/>
      <c r="X332" s="669" t="n"/>
      <c r="Y332" s="669" t="n"/>
      <c r="Z332" s="669" t="n"/>
      <c r="AA332" s="669" t="n"/>
      <c r="AB332" s="669" t="n"/>
    </row>
    <row r="333">
      <c r="I333" s="669" t="n"/>
      <c r="J333" s="669" t="n"/>
      <c r="K333" s="669" t="n"/>
      <c r="L333" s="669" t="n"/>
      <c r="M333" s="669" t="n"/>
      <c r="N333" s="669" t="n"/>
      <c r="O333" s="669" t="n"/>
      <c r="P333" s="669" t="n"/>
      <c r="Q333" s="669" t="n"/>
      <c r="R333" s="669" t="n"/>
      <c r="S333" s="669" t="n"/>
      <c r="T333" s="669" t="n"/>
      <c r="U333" s="669" t="n"/>
      <c r="V333" s="669" t="n"/>
      <c r="W333" s="669" t="n"/>
      <c r="X333" s="669" t="n"/>
      <c r="Y333" s="669" t="n"/>
      <c r="Z333" s="669" t="n"/>
      <c r="AA333" s="669" t="n"/>
      <c r="AB333" s="669" t="n"/>
    </row>
    <row r="334">
      <c r="I334" s="669" t="n"/>
      <c r="J334" s="669" t="n"/>
      <c r="K334" s="669" t="n"/>
      <c r="L334" s="669" t="n"/>
      <c r="M334" s="669" t="n"/>
      <c r="N334" s="669" t="n"/>
      <c r="O334" s="669" t="n"/>
      <c r="P334" s="669" t="n"/>
      <c r="Q334" s="669" t="n"/>
      <c r="R334" s="669" t="n"/>
      <c r="S334" s="669" t="n"/>
      <c r="T334" s="669" t="n"/>
      <c r="U334" s="669" t="n"/>
      <c r="V334" s="669" t="n"/>
      <c r="W334" s="669" t="n"/>
      <c r="X334" s="669" t="n"/>
      <c r="Y334" s="669" t="n"/>
      <c r="Z334" s="669" t="n"/>
      <c r="AA334" s="669" t="n"/>
      <c r="AB334" s="669" t="n"/>
    </row>
    <row r="335">
      <c r="I335" s="669" t="n"/>
      <c r="J335" s="669" t="n"/>
      <c r="K335" s="669" t="n"/>
      <c r="L335" s="669" t="n"/>
      <c r="M335" s="669" t="n"/>
      <c r="N335" s="669" t="n"/>
      <c r="O335" s="669" t="n"/>
      <c r="P335" s="669" t="n"/>
      <c r="Q335" s="669" t="n"/>
      <c r="R335" s="669" t="n"/>
      <c r="S335" s="669" t="n"/>
      <c r="T335" s="669" t="n"/>
      <c r="U335" s="669" t="n"/>
      <c r="V335" s="669" t="n"/>
      <c r="W335" s="669" t="n"/>
      <c r="X335" s="669" t="n"/>
      <c r="Y335" s="669" t="n"/>
      <c r="Z335" s="669" t="n"/>
      <c r="AA335" s="669" t="n"/>
      <c r="AB335" s="669" t="n"/>
    </row>
    <row r="336">
      <c r="I336" s="669" t="n"/>
      <c r="J336" s="669" t="n"/>
      <c r="K336" s="669" t="n"/>
      <c r="L336" s="669" t="n"/>
      <c r="M336" s="669" t="n"/>
      <c r="N336" s="669" t="n"/>
      <c r="O336" s="669" t="n"/>
      <c r="P336" s="669" t="n"/>
      <c r="Q336" s="669" t="n"/>
      <c r="R336" s="669" t="n"/>
      <c r="S336" s="669" t="n"/>
      <c r="T336" s="669" t="n"/>
      <c r="U336" s="669" t="n"/>
      <c r="V336" s="669" t="n"/>
      <c r="W336" s="669" t="n"/>
      <c r="X336" s="669" t="n"/>
      <c r="Y336" s="669" t="n"/>
      <c r="Z336" s="669" t="n"/>
      <c r="AA336" s="669" t="n"/>
      <c r="AB336" s="669" t="n"/>
    </row>
    <row r="337">
      <c r="I337" s="669" t="n"/>
      <c r="J337" s="669" t="n"/>
      <c r="K337" s="669" t="n"/>
      <c r="L337" s="669" t="n"/>
      <c r="M337" s="669" t="n"/>
      <c r="N337" s="669" t="n"/>
      <c r="O337" s="669" t="n"/>
      <c r="P337" s="669" t="n"/>
      <c r="Q337" s="669" t="n"/>
      <c r="R337" s="669" t="n"/>
      <c r="S337" s="669" t="n"/>
      <c r="T337" s="669" t="n"/>
      <c r="U337" s="669" t="n"/>
      <c r="V337" s="669" t="n"/>
      <c r="W337" s="669" t="n"/>
      <c r="X337" s="669" t="n"/>
      <c r="Y337" s="669" t="n"/>
      <c r="Z337" s="669" t="n"/>
      <c r="AA337" s="669" t="n"/>
      <c r="AB337" s="669" t="n"/>
    </row>
    <row r="338">
      <c r="I338" s="669" t="n"/>
      <c r="J338" s="669" t="n"/>
      <c r="K338" s="669" t="n"/>
      <c r="L338" s="669" t="n"/>
      <c r="M338" s="669" t="n"/>
      <c r="N338" s="669" t="n"/>
      <c r="O338" s="669" t="n"/>
      <c r="P338" s="669" t="n"/>
      <c r="Q338" s="669" t="n"/>
      <c r="R338" s="669" t="n"/>
      <c r="S338" s="669" t="n"/>
      <c r="T338" s="669" t="n"/>
      <c r="U338" s="669" t="n"/>
      <c r="V338" s="669" t="n"/>
      <c r="W338" s="669" t="n"/>
      <c r="X338" s="669" t="n"/>
      <c r="Y338" s="669" t="n"/>
      <c r="Z338" s="669" t="n"/>
      <c r="AA338" s="669" t="n"/>
      <c r="AB338" s="669" t="n"/>
    </row>
    <row r="339">
      <c r="I339" s="669" t="n"/>
      <c r="J339" s="669" t="n"/>
      <c r="K339" s="669" t="n"/>
      <c r="L339" s="669" t="n"/>
      <c r="M339" s="669" t="n"/>
      <c r="N339" s="669" t="n"/>
      <c r="O339" s="669" t="n"/>
      <c r="P339" s="669" t="n"/>
      <c r="Q339" s="669" t="n"/>
      <c r="R339" s="669" t="n"/>
      <c r="S339" s="669" t="n"/>
      <c r="T339" s="669" t="n"/>
      <c r="U339" s="669" t="n"/>
      <c r="V339" s="669" t="n"/>
      <c r="W339" s="669" t="n"/>
      <c r="X339" s="669" t="n"/>
      <c r="Y339" s="669" t="n"/>
      <c r="Z339" s="669" t="n"/>
      <c r="AA339" s="669" t="n"/>
      <c r="AB339" s="669" t="n"/>
    </row>
    <row r="340">
      <c r="I340" s="669" t="n"/>
      <c r="J340" s="669" t="n"/>
      <c r="K340" s="669" t="n"/>
      <c r="L340" s="669" t="n"/>
      <c r="M340" s="669" t="n"/>
      <c r="N340" s="669" t="n"/>
      <c r="O340" s="669" t="n"/>
      <c r="P340" s="669" t="n"/>
      <c r="Q340" s="669" t="n"/>
      <c r="R340" s="669" t="n"/>
      <c r="S340" s="669" t="n"/>
      <c r="T340" s="669" t="n"/>
      <c r="U340" s="669" t="n"/>
      <c r="V340" s="669" t="n"/>
      <c r="W340" s="669" t="n"/>
      <c r="X340" s="669" t="n"/>
      <c r="Y340" s="669" t="n"/>
      <c r="Z340" s="669" t="n"/>
      <c r="AA340" s="669" t="n"/>
      <c r="AB340" s="669" t="n"/>
    </row>
    <row r="341">
      <c r="I341" s="669" t="n"/>
      <c r="J341" s="669" t="n"/>
      <c r="K341" s="669" t="n"/>
      <c r="L341" s="669" t="n"/>
      <c r="M341" s="669" t="n"/>
      <c r="N341" s="669" t="n"/>
      <c r="O341" s="669" t="n"/>
      <c r="P341" s="669" t="n"/>
      <c r="Q341" s="669" t="n"/>
      <c r="R341" s="669" t="n"/>
      <c r="S341" s="669" t="n"/>
      <c r="T341" s="669" t="n"/>
      <c r="U341" s="669" t="n"/>
      <c r="V341" s="669" t="n"/>
      <c r="W341" s="669" t="n"/>
      <c r="X341" s="669" t="n"/>
      <c r="Y341" s="669" t="n"/>
      <c r="Z341" s="669" t="n"/>
      <c r="AA341" s="669" t="n"/>
      <c r="AB341" s="669" t="n"/>
    </row>
    <row r="342">
      <c r="I342" s="669" t="n"/>
      <c r="J342" s="669" t="n"/>
      <c r="K342" s="669" t="n"/>
      <c r="L342" s="669" t="n"/>
      <c r="M342" s="669" t="n"/>
      <c r="N342" s="669" t="n"/>
      <c r="O342" s="669" t="n"/>
      <c r="P342" s="669" t="n"/>
      <c r="Q342" s="669" t="n"/>
      <c r="R342" s="669" t="n"/>
      <c r="S342" s="669" t="n"/>
      <c r="T342" s="669" t="n"/>
      <c r="U342" s="669" t="n"/>
      <c r="V342" s="669" t="n"/>
      <c r="W342" s="669" t="n"/>
      <c r="X342" s="669" t="n"/>
      <c r="Y342" s="669" t="n"/>
      <c r="Z342" s="669" t="n"/>
      <c r="AA342" s="669" t="n"/>
      <c r="AB342" s="669" t="n"/>
    </row>
    <row r="343">
      <c r="I343" s="669" t="n"/>
      <c r="J343" s="669" t="n"/>
      <c r="K343" s="669" t="n"/>
      <c r="L343" s="669" t="n"/>
      <c r="M343" s="669" t="n"/>
      <c r="N343" s="669" t="n"/>
      <c r="O343" s="669" t="n"/>
      <c r="P343" s="669" t="n"/>
      <c r="Q343" s="669" t="n"/>
      <c r="R343" s="669" t="n"/>
      <c r="S343" s="669" t="n"/>
      <c r="T343" s="669" t="n"/>
      <c r="U343" s="669" t="n"/>
      <c r="V343" s="669" t="n"/>
      <c r="W343" s="669" t="n"/>
      <c r="X343" s="669" t="n"/>
      <c r="Y343" s="669" t="n"/>
      <c r="Z343" s="669" t="n"/>
      <c r="AA343" s="669" t="n"/>
      <c r="AB343" s="669" t="n"/>
    </row>
    <row r="344">
      <c r="I344" s="669" t="n"/>
      <c r="J344" s="669" t="n"/>
      <c r="K344" s="669" t="n"/>
      <c r="L344" s="669" t="n"/>
      <c r="M344" s="669" t="n"/>
      <c r="N344" s="669" t="n"/>
      <c r="O344" s="669" t="n"/>
      <c r="P344" s="669" t="n"/>
      <c r="Q344" s="669" t="n"/>
      <c r="R344" s="669" t="n"/>
      <c r="S344" s="669" t="n"/>
      <c r="T344" s="669" t="n"/>
      <c r="U344" s="669" t="n"/>
      <c r="V344" s="669" t="n"/>
      <c r="W344" s="669" t="n"/>
      <c r="X344" s="669" t="n"/>
      <c r="Y344" s="669" t="n"/>
      <c r="Z344" s="669" t="n"/>
      <c r="AA344" s="669" t="n"/>
      <c r="AB344" s="669" t="n"/>
    </row>
    <row r="345">
      <c r="I345" s="669" t="n"/>
      <c r="J345" s="669" t="n"/>
      <c r="K345" s="669" t="n"/>
      <c r="L345" s="669" t="n"/>
      <c r="M345" s="669" t="n"/>
      <c r="N345" s="669" t="n"/>
      <c r="O345" s="669" t="n"/>
      <c r="P345" s="669" t="n"/>
      <c r="Q345" s="669" t="n"/>
      <c r="R345" s="669" t="n"/>
      <c r="S345" s="669" t="n"/>
      <c r="T345" s="669" t="n"/>
      <c r="U345" s="669" t="n"/>
      <c r="V345" s="669" t="n"/>
      <c r="W345" s="669" t="n"/>
      <c r="X345" s="669" t="n"/>
      <c r="Y345" s="669" t="n"/>
      <c r="Z345" s="669" t="n"/>
      <c r="AA345" s="669" t="n"/>
      <c r="AB345" s="669" t="n"/>
    </row>
    <row r="346">
      <c r="I346" s="669" t="n"/>
      <c r="J346" s="669" t="n"/>
      <c r="K346" s="669" t="n"/>
      <c r="L346" s="669" t="n"/>
      <c r="M346" s="669" t="n"/>
      <c r="N346" s="669" t="n"/>
      <c r="O346" s="669" t="n"/>
      <c r="P346" s="669" t="n"/>
      <c r="Q346" s="669" t="n"/>
      <c r="R346" s="669" t="n"/>
      <c r="S346" s="669" t="n"/>
      <c r="T346" s="669" t="n"/>
      <c r="U346" s="669" t="n"/>
      <c r="V346" s="669" t="n"/>
      <c r="W346" s="669" t="n"/>
      <c r="X346" s="669" t="n"/>
      <c r="Y346" s="669" t="n"/>
      <c r="Z346" s="669" t="n"/>
      <c r="AA346" s="669" t="n"/>
      <c r="AB346" s="669" t="n"/>
    </row>
    <row r="347">
      <c r="I347" s="669" t="n"/>
      <c r="J347" s="669" t="n"/>
      <c r="K347" s="669" t="n"/>
      <c r="L347" s="669" t="n"/>
      <c r="M347" s="669" t="n"/>
      <c r="N347" s="669" t="n"/>
      <c r="O347" s="669" t="n"/>
      <c r="P347" s="669" t="n"/>
      <c r="Q347" s="669" t="n"/>
      <c r="R347" s="669" t="n"/>
      <c r="S347" s="669" t="n"/>
      <c r="T347" s="669" t="n"/>
      <c r="U347" s="669" t="n"/>
      <c r="V347" s="669" t="n"/>
      <c r="W347" s="669" t="n"/>
      <c r="X347" s="669" t="n"/>
      <c r="Y347" s="669" t="n"/>
      <c r="Z347" s="669" t="n"/>
      <c r="AA347" s="669" t="n"/>
      <c r="AB347" s="669" t="n"/>
    </row>
    <row r="348">
      <c r="I348" s="669" t="n"/>
      <c r="J348" s="669" t="n"/>
      <c r="K348" s="669" t="n"/>
      <c r="L348" s="669" t="n"/>
      <c r="M348" s="669" t="n"/>
      <c r="N348" s="669" t="n"/>
      <c r="O348" s="669" t="n"/>
      <c r="P348" s="669" t="n"/>
      <c r="Q348" s="669" t="n"/>
      <c r="R348" s="669" t="n"/>
      <c r="S348" s="669" t="n"/>
      <c r="T348" s="669" t="n"/>
      <c r="U348" s="669" t="n"/>
      <c r="V348" s="669" t="n"/>
      <c r="W348" s="669" t="n"/>
      <c r="X348" s="669" t="n"/>
      <c r="Y348" s="669" t="n"/>
      <c r="Z348" s="669" t="n"/>
      <c r="AA348" s="669" t="n"/>
      <c r="AB348" s="669" t="n"/>
    </row>
    <row r="349">
      <c r="I349" s="669" t="n"/>
      <c r="J349" s="669" t="n"/>
      <c r="K349" s="669" t="n"/>
      <c r="L349" s="669" t="n"/>
      <c r="M349" s="669" t="n"/>
      <c r="N349" s="669" t="n"/>
      <c r="O349" s="669" t="n"/>
      <c r="P349" s="669" t="n"/>
      <c r="Q349" s="669" t="n"/>
      <c r="R349" s="669" t="n"/>
      <c r="S349" s="669" t="n"/>
      <c r="T349" s="669" t="n"/>
      <c r="U349" s="669" t="n"/>
      <c r="V349" s="669" t="n"/>
      <c r="W349" s="669" t="n"/>
      <c r="X349" s="669" t="n"/>
      <c r="Y349" s="669" t="n"/>
      <c r="Z349" s="669" t="n"/>
      <c r="AA349" s="669" t="n"/>
      <c r="AB349" s="669" t="n"/>
    </row>
    <row r="350">
      <c r="I350" s="669" t="n"/>
      <c r="J350" s="669" t="n"/>
      <c r="K350" s="669" t="n"/>
      <c r="L350" s="669" t="n"/>
      <c r="M350" s="669" t="n"/>
      <c r="N350" s="669" t="n"/>
      <c r="O350" s="669" t="n"/>
      <c r="P350" s="669" t="n"/>
      <c r="Q350" s="669" t="n"/>
      <c r="R350" s="669" t="n"/>
      <c r="S350" s="669" t="n"/>
      <c r="T350" s="669" t="n"/>
      <c r="U350" s="669" t="n"/>
      <c r="V350" s="669" t="n"/>
      <c r="W350" s="669" t="n"/>
      <c r="X350" s="669" t="n"/>
      <c r="Y350" s="669" t="n"/>
      <c r="Z350" s="669" t="n"/>
      <c r="AA350" s="669" t="n"/>
      <c r="AB350" s="669" t="n"/>
    </row>
    <row r="351">
      <c r="I351" s="669" t="n"/>
      <c r="J351" s="669" t="n"/>
      <c r="K351" s="669" t="n"/>
      <c r="L351" s="669" t="n"/>
      <c r="M351" s="669" t="n"/>
      <c r="N351" s="669" t="n"/>
      <c r="O351" s="669" t="n"/>
      <c r="P351" s="669" t="n"/>
      <c r="Q351" s="669" t="n"/>
      <c r="R351" s="669" t="n"/>
      <c r="S351" s="669" t="n"/>
      <c r="T351" s="669" t="n"/>
      <c r="U351" s="669" t="n"/>
      <c r="V351" s="669" t="n"/>
      <c r="W351" s="669" t="n"/>
      <c r="X351" s="669" t="n"/>
      <c r="Y351" s="669" t="n"/>
      <c r="Z351" s="669" t="n"/>
      <c r="AA351" s="669" t="n"/>
      <c r="AB351" s="669" t="n"/>
    </row>
    <row r="352">
      <c r="I352" s="669" t="n"/>
      <c r="J352" s="669" t="n"/>
      <c r="K352" s="669" t="n"/>
      <c r="L352" s="669" t="n"/>
      <c r="M352" s="669" t="n"/>
      <c r="N352" s="669" t="n"/>
      <c r="O352" s="669" t="n"/>
      <c r="P352" s="669" t="n"/>
      <c r="Q352" s="669" t="n"/>
      <c r="R352" s="669" t="n"/>
      <c r="S352" s="669" t="n"/>
      <c r="T352" s="669" t="n"/>
      <c r="U352" s="669" t="n"/>
      <c r="V352" s="669" t="n"/>
      <c r="W352" s="669" t="n"/>
      <c r="X352" s="669" t="n"/>
      <c r="Y352" s="669" t="n"/>
      <c r="Z352" s="669" t="n"/>
      <c r="AA352" s="669" t="n"/>
      <c r="AB352" s="669" t="n"/>
    </row>
    <row r="353">
      <c r="I353" s="669" t="n"/>
      <c r="J353" s="669" t="n"/>
      <c r="K353" s="669" t="n"/>
      <c r="L353" s="669" t="n"/>
      <c r="M353" s="669" t="n"/>
      <c r="N353" s="669" t="n"/>
      <c r="O353" s="669" t="n"/>
      <c r="P353" s="669" t="n"/>
      <c r="Q353" s="669" t="n"/>
      <c r="R353" s="669" t="n"/>
      <c r="S353" s="669" t="n"/>
      <c r="T353" s="669" t="n"/>
      <c r="U353" s="669" t="n"/>
      <c r="V353" s="669" t="n"/>
      <c r="W353" s="669" t="n"/>
      <c r="X353" s="669" t="n"/>
      <c r="Y353" s="669" t="n"/>
      <c r="Z353" s="669" t="n"/>
      <c r="AA353" s="669" t="n"/>
      <c r="AB353" s="669" t="n"/>
    </row>
    <row r="354">
      <c r="I354" s="669" t="n"/>
      <c r="J354" s="669" t="n"/>
      <c r="K354" s="669" t="n"/>
      <c r="L354" s="669" t="n"/>
      <c r="M354" s="669" t="n"/>
      <c r="N354" s="669" t="n"/>
      <c r="O354" s="669" t="n"/>
      <c r="P354" s="669" t="n"/>
      <c r="Q354" s="669" t="n"/>
      <c r="R354" s="669" t="n"/>
      <c r="S354" s="669" t="n"/>
      <c r="T354" s="669" t="n"/>
      <c r="U354" s="669" t="n"/>
      <c r="V354" s="669" t="n"/>
      <c r="W354" s="669" t="n"/>
      <c r="X354" s="669" t="n"/>
      <c r="Y354" s="669" t="n"/>
      <c r="Z354" s="669" t="n"/>
      <c r="AA354" s="669" t="n"/>
      <c r="AB354" s="669" t="n"/>
    </row>
    <row r="355">
      <c r="I355" s="669" t="n"/>
      <c r="J355" s="669" t="n"/>
      <c r="K355" s="669" t="n"/>
      <c r="L355" s="669" t="n"/>
      <c r="M355" s="669" t="n"/>
      <c r="N355" s="669" t="n"/>
      <c r="O355" s="669" t="n"/>
      <c r="P355" s="669" t="n"/>
      <c r="Q355" s="669" t="n"/>
      <c r="R355" s="669" t="n"/>
      <c r="S355" s="669" t="n"/>
      <c r="T355" s="669" t="n"/>
      <c r="U355" s="669" t="n"/>
      <c r="V355" s="669" t="n"/>
      <c r="W355" s="669" t="n"/>
      <c r="X355" s="669" t="n"/>
      <c r="Y355" s="669" t="n"/>
      <c r="Z355" s="669" t="n"/>
      <c r="AA355" s="669" t="n"/>
      <c r="AB355" s="669" t="n"/>
    </row>
    <row r="356">
      <c r="I356" s="669" t="n"/>
      <c r="J356" s="669" t="n"/>
      <c r="K356" s="669" t="n"/>
      <c r="L356" s="669" t="n"/>
      <c r="M356" s="669" t="n"/>
      <c r="N356" s="669" t="n"/>
      <c r="O356" s="669" t="n"/>
      <c r="P356" s="669" t="n"/>
      <c r="Q356" s="669" t="n"/>
      <c r="R356" s="669" t="n"/>
      <c r="S356" s="669" t="n"/>
      <c r="T356" s="669" t="n"/>
      <c r="U356" s="669" t="n"/>
      <c r="V356" s="669" t="n"/>
      <c r="W356" s="669" t="n"/>
      <c r="X356" s="669" t="n"/>
      <c r="Y356" s="669" t="n"/>
      <c r="Z356" s="669" t="n"/>
      <c r="AA356" s="669" t="n"/>
      <c r="AB356" s="669" t="n"/>
    </row>
    <row r="357">
      <c r="I357" s="669" t="n"/>
      <c r="J357" s="669" t="n"/>
      <c r="K357" s="669" t="n"/>
      <c r="L357" s="669" t="n"/>
      <c r="M357" s="669" t="n"/>
      <c r="N357" s="669" t="n"/>
      <c r="O357" s="669" t="n"/>
      <c r="P357" s="669" t="n"/>
      <c r="Q357" s="669" t="n"/>
      <c r="R357" s="669" t="n"/>
      <c r="S357" s="669" t="n"/>
      <c r="T357" s="669" t="n"/>
      <c r="U357" s="669" t="n"/>
      <c r="V357" s="669" t="n"/>
      <c r="W357" s="669" t="n"/>
      <c r="X357" s="669" t="n"/>
      <c r="Y357" s="669" t="n"/>
      <c r="Z357" s="669" t="n"/>
      <c r="AA357" s="669" t="n"/>
      <c r="AB357" s="669" t="n"/>
    </row>
    <row r="358">
      <c r="I358" s="669" t="n"/>
      <c r="J358" s="669" t="n"/>
      <c r="K358" s="669" t="n"/>
      <c r="L358" s="669" t="n"/>
      <c r="M358" s="669" t="n"/>
      <c r="N358" s="669" t="n"/>
      <c r="O358" s="669" t="n"/>
      <c r="P358" s="669" t="n"/>
      <c r="Q358" s="669" t="n"/>
      <c r="R358" s="669" t="n"/>
      <c r="S358" s="669" t="n"/>
      <c r="T358" s="669" t="n"/>
      <c r="U358" s="669" t="n"/>
      <c r="V358" s="669" t="n"/>
      <c r="W358" s="669" t="n"/>
      <c r="X358" s="669" t="n"/>
      <c r="Y358" s="669" t="n"/>
      <c r="Z358" s="669" t="n"/>
      <c r="AA358" s="669" t="n"/>
      <c r="AB358" s="669" t="n"/>
    </row>
    <row r="359">
      <c r="I359" s="669" t="n"/>
      <c r="J359" s="669" t="n"/>
      <c r="K359" s="669" t="n"/>
      <c r="L359" s="669" t="n"/>
      <c r="M359" s="669" t="n"/>
      <c r="N359" s="669" t="n"/>
      <c r="O359" s="669" t="n"/>
      <c r="P359" s="669" t="n"/>
      <c r="Q359" s="669" t="n"/>
      <c r="R359" s="669" t="n"/>
      <c r="S359" s="669" t="n"/>
      <c r="T359" s="669" t="n"/>
      <c r="U359" s="669" t="n"/>
      <c r="V359" s="669" t="n"/>
      <c r="W359" s="669" t="n"/>
      <c r="X359" s="669" t="n"/>
      <c r="Y359" s="669" t="n"/>
      <c r="Z359" s="669" t="n"/>
      <c r="AA359" s="669" t="n"/>
      <c r="AB359" s="669" t="n"/>
    </row>
    <row r="360">
      <c r="I360" s="669" t="n"/>
      <c r="J360" s="669" t="n"/>
      <c r="K360" s="669" t="n"/>
      <c r="L360" s="669" t="n"/>
      <c r="M360" s="669" t="n"/>
      <c r="N360" s="669" t="n"/>
      <c r="O360" s="669" t="n"/>
      <c r="P360" s="669" t="n"/>
      <c r="Q360" s="669" t="n"/>
      <c r="R360" s="669" t="n"/>
      <c r="S360" s="669" t="n"/>
      <c r="T360" s="669" t="n"/>
      <c r="U360" s="669" t="n"/>
      <c r="V360" s="669" t="n"/>
      <c r="W360" s="669" t="n"/>
      <c r="X360" s="669" t="n"/>
      <c r="Y360" s="669" t="n"/>
      <c r="Z360" s="669" t="n"/>
      <c r="AA360" s="669" t="n"/>
      <c r="AB360" s="669" t="n"/>
    </row>
    <row r="361">
      <c r="I361" s="669" t="n"/>
      <c r="J361" s="669" t="n"/>
      <c r="K361" s="669" t="n"/>
      <c r="L361" s="669" t="n"/>
      <c r="M361" s="669" t="n"/>
      <c r="N361" s="669" t="n"/>
      <c r="O361" s="669" t="n"/>
      <c r="P361" s="669" t="n"/>
      <c r="Q361" s="669" t="n"/>
      <c r="R361" s="669" t="n"/>
      <c r="S361" s="669" t="n"/>
      <c r="T361" s="669" t="n"/>
      <c r="U361" s="669" t="n"/>
      <c r="V361" s="669" t="n"/>
      <c r="W361" s="669" t="n"/>
      <c r="X361" s="669" t="n"/>
      <c r="Y361" s="669" t="n"/>
      <c r="Z361" s="669" t="n"/>
      <c r="AA361" s="669" t="n"/>
      <c r="AB361" s="669" t="n"/>
    </row>
    <row r="362">
      <c r="I362" s="669" t="n"/>
      <c r="J362" s="669" t="n"/>
      <c r="K362" s="669" t="n"/>
      <c r="L362" s="669" t="n"/>
      <c r="M362" s="669" t="n"/>
      <c r="N362" s="669" t="n"/>
      <c r="O362" s="669" t="n"/>
      <c r="P362" s="669" t="n"/>
      <c r="Q362" s="669" t="n"/>
      <c r="R362" s="669" t="n"/>
      <c r="S362" s="669" t="n"/>
      <c r="T362" s="669" t="n"/>
      <c r="U362" s="669" t="n"/>
      <c r="V362" s="669" t="n"/>
      <c r="W362" s="669" t="n"/>
      <c r="X362" s="669" t="n"/>
      <c r="Y362" s="669" t="n"/>
      <c r="Z362" s="669" t="n"/>
      <c r="AA362" s="669" t="n"/>
      <c r="AB362" s="669" t="n"/>
    </row>
    <row r="363">
      <c r="I363" s="669" t="n"/>
      <c r="J363" s="669" t="n"/>
      <c r="K363" s="669" t="n"/>
      <c r="L363" s="669" t="n"/>
      <c r="M363" s="669" t="n"/>
      <c r="N363" s="669" t="n"/>
      <c r="O363" s="669" t="n"/>
      <c r="P363" s="669" t="n"/>
      <c r="Q363" s="669" t="n"/>
      <c r="R363" s="669" t="n"/>
      <c r="S363" s="669" t="n"/>
      <c r="T363" s="669" t="n"/>
      <c r="U363" s="669" t="n"/>
      <c r="V363" s="669" t="n"/>
      <c r="W363" s="669" t="n"/>
      <c r="X363" s="669" t="n"/>
      <c r="Y363" s="669" t="n"/>
      <c r="Z363" s="669" t="n"/>
      <c r="AA363" s="669" t="n"/>
      <c r="AB363" s="669" t="n"/>
    </row>
    <row r="364">
      <c r="I364" s="669" t="n"/>
      <c r="J364" s="669" t="n"/>
      <c r="K364" s="669" t="n"/>
      <c r="L364" s="669" t="n"/>
      <c r="M364" s="669" t="n"/>
      <c r="N364" s="669" t="n"/>
      <c r="O364" s="669" t="n"/>
      <c r="P364" s="669" t="n"/>
      <c r="Q364" s="669" t="n"/>
      <c r="R364" s="669" t="n"/>
      <c r="S364" s="669" t="n"/>
      <c r="T364" s="669" t="n"/>
      <c r="U364" s="669" t="n"/>
      <c r="V364" s="669" t="n"/>
      <c r="W364" s="669" t="n"/>
      <c r="X364" s="669" t="n"/>
      <c r="Y364" s="669" t="n"/>
      <c r="Z364" s="669" t="n"/>
      <c r="AA364" s="669" t="n"/>
      <c r="AB364" s="669" t="n"/>
    </row>
    <row r="365">
      <c r="I365" s="669" t="n"/>
      <c r="J365" s="669" t="n"/>
      <c r="K365" s="669" t="n"/>
      <c r="L365" s="669" t="n"/>
      <c r="M365" s="669" t="n"/>
      <c r="N365" s="669" t="n"/>
      <c r="O365" s="669" t="n"/>
      <c r="P365" s="669" t="n"/>
      <c r="Q365" s="669" t="n"/>
      <c r="R365" s="669" t="n"/>
      <c r="S365" s="669" t="n"/>
      <c r="T365" s="669" t="n"/>
      <c r="U365" s="669" t="n"/>
      <c r="V365" s="669" t="n"/>
      <c r="W365" s="669" t="n"/>
      <c r="X365" s="669" t="n"/>
      <c r="Y365" s="669" t="n"/>
      <c r="Z365" s="669" t="n"/>
      <c r="AA365" s="669" t="n"/>
      <c r="AB365" s="669" t="n"/>
    </row>
    <row r="366">
      <c r="I366" s="669" t="n"/>
      <c r="J366" s="669" t="n"/>
      <c r="K366" s="669" t="n"/>
      <c r="L366" s="669" t="n"/>
      <c r="M366" s="669" t="n"/>
      <c r="N366" s="669" t="n"/>
      <c r="O366" s="669" t="n"/>
      <c r="P366" s="669" t="n"/>
      <c r="Q366" s="669" t="n"/>
      <c r="R366" s="669" t="n"/>
      <c r="S366" s="669" t="n"/>
      <c r="T366" s="669" t="n"/>
      <c r="U366" s="669" t="n"/>
      <c r="V366" s="669" t="n"/>
      <c r="W366" s="669" t="n"/>
      <c r="X366" s="669" t="n"/>
      <c r="Y366" s="669" t="n"/>
      <c r="Z366" s="669" t="n"/>
      <c r="AA366" s="669" t="n"/>
      <c r="AB366" s="669" t="n"/>
    </row>
    <row r="367">
      <c r="I367" s="669" t="n"/>
      <c r="J367" s="669" t="n"/>
      <c r="K367" s="669" t="n"/>
      <c r="L367" s="669" t="n"/>
      <c r="M367" s="669" t="n"/>
      <c r="N367" s="669" t="n"/>
      <c r="O367" s="669" t="n"/>
      <c r="P367" s="669" t="n"/>
      <c r="Q367" s="669" t="n"/>
      <c r="R367" s="669" t="n"/>
      <c r="S367" s="669" t="n"/>
      <c r="T367" s="669" t="n"/>
      <c r="U367" s="669" t="n"/>
      <c r="V367" s="669" t="n"/>
      <c r="W367" s="669" t="n"/>
      <c r="X367" s="669" t="n"/>
      <c r="Y367" s="669" t="n"/>
      <c r="Z367" s="669" t="n"/>
      <c r="AA367" s="669" t="n"/>
      <c r="AB367" s="669" t="n"/>
    </row>
    <row r="368">
      <c r="I368" s="669" t="n"/>
      <c r="J368" s="669" t="n"/>
      <c r="K368" s="669" t="n"/>
      <c r="L368" s="669" t="n"/>
      <c r="M368" s="669" t="n"/>
      <c r="N368" s="669" t="n"/>
      <c r="O368" s="669" t="n"/>
      <c r="P368" s="669" t="n"/>
      <c r="Q368" s="669" t="n"/>
      <c r="R368" s="669" t="n"/>
      <c r="S368" s="669" t="n"/>
      <c r="T368" s="669" t="n"/>
      <c r="U368" s="669" t="n"/>
      <c r="V368" s="669" t="n"/>
      <c r="W368" s="669" t="n"/>
      <c r="X368" s="669" t="n"/>
      <c r="Y368" s="669" t="n"/>
      <c r="Z368" s="669" t="n"/>
      <c r="AA368" s="669" t="n"/>
      <c r="AB368" s="669" t="n"/>
    </row>
    <row r="369">
      <c r="I369" s="669" t="n"/>
      <c r="J369" s="669" t="n"/>
      <c r="K369" s="669" t="n"/>
      <c r="L369" s="669" t="n"/>
      <c r="M369" s="669" t="n"/>
      <c r="N369" s="669" t="n"/>
      <c r="O369" s="669" t="n"/>
      <c r="P369" s="669" t="n"/>
      <c r="Q369" s="669" t="n"/>
      <c r="R369" s="669" t="n"/>
      <c r="S369" s="669" t="n"/>
      <c r="T369" s="669" t="n"/>
      <c r="U369" s="669" t="n"/>
      <c r="V369" s="669" t="n"/>
      <c r="W369" s="669" t="n"/>
      <c r="X369" s="669" t="n"/>
      <c r="Y369" s="669" t="n"/>
      <c r="Z369" s="669" t="n"/>
      <c r="AA369" s="669" t="n"/>
      <c r="AB369" s="669" t="n"/>
    </row>
    <row r="370">
      <c r="I370" s="669" t="n"/>
      <c r="J370" s="669" t="n"/>
      <c r="K370" s="669" t="n"/>
      <c r="L370" s="669" t="n"/>
      <c r="M370" s="669" t="n"/>
      <c r="N370" s="669" t="n"/>
      <c r="O370" s="669" t="n"/>
      <c r="P370" s="669" t="n"/>
      <c r="Q370" s="669" t="n"/>
      <c r="R370" s="669" t="n"/>
      <c r="S370" s="669" t="n"/>
      <c r="T370" s="669" t="n"/>
      <c r="U370" s="669" t="n"/>
      <c r="V370" s="669" t="n"/>
      <c r="W370" s="669" t="n"/>
      <c r="X370" s="669" t="n"/>
      <c r="Y370" s="669" t="n"/>
      <c r="Z370" s="669" t="n"/>
      <c r="AA370" s="669" t="n"/>
      <c r="AB370" s="669" t="n"/>
    </row>
    <row r="371">
      <c r="I371" s="669" t="n"/>
      <c r="J371" s="669" t="n"/>
      <c r="K371" s="669" t="n"/>
      <c r="L371" s="669" t="n"/>
      <c r="M371" s="669" t="n"/>
      <c r="N371" s="669" t="n"/>
      <c r="O371" s="669" t="n"/>
      <c r="P371" s="669" t="n"/>
      <c r="Q371" s="669" t="n"/>
      <c r="R371" s="669" t="n"/>
      <c r="S371" s="669" t="n"/>
      <c r="T371" s="669" t="n"/>
      <c r="U371" s="669" t="n"/>
      <c r="V371" s="669" t="n"/>
      <c r="W371" s="669" t="n"/>
      <c r="X371" s="669" t="n"/>
      <c r="Y371" s="669" t="n"/>
      <c r="Z371" s="669" t="n"/>
      <c r="AA371" s="669" t="n"/>
      <c r="AB371" s="669" t="n"/>
    </row>
    <row r="372">
      <c r="I372" s="669" t="n"/>
      <c r="J372" s="669" t="n"/>
      <c r="K372" s="669" t="n"/>
      <c r="L372" s="669" t="n"/>
      <c r="M372" s="669" t="n"/>
      <c r="N372" s="669" t="n"/>
      <c r="O372" s="669" t="n"/>
      <c r="P372" s="669" t="n"/>
      <c r="Q372" s="669" t="n"/>
      <c r="R372" s="669" t="n"/>
      <c r="S372" s="669" t="n"/>
      <c r="T372" s="669" t="n"/>
      <c r="U372" s="669" t="n"/>
      <c r="V372" s="669" t="n"/>
      <c r="W372" s="669" t="n"/>
      <c r="X372" s="669" t="n"/>
      <c r="Y372" s="669" t="n"/>
      <c r="Z372" s="669" t="n"/>
      <c r="AA372" s="669" t="n"/>
      <c r="AB372" s="669" t="n"/>
    </row>
    <row r="373">
      <c r="I373" s="669" t="n"/>
      <c r="J373" s="669" t="n"/>
      <c r="K373" s="669" t="n"/>
      <c r="L373" s="669" t="n"/>
      <c r="M373" s="669" t="n"/>
      <c r="N373" s="669" t="n"/>
      <c r="O373" s="669" t="n"/>
      <c r="P373" s="669" t="n"/>
      <c r="Q373" s="669" t="n"/>
      <c r="R373" s="669" t="n"/>
      <c r="S373" s="669" t="n"/>
      <c r="T373" s="669" t="n"/>
      <c r="U373" s="669" t="n"/>
      <c r="V373" s="669" t="n"/>
      <c r="W373" s="669" t="n"/>
      <c r="X373" s="669" t="n"/>
      <c r="Y373" s="669" t="n"/>
      <c r="Z373" s="669" t="n"/>
      <c r="AA373" s="669" t="n"/>
      <c r="AB373" s="669" t="n"/>
    </row>
    <row r="374">
      <c r="I374" s="669" t="n"/>
      <c r="J374" s="669" t="n"/>
      <c r="K374" s="669" t="n"/>
      <c r="L374" s="669" t="n"/>
      <c r="M374" s="669" t="n"/>
      <c r="N374" s="669" t="n"/>
      <c r="O374" s="669" t="n"/>
      <c r="P374" s="669" t="n"/>
      <c r="Q374" s="669" t="n"/>
      <c r="R374" s="669" t="n"/>
      <c r="S374" s="669" t="n"/>
      <c r="T374" s="669" t="n"/>
      <c r="U374" s="669" t="n"/>
      <c r="V374" s="669" t="n"/>
      <c r="W374" s="669" t="n"/>
      <c r="X374" s="669" t="n"/>
      <c r="Y374" s="669" t="n"/>
      <c r="Z374" s="669" t="n"/>
      <c r="AA374" s="669" t="n"/>
      <c r="AB374" s="669" t="n"/>
    </row>
    <row r="375">
      <c r="I375" s="669" t="n"/>
      <c r="J375" s="669" t="n"/>
      <c r="K375" s="669" t="n"/>
      <c r="L375" s="669" t="n"/>
      <c r="M375" s="669" t="n"/>
      <c r="N375" s="669" t="n"/>
      <c r="O375" s="669" t="n"/>
      <c r="P375" s="669" t="n"/>
      <c r="Q375" s="669" t="n"/>
      <c r="R375" s="669" t="n"/>
      <c r="S375" s="669" t="n"/>
      <c r="T375" s="669" t="n"/>
      <c r="U375" s="669" t="n"/>
      <c r="V375" s="669" t="n"/>
      <c r="W375" s="669" t="n"/>
      <c r="X375" s="669" t="n"/>
      <c r="Y375" s="669" t="n"/>
      <c r="Z375" s="669" t="n"/>
      <c r="AA375" s="669" t="n"/>
      <c r="AB375" s="669" t="n"/>
    </row>
    <row r="376">
      <c r="I376" s="669" t="n"/>
      <c r="J376" s="669" t="n"/>
      <c r="K376" s="669" t="n"/>
      <c r="L376" s="669" t="n"/>
      <c r="M376" s="669" t="n"/>
      <c r="N376" s="669" t="n"/>
      <c r="O376" s="669" t="n"/>
      <c r="P376" s="669" t="n"/>
      <c r="Q376" s="669" t="n"/>
      <c r="R376" s="669" t="n"/>
      <c r="S376" s="669" t="n"/>
      <c r="T376" s="669" t="n"/>
      <c r="U376" s="669" t="n"/>
      <c r="V376" s="669" t="n"/>
      <c r="W376" s="669" t="n"/>
      <c r="X376" s="669" t="n"/>
      <c r="Y376" s="669" t="n"/>
      <c r="Z376" s="669" t="n"/>
      <c r="AA376" s="669" t="n"/>
      <c r="AB376" s="669" t="n"/>
    </row>
    <row r="377">
      <c r="I377" s="669" t="n"/>
      <c r="J377" s="669" t="n"/>
      <c r="K377" s="669" t="n"/>
      <c r="L377" s="669" t="n"/>
      <c r="M377" s="669" t="n"/>
      <c r="N377" s="669" t="n"/>
      <c r="O377" s="669" t="n"/>
      <c r="P377" s="669" t="n"/>
      <c r="Q377" s="669" t="n"/>
      <c r="R377" s="669" t="n"/>
      <c r="S377" s="669" t="n"/>
      <c r="T377" s="669" t="n"/>
      <c r="U377" s="669" t="n"/>
      <c r="V377" s="669" t="n"/>
      <c r="W377" s="669" t="n"/>
      <c r="X377" s="669" t="n"/>
      <c r="Y377" s="669" t="n"/>
      <c r="Z377" s="669" t="n"/>
      <c r="AA377" s="669" t="n"/>
      <c r="AB377" s="669" t="n"/>
    </row>
    <row r="378">
      <c r="I378" s="669" t="n"/>
      <c r="J378" s="669" t="n"/>
      <c r="K378" s="669" t="n"/>
      <c r="L378" s="669" t="n"/>
      <c r="M378" s="669" t="n"/>
      <c r="N378" s="669" t="n"/>
      <c r="O378" s="669" t="n"/>
      <c r="P378" s="669" t="n"/>
      <c r="Q378" s="669" t="n"/>
      <c r="R378" s="669" t="n"/>
      <c r="S378" s="669" t="n"/>
      <c r="T378" s="669" t="n"/>
      <c r="U378" s="669" t="n"/>
      <c r="V378" s="669" t="n"/>
      <c r="W378" s="669" t="n"/>
      <c r="X378" s="669" t="n"/>
      <c r="Y378" s="669" t="n"/>
      <c r="Z378" s="669" t="n"/>
      <c r="AA378" s="669" t="n"/>
      <c r="AB378" s="669" t="n"/>
    </row>
    <row r="379">
      <c r="I379" s="669" t="n"/>
      <c r="J379" s="669" t="n"/>
      <c r="K379" s="669" t="n"/>
      <c r="L379" s="669" t="n"/>
      <c r="M379" s="669" t="n"/>
      <c r="N379" s="669" t="n"/>
      <c r="O379" s="669" t="n"/>
      <c r="P379" s="669" t="n"/>
      <c r="Q379" s="669" t="n"/>
      <c r="R379" s="669" t="n"/>
      <c r="S379" s="669" t="n"/>
      <c r="T379" s="669" t="n"/>
      <c r="U379" s="669" t="n"/>
      <c r="V379" s="669" t="n"/>
      <c r="W379" s="669" t="n"/>
      <c r="X379" s="669" t="n"/>
      <c r="Y379" s="669" t="n"/>
      <c r="Z379" s="669" t="n"/>
      <c r="AA379" s="669" t="n"/>
      <c r="AB379" s="669" t="n"/>
    </row>
    <row r="380">
      <c r="I380" s="669" t="n"/>
      <c r="J380" s="669" t="n"/>
      <c r="K380" s="669" t="n"/>
      <c r="L380" s="669" t="n"/>
      <c r="M380" s="669" t="n"/>
      <c r="N380" s="669" t="n"/>
      <c r="O380" s="669" t="n"/>
      <c r="P380" s="669" t="n"/>
      <c r="Q380" s="669" t="n"/>
      <c r="R380" s="669" t="n"/>
      <c r="S380" s="669" t="n"/>
      <c r="T380" s="669" t="n"/>
      <c r="U380" s="669" t="n"/>
      <c r="V380" s="669" t="n"/>
      <c r="W380" s="669" t="n"/>
      <c r="X380" s="669" t="n"/>
      <c r="Y380" s="669" t="n"/>
      <c r="Z380" s="669" t="n"/>
      <c r="AA380" s="669" t="n"/>
      <c r="AB380" s="669" t="n"/>
    </row>
    <row r="381">
      <c r="I381" s="669" t="n"/>
      <c r="J381" s="669" t="n"/>
      <c r="K381" s="669" t="n"/>
      <c r="L381" s="669" t="n"/>
      <c r="M381" s="669" t="n"/>
      <c r="N381" s="669" t="n"/>
      <c r="O381" s="669" t="n"/>
      <c r="P381" s="669" t="n"/>
      <c r="Q381" s="669" t="n"/>
      <c r="R381" s="669" t="n"/>
      <c r="S381" s="669" t="n"/>
      <c r="T381" s="669" t="n"/>
      <c r="U381" s="669" t="n"/>
      <c r="V381" s="669" t="n"/>
      <c r="W381" s="669" t="n"/>
      <c r="X381" s="669" t="n"/>
      <c r="Y381" s="669" t="n"/>
      <c r="Z381" s="669" t="n"/>
      <c r="AA381" s="669" t="n"/>
      <c r="AB381" s="669" t="n"/>
    </row>
    <row r="382">
      <c r="I382" s="669" t="n"/>
      <c r="J382" s="669" t="n"/>
      <c r="K382" s="669" t="n"/>
      <c r="L382" s="669" t="n"/>
      <c r="M382" s="669" t="n"/>
      <c r="N382" s="669" t="n"/>
      <c r="O382" s="669" t="n"/>
      <c r="P382" s="669" t="n"/>
      <c r="Q382" s="669" t="n"/>
      <c r="R382" s="669" t="n"/>
      <c r="S382" s="669" t="n"/>
      <c r="T382" s="669" t="n"/>
      <c r="U382" s="669" t="n"/>
      <c r="V382" s="669" t="n"/>
      <c r="W382" s="669" t="n"/>
      <c r="X382" s="669" t="n"/>
      <c r="Y382" s="669" t="n"/>
      <c r="Z382" s="669" t="n"/>
      <c r="AA382" s="669" t="n"/>
      <c r="AB382" s="669" t="n"/>
    </row>
    <row r="383">
      <c r="I383" s="669" t="n"/>
      <c r="J383" s="669" t="n"/>
      <c r="K383" s="669" t="n"/>
      <c r="L383" s="669" t="n"/>
      <c r="M383" s="669" t="n"/>
      <c r="N383" s="669" t="n"/>
      <c r="O383" s="669" t="n"/>
      <c r="P383" s="669" t="n"/>
      <c r="Q383" s="669" t="n"/>
      <c r="R383" s="669" t="n"/>
      <c r="S383" s="669" t="n"/>
      <c r="T383" s="669" t="n"/>
      <c r="U383" s="669" t="n"/>
      <c r="V383" s="669" t="n"/>
      <c r="W383" s="669" t="n"/>
      <c r="X383" s="669" t="n"/>
      <c r="Y383" s="669" t="n"/>
      <c r="Z383" s="669" t="n"/>
      <c r="AA383" s="669" t="n"/>
      <c r="AB383" s="669" t="n"/>
    </row>
    <row r="384">
      <c r="I384" s="669" t="n"/>
      <c r="J384" s="669" t="n"/>
      <c r="K384" s="669" t="n"/>
      <c r="L384" s="669" t="n"/>
      <c r="M384" s="669" t="n"/>
      <c r="N384" s="669" t="n"/>
      <c r="O384" s="669" t="n"/>
      <c r="P384" s="669" t="n"/>
      <c r="Q384" s="669" t="n"/>
      <c r="R384" s="669" t="n"/>
      <c r="S384" s="669" t="n"/>
      <c r="T384" s="669" t="n"/>
      <c r="U384" s="669" t="n"/>
      <c r="V384" s="669" t="n"/>
      <c r="W384" s="669" t="n"/>
      <c r="X384" s="669" t="n"/>
      <c r="Y384" s="669" t="n"/>
      <c r="Z384" s="669" t="n"/>
      <c r="AA384" s="669" t="n"/>
      <c r="AB384" s="669" t="n"/>
    </row>
    <row r="385">
      <c r="I385" s="669" t="n"/>
      <c r="J385" s="669" t="n"/>
      <c r="K385" s="669" t="n"/>
      <c r="L385" s="669" t="n"/>
      <c r="M385" s="669" t="n"/>
      <c r="N385" s="669" t="n"/>
      <c r="O385" s="669" t="n"/>
      <c r="P385" s="669" t="n"/>
      <c r="Q385" s="669" t="n"/>
      <c r="R385" s="669" t="n"/>
      <c r="S385" s="669" t="n"/>
      <c r="T385" s="669" t="n"/>
      <c r="U385" s="669" t="n"/>
      <c r="V385" s="669" t="n"/>
      <c r="W385" s="669" t="n"/>
      <c r="X385" s="669" t="n"/>
      <c r="Y385" s="669" t="n"/>
      <c r="Z385" s="669" t="n"/>
      <c r="AA385" s="669" t="n"/>
      <c r="AB385" s="669" t="n"/>
    </row>
    <row r="386">
      <c r="I386" s="669" t="n"/>
      <c r="J386" s="669" t="n"/>
      <c r="K386" s="669" t="n"/>
      <c r="L386" s="669" t="n"/>
      <c r="M386" s="669" t="n"/>
      <c r="N386" s="669" t="n"/>
      <c r="O386" s="669" t="n"/>
      <c r="P386" s="669" t="n"/>
      <c r="Q386" s="669" t="n"/>
      <c r="R386" s="669" t="n"/>
      <c r="S386" s="669" t="n"/>
      <c r="T386" s="669" t="n"/>
      <c r="U386" s="669" t="n"/>
      <c r="V386" s="669" t="n"/>
      <c r="W386" s="669" t="n"/>
      <c r="X386" s="669" t="n"/>
      <c r="Y386" s="669" t="n"/>
      <c r="Z386" s="669" t="n"/>
      <c r="AA386" s="669" t="n"/>
      <c r="AB386" s="669" t="n"/>
    </row>
    <row r="387">
      <c r="I387" s="669" t="n"/>
      <c r="J387" s="669" t="n"/>
      <c r="K387" s="669" t="n"/>
      <c r="L387" s="669" t="n"/>
      <c r="M387" s="669" t="n"/>
      <c r="N387" s="669" t="n"/>
      <c r="O387" s="669" t="n"/>
      <c r="P387" s="669" t="n"/>
      <c r="Q387" s="669" t="n"/>
      <c r="R387" s="669" t="n"/>
      <c r="S387" s="669" t="n"/>
      <c r="T387" s="669" t="n"/>
      <c r="U387" s="669" t="n"/>
      <c r="V387" s="669" t="n"/>
      <c r="W387" s="669" t="n"/>
      <c r="X387" s="669" t="n"/>
      <c r="Y387" s="669" t="n"/>
      <c r="Z387" s="669" t="n"/>
      <c r="AA387" s="669" t="n"/>
      <c r="AB387" s="669" t="n"/>
    </row>
    <row r="388">
      <c r="I388" s="669" t="n"/>
      <c r="J388" s="669" t="n"/>
      <c r="K388" s="669" t="n"/>
      <c r="L388" s="669" t="n"/>
      <c r="M388" s="669" t="n"/>
      <c r="N388" s="669" t="n"/>
      <c r="O388" s="669" t="n"/>
      <c r="P388" s="669" t="n"/>
      <c r="Q388" s="669" t="n"/>
      <c r="R388" s="669" t="n"/>
      <c r="S388" s="669" t="n"/>
      <c r="T388" s="669" t="n"/>
      <c r="U388" s="669" t="n"/>
      <c r="V388" s="669" t="n"/>
      <c r="W388" s="669" t="n"/>
      <c r="X388" s="669" t="n"/>
      <c r="Y388" s="669" t="n"/>
      <c r="Z388" s="669" t="n"/>
      <c r="AA388" s="669" t="n"/>
      <c r="AB388" s="669" t="n"/>
    </row>
    <row r="389">
      <c r="I389" s="669" t="n"/>
      <c r="J389" s="669" t="n"/>
      <c r="K389" s="669" t="n"/>
      <c r="L389" s="669" t="n"/>
      <c r="M389" s="669" t="n"/>
      <c r="N389" s="669" t="n"/>
      <c r="O389" s="669" t="n"/>
      <c r="P389" s="669" t="n"/>
      <c r="Q389" s="669" t="n"/>
      <c r="R389" s="669" t="n"/>
      <c r="S389" s="669" t="n"/>
      <c r="T389" s="669" t="n"/>
      <c r="U389" s="669" t="n"/>
      <c r="V389" s="669" t="n"/>
      <c r="W389" s="669" t="n"/>
      <c r="X389" s="669" t="n"/>
      <c r="Y389" s="669" t="n"/>
      <c r="Z389" s="669" t="n"/>
      <c r="AA389" s="669" t="n"/>
      <c r="AB389" s="669" t="n"/>
    </row>
    <row r="390">
      <c r="I390" s="669" t="n"/>
      <c r="J390" s="669" t="n"/>
      <c r="K390" s="669" t="n"/>
      <c r="L390" s="669" t="n"/>
      <c r="M390" s="669" t="n"/>
      <c r="N390" s="669" t="n"/>
      <c r="O390" s="669" t="n"/>
      <c r="P390" s="669" t="n"/>
      <c r="Q390" s="669" t="n"/>
      <c r="R390" s="669" t="n"/>
      <c r="S390" s="669" t="n"/>
      <c r="T390" s="669" t="n"/>
      <c r="U390" s="669" t="n"/>
      <c r="V390" s="669" t="n"/>
      <c r="W390" s="669" t="n"/>
      <c r="X390" s="669" t="n"/>
      <c r="Y390" s="669" t="n"/>
      <c r="Z390" s="669" t="n"/>
      <c r="AA390" s="669" t="n"/>
      <c r="AB390" s="669" t="n"/>
    </row>
    <row r="391">
      <c r="I391" s="669" t="n"/>
      <c r="J391" s="669" t="n"/>
      <c r="K391" s="669" t="n"/>
      <c r="L391" s="669" t="n"/>
      <c r="M391" s="669" t="n"/>
      <c r="N391" s="669" t="n"/>
      <c r="O391" s="669" t="n"/>
      <c r="P391" s="669" t="n"/>
      <c r="Q391" s="669" t="n"/>
      <c r="R391" s="669" t="n"/>
      <c r="S391" s="669" t="n"/>
      <c r="T391" s="669" t="n"/>
      <c r="U391" s="669" t="n"/>
      <c r="V391" s="669" t="n"/>
      <c r="W391" s="669" t="n"/>
      <c r="X391" s="669" t="n"/>
      <c r="Y391" s="669" t="n"/>
      <c r="Z391" s="669" t="n"/>
      <c r="AA391" s="669" t="n"/>
      <c r="AB391" s="669" t="n"/>
    </row>
    <row r="392">
      <c r="I392" s="669" t="n"/>
      <c r="J392" s="669" t="n"/>
      <c r="K392" s="669" t="n"/>
      <c r="L392" s="669" t="n"/>
      <c r="M392" s="669" t="n"/>
      <c r="N392" s="669" t="n"/>
      <c r="O392" s="669" t="n"/>
      <c r="P392" s="669" t="n"/>
      <c r="Q392" s="669" t="n"/>
      <c r="R392" s="669" t="n"/>
      <c r="S392" s="669" t="n"/>
      <c r="T392" s="669" t="n"/>
      <c r="U392" s="669" t="n"/>
      <c r="V392" s="669" t="n"/>
      <c r="W392" s="669" t="n"/>
      <c r="X392" s="669" t="n"/>
      <c r="Y392" s="669" t="n"/>
      <c r="Z392" s="669" t="n"/>
      <c r="AA392" s="669" t="n"/>
      <c r="AB392" s="669" t="n"/>
    </row>
    <row r="393">
      <c r="I393" s="669" t="n"/>
      <c r="J393" s="669" t="n"/>
      <c r="K393" s="669" t="n"/>
      <c r="L393" s="669" t="n"/>
      <c r="M393" s="669" t="n"/>
      <c r="N393" s="669" t="n"/>
      <c r="O393" s="669" t="n"/>
      <c r="P393" s="669" t="n"/>
      <c r="Q393" s="669" t="n"/>
      <c r="R393" s="669" t="n"/>
      <c r="S393" s="669" t="n"/>
      <c r="T393" s="669" t="n"/>
      <c r="U393" s="669" t="n"/>
      <c r="V393" s="669" t="n"/>
      <c r="W393" s="669" t="n"/>
      <c r="X393" s="669" t="n"/>
      <c r="Y393" s="669" t="n"/>
      <c r="Z393" s="669" t="n"/>
      <c r="AA393" s="669" t="n"/>
      <c r="AB393" s="669" t="n"/>
    </row>
    <row r="394">
      <c r="I394" s="669" t="n"/>
      <c r="J394" s="669" t="n"/>
      <c r="K394" s="669" t="n"/>
      <c r="L394" s="669" t="n"/>
      <c r="M394" s="669" t="n"/>
      <c r="N394" s="669" t="n"/>
      <c r="O394" s="669" t="n"/>
      <c r="P394" s="669" t="n"/>
      <c r="Q394" s="669" t="n"/>
      <c r="R394" s="669" t="n"/>
      <c r="S394" s="669" t="n"/>
      <c r="T394" s="669" t="n"/>
      <c r="U394" s="669" t="n"/>
      <c r="V394" s="669" t="n"/>
      <c r="W394" s="669" t="n"/>
      <c r="X394" s="669" t="n"/>
      <c r="Y394" s="669" t="n"/>
      <c r="Z394" s="669" t="n"/>
      <c r="AA394" s="669" t="n"/>
      <c r="AB394" s="669" t="n"/>
    </row>
    <row r="395">
      <c r="I395" s="669" t="n"/>
      <c r="J395" s="669" t="n"/>
      <c r="K395" s="669" t="n"/>
      <c r="L395" s="669" t="n"/>
      <c r="M395" s="669" t="n"/>
      <c r="N395" s="669" t="n"/>
      <c r="O395" s="669" t="n"/>
      <c r="P395" s="669" t="n"/>
      <c r="Q395" s="669" t="n"/>
      <c r="R395" s="669" t="n"/>
      <c r="S395" s="669" t="n"/>
      <c r="T395" s="669" t="n"/>
      <c r="U395" s="669" t="n"/>
      <c r="V395" s="669" t="n"/>
      <c r="W395" s="669" t="n"/>
      <c r="X395" s="669" t="n"/>
      <c r="Y395" s="669" t="n"/>
      <c r="Z395" s="669" t="n"/>
      <c r="AA395" s="669" t="n"/>
      <c r="AB395" s="669" t="n"/>
    </row>
    <row r="396">
      <c r="I396" s="669" t="n"/>
      <c r="J396" s="669" t="n"/>
      <c r="K396" s="669" t="n"/>
      <c r="L396" s="669" t="n"/>
      <c r="M396" s="669" t="n"/>
      <c r="N396" s="669" t="n"/>
      <c r="O396" s="669" t="n"/>
      <c r="P396" s="669" t="n"/>
      <c r="Q396" s="669" t="n"/>
      <c r="R396" s="669" t="n"/>
      <c r="S396" s="669" t="n"/>
      <c r="T396" s="669" t="n"/>
      <c r="U396" s="669" t="n"/>
      <c r="V396" s="669" t="n"/>
      <c r="W396" s="669" t="n"/>
      <c r="X396" s="669" t="n"/>
      <c r="Y396" s="669" t="n"/>
      <c r="Z396" s="669" t="n"/>
      <c r="AA396" s="669" t="n"/>
      <c r="AB396" s="669" t="n"/>
    </row>
    <row r="397">
      <c r="I397" s="669" t="n"/>
      <c r="J397" s="669" t="n"/>
      <c r="K397" s="669" t="n"/>
      <c r="L397" s="669" t="n"/>
      <c r="M397" s="669" t="n"/>
      <c r="N397" s="669" t="n"/>
      <c r="O397" s="669" t="n"/>
      <c r="P397" s="669" t="n"/>
      <c r="Q397" s="669" t="n"/>
      <c r="R397" s="669" t="n"/>
      <c r="S397" s="669" t="n"/>
      <c r="T397" s="669" t="n"/>
      <c r="U397" s="669" t="n"/>
      <c r="V397" s="669" t="n"/>
      <c r="W397" s="669" t="n"/>
      <c r="X397" s="669" t="n"/>
      <c r="Y397" s="669" t="n"/>
      <c r="Z397" s="669" t="n"/>
      <c r="AA397" s="669" t="n"/>
      <c r="AB397" s="669" t="n"/>
    </row>
    <row r="398">
      <c r="I398" s="669" t="n"/>
      <c r="J398" s="669" t="n"/>
      <c r="K398" s="669" t="n"/>
      <c r="L398" s="669" t="n"/>
      <c r="M398" s="669" t="n"/>
      <c r="N398" s="669" t="n"/>
      <c r="O398" s="669" t="n"/>
      <c r="P398" s="669" t="n"/>
      <c r="Q398" s="669" t="n"/>
      <c r="R398" s="669" t="n"/>
      <c r="S398" s="669" t="n"/>
      <c r="T398" s="669" t="n"/>
      <c r="U398" s="669" t="n"/>
      <c r="V398" s="669" t="n"/>
      <c r="W398" s="669" t="n"/>
      <c r="X398" s="669" t="n"/>
      <c r="Y398" s="669" t="n"/>
      <c r="Z398" s="669" t="n"/>
      <c r="AA398" s="669" t="n"/>
      <c r="AB398" s="669" t="n"/>
    </row>
    <row r="399">
      <c r="I399" s="669" t="n"/>
      <c r="J399" s="669" t="n"/>
      <c r="K399" s="669" t="n"/>
      <c r="L399" s="669" t="n"/>
      <c r="M399" s="669" t="n"/>
      <c r="N399" s="669" t="n"/>
      <c r="O399" s="669" t="n"/>
      <c r="P399" s="669" t="n"/>
      <c r="Q399" s="669" t="n"/>
      <c r="R399" s="669" t="n"/>
      <c r="S399" s="669" t="n"/>
      <c r="T399" s="669" t="n"/>
      <c r="U399" s="669" t="n"/>
      <c r="V399" s="669" t="n"/>
      <c r="W399" s="669" t="n"/>
      <c r="X399" s="669" t="n"/>
      <c r="Y399" s="669" t="n"/>
      <c r="Z399" s="669" t="n"/>
      <c r="AA399" s="669" t="n"/>
      <c r="AB399" s="669" t="n"/>
    </row>
    <row r="400">
      <c r="I400" s="669" t="n"/>
      <c r="J400" s="669" t="n"/>
      <c r="K400" s="669" t="n"/>
      <c r="L400" s="669" t="n"/>
      <c r="M400" s="669" t="n"/>
      <c r="N400" s="669" t="n"/>
      <c r="O400" s="669" t="n"/>
      <c r="P400" s="669" t="n"/>
      <c r="Q400" s="669" t="n"/>
      <c r="R400" s="669" t="n"/>
      <c r="S400" s="669" t="n"/>
      <c r="T400" s="669" t="n"/>
      <c r="U400" s="669" t="n"/>
      <c r="V400" s="669" t="n"/>
      <c r="W400" s="669" t="n"/>
      <c r="X400" s="669" t="n"/>
      <c r="Y400" s="669" t="n"/>
      <c r="Z400" s="669" t="n"/>
      <c r="AA400" s="669" t="n"/>
      <c r="AB400" s="669" t="n"/>
    </row>
    <row r="401">
      <c r="I401" s="669" t="n"/>
      <c r="J401" s="669" t="n"/>
      <c r="K401" s="669" t="n"/>
      <c r="L401" s="669" t="n"/>
      <c r="M401" s="669" t="n"/>
      <c r="N401" s="669" t="n"/>
      <c r="O401" s="669" t="n"/>
      <c r="P401" s="669" t="n"/>
      <c r="Q401" s="669" t="n"/>
      <c r="R401" s="669" t="n"/>
      <c r="S401" s="669" t="n"/>
      <c r="T401" s="669" t="n"/>
      <c r="U401" s="669" t="n"/>
      <c r="V401" s="669" t="n"/>
      <c r="W401" s="669" t="n"/>
      <c r="X401" s="669" t="n"/>
      <c r="Y401" s="669" t="n"/>
      <c r="Z401" s="669" t="n"/>
      <c r="AA401" s="669" t="n"/>
      <c r="AB401" s="669" t="n"/>
    </row>
    <row r="402">
      <c r="I402" s="669" t="n"/>
      <c r="J402" s="669" t="n"/>
      <c r="K402" s="669" t="n"/>
      <c r="L402" s="669" t="n"/>
      <c r="M402" s="669" t="n"/>
      <c r="N402" s="669" t="n"/>
      <c r="O402" s="669" t="n"/>
      <c r="P402" s="669" t="n"/>
      <c r="Q402" s="669" t="n"/>
      <c r="R402" s="669" t="n"/>
      <c r="S402" s="669" t="n"/>
      <c r="T402" s="669" t="n"/>
      <c r="U402" s="669" t="n"/>
      <c r="V402" s="669" t="n"/>
      <c r="W402" s="669" t="n"/>
      <c r="X402" s="669" t="n"/>
      <c r="Y402" s="669" t="n"/>
      <c r="Z402" s="669" t="n"/>
      <c r="AA402" s="669" t="n"/>
      <c r="AB402" s="669" t="n"/>
    </row>
    <row r="403">
      <c r="I403" s="669" t="n"/>
      <c r="J403" s="669" t="n"/>
      <c r="K403" s="669" t="n"/>
      <c r="L403" s="669" t="n"/>
      <c r="M403" s="669" t="n"/>
      <c r="N403" s="669" t="n"/>
      <c r="O403" s="669" t="n"/>
      <c r="P403" s="669" t="n"/>
      <c r="Q403" s="669" t="n"/>
      <c r="R403" s="669" t="n"/>
      <c r="S403" s="669" t="n"/>
      <c r="T403" s="669" t="n"/>
      <c r="U403" s="669" t="n"/>
      <c r="V403" s="669" t="n"/>
      <c r="W403" s="669" t="n"/>
      <c r="X403" s="669" t="n"/>
      <c r="Y403" s="669" t="n"/>
      <c r="Z403" s="669" t="n"/>
      <c r="AA403" s="669" t="n"/>
      <c r="AB403" s="669" t="n"/>
    </row>
    <row r="404">
      <c r="I404" s="669" t="n"/>
      <c r="J404" s="669" t="n"/>
      <c r="K404" s="669" t="n"/>
      <c r="L404" s="669" t="n"/>
      <c r="M404" s="669" t="n"/>
      <c r="N404" s="669" t="n"/>
      <c r="O404" s="669" t="n"/>
      <c r="P404" s="669" t="n"/>
      <c r="Q404" s="669" t="n"/>
      <c r="R404" s="669" t="n"/>
      <c r="S404" s="669" t="n"/>
      <c r="T404" s="669" t="n"/>
      <c r="U404" s="669" t="n"/>
      <c r="V404" s="669" t="n"/>
      <c r="W404" s="669" t="n"/>
      <c r="X404" s="669" t="n"/>
      <c r="Y404" s="669" t="n"/>
      <c r="Z404" s="669" t="n"/>
      <c r="AA404" s="669" t="n"/>
      <c r="AB404" s="669" t="n"/>
    </row>
    <row r="405">
      <c r="I405" s="669" t="n"/>
      <c r="J405" s="669" t="n"/>
      <c r="K405" s="669" t="n"/>
      <c r="L405" s="669" t="n"/>
      <c r="M405" s="669" t="n"/>
      <c r="N405" s="669" t="n"/>
      <c r="O405" s="669" t="n"/>
      <c r="P405" s="669" t="n"/>
      <c r="Q405" s="669" t="n"/>
      <c r="R405" s="669" t="n"/>
      <c r="S405" s="669" t="n"/>
      <c r="T405" s="669" t="n"/>
      <c r="U405" s="669" t="n"/>
      <c r="V405" s="669" t="n"/>
      <c r="W405" s="669" t="n"/>
      <c r="X405" s="669" t="n"/>
      <c r="Y405" s="669" t="n"/>
      <c r="Z405" s="669" t="n"/>
      <c r="AA405" s="669" t="n"/>
      <c r="AB405" s="669" t="n"/>
    </row>
    <row r="406">
      <c r="I406" s="669" t="n"/>
      <c r="J406" s="669" t="n"/>
      <c r="K406" s="669" t="n"/>
      <c r="L406" s="669" t="n"/>
      <c r="M406" s="669" t="n"/>
      <c r="N406" s="669" t="n"/>
      <c r="O406" s="669" t="n"/>
      <c r="P406" s="669" t="n"/>
      <c r="Q406" s="669" t="n"/>
      <c r="R406" s="669" t="n"/>
      <c r="S406" s="669" t="n"/>
      <c r="T406" s="669" t="n"/>
      <c r="U406" s="669" t="n"/>
      <c r="V406" s="669" t="n"/>
      <c r="W406" s="669" t="n"/>
      <c r="X406" s="669" t="n"/>
      <c r="Y406" s="669" t="n"/>
      <c r="Z406" s="669" t="n"/>
      <c r="AA406" s="669" t="n"/>
      <c r="AB406" s="669" t="n"/>
    </row>
    <row r="407">
      <c r="I407" s="669" t="n"/>
      <c r="J407" s="669" t="n"/>
      <c r="K407" s="669" t="n"/>
      <c r="L407" s="669" t="n"/>
      <c r="M407" s="669" t="n"/>
      <c r="N407" s="669" t="n"/>
      <c r="O407" s="669" t="n"/>
      <c r="P407" s="669" t="n"/>
      <c r="Q407" s="669" t="n"/>
      <c r="R407" s="669" t="n"/>
      <c r="S407" s="669" t="n"/>
      <c r="T407" s="669" t="n"/>
      <c r="U407" s="669" t="n"/>
      <c r="V407" s="669" t="n"/>
      <c r="W407" s="669" t="n"/>
      <c r="X407" s="669" t="n"/>
      <c r="Y407" s="669" t="n"/>
      <c r="Z407" s="669" t="n"/>
      <c r="AA407" s="669" t="n"/>
      <c r="AB407" s="669" t="n"/>
    </row>
    <row r="408">
      <c r="I408" s="669" t="n"/>
      <c r="J408" s="669" t="n"/>
      <c r="K408" s="669" t="n"/>
      <c r="L408" s="669" t="n"/>
      <c r="M408" s="669" t="n"/>
      <c r="N408" s="669" t="n"/>
      <c r="O408" s="669" t="n"/>
      <c r="P408" s="669" t="n"/>
      <c r="Q408" s="669" t="n"/>
      <c r="R408" s="669" t="n"/>
      <c r="S408" s="669" t="n"/>
      <c r="T408" s="669" t="n"/>
      <c r="U408" s="669" t="n"/>
      <c r="V408" s="669" t="n"/>
      <c r="W408" s="669" t="n"/>
      <c r="X408" s="669" t="n"/>
      <c r="Y408" s="669" t="n"/>
      <c r="Z408" s="669" t="n"/>
      <c r="AA408" s="669" t="n"/>
      <c r="AB408" s="669" t="n"/>
    </row>
    <row r="409">
      <c r="I409" s="669" t="n"/>
      <c r="J409" s="669" t="n"/>
      <c r="K409" s="669" t="n"/>
      <c r="L409" s="669" t="n"/>
      <c r="M409" s="669" t="n"/>
      <c r="N409" s="669" t="n"/>
      <c r="O409" s="669" t="n"/>
      <c r="P409" s="669" t="n"/>
      <c r="Q409" s="669" t="n"/>
      <c r="R409" s="669" t="n"/>
      <c r="S409" s="669" t="n"/>
      <c r="T409" s="669" t="n"/>
      <c r="U409" s="669" t="n"/>
      <c r="V409" s="669" t="n"/>
      <c r="W409" s="669" t="n"/>
      <c r="X409" s="669" t="n"/>
      <c r="Y409" s="669" t="n"/>
      <c r="Z409" s="669" t="n"/>
      <c r="AA409" s="669" t="n"/>
      <c r="AB409" s="669" t="n"/>
    </row>
    <row r="410">
      <c r="I410" s="669" t="n"/>
      <c r="J410" s="669" t="n"/>
      <c r="K410" s="669" t="n"/>
      <c r="L410" s="669" t="n"/>
      <c r="M410" s="669" t="n"/>
      <c r="N410" s="669" t="n"/>
      <c r="O410" s="669" t="n"/>
      <c r="P410" s="669" t="n"/>
      <c r="Q410" s="669" t="n"/>
      <c r="R410" s="669" t="n"/>
      <c r="S410" s="669" t="n"/>
      <c r="T410" s="669" t="n"/>
      <c r="U410" s="669" t="n"/>
      <c r="V410" s="669" t="n"/>
      <c r="W410" s="669" t="n"/>
      <c r="X410" s="669" t="n"/>
      <c r="Y410" s="669" t="n"/>
      <c r="Z410" s="669" t="n"/>
      <c r="AA410" s="669" t="n"/>
      <c r="AB410" s="669" t="n"/>
    </row>
    <row r="411">
      <c r="I411" s="669" t="n"/>
      <c r="J411" s="669" t="n"/>
      <c r="K411" s="669" t="n"/>
      <c r="L411" s="669" t="n"/>
      <c r="M411" s="669" t="n"/>
      <c r="N411" s="669" t="n"/>
      <c r="O411" s="669" t="n"/>
      <c r="P411" s="669" t="n"/>
      <c r="Q411" s="669" t="n"/>
      <c r="R411" s="669" t="n"/>
      <c r="S411" s="669" t="n"/>
      <c r="T411" s="669" t="n"/>
      <c r="U411" s="669" t="n"/>
      <c r="V411" s="669" t="n"/>
      <c r="W411" s="669" t="n"/>
      <c r="X411" s="669" t="n"/>
      <c r="Y411" s="669" t="n"/>
      <c r="Z411" s="669" t="n"/>
      <c r="AA411" s="669" t="n"/>
      <c r="AB411" s="669" t="n"/>
    </row>
    <row r="412">
      <c r="I412" s="669" t="n"/>
      <c r="J412" s="669" t="n"/>
      <c r="K412" s="669" t="n"/>
      <c r="L412" s="669" t="n"/>
      <c r="M412" s="669" t="n"/>
      <c r="N412" s="669" t="n"/>
      <c r="O412" s="669" t="n"/>
      <c r="P412" s="669" t="n"/>
      <c r="Q412" s="669" t="n"/>
      <c r="R412" s="669" t="n"/>
      <c r="S412" s="669" t="n"/>
      <c r="T412" s="669" t="n"/>
      <c r="U412" s="669" t="n"/>
      <c r="V412" s="669" t="n"/>
      <c r="W412" s="669" t="n"/>
      <c r="X412" s="669" t="n"/>
      <c r="Y412" s="669" t="n"/>
      <c r="Z412" s="669" t="n"/>
      <c r="AA412" s="669" t="n"/>
      <c r="AB412" s="669" t="n"/>
    </row>
    <row r="413">
      <c r="I413" s="669" t="n"/>
      <c r="J413" s="669" t="n"/>
      <c r="K413" s="669" t="n"/>
      <c r="L413" s="669" t="n"/>
      <c r="M413" s="669" t="n"/>
      <c r="N413" s="669" t="n"/>
      <c r="O413" s="669" t="n"/>
      <c r="P413" s="669" t="n"/>
      <c r="Q413" s="669" t="n"/>
      <c r="R413" s="669" t="n"/>
      <c r="S413" s="669" t="n"/>
      <c r="T413" s="669" t="n"/>
      <c r="U413" s="669" t="n"/>
      <c r="V413" s="669" t="n"/>
      <c r="W413" s="669" t="n"/>
      <c r="X413" s="669" t="n"/>
      <c r="Y413" s="669" t="n"/>
      <c r="Z413" s="669" t="n"/>
      <c r="AA413" s="669" t="n"/>
      <c r="AB413" s="669" t="n"/>
    </row>
    <row r="414">
      <c r="I414" s="669" t="n"/>
      <c r="J414" s="669" t="n"/>
      <c r="K414" s="669" t="n"/>
      <c r="L414" s="669" t="n"/>
      <c r="M414" s="669" t="n"/>
      <c r="N414" s="669" t="n"/>
      <c r="O414" s="669" t="n"/>
      <c r="P414" s="669" t="n"/>
      <c r="Q414" s="669" t="n"/>
      <c r="R414" s="669" t="n"/>
      <c r="S414" s="669" t="n"/>
      <c r="T414" s="669" t="n"/>
      <c r="U414" s="669" t="n"/>
      <c r="V414" s="669" t="n"/>
      <c r="W414" s="669" t="n"/>
      <c r="X414" s="669" t="n"/>
      <c r="Y414" s="669" t="n"/>
      <c r="Z414" s="669" t="n"/>
      <c r="AA414" s="669" t="n"/>
      <c r="AB414" s="669" t="n"/>
    </row>
    <row r="415">
      <c r="I415" s="669" t="n"/>
      <c r="J415" s="669" t="n"/>
      <c r="K415" s="669" t="n"/>
      <c r="L415" s="669" t="n"/>
      <c r="M415" s="669" t="n"/>
      <c r="N415" s="669" t="n"/>
      <c r="O415" s="669" t="n"/>
      <c r="P415" s="669" t="n"/>
      <c r="Q415" s="669" t="n"/>
      <c r="R415" s="669" t="n"/>
      <c r="S415" s="669" t="n"/>
      <c r="T415" s="669" t="n"/>
      <c r="U415" s="669" t="n"/>
      <c r="V415" s="669" t="n"/>
      <c r="W415" s="669" t="n"/>
      <c r="X415" s="669" t="n"/>
      <c r="Y415" s="669" t="n"/>
      <c r="Z415" s="669" t="n"/>
      <c r="AA415" s="669" t="n"/>
      <c r="AB415" s="669" t="n"/>
    </row>
    <row r="416">
      <c r="I416" s="669" t="n"/>
      <c r="J416" s="669" t="n"/>
      <c r="K416" s="669" t="n"/>
      <c r="L416" s="669" t="n"/>
      <c r="M416" s="669" t="n"/>
      <c r="N416" s="669" t="n"/>
      <c r="O416" s="669" t="n"/>
      <c r="P416" s="669" t="n"/>
      <c r="Q416" s="669" t="n"/>
      <c r="R416" s="669" t="n"/>
      <c r="S416" s="669" t="n"/>
      <c r="T416" s="669" t="n"/>
      <c r="U416" s="669" t="n"/>
      <c r="V416" s="669" t="n"/>
      <c r="W416" s="669" t="n"/>
      <c r="X416" s="669" t="n"/>
      <c r="Y416" s="669" t="n"/>
      <c r="Z416" s="669" t="n"/>
      <c r="AA416" s="669" t="n"/>
      <c r="AB416" s="669" t="n"/>
    </row>
    <row r="417">
      <c r="I417" s="669" t="n"/>
      <c r="J417" s="669" t="n"/>
      <c r="K417" s="669" t="n"/>
      <c r="L417" s="669" t="n"/>
      <c r="M417" s="669" t="n"/>
      <c r="N417" s="669" t="n"/>
      <c r="O417" s="669" t="n"/>
      <c r="P417" s="669" t="n"/>
      <c r="Q417" s="669" t="n"/>
      <c r="R417" s="669" t="n"/>
      <c r="S417" s="669" t="n"/>
      <c r="T417" s="669" t="n"/>
      <c r="U417" s="669" t="n"/>
      <c r="V417" s="669" t="n"/>
      <c r="W417" s="669" t="n"/>
      <c r="X417" s="669" t="n"/>
      <c r="Y417" s="669" t="n"/>
      <c r="Z417" s="669" t="n"/>
      <c r="AA417" s="669" t="n"/>
      <c r="AB417" s="669" t="n"/>
    </row>
    <row r="418">
      <c r="I418" s="669" t="n"/>
      <c r="J418" s="669" t="n"/>
      <c r="K418" s="669" t="n"/>
      <c r="L418" s="669" t="n"/>
      <c r="M418" s="669" t="n"/>
      <c r="N418" s="669" t="n"/>
      <c r="O418" s="669" t="n"/>
      <c r="P418" s="669" t="n"/>
      <c r="Q418" s="669" t="n"/>
      <c r="R418" s="669" t="n"/>
      <c r="S418" s="669" t="n"/>
      <c r="T418" s="669" t="n"/>
      <c r="U418" s="669" t="n"/>
      <c r="V418" s="669" t="n"/>
      <c r="W418" s="669" t="n"/>
      <c r="X418" s="669" t="n"/>
      <c r="Y418" s="669" t="n"/>
      <c r="Z418" s="669" t="n"/>
      <c r="AA418" s="669" t="n"/>
      <c r="AB418" s="669" t="n"/>
    </row>
    <row r="419">
      <c r="I419" s="669" t="n"/>
      <c r="J419" s="669" t="n"/>
      <c r="K419" s="669" t="n"/>
      <c r="L419" s="669" t="n"/>
      <c r="M419" s="669" t="n"/>
      <c r="N419" s="669" t="n"/>
      <c r="O419" s="669" t="n"/>
      <c r="P419" s="669" t="n"/>
      <c r="Q419" s="669" t="n"/>
      <c r="R419" s="669" t="n"/>
      <c r="S419" s="669" t="n"/>
      <c r="T419" s="669" t="n"/>
      <c r="U419" s="669" t="n"/>
      <c r="V419" s="669" t="n"/>
      <c r="W419" s="669" t="n"/>
      <c r="X419" s="669" t="n"/>
      <c r="Y419" s="669" t="n"/>
      <c r="Z419" s="669" t="n"/>
      <c r="AA419" s="669" t="n"/>
      <c r="AB419" s="669" t="n"/>
    </row>
    <row r="420">
      <c r="I420" s="669" t="n"/>
      <c r="J420" s="669" t="n"/>
      <c r="K420" s="669" t="n"/>
      <c r="L420" s="669" t="n"/>
      <c r="M420" s="669" t="n"/>
      <c r="N420" s="669" t="n"/>
      <c r="O420" s="669" t="n"/>
      <c r="P420" s="669" t="n"/>
      <c r="Q420" s="669" t="n"/>
      <c r="R420" s="669" t="n"/>
      <c r="S420" s="669" t="n"/>
      <c r="T420" s="669" t="n"/>
      <c r="U420" s="669" t="n"/>
      <c r="V420" s="669" t="n"/>
      <c r="W420" s="669" t="n"/>
      <c r="X420" s="669" t="n"/>
      <c r="Y420" s="669" t="n"/>
      <c r="Z420" s="669" t="n"/>
      <c r="AA420" s="669" t="n"/>
      <c r="AB420" s="669" t="n"/>
    </row>
    <row r="421">
      <c r="I421" s="669" t="n"/>
      <c r="J421" s="669" t="n"/>
      <c r="K421" s="669" t="n"/>
      <c r="L421" s="669" t="n"/>
      <c r="M421" s="669" t="n"/>
      <c r="N421" s="669" t="n"/>
      <c r="O421" s="669" t="n"/>
      <c r="P421" s="669" t="n"/>
      <c r="Q421" s="669" t="n"/>
      <c r="R421" s="669" t="n"/>
      <c r="S421" s="669" t="n"/>
      <c r="T421" s="669" t="n"/>
      <c r="U421" s="669" t="n"/>
      <c r="V421" s="669" t="n"/>
      <c r="W421" s="669" t="n"/>
      <c r="X421" s="669" t="n"/>
      <c r="Y421" s="669" t="n"/>
      <c r="Z421" s="669" t="n"/>
      <c r="AA421" s="669" t="n"/>
      <c r="AB421" s="669" t="n"/>
    </row>
    <row r="422">
      <c r="I422" s="669" t="n"/>
      <c r="J422" s="669" t="n"/>
      <c r="K422" s="669" t="n"/>
      <c r="L422" s="669" t="n"/>
      <c r="M422" s="669" t="n"/>
      <c r="N422" s="669" t="n"/>
      <c r="O422" s="669" t="n"/>
      <c r="P422" s="669" t="n"/>
      <c r="Q422" s="669" t="n"/>
      <c r="R422" s="669" t="n"/>
      <c r="S422" s="669" t="n"/>
      <c r="T422" s="669" t="n"/>
      <c r="U422" s="669" t="n"/>
      <c r="V422" s="669" t="n"/>
      <c r="W422" s="669" t="n"/>
      <c r="X422" s="669" t="n"/>
      <c r="Y422" s="669" t="n"/>
      <c r="Z422" s="669" t="n"/>
      <c r="AA422" s="669" t="n"/>
      <c r="AB422" s="669" t="n"/>
    </row>
    <row r="423">
      <c r="I423" s="669" t="n"/>
      <c r="J423" s="669" t="n"/>
      <c r="K423" s="669" t="n"/>
      <c r="L423" s="669" t="n"/>
      <c r="M423" s="669" t="n"/>
      <c r="N423" s="669" t="n"/>
      <c r="O423" s="669" t="n"/>
      <c r="P423" s="669" t="n"/>
      <c r="Q423" s="669" t="n"/>
      <c r="R423" s="669" t="n"/>
      <c r="S423" s="669" t="n"/>
      <c r="T423" s="669" t="n"/>
      <c r="U423" s="669" t="n"/>
      <c r="V423" s="669" t="n"/>
      <c r="W423" s="669" t="n"/>
      <c r="X423" s="669" t="n"/>
      <c r="Y423" s="669" t="n"/>
      <c r="Z423" s="669" t="n"/>
      <c r="AA423" s="669" t="n"/>
      <c r="AB423" s="669" t="n"/>
    </row>
    <row r="424">
      <c r="I424" s="669" t="n"/>
      <c r="J424" s="669" t="n"/>
      <c r="K424" s="669" t="n"/>
      <c r="L424" s="669" t="n"/>
      <c r="M424" s="669" t="n"/>
      <c r="N424" s="669" t="n"/>
      <c r="O424" s="669" t="n"/>
      <c r="P424" s="669" t="n"/>
      <c r="Q424" s="669" t="n"/>
      <c r="R424" s="669" t="n"/>
      <c r="S424" s="669" t="n"/>
      <c r="T424" s="669" t="n"/>
      <c r="U424" s="669" t="n"/>
      <c r="V424" s="669" t="n"/>
      <c r="W424" s="669" t="n"/>
      <c r="X424" s="669" t="n"/>
      <c r="Y424" s="669" t="n"/>
      <c r="Z424" s="669" t="n"/>
      <c r="AA424" s="669" t="n"/>
      <c r="AB424" s="669" t="n"/>
    </row>
    <row r="425">
      <c r="I425" s="669" t="n"/>
      <c r="J425" s="669" t="n"/>
      <c r="K425" s="669" t="n"/>
      <c r="L425" s="669" t="n"/>
      <c r="M425" s="669" t="n"/>
      <c r="N425" s="669" t="n"/>
      <c r="O425" s="669" t="n"/>
      <c r="P425" s="669" t="n"/>
      <c r="Q425" s="669" t="n"/>
      <c r="R425" s="669" t="n"/>
      <c r="S425" s="669" t="n"/>
      <c r="T425" s="669" t="n"/>
      <c r="U425" s="669" t="n"/>
      <c r="V425" s="669" t="n"/>
      <c r="W425" s="669" t="n"/>
      <c r="X425" s="669" t="n"/>
      <c r="Y425" s="669" t="n"/>
      <c r="Z425" s="669" t="n"/>
      <c r="AA425" s="669" t="n"/>
      <c r="AB425" s="669" t="n"/>
    </row>
    <row r="426">
      <c r="I426" s="669" t="n"/>
      <c r="J426" s="669" t="n"/>
      <c r="K426" s="669" t="n"/>
      <c r="L426" s="669" t="n"/>
      <c r="M426" s="669" t="n"/>
      <c r="N426" s="669" t="n"/>
      <c r="O426" s="669" t="n"/>
      <c r="P426" s="669" t="n"/>
      <c r="Q426" s="669" t="n"/>
      <c r="R426" s="669" t="n"/>
      <c r="S426" s="669" t="n"/>
      <c r="T426" s="669" t="n"/>
      <c r="U426" s="669" t="n"/>
      <c r="V426" s="669" t="n"/>
      <c r="W426" s="669" t="n"/>
      <c r="X426" s="669" t="n"/>
      <c r="Y426" s="669" t="n"/>
      <c r="Z426" s="669" t="n"/>
      <c r="AA426" s="669" t="n"/>
      <c r="AB426" s="669" t="n"/>
    </row>
    <row r="427">
      <c r="I427" s="669" t="n"/>
      <c r="J427" s="669" t="n"/>
      <c r="K427" s="669" t="n"/>
      <c r="L427" s="669" t="n"/>
      <c r="M427" s="669" t="n"/>
      <c r="N427" s="669" t="n"/>
      <c r="O427" s="669" t="n"/>
      <c r="P427" s="669" t="n"/>
      <c r="Q427" s="669" t="n"/>
      <c r="R427" s="669" t="n"/>
      <c r="S427" s="669" t="n"/>
      <c r="T427" s="669" t="n"/>
      <c r="U427" s="669" t="n"/>
      <c r="V427" s="669" t="n"/>
      <c r="W427" s="669" t="n"/>
      <c r="X427" s="669" t="n"/>
      <c r="Y427" s="669" t="n"/>
      <c r="Z427" s="669" t="n"/>
      <c r="AA427" s="669" t="n"/>
      <c r="AB427" s="669" t="n"/>
    </row>
    <row r="428">
      <c r="I428" s="669" t="n"/>
      <c r="J428" s="669" t="n"/>
      <c r="K428" s="669" t="n"/>
      <c r="L428" s="669" t="n"/>
      <c r="M428" s="669" t="n"/>
      <c r="N428" s="669" t="n"/>
      <c r="O428" s="669" t="n"/>
      <c r="P428" s="669" t="n"/>
      <c r="Q428" s="669" t="n"/>
      <c r="R428" s="669" t="n"/>
      <c r="S428" s="669" t="n"/>
      <c r="T428" s="669" t="n"/>
      <c r="U428" s="669" t="n"/>
      <c r="V428" s="669" t="n"/>
      <c r="W428" s="669" t="n"/>
      <c r="X428" s="669" t="n"/>
      <c r="Y428" s="669" t="n"/>
      <c r="Z428" s="669" t="n"/>
      <c r="AA428" s="669" t="n"/>
      <c r="AB428" s="669" t="n"/>
    </row>
    <row r="429">
      <c r="I429" s="669" t="n"/>
      <c r="J429" s="669" t="n"/>
      <c r="K429" s="669" t="n"/>
      <c r="L429" s="669" t="n"/>
      <c r="M429" s="669" t="n"/>
      <c r="N429" s="669" t="n"/>
      <c r="O429" s="669" t="n"/>
      <c r="P429" s="669" t="n"/>
      <c r="Q429" s="669" t="n"/>
      <c r="R429" s="669" t="n"/>
      <c r="S429" s="669" t="n"/>
      <c r="T429" s="669" t="n"/>
      <c r="U429" s="669" t="n"/>
      <c r="V429" s="669" t="n"/>
      <c r="W429" s="669" t="n"/>
      <c r="X429" s="669" t="n"/>
      <c r="Y429" s="669" t="n"/>
      <c r="Z429" s="669" t="n"/>
      <c r="AA429" s="669" t="n"/>
      <c r="AB429" s="669" t="n"/>
    </row>
    <row r="430">
      <c r="I430" s="669" t="n"/>
      <c r="J430" s="669" t="n"/>
      <c r="K430" s="669" t="n"/>
      <c r="L430" s="669" t="n"/>
      <c r="M430" s="669" t="n"/>
      <c r="N430" s="669" t="n"/>
      <c r="O430" s="669" t="n"/>
      <c r="P430" s="669" t="n"/>
      <c r="Q430" s="669" t="n"/>
      <c r="R430" s="669" t="n"/>
      <c r="S430" s="669" t="n"/>
      <c r="T430" s="669" t="n"/>
      <c r="U430" s="669" t="n"/>
      <c r="V430" s="669" t="n"/>
      <c r="W430" s="669" t="n"/>
      <c r="X430" s="669" t="n"/>
      <c r="Y430" s="669" t="n"/>
      <c r="Z430" s="669" t="n"/>
      <c r="AA430" s="669" t="n"/>
      <c r="AB430" s="669" t="n"/>
    </row>
    <row r="431">
      <c r="I431" s="669" t="n"/>
      <c r="J431" s="669" t="n"/>
      <c r="K431" s="669" t="n"/>
      <c r="L431" s="669" t="n"/>
      <c r="M431" s="669" t="n"/>
      <c r="N431" s="669" t="n"/>
      <c r="O431" s="669" t="n"/>
      <c r="P431" s="669" t="n"/>
      <c r="Q431" s="669" t="n"/>
      <c r="R431" s="669" t="n"/>
      <c r="S431" s="669" t="n"/>
      <c r="T431" s="669" t="n"/>
      <c r="U431" s="669" t="n"/>
      <c r="V431" s="669" t="n"/>
      <c r="W431" s="669" t="n"/>
      <c r="X431" s="669" t="n"/>
      <c r="Y431" s="669" t="n"/>
      <c r="Z431" s="669" t="n"/>
      <c r="AA431" s="669" t="n"/>
      <c r="AB431" s="669" t="n"/>
    </row>
    <row r="432">
      <c r="I432" s="669" t="n"/>
      <c r="J432" s="669" t="n"/>
      <c r="K432" s="669" t="n"/>
      <c r="L432" s="669" t="n"/>
      <c r="M432" s="669" t="n"/>
      <c r="N432" s="669" t="n"/>
      <c r="O432" s="669" t="n"/>
      <c r="P432" s="669" t="n"/>
      <c r="Q432" s="669" t="n"/>
      <c r="R432" s="669" t="n"/>
      <c r="S432" s="669" t="n"/>
      <c r="T432" s="669" t="n"/>
      <c r="U432" s="669" t="n"/>
      <c r="V432" s="669" t="n"/>
      <c r="W432" s="669" t="n"/>
      <c r="X432" s="669" t="n"/>
      <c r="Y432" s="669" t="n"/>
      <c r="Z432" s="669" t="n"/>
      <c r="AA432" s="669" t="n"/>
      <c r="AB432" s="669" t="n"/>
    </row>
    <row r="433">
      <c r="I433" s="669" t="n"/>
      <c r="J433" s="669" t="n"/>
      <c r="K433" s="669" t="n"/>
      <c r="L433" s="669" t="n"/>
      <c r="M433" s="669" t="n"/>
      <c r="N433" s="669" t="n"/>
      <c r="O433" s="669" t="n"/>
      <c r="P433" s="669" t="n"/>
      <c r="Q433" s="669" t="n"/>
      <c r="R433" s="669" t="n"/>
      <c r="S433" s="669" t="n"/>
      <c r="T433" s="669" t="n"/>
      <c r="U433" s="669" t="n"/>
      <c r="V433" s="669" t="n"/>
      <c r="W433" s="669" t="n"/>
      <c r="X433" s="669" t="n"/>
      <c r="Y433" s="669" t="n"/>
      <c r="Z433" s="669" t="n"/>
      <c r="AA433" s="669" t="n"/>
      <c r="AB433" s="669" t="n"/>
    </row>
    <row r="434">
      <c r="I434" s="669" t="n"/>
      <c r="J434" s="669" t="n"/>
      <c r="K434" s="669" t="n"/>
      <c r="L434" s="669" t="n"/>
      <c r="M434" s="669" t="n"/>
      <c r="N434" s="669" t="n"/>
      <c r="O434" s="669" t="n"/>
      <c r="P434" s="669" t="n"/>
      <c r="Q434" s="669" t="n"/>
      <c r="R434" s="669" t="n"/>
      <c r="S434" s="669" t="n"/>
      <c r="T434" s="669" t="n"/>
      <c r="U434" s="669" t="n"/>
      <c r="V434" s="669" t="n"/>
      <c r="W434" s="669" t="n"/>
      <c r="X434" s="669" t="n"/>
      <c r="Y434" s="669" t="n"/>
      <c r="Z434" s="669" t="n"/>
      <c r="AA434" s="669" t="n"/>
      <c r="AB434" s="669" t="n"/>
    </row>
    <row r="435">
      <c r="I435" s="669" t="n"/>
      <c r="J435" s="669" t="n"/>
      <c r="K435" s="669" t="n"/>
      <c r="L435" s="669" t="n"/>
      <c r="M435" s="669" t="n"/>
      <c r="N435" s="669" t="n"/>
      <c r="O435" s="669" t="n"/>
      <c r="P435" s="669" t="n"/>
      <c r="Q435" s="669" t="n"/>
      <c r="R435" s="669" t="n"/>
      <c r="S435" s="669" t="n"/>
      <c r="T435" s="669" t="n"/>
      <c r="U435" s="669" t="n"/>
      <c r="V435" s="669" t="n"/>
      <c r="W435" s="669" t="n"/>
      <c r="X435" s="669" t="n"/>
      <c r="Y435" s="669" t="n"/>
      <c r="Z435" s="669" t="n"/>
      <c r="AA435" s="669" t="n"/>
      <c r="AB435" s="669" t="n"/>
    </row>
    <row r="436">
      <c r="I436" s="669" t="n"/>
      <c r="J436" s="669" t="n"/>
      <c r="K436" s="669" t="n"/>
      <c r="L436" s="669" t="n"/>
      <c r="M436" s="669" t="n"/>
      <c r="N436" s="669" t="n"/>
      <c r="O436" s="669" t="n"/>
      <c r="P436" s="669" t="n"/>
      <c r="Q436" s="669" t="n"/>
      <c r="R436" s="669" t="n"/>
      <c r="S436" s="669" t="n"/>
      <c r="T436" s="669" t="n"/>
      <c r="U436" s="669" t="n"/>
      <c r="V436" s="669" t="n"/>
      <c r="W436" s="669" t="n"/>
      <c r="X436" s="669" t="n"/>
      <c r="Y436" s="669" t="n"/>
      <c r="Z436" s="669" t="n"/>
      <c r="AA436" s="669" t="n"/>
      <c r="AB436" s="669" t="n"/>
    </row>
    <row r="437">
      <c r="I437" s="669" t="n"/>
      <c r="J437" s="669" t="n"/>
      <c r="K437" s="669" t="n"/>
      <c r="L437" s="669" t="n"/>
      <c r="M437" s="669" t="n"/>
      <c r="N437" s="669" t="n"/>
      <c r="O437" s="669" t="n"/>
      <c r="P437" s="669" t="n"/>
      <c r="Q437" s="669" t="n"/>
      <c r="R437" s="669" t="n"/>
      <c r="S437" s="669" t="n"/>
      <c r="T437" s="669" t="n"/>
      <c r="U437" s="669" t="n"/>
      <c r="V437" s="669" t="n"/>
      <c r="W437" s="669" t="n"/>
      <c r="X437" s="669" t="n"/>
      <c r="Y437" s="669" t="n"/>
      <c r="Z437" s="669" t="n"/>
      <c r="AA437" s="669" t="n"/>
      <c r="AB437" s="669" t="n"/>
    </row>
    <row r="438">
      <c r="I438" s="669" t="n"/>
      <c r="J438" s="669" t="n"/>
      <c r="K438" s="669" t="n"/>
      <c r="L438" s="669" t="n"/>
      <c r="M438" s="669" t="n"/>
      <c r="N438" s="669" t="n"/>
      <c r="O438" s="669" t="n"/>
      <c r="P438" s="669" t="n"/>
      <c r="Q438" s="669" t="n"/>
      <c r="R438" s="669" t="n"/>
      <c r="S438" s="669" t="n"/>
      <c r="T438" s="669" t="n"/>
      <c r="U438" s="669" t="n"/>
      <c r="V438" s="669" t="n"/>
      <c r="W438" s="669" t="n"/>
      <c r="X438" s="669" t="n"/>
      <c r="Y438" s="669" t="n"/>
      <c r="Z438" s="669" t="n"/>
      <c r="AA438" s="669" t="n"/>
      <c r="AB438" s="669" t="n"/>
    </row>
    <row r="439">
      <c r="I439" s="669" t="n"/>
      <c r="J439" s="669" t="n"/>
      <c r="K439" s="669" t="n"/>
      <c r="L439" s="669" t="n"/>
      <c r="M439" s="669" t="n"/>
      <c r="N439" s="669" t="n"/>
      <c r="O439" s="669" t="n"/>
      <c r="P439" s="669" t="n"/>
      <c r="Q439" s="669" t="n"/>
      <c r="R439" s="669" t="n"/>
      <c r="S439" s="669" t="n"/>
      <c r="T439" s="669" t="n"/>
      <c r="U439" s="669" t="n"/>
      <c r="V439" s="669" t="n"/>
      <c r="W439" s="669" t="n"/>
      <c r="X439" s="669" t="n"/>
      <c r="Y439" s="669" t="n"/>
      <c r="Z439" s="669" t="n"/>
      <c r="AA439" s="669" t="n"/>
      <c r="AB439" s="669" t="n"/>
    </row>
    <row r="440">
      <c r="I440" s="669" t="n"/>
      <c r="J440" s="669" t="n"/>
      <c r="K440" s="669" t="n"/>
      <c r="L440" s="669" t="n"/>
      <c r="M440" s="669" t="n"/>
      <c r="N440" s="669" t="n"/>
      <c r="O440" s="669" t="n"/>
      <c r="P440" s="669" t="n"/>
      <c r="Q440" s="669" t="n"/>
      <c r="R440" s="669" t="n"/>
      <c r="S440" s="669" t="n"/>
      <c r="T440" s="669" t="n"/>
      <c r="U440" s="669" t="n"/>
      <c r="V440" s="669" t="n"/>
      <c r="W440" s="669" t="n"/>
      <c r="X440" s="669" t="n"/>
      <c r="Y440" s="669" t="n"/>
      <c r="Z440" s="669" t="n"/>
      <c r="AA440" s="669" t="n"/>
      <c r="AB440" s="669" t="n"/>
    </row>
    <row r="441">
      <c r="I441" s="669" t="n"/>
      <c r="J441" s="669" t="n"/>
      <c r="K441" s="669" t="n"/>
      <c r="L441" s="669" t="n"/>
      <c r="M441" s="669" t="n"/>
      <c r="N441" s="669" t="n"/>
      <c r="O441" s="669" t="n"/>
      <c r="P441" s="669" t="n"/>
      <c r="Q441" s="669" t="n"/>
      <c r="R441" s="669" t="n"/>
      <c r="S441" s="669" t="n"/>
      <c r="T441" s="669" t="n"/>
      <c r="U441" s="669" t="n"/>
      <c r="V441" s="669" t="n"/>
      <c r="W441" s="669" t="n"/>
      <c r="X441" s="669" t="n"/>
      <c r="Y441" s="669" t="n"/>
      <c r="Z441" s="669" t="n"/>
      <c r="AA441" s="669" t="n"/>
      <c r="AB441" s="669" t="n"/>
    </row>
    <row r="442">
      <c r="I442" s="669" t="n"/>
      <c r="J442" s="669" t="n"/>
      <c r="K442" s="669" t="n"/>
      <c r="L442" s="669" t="n"/>
      <c r="M442" s="669" t="n"/>
      <c r="N442" s="669" t="n"/>
      <c r="O442" s="669" t="n"/>
      <c r="P442" s="669" t="n"/>
      <c r="Q442" s="669" t="n"/>
      <c r="R442" s="669" t="n"/>
      <c r="S442" s="669" t="n"/>
      <c r="T442" s="669" t="n"/>
      <c r="U442" s="669" t="n"/>
      <c r="V442" s="669" t="n"/>
      <c r="W442" s="669" t="n"/>
      <c r="X442" s="669" t="n"/>
      <c r="Y442" s="669" t="n"/>
      <c r="Z442" s="669" t="n"/>
      <c r="AA442" s="669" t="n"/>
      <c r="AB442" s="669" t="n"/>
    </row>
    <row r="443">
      <c r="I443" s="669" t="n"/>
      <c r="J443" s="669" t="n"/>
      <c r="K443" s="669" t="n"/>
      <c r="L443" s="669" t="n"/>
      <c r="M443" s="669" t="n"/>
      <c r="N443" s="669" t="n"/>
      <c r="O443" s="669" t="n"/>
      <c r="P443" s="669" t="n"/>
      <c r="Q443" s="669" t="n"/>
      <c r="R443" s="669" t="n"/>
      <c r="S443" s="669" t="n"/>
      <c r="T443" s="669" t="n"/>
      <c r="U443" s="669" t="n"/>
      <c r="V443" s="669" t="n"/>
      <c r="W443" s="669" t="n"/>
      <c r="X443" s="669" t="n"/>
      <c r="Y443" s="669" t="n"/>
      <c r="Z443" s="669" t="n"/>
      <c r="AA443" s="669" t="n"/>
      <c r="AB443" s="669" t="n"/>
    </row>
    <row r="444">
      <c r="I444" s="669" t="n"/>
      <c r="J444" s="669" t="n"/>
      <c r="K444" s="669" t="n"/>
      <c r="L444" s="669" t="n"/>
      <c r="M444" s="669" t="n"/>
      <c r="N444" s="669" t="n"/>
      <c r="O444" s="669" t="n"/>
      <c r="P444" s="669" t="n"/>
      <c r="Q444" s="669" t="n"/>
      <c r="R444" s="669" t="n"/>
      <c r="S444" s="669" t="n"/>
      <c r="T444" s="669" t="n"/>
      <c r="U444" s="669" t="n"/>
      <c r="V444" s="669" t="n"/>
      <c r="W444" s="669" t="n"/>
      <c r="X444" s="669" t="n"/>
      <c r="Y444" s="669" t="n"/>
      <c r="Z444" s="669" t="n"/>
      <c r="AA444" s="669" t="n"/>
      <c r="AB444" s="669" t="n"/>
    </row>
    <row r="445">
      <c r="I445" s="669" t="n"/>
      <c r="J445" s="669" t="n"/>
      <c r="K445" s="669" t="n"/>
      <c r="L445" s="669" t="n"/>
      <c r="M445" s="669" t="n"/>
      <c r="N445" s="669" t="n"/>
      <c r="O445" s="669" t="n"/>
      <c r="P445" s="669" t="n"/>
      <c r="Q445" s="669" t="n"/>
      <c r="R445" s="669" t="n"/>
      <c r="S445" s="669" t="n"/>
      <c r="T445" s="669" t="n"/>
      <c r="U445" s="669" t="n"/>
      <c r="V445" s="669" t="n"/>
      <c r="W445" s="669" t="n"/>
      <c r="X445" s="669" t="n"/>
      <c r="Y445" s="669" t="n"/>
      <c r="Z445" s="669" t="n"/>
      <c r="AA445" s="669" t="n"/>
      <c r="AB445" s="669" t="n"/>
    </row>
    <row r="446">
      <c r="I446" s="669" t="n"/>
      <c r="J446" s="669" t="n"/>
      <c r="K446" s="669" t="n"/>
      <c r="L446" s="669" t="n"/>
      <c r="M446" s="669" t="n"/>
      <c r="N446" s="669" t="n"/>
      <c r="O446" s="669" t="n"/>
      <c r="P446" s="669" t="n"/>
      <c r="Q446" s="669" t="n"/>
      <c r="R446" s="669" t="n"/>
      <c r="S446" s="669" t="n"/>
      <c r="T446" s="669" t="n"/>
      <c r="U446" s="669" t="n"/>
      <c r="V446" s="669" t="n"/>
      <c r="W446" s="669" t="n"/>
      <c r="X446" s="669" t="n"/>
      <c r="Y446" s="669" t="n"/>
      <c r="Z446" s="669" t="n"/>
      <c r="AA446" s="669" t="n"/>
      <c r="AB446" s="669" t="n"/>
    </row>
    <row r="447">
      <c r="I447" s="669" t="n"/>
      <c r="J447" s="669" t="n"/>
      <c r="K447" s="669" t="n"/>
      <c r="L447" s="669" t="n"/>
      <c r="M447" s="669" t="n"/>
      <c r="N447" s="669" t="n"/>
      <c r="O447" s="669" t="n"/>
      <c r="P447" s="669" t="n"/>
      <c r="Q447" s="669" t="n"/>
      <c r="R447" s="669" t="n"/>
      <c r="S447" s="669" t="n"/>
      <c r="T447" s="669" t="n"/>
      <c r="U447" s="669" t="n"/>
      <c r="V447" s="669" t="n"/>
      <c r="W447" s="669" t="n"/>
      <c r="X447" s="669" t="n"/>
      <c r="Y447" s="669" t="n"/>
      <c r="Z447" s="669" t="n"/>
      <c r="AA447" s="669" t="n"/>
      <c r="AB447" s="669" t="n"/>
    </row>
    <row r="448">
      <c r="I448" s="669" t="n"/>
      <c r="J448" s="669" t="n"/>
      <c r="K448" s="669" t="n"/>
      <c r="L448" s="669" t="n"/>
      <c r="M448" s="669" t="n"/>
      <c r="N448" s="669" t="n"/>
      <c r="O448" s="669" t="n"/>
      <c r="P448" s="669" t="n"/>
      <c r="Q448" s="669" t="n"/>
      <c r="R448" s="669" t="n"/>
      <c r="S448" s="669" t="n"/>
      <c r="T448" s="669" t="n"/>
      <c r="U448" s="669" t="n"/>
      <c r="V448" s="669" t="n"/>
      <c r="W448" s="669" t="n"/>
      <c r="X448" s="669" t="n"/>
      <c r="Y448" s="669" t="n"/>
      <c r="Z448" s="669" t="n"/>
      <c r="AA448" s="669" t="n"/>
      <c r="AB448" s="669" t="n"/>
    </row>
    <row r="449">
      <c r="I449" s="669" t="n"/>
      <c r="J449" s="669" t="n"/>
      <c r="K449" s="669" t="n"/>
      <c r="L449" s="669" t="n"/>
      <c r="M449" s="669" t="n"/>
      <c r="N449" s="669" t="n"/>
      <c r="O449" s="669" t="n"/>
      <c r="P449" s="669" t="n"/>
      <c r="Q449" s="669" t="n"/>
      <c r="R449" s="669" t="n"/>
      <c r="S449" s="669" t="n"/>
      <c r="T449" s="669" t="n"/>
      <c r="U449" s="669" t="n"/>
      <c r="V449" s="669" t="n"/>
      <c r="W449" s="669" t="n"/>
      <c r="X449" s="669" t="n"/>
      <c r="Y449" s="669" t="n"/>
      <c r="Z449" s="669" t="n"/>
      <c r="AA449" s="669" t="n"/>
      <c r="AB449" s="669" t="n"/>
    </row>
    <row r="450">
      <c r="I450" s="669" t="n"/>
      <c r="J450" s="669" t="n"/>
      <c r="K450" s="669" t="n"/>
      <c r="L450" s="669" t="n"/>
      <c r="M450" s="669" t="n"/>
      <c r="N450" s="669" t="n"/>
      <c r="O450" s="669" t="n"/>
      <c r="P450" s="669" t="n"/>
      <c r="Q450" s="669" t="n"/>
      <c r="R450" s="669" t="n"/>
      <c r="S450" s="669" t="n"/>
      <c r="T450" s="669" t="n"/>
      <c r="U450" s="669" t="n"/>
      <c r="V450" s="669" t="n"/>
      <c r="W450" s="669" t="n"/>
      <c r="X450" s="669" t="n"/>
      <c r="Y450" s="669" t="n"/>
      <c r="Z450" s="669" t="n"/>
      <c r="AA450" s="669" t="n"/>
      <c r="AB450" s="669" t="n"/>
    </row>
    <row r="451">
      <c r="I451" s="669" t="n"/>
      <c r="J451" s="669" t="n"/>
      <c r="K451" s="669" t="n"/>
      <c r="L451" s="669" t="n"/>
      <c r="M451" s="669" t="n"/>
      <c r="N451" s="669" t="n"/>
      <c r="O451" s="669" t="n"/>
      <c r="P451" s="669" t="n"/>
      <c r="Q451" s="669" t="n"/>
      <c r="R451" s="669" t="n"/>
      <c r="S451" s="669" t="n"/>
      <c r="T451" s="669" t="n"/>
      <c r="U451" s="669" t="n"/>
      <c r="V451" s="669" t="n"/>
      <c r="W451" s="669" t="n"/>
      <c r="X451" s="669" t="n"/>
      <c r="Y451" s="669" t="n"/>
      <c r="Z451" s="669" t="n"/>
      <c r="AA451" s="669" t="n"/>
      <c r="AB451" s="669" t="n"/>
    </row>
    <row r="452">
      <c r="I452" s="669" t="n"/>
      <c r="J452" s="669" t="n"/>
      <c r="K452" s="669" t="n"/>
      <c r="L452" s="669" t="n"/>
      <c r="M452" s="669" t="n"/>
      <c r="N452" s="669" t="n"/>
      <c r="O452" s="669" t="n"/>
      <c r="P452" s="669" t="n"/>
      <c r="Q452" s="669" t="n"/>
      <c r="R452" s="669" t="n"/>
      <c r="S452" s="669" t="n"/>
      <c r="T452" s="669" t="n"/>
      <c r="U452" s="669" t="n"/>
      <c r="V452" s="669" t="n"/>
      <c r="W452" s="669" t="n"/>
      <c r="X452" s="669" t="n"/>
      <c r="Y452" s="669" t="n"/>
      <c r="Z452" s="669" t="n"/>
      <c r="AA452" s="669" t="n"/>
      <c r="AB452" s="669" t="n"/>
    </row>
    <row r="453">
      <c r="I453" s="669" t="n"/>
      <c r="J453" s="669" t="n"/>
      <c r="K453" s="669" t="n"/>
      <c r="L453" s="669" t="n"/>
      <c r="M453" s="669" t="n"/>
      <c r="N453" s="669" t="n"/>
      <c r="O453" s="669" t="n"/>
      <c r="P453" s="669" t="n"/>
      <c r="Q453" s="669" t="n"/>
      <c r="R453" s="669" t="n"/>
      <c r="S453" s="669" t="n"/>
      <c r="T453" s="669" t="n"/>
      <c r="U453" s="669" t="n"/>
      <c r="V453" s="669" t="n"/>
      <c r="W453" s="669" t="n"/>
      <c r="X453" s="669" t="n"/>
      <c r="Y453" s="669" t="n"/>
      <c r="Z453" s="669" t="n"/>
      <c r="AA453" s="669" t="n"/>
      <c r="AB453" s="669" t="n"/>
    </row>
    <row r="454">
      <c r="I454" s="669" t="n"/>
      <c r="J454" s="669" t="n"/>
      <c r="K454" s="669" t="n"/>
      <c r="L454" s="669" t="n"/>
      <c r="M454" s="669" t="n"/>
      <c r="N454" s="669" t="n"/>
      <c r="O454" s="669" t="n"/>
      <c r="P454" s="669" t="n"/>
      <c r="Q454" s="669" t="n"/>
      <c r="R454" s="669" t="n"/>
      <c r="S454" s="669" t="n"/>
      <c r="T454" s="669" t="n"/>
      <c r="U454" s="669" t="n"/>
      <c r="V454" s="669" t="n"/>
      <c r="W454" s="669" t="n"/>
      <c r="X454" s="669" t="n"/>
      <c r="Y454" s="669" t="n"/>
      <c r="Z454" s="669" t="n"/>
      <c r="AA454" s="669" t="n"/>
      <c r="AB454" s="669" t="n"/>
    </row>
    <row r="455">
      <c r="I455" s="669" t="n"/>
      <c r="J455" s="669" t="n"/>
      <c r="K455" s="669" t="n"/>
      <c r="L455" s="669" t="n"/>
      <c r="M455" s="669" t="n"/>
      <c r="N455" s="669" t="n"/>
      <c r="O455" s="669" t="n"/>
      <c r="P455" s="669" t="n"/>
      <c r="Q455" s="669" t="n"/>
      <c r="R455" s="669" t="n"/>
      <c r="S455" s="669" t="n"/>
      <c r="T455" s="669" t="n"/>
      <c r="U455" s="669" t="n"/>
      <c r="V455" s="669" t="n"/>
      <c r="W455" s="669" t="n"/>
      <c r="X455" s="669" t="n"/>
      <c r="Y455" s="669" t="n"/>
      <c r="Z455" s="669" t="n"/>
      <c r="AA455" s="669" t="n"/>
      <c r="AB455" s="669" t="n"/>
    </row>
    <row r="456">
      <c r="I456" s="669" t="n"/>
      <c r="J456" s="669" t="n"/>
      <c r="K456" s="669" t="n"/>
      <c r="L456" s="669" t="n"/>
      <c r="M456" s="669" t="n"/>
      <c r="N456" s="669" t="n"/>
      <c r="O456" s="669" t="n"/>
      <c r="P456" s="669" t="n"/>
      <c r="Q456" s="669" t="n"/>
      <c r="R456" s="669" t="n"/>
      <c r="S456" s="669" t="n"/>
      <c r="T456" s="669" t="n"/>
      <c r="U456" s="669" t="n"/>
      <c r="V456" s="669" t="n"/>
      <c r="W456" s="669" t="n"/>
      <c r="X456" s="669" t="n"/>
      <c r="Y456" s="669" t="n"/>
      <c r="Z456" s="669" t="n"/>
      <c r="AA456" s="669" t="n"/>
      <c r="AB456" s="669" t="n"/>
    </row>
    <row r="457">
      <c r="I457" s="669" t="n"/>
      <c r="J457" s="669" t="n"/>
      <c r="K457" s="669" t="n"/>
      <c r="L457" s="669" t="n"/>
      <c r="M457" s="669" t="n"/>
      <c r="N457" s="669" t="n"/>
      <c r="O457" s="669" t="n"/>
      <c r="P457" s="669" t="n"/>
      <c r="Q457" s="669" t="n"/>
      <c r="R457" s="669" t="n"/>
      <c r="S457" s="669" t="n"/>
      <c r="T457" s="669" t="n"/>
      <c r="U457" s="669" t="n"/>
      <c r="V457" s="669" t="n"/>
      <c r="W457" s="669" t="n"/>
      <c r="X457" s="669" t="n"/>
      <c r="Y457" s="669" t="n"/>
      <c r="Z457" s="669" t="n"/>
      <c r="AA457" s="669" t="n"/>
      <c r="AB457" s="669" t="n"/>
    </row>
    <row r="458">
      <c r="I458" s="669" t="n"/>
      <c r="J458" s="669" t="n"/>
      <c r="K458" s="669" t="n"/>
      <c r="L458" s="669" t="n"/>
      <c r="M458" s="669" t="n"/>
      <c r="N458" s="669" t="n"/>
      <c r="O458" s="669" t="n"/>
      <c r="P458" s="669" t="n"/>
      <c r="Q458" s="669" t="n"/>
      <c r="R458" s="669" t="n"/>
      <c r="S458" s="669" t="n"/>
      <c r="T458" s="669" t="n"/>
      <c r="U458" s="669" t="n"/>
      <c r="V458" s="669" t="n"/>
      <c r="W458" s="669" t="n"/>
      <c r="X458" s="669" t="n"/>
      <c r="Y458" s="669" t="n"/>
      <c r="Z458" s="669" t="n"/>
      <c r="AA458" s="669" t="n"/>
      <c r="AB458" s="669" t="n"/>
    </row>
    <row r="459">
      <c r="I459" s="669" t="n"/>
      <c r="J459" s="669" t="n"/>
      <c r="K459" s="669" t="n"/>
      <c r="L459" s="669" t="n"/>
      <c r="M459" s="669" t="n"/>
      <c r="N459" s="669" t="n"/>
      <c r="O459" s="669" t="n"/>
      <c r="P459" s="669" t="n"/>
      <c r="Q459" s="669" t="n"/>
      <c r="R459" s="669" t="n"/>
      <c r="S459" s="669" t="n"/>
      <c r="T459" s="669" t="n"/>
      <c r="U459" s="669" t="n"/>
      <c r="V459" s="669" t="n"/>
      <c r="W459" s="669" t="n"/>
      <c r="X459" s="669" t="n"/>
      <c r="Y459" s="669" t="n"/>
      <c r="Z459" s="669" t="n"/>
      <c r="AA459" s="669" t="n"/>
      <c r="AB459" s="669" t="n"/>
    </row>
    <row r="460">
      <c r="I460" s="669" t="n"/>
      <c r="J460" s="669" t="n"/>
      <c r="K460" s="669" t="n"/>
      <c r="L460" s="669" t="n"/>
      <c r="M460" s="669" t="n"/>
      <c r="N460" s="669" t="n"/>
      <c r="O460" s="669" t="n"/>
      <c r="P460" s="669" t="n"/>
      <c r="Q460" s="669" t="n"/>
      <c r="R460" s="669" t="n"/>
      <c r="S460" s="669" t="n"/>
      <c r="T460" s="669" t="n"/>
      <c r="U460" s="669" t="n"/>
      <c r="V460" s="669" t="n"/>
      <c r="W460" s="669" t="n"/>
      <c r="X460" s="669" t="n"/>
      <c r="Y460" s="669" t="n"/>
      <c r="Z460" s="669" t="n"/>
      <c r="AA460" s="669" t="n"/>
      <c r="AB460" s="669" t="n"/>
    </row>
    <row r="461">
      <c r="I461" s="669" t="n"/>
      <c r="J461" s="669" t="n"/>
      <c r="K461" s="669" t="n"/>
      <c r="L461" s="669" t="n"/>
      <c r="M461" s="669" t="n"/>
      <c r="N461" s="669" t="n"/>
      <c r="O461" s="669" t="n"/>
      <c r="P461" s="669" t="n"/>
      <c r="Q461" s="669" t="n"/>
      <c r="R461" s="669" t="n"/>
      <c r="S461" s="669" t="n"/>
      <c r="T461" s="669" t="n"/>
      <c r="U461" s="669" t="n"/>
      <c r="V461" s="669" t="n"/>
      <c r="W461" s="669" t="n"/>
      <c r="X461" s="669" t="n"/>
      <c r="Y461" s="669" t="n"/>
      <c r="Z461" s="669" t="n"/>
      <c r="AA461" s="669" t="n"/>
      <c r="AB461" s="669" t="n"/>
    </row>
    <row r="462">
      <c r="I462" s="669" t="n"/>
      <c r="J462" s="669" t="n"/>
      <c r="K462" s="669" t="n"/>
      <c r="L462" s="669" t="n"/>
      <c r="M462" s="669" t="n"/>
      <c r="N462" s="669" t="n"/>
      <c r="O462" s="669" t="n"/>
      <c r="P462" s="669" t="n"/>
      <c r="Q462" s="669" t="n"/>
      <c r="R462" s="669" t="n"/>
      <c r="S462" s="669" t="n"/>
      <c r="T462" s="669" t="n"/>
      <c r="U462" s="669" t="n"/>
      <c r="V462" s="669" t="n"/>
      <c r="W462" s="669" t="n"/>
      <c r="X462" s="669" t="n"/>
      <c r="Y462" s="669" t="n"/>
      <c r="Z462" s="669" t="n"/>
      <c r="AA462" s="669" t="n"/>
      <c r="AB462" s="669" t="n"/>
    </row>
    <row r="463">
      <c r="I463" s="669" t="n"/>
      <c r="J463" s="669" t="n"/>
      <c r="K463" s="669" t="n"/>
      <c r="L463" s="669" t="n"/>
      <c r="M463" s="669" t="n"/>
      <c r="N463" s="669" t="n"/>
      <c r="O463" s="669" t="n"/>
      <c r="P463" s="669" t="n"/>
      <c r="Q463" s="669" t="n"/>
      <c r="R463" s="669" t="n"/>
      <c r="S463" s="669" t="n"/>
      <c r="T463" s="669" t="n"/>
      <c r="U463" s="669" t="n"/>
      <c r="V463" s="669" t="n"/>
      <c r="W463" s="669" t="n"/>
      <c r="X463" s="669" t="n"/>
      <c r="Y463" s="669" t="n"/>
      <c r="Z463" s="669" t="n"/>
      <c r="AA463" s="669" t="n"/>
      <c r="AB463" s="669" t="n"/>
    </row>
    <row r="464">
      <c r="I464" s="669" t="n"/>
      <c r="J464" s="669" t="n"/>
      <c r="K464" s="669" t="n"/>
      <c r="L464" s="669" t="n"/>
      <c r="M464" s="669" t="n"/>
      <c r="N464" s="669" t="n"/>
      <c r="O464" s="669" t="n"/>
      <c r="P464" s="669" t="n"/>
      <c r="Q464" s="669" t="n"/>
      <c r="R464" s="669" t="n"/>
      <c r="S464" s="669" t="n"/>
      <c r="T464" s="669" t="n"/>
      <c r="U464" s="669" t="n"/>
      <c r="V464" s="669" t="n"/>
      <c r="W464" s="669" t="n"/>
      <c r="X464" s="669" t="n"/>
      <c r="Y464" s="669" t="n"/>
      <c r="Z464" s="669" t="n"/>
      <c r="AA464" s="669" t="n"/>
      <c r="AB464" s="669" t="n"/>
    </row>
    <row r="465">
      <c r="I465" s="669" t="n"/>
      <c r="J465" s="669" t="n"/>
      <c r="K465" s="669" t="n"/>
      <c r="L465" s="669" t="n"/>
      <c r="M465" s="669" t="n"/>
      <c r="N465" s="669" t="n"/>
      <c r="O465" s="669" t="n"/>
      <c r="P465" s="669" t="n"/>
      <c r="Q465" s="669" t="n"/>
      <c r="R465" s="669" t="n"/>
      <c r="S465" s="669" t="n"/>
      <c r="T465" s="669" t="n"/>
      <c r="U465" s="669" t="n"/>
      <c r="V465" s="669" t="n"/>
      <c r="W465" s="669" t="n"/>
      <c r="X465" s="669" t="n"/>
      <c r="Y465" s="669" t="n"/>
      <c r="Z465" s="669" t="n"/>
      <c r="AA465" s="669" t="n"/>
      <c r="AB465" s="669" t="n"/>
    </row>
    <row r="466">
      <c r="I466" s="669" t="n"/>
      <c r="J466" s="669" t="n"/>
      <c r="K466" s="669" t="n"/>
      <c r="L466" s="669" t="n"/>
      <c r="M466" s="669" t="n"/>
      <c r="N466" s="669" t="n"/>
      <c r="O466" s="669" t="n"/>
      <c r="P466" s="669" t="n"/>
      <c r="Q466" s="669" t="n"/>
      <c r="R466" s="669" t="n"/>
      <c r="S466" s="669" t="n"/>
      <c r="T466" s="669" t="n"/>
      <c r="U466" s="669" t="n"/>
      <c r="V466" s="669" t="n"/>
      <c r="W466" s="669" t="n"/>
      <c r="X466" s="669" t="n"/>
      <c r="Y466" s="669" t="n"/>
      <c r="Z466" s="669" t="n"/>
      <c r="AA466" s="669" t="n"/>
      <c r="AB466" s="669" t="n"/>
    </row>
    <row r="467">
      <c r="I467" s="669" t="n"/>
      <c r="J467" s="669" t="n"/>
      <c r="K467" s="669" t="n"/>
      <c r="L467" s="669" t="n"/>
      <c r="M467" s="669" t="n"/>
      <c r="N467" s="669" t="n"/>
      <c r="O467" s="669" t="n"/>
      <c r="P467" s="669" t="n"/>
      <c r="Q467" s="669" t="n"/>
      <c r="R467" s="669" t="n"/>
      <c r="S467" s="669" t="n"/>
      <c r="T467" s="669" t="n"/>
      <c r="U467" s="669" t="n"/>
      <c r="V467" s="669" t="n"/>
      <c r="W467" s="669" t="n"/>
      <c r="X467" s="669" t="n"/>
      <c r="Y467" s="669" t="n"/>
      <c r="Z467" s="669" t="n"/>
      <c r="AA467" s="669" t="n"/>
      <c r="AB467" s="669" t="n"/>
    </row>
    <row r="468">
      <c r="I468" s="669" t="n"/>
      <c r="J468" s="669" t="n"/>
      <c r="K468" s="669" t="n"/>
      <c r="L468" s="669" t="n"/>
      <c r="M468" s="669" t="n"/>
      <c r="N468" s="669" t="n"/>
      <c r="O468" s="669" t="n"/>
      <c r="P468" s="669" t="n"/>
      <c r="Q468" s="669" t="n"/>
      <c r="R468" s="669" t="n"/>
      <c r="S468" s="669" t="n"/>
      <c r="T468" s="669" t="n"/>
      <c r="U468" s="669" t="n"/>
      <c r="V468" s="669" t="n"/>
      <c r="W468" s="669" t="n"/>
      <c r="X468" s="669" t="n"/>
      <c r="Y468" s="669" t="n"/>
      <c r="Z468" s="669" t="n"/>
      <c r="AA468" s="669" t="n"/>
      <c r="AB468" s="669" t="n"/>
    </row>
    <row r="469">
      <c r="I469" s="669" t="n"/>
      <c r="J469" s="669" t="n"/>
      <c r="K469" s="669" t="n"/>
      <c r="L469" s="669" t="n"/>
      <c r="M469" s="669" t="n"/>
      <c r="N469" s="669" t="n"/>
      <c r="O469" s="669" t="n"/>
      <c r="P469" s="669" t="n"/>
      <c r="Q469" s="669" t="n"/>
      <c r="R469" s="669" t="n"/>
      <c r="S469" s="669" t="n"/>
      <c r="T469" s="669" t="n"/>
      <c r="U469" s="669" t="n"/>
      <c r="V469" s="669" t="n"/>
      <c r="W469" s="669" t="n"/>
      <c r="X469" s="669" t="n"/>
      <c r="Y469" s="669" t="n"/>
      <c r="Z469" s="669" t="n"/>
      <c r="AA469" s="669" t="n"/>
      <c r="AB469" s="669" t="n"/>
    </row>
    <row r="470">
      <c r="I470" s="669" t="n"/>
      <c r="J470" s="669" t="n"/>
      <c r="K470" s="669" t="n"/>
      <c r="L470" s="669" t="n"/>
      <c r="M470" s="669" t="n"/>
      <c r="N470" s="669" t="n"/>
      <c r="O470" s="669" t="n"/>
      <c r="P470" s="669" t="n"/>
      <c r="Q470" s="669" t="n"/>
      <c r="R470" s="669" t="n"/>
      <c r="S470" s="669" t="n"/>
      <c r="T470" s="669" t="n"/>
      <c r="U470" s="669" t="n"/>
      <c r="V470" s="669" t="n"/>
      <c r="W470" s="669" t="n"/>
      <c r="X470" s="669" t="n"/>
      <c r="Y470" s="669" t="n"/>
      <c r="Z470" s="669" t="n"/>
      <c r="AA470" s="669" t="n"/>
      <c r="AB470" s="669" t="n"/>
    </row>
    <row r="471">
      <c r="I471" s="669" t="n"/>
      <c r="J471" s="669" t="n"/>
      <c r="K471" s="669" t="n"/>
      <c r="L471" s="669" t="n"/>
      <c r="M471" s="669" t="n"/>
      <c r="N471" s="669" t="n"/>
      <c r="O471" s="669" t="n"/>
      <c r="P471" s="669" t="n"/>
      <c r="Q471" s="669" t="n"/>
      <c r="R471" s="669" t="n"/>
      <c r="S471" s="669" t="n"/>
      <c r="T471" s="669" t="n"/>
      <c r="U471" s="669" t="n"/>
      <c r="V471" s="669" t="n"/>
      <c r="W471" s="669" t="n"/>
      <c r="X471" s="669" t="n"/>
      <c r="Y471" s="669" t="n"/>
      <c r="Z471" s="669" t="n"/>
      <c r="AA471" s="669" t="n"/>
      <c r="AB471" s="669" t="n"/>
    </row>
    <row r="472">
      <c r="I472" s="669" t="n"/>
      <c r="J472" s="669" t="n"/>
      <c r="K472" s="669" t="n"/>
      <c r="L472" s="669" t="n"/>
      <c r="M472" s="669" t="n"/>
      <c r="N472" s="669" t="n"/>
      <c r="O472" s="669" t="n"/>
      <c r="P472" s="669" t="n"/>
      <c r="Q472" s="669" t="n"/>
      <c r="R472" s="669" t="n"/>
      <c r="S472" s="669" t="n"/>
      <c r="T472" s="669" t="n"/>
      <c r="U472" s="669" t="n"/>
      <c r="V472" s="669" t="n"/>
      <c r="W472" s="669" t="n"/>
      <c r="X472" s="669" t="n"/>
      <c r="Y472" s="669" t="n"/>
      <c r="Z472" s="669" t="n"/>
      <c r="AA472" s="669" t="n"/>
      <c r="AB472" s="669" t="n"/>
    </row>
    <row r="473">
      <c r="I473" s="669" t="n"/>
      <c r="J473" s="669" t="n"/>
      <c r="K473" s="669" t="n"/>
      <c r="L473" s="669" t="n"/>
      <c r="M473" s="669" t="n"/>
      <c r="N473" s="669" t="n"/>
      <c r="O473" s="669" t="n"/>
      <c r="P473" s="669" t="n"/>
      <c r="Q473" s="669" t="n"/>
      <c r="R473" s="669" t="n"/>
      <c r="S473" s="669" t="n"/>
      <c r="T473" s="669" t="n"/>
      <c r="U473" s="669" t="n"/>
      <c r="V473" s="669" t="n"/>
      <c r="W473" s="669" t="n"/>
      <c r="X473" s="669" t="n"/>
      <c r="Y473" s="669" t="n"/>
      <c r="Z473" s="669" t="n"/>
      <c r="AA473" s="669" t="n"/>
      <c r="AB473" s="669" t="n"/>
    </row>
    <row r="474">
      <c r="I474" s="669" t="n"/>
      <c r="J474" s="669" t="n"/>
      <c r="K474" s="669" t="n"/>
      <c r="L474" s="669" t="n"/>
      <c r="M474" s="669" t="n"/>
      <c r="N474" s="669" t="n"/>
      <c r="O474" s="669" t="n"/>
      <c r="P474" s="669" t="n"/>
      <c r="Q474" s="669" t="n"/>
      <c r="R474" s="669" t="n"/>
      <c r="S474" s="669" t="n"/>
      <c r="T474" s="669" t="n"/>
      <c r="U474" s="669" t="n"/>
      <c r="V474" s="669" t="n"/>
      <c r="W474" s="669" t="n"/>
      <c r="X474" s="669" t="n"/>
      <c r="Y474" s="669" t="n"/>
      <c r="Z474" s="669" t="n"/>
      <c r="AA474" s="669" t="n"/>
      <c r="AB474" s="669" t="n"/>
    </row>
    <row r="475">
      <c r="I475" s="669" t="n"/>
      <c r="J475" s="669" t="n"/>
      <c r="K475" s="669" t="n"/>
      <c r="L475" s="669" t="n"/>
      <c r="M475" s="669" t="n"/>
      <c r="N475" s="669" t="n"/>
      <c r="O475" s="669" t="n"/>
      <c r="P475" s="669" t="n"/>
      <c r="Q475" s="669" t="n"/>
      <c r="R475" s="669" t="n"/>
      <c r="S475" s="669" t="n"/>
      <c r="T475" s="669" t="n"/>
      <c r="U475" s="669" t="n"/>
      <c r="V475" s="669" t="n"/>
      <c r="W475" s="669" t="n"/>
      <c r="X475" s="669" t="n"/>
      <c r="Y475" s="669" t="n"/>
      <c r="Z475" s="669" t="n"/>
      <c r="AA475" s="669" t="n"/>
      <c r="AB475" s="669" t="n"/>
    </row>
    <row r="476">
      <c r="I476" s="669" t="n"/>
      <c r="J476" s="669" t="n"/>
      <c r="K476" s="669" t="n"/>
      <c r="L476" s="669" t="n"/>
      <c r="M476" s="669" t="n"/>
      <c r="N476" s="669" t="n"/>
      <c r="O476" s="669" t="n"/>
      <c r="P476" s="669" t="n"/>
      <c r="Q476" s="669" t="n"/>
      <c r="R476" s="669" t="n"/>
      <c r="S476" s="669" t="n"/>
      <c r="T476" s="669" t="n"/>
      <c r="U476" s="669" t="n"/>
      <c r="V476" s="669" t="n"/>
      <c r="W476" s="669" t="n"/>
      <c r="X476" s="669" t="n"/>
      <c r="Y476" s="669" t="n"/>
      <c r="Z476" s="669" t="n"/>
      <c r="AA476" s="669" t="n"/>
      <c r="AB476" s="669" t="n"/>
    </row>
    <row r="477">
      <c r="I477" s="669" t="n"/>
      <c r="J477" s="669" t="n"/>
      <c r="K477" s="669" t="n"/>
      <c r="L477" s="669" t="n"/>
      <c r="M477" s="669" t="n"/>
      <c r="N477" s="669" t="n"/>
      <c r="O477" s="669" t="n"/>
      <c r="P477" s="669" t="n"/>
      <c r="Q477" s="669" t="n"/>
      <c r="R477" s="669" t="n"/>
      <c r="S477" s="669" t="n"/>
      <c r="T477" s="669" t="n"/>
      <c r="U477" s="669" t="n"/>
      <c r="V477" s="669" t="n"/>
      <c r="W477" s="669" t="n"/>
      <c r="X477" s="669" t="n"/>
      <c r="Y477" s="669" t="n"/>
      <c r="Z477" s="669" t="n"/>
      <c r="AA477" s="669" t="n"/>
      <c r="AB477" s="669" t="n"/>
    </row>
    <row r="478">
      <c r="I478" s="669" t="n"/>
      <c r="J478" s="669" t="n"/>
      <c r="K478" s="669" t="n"/>
      <c r="L478" s="669" t="n"/>
      <c r="M478" s="669" t="n"/>
      <c r="N478" s="669" t="n"/>
      <c r="O478" s="669" t="n"/>
      <c r="P478" s="669" t="n"/>
      <c r="Q478" s="669" t="n"/>
      <c r="R478" s="669" t="n"/>
      <c r="S478" s="669" t="n"/>
      <c r="T478" s="669" t="n"/>
      <c r="U478" s="669" t="n"/>
      <c r="V478" s="669" t="n"/>
      <c r="W478" s="669" t="n"/>
      <c r="X478" s="669" t="n"/>
      <c r="Y478" s="669" t="n"/>
      <c r="Z478" s="669" t="n"/>
      <c r="AA478" s="669" t="n"/>
      <c r="AB478" s="669" t="n"/>
    </row>
    <row r="479">
      <c r="I479" s="669" t="n"/>
      <c r="J479" s="669" t="n"/>
      <c r="K479" s="669" t="n"/>
      <c r="L479" s="669" t="n"/>
      <c r="M479" s="669" t="n"/>
      <c r="N479" s="669" t="n"/>
      <c r="O479" s="669" t="n"/>
      <c r="P479" s="669" t="n"/>
      <c r="Q479" s="669" t="n"/>
      <c r="R479" s="669" t="n"/>
      <c r="S479" s="669" t="n"/>
      <c r="T479" s="669" t="n"/>
      <c r="U479" s="669" t="n"/>
      <c r="V479" s="669" t="n"/>
      <c r="W479" s="669" t="n"/>
      <c r="X479" s="669" t="n"/>
      <c r="Y479" s="669" t="n"/>
      <c r="Z479" s="669" t="n"/>
      <c r="AA479" s="669" t="n"/>
      <c r="AB479" s="669" t="n"/>
    </row>
    <row r="480">
      <c r="I480" s="669" t="n"/>
      <c r="J480" s="669" t="n"/>
      <c r="K480" s="669" t="n"/>
      <c r="L480" s="669" t="n"/>
      <c r="M480" s="669" t="n"/>
      <c r="N480" s="669" t="n"/>
      <c r="O480" s="669" t="n"/>
      <c r="P480" s="669" t="n"/>
      <c r="Q480" s="669" t="n"/>
      <c r="R480" s="669" t="n"/>
      <c r="S480" s="669" t="n"/>
      <c r="T480" s="669" t="n"/>
      <c r="U480" s="669" t="n"/>
      <c r="V480" s="669" t="n"/>
      <c r="W480" s="669" t="n"/>
      <c r="X480" s="669" t="n"/>
      <c r="Y480" s="669" t="n"/>
      <c r="Z480" s="669" t="n"/>
      <c r="AA480" s="669" t="n"/>
      <c r="AB480" s="669" t="n"/>
    </row>
    <row r="481">
      <c r="I481" s="669" t="n"/>
      <c r="J481" s="669" t="n"/>
      <c r="K481" s="669" t="n"/>
      <c r="L481" s="669" t="n"/>
      <c r="M481" s="669" t="n"/>
      <c r="N481" s="669" t="n"/>
      <c r="O481" s="669" t="n"/>
      <c r="P481" s="669" t="n"/>
      <c r="Q481" s="669" t="n"/>
      <c r="R481" s="669" t="n"/>
      <c r="S481" s="669" t="n"/>
      <c r="T481" s="669" t="n"/>
      <c r="U481" s="669" t="n"/>
      <c r="V481" s="669" t="n"/>
      <c r="W481" s="669" t="n"/>
      <c r="X481" s="669" t="n"/>
      <c r="Y481" s="669" t="n"/>
      <c r="Z481" s="669" t="n"/>
      <c r="AA481" s="669" t="n"/>
      <c r="AB481" s="669" t="n"/>
    </row>
    <row r="482">
      <c r="I482" s="669" t="n"/>
      <c r="J482" s="669" t="n"/>
      <c r="K482" s="669" t="n"/>
      <c r="L482" s="669" t="n"/>
      <c r="M482" s="669" t="n"/>
      <c r="N482" s="669" t="n"/>
      <c r="O482" s="669" t="n"/>
      <c r="P482" s="669" t="n"/>
      <c r="Q482" s="669" t="n"/>
      <c r="R482" s="669" t="n"/>
      <c r="S482" s="669" t="n"/>
      <c r="T482" s="669" t="n"/>
      <c r="U482" s="669" t="n"/>
      <c r="V482" s="669" t="n"/>
      <c r="W482" s="669" t="n"/>
      <c r="X482" s="669" t="n"/>
      <c r="Y482" s="669" t="n"/>
      <c r="Z482" s="669" t="n"/>
      <c r="AA482" s="669" t="n"/>
      <c r="AB482" s="669" t="n"/>
    </row>
    <row r="483">
      <c r="I483" s="669" t="n"/>
      <c r="J483" s="669" t="n"/>
      <c r="K483" s="669" t="n"/>
      <c r="L483" s="669" t="n"/>
      <c r="M483" s="669" t="n"/>
      <c r="N483" s="669" t="n"/>
      <c r="O483" s="669" t="n"/>
      <c r="P483" s="669" t="n"/>
      <c r="Q483" s="669" t="n"/>
      <c r="R483" s="669" t="n"/>
      <c r="S483" s="669" t="n"/>
      <c r="T483" s="669" t="n"/>
      <c r="U483" s="669" t="n"/>
      <c r="V483" s="669" t="n"/>
      <c r="W483" s="669" t="n"/>
      <c r="X483" s="669" t="n"/>
      <c r="Y483" s="669" t="n"/>
      <c r="Z483" s="669" t="n"/>
      <c r="AA483" s="669" t="n"/>
      <c r="AB483" s="669" t="n"/>
    </row>
    <row r="484">
      <c r="I484" s="669" t="n"/>
      <c r="J484" s="669" t="n"/>
      <c r="K484" s="669" t="n"/>
      <c r="L484" s="669" t="n"/>
      <c r="M484" s="669" t="n"/>
      <c r="N484" s="669" t="n"/>
      <c r="O484" s="669" t="n"/>
      <c r="P484" s="669" t="n"/>
      <c r="Q484" s="669" t="n"/>
      <c r="R484" s="669" t="n"/>
      <c r="S484" s="669" t="n"/>
      <c r="T484" s="669" t="n"/>
      <c r="U484" s="669" t="n"/>
      <c r="V484" s="669" t="n"/>
      <c r="W484" s="669" t="n"/>
      <c r="X484" s="669" t="n"/>
      <c r="Y484" s="669" t="n"/>
      <c r="Z484" s="669" t="n"/>
      <c r="AA484" s="669" t="n"/>
      <c r="AB484" s="669" t="n"/>
    </row>
    <row r="485">
      <c r="I485" s="669" t="n"/>
      <c r="J485" s="669" t="n"/>
      <c r="K485" s="669" t="n"/>
      <c r="L485" s="669" t="n"/>
      <c r="M485" s="669" t="n"/>
      <c r="N485" s="669" t="n"/>
      <c r="O485" s="669" t="n"/>
      <c r="P485" s="669" t="n"/>
      <c r="Q485" s="669" t="n"/>
      <c r="R485" s="669" t="n"/>
      <c r="S485" s="669" t="n"/>
      <c r="T485" s="669" t="n"/>
      <c r="U485" s="669" t="n"/>
      <c r="V485" s="669" t="n"/>
      <c r="W485" s="669" t="n"/>
      <c r="X485" s="669" t="n"/>
      <c r="Y485" s="669" t="n"/>
      <c r="Z485" s="669" t="n"/>
      <c r="AA485" s="669" t="n"/>
      <c r="AB485" s="669" t="n"/>
    </row>
    <row r="486">
      <c r="I486" s="669" t="n"/>
      <c r="J486" s="669" t="n"/>
      <c r="K486" s="669" t="n"/>
      <c r="L486" s="669" t="n"/>
      <c r="M486" s="669" t="n"/>
      <c r="N486" s="669" t="n"/>
      <c r="O486" s="669" t="n"/>
      <c r="P486" s="669" t="n"/>
      <c r="Q486" s="669" t="n"/>
      <c r="R486" s="669" t="n"/>
      <c r="S486" s="669" t="n"/>
      <c r="T486" s="669" t="n"/>
      <c r="U486" s="669" t="n"/>
      <c r="V486" s="669" t="n"/>
      <c r="W486" s="669" t="n"/>
      <c r="X486" s="669" t="n"/>
      <c r="Y486" s="669" t="n"/>
      <c r="Z486" s="669" t="n"/>
      <c r="AA486" s="669" t="n"/>
      <c r="AB486" s="669" t="n"/>
    </row>
    <row r="487">
      <c r="I487" s="669" t="n"/>
      <c r="J487" s="669" t="n"/>
      <c r="K487" s="669" t="n"/>
      <c r="L487" s="669" t="n"/>
      <c r="M487" s="669" t="n"/>
      <c r="N487" s="669" t="n"/>
      <c r="O487" s="669" t="n"/>
      <c r="P487" s="669" t="n"/>
      <c r="Q487" s="669" t="n"/>
      <c r="R487" s="669" t="n"/>
      <c r="S487" s="669" t="n"/>
      <c r="T487" s="669" t="n"/>
      <c r="U487" s="669" t="n"/>
      <c r="V487" s="669" t="n"/>
      <c r="W487" s="669" t="n"/>
      <c r="X487" s="669" t="n"/>
      <c r="Y487" s="669" t="n"/>
      <c r="Z487" s="669" t="n"/>
      <c r="AA487" s="669" t="n"/>
      <c r="AB487" s="669" t="n"/>
    </row>
    <row r="488">
      <c r="I488" s="669" t="n"/>
      <c r="J488" s="669" t="n"/>
      <c r="K488" s="669" t="n"/>
      <c r="L488" s="669" t="n"/>
      <c r="M488" s="669" t="n"/>
      <c r="N488" s="669" t="n"/>
      <c r="O488" s="669" t="n"/>
      <c r="P488" s="669" t="n"/>
      <c r="Q488" s="669" t="n"/>
      <c r="R488" s="669" t="n"/>
      <c r="S488" s="669" t="n"/>
      <c r="T488" s="669" t="n"/>
      <c r="U488" s="669" t="n"/>
      <c r="V488" s="669" t="n"/>
      <c r="W488" s="669" t="n"/>
      <c r="X488" s="669" t="n"/>
      <c r="Y488" s="669" t="n"/>
      <c r="Z488" s="669" t="n"/>
      <c r="AA488" s="669" t="n"/>
      <c r="AB488" s="669" t="n"/>
    </row>
    <row r="489">
      <c r="I489" s="669" t="n"/>
      <c r="J489" s="669" t="n"/>
      <c r="K489" s="669" t="n"/>
      <c r="L489" s="669" t="n"/>
      <c r="M489" s="669" t="n"/>
      <c r="N489" s="669" t="n"/>
      <c r="O489" s="669" t="n"/>
      <c r="P489" s="669" t="n"/>
      <c r="Q489" s="669" t="n"/>
      <c r="R489" s="669" t="n"/>
      <c r="S489" s="669" t="n"/>
      <c r="T489" s="669" t="n"/>
      <c r="U489" s="669" t="n"/>
      <c r="V489" s="669" t="n"/>
      <c r="W489" s="669" t="n"/>
      <c r="X489" s="669" t="n"/>
      <c r="Y489" s="669" t="n"/>
      <c r="Z489" s="669" t="n"/>
      <c r="AA489" s="669" t="n"/>
      <c r="AB489" s="669" t="n"/>
    </row>
    <row r="490">
      <c r="I490" s="669" t="n"/>
      <c r="J490" s="669" t="n"/>
      <c r="K490" s="669" t="n"/>
      <c r="L490" s="669" t="n"/>
      <c r="M490" s="669" t="n"/>
      <c r="N490" s="669" t="n"/>
      <c r="O490" s="669" t="n"/>
      <c r="P490" s="669" t="n"/>
      <c r="Q490" s="669" t="n"/>
      <c r="R490" s="669" t="n"/>
      <c r="S490" s="669" t="n"/>
      <c r="T490" s="669" t="n"/>
      <c r="U490" s="669" t="n"/>
      <c r="V490" s="669" t="n"/>
      <c r="W490" s="669" t="n"/>
      <c r="X490" s="669" t="n"/>
      <c r="Y490" s="669" t="n"/>
      <c r="Z490" s="669" t="n"/>
      <c r="AA490" s="669" t="n"/>
      <c r="AB490" s="669" t="n"/>
    </row>
    <row r="491">
      <c r="I491" s="669" t="n"/>
      <c r="J491" s="669" t="n"/>
      <c r="K491" s="669" t="n"/>
      <c r="L491" s="669" t="n"/>
      <c r="M491" s="669" t="n"/>
      <c r="N491" s="669" t="n"/>
      <c r="O491" s="669" t="n"/>
      <c r="P491" s="669" t="n"/>
      <c r="Q491" s="669" t="n"/>
      <c r="R491" s="669" t="n"/>
      <c r="S491" s="669" t="n"/>
      <c r="T491" s="669" t="n"/>
      <c r="U491" s="669" t="n"/>
      <c r="V491" s="669" t="n"/>
      <c r="W491" s="669" t="n"/>
      <c r="X491" s="669" t="n"/>
      <c r="Y491" s="669" t="n"/>
      <c r="Z491" s="669" t="n"/>
      <c r="AA491" s="669" t="n"/>
      <c r="AB491" s="669" t="n"/>
    </row>
    <row r="492">
      <c r="I492" s="669" t="n"/>
      <c r="J492" s="669" t="n"/>
      <c r="K492" s="669" t="n"/>
      <c r="L492" s="669" t="n"/>
      <c r="M492" s="669" t="n"/>
      <c r="N492" s="669" t="n"/>
      <c r="O492" s="669" t="n"/>
      <c r="P492" s="669" t="n"/>
      <c r="Q492" s="669" t="n"/>
      <c r="R492" s="669" t="n"/>
      <c r="S492" s="669" t="n"/>
      <c r="T492" s="669" t="n"/>
      <c r="U492" s="669" t="n"/>
      <c r="V492" s="669" t="n"/>
      <c r="W492" s="669" t="n"/>
      <c r="X492" s="669" t="n"/>
      <c r="Y492" s="669" t="n"/>
      <c r="Z492" s="669" t="n"/>
      <c r="AA492" s="669" t="n"/>
      <c r="AB492" s="669" t="n"/>
    </row>
    <row r="493">
      <c r="I493" s="669" t="n"/>
      <c r="J493" s="669" t="n"/>
      <c r="K493" s="669" t="n"/>
      <c r="L493" s="669" t="n"/>
      <c r="M493" s="669" t="n"/>
      <c r="N493" s="669" t="n"/>
      <c r="O493" s="669" t="n"/>
      <c r="P493" s="669" t="n"/>
      <c r="Q493" s="669" t="n"/>
      <c r="R493" s="669" t="n"/>
      <c r="S493" s="669" t="n"/>
      <c r="T493" s="669" t="n"/>
      <c r="U493" s="669" t="n"/>
      <c r="V493" s="669" t="n"/>
      <c r="W493" s="669" t="n"/>
      <c r="X493" s="669" t="n"/>
      <c r="Y493" s="669" t="n"/>
      <c r="Z493" s="669" t="n"/>
      <c r="AA493" s="669" t="n"/>
      <c r="AB493" s="669" t="n"/>
    </row>
    <row r="494">
      <c r="I494" s="669" t="n"/>
      <c r="J494" s="669" t="n"/>
      <c r="K494" s="669" t="n"/>
      <c r="L494" s="669" t="n"/>
      <c r="M494" s="669" t="n"/>
      <c r="N494" s="669" t="n"/>
      <c r="O494" s="669" t="n"/>
      <c r="P494" s="669" t="n"/>
      <c r="Q494" s="669" t="n"/>
      <c r="R494" s="669" t="n"/>
      <c r="S494" s="669" t="n"/>
      <c r="T494" s="669" t="n"/>
      <c r="U494" s="669" t="n"/>
      <c r="V494" s="669" t="n"/>
      <c r="W494" s="669" t="n"/>
      <c r="X494" s="669" t="n"/>
      <c r="Y494" s="669" t="n"/>
      <c r="Z494" s="669" t="n"/>
      <c r="AA494" s="669" t="n"/>
      <c r="AB494" s="669" t="n"/>
    </row>
    <row r="495">
      <c r="I495" s="669" t="n"/>
      <c r="J495" s="669" t="n"/>
      <c r="K495" s="669" t="n"/>
      <c r="L495" s="669" t="n"/>
      <c r="M495" s="669" t="n"/>
      <c r="N495" s="669" t="n"/>
      <c r="O495" s="669" t="n"/>
      <c r="P495" s="669" t="n"/>
      <c r="Q495" s="669" t="n"/>
      <c r="R495" s="669" t="n"/>
      <c r="S495" s="669" t="n"/>
      <c r="T495" s="669" t="n"/>
      <c r="U495" s="669" t="n"/>
      <c r="V495" s="669" t="n"/>
      <c r="W495" s="669" t="n"/>
      <c r="X495" s="669" t="n"/>
      <c r="Y495" s="669" t="n"/>
      <c r="Z495" s="669" t="n"/>
      <c r="AA495" s="669" t="n"/>
      <c r="AB495" s="669" t="n"/>
    </row>
    <row r="496">
      <c r="I496" s="669" t="n"/>
      <c r="J496" s="669" t="n"/>
      <c r="K496" s="669" t="n"/>
      <c r="L496" s="669" t="n"/>
      <c r="M496" s="669" t="n"/>
      <c r="N496" s="669" t="n"/>
      <c r="O496" s="669" t="n"/>
      <c r="P496" s="669" t="n"/>
      <c r="Q496" s="669" t="n"/>
      <c r="R496" s="669" t="n"/>
      <c r="S496" s="669" t="n"/>
      <c r="T496" s="669" t="n"/>
      <c r="U496" s="669" t="n"/>
      <c r="V496" s="669" t="n"/>
      <c r="W496" s="669" t="n"/>
      <c r="X496" s="669" t="n"/>
      <c r="Y496" s="669" t="n"/>
      <c r="Z496" s="669" t="n"/>
      <c r="AA496" s="669" t="n"/>
      <c r="AB496" s="669" t="n"/>
    </row>
    <row r="497">
      <c r="I497" s="669" t="n"/>
      <c r="J497" s="669" t="n"/>
      <c r="K497" s="669" t="n"/>
      <c r="L497" s="669" t="n"/>
      <c r="M497" s="669" t="n"/>
      <c r="N497" s="669" t="n"/>
      <c r="O497" s="669" t="n"/>
      <c r="P497" s="669" t="n"/>
      <c r="Q497" s="669" t="n"/>
      <c r="R497" s="669" t="n"/>
      <c r="S497" s="669" t="n"/>
      <c r="T497" s="669" t="n"/>
      <c r="U497" s="669" t="n"/>
      <c r="V497" s="669" t="n"/>
      <c r="W497" s="669" t="n"/>
      <c r="X497" s="669" t="n"/>
      <c r="Y497" s="669" t="n"/>
      <c r="Z497" s="669" t="n"/>
      <c r="AA497" s="669" t="n"/>
      <c r="AB497" s="669" t="n"/>
    </row>
    <row r="498">
      <c r="I498" s="669" t="n"/>
      <c r="J498" s="669" t="n"/>
      <c r="K498" s="669" t="n"/>
      <c r="L498" s="669" t="n"/>
      <c r="M498" s="669" t="n"/>
      <c r="N498" s="669" t="n"/>
      <c r="O498" s="669" t="n"/>
      <c r="P498" s="669" t="n"/>
      <c r="Q498" s="669" t="n"/>
      <c r="R498" s="669" t="n"/>
      <c r="S498" s="669" t="n"/>
      <c r="T498" s="669" t="n"/>
      <c r="U498" s="669" t="n"/>
      <c r="V498" s="669" t="n"/>
      <c r="W498" s="669" t="n"/>
      <c r="X498" s="669" t="n"/>
      <c r="Y498" s="669" t="n"/>
      <c r="Z498" s="669" t="n"/>
      <c r="AA498" s="669" t="n"/>
      <c r="AB498" s="669" t="n"/>
    </row>
    <row r="499">
      <c r="I499" s="669" t="n"/>
      <c r="J499" s="669" t="n"/>
      <c r="K499" s="669" t="n"/>
      <c r="L499" s="669" t="n"/>
      <c r="M499" s="669" t="n"/>
      <c r="N499" s="669" t="n"/>
      <c r="O499" s="669" t="n"/>
      <c r="P499" s="669" t="n"/>
      <c r="Q499" s="669" t="n"/>
      <c r="R499" s="669" t="n"/>
      <c r="S499" s="669" t="n"/>
      <c r="T499" s="669" t="n"/>
      <c r="U499" s="669" t="n"/>
      <c r="V499" s="669" t="n"/>
      <c r="W499" s="669" t="n"/>
      <c r="X499" s="669" t="n"/>
      <c r="Y499" s="669" t="n"/>
      <c r="Z499" s="669" t="n"/>
      <c r="AA499" s="669" t="n"/>
      <c r="AB499" s="669" t="n"/>
    </row>
    <row r="500">
      <c r="I500" s="669" t="n"/>
      <c r="J500" s="669" t="n"/>
      <c r="K500" s="669" t="n"/>
      <c r="L500" s="669" t="n"/>
      <c r="M500" s="669" t="n"/>
      <c r="N500" s="669" t="n"/>
      <c r="O500" s="669" t="n"/>
      <c r="P500" s="669" t="n"/>
      <c r="Q500" s="669" t="n"/>
      <c r="R500" s="669" t="n"/>
      <c r="S500" s="669" t="n"/>
      <c r="T500" s="669" t="n"/>
      <c r="U500" s="669" t="n"/>
      <c r="V500" s="669" t="n"/>
      <c r="W500" s="669" t="n"/>
      <c r="X500" s="669" t="n"/>
      <c r="Y500" s="669" t="n"/>
      <c r="Z500" s="669" t="n"/>
      <c r="AA500" s="669" t="n"/>
      <c r="AB500" s="669" t="n"/>
    </row>
    <row r="501">
      <c r="I501" s="669" t="n"/>
      <c r="J501" s="669" t="n"/>
      <c r="K501" s="669" t="n"/>
      <c r="L501" s="669" t="n"/>
      <c r="M501" s="669" t="n"/>
      <c r="N501" s="669" t="n"/>
      <c r="O501" s="669" t="n"/>
      <c r="P501" s="669" t="n"/>
      <c r="Q501" s="669" t="n"/>
      <c r="R501" s="669" t="n"/>
      <c r="S501" s="669" t="n"/>
      <c r="T501" s="669" t="n"/>
      <c r="U501" s="669" t="n"/>
      <c r="V501" s="669" t="n"/>
      <c r="W501" s="669" t="n"/>
      <c r="X501" s="669" t="n"/>
      <c r="Y501" s="669" t="n"/>
      <c r="Z501" s="669" t="n"/>
      <c r="AA501" s="669" t="n"/>
      <c r="AB501" s="669" t="n"/>
    </row>
    <row r="502">
      <c r="I502" s="669" t="n"/>
      <c r="J502" s="669" t="n"/>
      <c r="K502" s="669" t="n"/>
      <c r="L502" s="669" t="n"/>
      <c r="M502" s="669" t="n"/>
      <c r="N502" s="669" t="n"/>
      <c r="O502" s="669" t="n"/>
      <c r="P502" s="669" t="n"/>
      <c r="Q502" s="669" t="n"/>
      <c r="R502" s="669" t="n"/>
      <c r="S502" s="669" t="n"/>
      <c r="T502" s="669" t="n"/>
      <c r="U502" s="669" t="n"/>
      <c r="V502" s="669" t="n"/>
      <c r="W502" s="669" t="n"/>
      <c r="X502" s="669" t="n"/>
      <c r="Y502" s="669" t="n"/>
      <c r="Z502" s="669" t="n"/>
      <c r="AA502" s="669" t="n"/>
      <c r="AB502" s="669" t="n"/>
    </row>
    <row r="503">
      <c r="I503" s="669" t="n"/>
      <c r="J503" s="669" t="n"/>
      <c r="K503" s="669" t="n"/>
      <c r="L503" s="669" t="n"/>
      <c r="M503" s="669" t="n"/>
      <c r="N503" s="669" t="n"/>
      <c r="O503" s="669" t="n"/>
      <c r="P503" s="669" t="n"/>
      <c r="Q503" s="669" t="n"/>
      <c r="R503" s="669" t="n"/>
      <c r="S503" s="669" t="n"/>
      <c r="T503" s="669" t="n"/>
      <c r="U503" s="669" t="n"/>
      <c r="V503" s="669" t="n"/>
      <c r="W503" s="669" t="n"/>
      <c r="X503" s="669" t="n"/>
      <c r="Y503" s="669" t="n"/>
      <c r="Z503" s="669" t="n"/>
      <c r="AA503" s="669" t="n"/>
      <c r="AB503" s="669" t="n"/>
    </row>
    <row r="504">
      <c r="I504" s="669" t="n"/>
      <c r="J504" s="669" t="n"/>
      <c r="K504" s="669" t="n"/>
      <c r="L504" s="669" t="n"/>
      <c r="M504" s="669" t="n"/>
      <c r="N504" s="669" t="n"/>
      <c r="O504" s="669" t="n"/>
      <c r="P504" s="669" t="n"/>
      <c r="Q504" s="669" t="n"/>
      <c r="R504" s="669" t="n"/>
      <c r="S504" s="669" t="n"/>
      <c r="T504" s="669" t="n"/>
      <c r="U504" s="669" t="n"/>
      <c r="V504" s="669" t="n"/>
      <c r="W504" s="669" t="n"/>
      <c r="X504" s="669" t="n"/>
      <c r="Y504" s="669" t="n"/>
      <c r="Z504" s="669" t="n"/>
      <c r="AA504" s="669" t="n"/>
      <c r="AB504" s="669" t="n"/>
    </row>
    <row r="505">
      <c r="I505" s="669" t="n"/>
      <c r="J505" s="669" t="n"/>
      <c r="K505" s="669" t="n"/>
      <c r="L505" s="669" t="n"/>
      <c r="M505" s="669" t="n"/>
      <c r="N505" s="669" t="n"/>
      <c r="O505" s="669" t="n"/>
      <c r="P505" s="669" t="n"/>
      <c r="Q505" s="669" t="n"/>
      <c r="R505" s="669" t="n"/>
      <c r="S505" s="669" t="n"/>
      <c r="T505" s="669" t="n"/>
      <c r="U505" s="669" t="n"/>
      <c r="V505" s="669" t="n"/>
      <c r="W505" s="669" t="n"/>
      <c r="X505" s="669" t="n"/>
      <c r="Y505" s="669" t="n"/>
      <c r="Z505" s="669" t="n"/>
      <c r="AA505" s="669" t="n"/>
      <c r="AB505" s="669" t="n"/>
    </row>
    <row r="506">
      <c r="I506" s="669" t="n"/>
      <c r="J506" s="669" t="n"/>
      <c r="K506" s="669" t="n"/>
      <c r="L506" s="669" t="n"/>
      <c r="M506" s="669" t="n"/>
      <c r="N506" s="669" t="n"/>
      <c r="O506" s="669" t="n"/>
      <c r="P506" s="669" t="n"/>
      <c r="Q506" s="669" t="n"/>
      <c r="R506" s="669" t="n"/>
      <c r="S506" s="669" t="n"/>
      <c r="T506" s="669" t="n"/>
      <c r="U506" s="669" t="n"/>
      <c r="V506" s="669" t="n"/>
      <c r="W506" s="669" t="n"/>
      <c r="X506" s="669" t="n"/>
      <c r="Y506" s="669" t="n"/>
      <c r="Z506" s="669" t="n"/>
      <c r="AA506" s="669" t="n"/>
      <c r="AB506" s="669" t="n"/>
    </row>
    <row r="507">
      <c r="I507" s="669" t="n"/>
      <c r="J507" s="669" t="n"/>
      <c r="K507" s="669" t="n"/>
      <c r="L507" s="669" t="n"/>
      <c r="M507" s="669" t="n"/>
      <c r="N507" s="669" t="n"/>
      <c r="O507" s="669" t="n"/>
      <c r="P507" s="669" t="n"/>
      <c r="Q507" s="669" t="n"/>
      <c r="R507" s="669" t="n"/>
      <c r="S507" s="669" t="n"/>
      <c r="T507" s="669" t="n"/>
      <c r="U507" s="669" t="n"/>
      <c r="V507" s="669" t="n"/>
      <c r="W507" s="669" t="n"/>
      <c r="X507" s="669" t="n"/>
      <c r="Y507" s="669" t="n"/>
      <c r="Z507" s="669" t="n"/>
      <c r="AA507" s="669" t="n"/>
      <c r="AB507" s="669" t="n"/>
    </row>
    <row r="508">
      <c r="I508" s="669" t="n"/>
      <c r="J508" s="669" t="n"/>
      <c r="K508" s="669" t="n"/>
      <c r="L508" s="669" t="n"/>
      <c r="M508" s="669" t="n"/>
      <c r="N508" s="669" t="n"/>
      <c r="O508" s="669" t="n"/>
      <c r="P508" s="669" t="n"/>
      <c r="Q508" s="669" t="n"/>
      <c r="R508" s="669" t="n"/>
      <c r="S508" s="669" t="n"/>
      <c r="T508" s="669" t="n"/>
      <c r="U508" s="669" t="n"/>
      <c r="V508" s="669" t="n"/>
      <c r="W508" s="669" t="n"/>
      <c r="X508" s="669" t="n"/>
      <c r="Y508" s="669" t="n"/>
      <c r="Z508" s="669" t="n"/>
      <c r="AA508" s="669" t="n"/>
      <c r="AB508" s="669" t="n"/>
    </row>
    <row r="509">
      <c r="I509" s="669" t="n"/>
      <c r="J509" s="669" t="n"/>
      <c r="K509" s="669" t="n"/>
      <c r="L509" s="669" t="n"/>
      <c r="M509" s="669" t="n"/>
      <c r="N509" s="669" t="n"/>
      <c r="O509" s="669" t="n"/>
      <c r="P509" s="669" t="n"/>
      <c r="Q509" s="669" t="n"/>
      <c r="R509" s="669" t="n"/>
      <c r="S509" s="669" t="n"/>
      <c r="T509" s="669" t="n"/>
      <c r="U509" s="669" t="n"/>
      <c r="V509" s="669" t="n"/>
      <c r="W509" s="669" t="n"/>
      <c r="X509" s="669" t="n"/>
      <c r="Y509" s="669" t="n"/>
      <c r="Z509" s="669" t="n"/>
      <c r="AA509" s="669" t="n"/>
      <c r="AB509" s="669" t="n"/>
    </row>
    <row r="510">
      <c r="I510" s="669" t="n"/>
      <c r="J510" s="669" t="n"/>
      <c r="K510" s="669" t="n"/>
      <c r="L510" s="669" t="n"/>
      <c r="M510" s="669" t="n"/>
      <c r="N510" s="669" t="n"/>
      <c r="O510" s="669" t="n"/>
      <c r="P510" s="669" t="n"/>
      <c r="Q510" s="669" t="n"/>
      <c r="R510" s="669" t="n"/>
      <c r="S510" s="669" t="n"/>
      <c r="T510" s="669" t="n"/>
      <c r="U510" s="669" t="n"/>
      <c r="V510" s="669" t="n"/>
      <c r="W510" s="669" t="n"/>
      <c r="X510" s="669" t="n"/>
      <c r="Y510" s="669" t="n"/>
      <c r="Z510" s="669" t="n"/>
      <c r="AA510" s="669" t="n"/>
      <c r="AB510" s="669" t="n"/>
    </row>
    <row r="511">
      <c r="I511" s="669" t="n"/>
      <c r="J511" s="669" t="n"/>
      <c r="K511" s="669" t="n"/>
      <c r="L511" s="669" t="n"/>
      <c r="M511" s="669" t="n"/>
      <c r="N511" s="669" t="n"/>
      <c r="O511" s="669" t="n"/>
      <c r="P511" s="669" t="n"/>
      <c r="Q511" s="669" t="n"/>
      <c r="R511" s="669" t="n"/>
      <c r="S511" s="669" t="n"/>
      <c r="T511" s="669" t="n"/>
      <c r="U511" s="669" t="n"/>
      <c r="V511" s="669" t="n"/>
      <c r="W511" s="669" t="n"/>
      <c r="X511" s="669" t="n"/>
      <c r="Y511" s="669" t="n"/>
      <c r="Z511" s="669" t="n"/>
      <c r="AA511" s="669" t="n"/>
      <c r="AB511" s="669" t="n"/>
    </row>
    <row r="512">
      <c r="I512" s="669" t="n"/>
      <c r="J512" s="669" t="n"/>
      <c r="K512" s="669" t="n"/>
      <c r="L512" s="669" t="n"/>
      <c r="M512" s="669" t="n"/>
      <c r="N512" s="669" t="n"/>
      <c r="O512" s="669" t="n"/>
      <c r="P512" s="669" t="n"/>
      <c r="Q512" s="669" t="n"/>
      <c r="R512" s="669" t="n"/>
      <c r="S512" s="669" t="n"/>
      <c r="T512" s="669" t="n"/>
      <c r="U512" s="669" t="n"/>
      <c r="V512" s="669" t="n"/>
      <c r="W512" s="669" t="n"/>
      <c r="X512" s="669" t="n"/>
      <c r="Y512" s="669" t="n"/>
      <c r="Z512" s="669" t="n"/>
      <c r="AA512" s="669" t="n"/>
      <c r="AB512" s="669" t="n"/>
    </row>
    <row r="513">
      <c r="I513" s="669" t="n"/>
      <c r="J513" s="669" t="n"/>
      <c r="K513" s="669" t="n"/>
      <c r="L513" s="669" t="n"/>
      <c r="M513" s="669" t="n"/>
      <c r="N513" s="669" t="n"/>
      <c r="O513" s="669" t="n"/>
      <c r="P513" s="669" t="n"/>
      <c r="Q513" s="669" t="n"/>
      <c r="R513" s="669" t="n"/>
      <c r="S513" s="669" t="n"/>
      <c r="T513" s="669" t="n"/>
      <c r="U513" s="669" t="n"/>
      <c r="V513" s="669" t="n"/>
      <c r="W513" s="669" t="n"/>
      <c r="X513" s="669" t="n"/>
      <c r="Y513" s="669" t="n"/>
      <c r="Z513" s="669" t="n"/>
      <c r="AA513" s="669" t="n"/>
      <c r="AB513" s="669" t="n"/>
    </row>
    <row r="514">
      <c r="I514" s="669" t="n"/>
      <c r="J514" s="669" t="n"/>
      <c r="K514" s="669" t="n"/>
      <c r="L514" s="669" t="n"/>
      <c r="M514" s="669" t="n"/>
      <c r="N514" s="669" t="n"/>
      <c r="O514" s="669" t="n"/>
      <c r="P514" s="669" t="n"/>
      <c r="Q514" s="669" t="n"/>
      <c r="R514" s="669" t="n"/>
      <c r="S514" s="669" t="n"/>
      <c r="T514" s="669" t="n"/>
      <c r="U514" s="669" t="n"/>
      <c r="V514" s="669" t="n"/>
      <c r="W514" s="669" t="n"/>
      <c r="X514" s="669" t="n"/>
      <c r="Y514" s="669" t="n"/>
      <c r="Z514" s="669" t="n"/>
      <c r="AA514" s="669" t="n"/>
      <c r="AB514" s="669" t="n"/>
    </row>
    <row r="515">
      <c r="I515" s="669" t="n"/>
      <c r="J515" s="669" t="n"/>
      <c r="K515" s="669" t="n"/>
      <c r="L515" s="669" t="n"/>
      <c r="M515" s="669" t="n"/>
      <c r="N515" s="669" t="n"/>
      <c r="O515" s="669" t="n"/>
      <c r="P515" s="669" t="n"/>
      <c r="Q515" s="669" t="n"/>
      <c r="R515" s="669" t="n"/>
      <c r="S515" s="669" t="n"/>
      <c r="T515" s="669" t="n"/>
      <c r="U515" s="669" t="n"/>
      <c r="V515" s="669" t="n"/>
      <c r="W515" s="669" t="n"/>
      <c r="X515" s="669" t="n"/>
      <c r="Y515" s="669" t="n"/>
      <c r="Z515" s="669" t="n"/>
      <c r="AA515" s="669" t="n"/>
      <c r="AB515" s="669" t="n"/>
    </row>
    <row r="516">
      <c r="I516" s="669" t="n"/>
      <c r="J516" s="669" t="n"/>
      <c r="K516" s="669" t="n"/>
      <c r="L516" s="669" t="n"/>
      <c r="M516" s="669" t="n"/>
      <c r="N516" s="669" t="n"/>
      <c r="O516" s="669" t="n"/>
      <c r="P516" s="669" t="n"/>
      <c r="Q516" s="669" t="n"/>
      <c r="R516" s="669" t="n"/>
      <c r="S516" s="669" t="n"/>
      <c r="T516" s="669" t="n"/>
      <c r="U516" s="669" t="n"/>
      <c r="V516" s="669" t="n"/>
      <c r="W516" s="669" t="n"/>
      <c r="X516" s="669" t="n"/>
      <c r="Y516" s="669" t="n"/>
      <c r="Z516" s="669" t="n"/>
      <c r="AA516" s="669" t="n"/>
      <c r="AB516" s="669" t="n"/>
    </row>
    <row r="517">
      <c r="I517" s="669" t="n"/>
      <c r="J517" s="669" t="n"/>
      <c r="K517" s="669" t="n"/>
      <c r="L517" s="669" t="n"/>
      <c r="M517" s="669" t="n"/>
      <c r="N517" s="669" t="n"/>
      <c r="O517" s="669" t="n"/>
      <c r="P517" s="669" t="n"/>
      <c r="Q517" s="669" t="n"/>
      <c r="R517" s="669" t="n"/>
      <c r="S517" s="669" t="n"/>
      <c r="T517" s="669" t="n"/>
      <c r="U517" s="669" t="n"/>
      <c r="V517" s="669" t="n"/>
      <c r="W517" s="669" t="n"/>
      <c r="X517" s="669" t="n"/>
      <c r="Y517" s="669" t="n"/>
      <c r="Z517" s="669" t="n"/>
      <c r="AA517" s="669" t="n"/>
      <c r="AB517" s="669" t="n"/>
    </row>
    <row r="518">
      <c r="I518" s="669" t="n"/>
      <c r="J518" s="669" t="n"/>
      <c r="K518" s="669" t="n"/>
      <c r="L518" s="669" t="n"/>
      <c r="M518" s="669" t="n"/>
      <c r="N518" s="669" t="n"/>
      <c r="O518" s="669" t="n"/>
      <c r="P518" s="669" t="n"/>
      <c r="Q518" s="669" t="n"/>
      <c r="R518" s="669" t="n"/>
      <c r="S518" s="669" t="n"/>
      <c r="T518" s="669" t="n"/>
      <c r="U518" s="669" t="n"/>
      <c r="V518" s="669" t="n"/>
      <c r="W518" s="669" t="n"/>
      <c r="X518" s="669" t="n"/>
      <c r="Y518" s="669" t="n"/>
      <c r="Z518" s="669" t="n"/>
      <c r="AA518" s="669" t="n"/>
      <c r="AB518" s="669" t="n"/>
    </row>
    <row r="519">
      <c r="I519" s="669" t="n"/>
      <c r="J519" s="669" t="n"/>
      <c r="K519" s="669" t="n"/>
      <c r="L519" s="669" t="n"/>
      <c r="M519" s="669" t="n"/>
      <c r="N519" s="669" t="n"/>
      <c r="O519" s="669" t="n"/>
      <c r="P519" s="669" t="n"/>
      <c r="Q519" s="669" t="n"/>
      <c r="R519" s="669" t="n"/>
      <c r="S519" s="669" t="n"/>
      <c r="T519" s="669" t="n"/>
      <c r="U519" s="669" t="n"/>
      <c r="V519" s="669" t="n"/>
      <c r="W519" s="669" t="n"/>
      <c r="X519" s="669" t="n"/>
      <c r="Y519" s="669" t="n"/>
      <c r="Z519" s="669" t="n"/>
      <c r="AA519" s="669" t="n"/>
      <c r="AB519" s="669" t="n"/>
    </row>
    <row r="520">
      <c r="I520" s="669" t="n"/>
      <c r="J520" s="669" t="n"/>
      <c r="K520" s="669" t="n"/>
      <c r="L520" s="669" t="n"/>
      <c r="M520" s="669" t="n"/>
      <c r="N520" s="669" t="n"/>
      <c r="O520" s="669" t="n"/>
      <c r="P520" s="669" t="n"/>
      <c r="Q520" s="669" t="n"/>
      <c r="R520" s="669" t="n"/>
      <c r="S520" s="669" t="n"/>
      <c r="T520" s="669" t="n"/>
      <c r="U520" s="669" t="n"/>
      <c r="V520" s="669" t="n"/>
      <c r="W520" s="669" t="n"/>
      <c r="X520" s="669" t="n"/>
      <c r="Y520" s="669" t="n"/>
      <c r="Z520" s="669" t="n"/>
      <c r="AA520" s="669" t="n"/>
      <c r="AB520" s="669" t="n"/>
    </row>
    <row r="521">
      <c r="I521" s="669" t="n"/>
      <c r="J521" s="669" t="n"/>
      <c r="K521" s="669" t="n"/>
      <c r="L521" s="669" t="n"/>
      <c r="M521" s="669" t="n"/>
      <c r="N521" s="669" t="n"/>
      <c r="O521" s="669" t="n"/>
      <c r="P521" s="669" t="n"/>
      <c r="Q521" s="669" t="n"/>
      <c r="R521" s="669" t="n"/>
      <c r="S521" s="669" t="n"/>
      <c r="T521" s="669" t="n"/>
      <c r="U521" s="669" t="n"/>
      <c r="V521" s="669" t="n"/>
      <c r="W521" s="669" t="n"/>
      <c r="X521" s="669" t="n"/>
      <c r="Y521" s="669" t="n"/>
      <c r="Z521" s="669" t="n"/>
      <c r="AA521" s="669" t="n"/>
      <c r="AB521" s="669" t="n"/>
    </row>
    <row r="522">
      <c r="I522" s="669" t="n"/>
      <c r="J522" s="669" t="n"/>
      <c r="K522" s="669" t="n"/>
      <c r="L522" s="669" t="n"/>
      <c r="M522" s="669" t="n"/>
      <c r="N522" s="669" t="n"/>
      <c r="O522" s="669" t="n"/>
      <c r="P522" s="669" t="n"/>
      <c r="Q522" s="669" t="n"/>
      <c r="R522" s="669" t="n"/>
      <c r="S522" s="669" t="n"/>
      <c r="T522" s="669" t="n"/>
      <c r="U522" s="669" t="n"/>
      <c r="V522" s="669" t="n"/>
      <c r="W522" s="669" t="n"/>
      <c r="X522" s="669" t="n"/>
      <c r="Y522" s="669" t="n"/>
      <c r="Z522" s="669" t="n"/>
      <c r="AA522" s="669" t="n"/>
      <c r="AB522" s="669" t="n"/>
    </row>
    <row r="523">
      <c r="I523" s="669" t="n"/>
      <c r="J523" s="669" t="n"/>
      <c r="K523" s="669" t="n"/>
      <c r="L523" s="669" t="n"/>
      <c r="M523" s="669" t="n"/>
      <c r="N523" s="669" t="n"/>
      <c r="O523" s="669" t="n"/>
      <c r="P523" s="669" t="n"/>
      <c r="Q523" s="669" t="n"/>
      <c r="R523" s="669" t="n"/>
      <c r="S523" s="669" t="n"/>
      <c r="T523" s="669" t="n"/>
      <c r="U523" s="669" t="n"/>
      <c r="V523" s="669" t="n"/>
      <c r="W523" s="669" t="n"/>
      <c r="X523" s="669" t="n"/>
      <c r="Y523" s="669" t="n"/>
      <c r="Z523" s="669" t="n"/>
      <c r="AA523" s="669" t="n"/>
      <c r="AB523" s="669" t="n"/>
    </row>
    <row r="524">
      <c r="I524" s="669" t="n"/>
      <c r="J524" s="669" t="n"/>
      <c r="K524" s="669" t="n"/>
      <c r="L524" s="669" t="n"/>
      <c r="M524" s="669" t="n"/>
      <c r="N524" s="669" t="n"/>
      <c r="O524" s="669" t="n"/>
      <c r="P524" s="669" t="n"/>
      <c r="Q524" s="669" t="n"/>
      <c r="R524" s="669" t="n"/>
      <c r="S524" s="669" t="n"/>
      <c r="T524" s="669" t="n"/>
      <c r="U524" s="669" t="n"/>
      <c r="V524" s="669" t="n"/>
      <c r="W524" s="669" t="n"/>
      <c r="X524" s="669" t="n"/>
      <c r="Y524" s="669" t="n"/>
      <c r="Z524" s="669" t="n"/>
      <c r="AA524" s="669" t="n"/>
      <c r="AB524" s="669" t="n"/>
    </row>
    <row r="525">
      <c r="I525" s="669" t="n"/>
      <c r="J525" s="669" t="n"/>
      <c r="K525" s="669" t="n"/>
      <c r="L525" s="669" t="n"/>
      <c r="M525" s="669" t="n"/>
      <c r="N525" s="669" t="n"/>
      <c r="O525" s="669" t="n"/>
      <c r="P525" s="669" t="n"/>
      <c r="Q525" s="669" t="n"/>
      <c r="R525" s="669" t="n"/>
      <c r="S525" s="669" t="n"/>
      <c r="T525" s="669" t="n"/>
      <c r="U525" s="669" t="n"/>
      <c r="V525" s="669" t="n"/>
      <c r="W525" s="669" t="n"/>
      <c r="X525" s="669" t="n"/>
      <c r="Y525" s="669" t="n"/>
      <c r="Z525" s="669" t="n"/>
      <c r="AA525" s="669" t="n"/>
      <c r="AB525" s="669" t="n"/>
    </row>
    <row r="526">
      <c r="I526" s="669" t="n"/>
      <c r="J526" s="669" t="n"/>
      <c r="K526" s="669" t="n"/>
      <c r="L526" s="669" t="n"/>
      <c r="M526" s="669" t="n"/>
      <c r="N526" s="669" t="n"/>
      <c r="O526" s="669" t="n"/>
      <c r="P526" s="669" t="n"/>
      <c r="Q526" s="669" t="n"/>
      <c r="R526" s="669" t="n"/>
      <c r="S526" s="669" t="n"/>
      <c r="T526" s="669" t="n"/>
      <c r="U526" s="669" t="n"/>
      <c r="V526" s="669" t="n"/>
      <c r="W526" s="669" t="n"/>
      <c r="X526" s="669" t="n"/>
      <c r="Y526" s="669" t="n"/>
      <c r="Z526" s="669" t="n"/>
      <c r="AA526" s="669" t="n"/>
      <c r="AB526" s="669" t="n"/>
    </row>
    <row r="527">
      <c r="I527" s="669" t="n"/>
      <c r="J527" s="669" t="n"/>
      <c r="K527" s="669" t="n"/>
      <c r="L527" s="669" t="n"/>
      <c r="M527" s="669" t="n"/>
      <c r="N527" s="669" t="n"/>
      <c r="O527" s="669" t="n"/>
      <c r="P527" s="669" t="n"/>
      <c r="Q527" s="669" t="n"/>
      <c r="R527" s="669" t="n"/>
      <c r="S527" s="669" t="n"/>
      <c r="T527" s="669" t="n"/>
      <c r="U527" s="669" t="n"/>
      <c r="V527" s="669" t="n"/>
      <c r="W527" s="669" t="n"/>
      <c r="X527" s="669" t="n"/>
      <c r="Y527" s="669" t="n"/>
      <c r="Z527" s="669" t="n"/>
      <c r="AA527" s="669" t="n"/>
      <c r="AB527" s="669" t="n"/>
    </row>
    <row r="528">
      <c r="I528" s="669" t="n"/>
      <c r="J528" s="669" t="n"/>
      <c r="K528" s="669" t="n"/>
      <c r="L528" s="669" t="n"/>
      <c r="M528" s="669" t="n"/>
      <c r="N528" s="669" t="n"/>
      <c r="O528" s="669" t="n"/>
      <c r="P528" s="669" t="n"/>
      <c r="Q528" s="669" t="n"/>
      <c r="R528" s="669" t="n"/>
      <c r="S528" s="669" t="n"/>
      <c r="T528" s="669" t="n"/>
      <c r="U528" s="669" t="n"/>
      <c r="V528" s="669" t="n"/>
      <c r="W528" s="669" t="n"/>
      <c r="X528" s="669" t="n"/>
      <c r="Y528" s="669" t="n"/>
      <c r="Z528" s="669" t="n"/>
      <c r="AA528" s="669" t="n"/>
      <c r="AB528" s="669" t="n"/>
    </row>
    <row r="529">
      <c r="I529" s="669" t="n"/>
      <c r="J529" s="669" t="n"/>
      <c r="K529" s="669" t="n"/>
      <c r="L529" s="669" t="n"/>
      <c r="M529" s="669" t="n"/>
      <c r="N529" s="669" t="n"/>
      <c r="O529" s="669" t="n"/>
      <c r="P529" s="669" t="n"/>
      <c r="Q529" s="669" t="n"/>
      <c r="R529" s="669" t="n"/>
      <c r="S529" s="669" t="n"/>
      <c r="T529" s="669" t="n"/>
      <c r="U529" s="669" t="n"/>
      <c r="V529" s="669" t="n"/>
      <c r="W529" s="669" t="n"/>
      <c r="X529" s="669" t="n"/>
      <c r="Y529" s="669" t="n"/>
      <c r="Z529" s="669" t="n"/>
      <c r="AA529" s="669" t="n"/>
      <c r="AB529" s="669" t="n"/>
    </row>
    <row r="530">
      <c r="I530" s="669" t="n"/>
      <c r="J530" s="669" t="n"/>
      <c r="K530" s="669" t="n"/>
      <c r="L530" s="669" t="n"/>
      <c r="M530" s="669" t="n"/>
      <c r="N530" s="669" t="n"/>
      <c r="O530" s="669" t="n"/>
      <c r="P530" s="669" t="n"/>
      <c r="Q530" s="669" t="n"/>
      <c r="R530" s="669" t="n"/>
      <c r="S530" s="669" t="n"/>
      <c r="T530" s="669" t="n"/>
      <c r="U530" s="669" t="n"/>
      <c r="V530" s="669" t="n"/>
      <c r="W530" s="669" t="n"/>
      <c r="X530" s="669" t="n"/>
      <c r="Y530" s="669" t="n"/>
      <c r="Z530" s="669" t="n"/>
      <c r="AA530" s="669" t="n"/>
      <c r="AB530" s="669" t="n"/>
    </row>
    <row r="531">
      <c r="I531" s="669" t="n"/>
      <c r="J531" s="669" t="n"/>
      <c r="K531" s="669" t="n"/>
      <c r="L531" s="669" t="n"/>
      <c r="M531" s="669" t="n"/>
      <c r="N531" s="669" t="n"/>
      <c r="O531" s="669" t="n"/>
      <c r="P531" s="669" t="n"/>
      <c r="Q531" s="669" t="n"/>
      <c r="R531" s="669" t="n"/>
      <c r="S531" s="669" t="n"/>
      <c r="T531" s="669" t="n"/>
      <c r="U531" s="669" t="n"/>
      <c r="V531" s="669" t="n"/>
      <c r="W531" s="669" t="n"/>
      <c r="X531" s="669" t="n"/>
      <c r="Y531" s="669" t="n"/>
      <c r="Z531" s="669" t="n"/>
      <c r="AA531" s="669" t="n"/>
      <c r="AB531" s="669" t="n"/>
    </row>
    <row r="532">
      <c r="I532" s="669" t="n"/>
      <c r="J532" s="669" t="n"/>
      <c r="K532" s="669" t="n"/>
      <c r="L532" s="669" t="n"/>
      <c r="M532" s="669" t="n"/>
      <c r="N532" s="669" t="n"/>
      <c r="O532" s="669" t="n"/>
      <c r="P532" s="669" t="n"/>
      <c r="Q532" s="669" t="n"/>
      <c r="R532" s="669" t="n"/>
      <c r="S532" s="669" t="n"/>
      <c r="T532" s="669" t="n"/>
      <c r="U532" s="669" t="n"/>
      <c r="V532" s="669" t="n"/>
      <c r="W532" s="669" t="n"/>
      <c r="X532" s="669" t="n"/>
      <c r="Y532" s="669" t="n"/>
      <c r="Z532" s="669" t="n"/>
      <c r="AA532" s="669" t="n"/>
      <c r="AB532" s="669" t="n"/>
    </row>
    <row r="533">
      <c r="I533" s="669" t="n"/>
      <c r="J533" s="669" t="n"/>
      <c r="K533" s="669" t="n"/>
      <c r="L533" s="669" t="n"/>
      <c r="M533" s="669" t="n"/>
      <c r="N533" s="669" t="n"/>
      <c r="O533" s="669" t="n"/>
      <c r="P533" s="669" t="n"/>
      <c r="Q533" s="669" t="n"/>
      <c r="R533" s="669" t="n"/>
      <c r="S533" s="669" t="n"/>
      <c r="T533" s="669" t="n"/>
      <c r="U533" s="669" t="n"/>
      <c r="V533" s="669" t="n"/>
      <c r="W533" s="669" t="n"/>
      <c r="X533" s="669" t="n"/>
      <c r="Y533" s="669" t="n"/>
      <c r="Z533" s="669" t="n"/>
      <c r="AA533" s="669" t="n"/>
      <c r="AB533" s="669" t="n"/>
    </row>
    <row r="534">
      <c r="I534" s="669" t="n"/>
      <c r="J534" s="669" t="n"/>
      <c r="K534" s="669" t="n"/>
      <c r="L534" s="669" t="n"/>
      <c r="M534" s="669" t="n"/>
      <c r="N534" s="669" t="n"/>
      <c r="O534" s="669" t="n"/>
      <c r="P534" s="669" t="n"/>
      <c r="Q534" s="669" t="n"/>
      <c r="R534" s="669" t="n"/>
      <c r="S534" s="669" t="n"/>
      <c r="T534" s="669" t="n"/>
      <c r="U534" s="669" t="n"/>
      <c r="V534" s="669" t="n"/>
      <c r="W534" s="669" t="n"/>
      <c r="X534" s="669" t="n"/>
      <c r="Y534" s="669" t="n"/>
      <c r="Z534" s="669" t="n"/>
      <c r="AA534" s="669" t="n"/>
      <c r="AB534" s="669" t="n"/>
    </row>
    <row r="535">
      <c r="I535" s="669" t="n"/>
      <c r="J535" s="669" t="n"/>
      <c r="K535" s="669" t="n"/>
      <c r="L535" s="669" t="n"/>
      <c r="M535" s="669" t="n"/>
      <c r="N535" s="669" t="n"/>
      <c r="O535" s="669" t="n"/>
      <c r="P535" s="669" t="n"/>
      <c r="Q535" s="669" t="n"/>
      <c r="R535" s="669" t="n"/>
      <c r="S535" s="669" t="n"/>
      <c r="T535" s="669" t="n"/>
      <c r="U535" s="669" t="n"/>
      <c r="V535" s="669" t="n"/>
      <c r="W535" s="669" t="n"/>
      <c r="X535" s="669" t="n"/>
      <c r="Y535" s="669" t="n"/>
      <c r="Z535" s="669" t="n"/>
      <c r="AA535" s="669" t="n"/>
      <c r="AB535" s="669" t="n"/>
    </row>
    <row r="536">
      <c r="I536" s="669" t="n"/>
      <c r="J536" s="669" t="n"/>
      <c r="K536" s="669" t="n"/>
      <c r="L536" s="669" t="n"/>
      <c r="M536" s="669" t="n"/>
      <c r="N536" s="669" t="n"/>
      <c r="O536" s="669" t="n"/>
      <c r="P536" s="669" t="n"/>
      <c r="Q536" s="669" t="n"/>
      <c r="R536" s="669" t="n"/>
      <c r="S536" s="669" t="n"/>
      <c r="T536" s="669" t="n"/>
      <c r="U536" s="669" t="n"/>
      <c r="V536" s="669" t="n"/>
      <c r="W536" s="669" t="n"/>
      <c r="X536" s="669" t="n"/>
      <c r="Y536" s="669" t="n"/>
      <c r="Z536" s="669" t="n"/>
      <c r="AA536" s="669" t="n"/>
      <c r="AB536" s="669" t="n"/>
    </row>
    <row r="537">
      <c r="I537" s="669" t="n"/>
      <c r="J537" s="669" t="n"/>
      <c r="K537" s="669" t="n"/>
      <c r="L537" s="669" t="n"/>
      <c r="M537" s="669" t="n"/>
      <c r="N537" s="669" t="n"/>
      <c r="O537" s="669" t="n"/>
      <c r="P537" s="669" t="n"/>
      <c r="Q537" s="669" t="n"/>
      <c r="R537" s="669" t="n"/>
      <c r="S537" s="669" t="n"/>
      <c r="T537" s="669" t="n"/>
      <c r="U537" s="669" t="n"/>
      <c r="V537" s="669" t="n"/>
      <c r="W537" s="669" t="n"/>
      <c r="X537" s="669" t="n"/>
      <c r="Y537" s="669" t="n"/>
      <c r="Z537" s="669" t="n"/>
      <c r="AA537" s="669" t="n"/>
      <c r="AB537" s="669" t="n"/>
    </row>
    <row r="538">
      <c r="I538" s="669" t="n"/>
      <c r="J538" s="669" t="n"/>
      <c r="K538" s="669" t="n"/>
      <c r="L538" s="669" t="n"/>
      <c r="M538" s="669" t="n"/>
      <c r="N538" s="669" t="n"/>
      <c r="O538" s="669" t="n"/>
      <c r="P538" s="669" t="n"/>
      <c r="Q538" s="669" t="n"/>
      <c r="R538" s="669" t="n"/>
      <c r="S538" s="669" t="n"/>
      <c r="T538" s="669" t="n"/>
      <c r="U538" s="669" t="n"/>
      <c r="V538" s="669" t="n"/>
      <c r="W538" s="669" t="n"/>
      <c r="X538" s="669" t="n"/>
      <c r="Y538" s="669" t="n"/>
      <c r="Z538" s="669" t="n"/>
      <c r="AA538" s="669" t="n"/>
      <c r="AB538" s="669" t="n"/>
    </row>
    <row r="539">
      <c r="I539" s="669" t="n"/>
      <c r="J539" s="669" t="n"/>
      <c r="K539" s="669" t="n"/>
      <c r="L539" s="669" t="n"/>
      <c r="M539" s="669" t="n"/>
      <c r="N539" s="669" t="n"/>
      <c r="O539" s="669" t="n"/>
      <c r="P539" s="669" t="n"/>
      <c r="Q539" s="669" t="n"/>
      <c r="R539" s="669" t="n"/>
      <c r="S539" s="669" t="n"/>
      <c r="T539" s="669" t="n"/>
      <c r="U539" s="669" t="n"/>
      <c r="V539" s="669" t="n"/>
      <c r="W539" s="669" t="n"/>
      <c r="X539" s="669" t="n"/>
      <c r="Y539" s="669" t="n"/>
      <c r="Z539" s="669" t="n"/>
      <c r="AA539" s="669" t="n"/>
      <c r="AB539" s="669" t="n"/>
    </row>
    <row r="540">
      <c r="I540" s="669" t="n"/>
      <c r="J540" s="669" t="n"/>
      <c r="K540" s="669" t="n"/>
      <c r="L540" s="669" t="n"/>
      <c r="M540" s="669" t="n"/>
      <c r="N540" s="669" t="n"/>
      <c r="O540" s="669" t="n"/>
      <c r="P540" s="669" t="n"/>
      <c r="Q540" s="669" t="n"/>
      <c r="R540" s="669" t="n"/>
      <c r="S540" s="669" t="n"/>
      <c r="T540" s="669" t="n"/>
      <c r="U540" s="669" t="n"/>
      <c r="V540" s="669" t="n"/>
      <c r="W540" s="669" t="n"/>
      <c r="X540" s="669" t="n"/>
      <c r="Y540" s="669" t="n"/>
      <c r="Z540" s="669" t="n"/>
      <c r="AA540" s="669" t="n"/>
      <c r="AB540" s="669" t="n"/>
    </row>
    <row r="541">
      <c r="I541" s="669" t="n"/>
      <c r="J541" s="669" t="n"/>
      <c r="K541" s="669" t="n"/>
      <c r="L541" s="669" t="n"/>
      <c r="M541" s="669" t="n"/>
      <c r="N541" s="669" t="n"/>
      <c r="O541" s="669" t="n"/>
      <c r="P541" s="669" t="n"/>
      <c r="Q541" s="669" t="n"/>
      <c r="R541" s="669" t="n"/>
      <c r="S541" s="669" t="n"/>
      <c r="T541" s="669" t="n"/>
      <c r="U541" s="669" t="n"/>
      <c r="V541" s="669" t="n"/>
      <c r="W541" s="669" t="n"/>
      <c r="X541" s="669" t="n"/>
      <c r="Y541" s="669" t="n"/>
      <c r="Z541" s="669" t="n"/>
      <c r="AA541" s="669" t="n"/>
      <c r="AB541" s="669" t="n"/>
    </row>
    <row r="542">
      <c r="I542" s="669" t="n"/>
      <c r="J542" s="669" t="n"/>
      <c r="K542" s="669" t="n"/>
      <c r="L542" s="669" t="n"/>
      <c r="M542" s="669" t="n"/>
      <c r="N542" s="669" t="n"/>
      <c r="O542" s="669" t="n"/>
      <c r="P542" s="669" t="n"/>
      <c r="Q542" s="669" t="n"/>
      <c r="R542" s="669" t="n"/>
      <c r="S542" s="669" t="n"/>
      <c r="T542" s="669" t="n"/>
      <c r="U542" s="669" t="n"/>
      <c r="V542" s="669" t="n"/>
      <c r="W542" s="669" t="n"/>
      <c r="X542" s="669" t="n"/>
      <c r="Y542" s="669" t="n"/>
      <c r="Z542" s="669" t="n"/>
      <c r="AA542" s="669" t="n"/>
      <c r="AB542" s="669" t="n"/>
    </row>
    <row r="543">
      <c r="I543" s="669" t="n"/>
      <c r="J543" s="669" t="n"/>
      <c r="K543" s="669" t="n"/>
      <c r="L543" s="669" t="n"/>
      <c r="M543" s="669" t="n"/>
      <c r="N543" s="669" t="n"/>
      <c r="O543" s="669" t="n"/>
      <c r="P543" s="669" t="n"/>
      <c r="Q543" s="669" t="n"/>
      <c r="R543" s="669" t="n"/>
      <c r="S543" s="669" t="n"/>
      <c r="T543" s="669" t="n"/>
      <c r="U543" s="669" t="n"/>
      <c r="V543" s="669" t="n"/>
      <c r="W543" s="669" t="n"/>
      <c r="X543" s="669" t="n"/>
      <c r="Y543" s="669" t="n"/>
      <c r="Z543" s="669" t="n"/>
      <c r="AA543" s="669" t="n"/>
      <c r="AB543" s="669" t="n"/>
    </row>
    <row r="544">
      <c r="I544" s="669" t="n"/>
      <c r="J544" s="669" t="n"/>
      <c r="K544" s="669" t="n"/>
      <c r="L544" s="669" t="n"/>
      <c r="M544" s="669" t="n"/>
      <c r="N544" s="669" t="n"/>
      <c r="O544" s="669" t="n"/>
      <c r="P544" s="669" t="n"/>
      <c r="Q544" s="669" t="n"/>
      <c r="R544" s="669" t="n"/>
      <c r="S544" s="669" t="n"/>
      <c r="T544" s="669" t="n"/>
      <c r="U544" s="669" t="n"/>
      <c r="V544" s="669" t="n"/>
      <c r="W544" s="669" t="n"/>
      <c r="X544" s="669" t="n"/>
      <c r="Y544" s="669" t="n"/>
      <c r="Z544" s="669" t="n"/>
      <c r="AA544" s="669" t="n"/>
      <c r="AB544" s="669" t="n"/>
    </row>
    <row r="545">
      <c r="I545" s="669" t="n"/>
      <c r="J545" s="669" t="n"/>
      <c r="K545" s="669" t="n"/>
      <c r="L545" s="669" t="n"/>
      <c r="M545" s="669" t="n"/>
      <c r="N545" s="669" t="n"/>
      <c r="O545" s="669" t="n"/>
      <c r="P545" s="669" t="n"/>
      <c r="Q545" s="669" t="n"/>
      <c r="R545" s="669" t="n"/>
      <c r="S545" s="669" t="n"/>
      <c r="T545" s="669" t="n"/>
      <c r="U545" s="669" t="n"/>
      <c r="V545" s="669" t="n"/>
      <c r="W545" s="669" t="n"/>
      <c r="X545" s="669" t="n"/>
      <c r="Y545" s="669" t="n"/>
      <c r="Z545" s="669" t="n"/>
      <c r="AA545" s="669" t="n"/>
      <c r="AB545" s="669" t="n"/>
    </row>
    <row r="546">
      <c r="I546" s="669" t="n"/>
      <c r="J546" s="669" t="n"/>
      <c r="K546" s="669" t="n"/>
      <c r="L546" s="669" t="n"/>
      <c r="M546" s="669" t="n"/>
      <c r="N546" s="669" t="n"/>
      <c r="O546" s="669" t="n"/>
      <c r="P546" s="669" t="n"/>
      <c r="Q546" s="669" t="n"/>
      <c r="R546" s="669" t="n"/>
      <c r="S546" s="669" t="n"/>
      <c r="T546" s="669" t="n"/>
      <c r="U546" s="669" t="n"/>
      <c r="V546" s="669" t="n"/>
      <c r="W546" s="669" t="n"/>
      <c r="X546" s="669" t="n"/>
      <c r="Y546" s="669" t="n"/>
      <c r="Z546" s="669" t="n"/>
      <c r="AA546" s="669" t="n"/>
      <c r="AB546" s="669" t="n"/>
    </row>
    <row r="547">
      <c r="I547" s="669" t="n"/>
      <c r="J547" s="669" t="n"/>
      <c r="K547" s="669" t="n"/>
      <c r="L547" s="669" t="n"/>
      <c r="M547" s="669" t="n"/>
      <c r="N547" s="669" t="n"/>
      <c r="O547" s="669" t="n"/>
      <c r="P547" s="669" t="n"/>
      <c r="Q547" s="669" t="n"/>
      <c r="R547" s="669" t="n"/>
      <c r="S547" s="669" t="n"/>
      <c r="T547" s="669" t="n"/>
      <c r="U547" s="669" t="n"/>
      <c r="V547" s="669" t="n"/>
      <c r="W547" s="669" t="n"/>
      <c r="X547" s="669" t="n"/>
      <c r="Y547" s="669" t="n"/>
      <c r="Z547" s="669" t="n"/>
      <c r="AA547" s="669" t="n"/>
      <c r="AB547" s="669" t="n"/>
    </row>
    <row r="548">
      <c r="I548" s="669" t="n"/>
      <c r="J548" s="669" t="n"/>
      <c r="K548" s="669" t="n"/>
      <c r="L548" s="669" t="n"/>
      <c r="M548" s="669" t="n"/>
      <c r="N548" s="669" t="n"/>
      <c r="O548" s="669" t="n"/>
      <c r="P548" s="669" t="n"/>
      <c r="Q548" s="669" t="n"/>
      <c r="R548" s="669" t="n"/>
      <c r="S548" s="669" t="n"/>
      <c r="T548" s="669" t="n"/>
      <c r="U548" s="669" t="n"/>
      <c r="V548" s="669" t="n"/>
      <c r="W548" s="669" t="n"/>
      <c r="X548" s="669" t="n"/>
      <c r="Y548" s="669" t="n"/>
      <c r="Z548" s="669" t="n"/>
      <c r="AA548" s="669" t="n"/>
      <c r="AB548" s="669" t="n"/>
    </row>
    <row r="549">
      <c r="I549" s="669" t="n"/>
      <c r="J549" s="669" t="n"/>
      <c r="K549" s="669" t="n"/>
      <c r="L549" s="669" t="n"/>
      <c r="M549" s="669" t="n"/>
      <c r="N549" s="669" t="n"/>
      <c r="O549" s="669" t="n"/>
      <c r="P549" s="669" t="n"/>
      <c r="Q549" s="669" t="n"/>
      <c r="R549" s="669" t="n"/>
      <c r="S549" s="669" t="n"/>
      <c r="T549" s="669" t="n"/>
      <c r="U549" s="669" t="n"/>
      <c r="V549" s="669" t="n"/>
      <c r="W549" s="669" t="n"/>
      <c r="X549" s="669" t="n"/>
      <c r="Y549" s="669" t="n"/>
      <c r="Z549" s="669" t="n"/>
      <c r="AA549" s="669" t="n"/>
      <c r="AB549" s="669" t="n"/>
    </row>
    <row r="550">
      <c r="I550" s="669" t="n"/>
      <c r="J550" s="669" t="n"/>
      <c r="K550" s="669" t="n"/>
      <c r="L550" s="669" t="n"/>
      <c r="M550" s="669" t="n"/>
      <c r="N550" s="669" t="n"/>
      <c r="O550" s="669" t="n"/>
      <c r="P550" s="669" t="n"/>
      <c r="Q550" s="669" t="n"/>
      <c r="R550" s="669" t="n"/>
      <c r="S550" s="669" t="n"/>
      <c r="T550" s="669" t="n"/>
      <c r="U550" s="669" t="n"/>
      <c r="V550" s="669" t="n"/>
      <c r="W550" s="669" t="n"/>
      <c r="X550" s="669" t="n"/>
      <c r="Y550" s="669" t="n"/>
      <c r="Z550" s="669" t="n"/>
      <c r="AA550" s="669" t="n"/>
      <c r="AB550" s="669" t="n"/>
    </row>
    <row r="551">
      <c r="I551" s="669" t="n"/>
      <c r="J551" s="669" t="n"/>
      <c r="K551" s="669" t="n"/>
      <c r="L551" s="669" t="n"/>
      <c r="M551" s="669" t="n"/>
      <c r="N551" s="669" t="n"/>
      <c r="O551" s="669" t="n"/>
      <c r="P551" s="669" t="n"/>
      <c r="Q551" s="669" t="n"/>
      <c r="R551" s="669" t="n"/>
      <c r="S551" s="669" t="n"/>
      <c r="T551" s="669" t="n"/>
      <c r="U551" s="669" t="n"/>
      <c r="V551" s="669" t="n"/>
      <c r="W551" s="669" t="n"/>
      <c r="X551" s="669" t="n"/>
      <c r="Y551" s="669" t="n"/>
      <c r="Z551" s="669" t="n"/>
      <c r="AA551" s="669" t="n"/>
      <c r="AB551" s="669" t="n"/>
    </row>
    <row r="552">
      <c r="I552" s="669" t="n"/>
      <c r="J552" s="669" t="n"/>
      <c r="K552" s="669" t="n"/>
      <c r="L552" s="669" t="n"/>
      <c r="M552" s="669" t="n"/>
      <c r="N552" s="669" t="n"/>
      <c r="O552" s="669" t="n"/>
      <c r="P552" s="669" t="n"/>
      <c r="Q552" s="669" t="n"/>
      <c r="R552" s="669" t="n"/>
      <c r="S552" s="669" t="n"/>
      <c r="T552" s="669" t="n"/>
      <c r="U552" s="669" t="n"/>
      <c r="V552" s="669" t="n"/>
      <c r="W552" s="669" t="n"/>
      <c r="X552" s="669" t="n"/>
      <c r="Y552" s="669" t="n"/>
      <c r="Z552" s="669" t="n"/>
      <c r="AA552" s="669" t="n"/>
      <c r="AB552" s="669" t="n"/>
    </row>
    <row r="553">
      <c r="I553" s="669" t="n"/>
      <c r="J553" s="669" t="n"/>
      <c r="K553" s="669" t="n"/>
      <c r="L553" s="669" t="n"/>
      <c r="M553" s="669" t="n"/>
      <c r="N553" s="669" t="n"/>
      <c r="O553" s="669" t="n"/>
      <c r="P553" s="669" t="n"/>
      <c r="Q553" s="669" t="n"/>
      <c r="R553" s="669" t="n"/>
      <c r="S553" s="669" t="n"/>
      <c r="T553" s="669" t="n"/>
      <c r="U553" s="669" t="n"/>
      <c r="V553" s="669" t="n"/>
      <c r="W553" s="669" t="n"/>
      <c r="X553" s="669" t="n"/>
      <c r="Y553" s="669" t="n"/>
      <c r="Z553" s="669" t="n"/>
      <c r="AA553" s="669" t="n"/>
      <c r="AB553" s="669" t="n"/>
    </row>
    <row r="554">
      <c r="I554" s="669" t="n"/>
      <c r="J554" s="669" t="n"/>
      <c r="K554" s="669" t="n"/>
      <c r="L554" s="669" t="n"/>
      <c r="M554" s="669" t="n"/>
      <c r="N554" s="669" t="n"/>
      <c r="O554" s="669" t="n"/>
      <c r="P554" s="669" t="n"/>
      <c r="Q554" s="669" t="n"/>
      <c r="R554" s="669" t="n"/>
      <c r="S554" s="669" t="n"/>
      <c r="T554" s="669" t="n"/>
      <c r="U554" s="669" t="n"/>
      <c r="V554" s="669" t="n"/>
      <c r="W554" s="669" t="n"/>
      <c r="X554" s="669" t="n"/>
      <c r="Y554" s="669" t="n"/>
      <c r="Z554" s="669" t="n"/>
      <c r="AA554" s="669" t="n"/>
      <c r="AB554" s="669" t="n"/>
    </row>
    <row r="555">
      <c r="I555" s="669" t="n"/>
      <c r="J555" s="669" t="n"/>
      <c r="K555" s="669" t="n"/>
      <c r="L555" s="669" t="n"/>
      <c r="M555" s="669" t="n"/>
      <c r="N555" s="669" t="n"/>
      <c r="O555" s="669" t="n"/>
      <c r="P555" s="669" t="n"/>
      <c r="Q555" s="669" t="n"/>
      <c r="R555" s="669" t="n"/>
      <c r="S555" s="669" t="n"/>
      <c r="T555" s="669" t="n"/>
      <c r="U555" s="669" t="n"/>
      <c r="V555" s="669" t="n"/>
      <c r="W555" s="669" t="n"/>
      <c r="X555" s="669" t="n"/>
      <c r="Y555" s="669" t="n"/>
      <c r="Z555" s="669" t="n"/>
      <c r="AA555" s="669" t="n"/>
      <c r="AB555" s="669" t="n"/>
    </row>
    <row r="556">
      <c r="I556" s="669" t="n"/>
      <c r="J556" s="669" t="n"/>
      <c r="K556" s="669" t="n"/>
      <c r="L556" s="669" t="n"/>
      <c r="M556" s="669" t="n"/>
      <c r="N556" s="669" t="n"/>
      <c r="O556" s="669" t="n"/>
      <c r="P556" s="669" t="n"/>
      <c r="Q556" s="669" t="n"/>
      <c r="R556" s="669" t="n"/>
      <c r="S556" s="669" t="n"/>
      <c r="T556" s="669" t="n"/>
      <c r="U556" s="669" t="n"/>
      <c r="V556" s="669" t="n"/>
      <c r="W556" s="669" t="n"/>
      <c r="X556" s="669" t="n"/>
      <c r="Y556" s="669" t="n"/>
      <c r="Z556" s="669" t="n"/>
      <c r="AA556" s="669" t="n"/>
      <c r="AB556" s="669" t="n"/>
    </row>
    <row r="557">
      <c r="I557" s="669" t="n"/>
      <c r="J557" s="669" t="n"/>
      <c r="K557" s="669" t="n"/>
      <c r="L557" s="669" t="n"/>
      <c r="M557" s="669" t="n"/>
      <c r="N557" s="669" t="n"/>
      <c r="O557" s="669" t="n"/>
      <c r="P557" s="669" t="n"/>
      <c r="Q557" s="669" t="n"/>
      <c r="R557" s="669" t="n"/>
      <c r="S557" s="669" t="n"/>
      <c r="T557" s="669" t="n"/>
      <c r="U557" s="669" t="n"/>
      <c r="V557" s="669" t="n"/>
      <c r="W557" s="669" t="n"/>
      <c r="X557" s="669" t="n"/>
      <c r="Y557" s="669" t="n"/>
      <c r="Z557" s="669" t="n"/>
      <c r="AA557" s="669" t="n"/>
      <c r="AB557" s="669" t="n"/>
    </row>
    <row r="558">
      <c r="I558" s="669" t="n"/>
      <c r="J558" s="669" t="n"/>
      <c r="K558" s="669" t="n"/>
      <c r="L558" s="669" t="n"/>
      <c r="M558" s="669" t="n"/>
      <c r="N558" s="669" t="n"/>
      <c r="O558" s="669" t="n"/>
      <c r="P558" s="669" t="n"/>
      <c r="Q558" s="669" t="n"/>
      <c r="R558" s="669" t="n"/>
      <c r="S558" s="669" t="n"/>
      <c r="T558" s="669" t="n"/>
      <c r="U558" s="669" t="n"/>
      <c r="V558" s="669" t="n"/>
      <c r="W558" s="669" t="n"/>
      <c r="X558" s="669" t="n"/>
      <c r="Y558" s="669" t="n"/>
      <c r="Z558" s="669" t="n"/>
      <c r="AA558" s="669" t="n"/>
      <c r="AB558" s="669" t="n"/>
    </row>
    <row r="559">
      <c r="I559" s="669" t="n"/>
      <c r="J559" s="669" t="n"/>
      <c r="K559" s="669" t="n"/>
      <c r="L559" s="669" t="n"/>
      <c r="M559" s="669" t="n"/>
      <c r="N559" s="669" t="n"/>
      <c r="O559" s="669" t="n"/>
      <c r="P559" s="669" t="n"/>
      <c r="Q559" s="669" t="n"/>
      <c r="R559" s="669" t="n"/>
      <c r="S559" s="669" t="n"/>
      <c r="T559" s="669" t="n"/>
      <c r="U559" s="669" t="n"/>
      <c r="V559" s="669" t="n"/>
      <c r="W559" s="669" t="n"/>
      <c r="X559" s="669" t="n"/>
      <c r="Y559" s="669" t="n"/>
      <c r="Z559" s="669" t="n"/>
      <c r="AA559" s="669" t="n"/>
      <c r="AB559" s="669" t="n"/>
    </row>
    <row r="560">
      <c r="I560" s="669" t="n"/>
      <c r="J560" s="669" t="n"/>
      <c r="K560" s="669" t="n"/>
      <c r="L560" s="669" t="n"/>
      <c r="M560" s="669" t="n"/>
      <c r="N560" s="669" t="n"/>
      <c r="O560" s="669" t="n"/>
      <c r="P560" s="669" t="n"/>
      <c r="Q560" s="669" t="n"/>
      <c r="R560" s="669" t="n"/>
      <c r="S560" s="669" t="n"/>
      <c r="T560" s="669" t="n"/>
      <c r="U560" s="669" t="n"/>
      <c r="V560" s="669" t="n"/>
      <c r="W560" s="669" t="n"/>
      <c r="X560" s="669" t="n"/>
      <c r="Y560" s="669" t="n"/>
      <c r="Z560" s="669" t="n"/>
      <c r="AA560" s="669" t="n"/>
      <c r="AB560" s="669" t="n"/>
    </row>
    <row r="561">
      <c r="I561" s="669" t="n"/>
      <c r="J561" s="669" t="n"/>
      <c r="K561" s="669" t="n"/>
      <c r="L561" s="669" t="n"/>
      <c r="M561" s="669" t="n"/>
      <c r="N561" s="669" t="n"/>
      <c r="O561" s="669" t="n"/>
      <c r="P561" s="669" t="n"/>
      <c r="Q561" s="669" t="n"/>
      <c r="R561" s="669" t="n"/>
      <c r="S561" s="669" t="n"/>
      <c r="T561" s="669" t="n"/>
      <c r="U561" s="669" t="n"/>
      <c r="V561" s="669" t="n"/>
      <c r="W561" s="669" t="n"/>
      <c r="X561" s="669" t="n"/>
      <c r="Y561" s="669" t="n"/>
      <c r="Z561" s="669" t="n"/>
      <c r="AA561" s="669" t="n"/>
      <c r="AB561" s="669" t="n"/>
    </row>
    <row r="562">
      <c r="I562" s="669" t="n"/>
      <c r="J562" s="669" t="n"/>
      <c r="K562" s="669" t="n"/>
      <c r="L562" s="669" t="n"/>
      <c r="M562" s="669" t="n"/>
      <c r="N562" s="669" t="n"/>
      <c r="O562" s="669" t="n"/>
      <c r="P562" s="669" t="n"/>
      <c r="Q562" s="669" t="n"/>
      <c r="R562" s="669" t="n"/>
      <c r="S562" s="669" t="n"/>
      <c r="T562" s="669" t="n"/>
      <c r="U562" s="669" t="n"/>
      <c r="V562" s="669" t="n"/>
      <c r="W562" s="669" t="n"/>
      <c r="X562" s="669" t="n"/>
      <c r="Y562" s="669" t="n"/>
      <c r="Z562" s="669" t="n"/>
      <c r="AA562" s="669" t="n"/>
      <c r="AB562" s="669" t="n"/>
    </row>
    <row r="563">
      <c r="I563" s="669" t="n"/>
      <c r="J563" s="669" t="n"/>
      <c r="K563" s="669" t="n"/>
      <c r="L563" s="669" t="n"/>
      <c r="M563" s="669" t="n"/>
      <c r="N563" s="669" t="n"/>
      <c r="O563" s="669" t="n"/>
      <c r="P563" s="669" t="n"/>
      <c r="Q563" s="669" t="n"/>
      <c r="R563" s="669" t="n"/>
      <c r="S563" s="669" t="n"/>
      <c r="T563" s="669" t="n"/>
      <c r="U563" s="669" t="n"/>
      <c r="V563" s="669" t="n"/>
      <c r="W563" s="669" t="n"/>
      <c r="X563" s="669" t="n"/>
      <c r="Y563" s="669" t="n"/>
      <c r="Z563" s="669" t="n"/>
      <c r="AA563" s="669" t="n"/>
      <c r="AB563" s="669" t="n"/>
    </row>
    <row r="564">
      <c r="I564" s="669" t="n"/>
      <c r="J564" s="669" t="n"/>
      <c r="K564" s="669" t="n"/>
      <c r="L564" s="669" t="n"/>
      <c r="M564" s="669" t="n"/>
      <c r="N564" s="669" t="n"/>
      <c r="O564" s="669" t="n"/>
      <c r="P564" s="669" t="n"/>
      <c r="Q564" s="669" t="n"/>
      <c r="R564" s="669" t="n"/>
      <c r="S564" s="669" t="n"/>
      <c r="T564" s="669" t="n"/>
      <c r="U564" s="669" t="n"/>
      <c r="V564" s="669" t="n"/>
      <c r="W564" s="669" t="n"/>
      <c r="X564" s="669" t="n"/>
      <c r="Y564" s="669" t="n"/>
      <c r="Z564" s="669" t="n"/>
      <c r="AA564" s="669" t="n"/>
      <c r="AB564" s="669" t="n"/>
    </row>
    <row r="565">
      <c r="I565" s="669" t="n"/>
      <c r="J565" s="669" t="n"/>
      <c r="K565" s="669" t="n"/>
      <c r="L565" s="669" t="n"/>
      <c r="M565" s="669" t="n"/>
      <c r="N565" s="669" t="n"/>
      <c r="O565" s="669" t="n"/>
      <c r="P565" s="669" t="n"/>
      <c r="Q565" s="669" t="n"/>
      <c r="R565" s="669" t="n"/>
      <c r="S565" s="669" t="n"/>
      <c r="T565" s="669" t="n"/>
      <c r="U565" s="669" t="n"/>
      <c r="V565" s="669" t="n"/>
      <c r="W565" s="669" t="n"/>
      <c r="X565" s="669" t="n"/>
      <c r="Y565" s="669" t="n"/>
      <c r="Z565" s="669" t="n"/>
      <c r="AA565" s="669" t="n"/>
      <c r="AB565" s="669" t="n"/>
    </row>
    <row r="566">
      <c r="I566" s="669" t="n"/>
      <c r="J566" s="669" t="n"/>
      <c r="K566" s="669" t="n"/>
      <c r="L566" s="669" t="n"/>
      <c r="M566" s="669" t="n"/>
      <c r="N566" s="669" t="n"/>
      <c r="O566" s="669" t="n"/>
      <c r="P566" s="669" t="n"/>
      <c r="Q566" s="669" t="n"/>
      <c r="R566" s="669" t="n"/>
      <c r="S566" s="669" t="n"/>
      <c r="T566" s="669" t="n"/>
      <c r="U566" s="669" t="n"/>
      <c r="V566" s="669" t="n"/>
      <c r="W566" s="669" t="n"/>
      <c r="X566" s="669" t="n"/>
      <c r="Y566" s="669" t="n"/>
      <c r="Z566" s="669" t="n"/>
      <c r="AA566" s="669" t="n"/>
      <c r="AB566" s="669" t="n"/>
    </row>
    <row r="567">
      <c r="I567" s="669" t="n"/>
      <c r="J567" s="669" t="n"/>
      <c r="K567" s="669" t="n"/>
      <c r="L567" s="669" t="n"/>
      <c r="M567" s="669" t="n"/>
      <c r="N567" s="669" t="n"/>
      <c r="O567" s="669" t="n"/>
      <c r="P567" s="669" t="n"/>
      <c r="Q567" s="669" t="n"/>
      <c r="R567" s="669" t="n"/>
      <c r="S567" s="669" t="n"/>
      <c r="T567" s="669" t="n"/>
      <c r="U567" s="669" t="n"/>
      <c r="V567" s="669" t="n"/>
      <c r="W567" s="669" t="n"/>
      <c r="X567" s="669" t="n"/>
      <c r="Y567" s="669" t="n"/>
      <c r="Z567" s="669" t="n"/>
      <c r="AA567" s="669" t="n"/>
      <c r="AB567" s="669" t="n"/>
    </row>
    <row r="568">
      <c r="I568" s="669" t="n"/>
      <c r="J568" s="669" t="n"/>
      <c r="K568" s="669" t="n"/>
      <c r="L568" s="669" t="n"/>
      <c r="M568" s="669" t="n"/>
      <c r="N568" s="669" t="n"/>
      <c r="O568" s="669" t="n"/>
      <c r="P568" s="669" t="n"/>
      <c r="Q568" s="669" t="n"/>
      <c r="R568" s="669" t="n"/>
      <c r="S568" s="669" t="n"/>
      <c r="T568" s="669" t="n"/>
      <c r="U568" s="669" t="n"/>
      <c r="V568" s="669" t="n"/>
      <c r="W568" s="669" t="n"/>
      <c r="X568" s="669" t="n"/>
      <c r="Y568" s="669" t="n"/>
      <c r="Z568" s="669" t="n"/>
      <c r="AA568" s="669" t="n"/>
      <c r="AB568" s="669" t="n"/>
    </row>
    <row r="569">
      <c r="I569" s="669" t="n"/>
      <c r="J569" s="669" t="n"/>
      <c r="K569" s="669" t="n"/>
      <c r="L569" s="669" t="n"/>
      <c r="M569" s="669" t="n"/>
      <c r="N569" s="669" t="n"/>
      <c r="O569" s="669" t="n"/>
      <c r="P569" s="669" t="n"/>
      <c r="Q569" s="669" t="n"/>
      <c r="R569" s="669" t="n"/>
      <c r="S569" s="669" t="n"/>
      <c r="T569" s="669" t="n"/>
      <c r="U569" s="669" t="n"/>
      <c r="V569" s="669" t="n"/>
      <c r="W569" s="669" t="n"/>
      <c r="X569" s="669" t="n"/>
      <c r="Y569" s="669" t="n"/>
      <c r="Z569" s="669" t="n"/>
      <c r="AA569" s="669" t="n"/>
      <c r="AB569" s="669" t="n"/>
    </row>
    <row r="570">
      <c r="I570" s="669" t="n"/>
      <c r="J570" s="669" t="n"/>
      <c r="K570" s="669" t="n"/>
      <c r="L570" s="669" t="n"/>
      <c r="M570" s="669" t="n"/>
      <c r="N570" s="669" t="n"/>
      <c r="O570" s="669" t="n"/>
      <c r="P570" s="669" t="n"/>
      <c r="Q570" s="669" t="n"/>
      <c r="R570" s="669" t="n"/>
      <c r="S570" s="669" t="n"/>
      <c r="T570" s="669" t="n"/>
      <c r="U570" s="669" t="n"/>
      <c r="V570" s="669" t="n"/>
      <c r="W570" s="669" t="n"/>
      <c r="X570" s="669" t="n"/>
      <c r="Y570" s="669" t="n"/>
      <c r="Z570" s="669" t="n"/>
      <c r="AA570" s="669" t="n"/>
      <c r="AB570" s="669" t="n"/>
    </row>
    <row r="571">
      <c r="I571" s="669" t="n"/>
      <c r="J571" s="669" t="n"/>
      <c r="K571" s="669" t="n"/>
      <c r="L571" s="669" t="n"/>
      <c r="M571" s="669" t="n"/>
      <c r="N571" s="669" t="n"/>
      <c r="O571" s="669" t="n"/>
      <c r="P571" s="669" t="n"/>
      <c r="Q571" s="669" t="n"/>
      <c r="R571" s="669" t="n"/>
      <c r="S571" s="669" t="n"/>
      <c r="T571" s="669" t="n"/>
      <c r="U571" s="669" t="n"/>
      <c r="V571" s="669" t="n"/>
      <c r="W571" s="669" t="n"/>
      <c r="X571" s="669" t="n"/>
      <c r="Y571" s="669" t="n"/>
      <c r="Z571" s="669" t="n"/>
      <c r="AA571" s="669" t="n"/>
      <c r="AB571" s="669" t="n"/>
    </row>
    <row r="572">
      <c r="I572" s="669" t="n"/>
      <c r="J572" s="669" t="n"/>
      <c r="K572" s="669" t="n"/>
      <c r="L572" s="669" t="n"/>
      <c r="M572" s="669" t="n"/>
      <c r="N572" s="669" t="n"/>
      <c r="O572" s="669" t="n"/>
      <c r="P572" s="669" t="n"/>
      <c r="Q572" s="669" t="n"/>
      <c r="R572" s="669" t="n"/>
      <c r="S572" s="669" t="n"/>
      <c r="T572" s="669" t="n"/>
      <c r="U572" s="669" t="n"/>
      <c r="V572" s="669" t="n"/>
      <c r="W572" s="669" t="n"/>
      <c r="X572" s="669" t="n"/>
      <c r="Y572" s="669" t="n"/>
      <c r="Z572" s="669" t="n"/>
      <c r="AA572" s="669" t="n"/>
      <c r="AB572" s="669" t="n"/>
    </row>
    <row r="573">
      <c r="I573" s="669" t="n"/>
      <c r="J573" s="669" t="n"/>
      <c r="K573" s="669" t="n"/>
      <c r="L573" s="669" t="n"/>
      <c r="M573" s="669" t="n"/>
      <c r="N573" s="669" t="n"/>
      <c r="O573" s="669" t="n"/>
      <c r="P573" s="669" t="n"/>
      <c r="Q573" s="669" t="n"/>
      <c r="R573" s="669" t="n"/>
      <c r="S573" s="669" t="n"/>
      <c r="T573" s="669" t="n"/>
      <c r="U573" s="669" t="n"/>
      <c r="V573" s="669" t="n"/>
      <c r="W573" s="669" t="n"/>
      <c r="X573" s="669" t="n"/>
      <c r="Y573" s="669" t="n"/>
      <c r="Z573" s="669" t="n"/>
      <c r="AA573" s="669" t="n"/>
      <c r="AB573" s="669" t="n"/>
    </row>
    <row r="574">
      <c r="I574" s="669" t="n"/>
      <c r="J574" s="669" t="n"/>
      <c r="K574" s="669" t="n"/>
      <c r="L574" s="669" t="n"/>
      <c r="M574" s="669" t="n"/>
      <c r="N574" s="669" t="n"/>
      <c r="O574" s="669" t="n"/>
      <c r="P574" s="669" t="n"/>
      <c r="Q574" s="669" t="n"/>
      <c r="R574" s="669" t="n"/>
      <c r="S574" s="669" t="n"/>
      <c r="T574" s="669" t="n"/>
      <c r="U574" s="669" t="n"/>
      <c r="V574" s="669" t="n"/>
      <c r="W574" s="669" t="n"/>
      <c r="X574" s="669" t="n"/>
      <c r="Y574" s="669" t="n"/>
      <c r="Z574" s="669" t="n"/>
      <c r="AA574" s="669" t="n"/>
      <c r="AB574" s="669" t="n"/>
    </row>
    <row r="575">
      <c r="I575" s="669" t="n"/>
      <c r="J575" s="669" t="n"/>
      <c r="K575" s="669" t="n"/>
      <c r="L575" s="669" t="n"/>
      <c r="M575" s="669" t="n"/>
      <c r="N575" s="669" t="n"/>
      <c r="O575" s="669" t="n"/>
      <c r="P575" s="669" t="n"/>
      <c r="Q575" s="669" t="n"/>
      <c r="R575" s="669" t="n"/>
      <c r="S575" s="669" t="n"/>
      <c r="T575" s="669" t="n"/>
      <c r="U575" s="669" t="n"/>
      <c r="V575" s="669" t="n"/>
      <c r="W575" s="669" t="n"/>
      <c r="X575" s="669" t="n"/>
      <c r="Y575" s="669" t="n"/>
      <c r="Z575" s="669" t="n"/>
      <c r="AA575" s="669" t="n"/>
      <c r="AB575" s="669" t="n"/>
    </row>
    <row r="576">
      <c r="I576" s="669" t="n"/>
      <c r="J576" s="669" t="n"/>
      <c r="K576" s="669" t="n"/>
      <c r="L576" s="669" t="n"/>
      <c r="M576" s="669" t="n"/>
      <c r="N576" s="669" t="n"/>
      <c r="O576" s="669" t="n"/>
      <c r="P576" s="669" t="n"/>
      <c r="Q576" s="669" t="n"/>
      <c r="R576" s="669" t="n"/>
      <c r="S576" s="669" t="n"/>
      <c r="T576" s="669" t="n"/>
      <c r="U576" s="669" t="n"/>
      <c r="V576" s="669" t="n"/>
      <c r="W576" s="669" t="n"/>
      <c r="X576" s="669" t="n"/>
      <c r="Y576" s="669" t="n"/>
      <c r="Z576" s="669" t="n"/>
      <c r="AA576" s="669" t="n"/>
      <c r="AB576" s="669" t="n"/>
    </row>
    <row r="577">
      <c r="I577" s="669" t="n"/>
      <c r="J577" s="669" t="n"/>
      <c r="K577" s="669" t="n"/>
      <c r="L577" s="669" t="n"/>
      <c r="M577" s="669" t="n"/>
      <c r="N577" s="669" t="n"/>
      <c r="O577" s="669" t="n"/>
      <c r="P577" s="669" t="n"/>
      <c r="Q577" s="669" t="n"/>
      <c r="R577" s="669" t="n"/>
      <c r="S577" s="669" t="n"/>
      <c r="T577" s="669" t="n"/>
      <c r="U577" s="669" t="n"/>
      <c r="V577" s="669" t="n"/>
      <c r="W577" s="669" t="n"/>
      <c r="X577" s="669" t="n"/>
      <c r="Y577" s="669" t="n"/>
      <c r="Z577" s="669" t="n"/>
      <c r="AA577" s="669" t="n"/>
      <c r="AB577" s="669" t="n"/>
    </row>
    <row r="578">
      <c r="I578" s="669" t="n"/>
      <c r="J578" s="669" t="n"/>
      <c r="K578" s="669" t="n"/>
      <c r="L578" s="669" t="n"/>
      <c r="M578" s="669" t="n"/>
      <c r="N578" s="669" t="n"/>
      <c r="O578" s="669" t="n"/>
      <c r="P578" s="669" t="n"/>
      <c r="Q578" s="669" t="n"/>
      <c r="R578" s="669" t="n"/>
      <c r="S578" s="669" t="n"/>
      <c r="T578" s="669" t="n"/>
      <c r="U578" s="669" t="n"/>
      <c r="V578" s="669" t="n"/>
      <c r="W578" s="669" t="n"/>
      <c r="X578" s="669" t="n"/>
      <c r="Y578" s="669" t="n"/>
      <c r="Z578" s="669" t="n"/>
      <c r="AA578" s="669" t="n"/>
      <c r="AB578" s="669" t="n"/>
    </row>
    <row r="579">
      <c r="I579" s="669" t="n"/>
      <c r="J579" s="669" t="n"/>
      <c r="K579" s="669" t="n"/>
      <c r="L579" s="669" t="n"/>
      <c r="M579" s="669" t="n"/>
      <c r="N579" s="669" t="n"/>
      <c r="O579" s="669" t="n"/>
      <c r="P579" s="669" t="n"/>
      <c r="Q579" s="669" t="n"/>
      <c r="R579" s="669" t="n"/>
      <c r="S579" s="669" t="n"/>
      <c r="T579" s="669" t="n"/>
      <c r="U579" s="669" t="n"/>
      <c r="V579" s="669" t="n"/>
      <c r="W579" s="669" t="n"/>
      <c r="X579" s="669" t="n"/>
      <c r="Y579" s="669" t="n"/>
      <c r="Z579" s="669" t="n"/>
      <c r="AA579" s="669" t="n"/>
      <c r="AB579" s="669" t="n"/>
    </row>
    <row r="580">
      <c r="I580" s="669" t="n"/>
      <c r="J580" s="669" t="n"/>
      <c r="K580" s="669" t="n"/>
      <c r="L580" s="669" t="n"/>
      <c r="M580" s="669" t="n"/>
      <c r="N580" s="669" t="n"/>
      <c r="O580" s="669" t="n"/>
      <c r="P580" s="669" t="n"/>
      <c r="Q580" s="669" t="n"/>
      <c r="R580" s="669" t="n"/>
      <c r="S580" s="669" t="n"/>
      <c r="T580" s="669" t="n"/>
      <c r="U580" s="669" t="n"/>
      <c r="V580" s="669" t="n"/>
      <c r="W580" s="669" t="n"/>
      <c r="X580" s="669" t="n"/>
      <c r="Y580" s="669" t="n"/>
      <c r="Z580" s="669" t="n"/>
      <c r="AA580" s="669" t="n"/>
      <c r="AB580" s="669" t="n"/>
    </row>
    <row r="581">
      <c r="I581" s="669" t="n"/>
      <c r="J581" s="669" t="n"/>
      <c r="K581" s="669" t="n"/>
      <c r="L581" s="669" t="n"/>
      <c r="M581" s="669" t="n"/>
      <c r="N581" s="669" t="n"/>
      <c r="O581" s="669" t="n"/>
      <c r="P581" s="669" t="n"/>
      <c r="Q581" s="669" t="n"/>
      <c r="R581" s="669" t="n"/>
      <c r="S581" s="669" t="n"/>
      <c r="T581" s="669" t="n"/>
      <c r="U581" s="669" t="n"/>
      <c r="V581" s="669" t="n"/>
      <c r="W581" s="669" t="n"/>
      <c r="X581" s="669" t="n"/>
      <c r="Y581" s="669" t="n"/>
      <c r="Z581" s="669" t="n"/>
      <c r="AA581" s="669" t="n"/>
      <c r="AB581" s="669" t="n"/>
    </row>
    <row r="582">
      <c r="I582" s="669" t="n"/>
      <c r="J582" s="669" t="n"/>
      <c r="K582" s="669" t="n"/>
      <c r="L582" s="669" t="n"/>
      <c r="M582" s="669" t="n"/>
      <c r="N582" s="669" t="n"/>
      <c r="O582" s="669" t="n"/>
      <c r="P582" s="669" t="n"/>
      <c r="Q582" s="669" t="n"/>
      <c r="R582" s="669" t="n"/>
      <c r="S582" s="669" t="n"/>
      <c r="T582" s="669" t="n"/>
      <c r="U582" s="669" t="n"/>
      <c r="V582" s="669" t="n"/>
      <c r="W582" s="669" t="n"/>
      <c r="X582" s="669" t="n"/>
      <c r="Y582" s="669" t="n"/>
      <c r="Z582" s="669" t="n"/>
      <c r="AA582" s="669" t="n"/>
      <c r="AB582" s="669" t="n"/>
    </row>
    <row r="583">
      <c r="I583" s="669" t="n"/>
      <c r="J583" s="669" t="n"/>
      <c r="K583" s="669" t="n"/>
      <c r="L583" s="669" t="n"/>
      <c r="M583" s="669" t="n"/>
      <c r="N583" s="669" t="n"/>
      <c r="O583" s="669" t="n"/>
      <c r="P583" s="669" t="n"/>
      <c r="Q583" s="669" t="n"/>
      <c r="R583" s="669" t="n"/>
      <c r="S583" s="669" t="n"/>
      <c r="T583" s="669" t="n"/>
      <c r="U583" s="669" t="n"/>
      <c r="V583" s="669" t="n"/>
      <c r="W583" s="669" t="n"/>
      <c r="X583" s="669" t="n"/>
      <c r="Y583" s="669" t="n"/>
      <c r="Z583" s="669" t="n"/>
      <c r="AA583" s="669" t="n"/>
      <c r="AB583" s="669" t="n"/>
    </row>
    <row r="584">
      <c r="I584" s="669" t="n"/>
      <c r="J584" s="669" t="n"/>
      <c r="K584" s="669" t="n"/>
      <c r="L584" s="669" t="n"/>
      <c r="M584" s="669" t="n"/>
      <c r="N584" s="669" t="n"/>
      <c r="O584" s="669" t="n"/>
      <c r="P584" s="669" t="n"/>
      <c r="Q584" s="669" t="n"/>
      <c r="R584" s="669" t="n"/>
      <c r="S584" s="669" t="n"/>
      <c r="T584" s="669" t="n"/>
      <c r="U584" s="669" t="n"/>
      <c r="V584" s="669" t="n"/>
      <c r="W584" s="669" t="n"/>
      <c r="X584" s="669" t="n"/>
      <c r="Y584" s="669" t="n"/>
      <c r="Z584" s="669" t="n"/>
      <c r="AA584" s="669" t="n"/>
      <c r="AB584" s="669" t="n"/>
    </row>
    <row r="585">
      <c r="I585" s="669" t="n"/>
      <c r="J585" s="669" t="n"/>
      <c r="K585" s="669" t="n"/>
      <c r="L585" s="669" t="n"/>
      <c r="M585" s="669" t="n"/>
      <c r="N585" s="669" t="n"/>
      <c r="O585" s="669" t="n"/>
      <c r="P585" s="669" t="n"/>
      <c r="Q585" s="669" t="n"/>
      <c r="R585" s="669" t="n"/>
      <c r="S585" s="669" t="n"/>
      <c r="T585" s="669" t="n"/>
      <c r="U585" s="669" t="n"/>
      <c r="V585" s="669" t="n"/>
      <c r="W585" s="669" t="n"/>
      <c r="X585" s="669" t="n"/>
      <c r="Y585" s="669" t="n"/>
      <c r="Z585" s="669" t="n"/>
      <c r="AA585" s="669" t="n"/>
      <c r="AB585" s="669" t="n"/>
    </row>
    <row r="586">
      <c r="I586" s="669" t="n"/>
      <c r="J586" s="669" t="n"/>
      <c r="K586" s="669" t="n"/>
      <c r="L586" s="669" t="n"/>
      <c r="M586" s="669" t="n"/>
      <c r="N586" s="669" t="n"/>
      <c r="O586" s="669" t="n"/>
      <c r="P586" s="669" t="n"/>
      <c r="Q586" s="669" t="n"/>
      <c r="R586" s="669" t="n"/>
      <c r="S586" s="669" t="n"/>
      <c r="T586" s="669" t="n"/>
      <c r="U586" s="669" t="n"/>
      <c r="V586" s="669" t="n"/>
      <c r="W586" s="669" t="n"/>
      <c r="X586" s="669" t="n"/>
      <c r="Y586" s="669" t="n"/>
      <c r="Z586" s="669" t="n"/>
      <c r="AA586" s="669" t="n"/>
      <c r="AB586" s="669" t="n"/>
    </row>
    <row r="587">
      <c r="I587" s="669" t="n"/>
      <c r="J587" s="669" t="n"/>
      <c r="K587" s="669" t="n"/>
      <c r="L587" s="669" t="n"/>
      <c r="M587" s="669" t="n"/>
      <c r="N587" s="669" t="n"/>
      <c r="O587" s="669" t="n"/>
      <c r="P587" s="669" t="n"/>
      <c r="Q587" s="669" t="n"/>
      <c r="R587" s="669" t="n"/>
      <c r="S587" s="669" t="n"/>
      <c r="T587" s="669" t="n"/>
      <c r="U587" s="669" t="n"/>
      <c r="V587" s="669" t="n"/>
      <c r="W587" s="669" t="n"/>
      <c r="X587" s="669" t="n"/>
      <c r="Y587" s="669" t="n"/>
      <c r="Z587" s="669" t="n"/>
      <c r="AA587" s="669" t="n"/>
      <c r="AB587" s="669" t="n"/>
    </row>
    <row r="588">
      <c r="I588" s="669" t="n"/>
      <c r="J588" s="669" t="n"/>
      <c r="K588" s="669" t="n"/>
      <c r="L588" s="669" t="n"/>
      <c r="M588" s="669" t="n"/>
      <c r="N588" s="669" t="n"/>
      <c r="O588" s="669" t="n"/>
      <c r="P588" s="669" t="n"/>
      <c r="Q588" s="669" t="n"/>
      <c r="R588" s="669" t="n"/>
      <c r="S588" s="669" t="n"/>
      <c r="T588" s="669" t="n"/>
      <c r="U588" s="669" t="n"/>
      <c r="V588" s="669" t="n"/>
      <c r="W588" s="669" t="n"/>
      <c r="X588" s="669" t="n"/>
      <c r="Y588" s="669" t="n"/>
      <c r="Z588" s="669" t="n"/>
      <c r="AA588" s="669" t="n"/>
      <c r="AB588" s="669" t="n"/>
    </row>
    <row r="589">
      <c r="I589" s="669" t="n"/>
      <c r="J589" s="669" t="n"/>
      <c r="K589" s="669" t="n"/>
      <c r="L589" s="669" t="n"/>
      <c r="M589" s="669" t="n"/>
      <c r="N589" s="669" t="n"/>
      <c r="O589" s="669" t="n"/>
      <c r="P589" s="669" t="n"/>
      <c r="Q589" s="669" t="n"/>
      <c r="R589" s="669" t="n"/>
      <c r="S589" s="669" t="n"/>
      <c r="T589" s="669" t="n"/>
      <c r="U589" s="669" t="n"/>
      <c r="V589" s="669" t="n"/>
      <c r="W589" s="669" t="n"/>
      <c r="X589" s="669" t="n"/>
      <c r="Y589" s="669" t="n"/>
      <c r="Z589" s="669" t="n"/>
      <c r="AA589" s="669" t="n"/>
      <c r="AB589" s="669" t="n"/>
    </row>
    <row r="590">
      <c r="I590" s="669" t="n"/>
      <c r="J590" s="669" t="n"/>
      <c r="K590" s="669" t="n"/>
      <c r="L590" s="669" t="n"/>
      <c r="M590" s="669" t="n"/>
      <c r="N590" s="669" t="n"/>
      <c r="O590" s="669" t="n"/>
      <c r="P590" s="669" t="n"/>
      <c r="Q590" s="669" t="n"/>
      <c r="R590" s="669" t="n"/>
      <c r="S590" s="669" t="n"/>
      <c r="T590" s="669" t="n"/>
      <c r="U590" s="669" t="n"/>
      <c r="V590" s="669" t="n"/>
      <c r="W590" s="669" t="n"/>
      <c r="X590" s="669" t="n"/>
      <c r="Y590" s="669" t="n"/>
      <c r="Z590" s="669" t="n"/>
      <c r="AA590" s="669" t="n"/>
      <c r="AB590" s="669" t="n"/>
    </row>
    <row r="591">
      <c r="I591" s="669" t="n"/>
      <c r="J591" s="669" t="n"/>
      <c r="K591" s="669" t="n"/>
      <c r="L591" s="669" t="n"/>
      <c r="M591" s="669" t="n"/>
      <c r="N591" s="669" t="n"/>
      <c r="O591" s="669" t="n"/>
      <c r="P591" s="669" t="n"/>
      <c r="Q591" s="669" t="n"/>
      <c r="R591" s="669" t="n"/>
      <c r="S591" s="669" t="n"/>
      <c r="T591" s="669" t="n"/>
      <c r="U591" s="669" t="n"/>
      <c r="V591" s="669" t="n"/>
      <c r="W591" s="669" t="n"/>
      <c r="X591" s="669" t="n"/>
      <c r="Y591" s="669" t="n"/>
      <c r="Z591" s="669" t="n"/>
      <c r="AA591" s="669" t="n"/>
      <c r="AB591" s="669" t="n"/>
    </row>
    <row r="592">
      <c r="I592" s="669" t="n"/>
      <c r="J592" s="669" t="n"/>
      <c r="K592" s="669" t="n"/>
      <c r="L592" s="669" t="n"/>
      <c r="M592" s="669" t="n"/>
      <c r="N592" s="669" t="n"/>
      <c r="O592" s="669" t="n"/>
      <c r="P592" s="669" t="n"/>
      <c r="Q592" s="669" t="n"/>
      <c r="R592" s="669" t="n"/>
      <c r="S592" s="669" t="n"/>
      <c r="T592" s="669" t="n"/>
      <c r="U592" s="669" t="n"/>
      <c r="V592" s="669" t="n"/>
      <c r="W592" s="669" t="n"/>
      <c r="X592" s="669" t="n"/>
      <c r="Y592" s="669" t="n"/>
      <c r="Z592" s="669" t="n"/>
      <c r="AA592" s="669" t="n"/>
      <c r="AB592" s="669" t="n"/>
    </row>
    <row r="593">
      <c r="I593" s="669" t="n"/>
      <c r="J593" s="669" t="n"/>
      <c r="K593" s="669" t="n"/>
      <c r="L593" s="669" t="n"/>
      <c r="M593" s="669" t="n"/>
      <c r="N593" s="669" t="n"/>
      <c r="O593" s="669" t="n"/>
      <c r="P593" s="669" t="n"/>
      <c r="Q593" s="669" t="n"/>
      <c r="R593" s="669" t="n"/>
      <c r="S593" s="669" t="n"/>
      <c r="T593" s="669" t="n"/>
      <c r="U593" s="669" t="n"/>
      <c r="V593" s="669" t="n"/>
      <c r="W593" s="669" t="n"/>
      <c r="X593" s="669" t="n"/>
      <c r="Y593" s="669" t="n"/>
      <c r="Z593" s="669" t="n"/>
      <c r="AA593" s="669" t="n"/>
      <c r="AB593" s="669" t="n"/>
    </row>
    <row r="594">
      <c r="I594" s="669" t="n"/>
      <c r="J594" s="669" t="n"/>
      <c r="K594" s="669" t="n"/>
      <c r="L594" s="669" t="n"/>
      <c r="M594" s="669" t="n"/>
      <c r="N594" s="669" t="n"/>
      <c r="O594" s="669" t="n"/>
      <c r="P594" s="669" t="n"/>
      <c r="Q594" s="669" t="n"/>
      <c r="R594" s="669" t="n"/>
      <c r="S594" s="669" t="n"/>
      <c r="T594" s="669" t="n"/>
      <c r="U594" s="669" t="n"/>
      <c r="V594" s="669" t="n"/>
      <c r="W594" s="669" t="n"/>
      <c r="X594" s="669" t="n"/>
      <c r="Y594" s="669" t="n"/>
      <c r="Z594" s="669" t="n"/>
      <c r="AA594" s="669" t="n"/>
      <c r="AB594" s="669" t="n"/>
    </row>
    <row r="595">
      <c r="I595" s="669" t="n"/>
      <c r="J595" s="669" t="n"/>
      <c r="K595" s="669" t="n"/>
      <c r="L595" s="669" t="n"/>
      <c r="M595" s="669" t="n"/>
      <c r="N595" s="669" t="n"/>
      <c r="O595" s="669" t="n"/>
      <c r="P595" s="669" t="n"/>
      <c r="Q595" s="669" t="n"/>
      <c r="R595" s="669" t="n"/>
      <c r="S595" s="669" t="n"/>
      <c r="T595" s="669" t="n"/>
      <c r="U595" s="669" t="n"/>
      <c r="V595" s="669" t="n"/>
      <c r="W595" s="669" t="n"/>
      <c r="X595" s="669" t="n"/>
      <c r="Y595" s="669" t="n"/>
      <c r="Z595" s="669" t="n"/>
      <c r="AA595" s="669" t="n"/>
      <c r="AB595" s="669" t="n"/>
    </row>
    <row r="596">
      <c r="I596" s="669" t="n"/>
      <c r="J596" s="669" t="n"/>
      <c r="K596" s="669" t="n"/>
      <c r="L596" s="669" t="n"/>
      <c r="M596" s="669" t="n"/>
      <c r="N596" s="669" t="n"/>
      <c r="O596" s="669" t="n"/>
      <c r="P596" s="669" t="n"/>
      <c r="Q596" s="669" t="n"/>
      <c r="R596" s="669" t="n"/>
      <c r="S596" s="669" t="n"/>
      <c r="T596" s="669" t="n"/>
      <c r="U596" s="669" t="n"/>
      <c r="V596" s="669" t="n"/>
      <c r="W596" s="669" t="n"/>
      <c r="X596" s="669" t="n"/>
      <c r="Y596" s="669" t="n"/>
      <c r="Z596" s="669" t="n"/>
      <c r="AA596" s="669" t="n"/>
      <c r="AB596" s="669" t="n"/>
    </row>
    <row r="597">
      <c r="I597" s="669" t="n"/>
      <c r="J597" s="669" t="n"/>
      <c r="K597" s="669" t="n"/>
      <c r="L597" s="669" t="n"/>
      <c r="M597" s="669" t="n"/>
      <c r="N597" s="669" t="n"/>
      <c r="O597" s="669" t="n"/>
      <c r="P597" s="669" t="n"/>
      <c r="Q597" s="669" t="n"/>
      <c r="R597" s="669" t="n"/>
      <c r="S597" s="669" t="n"/>
      <c r="T597" s="669" t="n"/>
      <c r="U597" s="669" t="n"/>
      <c r="V597" s="669" t="n"/>
      <c r="W597" s="669" t="n"/>
      <c r="X597" s="669" t="n"/>
      <c r="Y597" s="669" t="n"/>
      <c r="Z597" s="669" t="n"/>
      <c r="AA597" s="669" t="n"/>
      <c r="AB597" s="669" t="n"/>
    </row>
    <row r="598">
      <c r="I598" s="669" t="n"/>
      <c r="J598" s="669" t="n"/>
      <c r="K598" s="669" t="n"/>
      <c r="L598" s="669" t="n"/>
      <c r="M598" s="669" t="n"/>
      <c r="N598" s="669" t="n"/>
      <c r="O598" s="669" t="n"/>
      <c r="P598" s="669" t="n"/>
      <c r="Q598" s="669" t="n"/>
      <c r="R598" s="669" t="n"/>
      <c r="S598" s="669" t="n"/>
      <c r="T598" s="669" t="n"/>
      <c r="U598" s="669" t="n"/>
      <c r="V598" s="669" t="n"/>
      <c r="W598" s="669" t="n"/>
      <c r="X598" s="669" t="n"/>
      <c r="Y598" s="669" t="n"/>
      <c r="Z598" s="669" t="n"/>
      <c r="AA598" s="669" t="n"/>
      <c r="AB598" s="669" t="n"/>
    </row>
    <row r="599">
      <c r="I599" s="669" t="n"/>
      <c r="J599" s="669" t="n"/>
      <c r="K599" s="669" t="n"/>
      <c r="L599" s="669" t="n"/>
      <c r="M599" s="669" t="n"/>
      <c r="N599" s="669" t="n"/>
      <c r="O599" s="669" t="n"/>
      <c r="P599" s="669" t="n"/>
      <c r="Q599" s="669" t="n"/>
      <c r="R599" s="669" t="n"/>
      <c r="S599" s="669" t="n"/>
      <c r="T599" s="669" t="n"/>
      <c r="U599" s="669" t="n"/>
      <c r="V599" s="669" t="n"/>
      <c r="W599" s="669" t="n"/>
      <c r="X599" s="669" t="n"/>
      <c r="Y599" s="669" t="n"/>
      <c r="Z599" s="669" t="n"/>
      <c r="AA599" s="669" t="n"/>
      <c r="AB599" s="669" t="n"/>
    </row>
    <row r="600">
      <c r="I600" s="669" t="n"/>
      <c r="J600" s="669" t="n"/>
      <c r="K600" s="669" t="n"/>
      <c r="L600" s="669" t="n"/>
      <c r="M600" s="669" t="n"/>
      <c r="N600" s="669" t="n"/>
      <c r="O600" s="669" t="n"/>
      <c r="P600" s="669" t="n"/>
      <c r="Q600" s="669" t="n"/>
      <c r="R600" s="669" t="n"/>
      <c r="S600" s="669" t="n"/>
      <c r="T600" s="669" t="n"/>
      <c r="U600" s="669" t="n"/>
      <c r="V600" s="669" t="n"/>
      <c r="W600" s="669" t="n"/>
      <c r="X600" s="669" t="n"/>
      <c r="Y600" s="669" t="n"/>
      <c r="Z600" s="669" t="n"/>
      <c r="AA600" s="669" t="n"/>
      <c r="AB600" s="669" t="n"/>
    </row>
    <row r="601">
      <c r="I601" s="669" t="n"/>
      <c r="J601" s="669" t="n"/>
      <c r="K601" s="669" t="n"/>
      <c r="L601" s="669" t="n"/>
      <c r="M601" s="669" t="n"/>
      <c r="N601" s="669" t="n"/>
      <c r="O601" s="669" t="n"/>
      <c r="P601" s="669" t="n"/>
      <c r="Q601" s="669" t="n"/>
      <c r="R601" s="669" t="n"/>
      <c r="S601" s="669" t="n"/>
      <c r="T601" s="669" t="n"/>
      <c r="U601" s="669" t="n"/>
      <c r="V601" s="669" t="n"/>
      <c r="W601" s="669" t="n"/>
      <c r="X601" s="669" t="n"/>
      <c r="Y601" s="669" t="n"/>
      <c r="Z601" s="669" t="n"/>
      <c r="AA601" s="669" t="n"/>
      <c r="AB601" s="669" t="n"/>
    </row>
    <row r="602">
      <c r="I602" s="669" t="n"/>
      <c r="J602" s="669" t="n"/>
      <c r="K602" s="669" t="n"/>
      <c r="L602" s="669" t="n"/>
      <c r="M602" s="669" t="n"/>
      <c r="N602" s="669" t="n"/>
      <c r="O602" s="669" t="n"/>
      <c r="P602" s="669" t="n"/>
      <c r="Q602" s="669" t="n"/>
      <c r="R602" s="669" t="n"/>
      <c r="S602" s="669" t="n"/>
      <c r="T602" s="669" t="n"/>
      <c r="U602" s="669" t="n"/>
      <c r="V602" s="669" t="n"/>
      <c r="W602" s="669" t="n"/>
      <c r="X602" s="669" t="n"/>
      <c r="Y602" s="669" t="n"/>
      <c r="Z602" s="669" t="n"/>
      <c r="AA602" s="669" t="n"/>
      <c r="AB602" s="669" t="n"/>
    </row>
    <row r="603">
      <c r="I603" s="669" t="n"/>
      <c r="J603" s="669" t="n"/>
      <c r="K603" s="669" t="n"/>
      <c r="L603" s="669" t="n"/>
      <c r="M603" s="669" t="n"/>
      <c r="N603" s="669" t="n"/>
      <c r="O603" s="669" t="n"/>
      <c r="P603" s="669" t="n"/>
      <c r="Q603" s="669" t="n"/>
      <c r="R603" s="669" t="n"/>
      <c r="S603" s="669" t="n"/>
      <c r="T603" s="669" t="n"/>
      <c r="U603" s="669" t="n"/>
      <c r="V603" s="669" t="n"/>
      <c r="W603" s="669" t="n"/>
      <c r="X603" s="669" t="n"/>
      <c r="Y603" s="669" t="n"/>
      <c r="Z603" s="669" t="n"/>
      <c r="AA603" s="669" t="n"/>
      <c r="AB603" s="669" t="n"/>
    </row>
    <row r="604">
      <c r="I604" s="669" t="n"/>
      <c r="J604" s="669" t="n"/>
      <c r="K604" s="669" t="n"/>
      <c r="L604" s="669" t="n"/>
      <c r="M604" s="669" t="n"/>
      <c r="N604" s="669" t="n"/>
      <c r="O604" s="669" t="n"/>
      <c r="P604" s="669" t="n"/>
      <c r="Q604" s="669" t="n"/>
      <c r="R604" s="669" t="n"/>
      <c r="S604" s="669" t="n"/>
      <c r="T604" s="669" t="n"/>
      <c r="U604" s="669" t="n"/>
      <c r="V604" s="669" t="n"/>
      <c r="W604" s="669" t="n"/>
      <c r="X604" s="669" t="n"/>
      <c r="Y604" s="669" t="n"/>
      <c r="Z604" s="669" t="n"/>
      <c r="AA604" s="669" t="n"/>
      <c r="AB604" s="669" t="n"/>
    </row>
    <row r="605">
      <c r="I605" s="669" t="n"/>
      <c r="J605" s="669" t="n"/>
      <c r="K605" s="669" t="n"/>
      <c r="L605" s="669" t="n"/>
      <c r="M605" s="669" t="n"/>
      <c r="N605" s="669" t="n"/>
      <c r="O605" s="669" t="n"/>
      <c r="P605" s="669" t="n"/>
      <c r="Q605" s="669" t="n"/>
      <c r="R605" s="669" t="n"/>
      <c r="S605" s="669" t="n"/>
      <c r="T605" s="669" t="n"/>
      <c r="U605" s="669" t="n"/>
      <c r="V605" s="669" t="n"/>
      <c r="W605" s="669" t="n"/>
      <c r="X605" s="669" t="n"/>
      <c r="Y605" s="669" t="n"/>
      <c r="Z605" s="669" t="n"/>
      <c r="AA605" s="669" t="n"/>
      <c r="AB605" s="669" t="n"/>
    </row>
    <row r="606">
      <c r="I606" s="669" t="n"/>
      <c r="J606" s="669" t="n"/>
      <c r="K606" s="669" t="n"/>
      <c r="L606" s="669" t="n"/>
      <c r="M606" s="669" t="n"/>
      <c r="N606" s="669" t="n"/>
      <c r="O606" s="669" t="n"/>
      <c r="P606" s="669" t="n"/>
      <c r="Q606" s="669" t="n"/>
      <c r="R606" s="669" t="n"/>
      <c r="S606" s="669" t="n"/>
      <c r="T606" s="669" t="n"/>
      <c r="U606" s="669" t="n"/>
      <c r="V606" s="669" t="n"/>
      <c r="W606" s="669" t="n"/>
      <c r="X606" s="669" t="n"/>
      <c r="Y606" s="669" t="n"/>
      <c r="Z606" s="669" t="n"/>
      <c r="AA606" s="669" t="n"/>
      <c r="AB606" s="669" t="n"/>
    </row>
    <row r="607">
      <c r="I607" s="669" t="n"/>
      <c r="J607" s="669" t="n"/>
      <c r="K607" s="669" t="n"/>
      <c r="L607" s="669" t="n"/>
      <c r="M607" s="669" t="n"/>
      <c r="N607" s="669" t="n"/>
      <c r="O607" s="669" t="n"/>
      <c r="P607" s="669" t="n"/>
      <c r="Q607" s="669" t="n"/>
      <c r="R607" s="669" t="n"/>
      <c r="S607" s="669" t="n"/>
      <c r="T607" s="669" t="n"/>
      <c r="U607" s="669" t="n"/>
      <c r="V607" s="669" t="n"/>
      <c r="W607" s="669" t="n"/>
      <c r="X607" s="669" t="n"/>
      <c r="Y607" s="669" t="n"/>
      <c r="Z607" s="669" t="n"/>
      <c r="AA607" s="669" t="n"/>
      <c r="AB607" s="669" t="n"/>
    </row>
    <row r="608">
      <c r="I608" s="669" t="n"/>
      <c r="J608" s="669" t="n"/>
      <c r="K608" s="669" t="n"/>
      <c r="L608" s="669" t="n"/>
      <c r="M608" s="669" t="n"/>
      <c r="N608" s="669" t="n"/>
      <c r="O608" s="669" t="n"/>
      <c r="P608" s="669" t="n"/>
      <c r="Q608" s="669" t="n"/>
      <c r="R608" s="669" t="n"/>
      <c r="S608" s="669" t="n"/>
      <c r="T608" s="669" t="n"/>
      <c r="U608" s="669" t="n"/>
      <c r="V608" s="669" t="n"/>
      <c r="W608" s="669" t="n"/>
      <c r="X608" s="669" t="n"/>
      <c r="Y608" s="669" t="n"/>
      <c r="Z608" s="669" t="n"/>
      <c r="AA608" s="669" t="n"/>
      <c r="AB608" s="669" t="n"/>
    </row>
    <row r="609">
      <c r="I609" s="669" t="n"/>
      <c r="J609" s="669" t="n"/>
      <c r="K609" s="669" t="n"/>
      <c r="L609" s="669" t="n"/>
      <c r="M609" s="669" t="n"/>
      <c r="N609" s="669" t="n"/>
      <c r="O609" s="669" t="n"/>
      <c r="P609" s="669" t="n"/>
      <c r="Q609" s="669" t="n"/>
      <c r="R609" s="669" t="n"/>
      <c r="S609" s="669" t="n"/>
      <c r="T609" s="669" t="n"/>
      <c r="U609" s="669" t="n"/>
      <c r="V609" s="669" t="n"/>
      <c r="W609" s="669" t="n"/>
      <c r="X609" s="669" t="n"/>
      <c r="Y609" s="669" t="n"/>
      <c r="Z609" s="669" t="n"/>
      <c r="AA609" s="669" t="n"/>
      <c r="AB609" s="669" t="n"/>
    </row>
    <row r="610">
      <c r="I610" s="669" t="n"/>
      <c r="J610" s="669" t="n"/>
      <c r="K610" s="669" t="n"/>
      <c r="L610" s="669" t="n"/>
      <c r="M610" s="669" t="n"/>
      <c r="N610" s="669" t="n"/>
      <c r="O610" s="669" t="n"/>
      <c r="P610" s="669" t="n"/>
      <c r="Q610" s="669" t="n"/>
      <c r="R610" s="669" t="n"/>
      <c r="S610" s="669" t="n"/>
      <c r="T610" s="669" t="n"/>
      <c r="U610" s="669" t="n"/>
      <c r="V610" s="669" t="n"/>
      <c r="W610" s="669" t="n"/>
      <c r="X610" s="669" t="n"/>
      <c r="Y610" s="669" t="n"/>
      <c r="Z610" s="669" t="n"/>
      <c r="AA610" s="669" t="n"/>
      <c r="AB610" s="669" t="n"/>
    </row>
    <row r="611">
      <c r="I611" s="669" t="n"/>
      <c r="J611" s="669" t="n"/>
      <c r="K611" s="669" t="n"/>
      <c r="L611" s="669" t="n"/>
      <c r="M611" s="669" t="n"/>
      <c r="N611" s="669" t="n"/>
      <c r="O611" s="669" t="n"/>
      <c r="P611" s="669" t="n"/>
      <c r="Q611" s="669" t="n"/>
      <c r="R611" s="669" t="n"/>
      <c r="S611" s="669" t="n"/>
      <c r="T611" s="669" t="n"/>
      <c r="U611" s="669" t="n"/>
      <c r="V611" s="669" t="n"/>
      <c r="W611" s="669" t="n"/>
      <c r="X611" s="669" t="n"/>
      <c r="Y611" s="669" t="n"/>
      <c r="Z611" s="669" t="n"/>
      <c r="AA611" s="669" t="n"/>
      <c r="AB611" s="669" t="n"/>
    </row>
    <row r="612">
      <c r="I612" s="669" t="n"/>
      <c r="J612" s="669" t="n"/>
      <c r="K612" s="669" t="n"/>
      <c r="L612" s="669" t="n"/>
      <c r="M612" s="669" t="n"/>
      <c r="N612" s="669" t="n"/>
      <c r="O612" s="669" t="n"/>
      <c r="P612" s="669" t="n"/>
      <c r="Q612" s="669" t="n"/>
      <c r="R612" s="669" t="n"/>
      <c r="S612" s="669" t="n"/>
      <c r="T612" s="669" t="n"/>
      <c r="U612" s="669" t="n"/>
      <c r="V612" s="669" t="n"/>
      <c r="W612" s="669" t="n"/>
      <c r="X612" s="669" t="n"/>
      <c r="Y612" s="669" t="n"/>
      <c r="Z612" s="669" t="n"/>
      <c r="AA612" s="669" t="n"/>
      <c r="AB612" s="669" t="n"/>
    </row>
    <row r="613">
      <c r="I613" s="669" t="n"/>
      <c r="J613" s="669" t="n"/>
      <c r="K613" s="669" t="n"/>
      <c r="L613" s="669" t="n"/>
      <c r="M613" s="669" t="n"/>
      <c r="N613" s="669" t="n"/>
      <c r="O613" s="669" t="n"/>
      <c r="P613" s="669" t="n"/>
      <c r="Q613" s="669" t="n"/>
      <c r="R613" s="669" t="n"/>
      <c r="S613" s="669" t="n"/>
      <c r="T613" s="669" t="n"/>
      <c r="U613" s="669" t="n"/>
      <c r="V613" s="669" t="n"/>
      <c r="W613" s="669" t="n"/>
      <c r="X613" s="669" t="n"/>
      <c r="Y613" s="669" t="n"/>
      <c r="Z613" s="669" t="n"/>
      <c r="AA613" s="669" t="n"/>
      <c r="AB613" s="669" t="n"/>
    </row>
    <row r="614">
      <c r="I614" s="669" t="n"/>
      <c r="J614" s="669" t="n"/>
      <c r="K614" s="669" t="n"/>
      <c r="L614" s="669" t="n"/>
      <c r="M614" s="669" t="n"/>
      <c r="N614" s="669" t="n"/>
      <c r="O614" s="669" t="n"/>
      <c r="P614" s="669" t="n"/>
      <c r="Q614" s="669" t="n"/>
      <c r="R614" s="669" t="n"/>
      <c r="S614" s="669" t="n"/>
      <c r="T614" s="669" t="n"/>
      <c r="U614" s="669" t="n"/>
      <c r="V614" s="669" t="n"/>
      <c r="W614" s="669" t="n"/>
      <c r="X614" s="669" t="n"/>
      <c r="Y614" s="669" t="n"/>
      <c r="Z614" s="669" t="n"/>
      <c r="AA614" s="669" t="n"/>
      <c r="AB614" s="669" t="n"/>
    </row>
    <row r="615">
      <c r="I615" s="669" t="n"/>
      <c r="J615" s="669" t="n"/>
      <c r="K615" s="669" t="n"/>
      <c r="L615" s="669" t="n"/>
      <c r="M615" s="669" t="n"/>
      <c r="N615" s="669" t="n"/>
      <c r="O615" s="669" t="n"/>
      <c r="P615" s="669" t="n"/>
      <c r="Q615" s="669" t="n"/>
      <c r="R615" s="669" t="n"/>
      <c r="S615" s="669" t="n"/>
      <c r="T615" s="669" t="n"/>
      <c r="U615" s="669" t="n"/>
      <c r="V615" s="669" t="n"/>
      <c r="W615" s="669" t="n"/>
      <c r="X615" s="669" t="n"/>
      <c r="Y615" s="669" t="n"/>
      <c r="Z615" s="669" t="n"/>
      <c r="AA615" s="669" t="n"/>
      <c r="AB615" s="669" t="n"/>
    </row>
    <row r="616">
      <c r="I616" s="669" t="n"/>
      <c r="J616" s="669" t="n"/>
      <c r="K616" s="669" t="n"/>
      <c r="L616" s="669" t="n"/>
      <c r="M616" s="669" t="n"/>
      <c r="N616" s="669" t="n"/>
      <c r="O616" s="669" t="n"/>
      <c r="P616" s="669" t="n"/>
      <c r="Q616" s="669" t="n"/>
      <c r="R616" s="669" t="n"/>
      <c r="S616" s="669" t="n"/>
      <c r="T616" s="669" t="n"/>
      <c r="U616" s="669" t="n"/>
      <c r="V616" s="669" t="n"/>
      <c r="W616" s="669" t="n"/>
      <c r="X616" s="669" t="n"/>
      <c r="Y616" s="669" t="n"/>
      <c r="Z616" s="669" t="n"/>
      <c r="AA616" s="669" t="n"/>
      <c r="AB616" s="669" t="n"/>
    </row>
    <row r="617">
      <c r="I617" s="669" t="n"/>
      <c r="J617" s="669" t="n"/>
      <c r="K617" s="669" t="n"/>
      <c r="L617" s="669" t="n"/>
      <c r="M617" s="669" t="n"/>
      <c r="N617" s="669" t="n"/>
      <c r="O617" s="669" t="n"/>
      <c r="P617" s="669" t="n"/>
      <c r="Q617" s="669" t="n"/>
      <c r="R617" s="669" t="n"/>
      <c r="S617" s="669" t="n"/>
      <c r="T617" s="669" t="n"/>
      <c r="U617" s="669" t="n"/>
      <c r="V617" s="669" t="n"/>
      <c r="W617" s="669" t="n"/>
      <c r="X617" s="669" t="n"/>
      <c r="Y617" s="669" t="n"/>
      <c r="Z617" s="669" t="n"/>
      <c r="AA617" s="669" t="n"/>
      <c r="AB617" s="669" t="n"/>
    </row>
    <row r="618">
      <c r="I618" s="669" t="n"/>
      <c r="J618" s="669" t="n"/>
      <c r="K618" s="669" t="n"/>
      <c r="L618" s="669" t="n"/>
      <c r="M618" s="669" t="n"/>
      <c r="N618" s="669" t="n"/>
      <c r="O618" s="669" t="n"/>
      <c r="P618" s="669" t="n"/>
      <c r="Q618" s="669" t="n"/>
      <c r="R618" s="669" t="n"/>
      <c r="S618" s="669" t="n"/>
      <c r="T618" s="669" t="n"/>
      <c r="U618" s="669" t="n"/>
      <c r="V618" s="669" t="n"/>
      <c r="W618" s="669" t="n"/>
      <c r="X618" s="669" t="n"/>
      <c r="Y618" s="669" t="n"/>
      <c r="Z618" s="669" t="n"/>
      <c r="AA618" s="669" t="n"/>
      <c r="AB618" s="669" t="n"/>
    </row>
    <row r="619">
      <c r="I619" s="669" t="n"/>
      <c r="J619" s="669" t="n"/>
      <c r="K619" s="669" t="n"/>
      <c r="L619" s="669" t="n"/>
      <c r="M619" s="669" t="n"/>
      <c r="N619" s="669" t="n"/>
      <c r="O619" s="669" t="n"/>
      <c r="P619" s="669" t="n"/>
      <c r="Q619" s="669" t="n"/>
      <c r="R619" s="669" t="n"/>
      <c r="S619" s="669" t="n"/>
      <c r="T619" s="669" t="n"/>
      <c r="U619" s="669" t="n"/>
      <c r="V619" s="669" t="n"/>
      <c r="W619" s="669" t="n"/>
      <c r="X619" s="669" t="n"/>
      <c r="Y619" s="669" t="n"/>
      <c r="Z619" s="669" t="n"/>
      <c r="AA619" s="669" t="n"/>
      <c r="AB619" s="669" t="n"/>
    </row>
    <row r="620">
      <c r="I620" s="669" t="n"/>
      <c r="J620" s="669" t="n"/>
      <c r="K620" s="669" t="n"/>
      <c r="L620" s="669" t="n"/>
      <c r="M620" s="669" t="n"/>
      <c r="N620" s="669" t="n"/>
      <c r="O620" s="669" t="n"/>
      <c r="P620" s="669" t="n"/>
      <c r="Q620" s="669" t="n"/>
      <c r="R620" s="669" t="n"/>
      <c r="S620" s="669" t="n"/>
      <c r="T620" s="669" t="n"/>
      <c r="U620" s="669" t="n"/>
      <c r="V620" s="669" t="n"/>
      <c r="W620" s="669" t="n"/>
      <c r="X620" s="669" t="n"/>
      <c r="Y620" s="669" t="n"/>
      <c r="Z620" s="669" t="n"/>
      <c r="AA620" s="669" t="n"/>
      <c r="AB620" s="669" t="n"/>
    </row>
    <row r="621">
      <c r="I621" s="669" t="n"/>
      <c r="J621" s="669" t="n"/>
      <c r="K621" s="669" t="n"/>
      <c r="L621" s="669" t="n"/>
      <c r="M621" s="669" t="n"/>
      <c r="N621" s="669" t="n"/>
      <c r="O621" s="669" t="n"/>
      <c r="P621" s="669" t="n"/>
      <c r="Q621" s="669" t="n"/>
      <c r="R621" s="669" t="n"/>
      <c r="S621" s="669" t="n"/>
      <c r="T621" s="669" t="n"/>
      <c r="U621" s="669" t="n"/>
      <c r="V621" s="669" t="n"/>
      <c r="W621" s="669" t="n"/>
      <c r="X621" s="669" t="n"/>
      <c r="Y621" s="669" t="n"/>
      <c r="Z621" s="669" t="n"/>
      <c r="AA621" s="669" t="n"/>
      <c r="AB621" s="669" t="n"/>
    </row>
    <row r="622">
      <c r="I622" s="669" t="n"/>
      <c r="J622" s="669" t="n"/>
      <c r="K622" s="669" t="n"/>
      <c r="L622" s="669" t="n"/>
      <c r="M622" s="669" t="n"/>
      <c r="N622" s="669" t="n"/>
      <c r="O622" s="669" t="n"/>
      <c r="P622" s="669" t="n"/>
      <c r="Q622" s="669" t="n"/>
      <c r="R622" s="669" t="n"/>
      <c r="S622" s="669" t="n"/>
      <c r="T622" s="669" t="n"/>
      <c r="U622" s="669" t="n"/>
      <c r="V622" s="669" t="n"/>
      <c r="W622" s="669" t="n"/>
      <c r="X622" s="669" t="n"/>
      <c r="Y622" s="669" t="n"/>
      <c r="Z622" s="669" t="n"/>
      <c r="AA622" s="669" t="n"/>
      <c r="AB622" s="669" t="n"/>
    </row>
    <row r="623">
      <c r="I623" s="669" t="n"/>
      <c r="J623" s="669" t="n"/>
      <c r="K623" s="669" t="n"/>
      <c r="L623" s="669" t="n"/>
      <c r="M623" s="669" t="n"/>
      <c r="N623" s="669" t="n"/>
      <c r="O623" s="669" t="n"/>
      <c r="P623" s="669" t="n"/>
      <c r="Q623" s="669" t="n"/>
      <c r="R623" s="669" t="n"/>
      <c r="S623" s="669" t="n"/>
      <c r="T623" s="669" t="n"/>
      <c r="U623" s="669" t="n"/>
      <c r="V623" s="669" t="n"/>
      <c r="W623" s="669" t="n"/>
      <c r="X623" s="669" t="n"/>
      <c r="Y623" s="669" t="n"/>
      <c r="Z623" s="669" t="n"/>
      <c r="AA623" s="669" t="n"/>
      <c r="AB623" s="669" t="n"/>
    </row>
    <row r="624">
      <c r="I624" s="669" t="n"/>
      <c r="J624" s="669" t="n"/>
      <c r="K624" s="669" t="n"/>
      <c r="L624" s="669" t="n"/>
      <c r="M624" s="669" t="n"/>
      <c r="N624" s="669" t="n"/>
      <c r="O624" s="669" t="n"/>
      <c r="P624" s="669" t="n"/>
      <c r="Q624" s="669" t="n"/>
      <c r="R624" s="669" t="n"/>
      <c r="S624" s="669" t="n"/>
      <c r="T624" s="669" t="n"/>
      <c r="U624" s="669" t="n"/>
      <c r="V624" s="669" t="n"/>
      <c r="W624" s="669" t="n"/>
      <c r="X624" s="669" t="n"/>
      <c r="Y624" s="669" t="n"/>
      <c r="Z624" s="669" t="n"/>
      <c r="AA624" s="669" t="n"/>
      <c r="AB624" s="669" t="n"/>
    </row>
    <row r="625">
      <c r="I625" s="669" t="n"/>
      <c r="J625" s="669" t="n"/>
      <c r="K625" s="669" t="n"/>
      <c r="L625" s="669" t="n"/>
      <c r="M625" s="669" t="n"/>
      <c r="N625" s="669" t="n"/>
      <c r="O625" s="669" t="n"/>
      <c r="P625" s="669" t="n"/>
      <c r="Q625" s="669" t="n"/>
      <c r="R625" s="669" t="n"/>
      <c r="S625" s="669" t="n"/>
      <c r="T625" s="669" t="n"/>
      <c r="U625" s="669" t="n"/>
      <c r="V625" s="669" t="n"/>
      <c r="W625" s="669" t="n"/>
      <c r="X625" s="669" t="n"/>
      <c r="Y625" s="669" t="n"/>
      <c r="Z625" s="669" t="n"/>
      <c r="AA625" s="669" t="n"/>
      <c r="AB625" s="669" t="n"/>
    </row>
    <row r="626">
      <c r="I626" s="669" t="n"/>
      <c r="J626" s="669" t="n"/>
      <c r="K626" s="669" t="n"/>
      <c r="L626" s="669" t="n"/>
      <c r="M626" s="669" t="n"/>
      <c r="N626" s="669" t="n"/>
      <c r="O626" s="669" t="n"/>
      <c r="P626" s="669" t="n"/>
      <c r="Q626" s="669" t="n"/>
      <c r="R626" s="669" t="n"/>
      <c r="S626" s="669" t="n"/>
      <c r="T626" s="669" t="n"/>
      <c r="U626" s="669" t="n"/>
      <c r="V626" s="669" t="n"/>
      <c r="W626" s="669" t="n"/>
      <c r="X626" s="669" t="n"/>
      <c r="Y626" s="669" t="n"/>
      <c r="Z626" s="669" t="n"/>
      <c r="AA626" s="669" t="n"/>
      <c r="AB626" s="669" t="n"/>
    </row>
    <row r="627">
      <c r="I627" s="669" t="n"/>
      <c r="J627" s="669" t="n"/>
      <c r="K627" s="669" t="n"/>
      <c r="L627" s="669" t="n"/>
      <c r="M627" s="669" t="n"/>
      <c r="N627" s="669" t="n"/>
      <c r="O627" s="669" t="n"/>
      <c r="P627" s="669" t="n"/>
      <c r="Q627" s="669" t="n"/>
      <c r="R627" s="669" t="n"/>
      <c r="S627" s="669" t="n"/>
      <c r="T627" s="669" t="n"/>
      <c r="U627" s="669" t="n"/>
      <c r="V627" s="669" t="n"/>
      <c r="W627" s="669" t="n"/>
      <c r="X627" s="669" t="n"/>
      <c r="Y627" s="669" t="n"/>
      <c r="Z627" s="669" t="n"/>
      <c r="AA627" s="669" t="n"/>
      <c r="AB627" s="669" t="n"/>
    </row>
    <row r="628">
      <c r="I628" s="669" t="n"/>
      <c r="J628" s="669" t="n"/>
      <c r="K628" s="669" t="n"/>
      <c r="L628" s="669" t="n"/>
      <c r="M628" s="669" t="n"/>
      <c r="N628" s="669" t="n"/>
      <c r="O628" s="669" t="n"/>
      <c r="P628" s="669" t="n"/>
      <c r="Q628" s="669" t="n"/>
      <c r="R628" s="669" t="n"/>
      <c r="S628" s="669" t="n"/>
      <c r="T628" s="669" t="n"/>
      <c r="U628" s="669" t="n"/>
      <c r="V628" s="669" t="n"/>
      <c r="W628" s="669" t="n"/>
      <c r="X628" s="669" t="n"/>
      <c r="Y628" s="669" t="n"/>
      <c r="Z628" s="669" t="n"/>
      <c r="AA628" s="669" t="n"/>
      <c r="AB628" s="669" t="n"/>
    </row>
    <row r="629">
      <c r="I629" s="669" t="n"/>
      <c r="J629" s="669" t="n"/>
      <c r="K629" s="669" t="n"/>
      <c r="L629" s="669" t="n"/>
      <c r="M629" s="669" t="n"/>
      <c r="N629" s="669" t="n"/>
      <c r="O629" s="669" t="n"/>
      <c r="P629" s="669" t="n"/>
      <c r="Q629" s="669" t="n"/>
      <c r="R629" s="669" t="n"/>
      <c r="S629" s="669" t="n"/>
      <c r="T629" s="669" t="n"/>
      <c r="U629" s="669" t="n"/>
      <c r="V629" s="669" t="n"/>
      <c r="W629" s="669" t="n"/>
      <c r="X629" s="669" t="n"/>
      <c r="Y629" s="669" t="n"/>
      <c r="Z629" s="669" t="n"/>
      <c r="AA629" s="669" t="n"/>
      <c r="AB629" s="669" t="n"/>
    </row>
    <row r="630">
      <c r="I630" s="669" t="n"/>
      <c r="J630" s="669" t="n"/>
      <c r="K630" s="669" t="n"/>
      <c r="L630" s="669" t="n"/>
      <c r="M630" s="669" t="n"/>
      <c r="N630" s="669" t="n"/>
      <c r="O630" s="669" t="n"/>
      <c r="P630" s="669" t="n"/>
      <c r="Q630" s="669" t="n"/>
      <c r="R630" s="669" t="n"/>
      <c r="S630" s="669" t="n"/>
      <c r="T630" s="669" t="n"/>
      <c r="U630" s="669" t="n"/>
      <c r="V630" s="669" t="n"/>
      <c r="W630" s="669" t="n"/>
      <c r="X630" s="669" t="n"/>
      <c r="Y630" s="669" t="n"/>
      <c r="Z630" s="669" t="n"/>
      <c r="AA630" s="669" t="n"/>
      <c r="AB630" s="669" t="n"/>
    </row>
    <row r="631">
      <c r="I631" s="669" t="n"/>
      <c r="J631" s="669" t="n"/>
      <c r="K631" s="669" t="n"/>
      <c r="L631" s="669" t="n"/>
      <c r="M631" s="669" t="n"/>
      <c r="N631" s="669" t="n"/>
      <c r="O631" s="669" t="n"/>
      <c r="P631" s="669" t="n"/>
      <c r="Q631" s="669" t="n"/>
      <c r="R631" s="669" t="n"/>
      <c r="S631" s="669" t="n"/>
      <c r="T631" s="669" t="n"/>
      <c r="U631" s="669" t="n"/>
      <c r="V631" s="669" t="n"/>
      <c r="W631" s="669" t="n"/>
      <c r="X631" s="669" t="n"/>
      <c r="Y631" s="669" t="n"/>
      <c r="Z631" s="669" t="n"/>
      <c r="AA631" s="669" t="n"/>
      <c r="AB631" s="669" t="n"/>
    </row>
    <row r="632">
      <c r="I632" s="669" t="n"/>
      <c r="J632" s="669" t="n"/>
      <c r="K632" s="669" t="n"/>
      <c r="L632" s="669" t="n"/>
      <c r="M632" s="669" t="n"/>
      <c r="N632" s="669" t="n"/>
      <c r="O632" s="669" t="n"/>
      <c r="P632" s="669" t="n"/>
      <c r="Q632" s="669" t="n"/>
      <c r="R632" s="669" t="n"/>
      <c r="S632" s="669" t="n"/>
      <c r="T632" s="669" t="n"/>
      <c r="U632" s="669" t="n"/>
      <c r="V632" s="669" t="n"/>
      <c r="W632" s="669" t="n"/>
      <c r="X632" s="669" t="n"/>
      <c r="Y632" s="669" t="n"/>
      <c r="Z632" s="669" t="n"/>
      <c r="AA632" s="669" t="n"/>
      <c r="AB632" s="669" t="n"/>
    </row>
    <row r="633">
      <c r="I633" s="669" t="n"/>
      <c r="J633" s="669" t="n"/>
      <c r="K633" s="669" t="n"/>
      <c r="L633" s="669" t="n"/>
      <c r="M633" s="669" t="n"/>
      <c r="N633" s="669" t="n"/>
      <c r="O633" s="669" t="n"/>
      <c r="P633" s="669" t="n"/>
      <c r="Q633" s="669" t="n"/>
      <c r="R633" s="669" t="n"/>
      <c r="S633" s="669" t="n"/>
      <c r="T633" s="669" t="n"/>
      <c r="U633" s="669" t="n"/>
      <c r="V633" s="669" t="n"/>
      <c r="W633" s="669" t="n"/>
      <c r="X633" s="669" t="n"/>
      <c r="Y633" s="669" t="n"/>
      <c r="Z633" s="669" t="n"/>
      <c r="AA633" s="669" t="n"/>
      <c r="AB633" s="669" t="n"/>
    </row>
    <row r="634">
      <c r="I634" s="669" t="n"/>
      <c r="J634" s="669" t="n"/>
      <c r="K634" s="669" t="n"/>
      <c r="L634" s="669" t="n"/>
      <c r="M634" s="669" t="n"/>
      <c r="N634" s="669" t="n"/>
      <c r="O634" s="669" t="n"/>
      <c r="P634" s="669" t="n"/>
      <c r="Q634" s="669" t="n"/>
      <c r="R634" s="669" t="n"/>
      <c r="S634" s="669" t="n"/>
      <c r="T634" s="669" t="n"/>
      <c r="U634" s="669" t="n"/>
      <c r="V634" s="669" t="n"/>
      <c r="W634" s="669" t="n"/>
      <c r="X634" s="669" t="n"/>
      <c r="Y634" s="669" t="n"/>
      <c r="Z634" s="669" t="n"/>
      <c r="AA634" s="669" t="n"/>
      <c r="AB634" s="669" t="n"/>
    </row>
    <row r="635">
      <c r="I635" s="669" t="n"/>
      <c r="J635" s="669" t="n"/>
      <c r="K635" s="669" t="n"/>
      <c r="L635" s="669" t="n"/>
      <c r="M635" s="669" t="n"/>
      <c r="N635" s="669" t="n"/>
      <c r="O635" s="669" t="n"/>
      <c r="P635" s="669" t="n"/>
      <c r="Q635" s="669" t="n"/>
      <c r="R635" s="669" t="n"/>
      <c r="S635" s="669" t="n"/>
      <c r="T635" s="669" t="n"/>
      <c r="U635" s="669" t="n"/>
      <c r="V635" s="669" t="n"/>
      <c r="W635" s="669" t="n"/>
      <c r="X635" s="669" t="n"/>
      <c r="Y635" s="669" t="n"/>
      <c r="Z635" s="669" t="n"/>
      <c r="AA635" s="669" t="n"/>
      <c r="AB635" s="669" t="n"/>
    </row>
    <row r="636">
      <c r="I636" s="669" t="n"/>
      <c r="J636" s="669" t="n"/>
      <c r="K636" s="669" t="n"/>
      <c r="L636" s="669" t="n"/>
      <c r="M636" s="669" t="n"/>
      <c r="N636" s="669" t="n"/>
      <c r="O636" s="669" t="n"/>
      <c r="P636" s="669" t="n"/>
      <c r="Q636" s="669" t="n"/>
      <c r="R636" s="669" t="n"/>
      <c r="S636" s="669" t="n"/>
      <c r="T636" s="669" t="n"/>
      <c r="U636" s="669" t="n"/>
      <c r="V636" s="669" t="n"/>
      <c r="W636" s="669" t="n"/>
      <c r="X636" s="669" t="n"/>
      <c r="Y636" s="669" t="n"/>
      <c r="Z636" s="669" t="n"/>
      <c r="AA636" s="669" t="n"/>
      <c r="AB636" s="669" t="n"/>
    </row>
    <row r="637">
      <c r="I637" s="669" t="n"/>
      <c r="J637" s="669" t="n"/>
      <c r="K637" s="669" t="n"/>
      <c r="L637" s="669" t="n"/>
      <c r="M637" s="669" t="n"/>
      <c r="N637" s="669" t="n"/>
      <c r="O637" s="669" t="n"/>
      <c r="P637" s="669" t="n"/>
      <c r="Q637" s="669" t="n"/>
      <c r="R637" s="669" t="n"/>
      <c r="S637" s="669" t="n"/>
      <c r="T637" s="669" t="n"/>
      <c r="U637" s="669" t="n"/>
      <c r="V637" s="669" t="n"/>
      <c r="W637" s="669" t="n"/>
      <c r="X637" s="669" t="n"/>
      <c r="Y637" s="669" t="n"/>
      <c r="Z637" s="669" t="n"/>
      <c r="AA637" s="669" t="n"/>
      <c r="AB637" s="669" t="n"/>
    </row>
    <row r="638">
      <c r="I638" s="669" t="n"/>
      <c r="J638" s="669" t="n"/>
      <c r="K638" s="669" t="n"/>
      <c r="L638" s="669" t="n"/>
      <c r="M638" s="669" t="n"/>
      <c r="N638" s="669" t="n"/>
      <c r="O638" s="669" t="n"/>
      <c r="P638" s="669" t="n"/>
      <c r="Q638" s="669" t="n"/>
      <c r="R638" s="669" t="n"/>
      <c r="S638" s="669" t="n"/>
      <c r="T638" s="669" t="n"/>
      <c r="U638" s="669" t="n"/>
      <c r="V638" s="669" t="n"/>
      <c r="W638" s="669" t="n"/>
      <c r="X638" s="669" t="n"/>
      <c r="Y638" s="669" t="n"/>
      <c r="Z638" s="669" t="n"/>
      <c r="AA638" s="669" t="n"/>
      <c r="AB638" s="669" t="n"/>
    </row>
    <row r="639">
      <c r="I639" s="669" t="n"/>
      <c r="J639" s="669" t="n"/>
      <c r="K639" s="669" t="n"/>
      <c r="L639" s="669" t="n"/>
      <c r="M639" s="669" t="n"/>
      <c r="N639" s="669" t="n"/>
      <c r="O639" s="669" t="n"/>
      <c r="P639" s="669" t="n"/>
      <c r="Q639" s="669" t="n"/>
      <c r="R639" s="669" t="n"/>
      <c r="S639" s="669" t="n"/>
      <c r="T639" s="669" t="n"/>
      <c r="U639" s="669" t="n"/>
      <c r="V639" s="669" t="n"/>
      <c r="W639" s="669" t="n"/>
      <c r="X639" s="669" t="n"/>
      <c r="Y639" s="669" t="n"/>
      <c r="Z639" s="669" t="n"/>
      <c r="AA639" s="669" t="n"/>
      <c r="AB639" s="669" t="n"/>
    </row>
    <row r="640">
      <c r="I640" s="669" t="n"/>
      <c r="J640" s="669" t="n"/>
      <c r="K640" s="669" t="n"/>
      <c r="L640" s="669" t="n"/>
      <c r="M640" s="669" t="n"/>
      <c r="N640" s="669" t="n"/>
      <c r="O640" s="669" t="n"/>
      <c r="P640" s="669" t="n"/>
      <c r="Q640" s="669" t="n"/>
      <c r="R640" s="669" t="n"/>
      <c r="S640" s="669" t="n"/>
      <c r="T640" s="669" t="n"/>
      <c r="U640" s="669" t="n"/>
      <c r="V640" s="669" t="n"/>
      <c r="W640" s="669" t="n"/>
      <c r="X640" s="669" t="n"/>
      <c r="Y640" s="669" t="n"/>
      <c r="Z640" s="669" t="n"/>
      <c r="AA640" s="669" t="n"/>
      <c r="AB640" s="669" t="n"/>
    </row>
    <row r="641">
      <c r="I641" s="669" t="n"/>
      <c r="J641" s="669" t="n"/>
      <c r="K641" s="669" t="n"/>
      <c r="L641" s="669" t="n"/>
      <c r="M641" s="669" t="n"/>
      <c r="N641" s="669" t="n"/>
      <c r="O641" s="669" t="n"/>
      <c r="P641" s="669" t="n"/>
      <c r="Q641" s="669" t="n"/>
      <c r="R641" s="669" t="n"/>
      <c r="S641" s="669" t="n"/>
      <c r="T641" s="669" t="n"/>
      <c r="U641" s="669" t="n"/>
      <c r="V641" s="669" t="n"/>
      <c r="W641" s="669" t="n"/>
      <c r="X641" s="669" t="n"/>
      <c r="Y641" s="669" t="n"/>
      <c r="Z641" s="669" t="n"/>
      <c r="AA641" s="669" t="n"/>
      <c r="AB641" s="669" t="n"/>
    </row>
    <row r="642">
      <c r="I642" s="669" t="n"/>
      <c r="J642" s="669" t="n"/>
      <c r="K642" s="669" t="n"/>
      <c r="L642" s="669" t="n"/>
      <c r="M642" s="669" t="n"/>
      <c r="N642" s="669" t="n"/>
      <c r="O642" s="669" t="n"/>
      <c r="P642" s="669" t="n"/>
      <c r="Q642" s="669" t="n"/>
      <c r="R642" s="669" t="n"/>
      <c r="S642" s="669" t="n"/>
      <c r="T642" s="669" t="n"/>
      <c r="U642" s="669" t="n"/>
      <c r="V642" s="669" t="n"/>
      <c r="W642" s="669" t="n"/>
      <c r="X642" s="669" t="n"/>
      <c r="Y642" s="669" t="n"/>
      <c r="Z642" s="669" t="n"/>
      <c r="AA642" s="669" t="n"/>
      <c r="AB642" s="669" t="n"/>
    </row>
    <row r="643">
      <c r="I643" s="669" t="n"/>
      <c r="J643" s="669" t="n"/>
      <c r="K643" s="669" t="n"/>
      <c r="L643" s="669" t="n"/>
      <c r="M643" s="669" t="n"/>
      <c r="N643" s="669" t="n"/>
      <c r="O643" s="669" t="n"/>
      <c r="P643" s="669" t="n"/>
      <c r="Q643" s="669" t="n"/>
      <c r="R643" s="669" t="n"/>
      <c r="S643" s="669" t="n"/>
      <c r="T643" s="669" t="n"/>
      <c r="U643" s="669" t="n"/>
      <c r="V643" s="669" t="n"/>
      <c r="W643" s="669" t="n"/>
      <c r="X643" s="669" t="n"/>
      <c r="Y643" s="669" t="n"/>
      <c r="Z643" s="669" t="n"/>
      <c r="AA643" s="669" t="n"/>
      <c r="AB643" s="669" t="n"/>
    </row>
    <row r="644">
      <c r="I644" s="669" t="n"/>
      <c r="J644" s="669" t="n"/>
      <c r="K644" s="669" t="n"/>
      <c r="L644" s="669" t="n"/>
      <c r="M644" s="669" t="n"/>
      <c r="N644" s="669" t="n"/>
      <c r="O644" s="669" t="n"/>
      <c r="P644" s="669" t="n"/>
      <c r="Q644" s="669" t="n"/>
      <c r="R644" s="669" t="n"/>
      <c r="S644" s="669" t="n"/>
      <c r="T644" s="669" t="n"/>
      <c r="U644" s="669" t="n"/>
      <c r="V644" s="669" t="n"/>
      <c r="W644" s="669" t="n"/>
      <c r="X644" s="669" t="n"/>
      <c r="Y644" s="669" t="n"/>
      <c r="Z644" s="669" t="n"/>
      <c r="AA644" s="669" t="n"/>
      <c r="AB644" s="669" t="n"/>
    </row>
    <row r="645">
      <c r="I645" s="669" t="n"/>
      <c r="J645" s="669" t="n"/>
      <c r="K645" s="669" t="n"/>
      <c r="L645" s="669" t="n"/>
      <c r="M645" s="669" t="n"/>
      <c r="N645" s="669" t="n"/>
      <c r="O645" s="669" t="n"/>
      <c r="P645" s="669" t="n"/>
      <c r="Q645" s="669" t="n"/>
      <c r="R645" s="669" t="n"/>
      <c r="S645" s="669" t="n"/>
      <c r="T645" s="669" t="n"/>
      <c r="U645" s="669" t="n"/>
      <c r="V645" s="669" t="n"/>
      <c r="W645" s="669" t="n"/>
      <c r="X645" s="669" t="n"/>
      <c r="Y645" s="669" t="n"/>
      <c r="Z645" s="669" t="n"/>
      <c r="AA645" s="669" t="n"/>
      <c r="AB645" s="669" t="n"/>
    </row>
    <row r="646">
      <c r="I646" s="669" t="n"/>
      <c r="J646" s="669" t="n"/>
      <c r="K646" s="669" t="n"/>
      <c r="L646" s="669" t="n"/>
      <c r="M646" s="669" t="n"/>
      <c r="N646" s="669" t="n"/>
      <c r="O646" s="669" t="n"/>
      <c r="P646" s="669" t="n"/>
      <c r="Q646" s="669" t="n"/>
      <c r="R646" s="669" t="n"/>
      <c r="S646" s="669" t="n"/>
      <c r="T646" s="669" t="n"/>
      <c r="U646" s="669" t="n"/>
      <c r="V646" s="669" t="n"/>
      <c r="W646" s="669" t="n"/>
      <c r="X646" s="669" t="n"/>
      <c r="Y646" s="669" t="n"/>
      <c r="Z646" s="669" t="n"/>
      <c r="AA646" s="669" t="n"/>
      <c r="AB646" s="669" t="n"/>
    </row>
    <row r="647">
      <c r="I647" s="669" t="n"/>
      <c r="J647" s="669" t="n"/>
      <c r="K647" s="669" t="n"/>
      <c r="L647" s="669" t="n"/>
      <c r="M647" s="669" t="n"/>
      <c r="N647" s="669" t="n"/>
      <c r="O647" s="669" t="n"/>
      <c r="P647" s="669" t="n"/>
      <c r="Q647" s="669" t="n"/>
      <c r="R647" s="669" t="n"/>
      <c r="S647" s="669" t="n"/>
      <c r="T647" s="669" t="n"/>
      <c r="U647" s="669" t="n"/>
      <c r="V647" s="669" t="n"/>
      <c r="W647" s="669" t="n"/>
      <c r="X647" s="669" t="n"/>
      <c r="Y647" s="669" t="n"/>
      <c r="Z647" s="669" t="n"/>
      <c r="AA647" s="669" t="n"/>
      <c r="AB647" s="669" t="n"/>
    </row>
    <row r="648">
      <c r="I648" s="669" t="n"/>
      <c r="J648" s="669" t="n"/>
      <c r="K648" s="669" t="n"/>
      <c r="L648" s="669" t="n"/>
      <c r="M648" s="669" t="n"/>
      <c r="N648" s="669" t="n"/>
      <c r="O648" s="669" t="n"/>
      <c r="P648" s="669" t="n"/>
      <c r="Q648" s="669" t="n"/>
      <c r="R648" s="669" t="n"/>
      <c r="S648" s="669" t="n"/>
      <c r="T648" s="669" t="n"/>
      <c r="U648" s="669" t="n"/>
      <c r="V648" s="669" t="n"/>
      <c r="W648" s="669" t="n"/>
      <c r="X648" s="669" t="n"/>
      <c r="Y648" s="669" t="n"/>
      <c r="Z648" s="669" t="n"/>
      <c r="AA648" s="669" t="n"/>
      <c r="AB648" s="669" t="n"/>
    </row>
    <row r="649">
      <c r="I649" s="669" t="n"/>
      <c r="J649" s="669" t="n"/>
      <c r="K649" s="669" t="n"/>
      <c r="L649" s="669" t="n"/>
      <c r="M649" s="669" t="n"/>
      <c r="N649" s="669" t="n"/>
      <c r="O649" s="669" t="n"/>
      <c r="P649" s="669" t="n"/>
      <c r="Q649" s="669" t="n"/>
      <c r="R649" s="669" t="n"/>
      <c r="S649" s="669" t="n"/>
      <c r="T649" s="669" t="n"/>
      <c r="U649" s="669" t="n"/>
      <c r="V649" s="669" t="n"/>
      <c r="W649" s="669" t="n"/>
      <c r="X649" s="669" t="n"/>
      <c r="Y649" s="669" t="n"/>
      <c r="Z649" s="669" t="n"/>
      <c r="AA649" s="669" t="n"/>
      <c r="AB649" s="669" t="n"/>
    </row>
    <row r="650">
      <c r="I650" s="669" t="n"/>
      <c r="J650" s="669" t="n"/>
      <c r="K650" s="669" t="n"/>
      <c r="L650" s="669" t="n"/>
      <c r="M650" s="669" t="n"/>
      <c r="N650" s="669" t="n"/>
      <c r="O650" s="669" t="n"/>
      <c r="P650" s="669" t="n"/>
      <c r="Q650" s="669" t="n"/>
      <c r="R650" s="669" t="n"/>
      <c r="S650" s="669" t="n"/>
      <c r="T650" s="669" t="n"/>
      <c r="U650" s="669" t="n"/>
      <c r="V650" s="669" t="n"/>
      <c r="W650" s="669" t="n"/>
      <c r="X650" s="669" t="n"/>
      <c r="Y650" s="669" t="n"/>
      <c r="Z650" s="669" t="n"/>
      <c r="AA650" s="669" t="n"/>
      <c r="AB650" s="669" t="n"/>
    </row>
    <row r="651">
      <c r="I651" s="669" t="n"/>
      <c r="J651" s="669" t="n"/>
      <c r="K651" s="669" t="n"/>
      <c r="L651" s="669" t="n"/>
      <c r="M651" s="669" t="n"/>
      <c r="N651" s="669" t="n"/>
      <c r="O651" s="669" t="n"/>
      <c r="P651" s="669" t="n"/>
      <c r="Q651" s="669" t="n"/>
      <c r="R651" s="669" t="n"/>
      <c r="S651" s="669" t="n"/>
      <c r="T651" s="669" t="n"/>
      <c r="U651" s="669" t="n"/>
      <c r="V651" s="669" t="n"/>
      <c r="W651" s="669" t="n"/>
      <c r="X651" s="669" t="n"/>
      <c r="Y651" s="669" t="n"/>
      <c r="Z651" s="669" t="n"/>
      <c r="AA651" s="669" t="n"/>
      <c r="AB651" s="669" t="n"/>
    </row>
    <row r="652">
      <c r="I652" s="669" t="n"/>
      <c r="J652" s="669" t="n"/>
      <c r="K652" s="669" t="n"/>
      <c r="L652" s="669" t="n"/>
      <c r="M652" s="669" t="n"/>
      <c r="N652" s="669" t="n"/>
      <c r="O652" s="669" t="n"/>
      <c r="P652" s="669" t="n"/>
      <c r="Q652" s="669" t="n"/>
      <c r="R652" s="669" t="n"/>
      <c r="S652" s="669" t="n"/>
      <c r="T652" s="669" t="n"/>
      <c r="U652" s="669" t="n"/>
      <c r="V652" s="669" t="n"/>
      <c r="W652" s="669" t="n"/>
      <c r="X652" s="669" t="n"/>
      <c r="Y652" s="669" t="n"/>
      <c r="Z652" s="669" t="n"/>
      <c r="AA652" s="669" t="n"/>
      <c r="AB652" s="669" t="n"/>
    </row>
    <row r="653">
      <c r="I653" s="669" t="n"/>
      <c r="J653" s="669" t="n"/>
      <c r="K653" s="669" t="n"/>
      <c r="L653" s="669" t="n"/>
      <c r="M653" s="669" t="n"/>
      <c r="N653" s="669" t="n"/>
      <c r="O653" s="669" t="n"/>
      <c r="P653" s="669" t="n"/>
      <c r="Q653" s="669" t="n"/>
      <c r="R653" s="669" t="n"/>
      <c r="S653" s="669" t="n"/>
      <c r="T653" s="669" t="n"/>
      <c r="U653" s="669" t="n"/>
      <c r="V653" s="669" t="n"/>
      <c r="W653" s="669" t="n"/>
      <c r="X653" s="669" t="n"/>
      <c r="Y653" s="669" t="n"/>
      <c r="Z653" s="669" t="n"/>
      <c r="AA653" s="669" t="n"/>
      <c r="AB653" s="669" t="n"/>
    </row>
    <row r="654">
      <c r="I654" s="669" t="n"/>
      <c r="J654" s="669" t="n"/>
      <c r="K654" s="669" t="n"/>
      <c r="L654" s="669" t="n"/>
      <c r="M654" s="669" t="n"/>
      <c r="N654" s="669" t="n"/>
      <c r="O654" s="669" t="n"/>
      <c r="P654" s="669" t="n"/>
      <c r="Q654" s="669" t="n"/>
      <c r="R654" s="669" t="n"/>
      <c r="S654" s="669" t="n"/>
      <c r="T654" s="669" t="n"/>
      <c r="U654" s="669" t="n"/>
      <c r="V654" s="669" t="n"/>
      <c r="W654" s="669" t="n"/>
      <c r="X654" s="669" t="n"/>
      <c r="Y654" s="669" t="n"/>
      <c r="Z654" s="669" t="n"/>
      <c r="AA654" s="669" t="n"/>
      <c r="AB654" s="669" t="n"/>
    </row>
    <row r="655">
      <c r="I655" s="669" t="n"/>
      <c r="J655" s="669" t="n"/>
      <c r="K655" s="669" t="n"/>
      <c r="L655" s="669" t="n"/>
      <c r="M655" s="669" t="n"/>
      <c r="N655" s="669" t="n"/>
      <c r="O655" s="669" t="n"/>
      <c r="P655" s="669" t="n"/>
      <c r="Q655" s="669" t="n"/>
      <c r="R655" s="669" t="n"/>
      <c r="S655" s="669" t="n"/>
      <c r="T655" s="669" t="n"/>
      <c r="U655" s="669" t="n"/>
      <c r="V655" s="669" t="n"/>
      <c r="W655" s="669" t="n"/>
      <c r="X655" s="669" t="n"/>
      <c r="Y655" s="669" t="n"/>
      <c r="Z655" s="669" t="n"/>
      <c r="AA655" s="669" t="n"/>
      <c r="AB655" s="669" t="n"/>
    </row>
    <row r="656">
      <c r="I656" s="669" t="n"/>
      <c r="J656" s="669" t="n"/>
      <c r="K656" s="669" t="n"/>
      <c r="L656" s="669" t="n"/>
      <c r="M656" s="669" t="n"/>
      <c r="N656" s="669" t="n"/>
      <c r="O656" s="669" t="n"/>
      <c r="P656" s="669" t="n"/>
      <c r="Q656" s="669" t="n"/>
      <c r="R656" s="669" t="n"/>
      <c r="S656" s="669" t="n"/>
      <c r="T656" s="669" t="n"/>
      <c r="U656" s="669" t="n"/>
      <c r="V656" s="669" t="n"/>
      <c r="W656" s="669" t="n"/>
      <c r="X656" s="669" t="n"/>
      <c r="Y656" s="669" t="n"/>
      <c r="Z656" s="669" t="n"/>
      <c r="AA656" s="669" t="n"/>
      <c r="AB656" s="669" t="n"/>
    </row>
    <row r="657">
      <c r="I657" s="669" t="n"/>
      <c r="J657" s="669" t="n"/>
      <c r="K657" s="669" t="n"/>
      <c r="L657" s="669" t="n"/>
      <c r="M657" s="669" t="n"/>
      <c r="N657" s="669" t="n"/>
      <c r="O657" s="669" t="n"/>
      <c r="P657" s="669" t="n"/>
      <c r="Q657" s="669" t="n"/>
      <c r="R657" s="669" t="n"/>
      <c r="S657" s="669" t="n"/>
      <c r="T657" s="669" t="n"/>
      <c r="U657" s="669" t="n"/>
      <c r="V657" s="669" t="n"/>
      <c r="W657" s="669" t="n"/>
      <c r="X657" s="669" t="n"/>
      <c r="Y657" s="669" t="n"/>
      <c r="Z657" s="669" t="n"/>
      <c r="AA657" s="669" t="n"/>
      <c r="AB657" s="669" t="n"/>
    </row>
    <row r="658">
      <c r="I658" s="669" t="n"/>
      <c r="J658" s="669" t="n"/>
      <c r="K658" s="669" t="n"/>
      <c r="L658" s="669" t="n"/>
      <c r="M658" s="669" t="n"/>
      <c r="N658" s="669" t="n"/>
      <c r="O658" s="669" t="n"/>
      <c r="P658" s="669" t="n"/>
      <c r="Q658" s="669" t="n"/>
      <c r="R658" s="669" t="n"/>
      <c r="S658" s="669" t="n"/>
      <c r="T658" s="669" t="n"/>
      <c r="U658" s="669" t="n"/>
      <c r="V658" s="669" t="n"/>
      <c r="W658" s="669" t="n"/>
      <c r="X658" s="669" t="n"/>
      <c r="Y658" s="669" t="n"/>
      <c r="Z658" s="669" t="n"/>
      <c r="AA658" s="669" t="n"/>
      <c r="AB658" s="669" t="n"/>
    </row>
    <row r="659">
      <c r="I659" s="669" t="n"/>
      <c r="J659" s="669" t="n"/>
      <c r="K659" s="669" t="n"/>
      <c r="L659" s="669" t="n"/>
      <c r="M659" s="669" t="n"/>
      <c r="N659" s="669" t="n"/>
      <c r="O659" s="669" t="n"/>
      <c r="P659" s="669" t="n"/>
      <c r="Q659" s="669" t="n"/>
      <c r="R659" s="669" t="n"/>
      <c r="S659" s="669" t="n"/>
      <c r="T659" s="669" t="n"/>
      <c r="U659" s="669" t="n"/>
      <c r="V659" s="669" t="n"/>
      <c r="W659" s="669" t="n"/>
      <c r="X659" s="669" t="n"/>
      <c r="Y659" s="669" t="n"/>
      <c r="Z659" s="669" t="n"/>
      <c r="AA659" s="669" t="n"/>
      <c r="AB659" s="669" t="n"/>
    </row>
    <row r="660">
      <c r="I660" s="669" t="n"/>
      <c r="J660" s="669" t="n"/>
      <c r="K660" s="669" t="n"/>
      <c r="L660" s="669" t="n"/>
      <c r="M660" s="669" t="n"/>
      <c r="N660" s="669" t="n"/>
      <c r="O660" s="669" t="n"/>
      <c r="P660" s="669" t="n"/>
      <c r="Q660" s="669" t="n"/>
      <c r="R660" s="669" t="n"/>
      <c r="S660" s="669" t="n"/>
      <c r="T660" s="669" t="n"/>
      <c r="U660" s="669" t="n"/>
      <c r="V660" s="669" t="n"/>
      <c r="W660" s="669" t="n"/>
      <c r="X660" s="669" t="n"/>
      <c r="Y660" s="669" t="n"/>
      <c r="Z660" s="669" t="n"/>
      <c r="AA660" s="669" t="n"/>
      <c r="AB660" s="669" t="n"/>
    </row>
    <row r="661">
      <c r="I661" s="669" t="n"/>
      <c r="J661" s="669" t="n"/>
      <c r="K661" s="669" t="n"/>
      <c r="L661" s="669" t="n"/>
      <c r="M661" s="669" t="n"/>
      <c r="N661" s="669" t="n"/>
      <c r="O661" s="669" t="n"/>
      <c r="P661" s="669" t="n"/>
      <c r="Q661" s="669" t="n"/>
      <c r="R661" s="669" t="n"/>
      <c r="S661" s="669" t="n"/>
      <c r="T661" s="669" t="n"/>
      <c r="U661" s="669" t="n"/>
      <c r="V661" s="669" t="n"/>
      <c r="W661" s="669" t="n"/>
      <c r="X661" s="669" t="n"/>
      <c r="Y661" s="669" t="n"/>
      <c r="Z661" s="669" t="n"/>
      <c r="AA661" s="669" t="n"/>
      <c r="AB661" s="669" t="n"/>
    </row>
    <row r="662">
      <c r="I662" s="669" t="n"/>
      <c r="J662" s="669" t="n"/>
      <c r="K662" s="669" t="n"/>
      <c r="L662" s="669" t="n"/>
      <c r="M662" s="669" t="n"/>
      <c r="N662" s="669" t="n"/>
      <c r="O662" s="669" t="n"/>
      <c r="P662" s="669" t="n"/>
      <c r="Q662" s="669" t="n"/>
      <c r="R662" s="669" t="n"/>
      <c r="S662" s="669" t="n"/>
      <c r="T662" s="669" t="n"/>
      <c r="U662" s="669" t="n"/>
      <c r="V662" s="669" t="n"/>
      <c r="W662" s="669" t="n"/>
      <c r="X662" s="669" t="n"/>
      <c r="Y662" s="669" t="n"/>
      <c r="Z662" s="669" t="n"/>
      <c r="AA662" s="669" t="n"/>
      <c r="AB662" s="669" t="n"/>
    </row>
    <row r="663">
      <c r="I663" s="669" t="n"/>
      <c r="J663" s="669" t="n"/>
      <c r="K663" s="669" t="n"/>
      <c r="L663" s="669" t="n"/>
      <c r="M663" s="669" t="n"/>
      <c r="N663" s="669" t="n"/>
      <c r="O663" s="669" t="n"/>
      <c r="P663" s="669" t="n"/>
      <c r="Q663" s="669" t="n"/>
      <c r="R663" s="669" t="n"/>
      <c r="S663" s="669" t="n"/>
      <c r="T663" s="669" t="n"/>
      <c r="U663" s="669" t="n"/>
      <c r="V663" s="669" t="n"/>
      <c r="W663" s="669" t="n"/>
      <c r="X663" s="669" t="n"/>
      <c r="Y663" s="669" t="n"/>
      <c r="Z663" s="669" t="n"/>
      <c r="AA663" s="669" t="n"/>
      <c r="AB663" s="669" t="n"/>
    </row>
    <row r="664">
      <c r="I664" s="669" t="n"/>
      <c r="J664" s="669" t="n"/>
      <c r="K664" s="669" t="n"/>
      <c r="L664" s="669" t="n"/>
      <c r="M664" s="669" t="n"/>
      <c r="N664" s="669" t="n"/>
      <c r="O664" s="669" t="n"/>
      <c r="P664" s="669" t="n"/>
      <c r="Q664" s="669" t="n"/>
      <c r="R664" s="669" t="n"/>
      <c r="S664" s="669" t="n"/>
      <c r="T664" s="669" t="n"/>
      <c r="U664" s="669" t="n"/>
      <c r="V664" s="669" t="n"/>
      <c r="W664" s="669" t="n"/>
      <c r="X664" s="669" t="n"/>
      <c r="Y664" s="669" t="n"/>
      <c r="Z664" s="669" t="n"/>
      <c r="AA664" s="669" t="n"/>
      <c r="AB664" s="669" t="n"/>
    </row>
    <row r="665">
      <c r="I665" s="669" t="n"/>
      <c r="J665" s="669" t="n"/>
      <c r="K665" s="669" t="n"/>
      <c r="L665" s="669" t="n"/>
      <c r="M665" s="669" t="n"/>
      <c r="N665" s="669" t="n"/>
      <c r="O665" s="669" t="n"/>
      <c r="P665" s="669" t="n"/>
      <c r="Q665" s="669" t="n"/>
      <c r="R665" s="669" t="n"/>
      <c r="S665" s="669" t="n"/>
      <c r="T665" s="669" t="n"/>
      <c r="U665" s="669" t="n"/>
      <c r="V665" s="669" t="n"/>
      <c r="W665" s="669" t="n"/>
      <c r="X665" s="669" t="n"/>
      <c r="Y665" s="669" t="n"/>
      <c r="Z665" s="669" t="n"/>
      <c r="AA665" s="669" t="n"/>
      <c r="AB665" s="669" t="n"/>
    </row>
    <row r="666">
      <c r="I666" s="669" t="n"/>
      <c r="J666" s="669" t="n"/>
      <c r="K666" s="669" t="n"/>
      <c r="L666" s="669" t="n"/>
      <c r="M666" s="669" t="n"/>
      <c r="N666" s="669" t="n"/>
      <c r="O666" s="669" t="n"/>
      <c r="P666" s="669" t="n"/>
      <c r="Q666" s="669" t="n"/>
      <c r="R666" s="669" t="n"/>
      <c r="S666" s="669" t="n"/>
      <c r="T666" s="669" t="n"/>
      <c r="U666" s="669" t="n"/>
      <c r="V666" s="669" t="n"/>
      <c r="W666" s="669" t="n"/>
      <c r="X666" s="669" t="n"/>
      <c r="Y666" s="669" t="n"/>
      <c r="Z666" s="669" t="n"/>
      <c r="AA666" s="669" t="n"/>
      <c r="AB666" s="669" t="n"/>
    </row>
    <row r="667">
      <c r="I667" s="669" t="n"/>
      <c r="J667" s="669" t="n"/>
      <c r="K667" s="669" t="n"/>
      <c r="L667" s="669" t="n"/>
      <c r="M667" s="669" t="n"/>
      <c r="N667" s="669" t="n"/>
      <c r="O667" s="669" t="n"/>
      <c r="P667" s="669" t="n"/>
      <c r="Q667" s="669" t="n"/>
      <c r="R667" s="669" t="n"/>
      <c r="S667" s="669" t="n"/>
      <c r="T667" s="669" t="n"/>
      <c r="U667" s="669" t="n"/>
      <c r="V667" s="669" t="n"/>
      <c r="W667" s="669" t="n"/>
      <c r="X667" s="669" t="n"/>
      <c r="Y667" s="669" t="n"/>
      <c r="Z667" s="669" t="n"/>
      <c r="AA667" s="669" t="n"/>
      <c r="AB667" s="669" t="n"/>
    </row>
    <row r="668">
      <c r="I668" s="669" t="n"/>
      <c r="J668" s="669" t="n"/>
      <c r="K668" s="669" t="n"/>
      <c r="L668" s="669" t="n"/>
      <c r="M668" s="669" t="n"/>
      <c r="N668" s="669" t="n"/>
      <c r="O668" s="669" t="n"/>
      <c r="P668" s="669" t="n"/>
      <c r="Q668" s="669" t="n"/>
      <c r="R668" s="669" t="n"/>
      <c r="S668" s="669" t="n"/>
      <c r="T668" s="669" t="n"/>
      <c r="U668" s="669" t="n"/>
      <c r="V668" s="669" t="n"/>
      <c r="W668" s="669" t="n"/>
      <c r="X668" s="669" t="n"/>
      <c r="Y668" s="669" t="n"/>
      <c r="Z668" s="669" t="n"/>
      <c r="AA668" s="669" t="n"/>
      <c r="AB668" s="669" t="n"/>
    </row>
    <row r="669">
      <c r="I669" s="669" t="n"/>
      <c r="J669" s="669" t="n"/>
      <c r="K669" s="669" t="n"/>
      <c r="L669" s="669" t="n"/>
      <c r="M669" s="669" t="n"/>
      <c r="N669" s="669" t="n"/>
      <c r="O669" s="669" t="n"/>
      <c r="P669" s="669" t="n"/>
      <c r="Q669" s="669" t="n"/>
      <c r="R669" s="669" t="n"/>
      <c r="S669" s="669" t="n"/>
      <c r="T669" s="669" t="n"/>
      <c r="U669" s="669" t="n"/>
      <c r="V669" s="669" t="n"/>
      <c r="W669" s="669" t="n"/>
      <c r="X669" s="669" t="n"/>
      <c r="Y669" s="669" t="n"/>
      <c r="Z669" s="669" t="n"/>
      <c r="AA669" s="669" t="n"/>
      <c r="AB669" s="669" t="n"/>
    </row>
    <row r="670">
      <c r="I670" s="669" t="n"/>
      <c r="J670" s="669" t="n"/>
      <c r="K670" s="669" t="n"/>
      <c r="L670" s="669" t="n"/>
      <c r="M670" s="669" t="n"/>
      <c r="N670" s="669" t="n"/>
      <c r="O670" s="669" t="n"/>
      <c r="P670" s="669" t="n"/>
      <c r="Q670" s="669" t="n"/>
      <c r="R670" s="669" t="n"/>
      <c r="S670" s="669" t="n"/>
      <c r="T670" s="669" t="n"/>
      <c r="U670" s="669" t="n"/>
      <c r="V670" s="669" t="n"/>
      <c r="W670" s="669" t="n"/>
      <c r="X670" s="669" t="n"/>
      <c r="Y670" s="669" t="n"/>
      <c r="Z670" s="669" t="n"/>
      <c r="AA670" s="669" t="n"/>
      <c r="AB670" s="669" t="n"/>
    </row>
    <row r="671">
      <c r="I671" s="669" t="n"/>
      <c r="J671" s="669" t="n"/>
      <c r="K671" s="669" t="n"/>
      <c r="L671" s="669" t="n"/>
      <c r="M671" s="669" t="n"/>
      <c r="N671" s="669" t="n"/>
      <c r="O671" s="669" t="n"/>
      <c r="P671" s="669" t="n"/>
      <c r="Q671" s="669" t="n"/>
      <c r="R671" s="669" t="n"/>
      <c r="S671" s="669" t="n"/>
      <c r="T671" s="669" t="n"/>
      <c r="U671" s="669" t="n"/>
      <c r="V671" s="669" t="n"/>
      <c r="W671" s="669" t="n"/>
      <c r="X671" s="669" t="n"/>
      <c r="Y671" s="669" t="n"/>
      <c r="Z671" s="669" t="n"/>
      <c r="AA671" s="669" t="n"/>
      <c r="AB671" s="669" t="n"/>
    </row>
    <row r="672">
      <c r="I672" s="669" t="n"/>
      <c r="J672" s="669" t="n"/>
      <c r="K672" s="669" t="n"/>
      <c r="L672" s="669" t="n"/>
      <c r="M672" s="669" t="n"/>
      <c r="N672" s="669" t="n"/>
      <c r="O672" s="669" t="n"/>
      <c r="P672" s="669" t="n"/>
      <c r="Q672" s="669" t="n"/>
      <c r="R672" s="669" t="n"/>
      <c r="S672" s="669" t="n"/>
      <c r="T672" s="669" t="n"/>
      <c r="U672" s="669" t="n"/>
      <c r="V672" s="669" t="n"/>
      <c r="W672" s="669" t="n"/>
      <c r="X672" s="669" t="n"/>
      <c r="Y672" s="669" t="n"/>
      <c r="Z672" s="669" t="n"/>
      <c r="AA672" s="669" t="n"/>
      <c r="AB672" s="669" t="n"/>
    </row>
    <row r="673">
      <c r="I673" s="669" t="n"/>
      <c r="J673" s="669" t="n"/>
      <c r="K673" s="669" t="n"/>
      <c r="L673" s="669" t="n"/>
      <c r="M673" s="669" t="n"/>
      <c r="N673" s="669" t="n"/>
      <c r="O673" s="669" t="n"/>
      <c r="P673" s="669" t="n"/>
      <c r="Q673" s="669" t="n"/>
      <c r="R673" s="669" t="n"/>
      <c r="S673" s="669" t="n"/>
      <c r="T673" s="669" t="n"/>
      <c r="U673" s="669" t="n"/>
      <c r="V673" s="669" t="n"/>
      <c r="W673" s="669" t="n"/>
      <c r="X673" s="669" t="n"/>
      <c r="Y673" s="669" t="n"/>
      <c r="Z673" s="669" t="n"/>
      <c r="AA673" s="669" t="n"/>
      <c r="AB673" s="669" t="n"/>
    </row>
    <row r="674">
      <c r="I674" s="669" t="n"/>
      <c r="J674" s="669" t="n"/>
      <c r="K674" s="669" t="n"/>
      <c r="L674" s="669" t="n"/>
      <c r="M674" s="669" t="n"/>
      <c r="N674" s="669" t="n"/>
      <c r="O674" s="669" t="n"/>
      <c r="P674" s="669" t="n"/>
      <c r="Q674" s="669" t="n"/>
      <c r="R674" s="669" t="n"/>
      <c r="S674" s="669" t="n"/>
      <c r="T674" s="669" t="n"/>
      <c r="U674" s="669" t="n"/>
      <c r="V674" s="669" t="n"/>
      <c r="W674" s="669" t="n"/>
      <c r="X674" s="669" t="n"/>
      <c r="Y674" s="669" t="n"/>
      <c r="Z674" s="669" t="n"/>
      <c r="AA674" s="669" t="n"/>
      <c r="AB674" s="669" t="n"/>
    </row>
    <row r="675">
      <c r="I675" s="669" t="n"/>
      <c r="J675" s="669" t="n"/>
      <c r="K675" s="669" t="n"/>
      <c r="L675" s="669" t="n"/>
      <c r="M675" s="669" t="n"/>
      <c r="N675" s="669" t="n"/>
      <c r="O675" s="669" t="n"/>
      <c r="P675" s="669" t="n"/>
      <c r="Q675" s="669" t="n"/>
      <c r="R675" s="669" t="n"/>
      <c r="S675" s="669" t="n"/>
      <c r="T675" s="669" t="n"/>
      <c r="U675" s="669" t="n"/>
      <c r="V675" s="669" t="n"/>
      <c r="W675" s="669" t="n"/>
      <c r="X675" s="669" t="n"/>
      <c r="Y675" s="669" t="n"/>
      <c r="Z675" s="669" t="n"/>
      <c r="AA675" s="669" t="n"/>
      <c r="AB675" s="669" t="n"/>
    </row>
    <row r="676">
      <c r="I676" s="669" t="n"/>
      <c r="J676" s="669" t="n"/>
      <c r="K676" s="669" t="n"/>
      <c r="L676" s="669" t="n"/>
      <c r="M676" s="669" t="n"/>
      <c r="N676" s="669" t="n"/>
      <c r="O676" s="669" t="n"/>
      <c r="P676" s="669" t="n"/>
      <c r="Q676" s="669" t="n"/>
      <c r="R676" s="669" t="n"/>
      <c r="S676" s="669" t="n"/>
      <c r="T676" s="669" t="n"/>
      <c r="U676" s="669" t="n"/>
      <c r="V676" s="669" t="n"/>
      <c r="W676" s="669" t="n"/>
      <c r="X676" s="669" t="n"/>
      <c r="Y676" s="669" t="n"/>
      <c r="Z676" s="669" t="n"/>
      <c r="AA676" s="669" t="n"/>
      <c r="AB676" s="669" t="n"/>
    </row>
    <row r="677">
      <c r="I677" s="669" t="n"/>
      <c r="J677" s="669" t="n"/>
      <c r="K677" s="669" t="n"/>
      <c r="L677" s="669" t="n"/>
      <c r="M677" s="669" t="n"/>
      <c r="N677" s="669" t="n"/>
      <c r="O677" s="669" t="n"/>
      <c r="P677" s="669" t="n"/>
      <c r="Q677" s="669" t="n"/>
      <c r="R677" s="669" t="n"/>
      <c r="S677" s="669" t="n"/>
      <c r="T677" s="669" t="n"/>
      <c r="U677" s="669" t="n"/>
      <c r="V677" s="669" t="n"/>
      <c r="W677" s="669" t="n"/>
      <c r="X677" s="669" t="n"/>
      <c r="Y677" s="669" t="n"/>
      <c r="Z677" s="669" t="n"/>
      <c r="AA677" s="669" t="n"/>
      <c r="AB677" s="669" t="n"/>
    </row>
    <row r="678">
      <c r="I678" s="669" t="n"/>
      <c r="J678" s="669" t="n"/>
      <c r="K678" s="669" t="n"/>
      <c r="L678" s="669" t="n"/>
      <c r="M678" s="669" t="n"/>
      <c r="N678" s="669" t="n"/>
      <c r="O678" s="669" t="n"/>
      <c r="P678" s="669" t="n"/>
      <c r="Q678" s="669" t="n"/>
      <c r="R678" s="669" t="n"/>
      <c r="S678" s="669" t="n"/>
      <c r="T678" s="669" t="n"/>
      <c r="U678" s="669" t="n"/>
      <c r="V678" s="669" t="n"/>
      <c r="W678" s="669" t="n"/>
      <c r="X678" s="669" t="n"/>
      <c r="Y678" s="669" t="n"/>
      <c r="Z678" s="669" t="n"/>
      <c r="AA678" s="669" t="n"/>
      <c r="AB678" s="669" t="n"/>
    </row>
    <row r="679">
      <c r="I679" s="669" t="n"/>
      <c r="J679" s="669" t="n"/>
      <c r="K679" s="669" t="n"/>
      <c r="L679" s="669" t="n"/>
      <c r="M679" s="669" t="n"/>
      <c r="N679" s="669" t="n"/>
      <c r="O679" s="669" t="n"/>
      <c r="P679" s="669" t="n"/>
      <c r="Q679" s="669" t="n"/>
      <c r="R679" s="669" t="n"/>
      <c r="S679" s="669" t="n"/>
      <c r="T679" s="669" t="n"/>
      <c r="U679" s="669" t="n"/>
      <c r="V679" s="669" t="n"/>
      <c r="W679" s="669" t="n"/>
      <c r="X679" s="669" t="n"/>
      <c r="Y679" s="669" t="n"/>
      <c r="Z679" s="669" t="n"/>
      <c r="AA679" s="669" t="n"/>
      <c r="AB679" s="669" t="n"/>
    </row>
    <row r="680">
      <c r="I680" s="669" t="n"/>
      <c r="J680" s="669" t="n"/>
      <c r="K680" s="669" t="n"/>
      <c r="L680" s="669" t="n"/>
      <c r="M680" s="669" t="n"/>
      <c r="N680" s="669" t="n"/>
      <c r="O680" s="669" t="n"/>
      <c r="P680" s="669" t="n"/>
      <c r="Q680" s="669" t="n"/>
      <c r="R680" s="669" t="n"/>
      <c r="S680" s="669" t="n"/>
      <c r="T680" s="669" t="n"/>
      <c r="U680" s="669" t="n"/>
      <c r="V680" s="669" t="n"/>
      <c r="W680" s="669" t="n"/>
      <c r="X680" s="669" t="n"/>
      <c r="Y680" s="669" t="n"/>
      <c r="Z680" s="669" t="n"/>
      <c r="AA680" s="669" t="n"/>
      <c r="AB680" s="669" t="n"/>
    </row>
    <row r="681">
      <c r="I681" s="669" t="n"/>
      <c r="J681" s="669" t="n"/>
      <c r="K681" s="669" t="n"/>
      <c r="L681" s="669" t="n"/>
      <c r="M681" s="669" t="n"/>
      <c r="N681" s="669" t="n"/>
      <c r="O681" s="669" t="n"/>
      <c r="P681" s="669" t="n"/>
      <c r="Q681" s="669" t="n"/>
      <c r="R681" s="669" t="n"/>
      <c r="S681" s="669" t="n"/>
      <c r="T681" s="669" t="n"/>
      <c r="U681" s="669" t="n"/>
      <c r="V681" s="669" t="n"/>
      <c r="W681" s="669" t="n"/>
      <c r="X681" s="669" t="n"/>
      <c r="Y681" s="669" t="n"/>
      <c r="Z681" s="669" t="n"/>
      <c r="AA681" s="669" t="n"/>
      <c r="AB681" s="669" t="n"/>
    </row>
    <row r="682">
      <c r="I682" s="669" t="n"/>
      <c r="J682" s="669" t="n"/>
      <c r="K682" s="669" t="n"/>
      <c r="L682" s="669" t="n"/>
      <c r="M682" s="669" t="n"/>
      <c r="N682" s="669" t="n"/>
      <c r="O682" s="669" t="n"/>
      <c r="P682" s="669" t="n"/>
      <c r="Q682" s="669" t="n"/>
      <c r="R682" s="669" t="n"/>
      <c r="S682" s="669" t="n"/>
      <c r="T682" s="669" t="n"/>
      <c r="U682" s="669" t="n"/>
      <c r="V682" s="669" t="n"/>
      <c r="W682" s="669" t="n"/>
      <c r="X682" s="669" t="n"/>
      <c r="Y682" s="669" t="n"/>
      <c r="Z682" s="669" t="n"/>
      <c r="AA682" s="669" t="n"/>
      <c r="AB682" s="669" t="n"/>
    </row>
    <row r="683">
      <c r="I683" s="669" t="n"/>
      <c r="J683" s="669" t="n"/>
      <c r="K683" s="669" t="n"/>
      <c r="L683" s="669" t="n"/>
      <c r="M683" s="669" t="n"/>
      <c r="N683" s="669" t="n"/>
      <c r="O683" s="669" t="n"/>
      <c r="P683" s="669" t="n"/>
      <c r="Q683" s="669" t="n"/>
      <c r="R683" s="669" t="n"/>
      <c r="S683" s="669" t="n"/>
      <c r="T683" s="669" t="n"/>
      <c r="U683" s="669" t="n"/>
      <c r="V683" s="669" t="n"/>
      <c r="W683" s="669" t="n"/>
      <c r="X683" s="669" t="n"/>
      <c r="Y683" s="669" t="n"/>
      <c r="Z683" s="669" t="n"/>
      <c r="AA683" s="669" t="n"/>
      <c r="AB683" s="669" t="n"/>
    </row>
    <row r="684">
      <c r="I684" s="669" t="n"/>
      <c r="J684" s="669" t="n"/>
      <c r="K684" s="669" t="n"/>
      <c r="L684" s="669" t="n"/>
      <c r="M684" s="669" t="n"/>
      <c r="N684" s="669" t="n"/>
      <c r="O684" s="669" t="n"/>
      <c r="P684" s="669" t="n"/>
      <c r="Q684" s="669" t="n"/>
      <c r="R684" s="669" t="n"/>
      <c r="S684" s="669" t="n"/>
      <c r="T684" s="669" t="n"/>
      <c r="U684" s="669" t="n"/>
      <c r="V684" s="669" t="n"/>
      <c r="W684" s="669" t="n"/>
      <c r="X684" s="669" t="n"/>
      <c r="Y684" s="669" t="n"/>
      <c r="Z684" s="669" t="n"/>
      <c r="AA684" s="669" t="n"/>
      <c r="AB684" s="669" t="n"/>
    </row>
    <row r="685">
      <c r="I685" s="669" t="n"/>
      <c r="J685" s="669" t="n"/>
      <c r="K685" s="669" t="n"/>
      <c r="L685" s="669" t="n"/>
      <c r="M685" s="669" t="n"/>
      <c r="N685" s="669" t="n"/>
      <c r="O685" s="669" t="n"/>
      <c r="P685" s="669" t="n"/>
      <c r="Q685" s="669" t="n"/>
      <c r="R685" s="669" t="n"/>
      <c r="S685" s="669" t="n"/>
      <c r="T685" s="669" t="n"/>
      <c r="U685" s="669" t="n"/>
      <c r="V685" s="669" t="n"/>
      <c r="W685" s="669" t="n"/>
      <c r="X685" s="669" t="n"/>
      <c r="Y685" s="669" t="n"/>
      <c r="Z685" s="669" t="n"/>
      <c r="AA685" s="669" t="n"/>
      <c r="AB685" s="669" t="n"/>
    </row>
    <row r="686">
      <c r="I686" s="669" t="n"/>
      <c r="J686" s="669" t="n"/>
      <c r="K686" s="669" t="n"/>
      <c r="L686" s="669" t="n"/>
      <c r="M686" s="669" t="n"/>
      <c r="N686" s="669" t="n"/>
      <c r="O686" s="669" t="n"/>
      <c r="P686" s="669" t="n"/>
      <c r="Q686" s="669" t="n"/>
      <c r="R686" s="669" t="n"/>
      <c r="S686" s="669" t="n"/>
      <c r="T686" s="669" t="n"/>
      <c r="U686" s="669" t="n"/>
      <c r="V686" s="669" t="n"/>
      <c r="W686" s="669" t="n"/>
      <c r="X686" s="669" t="n"/>
      <c r="Y686" s="669" t="n"/>
      <c r="Z686" s="669" t="n"/>
      <c r="AA686" s="669" t="n"/>
      <c r="AB686" s="669" t="n"/>
    </row>
    <row r="687">
      <c r="I687" s="669" t="n"/>
      <c r="J687" s="669" t="n"/>
      <c r="K687" s="669" t="n"/>
      <c r="L687" s="669" t="n"/>
      <c r="M687" s="669" t="n"/>
      <c r="N687" s="669" t="n"/>
      <c r="O687" s="669" t="n"/>
      <c r="P687" s="669" t="n"/>
      <c r="Q687" s="669" t="n"/>
      <c r="R687" s="669" t="n"/>
      <c r="S687" s="669" t="n"/>
      <c r="T687" s="669" t="n"/>
      <c r="U687" s="669" t="n"/>
      <c r="V687" s="669" t="n"/>
      <c r="W687" s="669" t="n"/>
      <c r="X687" s="669" t="n"/>
      <c r="Y687" s="669" t="n"/>
      <c r="Z687" s="669" t="n"/>
      <c r="AA687" s="669" t="n"/>
      <c r="AB687" s="669" t="n"/>
    </row>
    <row r="688">
      <c r="I688" s="669" t="n"/>
      <c r="J688" s="669" t="n"/>
      <c r="K688" s="669" t="n"/>
      <c r="L688" s="669" t="n"/>
      <c r="M688" s="669" t="n"/>
      <c r="N688" s="669" t="n"/>
      <c r="O688" s="669" t="n"/>
      <c r="P688" s="669" t="n"/>
      <c r="Q688" s="669" t="n"/>
      <c r="R688" s="669" t="n"/>
      <c r="S688" s="669" t="n"/>
      <c r="T688" s="669" t="n"/>
      <c r="U688" s="669" t="n"/>
      <c r="V688" s="669" t="n"/>
      <c r="W688" s="669" t="n"/>
      <c r="X688" s="669" t="n"/>
      <c r="Y688" s="669" t="n"/>
      <c r="Z688" s="669" t="n"/>
      <c r="AA688" s="669" t="n"/>
      <c r="AB688" s="669" t="n"/>
    </row>
    <row r="689">
      <c r="I689" s="669" t="n"/>
      <c r="J689" s="669" t="n"/>
      <c r="K689" s="669" t="n"/>
      <c r="L689" s="669" t="n"/>
      <c r="M689" s="669" t="n"/>
      <c r="N689" s="669" t="n"/>
      <c r="O689" s="669" t="n"/>
      <c r="P689" s="669" t="n"/>
      <c r="Q689" s="669" t="n"/>
      <c r="R689" s="669" t="n"/>
      <c r="S689" s="669" t="n"/>
      <c r="T689" s="669" t="n"/>
      <c r="U689" s="669" t="n"/>
      <c r="V689" s="669" t="n"/>
      <c r="W689" s="669" t="n"/>
      <c r="X689" s="669" t="n"/>
      <c r="Y689" s="669" t="n"/>
      <c r="Z689" s="669" t="n"/>
      <c r="AA689" s="669" t="n"/>
      <c r="AB689" s="669" t="n"/>
    </row>
    <row r="690">
      <c r="I690" s="669" t="n"/>
      <c r="J690" s="669" t="n"/>
      <c r="K690" s="669" t="n"/>
      <c r="L690" s="669" t="n"/>
      <c r="M690" s="669" t="n"/>
      <c r="N690" s="669" t="n"/>
      <c r="O690" s="669" t="n"/>
      <c r="P690" s="669" t="n"/>
      <c r="Q690" s="669" t="n"/>
      <c r="R690" s="669" t="n"/>
      <c r="S690" s="669" t="n"/>
      <c r="T690" s="669" t="n"/>
      <c r="U690" s="669" t="n"/>
      <c r="V690" s="669" t="n"/>
      <c r="W690" s="669" t="n"/>
      <c r="X690" s="669" t="n"/>
      <c r="Y690" s="669" t="n"/>
      <c r="Z690" s="669" t="n"/>
      <c r="AA690" s="669" t="n"/>
      <c r="AB690" s="669" t="n"/>
    </row>
    <row r="691">
      <c r="I691" s="669" t="n"/>
      <c r="J691" s="669" t="n"/>
      <c r="K691" s="669" t="n"/>
      <c r="L691" s="669" t="n"/>
      <c r="M691" s="669" t="n"/>
      <c r="N691" s="669" t="n"/>
      <c r="O691" s="669" t="n"/>
      <c r="P691" s="669" t="n"/>
      <c r="Q691" s="669" t="n"/>
      <c r="R691" s="669" t="n"/>
      <c r="S691" s="669" t="n"/>
      <c r="T691" s="669" t="n"/>
      <c r="U691" s="669" t="n"/>
      <c r="V691" s="669" t="n"/>
      <c r="W691" s="669" t="n"/>
      <c r="X691" s="669" t="n"/>
      <c r="Y691" s="669" t="n"/>
      <c r="Z691" s="669" t="n"/>
      <c r="AA691" s="669" t="n"/>
      <c r="AB691" s="669" t="n"/>
    </row>
    <row r="692">
      <c r="I692" s="669" t="n"/>
      <c r="J692" s="669" t="n"/>
      <c r="K692" s="669" t="n"/>
      <c r="L692" s="669" t="n"/>
      <c r="M692" s="669" t="n"/>
      <c r="N692" s="669" t="n"/>
      <c r="O692" s="669" t="n"/>
      <c r="P692" s="669" t="n"/>
      <c r="Q692" s="669" t="n"/>
      <c r="R692" s="669" t="n"/>
      <c r="S692" s="669" t="n"/>
      <c r="T692" s="669" t="n"/>
      <c r="U692" s="669" t="n"/>
      <c r="V692" s="669" t="n"/>
      <c r="W692" s="669" t="n"/>
      <c r="X692" s="669" t="n"/>
      <c r="Y692" s="669" t="n"/>
      <c r="Z692" s="669" t="n"/>
      <c r="AA692" s="669" t="n"/>
      <c r="AB692" s="669" t="n"/>
    </row>
    <row r="693">
      <c r="I693" s="669" t="n"/>
      <c r="J693" s="669" t="n"/>
      <c r="K693" s="669" t="n"/>
      <c r="L693" s="669" t="n"/>
      <c r="M693" s="669" t="n"/>
      <c r="N693" s="669" t="n"/>
      <c r="O693" s="669" t="n"/>
      <c r="P693" s="669" t="n"/>
      <c r="Q693" s="669" t="n"/>
      <c r="R693" s="669" t="n"/>
      <c r="S693" s="669" t="n"/>
      <c r="T693" s="669" t="n"/>
      <c r="U693" s="669" t="n"/>
      <c r="V693" s="669" t="n"/>
      <c r="W693" s="669" t="n"/>
      <c r="X693" s="669" t="n"/>
      <c r="Y693" s="669" t="n"/>
      <c r="Z693" s="669" t="n"/>
      <c r="AA693" s="669" t="n"/>
      <c r="AB693" s="669" t="n"/>
    </row>
    <row r="694">
      <c r="I694" s="669" t="n"/>
      <c r="J694" s="669" t="n"/>
      <c r="K694" s="669" t="n"/>
      <c r="L694" s="669" t="n"/>
      <c r="M694" s="669" t="n"/>
      <c r="N694" s="669" t="n"/>
      <c r="O694" s="669" t="n"/>
      <c r="P694" s="669" t="n"/>
      <c r="Q694" s="669" t="n"/>
      <c r="R694" s="669" t="n"/>
      <c r="S694" s="669" t="n"/>
      <c r="T694" s="669" t="n"/>
      <c r="U694" s="669" t="n"/>
      <c r="V694" s="669" t="n"/>
      <c r="W694" s="669" t="n"/>
      <c r="X694" s="669" t="n"/>
      <c r="Y694" s="669" t="n"/>
      <c r="Z694" s="669" t="n"/>
      <c r="AA694" s="669" t="n"/>
      <c r="AB694" s="669" t="n"/>
    </row>
    <row r="695">
      <c r="I695" s="669" t="n"/>
      <c r="J695" s="669" t="n"/>
      <c r="K695" s="669" t="n"/>
      <c r="L695" s="669" t="n"/>
      <c r="M695" s="669" t="n"/>
      <c r="N695" s="669" t="n"/>
      <c r="O695" s="669" t="n"/>
      <c r="P695" s="669" t="n"/>
      <c r="Q695" s="669" t="n"/>
      <c r="R695" s="669" t="n"/>
      <c r="S695" s="669" t="n"/>
      <c r="T695" s="669" t="n"/>
      <c r="U695" s="669" t="n"/>
      <c r="V695" s="669" t="n"/>
      <c r="W695" s="669" t="n"/>
      <c r="X695" s="669" t="n"/>
      <c r="Y695" s="669" t="n"/>
      <c r="Z695" s="669" t="n"/>
      <c r="AA695" s="669" t="n"/>
      <c r="AB695" s="669" t="n"/>
    </row>
    <row r="696">
      <c r="I696" s="669" t="n"/>
      <c r="J696" s="669" t="n"/>
      <c r="K696" s="669" t="n"/>
      <c r="L696" s="669" t="n"/>
      <c r="M696" s="669" t="n"/>
      <c r="N696" s="669" t="n"/>
      <c r="O696" s="669" t="n"/>
      <c r="P696" s="669" t="n"/>
      <c r="Q696" s="669" t="n"/>
      <c r="R696" s="669" t="n"/>
      <c r="S696" s="669" t="n"/>
      <c r="T696" s="669" t="n"/>
      <c r="U696" s="669" t="n"/>
      <c r="V696" s="669" t="n"/>
      <c r="W696" s="669" t="n"/>
      <c r="X696" s="669" t="n"/>
      <c r="Y696" s="669" t="n"/>
      <c r="Z696" s="669" t="n"/>
      <c r="AA696" s="669" t="n"/>
      <c r="AB696" s="669" t="n"/>
    </row>
    <row r="697">
      <c r="I697" s="669" t="n"/>
      <c r="J697" s="669" t="n"/>
      <c r="K697" s="669" t="n"/>
      <c r="L697" s="669" t="n"/>
      <c r="M697" s="669" t="n"/>
      <c r="N697" s="669" t="n"/>
      <c r="O697" s="669" t="n"/>
      <c r="P697" s="669" t="n"/>
      <c r="Q697" s="669" t="n"/>
      <c r="R697" s="669" t="n"/>
      <c r="S697" s="669" t="n"/>
      <c r="T697" s="669" t="n"/>
      <c r="U697" s="669" t="n"/>
      <c r="V697" s="669" t="n"/>
      <c r="W697" s="669" t="n"/>
      <c r="X697" s="669" t="n"/>
      <c r="Y697" s="669" t="n"/>
      <c r="Z697" s="669" t="n"/>
      <c r="AA697" s="669" t="n"/>
      <c r="AB697" s="669" t="n"/>
    </row>
    <row r="698">
      <c r="I698" s="669" t="n"/>
      <c r="J698" s="669" t="n"/>
      <c r="K698" s="669" t="n"/>
      <c r="L698" s="669" t="n"/>
      <c r="M698" s="669" t="n"/>
      <c r="N698" s="669" t="n"/>
      <c r="O698" s="669" t="n"/>
      <c r="P698" s="669" t="n"/>
      <c r="Q698" s="669" t="n"/>
      <c r="R698" s="669" t="n"/>
      <c r="S698" s="669" t="n"/>
      <c r="T698" s="669" t="n"/>
      <c r="U698" s="669" t="n"/>
      <c r="V698" s="669" t="n"/>
      <c r="W698" s="669" t="n"/>
      <c r="X698" s="669" t="n"/>
      <c r="Y698" s="669" t="n"/>
      <c r="Z698" s="669" t="n"/>
      <c r="AA698" s="669" t="n"/>
      <c r="AB698" s="669" t="n"/>
    </row>
    <row r="699">
      <c r="I699" s="669" t="n"/>
      <c r="J699" s="669" t="n"/>
      <c r="K699" s="669" t="n"/>
      <c r="L699" s="669" t="n"/>
      <c r="M699" s="669" t="n"/>
      <c r="N699" s="669" t="n"/>
      <c r="O699" s="669" t="n"/>
      <c r="P699" s="669" t="n"/>
      <c r="Q699" s="669" t="n"/>
      <c r="R699" s="669" t="n"/>
      <c r="S699" s="669" t="n"/>
      <c r="T699" s="669" t="n"/>
      <c r="U699" s="669" t="n"/>
      <c r="V699" s="669" t="n"/>
      <c r="W699" s="669" t="n"/>
      <c r="X699" s="669" t="n"/>
      <c r="Y699" s="669" t="n"/>
      <c r="Z699" s="669" t="n"/>
      <c r="AA699" s="669" t="n"/>
      <c r="AB699" s="669" t="n"/>
    </row>
    <row r="700">
      <c r="I700" s="669" t="n"/>
      <c r="J700" s="669" t="n"/>
      <c r="K700" s="669" t="n"/>
      <c r="L700" s="669" t="n"/>
      <c r="M700" s="669" t="n"/>
      <c r="N700" s="669" t="n"/>
      <c r="O700" s="669" t="n"/>
      <c r="P700" s="669" t="n"/>
      <c r="Q700" s="669" t="n"/>
      <c r="R700" s="669" t="n"/>
      <c r="S700" s="669" t="n"/>
      <c r="T700" s="669" t="n"/>
      <c r="U700" s="669" t="n"/>
      <c r="V700" s="669" t="n"/>
      <c r="W700" s="669" t="n"/>
      <c r="X700" s="669" t="n"/>
      <c r="Y700" s="669" t="n"/>
      <c r="Z700" s="669" t="n"/>
      <c r="AA700" s="669" t="n"/>
      <c r="AB700" s="669" t="n"/>
    </row>
    <row r="701">
      <c r="I701" s="669" t="n"/>
      <c r="J701" s="669" t="n"/>
      <c r="K701" s="669" t="n"/>
      <c r="L701" s="669" t="n"/>
      <c r="M701" s="669" t="n"/>
      <c r="N701" s="669" t="n"/>
      <c r="O701" s="669" t="n"/>
      <c r="P701" s="669" t="n"/>
      <c r="Q701" s="669" t="n"/>
      <c r="R701" s="669" t="n"/>
      <c r="S701" s="669" t="n"/>
      <c r="T701" s="669" t="n"/>
      <c r="U701" s="669" t="n"/>
      <c r="V701" s="669" t="n"/>
      <c r="W701" s="669" t="n"/>
      <c r="X701" s="669" t="n"/>
      <c r="Y701" s="669" t="n"/>
      <c r="Z701" s="669" t="n"/>
      <c r="AA701" s="669" t="n"/>
      <c r="AB701" s="669" t="n"/>
    </row>
    <row r="702">
      <c r="I702" s="669" t="n"/>
      <c r="J702" s="669" t="n"/>
      <c r="K702" s="669" t="n"/>
      <c r="L702" s="669" t="n"/>
      <c r="M702" s="669" t="n"/>
      <c r="N702" s="669" t="n"/>
      <c r="O702" s="669" t="n"/>
      <c r="P702" s="669" t="n"/>
      <c r="Q702" s="669" t="n"/>
      <c r="R702" s="669" t="n"/>
      <c r="S702" s="669" t="n"/>
      <c r="T702" s="669" t="n"/>
      <c r="U702" s="669" t="n"/>
      <c r="V702" s="669" t="n"/>
      <c r="W702" s="669" t="n"/>
      <c r="X702" s="669" t="n"/>
      <c r="Y702" s="669" t="n"/>
      <c r="Z702" s="669" t="n"/>
      <c r="AA702" s="669" t="n"/>
      <c r="AB702" s="669" t="n"/>
    </row>
    <row r="703">
      <c r="I703" s="669" t="n"/>
      <c r="J703" s="669" t="n"/>
      <c r="K703" s="669" t="n"/>
      <c r="L703" s="669" t="n"/>
      <c r="M703" s="669" t="n"/>
      <c r="N703" s="669" t="n"/>
      <c r="O703" s="669" t="n"/>
      <c r="P703" s="669" t="n"/>
      <c r="Q703" s="669" t="n"/>
      <c r="R703" s="669" t="n"/>
      <c r="S703" s="669" t="n"/>
      <c r="T703" s="669" t="n"/>
      <c r="U703" s="669" t="n"/>
      <c r="V703" s="669" t="n"/>
      <c r="W703" s="669" t="n"/>
      <c r="X703" s="669" t="n"/>
      <c r="Y703" s="669" t="n"/>
      <c r="Z703" s="669" t="n"/>
      <c r="AA703" s="669" t="n"/>
      <c r="AB703" s="669" t="n"/>
    </row>
    <row r="704">
      <c r="I704" s="669" t="n"/>
      <c r="J704" s="669" t="n"/>
      <c r="K704" s="669" t="n"/>
      <c r="L704" s="669" t="n"/>
      <c r="M704" s="669" t="n"/>
      <c r="N704" s="669" t="n"/>
      <c r="O704" s="669" t="n"/>
      <c r="P704" s="669" t="n"/>
      <c r="Q704" s="669" t="n"/>
      <c r="R704" s="669" t="n"/>
      <c r="S704" s="669" t="n"/>
      <c r="T704" s="669" t="n"/>
      <c r="U704" s="669" t="n"/>
      <c r="V704" s="669" t="n"/>
      <c r="W704" s="669" t="n"/>
      <c r="X704" s="669" t="n"/>
      <c r="Y704" s="669" t="n"/>
      <c r="Z704" s="669" t="n"/>
      <c r="AA704" s="669" t="n"/>
      <c r="AB704" s="669" t="n"/>
    </row>
    <row r="705">
      <c r="I705" s="669" t="n"/>
      <c r="J705" s="669" t="n"/>
      <c r="K705" s="669" t="n"/>
      <c r="L705" s="669" t="n"/>
      <c r="M705" s="669" t="n"/>
      <c r="N705" s="669" t="n"/>
      <c r="O705" s="669" t="n"/>
      <c r="P705" s="669" t="n"/>
      <c r="Q705" s="669" t="n"/>
      <c r="R705" s="669" t="n"/>
      <c r="S705" s="669" t="n"/>
      <c r="T705" s="669" t="n"/>
      <c r="U705" s="669" t="n"/>
      <c r="V705" s="669" t="n"/>
      <c r="W705" s="669" t="n"/>
      <c r="X705" s="669" t="n"/>
      <c r="Y705" s="669" t="n"/>
      <c r="Z705" s="669" t="n"/>
      <c r="AA705" s="669" t="n"/>
      <c r="AB705" s="669" t="n"/>
    </row>
    <row r="706">
      <c r="I706" s="669" t="n"/>
      <c r="J706" s="669" t="n"/>
      <c r="K706" s="669" t="n"/>
      <c r="L706" s="669" t="n"/>
      <c r="M706" s="669" t="n"/>
      <c r="N706" s="669" t="n"/>
      <c r="O706" s="669" t="n"/>
      <c r="P706" s="669" t="n"/>
      <c r="Q706" s="669" t="n"/>
      <c r="R706" s="669" t="n"/>
      <c r="S706" s="669" t="n"/>
      <c r="T706" s="669" t="n"/>
      <c r="U706" s="669" t="n"/>
      <c r="V706" s="669" t="n"/>
      <c r="W706" s="669" t="n"/>
      <c r="X706" s="669" t="n"/>
      <c r="Y706" s="669" t="n"/>
      <c r="Z706" s="669" t="n"/>
      <c r="AA706" s="669" t="n"/>
      <c r="AB706" s="669" t="n"/>
    </row>
    <row r="707">
      <c r="I707" s="669" t="n"/>
      <c r="J707" s="669" t="n"/>
      <c r="K707" s="669" t="n"/>
      <c r="L707" s="669" t="n"/>
      <c r="M707" s="669" t="n"/>
      <c r="N707" s="669" t="n"/>
      <c r="O707" s="669" t="n"/>
      <c r="P707" s="669" t="n"/>
      <c r="Q707" s="669" t="n"/>
      <c r="R707" s="669" t="n"/>
      <c r="S707" s="669" t="n"/>
      <c r="T707" s="669" t="n"/>
      <c r="U707" s="669" t="n"/>
      <c r="V707" s="669" t="n"/>
      <c r="W707" s="669" t="n"/>
      <c r="X707" s="669" t="n"/>
      <c r="Y707" s="669" t="n"/>
      <c r="Z707" s="669" t="n"/>
      <c r="AA707" s="669" t="n"/>
      <c r="AB707" s="669" t="n"/>
    </row>
    <row r="708">
      <c r="I708" s="669" t="n"/>
      <c r="J708" s="669" t="n"/>
      <c r="K708" s="669" t="n"/>
      <c r="L708" s="669" t="n"/>
      <c r="M708" s="669" t="n"/>
      <c r="N708" s="669" t="n"/>
      <c r="O708" s="669" t="n"/>
      <c r="P708" s="669" t="n"/>
      <c r="Q708" s="669" t="n"/>
      <c r="R708" s="669" t="n"/>
      <c r="S708" s="669" t="n"/>
      <c r="T708" s="669" t="n"/>
      <c r="U708" s="669" t="n"/>
      <c r="V708" s="669" t="n"/>
      <c r="W708" s="669" t="n"/>
      <c r="X708" s="669" t="n"/>
      <c r="Y708" s="669" t="n"/>
      <c r="Z708" s="669" t="n"/>
      <c r="AA708" s="669" t="n"/>
      <c r="AB708" s="669" t="n"/>
    </row>
    <row r="709">
      <c r="I709" s="669" t="n"/>
      <c r="J709" s="669" t="n"/>
      <c r="K709" s="669" t="n"/>
      <c r="L709" s="669" t="n"/>
      <c r="M709" s="669" t="n"/>
      <c r="N709" s="669" t="n"/>
      <c r="O709" s="669" t="n"/>
      <c r="P709" s="669" t="n"/>
      <c r="Q709" s="669" t="n"/>
      <c r="R709" s="669" t="n"/>
      <c r="S709" s="669" t="n"/>
      <c r="T709" s="669" t="n"/>
      <c r="U709" s="669" t="n"/>
      <c r="V709" s="669" t="n"/>
      <c r="W709" s="669" t="n"/>
      <c r="X709" s="669" t="n"/>
      <c r="Y709" s="669" t="n"/>
      <c r="Z709" s="669" t="n"/>
      <c r="AA709" s="669" t="n"/>
      <c r="AB709" s="669" t="n"/>
    </row>
    <row r="710">
      <c r="I710" s="669" t="n"/>
      <c r="J710" s="669" t="n"/>
      <c r="K710" s="669" t="n"/>
      <c r="L710" s="669" t="n"/>
      <c r="M710" s="669" t="n"/>
      <c r="N710" s="669" t="n"/>
      <c r="O710" s="669" t="n"/>
      <c r="P710" s="669" t="n"/>
      <c r="Q710" s="669" t="n"/>
      <c r="R710" s="669" t="n"/>
      <c r="S710" s="669" t="n"/>
      <c r="T710" s="669" t="n"/>
      <c r="U710" s="669" t="n"/>
      <c r="V710" s="669" t="n"/>
      <c r="W710" s="669" t="n"/>
      <c r="X710" s="669" t="n"/>
      <c r="Y710" s="669" t="n"/>
      <c r="Z710" s="669" t="n"/>
      <c r="AA710" s="669" t="n"/>
      <c r="AB710" s="669" t="n"/>
    </row>
    <row r="711">
      <c r="I711" s="669" t="n"/>
      <c r="J711" s="669" t="n"/>
      <c r="K711" s="669" t="n"/>
      <c r="L711" s="669" t="n"/>
      <c r="M711" s="669" t="n"/>
      <c r="N711" s="669" t="n"/>
      <c r="O711" s="669" t="n"/>
      <c r="P711" s="669" t="n"/>
      <c r="Q711" s="669" t="n"/>
      <c r="R711" s="669" t="n"/>
      <c r="S711" s="669" t="n"/>
      <c r="T711" s="669" t="n"/>
      <c r="U711" s="669" t="n"/>
      <c r="V711" s="669" t="n"/>
      <c r="W711" s="669" t="n"/>
      <c r="X711" s="669" t="n"/>
      <c r="Y711" s="669" t="n"/>
      <c r="Z711" s="669" t="n"/>
      <c r="AA711" s="669" t="n"/>
      <c r="AB711" s="669" t="n"/>
    </row>
    <row r="712">
      <c r="I712" s="669" t="n"/>
      <c r="J712" s="669" t="n"/>
      <c r="K712" s="669" t="n"/>
      <c r="L712" s="669" t="n"/>
      <c r="M712" s="669" t="n"/>
      <c r="N712" s="669" t="n"/>
      <c r="O712" s="669" t="n"/>
      <c r="P712" s="669" t="n"/>
      <c r="Q712" s="669" t="n"/>
      <c r="R712" s="669" t="n"/>
      <c r="S712" s="669" t="n"/>
      <c r="T712" s="669" t="n"/>
      <c r="U712" s="669" t="n"/>
      <c r="V712" s="669" t="n"/>
      <c r="W712" s="669" t="n"/>
      <c r="X712" s="669" t="n"/>
      <c r="Y712" s="669" t="n"/>
      <c r="Z712" s="669" t="n"/>
      <c r="AA712" s="669" t="n"/>
      <c r="AB712" s="669" t="n"/>
    </row>
    <row r="713">
      <c r="I713" s="669" t="n"/>
      <c r="J713" s="669" t="n"/>
      <c r="K713" s="669" t="n"/>
      <c r="L713" s="669" t="n"/>
      <c r="M713" s="669" t="n"/>
      <c r="N713" s="669" t="n"/>
      <c r="O713" s="669" t="n"/>
      <c r="P713" s="669" t="n"/>
      <c r="Q713" s="669" t="n"/>
      <c r="R713" s="669" t="n"/>
      <c r="S713" s="669" t="n"/>
      <c r="T713" s="669" t="n"/>
      <c r="U713" s="669" t="n"/>
      <c r="V713" s="669" t="n"/>
      <c r="W713" s="669" t="n"/>
      <c r="X713" s="669" t="n"/>
      <c r="Y713" s="669" t="n"/>
      <c r="Z713" s="669" t="n"/>
      <c r="AA713" s="669" t="n"/>
      <c r="AB713" s="669" t="n"/>
    </row>
    <row r="714">
      <c r="I714" s="669" t="n"/>
      <c r="J714" s="669" t="n"/>
      <c r="K714" s="669" t="n"/>
      <c r="L714" s="669" t="n"/>
      <c r="M714" s="669" t="n"/>
      <c r="N714" s="669" t="n"/>
      <c r="O714" s="669" t="n"/>
      <c r="P714" s="669" t="n"/>
      <c r="Q714" s="669" t="n"/>
      <c r="R714" s="669" t="n"/>
      <c r="S714" s="669" t="n"/>
      <c r="T714" s="669" t="n"/>
      <c r="U714" s="669" t="n"/>
      <c r="V714" s="669" t="n"/>
      <c r="W714" s="669" t="n"/>
      <c r="X714" s="669" t="n"/>
      <c r="Y714" s="669" t="n"/>
      <c r="Z714" s="669" t="n"/>
      <c r="AA714" s="669" t="n"/>
      <c r="AB714" s="669" t="n"/>
    </row>
    <row r="715">
      <c r="I715" s="669" t="n"/>
      <c r="J715" s="669" t="n"/>
      <c r="K715" s="669" t="n"/>
      <c r="L715" s="669" t="n"/>
      <c r="M715" s="669" t="n"/>
      <c r="N715" s="669" t="n"/>
      <c r="O715" s="669" t="n"/>
      <c r="P715" s="669" t="n"/>
      <c r="Q715" s="669" t="n"/>
      <c r="R715" s="669" t="n"/>
      <c r="S715" s="669" t="n"/>
      <c r="T715" s="669" t="n"/>
      <c r="U715" s="669" t="n"/>
      <c r="V715" s="669" t="n"/>
      <c r="W715" s="669" t="n"/>
      <c r="X715" s="669" t="n"/>
      <c r="Y715" s="669" t="n"/>
      <c r="Z715" s="669" t="n"/>
      <c r="AA715" s="669" t="n"/>
      <c r="AB715" s="669" t="n"/>
    </row>
    <row r="716">
      <c r="I716" s="669" t="n"/>
      <c r="J716" s="669" t="n"/>
      <c r="K716" s="669" t="n"/>
      <c r="L716" s="669" t="n"/>
      <c r="M716" s="669" t="n"/>
      <c r="N716" s="669" t="n"/>
      <c r="O716" s="669" t="n"/>
      <c r="P716" s="669" t="n"/>
      <c r="Q716" s="669" t="n"/>
      <c r="R716" s="669" t="n"/>
      <c r="S716" s="669" t="n"/>
      <c r="T716" s="669" t="n"/>
      <c r="U716" s="669" t="n"/>
      <c r="V716" s="669" t="n"/>
      <c r="W716" s="669" t="n"/>
      <c r="X716" s="669" t="n"/>
      <c r="Y716" s="669" t="n"/>
      <c r="Z716" s="669" t="n"/>
      <c r="AA716" s="669" t="n"/>
      <c r="AB716" s="669" t="n"/>
    </row>
    <row r="717">
      <c r="I717" s="669" t="n"/>
      <c r="J717" s="669" t="n"/>
      <c r="K717" s="669" t="n"/>
      <c r="L717" s="669" t="n"/>
      <c r="M717" s="669" t="n"/>
      <c r="N717" s="669" t="n"/>
      <c r="O717" s="669" t="n"/>
      <c r="P717" s="669" t="n"/>
      <c r="Q717" s="669" t="n"/>
      <c r="R717" s="669" t="n"/>
      <c r="S717" s="669" t="n"/>
      <c r="T717" s="669" t="n"/>
      <c r="U717" s="669" t="n"/>
      <c r="V717" s="669" t="n"/>
      <c r="W717" s="669" t="n"/>
      <c r="X717" s="669" t="n"/>
      <c r="Y717" s="669" t="n"/>
      <c r="Z717" s="669" t="n"/>
      <c r="AA717" s="669" t="n"/>
      <c r="AB717" s="669" t="n"/>
    </row>
    <row r="718">
      <c r="I718" s="669" t="n"/>
      <c r="J718" s="669" t="n"/>
      <c r="K718" s="669" t="n"/>
      <c r="L718" s="669" t="n"/>
      <c r="M718" s="669" t="n"/>
      <c r="N718" s="669" t="n"/>
      <c r="O718" s="669" t="n"/>
      <c r="P718" s="669" t="n"/>
      <c r="Q718" s="669" t="n"/>
      <c r="R718" s="669" t="n"/>
      <c r="S718" s="669" t="n"/>
      <c r="T718" s="669" t="n"/>
      <c r="U718" s="669" t="n"/>
      <c r="V718" s="669" t="n"/>
      <c r="W718" s="669" t="n"/>
      <c r="X718" s="669" t="n"/>
      <c r="Y718" s="669" t="n"/>
      <c r="Z718" s="669" t="n"/>
      <c r="AA718" s="669" t="n"/>
      <c r="AB718" s="669" t="n"/>
    </row>
    <row r="719">
      <c r="I719" s="669" t="n"/>
      <c r="J719" s="669" t="n"/>
      <c r="K719" s="669" t="n"/>
      <c r="L719" s="669" t="n"/>
      <c r="M719" s="669" t="n"/>
      <c r="N719" s="669" t="n"/>
      <c r="O719" s="669" t="n"/>
      <c r="P719" s="669" t="n"/>
      <c r="Q719" s="669" t="n"/>
      <c r="R719" s="669" t="n"/>
      <c r="S719" s="669" t="n"/>
      <c r="T719" s="669" t="n"/>
      <c r="U719" s="669" t="n"/>
      <c r="V719" s="669" t="n"/>
      <c r="W719" s="669" t="n"/>
      <c r="X719" s="669" t="n"/>
      <c r="Y719" s="669" t="n"/>
      <c r="Z719" s="669" t="n"/>
      <c r="AA719" s="669" t="n"/>
      <c r="AB719" s="669" t="n"/>
    </row>
    <row r="720">
      <c r="I720" s="669" t="n"/>
      <c r="J720" s="669" t="n"/>
      <c r="K720" s="669" t="n"/>
      <c r="L720" s="669" t="n"/>
      <c r="M720" s="669" t="n"/>
      <c r="N720" s="669" t="n"/>
      <c r="O720" s="669" t="n"/>
      <c r="P720" s="669" t="n"/>
      <c r="Q720" s="669" t="n"/>
      <c r="R720" s="669" t="n"/>
      <c r="S720" s="669" t="n"/>
      <c r="T720" s="669" t="n"/>
      <c r="U720" s="669" t="n"/>
      <c r="V720" s="669" t="n"/>
      <c r="W720" s="669" t="n"/>
      <c r="X720" s="669" t="n"/>
      <c r="Y720" s="669" t="n"/>
      <c r="Z720" s="669" t="n"/>
      <c r="AA720" s="669" t="n"/>
      <c r="AB720" s="669" t="n"/>
    </row>
    <row r="721">
      <c r="I721" s="669" t="n"/>
      <c r="J721" s="669" t="n"/>
      <c r="K721" s="669" t="n"/>
      <c r="L721" s="669" t="n"/>
      <c r="M721" s="669" t="n"/>
      <c r="N721" s="669" t="n"/>
      <c r="O721" s="669" t="n"/>
      <c r="P721" s="669" t="n"/>
      <c r="Q721" s="669" t="n"/>
      <c r="R721" s="669" t="n"/>
      <c r="S721" s="669" t="n"/>
      <c r="T721" s="669" t="n"/>
      <c r="U721" s="669" t="n"/>
      <c r="V721" s="669" t="n"/>
      <c r="W721" s="669" t="n"/>
      <c r="X721" s="669" t="n"/>
      <c r="Y721" s="669" t="n"/>
      <c r="Z721" s="669" t="n"/>
      <c r="AA721" s="669" t="n"/>
      <c r="AB721" s="669" t="n"/>
    </row>
    <row r="722">
      <c r="I722" s="669" t="n"/>
      <c r="J722" s="669" t="n"/>
      <c r="K722" s="669" t="n"/>
      <c r="L722" s="669" t="n"/>
      <c r="M722" s="669" t="n"/>
      <c r="N722" s="669" t="n"/>
      <c r="O722" s="669" t="n"/>
      <c r="P722" s="669" t="n"/>
      <c r="Q722" s="669" t="n"/>
      <c r="R722" s="669" t="n"/>
      <c r="S722" s="669" t="n"/>
      <c r="T722" s="669" t="n"/>
      <c r="U722" s="669" t="n"/>
      <c r="V722" s="669" t="n"/>
      <c r="W722" s="669" t="n"/>
      <c r="X722" s="669" t="n"/>
      <c r="Y722" s="669" t="n"/>
      <c r="Z722" s="669" t="n"/>
      <c r="AA722" s="669" t="n"/>
      <c r="AB722" s="669" t="n"/>
    </row>
    <row r="723">
      <c r="I723" s="669" t="n"/>
      <c r="J723" s="669" t="n"/>
      <c r="K723" s="669" t="n"/>
      <c r="L723" s="669" t="n"/>
      <c r="M723" s="669" t="n"/>
      <c r="N723" s="669" t="n"/>
      <c r="O723" s="669" t="n"/>
      <c r="P723" s="669" t="n"/>
      <c r="Q723" s="669" t="n"/>
      <c r="R723" s="669" t="n"/>
      <c r="S723" s="669" t="n"/>
      <c r="T723" s="669" t="n"/>
      <c r="U723" s="669" t="n"/>
      <c r="V723" s="669" t="n"/>
      <c r="W723" s="669" t="n"/>
      <c r="X723" s="669" t="n"/>
      <c r="Y723" s="669" t="n"/>
      <c r="Z723" s="669" t="n"/>
      <c r="AA723" s="669" t="n"/>
      <c r="AB723" s="669" t="n"/>
    </row>
    <row r="724">
      <c r="I724" s="669" t="n"/>
      <c r="J724" s="669" t="n"/>
      <c r="K724" s="669" t="n"/>
      <c r="L724" s="669" t="n"/>
      <c r="M724" s="669" t="n"/>
      <c r="N724" s="669" t="n"/>
      <c r="O724" s="669" t="n"/>
      <c r="P724" s="669" t="n"/>
      <c r="Q724" s="669" t="n"/>
      <c r="R724" s="669" t="n"/>
      <c r="S724" s="669" t="n"/>
      <c r="T724" s="669" t="n"/>
      <c r="U724" s="669" t="n"/>
      <c r="V724" s="669" t="n"/>
      <c r="W724" s="669" t="n"/>
      <c r="X724" s="669" t="n"/>
      <c r="Y724" s="669" t="n"/>
      <c r="Z724" s="669" t="n"/>
      <c r="AA724" s="669" t="n"/>
      <c r="AB724" s="669" t="n"/>
    </row>
    <row r="725">
      <c r="I725" s="669" t="n"/>
      <c r="J725" s="669" t="n"/>
      <c r="K725" s="669" t="n"/>
      <c r="L725" s="669" t="n"/>
      <c r="M725" s="669" t="n"/>
      <c r="N725" s="669" t="n"/>
      <c r="O725" s="669" t="n"/>
      <c r="P725" s="669" t="n"/>
      <c r="Q725" s="669" t="n"/>
      <c r="R725" s="669" t="n"/>
      <c r="S725" s="669" t="n"/>
      <c r="T725" s="669" t="n"/>
      <c r="U725" s="669" t="n"/>
      <c r="V725" s="669" t="n"/>
      <c r="W725" s="669" t="n"/>
      <c r="X725" s="669" t="n"/>
      <c r="Y725" s="669" t="n"/>
      <c r="Z725" s="669" t="n"/>
      <c r="AA725" s="669" t="n"/>
      <c r="AB725" s="669" t="n"/>
    </row>
    <row r="726">
      <c r="I726" s="669" t="n"/>
      <c r="J726" s="669" t="n"/>
      <c r="K726" s="669" t="n"/>
      <c r="L726" s="669" t="n"/>
      <c r="M726" s="669" t="n"/>
      <c r="N726" s="669" t="n"/>
      <c r="O726" s="669" t="n"/>
      <c r="P726" s="669" t="n"/>
      <c r="Q726" s="669" t="n"/>
      <c r="R726" s="669" t="n"/>
      <c r="S726" s="669" t="n"/>
      <c r="T726" s="669" t="n"/>
      <c r="U726" s="669" t="n"/>
      <c r="V726" s="669" t="n"/>
      <c r="W726" s="669" t="n"/>
      <c r="X726" s="669" t="n"/>
      <c r="Y726" s="669" t="n"/>
      <c r="Z726" s="669" t="n"/>
      <c r="AA726" s="669" t="n"/>
      <c r="AB726" s="669" t="n"/>
    </row>
    <row r="727">
      <c r="I727" s="669" t="n"/>
      <c r="J727" s="669" t="n"/>
      <c r="K727" s="669" t="n"/>
      <c r="L727" s="669" t="n"/>
      <c r="M727" s="669" t="n"/>
      <c r="N727" s="669" t="n"/>
      <c r="O727" s="669" t="n"/>
      <c r="P727" s="669" t="n"/>
      <c r="Q727" s="669" t="n"/>
      <c r="R727" s="669" t="n"/>
      <c r="S727" s="669" t="n"/>
      <c r="T727" s="669" t="n"/>
      <c r="U727" s="669" t="n"/>
      <c r="V727" s="669" t="n"/>
      <c r="W727" s="669" t="n"/>
      <c r="X727" s="669" t="n"/>
      <c r="Y727" s="669" t="n"/>
      <c r="Z727" s="669" t="n"/>
      <c r="AA727" s="669" t="n"/>
      <c r="AB727" s="669" t="n"/>
    </row>
    <row r="728">
      <c r="I728" s="669" t="n"/>
      <c r="J728" s="669" t="n"/>
      <c r="K728" s="669" t="n"/>
      <c r="L728" s="669" t="n"/>
      <c r="M728" s="669" t="n"/>
      <c r="N728" s="669" t="n"/>
      <c r="O728" s="669" t="n"/>
      <c r="P728" s="669" t="n"/>
      <c r="Q728" s="669" t="n"/>
      <c r="R728" s="669" t="n"/>
      <c r="S728" s="669" t="n"/>
      <c r="T728" s="669" t="n"/>
      <c r="U728" s="669" t="n"/>
      <c r="V728" s="669" t="n"/>
      <c r="W728" s="669" t="n"/>
      <c r="X728" s="669" t="n"/>
      <c r="Y728" s="669" t="n"/>
      <c r="Z728" s="669" t="n"/>
      <c r="AA728" s="669" t="n"/>
      <c r="AB728" s="669" t="n"/>
    </row>
    <row r="729">
      <c r="I729" s="669" t="n"/>
      <c r="J729" s="669" t="n"/>
      <c r="K729" s="669" t="n"/>
      <c r="L729" s="669" t="n"/>
      <c r="M729" s="669" t="n"/>
      <c r="N729" s="669" t="n"/>
      <c r="O729" s="669" t="n"/>
      <c r="P729" s="669" t="n"/>
      <c r="Q729" s="669" t="n"/>
      <c r="R729" s="669" t="n"/>
      <c r="S729" s="669" t="n"/>
      <c r="T729" s="669" t="n"/>
      <c r="U729" s="669" t="n"/>
      <c r="V729" s="669" t="n"/>
      <c r="W729" s="669" t="n"/>
      <c r="X729" s="669" t="n"/>
      <c r="Y729" s="669" t="n"/>
      <c r="Z729" s="669" t="n"/>
      <c r="AA729" s="669" t="n"/>
      <c r="AB729" s="669" t="n"/>
    </row>
    <row r="730">
      <c r="I730" s="669" t="n"/>
      <c r="J730" s="669" t="n"/>
      <c r="K730" s="669" t="n"/>
      <c r="L730" s="669" t="n"/>
      <c r="M730" s="669" t="n"/>
      <c r="N730" s="669" t="n"/>
      <c r="O730" s="669" t="n"/>
      <c r="P730" s="669" t="n"/>
      <c r="Q730" s="669" t="n"/>
      <c r="R730" s="669" t="n"/>
      <c r="S730" s="669" t="n"/>
      <c r="T730" s="669" t="n"/>
      <c r="U730" s="669" t="n"/>
      <c r="V730" s="669" t="n"/>
      <c r="W730" s="669" t="n"/>
      <c r="X730" s="669" t="n"/>
      <c r="Y730" s="669" t="n"/>
      <c r="Z730" s="669" t="n"/>
      <c r="AA730" s="669" t="n"/>
      <c r="AB730" s="669" t="n"/>
    </row>
    <row r="731">
      <c r="I731" s="669" t="n"/>
      <c r="J731" s="669" t="n"/>
      <c r="K731" s="669" t="n"/>
      <c r="L731" s="669" t="n"/>
      <c r="M731" s="669" t="n"/>
      <c r="N731" s="669" t="n"/>
      <c r="O731" s="669" t="n"/>
      <c r="P731" s="669" t="n"/>
      <c r="Q731" s="669" t="n"/>
      <c r="R731" s="669" t="n"/>
      <c r="S731" s="669" t="n"/>
      <c r="T731" s="669" t="n"/>
      <c r="U731" s="669" t="n"/>
      <c r="V731" s="669" t="n"/>
      <c r="W731" s="669" t="n"/>
      <c r="X731" s="669" t="n"/>
      <c r="Y731" s="669" t="n"/>
      <c r="Z731" s="669" t="n"/>
      <c r="AA731" s="669" t="n"/>
      <c r="AB731" s="669" t="n"/>
    </row>
    <row r="732">
      <c r="I732" s="669" t="n"/>
      <c r="J732" s="669" t="n"/>
      <c r="K732" s="669" t="n"/>
      <c r="L732" s="669" t="n"/>
      <c r="M732" s="669" t="n"/>
      <c r="N732" s="669" t="n"/>
      <c r="O732" s="669" t="n"/>
      <c r="P732" s="669" t="n"/>
      <c r="Q732" s="669" t="n"/>
      <c r="R732" s="669" t="n"/>
      <c r="S732" s="669" t="n"/>
      <c r="T732" s="669" t="n"/>
      <c r="U732" s="669" t="n"/>
      <c r="V732" s="669" t="n"/>
      <c r="W732" s="669" t="n"/>
      <c r="X732" s="669" t="n"/>
      <c r="Y732" s="669" t="n"/>
      <c r="Z732" s="669" t="n"/>
      <c r="AA732" s="669" t="n"/>
      <c r="AB732" s="669" t="n"/>
    </row>
    <row r="733">
      <c r="I733" s="669" t="n"/>
      <c r="J733" s="669" t="n"/>
      <c r="K733" s="669" t="n"/>
      <c r="L733" s="669" t="n"/>
      <c r="M733" s="669" t="n"/>
      <c r="N733" s="669" t="n"/>
      <c r="O733" s="669" t="n"/>
      <c r="P733" s="669" t="n"/>
      <c r="Q733" s="669" t="n"/>
      <c r="R733" s="669" t="n"/>
      <c r="S733" s="669" t="n"/>
      <c r="T733" s="669" t="n"/>
      <c r="U733" s="669" t="n"/>
      <c r="V733" s="669" t="n"/>
      <c r="W733" s="669" t="n"/>
      <c r="X733" s="669" t="n"/>
      <c r="Y733" s="669" t="n"/>
      <c r="Z733" s="669" t="n"/>
      <c r="AA733" s="669" t="n"/>
      <c r="AB733" s="669" t="n"/>
    </row>
    <row r="734">
      <c r="I734" s="669" t="n"/>
      <c r="J734" s="669" t="n"/>
      <c r="K734" s="669" t="n"/>
      <c r="L734" s="669" t="n"/>
      <c r="M734" s="669" t="n"/>
      <c r="N734" s="669" t="n"/>
      <c r="O734" s="669" t="n"/>
      <c r="P734" s="669" t="n"/>
      <c r="Q734" s="669" t="n"/>
      <c r="R734" s="669" t="n"/>
      <c r="S734" s="669" t="n"/>
      <c r="T734" s="669" t="n"/>
      <c r="U734" s="669" t="n"/>
      <c r="V734" s="669" t="n"/>
      <c r="W734" s="669" t="n"/>
      <c r="X734" s="669" t="n"/>
      <c r="Y734" s="669" t="n"/>
      <c r="Z734" s="669" t="n"/>
      <c r="AA734" s="669" t="n"/>
      <c r="AB734" s="669" t="n"/>
    </row>
    <row r="735">
      <c r="I735" s="669" t="n"/>
      <c r="J735" s="669" t="n"/>
      <c r="K735" s="669" t="n"/>
      <c r="L735" s="669" t="n"/>
      <c r="M735" s="669" t="n"/>
      <c r="N735" s="669" t="n"/>
      <c r="O735" s="669" t="n"/>
      <c r="P735" s="669" t="n"/>
      <c r="Q735" s="669" t="n"/>
      <c r="R735" s="669" t="n"/>
      <c r="S735" s="669" t="n"/>
      <c r="T735" s="669" t="n"/>
      <c r="U735" s="669" t="n"/>
      <c r="V735" s="669" t="n"/>
      <c r="W735" s="669" t="n"/>
      <c r="X735" s="669" t="n"/>
      <c r="Y735" s="669" t="n"/>
      <c r="Z735" s="669" t="n"/>
      <c r="AA735" s="669" t="n"/>
      <c r="AB735" s="669" t="n"/>
    </row>
    <row r="736">
      <c r="I736" s="669" t="n"/>
      <c r="J736" s="669" t="n"/>
      <c r="K736" s="669" t="n"/>
      <c r="L736" s="669" t="n"/>
      <c r="M736" s="669" t="n"/>
      <c r="N736" s="669" t="n"/>
      <c r="O736" s="669" t="n"/>
      <c r="P736" s="669" t="n"/>
      <c r="Q736" s="669" t="n"/>
      <c r="R736" s="669" t="n"/>
      <c r="S736" s="669" t="n"/>
      <c r="T736" s="669" t="n"/>
      <c r="U736" s="669" t="n"/>
      <c r="V736" s="669" t="n"/>
      <c r="W736" s="669" t="n"/>
      <c r="X736" s="669" t="n"/>
      <c r="Y736" s="669" t="n"/>
      <c r="Z736" s="669" t="n"/>
      <c r="AA736" s="669" t="n"/>
      <c r="AB736" s="669" t="n"/>
    </row>
    <row r="737">
      <c r="I737" s="669" t="n"/>
      <c r="J737" s="669" t="n"/>
      <c r="K737" s="669" t="n"/>
      <c r="L737" s="669" t="n"/>
      <c r="M737" s="669" t="n"/>
      <c r="N737" s="669" t="n"/>
      <c r="O737" s="669" t="n"/>
      <c r="P737" s="669" t="n"/>
      <c r="Q737" s="669" t="n"/>
      <c r="R737" s="669" t="n"/>
      <c r="S737" s="669" t="n"/>
      <c r="T737" s="669" t="n"/>
      <c r="U737" s="669" t="n"/>
      <c r="V737" s="669" t="n"/>
      <c r="W737" s="669" t="n"/>
      <c r="X737" s="669" t="n"/>
      <c r="Y737" s="669" t="n"/>
      <c r="Z737" s="669" t="n"/>
      <c r="AA737" s="669" t="n"/>
      <c r="AB737" s="669" t="n"/>
    </row>
    <row r="738">
      <c r="I738" s="669" t="n"/>
      <c r="J738" s="669" t="n"/>
      <c r="K738" s="669" t="n"/>
      <c r="L738" s="669" t="n"/>
      <c r="M738" s="669" t="n"/>
      <c r="N738" s="669" t="n"/>
      <c r="O738" s="669" t="n"/>
      <c r="P738" s="669" t="n"/>
      <c r="Q738" s="669" t="n"/>
      <c r="R738" s="669" t="n"/>
      <c r="S738" s="669" t="n"/>
      <c r="T738" s="669" t="n"/>
      <c r="U738" s="669" t="n"/>
      <c r="V738" s="669" t="n"/>
      <c r="W738" s="669" t="n"/>
      <c r="X738" s="669" t="n"/>
      <c r="Y738" s="669" t="n"/>
      <c r="Z738" s="669" t="n"/>
      <c r="AA738" s="669" t="n"/>
      <c r="AB738" s="669" t="n"/>
    </row>
    <row r="739">
      <c r="I739" s="669" t="n"/>
      <c r="J739" s="669" t="n"/>
      <c r="K739" s="669" t="n"/>
      <c r="L739" s="669" t="n"/>
      <c r="M739" s="669" t="n"/>
      <c r="N739" s="669" t="n"/>
      <c r="O739" s="669" t="n"/>
      <c r="P739" s="669" t="n"/>
      <c r="Q739" s="669" t="n"/>
      <c r="R739" s="669" t="n"/>
      <c r="S739" s="669" t="n"/>
      <c r="T739" s="669" t="n"/>
      <c r="U739" s="669" t="n"/>
      <c r="V739" s="669" t="n"/>
      <c r="W739" s="669" t="n"/>
      <c r="X739" s="669" t="n"/>
      <c r="Y739" s="669" t="n"/>
      <c r="Z739" s="669" t="n"/>
      <c r="AA739" s="669" t="n"/>
      <c r="AB739" s="669" t="n"/>
    </row>
    <row r="740">
      <c r="I740" s="669" t="n"/>
      <c r="J740" s="669" t="n"/>
      <c r="K740" s="669" t="n"/>
      <c r="L740" s="669" t="n"/>
      <c r="M740" s="669" t="n"/>
      <c r="N740" s="669" t="n"/>
      <c r="O740" s="669" t="n"/>
      <c r="P740" s="669" t="n"/>
      <c r="Q740" s="669" t="n"/>
      <c r="R740" s="669" t="n"/>
      <c r="S740" s="669" t="n"/>
      <c r="T740" s="669" t="n"/>
      <c r="U740" s="669" t="n"/>
      <c r="V740" s="669" t="n"/>
      <c r="W740" s="669" t="n"/>
      <c r="X740" s="669" t="n"/>
      <c r="Y740" s="669" t="n"/>
      <c r="Z740" s="669" t="n"/>
      <c r="AA740" s="669" t="n"/>
      <c r="AB740" s="669" t="n"/>
    </row>
    <row r="741">
      <c r="I741" s="669" t="n"/>
      <c r="J741" s="669" t="n"/>
      <c r="K741" s="669" t="n"/>
      <c r="L741" s="669" t="n"/>
      <c r="M741" s="669" t="n"/>
      <c r="N741" s="669" t="n"/>
      <c r="O741" s="669" t="n"/>
      <c r="P741" s="669" t="n"/>
      <c r="Q741" s="669" t="n"/>
      <c r="R741" s="669" t="n"/>
      <c r="S741" s="669" t="n"/>
      <c r="T741" s="669" t="n"/>
      <c r="U741" s="669" t="n"/>
      <c r="V741" s="669" t="n"/>
      <c r="W741" s="669" t="n"/>
      <c r="X741" s="669" t="n"/>
      <c r="Y741" s="669" t="n"/>
      <c r="Z741" s="669" t="n"/>
      <c r="AA741" s="669" t="n"/>
      <c r="AB741" s="669" t="n"/>
    </row>
    <row r="742">
      <c r="I742" s="669" t="n"/>
      <c r="J742" s="669" t="n"/>
      <c r="K742" s="669" t="n"/>
      <c r="L742" s="669" t="n"/>
      <c r="M742" s="669" t="n"/>
      <c r="N742" s="669" t="n"/>
      <c r="O742" s="669" t="n"/>
      <c r="P742" s="669" t="n"/>
      <c r="Q742" s="669" t="n"/>
      <c r="R742" s="669" t="n"/>
      <c r="S742" s="669" t="n"/>
      <c r="T742" s="669" t="n"/>
      <c r="U742" s="669" t="n"/>
      <c r="V742" s="669" t="n"/>
      <c r="W742" s="669" t="n"/>
      <c r="X742" s="669" t="n"/>
      <c r="Y742" s="669" t="n"/>
      <c r="Z742" s="669" t="n"/>
      <c r="AA742" s="669" t="n"/>
      <c r="AB742" s="669" t="n"/>
    </row>
    <row r="743">
      <c r="I743" s="669" t="n"/>
      <c r="J743" s="669" t="n"/>
      <c r="K743" s="669" t="n"/>
      <c r="L743" s="669" t="n"/>
      <c r="M743" s="669" t="n"/>
      <c r="N743" s="669" t="n"/>
      <c r="O743" s="669" t="n"/>
      <c r="P743" s="669" t="n"/>
      <c r="Q743" s="669" t="n"/>
      <c r="R743" s="669" t="n"/>
      <c r="S743" s="669" t="n"/>
      <c r="T743" s="669" t="n"/>
      <c r="U743" s="669" t="n"/>
      <c r="V743" s="669" t="n"/>
      <c r="W743" s="669" t="n"/>
      <c r="X743" s="669" t="n"/>
      <c r="Y743" s="669" t="n"/>
      <c r="Z743" s="669" t="n"/>
      <c r="AA743" s="669" t="n"/>
      <c r="AB743" s="669" t="n"/>
    </row>
    <row r="744">
      <c r="I744" s="669" t="n"/>
      <c r="J744" s="669" t="n"/>
      <c r="K744" s="669" t="n"/>
      <c r="L744" s="669" t="n"/>
      <c r="M744" s="669" t="n"/>
      <c r="N744" s="669" t="n"/>
      <c r="O744" s="669" t="n"/>
      <c r="P744" s="669" t="n"/>
      <c r="Q744" s="669" t="n"/>
      <c r="R744" s="669" t="n"/>
      <c r="S744" s="669" t="n"/>
      <c r="T744" s="669" t="n"/>
      <c r="U744" s="669" t="n"/>
      <c r="V744" s="669" t="n"/>
      <c r="W744" s="669" t="n"/>
      <c r="X744" s="669" t="n"/>
      <c r="Y744" s="669" t="n"/>
      <c r="Z744" s="669" t="n"/>
      <c r="AA744" s="669" t="n"/>
      <c r="AB744" s="669" t="n"/>
    </row>
    <row r="745">
      <c r="I745" s="669" t="n"/>
      <c r="J745" s="669" t="n"/>
      <c r="K745" s="669" t="n"/>
      <c r="L745" s="669" t="n"/>
      <c r="M745" s="669" t="n"/>
      <c r="N745" s="669" t="n"/>
      <c r="O745" s="669" t="n"/>
      <c r="P745" s="669" t="n"/>
      <c r="Q745" s="669" t="n"/>
      <c r="R745" s="669" t="n"/>
      <c r="S745" s="669" t="n"/>
      <c r="T745" s="669" t="n"/>
      <c r="U745" s="669" t="n"/>
      <c r="V745" s="669" t="n"/>
      <c r="W745" s="669" t="n"/>
      <c r="X745" s="669" t="n"/>
      <c r="Y745" s="669" t="n"/>
      <c r="Z745" s="669" t="n"/>
      <c r="AA745" s="669" t="n"/>
      <c r="AB745" s="669" t="n"/>
    </row>
    <row r="746">
      <c r="I746" s="669" t="n"/>
      <c r="J746" s="669" t="n"/>
      <c r="K746" s="669" t="n"/>
      <c r="L746" s="669" t="n"/>
      <c r="M746" s="669" t="n"/>
      <c r="N746" s="669" t="n"/>
      <c r="O746" s="669" t="n"/>
      <c r="P746" s="669" t="n"/>
      <c r="Q746" s="669" t="n"/>
      <c r="R746" s="669" t="n"/>
      <c r="S746" s="669" t="n"/>
      <c r="T746" s="669" t="n"/>
      <c r="U746" s="669" t="n"/>
      <c r="V746" s="669" t="n"/>
      <c r="W746" s="669" t="n"/>
      <c r="X746" s="669" t="n"/>
      <c r="Y746" s="669" t="n"/>
      <c r="Z746" s="669" t="n"/>
      <c r="AA746" s="669" t="n"/>
      <c r="AB746" s="669" t="n"/>
    </row>
    <row r="747">
      <c r="I747" s="669" t="n"/>
      <c r="J747" s="669" t="n"/>
      <c r="K747" s="669" t="n"/>
      <c r="L747" s="669" t="n"/>
      <c r="M747" s="669" t="n"/>
      <c r="N747" s="669" t="n"/>
      <c r="O747" s="669" t="n"/>
      <c r="P747" s="669" t="n"/>
      <c r="Q747" s="669" t="n"/>
      <c r="R747" s="669" t="n"/>
      <c r="S747" s="669" t="n"/>
      <c r="T747" s="669" t="n"/>
      <c r="U747" s="669" t="n"/>
      <c r="V747" s="669" t="n"/>
      <c r="W747" s="669" t="n"/>
      <c r="X747" s="669" t="n"/>
      <c r="Y747" s="669" t="n"/>
      <c r="Z747" s="669" t="n"/>
      <c r="AA747" s="669" t="n"/>
      <c r="AB747" s="669" t="n"/>
    </row>
    <row r="748">
      <c r="I748" s="669" t="n"/>
      <c r="J748" s="669" t="n"/>
      <c r="K748" s="669" t="n"/>
      <c r="L748" s="669" t="n"/>
      <c r="M748" s="669" t="n"/>
      <c r="N748" s="669" t="n"/>
      <c r="O748" s="669" t="n"/>
      <c r="P748" s="669" t="n"/>
      <c r="Q748" s="669" t="n"/>
      <c r="R748" s="669" t="n"/>
      <c r="S748" s="669" t="n"/>
      <c r="T748" s="669" t="n"/>
      <c r="U748" s="669" t="n"/>
      <c r="V748" s="669" t="n"/>
      <c r="W748" s="669" t="n"/>
      <c r="X748" s="669" t="n"/>
      <c r="Y748" s="669" t="n"/>
      <c r="Z748" s="669" t="n"/>
      <c r="AA748" s="669" t="n"/>
      <c r="AB748" s="669" t="n"/>
    </row>
    <row r="749">
      <c r="I749" s="669" t="n"/>
      <c r="J749" s="669" t="n"/>
      <c r="K749" s="669" t="n"/>
      <c r="L749" s="669" t="n"/>
      <c r="M749" s="669" t="n"/>
      <c r="N749" s="669" t="n"/>
      <c r="O749" s="669" t="n"/>
      <c r="P749" s="669" t="n"/>
      <c r="Q749" s="669" t="n"/>
      <c r="R749" s="669" t="n"/>
      <c r="S749" s="669" t="n"/>
      <c r="T749" s="669" t="n"/>
      <c r="U749" s="669" t="n"/>
      <c r="V749" s="669" t="n"/>
      <c r="W749" s="669" t="n"/>
      <c r="X749" s="669" t="n"/>
      <c r="Y749" s="669" t="n"/>
      <c r="Z749" s="669" t="n"/>
      <c r="AA749" s="669" t="n"/>
      <c r="AB749" s="669" t="n"/>
    </row>
    <row r="750">
      <c r="I750" s="669" t="n"/>
      <c r="J750" s="669" t="n"/>
      <c r="K750" s="669" t="n"/>
      <c r="L750" s="669" t="n"/>
      <c r="M750" s="669" t="n"/>
      <c r="N750" s="669" t="n"/>
      <c r="O750" s="669" t="n"/>
      <c r="P750" s="669" t="n"/>
      <c r="Q750" s="669" t="n"/>
      <c r="R750" s="669" t="n"/>
      <c r="S750" s="669" t="n"/>
      <c r="T750" s="669" t="n"/>
      <c r="U750" s="669" t="n"/>
      <c r="V750" s="669" t="n"/>
      <c r="W750" s="669" t="n"/>
      <c r="X750" s="669" t="n"/>
      <c r="Y750" s="669" t="n"/>
      <c r="Z750" s="669" t="n"/>
      <c r="AA750" s="669" t="n"/>
      <c r="AB750" s="669" t="n"/>
    </row>
    <row r="751">
      <c r="I751" s="669" t="n"/>
      <c r="J751" s="669" t="n"/>
      <c r="K751" s="669" t="n"/>
      <c r="L751" s="669" t="n"/>
      <c r="M751" s="669" t="n"/>
      <c r="N751" s="669" t="n"/>
      <c r="O751" s="669" t="n"/>
      <c r="P751" s="669" t="n"/>
      <c r="Q751" s="669" t="n"/>
      <c r="R751" s="669" t="n"/>
      <c r="S751" s="669" t="n"/>
      <c r="T751" s="669" t="n"/>
      <c r="U751" s="669" t="n"/>
      <c r="V751" s="669" t="n"/>
      <c r="W751" s="669" t="n"/>
      <c r="X751" s="669" t="n"/>
      <c r="Y751" s="669" t="n"/>
      <c r="Z751" s="669" t="n"/>
      <c r="AA751" s="669" t="n"/>
      <c r="AB751" s="669" t="n"/>
    </row>
    <row r="752">
      <c r="I752" s="669" t="n"/>
      <c r="J752" s="669" t="n"/>
      <c r="K752" s="669" t="n"/>
      <c r="L752" s="669" t="n"/>
      <c r="M752" s="669" t="n"/>
      <c r="N752" s="669" t="n"/>
      <c r="O752" s="669" t="n"/>
      <c r="P752" s="669" t="n"/>
      <c r="Q752" s="669" t="n"/>
      <c r="R752" s="669" t="n"/>
      <c r="S752" s="669" t="n"/>
      <c r="T752" s="669" t="n"/>
      <c r="U752" s="669" t="n"/>
      <c r="V752" s="669" t="n"/>
      <c r="W752" s="669" t="n"/>
      <c r="X752" s="669" t="n"/>
      <c r="Y752" s="669" t="n"/>
      <c r="Z752" s="669" t="n"/>
      <c r="AA752" s="669" t="n"/>
      <c r="AB752" s="669" t="n"/>
    </row>
    <row r="753">
      <c r="I753" s="669" t="n"/>
      <c r="J753" s="669" t="n"/>
      <c r="K753" s="669" t="n"/>
      <c r="L753" s="669" t="n"/>
      <c r="M753" s="669" t="n"/>
      <c r="N753" s="669" t="n"/>
      <c r="O753" s="669" t="n"/>
      <c r="P753" s="669" t="n"/>
      <c r="Q753" s="669" t="n"/>
      <c r="R753" s="669" t="n"/>
      <c r="S753" s="669" t="n"/>
      <c r="T753" s="669" t="n"/>
      <c r="U753" s="669" t="n"/>
      <c r="V753" s="669" t="n"/>
      <c r="W753" s="669" t="n"/>
      <c r="X753" s="669" t="n"/>
      <c r="Y753" s="669" t="n"/>
      <c r="Z753" s="669" t="n"/>
      <c r="AA753" s="669" t="n"/>
      <c r="AB753" s="669" t="n"/>
    </row>
    <row r="754">
      <c r="I754" s="669" t="n"/>
      <c r="J754" s="669" t="n"/>
      <c r="K754" s="669" t="n"/>
      <c r="L754" s="669" t="n"/>
      <c r="M754" s="669" t="n"/>
      <c r="N754" s="669" t="n"/>
      <c r="O754" s="669" t="n"/>
      <c r="P754" s="669" t="n"/>
      <c r="Q754" s="669" t="n"/>
      <c r="R754" s="669" t="n"/>
      <c r="S754" s="669" t="n"/>
      <c r="T754" s="669" t="n"/>
      <c r="U754" s="669" t="n"/>
      <c r="V754" s="669" t="n"/>
      <c r="W754" s="669" t="n"/>
      <c r="X754" s="669" t="n"/>
      <c r="Y754" s="669" t="n"/>
      <c r="Z754" s="669" t="n"/>
      <c r="AA754" s="669" t="n"/>
      <c r="AB754" s="669" t="n"/>
    </row>
    <row r="755">
      <c r="I755" s="669" t="n"/>
      <c r="J755" s="669" t="n"/>
      <c r="K755" s="669" t="n"/>
      <c r="L755" s="669" t="n"/>
      <c r="M755" s="669" t="n"/>
      <c r="N755" s="669" t="n"/>
      <c r="O755" s="669" t="n"/>
      <c r="P755" s="669" t="n"/>
      <c r="Q755" s="669" t="n"/>
      <c r="R755" s="669" t="n"/>
      <c r="S755" s="669" t="n"/>
      <c r="T755" s="669" t="n"/>
      <c r="U755" s="669" t="n"/>
      <c r="V755" s="669" t="n"/>
      <c r="W755" s="669" t="n"/>
      <c r="X755" s="669" t="n"/>
      <c r="Y755" s="669" t="n"/>
      <c r="Z755" s="669" t="n"/>
      <c r="AA755" s="669" t="n"/>
      <c r="AB755" s="669" t="n"/>
    </row>
    <row r="756">
      <c r="I756" s="669" t="n"/>
      <c r="J756" s="669" t="n"/>
      <c r="K756" s="669" t="n"/>
      <c r="L756" s="669" t="n"/>
      <c r="M756" s="669" t="n"/>
      <c r="N756" s="669" t="n"/>
      <c r="O756" s="669" t="n"/>
      <c r="P756" s="669" t="n"/>
      <c r="Q756" s="669" t="n"/>
      <c r="R756" s="669" t="n"/>
      <c r="S756" s="669" t="n"/>
      <c r="T756" s="669" t="n"/>
      <c r="U756" s="669" t="n"/>
      <c r="V756" s="669" t="n"/>
      <c r="W756" s="669" t="n"/>
      <c r="X756" s="669" t="n"/>
      <c r="Y756" s="669" t="n"/>
      <c r="Z756" s="669" t="n"/>
      <c r="AA756" s="669" t="n"/>
      <c r="AB756" s="669" t="n"/>
    </row>
    <row r="757">
      <c r="I757" s="669" t="n"/>
      <c r="J757" s="669" t="n"/>
      <c r="K757" s="669" t="n"/>
      <c r="L757" s="669" t="n"/>
      <c r="M757" s="669" t="n"/>
      <c r="N757" s="669" t="n"/>
      <c r="O757" s="669" t="n"/>
      <c r="P757" s="669" t="n"/>
      <c r="Q757" s="669" t="n"/>
      <c r="R757" s="669" t="n"/>
      <c r="S757" s="669" t="n"/>
      <c r="T757" s="669" t="n"/>
      <c r="U757" s="669" t="n"/>
      <c r="V757" s="669" t="n"/>
      <c r="W757" s="669" t="n"/>
      <c r="X757" s="669" t="n"/>
      <c r="Y757" s="669" t="n"/>
      <c r="Z757" s="669" t="n"/>
      <c r="AA757" s="669" t="n"/>
      <c r="AB757" s="669" t="n"/>
    </row>
    <row r="758">
      <c r="I758" s="669" t="n"/>
      <c r="J758" s="669" t="n"/>
      <c r="K758" s="669" t="n"/>
      <c r="L758" s="669" t="n"/>
      <c r="M758" s="669" t="n"/>
      <c r="N758" s="669" t="n"/>
      <c r="O758" s="669" t="n"/>
      <c r="P758" s="669" t="n"/>
      <c r="Q758" s="669" t="n"/>
      <c r="R758" s="669" t="n"/>
      <c r="S758" s="669" t="n"/>
      <c r="T758" s="669" t="n"/>
      <c r="U758" s="669" t="n"/>
      <c r="V758" s="669" t="n"/>
      <c r="W758" s="669" t="n"/>
      <c r="X758" s="669" t="n"/>
      <c r="Y758" s="669" t="n"/>
      <c r="Z758" s="669" t="n"/>
      <c r="AA758" s="669" t="n"/>
      <c r="AB758" s="669" t="n"/>
    </row>
    <row r="759">
      <c r="I759" s="669" t="n"/>
      <c r="J759" s="669" t="n"/>
      <c r="K759" s="669" t="n"/>
      <c r="L759" s="669" t="n"/>
      <c r="M759" s="669" t="n"/>
      <c r="N759" s="669" t="n"/>
      <c r="O759" s="669" t="n"/>
      <c r="P759" s="669" t="n"/>
      <c r="Q759" s="669" t="n"/>
      <c r="R759" s="669" t="n"/>
      <c r="S759" s="669" t="n"/>
      <c r="T759" s="669" t="n"/>
      <c r="U759" s="669" t="n"/>
      <c r="V759" s="669" t="n"/>
      <c r="W759" s="669" t="n"/>
      <c r="X759" s="669" t="n"/>
      <c r="Y759" s="669" t="n"/>
      <c r="Z759" s="669" t="n"/>
      <c r="AA759" s="669" t="n"/>
      <c r="AB759" s="669" t="n"/>
    </row>
    <row r="760">
      <c r="I760" s="669" t="n"/>
      <c r="J760" s="669" t="n"/>
      <c r="K760" s="669" t="n"/>
      <c r="L760" s="669" t="n"/>
      <c r="M760" s="669" t="n"/>
      <c r="N760" s="669" t="n"/>
      <c r="O760" s="669" t="n"/>
      <c r="P760" s="669" t="n"/>
      <c r="Q760" s="669" t="n"/>
      <c r="R760" s="669" t="n"/>
      <c r="S760" s="669" t="n"/>
      <c r="T760" s="669" t="n"/>
      <c r="U760" s="669" t="n"/>
      <c r="V760" s="669" t="n"/>
      <c r="W760" s="669" t="n"/>
      <c r="X760" s="669" t="n"/>
      <c r="Y760" s="669" t="n"/>
      <c r="Z760" s="669" t="n"/>
      <c r="AA760" s="669" t="n"/>
      <c r="AB760" s="669" t="n"/>
    </row>
    <row r="761">
      <c r="I761" s="669" t="n"/>
      <c r="J761" s="669" t="n"/>
      <c r="K761" s="669" t="n"/>
      <c r="L761" s="669" t="n"/>
      <c r="M761" s="669" t="n"/>
      <c r="N761" s="669" t="n"/>
      <c r="O761" s="669" t="n"/>
      <c r="P761" s="669" t="n"/>
      <c r="Q761" s="669" t="n"/>
      <c r="R761" s="669" t="n"/>
      <c r="S761" s="669" t="n"/>
      <c r="T761" s="669" t="n"/>
      <c r="U761" s="669" t="n"/>
      <c r="V761" s="669" t="n"/>
      <c r="W761" s="669" t="n"/>
      <c r="X761" s="669" t="n"/>
      <c r="Y761" s="669" t="n"/>
      <c r="Z761" s="669" t="n"/>
      <c r="AA761" s="669" t="n"/>
      <c r="AB761" s="669" t="n"/>
    </row>
    <row r="762">
      <c r="I762" s="669" t="n"/>
      <c r="J762" s="669" t="n"/>
      <c r="K762" s="669" t="n"/>
      <c r="L762" s="669" t="n"/>
      <c r="M762" s="669" t="n"/>
      <c r="N762" s="669" t="n"/>
      <c r="O762" s="669" t="n"/>
      <c r="P762" s="669" t="n"/>
      <c r="Q762" s="669" t="n"/>
      <c r="R762" s="669" t="n"/>
      <c r="S762" s="669" t="n"/>
      <c r="T762" s="669" t="n"/>
      <c r="U762" s="669" t="n"/>
      <c r="V762" s="669" t="n"/>
      <c r="W762" s="669" t="n"/>
      <c r="X762" s="669" t="n"/>
      <c r="Y762" s="669" t="n"/>
      <c r="Z762" s="669" t="n"/>
      <c r="AA762" s="669" t="n"/>
      <c r="AB762" s="669" t="n"/>
    </row>
    <row r="763">
      <c r="I763" s="669" t="n"/>
      <c r="J763" s="669" t="n"/>
      <c r="K763" s="669" t="n"/>
      <c r="L763" s="669" t="n"/>
      <c r="M763" s="669" t="n"/>
      <c r="N763" s="669" t="n"/>
      <c r="O763" s="669" t="n"/>
      <c r="P763" s="669" t="n"/>
      <c r="Q763" s="669" t="n"/>
      <c r="R763" s="669" t="n"/>
      <c r="S763" s="669" t="n"/>
      <c r="T763" s="669" t="n"/>
      <c r="U763" s="669" t="n"/>
      <c r="V763" s="669" t="n"/>
      <c r="W763" s="669" t="n"/>
      <c r="X763" s="669" t="n"/>
      <c r="Y763" s="669" t="n"/>
      <c r="Z763" s="669" t="n"/>
      <c r="AA763" s="669" t="n"/>
      <c r="AB763" s="669" t="n"/>
    </row>
    <row r="764">
      <c r="I764" s="669" t="n"/>
      <c r="J764" s="669" t="n"/>
      <c r="K764" s="669" t="n"/>
      <c r="L764" s="669" t="n"/>
      <c r="M764" s="669" t="n"/>
      <c r="N764" s="669" t="n"/>
      <c r="O764" s="669" t="n"/>
      <c r="P764" s="669" t="n"/>
      <c r="Q764" s="669" t="n"/>
      <c r="R764" s="669" t="n"/>
      <c r="S764" s="669" t="n"/>
      <c r="T764" s="669" t="n"/>
      <c r="U764" s="669" t="n"/>
      <c r="V764" s="669" t="n"/>
      <c r="W764" s="669" t="n"/>
      <c r="X764" s="669" t="n"/>
      <c r="Y764" s="669" t="n"/>
      <c r="Z764" s="669" t="n"/>
      <c r="AA764" s="669" t="n"/>
      <c r="AB764" s="669" t="n"/>
    </row>
    <row r="765">
      <c r="I765" s="669" t="n"/>
      <c r="J765" s="669" t="n"/>
      <c r="K765" s="669" t="n"/>
      <c r="L765" s="669" t="n"/>
      <c r="M765" s="669" t="n"/>
      <c r="N765" s="669" t="n"/>
      <c r="O765" s="669" t="n"/>
      <c r="P765" s="669" t="n"/>
      <c r="Q765" s="669" t="n"/>
      <c r="R765" s="669" t="n"/>
      <c r="S765" s="669" t="n"/>
      <c r="T765" s="669" t="n"/>
      <c r="U765" s="669" t="n"/>
      <c r="V765" s="669" t="n"/>
      <c r="W765" s="669" t="n"/>
      <c r="X765" s="669" t="n"/>
      <c r="Y765" s="669" t="n"/>
      <c r="Z765" s="669" t="n"/>
      <c r="AA765" s="669" t="n"/>
      <c r="AB765" s="669" t="n"/>
    </row>
    <row r="766">
      <c r="I766" s="669" t="n"/>
      <c r="J766" s="669" t="n"/>
      <c r="K766" s="669" t="n"/>
      <c r="L766" s="669" t="n"/>
      <c r="M766" s="669" t="n"/>
      <c r="N766" s="669" t="n"/>
      <c r="O766" s="669" t="n"/>
      <c r="P766" s="669" t="n"/>
      <c r="Q766" s="669" t="n"/>
      <c r="R766" s="669" t="n"/>
      <c r="S766" s="669" t="n"/>
      <c r="T766" s="669" t="n"/>
      <c r="U766" s="669" t="n"/>
      <c r="V766" s="669" t="n"/>
      <c r="W766" s="669" t="n"/>
      <c r="X766" s="669" t="n"/>
      <c r="Y766" s="669" t="n"/>
      <c r="Z766" s="669" t="n"/>
      <c r="AA766" s="669" t="n"/>
      <c r="AB766" s="669" t="n"/>
    </row>
    <row r="767">
      <c r="I767" s="669" t="n"/>
      <c r="J767" s="669" t="n"/>
      <c r="K767" s="669" t="n"/>
      <c r="L767" s="669" t="n"/>
      <c r="M767" s="669" t="n"/>
      <c r="N767" s="669" t="n"/>
      <c r="O767" s="669" t="n"/>
      <c r="P767" s="669" t="n"/>
      <c r="Q767" s="669" t="n"/>
      <c r="R767" s="669" t="n"/>
      <c r="S767" s="669" t="n"/>
      <c r="T767" s="669" t="n"/>
      <c r="U767" s="669" t="n"/>
      <c r="V767" s="669" t="n"/>
      <c r="W767" s="669" t="n"/>
      <c r="X767" s="669" t="n"/>
      <c r="Y767" s="669" t="n"/>
      <c r="Z767" s="669" t="n"/>
      <c r="AA767" s="669" t="n"/>
      <c r="AB767" s="669" t="n"/>
    </row>
    <row r="768">
      <c r="I768" s="669" t="n"/>
      <c r="J768" s="669" t="n"/>
      <c r="K768" s="669" t="n"/>
      <c r="L768" s="669" t="n"/>
      <c r="M768" s="669" t="n"/>
      <c r="N768" s="669" t="n"/>
      <c r="O768" s="669" t="n"/>
      <c r="P768" s="669" t="n"/>
      <c r="Q768" s="669" t="n"/>
      <c r="R768" s="669" t="n"/>
      <c r="S768" s="669" t="n"/>
      <c r="T768" s="669" t="n"/>
      <c r="U768" s="669" t="n"/>
      <c r="V768" s="669" t="n"/>
      <c r="W768" s="669" t="n"/>
      <c r="X768" s="669" t="n"/>
      <c r="Y768" s="669" t="n"/>
      <c r="Z768" s="669" t="n"/>
      <c r="AA768" s="669" t="n"/>
      <c r="AB768" s="669" t="n"/>
    </row>
    <row r="769">
      <c r="I769" s="669" t="n"/>
      <c r="J769" s="669" t="n"/>
      <c r="K769" s="669" t="n"/>
      <c r="L769" s="669" t="n"/>
      <c r="M769" s="669" t="n"/>
      <c r="N769" s="669" t="n"/>
      <c r="O769" s="669" t="n"/>
      <c r="P769" s="669" t="n"/>
      <c r="Q769" s="669" t="n"/>
      <c r="R769" s="669" t="n"/>
      <c r="S769" s="669" t="n"/>
      <c r="T769" s="669" t="n"/>
      <c r="U769" s="669" t="n"/>
      <c r="V769" s="669" t="n"/>
      <c r="W769" s="669" t="n"/>
      <c r="X769" s="669" t="n"/>
      <c r="Y769" s="669" t="n"/>
      <c r="Z769" s="669" t="n"/>
      <c r="AA769" s="669" t="n"/>
      <c r="AB769" s="669" t="n"/>
    </row>
    <row r="770">
      <c r="I770" s="669" t="n"/>
      <c r="J770" s="669" t="n"/>
      <c r="K770" s="669" t="n"/>
      <c r="L770" s="669" t="n"/>
      <c r="M770" s="669" t="n"/>
      <c r="N770" s="669" t="n"/>
      <c r="O770" s="669" t="n"/>
      <c r="P770" s="669" t="n"/>
      <c r="Q770" s="669" t="n"/>
      <c r="R770" s="669" t="n"/>
      <c r="S770" s="669" t="n"/>
      <c r="T770" s="669" t="n"/>
      <c r="U770" s="669" t="n"/>
      <c r="V770" s="669" t="n"/>
      <c r="W770" s="669" t="n"/>
      <c r="X770" s="669" t="n"/>
      <c r="Y770" s="669" t="n"/>
      <c r="Z770" s="669" t="n"/>
      <c r="AA770" s="669" t="n"/>
      <c r="AB770" s="669" t="n"/>
    </row>
    <row r="771">
      <c r="I771" s="669" t="n"/>
      <c r="J771" s="669" t="n"/>
      <c r="K771" s="669" t="n"/>
      <c r="L771" s="669" t="n"/>
      <c r="M771" s="669" t="n"/>
      <c r="N771" s="669" t="n"/>
      <c r="O771" s="669" t="n"/>
      <c r="P771" s="669" t="n"/>
      <c r="Q771" s="669" t="n"/>
      <c r="R771" s="669" t="n"/>
      <c r="S771" s="669" t="n"/>
      <c r="T771" s="669" t="n"/>
      <c r="U771" s="669" t="n"/>
      <c r="V771" s="669" t="n"/>
      <c r="W771" s="669" t="n"/>
      <c r="X771" s="669" t="n"/>
      <c r="Y771" s="669" t="n"/>
      <c r="Z771" s="669" t="n"/>
      <c r="AA771" s="669" t="n"/>
      <c r="AB771" s="669" t="n"/>
    </row>
    <row r="772">
      <c r="I772" s="669" t="n"/>
      <c r="J772" s="669" t="n"/>
      <c r="K772" s="669" t="n"/>
      <c r="L772" s="669" t="n"/>
      <c r="M772" s="669" t="n"/>
      <c r="N772" s="669" t="n"/>
      <c r="O772" s="669" t="n"/>
      <c r="P772" s="669" t="n"/>
      <c r="Q772" s="669" t="n"/>
      <c r="R772" s="669" t="n"/>
      <c r="S772" s="669" t="n"/>
      <c r="T772" s="669" t="n"/>
      <c r="U772" s="669" t="n"/>
      <c r="V772" s="669" t="n"/>
      <c r="W772" s="669" t="n"/>
      <c r="X772" s="669" t="n"/>
      <c r="Y772" s="669" t="n"/>
      <c r="Z772" s="669" t="n"/>
      <c r="AA772" s="669" t="n"/>
      <c r="AB772" s="669" t="n"/>
    </row>
    <row r="773">
      <c r="I773" s="669" t="n"/>
      <c r="J773" s="669" t="n"/>
      <c r="K773" s="669" t="n"/>
      <c r="L773" s="669" t="n"/>
      <c r="M773" s="669" t="n"/>
      <c r="N773" s="669" t="n"/>
      <c r="O773" s="669" t="n"/>
      <c r="P773" s="669" t="n"/>
      <c r="Q773" s="669" t="n"/>
      <c r="R773" s="669" t="n"/>
      <c r="S773" s="669" t="n"/>
      <c r="T773" s="669" t="n"/>
      <c r="U773" s="669" t="n"/>
      <c r="V773" s="669" t="n"/>
      <c r="W773" s="669" t="n"/>
      <c r="X773" s="669" t="n"/>
      <c r="Y773" s="669" t="n"/>
      <c r="Z773" s="669" t="n"/>
      <c r="AA773" s="669" t="n"/>
      <c r="AB773" s="669" t="n"/>
    </row>
    <row r="774">
      <c r="I774" s="669" t="n"/>
      <c r="J774" s="669" t="n"/>
      <c r="K774" s="669" t="n"/>
      <c r="L774" s="669" t="n"/>
      <c r="M774" s="669" t="n"/>
      <c r="N774" s="669" t="n"/>
      <c r="O774" s="669" t="n"/>
      <c r="P774" s="669" t="n"/>
      <c r="Q774" s="669" t="n"/>
      <c r="R774" s="669" t="n"/>
      <c r="S774" s="669" t="n"/>
      <c r="T774" s="669" t="n"/>
      <c r="U774" s="669" t="n"/>
      <c r="V774" s="669" t="n"/>
      <c r="W774" s="669" t="n"/>
      <c r="X774" s="669" t="n"/>
      <c r="Y774" s="669" t="n"/>
      <c r="Z774" s="669" t="n"/>
      <c r="AA774" s="669" t="n"/>
      <c r="AB774" s="669" t="n"/>
    </row>
    <row r="775">
      <c r="I775" s="669" t="n"/>
      <c r="J775" s="669" t="n"/>
      <c r="K775" s="669" t="n"/>
      <c r="L775" s="669" t="n"/>
      <c r="M775" s="669" t="n"/>
      <c r="N775" s="669" t="n"/>
      <c r="O775" s="669" t="n"/>
      <c r="P775" s="669" t="n"/>
      <c r="Q775" s="669" t="n"/>
      <c r="R775" s="669" t="n"/>
      <c r="S775" s="669" t="n"/>
      <c r="T775" s="669" t="n"/>
      <c r="U775" s="669" t="n"/>
      <c r="V775" s="669" t="n"/>
      <c r="W775" s="669" t="n"/>
      <c r="X775" s="669" t="n"/>
      <c r="Y775" s="669" t="n"/>
      <c r="Z775" s="669" t="n"/>
      <c r="AA775" s="669" t="n"/>
      <c r="AB775" s="669" t="n"/>
    </row>
    <row r="776">
      <c r="I776" s="669" t="n"/>
      <c r="J776" s="669" t="n"/>
      <c r="K776" s="669" t="n"/>
      <c r="L776" s="669" t="n"/>
      <c r="M776" s="669" t="n"/>
      <c r="N776" s="669" t="n"/>
      <c r="O776" s="669" t="n"/>
      <c r="P776" s="669" t="n"/>
      <c r="Q776" s="669" t="n"/>
      <c r="R776" s="669" t="n"/>
      <c r="S776" s="669" t="n"/>
      <c r="T776" s="669" t="n"/>
      <c r="U776" s="669" t="n"/>
      <c r="V776" s="669" t="n"/>
      <c r="W776" s="669" t="n"/>
      <c r="X776" s="669" t="n"/>
      <c r="Y776" s="669" t="n"/>
      <c r="Z776" s="669" t="n"/>
      <c r="AA776" s="669" t="n"/>
      <c r="AB776" s="669" t="n"/>
    </row>
    <row r="777">
      <c r="I777" s="669" t="n"/>
      <c r="J777" s="669" t="n"/>
      <c r="K777" s="669" t="n"/>
      <c r="L777" s="669" t="n"/>
      <c r="M777" s="669" t="n"/>
      <c r="N777" s="669" t="n"/>
      <c r="O777" s="669" t="n"/>
      <c r="P777" s="669" t="n"/>
      <c r="Q777" s="669" t="n"/>
      <c r="R777" s="669" t="n"/>
      <c r="S777" s="669" t="n"/>
      <c r="T777" s="669" t="n"/>
      <c r="U777" s="669" t="n"/>
      <c r="V777" s="669" t="n"/>
      <c r="W777" s="669" t="n"/>
      <c r="X777" s="669" t="n"/>
      <c r="Y777" s="669" t="n"/>
      <c r="Z777" s="669" t="n"/>
      <c r="AA777" s="669" t="n"/>
      <c r="AB777" s="669" t="n"/>
    </row>
    <row r="778">
      <c r="I778" s="669" t="n"/>
      <c r="J778" s="669" t="n"/>
      <c r="K778" s="669" t="n"/>
      <c r="L778" s="669" t="n"/>
      <c r="M778" s="669" t="n"/>
      <c r="N778" s="669" t="n"/>
      <c r="O778" s="669" t="n"/>
      <c r="P778" s="669" t="n"/>
      <c r="Q778" s="669" t="n"/>
      <c r="R778" s="669" t="n"/>
      <c r="S778" s="669" t="n"/>
      <c r="T778" s="669" t="n"/>
      <c r="U778" s="669" t="n"/>
      <c r="V778" s="669" t="n"/>
      <c r="W778" s="669" t="n"/>
      <c r="X778" s="669" t="n"/>
      <c r="Y778" s="669" t="n"/>
      <c r="Z778" s="669" t="n"/>
      <c r="AA778" s="669" t="n"/>
      <c r="AB778" s="669" t="n"/>
    </row>
    <row r="779">
      <c r="I779" s="669" t="n"/>
      <c r="J779" s="669" t="n"/>
      <c r="K779" s="669" t="n"/>
      <c r="L779" s="669" t="n"/>
      <c r="M779" s="669" t="n"/>
      <c r="N779" s="669" t="n"/>
      <c r="O779" s="669" t="n"/>
      <c r="P779" s="669" t="n"/>
      <c r="Q779" s="669" t="n"/>
      <c r="R779" s="669" t="n"/>
      <c r="S779" s="669" t="n"/>
      <c r="T779" s="669" t="n"/>
      <c r="U779" s="669" t="n"/>
      <c r="V779" s="669" t="n"/>
      <c r="W779" s="669" t="n"/>
      <c r="X779" s="669" t="n"/>
      <c r="Y779" s="669" t="n"/>
      <c r="Z779" s="669" t="n"/>
      <c r="AA779" s="669" t="n"/>
      <c r="AB779" s="669" t="n"/>
    </row>
    <row r="780">
      <c r="I780" s="669" t="n"/>
      <c r="J780" s="669" t="n"/>
      <c r="K780" s="669" t="n"/>
      <c r="L780" s="669" t="n"/>
      <c r="M780" s="669" t="n"/>
      <c r="N780" s="669" t="n"/>
      <c r="O780" s="669" t="n"/>
      <c r="P780" s="669" t="n"/>
      <c r="Q780" s="669" t="n"/>
      <c r="R780" s="669" t="n"/>
      <c r="S780" s="669" t="n"/>
      <c r="T780" s="669" t="n"/>
      <c r="U780" s="669" t="n"/>
      <c r="V780" s="669" t="n"/>
      <c r="W780" s="669" t="n"/>
      <c r="X780" s="669" t="n"/>
      <c r="Y780" s="669" t="n"/>
      <c r="Z780" s="669" t="n"/>
      <c r="AA780" s="669" t="n"/>
      <c r="AB780" s="669" t="n"/>
    </row>
    <row r="781">
      <c r="I781" s="669" t="n"/>
      <c r="J781" s="669" t="n"/>
      <c r="K781" s="669" t="n"/>
      <c r="L781" s="669" t="n"/>
      <c r="M781" s="669" t="n"/>
      <c r="N781" s="669" t="n"/>
      <c r="O781" s="669" t="n"/>
      <c r="P781" s="669" t="n"/>
      <c r="Q781" s="669" t="n"/>
      <c r="R781" s="669" t="n"/>
      <c r="S781" s="669" t="n"/>
      <c r="T781" s="669" t="n"/>
      <c r="U781" s="669" t="n"/>
      <c r="V781" s="669" t="n"/>
      <c r="W781" s="669" t="n"/>
      <c r="X781" s="669" t="n"/>
      <c r="Y781" s="669" t="n"/>
      <c r="Z781" s="669" t="n"/>
      <c r="AA781" s="669" t="n"/>
      <c r="AB781" s="669" t="n"/>
    </row>
    <row r="782">
      <c r="I782" s="669" t="n"/>
      <c r="J782" s="669" t="n"/>
      <c r="K782" s="669" t="n"/>
      <c r="L782" s="669" t="n"/>
      <c r="M782" s="669" t="n"/>
      <c r="N782" s="669" t="n"/>
      <c r="O782" s="669" t="n"/>
      <c r="P782" s="669" t="n"/>
      <c r="Q782" s="669" t="n"/>
      <c r="R782" s="669" t="n"/>
      <c r="S782" s="669" t="n"/>
      <c r="T782" s="669" t="n"/>
      <c r="U782" s="669" t="n"/>
      <c r="V782" s="669" t="n"/>
      <c r="W782" s="669" t="n"/>
      <c r="X782" s="669" t="n"/>
      <c r="Y782" s="669" t="n"/>
      <c r="Z782" s="669" t="n"/>
      <c r="AA782" s="669" t="n"/>
      <c r="AB782" s="669" t="n"/>
    </row>
    <row r="783">
      <c r="I783" s="669" t="n"/>
      <c r="J783" s="669" t="n"/>
      <c r="K783" s="669" t="n"/>
      <c r="L783" s="669" t="n"/>
      <c r="M783" s="669" t="n"/>
      <c r="N783" s="669" t="n"/>
      <c r="O783" s="669" t="n"/>
      <c r="P783" s="669" t="n"/>
      <c r="Q783" s="669" t="n"/>
      <c r="R783" s="669" t="n"/>
      <c r="S783" s="669" t="n"/>
      <c r="T783" s="669" t="n"/>
      <c r="U783" s="669" t="n"/>
      <c r="V783" s="669" t="n"/>
      <c r="W783" s="669" t="n"/>
      <c r="X783" s="669" t="n"/>
      <c r="Y783" s="669" t="n"/>
      <c r="Z783" s="669" t="n"/>
      <c r="AA783" s="669" t="n"/>
      <c r="AB783" s="669" t="n"/>
    </row>
    <row r="784">
      <c r="I784" s="669" t="n"/>
      <c r="J784" s="669" t="n"/>
      <c r="K784" s="669" t="n"/>
      <c r="L784" s="669" t="n"/>
      <c r="M784" s="669" t="n"/>
      <c r="N784" s="669" t="n"/>
      <c r="O784" s="669" t="n"/>
      <c r="P784" s="669" t="n"/>
      <c r="Q784" s="669" t="n"/>
      <c r="R784" s="669" t="n"/>
      <c r="S784" s="669" t="n"/>
      <c r="T784" s="669" t="n"/>
      <c r="U784" s="669" t="n"/>
      <c r="V784" s="669" t="n"/>
      <c r="W784" s="669" t="n"/>
      <c r="X784" s="669" t="n"/>
      <c r="Y784" s="669" t="n"/>
      <c r="Z784" s="669" t="n"/>
      <c r="AA784" s="669" t="n"/>
      <c r="AB784" s="669" t="n"/>
    </row>
    <row r="785">
      <c r="I785" s="669" t="n"/>
      <c r="J785" s="669" t="n"/>
      <c r="K785" s="669" t="n"/>
      <c r="L785" s="669" t="n"/>
      <c r="M785" s="669" t="n"/>
      <c r="N785" s="669" t="n"/>
      <c r="O785" s="669" t="n"/>
      <c r="P785" s="669" t="n"/>
      <c r="Q785" s="669" t="n"/>
      <c r="R785" s="669" t="n"/>
      <c r="S785" s="669" t="n"/>
      <c r="T785" s="669" t="n"/>
      <c r="U785" s="669" t="n"/>
      <c r="V785" s="669" t="n"/>
      <c r="W785" s="669" t="n"/>
      <c r="X785" s="669" t="n"/>
      <c r="Y785" s="669" t="n"/>
      <c r="Z785" s="669" t="n"/>
      <c r="AA785" s="669" t="n"/>
      <c r="AB785" s="669" t="n"/>
    </row>
    <row r="786">
      <c r="I786" s="669" t="n"/>
      <c r="J786" s="669" t="n"/>
      <c r="K786" s="669" t="n"/>
      <c r="L786" s="669" t="n"/>
      <c r="M786" s="669" t="n"/>
      <c r="N786" s="669" t="n"/>
      <c r="O786" s="669" t="n"/>
      <c r="P786" s="669" t="n"/>
      <c r="Q786" s="669" t="n"/>
      <c r="R786" s="669" t="n"/>
      <c r="S786" s="669" t="n"/>
      <c r="T786" s="669" t="n"/>
      <c r="U786" s="669" t="n"/>
      <c r="V786" s="669" t="n"/>
      <c r="W786" s="669" t="n"/>
      <c r="X786" s="669" t="n"/>
      <c r="Y786" s="669" t="n"/>
      <c r="Z786" s="669" t="n"/>
      <c r="AA786" s="669" t="n"/>
      <c r="AB786" s="669" t="n"/>
    </row>
    <row r="787">
      <c r="I787" s="669" t="n"/>
      <c r="J787" s="669" t="n"/>
      <c r="K787" s="669" t="n"/>
      <c r="L787" s="669" t="n"/>
      <c r="M787" s="669" t="n"/>
      <c r="N787" s="669" t="n"/>
      <c r="O787" s="669" t="n"/>
      <c r="P787" s="669" t="n"/>
      <c r="Q787" s="669" t="n"/>
      <c r="R787" s="669" t="n"/>
      <c r="S787" s="669" t="n"/>
      <c r="T787" s="669" t="n"/>
      <c r="U787" s="669" t="n"/>
      <c r="V787" s="669" t="n"/>
      <c r="W787" s="669" t="n"/>
      <c r="X787" s="669" t="n"/>
      <c r="Y787" s="669" t="n"/>
      <c r="Z787" s="669" t="n"/>
      <c r="AA787" s="669" t="n"/>
      <c r="AB787" s="669" t="n"/>
    </row>
    <row r="788">
      <c r="I788" s="669" t="n"/>
      <c r="J788" s="669" t="n"/>
      <c r="K788" s="669" t="n"/>
      <c r="L788" s="669" t="n"/>
      <c r="M788" s="669" t="n"/>
      <c r="N788" s="669" t="n"/>
      <c r="O788" s="669" t="n"/>
      <c r="P788" s="669" t="n"/>
      <c r="Q788" s="669" t="n"/>
      <c r="R788" s="669" t="n"/>
      <c r="S788" s="669" t="n"/>
      <c r="T788" s="669" t="n"/>
      <c r="U788" s="669" t="n"/>
      <c r="V788" s="669" t="n"/>
      <c r="W788" s="669" t="n"/>
      <c r="X788" s="669" t="n"/>
      <c r="Y788" s="669" t="n"/>
      <c r="Z788" s="669" t="n"/>
      <c r="AA788" s="669" t="n"/>
      <c r="AB788" s="669" t="n"/>
    </row>
    <row r="789">
      <c r="I789" s="669" t="n"/>
      <c r="J789" s="669" t="n"/>
      <c r="K789" s="669" t="n"/>
      <c r="L789" s="669" t="n"/>
      <c r="M789" s="669" t="n"/>
      <c r="N789" s="669" t="n"/>
      <c r="O789" s="669" t="n"/>
      <c r="P789" s="669" t="n"/>
      <c r="Q789" s="669" t="n"/>
      <c r="R789" s="669" t="n"/>
      <c r="S789" s="669" t="n"/>
      <c r="T789" s="669" t="n"/>
      <c r="U789" s="669" t="n"/>
      <c r="V789" s="669" t="n"/>
      <c r="W789" s="669" t="n"/>
      <c r="X789" s="669" t="n"/>
      <c r="Y789" s="669" t="n"/>
      <c r="Z789" s="669" t="n"/>
      <c r="AA789" s="669" t="n"/>
      <c r="AB789" s="669" t="n"/>
    </row>
    <row r="790">
      <c r="I790" s="669" t="n"/>
      <c r="J790" s="669" t="n"/>
      <c r="K790" s="669" t="n"/>
      <c r="L790" s="669" t="n"/>
      <c r="M790" s="669" t="n"/>
      <c r="N790" s="669" t="n"/>
      <c r="O790" s="669" t="n"/>
      <c r="P790" s="669" t="n"/>
      <c r="Q790" s="669" t="n"/>
      <c r="R790" s="669" t="n"/>
      <c r="S790" s="669" t="n"/>
      <c r="T790" s="669" t="n"/>
      <c r="U790" s="669" t="n"/>
      <c r="V790" s="669" t="n"/>
      <c r="W790" s="669" t="n"/>
      <c r="X790" s="669" t="n"/>
      <c r="Y790" s="669" t="n"/>
      <c r="Z790" s="669" t="n"/>
      <c r="AA790" s="669" t="n"/>
      <c r="AB790" s="669" t="n"/>
    </row>
    <row r="791">
      <c r="I791" s="669" t="n"/>
      <c r="J791" s="669" t="n"/>
      <c r="K791" s="669" t="n"/>
      <c r="L791" s="669" t="n"/>
      <c r="M791" s="669" t="n"/>
      <c r="N791" s="669" t="n"/>
      <c r="O791" s="669" t="n"/>
      <c r="P791" s="669" t="n"/>
      <c r="Q791" s="669" t="n"/>
      <c r="R791" s="669" t="n"/>
      <c r="S791" s="669" t="n"/>
      <c r="T791" s="669" t="n"/>
      <c r="U791" s="669" t="n"/>
      <c r="V791" s="669" t="n"/>
      <c r="W791" s="669" t="n"/>
      <c r="X791" s="669" t="n"/>
      <c r="Y791" s="669" t="n"/>
      <c r="Z791" s="669" t="n"/>
      <c r="AA791" s="669" t="n"/>
      <c r="AB791" s="669" t="n"/>
    </row>
    <row r="792">
      <c r="I792" s="669" t="n"/>
      <c r="J792" s="669" t="n"/>
      <c r="K792" s="669" t="n"/>
      <c r="L792" s="669" t="n"/>
      <c r="M792" s="669" t="n"/>
      <c r="N792" s="669" t="n"/>
      <c r="O792" s="669" t="n"/>
      <c r="P792" s="669" t="n"/>
      <c r="Q792" s="669" t="n"/>
      <c r="R792" s="669" t="n"/>
      <c r="S792" s="669" t="n"/>
      <c r="T792" s="669" t="n"/>
      <c r="U792" s="669" t="n"/>
      <c r="V792" s="669" t="n"/>
      <c r="W792" s="669" t="n"/>
      <c r="X792" s="669" t="n"/>
      <c r="Y792" s="669" t="n"/>
      <c r="Z792" s="669" t="n"/>
      <c r="AA792" s="669" t="n"/>
      <c r="AB792" s="669" t="n"/>
    </row>
    <row r="793">
      <c r="I793" s="669" t="n"/>
      <c r="J793" s="669" t="n"/>
      <c r="K793" s="669" t="n"/>
      <c r="L793" s="669" t="n"/>
      <c r="M793" s="669" t="n"/>
      <c r="N793" s="669" t="n"/>
      <c r="O793" s="669" t="n"/>
      <c r="P793" s="669" t="n"/>
      <c r="Q793" s="669" t="n"/>
      <c r="R793" s="669" t="n"/>
      <c r="S793" s="669" t="n"/>
      <c r="T793" s="669" t="n"/>
      <c r="U793" s="669" t="n"/>
      <c r="V793" s="669" t="n"/>
      <c r="W793" s="669" t="n"/>
      <c r="X793" s="669" t="n"/>
      <c r="Y793" s="669" t="n"/>
      <c r="Z793" s="669" t="n"/>
      <c r="AA793" s="669" t="n"/>
      <c r="AB793" s="669" t="n"/>
    </row>
    <row r="794">
      <c r="I794" s="669" t="n"/>
      <c r="J794" s="669" t="n"/>
      <c r="K794" s="669" t="n"/>
      <c r="L794" s="669" t="n"/>
      <c r="M794" s="669" t="n"/>
      <c r="N794" s="669" t="n"/>
      <c r="O794" s="669" t="n"/>
      <c r="P794" s="669" t="n"/>
      <c r="Q794" s="669" t="n"/>
      <c r="R794" s="669" t="n"/>
      <c r="S794" s="669" t="n"/>
      <c r="T794" s="669" t="n"/>
      <c r="U794" s="669" t="n"/>
      <c r="V794" s="669" t="n"/>
      <c r="W794" s="669" t="n"/>
      <c r="X794" s="669" t="n"/>
      <c r="Y794" s="669" t="n"/>
      <c r="Z794" s="669" t="n"/>
      <c r="AA794" s="669" t="n"/>
      <c r="AB794" s="669" t="n"/>
    </row>
    <row r="795">
      <c r="I795" s="669" t="n"/>
      <c r="J795" s="669" t="n"/>
      <c r="K795" s="669" t="n"/>
      <c r="L795" s="669" t="n"/>
      <c r="M795" s="669" t="n"/>
      <c r="N795" s="669" t="n"/>
      <c r="O795" s="669" t="n"/>
      <c r="P795" s="669" t="n"/>
      <c r="Q795" s="669" t="n"/>
      <c r="R795" s="669" t="n"/>
      <c r="S795" s="669" t="n"/>
      <c r="T795" s="669" t="n"/>
      <c r="U795" s="669" t="n"/>
      <c r="V795" s="669" t="n"/>
      <c r="W795" s="669" t="n"/>
      <c r="X795" s="669" t="n"/>
      <c r="Y795" s="669" t="n"/>
      <c r="Z795" s="669" t="n"/>
      <c r="AA795" s="669" t="n"/>
      <c r="AB795" s="669" t="n"/>
    </row>
    <row r="796">
      <c r="I796" s="669" t="n"/>
      <c r="J796" s="669" t="n"/>
      <c r="K796" s="669" t="n"/>
      <c r="L796" s="669" t="n"/>
      <c r="M796" s="669" t="n"/>
      <c r="N796" s="669" t="n"/>
      <c r="O796" s="669" t="n"/>
      <c r="P796" s="669" t="n"/>
      <c r="Q796" s="669" t="n"/>
      <c r="R796" s="669" t="n"/>
      <c r="S796" s="669" t="n"/>
      <c r="T796" s="669" t="n"/>
      <c r="U796" s="669" t="n"/>
      <c r="V796" s="669" t="n"/>
      <c r="W796" s="669" t="n"/>
      <c r="X796" s="669" t="n"/>
      <c r="Y796" s="669" t="n"/>
      <c r="Z796" s="669" t="n"/>
      <c r="AA796" s="669" t="n"/>
      <c r="AB796" s="669" t="n"/>
    </row>
    <row r="797">
      <c r="I797" s="669" t="n"/>
      <c r="J797" s="669" t="n"/>
      <c r="K797" s="669" t="n"/>
      <c r="L797" s="669" t="n"/>
      <c r="M797" s="669" t="n"/>
      <c r="N797" s="669" t="n"/>
      <c r="O797" s="669" t="n"/>
      <c r="P797" s="669" t="n"/>
      <c r="Q797" s="669" t="n"/>
      <c r="R797" s="669" t="n"/>
      <c r="S797" s="669" t="n"/>
      <c r="T797" s="669" t="n"/>
      <c r="U797" s="669" t="n"/>
      <c r="V797" s="669" t="n"/>
      <c r="W797" s="669" t="n"/>
      <c r="X797" s="669" t="n"/>
      <c r="Y797" s="669" t="n"/>
      <c r="Z797" s="669" t="n"/>
      <c r="AA797" s="669" t="n"/>
      <c r="AB797" s="669" t="n"/>
    </row>
    <row r="798">
      <c r="I798" s="669" t="n"/>
      <c r="J798" s="669" t="n"/>
      <c r="K798" s="669" t="n"/>
      <c r="L798" s="669" t="n"/>
      <c r="M798" s="669" t="n"/>
      <c r="N798" s="669" t="n"/>
      <c r="O798" s="669" t="n"/>
      <c r="P798" s="669" t="n"/>
      <c r="Q798" s="669" t="n"/>
      <c r="R798" s="669" t="n"/>
      <c r="S798" s="669" t="n"/>
      <c r="T798" s="669" t="n"/>
      <c r="U798" s="669" t="n"/>
      <c r="V798" s="669" t="n"/>
      <c r="W798" s="669" t="n"/>
      <c r="X798" s="669" t="n"/>
      <c r="Y798" s="669" t="n"/>
      <c r="Z798" s="669" t="n"/>
      <c r="AA798" s="669" t="n"/>
      <c r="AB798" s="669" t="n"/>
    </row>
    <row r="799">
      <c r="I799" s="669" t="n"/>
      <c r="J799" s="669" t="n"/>
      <c r="K799" s="669" t="n"/>
      <c r="L799" s="669" t="n"/>
      <c r="M799" s="669" t="n"/>
      <c r="N799" s="669" t="n"/>
      <c r="O799" s="669" t="n"/>
      <c r="P799" s="669" t="n"/>
      <c r="Q799" s="669" t="n"/>
      <c r="R799" s="669" t="n"/>
      <c r="S799" s="669" t="n"/>
      <c r="T799" s="669" t="n"/>
      <c r="U799" s="669" t="n"/>
      <c r="V799" s="669" t="n"/>
      <c r="W799" s="669" t="n"/>
      <c r="X799" s="669" t="n"/>
      <c r="Y799" s="669" t="n"/>
      <c r="Z799" s="669" t="n"/>
      <c r="AA799" s="669" t="n"/>
      <c r="AB799" s="669" t="n"/>
    </row>
    <row r="800">
      <c r="I800" s="669" t="n"/>
      <c r="J800" s="669" t="n"/>
      <c r="K800" s="669" t="n"/>
      <c r="L800" s="669" t="n"/>
      <c r="M800" s="669" t="n"/>
      <c r="N800" s="669" t="n"/>
      <c r="O800" s="669" t="n"/>
      <c r="P800" s="669" t="n"/>
      <c r="Q800" s="669" t="n"/>
      <c r="R800" s="669" t="n"/>
      <c r="S800" s="669" t="n"/>
      <c r="T800" s="669" t="n"/>
      <c r="U800" s="669" t="n"/>
      <c r="V800" s="669" t="n"/>
      <c r="W800" s="669" t="n"/>
      <c r="X800" s="669" t="n"/>
      <c r="Y800" s="669" t="n"/>
      <c r="Z800" s="669" t="n"/>
      <c r="AA800" s="669" t="n"/>
      <c r="AB800" s="669" t="n"/>
    </row>
    <row r="801">
      <c r="I801" s="669" t="n"/>
      <c r="J801" s="669" t="n"/>
      <c r="K801" s="669" t="n"/>
      <c r="L801" s="669" t="n"/>
      <c r="M801" s="669" t="n"/>
      <c r="N801" s="669" t="n"/>
      <c r="O801" s="669" t="n"/>
      <c r="P801" s="669" t="n"/>
      <c r="Q801" s="669" t="n"/>
      <c r="R801" s="669" t="n"/>
      <c r="S801" s="669" t="n"/>
      <c r="T801" s="669" t="n"/>
      <c r="U801" s="669" t="n"/>
      <c r="V801" s="669" t="n"/>
      <c r="W801" s="669" t="n"/>
      <c r="X801" s="669" t="n"/>
      <c r="Y801" s="669" t="n"/>
      <c r="Z801" s="669" t="n"/>
      <c r="AA801" s="669" t="n"/>
      <c r="AB801" s="669" t="n"/>
    </row>
    <row r="802">
      <c r="I802" s="669" t="n"/>
      <c r="J802" s="669" t="n"/>
      <c r="K802" s="669" t="n"/>
      <c r="L802" s="669" t="n"/>
      <c r="M802" s="669" t="n"/>
      <c r="N802" s="669" t="n"/>
      <c r="O802" s="669" t="n"/>
      <c r="P802" s="669" t="n"/>
      <c r="Q802" s="669" t="n"/>
      <c r="R802" s="669" t="n"/>
      <c r="S802" s="669" t="n"/>
      <c r="T802" s="669" t="n"/>
      <c r="U802" s="669" t="n"/>
      <c r="V802" s="669" t="n"/>
      <c r="W802" s="669" t="n"/>
      <c r="X802" s="669" t="n"/>
      <c r="Y802" s="669" t="n"/>
      <c r="Z802" s="669" t="n"/>
      <c r="AA802" s="669" t="n"/>
      <c r="AB802" s="669" t="n"/>
    </row>
    <row r="803">
      <c r="I803" s="669" t="n"/>
      <c r="J803" s="669" t="n"/>
      <c r="K803" s="669" t="n"/>
      <c r="L803" s="669" t="n"/>
      <c r="M803" s="669" t="n"/>
      <c r="N803" s="669" t="n"/>
      <c r="O803" s="669" t="n"/>
      <c r="P803" s="669" t="n"/>
      <c r="Q803" s="669" t="n"/>
      <c r="R803" s="669" t="n"/>
      <c r="S803" s="669" t="n"/>
      <c r="T803" s="669" t="n"/>
      <c r="U803" s="669" t="n"/>
      <c r="V803" s="669" t="n"/>
      <c r="W803" s="669" t="n"/>
      <c r="X803" s="669" t="n"/>
      <c r="Y803" s="669" t="n"/>
      <c r="Z803" s="669" t="n"/>
      <c r="AA803" s="669" t="n"/>
      <c r="AB803" s="669" t="n"/>
    </row>
    <row r="804">
      <c r="I804" s="669" t="n"/>
      <c r="J804" s="669" t="n"/>
      <c r="K804" s="669" t="n"/>
      <c r="L804" s="669" t="n"/>
      <c r="M804" s="669" t="n"/>
      <c r="N804" s="669" t="n"/>
      <c r="O804" s="669" t="n"/>
      <c r="P804" s="669" t="n"/>
      <c r="Q804" s="669" t="n"/>
      <c r="R804" s="669" t="n"/>
      <c r="S804" s="669" t="n"/>
      <c r="T804" s="669" t="n"/>
      <c r="U804" s="669" t="n"/>
      <c r="V804" s="669" t="n"/>
      <c r="W804" s="669" t="n"/>
      <c r="X804" s="669" t="n"/>
      <c r="Y804" s="669" t="n"/>
      <c r="Z804" s="669" t="n"/>
      <c r="AA804" s="669" t="n"/>
      <c r="AB804" s="669" t="n"/>
    </row>
    <row r="805">
      <c r="I805" s="669" t="n"/>
      <c r="J805" s="669" t="n"/>
      <c r="K805" s="669" t="n"/>
      <c r="L805" s="669" t="n"/>
      <c r="M805" s="669" t="n"/>
      <c r="N805" s="669" t="n"/>
      <c r="O805" s="669" t="n"/>
      <c r="P805" s="669" t="n"/>
      <c r="Q805" s="669" t="n"/>
      <c r="R805" s="669" t="n"/>
      <c r="S805" s="669" t="n"/>
      <c r="T805" s="669" t="n"/>
      <c r="U805" s="669" t="n"/>
      <c r="V805" s="669" t="n"/>
      <c r="W805" s="669" t="n"/>
      <c r="X805" s="669" t="n"/>
      <c r="Y805" s="669" t="n"/>
      <c r="Z805" s="669" t="n"/>
      <c r="AA805" s="669" t="n"/>
      <c r="AB805" s="669" t="n"/>
    </row>
    <row r="806">
      <c r="I806" s="669" t="n"/>
      <c r="J806" s="669" t="n"/>
      <c r="K806" s="669" t="n"/>
      <c r="L806" s="669" t="n"/>
      <c r="M806" s="669" t="n"/>
      <c r="N806" s="669" t="n"/>
      <c r="O806" s="669" t="n"/>
      <c r="P806" s="669" t="n"/>
      <c r="Q806" s="669" t="n"/>
      <c r="R806" s="669" t="n"/>
      <c r="S806" s="669" t="n"/>
      <c r="T806" s="669" t="n"/>
      <c r="U806" s="669" t="n"/>
      <c r="V806" s="669" t="n"/>
      <c r="W806" s="669" t="n"/>
      <c r="X806" s="669" t="n"/>
      <c r="Y806" s="669" t="n"/>
      <c r="Z806" s="669" t="n"/>
      <c r="AA806" s="669" t="n"/>
      <c r="AB806" s="669" t="n"/>
    </row>
    <row r="807">
      <c r="I807" s="669" t="n"/>
      <c r="J807" s="669" t="n"/>
      <c r="K807" s="669" t="n"/>
      <c r="L807" s="669" t="n"/>
      <c r="M807" s="669" t="n"/>
      <c r="N807" s="669" t="n"/>
      <c r="O807" s="669" t="n"/>
      <c r="P807" s="669" t="n"/>
      <c r="Q807" s="669" t="n"/>
      <c r="R807" s="669" t="n"/>
      <c r="S807" s="669" t="n"/>
      <c r="T807" s="669" t="n"/>
      <c r="U807" s="669" t="n"/>
      <c r="V807" s="669" t="n"/>
      <c r="W807" s="669" t="n"/>
      <c r="X807" s="669" t="n"/>
      <c r="Y807" s="669" t="n"/>
      <c r="Z807" s="669" t="n"/>
      <c r="AA807" s="669" t="n"/>
      <c r="AB807" s="669" t="n"/>
    </row>
    <row r="808">
      <c r="I808" s="669" t="n"/>
      <c r="J808" s="669" t="n"/>
      <c r="K808" s="669" t="n"/>
      <c r="L808" s="669" t="n"/>
      <c r="M808" s="669" t="n"/>
      <c r="N808" s="669" t="n"/>
      <c r="O808" s="669" t="n"/>
      <c r="P808" s="669" t="n"/>
      <c r="Q808" s="669" t="n"/>
      <c r="R808" s="669" t="n"/>
      <c r="S808" s="669" t="n"/>
      <c r="T808" s="669" t="n"/>
      <c r="U808" s="669" t="n"/>
      <c r="V808" s="669" t="n"/>
      <c r="W808" s="669" t="n"/>
      <c r="X808" s="669" t="n"/>
      <c r="Y808" s="669" t="n"/>
      <c r="Z808" s="669" t="n"/>
      <c r="AA808" s="669" t="n"/>
      <c r="AB808" s="669" t="n"/>
    </row>
    <row r="809">
      <c r="I809" s="669" t="n"/>
      <c r="J809" s="669" t="n"/>
      <c r="K809" s="669" t="n"/>
      <c r="L809" s="669" t="n"/>
      <c r="M809" s="669" t="n"/>
      <c r="N809" s="669" t="n"/>
      <c r="O809" s="669" t="n"/>
      <c r="P809" s="669" t="n"/>
      <c r="Q809" s="669" t="n"/>
      <c r="R809" s="669" t="n"/>
      <c r="S809" s="669" t="n"/>
      <c r="T809" s="669" t="n"/>
      <c r="U809" s="669" t="n"/>
      <c r="V809" s="669" t="n"/>
      <c r="W809" s="669" t="n"/>
      <c r="X809" s="669" t="n"/>
      <c r="Y809" s="669" t="n"/>
      <c r="Z809" s="669" t="n"/>
      <c r="AA809" s="669" t="n"/>
      <c r="AB809" s="669" t="n"/>
    </row>
    <row r="810">
      <c r="I810" s="669" t="n"/>
      <c r="J810" s="669" t="n"/>
      <c r="K810" s="669" t="n"/>
      <c r="L810" s="669" t="n"/>
      <c r="M810" s="669" t="n"/>
      <c r="N810" s="669" t="n"/>
      <c r="O810" s="669" t="n"/>
      <c r="P810" s="669" t="n"/>
      <c r="Q810" s="669" t="n"/>
      <c r="R810" s="669" t="n"/>
      <c r="S810" s="669" t="n"/>
      <c r="T810" s="669" t="n"/>
      <c r="U810" s="669" t="n"/>
      <c r="V810" s="669" t="n"/>
      <c r="W810" s="669" t="n"/>
      <c r="X810" s="669" t="n"/>
      <c r="Y810" s="669" t="n"/>
      <c r="Z810" s="669" t="n"/>
      <c r="AA810" s="669" t="n"/>
      <c r="AB810" s="669" t="n"/>
    </row>
    <row r="811">
      <c r="I811" s="669" t="n"/>
      <c r="J811" s="669" t="n"/>
      <c r="K811" s="669" t="n"/>
      <c r="L811" s="669" t="n"/>
      <c r="M811" s="669" t="n"/>
      <c r="N811" s="669" t="n"/>
      <c r="O811" s="669" t="n"/>
      <c r="P811" s="669" t="n"/>
      <c r="Q811" s="669" t="n"/>
      <c r="R811" s="669" t="n"/>
      <c r="S811" s="669" t="n"/>
      <c r="T811" s="669" t="n"/>
      <c r="U811" s="669" t="n"/>
      <c r="V811" s="669" t="n"/>
      <c r="W811" s="669" t="n"/>
      <c r="X811" s="669" t="n"/>
      <c r="Y811" s="669" t="n"/>
      <c r="Z811" s="669" t="n"/>
      <c r="AA811" s="669" t="n"/>
      <c r="AB811" s="669" t="n"/>
    </row>
    <row r="812">
      <c r="I812" s="669" t="n"/>
      <c r="J812" s="669" t="n"/>
      <c r="K812" s="669" t="n"/>
      <c r="L812" s="669" t="n"/>
      <c r="M812" s="669" t="n"/>
      <c r="N812" s="669" t="n"/>
      <c r="O812" s="669" t="n"/>
      <c r="P812" s="669" t="n"/>
      <c r="Q812" s="669" t="n"/>
      <c r="R812" s="669" t="n"/>
      <c r="S812" s="669" t="n"/>
      <c r="T812" s="669" t="n"/>
      <c r="U812" s="669" t="n"/>
      <c r="V812" s="669" t="n"/>
      <c r="W812" s="669" t="n"/>
      <c r="X812" s="669" t="n"/>
      <c r="Y812" s="669" t="n"/>
      <c r="Z812" s="669" t="n"/>
      <c r="AA812" s="669" t="n"/>
      <c r="AB812" s="669" t="n"/>
    </row>
    <row r="813">
      <c r="I813" s="669" t="n"/>
      <c r="J813" s="669" t="n"/>
      <c r="K813" s="669" t="n"/>
      <c r="L813" s="669" t="n"/>
      <c r="M813" s="669" t="n"/>
      <c r="N813" s="669" t="n"/>
      <c r="O813" s="669" t="n"/>
      <c r="P813" s="669" t="n"/>
      <c r="Q813" s="669" t="n"/>
      <c r="R813" s="669" t="n"/>
      <c r="S813" s="669" t="n"/>
      <c r="T813" s="669" t="n"/>
      <c r="U813" s="669" t="n"/>
      <c r="V813" s="669" t="n"/>
      <c r="W813" s="669" t="n"/>
      <c r="X813" s="669" t="n"/>
      <c r="Y813" s="669" t="n"/>
      <c r="Z813" s="669" t="n"/>
      <c r="AA813" s="669" t="n"/>
      <c r="AB813" s="669" t="n"/>
    </row>
    <row r="814">
      <c r="I814" s="669" t="n"/>
      <c r="J814" s="669" t="n"/>
      <c r="K814" s="669" t="n"/>
      <c r="L814" s="669" t="n"/>
      <c r="M814" s="669" t="n"/>
      <c r="N814" s="669" t="n"/>
      <c r="O814" s="669" t="n"/>
      <c r="P814" s="669" t="n"/>
      <c r="Q814" s="669" t="n"/>
      <c r="R814" s="669" t="n"/>
      <c r="S814" s="669" t="n"/>
      <c r="T814" s="669" t="n"/>
      <c r="U814" s="669" t="n"/>
      <c r="V814" s="669" t="n"/>
      <c r="W814" s="669" t="n"/>
      <c r="X814" s="669" t="n"/>
      <c r="Y814" s="669" t="n"/>
      <c r="Z814" s="669" t="n"/>
      <c r="AA814" s="669" t="n"/>
      <c r="AB814" s="669" t="n"/>
    </row>
    <row r="815">
      <c r="I815" s="669" t="n"/>
      <c r="J815" s="669" t="n"/>
      <c r="K815" s="669" t="n"/>
      <c r="L815" s="669" t="n"/>
      <c r="M815" s="669" t="n"/>
      <c r="N815" s="669" t="n"/>
      <c r="O815" s="669" t="n"/>
      <c r="P815" s="669" t="n"/>
      <c r="Q815" s="669" t="n"/>
      <c r="R815" s="669" t="n"/>
      <c r="S815" s="669" t="n"/>
      <c r="T815" s="669" t="n"/>
      <c r="U815" s="669" t="n"/>
      <c r="V815" s="669" t="n"/>
      <c r="W815" s="669" t="n"/>
      <c r="X815" s="669" t="n"/>
      <c r="Y815" s="669" t="n"/>
      <c r="Z815" s="669" t="n"/>
      <c r="AA815" s="669" t="n"/>
      <c r="AB815" s="669" t="n"/>
    </row>
    <row r="816">
      <c r="I816" s="669" t="n"/>
      <c r="J816" s="669" t="n"/>
      <c r="K816" s="669" t="n"/>
      <c r="L816" s="669" t="n"/>
      <c r="M816" s="669" t="n"/>
      <c r="N816" s="669" t="n"/>
      <c r="O816" s="669" t="n"/>
      <c r="P816" s="669" t="n"/>
      <c r="Q816" s="669" t="n"/>
      <c r="R816" s="669" t="n"/>
      <c r="S816" s="669" t="n"/>
      <c r="T816" s="669" t="n"/>
      <c r="U816" s="669" t="n"/>
      <c r="V816" s="669" t="n"/>
      <c r="W816" s="669" t="n"/>
      <c r="X816" s="669" t="n"/>
      <c r="Y816" s="669" t="n"/>
      <c r="Z816" s="669" t="n"/>
      <c r="AA816" s="669" t="n"/>
      <c r="AB816" s="669" t="n"/>
    </row>
    <row r="817">
      <c r="I817" s="669" t="n"/>
      <c r="J817" s="669" t="n"/>
      <c r="K817" s="669" t="n"/>
      <c r="L817" s="669" t="n"/>
      <c r="M817" s="669" t="n"/>
      <c r="N817" s="669" t="n"/>
      <c r="O817" s="669" t="n"/>
      <c r="P817" s="669" t="n"/>
      <c r="Q817" s="669" t="n"/>
      <c r="R817" s="669" t="n"/>
      <c r="S817" s="669" t="n"/>
      <c r="T817" s="669" t="n"/>
      <c r="U817" s="669" t="n"/>
      <c r="V817" s="669" t="n"/>
      <c r="W817" s="669" t="n"/>
      <c r="X817" s="669" t="n"/>
      <c r="Y817" s="669" t="n"/>
      <c r="Z817" s="669" t="n"/>
      <c r="AA817" s="669" t="n"/>
      <c r="AB817" s="669" t="n"/>
    </row>
    <row r="818">
      <c r="I818" s="669" t="n"/>
      <c r="J818" s="669" t="n"/>
      <c r="K818" s="669" t="n"/>
      <c r="L818" s="669" t="n"/>
      <c r="M818" s="669" t="n"/>
      <c r="N818" s="669" t="n"/>
      <c r="O818" s="669" t="n"/>
      <c r="P818" s="669" t="n"/>
      <c r="Q818" s="669" t="n"/>
      <c r="R818" s="669" t="n"/>
      <c r="S818" s="669" t="n"/>
      <c r="T818" s="669" t="n"/>
      <c r="U818" s="669" t="n"/>
      <c r="V818" s="669" t="n"/>
      <c r="W818" s="669" t="n"/>
      <c r="X818" s="669" t="n"/>
      <c r="Y818" s="669" t="n"/>
      <c r="Z818" s="669" t="n"/>
      <c r="AA818" s="669" t="n"/>
      <c r="AB818" s="669" t="n"/>
    </row>
    <row r="819">
      <c r="I819" s="669" t="n"/>
      <c r="J819" s="669" t="n"/>
      <c r="K819" s="669" t="n"/>
      <c r="L819" s="669" t="n"/>
      <c r="M819" s="669" t="n"/>
      <c r="N819" s="669" t="n"/>
      <c r="O819" s="669" t="n"/>
      <c r="P819" s="669" t="n"/>
      <c r="Q819" s="669" t="n"/>
      <c r="R819" s="669" t="n"/>
      <c r="S819" s="669" t="n"/>
      <c r="T819" s="669" t="n"/>
      <c r="U819" s="669" t="n"/>
      <c r="V819" s="669" t="n"/>
      <c r="W819" s="669" t="n"/>
      <c r="X819" s="669" t="n"/>
      <c r="Y819" s="669" t="n"/>
      <c r="Z819" s="669" t="n"/>
      <c r="AA819" s="669" t="n"/>
      <c r="AB819" s="669" t="n"/>
    </row>
    <row r="820">
      <c r="I820" s="669" t="n"/>
      <c r="J820" s="669" t="n"/>
      <c r="K820" s="669" t="n"/>
      <c r="L820" s="669" t="n"/>
      <c r="M820" s="669" t="n"/>
      <c r="N820" s="669" t="n"/>
      <c r="O820" s="669" t="n"/>
      <c r="P820" s="669" t="n"/>
      <c r="Q820" s="669" t="n"/>
      <c r="R820" s="669" t="n"/>
      <c r="S820" s="669" t="n"/>
      <c r="T820" s="669" t="n"/>
      <c r="U820" s="669" t="n"/>
      <c r="V820" s="669" t="n"/>
      <c r="W820" s="669" t="n"/>
      <c r="X820" s="669" t="n"/>
      <c r="Y820" s="669" t="n"/>
      <c r="Z820" s="669" t="n"/>
      <c r="AA820" s="669" t="n"/>
      <c r="AB820" s="669" t="n"/>
    </row>
    <row r="821">
      <c r="I821" s="669" t="n"/>
      <c r="J821" s="669" t="n"/>
      <c r="K821" s="669" t="n"/>
      <c r="L821" s="669" t="n"/>
      <c r="M821" s="669" t="n"/>
      <c r="N821" s="669" t="n"/>
      <c r="O821" s="669" t="n"/>
      <c r="P821" s="669" t="n"/>
      <c r="Q821" s="669" t="n"/>
      <c r="R821" s="669" t="n"/>
      <c r="S821" s="669" t="n"/>
      <c r="T821" s="669" t="n"/>
      <c r="U821" s="669" t="n"/>
      <c r="V821" s="669" t="n"/>
      <c r="W821" s="669" t="n"/>
      <c r="X821" s="669" t="n"/>
      <c r="Y821" s="669" t="n"/>
      <c r="Z821" s="669" t="n"/>
      <c r="AA821" s="669" t="n"/>
      <c r="AB821" s="669" t="n"/>
    </row>
    <row r="822">
      <c r="I822" s="669" t="n"/>
      <c r="J822" s="669" t="n"/>
      <c r="K822" s="669" t="n"/>
      <c r="L822" s="669" t="n"/>
      <c r="M822" s="669" t="n"/>
      <c r="N822" s="669" t="n"/>
      <c r="O822" s="669" t="n"/>
      <c r="P822" s="669" t="n"/>
      <c r="Q822" s="669" t="n"/>
      <c r="R822" s="669" t="n"/>
      <c r="S822" s="669" t="n"/>
      <c r="T822" s="669" t="n"/>
      <c r="U822" s="669" t="n"/>
      <c r="V822" s="669" t="n"/>
      <c r="W822" s="669" t="n"/>
      <c r="X822" s="669" t="n"/>
      <c r="Y822" s="669" t="n"/>
      <c r="Z822" s="669" t="n"/>
      <c r="AA822" s="669" t="n"/>
      <c r="AB822" s="669" t="n"/>
    </row>
    <row r="823">
      <c r="I823" s="669" t="n"/>
      <c r="J823" s="669" t="n"/>
      <c r="K823" s="669" t="n"/>
      <c r="L823" s="669" t="n"/>
      <c r="M823" s="669" t="n"/>
      <c r="N823" s="669" t="n"/>
      <c r="O823" s="669" t="n"/>
      <c r="P823" s="669" t="n"/>
      <c r="Q823" s="669" t="n"/>
      <c r="R823" s="669" t="n"/>
      <c r="S823" s="669" t="n"/>
      <c r="T823" s="669" t="n"/>
      <c r="U823" s="669" t="n"/>
      <c r="V823" s="669" t="n"/>
      <c r="W823" s="669" t="n"/>
      <c r="X823" s="669" t="n"/>
      <c r="Y823" s="669" t="n"/>
      <c r="Z823" s="669" t="n"/>
      <c r="AA823" s="669" t="n"/>
      <c r="AB823" s="669" t="n"/>
    </row>
    <row r="824">
      <c r="I824" s="669" t="n"/>
      <c r="J824" s="669" t="n"/>
      <c r="K824" s="669" t="n"/>
      <c r="L824" s="669" t="n"/>
      <c r="M824" s="669" t="n"/>
      <c r="N824" s="669" t="n"/>
      <c r="O824" s="669" t="n"/>
      <c r="P824" s="669" t="n"/>
      <c r="Q824" s="669" t="n"/>
      <c r="R824" s="669" t="n"/>
      <c r="S824" s="669" t="n"/>
      <c r="T824" s="669" t="n"/>
      <c r="U824" s="669" t="n"/>
      <c r="V824" s="669" t="n"/>
      <c r="W824" s="669" t="n"/>
      <c r="X824" s="669" t="n"/>
      <c r="Y824" s="669" t="n"/>
      <c r="Z824" s="669" t="n"/>
      <c r="AA824" s="669" t="n"/>
      <c r="AB824" s="669" t="n"/>
    </row>
    <row r="825">
      <c r="I825" s="669" t="n"/>
      <c r="J825" s="669" t="n"/>
      <c r="K825" s="669" t="n"/>
      <c r="L825" s="669" t="n"/>
      <c r="M825" s="669" t="n"/>
      <c r="N825" s="669" t="n"/>
      <c r="O825" s="669" t="n"/>
      <c r="P825" s="669" t="n"/>
      <c r="Q825" s="669" t="n"/>
      <c r="R825" s="669" t="n"/>
      <c r="S825" s="669" t="n"/>
      <c r="T825" s="669" t="n"/>
      <c r="U825" s="669" t="n"/>
      <c r="V825" s="669" t="n"/>
      <c r="W825" s="669" t="n"/>
      <c r="X825" s="669" t="n"/>
      <c r="Y825" s="669" t="n"/>
      <c r="Z825" s="669" t="n"/>
      <c r="AA825" s="669" t="n"/>
      <c r="AB825" s="669" t="n"/>
    </row>
    <row r="826">
      <c r="I826" s="669" t="n"/>
      <c r="J826" s="669" t="n"/>
      <c r="K826" s="669" t="n"/>
      <c r="L826" s="669" t="n"/>
      <c r="M826" s="669" t="n"/>
      <c r="N826" s="669" t="n"/>
      <c r="O826" s="669" t="n"/>
      <c r="P826" s="669" t="n"/>
      <c r="Q826" s="669" t="n"/>
      <c r="R826" s="669" t="n"/>
      <c r="S826" s="669" t="n"/>
      <c r="T826" s="669" t="n"/>
      <c r="U826" s="669" t="n"/>
      <c r="V826" s="669" t="n"/>
      <c r="W826" s="669" t="n"/>
      <c r="X826" s="669" t="n"/>
      <c r="Y826" s="669" t="n"/>
      <c r="Z826" s="669" t="n"/>
      <c r="AA826" s="669" t="n"/>
      <c r="AB826" s="669" t="n"/>
    </row>
    <row r="827">
      <c r="I827" s="669" t="n"/>
      <c r="J827" s="669" t="n"/>
      <c r="K827" s="669" t="n"/>
      <c r="L827" s="669" t="n"/>
      <c r="M827" s="669" t="n"/>
      <c r="N827" s="669" t="n"/>
      <c r="O827" s="669" t="n"/>
      <c r="P827" s="669" t="n"/>
      <c r="Q827" s="669" t="n"/>
      <c r="R827" s="669" t="n"/>
      <c r="S827" s="669" t="n"/>
      <c r="T827" s="669" t="n"/>
      <c r="U827" s="669" t="n"/>
      <c r="V827" s="669" t="n"/>
      <c r="W827" s="669" t="n"/>
      <c r="X827" s="669" t="n"/>
      <c r="Y827" s="669" t="n"/>
      <c r="Z827" s="669" t="n"/>
      <c r="AA827" s="669" t="n"/>
      <c r="AB827" s="669" t="n"/>
    </row>
    <row r="828">
      <c r="I828" s="669" t="n"/>
      <c r="J828" s="669" t="n"/>
      <c r="K828" s="669" t="n"/>
      <c r="L828" s="669" t="n"/>
      <c r="M828" s="669" t="n"/>
      <c r="N828" s="669" t="n"/>
      <c r="O828" s="669" t="n"/>
      <c r="P828" s="669" t="n"/>
      <c r="Q828" s="669" t="n"/>
      <c r="R828" s="669" t="n"/>
      <c r="S828" s="669" t="n"/>
      <c r="T828" s="669" t="n"/>
      <c r="U828" s="669" t="n"/>
      <c r="V828" s="669" t="n"/>
      <c r="W828" s="669" t="n"/>
      <c r="X828" s="669" t="n"/>
      <c r="Y828" s="669" t="n"/>
      <c r="Z828" s="669" t="n"/>
      <c r="AA828" s="669" t="n"/>
      <c r="AB828" s="669" t="n"/>
    </row>
    <row r="829">
      <c r="I829" s="669" t="n"/>
      <c r="J829" s="669" t="n"/>
      <c r="K829" s="669" t="n"/>
      <c r="L829" s="669" t="n"/>
      <c r="M829" s="669" t="n"/>
      <c r="N829" s="669" t="n"/>
      <c r="O829" s="669" t="n"/>
      <c r="P829" s="669" t="n"/>
      <c r="Q829" s="669" t="n"/>
      <c r="R829" s="669" t="n"/>
      <c r="S829" s="669" t="n"/>
      <c r="T829" s="669" t="n"/>
      <c r="U829" s="669" t="n"/>
      <c r="V829" s="669" t="n"/>
      <c r="W829" s="669" t="n"/>
      <c r="X829" s="669" t="n"/>
      <c r="Y829" s="669" t="n"/>
      <c r="Z829" s="669" t="n"/>
      <c r="AA829" s="669" t="n"/>
      <c r="AB829" s="669" t="n"/>
    </row>
    <row r="830">
      <c r="I830" s="669" t="n"/>
      <c r="J830" s="669" t="n"/>
      <c r="K830" s="669" t="n"/>
      <c r="L830" s="669" t="n"/>
      <c r="M830" s="669" t="n"/>
      <c r="N830" s="669" t="n"/>
      <c r="O830" s="669" t="n"/>
      <c r="P830" s="669" t="n"/>
      <c r="Q830" s="669" t="n"/>
      <c r="R830" s="669" t="n"/>
      <c r="S830" s="669" t="n"/>
      <c r="T830" s="669" t="n"/>
      <c r="U830" s="669" t="n"/>
      <c r="V830" s="669" t="n"/>
      <c r="W830" s="669" t="n"/>
      <c r="X830" s="669" t="n"/>
      <c r="Y830" s="669" t="n"/>
      <c r="Z830" s="669" t="n"/>
      <c r="AA830" s="669" t="n"/>
      <c r="AB830" s="669" t="n"/>
    </row>
    <row r="831">
      <c r="I831" s="669" t="n"/>
      <c r="J831" s="669" t="n"/>
      <c r="K831" s="669" t="n"/>
      <c r="L831" s="669" t="n"/>
      <c r="M831" s="669" t="n"/>
      <c r="N831" s="669" t="n"/>
      <c r="O831" s="669" t="n"/>
      <c r="P831" s="669" t="n"/>
      <c r="Q831" s="669" t="n"/>
      <c r="R831" s="669" t="n"/>
      <c r="S831" s="669" t="n"/>
      <c r="T831" s="669" t="n"/>
      <c r="U831" s="669" t="n"/>
      <c r="V831" s="669" t="n"/>
      <c r="W831" s="669" t="n"/>
      <c r="X831" s="669" t="n"/>
      <c r="Y831" s="669" t="n"/>
      <c r="Z831" s="669" t="n"/>
      <c r="AA831" s="669" t="n"/>
      <c r="AB831" s="669" t="n"/>
    </row>
    <row r="832">
      <c r="I832" s="669" t="n"/>
      <c r="J832" s="669" t="n"/>
      <c r="K832" s="669" t="n"/>
      <c r="L832" s="669" t="n"/>
      <c r="M832" s="669" t="n"/>
      <c r="N832" s="669" t="n"/>
      <c r="O832" s="669" t="n"/>
      <c r="P832" s="669" t="n"/>
      <c r="Q832" s="669" t="n"/>
      <c r="R832" s="669" t="n"/>
      <c r="S832" s="669" t="n"/>
      <c r="T832" s="669" t="n"/>
      <c r="U832" s="669" t="n"/>
      <c r="V832" s="669" t="n"/>
      <c r="W832" s="669" t="n"/>
      <c r="X832" s="669" t="n"/>
      <c r="Y832" s="669" t="n"/>
      <c r="Z832" s="669" t="n"/>
      <c r="AA832" s="669" t="n"/>
      <c r="AB832" s="669" t="n"/>
    </row>
    <row r="833">
      <c r="I833" s="669" t="n"/>
      <c r="J833" s="669" t="n"/>
      <c r="K833" s="669" t="n"/>
      <c r="L833" s="669" t="n"/>
      <c r="M833" s="669" t="n"/>
      <c r="N833" s="669" t="n"/>
      <c r="O833" s="669" t="n"/>
      <c r="P833" s="669" t="n"/>
      <c r="Q833" s="669" t="n"/>
      <c r="R833" s="669" t="n"/>
      <c r="S833" s="669" t="n"/>
      <c r="T833" s="669" t="n"/>
      <c r="U833" s="669" t="n"/>
      <c r="V833" s="669" t="n"/>
      <c r="W833" s="669" t="n"/>
      <c r="X833" s="669" t="n"/>
      <c r="Y833" s="669" t="n"/>
      <c r="Z833" s="669" t="n"/>
      <c r="AA833" s="669" t="n"/>
      <c r="AB833" s="669" t="n"/>
    </row>
    <row r="834">
      <c r="I834" s="669" t="n"/>
      <c r="J834" s="669" t="n"/>
      <c r="K834" s="669" t="n"/>
      <c r="L834" s="669" t="n"/>
      <c r="M834" s="669" t="n"/>
      <c r="N834" s="669" t="n"/>
      <c r="O834" s="669" t="n"/>
      <c r="P834" s="669" t="n"/>
      <c r="Q834" s="669" t="n"/>
      <c r="R834" s="669" t="n"/>
      <c r="S834" s="669" t="n"/>
      <c r="T834" s="669" t="n"/>
      <c r="U834" s="669" t="n"/>
      <c r="V834" s="669" t="n"/>
      <c r="W834" s="669" t="n"/>
      <c r="X834" s="669" t="n"/>
      <c r="Y834" s="669" t="n"/>
      <c r="Z834" s="669" t="n"/>
      <c r="AA834" s="669" t="n"/>
      <c r="AB834" s="669" t="n"/>
    </row>
    <row r="835">
      <c r="I835" s="669" t="n"/>
      <c r="J835" s="669" t="n"/>
      <c r="K835" s="669" t="n"/>
      <c r="L835" s="669" t="n"/>
      <c r="M835" s="669" t="n"/>
      <c r="N835" s="669" t="n"/>
      <c r="O835" s="669" t="n"/>
      <c r="P835" s="669" t="n"/>
      <c r="Q835" s="669" t="n"/>
      <c r="R835" s="669" t="n"/>
      <c r="S835" s="669" t="n"/>
      <c r="T835" s="669" t="n"/>
      <c r="U835" s="669" t="n"/>
      <c r="V835" s="669" t="n"/>
      <c r="W835" s="669" t="n"/>
      <c r="X835" s="669" t="n"/>
      <c r="Y835" s="669" t="n"/>
      <c r="Z835" s="669" t="n"/>
      <c r="AA835" s="669" t="n"/>
      <c r="AB835" s="669" t="n"/>
    </row>
    <row r="836">
      <c r="I836" s="669" t="n"/>
      <c r="J836" s="669" t="n"/>
      <c r="K836" s="669" t="n"/>
      <c r="L836" s="669" t="n"/>
      <c r="M836" s="669" t="n"/>
      <c r="N836" s="669" t="n"/>
      <c r="O836" s="669" t="n"/>
      <c r="P836" s="669" t="n"/>
      <c r="Q836" s="669" t="n"/>
      <c r="R836" s="669" t="n"/>
      <c r="S836" s="669" t="n"/>
      <c r="T836" s="669" t="n"/>
      <c r="U836" s="669" t="n"/>
      <c r="V836" s="669" t="n"/>
      <c r="W836" s="669" t="n"/>
      <c r="X836" s="669" t="n"/>
      <c r="Y836" s="669" t="n"/>
      <c r="Z836" s="669" t="n"/>
      <c r="AA836" s="669" t="n"/>
      <c r="AB836" s="669" t="n"/>
    </row>
    <row r="837">
      <c r="I837" s="669" t="n"/>
      <c r="J837" s="669" t="n"/>
      <c r="K837" s="669" t="n"/>
      <c r="L837" s="669" t="n"/>
      <c r="M837" s="669" t="n"/>
      <c r="N837" s="669" t="n"/>
      <c r="O837" s="669" t="n"/>
      <c r="P837" s="669" t="n"/>
      <c r="Q837" s="669" t="n"/>
      <c r="R837" s="669" t="n"/>
      <c r="S837" s="669" t="n"/>
      <c r="T837" s="669" t="n"/>
      <c r="U837" s="669" t="n"/>
      <c r="V837" s="669" t="n"/>
      <c r="W837" s="669" t="n"/>
      <c r="X837" s="669" t="n"/>
      <c r="Y837" s="669" t="n"/>
      <c r="Z837" s="669" t="n"/>
      <c r="AA837" s="669" t="n"/>
      <c r="AB837" s="669" t="n"/>
    </row>
    <row r="838">
      <c r="I838" s="669" t="n"/>
      <c r="J838" s="669" t="n"/>
      <c r="K838" s="669" t="n"/>
      <c r="L838" s="669" t="n"/>
      <c r="M838" s="669" t="n"/>
      <c r="N838" s="669" t="n"/>
      <c r="O838" s="669" t="n"/>
      <c r="P838" s="669" t="n"/>
      <c r="Q838" s="669" t="n"/>
      <c r="R838" s="669" t="n"/>
      <c r="S838" s="669" t="n"/>
      <c r="T838" s="669" t="n"/>
      <c r="U838" s="669" t="n"/>
      <c r="V838" s="669" t="n"/>
      <c r="W838" s="669" t="n"/>
      <c r="X838" s="669" t="n"/>
      <c r="Y838" s="669" t="n"/>
      <c r="Z838" s="669" t="n"/>
      <c r="AA838" s="669" t="n"/>
      <c r="AB838" s="669" t="n"/>
    </row>
    <row r="839">
      <c r="I839" s="669" t="n"/>
      <c r="J839" s="669" t="n"/>
      <c r="K839" s="669" t="n"/>
      <c r="L839" s="669" t="n"/>
      <c r="M839" s="669" t="n"/>
      <c r="N839" s="669" t="n"/>
      <c r="O839" s="669" t="n"/>
      <c r="P839" s="669" t="n"/>
      <c r="Q839" s="669" t="n"/>
      <c r="R839" s="669" t="n"/>
      <c r="S839" s="669" t="n"/>
      <c r="T839" s="669" t="n"/>
      <c r="U839" s="669" t="n"/>
      <c r="V839" s="669" t="n"/>
      <c r="W839" s="669" t="n"/>
      <c r="X839" s="669" t="n"/>
      <c r="Y839" s="669" t="n"/>
      <c r="Z839" s="669" t="n"/>
      <c r="AA839" s="669" t="n"/>
      <c r="AB839" s="669" t="n"/>
    </row>
    <row r="840">
      <c r="I840" s="669" t="n"/>
      <c r="J840" s="669" t="n"/>
      <c r="K840" s="669" t="n"/>
      <c r="L840" s="669" t="n"/>
      <c r="M840" s="669" t="n"/>
      <c r="N840" s="669" t="n"/>
      <c r="O840" s="669" t="n"/>
      <c r="P840" s="669" t="n"/>
      <c r="Q840" s="669" t="n"/>
      <c r="R840" s="669" t="n"/>
      <c r="S840" s="669" t="n"/>
      <c r="T840" s="669" t="n"/>
      <c r="U840" s="669" t="n"/>
      <c r="V840" s="669" t="n"/>
      <c r="W840" s="669" t="n"/>
      <c r="X840" s="669" t="n"/>
      <c r="Y840" s="669" t="n"/>
      <c r="Z840" s="669" t="n"/>
      <c r="AA840" s="669" t="n"/>
      <c r="AB840" s="669" t="n"/>
    </row>
    <row r="841">
      <c r="I841" s="669" t="n"/>
      <c r="J841" s="669" t="n"/>
      <c r="K841" s="669" t="n"/>
      <c r="L841" s="669" t="n"/>
      <c r="M841" s="669" t="n"/>
      <c r="N841" s="669" t="n"/>
      <c r="O841" s="669" t="n"/>
      <c r="P841" s="669" t="n"/>
      <c r="Q841" s="669" t="n"/>
      <c r="R841" s="669" t="n"/>
      <c r="S841" s="669" t="n"/>
      <c r="T841" s="669" t="n"/>
      <c r="U841" s="669" t="n"/>
      <c r="V841" s="669" t="n"/>
      <c r="W841" s="669" t="n"/>
      <c r="X841" s="669" t="n"/>
      <c r="Y841" s="669" t="n"/>
      <c r="Z841" s="669" t="n"/>
      <c r="AA841" s="669" t="n"/>
      <c r="AB841" s="669" t="n"/>
    </row>
    <row r="842">
      <c r="I842" s="669" t="n"/>
      <c r="J842" s="669" t="n"/>
      <c r="K842" s="669" t="n"/>
      <c r="L842" s="669" t="n"/>
      <c r="M842" s="669" t="n"/>
      <c r="N842" s="669" t="n"/>
      <c r="O842" s="669" t="n"/>
      <c r="P842" s="669" t="n"/>
      <c r="Q842" s="669" t="n"/>
      <c r="R842" s="669" t="n"/>
      <c r="S842" s="669" t="n"/>
      <c r="T842" s="669" t="n"/>
      <c r="U842" s="669" t="n"/>
      <c r="V842" s="669" t="n"/>
      <c r="W842" s="669" t="n"/>
      <c r="X842" s="669" t="n"/>
      <c r="Y842" s="669" t="n"/>
      <c r="Z842" s="669" t="n"/>
      <c r="AA842" s="669" t="n"/>
      <c r="AB842" s="669" t="n"/>
    </row>
    <row r="843">
      <c r="I843" s="669" t="n"/>
      <c r="J843" s="669" t="n"/>
      <c r="K843" s="669" t="n"/>
      <c r="L843" s="669" t="n"/>
      <c r="M843" s="669" t="n"/>
      <c r="N843" s="669" t="n"/>
      <c r="O843" s="669" t="n"/>
      <c r="P843" s="669" t="n"/>
      <c r="Q843" s="669" t="n"/>
      <c r="R843" s="669" t="n"/>
      <c r="S843" s="669" t="n"/>
      <c r="T843" s="669" t="n"/>
      <c r="U843" s="669" t="n"/>
      <c r="V843" s="669" t="n"/>
      <c r="W843" s="669" t="n"/>
      <c r="X843" s="669" t="n"/>
      <c r="Y843" s="669" t="n"/>
      <c r="Z843" s="669" t="n"/>
      <c r="AA843" s="669" t="n"/>
      <c r="AB843" s="669" t="n"/>
    </row>
    <row r="844">
      <c r="I844" s="669" t="n"/>
      <c r="J844" s="669" t="n"/>
      <c r="K844" s="669" t="n"/>
      <c r="L844" s="669" t="n"/>
      <c r="M844" s="669" t="n"/>
      <c r="N844" s="669" t="n"/>
      <c r="O844" s="669" t="n"/>
      <c r="P844" s="669" t="n"/>
      <c r="Q844" s="669" t="n"/>
      <c r="R844" s="669" t="n"/>
      <c r="S844" s="669" t="n"/>
      <c r="T844" s="669" t="n"/>
      <c r="U844" s="669" t="n"/>
      <c r="V844" s="669" t="n"/>
      <c r="W844" s="669" t="n"/>
      <c r="X844" s="669" t="n"/>
      <c r="Y844" s="669" t="n"/>
      <c r="Z844" s="669" t="n"/>
      <c r="AA844" s="669" t="n"/>
      <c r="AB844" s="669" t="n"/>
    </row>
    <row r="845">
      <c r="I845" s="669" t="n"/>
      <c r="J845" s="669" t="n"/>
      <c r="K845" s="669" t="n"/>
      <c r="L845" s="669" t="n"/>
      <c r="M845" s="669" t="n"/>
      <c r="N845" s="669" t="n"/>
      <c r="O845" s="669" t="n"/>
      <c r="P845" s="669" t="n"/>
      <c r="Q845" s="669" t="n"/>
      <c r="R845" s="669" t="n"/>
      <c r="S845" s="669" t="n"/>
      <c r="T845" s="669" t="n"/>
      <c r="U845" s="669" t="n"/>
      <c r="V845" s="669" t="n"/>
      <c r="W845" s="669" t="n"/>
      <c r="X845" s="669" t="n"/>
      <c r="Y845" s="669" t="n"/>
      <c r="Z845" s="669" t="n"/>
      <c r="AA845" s="669" t="n"/>
      <c r="AB845" s="669" t="n"/>
    </row>
    <row r="846">
      <c r="I846" s="669" t="n"/>
      <c r="J846" s="669" t="n"/>
      <c r="K846" s="669" t="n"/>
      <c r="L846" s="669" t="n"/>
      <c r="M846" s="669" t="n"/>
      <c r="N846" s="669" t="n"/>
      <c r="O846" s="669" t="n"/>
      <c r="P846" s="669" t="n"/>
      <c r="Q846" s="669" t="n"/>
      <c r="R846" s="669" t="n"/>
      <c r="S846" s="669" t="n"/>
      <c r="T846" s="669" t="n"/>
      <c r="U846" s="669" t="n"/>
      <c r="V846" s="669" t="n"/>
      <c r="W846" s="669" t="n"/>
      <c r="X846" s="669" t="n"/>
      <c r="Y846" s="669" t="n"/>
      <c r="Z846" s="669" t="n"/>
      <c r="AA846" s="669" t="n"/>
      <c r="AB846" s="669" t="n"/>
    </row>
    <row r="847">
      <c r="I847" s="669" t="n"/>
      <c r="J847" s="669" t="n"/>
      <c r="K847" s="669" t="n"/>
      <c r="L847" s="669" t="n"/>
      <c r="M847" s="669" t="n"/>
      <c r="N847" s="669" t="n"/>
      <c r="O847" s="669" t="n"/>
      <c r="P847" s="669" t="n"/>
      <c r="Q847" s="669" t="n"/>
      <c r="R847" s="669" t="n"/>
      <c r="S847" s="669" t="n"/>
      <c r="T847" s="669" t="n"/>
      <c r="U847" s="669" t="n"/>
      <c r="V847" s="669" t="n"/>
      <c r="W847" s="669" t="n"/>
      <c r="X847" s="669" t="n"/>
      <c r="Y847" s="669" t="n"/>
      <c r="Z847" s="669" t="n"/>
      <c r="AA847" s="669" t="n"/>
      <c r="AB847" s="669" t="n"/>
    </row>
    <row r="848">
      <c r="I848" s="669" t="n"/>
      <c r="J848" s="669" t="n"/>
      <c r="K848" s="669" t="n"/>
      <c r="L848" s="669" t="n"/>
      <c r="M848" s="669" t="n"/>
      <c r="N848" s="669" t="n"/>
      <c r="O848" s="669" t="n"/>
      <c r="P848" s="669" t="n"/>
      <c r="Q848" s="669" t="n"/>
      <c r="R848" s="669" t="n"/>
      <c r="S848" s="669" t="n"/>
      <c r="T848" s="669" t="n"/>
      <c r="U848" s="669" t="n"/>
      <c r="V848" s="669" t="n"/>
      <c r="W848" s="669" t="n"/>
      <c r="X848" s="669" t="n"/>
      <c r="Y848" s="669" t="n"/>
      <c r="Z848" s="669" t="n"/>
      <c r="AA848" s="669" t="n"/>
      <c r="AB848" s="669" t="n"/>
    </row>
    <row r="849">
      <c r="I849" s="669" t="n"/>
      <c r="J849" s="669" t="n"/>
      <c r="K849" s="669" t="n"/>
      <c r="L849" s="669" t="n"/>
      <c r="M849" s="669" t="n"/>
      <c r="N849" s="669" t="n"/>
      <c r="O849" s="669" t="n"/>
      <c r="P849" s="669" t="n"/>
      <c r="Q849" s="669" t="n"/>
      <c r="R849" s="669" t="n"/>
      <c r="S849" s="669" t="n"/>
      <c r="T849" s="669" t="n"/>
      <c r="U849" s="669" t="n"/>
      <c r="V849" s="669" t="n"/>
      <c r="W849" s="669" t="n"/>
      <c r="X849" s="669" t="n"/>
      <c r="Y849" s="669" t="n"/>
      <c r="Z849" s="669" t="n"/>
      <c r="AA849" s="669" t="n"/>
      <c r="AB849" s="669" t="n"/>
    </row>
    <row r="850">
      <c r="I850" s="669" t="n"/>
      <c r="J850" s="669" t="n"/>
      <c r="K850" s="669" t="n"/>
      <c r="L850" s="669" t="n"/>
      <c r="M850" s="669" t="n"/>
      <c r="N850" s="669" t="n"/>
      <c r="O850" s="669" t="n"/>
      <c r="P850" s="669" t="n"/>
      <c r="Q850" s="669" t="n"/>
      <c r="R850" s="669" t="n"/>
      <c r="S850" s="669" t="n"/>
      <c r="T850" s="669" t="n"/>
      <c r="U850" s="669" t="n"/>
      <c r="V850" s="669" t="n"/>
      <c r="W850" s="669" t="n"/>
      <c r="X850" s="669" t="n"/>
      <c r="Y850" s="669" t="n"/>
      <c r="Z850" s="669" t="n"/>
      <c r="AA850" s="669" t="n"/>
      <c r="AB850" s="669" t="n"/>
    </row>
    <row r="851">
      <c r="I851" s="669" t="n"/>
      <c r="J851" s="669" t="n"/>
      <c r="K851" s="669" t="n"/>
      <c r="L851" s="669" t="n"/>
      <c r="M851" s="669" t="n"/>
      <c r="N851" s="669" t="n"/>
      <c r="O851" s="669" t="n"/>
      <c r="P851" s="669" t="n"/>
      <c r="Q851" s="669" t="n"/>
      <c r="R851" s="669" t="n"/>
      <c r="S851" s="669" t="n"/>
      <c r="T851" s="669" t="n"/>
      <c r="U851" s="669" t="n"/>
      <c r="V851" s="669" t="n"/>
      <c r="W851" s="669" t="n"/>
      <c r="X851" s="669" t="n"/>
      <c r="Y851" s="669" t="n"/>
      <c r="Z851" s="669" t="n"/>
      <c r="AA851" s="669" t="n"/>
      <c r="AB851" s="669" t="n"/>
    </row>
    <row r="852">
      <c r="I852" s="669" t="n"/>
      <c r="J852" s="669" t="n"/>
      <c r="K852" s="669" t="n"/>
      <c r="L852" s="669" t="n"/>
      <c r="M852" s="669" t="n"/>
      <c r="N852" s="669" t="n"/>
      <c r="O852" s="669" t="n"/>
      <c r="P852" s="669" t="n"/>
      <c r="Q852" s="669" t="n"/>
      <c r="R852" s="669" t="n"/>
      <c r="S852" s="669" t="n"/>
      <c r="T852" s="669" t="n"/>
      <c r="U852" s="669" t="n"/>
      <c r="V852" s="669" t="n"/>
      <c r="W852" s="669" t="n"/>
      <c r="X852" s="669" t="n"/>
      <c r="Y852" s="669" t="n"/>
      <c r="Z852" s="669" t="n"/>
      <c r="AA852" s="669" t="n"/>
      <c r="AB852" s="669" t="n"/>
    </row>
    <row r="853">
      <c r="I853" s="669" t="n"/>
      <c r="J853" s="669" t="n"/>
      <c r="K853" s="669" t="n"/>
      <c r="L853" s="669" t="n"/>
      <c r="M853" s="669" t="n"/>
      <c r="N853" s="669" t="n"/>
      <c r="O853" s="669" t="n"/>
      <c r="P853" s="669" t="n"/>
      <c r="Q853" s="669" t="n"/>
      <c r="R853" s="669" t="n"/>
      <c r="S853" s="669" t="n"/>
      <c r="T853" s="669" t="n"/>
      <c r="U853" s="669" t="n"/>
      <c r="V853" s="669" t="n"/>
      <c r="W853" s="669" t="n"/>
      <c r="X853" s="669" t="n"/>
      <c r="Y853" s="669" t="n"/>
      <c r="Z853" s="669" t="n"/>
      <c r="AA853" s="669" t="n"/>
      <c r="AB853" s="669" t="n"/>
    </row>
    <row r="854">
      <c r="I854" s="669" t="n"/>
      <c r="J854" s="669" t="n"/>
      <c r="K854" s="669" t="n"/>
      <c r="L854" s="669" t="n"/>
      <c r="M854" s="669" t="n"/>
      <c r="N854" s="669" t="n"/>
      <c r="O854" s="669" t="n"/>
      <c r="P854" s="669" t="n"/>
      <c r="Q854" s="669" t="n"/>
      <c r="R854" s="669" t="n"/>
      <c r="S854" s="669" t="n"/>
      <c r="T854" s="669" t="n"/>
      <c r="U854" s="669" t="n"/>
      <c r="V854" s="669" t="n"/>
      <c r="W854" s="669" t="n"/>
      <c r="X854" s="669" t="n"/>
      <c r="Y854" s="669" t="n"/>
      <c r="Z854" s="669" t="n"/>
      <c r="AA854" s="669" t="n"/>
      <c r="AB854" s="669" t="n"/>
    </row>
    <row r="855">
      <c r="I855" s="669" t="n"/>
      <c r="J855" s="669" t="n"/>
      <c r="K855" s="669" t="n"/>
      <c r="L855" s="669" t="n"/>
      <c r="M855" s="669" t="n"/>
      <c r="N855" s="669" t="n"/>
      <c r="O855" s="669" t="n"/>
      <c r="P855" s="669" t="n"/>
      <c r="Q855" s="669" t="n"/>
      <c r="R855" s="669" t="n"/>
      <c r="S855" s="669" t="n"/>
      <c r="T855" s="669" t="n"/>
      <c r="U855" s="669" t="n"/>
      <c r="V855" s="669" t="n"/>
      <c r="W855" s="669" t="n"/>
      <c r="X855" s="669" t="n"/>
      <c r="Y855" s="669" t="n"/>
      <c r="Z855" s="669" t="n"/>
      <c r="AA855" s="669" t="n"/>
      <c r="AB855" s="669" t="n"/>
    </row>
    <row r="856">
      <c r="I856" s="669" t="n"/>
      <c r="J856" s="669" t="n"/>
      <c r="K856" s="669" t="n"/>
      <c r="L856" s="669" t="n"/>
      <c r="M856" s="669" t="n"/>
      <c r="N856" s="669" t="n"/>
      <c r="O856" s="669" t="n"/>
      <c r="P856" s="669" t="n"/>
      <c r="Q856" s="669" t="n"/>
      <c r="R856" s="669" t="n"/>
      <c r="S856" s="669" t="n"/>
      <c r="T856" s="669" t="n"/>
      <c r="U856" s="669" t="n"/>
      <c r="V856" s="669" t="n"/>
      <c r="W856" s="669" t="n"/>
      <c r="X856" s="669" t="n"/>
      <c r="Y856" s="669" t="n"/>
      <c r="Z856" s="669" t="n"/>
      <c r="AA856" s="669" t="n"/>
      <c r="AB856" s="669" t="n"/>
    </row>
    <row r="857">
      <c r="I857" s="669" t="n"/>
      <c r="J857" s="669" t="n"/>
      <c r="K857" s="669" t="n"/>
      <c r="L857" s="669" t="n"/>
      <c r="M857" s="669" t="n"/>
      <c r="N857" s="669" t="n"/>
      <c r="O857" s="669" t="n"/>
      <c r="P857" s="669" t="n"/>
      <c r="Q857" s="669" t="n"/>
      <c r="R857" s="669" t="n"/>
      <c r="S857" s="669" t="n"/>
      <c r="T857" s="669" t="n"/>
      <c r="U857" s="669" t="n"/>
      <c r="V857" s="669" t="n"/>
      <c r="W857" s="669" t="n"/>
      <c r="X857" s="669" t="n"/>
      <c r="Y857" s="669" t="n"/>
      <c r="Z857" s="669" t="n"/>
      <c r="AA857" s="669" t="n"/>
      <c r="AB857" s="669" t="n"/>
    </row>
    <row r="858">
      <c r="I858" s="669" t="n"/>
      <c r="J858" s="669" t="n"/>
      <c r="K858" s="669" t="n"/>
      <c r="L858" s="669" t="n"/>
      <c r="M858" s="669" t="n"/>
      <c r="N858" s="669" t="n"/>
      <c r="O858" s="669" t="n"/>
      <c r="P858" s="669" t="n"/>
      <c r="Q858" s="669" t="n"/>
      <c r="R858" s="669" t="n"/>
      <c r="S858" s="669" t="n"/>
      <c r="T858" s="669" t="n"/>
      <c r="U858" s="669" t="n"/>
      <c r="V858" s="669" t="n"/>
      <c r="W858" s="669" t="n"/>
      <c r="X858" s="669" t="n"/>
      <c r="Y858" s="669" t="n"/>
      <c r="Z858" s="669" t="n"/>
      <c r="AA858" s="669" t="n"/>
      <c r="AB858" s="669" t="n"/>
    </row>
    <row r="859">
      <c r="I859" s="669" t="n"/>
      <c r="J859" s="669" t="n"/>
      <c r="K859" s="669" t="n"/>
      <c r="L859" s="669" t="n"/>
      <c r="M859" s="669" t="n"/>
      <c r="N859" s="669" t="n"/>
      <c r="O859" s="669" t="n"/>
      <c r="P859" s="669" t="n"/>
      <c r="Q859" s="669" t="n"/>
      <c r="R859" s="669" t="n"/>
      <c r="S859" s="669" t="n"/>
      <c r="T859" s="669" t="n"/>
      <c r="U859" s="669" t="n"/>
      <c r="V859" s="669" t="n"/>
      <c r="W859" s="669" t="n"/>
      <c r="X859" s="669" t="n"/>
      <c r="Y859" s="669" t="n"/>
      <c r="Z859" s="669" t="n"/>
      <c r="AA859" s="669" t="n"/>
      <c r="AB859" s="669" t="n"/>
    </row>
    <row r="860">
      <c r="I860" s="669" t="n"/>
      <c r="J860" s="669" t="n"/>
      <c r="K860" s="669" t="n"/>
      <c r="L860" s="669" t="n"/>
      <c r="M860" s="669" t="n"/>
      <c r="N860" s="669" t="n"/>
      <c r="O860" s="669" t="n"/>
      <c r="P860" s="669" t="n"/>
      <c r="Q860" s="669" t="n"/>
      <c r="R860" s="669" t="n"/>
      <c r="S860" s="669" t="n"/>
      <c r="T860" s="669" t="n"/>
      <c r="U860" s="669" t="n"/>
      <c r="V860" s="669" t="n"/>
      <c r="W860" s="669" t="n"/>
      <c r="X860" s="669" t="n"/>
      <c r="Y860" s="669" t="n"/>
      <c r="Z860" s="669" t="n"/>
      <c r="AA860" s="669" t="n"/>
      <c r="AB860" s="669" t="n"/>
    </row>
    <row r="861">
      <c r="I861" s="669" t="n"/>
      <c r="J861" s="669" t="n"/>
      <c r="K861" s="669" t="n"/>
      <c r="L861" s="669" t="n"/>
      <c r="M861" s="669" t="n"/>
      <c r="N861" s="669" t="n"/>
      <c r="O861" s="669" t="n"/>
      <c r="P861" s="669" t="n"/>
      <c r="Q861" s="669" t="n"/>
      <c r="R861" s="669" t="n"/>
      <c r="S861" s="669" t="n"/>
      <c r="T861" s="669" t="n"/>
      <c r="U861" s="669" t="n"/>
      <c r="V861" s="669" t="n"/>
      <c r="W861" s="669" t="n"/>
      <c r="X861" s="669" t="n"/>
      <c r="Y861" s="669" t="n"/>
      <c r="Z861" s="669" t="n"/>
      <c r="AA861" s="669" t="n"/>
      <c r="AB861" s="669" t="n"/>
    </row>
    <row r="862">
      <c r="I862" s="669" t="n"/>
      <c r="J862" s="669" t="n"/>
      <c r="K862" s="669" t="n"/>
      <c r="L862" s="669" t="n"/>
      <c r="M862" s="669" t="n"/>
      <c r="N862" s="669" t="n"/>
      <c r="O862" s="669" t="n"/>
      <c r="P862" s="669" t="n"/>
      <c r="Q862" s="669" t="n"/>
      <c r="R862" s="669" t="n"/>
      <c r="S862" s="669" t="n"/>
      <c r="T862" s="669" t="n"/>
      <c r="U862" s="669" t="n"/>
      <c r="V862" s="669" t="n"/>
      <c r="W862" s="669" t="n"/>
      <c r="X862" s="669" t="n"/>
      <c r="Y862" s="669" t="n"/>
      <c r="Z862" s="669" t="n"/>
      <c r="AA862" s="669" t="n"/>
      <c r="AB862" s="669" t="n"/>
    </row>
    <row r="863">
      <c r="I863" s="669" t="n"/>
      <c r="J863" s="669" t="n"/>
      <c r="K863" s="669" t="n"/>
      <c r="L863" s="669" t="n"/>
      <c r="M863" s="669" t="n"/>
      <c r="N863" s="669" t="n"/>
      <c r="O863" s="669" t="n"/>
      <c r="P863" s="669" t="n"/>
      <c r="Q863" s="669" t="n"/>
      <c r="R863" s="669" t="n"/>
      <c r="S863" s="669" t="n"/>
      <c r="T863" s="669" t="n"/>
      <c r="U863" s="669" t="n"/>
      <c r="V863" s="669" t="n"/>
      <c r="W863" s="669" t="n"/>
      <c r="X863" s="669" t="n"/>
      <c r="Y863" s="669" t="n"/>
      <c r="Z863" s="669" t="n"/>
      <c r="AA863" s="669" t="n"/>
      <c r="AB863" s="669" t="n"/>
    </row>
    <row r="864">
      <c r="I864" s="669" t="n"/>
      <c r="J864" s="669" t="n"/>
      <c r="K864" s="669" t="n"/>
      <c r="L864" s="669" t="n"/>
      <c r="M864" s="669" t="n"/>
      <c r="N864" s="669" t="n"/>
      <c r="O864" s="669" t="n"/>
      <c r="P864" s="669" t="n"/>
      <c r="Q864" s="669" t="n"/>
      <c r="R864" s="669" t="n"/>
      <c r="S864" s="669" t="n"/>
      <c r="T864" s="669" t="n"/>
      <c r="U864" s="669" t="n"/>
      <c r="V864" s="669" t="n"/>
      <c r="W864" s="669" t="n"/>
      <c r="X864" s="669" t="n"/>
      <c r="Y864" s="669" t="n"/>
      <c r="Z864" s="669" t="n"/>
      <c r="AA864" s="669" t="n"/>
      <c r="AB864" s="669" t="n"/>
    </row>
    <row r="865">
      <c r="I865" s="669" t="n"/>
      <c r="J865" s="669" t="n"/>
      <c r="K865" s="669" t="n"/>
      <c r="L865" s="669" t="n"/>
      <c r="M865" s="669" t="n"/>
      <c r="N865" s="669" t="n"/>
      <c r="O865" s="669" t="n"/>
      <c r="P865" s="669" t="n"/>
      <c r="Q865" s="669" t="n"/>
      <c r="R865" s="669" t="n"/>
      <c r="S865" s="669" t="n"/>
      <c r="T865" s="669" t="n"/>
      <c r="U865" s="669" t="n"/>
      <c r="V865" s="669" t="n"/>
      <c r="W865" s="669" t="n"/>
      <c r="X865" s="669" t="n"/>
      <c r="Y865" s="669" t="n"/>
      <c r="Z865" s="669" t="n"/>
      <c r="AA865" s="669" t="n"/>
      <c r="AB865" s="669" t="n"/>
    </row>
    <row r="866">
      <c r="I866" s="669" t="n"/>
      <c r="J866" s="669" t="n"/>
      <c r="K866" s="669" t="n"/>
      <c r="L866" s="669" t="n"/>
      <c r="M866" s="669" t="n"/>
      <c r="N866" s="669" t="n"/>
      <c r="O866" s="669" t="n"/>
      <c r="P866" s="669" t="n"/>
      <c r="Q866" s="669" t="n"/>
      <c r="R866" s="669" t="n"/>
      <c r="S866" s="669" t="n"/>
      <c r="T866" s="669" t="n"/>
      <c r="U866" s="669" t="n"/>
      <c r="V866" s="669" t="n"/>
      <c r="W866" s="669" t="n"/>
      <c r="X866" s="669" t="n"/>
      <c r="Y866" s="669" t="n"/>
      <c r="Z866" s="669" t="n"/>
      <c r="AA866" s="669" t="n"/>
      <c r="AB866" s="669" t="n"/>
    </row>
    <row r="867">
      <c r="I867" s="669" t="n"/>
      <c r="J867" s="669" t="n"/>
      <c r="K867" s="669" t="n"/>
      <c r="L867" s="669" t="n"/>
      <c r="M867" s="669" t="n"/>
      <c r="N867" s="669" t="n"/>
      <c r="O867" s="669" t="n"/>
      <c r="P867" s="669" t="n"/>
      <c r="Q867" s="669" t="n"/>
      <c r="R867" s="669" t="n"/>
      <c r="S867" s="669" t="n"/>
      <c r="T867" s="669" t="n"/>
      <c r="U867" s="669" t="n"/>
      <c r="V867" s="669" t="n"/>
      <c r="W867" s="669" t="n"/>
      <c r="X867" s="669" t="n"/>
      <c r="Y867" s="669" t="n"/>
      <c r="Z867" s="669" t="n"/>
      <c r="AA867" s="669" t="n"/>
      <c r="AB867" s="669" t="n"/>
    </row>
    <row r="868">
      <c r="I868" s="669" t="n"/>
      <c r="J868" s="669" t="n"/>
      <c r="K868" s="669" t="n"/>
      <c r="L868" s="669" t="n"/>
      <c r="M868" s="669" t="n"/>
      <c r="N868" s="669" t="n"/>
      <c r="O868" s="669" t="n"/>
      <c r="P868" s="669" t="n"/>
      <c r="Q868" s="669" t="n"/>
      <c r="R868" s="669" t="n"/>
      <c r="S868" s="669" t="n"/>
      <c r="T868" s="669" t="n"/>
      <c r="U868" s="669" t="n"/>
      <c r="V868" s="669" t="n"/>
      <c r="W868" s="669" t="n"/>
      <c r="X868" s="669" t="n"/>
      <c r="Y868" s="669" t="n"/>
      <c r="Z868" s="669" t="n"/>
      <c r="AA868" s="669" t="n"/>
      <c r="AB868" s="669" t="n"/>
    </row>
    <row r="869">
      <c r="I869" s="669" t="n"/>
      <c r="J869" s="669" t="n"/>
      <c r="K869" s="669" t="n"/>
      <c r="L869" s="669" t="n"/>
      <c r="M869" s="669" t="n"/>
      <c r="N869" s="669" t="n"/>
      <c r="O869" s="669" t="n"/>
      <c r="P869" s="669" t="n"/>
      <c r="Q869" s="669" t="n"/>
      <c r="R869" s="669" t="n"/>
      <c r="S869" s="669" t="n"/>
      <c r="T869" s="669" t="n"/>
      <c r="U869" s="669" t="n"/>
      <c r="V869" s="669" t="n"/>
      <c r="W869" s="669" t="n"/>
      <c r="X869" s="669" t="n"/>
      <c r="Y869" s="669" t="n"/>
      <c r="Z869" s="669" t="n"/>
      <c r="AA869" s="669" t="n"/>
      <c r="AB869" s="669" t="n"/>
    </row>
    <row r="870">
      <c r="I870" s="669" t="n"/>
      <c r="J870" s="669" t="n"/>
      <c r="K870" s="669" t="n"/>
      <c r="L870" s="669" t="n"/>
      <c r="M870" s="669" t="n"/>
      <c r="N870" s="669" t="n"/>
      <c r="O870" s="669" t="n"/>
      <c r="P870" s="669" t="n"/>
      <c r="Q870" s="669" t="n"/>
      <c r="R870" s="669" t="n"/>
      <c r="S870" s="669" t="n"/>
      <c r="T870" s="669" t="n"/>
      <c r="U870" s="669" t="n"/>
      <c r="V870" s="669" t="n"/>
      <c r="W870" s="669" t="n"/>
      <c r="X870" s="669" t="n"/>
      <c r="Y870" s="669" t="n"/>
      <c r="Z870" s="669" t="n"/>
      <c r="AA870" s="669" t="n"/>
      <c r="AB870" s="669" t="n"/>
    </row>
    <row r="871">
      <c r="I871" s="669" t="n"/>
      <c r="J871" s="669" t="n"/>
      <c r="K871" s="669" t="n"/>
      <c r="L871" s="669" t="n"/>
      <c r="M871" s="669" t="n"/>
      <c r="N871" s="669" t="n"/>
      <c r="O871" s="669" t="n"/>
      <c r="P871" s="669" t="n"/>
      <c r="Q871" s="669" t="n"/>
      <c r="R871" s="669" t="n"/>
      <c r="S871" s="669" t="n"/>
      <c r="T871" s="669" t="n"/>
      <c r="U871" s="669" t="n"/>
      <c r="V871" s="669" t="n"/>
      <c r="W871" s="669" t="n"/>
      <c r="X871" s="669" t="n"/>
      <c r="Y871" s="669" t="n"/>
      <c r="Z871" s="669" t="n"/>
      <c r="AA871" s="669" t="n"/>
      <c r="AB871" s="669" t="n"/>
    </row>
    <row r="872">
      <c r="I872" s="669" t="n"/>
      <c r="J872" s="669" t="n"/>
      <c r="K872" s="669" t="n"/>
      <c r="L872" s="669" t="n"/>
      <c r="M872" s="669" t="n"/>
      <c r="N872" s="669" t="n"/>
      <c r="O872" s="669" t="n"/>
      <c r="P872" s="669" t="n"/>
      <c r="Q872" s="669" t="n"/>
      <c r="R872" s="669" t="n"/>
      <c r="S872" s="669" t="n"/>
      <c r="T872" s="669" t="n"/>
      <c r="U872" s="669" t="n"/>
      <c r="V872" s="669" t="n"/>
      <c r="W872" s="669" t="n"/>
      <c r="X872" s="669" t="n"/>
      <c r="Y872" s="669" t="n"/>
      <c r="Z872" s="669" t="n"/>
      <c r="AA872" s="669" t="n"/>
      <c r="AB872" s="669" t="n"/>
    </row>
    <row r="873">
      <c r="I873" s="669" t="n"/>
      <c r="J873" s="669" t="n"/>
      <c r="K873" s="669" t="n"/>
      <c r="L873" s="669" t="n"/>
      <c r="M873" s="669" t="n"/>
      <c r="N873" s="669" t="n"/>
      <c r="O873" s="669" t="n"/>
      <c r="P873" s="669" t="n"/>
      <c r="Q873" s="669" t="n"/>
      <c r="R873" s="669" t="n"/>
      <c r="S873" s="669" t="n"/>
      <c r="T873" s="669" t="n"/>
      <c r="U873" s="669" t="n"/>
      <c r="V873" s="669" t="n"/>
      <c r="W873" s="669" t="n"/>
      <c r="X873" s="669" t="n"/>
      <c r="Y873" s="669" t="n"/>
      <c r="Z873" s="669" t="n"/>
      <c r="AA873" s="669" t="n"/>
      <c r="AB873" s="669" t="n"/>
    </row>
    <row r="874">
      <c r="I874" s="669" t="n"/>
      <c r="J874" s="669" t="n"/>
      <c r="K874" s="669" t="n"/>
      <c r="L874" s="669" t="n"/>
      <c r="M874" s="669" t="n"/>
      <c r="N874" s="669" t="n"/>
      <c r="O874" s="669" t="n"/>
      <c r="P874" s="669" t="n"/>
      <c r="Q874" s="669" t="n"/>
      <c r="R874" s="669" t="n"/>
      <c r="S874" s="669" t="n"/>
      <c r="T874" s="669" t="n"/>
      <c r="U874" s="669" t="n"/>
      <c r="V874" s="669" t="n"/>
      <c r="W874" s="669" t="n"/>
      <c r="X874" s="669" t="n"/>
      <c r="Y874" s="669" t="n"/>
      <c r="Z874" s="669" t="n"/>
      <c r="AA874" s="669" t="n"/>
      <c r="AB874" s="669" t="n"/>
    </row>
    <row r="875">
      <c r="I875" s="669" t="n"/>
      <c r="J875" s="669" t="n"/>
      <c r="K875" s="669" t="n"/>
      <c r="L875" s="669" t="n"/>
      <c r="M875" s="669" t="n"/>
      <c r="N875" s="669" t="n"/>
      <c r="O875" s="669" t="n"/>
      <c r="P875" s="669" t="n"/>
      <c r="Q875" s="669" t="n"/>
      <c r="R875" s="669" t="n"/>
      <c r="S875" s="669" t="n"/>
      <c r="T875" s="669" t="n"/>
      <c r="U875" s="669" t="n"/>
      <c r="V875" s="669" t="n"/>
      <c r="W875" s="669" t="n"/>
      <c r="X875" s="669" t="n"/>
      <c r="Y875" s="669" t="n"/>
      <c r="Z875" s="669" t="n"/>
      <c r="AA875" s="669" t="n"/>
      <c r="AB875" s="669" t="n"/>
    </row>
    <row r="876">
      <c r="I876" s="669" t="n"/>
      <c r="J876" s="669" t="n"/>
      <c r="K876" s="669" t="n"/>
      <c r="L876" s="669" t="n"/>
      <c r="M876" s="669" t="n"/>
      <c r="N876" s="669" t="n"/>
      <c r="O876" s="669" t="n"/>
      <c r="P876" s="669" t="n"/>
      <c r="Q876" s="669" t="n"/>
      <c r="R876" s="669" t="n"/>
      <c r="S876" s="669" t="n"/>
      <c r="T876" s="669" t="n"/>
      <c r="U876" s="669" t="n"/>
      <c r="V876" s="669" t="n"/>
      <c r="W876" s="669" t="n"/>
      <c r="X876" s="669" t="n"/>
      <c r="Y876" s="669" t="n"/>
      <c r="Z876" s="669" t="n"/>
      <c r="AA876" s="669" t="n"/>
      <c r="AB876" s="669" t="n"/>
    </row>
    <row r="877">
      <c r="I877" s="669" t="n"/>
      <c r="J877" s="669" t="n"/>
      <c r="K877" s="669" t="n"/>
      <c r="L877" s="669" t="n"/>
      <c r="M877" s="669" t="n"/>
      <c r="N877" s="669" t="n"/>
      <c r="O877" s="669" t="n"/>
      <c r="P877" s="669" t="n"/>
      <c r="Q877" s="669" t="n"/>
      <c r="R877" s="669" t="n"/>
      <c r="S877" s="669" t="n"/>
      <c r="T877" s="669" t="n"/>
      <c r="U877" s="669" t="n"/>
      <c r="V877" s="669" t="n"/>
      <c r="W877" s="669" t="n"/>
      <c r="X877" s="669" t="n"/>
      <c r="Y877" s="669" t="n"/>
      <c r="Z877" s="669" t="n"/>
      <c r="AA877" s="669" t="n"/>
      <c r="AB877" s="669" t="n"/>
    </row>
    <row r="878">
      <c r="I878" s="669" t="n"/>
      <c r="J878" s="669" t="n"/>
      <c r="K878" s="669" t="n"/>
      <c r="L878" s="669" t="n"/>
      <c r="M878" s="669" t="n"/>
      <c r="N878" s="669" t="n"/>
      <c r="O878" s="669" t="n"/>
      <c r="P878" s="669" t="n"/>
      <c r="Q878" s="669" t="n"/>
      <c r="R878" s="669" t="n"/>
      <c r="S878" s="669" t="n"/>
      <c r="T878" s="669" t="n"/>
      <c r="U878" s="669" t="n"/>
      <c r="V878" s="669" t="n"/>
      <c r="W878" s="669" t="n"/>
      <c r="X878" s="669" t="n"/>
      <c r="Y878" s="669" t="n"/>
      <c r="Z878" s="669" t="n"/>
      <c r="AA878" s="669" t="n"/>
      <c r="AB878" s="669" t="n"/>
    </row>
    <row r="879">
      <c r="I879" s="669" t="n"/>
      <c r="J879" s="669" t="n"/>
      <c r="K879" s="669" t="n"/>
      <c r="L879" s="669" t="n"/>
      <c r="M879" s="669" t="n"/>
      <c r="N879" s="669" t="n"/>
      <c r="O879" s="669" t="n"/>
      <c r="P879" s="669" t="n"/>
      <c r="Q879" s="669" t="n"/>
      <c r="R879" s="669" t="n"/>
      <c r="S879" s="669" t="n"/>
      <c r="T879" s="669" t="n"/>
      <c r="U879" s="669" t="n"/>
      <c r="V879" s="669" t="n"/>
      <c r="W879" s="669" t="n"/>
      <c r="X879" s="669" t="n"/>
      <c r="Y879" s="669" t="n"/>
      <c r="Z879" s="669" t="n"/>
      <c r="AA879" s="669" t="n"/>
      <c r="AB879" s="669" t="n"/>
    </row>
    <row r="880">
      <c r="I880" s="669" t="n"/>
      <c r="J880" s="669" t="n"/>
      <c r="K880" s="669" t="n"/>
      <c r="L880" s="669" t="n"/>
      <c r="M880" s="669" t="n"/>
      <c r="N880" s="669" t="n"/>
      <c r="O880" s="669" t="n"/>
      <c r="P880" s="669" t="n"/>
      <c r="Q880" s="669" t="n"/>
      <c r="R880" s="669" t="n"/>
      <c r="S880" s="669" t="n"/>
      <c r="T880" s="669" t="n"/>
      <c r="U880" s="669" t="n"/>
      <c r="V880" s="669" t="n"/>
      <c r="W880" s="669" t="n"/>
      <c r="X880" s="669" t="n"/>
      <c r="Y880" s="669" t="n"/>
      <c r="Z880" s="669" t="n"/>
      <c r="AA880" s="669" t="n"/>
      <c r="AB880" s="669" t="n"/>
    </row>
    <row r="881">
      <c r="I881" s="669" t="n"/>
      <c r="J881" s="669" t="n"/>
      <c r="K881" s="669" t="n"/>
      <c r="L881" s="669" t="n"/>
      <c r="M881" s="669" t="n"/>
      <c r="N881" s="669" t="n"/>
      <c r="O881" s="669" t="n"/>
      <c r="P881" s="669" t="n"/>
      <c r="Q881" s="669" t="n"/>
      <c r="R881" s="669" t="n"/>
      <c r="S881" s="669" t="n"/>
      <c r="T881" s="669" t="n"/>
      <c r="U881" s="669" t="n"/>
      <c r="V881" s="669" t="n"/>
      <c r="W881" s="669" t="n"/>
      <c r="X881" s="669" t="n"/>
      <c r="Y881" s="669" t="n"/>
      <c r="Z881" s="669" t="n"/>
      <c r="AA881" s="669" t="n"/>
      <c r="AB881" s="669" t="n"/>
    </row>
    <row r="882">
      <c r="I882" s="669" t="n"/>
      <c r="J882" s="669" t="n"/>
      <c r="K882" s="669" t="n"/>
      <c r="L882" s="669" t="n"/>
      <c r="M882" s="669" t="n"/>
      <c r="N882" s="669" t="n"/>
      <c r="O882" s="669" t="n"/>
      <c r="P882" s="669" t="n"/>
      <c r="Q882" s="669" t="n"/>
      <c r="R882" s="669" t="n"/>
      <c r="S882" s="669" t="n"/>
      <c r="T882" s="669" t="n"/>
      <c r="U882" s="669" t="n"/>
      <c r="V882" s="669" t="n"/>
      <c r="W882" s="669" t="n"/>
      <c r="X882" s="669" t="n"/>
      <c r="Y882" s="669" t="n"/>
      <c r="Z882" s="669" t="n"/>
      <c r="AA882" s="669" t="n"/>
      <c r="AB882" s="669" t="n"/>
    </row>
    <row r="883">
      <c r="I883" s="669" t="n"/>
      <c r="J883" s="669" t="n"/>
      <c r="K883" s="669" t="n"/>
      <c r="L883" s="669" t="n"/>
      <c r="M883" s="669" t="n"/>
      <c r="N883" s="669" t="n"/>
      <c r="O883" s="669" t="n"/>
      <c r="P883" s="669" t="n"/>
      <c r="Q883" s="669" t="n"/>
      <c r="R883" s="669" t="n"/>
      <c r="S883" s="669" t="n"/>
      <c r="T883" s="669" t="n"/>
      <c r="U883" s="669" t="n"/>
      <c r="V883" s="669" t="n"/>
      <c r="W883" s="669" t="n"/>
      <c r="X883" s="669" t="n"/>
      <c r="Y883" s="669" t="n"/>
      <c r="Z883" s="669" t="n"/>
      <c r="AA883" s="669" t="n"/>
      <c r="AB883" s="669" t="n"/>
    </row>
    <row r="884">
      <c r="I884" s="669" t="n"/>
      <c r="J884" s="669" t="n"/>
      <c r="K884" s="669" t="n"/>
      <c r="L884" s="669" t="n"/>
      <c r="M884" s="669" t="n"/>
      <c r="N884" s="669" t="n"/>
      <c r="O884" s="669" t="n"/>
      <c r="P884" s="669" t="n"/>
      <c r="Q884" s="669" t="n"/>
      <c r="R884" s="669" t="n"/>
      <c r="S884" s="669" t="n"/>
      <c r="T884" s="669" t="n"/>
      <c r="U884" s="669" t="n"/>
      <c r="V884" s="669" t="n"/>
      <c r="W884" s="669" t="n"/>
      <c r="X884" s="669" t="n"/>
      <c r="Y884" s="669" t="n"/>
      <c r="Z884" s="669" t="n"/>
      <c r="AA884" s="669" t="n"/>
      <c r="AB884" s="669" t="n"/>
    </row>
    <row r="885">
      <c r="I885" s="669" t="n"/>
      <c r="J885" s="669" t="n"/>
      <c r="K885" s="669" t="n"/>
      <c r="L885" s="669" t="n"/>
      <c r="M885" s="669" t="n"/>
      <c r="N885" s="669" t="n"/>
      <c r="O885" s="669" t="n"/>
      <c r="P885" s="669" t="n"/>
      <c r="Q885" s="669" t="n"/>
      <c r="R885" s="669" t="n"/>
      <c r="S885" s="669" t="n"/>
      <c r="T885" s="669" t="n"/>
      <c r="U885" s="669" t="n"/>
      <c r="V885" s="669" t="n"/>
      <c r="W885" s="669" t="n"/>
      <c r="X885" s="669" t="n"/>
      <c r="Y885" s="669" t="n"/>
      <c r="Z885" s="669" t="n"/>
      <c r="AA885" s="669" t="n"/>
      <c r="AB885" s="669" t="n"/>
    </row>
    <row r="886">
      <c r="I886" s="669" t="n"/>
      <c r="J886" s="669" t="n"/>
      <c r="K886" s="669" t="n"/>
      <c r="L886" s="669" t="n"/>
      <c r="M886" s="669" t="n"/>
      <c r="N886" s="669" t="n"/>
      <c r="O886" s="669" t="n"/>
      <c r="P886" s="669" t="n"/>
      <c r="Q886" s="669" t="n"/>
      <c r="R886" s="669" t="n"/>
      <c r="S886" s="669" t="n"/>
      <c r="T886" s="669" t="n"/>
      <c r="U886" s="669" t="n"/>
      <c r="V886" s="669" t="n"/>
      <c r="W886" s="669" t="n"/>
      <c r="X886" s="669" t="n"/>
      <c r="Y886" s="669" t="n"/>
      <c r="Z886" s="669" t="n"/>
      <c r="AA886" s="669" t="n"/>
      <c r="AB886" s="669" t="n"/>
    </row>
    <row r="887">
      <c r="I887" s="669" t="n"/>
      <c r="J887" s="669" t="n"/>
      <c r="K887" s="669" t="n"/>
      <c r="L887" s="669" t="n"/>
      <c r="M887" s="669" t="n"/>
      <c r="N887" s="669" t="n"/>
      <c r="O887" s="669" t="n"/>
      <c r="P887" s="669" t="n"/>
      <c r="Q887" s="669" t="n"/>
      <c r="R887" s="669" t="n"/>
      <c r="S887" s="669" t="n"/>
      <c r="T887" s="669" t="n"/>
      <c r="U887" s="669" t="n"/>
      <c r="V887" s="669" t="n"/>
      <c r="W887" s="669" t="n"/>
      <c r="X887" s="669" t="n"/>
      <c r="Y887" s="669" t="n"/>
      <c r="Z887" s="669" t="n"/>
      <c r="AA887" s="669" t="n"/>
      <c r="AB887" s="669" t="n"/>
    </row>
    <row r="888">
      <c r="I888" s="669" t="n"/>
      <c r="J888" s="669" t="n"/>
      <c r="K888" s="669" t="n"/>
      <c r="L888" s="669" t="n"/>
      <c r="M888" s="669" t="n"/>
      <c r="N888" s="669" t="n"/>
      <c r="O888" s="669" t="n"/>
      <c r="P888" s="669" t="n"/>
      <c r="Q888" s="669" t="n"/>
      <c r="R888" s="669" t="n"/>
      <c r="S888" s="669" t="n"/>
      <c r="T888" s="669" t="n"/>
      <c r="U888" s="669" t="n"/>
      <c r="V888" s="669" t="n"/>
      <c r="W888" s="669" t="n"/>
      <c r="X888" s="669" t="n"/>
      <c r="Y888" s="669" t="n"/>
      <c r="Z888" s="669" t="n"/>
      <c r="AA888" s="669" t="n"/>
      <c r="AB888" s="669" t="n"/>
    </row>
    <row r="889">
      <c r="I889" s="669" t="n"/>
      <c r="J889" s="669" t="n"/>
      <c r="K889" s="669" t="n"/>
      <c r="L889" s="669" t="n"/>
      <c r="M889" s="669" t="n"/>
      <c r="N889" s="669" t="n"/>
      <c r="O889" s="669" t="n"/>
      <c r="P889" s="669" t="n"/>
      <c r="Q889" s="669" t="n"/>
      <c r="R889" s="669" t="n"/>
      <c r="S889" s="669" t="n"/>
      <c r="T889" s="669" t="n"/>
      <c r="U889" s="669" t="n"/>
      <c r="V889" s="669" t="n"/>
      <c r="W889" s="669" t="n"/>
      <c r="X889" s="669" t="n"/>
      <c r="Y889" s="669" t="n"/>
      <c r="Z889" s="669" t="n"/>
      <c r="AA889" s="669" t="n"/>
      <c r="AB889" s="669" t="n"/>
    </row>
    <row r="890">
      <c r="I890" s="669" t="n"/>
      <c r="J890" s="669" t="n"/>
      <c r="K890" s="669" t="n"/>
      <c r="L890" s="669" t="n"/>
      <c r="M890" s="669" t="n"/>
      <c r="N890" s="669" t="n"/>
      <c r="O890" s="669" t="n"/>
      <c r="P890" s="669" t="n"/>
      <c r="Q890" s="669" t="n"/>
      <c r="R890" s="669" t="n"/>
      <c r="S890" s="669" t="n"/>
      <c r="T890" s="669" t="n"/>
      <c r="U890" s="669" t="n"/>
      <c r="V890" s="669" t="n"/>
      <c r="W890" s="669" t="n"/>
      <c r="X890" s="669" t="n"/>
      <c r="Y890" s="669" t="n"/>
      <c r="Z890" s="669" t="n"/>
      <c r="AA890" s="669" t="n"/>
      <c r="AB890" s="669" t="n"/>
    </row>
    <row r="891">
      <c r="I891" s="669" t="n"/>
      <c r="J891" s="669" t="n"/>
      <c r="K891" s="669" t="n"/>
      <c r="L891" s="669" t="n"/>
      <c r="M891" s="669" t="n"/>
      <c r="N891" s="669" t="n"/>
      <c r="O891" s="669" t="n"/>
      <c r="P891" s="669" t="n"/>
      <c r="Q891" s="669" t="n"/>
      <c r="R891" s="669" t="n"/>
      <c r="S891" s="669" t="n"/>
      <c r="T891" s="669" t="n"/>
      <c r="U891" s="669" t="n"/>
      <c r="V891" s="669" t="n"/>
      <c r="W891" s="669" t="n"/>
      <c r="X891" s="669" t="n"/>
      <c r="Y891" s="669" t="n"/>
      <c r="Z891" s="669" t="n"/>
      <c r="AA891" s="669" t="n"/>
      <c r="AB891" s="669" t="n"/>
    </row>
    <row r="892">
      <c r="I892" s="669" t="n"/>
      <c r="J892" s="669" t="n"/>
      <c r="K892" s="669" t="n"/>
      <c r="L892" s="669" t="n"/>
      <c r="M892" s="669" t="n"/>
      <c r="N892" s="669" t="n"/>
      <c r="O892" s="669" t="n"/>
      <c r="P892" s="669" t="n"/>
      <c r="Q892" s="669" t="n"/>
      <c r="R892" s="669" t="n"/>
      <c r="S892" s="669" t="n"/>
      <c r="T892" s="669" t="n"/>
      <c r="U892" s="669" t="n"/>
      <c r="V892" s="669" t="n"/>
      <c r="W892" s="669" t="n"/>
      <c r="X892" s="669" t="n"/>
      <c r="Y892" s="669" t="n"/>
      <c r="Z892" s="669" t="n"/>
      <c r="AA892" s="669" t="n"/>
      <c r="AB892" s="669" t="n"/>
    </row>
    <row r="893">
      <c r="I893" s="669" t="n"/>
      <c r="J893" s="669" t="n"/>
      <c r="K893" s="669" t="n"/>
      <c r="L893" s="669" t="n"/>
      <c r="M893" s="669" t="n"/>
      <c r="N893" s="669" t="n"/>
      <c r="O893" s="669" t="n"/>
      <c r="P893" s="669" t="n"/>
      <c r="Q893" s="669" t="n"/>
      <c r="R893" s="669" t="n"/>
      <c r="S893" s="669" t="n"/>
      <c r="T893" s="669" t="n"/>
      <c r="U893" s="669" t="n"/>
      <c r="V893" s="669" t="n"/>
      <c r="W893" s="669" t="n"/>
      <c r="X893" s="669" t="n"/>
      <c r="Y893" s="669" t="n"/>
      <c r="Z893" s="669" t="n"/>
      <c r="AA893" s="669" t="n"/>
      <c r="AB893" s="669" t="n"/>
    </row>
    <row r="894">
      <c r="I894" s="669" t="n"/>
      <c r="J894" s="669" t="n"/>
      <c r="K894" s="669" t="n"/>
      <c r="L894" s="669" t="n"/>
      <c r="M894" s="669" t="n"/>
      <c r="N894" s="669" t="n"/>
      <c r="O894" s="669" t="n"/>
      <c r="P894" s="669" t="n"/>
      <c r="Q894" s="669" t="n"/>
      <c r="R894" s="669" t="n"/>
      <c r="S894" s="669" t="n"/>
      <c r="T894" s="669" t="n"/>
      <c r="U894" s="669" t="n"/>
      <c r="V894" s="669" t="n"/>
      <c r="W894" s="669" t="n"/>
      <c r="X894" s="669" t="n"/>
      <c r="Y894" s="669" t="n"/>
      <c r="Z894" s="669" t="n"/>
      <c r="AA894" s="669" t="n"/>
      <c r="AB894" s="669" t="n"/>
    </row>
    <row r="895">
      <c r="I895" s="669" t="n"/>
      <c r="J895" s="669" t="n"/>
      <c r="K895" s="669" t="n"/>
      <c r="L895" s="669" t="n"/>
      <c r="M895" s="669" t="n"/>
      <c r="N895" s="669" t="n"/>
      <c r="O895" s="669" t="n"/>
      <c r="P895" s="669" t="n"/>
      <c r="Q895" s="669" t="n"/>
      <c r="R895" s="669" t="n"/>
      <c r="S895" s="669" t="n"/>
      <c r="T895" s="669" t="n"/>
      <c r="U895" s="669" t="n"/>
      <c r="V895" s="669" t="n"/>
      <c r="W895" s="669" t="n"/>
      <c r="X895" s="669" t="n"/>
      <c r="Y895" s="669" t="n"/>
      <c r="Z895" s="669" t="n"/>
      <c r="AA895" s="669" t="n"/>
      <c r="AB895" s="669" t="n"/>
    </row>
    <row r="896">
      <c r="I896" s="669" t="n"/>
      <c r="J896" s="669" t="n"/>
      <c r="K896" s="669" t="n"/>
      <c r="L896" s="669" t="n"/>
      <c r="M896" s="669" t="n"/>
      <c r="N896" s="669" t="n"/>
      <c r="O896" s="669" t="n"/>
      <c r="P896" s="669" t="n"/>
      <c r="Q896" s="669" t="n"/>
      <c r="R896" s="669" t="n"/>
      <c r="S896" s="669" t="n"/>
      <c r="T896" s="669" t="n"/>
      <c r="U896" s="669" t="n"/>
      <c r="V896" s="669" t="n"/>
      <c r="W896" s="669" t="n"/>
      <c r="X896" s="669" t="n"/>
      <c r="Y896" s="669" t="n"/>
      <c r="Z896" s="669" t="n"/>
      <c r="AA896" s="669" t="n"/>
      <c r="AB896" s="669" t="n"/>
    </row>
    <row r="897">
      <c r="I897" s="669" t="n"/>
      <c r="J897" s="669" t="n"/>
      <c r="K897" s="669" t="n"/>
      <c r="L897" s="669" t="n"/>
      <c r="M897" s="669" t="n"/>
      <c r="N897" s="669" t="n"/>
      <c r="O897" s="669" t="n"/>
      <c r="P897" s="669" t="n"/>
      <c r="Q897" s="669" t="n"/>
      <c r="R897" s="669" t="n"/>
      <c r="S897" s="669" t="n"/>
      <c r="T897" s="669" t="n"/>
      <c r="U897" s="669" t="n"/>
      <c r="V897" s="669" t="n"/>
      <c r="W897" s="669" t="n"/>
      <c r="X897" s="669" t="n"/>
      <c r="Y897" s="669" t="n"/>
      <c r="Z897" s="669" t="n"/>
      <c r="AA897" s="669" t="n"/>
      <c r="AB897" s="669" t="n"/>
    </row>
    <row r="898">
      <c r="I898" s="669" t="n"/>
      <c r="J898" s="669" t="n"/>
      <c r="K898" s="669" t="n"/>
      <c r="L898" s="669" t="n"/>
      <c r="M898" s="669" t="n"/>
      <c r="N898" s="669" t="n"/>
      <c r="O898" s="669" t="n"/>
      <c r="P898" s="669" t="n"/>
      <c r="Q898" s="669" t="n"/>
      <c r="R898" s="669" t="n"/>
      <c r="S898" s="669" t="n"/>
      <c r="T898" s="669" t="n"/>
      <c r="U898" s="669" t="n"/>
      <c r="V898" s="669" t="n"/>
      <c r="W898" s="669" t="n"/>
      <c r="X898" s="669" t="n"/>
      <c r="Y898" s="669" t="n"/>
      <c r="Z898" s="669" t="n"/>
      <c r="AA898" s="669" t="n"/>
      <c r="AB898" s="669" t="n"/>
    </row>
    <row r="899">
      <c r="I899" s="669" t="n"/>
      <c r="J899" s="669" t="n"/>
      <c r="K899" s="669" t="n"/>
      <c r="L899" s="669" t="n"/>
      <c r="M899" s="669" t="n"/>
      <c r="N899" s="669" t="n"/>
      <c r="O899" s="669" t="n"/>
      <c r="P899" s="669" t="n"/>
      <c r="Q899" s="669" t="n"/>
      <c r="R899" s="669" t="n"/>
      <c r="S899" s="669" t="n"/>
      <c r="T899" s="669" t="n"/>
      <c r="U899" s="669" t="n"/>
      <c r="V899" s="669" t="n"/>
      <c r="W899" s="669" t="n"/>
      <c r="X899" s="669" t="n"/>
      <c r="Y899" s="669" t="n"/>
      <c r="Z899" s="669" t="n"/>
      <c r="AA899" s="669" t="n"/>
      <c r="AB899" s="669" t="n"/>
    </row>
    <row r="900">
      <c r="I900" s="669" t="n"/>
      <c r="J900" s="669" t="n"/>
      <c r="K900" s="669" t="n"/>
      <c r="L900" s="669" t="n"/>
      <c r="M900" s="669" t="n"/>
      <c r="N900" s="669" t="n"/>
      <c r="O900" s="669" t="n"/>
      <c r="P900" s="669" t="n"/>
      <c r="Q900" s="669" t="n"/>
      <c r="R900" s="669" t="n"/>
      <c r="S900" s="669" t="n"/>
      <c r="T900" s="669" t="n"/>
      <c r="U900" s="669" t="n"/>
      <c r="V900" s="669" t="n"/>
      <c r="W900" s="669" t="n"/>
      <c r="X900" s="669" t="n"/>
      <c r="Y900" s="669" t="n"/>
      <c r="Z900" s="669" t="n"/>
      <c r="AA900" s="669" t="n"/>
      <c r="AB900" s="669" t="n"/>
    </row>
    <row r="901">
      <c r="I901" s="669" t="n"/>
      <c r="J901" s="669" t="n"/>
      <c r="K901" s="669" t="n"/>
      <c r="L901" s="669" t="n"/>
      <c r="M901" s="669" t="n"/>
      <c r="N901" s="669" t="n"/>
      <c r="O901" s="669" t="n"/>
      <c r="P901" s="669" t="n"/>
      <c r="Q901" s="669" t="n"/>
      <c r="R901" s="669" t="n"/>
      <c r="S901" s="669" t="n"/>
      <c r="T901" s="669" t="n"/>
      <c r="U901" s="669" t="n"/>
      <c r="V901" s="669" t="n"/>
      <c r="W901" s="669" t="n"/>
      <c r="X901" s="669" t="n"/>
      <c r="Y901" s="669" t="n"/>
      <c r="Z901" s="669" t="n"/>
      <c r="AA901" s="669" t="n"/>
      <c r="AB901" s="669" t="n"/>
    </row>
    <row r="902">
      <c r="I902" s="669" t="n"/>
      <c r="J902" s="669" t="n"/>
      <c r="K902" s="669" t="n"/>
      <c r="L902" s="669" t="n"/>
      <c r="M902" s="669" t="n"/>
      <c r="N902" s="669" t="n"/>
      <c r="O902" s="669" t="n"/>
      <c r="P902" s="669" t="n"/>
      <c r="Q902" s="669" t="n"/>
      <c r="R902" s="669" t="n"/>
      <c r="S902" s="669" t="n"/>
      <c r="T902" s="669" t="n"/>
      <c r="U902" s="669" t="n"/>
      <c r="V902" s="669" t="n"/>
      <c r="W902" s="669" t="n"/>
      <c r="X902" s="669" t="n"/>
      <c r="Y902" s="669" t="n"/>
      <c r="Z902" s="669" t="n"/>
      <c r="AA902" s="669" t="n"/>
      <c r="AB902" s="669" t="n"/>
    </row>
    <row r="903">
      <c r="I903" s="669" t="n"/>
      <c r="J903" s="669" t="n"/>
      <c r="K903" s="669" t="n"/>
      <c r="L903" s="669" t="n"/>
      <c r="M903" s="669" t="n"/>
      <c r="N903" s="669" t="n"/>
      <c r="O903" s="669" t="n"/>
      <c r="P903" s="669" t="n"/>
      <c r="Q903" s="669" t="n"/>
      <c r="R903" s="669" t="n"/>
      <c r="S903" s="669" t="n"/>
      <c r="T903" s="669" t="n"/>
      <c r="U903" s="669" t="n"/>
      <c r="V903" s="669" t="n"/>
      <c r="W903" s="669" t="n"/>
      <c r="X903" s="669" t="n"/>
      <c r="Y903" s="669" t="n"/>
      <c r="Z903" s="669" t="n"/>
      <c r="AA903" s="669" t="n"/>
      <c r="AB903" s="669" t="n"/>
    </row>
    <row r="904">
      <c r="I904" s="669" t="n"/>
      <c r="J904" s="669" t="n"/>
      <c r="K904" s="669" t="n"/>
      <c r="L904" s="669" t="n"/>
      <c r="M904" s="669" t="n"/>
      <c r="N904" s="669" t="n"/>
      <c r="O904" s="669" t="n"/>
      <c r="P904" s="669" t="n"/>
      <c r="Q904" s="669" t="n"/>
      <c r="R904" s="669" t="n"/>
      <c r="S904" s="669" t="n"/>
      <c r="T904" s="669" t="n"/>
      <c r="U904" s="669" t="n"/>
      <c r="V904" s="669" t="n"/>
      <c r="W904" s="669" t="n"/>
      <c r="X904" s="669" t="n"/>
      <c r="Y904" s="669" t="n"/>
      <c r="Z904" s="669" t="n"/>
      <c r="AA904" s="669" t="n"/>
      <c r="AB904" s="669" t="n"/>
    </row>
    <row r="905">
      <c r="I905" s="669" t="n"/>
      <c r="J905" s="669" t="n"/>
      <c r="K905" s="669" t="n"/>
      <c r="L905" s="669" t="n"/>
      <c r="M905" s="669" t="n"/>
      <c r="N905" s="669" t="n"/>
      <c r="O905" s="669" t="n"/>
      <c r="P905" s="669" t="n"/>
      <c r="Q905" s="669" t="n"/>
      <c r="R905" s="669" t="n"/>
      <c r="S905" s="669" t="n"/>
      <c r="T905" s="669" t="n"/>
      <c r="U905" s="669" t="n"/>
      <c r="V905" s="669" t="n"/>
      <c r="W905" s="669" t="n"/>
      <c r="X905" s="669" t="n"/>
      <c r="Y905" s="669" t="n"/>
      <c r="Z905" s="669" t="n"/>
      <c r="AA905" s="669" t="n"/>
      <c r="AB905" s="669" t="n"/>
    </row>
    <row r="906">
      <c r="I906" s="669" t="n"/>
      <c r="J906" s="669" t="n"/>
      <c r="K906" s="669" t="n"/>
      <c r="L906" s="669" t="n"/>
      <c r="M906" s="669" t="n"/>
      <c r="N906" s="669" t="n"/>
      <c r="O906" s="669" t="n"/>
      <c r="P906" s="669" t="n"/>
      <c r="Q906" s="669" t="n"/>
      <c r="R906" s="669" t="n"/>
      <c r="S906" s="669" t="n"/>
      <c r="T906" s="669" t="n"/>
      <c r="U906" s="669" t="n"/>
      <c r="V906" s="669" t="n"/>
      <c r="W906" s="669" t="n"/>
      <c r="X906" s="669" t="n"/>
      <c r="Y906" s="669" t="n"/>
      <c r="Z906" s="669" t="n"/>
      <c r="AA906" s="669" t="n"/>
      <c r="AB906" s="669" t="n"/>
    </row>
    <row r="907">
      <c r="I907" s="669" t="n"/>
      <c r="J907" s="669" t="n"/>
      <c r="K907" s="669" t="n"/>
      <c r="L907" s="669" t="n"/>
      <c r="M907" s="669" t="n"/>
      <c r="N907" s="669" t="n"/>
      <c r="O907" s="669" t="n"/>
      <c r="P907" s="669" t="n"/>
      <c r="Q907" s="669" t="n"/>
      <c r="R907" s="669" t="n"/>
      <c r="S907" s="669" t="n"/>
      <c r="T907" s="669" t="n"/>
      <c r="U907" s="669" t="n"/>
      <c r="V907" s="669" t="n"/>
      <c r="W907" s="669" t="n"/>
      <c r="X907" s="669" t="n"/>
      <c r="Y907" s="669" t="n"/>
      <c r="Z907" s="669" t="n"/>
      <c r="AA907" s="669" t="n"/>
      <c r="AB907" s="669" t="n"/>
    </row>
    <row r="908">
      <c r="I908" s="669" t="n"/>
      <c r="J908" s="669" t="n"/>
      <c r="K908" s="669" t="n"/>
      <c r="L908" s="669" t="n"/>
      <c r="M908" s="669" t="n"/>
      <c r="N908" s="669" t="n"/>
      <c r="O908" s="669" t="n"/>
      <c r="P908" s="669" t="n"/>
      <c r="Q908" s="669" t="n"/>
      <c r="R908" s="669" t="n"/>
      <c r="S908" s="669" t="n"/>
      <c r="T908" s="669" t="n"/>
      <c r="U908" s="669" t="n"/>
      <c r="V908" s="669" t="n"/>
      <c r="W908" s="669" t="n"/>
      <c r="X908" s="669" t="n"/>
      <c r="Y908" s="669" t="n"/>
      <c r="Z908" s="669" t="n"/>
      <c r="AA908" s="669" t="n"/>
      <c r="AB908" s="669" t="n"/>
    </row>
    <row r="909">
      <c r="I909" s="669" t="n"/>
      <c r="J909" s="669" t="n"/>
      <c r="K909" s="669" t="n"/>
      <c r="L909" s="669" t="n"/>
      <c r="M909" s="669" t="n"/>
      <c r="N909" s="669" t="n"/>
      <c r="O909" s="669" t="n"/>
      <c r="P909" s="669" t="n"/>
      <c r="Q909" s="669" t="n"/>
      <c r="R909" s="669" t="n"/>
      <c r="S909" s="669" t="n"/>
      <c r="T909" s="669" t="n"/>
      <c r="U909" s="669" t="n"/>
      <c r="V909" s="669" t="n"/>
      <c r="W909" s="669" t="n"/>
      <c r="X909" s="669" t="n"/>
      <c r="Y909" s="669" t="n"/>
      <c r="Z909" s="669" t="n"/>
      <c r="AA909" s="669" t="n"/>
      <c r="AB909" s="669" t="n"/>
    </row>
    <row r="910">
      <c r="I910" s="669" t="n"/>
      <c r="J910" s="669" t="n"/>
      <c r="K910" s="669" t="n"/>
      <c r="L910" s="669" t="n"/>
      <c r="M910" s="669" t="n"/>
      <c r="N910" s="669" t="n"/>
      <c r="O910" s="669" t="n"/>
      <c r="P910" s="669" t="n"/>
      <c r="Q910" s="669" t="n"/>
      <c r="R910" s="669" t="n"/>
      <c r="S910" s="669" t="n"/>
      <c r="T910" s="669" t="n"/>
      <c r="U910" s="669" t="n"/>
      <c r="V910" s="669" t="n"/>
      <c r="W910" s="669" t="n"/>
      <c r="X910" s="669" t="n"/>
      <c r="Y910" s="669" t="n"/>
      <c r="Z910" s="669" t="n"/>
      <c r="AA910" s="669" t="n"/>
      <c r="AB910" s="669" t="n"/>
    </row>
    <row r="911">
      <c r="I911" s="669" t="n"/>
      <c r="J911" s="669" t="n"/>
      <c r="K911" s="669" t="n"/>
      <c r="L911" s="669" t="n"/>
      <c r="M911" s="669" t="n"/>
      <c r="N911" s="669" t="n"/>
      <c r="O911" s="669" t="n"/>
      <c r="P911" s="669" t="n"/>
      <c r="Q911" s="669" t="n"/>
      <c r="R911" s="669" t="n"/>
      <c r="S911" s="669" t="n"/>
      <c r="T911" s="669" t="n"/>
      <c r="U911" s="669" t="n"/>
      <c r="V911" s="669" t="n"/>
      <c r="W911" s="669" t="n"/>
      <c r="X911" s="669" t="n"/>
      <c r="Y911" s="669" t="n"/>
      <c r="Z911" s="669" t="n"/>
      <c r="AA911" s="669" t="n"/>
      <c r="AB911" s="669" t="n"/>
    </row>
    <row r="912">
      <c r="I912" s="669" t="n"/>
      <c r="J912" s="669" t="n"/>
      <c r="K912" s="669" t="n"/>
      <c r="L912" s="669" t="n"/>
      <c r="M912" s="669" t="n"/>
      <c r="N912" s="669" t="n"/>
      <c r="O912" s="669" t="n"/>
      <c r="P912" s="669" t="n"/>
      <c r="Q912" s="669" t="n"/>
      <c r="R912" s="669" t="n"/>
      <c r="S912" s="669" t="n"/>
      <c r="T912" s="669" t="n"/>
      <c r="U912" s="669" t="n"/>
      <c r="V912" s="669" t="n"/>
      <c r="W912" s="669" t="n"/>
      <c r="X912" s="669" t="n"/>
      <c r="Y912" s="669" t="n"/>
      <c r="Z912" s="669" t="n"/>
      <c r="AA912" s="669" t="n"/>
      <c r="AB912" s="669" t="n"/>
    </row>
    <row r="913">
      <c r="I913" s="669" t="n"/>
      <c r="J913" s="669" t="n"/>
      <c r="K913" s="669" t="n"/>
      <c r="L913" s="669" t="n"/>
      <c r="M913" s="669" t="n"/>
      <c r="N913" s="669" t="n"/>
      <c r="O913" s="669" t="n"/>
      <c r="P913" s="669" t="n"/>
      <c r="Q913" s="669" t="n"/>
      <c r="R913" s="669" t="n"/>
      <c r="S913" s="669" t="n"/>
      <c r="T913" s="669" t="n"/>
      <c r="U913" s="669" t="n"/>
      <c r="V913" s="669" t="n"/>
      <c r="W913" s="669" t="n"/>
      <c r="X913" s="669" t="n"/>
      <c r="Y913" s="669" t="n"/>
      <c r="Z913" s="669" t="n"/>
      <c r="AA913" s="669" t="n"/>
      <c r="AB913" s="669" t="n"/>
    </row>
    <row r="914">
      <c r="I914" s="669" t="n"/>
      <c r="J914" s="669" t="n"/>
      <c r="K914" s="669" t="n"/>
      <c r="L914" s="669" t="n"/>
      <c r="M914" s="669" t="n"/>
      <c r="N914" s="669" t="n"/>
      <c r="O914" s="669" t="n"/>
      <c r="P914" s="669" t="n"/>
      <c r="Q914" s="669" t="n"/>
      <c r="R914" s="669" t="n"/>
      <c r="S914" s="669" t="n"/>
      <c r="T914" s="669" t="n"/>
      <c r="U914" s="669" t="n"/>
      <c r="V914" s="669" t="n"/>
      <c r="W914" s="669" t="n"/>
      <c r="X914" s="669" t="n"/>
      <c r="Y914" s="669" t="n"/>
      <c r="Z914" s="669" t="n"/>
      <c r="AA914" s="669" t="n"/>
      <c r="AB914" s="669" t="n"/>
    </row>
    <row r="915">
      <c r="I915" s="669" t="n"/>
      <c r="J915" s="669" t="n"/>
      <c r="K915" s="669" t="n"/>
      <c r="L915" s="669" t="n"/>
      <c r="M915" s="669" t="n"/>
      <c r="N915" s="669" t="n"/>
      <c r="O915" s="669" t="n"/>
      <c r="P915" s="669" t="n"/>
      <c r="Q915" s="669" t="n"/>
      <c r="R915" s="669" t="n"/>
      <c r="S915" s="669" t="n"/>
      <c r="T915" s="669" t="n"/>
      <c r="U915" s="669" t="n"/>
      <c r="V915" s="669" t="n"/>
      <c r="W915" s="669" t="n"/>
      <c r="X915" s="669" t="n"/>
      <c r="Y915" s="669" t="n"/>
      <c r="Z915" s="669" t="n"/>
      <c r="AA915" s="669" t="n"/>
      <c r="AB915" s="669" t="n"/>
    </row>
    <row r="916">
      <c r="I916" s="669" t="n"/>
      <c r="J916" s="669" t="n"/>
      <c r="K916" s="669" t="n"/>
      <c r="L916" s="669" t="n"/>
      <c r="M916" s="669" t="n"/>
      <c r="N916" s="669" t="n"/>
      <c r="O916" s="669" t="n"/>
      <c r="P916" s="669" t="n"/>
      <c r="Q916" s="669" t="n"/>
      <c r="R916" s="669" t="n"/>
      <c r="S916" s="669" t="n"/>
      <c r="T916" s="669" t="n"/>
      <c r="U916" s="669" t="n"/>
      <c r="V916" s="669" t="n"/>
      <c r="W916" s="669" t="n"/>
      <c r="X916" s="669" t="n"/>
      <c r="Y916" s="669" t="n"/>
      <c r="Z916" s="669" t="n"/>
      <c r="AA916" s="669" t="n"/>
      <c r="AB916" s="669" t="n"/>
    </row>
    <row r="917">
      <c r="I917" s="669" t="n"/>
      <c r="J917" s="669" t="n"/>
      <c r="K917" s="669" t="n"/>
      <c r="L917" s="669" t="n"/>
      <c r="M917" s="669" t="n"/>
      <c r="N917" s="669" t="n"/>
      <c r="O917" s="669" t="n"/>
      <c r="P917" s="669" t="n"/>
      <c r="Q917" s="669" t="n"/>
      <c r="R917" s="669" t="n"/>
      <c r="S917" s="669" t="n"/>
      <c r="T917" s="669" t="n"/>
      <c r="U917" s="669" t="n"/>
      <c r="V917" s="669" t="n"/>
      <c r="W917" s="669" t="n"/>
      <c r="X917" s="669" t="n"/>
      <c r="Y917" s="669" t="n"/>
      <c r="Z917" s="669" t="n"/>
      <c r="AA917" s="669" t="n"/>
      <c r="AB917" s="669" t="n"/>
    </row>
    <row r="918">
      <c r="I918" s="669" t="n"/>
      <c r="J918" s="669" t="n"/>
      <c r="K918" s="669" t="n"/>
      <c r="L918" s="669" t="n"/>
      <c r="M918" s="669" t="n"/>
      <c r="N918" s="669" t="n"/>
      <c r="O918" s="669" t="n"/>
      <c r="P918" s="669" t="n"/>
      <c r="Q918" s="669" t="n"/>
      <c r="R918" s="669" t="n"/>
      <c r="S918" s="669" t="n"/>
      <c r="T918" s="669" t="n"/>
      <c r="U918" s="669" t="n"/>
      <c r="V918" s="669" t="n"/>
      <c r="W918" s="669" t="n"/>
      <c r="X918" s="669" t="n"/>
      <c r="Y918" s="669" t="n"/>
      <c r="Z918" s="669" t="n"/>
      <c r="AA918" s="669" t="n"/>
      <c r="AB918" s="669" t="n"/>
    </row>
    <row r="919">
      <c r="I919" s="669" t="n"/>
      <c r="J919" s="669" t="n"/>
      <c r="K919" s="669" t="n"/>
      <c r="L919" s="669" t="n"/>
      <c r="M919" s="669" t="n"/>
      <c r="N919" s="669" t="n"/>
      <c r="O919" s="669" t="n"/>
      <c r="P919" s="669" t="n"/>
      <c r="Q919" s="669" t="n"/>
      <c r="R919" s="669" t="n"/>
      <c r="S919" s="669" t="n"/>
      <c r="T919" s="669" t="n"/>
      <c r="U919" s="669" t="n"/>
      <c r="V919" s="669" t="n"/>
      <c r="W919" s="669" t="n"/>
      <c r="X919" s="669" t="n"/>
      <c r="Y919" s="669" t="n"/>
      <c r="Z919" s="669" t="n"/>
      <c r="AA919" s="669" t="n"/>
      <c r="AB919" s="669" t="n"/>
    </row>
    <row r="920">
      <c r="I920" s="669" t="n"/>
      <c r="J920" s="669" t="n"/>
      <c r="K920" s="669" t="n"/>
      <c r="L920" s="669" t="n"/>
      <c r="M920" s="669" t="n"/>
      <c r="N920" s="669" t="n"/>
      <c r="O920" s="669" t="n"/>
      <c r="P920" s="669" t="n"/>
      <c r="Q920" s="669" t="n"/>
      <c r="R920" s="669" t="n"/>
      <c r="S920" s="669" t="n"/>
      <c r="T920" s="669" t="n"/>
      <c r="U920" s="669" t="n"/>
      <c r="V920" s="669" t="n"/>
      <c r="W920" s="669" t="n"/>
      <c r="X920" s="669" t="n"/>
      <c r="Y920" s="669" t="n"/>
      <c r="Z920" s="669" t="n"/>
      <c r="AA920" s="669" t="n"/>
      <c r="AB920" s="669" t="n"/>
    </row>
    <row r="921">
      <c r="I921" s="669" t="n"/>
      <c r="J921" s="669" t="n"/>
      <c r="K921" s="669" t="n"/>
      <c r="L921" s="669" t="n"/>
      <c r="M921" s="669" t="n"/>
      <c r="N921" s="669" t="n"/>
      <c r="O921" s="669" t="n"/>
      <c r="P921" s="669" t="n"/>
      <c r="Q921" s="669" t="n"/>
      <c r="R921" s="669" t="n"/>
      <c r="S921" s="669" t="n"/>
      <c r="T921" s="669" t="n"/>
      <c r="U921" s="669" t="n"/>
      <c r="V921" s="669" t="n"/>
      <c r="W921" s="669" t="n"/>
      <c r="X921" s="669" t="n"/>
      <c r="Y921" s="669" t="n"/>
      <c r="Z921" s="669" t="n"/>
      <c r="AA921" s="669" t="n"/>
      <c r="AB921" s="669" t="n"/>
    </row>
    <row r="922">
      <c r="I922" s="669" t="n"/>
      <c r="J922" s="669" t="n"/>
      <c r="K922" s="669" t="n"/>
      <c r="L922" s="669" t="n"/>
      <c r="M922" s="669" t="n"/>
      <c r="N922" s="669" t="n"/>
      <c r="O922" s="669" t="n"/>
      <c r="P922" s="669" t="n"/>
      <c r="Q922" s="669" t="n"/>
      <c r="R922" s="669" t="n"/>
      <c r="S922" s="669" t="n"/>
      <c r="T922" s="669" t="n"/>
      <c r="U922" s="669" t="n"/>
      <c r="V922" s="669" t="n"/>
      <c r="W922" s="669" t="n"/>
      <c r="X922" s="669" t="n"/>
      <c r="Y922" s="669" t="n"/>
      <c r="Z922" s="669" t="n"/>
      <c r="AA922" s="669" t="n"/>
      <c r="AB922" s="669" t="n"/>
    </row>
    <row r="923">
      <c r="I923" s="669" t="n"/>
      <c r="J923" s="669" t="n"/>
      <c r="K923" s="669" t="n"/>
      <c r="L923" s="669" t="n"/>
      <c r="M923" s="669" t="n"/>
      <c r="N923" s="669" t="n"/>
      <c r="O923" s="669" t="n"/>
      <c r="P923" s="669" t="n"/>
      <c r="Q923" s="669" t="n"/>
      <c r="R923" s="669" t="n"/>
      <c r="S923" s="669" t="n"/>
      <c r="T923" s="669" t="n"/>
      <c r="U923" s="669" t="n"/>
      <c r="V923" s="669" t="n"/>
      <c r="W923" s="669" t="n"/>
      <c r="X923" s="669" t="n"/>
      <c r="Y923" s="669" t="n"/>
      <c r="Z923" s="669" t="n"/>
      <c r="AA923" s="669" t="n"/>
      <c r="AB923" s="669" t="n"/>
    </row>
    <row r="924">
      <c r="I924" s="669" t="n"/>
      <c r="J924" s="669" t="n"/>
      <c r="K924" s="669" t="n"/>
      <c r="L924" s="669" t="n"/>
      <c r="M924" s="669" t="n"/>
      <c r="N924" s="669" t="n"/>
      <c r="O924" s="669" t="n"/>
      <c r="P924" s="669" t="n"/>
      <c r="Q924" s="669" t="n"/>
      <c r="R924" s="669" t="n"/>
      <c r="S924" s="669" t="n"/>
      <c r="T924" s="669" t="n"/>
      <c r="U924" s="669" t="n"/>
      <c r="V924" s="669" t="n"/>
      <c r="W924" s="669" t="n"/>
      <c r="X924" s="669" t="n"/>
      <c r="Y924" s="669" t="n"/>
      <c r="Z924" s="669" t="n"/>
      <c r="AA924" s="669" t="n"/>
      <c r="AB924" s="669" t="n"/>
    </row>
    <row r="925">
      <c r="I925" s="669" t="n"/>
      <c r="J925" s="669" t="n"/>
      <c r="K925" s="669" t="n"/>
      <c r="L925" s="669" t="n"/>
      <c r="M925" s="669" t="n"/>
      <c r="N925" s="669" t="n"/>
      <c r="O925" s="669" t="n"/>
      <c r="P925" s="669" t="n"/>
      <c r="Q925" s="669" t="n"/>
      <c r="R925" s="669" t="n"/>
      <c r="S925" s="669" t="n"/>
      <c r="T925" s="669" t="n"/>
      <c r="U925" s="669" t="n"/>
      <c r="V925" s="669" t="n"/>
      <c r="W925" s="669" t="n"/>
      <c r="X925" s="669" t="n"/>
      <c r="Y925" s="669" t="n"/>
      <c r="Z925" s="669" t="n"/>
      <c r="AA925" s="669" t="n"/>
      <c r="AB925" s="669" t="n"/>
    </row>
    <row r="926">
      <c r="I926" s="669" t="n"/>
      <c r="J926" s="669" t="n"/>
      <c r="K926" s="669" t="n"/>
      <c r="L926" s="669" t="n"/>
      <c r="M926" s="669" t="n"/>
      <c r="N926" s="669" t="n"/>
      <c r="O926" s="669" t="n"/>
      <c r="P926" s="669" t="n"/>
      <c r="Q926" s="669" t="n"/>
      <c r="R926" s="669" t="n"/>
      <c r="S926" s="669" t="n"/>
      <c r="T926" s="669" t="n"/>
      <c r="U926" s="669" t="n"/>
      <c r="V926" s="669" t="n"/>
      <c r="W926" s="669" t="n"/>
      <c r="X926" s="669" t="n"/>
      <c r="Y926" s="669" t="n"/>
      <c r="Z926" s="669" t="n"/>
      <c r="AA926" s="669" t="n"/>
      <c r="AB926" s="669" t="n"/>
    </row>
    <row r="927">
      <c r="I927" s="669" t="n"/>
      <c r="J927" s="669" t="n"/>
      <c r="K927" s="669" t="n"/>
      <c r="L927" s="669" t="n"/>
      <c r="M927" s="669" t="n"/>
      <c r="N927" s="669" t="n"/>
      <c r="O927" s="669" t="n"/>
      <c r="P927" s="669" t="n"/>
      <c r="Q927" s="669" t="n"/>
      <c r="R927" s="669" t="n"/>
      <c r="S927" s="669" t="n"/>
      <c r="T927" s="669" t="n"/>
      <c r="U927" s="669" t="n"/>
      <c r="V927" s="669" t="n"/>
      <c r="W927" s="669" t="n"/>
      <c r="X927" s="669" t="n"/>
      <c r="Y927" s="669" t="n"/>
      <c r="Z927" s="669" t="n"/>
      <c r="AA927" s="669" t="n"/>
      <c r="AB927" s="669" t="n"/>
    </row>
    <row r="928">
      <c r="I928" s="669" t="n"/>
      <c r="J928" s="669" t="n"/>
      <c r="K928" s="669" t="n"/>
      <c r="L928" s="669" t="n"/>
      <c r="M928" s="669" t="n"/>
      <c r="N928" s="669" t="n"/>
      <c r="O928" s="669" t="n"/>
      <c r="P928" s="669" t="n"/>
      <c r="Q928" s="669" t="n"/>
      <c r="R928" s="669" t="n"/>
      <c r="S928" s="669" t="n"/>
      <c r="T928" s="669" t="n"/>
      <c r="U928" s="669" t="n"/>
      <c r="V928" s="669" t="n"/>
      <c r="W928" s="669" t="n"/>
      <c r="X928" s="669" t="n"/>
      <c r="Y928" s="669" t="n"/>
      <c r="Z928" s="669" t="n"/>
      <c r="AA928" s="669" t="n"/>
      <c r="AB928" s="669" t="n"/>
    </row>
    <row r="929">
      <c r="I929" s="669" t="n"/>
      <c r="J929" s="669" t="n"/>
      <c r="K929" s="669" t="n"/>
      <c r="L929" s="669" t="n"/>
      <c r="M929" s="669" t="n"/>
      <c r="N929" s="669" t="n"/>
      <c r="O929" s="669" t="n"/>
      <c r="P929" s="669" t="n"/>
      <c r="Q929" s="669" t="n"/>
      <c r="R929" s="669" t="n"/>
      <c r="S929" s="669" t="n"/>
      <c r="T929" s="669" t="n"/>
      <c r="U929" s="669" t="n"/>
      <c r="V929" s="669" t="n"/>
      <c r="W929" s="669" t="n"/>
      <c r="X929" s="669" t="n"/>
      <c r="Y929" s="669" t="n"/>
      <c r="Z929" s="669" t="n"/>
      <c r="AA929" s="669" t="n"/>
      <c r="AB929" s="669" t="n"/>
    </row>
    <row r="930">
      <c r="I930" s="669" t="n"/>
      <c r="J930" s="669" t="n"/>
      <c r="K930" s="669" t="n"/>
      <c r="L930" s="669" t="n"/>
      <c r="M930" s="669" t="n"/>
      <c r="N930" s="669" t="n"/>
      <c r="O930" s="669" t="n"/>
      <c r="P930" s="669" t="n"/>
      <c r="Q930" s="669" t="n"/>
      <c r="R930" s="669" t="n"/>
      <c r="S930" s="669" t="n"/>
      <c r="T930" s="669" t="n"/>
      <c r="U930" s="669" t="n"/>
      <c r="V930" s="669" t="n"/>
      <c r="W930" s="669" t="n"/>
      <c r="X930" s="669" t="n"/>
      <c r="Y930" s="669" t="n"/>
      <c r="Z930" s="669" t="n"/>
      <c r="AA930" s="669" t="n"/>
      <c r="AB930" s="669" t="n"/>
    </row>
    <row r="931">
      <c r="I931" s="669" t="n"/>
      <c r="J931" s="669" t="n"/>
      <c r="K931" s="669" t="n"/>
      <c r="L931" s="669" t="n"/>
      <c r="M931" s="669" t="n"/>
      <c r="N931" s="669" t="n"/>
      <c r="O931" s="669" t="n"/>
      <c r="P931" s="669" t="n"/>
      <c r="Q931" s="669" t="n"/>
      <c r="R931" s="669" t="n"/>
      <c r="S931" s="669" t="n"/>
      <c r="T931" s="669" t="n"/>
      <c r="U931" s="669" t="n"/>
      <c r="V931" s="669" t="n"/>
      <c r="W931" s="669" t="n"/>
      <c r="X931" s="669" t="n"/>
      <c r="Y931" s="669" t="n"/>
      <c r="Z931" s="669" t="n"/>
      <c r="AA931" s="669" t="n"/>
      <c r="AB931" s="669" t="n"/>
    </row>
    <row r="932">
      <c r="I932" s="669" t="n"/>
      <c r="J932" s="669" t="n"/>
      <c r="K932" s="669" t="n"/>
      <c r="L932" s="669" t="n"/>
      <c r="M932" s="669" t="n"/>
      <c r="N932" s="669" t="n"/>
      <c r="O932" s="669" t="n"/>
      <c r="P932" s="669" t="n"/>
      <c r="Q932" s="669" t="n"/>
      <c r="R932" s="669" t="n"/>
      <c r="S932" s="669" t="n"/>
      <c r="T932" s="669" t="n"/>
      <c r="U932" s="669" t="n"/>
      <c r="V932" s="669" t="n"/>
      <c r="W932" s="669" t="n"/>
      <c r="X932" s="669" t="n"/>
      <c r="Y932" s="669" t="n"/>
      <c r="Z932" s="669" t="n"/>
      <c r="AA932" s="669" t="n"/>
      <c r="AB932" s="669" t="n"/>
    </row>
    <row r="933">
      <c r="I933" s="669" t="n"/>
      <c r="J933" s="669" t="n"/>
      <c r="K933" s="669" t="n"/>
      <c r="L933" s="669" t="n"/>
      <c r="M933" s="669" t="n"/>
      <c r="N933" s="669" t="n"/>
      <c r="O933" s="669" t="n"/>
      <c r="P933" s="669" t="n"/>
      <c r="Q933" s="669" t="n"/>
      <c r="R933" s="669" t="n"/>
      <c r="S933" s="669" t="n"/>
      <c r="T933" s="669" t="n"/>
      <c r="U933" s="669" t="n"/>
      <c r="V933" s="669" t="n"/>
      <c r="W933" s="669" t="n"/>
      <c r="X933" s="669" t="n"/>
      <c r="Y933" s="669" t="n"/>
      <c r="Z933" s="669" t="n"/>
      <c r="AA933" s="669" t="n"/>
      <c r="AB933" s="669" t="n"/>
    </row>
    <row r="934">
      <c r="I934" s="669" t="n"/>
      <c r="J934" s="669" t="n"/>
      <c r="K934" s="669" t="n"/>
      <c r="L934" s="669" t="n"/>
      <c r="M934" s="669" t="n"/>
      <c r="N934" s="669" t="n"/>
      <c r="O934" s="669" t="n"/>
      <c r="P934" s="669" t="n"/>
      <c r="Q934" s="669" t="n"/>
      <c r="R934" s="669" t="n"/>
      <c r="S934" s="669" t="n"/>
      <c r="T934" s="669" t="n"/>
      <c r="U934" s="669" t="n"/>
      <c r="V934" s="669" t="n"/>
      <c r="W934" s="669" t="n"/>
      <c r="X934" s="669" t="n"/>
      <c r="Y934" s="669" t="n"/>
      <c r="Z934" s="669" t="n"/>
      <c r="AA934" s="669" t="n"/>
      <c r="AB934" s="669" t="n"/>
    </row>
    <row r="935">
      <c r="I935" s="669" t="n"/>
      <c r="J935" s="669" t="n"/>
      <c r="K935" s="669" t="n"/>
      <c r="L935" s="669" t="n"/>
      <c r="M935" s="669" t="n"/>
      <c r="N935" s="669" t="n"/>
      <c r="O935" s="669" t="n"/>
      <c r="P935" s="669" t="n"/>
      <c r="Q935" s="669" t="n"/>
      <c r="R935" s="669" t="n"/>
      <c r="S935" s="669" t="n"/>
      <c r="T935" s="669" t="n"/>
      <c r="U935" s="669" t="n"/>
      <c r="V935" s="669" t="n"/>
      <c r="W935" s="669" t="n"/>
      <c r="X935" s="669" t="n"/>
      <c r="Y935" s="669" t="n"/>
      <c r="Z935" s="669" t="n"/>
      <c r="AA935" s="669" t="n"/>
      <c r="AB935" s="669" t="n"/>
    </row>
    <row r="936">
      <c r="I936" s="669" t="n"/>
      <c r="J936" s="669" t="n"/>
      <c r="K936" s="669" t="n"/>
      <c r="L936" s="669" t="n"/>
      <c r="M936" s="669" t="n"/>
      <c r="N936" s="669" t="n"/>
      <c r="O936" s="669" t="n"/>
      <c r="P936" s="669" t="n"/>
      <c r="Q936" s="669" t="n"/>
      <c r="R936" s="669" t="n"/>
      <c r="S936" s="669" t="n"/>
      <c r="T936" s="669" t="n"/>
      <c r="U936" s="669" t="n"/>
      <c r="V936" s="669" t="n"/>
      <c r="W936" s="669" t="n"/>
      <c r="X936" s="669" t="n"/>
      <c r="Y936" s="669" t="n"/>
      <c r="Z936" s="669" t="n"/>
      <c r="AA936" s="669" t="n"/>
      <c r="AB936" s="669" t="n"/>
    </row>
    <row r="937">
      <c r="I937" s="669" t="n"/>
      <c r="J937" s="669" t="n"/>
      <c r="K937" s="669" t="n"/>
      <c r="L937" s="669" t="n"/>
      <c r="M937" s="669" t="n"/>
      <c r="N937" s="669" t="n"/>
      <c r="O937" s="669" t="n"/>
      <c r="P937" s="669" t="n"/>
      <c r="Q937" s="669" t="n"/>
      <c r="R937" s="669" t="n"/>
      <c r="S937" s="669" t="n"/>
      <c r="T937" s="669" t="n"/>
      <c r="U937" s="669" t="n"/>
      <c r="V937" s="669" t="n"/>
      <c r="W937" s="669" t="n"/>
      <c r="X937" s="669" t="n"/>
      <c r="Y937" s="669" t="n"/>
      <c r="Z937" s="669" t="n"/>
      <c r="AA937" s="669" t="n"/>
      <c r="AB937" s="669" t="n"/>
    </row>
    <row r="938">
      <c r="I938" s="669" t="n"/>
      <c r="J938" s="669" t="n"/>
      <c r="K938" s="669" t="n"/>
      <c r="L938" s="669" t="n"/>
      <c r="M938" s="669" t="n"/>
      <c r="N938" s="669" t="n"/>
      <c r="O938" s="669" t="n"/>
      <c r="P938" s="669" t="n"/>
      <c r="Q938" s="669" t="n"/>
      <c r="R938" s="669" t="n"/>
      <c r="S938" s="669" t="n"/>
      <c r="T938" s="669" t="n"/>
      <c r="U938" s="669" t="n"/>
      <c r="V938" s="669" t="n"/>
      <c r="W938" s="669" t="n"/>
      <c r="X938" s="669" t="n"/>
      <c r="Y938" s="669" t="n"/>
      <c r="Z938" s="669" t="n"/>
      <c r="AA938" s="669" t="n"/>
      <c r="AB938" s="669" t="n"/>
    </row>
    <row r="939">
      <c r="I939" s="669" t="n"/>
      <c r="J939" s="669" t="n"/>
      <c r="K939" s="669" t="n"/>
      <c r="L939" s="669" t="n"/>
      <c r="M939" s="669" t="n"/>
      <c r="N939" s="669" t="n"/>
      <c r="O939" s="669" t="n"/>
      <c r="P939" s="669" t="n"/>
      <c r="Q939" s="669" t="n"/>
      <c r="R939" s="669" t="n"/>
      <c r="S939" s="669" t="n"/>
      <c r="T939" s="669" t="n"/>
      <c r="U939" s="669" t="n"/>
      <c r="V939" s="669" t="n"/>
      <c r="W939" s="669" t="n"/>
      <c r="X939" s="669" t="n"/>
      <c r="Y939" s="669" t="n"/>
      <c r="Z939" s="669" t="n"/>
      <c r="AA939" s="669" t="n"/>
      <c r="AB939" s="669" t="n"/>
    </row>
    <row r="940">
      <c r="I940" s="669" t="n"/>
      <c r="J940" s="669" t="n"/>
      <c r="K940" s="669" t="n"/>
      <c r="L940" s="669" t="n"/>
      <c r="M940" s="669" t="n"/>
      <c r="N940" s="669" t="n"/>
      <c r="O940" s="669" t="n"/>
      <c r="P940" s="669" t="n"/>
      <c r="Q940" s="669" t="n"/>
      <c r="R940" s="669" t="n"/>
      <c r="S940" s="669" t="n"/>
      <c r="T940" s="669" t="n"/>
      <c r="U940" s="669" t="n"/>
      <c r="V940" s="669" t="n"/>
      <c r="W940" s="669" t="n"/>
      <c r="X940" s="669" t="n"/>
      <c r="Y940" s="669" t="n"/>
      <c r="Z940" s="669" t="n"/>
      <c r="AA940" s="669" t="n"/>
      <c r="AB940" s="669" t="n"/>
    </row>
    <row r="941">
      <c r="I941" s="669" t="n"/>
      <c r="J941" s="669" t="n"/>
      <c r="K941" s="669" t="n"/>
      <c r="L941" s="669" t="n"/>
      <c r="M941" s="669" t="n"/>
      <c r="N941" s="669" t="n"/>
      <c r="O941" s="669" t="n"/>
      <c r="P941" s="669" t="n"/>
      <c r="Q941" s="669" t="n"/>
      <c r="R941" s="669" t="n"/>
      <c r="S941" s="669" t="n"/>
      <c r="T941" s="669" t="n"/>
      <c r="U941" s="669" t="n"/>
      <c r="V941" s="669" t="n"/>
      <c r="W941" s="669" t="n"/>
      <c r="X941" s="669" t="n"/>
      <c r="Y941" s="669" t="n"/>
      <c r="Z941" s="669" t="n"/>
      <c r="AA941" s="669" t="n"/>
      <c r="AB941" s="669" t="n"/>
    </row>
    <row r="942">
      <c r="I942" s="669" t="n"/>
      <c r="J942" s="669" t="n"/>
      <c r="K942" s="669" t="n"/>
      <c r="L942" s="669" t="n"/>
      <c r="M942" s="669" t="n"/>
      <c r="N942" s="669" t="n"/>
      <c r="O942" s="669" t="n"/>
      <c r="P942" s="669" t="n"/>
      <c r="Q942" s="669" t="n"/>
      <c r="R942" s="669" t="n"/>
      <c r="S942" s="669" t="n"/>
      <c r="T942" s="669" t="n"/>
      <c r="U942" s="669" t="n"/>
      <c r="V942" s="669" t="n"/>
      <c r="W942" s="669" t="n"/>
      <c r="X942" s="669" t="n"/>
      <c r="Y942" s="669" t="n"/>
      <c r="Z942" s="669" t="n"/>
      <c r="AA942" s="669" t="n"/>
      <c r="AB942" s="669" t="n"/>
    </row>
    <row r="943">
      <c r="I943" s="669" t="n"/>
      <c r="J943" s="669" t="n"/>
      <c r="K943" s="669" t="n"/>
      <c r="L943" s="669" t="n"/>
      <c r="M943" s="669" t="n"/>
      <c r="N943" s="669" t="n"/>
      <c r="O943" s="669" t="n"/>
      <c r="P943" s="669" t="n"/>
      <c r="Q943" s="669" t="n"/>
      <c r="R943" s="669" t="n"/>
      <c r="S943" s="669" t="n"/>
      <c r="T943" s="669" t="n"/>
      <c r="U943" s="669" t="n"/>
      <c r="V943" s="669" t="n"/>
      <c r="W943" s="669" t="n"/>
      <c r="X943" s="669" t="n"/>
      <c r="Y943" s="669" t="n"/>
      <c r="Z943" s="669" t="n"/>
      <c r="AA943" s="669" t="n"/>
      <c r="AB943" s="669" t="n"/>
    </row>
    <row r="944">
      <c r="I944" s="669" t="n"/>
      <c r="J944" s="669" t="n"/>
      <c r="K944" s="669" t="n"/>
      <c r="L944" s="669" t="n"/>
      <c r="M944" s="669" t="n"/>
      <c r="N944" s="669" t="n"/>
      <c r="O944" s="669" t="n"/>
      <c r="P944" s="669" t="n"/>
      <c r="Q944" s="669" t="n"/>
      <c r="R944" s="669" t="n"/>
      <c r="S944" s="669" t="n"/>
      <c r="T944" s="669" t="n"/>
      <c r="U944" s="669" t="n"/>
      <c r="V944" s="669" t="n"/>
      <c r="W944" s="669" t="n"/>
      <c r="X944" s="669" t="n"/>
      <c r="Y944" s="669" t="n"/>
      <c r="Z944" s="669" t="n"/>
      <c r="AA944" s="669" t="n"/>
      <c r="AB944" s="669" t="n"/>
    </row>
    <row r="945">
      <c r="I945" s="669" t="n"/>
      <c r="J945" s="669" t="n"/>
      <c r="K945" s="669" t="n"/>
      <c r="L945" s="669" t="n"/>
      <c r="M945" s="669" t="n"/>
      <c r="N945" s="669" t="n"/>
      <c r="O945" s="669" t="n"/>
      <c r="P945" s="669" t="n"/>
      <c r="Q945" s="669" t="n"/>
      <c r="R945" s="669" t="n"/>
      <c r="S945" s="669" t="n"/>
      <c r="T945" s="669" t="n"/>
      <c r="U945" s="669" t="n"/>
      <c r="V945" s="669" t="n"/>
      <c r="W945" s="669" t="n"/>
      <c r="X945" s="669" t="n"/>
      <c r="Y945" s="669" t="n"/>
      <c r="Z945" s="669" t="n"/>
      <c r="AA945" s="669" t="n"/>
      <c r="AB945" s="669" t="n"/>
    </row>
    <row r="946">
      <c r="I946" s="669" t="n"/>
      <c r="J946" s="669" t="n"/>
      <c r="K946" s="669" t="n"/>
      <c r="L946" s="669" t="n"/>
      <c r="M946" s="669" t="n"/>
      <c r="N946" s="669" t="n"/>
      <c r="O946" s="669" t="n"/>
      <c r="P946" s="669" t="n"/>
      <c r="Q946" s="669" t="n"/>
      <c r="R946" s="669" t="n"/>
      <c r="S946" s="669" t="n"/>
      <c r="T946" s="669" t="n"/>
      <c r="U946" s="669" t="n"/>
      <c r="V946" s="669" t="n"/>
      <c r="W946" s="669" t="n"/>
      <c r="X946" s="669" t="n"/>
      <c r="Y946" s="669" t="n"/>
      <c r="Z946" s="669" t="n"/>
      <c r="AA946" s="669" t="n"/>
      <c r="AB946" s="669" t="n"/>
    </row>
    <row r="947">
      <c r="I947" s="669" t="n"/>
      <c r="J947" s="669" t="n"/>
      <c r="K947" s="669" t="n"/>
      <c r="L947" s="669" t="n"/>
      <c r="M947" s="669" t="n"/>
      <c r="N947" s="669" t="n"/>
      <c r="O947" s="669" t="n"/>
      <c r="P947" s="669" t="n"/>
      <c r="Q947" s="669" t="n"/>
      <c r="R947" s="669" t="n"/>
      <c r="S947" s="669" t="n"/>
      <c r="T947" s="669" t="n"/>
      <c r="U947" s="669" t="n"/>
      <c r="V947" s="669" t="n"/>
      <c r="W947" s="669" t="n"/>
      <c r="X947" s="669" t="n"/>
      <c r="Y947" s="669" t="n"/>
      <c r="Z947" s="669" t="n"/>
      <c r="AA947" s="669" t="n"/>
      <c r="AB947" s="669" t="n"/>
    </row>
    <row r="948">
      <c r="I948" s="669" t="n"/>
      <c r="J948" s="669" t="n"/>
      <c r="K948" s="669" t="n"/>
      <c r="L948" s="669" t="n"/>
      <c r="M948" s="669" t="n"/>
      <c r="N948" s="669" t="n"/>
      <c r="O948" s="669" t="n"/>
      <c r="P948" s="669" t="n"/>
      <c r="Q948" s="669" t="n"/>
      <c r="R948" s="669" t="n"/>
      <c r="S948" s="669" t="n"/>
      <c r="T948" s="669" t="n"/>
      <c r="U948" s="669" t="n"/>
      <c r="V948" s="669" t="n"/>
      <c r="W948" s="669" t="n"/>
      <c r="X948" s="669" t="n"/>
      <c r="Y948" s="669" t="n"/>
      <c r="Z948" s="669" t="n"/>
      <c r="AA948" s="669" t="n"/>
      <c r="AB948" s="669" t="n"/>
    </row>
    <row r="949">
      <c r="I949" s="669" t="n"/>
      <c r="J949" s="669" t="n"/>
      <c r="K949" s="669" t="n"/>
      <c r="L949" s="669" t="n"/>
      <c r="M949" s="669" t="n"/>
      <c r="N949" s="669" t="n"/>
      <c r="O949" s="669" t="n"/>
      <c r="P949" s="669" t="n"/>
      <c r="Q949" s="669" t="n"/>
      <c r="R949" s="669" t="n"/>
      <c r="S949" s="669" t="n"/>
      <c r="T949" s="669" t="n"/>
      <c r="U949" s="669" t="n"/>
      <c r="V949" s="669" t="n"/>
      <c r="W949" s="669" t="n"/>
      <c r="X949" s="669" t="n"/>
      <c r="Y949" s="669" t="n"/>
      <c r="Z949" s="669" t="n"/>
      <c r="AA949" s="669" t="n"/>
      <c r="AB949" s="669" t="n"/>
    </row>
    <row r="950">
      <c r="I950" s="669" t="n"/>
      <c r="J950" s="669" t="n"/>
      <c r="K950" s="669" t="n"/>
      <c r="L950" s="669" t="n"/>
      <c r="M950" s="669" t="n"/>
      <c r="N950" s="669" t="n"/>
      <c r="O950" s="669" t="n"/>
      <c r="P950" s="669" t="n"/>
      <c r="Q950" s="669" t="n"/>
      <c r="R950" s="669" t="n"/>
      <c r="S950" s="669" t="n"/>
      <c r="T950" s="669" t="n"/>
      <c r="U950" s="669" t="n"/>
      <c r="V950" s="669" t="n"/>
      <c r="W950" s="669" t="n"/>
      <c r="X950" s="669" t="n"/>
      <c r="Y950" s="669" t="n"/>
      <c r="Z950" s="669" t="n"/>
      <c r="AA950" s="669" t="n"/>
      <c r="AB950" s="669" t="n"/>
    </row>
    <row r="951">
      <c r="I951" s="669" t="n"/>
      <c r="J951" s="669" t="n"/>
      <c r="K951" s="669" t="n"/>
      <c r="L951" s="669" t="n"/>
      <c r="M951" s="669" t="n"/>
      <c r="N951" s="669" t="n"/>
      <c r="O951" s="669" t="n"/>
      <c r="P951" s="669" t="n"/>
      <c r="Q951" s="669" t="n"/>
      <c r="R951" s="669" t="n"/>
      <c r="S951" s="669" t="n"/>
      <c r="T951" s="669" t="n"/>
      <c r="U951" s="669" t="n"/>
      <c r="V951" s="669" t="n"/>
      <c r="W951" s="669" t="n"/>
      <c r="X951" s="669" t="n"/>
      <c r="Y951" s="669" t="n"/>
      <c r="Z951" s="669" t="n"/>
      <c r="AA951" s="669" t="n"/>
      <c r="AB951" s="669" t="n"/>
    </row>
    <row r="952">
      <c r="I952" s="669" t="n"/>
      <c r="J952" s="669" t="n"/>
      <c r="K952" s="669" t="n"/>
      <c r="L952" s="669" t="n"/>
      <c r="M952" s="669" t="n"/>
      <c r="N952" s="669" t="n"/>
      <c r="O952" s="669" t="n"/>
      <c r="P952" s="669" t="n"/>
      <c r="Q952" s="669" t="n"/>
      <c r="R952" s="669" t="n"/>
      <c r="S952" s="669" t="n"/>
      <c r="T952" s="669" t="n"/>
      <c r="U952" s="669" t="n"/>
      <c r="V952" s="669" t="n"/>
      <c r="W952" s="669" t="n"/>
      <c r="X952" s="669" t="n"/>
      <c r="Y952" s="669" t="n"/>
      <c r="Z952" s="669" t="n"/>
      <c r="AA952" s="669" t="n"/>
      <c r="AB952" s="669" t="n"/>
    </row>
    <row r="953">
      <c r="I953" s="669" t="n"/>
      <c r="J953" s="669" t="n"/>
      <c r="K953" s="669" t="n"/>
      <c r="L953" s="669" t="n"/>
      <c r="M953" s="669" t="n"/>
      <c r="N953" s="669" t="n"/>
      <c r="O953" s="669" t="n"/>
      <c r="P953" s="669" t="n"/>
      <c r="Q953" s="669" t="n"/>
      <c r="R953" s="669" t="n"/>
      <c r="S953" s="669" t="n"/>
      <c r="T953" s="669" t="n"/>
      <c r="U953" s="669" t="n"/>
      <c r="V953" s="669" t="n"/>
      <c r="W953" s="669" t="n"/>
      <c r="X953" s="669" t="n"/>
      <c r="Y953" s="669" t="n"/>
      <c r="Z953" s="669" t="n"/>
      <c r="AA953" s="669" t="n"/>
      <c r="AB953" s="669" t="n"/>
    </row>
    <row r="954">
      <c r="I954" s="669" t="n"/>
      <c r="J954" s="669" t="n"/>
      <c r="K954" s="669" t="n"/>
      <c r="L954" s="669" t="n"/>
      <c r="M954" s="669" t="n"/>
      <c r="N954" s="669" t="n"/>
      <c r="O954" s="669" t="n"/>
      <c r="P954" s="669" t="n"/>
      <c r="Q954" s="669" t="n"/>
      <c r="R954" s="669" t="n"/>
      <c r="S954" s="669" t="n"/>
      <c r="T954" s="669" t="n"/>
      <c r="U954" s="669" t="n"/>
      <c r="V954" s="669" t="n"/>
      <c r="W954" s="669" t="n"/>
      <c r="X954" s="669" t="n"/>
      <c r="Y954" s="669" t="n"/>
      <c r="Z954" s="669" t="n"/>
      <c r="AA954" s="669" t="n"/>
      <c r="AB954" s="669" t="n"/>
    </row>
    <row r="955">
      <c r="I955" s="669" t="n"/>
      <c r="J955" s="669" t="n"/>
      <c r="K955" s="669" t="n"/>
      <c r="L955" s="669" t="n"/>
      <c r="M955" s="669" t="n"/>
      <c r="N955" s="669" t="n"/>
      <c r="O955" s="669" t="n"/>
      <c r="P955" s="669" t="n"/>
      <c r="Q955" s="669" t="n"/>
      <c r="R955" s="669" t="n"/>
      <c r="S955" s="669" t="n"/>
      <c r="T955" s="669" t="n"/>
      <c r="U955" s="669" t="n"/>
      <c r="V955" s="669" t="n"/>
      <c r="W955" s="669" t="n"/>
      <c r="X955" s="669" t="n"/>
      <c r="Y955" s="669" t="n"/>
      <c r="Z955" s="669" t="n"/>
      <c r="AA955" s="669" t="n"/>
      <c r="AB955" s="669" t="n"/>
    </row>
    <row r="956">
      <c r="I956" s="669" t="n"/>
      <c r="J956" s="669" t="n"/>
      <c r="K956" s="669" t="n"/>
      <c r="L956" s="669" t="n"/>
      <c r="M956" s="669" t="n"/>
      <c r="N956" s="669" t="n"/>
      <c r="O956" s="669" t="n"/>
      <c r="P956" s="669" t="n"/>
      <c r="Q956" s="669" t="n"/>
      <c r="R956" s="669" t="n"/>
      <c r="S956" s="669" t="n"/>
      <c r="T956" s="669" t="n"/>
      <c r="U956" s="669" t="n"/>
      <c r="V956" s="669" t="n"/>
      <c r="W956" s="669" t="n"/>
      <c r="X956" s="669" t="n"/>
      <c r="Y956" s="669" t="n"/>
      <c r="Z956" s="669" t="n"/>
      <c r="AA956" s="669" t="n"/>
      <c r="AB956" s="669" t="n"/>
    </row>
    <row r="957">
      <c r="I957" s="669" t="n"/>
      <c r="J957" s="669" t="n"/>
      <c r="K957" s="669" t="n"/>
      <c r="L957" s="669" t="n"/>
      <c r="M957" s="669" t="n"/>
      <c r="N957" s="669" t="n"/>
      <c r="O957" s="669" t="n"/>
      <c r="P957" s="669" t="n"/>
      <c r="Q957" s="669" t="n"/>
      <c r="R957" s="669" t="n"/>
      <c r="S957" s="669" t="n"/>
      <c r="T957" s="669" t="n"/>
      <c r="U957" s="669" t="n"/>
      <c r="V957" s="669" t="n"/>
      <c r="W957" s="669" t="n"/>
      <c r="X957" s="669" t="n"/>
      <c r="Y957" s="669" t="n"/>
      <c r="Z957" s="669" t="n"/>
      <c r="AA957" s="669" t="n"/>
      <c r="AB957" s="669" t="n"/>
    </row>
    <row r="958">
      <c r="I958" s="669" t="n"/>
      <c r="J958" s="669" t="n"/>
      <c r="K958" s="669" t="n"/>
      <c r="L958" s="669" t="n"/>
      <c r="M958" s="669" t="n"/>
      <c r="N958" s="669" t="n"/>
      <c r="O958" s="669" t="n"/>
      <c r="P958" s="669" t="n"/>
      <c r="Q958" s="669" t="n"/>
      <c r="R958" s="669" t="n"/>
      <c r="S958" s="669" t="n"/>
      <c r="T958" s="669" t="n"/>
      <c r="U958" s="669" t="n"/>
      <c r="V958" s="669" t="n"/>
      <c r="W958" s="669" t="n"/>
      <c r="X958" s="669" t="n"/>
      <c r="Y958" s="669" t="n"/>
      <c r="Z958" s="669" t="n"/>
      <c r="AA958" s="669" t="n"/>
      <c r="AB958" s="669" t="n"/>
    </row>
    <row r="959">
      <c r="I959" s="669" t="n"/>
      <c r="J959" s="669" t="n"/>
      <c r="K959" s="669" t="n"/>
      <c r="L959" s="669" t="n"/>
      <c r="M959" s="669" t="n"/>
      <c r="N959" s="669" t="n"/>
      <c r="O959" s="669" t="n"/>
      <c r="P959" s="669" t="n"/>
      <c r="Q959" s="669" t="n"/>
      <c r="R959" s="669" t="n"/>
      <c r="S959" s="669" t="n"/>
      <c r="T959" s="669" t="n"/>
      <c r="U959" s="669" t="n"/>
      <c r="V959" s="669" t="n"/>
      <c r="W959" s="669" t="n"/>
      <c r="X959" s="669" t="n"/>
      <c r="Y959" s="669" t="n"/>
      <c r="Z959" s="669" t="n"/>
      <c r="AA959" s="669" t="n"/>
      <c r="AB959" s="669" t="n"/>
    </row>
    <row r="960">
      <c r="I960" s="669" t="n"/>
      <c r="J960" s="669" t="n"/>
      <c r="K960" s="669" t="n"/>
      <c r="L960" s="669" t="n"/>
      <c r="M960" s="669" t="n"/>
      <c r="N960" s="669" t="n"/>
      <c r="O960" s="669" t="n"/>
      <c r="P960" s="669" t="n"/>
      <c r="Q960" s="669" t="n"/>
      <c r="R960" s="669" t="n"/>
      <c r="S960" s="669" t="n"/>
      <c r="T960" s="669" t="n"/>
      <c r="U960" s="669" t="n"/>
      <c r="V960" s="669" t="n"/>
      <c r="W960" s="669" t="n"/>
      <c r="X960" s="669" t="n"/>
      <c r="Y960" s="669" t="n"/>
      <c r="Z960" s="669" t="n"/>
      <c r="AA960" s="669" t="n"/>
      <c r="AB960" s="669" t="n"/>
    </row>
    <row r="961">
      <c r="I961" s="669" t="n"/>
      <c r="J961" s="669" t="n"/>
      <c r="K961" s="669" t="n"/>
      <c r="L961" s="669" t="n"/>
      <c r="M961" s="669" t="n"/>
      <c r="N961" s="669" t="n"/>
      <c r="O961" s="669" t="n"/>
      <c r="P961" s="669" t="n"/>
      <c r="Q961" s="669" t="n"/>
      <c r="R961" s="669" t="n"/>
      <c r="S961" s="669" t="n"/>
      <c r="T961" s="669" t="n"/>
      <c r="U961" s="669" t="n"/>
      <c r="V961" s="669" t="n"/>
      <c r="W961" s="669" t="n"/>
      <c r="X961" s="669" t="n"/>
      <c r="Y961" s="669" t="n"/>
      <c r="Z961" s="669" t="n"/>
      <c r="AA961" s="669" t="n"/>
      <c r="AB961" s="669" t="n"/>
    </row>
    <row r="962">
      <c r="I962" s="669" t="n"/>
      <c r="J962" s="669" t="n"/>
      <c r="K962" s="669" t="n"/>
      <c r="L962" s="669" t="n"/>
      <c r="M962" s="669" t="n"/>
      <c r="N962" s="669" t="n"/>
      <c r="O962" s="669" t="n"/>
      <c r="P962" s="669" t="n"/>
      <c r="Q962" s="669" t="n"/>
      <c r="R962" s="669" t="n"/>
      <c r="S962" s="669" t="n"/>
      <c r="T962" s="669" t="n"/>
      <c r="U962" s="669" t="n"/>
      <c r="V962" s="669" t="n"/>
      <c r="W962" s="669" t="n"/>
      <c r="X962" s="669" t="n"/>
      <c r="Y962" s="669" t="n"/>
      <c r="Z962" s="669" t="n"/>
      <c r="AA962" s="669" t="n"/>
      <c r="AB962" s="669" t="n"/>
    </row>
    <row r="963">
      <c r="I963" s="669" t="n"/>
      <c r="J963" s="669" t="n"/>
      <c r="K963" s="669" t="n"/>
      <c r="L963" s="669" t="n"/>
      <c r="M963" s="669" t="n"/>
      <c r="N963" s="669" t="n"/>
      <c r="O963" s="669" t="n"/>
      <c r="P963" s="669" t="n"/>
      <c r="Q963" s="669" t="n"/>
      <c r="R963" s="669" t="n"/>
      <c r="S963" s="669" t="n"/>
      <c r="T963" s="669" t="n"/>
      <c r="U963" s="669" t="n"/>
      <c r="V963" s="669" t="n"/>
      <c r="W963" s="669" t="n"/>
      <c r="X963" s="669" t="n"/>
      <c r="Y963" s="669" t="n"/>
      <c r="Z963" s="669" t="n"/>
      <c r="AA963" s="669" t="n"/>
      <c r="AB963" s="669" t="n"/>
    </row>
    <row r="964">
      <c r="I964" s="669" t="n"/>
      <c r="J964" s="669" t="n"/>
      <c r="K964" s="669" t="n"/>
      <c r="L964" s="669" t="n"/>
      <c r="M964" s="669" t="n"/>
      <c r="N964" s="669" t="n"/>
      <c r="O964" s="669" t="n"/>
      <c r="P964" s="669" t="n"/>
      <c r="Q964" s="669" t="n"/>
      <c r="R964" s="669" t="n"/>
      <c r="S964" s="669" t="n"/>
      <c r="T964" s="669" t="n"/>
      <c r="U964" s="669" t="n"/>
      <c r="V964" s="669" t="n"/>
      <c r="W964" s="669" t="n"/>
      <c r="X964" s="669" t="n"/>
      <c r="Y964" s="669" t="n"/>
      <c r="Z964" s="669" t="n"/>
      <c r="AA964" s="669" t="n"/>
      <c r="AB964" s="669" t="n"/>
    </row>
    <row r="965">
      <c r="I965" s="669" t="n"/>
      <c r="J965" s="669" t="n"/>
      <c r="K965" s="669" t="n"/>
      <c r="L965" s="669" t="n"/>
      <c r="M965" s="669" t="n"/>
      <c r="N965" s="669" t="n"/>
      <c r="O965" s="669" t="n"/>
      <c r="P965" s="669" t="n"/>
      <c r="Q965" s="669" t="n"/>
      <c r="R965" s="669" t="n"/>
      <c r="S965" s="669" t="n"/>
      <c r="T965" s="669" t="n"/>
      <c r="U965" s="669" t="n"/>
      <c r="V965" s="669" t="n"/>
      <c r="W965" s="669" t="n"/>
      <c r="X965" s="669" t="n"/>
      <c r="Y965" s="669" t="n"/>
      <c r="Z965" s="669" t="n"/>
      <c r="AA965" s="669" t="n"/>
      <c r="AB965" s="669" t="n"/>
    </row>
    <row r="966">
      <c r="I966" s="669" t="n"/>
      <c r="J966" s="669" t="n"/>
      <c r="K966" s="669" t="n"/>
      <c r="L966" s="669" t="n"/>
      <c r="M966" s="669" t="n"/>
      <c r="N966" s="669" t="n"/>
      <c r="O966" s="669" t="n"/>
      <c r="P966" s="669" t="n"/>
      <c r="Q966" s="669" t="n"/>
      <c r="R966" s="669" t="n"/>
      <c r="S966" s="669" t="n"/>
      <c r="T966" s="669" t="n"/>
      <c r="U966" s="669" t="n"/>
      <c r="V966" s="669" t="n"/>
      <c r="W966" s="669" t="n"/>
      <c r="X966" s="669" t="n"/>
      <c r="Y966" s="669" t="n"/>
      <c r="Z966" s="669" t="n"/>
      <c r="AA966" s="669" t="n"/>
      <c r="AB966" s="669" t="n"/>
    </row>
    <row r="967">
      <c r="I967" s="669" t="n"/>
      <c r="J967" s="669" t="n"/>
      <c r="K967" s="669" t="n"/>
      <c r="L967" s="669" t="n"/>
      <c r="M967" s="669" t="n"/>
      <c r="N967" s="669" t="n"/>
      <c r="O967" s="669" t="n"/>
      <c r="P967" s="669" t="n"/>
      <c r="Q967" s="669" t="n"/>
      <c r="R967" s="669" t="n"/>
      <c r="S967" s="669" t="n"/>
      <c r="T967" s="669" t="n"/>
      <c r="U967" s="669" t="n"/>
      <c r="V967" s="669" t="n"/>
      <c r="W967" s="669" t="n"/>
      <c r="X967" s="669" t="n"/>
      <c r="Y967" s="669" t="n"/>
      <c r="Z967" s="669" t="n"/>
      <c r="AA967" s="669" t="n"/>
      <c r="AB967" s="669" t="n"/>
    </row>
    <row r="968">
      <c r="I968" s="669" t="n"/>
      <c r="J968" s="669" t="n"/>
      <c r="K968" s="669" t="n"/>
      <c r="L968" s="669" t="n"/>
      <c r="M968" s="669" t="n"/>
      <c r="N968" s="669" t="n"/>
      <c r="O968" s="669" t="n"/>
      <c r="P968" s="669" t="n"/>
      <c r="Q968" s="669" t="n"/>
      <c r="R968" s="669" t="n"/>
      <c r="S968" s="669" t="n"/>
      <c r="T968" s="669" t="n"/>
      <c r="U968" s="669" t="n"/>
      <c r="V968" s="669" t="n"/>
      <c r="W968" s="669" t="n"/>
      <c r="X968" s="669" t="n"/>
      <c r="Y968" s="669" t="n"/>
      <c r="Z968" s="669" t="n"/>
      <c r="AA968" s="669" t="n"/>
      <c r="AB968" s="669" t="n"/>
    </row>
    <row r="969">
      <c r="I969" s="669" t="n"/>
      <c r="J969" s="669" t="n"/>
      <c r="K969" s="669" t="n"/>
      <c r="L969" s="669" t="n"/>
      <c r="M969" s="669" t="n"/>
      <c r="N969" s="669" t="n"/>
      <c r="O969" s="669" t="n"/>
      <c r="P969" s="669" t="n"/>
      <c r="Q969" s="669" t="n"/>
      <c r="R969" s="669" t="n"/>
      <c r="S969" s="669" t="n"/>
      <c r="T969" s="669" t="n"/>
      <c r="U969" s="669" t="n"/>
      <c r="V969" s="669" t="n"/>
      <c r="W969" s="669" t="n"/>
      <c r="X969" s="669" t="n"/>
      <c r="Y969" s="669" t="n"/>
      <c r="Z969" s="669" t="n"/>
      <c r="AA969" s="669" t="n"/>
      <c r="AB969" s="669" t="n"/>
    </row>
    <row r="970">
      <c r="I970" s="669" t="n"/>
      <c r="J970" s="669" t="n"/>
      <c r="K970" s="669" t="n"/>
      <c r="L970" s="669" t="n"/>
      <c r="M970" s="669" t="n"/>
      <c r="N970" s="669" t="n"/>
      <c r="O970" s="669" t="n"/>
      <c r="P970" s="669" t="n"/>
      <c r="Q970" s="669" t="n"/>
      <c r="R970" s="669" t="n"/>
      <c r="S970" s="669" t="n"/>
      <c r="T970" s="669" t="n"/>
      <c r="U970" s="669" t="n"/>
      <c r="V970" s="669" t="n"/>
      <c r="W970" s="669" t="n"/>
      <c r="X970" s="669" t="n"/>
      <c r="Y970" s="669" t="n"/>
      <c r="Z970" s="669" t="n"/>
      <c r="AA970" s="669" t="n"/>
      <c r="AB970" s="669" t="n"/>
    </row>
    <row r="971">
      <c r="I971" s="669" t="n"/>
      <c r="J971" s="669" t="n"/>
      <c r="K971" s="669" t="n"/>
      <c r="L971" s="669" t="n"/>
      <c r="M971" s="669" t="n"/>
      <c r="N971" s="669" t="n"/>
      <c r="O971" s="669" t="n"/>
      <c r="P971" s="669" t="n"/>
      <c r="Q971" s="669" t="n"/>
      <c r="R971" s="669" t="n"/>
      <c r="S971" s="669" t="n"/>
      <c r="T971" s="669" t="n"/>
      <c r="U971" s="669" t="n"/>
      <c r="V971" s="669" t="n"/>
      <c r="W971" s="669" t="n"/>
      <c r="X971" s="669" t="n"/>
      <c r="Y971" s="669" t="n"/>
      <c r="Z971" s="669" t="n"/>
      <c r="AA971" s="669" t="n"/>
      <c r="AB971" s="669" t="n"/>
    </row>
    <row r="972">
      <c r="I972" s="669" t="n"/>
      <c r="J972" s="669" t="n"/>
      <c r="K972" s="669" t="n"/>
      <c r="L972" s="669" t="n"/>
      <c r="M972" s="669" t="n"/>
      <c r="N972" s="669" t="n"/>
      <c r="O972" s="669" t="n"/>
      <c r="P972" s="669" t="n"/>
      <c r="Q972" s="669" t="n"/>
      <c r="R972" s="669" t="n"/>
      <c r="S972" s="669" t="n"/>
      <c r="T972" s="669" t="n"/>
      <c r="U972" s="669" t="n"/>
      <c r="V972" s="669" t="n"/>
      <c r="W972" s="669" t="n"/>
      <c r="X972" s="669" t="n"/>
      <c r="Y972" s="669" t="n"/>
      <c r="Z972" s="669" t="n"/>
      <c r="AA972" s="669" t="n"/>
      <c r="AB972" s="669" t="n"/>
    </row>
    <row r="973">
      <c r="I973" s="669" t="n"/>
      <c r="J973" s="669" t="n"/>
      <c r="K973" s="669" t="n"/>
      <c r="L973" s="669" t="n"/>
      <c r="M973" s="669" t="n"/>
      <c r="N973" s="669" t="n"/>
      <c r="O973" s="669" t="n"/>
      <c r="P973" s="669" t="n"/>
      <c r="Q973" s="669" t="n"/>
      <c r="R973" s="669" t="n"/>
      <c r="S973" s="669" t="n"/>
      <c r="T973" s="669" t="n"/>
      <c r="U973" s="669" t="n"/>
      <c r="V973" s="669" t="n"/>
      <c r="W973" s="669" t="n"/>
      <c r="X973" s="669" t="n"/>
      <c r="Y973" s="669" t="n"/>
      <c r="Z973" s="669" t="n"/>
      <c r="AA973" s="669" t="n"/>
      <c r="AB973" s="669" t="n"/>
    </row>
    <row r="974">
      <c r="I974" s="669" t="n"/>
      <c r="J974" s="669" t="n"/>
      <c r="K974" s="669" t="n"/>
      <c r="L974" s="669" t="n"/>
      <c r="M974" s="669" t="n"/>
      <c r="N974" s="669" t="n"/>
      <c r="O974" s="669" t="n"/>
      <c r="P974" s="669" t="n"/>
      <c r="Q974" s="669" t="n"/>
      <c r="R974" s="669" t="n"/>
      <c r="S974" s="669" t="n"/>
      <c r="T974" s="669" t="n"/>
      <c r="U974" s="669" t="n"/>
      <c r="V974" s="669" t="n"/>
      <c r="W974" s="669" t="n"/>
      <c r="X974" s="669" t="n"/>
      <c r="Y974" s="669" t="n"/>
      <c r="Z974" s="669" t="n"/>
      <c r="AA974" s="669" t="n"/>
      <c r="AB974" s="669" t="n"/>
    </row>
    <row r="975">
      <c r="I975" s="669" t="n"/>
      <c r="J975" s="669" t="n"/>
      <c r="K975" s="669" t="n"/>
      <c r="L975" s="669" t="n"/>
      <c r="M975" s="669" t="n"/>
      <c r="N975" s="669" t="n"/>
      <c r="O975" s="669" t="n"/>
      <c r="P975" s="669" t="n"/>
      <c r="Q975" s="669" t="n"/>
      <c r="R975" s="669" t="n"/>
      <c r="S975" s="669" t="n"/>
      <c r="T975" s="669" t="n"/>
      <c r="U975" s="669" t="n"/>
      <c r="V975" s="669" t="n"/>
      <c r="W975" s="669" t="n"/>
      <c r="X975" s="669" t="n"/>
      <c r="Y975" s="669" t="n"/>
      <c r="Z975" s="669" t="n"/>
      <c r="AA975" s="669" t="n"/>
      <c r="AB975" s="669" t="n"/>
    </row>
    <row r="976">
      <c r="I976" s="669" t="n"/>
      <c r="J976" s="669" t="n"/>
      <c r="K976" s="669" t="n"/>
      <c r="L976" s="669" t="n"/>
      <c r="M976" s="669" t="n"/>
      <c r="N976" s="669" t="n"/>
      <c r="O976" s="669" t="n"/>
      <c r="P976" s="669" t="n"/>
      <c r="Q976" s="669" t="n"/>
      <c r="R976" s="669" t="n"/>
      <c r="S976" s="669" t="n"/>
      <c r="T976" s="669" t="n"/>
      <c r="U976" s="669" t="n"/>
      <c r="V976" s="669" t="n"/>
      <c r="W976" s="669" t="n"/>
      <c r="X976" s="669" t="n"/>
      <c r="Y976" s="669" t="n"/>
      <c r="Z976" s="669" t="n"/>
      <c r="AA976" s="669" t="n"/>
      <c r="AB976" s="669" t="n"/>
    </row>
    <row r="977">
      <c r="I977" s="669" t="n"/>
      <c r="J977" s="669" t="n"/>
      <c r="K977" s="669" t="n"/>
      <c r="L977" s="669" t="n"/>
      <c r="M977" s="669" t="n"/>
      <c r="N977" s="669" t="n"/>
      <c r="O977" s="669" t="n"/>
      <c r="P977" s="669" t="n"/>
      <c r="Q977" s="669" t="n"/>
      <c r="R977" s="669" t="n"/>
      <c r="S977" s="669" t="n"/>
      <c r="T977" s="669" t="n"/>
      <c r="U977" s="669" t="n"/>
      <c r="V977" s="669" t="n"/>
      <c r="W977" s="669" t="n"/>
      <c r="X977" s="669" t="n"/>
      <c r="Y977" s="669" t="n"/>
      <c r="Z977" s="669" t="n"/>
      <c r="AA977" s="669" t="n"/>
      <c r="AB977" s="669" t="n"/>
    </row>
    <row r="978">
      <c r="I978" s="669" t="n"/>
      <c r="J978" s="669" t="n"/>
      <c r="K978" s="669" t="n"/>
      <c r="L978" s="669" t="n"/>
      <c r="M978" s="669" t="n"/>
      <c r="N978" s="669" t="n"/>
      <c r="O978" s="669" t="n"/>
      <c r="P978" s="669" t="n"/>
      <c r="Q978" s="669" t="n"/>
      <c r="R978" s="669" t="n"/>
      <c r="S978" s="669" t="n"/>
      <c r="T978" s="669" t="n"/>
      <c r="U978" s="669" t="n"/>
      <c r="V978" s="669" t="n"/>
      <c r="W978" s="669" t="n"/>
      <c r="X978" s="669" t="n"/>
      <c r="Y978" s="669" t="n"/>
      <c r="Z978" s="669" t="n"/>
      <c r="AA978" s="669" t="n"/>
      <c r="AB978" s="669" t="n"/>
    </row>
    <row r="979">
      <c r="I979" s="669" t="n"/>
      <c r="J979" s="669" t="n"/>
      <c r="K979" s="669" t="n"/>
      <c r="L979" s="669" t="n"/>
      <c r="M979" s="669" t="n"/>
      <c r="N979" s="669" t="n"/>
      <c r="O979" s="669" t="n"/>
      <c r="P979" s="669" t="n"/>
      <c r="Q979" s="669" t="n"/>
      <c r="R979" s="669" t="n"/>
      <c r="S979" s="669" t="n"/>
      <c r="T979" s="669" t="n"/>
      <c r="U979" s="669" t="n"/>
      <c r="V979" s="669" t="n"/>
      <c r="W979" s="669" t="n"/>
      <c r="X979" s="669" t="n"/>
      <c r="Y979" s="669" t="n"/>
      <c r="Z979" s="669" t="n"/>
      <c r="AA979" s="669" t="n"/>
      <c r="AB979" s="669" t="n"/>
    </row>
    <row r="980">
      <c r="I980" s="669" t="n"/>
      <c r="J980" s="669" t="n"/>
      <c r="K980" s="669" t="n"/>
      <c r="L980" s="669" t="n"/>
      <c r="M980" s="669" t="n"/>
      <c r="N980" s="669" t="n"/>
      <c r="O980" s="669" t="n"/>
      <c r="P980" s="669" t="n"/>
      <c r="Q980" s="669" t="n"/>
      <c r="R980" s="669" t="n"/>
      <c r="S980" s="669" t="n"/>
      <c r="T980" s="669" t="n"/>
      <c r="U980" s="669" t="n"/>
      <c r="V980" s="669" t="n"/>
      <c r="W980" s="669" t="n"/>
      <c r="X980" s="669" t="n"/>
      <c r="Y980" s="669" t="n"/>
      <c r="Z980" s="669" t="n"/>
      <c r="AA980" s="669" t="n"/>
      <c r="AB980" s="669" t="n"/>
    </row>
    <row r="981">
      <c r="I981" s="669" t="n"/>
      <c r="J981" s="669" t="n"/>
      <c r="K981" s="669" t="n"/>
      <c r="L981" s="669" t="n"/>
      <c r="M981" s="669" t="n"/>
      <c r="N981" s="669" t="n"/>
      <c r="O981" s="669" t="n"/>
      <c r="P981" s="669" t="n"/>
      <c r="Q981" s="669" t="n"/>
      <c r="R981" s="669" t="n"/>
      <c r="S981" s="669" t="n"/>
      <c r="T981" s="669" t="n"/>
      <c r="U981" s="669" t="n"/>
      <c r="V981" s="669" t="n"/>
      <c r="W981" s="669" t="n"/>
      <c r="X981" s="669" t="n"/>
      <c r="Y981" s="669" t="n"/>
      <c r="Z981" s="669" t="n"/>
      <c r="AA981" s="669" t="n"/>
      <c r="AB981" s="669" t="n"/>
    </row>
    <row r="982">
      <c r="I982" s="669" t="n"/>
      <c r="J982" s="669" t="n"/>
      <c r="K982" s="669" t="n"/>
      <c r="L982" s="669" t="n"/>
      <c r="M982" s="669" t="n"/>
      <c r="N982" s="669" t="n"/>
      <c r="O982" s="669" t="n"/>
      <c r="P982" s="669" t="n"/>
      <c r="Q982" s="669" t="n"/>
      <c r="R982" s="669" t="n"/>
      <c r="S982" s="669" t="n"/>
      <c r="T982" s="669" t="n"/>
      <c r="U982" s="669" t="n"/>
      <c r="V982" s="669" t="n"/>
      <c r="W982" s="669" t="n"/>
      <c r="X982" s="669" t="n"/>
      <c r="Y982" s="669" t="n"/>
      <c r="Z982" s="669" t="n"/>
      <c r="AA982" s="669" t="n"/>
      <c r="AB982" s="669" t="n"/>
    </row>
    <row r="983">
      <c r="I983" s="669" t="n"/>
      <c r="J983" s="669" t="n"/>
      <c r="K983" s="669" t="n"/>
      <c r="L983" s="669" t="n"/>
      <c r="M983" s="669" t="n"/>
      <c r="N983" s="669" t="n"/>
      <c r="O983" s="669" t="n"/>
      <c r="P983" s="669" t="n"/>
      <c r="Q983" s="669" t="n"/>
      <c r="R983" s="669" t="n"/>
      <c r="S983" s="669" t="n"/>
      <c r="T983" s="669" t="n"/>
      <c r="U983" s="669" t="n"/>
      <c r="V983" s="669" t="n"/>
      <c r="W983" s="669" t="n"/>
      <c r="X983" s="669" t="n"/>
      <c r="Y983" s="669" t="n"/>
      <c r="Z983" s="669" t="n"/>
      <c r="AA983" s="669" t="n"/>
      <c r="AB983" s="669" t="n"/>
    </row>
    <row r="984">
      <c r="I984" s="669" t="n"/>
      <c r="J984" s="669" t="n"/>
      <c r="K984" s="669" t="n"/>
      <c r="L984" s="669" t="n"/>
      <c r="M984" s="669" t="n"/>
      <c r="N984" s="669" t="n"/>
      <c r="O984" s="669" t="n"/>
      <c r="P984" s="669" t="n"/>
      <c r="Q984" s="669" t="n"/>
      <c r="R984" s="669" t="n"/>
      <c r="S984" s="669" t="n"/>
      <c r="T984" s="669" t="n"/>
      <c r="U984" s="669" t="n"/>
      <c r="V984" s="669" t="n"/>
      <c r="W984" s="669" t="n"/>
      <c r="X984" s="669" t="n"/>
      <c r="Y984" s="669" t="n"/>
      <c r="Z984" s="669" t="n"/>
      <c r="AA984" s="669" t="n"/>
      <c r="AB984" s="669" t="n"/>
    </row>
    <row r="985">
      <c r="I985" s="669" t="n"/>
      <c r="J985" s="669" t="n"/>
      <c r="K985" s="669" t="n"/>
      <c r="L985" s="669" t="n"/>
      <c r="M985" s="669" t="n"/>
      <c r="N985" s="669" t="n"/>
      <c r="O985" s="669" t="n"/>
      <c r="P985" s="669" t="n"/>
      <c r="Q985" s="669" t="n"/>
      <c r="R985" s="669" t="n"/>
      <c r="S985" s="669" t="n"/>
      <c r="T985" s="669" t="n"/>
      <c r="U985" s="669" t="n"/>
      <c r="V985" s="669" t="n"/>
      <c r="W985" s="669" t="n"/>
      <c r="X985" s="669" t="n"/>
      <c r="Y985" s="669" t="n"/>
      <c r="Z985" s="669" t="n"/>
      <c r="AA985" s="669" t="n"/>
      <c r="AB985" s="669" t="n"/>
    </row>
    <row r="986">
      <c r="I986" s="669" t="n"/>
      <c r="J986" s="669" t="n"/>
      <c r="K986" s="669" t="n"/>
      <c r="L986" s="669" t="n"/>
      <c r="M986" s="669" t="n"/>
      <c r="N986" s="669" t="n"/>
      <c r="O986" s="669" t="n"/>
      <c r="P986" s="669" t="n"/>
      <c r="Q986" s="669" t="n"/>
      <c r="R986" s="669" t="n"/>
      <c r="S986" s="669" t="n"/>
      <c r="T986" s="669" t="n"/>
      <c r="U986" s="669" t="n"/>
      <c r="V986" s="669" t="n"/>
      <c r="W986" s="669" t="n"/>
      <c r="X986" s="669" t="n"/>
      <c r="Y986" s="669" t="n"/>
      <c r="Z986" s="669" t="n"/>
      <c r="AA986" s="669" t="n"/>
      <c r="AB986" s="669" t="n"/>
    </row>
    <row r="987">
      <c r="I987" s="669" t="n"/>
      <c r="J987" s="669" t="n"/>
      <c r="K987" s="669" t="n"/>
      <c r="L987" s="669" t="n"/>
      <c r="M987" s="669" t="n"/>
      <c r="N987" s="669" t="n"/>
      <c r="O987" s="669" t="n"/>
      <c r="P987" s="669" t="n"/>
      <c r="Q987" s="669" t="n"/>
      <c r="R987" s="669" t="n"/>
      <c r="S987" s="669" t="n"/>
      <c r="T987" s="669" t="n"/>
      <c r="U987" s="669" t="n"/>
      <c r="V987" s="669" t="n"/>
      <c r="W987" s="669" t="n"/>
      <c r="X987" s="669" t="n"/>
      <c r="Y987" s="669" t="n"/>
      <c r="Z987" s="669" t="n"/>
      <c r="AA987" s="669" t="n"/>
      <c r="AB987" s="669" t="n"/>
    </row>
    <row r="988">
      <c r="I988" s="669" t="n"/>
      <c r="J988" s="669" t="n"/>
      <c r="K988" s="669" t="n"/>
      <c r="L988" s="669" t="n"/>
      <c r="M988" s="669" t="n"/>
      <c r="N988" s="669" t="n"/>
      <c r="O988" s="669" t="n"/>
      <c r="P988" s="669" t="n"/>
      <c r="Q988" s="669" t="n"/>
      <c r="R988" s="669" t="n"/>
      <c r="S988" s="669" t="n"/>
      <c r="T988" s="669" t="n"/>
      <c r="U988" s="669" t="n"/>
      <c r="V988" s="669" t="n"/>
      <c r="W988" s="669" t="n"/>
      <c r="X988" s="669" t="n"/>
      <c r="Y988" s="669" t="n"/>
      <c r="Z988" s="669" t="n"/>
      <c r="AA988" s="669" t="n"/>
      <c r="AB988" s="669" t="n"/>
    </row>
    <row r="989">
      <c r="I989" s="669" t="n"/>
      <c r="J989" s="669" t="n"/>
      <c r="K989" s="669" t="n"/>
      <c r="L989" s="669" t="n"/>
      <c r="M989" s="669" t="n"/>
      <c r="N989" s="669" t="n"/>
      <c r="O989" s="669" t="n"/>
      <c r="P989" s="669" t="n"/>
      <c r="Q989" s="669" t="n"/>
      <c r="R989" s="669" t="n"/>
      <c r="S989" s="669" t="n"/>
      <c r="T989" s="669" t="n"/>
      <c r="U989" s="669" t="n"/>
      <c r="V989" s="669" t="n"/>
      <c r="W989" s="669" t="n"/>
      <c r="X989" s="669" t="n"/>
      <c r="Y989" s="669" t="n"/>
      <c r="Z989" s="669" t="n"/>
      <c r="AA989" s="669" t="n"/>
      <c r="AB989" s="669" t="n"/>
    </row>
    <row r="990">
      <c r="I990" s="669" t="n"/>
      <c r="J990" s="669" t="n"/>
      <c r="K990" s="669" t="n"/>
      <c r="L990" s="669" t="n"/>
      <c r="M990" s="669" t="n"/>
      <c r="N990" s="669" t="n"/>
      <c r="O990" s="669" t="n"/>
      <c r="P990" s="669" t="n"/>
      <c r="Q990" s="669" t="n"/>
      <c r="R990" s="669" t="n"/>
      <c r="S990" s="669" t="n"/>
      <c r="T990" s="669" t="n"/>
      <c r="U990" s="669" t="n"/>
      <c r="V990" s="669" t="n"/>
      <c r="W990" s="669" t="n"/>
      <c r="X990" s="669" t="n"/>
      <c r="Y990" s="669" t="n"/>
      <c r="Z990" s="669" t="n"/>
      <c r="AA990" s="669" t="n"/>
      <c r="AB990" s="669" t="n"/>
    </row>
    <row r="991">
      <c r="I991" s="669" t="n"/>
      <c r="J991" s="669" t="n"/>
      <c r="K991" s="669" t="n"/>
      <c r="L991" s="669" t="n"/>
      <c r="M991" s="669" t="n"/>
      <c r="N991" s="669" t="n"/>
      <c r="O991" s="669" t="n"/>
      <c r="P991" s="669" t="n"/>
      <c r="Q991" s="669" t="n"/>
      <c r="R991" s="669" t="n"/>
      <c r="S991" s="669" t="n"/>
      <c r="T991" s="669" t="n"/>
      <c r="U991" s="669" t="n"/>
      <c r="V991" s="669" t="n"/>
      <c r="W991" s="669" t="n"/>
      <c r="X991" s="669" t="n"/>
      <c r="Y991" s="669" t="n"/>
      <c r="Z991" s="669" t="n"/>
      <c r="AA991" s="669" t="n"/>
      <c r="AB991" s="669" t="n"/>
    </row>
    <row r="992">
      <c r="I992" s="669" t="n"/>
      <c r="J992" s="669" t="n"/>
      <c r="K992" s="669" t="n"/>
      <c r="L992" s="669" t="n"/>
      <c r="M992" s="669" t="n"/>
      <c r="N992" s="669" t="n"/>
      <c r="O992" s="669" t="n"/>
      <c r="P992" s="669" t="n"/>
      <c r="Q992" s="669" t="n"/>
      <c r="R992" s="669" t="n"/>
      <c r="S992" s="669" t="n"/>
      <c r="T992" s="669" t="n"/>
      <c r="U992" s="669" t="n"/>
      <c r="V992" s="669" t="n"/>
      <c r="W992" s="669" t="n"/>
      <c r="X992" s="669" t="n"/>
      <c r="Y992" s="669" t="n"/>
      <c r="Z992" s="669" t="n"/>
      <c r="AA992" s="669" t="n"/>
      <c r="AB992" s="669" t="n"/>
    </row>
    <row r="993">
      <c r="I993" s="669" t="n"/>
      <c r="J993" s="669" t="n"/>
      <c r="K993" s="669" t="n"/>
      <c r="L993" s="669" t="n"/>
      <c r="M993" s="669" t="n"/>
      <c r="N993" s="669" t="n"/>
      <c r="O993" s="669" t="n"/>
      <c r="P993" s="669" t="n"/>
      <c r="Q993" s="669" t="n"/>
      <c r="R993" s="669" t="n"/>
      <c r="S993" s="669" t="n"/>
      <c r="T993" s="669" t="n"/>
      <c r="U993" s="669" t="n"/>
      <c r="V993" s="669" t="n"/>
      <c r="W993" s="669" t="n"/>
      <c r="X993" s="669" t="n"/>
      <c r="Y993" s="669" t="n"/>
      <c r="Z993" s="669" t="n"/>
      <c r="AA993" s="669" t="n"/>
      <c r="AB993" s="669" t="n"/>
    </row>
    <row r="994">
      <c r="I994" s="669" t="n"/>
      <c r="J994" s="669" t="n"/>
      <c r="K994" s="669" t="n"/>
      <c r="L994" s="669" t="n"/>
      <c r="M994" s="669" t="n"/>
      <c r="N994" s="669" t="n"/>
      <c r="O994" s="669" t="n"/>
      <c r="P994" s="669" t="n"/>
      <c r="Q994" s="669" t="n"/>
      <c r="R994" s="669" t="n"/>
      <c r="S994" s="669" t="n"/>
      <c r="T994" s="669" t="n"/>
      <c r="U994" s="669" t="n"/>
      <c r="V994" s="669" t="n"/>
      <c r="W994" s="669" t="n"/>
      <c r="X994" s="669" t="n"/>
      <c r="Y994" s="669" t="n"/>
      <c r="Z994" s="669" t="n"/>
      <c r="AA994" s="669" t="n"/>
      <c r="AB994" s="669" t="n"/>
    </row>
    <row r="995">
      <c r="I995" s="669" t="n"/>
      <c r="J995" s="669" t="n"/>
      <c r="K995" s="669" t="n"/>
      <c r="L995" s="669" t="n"/>
      <c r="M995" s="669" t="n"/>
      <c r="N995" s="669" t="n"/>
      <c r="O995" s="669" t="n"/>
      <c r="P995" s="669" t="n"/>
      <c r="Q995" s="669" t="n"/>
      <c r="R995" s="669" t="n"/>
      <c r="S995" s="669" t="n"/>
      <c r="T995" s="669" t="n"/>
      <c r="U995" s="669" t="n"/>
      <c r="V995" s="669" t="n"/>
      <c r="W995" s="669" t="n"/>
      <c r="X995" s="669" t="n"/>
      <c r="Y995" s="669" t="n"/>
      <c r="Z995" s="669" t="n"/>
      <c r="AA995" s="669" t="n"/>
      <c r="AB995" s="669" t="n"/>
    </row>
    <row r="996">
      <c r="I996" s="669" t="n"/>
      <c r="J996" s="669" t="n"/>
      <c r="K996" s="669" t="n"/>
      <c r="L996" s="669" t="n"/>
      <c r="M996" s="669" t="n"/>
      <c r="N996" s="669" t="n"/>
      <c r="O996" s="669" t="n"/>
      <c r="P996" s="669" t="n"/>
      <c r="Q996" s="669" t="n"/>
      <c r="R996" s="669" t="n"/>
      <c r="S996" s="669" t="n"/>
      <c r="T996" s="669" t="n"/>
      <c r="U996" s="669" t="n"/>
      <c r="V996" s="669" t="n"/>
      <c r="W996" s="669" t="n"/>
      <c r="X996" s="669" t="n"/>
      <c r="Y996" s="669" t="n"/>
      <c r="Z996" s="669" t="n"/>
      <c r="AA996" s="669" t="n"/>
      <c r="AB996" s="669" t="n"/>
    </row>
    <row r="997">
      <c r="I997" s="669" t="n"/>
      <c r="J997" s="669" t="n"/>
      <c r="K997" s="669" t="n"/>
      <c r="L997" s="669" t="n"/>
      <c r="M997" s="669" t="n"/>
      <c r="N997" s="669" t="n"/>
      <c r="O997" s="669" t="n"/>
      <c r="P997" s="669" t="n"/>
      <c r="Q997" s="669" t="n"/>
      <c r="R997" s="669" t="n"/>
      <c r="S997" s="669" t="n"/>
      <c r="T997" s="669" t="n"/>
      <c r="U997" s="669" t="n"/>
      <c r="V997" s="669" t="n"/>
      <c r="W997" s="669" t="n"/>
      <c r="X997" s="669" t="n"/>
      <c r="Y997" s="669" t="n"/>
      <c r="Z997" s="669" t="n"/>
      <c r="AA997" s="669" t="n"/>
      <c r="AB997" s="669" t="n"/>
    </row>
    <row r="998">
      <c r="I998" s="669" t="n"/>
      <c r="J998" s="669" t="n"/>
      <c r="K998" s="669" t="n"/>
      <c r="L998" s="669" t="n"/>
      <c r="M998" s="669" t="n"/>
      <c r="N998" s="669" t="n"/>
      <c r="O998" s="669" t="n"/>
      <c r="P998" s="669" t="n"/>
      <c r="Q998" s="669" t="n"/>
      <c r="R998" s="669" t="n"/>
      <c r="S998" s="669" t="n"/>
      <c r="T998" s="669" t="n"/>
      <c r="U998" s="669" t="n"/>
      <c r="V998" s="669" t="n"/>
      <c r="W998" s="669" t="n"/>
      <c r="X998" s="669" t="n"/>
      <c r="Y998" s="669" t="n"/>
      <c r="Z998" s="669" t="n"/>
      <c r="AA998" s="669" t="n"/>
      <c r="AB998" s="669" t="n"/>
    </row>
    <row r="999">
      <c r="I999" s="669" t="n"/>
      <c r="J999" s="669" t="n"/>
      <c r="K999" s="669" t="n"/>
      <c r="L999" s="669" t="n"/>
      <c r="M999" s="669" t="n"/>
      <c r="N999" s="669" t="n"/>
      <c r="O999" s="669" t="n"/>
      <c r="P999" s="669" t="n"/>
      <c r="Q999" s="669" t="n"/>
      <c r="R999" s="669" t="n"/>
      <c r="S999" s="669" t="n"/>
      <c r="T999" s="669" t="n"/>
      <c r="U999" s="669" t="n"/>
      <c r="V999" s="669" t="n"/>
      <c r="W999" s="669" t="n"/>
      <c r="X999" s="669" t="n"/>
      <c r="Y999" s="669" t="n"/>
      <c r="Z999" s="669" t="n"/>
      <c r="AA999" s="669" t="n"/>
      <c r="AB999" s="669" t="n"/>
    </row>
    <row r="1000">
      <c r="I1000" s="669" t="n"/>
      <c r="J1000" s="669" t="n"/>
      <c r="K1000" s="669" t="n"/>
      <c r="L1000" s="669" t="n"/>
      <c r="M1000" s="669" t="n"/>
      <c r="N1000" s="669" t="n"/>
      <c r="O1000" s="669" t="n"/>
      <c r="P1000" s="669" t="n"/>
      <c r="Q1000" s="669" t="n"/>
      <c r="R1000" s="669" t="n"/>
      <c r="S1000" s="669" t="n"/>
      <c r="T1000" s="669" t="n"/>
      <c r="U1000" s="669" t="n"/>
      <c r="V1000" s="669" t="n"/>
      <c r="W1000" s="669" t="n"/>
      <c r="X1000" s="669" t="n"/>
      <c r="Y1000" s="669" t="n"/>
      <c r="Z1000" s="669" t="n"/>
      <c r="AA1000" s="669" t="n"/>
      <c r="AB1000" s="669" t="n"/>
    </row>
    <row r="1001">
      <c r="I1001" s="669" t="n"/>
      <c r="J1001" s="669" t="n"/>
      <c r="K1001" s="669" t="n"/>
      <c r="L1001" s="669" t="n"/>
      <c r="M1001" s="669" t="n"/>
      <c r="N1001" s="669" t="n"/>
      <c r="O1001" s="669" t="n"/>
      <c r="P1001" s="669" t="n"/>
      <c r="Q1001" s="669" t="n"/>
      <c r="R1001" s="669" t="n"/>
      <c r="S1001" s="669" t="n"/>
      <c r="T1001" s="669" t="n"/>
      <c r="U1001" s="669" t="n"/>
      <c r="V1001" s="669" t="n"/>
      <c r="W1001" s="669" t="n"/>
      <c r="X1001" s="669" t="n"/>
      <c r="Y1001" s="669" t="n"/>
      <c r="Z1001" s="669" t="n"/>
      <c r="AA1001" s="669" t="n"/>
      <c r="AB1001" s="669" t="n"/>
    </row>
    <row r="1002">
      <c r="I1002" s="669" t="n"/>
      <c r="J1002" s="669" t="n"/>
      <c r="K1002" s="669" t="n"/>
      <c r="L1002" s="669" t="n"/>
      <c r="M1002" s="669" t="n"/>
      <c r="N1002" s="669" t="n"/>
      <c r="O1002" s="669" t="n"/>
      <c r="P1002" s="669" t="n"/>
      <c r="Q1002" s="669" t="n"/>
      <c r="R1002" s="669" t="n"/>
      <c r="S1002" s="669" t="n"/>
      <c r="T1002" s="669" t="n"/>
      <c r="U1002" s="669" t="n"/>
      <c r="V1002" s="669" t="n"/>
      <c r="W1002" s="669" t="n"/>
      <c r="X1002" s="669" t="n"/>
      <c r="Y1002" s="669" t="n"/>
      <c r="Z1002" s="669" t="n"/>
      <c r="AA1002" s="669" t="n"/>
      <c r="AB1002" s="669" t="n"/>
    </row>
    <row r="1003">
      <c r="I1003" s="669" t="n"/>
      <c r="J1003" s="669" t="n"/>
      <c r="K1003" s="669" t="n"/>
      <c r="L1003" s="669" t="n"/>
      <c r="M1003" s="669" t="n"/>
      <c r="N1003" s="669" t="n"/>
      <c r="O1003" s="669" t="n"/>
      <c r="P1003" s="669" t="n"/>
      <c r="Q1003" s="669" t="n"/>
      <c r="R1003" s="669" t="n"/>
      <c r="S1003" s="669" t="n"/>
      <c r="T1003" s="669" t="n"/>
      <c r="U1003" s="669" t="n"/>
      <c r="V1003" s="669" t="n"/>
      <c r="W1003" s="669" t="n"/>
      <c r="X1003" s="669" t="n"/>
      <c r="Y1003" s="669" t="n"/>
      <c r="Z1003" s="669" t="n"/>
      <c r="AA1003" s="669" t="n"/>
      <c r="AB1003" s="669" t="n"/>
    </row>
    <row r="1004">
      <c r="I1004" s="669" t="n"/>
      <c r="J1004" s="669" t="n"/>
      <c r="K1004" s="669" t="n"/>
      <c r="L1004" s="669" t="n"/>
      <c r="M1004" s="669" t="n"/>
      <c r="N1004" s="669" t="n"/>
      <c r="O1004" s="669" t="n"/>
      <c r="P1004" s="669" t="n"/>
      <c r="Q1004" s="669" t="n"/>
      <c r="R1004" s="669" t="n"/>
      <c r="S1004" s="669" t="n"/>
      <c r="T1004" s="669" t="n"/>
      <c r="U1004" s="669" t="n"/>
      <c r="V1004" s="669" t="n"/>
      <c r="W1004" s="669" t="n"/>
      <c r="X1004" s="669" t="n"/>
      <c r="Y1004" s="669" t="n"/>
      <c r="Z1004" s="669" t="n"/>
      <c r="AA1004" s="669" t="n"/>
      <c r="AB1004" s="669" t="n"/>
    </row>
    <row r="1005">
      <c r="I1005" s="669" t="n"/>
      <c r="J1005" s="669" t="n"/>
      <c r="K1005" s="669" t="n"/>
      <c r="L1005" s="669" t="n"/>
      <c r="M1005" s="669" t="n"/>
      <c r="N1005" s="669" t="n"/>
      <c r="O1005" s="669" t="n"/>
      <c r="P1005" s="669" t="n"/>
      <c r="Q1005" s="669" t="n"/>
      <c r="R1005" s="669" t="n"/>
      <c r="S1005" s="669" t="n"/>
      <c r="T1005" s="669" t="n"/>
      <c r="U1005" s="669" t="n"/>
      <c r="V1005" s="669" t="n"/>
      <c r="W1005" s="669" t="n"/>
      <c r="X1005" s="669" t="n"/>
      <c r="Y1005" s="669" t="n"/>
      <c r="Z1005" s="669" t="n"/>
      <c r="AA1005" s="669" t="n"/>
      <c r="AB1005" s="669" t="n"/>
    </row>
    <row r="1006">
      <c r="I1006" s="669" t="n"/>
      <c r="J1006" s="669" t="n"/>
      <c r="K1006" s="669" t="n"/>
      <c r="L1006" s="669" t="n"/>
      <c r="M1006" s="669" t="n"/>
      <c r="N1006" s="669" t="n"/>
      <c r="O1006" s="669" t="n"/>
      <c r="P1006" s="669" t="n"/>
      <c r="Q1006" s="669" t="n"/>
      <c r="R1006" s="669" t="n"/>
      <c r="S1006" s="669" t="n"/>
      <c r="T1006" s="669" t="n"/>
      <c r="U1006" s="669" t="n"/>
      <c r="V1006" s="669" t="n"/>
      <c r="W1006" s="669" t="n"/>
      <c r="X1006" s="669" t="n"/>
      <c r="Y1006" s="669" t="n"/>
      <c r="Z1006" s="669" t="n"/>
      <c r="AA1006" s="669" t="n"/>
      <c r="AB1006" s="669" t="n"/>
    </row>
    <row r="1007">
      <c r="I1007" s="669" t="n"/>
      <c r="J1007" s="669" t="n"/>
      <c r="K1007" s="669" t="n"/>
      <c r="L1007" s="669" t="n"/>
      <c r="M1007" s="669" t="n"/>
      <c r="N1007" s="669" t="n"/>
      <c r="O1007" s="669" t="n"/>
      <c r="P1007" s="669" t="n"/>
      <c r="Q1007" s="669" t="n"/>
      <c r="R1007" s="669" t="n"/>
      <c r="S1007" s="669" t="n"/>
      <c r="T1007" s="669" t="n"/>
      <c r="U1007" s="669" t="n"/>
      <c r="V1007" s="669" t="n"/>
      <c r="W1007" s="669" t="n"/>
      <c r="X1007" s="669" t="n"/>
      <c r="Y1007" s="669" t="n"/>
      <c r="Z1007" s="669" t="n"/>
      <c r="AA1007" s="669" t="n"/>
      <c r="AB1007" s="669" t="n"/>
    </row>
    <row r="1008">
      <c r="I1008" s="669" t="n"/>
      <c r="J1008" s="669" t="n"/>
      <c r="K1008" s="669" t="n"/>
      <c r="L1008" s="669" t="n"/>
      <c r="M1008" s="669" t="n"/>
      <c r="N1008" s="669" t="n"/>
      <c r="O1008" s="669" t="n"/>
      <c r="P1008" s="669" t="n"/>
      <c r="Q1008" s="669" t="n"/>
      <c r="R1008" s="669" t="n"/>
      <c r="S1008" s="669" t="n"/>
      <c r="T1008" s="669" t="n"/>
      <c r="U1008" s="669" t="n"/>
      <c r="V1008" s="669" t="n"/>
      <c r="W1008" s="669" t="n"/>
      <c r="X1008" s="669" t="n"/>
      <c r="Y1008" s="669" t="n"/>
      <c r="Z1008" s="669" t="n"/>
      <c r="AA1008" s="669" t="n"/>
      <c r="AB1008" s="669" t="n"/>
    </row>
    <row r="1009">
      <c r="I1009" s="669" t="n"/>
      <c r="J1009" s="669" t="n"/>
      <c r="K1009" s="669" t="n"/>
      <c r="L1009" s="669" t="n"/>
      <c r="M1009" s="669" t="n"/>
      <c r="N1009" s="669" t="n"/>
      <c r="O1009" s="669" t="n"/>
      <c r="P1009" s="669" t="n"/>
      <c r="Q1009" s="669" t="n"/>
      <c r="R1009" s="669" t="n"/>
      <c r="S1009" s="669" t="n"/>
      <c r="T1009" s="669" t="n"/>
      <c r="U1009" s="669" t="n"/>
      <c r="V1009" s="669" t="n"/>
      <c r="W1009" s="669" t="n"/>
      <c r="X1009" s="669" t="n"/>
      <c r="Y1009" s="669" t="n"/>
      <c r="Z1009" s="669" t="n"/>
      <c r="AA1009" s="669" t="n"/>
      <c r="AB1009" s="669" t="n"/>
    </row>
    <row r="1010">
      <c r="I1010" s="669" t="n"/>
      <c r="J1010" s="669" t="n"/>
      <c r="K1010" s="669" t="n"/>
      <c r="L1010" s="669" t="n"/>
      <c r="M1010" s="669" t="n"/>
      <c r="N1010" s="669" t="n"/>
      <c r="O1010" s="669" t="n"/>
      <c r="P1010" s="669" t="n"/>
      <c r="Q1010" s="669" t="n"/>
      <c r="R1010" s="669" t="n"/>
      <c r="S1010" s="669" t="n"/>
      <c r="T1010" s="669" t="n"/>
      <c r="U1010" s="669" t="n"/>
      <c r="V1010" s="669" t="n"/>
      <c r="W1010" s="669" t="n"/>
      <c r="X1010" s="669" t="n"/>
      <c r="Y1010" s="669" t="n"/>
      <c r="Z1010" s="669" t="n"/>
      <c r="AA1010" s="669" t="n"/>
      <c r="AB1010" s="669" t="n"/>
    </row>
    <row r="1011">
      <c r="I1011" s="669" t="n"/>
      <c r="J1011" s="669" t="n"/>
      <c r="K1011" s="669" t="n"/>
      <c r="L1011" s="669" t="n"/>
      <c r="M1011" s="669" t="n"/>
      <c r="N1011" s="669" t="n"/>
      <c r="O1011" s="669" t="n"/>
      <c r="P1011" s="669" t="n"/>
      <c r="Q1011" s="669" t="n"/>
      <c r="R1011" s="669" t="n"/>
      <c r="S1011" s="669" t="n"/>
      <c r="T1011" s="669" t="n"/>
      <c r="U1011" s="669" t="n"/>
      <c r="V1011" s="669" t="n"/>
      <c r="W1011" s="669" t="n"/>
      <c r="X1011" s="669" t="n"/>
      <c r="Y1011" s="669" t="n"/>
      <c r="Z1011" s="669" t="n"/>
      <c r="AA1011" s="669" t="n"/>
      <c r="AB1011" s="669" t="n"/>
    </row>
    <row r="1012">
      <c r="I1012" s="669" t="n"/>
      <c r="J1012" s="669" t="n"/>
      <c r="K1012" s="669" t="n"/>
      <c r="L1012" s="669" t="n"/>
      <c r="M1012" s="669" t="n"/>
      <c r="N1012" s="669" t="n"/>
      <c r="O1012" s="669" t="n"/>
      <c r="P1012" s="669" t="n"/>
      <c r="Q1012" s="669" t="n"/>
      <c r="R1012" s="669" t="n"/>
      <c r="S1012" s="669" t="n"/>
      <c r="T1012" s="669" t="n"/>
      <c r="U1012" s="669" t="n"/>
      <c r="V1012" s="669" t="n"/>
      <c r="W1012" s="669" t="n"/>
      <c r="X1012" s="669" t="n"/>
      <c r="Y1012" s="669" t="n"/>
      <c r="Z1012" s="669" t="n"/>
      <c r="AA1012" s="669" t="n"/>
      <c r="AB1012" s="669" t="n"/>
    </row>
    <row r="1013">
      <c r="I1013" s="669" t="n"/>
      <c r="J1013" s="669" t="n"/>
      <c r="K1013" s="669" t="n"/>
      <c r="L1013" s="669" t="n"/>
      <c r="M1013" s="669" t="n"/>
      <c r="N1013" s="669" t="n"/>
      <c r="O1013" s="669" t="n"/>
      <c r="P1013" s="669" t="n"/>
      <c r="Q1013" s="669" t="n"/>
      <c r="R1013" s="669" t="n"/>
      <c r="S1013" s="669" t="n"/>
      <c r="T1013" s="669" t="n"/>
      <c r="U1013" s="669" t="n"/>
      <c r="V1013" s="669" t="n"/>
      <c r="W1013" s="669" t="n"/>
      <c r="X1013" s="669" t="n"/>
      <c r="Y1013" s="669" t="n"/>
      <c r="Z1013" s="669" t="n"/>
      <c r="AA1013" s="669" t="n"/>
      <c r="AB1013" s="669" t="n"/>
    </row>
    <row r="1014">
      <c r="I1014" s="669" t="n"/>
      <c r="J1014" s="669" t="n"/>
      <c r="K1014" s="669" t="n"/>
      <c r="L1014" s="669" t="n"/>
      <c r="M1014" s="669" t="n"/>
      <c r="N1014" s="669" t="n"/>
      <c r="O1014" s="669" t="n"/>
      <c r="P1014" s="669" t="n"/>
      <c r="Q1014" s="669" t="n"/>
      <c r="R1014" s="669" t="n"/>
      <c r="S1014" s="669" t="n"/>
      <c r="T1014" s="669" t="n"/>
      <c r="U1014" s="669" t="n"/>
      <c r="V1014" s="669" t="n"/>
      <c r="W1014" s="669" t="n"/>
      <c r="X1014" s="669" t="n"/>
      <c r="Y1014" s="669" t="n"/>
      <c r="Z1014" s="669" t="n"/>
      <c r="AA1014" s="669" t="n"/>
      <c r="AB1014" s="669" t="n"/>
    </row>
    <row r="1015">
      <c r="I1015" s="669" t="n"/>
      <c r="J1015" s="669" t="n"/>
      <c r="K1015" s="669" t="n"/>
      <c r="L1015" s="669" t="n"/>
      <c r="M1015" s="669" t="n"/>
      <c r="N1015" s="669" t="n"/>
      <c r="O1015" s="669" t="n"/>
      <c r="P1015" s="669" t="n"/>
      <c r="Q1015" s="669" t="n"/>
      <c r="R1015" s="669" t="n"/>
      <c r="S1015" s="669" t="n"/>
      <c r="T1015" s="669" t="n"/>
      <c r="U1015" s="669" t="n"/>
      <c r="V1015" s="669" t="n"/>
      <c r="W1015" s="669" t="n"/>
      <c r="X1015" s="669" t="n"/>
      <c r="Y1015" s="669" t="n"/>
      <c r="Z1015" s="669" t="n"/>
      <c r="AA1015" s="669" t="n"/>
      <c r="AB1015" s="669" t="n"/>
    </row>
    <row r="1016">
      <c r="I1016" s="669" t="n"/>
      <c r="J1016" s="669" t="n"/>
      <c r="K1016" s="669" t="n"/>
      <c r="L1016" s="669" t="n"/>
      <c r="M1016" s="669" t="n"/>
      <c r="N1016" s="669" t="n"/>
      <c r="O1016" s="669" t="n"/>
      <c r="P1016" s="669" t="n"/>
      <c r="Q1016" s="669" t="n"/>
      <c r="R1016" s="669" t="n"/>
      <c r="S1016" s="669" t="n"/>
      <c r="T1016" s="669" t="n"/>
      <c r="U1016" s="669" t="n"/>
      <c r="V1016" s="669" t="n"/>
      <c r="W1016" s="669" t="n"/>
      <c r="X1016" s="669" t="n"/>
      <c r="Y1016" s="669" t="n"/>
      <c r="Z1016" s="669" t="n"/>
      <c r="AA1016" s="669" t="n"/>
      <c r="AB1016" s="669" t="n"/>
    </row>
    <row r="1017">
      <c r="I1017" s="669" t="n"/>
      <c r="J1017" s="669" t="n"/>
      <c r="K1017" s="669" t="n"/>
      <c r="L1017" s="669" t="n"/>
      <c r="M1017" s="669" t="n"/>
      <c r="N1017" s="669" t="n"/>
      <c r="O1017" s="669" t="n"/>
      <c r="P1017" s="669" t="n"/>
      <c r="Q1017" s="669" t="n"/>
      <c r="R1017" s="669" t="n"/>
      <c r="S1017" s="669" t="n"/>
      <c r="T1017" s="669" t="n"/>
      <c r="U1017" s="669" t="n"/>
      <c r="V1017" s="669" t="n"/>
      <c r="W1017" s="669" t="n"/>
      <c r="X1017" s="669" t="n"/>
      <c r="Y1017" s="669" t="n"/>
      <c r="Z1017" s="669" t="n"/>
      <c r="AA1017" s="669" t="n"/>
      <c r="AB1017" s="669" t="n"/>
    </row>
    <row r="1018">
      <c r="I1018" s="669" t="n"/>
      <c r="J1018" s="669" t="n"/>
      <c r="K1018" s="669" t="n"/>
      <c r="L1018" s="669" t="n"/>
      <c r="M1018" s="669" t="n"/>
      <c r="N1018" s="669" t="n"/>
      <c r="O1018" s="669" t="n"/>
      <c r="P1018" s="669" t="n"/>
      <c r="Q1018" s="669" t="n"/>
      <c r="R1018" s="669" t="n"/>
      <c r="S1018" s="669" t="n"/>
      <c r="T1018" s="669" t="n"/>
      <c r="U1018" s="669" t="n"/>
      <c r="V1018" s="669" t="n"/>
      <c r="W1018" s="669" t="n"/>
      <c r="X1018" s="669" t="n"/>
      <c r="Y1018" s="669" t="n"/>
      <c r="Z1018" s="669" t="n"/>
      <c r="AA1018" s="669" t="n"/>
      <c r="AB1018" s="669" t="n"/>
    </row>
    <row r="1019">
      <c r="I1019" s="669" t="n"/>
      <c r="J1019" s="669" t="n"/>
      <c r="K1019" s="669" t="n"/>
      <c r="L1019" s="669" t="n"/>
      <c r="M1019" s="669" t="n"/>
      <c r="N1019" s="669" t="n"/>
      <c r="O1019" s="669" t="n"/>
      <c r="P1019" s="669" t="n"/>
      <c r="Q1019" s="669" t="n"/>
      <c r="R1019" s="669" t="n"/>
      <c r="S1019" s="669" t="n"/>
      <c r="T1019" s="669" t="n"/>
      <c r="U1019" s="669" t="n"/>
      <c r="V1019" s="669" t="n"/>
      <c r="W1019" s="669" t="n"/>
      <c r="X1019" s="669" t="n"/>
      <c r="Y1019" s="669" t="n"/>
      <c r="Z1019" s="669" t="n"/>
      <c r="AA1019" s="669" t="n"/>
      <c r="AB1019" s="669" t="n"/>
    </row>
    <row r="1020">
      <c r="I1020" s="669" t="n"/>
      <c r="J1020" s="669" t="n"/>
      <c r="K1020" s="669" t="n"/>
      <c r="L1020" s="669" t="n"/>
      <c r="M1020" s="669" t="n"/>
      <c r="N1020" s="669" t="n"/>
      <c r="O1020" s="669" t="n"/>
      <c r="P1020" s="669" t="n"/>
      <c r="Q1020" s="669" t="n"/>
      <c r="R1020" s="669" t="n"/>
      <c r="S1020" s="669" t="n"/>
      <c r="T1020" s="669" t="n"/>
      <c r="U1020" s="669" t="n"/>
      <c r="V1020" s="669" t="n"/>
      <c r="W1020" s="669" t="n"/>
      <c r="X1020" s="669" t="n"/>
      <c r="Y1020" s="669" t="n"/>
      <c r="Z1020" s="669" t="n"/>
      <c r="AA1020" s="669" t="n"/>
      <c r="AB1020" s="669" t="n"/>
    </row>
    <row r="1021">
      <c r="I1021" s="669" t="n"/>
      <c r="J1021" s="669" t="n"/>
      <c r="K1021" s="669" t="n"/>
      <c r="L1021" s="669" t="n"/>
      <c r="M1021" s="669" t="n"/>
      <c r="N1021" s="669" t="n"/>
      <c r="O1021" s="669" t="n"/>
      <c r="P1021" s="669" t="n"/>
      <c r="Q1021" s="669" t="n"/>
      <c r="R1021" s="669" t="n"/>
      <c r="S1021" s="669" t="n"/>
      <c r="T1021" s="669" t="n"/>
      <c r="U1021" s="669" t="n"/>
      <c r="V1021" s="669" t="n"/>
      <c r="W1021" s="669" t="n"/>
      <c r="X1021" s="669" t="n"/>
      <c r="Y1021" s="669" t="n"/>
      <c r="Z1021" s="669" t="n"/>
      <c r="AA1021" s="669" t="n"/>
      <c r="AB1021" s="669" t="n"/>
    </row>
    <row r="1022">
      <c r="I1022" s="669" t="n"/>
      <c r="J1022" s="669" t="n"/>
      <c r="K1022" s="669" t="n"/>
      <c r="L1022" s="669" t="n"/>
      <c r="M1022" s="669" t="n"/>
      <c r="N1022" s="669" t="n"/>
      <c r="O1022" s="669" t="n"/>
      <c r="P1022" s="669" t="n"/>
      <c r="Q1022" s="669" t="n"/>
      <c r="R1022" s="669" t="n"/>
      <c r="S1022" s="669" t="n"/>
      <c r="T1022" s="669" t="n"/>
      <c r="U1022" s="669" t="n"/>
      <c r="V1022" s="669" t="n"/>
      <c r="W1022" s="669" t="n"/>
      <c r="X1022" s="669" t="n"/>
      <c r="Y1022" s="669" t="n"/>
      <c r="Z1022" s="669" t="n"/>
      <c r="AA1022" s="669" t="n"/>
      <c r="AB1022" s="669" t="n"/>
    </row>
    <row r="1023">
      <c r="I1023" s="669" t="n"/>
      <c r="J1023" s="669" t="n"/>
      <c r="K1023" s="669" t="n"/>
      <c r="L1023" s="669" t="n"/>
      <c r="M1023" s="669" t="n"/>
      <c r="N1023" s="669" t="n"/>
      <c r="O1023" s="669" t="n"/>
      <c r="P1023" s="669" t="n"/>
      <c r="Q1023" s="669" t="n"/>
      <c r="R1023" s="669" t="n"/>
      <c r="S1023" s="669" t="n"/>
      <c r="T1023" s="669" t="n"/>
      <c r="U1023" s="669" t="n"/>
      <c r="V1023" s="669" t="n"/>
      <c r="W1023" s="669" t="n"/>
      <c r="X1023" s="669" t="n"/>
      <c r="Y1023" s="669" t="n"/>
      <c r="Z1023" s="669" t="n"/>
      <c r="AA1023" s="669" t="n"/>
      <c r="AB1023" s="669" t="n"/>
    </row>
    <row r="1024">
      <c r="I1024" s="669" t="n"/>
      <c r="J1024" s="669" t="n"/>
      <c r="K1024" s="669" t="n"/>
      <c r="L1024" s="669" t="n"/>
      <c r="M1024" s="669" t="n"/>
      <c r="N1024" s="669" t="n"/>
      <c r="O1024" s="669" t="n"/>
      <c r="P1024" s="669" t="n"/>
      <c r="Q1024" s="669" t="n"/>
      <c r="R1024" s="669" t="n"/>
      <c r="S1024" s="669" t="n"/>
      <c r="T1024" s="669" t="n"/>
      <c r="U1024" s="669" t="n"/>
      <c r="V1024" s="669" t="n"/>
      <c r="W1024" s="669" t="n"/>
      <c r="X1024" s="669" t="n"/>
      <c r="Y1024" s="669" t="n"/>
      <c r="Z1024" s="669" t="n"/>
      <c r="AA1024" s="669" t="n"/>
      <c r="AB1024" s="669" t="n"/>
    </row>
    <row r="1025">
      <c r="I1025" s="669" t="n"/>
      <c r="J1025" s="669" t="n"/>
      <c r="K1025" s="669" t="n"/>
      <c r="L1025" s="669" t="n"/>
      <c r="M1025" s="669" t="n"/>
      <c r="N1025" s="669" t="n"/>
      <c r="O1025" s="669" t="n"/>
      <c r="P1025" s="669" t="n"/>
      <c r="Q1025" s="669" t="n"/>
      <c r="R1025" s="669" t="n"/>
      <c r="S1025" s="669" t="n"/>
      <c r="T1025" s="669" t="n"/>
      <c r="U1025" s="669" t="n"/>
      <c r="V1025" s="669" t="n"/>
      <c r="W1025" s="669" t="n"/>
      <c r="X1025" s="669" t="n"/>
      <c r="Y1025" s="669" t="n"/>
      <c r="Z1025" s="669" t="n"/>
      <c r="AA1025" s="669" t="n"/>
      <c r="AB1025" s="669" t="n"/>
    </row>
    <row r="1026">
      <c r="I1026" s="669" t="n"/>
      <c r="J1026" s="669" t="n"/>
      <c r="K1026" s="669" t="n"/>
      <c r="L1026" s="669" t="n"/>
      <c r="M1026" s="669" t="n"/>
      <c r="N1026" s="669" t="n"/>
      <c r="O1026" s="669" t="n"/>
      <c r="P1026" s="669" t="n"/>
      <c r="Q1026" s="669" t="n"/>
      <c r="R1026" s="669" t="n"/>
      <c r="S1026" s="669" t="n"/>
      <c r="T1026" s="669" t="n"/>
      <c r="U1026" s="669" t="n"/>
      <c r="V1026" s="669" t="n"/>
      <c r="W1026" s="669" t="n"/>
      <c r="X1026" s="669" t="n"/>
      <c r="Y1026" s="669" t="n"/>
      <c r="Z1026" s="669" t="n"/>
      <c r="AA1026" s="669" t="n"/>
      <c r="AB1026" s="669" t="n"/>
    </row>
    <row r="1027">
      <c r="I1027" s="669" t="n"/>
      <c r="J1027" s="669" t="n"/>
      <c r="K1027" s="669" t="n"/>
      <c r="L1027" s="669" t="n"/>
      <c r="M1027" s="669" t="n"/>
      <c r="N1027" s="669" t="n"/>
      <c r="O1027" s="669" t="n"/>
      <c r="P1027" s="669" t="n"/>
      <c r="Q1027" s="669" t="n"/>
      <c r="R1027" s="669" t="n"/>
      <c r="S1027" s="669" t="n"/>
      <c r="T1027" s="669" t="n"/>
      <c r="U1027" s="669" t="n"/>
      <c r="V1027" s="669" t="n"/>
      <c r="W1027" s="669" t="n"/>
      <c r="X1027" s="669" t="n"/>
      <c r="Y1027" s="669" t="n"/>
      <c r="Z1027" s="669" t="n"/>
      <c r="AA1027" s="669" t="n"/>
      <c r="AB1027" s="669" t="n"/>
    </row>
    <row r="1028">
      <c r="I1028" s="669" t="n"/>
      <c r="J1028" s="669" t="n"/>
      <c r="K1028" s="669" t="n"/>
      <c r="L1028" s="669" t="n"/>
      <c r="M1028" s="669" t="n"/>
      <c r="N1028" s="669" t="n"/>
      <c r="O1028" s="669" t="n"/>
      <c r="P1028" s="669" t="n"/>
      <c r="Q1028" s="669" t="n"/>
      <c r="R1028" s="669" t="n"/>
      <c r="S1028" s="669" t="n"/>
      <c r="T1028" s="669" t="n"/>
      <c r="U1028" s="669" t="n"/>
      <c r="V1028" s="669" t="n"/>
      <c r="W1028" s="669" t="n"/>
      <c r="X1028" s="669" t="n"/>
      <c r="Y1028" s="669" t="n"/>
      <c r="Z1028" s="669" t="n"/>
      <c r="AA1028" s="669" t="n"/>
      <c r="AB1028" s="669" t="n"/>
    </row>
    <row r="1029">
      <c r="I1029" s="669" t="n"/>
      <c r="J1029" s="669" t="n"/>
      <c r="K1029" s="669" t="n"/>
      <c r="L1029" s="669" t="n"/>
      <c r="M1029" s="669" t="n"/>
      <c r="N1029" s="669" t="n"/>
      <c r="O1029" s="669" t="n"/>
      <c r="P1029" s="669" t="n"/>
      <c r="Q1029" s="669" t="n"/>
      <c r="R1029" s="669" t="n"/>
      <c r="S1029" s="669" t="n"/>
      <c r="T1029" s="669" t="n"/>
      <c r="U1029" s="669" t="n"/>
      <c r="V1029" s="669" t="n"/>
      <c r="W1029" s="669" t="n"/>
      <c r="X1029" s="669" t="n"/>
      <c r="Y1029" s="669" t="n"/>
      <c r="Z1029" s="669" t="n"/>
      <c r="AA1029" s="669" t="n"/>
      <c r="AB1029" s="669" t="n"/>
    </row>
    <row r="1030">
      <c r="I1030" s="669" t="n"/>
      <c r="J1030" s="669" t="n"/>
      <c r="K1030" s="669" t="n"/>
      <c r="L1030" s="669" t="n"/>
      <c r="M1030" s="669" t="n"/>
      <c r="N1030" s="669" t="n"/>
      <c r="O1030" s="669" t="n"/>
      <c r="P1030" s="669" t="n"/>
      <c r="Q1030" s="669" t="n"/>
      <c r="R1030" s="669" t="n"/>
      <c r="S1030" s="669" t="n"/>
      <c r="T1030" s="669" t="n"/>
      <c r="U1030" s="669" t="n"/>
      <c r="V1030" s="669" t="n"/>
      <c r="W1030" s="669" t="n"/>
      <c r="X1030" s="669" t="n"/>
      <c r="Y1030" s="669" t="n"/>
      <c r="Z1030" s="669" t="n"/>
      <c r="AA1030" s="669" t="n"/>
      <c r="AB1030" s="669" t="n"/>
    </row>
    <row r="1031">
      <c r="I1031" s="669" t="n"/>
      <c r="J1031" s="669" t="n"/>
      <c r="K1031" s="669" t="n"/>
      <c r="L1031" s="669" t="n"/>
      <c r="M1031" s="669" t="n"/>
      <c r="N1031" s="669" t="n"/>
      <c r="O1031" s="669" t="n"/>
      <c r="P1031" s="669" t="n"/>
      <c r="Q1031" s="669" t="n"/>
      <c r="R1031" s="669" t="n"/>
      <c r="S1031" s="669" t="n"/>
      <c r="T1031" s="669" t="n"/>
      <c r="U1031" s="669" t="n"/>
      <c r="V1031" s="669" t="n"/>
      <c r="W1031" s="669" t="n"/>
      <c r="X1031" s="669" t="n"/>
      <c r="Y1031" s="669" t="n"/>
      <c r="Z1031" s="669" t="n"/>
      <c r="AA1031" s="669" t="n"/>
      <c r="AB1031" s="669" t="n"/>
    </row>
    <row r="1032">
      <c r="I1032" s="669" t="n"/>
      <c r="J1032" s="669" t="n"/>
      <c r="K1032" s="669" t="n"/>
      <c r="L1032" s="669" t="n"/>
      <c r="M1032" s="669" t="n"/>
      <c r="N1032" s="669" t="n"/>
      <c r="O1032" s="669" t="n"/>
      <c r="P1032" s="669" t="n"/>
      <c r="Q1032" s="669" t="n"/>
      <c r="R1032" s="669" t="n"/>
      <c r="S1032" s="669" t="n"/>
      <c r="T1032" s="669" t="n"/>
      <c r="U1032" s="669" t="n"/>
      <c r="V1032" s="669" t="n"/>
      <c r="W1032" s="669" t="n"/>
      <c r="X1032" s="669" t="n"/>
      <c r="Y1032" s="669" t="n"/>
      <c r="Z1032" s="669" t="n"/>
      <c r="AA1032" s="669" t="n"/>
      <c r="AB1032" s="669" t="n"/>
    </row>
    <row r="1033">
      <c r="I1033" s="669" t="n"/>
      <c r="J1033" s="669" t="n"/>
      <c r="K1033" s="669" t="n"/>
      <c r="L1033" s="669" t="n"/>
      <c r="M1033" s="669" t="n"/>
      <c r="N1033" s="669" t="n"/>
      <c r="O1033" s="669" t="n"/>
      <c r="P1033" s="669" t="n"/>
      <c r="Q1033" s="669" t="n"/>
      <c r="R1033" s="669" t="n"/>
      <c r="S1033" s="669" t="n"/>
      <c r="T1033" s="669" t="n"/>
      <c r="U1033" s="669" t="n"/>
      <c r="V1033" s="669" t="n"/>
      <c r="W1033" s="669" t="n"/>
      <c r="X1033" s="669" t="n"/>
      <c r="Y1033" s="669" t="n"/>
      <c r="Z1033" s="669" t="n"/>
      <c r="AA1033" s="669" t="n"/>
      <c r="AB1033" s="669" t="n"/>
    </row>
    <row r="1034">
      <c r="I1034" s="669" t="n"/>
      <c r="J1034" s="669" t="n"/>
      <c r="K1034" s="669" t="n"/>
      <c r="L1034" s="669" t="n"/>
      <c r="M1034" s="669" t="n"/>
      <c r="N1034" s="669" t="n"/>
      <c r="O1034" s="669" t="n"/>
      <c r="P1034" s="669" t="n"/>
      <c r="Q1034" s="669" t="n"/>
      <c r="R1034" s="669" t="n"/>
      <c r="S1034" s="669" t="n"/>
      <c r="T1034" s="669" t="n"/>
      <c r="U1034" s="669" t="n"/>
      <c r="V1034" s="669" t="n"/>
      <c r="W1034" s="669" t="n"/>
      <c r="X1034" s="669" t="n"/>
      <c r="Y1034" s="669" t="n"/>
      <c r="Z1034" s="669" t="n"/>
      <c r="AA1034" s="669" t="n"/>
      <c r="AB1034" s="669" t="n"/>
    </row>
    <row r="1035">
      <c r="I1035" s="669" t="n"/>
      <c r="J1035" s="669" t="n"/>
      <c r="K1035" s="669" t="n"/>
      <c r="L1035" s="669" t="n"/>
      <c r="M1035" s="669" t="n"/>
      <c r="N1035" s="669" t="n"/>
      <c r="O1035" s="669" t="n"/>
      <c r="P1035" s="669" t="n"/>
      <c r="Q1035" s="669" t="n"/>
      <c r="R1035" s="669" t="n"/>
      <c r="S1035" s="669" t="n"/>
      <c r="T1035" s="669" t="n"/>
      <c r="U1035" s="669" t="n"/>
      <c r="V1035" s="669" t="n"/>
      <c r="W1035" s="669" t="n"/>
      <c r="X1035" s="669" t="n"/>
      <c r="Y1035" s="669" t="n"/>
      <c r="Z1035" s="669" t="n"/>
      <c r="AA1035" s="669" t="n"/>
      <c r="AB1035" s="669" t="n"/>
    </row>
    <row r="1036">
      <c r="I1036" s="669" t="n"/>
      <c r="J1036" s="669" t="n"/>
      <c r="K1036" s="669" t="n"/>
      <c r="L1036" s="669" t="n"/>
      <c r="M1036" s="669" t="n"/>
      <c r="N1036" s="669" t="n"/>
      <c r="O1036" s="669" t="n"/>
      <c r="P1036" s="669" t="n"/>
      <c r="Q1036" s="669" t="n"/>
      <c r="R1036" s="669" t="n"/>
      <c r="S1036" s="669" t="n"/>
      <c r="T1036" s="669" t="n"/>
      <c r="U1036" s="669" t="n"/>
      <c r="V1036" s="669" t="n"/>
      <c r="W1036" s="669" t="n"/>
      <c r="X1036" s="669" t="n"/>
      <c r="Y1036" s="669" t="n"/>
      <c r="Z1036" s="669" t="n"/>
      <c r="AA1036" s="669" t="n"/>
      <c r="AB1036" s="669" t="n"/>
    </row>
    <row r="1037">
      <c r="I1037" s="669" t="n"/>
      <c r="J1037" s="669" t="n"/>
      <c r="K1037" s="669" t="n"/>
      <c r="L1037" s="669" t="n"/>
      <c r="M1037" s="669" t="n"/>
      <c r="N1037" s="669" t="n"/>
      <c r="O1037" s="669" t="n"/>
      <c r="P1037" s="669" t="n"/>
      <c r="Q1037" s="669" t="n"/>
      <c r="R1037" s="669" t="n"/>
      <c r="S1037" s="669" t="n"/>
      <c r="T1037" s="669" t="n"/>
      <c r="U1037" s="669" t="n"/>
      <c r="V1037" s="669" t="n"/>
      <c r="W1037" s="669" t="n"/>
      <c r="X1037" s="669" t="n"/>
      <c r="Y1037" s="669" t="n"/>
      <c r="Z1037" s="669" t="n"/>
      <c r="AA1037" s="669" t="n"/>
      <c r="AB1037" s="669" t="n"/>
    </row>
    <row r="1038">
      <c r="I1038" s="669" t="n"/>
      <c r="J1038" s="669" t="n"/>
      <c r="K1038" s="669" t="n"/>
      <c r="L1038" s="669" t="n"/>
      <c r="M1038" s="669" t="n"/>
      <c r="N1038" s="669" t="n"/>
      <c r="O1038" s="669" t="n"/>
      <c r="P1038" s="669" t="n"/>
      <c r="Q1038" s="669" t="n"/>
      <c r="R1038" s="669" t="n"/>
      <c r="S1038" s="669" t="n"/>
      <c r="T1038" s="669" t="n"/>
      <c r="U1038" s="669" t="n"/>
      <c r="V1038" s="669" t="n"/>
      <c r="W1038" s="669" t="n"/>
      <c r="X1038" s="669" t="n"/>
      <c r="Y1038" s="669" t="n"/>
      <c r="Z1038" s="669" t="n"/>
      <c r="AA1038" s="669" t="n"/>
      <c r="AB1038" s="669" t="n"/>
    </row>
    <row r="1039">
      <c r="I1039" s="669" t="n"/>
      <c r="J1039" s="669" t="n"/>
      <c r="K1039" s="669" t="n"/>
      <c r="L1039" s="669" t="n"/>
      <c r="M1039" s="669" t="n"/>
      <c r="N1039" s="669" t="n"/>
      <c r="O1039" s="669" t="n"/>
      <c r="P1039" s="669" t="n"/>
      <c r="Q1039" s="669" t="n"/>
      <c r="R1039" s="669" t="n"/>
      <c r="S1039" s="669" t="n"/>
      <c r="T1039" s="669" t="n"/>
      <c r="U1039" s="669" t="n"/>
      <c r="V1039" s="669" t="n"/>
      <c r="W1039" s="669" t="n"/>
      <c r="X1039" s="669" t="n"/>
      <c r="Y1039" s="669" t="n"/>
      <c r="Z1039" s="669" t="n"/>
      <c r="AA1039" s="669" t="n"/>
      <c r="AB1039" s="669" t="n"/>
    </row>
    <row r="1040">
      <c r="I1040" s="669" t="n"/>
      <c r="J1040" s="669" t="n"/>
      <c r="K1040" s="669" t="n"/>
      <c r="L1040" s="669" t="n"/>
      <c r="M1040" s="669" t="n"/>
      <c r="N1040" s="669" t="n"/>
      <c r="O1040" s="669" t="n"/>
      <c r="P1040" s="669" t="n"/>
      <c r="Q1040" s="669" t="n"/>
      <c r="R1040" s="669" t="n"/>
      <c r="S1040" s="669" t="n"/>
      <c r="T1040" s="669" t="n"/>
      <c r="U1040" s="669" t="n"/>
      <c r="V1040" s="669" t="n"/>
      <c r="W1040" s="669" t="n"/>
      <c r="X1040" s="669" t="n"/>
      <c r="Y1040" s="669" t="n"/>
      <c r="Z1040" s="669" t="n"/>
      <c r="AA1040" s="669" t="n"/>
      <c r="AB1040" s="669" t="n"/>
    </row>
    <row r="1041">
      <c r="I1041" s="669" t="n"/>
      <c r="J1041" s="669" t="n"/>
      <c r="K1041" s="669" t="n"/>
      <c r="L1041" s="669" t="n"/>
      <c r="M1041" s="669" t="n"/>
      <c r="N1041" s="669" t="n"/>
      <c r="O1041" s="669" t="n"/>
      <c r="P1041" s="669" t="n"/>
      <c r="Q1041" s="669" t="n"/>
      <c r="R1041" s="669" t="n"/>
      <c r="S1041" s="669" t="n"/>
      <c r="T1041" s="669" t="n"/>
      <c r="U1041" s="669" t="n"/>
      <c r="V1041" s="669" t="n"/>
      <c r="W1041" s="669" t="n"/>
      <c r="X1041" s="669" t="n"/>
      <c r="Y1041" s="669" t="n"/>
      <c r="Z1041" s="669" t="n"/>
      <c r="AA1041" s="669" t="n"/>
      <c r="AB1041" s="669" t="n"/>
    </row>
    <row r="1042">
      <c r="I1042" s="669" t="n"/>
      <c r="J1042" s="669" t="n"/>
      <c r="K1042" s="669" t="n"/>
      <c r="L1042" s="669" t="n"/>
      <c r="M1042" s="669" t="n"/>
      <c r="N1042" s="669" t="n"/>
      <c r="O1042" s="669" t="n"/>
      <c r="P1042" s="669" t="n"/>
      <c r="Q1042" s="669" t="n"/>
      <c r="R1042" s="669" t="n"/>
      <c r="S1042" s="669" t="n"/>
      <c r="T1042" s="669" t="n"/>
      <c r="U1042" s="669" t="n"/>
      <c r="V1042" s="669" t="n"/>
      <c r="W1042" s="669" t="n"/>
      <c r="X1042" s="669" t="n"/>
      <c r="Y1042" s="669" t="n"/>
      <c r="Z1042" s="669" t="n"/>
      <c r="AA1042" s="669" t="n"/>
      <c r="AB1042" s="669" t="n"/>
    </row>
    <row r="1043">
      <c r="I1043" s="669" t="n"/>
      <c r="J1043" s="669" t="n"/>
      <c r="K1043" s="669" t="n"/>
      <c r="L1043" s="669" t="n"/>
      <c r="M1043" s="669" t="n"/>
      <c r="N1043" s="669" t="n"/>
      <c r="O1043" s="669" t="n"/>
      <c r="P1043" s="669" t="n"/>
      <c r="Q1043" s="669" t="n"/>
      <c r="R1043" s="669" t="n"/>
      <c r="S1043" s="669" t="n"/>
      <c r="T1043" s="669" t="n"/>
      <c r="U1043" s="669" t="n"/>
      <c r="V1043" s="669" t="n"/>
      <c r="W1043" s="669" t="n"/>
      <c r="X1043" s="669" t="n"/>
      <c r="Y1043" s="669" t="n"/>
      <c r="Z1043" s="669" t="n"/>
      <c r="AA1043" s="669" t="n"/>
      <c r="AB1043" s="669" t="n"/>
    </row>
  </sheetData>
  <dataValidations count="8">
    <dataValidation sqref="A10 A16 A29 A35 C45:C176" showDropDown="1" showInputMessage="0" showErrorMessage="1" allowBlank="1" type="list">
      <formula1>"Desert,Forest,Prairie,Swamp,Tundra"</formula1>
    </dataValidation>
    <dataValidation sqref="E45:E176" showDropDown="1" showInputMessage="0" showErrorMessage="1" allowBlank="1" type="list">
      <formula1>"Devotee,Priest"</formula1>
    </dataValidation>
    <dataValidation sqref="B10:C10 B16:C16 B29:C29 B35:C35 D45:D176 F45:F176" showDropDown="1" showInputMessage="0" showErrorMessage="1" allowBlank="1" type="list">
      <formula1>"Blue,Purple,S,SS,SSS,A,B"</formula1>
    </dataValidation>
    <dataValidation sqref="B3 B22" showDropDown="0" showInputMessage="0" showErrorMessage="1" allowBlank="1" type="list">
      <formula1>"Desert,Forest,Prairie,Swamp,Tundra"</formula1>
    </dataValidation>
    <dataValidation sqref="B25 B31" showDropDown="0" showInputMessage="0" showErrorMessage="1" allowBlank="1" type="list">
      <formula1>"Antlerfang,Antlergator,Aroundight (SS),Aroundight (SSS),Balmung (SS),Balmung (SSS),Batannos,Behemoth,Blazebuck,BretroCroc,Caiman,Cardimon,Centiger,Chaomon,Clouded Leopard,Cobradeer,Cobragator,Cobraking,Crocodeer,Crocowing,Crocthulu,Darkroc,Daz Tingo,Death"&amp;"bat,Demonic Flying Fox,Direantler,Dreadnose,Durandal (SS),Durandal (SSS),Eljudnir (SS),Eljudnir (SSS),Elkgator,Elkobra,Elkwing,Faramon,Flamethorn,Fragarach (SS),Fragarach (SSS),Gae Bolg (SS),Gae Bolg (SSS),Gandiva (SS),Gandiva (SSS),Gjallarhorn (SS),Gjall"&amp;"arhorn (SSS),Gloomdart,Goregator,Gram (SS),Gram (SSS),Griffin,Gullinbursti (SS),Gullinbursti (SSS),Gungnir (SS),Gungnir (SSS),Gurglethon,Harmticore,Hartblinker,Hellwing,Hydra,Hyperpaw,Ignilion,Ironhart,Joyeuse (SS),Joyeuse (SSS),Ladomon,Laevateinn (SS),La"&amp;"evateinn (SSS),Lunarcalf,Mantiger,Mantiharpy,Moose,Mystletainn (SS),Mystletainn (SSS),Netherstag,Pyroclad,Rattlecat,Rattlescone,Rattlesnake,Reindeer,Sabermoose,Sabertooth,Seachimera,Shorewing,Sleipnir (SS),Sleipnir (SSS),Smoremon,Snakebat,Snaketaur,Snaref"&amp;"ang,Sortisnake,Taromon,Tartigris,Tigergator,Tigermoose,Titanclaw,Titanimon,Tyrannocroc,Ugarmon,Vampire Bat,Vancedon,Venomander,Voidrake,Wraithwing,Yangzigator"</formula1>
    </dataValidation>
    <dataValidation sqref="B6 B12" showDropDown="0" showInputMessage="0" showErrorMessage="1" allowBlank="1" type="list">
      <formula1>"Aegis (SS),Aegis (SSS),Avalon (SS),Avalon (SSS),Brionac (SS),Brionac (SSS),Brontoscorpio (SS),Brontoscorpio (SSS),Crocochad,Embergator,Harpy (SS),Harpy (SSS),Infernalisk,Leobat,Mammoth (SS),Mammoth (SSS),Megingjord (SS),Megingjord (SSS),Pegasus (SS),Pegas"&amp;"us (SSS),Pyromaw,Pythonwing,Stormander,T-Rex (SS),T-Rex (SSS),Typhon (SS),Typhon (SSS),Tyrfing (SS),Tyrfing (SSS)"</formula1>
    </dataValidation>
    <dataValidation sqref="B6" showDropDown="0" showInputMessage="0" showErrorMessage="0" allowBlank="1" errorTitle="Invalid Protomon" error="Please select a valid protomon." type="list">
      <formula1>$B$45:$B$176</formula1>
    </dataValidation>
    <dataValidation sqref="B7" showDropDown="0" showInputMessage="0" showErrorMessage="0" allowBlank="1" errorTitle="Invalid Level" error="Level must be a positive whole number." type="whole" operator="greaterThan">
      <formula1>0</formula1>
    </dataValidation>
  </dataValidations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Z23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9.18" defaultRowHeight="15" customHeight="1"/>
  <cols>
    <col width="6.45" customWidth="1" style="1128" min="2" max="3"/>
    <col width="8.27" customWidth="1" style="1128" min="4" max="4"/>
    <col width="6.64" customWidth="1" style="1128" min="5" max="5"/>
    <col width="6.45" customWidth="1" style="1128" min="7" max="8"/>
    <col width="8.27" customWidth="1" style="1128" min="9" max="9"/>
    <col width="6.64" customWidth="1" style="1128" min="10" max="10"/>
    <col width="10.64" customWidth="1" style="1128" min="14" max="14"/>
    <col width="7.55" customWidth="1" style="1128" min="15" max="15"/>
  </cols>
  <sheetData>
    <row r="1">
      <c r="A1" s="1113" t="n"/>
      <c r="B1" s="1161" t="inlineStr">
        <is>
          <t>Round 1</t>
        </is>
      </c>
      <c r="C1" s="1152" t="n"/>
      <c r="D1" s="1152" t="n"/>
      <c r="E1" s="1152" t="n"/>
      <c r="F1" s="1153" t="n"/>
      <c r="G1" s="1161" t="inlineStr">
        <is>
          <t>Round 2</t>
        </is>
      </c>
      <c r="H1" s="1152" t="n"/>
      <c r="I1" s="1152" t="n"/>
      <c r="J1" s="1152" t="n"/>
      <c r="K1" s="1153" t="n"/>
      <c r="L1" s="972" t="n"/>
      <c r="M1" s="972" t="n"/>
      <c r="N1" s="972" t="n"/>
      <c r="O1" s="972" t="n"/>
      <c r="P1" s="972" t="n"/>
      <c r="Q1" s="972" t="n"/>
      <c r="R1" s="972" t="n"/>
      <c r="S1" s="972" t="n"/>
      <c r="T1" s="972" t="n"/>
      <c r="U1" s="972" t="n"/>
      <c r="V1" s="972" t="n"/>
      <c r="W1" s="972" t="n"/>
      <c r="X1" s="972" t="n"/>
      <c r="Y1" s="972" t="n"/>
      <c r="Z1" s="972" t="n"/>
    </row>
    <row r="2">
      <c r="A2" s="1115" t="inlineStr">
        <is>
          <t>Hitman No.</t>
        </is>
      </c>
      <c r="B2" s="22" t="inlineStr">
        <is>
          <t>ATK</t>
        </is>
      </c>
      <c r="C2" s="50" t="inlineStr">
        <is>
          <t>DEF</t>
        </is>
      </c>
      <c r="D2" s="50" t="inlineStr">
        <is>
          <t>HP</t>
        </is>
      </c>
      <c r="E2" s="50" t="inlineStr">
        <is>
          <t>Weakness</t>
        </is>
      </c>
      <c r="F2" s="51" t="inlineStr">
        <is>
          <t>Reward</t>
        </is>
      </c>
      <c r="G2" s="22" t="inlineStr">
        <is>
          <t>ATK 2</t>
        </is>
      </c>
      <c r="H2" s="50" t="inlineStr">
        <is>
          <t>DEF 2</t>
        </is>
      </c>
      <c r="I2" s="50" t="inlineStr">
        <is>
          <t>HP 2</t>
        </is>
      </c>
      <c r="J2" s="50" t="inlineStr">
        <is>
          <t>Weakness 2</t>
        </is>
      </c>
      <c r="K2" s="51" t="inlineStr">
        <is>
          <t>Reward 2</t>
        </is>
      </c>
      <c r="L2" s="972" t="n"/>
      <c r="M2" s="972" t="n"/>
      <c r="N2" s="972" t="n"/>
      <c r="O2" s="972" t="n"/>
      <c r="P2" s="972" t="n"/>
      <c r="Q2" s="972" t="n"/>
      <c r="R2" s="972" t="n"/>
      <c r="S2" s="972" t="n"/>
      <c r="T2" s="972" t="n"/>
      <c r="U2" s="972" t="n"/>
      <c r="V2" s="972" t="n"/>
      <c r="W2" s="972" t="n"/>
      <c r="X2" s="972" t="n"/>
      <c r="Y2" s="972" t="n"/>
      <c r="Z2" s="972" t="n"/>
    </row>
    <row r="3">
      <c r="A3" s="1116" t="n">
        <v>1</v>
      </c>
      <c r="B3" s="1122" t="n"/>
      <c r="C3" s="1126" t="n"/>
      <c r="D3" s="1126" t="n"/>
      <c r="E3" s="1126" t="n"/>
      <c r="F3" s="1125" t="n"/>
      <c r="G3" s="1122" t="n"/>
      <c r="H3" s="1126" t="n"/>
      <c r="I3" s="1126" t="n"/>
      <c r="J3" s="1126" t="n">
        <v>150538</v>
      </c>
      <c r="K3" s="1095" t="n"/>
      <c r="L3" s="972" t="n"/>
      <c r="M3" s="444" t="inlineStr">
        <is>
          <t>Current AFFCT</t>
        </is>
      </c>
      <c r="N3" s="444" t="inlineStr">
        <is>
          <t>Hitman w/ RUSH</t>
        </is>
      </c>
      <c r="P3" s="972" t="n"/>
      <c r="Q3" s="972" t="n"/>
      <c r="R3" s="972" t="n"/>
      <c r="S3" s="972" t="n"/>
      <c r="T3" s="972" t="n"/>
      <c r="U3" s="972" t="n"/>
      <c r="V3" s="972" t="n"/>
      <c r="W3" s="972" t="n"/>
      <c r="X3" s="972" t="n"/>
      <c r="Y3" s="972" t="n"/>
      <c r="Z3" s="972" t="n"/>
    </row>
    <row r="4">
      <c r="A4" s="1116" t="n">
        <v>2</v>
      </c>
      <c r="B4" s="1122" t="n"/>
      <c r="C4" s="1126" t="n"/>
      <c r="D4" s="1126" t="n"/>
      <c r="E4" s="1126" t="n"/>
      <c r="F4" s="1125" t="n"/>
      <c r="G4" s="1122" t="n"/>
      <c r="H4" s="1126" t="n"/>
      <c r="I4" s="1126" t="n"/>
      <c r="J4" s="1126" t="n">
        <v>150538</v>
      </c>
      <c r="K4" s="1095" t="n"/>
      <c r="L4" s="972" t="n"/>
      <c r="M4" s="1121" t="n">
        <v>251000</v>
      </c>
      <c r="N4" s="444">
        <f t="array" ref="N4">INDEX(A3:A100,MATCH(M4,J3:J100,1),0)</f>
        <v/>
      </c>
      <c r="P4" s="972" t="n"/>
      <c r="Q4" s="972" t="n"/>
      <c r="R4" s="972" t="n"/>
      <c r="S4" s="972" t="n"/>
      <c r="T4" s="972" t="n"/>
      <c r="U4" s="972" t="n"/>
      <c r="V4" s="972" t="n"/>
      <c r="W4" s="972" t="n"/>
      <c r="X4" s="972" t="n"/>
      <c r="Y4" s="972" t="n"/>
      <c r="Z4" s="972" t="n"/>
    </row>
    <row r="5">
      <c r="A5" s="1116" t="n">
        <v>3</v>
      </c>
      <c r="B5" s="1122" t="n"/>
      <c r="C5" s="1126" t="n"/>
      <c r="D5" s="1126" t="n"/>
      <c r="E5" s="1126" t="n"/>
      <c r="F5" s="1125" t="n"/>
      <c r="G5" s="1122" t="n"/>
      <c r="H5" s="1126" t="n"/>
      <c r="I5" s="1126" t="n"/>
      <c r="J5" s="1126" t="n">
        <v>150538</v>
      </c>
      <c r="K5" s="1095" t="n"/>
      <c r="L5" s="972" t="n"/>
      <c r="M5" s="972" t="n"/>
      <c r="N5" s="972" t="n"/>
      <c r="O5" s="972" t="n"/>
      <c r="P5" s="972" t="n"/>
      <c r="Q5" s="972" t="n"/>
      <c r="R5" s="972" t="n"/>
      <c r="S5" s="972" t="n"/>
      <c r="T5" s="972" t="n"/>
      <c r="U5" s="972" t="n"/>
      <c r="V5" s="972" t="n"/>
      <c r="W5" s="972" t="n"/>
      <c r="X5" s="972" t="n"/>
      <c r="Y5" s="972" t="n"/>
      <c r="Z5" s="972" t="n"/>
    </row>
    <row r="6">
      <c r="A6" s="1116" t="n">
        <v>4</v>
      </c>
      <c r="B6" s="1122" t="n"/>
      <c r="C6" s="1126" t="n"/>
      <c r="D6" s="1126" t="n"/>
      <c r="E6" s="1126" t="n"/>
      <c r="F6" s="1125" t="n"/>
      <c r="G6" s="1122" t="n"/>
      <c r="H6" s="1126" t="n"/>
      <c r="I6" s="1126" t="n"/>
      <c r="J6" s="1126" t="n">
        <v>150538</v>
      </c>
      <c r="K6" s="1095" t="n"/>
      <c r="L6" s="972" t="n"/>
      <c r="M6" s="972" t="n"/>
      <c r="N6" s="972" t="n"/>
      <c r="O6" s="972" t="n"/>
      <c r="P6" s="972" t="n"/>
      <c r="Q6" s="972" t="n"/>
      <c r="R6" s="972" t="n"/>
      <c r="S6" s="972" t="n"/>
      <c r="T6" s="972" t="n"/>
      <c r="U6" s="972" t="n"/>
      <c r="V6" s="972" t="n"/>
      <c r="W6" s="972" t="n"/>
      <c r="X6" s="972" t="n"/>
      <c r="Y6" s="972" t="n"/>
      <c r="Z6" s="972" t="n"/>
    </row>
    <row r="7">
      <c r="A7" s="1116" t="n">
        <v>5</v>
      </c>
      <c r="B7" s="1122" t="n"/>
      <c r="C7" s="1126" t="n"/>
      <c r="D7" s="1126" t="n"/>
      <c r="E7" s="1126" t="n"/>
      <c r="F7" s="1125" t="n"/>
      <c r="G7" s="1122" t="n"/>
      <c r="H7" s="1126" t="n"/>
      <c r="I7" s="1126" t="n"/>
      <c r="J7" s="1126" t="n">
        <v>150538</v>
      </c>
      <c r="K7" s="1095" t="n"/>
      <c r="L7" s="972" t="n"/>
      <c r="M7" s="972" t="n"/>
      <c r="N7" s="972" t="n"/>
      <c r="O7" s="972" t="n"/>
      <c r="P7" s="972" t="n"/>
      <c r="Q7" s="972" t="n"/>
      <c r="R7" s="972" t="n"/>
      <c r="S7" s="972" t="n"/>
      <c r="T7" s="972" t="n"/>
      <c r="U7" s="972" t="n"/>
      <c r="V7" s="972" t="n"/>
      <c r="W7" s="972" t="n"/>
      <c r="X7" s="972" t="n"/>
      <c r="Y7" s="972" t="n"/>
      <c r="Z7" s="972" t="n"/>
    </row>
    <row r="8">
      <c r="A8" s="1116" t="n">
        <v>6</v>
      </c>
      <c r="B8" s="1122" t="n"/>
      <c r="C8" s="1126" t="n"/>
      <c r="D8" s="1126" t="n"/>
      <c r="E8" s="1126" t="n"/>
      <c r="F8" s="1125" t="n"/>
      <c r="G8" s="1122" t="n"/>
      <c r="H8" s="1126" t="n"/>
      <c r="I8" s="1126" t="n"/>
      <c r="J8" s="1126" t="n">
        <v>150538</v>
      </c>
      <c r="K8" s="1095" t="n"/>
      <c r="L8" s="972" t="n"/>
      <c r="M8" s="972" t="n"/>
      <c r="N8" s="972" t="n"/>
      <c r="O8" s="972" t="n"/>
      <c r="P8" s="972" t="n"/>
      <c r="Q8" s="972" t="n"/>
      <c r="R8" s="972" t="n"/>
      <c r="S8" s="972" t="n"/>
      <c r="T8" s="972" t="n"/>
      <c r="U8" s="972" t="n"/>
      <c r="V8" s="972" t="n"/>
      <c r="W8" s="972" t="n"/>
      <c r="X8" s="972" t="n"/>
      <c r="Y8" s="972" t="n"/>
      <c r="Z8" s="972" t="n"/>
    </row>
    <row r="9">
      <c r="A9" s="1116" t="n">
        <v>7</v>
      </c>
      <c r="B9" s="1122" t="n"/>
      <c r="C9" s="1126" t="n"/>
      <c r="D9" s="1126" t="n"/>
      <c r="E9" s="1126" t="n"/>
      <c r="F9" s="1125" t="n"/>
      <c r="G9" s="1122" t="n"/>
      <c r="H9" s="1126" t="n"/>
      <c r="I9" s="1126" t="n"/>
      <c r="J9" s="1126" t="n">
        <v>150538</v>
      </c>
      <c r="K9" s="1095" t="n"/>
      <c r="L9" s="972" t="n"/>
      <c r="M9" s="972" t="n"/>
      <c r="N9" s="972" t="n"/>
      <c r="O9" s="972" t="n"/>
      <c r="P9" s="972" t="n"/>
      <c r="Q9" s="972" t="n"/>
      <c r="R9" s="972" t="n"/>
      <c r="S9" s="972" t="n"/>
      <c r="T9" s="972" t="n"/>
      <c r="U9" s="972" t="n"/>
      <c r="V9" s="972" t="n"/>
      <c r="W9" s="972" t="n"/>
      <c r="X9" s="972" t="n"/>
      <c r="Y9" s="972" t="n"/>
      <c r="Z9" s="972" t="n"/>
    </row>
    <row r="10">
      <c r="A10" s="1116" t="n">
        <v>8</v>
      </c>
      <c r="B10" s="1122" t="n"/>
      <c r="C10" s="1126" t="n"/>
      <c r="D10" s="1126" t="n"/>
      <c r="E10" s="1126" t="n"/>
      <c r="F10" s="1125" t="n"/>
      <c r="G10" s="1122" t="n"/>
      <c r="H10" s="1126" t="n"/>
      <c r="I10" s="1126" t="n"/>
      <c r="J10" s="1126" t="n">
        <v>150538</v>
      </c>
      <c r="K10" s="1095" t="n"/>
      <c r="L10" s="972" t="n"/>
      <c r="M10" s="972" t="n"/>
      <c r="N10" s="972" t="n"/>
      <c r="O10" s="972" t="n"/>
      <c r="P10" s="972" t="n"/>
      <c r="Q10" s="972" t="n"/>
      <c r="R10" s="972" t="n"/>
      <c r="S10" s="972" t="n"/>
      <c r="T10" s="972" t="n"/>
      <c r="U10" s="972" t="n"/>
      <c r="V10" s="972" t="n"/>
      <c r="W10" s="972" t="n"/>
      <c r="X10" s="972" t="n"/>
      <c r="Y10" s="972" t="n"/>
      <c r="Z10" s="972" t="n"/>
    </row>
    <row r="11">
      <c r="A11" s="1116" t="n">
        <v>9</v>
      </c>
      <c r="B11" s="1122" t="n"/>
      <c r="C11" s="1126" t="n"/>
      <c r="D11" s="1126" t="n"/>
      <c r="E11" s="1126" t="n"/>
      <c r="F11" s="1125" t="n"/>
      <c r="G11" s="1122" t="n"/>
      <c r="H11" s="1126" t="n"/>
      <c r="I11" s="1126" t="n"/>
      <c r="J11" s="1126" t="n">
        <v>150538</v>
      </c>
      <c r="K11" s="1095" t="n"/>
      <c r="L11" s="972" t="n"/>
      <c r="M11" s="972" t="n"/>
      <c r="N11" s="972" t="n"/>
      <c r="O11" s="972" t="n"/>
      <c r="P11" s="972" t="n"/>
      <c r="Q11" s="972" t="n"/>
      <c r="R11" s="972" t="n"/>
      <c r="S11" s="972" t="n"/>
      <c r="T11" s="972" t="n"/>
      <c r="U11" s="972" t="n"/>
      <c r="V11" s="972" t="n"/>
      <c r="W11" s="972" t="n"/>
      <c r="X11" s="972" t="n"/>
      <c r="Y11" s="972" t="n"/>
      <c r="Z11" s="972" t="n"/>
    </row>
    <row r="12">
      <c r="A12" s="1116" t="n">
        <v>10</v>
      </c>
      <c r="B12" s="1122" t="n"/>
      <c r="C12" s="1126" t="n"/>
      <c r="D12" s="1126" t="n"/>
      <c r="E12" s="1126" t="n"/>
      <c r="F12" s="1125" t="n"/>
      <c r="G12" s="1122" t="n"/>
      <c r="H12" s="1126" t="n"/>
      <c r="I12" s="1126" t="n"/>
      <c r="J12" s="1126" t="n">
        <v>150538</v>
      </c>
      <c r="K12" s="1095" t="n"/>
      <c r="L12" s="972" t="n"/>
      <c r="M12" s="972" t="n"/>
      <c r="N12" s="972" t="n"/>
      <c r="O12" s="972" t="n"/>
      <c r="P12" s="972" t="n"/>
      <c r="Q12" s="972" t="n"/>
      <c r="R12" s="972" t="n"/>
      <c r="S12" s="972" t="n"/>
      <c r="T12" s="972" t="n"/>
      <c r="U12" s="972" t="n"/>
      <c r="V12" s="972" t="n"/>
      <c r="W12" s="972" t="n"/>
      <c r="X12" s="972" t="n"/>
      <c r="Y12" s="972" t="n"/>
      <c r="Z12" s="972" t="n"/>
    </row>
    <row r="13">
      <c r="A13" s="1116" t="n">
        <v>11</v>
      </c>
      <c r="B13" s="1122" t="n"/>
      <c r="C13" s="1126" t="n"/>
      <c r="D13" s="1126" t="n"/>
      <c r="E13" s="1126" t="n"/>
      <c r="F13" s="1125" t="n"/>
      <c r="G13" s="1122" t="n"/>
      <c r="H13" s="1126" t="n"/>
      <c r="I13" s="1126" t="n"/>
      <c r="J13" s="1126" t="n">
        <v>150538</v>
      </c>
      <c r="K13" s="1095" t="n"/>
      <c r="L13" s="972" t="n"/>
      <c r="M13" s="972" t="n"/>
      <c r="N13" s="972" t="n"/>
      <c r="O13" s="972" t="n"/>
      <c r="P13" s="972" t="n"/>
      <c r="Q13" s="972" t="n"/>
      <c r="R13" s="972" t="n"/>
      <c r="S13" s="972" t="n"/>
      <c r="T13" s="972" t="n"/>
      <c r="U13" s="972" t="n"/>
      <c r="V13" s="972" t="n"/>
      <c r="W13" s="972" t="n"/>
      <c r="X13" s="972" t="n"/>
      <c r="Y13" s="972" t="n"/>
      <c r="Z13" s="972" t="n"/>
    </row>
    <row r="14">
      <c r="A14" s="1116" t="n">
        <v>12</v>
      </c>
      <c r="B14" s="1122" t="n"/>
      <c r="C14" s="1126" t="n"/>
      <c r="D14" s="1126" t="n"/>
      <c r="E14" s="1126" t="n"/>
      <c r="F14" s="1125" t="n"/>
      <c r="G14" s="1122" t="n"/>
      <c r="H14" s="1126" t="n"/>
      <c r="I14" s="1126" t="n"/>
      <c r="J14" s="1126" t="n">
        <v>150538</v>
      </c>
      <c r="K14" s="1095" t="n"/>
      <c r="L14" s="972" t="n"/>
      <c r="M14" s="972" t="n"/>
      <c r="N14" s="972" t="n"/>
      <c r="O14" s="972" t="n"/>
      <c r="P14" s="972" t="n"/>
      <c r="Q14" s="972" t="n"/>
      <c r="R14" s="972" t="n"/>
      <c r="S14" s="972" t="n"/>
      <c r="T14" s="972" t="n"/>
      <c r="U14" s="972" t="n"/>
      <c r="V14" s="972" t="n"/>
      <c r="W14" s="972" t="n"/>
      <c r="X14" s="972" t="n"/>
      <c r="Y14" s="972" t="n"/>
      <c r="Z14" s="972" t="n"/>
    </row>
    <row r="15">
      <c r="A15" s="1116" t="n">
        <v>13</v>
      </c>
      <c r="B15" s="1122" t="n"/>
      <c r="C15" s="1126" t="n"/>
      <c r="D15" s="1126" t="n"/>
      <c r="E15" s="1126" t="n"/>
      <c r="F15" s="1125" t="n"/>
      <c r="G15" s="1122" t="n"/>
      <c r="H15" s="1126" t="n"/>
      <c r="I15" s="1126" t="n"/>
      <c r="J15" s="1126" t="n">
        <v>150538</v>
      </c>
      <c r="K15" s="1095" t="n"/>
      <c r="L15" s="972" t="n"/>
      <c r="M15" s="972" t="n"/>
      <c r="N15" s="972" t="n"/>
      <c r="O15" s="972" t="n"/>
      <c r="P15" s="972" t="n"/>
      <c r="Q15" s="972" t="n"/>
      <c r="R15" s="972" t="n"/>
      <c r="S15" s="972" t="n"/>
      <c r="T15" s="972" t="n"/>
      <c r="U15" s="972" t="n"/>
      <c r="V15" s="972" t="n"/>
      <c r="W15" s="972" t="n"/>
      <c r="X15" s="972" t="n"/>
      <c r="Y15" s="972" t="n"/>
      <c r="Z15" s="972" t="n"/>
    </row>
    <row r="16">
      <c r="A16" s="1116" t="n">
        <v>14</v>
      </c>
      <c r="B16" s="1122" t="n"/>
      <c r="C16" s="1126" t="n"/>
      <c r="D16" s="1126" t="n"/>
      <c r="E16" s="1126" t="n"/>
      <c r="F16" s="1125" t="n"/>
      <c r="G16" s="1122" t="n"/>
      <c r="H16" s="1126" t="n"/>
      <c r="I16" s="1126" t="n"/>
      <c r="J16" s="1126" t="n">
        <v>150538</v>
      </c>
      <c r="K16" s="1095" t="n"/>
      <c r="L16" s="972" t="n"/>
      <c r="M16" s="972" t="n"/>
      <c r="N16" s="972" t="n"/>
      <c r="O16" s="972" t="n"/>
      <c r="P16" s="972" t="n"/>
      <c r="Q16" s="972" t="n"/>
      <c r="R16" s="972" t="n"/>
      <c r="S16" s="972" t="n"/>
      <c r="T16" s="972" t="n"/>
      <c r="U16" s="972" t="n"/>
      <c r="V16" s="972" t="n"/>
      <c r="W16" s="972" t="n"/>
      <c r="X16" s="972" t="n"/>
      <c r="Y16" s="972" t="n"/>
      <c r="Z16" s="972" t="n"/>
    </row>
    <row r="17">
      <c r="A17" s="1116" t="n">
        <v>15</v>
      </c>
      <c r="B17" s="1122" t="n"/>
      <c r="C17" s="1126" t="n"/>
      <c r="D17" s="1126" t="n"/>
      <c r="E17" s="1126" t="n"/>
      <c r="F17" s="1125" t="n"/>
      <c r="G17" s="1122" t="n"/>
      <c r="H17" s="1126" t="n"/>
      <c r="I17" s="1126" t="n"/>
      <c r="J17" s="1126" t="n">
        <v>150538</v>
      </c>
      <c r="K17" s="1095" t="n"/>
      <c r="L17" s="972" t="n"/>
      <c r="M17" s="972" t="n"/>
      <c r="N17" s="972" t="n"/>
      <c r="O17" s="972" t="n"/>
      <c r="P17" s="972" t="n"/>
      <c r="Q17" s="972" t="n"/>
      <c r="R17" s="972" t="n"/>
      <c r="S17" s="972" t="n"/>
      <c r="T17" s="972" t="n"/>
      <c r="U17" s="972" t="n"/>
      <c r="V17" s="972" t="n"/>
      <c r="W17" s="972" t="n"/>
      <c r="X17" s="972" t="n"/>
      <c r="Y17" s="972" t="n"/>
      <c r="Z17" s="972" t="n"/>
    </row>
    <row r="18">
      <c r="A18" s="1116" t="n">
        <v>16</v>
      </c>
      <c r="B18" s="1122" t="n"/>
      <c r="C18" s="1126" t="n"/>
      <c r="D18" s="1126" t="n"/>
      <c r="E18" s="1126" t="n"/>
      <c r="F18" s="1125" t="n"/>
      <c r="G18" s="1122" t="n"/>
      <c r="H18" s="1126" t="n"/>
      <c r="I18" s="1126" t="n"/>
      <c r="J18" s="1126" t="n">
        <v>150538</v>
      </c>
      <c r="K18" s="1095" t="n"/>
      <c r="L18" s="972" t="n"/>
      <c r="M18" s="972" t="n"/>
      <c r="N18" s="972" t="n"/>
      <c r="O18" s="972" t="n"/>
      <c r="P18" s="972" t="n"/>
      <c r="Q18" s="972" t="n"/>
      <c r="R18" s="972" t="n"/>
      <c r="S18" s="972" t="n"/>
      <c r="T18" s="972" t="n"/>
      <c r="U18" s="972" t="n"/>
      <c r="V18" s="972" t="n"/>
      <c r="W18" s="972" t="n"/>
      <c r="X18" s="972" t="n"/>
      <c r="Y18" s="972" t="n"/>
      <c r="Z18" s="972" t="n"/>
    </row>
    <row r="19">
      <c r="A19" s="1116" t="n">
        <v>17</v>
      </c>
      <c r="B19" s="1122" t="n"/>
      <c r="C19" s="1126" t="n"/>
      <c r="D19" s="1126" t="n"/>
      <c r="E19" s="1126" t="n"/>
      <c r="F19" s="1125" t="n"/>
      <c r="G19" s="1122" t="n"/>
      <c r="H19" s="1126" t="n"/>
      <c r="I19" s="1126" t="n"/>
      <c r="J19" s="1126" t="n">
        <v>150538</v>
      </c>
      <c r="K19" s="1095" t="n"/>
      <c r="L19" s="972" t="n"/>
      <c r="M19" s="972" t="n"/>
      <c r="N19" s="972" t="n"/>
      <c r="O19" s="972" t="n"/>
      <c r="P19" s="972" t="n"/>
      <c r="Q19" s="972" t="n"/>
      <c r="R19" s="972" t="n"/>
      <c r="S19" s="972" t="n"/>
      <c r="T19" s="972" t="n"/>
      <c r="U19" s="972" t="n"/>
      <c r="V19" s="972" t="n"/>
      <c r="W19" s="972" t="n"/>
      <c r="X19" s="972" t="n"/>
      <c r="Y19" s="972" t="n"/>
      <c r="Z19" s="972" t="n"/>
    </row>
    <row r="20">
      <c r="A20" s="1116" t="n">
        <v>18</v>
      </c>
      <c r="B20" s="1122" t="n"/>
      <c r="C20" s="1126" t="n"/>
      <c r="D20" s="1126" t="n"/>
      <c r="E20" s="1126" t="n"/>
      <c r="F20" s="1125" t="n"/>
      <c r="G20" s="1122" t="n"/>
      <c r="H20" s="1126" t="n"/>
      <c r="I20" s="1126" t="n"/>
      <c r="J20" s="1126" t="n">
        <v>150538</v>
      </c>
      <c r="K20" s="1095" t="n"/>
      <c r="L20" s="972" t="n"/>
      <c r="M20" s="972" t="n"/>
      <c r="N20" s="972" t="n"/>
      <c r="O20" s="972" t="n"/>
      <c r="P20" s="972" t="n"/>
      <c r="Q20" s="972" t="n"/>
      <c r="R20" s="972" t="n"/>
      <c r="S20" s="972" t="n"/>
      <c r="T20" s="972" t="n"/>
      <c r="U20" s="972" t="n"/>
      <c r="V20" s="972" t="n"/>
      <c r="W20" s="972" t="n"/>
      <c r="X20" s="972" t="n"/>
      <c r="Y20" s="972" t="n"/>
      <c r="Z20" s="972" t="n"/>
    </row>
    <row r="21">
      <c r="A21" s="1116" t="n">
        <v>19</v>
      </c>
      <c r="B21" s="1122" t="n"/>
      <c r="C21" s="1126" t="n"/>
      <c r="D21" s="1126" t="n"/>
      <c r="E21" s="1126" t="n"/>
      <c r="F21" s="1125" t="n"/>
      <c r="G21" s="1122" t="n"/>
      <c r="H21" s="1126" t="n"/>
      <c r="I21" s="1126" t="n"/>
      <c r="J21" s="1126" t="n">
        <v>150538</v>
      </c>
      <c r="K21" s="1095" t="n"/>
      <c r="L21" s="972" t="n"/>
      <c r="M21" s="972" t="n"/>
      <c r="N21" s="972" t="n"/>
      <c r="O21" s="972" t="n"/>
      <c r="P21" s="972" t="n"/>
      <c r="Q21" s="972" t="n"/>
      <c r="R21" s="972" t="n"/>
      <c r="S21" s="972" t="n"/>
      <c r="T21" s="972" t="n"/>
      <c r="U21" s="972" t="n"/>
      <c r="V21" s="972" t="n"/>
      <c r="W21" s="972" t="n"/>
      <c r="X21" s="972" t="n"/>
      <c r="Y21" s="972" t="n"/>
      <c r="Z21" s="972" t="n"/>
    </row>
    <row r="22">
      <c r="A22" s="1116" t="n">
        <v>20</v>
      </c>
      <c r="B22" s="1122" t="n"/>
      <c r="C22" s="1126" t="n"/>
      <c r="D22" s="1126" t="n"/>
      <c r="E22" s="1126" t="n"/>
      <c r="F22" s="1125" t="n"/>
      <c r="G22" s="1122" t="n"/>
      <c r="H22" s="1126" t="n"/>
      <c r="I22" s="1126" t="n"/>
      <c r="J22" s="1126" t="n">
        <v>150538</v>
      </c>
      <c r="K22" s="1095" t="n"/>
      <c r="L22" s="972" t="n"/>
      <c r="M22" s="972" t="n"/>
      <c r="N22" s="972" t="n"/>
      <c r="O22" s="972" t="n"/>
      <c r="P22" s="972" t="n"/>
      <c r="Q22" s="972" t="n"/>
      <c r="R22" s="972" t="n"/>
      <c r="S22" s="972" t="n"/>
      <c r="T22" s="972" t="n"/>
      <c r="U22" s="972" t="n"/>
      <c r="V22" s="972" t="n"/>
      <c r="W22" s="972" t="n"/>
      <c r="X22" s="972" t="n"/>
      <c r="Y22" s="972" t="n"/>
      <c r="Z22" s="972" t="n"/>
    </row>
    <row r="23">
      <c r="A23" s="1116" t="n">
        <v>21</v>
      </c>
      <c r="B23" s="1122" t="n"/>
      <c r="C23" s="1126" t="n"/>
      <c r="D23" s="1126" t="n"/>
      <c r="E23" s="1126" t="n"/>
      <c r="F23" s="1125" t="n"/>
      <c r="G23" s="1122" t="n"/>
      <c r="H23" s="1126" t="n"/>
      <c r="I23" s="1126" t="n"/>
      <c r="J23" s="1126" t="n">
        <v>150538</v>
      </c>
      <c r="K23" s="1095" t="n"/>
      <c r="L23" s="972" t="n"/>
      <c r="M23" s="972" t="n"/>
      <c r="N23" s="972" t="n"/>
      <c r="O23" s="972" t="n"/>
      <c r="P23" s="972" t="n"/>
      <c r="Q23" s="972" t="n"/>
      <c r="R23" s="972" t="n"/>
      <c r="S23" s="972" t="n"/>
      <c r="T23" s="972" t="n"/>
      <c r="U23" s="972" t="n"/>
      <c r="V23" s="972" t="n"/>
      <c r="W23" s="972" t="n"/>
      <c r="X23" s="972" t="n"/>
      <c r="Y23" s="972" t="n"/>
      <c r="Z23" s="972" t="n"/>
    </row>
    <row r="24">
      <c r="A24" s="1116" t="n">
        <v>22</v>
      </c>
      <c r="B24" s="1122" t="n"/>
      <c r="C24" s="1126" t="n"/>
      <c r="D24" s="1126" t="n"/>
      <c r="E24" s="1126" t="n"/>
      <c r="F24" s="1125" t="n"/>
      <c r="G24" s="1122" t="n"/>
      <c r="H24" s="1126" t="n"/>
      <c r="I24" s="1126" t="n"/>
      <c r="J24" s="1126" t="n">
        <v>150538</v>
      </c>
      <c r="K24" s="1095" t="n"/>
      <c r="L24" s="972" t="n"/>
      <c r="M24" s="972" t="n"/>
      <c r="N24" s="972" t="n"/>
      <c r="O24" s="972" t="n"/>
      <c r="P24" s="972" t="n"/>
      <c r="Q24" s="972" t="n"/>
      <c r="R24" s="972" t="n"/>
      <c r="S24" s="972" t="n"/>
      <c r="T24" s="972" t="n"/>
      <c r="U24" s="972" t="n"/>
      <c r="V24" s="972" t="n"/>
      <c r="W24" s="972" t="n"/>
      <c r="X24" s="972" t="n"/>
      <c r="Y24" s="972" t="n"/>
      <c r="Z24" s="972" t="n"/>
    </row>
    <row r="25">
      <c r="A25" s="1116" t="n">
        <v>23</v>
      </c>
      <c r="B25" s="1122" t="n"/>
      <c r="C25" s="1126" t="n"/>
      <c r="D25" s="1126" t="n"/>
      <c r="E25" s="1126" t="n"/>
      <c r="F25" s="1125" t="n"/>
      <c r="G25" s="1122" t="n"/>
      <c r="H25" s="1126" t="n"/>
      <c r="I25" s="1126" t="n"/>
      <c r="J25" s="1126" t="n">
        <v>150538</v>
      </c>
      <c r="K25" s="1095" t="n"/>
      <c r="L25" s="972" t="n"/>
      <c r="M25" s="972" t="n"/>
      <c r="N25" s="972" t="n"/>
      <c r="O25" s="972" t="n"/>
      <c r="P25" s="972" t="n"/>
      <c r="Q25" s="972" t="n"/>
      <c r="R25" s="972" t="n"/>
      <c r="S25" s="972" t="n"/>
      <c r="T25" s="972" t="n"/>
      <c r="U25" s="972" t="n"/>
      <c r="V25" s="972" t="n"/>
      <c r="W25" s="972" t="n"/>
      <c r="X25" s="972" t="n"/>
      <c r="Y25" s="972" t="n"/>
      <c r="Z25" s="972" t="n"/>
    </row>
    <row r="26">
      <c r="A26" s="1116" t="n">
        <v>24</v>
      </c>
      <c r="B26" s="1122" t="n"/>
      <c r="C26" s="1126" t="n"/>
      <c r="D26" s="1126" t="n"/>
      <c r="E26" s="1126" t="n"/>
      <c r="F26" s="1125" t="n"/>
      <c r="G26" s="1122" t="n"/>
      <c r="H26" s="1126" t="n"/>
      <c r="I26" s="1126" t="n"/>
      <c r="J26" s="1126" t="n">
        <v>150538</v>
      </c>
      <c r="K26" s="1095" t="n"/>
      <c r="L26" s="972" t="n"/>
      <c r="M26" s="972" t="n"/>
      <c r="N26" s="972" t="n"/>
      <c r="O26" s="972" t="n"/>
      <c r="P26" s="972" t="n"/>
      <c r="Q26" s="972" t="n"/>
      <c r="R26" s="972" t="n"/>
      <c r="S26" s="972" t="n"/>
      <c r="T26" s="972" t="n"/>
      <c r="U26" s="972" t="n"/>
      <c r="V26" s="972" t="n"/>
      <c r="W26" s="972" t="n"/>
      <c r="X26" s="972" t="n"/>
      <c r="Y26" s="972" t="n"/>
      <c r="Z26" s="972" t="n"/>
    </row>
    <row r="27">
      <c r="A27" s="1116" t="n">
        <v>25</v>
      </c>
      <c r="B27" s="1122" t="n"/>
      <c r="C27" s="1126" t="n"/>
      <c r="D27" s="1126" t="n"/>
      <c r="E27" s="1126" t="n"/>
      <c r="F27" s="1125" t="n"/>
      <c r="G27" s="1122" t="n"/>
      <c r="H27" s="1126" t="n"/>
      <c r="I27" s="1126" t="n"/>
      <c r="J27" s="1126" t="n">
        <v>150538</v>
      </c>
      <c r="K27" s="1095" t="n"/>
      <c r="L27" s="972" t="n"/>
      <c r="M27" s="972" t="n"/>
      <c r="N27" s="972" t="n"/>
      <c r="O27" s="972" t="n"/>
      <c r="P27" s="972" t="n"/>
      <c r="Q27" s="972" t="n"/>
      <c r="R27" s="972" t="n"/>
      <c r="S27" s="972" t="n"/>
      <c r="T27" s="972" t="n"/>
      <c r="U27" s="972" t="n"/>
      <c r="V27" s="972" t="n"/>
      <c r="W27" s="972" t="n"/>
      <c r="X27" s="972" t="n"/>
      <c r="Y27" s="972" t="n"/>
      <c r="Z27" s="972" t="n"/>
    </row>
    <row r="28">
      <c r="A28" s="1116" t="n">
        <v>26</v>
      </c>
      <c r="B28" s="1122" t="n"/>
      <c r="C28" s="1126" t="n"/>
      <c r="D28" s="1126" t="n"/>
      <c r="E28" s="1126" t="n"/>
      <c r="F28" s="1125" t="n"/>
      <c r="G28" s="1122" t="n"/>
      <c r="H28" s="1126" t="n"/>
      <c r="I28" s="1126" t="n"/>
      <c r="J28" s="1126" t="n">
        <v>150538</v>
      </c>
      <c r="K28" s="1095" t="n"/>
      <c r="L28" s="972" t="n"/>
      <c r="M28" s="972" t="n"/>
      <c r="N28" s="972" t="n"/>
      <c r="O28" s="972" t="n"/>
      <c r="P28" s="972" t="n"/>
      <c r="Q28" s="972" t="n"/>
      <c r="R28" s="972" t="n"/>
      <c r="S28" s="972" t="n"/>
      <c r="T28" s="972" t="n"/>
      <c r="U28" s="972" t="n"/>
      <c r="V28" s="972" t="n"/>
      <c r="W28" s="972" t="n"/>
      <c r="X28" s="972" t="n"/>
      <c r="Y28" s="972" t="n"/>
      <c r="Z28" s="972" t="n"/>
    </row>
    <row r="29">
      <c r="A29" s="1116" t="n">
        <v>27</v>
      </c>
      <c r="B29" s="1122" t="n"/>
      <c r="C29" s="1126" t="n"/>
      <c r="D29" s="1126" t="n"/>
      <c r="E29" s="1126" t="n"/>
      <c r="F29" s="1125" t="n"/>
      <c r="G29" s="1122" t="n"/>
      <c r="H29" s="1126" t="n"/>
      <c r="I29" s="1126" t="n"/>
      <c r="J29" s="1126" t="n">
        <v>150538</v>
      </c>
      <c r="K29" s="1095" t="n"/>
      <c r="L29" s="972" t="n"/>
      <c r="M29" s="972" t="n"/>
      <c r="N29" s="972" t="n"/>
      <c r="O29" s="972" t="n"/>
      <c r="P29" s="972" t="n"/>
      <c r="Q29" s="972" t="n"/>
      <c r="R29" s="972" t="n"/>
      <c r="S29" s="972" t="n"/>
      <c r="T29" s="972" t="n"/>
      <c r="U29" s="972" t="n"/>
      <c r="V29" s="972" t="n"/>
      <c r="W29" s="972" t="n"/>
      <c r="X29" s="972" t="n"/>
      <c r="Y29" s="972" t="n"/>
      <c r="Z29" s="972" t="n"/>
    </row>
    <row r="30">
      <c r="A30" s="1116" t="n">
        <v>28</v>
      </c>
      <c r="B30" s="1122" t="n"/>
      <c r="C30" s="1126" t="n"/>
      <c r="D30" s="1126" t="n"/>
      <c r="E30" s="1126" t="n"/>
      <c r="F30" s="1125" t="n"/>
      <c r="G30" s="1122" t="n"/>
      <c r="H30" s="1126" t="n"/>
      <c r="I30" s="1126" t="n"/>
      <c r="J30" s="1126" t="n">
        <v>150538</v>
      </c>
      <c r="K30" s="1095" t="n"/>
      <c r="L30" s="972" t="n"/>
      <c r="M30" s="972" t="n"/>
      <c r="N30" s="972" t="n"/>
      <c r="O30" s="972" t="n"/>
      <c r="P30" s="972" t="n"/>
      <c r="Q30" s="972" t="n"/>
      <c r="R30" s="972" t="n"/>
      <c r="S30" s="972" t="n"/>
      <c r="T30" s="972" t="n"/>
      <c r="U30" s="972" t="n"/>
      <c r="V30" s="972" t="n"/>
      <c r="W30" s="972" t="n"/>
      <c r="X30" s="972" t="n"/>
      <c r="Y30" s="972" t="n"/>
      <c r="Z30" s="972" t="n"/>
    </row>
    <row r="31">
      <c r="A31" s="1116" t="n">
        <v>29</v>
      </c>
      <c r="B31" s="1122" t="n"/>
      <c r="C31" s="1126" t="n"/>
      <c r="D31" s="1126" t="n"/>
      <c r="E31" s="1126" t="n"/>
      <c r="F31" s="1125" t="n"/>
      <c r="G31" s="1122" t="n"/>
      <c r="H31" s="1126" t="n"/>
      <c r="I31" s="1126" t="n"/>
      <c r="J31" s="1126" t="n">
        <v>150538</v>
      </c>
      <c r="K31" s="1095" t="n"/>
      <c r="L31" s="972" t="n"/>
      <c r="M31" s="972" t="n"/>
      <c r="N31" s="972" t="n"/>
      <c r="O31" s="972" t="n"/>
      <c r="P31" s="972" t="n"/>
      <c r="Q31" s="972" t="n"/>
      <c r="R31" s="972" t="n"/>
      <c r="S31" s="972" t="n"/>
      <c r="T31" s="972" t="n"/>
      <c r="U31" s="972" t="n"/>
      <c r="V31" s="972" t="n"/>
      <c r="W31" s="972" t="n"/>
      <c r="X31" s="972" t="n"/>
      <c r="Y31" s="972" t="n"/>
      <c r="Z31" s="972" t="n"/>
    </row>
    <row r="32">
      <c r="A32" s="1116" t="n">
        <v>30</v>
      </c>
      <c r="B32" s="1122" t="n"/>
      <c r="C32" s="1126" t="n"/>
      <c r="D32" s="1126" t="n"/>
      <c r="E32" s="1126" t="n"/>
      <c r="F32" s="1125" t="n"/>
      <c r="G32" s="1122" t="n"/>
      <c r="H32" s="1126" t="n"/>
      <c r="I32" s="1126" t="n"/>
      <c r="J32" s="1126" t="n">
        <v>150538</v>
      </c>
      <c r="K32" s="1095" t="n"/>
      <c r="L32" s="972" t="n"/>
      <c r="M32" s="972" t="n"/>
      <c r="N32" s="972" t="n"/>
      <c r="O32" s="972" t="n"/>
      <c r="P32" s="972" t="n"/>
      <c r="Q32" s="972" t="n"/>
      <c r="R32" s="972" t="n"/>
      <c r="S32" s="972" t="n"/>
      <c r="T32" s="972" t="n"/>
      <c r="U32" s="972" t="n"/>
      <c r="V32" s="972" t="n"/>
      <c r="W32" s="972" t="n"/>
      <c r="X32" s="972" t="n"/>
      <c r="Y32" s="972" t="n"/>
      <c r="Z32" s="972" t="n"/>
    </row>
    <row r="33">
      <c r="A33" s="1116" t="n">
        <v>31</v>
      </c>
      <c r="B33" s="1122" t="n"/>
      <c r="C33" s="1126" t="n"/>
      <c r="D33" s="1126" t="n"/>
      <c r="E33" s="1126" t="n"/>
      <c r="F33" s="1125" t="n"/>
      <c r="G33" s="1122" t="n"/>
      <c r="H33" s="1126" t="n"/>
      <c r="I33" s="1126" t="n"/>
      <c r="J33" s="1126" t="n">
        <v>150538</v>
      </c>
      <c r="K33" s="1095" t="n"/>
      <c r="L33" s="972" t="n"/>
      <c r="M33" s="972" t="n"/>
      <c r="N33" s="972" t="n"/>
      <c r="O33" s="972" t="n"/>
      <c r="P33" s="972" t="n"/>
      <c r="Q33" s="972" t="n"/>
      <c r="R33" s="972" t="n"/>
      <c r="S33" s="972" t="n"/>
      <c r="T33" s="972" t="n"/>
      <c r="U33" s="972" t="n"/>
      <c r="V33" s="972" t="n"/>
      <c r="W33" s="972" t="n"/>
      <c r="X33" s="972" t="n"/>
      <c r="Y33" s="972" t="n"/>
      <c r="Z33" s="972" t="n"/>
    </row>
    <row r="34">
      <c r="A34" s="1116" t="n">
        <v>32</v>
      </c>
      <c r="B34" s="1122" t="n"/>
      <c r="C34" s="1126" t="n"/>
      <c r="D34" s="1126" t="n"/>
      <c r="E34" s="1126" t="n"/>
      <c r="F34" s="1125" t="n"/>
      <c r="G34" s="1122" t="n"/>
      <c r="H34" s="1126" t="n"/>
      <c r="I34" s="1126" t="n"/>
      <c r="J34" s="1126" t="n">
        <v>150538</v>
      </c>
      <c r="K34" s="1095" t="n"/>
      <c r="L34" s="972" t="n"/>
      <c r="M34" s="972" t="n"/>
      <c r="N34" s="972" t="n"/>
      <c r="O34" s="972" t="n"/>
      <c r="P34" s="972" t="n"/>
      <c r="Q34" s="972" t="n"/>
      <c r="R34" s="972" t="n"/>
      <c r="S34" s="972" t="n"/>
      <c r="T34" s="972" t="n"/>
      <c r="U34" s="972" t="n"/>
      <c r="V34" s="972" t="n"/>
      <c r="W34" s="972" t="n"/>
      <c r="X34" s="972" t="n"/>
      <c r="Y34" s="972" t="n"/>
      <c r="Z34" s="972" t="n"/>
    </row>
    <row r="35">
      <c r="A35" s="1116" t="n">
        <v>33</v>
      </c>
      <c r="B35" s="1122" t="n"/>
      <c r="C35" s="1126" t="n"/>
      <c r="D35" s="1126" t="n"/>
      <c r="E35" s="1126" t="n"/>
      <c r="F35" s="1125" t="n"/>
      <c r="G35" s="1122" t="n"/>
      <c r="H35" s="1126" t="n"/>
      <c r="I35" s="1126" t="n"/>
      <c r="J35" s="1126" t="n">
        <v>150538</v>
      </c>
      <c r="K35" s="1095" t="n"/>
      <c r="L35" s="972" t="n"/>
      <c r="M35" s="972" t="n"/>
      <c r="N35" s="972" t="n"/>
      <c r="O35" s="972" t="n"/>
      <c r="P35" s="972" t="n"/>
      <c r="Q35" s="972" t="n"/>
      <c r="R35" s="972" t="n"/>
      <c r="S35" s="972" t="n"/>
      <c r="T35" s="972" t="n"/>
      <c r="U35" s="972" t="n"/>
      <c r="V35" s="972" t="n"/>
      <c r="W35" s="972" t="n"/>
      <c r="X35" s="972" t="n"/>
      <c r="Y35" s="972" t="n"/>
      <c r="Z35" s="972" t="n"/>
    </row>
    <row r="36">
      <c r="A36" s="1116" t="n">
        <v>34</v>
      </c>
      <c r="B36" s="1122" t="n"/>
      <c r="C36" s="1126" t="n"/>
      <c r="D36" s="1126" t="n"/>
      <c r="E36" s="1126" t="n"/>
      <c r="F36" s="1125" t="n"/>
      <c r="G36" s="1122" t="n"/>
      <c r="H36" s="1126" t="n"/>
      <c r="I36" s="1126" t="n"/>
      <c r="J36" s="1126" t="n">
        <v>150538</v>
      </c>
      <c r="K36" s="1095" t="n"/>
      <c r="L36" s="972" t="n"/>
      <c r="M36" s="972" t="n"/>
      <c r="N36" s="972" t="n"/>
      <c r="O36" s="972" t="n"/>
      <c r="P36" s="972" t="n"/>
      <c r="Q36" s="972" t="n"/>
      <c r="R36" s="972" t="n"/>
      <c r="S36" s="972" t="n"/>
      <c r="T36" s="972" t="n"/>
      <c r="U36" s="972" t="n"/>
      <c r="V36" s="972" t="n"/>
      <c r="W36" s="972" t="n"/>
      <c r="X36" s="972" t="n"/>
      <c r="Y36" s="972" t="n"/>
      <c r="Z36" s="972" t="n"/>
    </row>
    <row r="37">
      <c r="A37" s="1116" t="n">
        <v>35</v>
      </c>
      <c r="B37" s="1122" t="n"/>
      <c r="C37" s="1126" t="n"/>
      <c r="D37" s="1126" t="n"/>
      <c r="E37" s="1126" t="n"/>
      <c r="F37" s="1125" t="n"/>
      <c r="G37" s="1122" t="n"/>
      <c r="H37" s="1126" t="n"/>
      <c r="I37" s="1126" t="n"/>
      <c r="J37" s="1126" t="n">
        <v>150538</v>
      </c>
      <c r="K37" s="1095" t="n"/>
      <c r="L37" s="972" t="n"/>
      <c r="M37" s="972" t="n"/>
      <c r="N37" s="972" t="n"/>
      <c r="O37" s="972" t="n"/>
      <c r="P37" s="972" t="n"/>
      <c r="Q37" s="972" t="n"/>
      <c r="R37" s="972" t="n"/>
      <c r="S37" s="972" t="n"/>
      <c r="T37" s="972" t="n"/>
      <c r="U37" s="972" t="n"/>
      <c r="V37" s="972" t="n"/>
      <c r="W37" s="972" t="n"/>
      <c r="X37" s="972" t="n"/>
      <c r="Y37" s="972" t="n"/>
      <c r="Z37" s="972" t="n"/>
    </row>
    <row r="38">
      <c r="A38" s="1116" t="n">
        <v>36</v>
      </c>
      <c r="B38" s="1122" t="n"/>
      <c r="C38" s="1126" t="n"/>
      <c r="D38" s="1126" t="n"/>
      <c r="E38" s="1126" t="n"/>
      <c r="F38" s="1125" t="n"/>
      <c r="G38" s="1122" t="n"/>
      <c r="H38" s="1126" t="n"/>
      <c r="I38" s="1126" t="n"/>
      <c r="J38" s="1126" t="n">
        <v>150538</v>
      </c>
      <c r="K38" s="1095" t="n"/>
      <c r="L38" s="972" t="n"/>
      <c r="M38" s="972" t="n"/>
      <c r="N38" s="972" t="n"/>
      <c r="O38" s="972" t="n"/>
      <c r="P38" s="972" t="n"/>
      <c r="Q38" s="972" t="n"/>
      <c r="R38" s="972" t="n"/>
      <c r="S38" s="972" t="n"/>
      <c r="T38" s="972" t="n"/>
      <c r="U38" s="972" t="n"/>
      <c r="V38" s="972" t="n"/>
      <c r="W38" s="972" t="n"/>
      <c r="X38" s="972" t="n"/>
      <c r="Y38" s="972" t="n"/>
      <c r="Z38" s="972" t="n"/>
    </row>
    <row r="39">
      <c r="A39" s="1116" t="n">
        <v>37</v>
      </c>
      <c r="B39" s="1122" t="n"/>
      <c r="C39" s="1126" t="n"/>
      <c r="D39" s="1126" t="n"/>
      <c r="E39" s="1126" t="n"/>
      <c r="F39" s="1125" t="n"/>
      <c r="G39" s="1122" t="n"/>
      <c r="H39" s="1126" t="n"/>
      <c r="I39" s="1126" t="n"/>
      <c r="J39" s="1126" t="n">
        <v>150538</v>
      </c>
      <c r="K39" s="1095" t="n"/>
      <c r="L39" s="972" t="n"/>
      <c r="M39" s="972" t="n"/>
      <c r="N39" s="972" t="n"/>
      <c r="O39" s="972" t="n"/>
      <c r="P39" s="972" t="n"/>
      <c r="Q39" s="972" t="n"/>
      <c r="R39" s="972" t="n"/>
      <c r="S39" s="972" t="n"/>
      <c r="T39" s="972" t="n"/>
      <c r="U39" s="972" t="n"/>
      <c r="V39" s="972" t="n"/>
      <c r="W39" s="972" t="n"/>
      <c r="X39" s="972" t="n"/>
      <c r="Y39" s="972" t="n"/>
      <c r="Z39" s="972" t="n"/>
    </row>
    <row r="40">
      <c r="A40" s="1116" t="n">
        <v>38</v>
      </c>
      <c r="B40" s="1122" t="n"/>
      <c r="C40" s="1126" t="n"/>
      <c r="D40" s="1126" t="n"/>
      <c r="E40" s="1126" t="n"/>
      <c r="F40" s="1125" t="n"/>
      <c r="G40" s="1122" t="n"/>
      <c r="H40" s="1126" t="n"/>
      <c r="I40" s="1126" t="n"/>
      <c r="J40" s="1126" t="n">
        <v>150538</v>
      </c>
      <c r="K40" s="1095" t="n"/>
      <c r="L40" s="972" t="n"/>
      <c r="M40" s="972" t="n"/>
      <c r="N40" s="972" t="n"/>
      <c r="O40" s="972" t="n"/>
      <c r="P40" s="972" t="n"/>
      <c r="Q40" s="972" t="n"/>
      <c r="R40" s="972" t="n"/>
      <c r="S40" s="972" t="n"/>
      <c r="T40" s="972" t="n"/>
      <c r="U40" s="972" t="n"/>
      <c r="V40" s="972" t="n"/>
      <c r="W40" s="972" t="n"/>
      <c r="X40" s="972" t="n"/>
      <c r="Y40" s="972" t="n"/>
      <c r="Z40" s="972" t="n"/>
    </row>
    <row r="41">
      <c r="A41" s="1116" t="n">
        <v>39</v>
      </c>
      <c r="B41" s="1122" t="n"/>
      <c r="C41" s="1126" t="n"/>
      <c r="D41" s="1126" t="n"/>
      <c r="E41" s="1126" t="n"/>
      <c r="F41" s="1125" t="n"/>
      <c r="G41" s="1122" t="n"/>
      <c r="H41" s="1126" t="n"/>
      <c r="I41" s="1126" t="n"/>
      <c r="J41" s="1126" t="n">
        <v>150538</v>
      </c>
      <c r="K41" s="1095" t="n"/>
      <c r="L41" s="972" t="n"/>
      <c r="M41" s="972" t="n"/>
      <c r="N41" s="972" t="n"/>
      <c r="O41" s="972" t="n"/>
      <c r="P41" s="972" t="n"/>
      <c r="Q41" s="972" t="n"/>
      <c r="R41" s="972" t="n"/>
      <c r="S41" s="972" t="n"/>
      <c r="T41" s="972" t="n"/>
      <c r="U41" s="972" t="n"/>
      <c r="V41" s="972" t="n"/>
      <c r="W41" s="972" t="n"/>
      <c r="X41" s="972" t="n"/>
      <c r="Y41" s="972" t="n"/>
      <c r="Z41" s="972" t="n"/>
    </row>
    <row r="42">
      <c r="A42" s="1116" t="n">
        <v>40</v>
      </c>
      <c r="B42" s="1122" t="n"/>
      <c r="C42" s="1126" t="n"/>
      <c r="D42" s="1126" t="n"/>
      <c r="E42" s="1126" t="n"/>
      <c r="F42" s="1125" t="n"/>
      <c r="G42" s="1122" t="n"/>
      <c r="H42" s="1126" t="n"/>
      <c r="I42" s="1126" t="n"/>
      <c r="J42" s="1126" t="n">
        <v>150538</v>
      </c>
      <c r="K42" s="1095" t="n"/>
      <c r="L42" s="972" t="n"/>
      <c r="M42" s="972" t="n"/>
      <c r="N42" s="972" t="n"/>
      <c r="O42" s="972" t="n"/>
      <c r="P42" s="972" t="n"/>
      <c r="Q42" s="972" t="n"/>
      <c r="R42" s="972" t="n"/>
      <c r="S42" s="972" t="n"/>
      <c r="T42" s="972" t="n"/>
      <c r="U42" s="972" t="n"/>
      <c r="V42" s="972" t="n"/>
      <c r="W42" s="972" t="n"/>
      <c r="X42" s="972" t="n"/>
      <c r="Y42" s="972" t="n"/>
      <c r="Z42" s="972" t="n"/>
    </row>
    <row r="43">
      <c r="A43" s="1116" t="n">
        <v>41</v>
      </c>
      <c r="B43" s="1122" t="n"/>
      <c r="C43" s="1126" t="n"/>
      <c r="D43" s="1126" t="n"/>
      <c r="E43" s="1126" t="n"/>
      <c r="F43" s="1125" t="n"/>
      <c r="G43" s="1122" t="n"/>
      <c r="H43" s="1126" t="n"/>
      <c r="I43" s="1126" t="n"/>
      <c r="J43" s="1126" t="n">
        <v>150538</v>
      </c>
      <c r="K43" s="1095" t="n"/>
      <c r="L43" s="972" t="n"/>
      <c r="M43" s="972" t="n"/>
      <c r="N43" s="972" t="n"/>
      <c r="O43" s="972" t="n"/>
      <c r="P43" s="972" t="n"/>
      <c r="Q43" s="972" t="n"/>
      <c r="R43" s="972" t="n"/>
      <c r="S43" s="972" t="n"/>
      <c r="T43" s="972" t="n"/>
      <c r="U43" s="972" t="n"/>
      <c r="V43" s="972" t="n"/>
      <c r="W43" s="972" t="n"/>
      <c r="X43" s="972" t="n"/>
      <c r="Y43" s="972" t="n"/>
      <c r="Z43" s="972" t="n"/>
    </row>
    <row r="44">
      <c r="A44" s="1116" t="n">
        <v>42</v>
      </c>
      <c r="B44" s="1122" t="n"/>
      <c r="C44" s="1126" t="n"/>
      <c r="D44" s="1126" t="n"/>
      <c r="E44" s="1126" t="n"/>
      <c r="F44" s="1125" t="n"/>
      <c r="G44" s="1122" t="n"/>
      <c r="H44" s="1126" t="n"/>
      <c r="I44" s="1126" t="n"/>
      <c r="J44" s="1126" t="n">
        <v>150538</v>
      </c>
      <c r="K44" s="1095" t="n"/>
      <c r="L44" s="972" t="n"/>
      <c r="M44" s="972" t="n"/>
      <c r="N44" s="972" t="n"/>
      <c r="O44" s="972" t="n"/>
      <c r="P44" s="972" t="n"/>
      <c r="Q44" s="972" t="n"/>
      <c r="R44" s="972" t="n"/>
      <c r="S44" s="972" t="n"/>
      <c r="T44" s="972" t="n"/>
      <c r="U44" s="972" t="n"/>
      <c r="V44" s="972" t="n"/>
      <c r="W44" s="972" t="n"/>
      <c r="X44" s="972" t="n"/>
      <c r="Y44" s="972" t="n"/>
      <c r="Z44" s="972" t="n"/>
    </row>
    <row r="45">
      <c r="A45" s="1116" t="n">
        <v>43</v>
      </c>
      <c r="B45" s="1122" t="n"/>
      <c r="C45" s="1126" t="n"/>
      <c r="D45" s="1126" t="n"/>
      <c r="E45" s="1126" t="n"/>
      <c r="F45" s="1125" t="n"/>
      <c r="G45" s="1122" t="n"/>
      <c r="H45" s="1126" t="n"/>
      <c r="I45" s="1126" t="n"/>
      <c r="J45" s="1126" t="n">
        <v>150538</v>
      </c>
      <c r="K45" s="1095" t="n"/>
      <c r="L45" s="972" t="n"/>
      <c r="M45" s="972" t="n"/>
      <c r="N45" s="972" t="n"/>
      <c r="O45" s="972" t="n"/>
      <c r="P45" s="972" t="n"/>
      <c r="Q45" s="972" t="n"/>
      <c r="R45" s="972" t="n"/>
      <c r="S45" s="972" t="n"/>
      <c r="T45" s="972" t="n"/>
      <c r="U45" s="972" t="n"/>
      <c r="V45" s="972" t="n"/>
      <c r="W45" s="972" t="n"/>
      <c r="X45" s="972" t="n"/>
      <c r="Y45" s="972" t="n"/>
      <c r="Z45" s="972" t="n"/>
    </row>
    <row r="46">
      <c r="A46" s="1116" t="n">
        <v>44</v>
      </c>
      <c r="B46" s="1122" t="n"/>
      <c r="C46" s="1126" t="n"/>
      <c r="D46" s="1126" t="n"/>
      <c r="E46" s="1126" t="n"/>
      <c r="F46" s="1125" t="n"/>
      <c r="G46" s="1122" t="n"/>
      <c r="H46" s="1126" t="n"/>
      <c r="I46" s="1126" t="n"/>
      <c r="J46" s="1126" t="n">
        <v>150538</v>
      </c>
      <c r="K46" s="1095" t="n"/>
      <c r="L46" s="972" t="n"/>
      <c r="M46" s="972" t="n"/>
      <c r="N46" s="972" t="n"/>
      <c r="O46" s="972" t="n"/>
      <c r="P46" s="972" t="n"/>
      <c r="Q46" s="972" t="n"/>
      <c r="R46" s="972" t="n"/>
      <c r="S46" s="972" t="n"/>
      <c r="T46" s="972" t="n"/>
      <c r="U46" s="972" t="n"/>
      <c r="V46" s="972" t="n"/>
      <c r="W46" s="972" t="n"/>
      <c r="X46" s="972" t="n"/>
      <c r="Y46" s="972" t="n"/>
      <c r="Z46" s="972" t="n"/>
    </row>
    <row r="47">
      <c r="A47" s="1116" t="n">
        <v>45</v>
      </c>
      <c r="B47" s="1122" t="n"/>
      <c r="C47" s="1126" t="n"/>
      <c r="D47" s="1126" t="n"/>
      <c r="E47" s="1126" t="n"/>
      <c r="F47" s="1125" t="n"/>
      <c r="G47" s="1122" t="n"/>
      <c r="H47" s="1126" t="n"/>
      <c r="I47" s="1126" t="n"/>
      <c r="J47" s="1126" t="n">
        <v>150538</v>
      </c>
      <c r="K47" s="1095" t="n"/>
      <c r="L47" s="972" t="n"/>
      <c r="M47" s="972" t="n"/>
      <c r="N47" s="972" t="n"/>
      <c r="O47" s="972" t="n"/>
      <c r="P47" s="972" t="n"/>
      <c r="Q47" s="972" t="n"/>
      <c r="R47" s="972" t="n"/>
      <c r="S47" s="972" t="n"/>
      <c r="T47" s="972" t="n"/>
      <c r="U47" s="972" t="n"/>
      <c r="V47" s="972" t="n"/>
      <c r="W47" s="972" t="n"/>
      <c r="X47" s="972" t="n"/>
      <c r="Y47" s="972" t="n"/>
      <c r="Z47" s="972" t="n"/>
    </row>
    <row r="48">
      <c r="A48" s="1116" t="n">
        <v>46</v>
      </c>
      <c r="B48" s="1122" t="n"/>
      <c r="C48" s="1126" t="n"/>
      <c r="D48" s="1126" t="n"/>
      <c r="E48" s="1126" t="n"/>
      <c r="F48" s="1125" t="n"/>
      <c r="G48" s="1122" t="n"/>
      <c r="H48" s="1126" t="n"/>
      <c r="I48" s="1126" t="n"/>
      <c r="J48" s="1126" t="n">
        <v>150538</v>
      </c>
      <c r="K48" s="1095" t="n"/>
      <c r="L48" s="972" t="n"/>
      <c r="M48" s="972" t="n"/>
      <c r="N48" s="972" t="n"/>
      <c r="O48" s="972" t="n"/>
      <c r="P48" s="972" t="n"/>
      <c r="Q48" s="972" t="n"/>
      <c r="R48" s="972" t="n"/>
      <c r="S48" s="972" t="n"/>
      <c r="T48" s="972" t="n"/>
      <c r="U48" s="972" t="n"/>
      <c r="V48" s="972" t="n"/>
      <c r="W48" s="972" t="n"/>
      <c r="X48" s="972" t="n"/>
      <c r="Y48" s="972" t="n"/>
      <c r="Z48" s="972" t="n"/>
    </row>
    <row r="49">
      <c r="A49" s="1116" t="n">
        <v>47</v>
      </c>
      <c r="B49" s="1122" t="n"/>
      <c r="C49" s="1126" t="n"/>
      <c r="D49" s="1126" t="n"/>
      <c r="E49" s="1126" t="n"/>
      <c r="F49" s="1125" t="n"/>
      <c r="G49" s="1122" t="n"/>
      <c r="H49" s="1126" t="n"/>
      <c r="I49" s="1126" t="n"/>
      <c r="J49" s="1126" t="n">
        <v>150538</v>
      </c>
      <c r="K49" s="1095" t="n"/>
      <c r="L49" s="972" t="n"/>
      <c r="M49" s="972" t="n"/>
      <c r="N49" s="972" t="n"/>
      <c r="O49" s="972" t="n"/>
      <c r="P49" s="972" t="n"/>
      <c r="Q49" s="972" t="n"/>
      <c r="R49" s="972" t="n"/>
      <c r="S49" s="972" t="n"/>
      <c r="T49" s="972" t="n"/>
      <c r="U49" s="972" t="n"/>
      <c r="V49" s="972" t="n"/>
      <c r="W49" s="972" t="n"/>
      <c r="X49" s="972" t="n"/>
      <c r="Y49" s="972" t="n"/>
      <c r="Z49" s="972" t="n"/>
    </row>
    <row r="50">
      <c r="A50" s="1116" t="n">
        <v>48</v>
      </c>
      <c r="B50" s="1122" t="n"/>
      <c r="C50" s="1126" t="n"/>
      <c r="D50" s="1126" t="n"/>
      <c r="E50" s="1126" t="n"/>
      <c r="F50" s="1125" t="n"/>
      <c r="G50" s="1122" t="n"/>
      <c r="H50" s="1126" t="n"/>
      <c r="I50" s="1126" t="n"/>
      <c r="J50" s="1126" t="n">
        <v>150538</v>
      </c>
      <c r="K50" s="1095" t="n"/>
      <c r="L50" s="972" t="n"/>
      <c r="M50" s="972" t="n"/>
      <c r="N50" s="972" t="n"/>
      <c r="O50" s="972" t="n"/>
      <c r="P50" s="972" t="n"/>
      <c r="Q50" s="972" t="n"/>
      <c r="R50" s="972" t="n"/>
      <c r="S50" s="972" t="n"/>
      <c r="T50" s="972" t="n"/>
      <c r="U50" s="972" t="n"/>
      <c r="V50" s="972" t="n"/>
      <c r="W50" s="972" t="n"/>
      <c r="X50" s="972" t="n"/>
      <c r="Y50" s="972" t="n"/>
      <c r="Z50" s="972" t="n"/>
    </row>
    <row r="51">
      <c r="A51" s="1116" t="n">
        <v>49</v>
      </c>
      <c r="B51" s="1122" t="n"/>
      <c r="C51" s="1126" t="n"/>
      <c r="D51" s="1126" t="n"/>
      <c r="E51" s="1126" t="n"/>
      <c r="F51" s="1125" t="n"/>
      <c r="G51" s="1122" t="n"/>
      <c r="H51" s="1126" t="n"/>
      <c r="I51" s="1126" t="n"/>
      <c r="J51" s="1126" t="n">
        <v>150538</v>
      </c>
      <c r="K51" s="1095" t="n"/>
      <c r="L51" s="972" t="n"/>
      <c r="M51" s="972" t="n"/>
      <c r="N51" s="972" t="n"/>
      <c r="O51" s="972" t="n"/>
      <c r="P51" s="972" t="n"/>
      <c r="Q51" s="972" t="n"/>
      <c r="R51" s="972" t="n"/>
      <c r="S51" s="972" t="n"/>
      <c r="T51" s="972" t="n"/>
      <c r="U51" s="972" t="n"/>
      <c r="V51" s="972" t="n"/>
      <c r="W51" s="972" t="n"/>
      <c r="X51" s="972" t="n"/>
      <c r="Y51" s="972" t="n"/>
      <c r="Z51" s="972" t="n"/>
    </row>
    <row r="52">
      <c r="A52" s="1116" t="n">
        <v>50</v>
      </c>
      <c r="B52" s="1122" t="n"/>
      <c r="C52" s="1126" t="n"/>
      <c r="D52" s="1126" t="n"/>
      <c r="E52" s="1126" t="n"/>
      <c r="F52" s="1125" t="n"/>
      <c r="G52" s="1122" t="n"/>
      <c r="H52" s="1126" t="n"/>
      <c r="I52" s="1126" t="n"/>
      <c r="J52" s="1126" t="n">
        <v>150538</v>
      </c>
      <c r="K52" s="1095" t="n"/>
      <c r="L52" s="972" t="n"/>
      <c r="M52" s="972" t="n"/>
      <c r="N52" s="972" t="n"/>
      <c r="O52" s="972" t="n"/>
      <c r="P52" s="972" t="n"/>
      <c r="Q52" s="972" t="n"/>
      <c r="R52" s="972" t="n"/>
      <c r="S52" s="972" t="n"/>
      <c r="T52" s="972" t="n"/>
      <c r="U52" s="972" t="n"/>
      <c r="V52" s="972" t="n"/>
      <c r="W52" s="972" t="n"/>
      <c r="X52" s="972" t="n"/>
      <c r="Y52" s="972" t="n"/>
      <c r="Z52" s="972" t="n"/>
    </row>
    <row r="53">
      <c r="A53" s="1116" t="n">
        <v>51</v>
      </c>
      <c r="B53" s="1122" t="n"/>
      <c r="C53" s="1126" t="n"/>
      <c r="D53" s="1126" t="n"/>
      <c r="E53" s="1126" t="n"/>
      <c r="F53" s="1125" t="n"/>
      <c r="G53" s="1122" t="n"/>
      <c r="H53" s="1126" t="n"/>
      <c r="I53" s="1126" t="n"/>
      <c r="J53" s="1126" t="n">
        <v>150538</v>
      </c>
      <c r="K53" s="1095" t="n"/>
      <c r="L53" s="972" t="n"/>
      <c r="M53" s="972" t="n"/>
      <c r="N53" s="972" t="n"/>
      <c r="O53" s="972" t="n"/>
      <c r="P53" s="972" t="n"/>
      <c r="Q53" s="972" t="n"/>
      <c r="R53" s="972" t="n"/>
      <c r="S53" s="972" t="n"/>
      <c r="T53" s="972" t="n"/>
      <c r="U53" s="972" t="n"/>
      <c r="V53" s="972" t="n"/>
      <c r="W53" s="972" t="n"/>
      <c r="X53" s="972" t="n"/>
      <c r="Y53" s="972" t="n"/>
      <c r="Z53" s="972" t="n"/>
    </row>
    <row r="54">
      <c r="A54" s="1116" t="n">
        <v>52</v>
      </c>
      <c r="B54" s="1122" t="n">
        <v>89199</v>
      </c>
      <c r="C54" s="1126" t="n">
        <v>60703</v>
      </c>
      <c r="D54" s="1126" t="n">
        <v>2683474</v>
      </c>
      <c r="E54" s="1126" t="n">
        <v>103422</v>
      </c>
      <c r="F54" s="1125" t="n"/>
      <c r="G54" s="1122" t="n">
        <v>184294</v>
      </c>
      <c r="H54" s="1126" t="n">
        <v>156774</v>
      </c>
      <c r="I54" s="1126" t="n">
        <v>4979130</v>
      </c>
      <c r="J54" s="1126" t="n">
        <v>150538</v>
      </c>
      <c r="K54" s="1095" t="n"/>
      <c r="L54" s="972" t="n"/>
      <c r="M54" s="972" t="n"/>
      <c r="N54" s="972" t="n"/>
      <c r="O54" s="972" t="n"/>
      <c r="P54" s="972" t="n"/>
      <c r="Q54" s="972" t="n"/>
      <c r="R54" s="972" t="n"/>
      <c r="S54" s="972" t="n"/>
      <c r="T54" s="972" t="n"/>
      <c r="U54" s="972" t="n"/>
      <c r="V54" s="972" t="n"/>
      <c r="W54" s="1123" t="n"/>
      <c r="X54" s="1123" t="n"/>
      <c r="Y54" s="1123" t="n"/>
      <c r="Z54" s="1123" t="n"/>
    </row>
    <row r="55">
      <c r="A55" s="1116" t="n">
        <v>53</v>
      </c>
      <c r="B55" s="1122" t="n">
        <v>92148</v>
      </c>
      <c r="C55" s="1126" t="n">
        <v>62710</v>
      </c>
      <c r="D55" s="1126" t="n">
        <v>2715940</v>
      </c>
      <c r="E55" s="1126" t="n">
        <v>107510</v>
      </c>
      <c r="F55" s="1125" t="n"/>
      <c r="G55" s="1122" t="n">
        <v>189461</v>
      </c>
      <c r="H55" s="1126" t="n">
        <v>161168</v>
      </c>
      <c r="I55" s="1126" t="n">
        <v>5021688</v>
      </c>
      <c r="J55" s="1126" t="n">
        <v>156683</v>
      </c>
      <c r="K55" s="1095" t="n"/>
      <c r="L55" s="972" t="n"/>
      <c r="M55" s="1124">
        <f>G55-G54</f>
        <v/>
      </c>
      <c r="N55" s="1124">
        <f>H55-H54</f>
        <v/>
      </c>
      <c r="O55" s="1124">
        <f>I55-I54</f>
        <v/>
      </c>
      <c r="P55" s="1124">
        <f>J55-J54</f>
        <v/>
      </c>
      <c r="Q55" s="972" t="n"/>
      <c r="R55" s="1124" t="n"/>
      <c r="S55" s="1124" t="n"/>
      <c r="T55" s="1124" t="n"/>
      <c r="U55" s="1124" t="n"/>
      <c r="V55" s="972" t="n"/>
      <c r="W55" s="1123" t="n"/>
      <c r="X55" s="1123" t="n"/>
      <c r="Y55" s="1123" t="n"/>
      <c r="Z55" s="1123" t="n"/>
    </row>
    <row r="56">
      <c r="A56" s="1116" t="n">
        <v>54</v>
      </c>
      <c r="B56" s="1122" t="n">
        <v>94730</v>
      </c>
      <c r="C56" s="1126" t="n">
        <v>64467</v>
      </c>
      <c r="D56" s="1126" t="n">
        <v>2977305</v>
      </c>
      <c r="E56" s="1126" t="n">
        <v>111847</v>
      </c>
      <c r="F56" s="1125" t="n"/>
      <c r="G56" s="1122" t="n">
        <v>195686</v>
      </c>
      <c r="H56" s="1126" t="n">
        <v>166464</v>
      </c>
      <c r="I56" s="1126" t="n">
        <v>5064246</v>
      </c>
      <c r="J56" s="1126" t="n">
        <v>162879</v>
      </c>
      <c r="K56" s="1095" t="n"/>
      <c r="L56" s="972" t="n"/>
      <c r="M56" s="1124">
        <f>G56-G55</f>
        <v/>
      </c>
      <c r="N56" s="1124">
        <f>H56-H55</f>
        <v/>
      </c>
      <c r="O56" s="1124">
        <f>I56-I55</f>
        <v/>
      </c>
      <c r="P56" s="1124">
        <f>J56-J55</f>
        <v/>
      </c>
      <c r="Q56" s="972" t="n"/>
      <c r="R56" s="1124" t="n"/>
      <c r="S56" s="1124" t="n"/>
      <c r="T56" s="1124" t="n"/>
      <c r="U56" s="1124" t="n"/>
      <c r="V56" s="972" t="n"/>
      <c r="W56" s="1123" t="n"/>
      <c r="X56" s="1123" t="n"/>
      <c r="Y56" s="1123" t="n"/>
      <c r="Z56" s="1123" t="n"/>
    </row>
    <row r="57">
      <c r="A57" s="1116" t="n">
        <v>55</v>
      </c>
      <c r="B57" s="1122" t="n">
        <v>97843</v>
      </c>
      <c r="C57" s="1126" t="n">
        <v>66586</v>
      </c>
      <c r="D57" s="1126" t="n">
        <v>3463754</v>
      </c>
      <c r="E57" s="1126" t="n">
        <v>116184</v>
      </c>
      <c r="F57" s="1125" t="n"/>
      <c r="G57" s="1122" t="n">
        <v>201856</v>
      </c>
      <c r="H57" s="1126" t="n">
        <v>171713</v>
      </c>
      <c r="I57" s="1126" t="n">
        <v>5108094</v>
      </c>
      <c r="J57" s="1126" t="n">
        <v>169074</v>
      </c>
      <c r="K57" s="1095" t="n"/>
      <c r="L57" s="972" t="n"/>
      <c r="M57" s="1124">
        <f>G57-G56</f>
        <v/>
      </c>
      <c r="N57" s="1124">
        <f>H57-H56</f>
        <v/>
      </c>
      <c r="O57" s="1124">
        <f>I57-I56</f>
        <v/>
      </c>
      <c r="P57" s="1124">
        <f>J57-J56</f>
        <v/>
      </c>
      <c r="Q57" s="972" t="n"/>
      <c r="R57" s="1124" t="n"/>
      <c r="S57" s="1124" t="n"/>
      <c r="T57" s="1124" t="n"/>
      <c r="U57" s="1124" t="n"/>
      <c r="V57" s="972" t="n"/>
      <c r="W57" s="1123" t="n"/>
      <c r="X57" s="1123" t="n"/>
      <c r="Y57" s="1123" t="n"/>
      <c r="Z57" s="1123" t="n"/>
    </row>
    <row r="58">
      <c r="A58" s="1116" t="n">
        <v>56</v>
      </c>
      <c r="B58" s="1122" t="n">
        <v>100928</v>
      </c>
      <c r="C58" s="1126" t="n">
        <v>68685</v>
      </c>
      <c r="D58" s="1126" t="n">
        <v>3763859</v>
      </c>
      <c r="E58" s="1126" t="n">
        <v>120521</v>
      </c>
      <c r="F58" s="1125" t="n"/>
      <c r="G58" s="1122" t="n">
        <v>207823</v>
      </c>
      <c r="H58" s="1126" t="n">
        <v>176788</v>
      </c>
      <c r="I58" s="1126" t="n">
        <v>5542300</v>
      </c>
      <c r="J58" s="1126" t="n">
        <v>175270</v>
      </c>
      <c r="K58" s="1095" t="n"/>
      <c r="L58" s="972" t="n"/>
      <c r="M58" s="1124">
        <f>G58-G57</f>
        <v/>
      </c>
      <c r="N58" s="1124">
        <f>H58-H57</f>
        <v/>
      </c>
      <c r="O58" s="1124">
        <f>I58-I57</f>
        <v/>
      </c>
      <c r="P58" s="1124">
        <f>J58-J57</f>
        <v/>
      </c>
      <c r="Q58" s="972" t="n"/>
      <c r="R58" s="1124" t="n"/>
      <c r="S58" s="1124" t="n"/>
      <c r="T58" s="1124" t="n"/>
      <c r="U58" s="1124" t="n"/>
      <c r="V58" s="972" t="n"/>
      <c r="W58" s="1123" t="n"/>
      <c r="X58" s="1123" t="n"/>
      <c r="Y58" s="1123" t="n"/>
      <c r="Z58" s="1123" t="n"/>
    </row>
    <row r="59">
      <c r="A59" s="1116" t="n">
        <v>57</v>
      </c>
      <c r="B59" s="1122" t="n">
        <v>103912</v>
      </c>
      <c r="C59" s="1126" t="n">
        <v>70715</v>
      </c>
      <c r="D59" s="1126" t="n">
        <v>4073591</v>
      </c>
      <c r="E59" s="1126" t="n">
        <v>122689</v>
      </c>
      <c r="F59" s="1125" t="n"/>
      <c r="G59" s="1122" t="n">
        <v>213696</v>
      </c>
      <c r="H59" s="1126" t="n">
        <v>181784</v>
      </c>
      <c r="I59" s="1126" t="n">
        <v>6017975</v>
      </c>
      <c r="J59" s="1126" t="n">
        <v>178935</v>
      </c>
      <c r="K59" s="1095" t="n"/>
      <c r="L59" s="972" t="n"/>
      <c r="M59" s="1124">
        <f>G59-G58</f>
        <v/>
      </c>
      <c r="N59" s="1124">
        <f>H59-H58</f>
        <v/>
      </c>
      <c r="O59" s="1124">
        <f>I59-I58</f>
        <v/>
      </c>
      <c r="P59" s="1124">
        <f>J59-J58</f>
        <v/>
      </c>
      <c r="Q59" s="972" t="n"/>
      <c r="R59" s="1124" t="n"/>
      <c r="S59" s="1124" t="n"/>
      <c r="T59" s="1124" t="n"/>
      <c r="U59" s="1124" t="n"/>
      <c r="V59" s="972" t="n"/>
      <c r="W59" s="1123" t="n"/>
      <c r="X59" s="1123" t="n"/>
      <c r="Y59" s="1123" t="n"/>
      <c r="Z59" s="1123" t="n"/>
    </row>
    <row r="60">
      <c r="A60" s="1116" t="n">
        <v>59</v>
      </c>
      <c r="B60" s="1122" t="n">
        <v>106848</v>
      </c>
      <c r="C60" s="1126" t="n">
        <v>72714</v>
      </c>
      <c r="D60" s="1126" t="n">
        <v>4413181</v>
      </c>
      <c r="E60" s="1126" t="n">
        <v>125255</v>
      </c>
      <c r="F60" s="1125" t="n"/>
      <c r="G60" s="1122" t="n">
        <v>220089</v>
      </c>
      <c r="H60" s="1126" t="n">
        <v>187223</v>
      </c>
      <c r="I60" s="1126" t="n">
        <v>6482457</v>
      </c>
      <c r="J60" s="1126" t="n">
        <v>182570</v>
      </c>
      <c r="K60" s="1095" t="n"/>
      <c r="L60" s="972" t="n"/>
      <c r="M60" s="1124">
        <f>G60-G59</f>
        <v/>
      </c>
      <c r="N60" s="1124">
        <f>H60-H59</f>
        <v/>
      </c>
      <c r="O60" s="1124">
        <f>I60-I59</f>
        <v/>
      </c>
      <c r="P60" s="1124">
        <f>J60-J59</f>
        <v/>
      </c>
      <c r="Q60" s="972" t="n"/>
      <c r="R60" s="1124" t="n"/>
      <c r="S60" s="1124" t="n"/>
      <c r="T60" s="1124" t="n"/>
      <c r="U60" s="1124" t="n"/>
      <c r="V60" s="972" t="n"/>
      <c r="W60" s="1123" t="n"/>
      <c r="X60" s="1123" t="n"/>
      <c r="Y60" s="1123" t="n"/>
      <c r="Z60" s="1123" t="n"/>
    </row>
    <row r="61">
      <c r="A61" s="1116" t="n">
        <v>60</v>
      </c>
      <c r="B61" s="1122" t="n">
        <v>110045</v>
      </c>
      <c r="C61" s="1126" t="n">
        <v>74889</v>
      </c>
      <c r="D61" s="1126" t="n">
        <v>4743980</v>
      </c>
      <c r="E61" s="1126" t="n">
        <v>127799</v>
      </c>
      <c r="F61" s="1125" t="n"/>
      <c r="G61" s="1122" t="n">
        <v>225442</v>
      </c>
      <c r="H61" s="1126" t="n">
        <v>191777</v>
      </c>
      <c r="I61" s="1126" t="n">
        <v>6981725</v>
      </c>
      <c r="J61" s="1126" t="n">
        <v>186200</v>
      </c>
      <c r="K61" s="1095" t="n"/>
      <c r="L61" s="972" t="n"/>
      <c r="M61" s="1124">
        <f>G61-G60</f>
        <v/>
      </c>
      <c r="N61" s="1124">
        <f>H61-H60</f>
        <v/>
      </c>
      <c r="O61" s="1124">
        <f>I61-I60</f>
        <v/>
      </c>
      <c r="P61" s="1124">
        <f>J61-J60</f>
        <v/>
      </c>
      <c r="Q61" s="972" t="n"/>
      <c r="R61" s="1124" t="n"/>
      <c r="S61" s="1124" t="n"/>
      <c r="T61" s="1124" t="n"/>
      <c r="U61" s="1124" t="n"/>
      <c r="V61" s="972" t="n"/>
      <c r="W61" s="1123" t="n"/>
      <c r="X61" s="1123" t="n"/>
      <c r="Y61" s="1123" t="n"/>
      <c r="Z61" s="1123" t="n"/>
    </row>
    <row r="62">
      <c r="A62" s="1116" t="n">
        <v>61</v>
      </c>
      <c r="B62" s="1122" t="n">
        <v>112721</v>
      </c>
      <c r="C62" s="1126" t="n">
        <v>76711</v>
      </c>
      <c r="D62" s="1126" t="n">
        <v>5099695</v>
      </c>
      <c r="E62" s="1126" t="n">
        <v>130340</v>
      </c>
      <c r="F62" s="1125" t="n"/>
      <c r="G62" s="1122" t="n">
        <v>231156</v>
      </c>
      <c r="H62" s="1126" t="n">
        <v>196637</v>
      </c>
      <c r="I62" s="1126" t="n">
        <v>7622618</v>
      </c>
      <c r="J62" s="1126" t="n">
        <v>190160</v>
      </c>
      <c r="K62" s="1095" t="n"/>
      <c r="L62" s="972" t="n"/>
      <c r="M62" s="1124">
        <f>G62-G61</f>
        <v/>
      </c>
      <c r="N62" s="1124">
        <f>H62-H61</f>
        <v/>
      </c>
      <c r="O62" s="1124">
        <f>I62-I61</f>
        <v/>
      </c>
      <c r="P62" s="1124">
        <f>J62-J61</f>
        <v/>
      </c>
      <c r="Q62" s="972" t="n"/>
      <c r="R62" s="1124" t="n"/>
      <c r="S62" s="1124" t="n"/>
      <c r="T62" s="1124" t="n"/>
      <c r="U62" s="1124" t="n"/>
      <c r="V62" s="972" t="n"/>
      <c r="W62" s="1123" t="n"/>
      <c r="X62" s="1123" t="n"/>
      <c r="Y62" s="1123" t="n"/>
      <c r="Z62" s="1123" t="n"/>
    </row>
    <row r="63">
      <c r="A63" s="1116" t="n">
        <v>62</v>
      </c>
      <c r="B63" s="1122" t="n">
        <v>115578</v>
      </c>
      <c r="C63" s="1126" t="n">
        <v>78655</v>
      </c>
      <c r="D63" s="1126" t="n">
        <v>5449176</v>
      </c>
      <c r="E63" s="1126" t="n">
        <v>133112</v>
      </c>
      <c r="F63" s="1125" t="n"/>
      <c r="G63" s="1122" t="n">
        <v>237780</v>
      </c>
      <c r="H63" s="1126" t="n">
        <v>202272</v>
      </c>
      <c r="I63" s="1126" t="n">
        <v>8354368</v>
      </c>
      <c r="J63" s="1126" t="n">
        <v>194365</v>
      </c>
      <c r="K63" s="1095" t="n"/>
      <c r="L63" s="972" t="n"/>
      <c r="M63" s="1124">
        <f>G63-G62</f>
        <v/>
      </c>
      <c r="N63" s="1124">
        <f>H63-H62</f>
        <v/>
      </c>
      <c r="O63" s="1124">
        <f>I63-I62</f>
        <v/>
      </c>
      <c r="P63" s="1124">
        <f>J63-J62</f>
        <v/>
      </c>
      <c r="Q63" s="972" t="n"/>
      <c r="R63" s="1124" t="n"/>
      <c r="S63" s="1124" t="n"/>
      <c r="T63" s="1124" t="n"/>
      <c r="U63" s="1124" t="n"/>
      <c r="V63" s="972" t="n"/>
      <c r="W63" s="1123" t="n"/>
      <c r="X63" s="1123" t="n"/>
      <c r="Y63" s="1123" t="n"/>
      <c r="Z63" s="1123" t="n"/>
    </row>
    <row r="64">
      <c r="A64" s="1116" t="n">
        <v>63</v>
      </c>
      <c r="B64" s="1122" t="n">
        <v>118890</v>
      </c>
      <c r="C64" s="1126" t="n">
        <v>80909</v>
      </c>
      <c r="D64" s="1126" t="n">
        <v>5848057</v>
      </c>
      <c r="E64" s="1126" t="n">
        <v>136056</v>
      </c>
      <c r="F64" s="1125" t="n"/>
      <c r="G64" s="1122" t="n">
        <v>244404</v>
      </c>
      <c r="H64" s="1126" t="n">
        <v>207907</v>
      </c>
      <c r="I64" s="1126" t="n">
        <v>9302316</v>
      </c>
      <c r="J64" s="1126" t="n">
        <v>198610</v>
      </c>
      <c r="K64" s="1095" t="n"/>
      <c r="L64" s="972" t="n"/>
      <c r="M64" s="1124">
        <f>G64-G63</f>
        <v/>
      </c>
      <c r="N64" s="1124">
        <f>H64-H63</f>
        <v/>
      </c>
      <c r="O64" s="1124">
        <f>I64-I63</f>
        <v/>
      </c>
      <c r="P64" s="1124">
        <f>J64-J63</f>
        <v/>
      </c>
      <c r="Q64" s="972" t="n"/>
      <c r="R64" s="1124" t="n"/>
      <c r="S64" s="1124" t="n"/>
      <c r="T64" s="1124" t="n"/>
      <c r="U64" s="1124" t="n"/>
      <c r="V64" s="972" t="n"/>
      <c r="W64" s="1123" t="n"/>
      <c r="X64" s="1123" t="n"/>
      <c r="Y64" s="1123" t="n"/>
      <c r="Z64" s="1123" t="n"/>
    </row>
    <row r="65">
      <c r="A65" s="1116" t="n">
        <v>64</v>
      </c>
      <c r="B65" s="1122" t="n">
        <v>122202</v>
      </c>
      <c r="C65" s="1126" t="n">
        <v>83163</v>
      </c>
      <c r="D65" s="1126" t="n">
        <v>6261174</v>
      </c>
      <c r="E65" s="1126" t="n">
        <v>139027</v>
      </c>
      <c r="F65" s="1125" t="n"/>
      <c r="G65" s="1122" t="n">
        <v>251028</v>
      </c>
      <c r="H65" s="1126" t="n">
        <v>213542</v>
      </c>
      <c r="I65" s="1126" t="n">
        <v>10135202</v>
      </c>
      <c r="J65" s="1126" t="n">
        <v>202815</v>
      </c>
      <c r="K65" s="1095" t="n"/>
      <c r="L65" s="972" t="n"/>
      <c r="M65" s="1124">
        <f>G65-G64</f>
        <v/>
      </c>
      <c r="N65" s="1124">
        <f>H65-H64</f>
        <v/>
      </c>
      <c r="O65" s="1124">
        <f>I65-I64</f>
        <v/>
      </c>
      <c r="P65" s="1124">
        <f>J65-J64</f>
        <v/>
      </c>
      <c r="Q65" s="972" t="n"/>
      <c r="R65" s="1124" t="n"/>
      <c r="S65" s="1124" t="n"/>
      <c r="T65" s="1124" t="n"/>
      <c r="U65" s="1124" t="n"/>
      <c r="V65" s="972" t="n"/>
      <c r="W65" s="1123" t="n"/>
      <c r="X65" s="1123" t="n"/>
      <c r="Y65" s="1123" t="n"/>
      <c r="Z65" s="1123" t="n"/>
    </row>
    <row r="66">
      <c r="A66" s="1116" t="n">
        <v>65</v>
      </c>
      <c r="B66" s="1122" t="n">
        <v>125514</v>
      </c>
      <c r="C66" s="1126" t="n">
        <v>85417</v>
      </c>
      <c r="D66" s="1126" t="n">
        <v>6688551</v>
      </c>
      <c r="E66" s="1126" t="n">
        <v>141971</v>
      </c>
      <c r="F66" s="1125" t="n"/>
      <c r="G66" s="1122" t="n">
        <v>257690</v>
      </c>
      <c r="H66" s="1126" t="n">
        <v>219209</v>
      </c>
      <c r="I66" s="1126" t="n">
        <v>11015444</v>
      </c>
      <c r="J66" s="1126" t="n">
        <v>207065</v>
      </c>
      <c r="K66" s="1095" t="n"/>
      <c r="L66" s="972" t="n"/>
      <c r="M66" s="1124">
        <f>G66-G65</f>
        <v/>
      </c>
      <c r="N66" s="1124">
        <f>H66-H65</f>
        <v/>
      </c>
      <c r="O66" s="1124">
        <f>I66-I65</f>
        <v/>
      </c>
      <c r="P66" s="1124">
        <f>J66-J65</f>
        <v/>
      </c>
      <c r="Q66" s="972" t="n"/>
      <c r="R66" s="1124" t="n"/>
      <c r="S66" s="1124" t="n"/>
      <c r="T66" s="1124" t="n"/>
      <c r="U66" s="1124" t="n"/>
      <c r="V66" s="972" t="n"/>
      <c r="W66" s="1123" t="n"/>
      <c r="X66" s="1123" t="n"/>
      <c r="Y66" s="1123" t="n"/>
      <c r="Z66" s="1123" t="n"/>
    </row>
    <row r="67">
      <c r="A67" s="1116" t="n">
        <v>67</v>
      </c>
      <c r="B67" s="1122" t="n">
        <v>128845</v>
      </c>
      <c r="C67" s="1126" t="n">
        <v>87683</v>
      </c>
      <c r="D67" s="1126" t="n">
        <v>6884652</v>
      </c>
      <c r="E67" s="1126" t="n">
        <v>144946</v>
      </c>
      <c r="F67" s="1125" t="n"/>
      <c r="G67" s="1122" t="n">
        <v>265223</v>
      </c>
      <c r="H67" s="1126" t="n">
        <v>225617</v>
      </c>
      <c r="I67" s="1126" t="n">
        <v>11543890</v>
      </c>
      <c r="J67" s="1126" t="n">
        <v>211310</v>
      </c>
      <c r="K67" s="1095" t="n"/>
      <c r="L67" s="972" t="n"/>
      <c r="M67" s="1124">
        <f>G67-G66</f>
        <v/>
      </c>
      <c r="N67" s="1124">
        <f>H67-H66</f>
        <v/>
      </c>
      <c r="O67" s="1124">
        <f>I67-I66</f>
        <v/>
      </c>
      <c r="P67" s="1124">
        <f>J67-J66</f>
        <v/>
      </c>
      <c r="Q67" s="972" t="n"/>
      <c r="R67" s="1124" t="n"/>
      <c r="S67" s="1124" t="n"/>
      <c r="T67" s="1124" t="n"/>
      <c r="U67" s="1124" t="n"/>
      <c r="V67" s="972" t="n"/>
      <c r="W67" s="1123" t="n"/>
      <c r="X67" s="1123" t="n"/>
      <c r="Y67" s="1123" t="n"/>
      <c r="Z67" s="1123" t="n"/>
    </row>
    <row r="68">
      <c r="A68" s="1116" t="n">
        <v>68</v>
      </c>
      <c r="B68" s="1122" t="n">
        <v>132612</v>
      </c>
      <c r="C68" s="1126" t="n">
        <v>90247</v>
      </c>
      <c r="D68" s="1126" t="n">
        <v>7088353</v>
      </c>
      <c r="E68" s="1126" t="n">
        <v>147917</v>
      </c>
      <c r="F68" s="1125" t="n"/>
      <c r="G68" s="1122" t="n">
        <v>271885</v>
      </c>
      <c r="H68" s="1126" t="n">
        <v>231284</v>
      </c>
      <c r="I68" s="1126" t="n">
        <v>12072377</v>
      </c>
      <c r="J68" s="1126" t="n">
        <v>215515</v>
      </c>
      <c r="K68" s="1095" t="n"/>
      <c r="L68" s="972" t="n"/>
      <c r="M68" s="1124">
        <f>G68-G67</f>
        <v/>
      </c>
      <c r="N68" s="1124">
        <f>H68-H67</f>
        <v/>
      </c>
      <c r="O68" s="1124">
        <f>I68-I67</f>
        <v/>
      </c>
      <c r="P68" s="1124">
        <f>J68-J67</f>
        <v/>
      </c>
      <c r="Q68" s="972" t="n"/>
      <c r="R68" s="1124" t="n"/>
      <c r="S68" s="1124" t="n"/>
      <c r="T68" s="1124" t="n"/>
      <c r="U68" s="1124" t="n"/>
      <c r="V68" s="972" t="n"/>
      <c r="W68" s="1123" t="n"/>
      <c r="X68" s="1123" t="n"/>
      <c r="Y68" s="1123" t="n"/>
      <c r="Z68" s="1123" t="n"/>
    </row>
    <row r="69">
      <c r="A69" s="1116" t="n">
        <v>69</v>
      </c>
      <c r="B69" s="1126" t="n">
        <v>135942</v>
      </c>
      <c r="C69" s="1126" t="n">
        <v>92513</v>
      </c>
      <c r="D69" s="1126" t="n">
        <v>7285055</v>
      </c>
      <c r="E69" s="1126" t="n">
        <v>150861</v>
      </c>
      <c r="F69" s="1125" t="n"/>
      <c r="G69" s="1122" t="n">
        <v>279455</v>
      </c>
      <c r="H69" s="1126" t="n">
        <v>237724</v>
      </c>
      <c r="I69" s="1126" t="n">
        <v>12627643</v>
      </c>
      <c r="J69" s="1126" t="n">
        <v>219760</v>
      </c>
      <c r="K69" s="1095" t="n"/>
      <c r="L69" s="972" t="n"/>
      <c r="M69" s="1124">
        <f>G69-G68</f>
        <v/>
      </c>
      <c r="N69" s="1124">
        <f>H69-H68</f>
        <v/>
      </c>
      <c r="O69" s="1124">
        <f>I69-I68</f>
        <v/>
      </c>
      <c r="P69" s="1124">
        <f>J69-J68</f>
        <v/>
      </c>
      <c r="Q69" s="972" t="n"/>
      <c r="R69" s="1124" t="n"/>
      <c r="S69" s="1124" t="n"/>
      <c r="T69" s="1124" t="n"/>
      <c r="U69" s="1124" t="n"/>
      <c r="V69" s="972" t="n"/>
      <c r="W69" s="1123" t="n"/>
      <c r="X69" s="1123" t="n"/>
      <c r="Y69" s="1123" t="n"/>
      <c r="Z69" s="1123" t="n"/>
    </row>
    <row r="70">
      <c r="A70" s="1116" t="n">
        <v>70</v>
      </c>
      <c r="B70" s="1122" t="n">
        <v>140705</v>
      </c>
      <c r="C70" s="1126" t="n">
        <v>95089</v>
      </c>
      <c r="D70" s="1126" t="n">
        <v>7758509</v>
      </c>
      <c r="E70" s="1126" t="n">
        <v>151732</v>
      </c>
      <c r="F70" s="1125" t="n"/>
      <c r="G70" s="1122" t="n">
        <v>288996</v>
      </c>
      <c r="H70" s="1126" t="n">
        <v>244132</v>
      </c>
      <c r="I70" s="1126" t="n">
        <v>13724071</v>
      </c>
      <c r="J70" s="1126" t="n">
        <v>220965</v>
      </c>
      <c r="K70" s="1095" t="n"/>
      <c r="L70" s="972" t="n"/>
      <c r="M70" s="1124">
        <f>G70-G69</f>
        <v/>
      </c>
      <c r="N70" s="1124">
        <f>H70-H69</f>
        <v/>
      </c>
      <c r="O70" s="1124">
        <f>I70-I69</f>
        <v/>
      </c>
      <c r="P70" s="1124">
        <f>J70-J69</f>
        <v/>
      </c>
      <c r="Q70" s="972" t="n"/>
      <c r="R70" s="1124" t="n"/>
      <c r="S70" s="1124" t="n"/>
      <c r="T70" s="1124" t="n"/>
      <c r="U70" s="1124" t="n"/>
      <c r="V70" s="972" t="n"/>
      <c r="W70" s="1123" t="n"/>
      <c r="X70" s="1123" t="n"/>
      <c r="Y70" s="1123" t="n"/>
      <c r="Z70" s="1123" t="n"/>
    </row>
    <row r="71">
      <c r="A71" s="1116" t="n">
        <v>71</v>
      </c>
      <c r="B71" s="1122" t="n">
        <v>145544</v>
      </c>
      <c r="C71" s="1126" t="n">
        <v>97653</v>
      </c>
      <c r="D71" s="1126" t="n">
        <v>8281767</v>
      </c>
      <c r="E71" s="1126" t="n">
        <v>152576</v>
      </c>
      <c r="F71" s="1125" t="n"/>
      <c r="G71" s="1122" t="n">
        <v>297845</v>
      </c>
      <c r="H71" s="1126" t="n">
        <v>249799</v>
      </c>
      <c r="I71" s="1126" t="n">
        <v>14802942</v>
      </c>
      <c r="J71" s="1126" t="n">
        <v>222215</v>
      </c>
      <c r="K71" s="1095" t="n"/>
      <c r="L71" s="972" t="n"/>
      <c r="M71" s="1124">
        <f>G71-G70</f>
        <v/>
      </c>
      <c r="N71" s="1124">
        <f>H71-H70</f>
        <v/>
      </c>
      <c r="O71" s="1124">
        <f>I71-I70</f>
        <v/>
      </c>
      <c r="P71" s="1124">
        <f>J71-J70</f>
        <v/>
      </c>
      <c r="Q71" s="972" t="n"/>
      <c r="R71" s="1124" t="n"/>
      <c r="S71" s="1124" t="n"/>
      <c r="T71" s="1124" t="n"/>
      <c r="U71" s="1124" t="n"/>
      <c r="V71" s="972" t="n"/>
      <c r="W71" s="972" t="n"/>
      <c r="X71" s="972" t="n"/>
      <c r="Y71" s="972" t="n"/>
      <c r="Z71" s="972" t="n"/>
    </row>
    <row r="72">
      <c r="A72" s="1116" t="n">
        <v>72</v>
      </c>
      <c r="B72" s="1122" t="n">
        <v>150038</v>
      </c>
      <c r="C72" s="1126" t="n">
        <v>99919</v>
      </c>
      <c r="D72" s="1126" t="n">
        <v>9059724</v>
      </c>
      <c r="E72" s="1126" t="n">
        <v>153451</v>
      </c>
      <c r="F72" s="1125" t="n"/>
      <c r="G72" s="1122" t="n">
        <v>307812</v>
      </c>
      <c r="H72" s="1126" t="n">
        <v>256239</v>
      </c>
      <c r="I72" s="1126" t="n">
        <v>16467237</v>
      </c>
      <c r="J72" s="1126" t="n">
        <v>223460</v>
      </c>
      <c r="K72" s="1095" t="n"/>
      <c r="L72" s="972" t="n"/>
      <c r="M72" s="1124">
        <f>G72-G71</f>
        <v/>
      </c>
      <c r="N72" s="1124">
        <f>H72-H71</f>
        <v/>
      </c>
      <c r="O72" s="1124">
        <f>I72-I71</f>
        <v/>
      </c>
      <c r="P72" s="1124">
        <f>J72-J71</f>
        <v/>
      </c>
      <c r="Q72" s="972" t="n"/>
      <c r="R72" s="1124" t="n"/>
      <c r="S72" s="1124" t="n"/>
      <c r="T72" s="1124" t="n"/>
      <c r="U72" s="1124" t="n"/>
      <c r="V72" s="972" t="n"/>
      <c r="W72" s="972" t="n"/>
      <c r="X72" s="972" t="n"/>
      <c r="Y72" s="972" t="n"/>
      <c r="Z72" s="972" t="n"/>
    </row>
    <row r="73">
      <c r="A73" s="1116" t="n">
        <v>73</v>
      </c>
      <c r="B73" s="1122" t="n">
        <v>155100</v>
      </c>
      <c r="C73" s="1126" t="n">
        <v>102495</v>
      </c>
      <c r="D73" s="1126" t="n">
        <v>9877094</v>
      </c>
      <c r="E73" s="1126" t="n">
        <v>154322</v>
      </c>
      <c r="F73" s="1125" t="n"/>
      <c r="G73" s="1122" t="n">
        <v>318034</v>
      </c>
      <c r="H73" s="1126" t="n">
        <v>262709</v>
      </c>
      <c r="I73" s="1126" t="n">
        <v>18307026</v>
      </c>
      <c r="J73" s="1126" t="n">
        <v>224665</v>
      </c>
      <c r="K73" s="1095" t="n"/>
      <c r="L73" s="972" t="n"/>
      <c r="M73" s="1124">
        <f>G73-G72</f>
        <v/>
      </c>
      <c r="N73" s="1124">
        <f>H73-H72</f>
        <v/>
      </c>
      <c r="O73" s="1124">
        <f>I73-I72</f>
        <v/>
      </c>
      <c r="P73" s="1124">
        <f>J73-J72</f>
        <v/>
      </c>
      <c r="Q73" s="972" t="n"/>
      <c r="R73" s="1124" t="n"/>
      <c r="S73" s="1124" t="n"/>
      <c r="T73" s="1124" t="n"/>
      <c r="U73" s="1124" t="n"/>
      <c r="V73" s="972" t="n"/>
      <c r="W73" s="972" t="n"/>
      <c r="X73" s="972" t="n"/>
      <c r="Y73" s="972" t="n"/>
      <c r="Z73" s="972" t="n"/>
    </row>
    <row r="74">
      <c r="A74" s="1116" t="n">
        <v>74</v>
      </c>
      <c r="B74" s="1122" t="n">
        <v>159649</v>
      </c>
      <c r="C74" s="1126" t="n">
        <v>105084</v>
      </c>
      <c r="D74" s="1126" t="n">
        <v>10768839</v>
      </c>
      <c r="E74" s="1126" t="n">
        <v>155166</v>
      </c>
      <c r="F74" s="1125" t="n"/>
      <c r="G74" s="1122" t="n">
        <v>328067</v>
      </c>
      <c r="H74" s="1126" t="n">
        <v>269924</v>
      </c>
      <c r="I74" s="1126" t="n">
        <v>20274780</v>
      </c>
      <c r="J74" s="1126" t="n">
        <v>225915</v>
      </c>
      <c r="K74" s="1095" t="n"/>
      <c r="L74" s="972" t="n"/>
      <c r="M74" s="1124">
        <f>G74-G73</f>
        <v/>
      </c>
      <c r="N74" s="1124">
        <f>H74-H73</f>
        <v/>
      </c>
      <c r="O74" s="1124">
        <f>I74-I73</f>
        <v/>
      </c>
      <c r="P74" s="1124">
        <f>J74-J73</f>
        <v/>
      </c>
      <c r="Q74" s="972" t="n"/>
      <c r="R74" s="1124" t="n"/>
      <c r="S74" s="1124" t="n"/>
      <c r="T74" s="1124" t="n"/>
      <c r="U74" s="1124" t="n"/>
      <c r="V74" s="972" t="n"/>
      <c r="W74" s="972" t="n"/>
      <c r="X74" s="972" t="n"/>
      <c r="Y74" s="972" t="n"/>
      <c r="Z74" s="972" t="n"/>
    </row>
    <row r="75">
      <c r="A75" s="1116" t="n">
        <v>75</v>
      </c>
      <c r="B75" s="1122" t="n">
        <v>164698</v>
      </c>
      <c r="C75" s="1126" t="n">
        <v>107969</v>
      </c>
      <c r="D75" s="1126" t="n">
        <v>11703757</v>
      </c>
      <c r="E75" s="1126" t="n">
        <v>156041</v>
      </c>
      <c r="F75" s="1125" t="n"/>
      <c r="G75" s="1122" t="n">
        <v>337292</v>
      </c>
      <c r="H75" s="1126" t="n">
        <v>276394</v>
      </c>
      <c r="I75" s="1126" t="n">
        <v>22259829</v>
      </c>
      <c r="J75" s="1126" t="n">
        <v>227160</v>
      </c>
      <c r="K75" s="1095" t="n"/>
      <c r="L75" s="972" t="n"/>
      <c r="M75" s="1124">
        <f>G75-G74</f>
        <v/>
      </c>
      <c r="N75" s="1124">
        <f>H75-H74</f>
        <v/>
      </c>
      <c r="O75" s="1124">
        <f>I75-I74</f>
        <v/>
      </c>
      <c r="P75" s="1124">
        <f>J75-J74</f>
        <v/>
      </c>
      <c r="Q75" s="972" t="n"/>
      <c r="R75" s="1124" t="n"/>
      <c r="S75" s="1124" t="n"/>
      <c r="T75" s="1124" t="n"/>
      <c r="U75" s="1124" t="n"/>
      <c r="V75" s="972" t="n"/>
      <c r="W75" s="972" t="n"/>
      <c r="X75" s="972" t="n"/>
      <c r="Y75" s="972" t="n"/>
      <c r="Z75" s="972" t="n"/>
    </row>
    <row r="76">
      <c r="A76" s="1116" t="n">
        <v>76</v>
      </c>
      <c r="B76" s="1122" t="n">
        <v>169341</v>
      </c>
      <c r="C76" s="1126" t="n">
        <v>110558</v>
      </c>
      <c r="D76" s="1126" t="n">
        <v>12616907</v>
      </c>
      <c r="E76" s="1126" t="n">
        <v>156912</v>
      </c>
      <c r="F76" s="1125" t="n"/>
      <c r="G76" s="1122" t="n">
        <v>347523</v>
      </c>
      <c r="H76" s="1126" t="n">
        <v>283609</v>
      </c>
      <c r="I76" s="1126" t="n">
        <v>24836256</v>
      </c>
      <c r="J76" s="1126" t="n">
        <v>228365</v>
      </c>
      <c r="K76" s="1095" t="n"/>
      <c r="L76" s="972" t="n"/>
      <c r="M76" s="1124">
        <f>G76-G75</f>
        <v/>
      </c>
      <c r="N76" s="1124">
        <f>H76-H75</f>
        <v/>
      </c>
      <c r="O76" s="1124">
        <f>I76-I75</f>
        <v/>
      </c>
      <c r="P76" s="1124">
        <f>J76-J75</f>
        <v/>
      </c>
      <c r="Q76" s="972" t="n"/>
      <c r="R76" s="1124" t="n"/>
      <c r="S76" s="1124" t="n"/>
      <c r="T76" s="1124" t="n"/>
      <c r="U76" s="1124" t="n"/>
      <c r="V76" s="972" t="n"/>
      <c r="W76" s="972" t="n"/>
      <c r="X76" s="972" t="n"/>
      <c r="Y76" s="972" t="n"/>
      <c r="Z76" s="972" t="n"/>
    </row>
    <row r="77">
      <c r="A77" s="1116" t="n">
        <v>77</v>
      </c>
      <c r="B77" s="1122" t="n">
        <v>174491</v>
      </c>
      <c r="C77" s="1126" t="n">
        <v>113443</v>
      </c>
      <c r="D77" s="1126" t="n">
        <v>13622872</v>
      </c>
      <c r="E77" s="1126" t="n">
        <v>157756</v>
      </c>
      <c r="F77" s="1125" t="n"/>
      <c r="G77" s="1122" t="n">
        <v>356944</v>
      </c>
      <c r="H77" s="1126" t="n">
        <v>290079</v>
      </c>
      <c r="I77" s="1126" t="n">
        <v>27575461</v>
      </c>
      <c r="J77" s="1126" t="n">
        <v>229610</v>
      </c>
      <c r="K77" s="1095" t="n"/>
      <c r="L77" s="972" t="n"/>
      <c r="M77" s="1124">
        <f>G77-G76</f>
        <v/>
      </c>
      <c r="N77" s="1124">
        <f>H77-H76</f>
        <v/>
      </c>
      <c r="O77" s="1124">
        <f>I77-I76</f>
        <v/>
      </c>
      <c r="P77" s="1124">
        <f>J77-J76</f>
        <v/>
      </c>
      <c r="Q77" s="972" t="n"/>
      <c r="R77" s="1124" t="n"/>
      <c r="S77" s="1124" t="n"/>
      <c r="T77" s="1124" t="n"/>
      <c r="U77" s="1124" t="n"/>
      <c r="V77" s="972" t="n"/>
      <c r="W77" s="972" t="n"/>
      <c r="X77" s="972" t="n"/>
      <c r="Y77" s="972" t="n"/>
      <c r="Z77" s="972" t="n"/>
    </row>
    <row r="78">
      <c r="A78" s="1116" t="n">
        <v>78</v>
      </c>
      <c r="B78" s="1122" t="n">
        <v>179236</v>
      </c>
      <c r="C78" s="1126" t="n">
        <v>116032</v>
      </c>
      <c r="D78" s="1126" t="n">
        <v>14653627</v>
      </c>
      <c r="E78" s="1126" t="n">
        <v>158627</v>
      </c>
      <c r="F78" s="1125" t="n"/>
      <c r="G78" s="1122" t="n">
        <v>367425</v>
      </c>
      <c r="H78" s="1126" t="n">
        <v>297324</v>
      </c>
      <c r="I78" s="1126" t="n">
        <v>30526373</v>
      </c>
      <c r="J78" s="1126" t="n">
        <v>230815</v>
      </c>
      <c r="K78" s="1095" t="n"/>
      <c r="L78" s="972" t="n"/>
      <c r="M78" s="1124">
        <f>G78-G77</f>
        <v/>
      </c>
      <c r="N78" s="1124">
        <f>H78-H77</f>
        <v/>
      </c>
      <c r="O78" s="1124">
        <f>I78-I77</f>
        <v/>
      </c>
      <c r="P78" s="1124">
        <f>J78-J77</f>
        <v/>
      </c>
      <c r="Q78" s="972" t="n"/>
      <c r="R78" s="1124" t="n"/>
      <c r="S78" s="1124" t="n"/>
      <c r="T78" s="1124" t="n"/>
      <c r="U78" s="1124" t="n"/>
      <c r="V78" s="972" t="n"/>
      <c r="W78" s="972" t="n"/>
      <c r="X78" s="972" t="n"/>
      <c r="Y78" s="972" t="n"/>
      <c r="Z78" s="972" t="n"/>
    </row>
    <row r="79">
      <c r="A79" s="1116" t="n">
        <v>79</v>
      </c>
      <c r="B79" s="1122" t="n">
        <v>184513</v>
      </c>
      <c r="C79" s="1126" t="n">
        <v>118930</v>
      </c>
      <c r="D79" s="1126" t="n">
        <v>15732222</v>
      </c>
      <c r="E79" s="1126" t="n">
        <v>159471</v>
      </c>
      <c r="F79" s="1125" t="n"/>
      <c r="G79" s="1122" t="n">
        <v>378018</v>
      </c>
      <c r="H79" s="1126" t="n">
        <v>304569</v>
      </c>
      <c r="I79" s="1126" t="n">
        <v>33674508</v>
      </c>
      <c r="J79" s="1126" t="n">
        <v>232065</v>
      </c>
      <c r="K79" s="1095" t="n"/>
      <c r="L79" s="972" t="n"/>
      <c r="M79" s="1124">
        <f>G79-G78</f>
        <v/>
      </c>
      <c r="N79" s="1124">
        <f>H79-H78</f>
        <v/>
      </c>
      <c r="O79" s="1124">
        <f>I79-I78</f>
        <v/>
      </c>
      <c r="P79" s="1124">
        <f>J79-J78</f>
        <v/>
      </c>
      <c r="Q79" s="972" t="n"/>
      <c r="R79" s="1124" t="n"/>
      <c r="S79" s="1124" t="n"/>
      <c r="T79" s="1124" t="n"/>
      <c r="U79" s="1124" t="n"/>
      <c r="V79" s="972" t="n"/>
      <c r="W79" s="972" t="n"/>
      <c r="X79" s="972" t="n"/>
      <c r="Y79" s="972" t="n"/>
      <c r="Z79" s="972" t="n"/>
    </row>
    <row r="80">
      <c r="A80" s="1116" t="n">
        <v>80</v>
      </c>
      <c r="B80" s="1122" t="n"/>
      <c r="C80" s="1126" t="n"/>
      <c r="D80" s="1126" t="n"/>
      <c r="E80" s="1126" t="n"/>
      <c r="F80" s="1125" t="n"/>
      <c r="G80" s="1122" t="n">
        <v>388768</v>
      </c>
      <c r="H80" s="1126" t="n">
        <v>311846</v>
      </c>
      <c r="I80" s="1126" t="n">
        <v>37770533</v>
      </c>
      <c r="J80" s="1126" t="n">
        <v>233310</v>
      </c>
      <c r="K80" s="1095" t="n"/>
      <c r="L80" s="972" t="n"/>
      <c r="M80" s="1124">
        <f>G80-G79</f>
        <v/>
      </c>
      <c r="N80" s="1124">
        <f>H80-H79</f>
        <v/>
      </c>
      <c r="O80" s="1124">
        <f>I80-I79</f>
        <v/>
      </c>
      <c r="P80" s="1124">
        <f>J80-J79</f>
        <v/>
      </c>
      <c r="Q80" s="972" t="n"/>
      <c r="R80" s="1124" t="n"/>
      <c r="S80" s="1124" t="n"/>
      <c r="T80" s="1124" t="n"/>
      <c r="U80" s="1124" t="n"/>
      <c r="V80" s="972" t="n"/>
      <c r="W80" s="972" t="n"/>
      <c r="X80" s="972" t="n"/>
      <c r="Y80" s="972" t="n"/>
      <c r="Z80" s="972" t="n"/>
    </row>
    <row r="81">
      <c r="A81" s="1116" t="n">
        <v>81</v>
      </c>
      <c r="B81" s="1122" t="n"/>
      <c r="C81" s="1126" t="n"/>
      <c r="D81" s="1126" t="n"/>
      <c r="E81" s="1126" t="n"/>
      <c r="F81" s="1125" t="n"/>
      <c r="G81" s="1122" t="n">
        <v>400571</v>
      </c>
      <c r="H81" s="1126" t="n">
        <v>319864</v>
      </c>
      <c r="I81" s="1126" t="n">
        <v>40882871</v>
      </c>
      <c r="J81" s="1126" t="n">
        <v>234515</v>
      </c>
      <c r="K81" s="1095" t="n"/>
      <c r="L81" s="972" t="n"/>
      <c r="M81" s="1124">
        <f>G81-G80</f>
        <v/>
      </c>
      <c r="N81" s="1124">
        <f>H81-H80</f>
        <v/>
      </c>
      <c r="O81" s="1124">
        <f>I81-I80</f>
        <v/>
      </c>
      <c r="P81" s="1124">
        <f>J81-J80</f>
        <v/>
      </c>
      <c r="Q81" s="972" t="n"/>
      <c r="R81" s="1124" t="n"/>
      <c r="S81" s="1124" t="n"/>
      <c r="T81" s="1124" t="n"/>
      <c r="U81" s="1124" t="n"/>
      <c r="V81" s="972" t="n"/>
      <c r="W81" s="972" t="n"/>
      <c r="X81" s="972" t="n"/>
      <c r="Y81" s="972" t="n"/>
      <c r="Z81" s="972" t="n"/>
    </row>
    <row r="82">
      <c r="A82" s="1116" t="n">
        <v>82</v>
      </c>
      <c r="B82" s="1122" t="n"/>
      <c r="C82" s="1126" t="n"/>
      <c r="D82" s="1126" t="n"/>
      <c r="E82" s="1126" t="n"/>
      <c r="F82" s="1125" t="n"/>
      <c r="G82" s="1122" t="n">
        <v>411574</v>
      </c>
      <c r="H82" s="1126" t="n">
        <v>327141</v>
      </c>
      <c r="I82" s="1126" t="n">
        <v>44969038</v>
      </c>
      <c r="J82" s="1126" t="n">
        <v>235760</v>
      </c>
      <c r="K82" s="1095" t="n"/>
      <c r="L82" s="972" t="n"/>
      <c r="M82" s="1124">
        <f>G82-G81</f>
        <v/>
      </c>
      <c r="N82" s="1124">
        <f>H82-H81</f>
        <v/>
      </c>
      <c r="O82" s="1124">
        <f>I82-I81</f>
        <v/>
      </c>
      <c r="P82" s="1124">
        <f>J82-J81</f>
        <v/>
      </c>
      <c r="Q82" s="972" t="n"/>
      <c r="R82" s="1124" t="n"/>
      <c r="S82" s="1124" t="n"/>
      <c r="T82" s="1124" t="n"/>
      <c r="U82" s="1124" t="n"/>
      <c r="V82" s="972" t="n"/>
      <c r="W82" s="972" t="n"/>
      <c r="X82" s="972" t="n"/>
      <c r="Y82" s="972" t="n"/>
      <c r="Z82" s="972" t="n"/>
    </row>
    <row r="83">
      <c r="A83" s="1116" t="n">
        <v>83</v>
      </c>
      <c r="B83" s="1122" t="n"/>
      <c r="C83" s="1126" t="n"/>
      <c r="D83" s="1126" t="n"/>
      <c r="E83" s="1126" t="n"/>
      <c r="F83" s="1125" t="n"/>
      <c r="G83" s="1122" t="n">
        <v>423687</v>
      </c>
      <c r="H83" s="1126" t="n">
        <v>335191</v>
      </c>
      <c r="I83" s="1126" t="n">
        <v>49501202</v>
      </c>
      <c r="J83" s="1126" t="n">
        <v>236965</v>
      </c>
      <c r="K83" s="1095" t="n"/>
      <c r="L83" s="972" t="n"/>
      <c r="M83" s="1124">
        <f>G83-G82</f>
        <v/>
      </c>
      <c r="N83" s="1124">
        <f>H83-H82</f>
        <v/>
      </c>
      <c r="O83" s="1124">
        <f>I83-I82</f>
        <v/>
      </c>
      <c r="P83" s="1124">
        <f>J83-J82</f>
        <v/>
      </c>
      <c r="Q83" s="972" t="n"/>
      <c r="R83" s="1124" t="n"/>
      <c r="S83" s="1124" t="n"/>
      <c r="T83" s="1124" t="n"/>
      <c r="U83" s="1124" t="n"/>
      <c r="V83" s="972" t="n"/>
      <c r="W83" s="972" t="n"/>
      <c r="X83" s="972" t="n"/>
      <c r="Y83" s="972" t="n"/>
      <c r="Z83" s="972" t="n"/>
    </row>
    <row r="84">
      <c r="A84" s="1116" t="n">
        <v>84</v>
      </c>
      <c r="B84" s="1122" t="n"/>
      <c r="C84" s="1126" t="n"/>
      <c r="D84" s="1126" t="n"/>
      <c r="E84" s="1126" t="n"/>
      <c r="F84" s="1125" t="n"/>
      <c r="G84" s="1122" t="n">
        <v>435945</v>
      </c>
      <c r="H84" s="1126" t="n">
        <v>343241</v>
      </c>
      <c r="I84" s="1126" t="n">
        <v>54165506</v>
      </c>
      <c r="J84" s="1126" t="n">
        <v>238215</v>
      </c>
      <c r="K84" s="1095" t="n"/>
      <c r="L84" s="972" t="n"/>
      <c r="M84" s="1124">
        <f>G84-G83</f>
        <v/>
      </c>
      <c r="N84" s="1124">
        <f>H84-H83</f>
        <v/>
      </c>
      <c r="O84" s="1124">
        <f>I84-I83</f>
        <v/>
      </c>
      <c r="P84" s="1124">
        <f>J84-J83</f>
        <v/>
      </c>
      <c r="Q84" s="972" t="n"/>
      <c r="R84" s="1124" t="n"/>
      <c r="S84" s="1124" t="n"/>
      <c r="T84" s="1124" t="n"/>
      <c r="U84" s="1124" t="n"/>
      <c r="V84" s="972" t="n"/>
      <c r="W84" s="972" t="n"/>
      <c r="X84" s="972" t="n"/>
      <c r="Y84" s="972" t="n"/>
      <c r="Z84" s="972" t="n"/>
    </row>
    <row r="85">
      <c r="A85" s="1116" t="n">
        <v>85</v>
      </c>
      <c r="B85" s="1122" t="n"/>
      <c r="C85" s="1126" t="n"/>
      <c r="D85" s="1126" t="n"/>
      <c r="E85" s="1126" t="n"/>
      <c r="F85" s="1125" t="n"/>
      <c r="G85" s="1122" t="n">
        <v>465432</v>
      </c>
      <c r="H85" s="1126" t="n">
        <v>306754</v>
      </c>
      <c r="I85" s="1126" t="n">
        <v>57701680</v>
      </c>
      <c r="J85" s="1126" t="n">
        <v>266250</v>
      </c>
      <c r="K85" s="1095" t="n"/>
      <c r="L85" s="972" t="n"/>
      <c r="M85" s="1124">
        <f>G85-G84</f>
        <v/>
      </c>
      <c r="N85" s="1124">
        <f>H85-H84</f>
        <v/>
      </c>
      <c r="O85" s="1124">
        <f>I85-I84</f>
        <v/>
      </c>
      <c r="P85" s="1124">
        <f>J85-J84</f>
        <v/>
      </c>
      <c r="Q85" s="972" t="n"/>
      <c r="R85" s="1124" t="n"/>
      <c r="S85" s="1124" t="n"/>
      <c r="T85" s="1124" t="n"/>
      <c r="U85" s="1124" t="n"/>
      <c r="V85" s="972" t="n"/>
      <c r="W85" s="972" t="n"/>
      <c r="X85" s="972" t="n"/>
      <c r="Y85" s="972" t="n"/>
      <c r="Z85" s="972" t="n"/>
    </row>
    <row r="86">
      <c r="A86" s="1116" t="n">
        <v>86</v>
      </c>
      <c r="B86" s="1122" t="n"/>
      <c r="C86" s="1126" t="n"/>
      <c r="D86" s="1126" t="n"/>
      <c r="E86" s="1126" t="n"/>
      <c r="F86" s="1125" t="n"/>
      <c r="G86" s="1122" t="n">
        <v>509070</v>
      </c>
      <c r="H86" s="1126" t="n">
        <v>321272</v>
      </c>
      <c r="I86" s="1126" t="n">
        <v>58844839</v>
      </c>
      <c r="J86" s="1126" t="n">
        <v>273750</v>
      </c>
      <c r="K86" s="1095" t="n"/>
      <c r="L86" s="972" t="n"/>
      <c r="M86" s="1124">
        <f>G86-G85</f>
        <v/>
      </c>
      <c r="N86" s="1124">
        <f>H86-H85</f>
        <v/>
      </c>
      <c r="O86" s="1124">
        <f>I86-I85</f>
        <v/>
      </c>
      <c r="P86" s="1124">
        <f>J86-J85</f>
        <v/>
      </c>
      <c r="Q86" s="972" t="n"/>
      <c r="R86" s="1124" t="n"/>
      <c r="S86" s="1124" t="n"/>
      <c r="T86" s="1124" t="n"/>
      <c r="U86" s="1124" t="n"/>
      <c r="V86" s="972" t="n"/>
      <c r="W86" s="972" t="n"/>
      <c r="X86" s="972" t="n"/>
      <c r="Y86" s="972" t="n"/>
      <c r="Z86" s="972" t="n"/>
    </row>
    <row r="87">
      <c r="A87" s="1116" t="n">
        <v>87</v>
      </c>
      <c r="B87" s="1122" t="n"/>
      <c r="C87" s="1126" t="n"/>
      <c r="D87" s="1126" t="n"/>
      <c r="E87" s="1126" t="n"/>
      <c r="F87" s="1125" t="n"/>
      <c r="G87" s="1122" t="n">
        <v>536661</v>
      </c>
      <c r="H87" s="1126" t="n">
        <v>328538</v>
      </c>
      <c r="I87" s="1126" t="n">
        <v>59583099</v>
      </c>
      <c r="J87" s="1126" t="n">
        <v>277500</v>
      </c>
      <c r="K87" s="1095" t="n"/>
      <c r="L87" s="972" t="n"/>
      <c r="M87" s="1124">
        <f>G87-G86</f>
        <v/>
      </c>
      <c r="N87" s="1124">
        <f>H87-H86</f>
        <v/>
      </c>
      <c r="O87" s="1124">
        <f>I87-I86</f>
        <v/>
      </c>
      <c r="P87" s="1124">
        <f>J87-J86</f>
        <v/>
      </c>
      <c r="Q87" s="972" t="n"/>
      <c r="R87" s="1124" t="n"/>
      <c r="S87" s="1124" t="n"/>
      <c r="T87" s="1124" t="n"/>
      <c r="U87" s="1124" t="n"/>
      <c r="V87" s="972" t="n"/>
      <c r="W87" s="972" t="n"/>
      <c r="X87" s="972" t="n"/>
      <c r="Y87" s="972" t="n"/>
      <c r="Z87" s="972" t="n"/>
    </row>
    <row r="88">
      <c r="A88" s="1116" t="n">
        <v>88</v>
      </c>
      <c r="B88" s="1122" t="n"/>
      <c r="C88" s="1126" t="n"/>
      <c r="D88" s="1126" t="n"/>
      <c r="E88" s="1126" t="n"/>
      <c r="F88" s="1125" t="n"/>
      <c r="G88" s="1122" t="n">
        <v>579670</v>
      </c>
      <c r="H88" s="1126" t="n">
        <v>343056</v>
      </c>
      <c r="I88" s="1126" t="n">
        <v>60082412</v>
      </c>
      <c r="J88" s="1126" t="n">
        <v>285000</v>
      </c>
      <c r="K88" s="1095" t="n"/>
      <c r="L88" s="972" t="n"/>
      <c r="M88" s="1124">
        <f>G88-G87</f>
        <v/>
      </c>
      <c r="N88" s="1124">
        <f>H88-H87</f>
        <v/>
      </c>
      <c r="O88" s="1124">
        <f>I88-I87</f>
        <v/>
      </c>
      <c r="P88" s="1124">
        <f>J88-J87</f>
        <v/>
      </c>
      <c r="Q88" s="972" t="n"/>
      <c r="R88" s="1124" t="n"/>
      <c r="S88" s="1124" t="n"/>
      <c r="T88" s="1124" t="n"/>
      <c r="U88" s="1124" t="n"/>
      <c r="V88" s="972" t="n"/>
      <c r="W88" s="972" t="n"/>
      <c r="X88" s="972" t="n"/>
      <c r="Y88" s="972" t="n"/>
      <c r="Z88" s="972" t="n"/>
    </row>
    <row r="89">
      <c r="A89" s="1116" t="n">
        <v>89</v>
      </c>
      <c r="B89" s="1122" t="n"/>
      <c r="C89" s="1126" t="n"/>
      <c r="D89" s="1126" t="n"/>
      <c r="E89" s="1126" t="n"/>
      <c r="F89" s="1125" t="n"/>
      <c r="G89" s="1122" t="n">
        <v>602235</v>
      </c>
      <c r="H89" s="1126" t="n">
        <v>350315</v>
      </c>
      <c r="I89" s="1126" t="n">
        <v>61414700</v>
      </c>
      <c r="J89" s="1126" t="n">
        <v>288750</v>
      </c>
      <c r="K89" s="1095" t="n"/>
      <c r="L89" s="972" t="n"/>
      <c r="M89" s="1124">
        <f>G89-G88</f>
        <v/>
      </c>
      <c r="N89" s="1124">
        <f>H89-H88</f>
        <v/>
      </c>
      <c r="O89" s="1124">
        <f>I89-I88</f>
        <v/>
      </c>
      <c r="P89" s="1124">
        <f>J89-J88</f>
        <v/>
      </c>
      <c r="Q89" s="972" t="n"/>
      <c r="R89" s="1124" t="n"/>
      <c r="S89" s="1124" t="n"/>
      <c r="T89" s="1124" t="n"/>
      <c r="U89" s="1124" t="n"/>
      <c r="V89" s="972" t="n"/>
      <c r="W89" s="972" t="n"/>
      <c r="X89" s="972" t="n"/>
      <c r="Y89" s="972" t="n"/>
      <c r="Z89" s="972" t="n"/>
    </row>
    <row r="90">
      <c r="A90" s="1116" t="n">
        <v>90</v>
      </c>
      <c r="B90" s="1122" t="n"/>
      <c r="C90" s="1126" t="n"/>
      <c r="D90" s="1126" t="n"/>
      <c r="E90" s="1126" t="n"/>
      <c r="F90" s="1125" t="n"/>
      <c r="G90" s="1122" t="n">
        <v>631437</v>
      </c>
      <c r="H90" s="1126" t="n">
        <v>364840</v>
      </c>
      <c r="I90" s="1126" t="n">
        <v>64503430</v>
      </c>
      <c r="J90" s="1126" t="n">
        <v>296250</v>
      </c>
      <c r="K90" s="1095" t="n"/>
      <c r="L90" s="972" t="n"/>
      <c r="M90" s="1124">
        <f>G90-G89</f>
        <v/>
      </c>
      <c r="N90" s="1124">
        <f>H90-H89</f>
        <v/>
      </c>
      <c r="O90" s="1124">
        <f>I90-I89</f>
        <v/>
      </c>
      <c r="P90" s="1124">
        <f>J90-J89</f>
        <v/>
      </c>
      <c r="Q90" s="972" t="n"/>
      <c r="R90" s="1124" t="n"/>
      <c r="S90" s="1124" t="n"/>
      <c r="T90" s="1124" t="n"/>
      <c r="U90" s="1124" t="n"/>
      <c r="V90" s="972" t="n"/>
      <c r="W90" s="972" t="n"/>
      <c r="X90" s="972" t="n"/>
      <c r="Y90" s="972" t="n"/>
      <c r="Z90" s="972" t="n"/>
    </row>
    <row r="91">
      <c r="A91" s="1116" t="n">
        <v>91</v>
      </c>
      <c r="B91" s="1122" t="n"/>
      <c r="C91" s="1126" t="n"/>
      <c r="D91" s="1126" t="n"/>
      <c r="E91" s="1126" t="n"/>
      <c r="F91" s="1125" t="n"/>
      <c r="G91" s="1122" t="n">
        <v>646130</v>
      </c>
      <c r="H91" s="1126" t="n">
        <v>372099</v>
      </c>
      <c r="I91" s="1126" t="n">
        <v>65368212</v>
      </c>
      <c r="J91" s="1126" t="n">
        <v>300000</v>
      </c>
      <c r="K91" s="1095" t="n"/>
      <c r="L91" s="972" t="n"/>
      <c r="M91" s="1124">
        <f>G91-G90</f>
        <v/>
      </c>
      <c r="N91" s="1124">
        <f>H91-H90</f>
        <v/>
      </c>
      <c r="O91" s="1124">
        <f>I91-I90</f>
        <v/>
      </c>
      <c r="P91" s="1124">
        <f>J91-J90</f>
        <v/>
      </c>
      <c r="Q91" s="972" t="n"/>
      <c r="R91" s="1124" t="n"/>
      <c r="S91" s="1124" t="n"/>
      <c r="T91" s="1124" t="n"/>
      <c r="U91" s="1124" t="n"/>
      <c r="V91" s="972" t="n"/>
      <c r="W91" s="972" t="n"/>
      <c r="X91" s="972" t="n"/>
      <c r="Y91" s="972" t="n"/>
      <c r="Z91" s="972" t="n"/>
    </row>
    <row r="92">
      <c r="A92" s="1116" t="n">
        <v>92</v>
      </c>
      <c r="B92" s="1122" t="n"/>
      <c r="C92" s="1126" t="n"/>
      <c r="D92" s="1126" t="n"/>
      <c r="E92" s="1126" t="n"/>
      <c r="F92" s="1125" t="n"/>
      <c r="G92" s="1122" t="n">
        <v>675732</v>
      </c>
      <c r="H92" s="1126" t="n">
        <v>386624</v>
      </c>
      <c r="I92" s="1126" t="n">
        <v>69423128</v>
      </c>
      <c r="J92" s="1126" t="n">
        <v>307500</v>
      </c>
      <c r="K92" s="1095" t="n"/>
      <c r="L92" s="972" t="n"/>
      <c r="M92" s="1124">
        <f>G92-G91</f>
        <v/>
      </c>
      <c r="N92" s="1124">
        <f>H92-H91</f>
        <v/>
      </c>
      <c r="O92" s="1124">
        <f>I92-I91</f>
        <v/>
      </c>
      <c r="P92" s="1124">
        <f>J92-J91</f>
        <v/>
      </c>
      <c r="Q92" s="972" t="n"/>
      <c r="R92" s="1124" t="n"/>
      <c r="S92" s="1124" t="n"/>
      <c r="T92" s="1124" t="n"/>
      <c r="U92" s="1124" t="n"/>
      <c r="V92" s="972" t="n"/>
      <c r="W92" s="972" t="n"/>
      <c r="X92" s="972" t="n"/>
      <c r="Y92" s="972" t="n"/>
      <c r="Z92" s="972" t="n"/>
    </row>
    <row r="93">
      <c r="A93" s="1116" t="n">
        <v>93</v>
      </c>
      <c r="B93" s="1122" t="n"/>
      <c r="C93" s="1126" t="n"/>
      <c r="D93" s="1126" t="n"/>
      <c r="E93" s="1126" t="n"/>
      <c r="F93" s="1125" t="n"/>
      <c r="G93" s="1122" t="n">
        <v>690627</v>
      </c>
      <c r="H93" s="1126" t="n">
        <v>393883</v>
      </c>
      <c r="I93" s="1126" t="n">
        <v>70175676</v>
      </c>
      <c r="J93" s="1126" t="n">
        <v>311250</v>
      </c>
      <c r="K93" s="1095" t="n"/>
      <c r="L93" s="972" t="n"/>
      <c r="M93" s="1124">
        <f>G93-G92</f>
        <v/>
      </c>
      <c r="N93" s="1124">
        <f>H93-H92</f>
        <v/>
      </c>
      <c r="O93" s="1124">
        <f>I93-I92</f>
        <v/>
      </c>
      <c r="P93" s="1124">
        <f>J93-J92</f>
        <v/>
      </c>
      <c r="Q93" s="972" t="n"/>
      <c r="R93" s="1124" t="n"/>
      <c r="S93" s="1124" t="n"/>
      <c r="T93" s="1124" t="n"/>
      <c r="U93" s="1124" t="n"/>
      <c r="V93" s="972" t="n"/>
      <c r="W93" s="972" t="n"/>
      <c r="X93" s="972" t="n"/>
      <c r="Y93" s="972" t="n"/>
      <c r="Z93" s="972" t="n"/>
    </row>
    <row r="94">
      <c r="A94" s="1116" t="n">
        <v>94</v>
      </c>
      <c r="B94" s="1122" t="n"/>
      <c r="C94" s="1126" t="n"/>
      <c r="D94" s="1126" t="n"/>
      <c r="E94" s="1126" t="n"/>
      <c r="F94" s="1125" t="n"/>
      <c r="G94" s="1122" t="n">
        <v>720631</v>
      </c>
      <c r="H94" s="1126" t="n">
        <v>408408</v>
      </c>
      <c r="I94" s="1126" t="n">
        <v>73058374</v>
      </c>
      <c r="J94" s="1126" t="n">
        <v>318750</v>
      </c>
      <c r="K94" s="1095" t="n"/>
      <c r="L94" s="972" t="n"/>
      <c r="M94" s="1124">
        <f>G94-G93</f>
        <v/>
      </c>
      <c r="N94" s="1124">
        <f>H94-H93</f>
        <v/>
      </c>
      <c r="O94" s="1124">
        <f>I94-I93</f>
        <v/>
      </c>
      <c r="P94" s="1124">
        <f>J94-J93</f>
        <v/>
      </c>
      <c r="Q94" s="972" t="n"/>
      <c r="R94" s="1124" t="n"/>
      <c r="S94" s="1124" t="n"/>
      <c r="T94" s="1124" t="n"/>
      <c r="U94" s="1124" t="n"/>
      <c r="V94" s="972" t="n"/>
      <c r="W94" s="972" t="n"/>
      <c r="X94" s="972" t="n"/>
      <c r="Y94" s="972" t="n"/>
      <c r="Z94" s="972" t="n"/>
    </row>
    <row r="95">
      <c r="A95" s="1127" t="inlineStr">
        <is>
          <t>95&amp;96</t>
        </is>
      </c>
      <c r="B95" s="1122" t="n"/>
      <c r="C95" s="1126" t="n"/>
      <c r="D95" s="1126" t="n"/>
      <c r="E95" s="1126" t="n"/>
      <c r="F95" s="1125" t="n"/>
      <c r="G95" s="1122" t="n">
        <v>735725</v>
      </c>
      <c r="H95" s="1126" t="n">
        <v>415667</v>
      </c>
      <c r="I95" s="1126" t="n">
        <v>74221693</v>
      </c>
      <c r="J95" s="1126" t="n">
        <v>322500</v>
      </c>
      <c r="K95" s="1095" t="n"/>
      <c r="L95" s="972" t="n"/>
      <c r="M95" s="1124">
        <f>G95-G94</f>
        <v/>
      </c>
      <c r="N95" s="1124">
        <f>H95-H94</f>
        <v/>
      </c>
      <c r="O95" s="1124">
        <f>I95-I94</f>
        <v/>
      </c>
      <c r="P95" s="1124">
        <f>J95-J94</f>
        <v/>
      </c>
      <c r="Q95" s="972" t="n"/>
      <c r="R95" s="1124" t="n"/>
      <c r="S95" s="1124" t="n"/>
      <c r="T95" s="1124" t="n"/>
      <c r="U95" s="1124" t="n"/>
      <c r="V95" s="972" t="n"/>
      <c r="W95" s="972" t="n"/>
      <c r="X95" s="972" t="n"/>
      <c r="Y95" s="972" t="n"/>
      <c r="Z95" s="972" t="n"/>
    </row>
    <row r="96">
      <c r="A96" s="1116" t="n">
        <v>97</v>
      </c>
      <c r="B96" s="1122" t="n"/>
      <c r="C96" s="1126" t="n"/>
      <c r="D96" s="1126" t="n"/>
      <c r="E96" s="1126" t="n"/>
      <c r="F96" s="1125" t="n"/>
      <c r="G96" s="1122" t="n">
        <v>766131</v>
      </c>
      <c r="H96" s="1126" t="n">
        <v>430192</v>
      </c>
      <c r="I96" s="1126" t="n">
        <v>77632663</v>
      </c>
      <c r="J96" s="1126" t="n">
        <v>330000</v>
      </c>
      <c r="K96" s="1095" t="n"/>
      <c r="L96" s="972" t="n"/>
      <c r="M96" s="1124">
        <f>G96-G95</f>
        <v/>
      </c>
      <c r="N96" s="1124">
        <f>H96-H95</f>
        <v/>
      </c>
      <c r="O96" s="1124">
        <f>I96-I95</f>
        <v/>
      </c>
      <c r="P96" s="1124">
        <f>J96-J95</f>
        <v/>
      </c>
      <c r="Q96" s="972" t="n"/>
      <c r="R96" s="1124" t="n"/>
      <c r="S96" s="1124" t="n"/>
      <c r="T96" s="1124" t="n"/>
      <c r="U96" s="1124" t="n"/>
      <c r="V96" s="972" t="n"/>
      <c r="W96" s="972" t="n"/>
      <c r="X96" s="972" t="n"/>
      <c r="Y96" s="972" t="n"/>
      <c r="Z96" s="972" t="n"/>
    </row>
    <row r="97">
      <c r="A97" s="1116" t="n">
        <v>98</v>
      </c>
      <c r="B97" s="1122" t="n"/>
      <c r="C97" s="1126" t="n"/>
      <c r="D97" s="1126" t="n"/>
      <c r="E97" s="1126" t="n"/>
      <c r="F97" s="1125" t="n"/>
      <c r="G97" s="1122" t="n">
        <v>781427</v>
      </c>
      <c r="H97" s="1126" t="n">
        <v>437451</v>
      </c>
      <c r="I97" s="1126" t="n">
        <v>78102240</v>
      </c>
      <c r="J97" s="1126" t="n">
        <v>333750</v>
      </c>
      <c r="K97" s="1095" t="n"/>
      <c r="L97" s="972" t="n"/>
      <c r="M97" s="1124">
        <f>G97-G96</f>
        <v/>
      </c>
      <c r="N97" s="1124">
        <f>H97-H96</f>
        <v/>
      </c>
      <c r="O97" s="1124">
        <f>I97-I96</f>
        <v/>
      </c>
      <c r="P97" s="1124">
        <f>J97-J96</f>
        <v/>
      </c>
      <c r="Q97" s="972" t="n"/>
      <c r="R97" s="1124" t="n"/>
      <c r="S97" s="1124" t="n"/>
      <c r="T97" s="1124" t="n"/>
      <c r="U97" s="1124" t="n"/>
      <c r="V97" s="972" t="n"/>
      <c r="W97" s="972" t="n"/>
      <c r="X97" s="972" t="n"/>
      <c r="Y97" s="972" t="n"/>
      <c r="Z97" s="972" t="n"/>
    </row>
    <row r="98">
      <c r="A98" s="1116" t="n">
        <v>99</v>
      </c>
      <c r="B98" s="1122" t="n"/>
      <c r="C98" s="1126" t="n"/>
      <c r="D98" s="1126" t="n"/>
      <c r="E98" s="1126" t="n"/>
      <c r="F98" s="1125" t="n"/>
      <c r="G98" s="1122" t="n">
        <v>812236</v>
      </c>
      <c r="H98" s="1126" t="n">
        <v>451976</v>
      </c>
      <c r="I98" s="1126" t="n">
        <v>80140349</v>
      </c>
      <c r="J98" s="1126" t="n">
        <v>341250</v>
      </c>
      <c r="K98" s="1095" t="n"/>
      <c r="L98" s="972" t="n"/>
      <c r="M98" s="1124">
        <f>G98-G97</f>
        <v/>
      </c>
      <c r="N98" s="1124">
        <f>H98-H97</f>
        <v/>
      </c>
      <c r="O98" s="1124">
        <f>I98-I97</f>
        <v/>
      </c>
      <c r="P98" s="1124">
        <f>J98-J97</f>
        <v/>
      </c>
      <c r="Q98" s="972" t="n"/>
      <c r="R98" s="1124" t="n"/>
      <c r="S98" s="1124" t="n"/>
      <c r="T98" s="1124" t="n"/>
      <c r="U98" s="1124" t="n"/>
      <c r="V98" s="972" t="n"/>
      <c r="W98" s="972" t="n"/>
      <c r="X98" s="972" t="n"/>
      <c r="Y98" s="972" t="n"/>
      <c r="Z98" s="972" t="n"/>
    </row>
    <row r="99">
      <c r="A99" s="1116" t="n">
        <v>100</v>
      </c>
      <c r="B99" s="1122" t="n"/>
      <c r="C99" s="1126" t="n"/>
      <c r="D99" s="1126" t="n"/>
      <c r="E99" s="1126" t="n"/>
      <c r="F99" s="1125" t="n"/>
      <c r="G99" s="1122" t="n">
        <v>827732</v>
      </c>
      <c r="H99" s="1126" t="n">
        <v>459235</v>
      </c>
      <c r="I99" s="1126" t="n">
        <v>81068895</v>
      </c>
      <c r="J99" s="1126" t="n">
        <v>345000</v>
      </c>
      <c r="K99" s="1095" t="n"/>
      <c r="L99" s="972" t="n"/>
      <c r="M99" s="1124">
        <f>G99-G98</f>
        <v/>
      </c>
      <c r="N99" s="1124">
        <f>H99-H98</f>
        <v/>
      </c>
      <c r="O99" s="1124">
        <f>I99-I98</f>
        <v/>
      </c>
      <c r="P99" s="1124">
        <f>J99-J98</f>
        <v/>
      </c>
      <c r="Q99" s="972" t="n"/>
      <c r="R99" s="1124" t="n"/>
      <c r="S99" s="1124" t="n"/>
      <c r="T99" s="1124" t="n"/>
      <c r="U99" s="1124" t="n"/>
      <c r="V99" s="972" t="n"/>
      <c r="W99" s="972" t="n"/>
      <c r="X99" s="972" t="n"/>
      <c r="Y99" s="972" t="n"/>
      <c r="Z99" s="972" t="n"/>
    </row>
    <row r="100">
      <c r="A100" s="1116" t="n">
        <v>101</v>
      </c>
      <c r="B100" s="1122" t="n">
        <v>413866</v>
      </c>
      <c r="C100" s="1126" t="n">
        <v>229617</v>
      </c>
      <c r="D100" s="1126" t="n">
        <v>35805428</v>
      </c>
      <c r="E100" s="1126" t="n">
        <v>224250</v>
      </c>
      <c r="F100" s="1125" t="n"/>
      <c r="G100" s="1122" t="n">
        <v>858942</v>
      </c>
      <c r="H100" s="1126" t="n">
        <v>473753</v>
      </c>
      <c r="I100" s="1126" t="n">
        <v>83515548</v>
      </c>
      <c r="J100" s="1126" t="n">
        <v>352500</v>
      </c>
      <c r="K100" s="1095" t="n"/>
      <c r="L100" s="972" t="n"/>
      <c r="M100" s="1124">
        <f>G100-G99</f>
        <v/>
      </c>
      <c r="N100" s="1124">
        <f>H100-H99</f>
        <v/>
      </c>
      <c r="O100" s="1124">
        <f>I100-I99</f>
        <v/>
      </c>
      <c r="P100" s="1124">
        <f>J100-J99</f>
        <v/>
      </c>
      <c r="Q100" s="972" t="n"/>
      <c r="R100" s="1124" t="n"/>
      <c r="S100" s="1124" t="n"/>
      <c r="T100" s="1124" t="n"/>
      <c r="U100" s="1124" t="n"/>
      <c r="V100" s="972" t="n"/>
      <c r="W100" s="972" t="n"/>
      <c r="X100" s="972" t="n"/>
      <c r="Y100" s="972" t="n"/>
      <c r="Z100" s="972" t="n"/>
    </row>
    <row r="101">
      <c r="A101" s="972" t="n"/>
      <c r="B101" s="972" t="n"/>
      <c r="C101" s="972" t="n"/>
      <c r="D101" s="972" t="n"/>
      <c r="E101" s="972" t="n"/>
      <c r="F101" s="972" t="n"/>
      <c r="G101" s="972" t="n"/>
      <c r="H101" s="972" t="n"/>
      <c r="I101" s="972" t="n"/>
      <c r="J101" s="972" t="n"/>
      <c r="K101" s="972" t="n"/>
      <c r="L101" s="972" t="n"/>
      <c r="M101" s="972" t="n"/>
      <c r="N101" s="972" t="n"/>
      <c r="O101" s="972" t="n"/>
      <c r="P101" s="972" t="n"/>
      <c r="Q101" s="972" t="n"/>
      <c r="R101" s="972" t="n"/>
      <c r="S101" s="972" t="n"/>
      <c r="T101" s="972" t="n"/>
      <c r="U101" s="972" t="n"/>
      <c r="V101" s="972" t="n"/>
      <c r="W101" s="972" t="n"/>
      <c r="X101" s="972" t="n"/>
      <c r="Y101" s="972" t="n"/>
      <c r="Z101" s="972" t="n"/>
    </row>
    <row r="102">
      <c r="A102" s="972" t="n"/>
      <c r="B102" s="972" t="n"/>
      <c r="C102" s="972" t="n"/>
      <c r="D102" s="972" t="n"/>
      <c r="E102" s="972" t="n"/>
      <c r="F102" s="972" t="n"/>
      <c r="G102" s="972" t="n"/>
      <c r="H102" s="972" t="n"/>
      <c r="I102" s="972" t="n"/>
      <c r="J102" s="972" t="n"/>
      <c r="K102" s="972" t="n"/>
      <c r="L102" s="972" t="n"/>
      <c r="M102" s="972" t="n"/>
      <c r="N102" s="972" t="n"/>
      <c r="O102" s="972" t="n"/>
      <c r="P102" s="972" t="n"/>
      <c r="Q102" s="972" t="n"/>
      <c r="R102" s="972" t="n"/>
      <c r="S102" s="972" t="n"/>
      <c r="T102" s="972" t="n"/>
      <c r="U102" s="972" t="n"/>
      <c r="V102" s="972" t="n"/>
      <c r="W102" s="972" t="n"/>
      <c r="X102" s="972" t="n"/>
      <c r="Y102" s="972" t="n"/>
      <c r="Z102" s="972" t="n"/>
    </row>
    <row r="103">
      <c r="A103" s="972" t="n"/>
      <c r="B103" s="972" t="n"/>
      <c r="C103" s="972" t="n"/>
      <c r="D103" s="972" t="n"/>
      <c r="E103" s="972" t="n"/>
      <c r="F103" s="972" t="n"/>
      <c r="G103" s="972" t="n"/>
      <c r="H103" s="972" t="n"/>
      <c r="I103" s="972" t="n"/>
      <c r="J103" s="972" t="n"/>
      <c r="K103" s="972" t="n"/>
      <c r="L103" s="972" t="n"/>
      <c r="M103" s="972" t="n"/>
      <c r="N103" s="972" t="n"/>
      <c r="O103" s="972" t="n"/>
      <c r="P103" s="972" t="n"/>
      <c r="Q103" s="972" t="n"/>
      <c r="R103" s="972" t="n"/>
      <c r="S103" s="972" t="n"/>
      <c r="T103" s="972" t="n"/>
      <c r="U103" s="972" t="n"/>
      <c r="V103" s="972" t="n"/>
      <c r="W103" s="972" t="n"/>
      <c r="X103" s="972" t="n"/>
      <c r="Y103" s="972" t="n"/>
      <c r="Z103" s="972" t="n"/>
    </row>
    <row r="104">
      <c r="A104" s="972" t="n"/>
      <c r="B104" s="972" t="n"/>
      <c r="C104" s="972" t="n"/>
      <c r="D104" s="972" t="n"/>
      <c r="E104" s="972" t="n"/>
      <c r="F104" s="972" t="n"/>
      <c r="G104" s="972" t="n"/>
      <c r="H104" s="972" t="n"/>
      <c r="I104" s="972" t="n"/>
      <c r="J104" s="972" t="n"/>
      <c r="K104" s="972" t="n"/>
      <c r="L104" s="972" t="n"/>
      <c r="M104" s="972" t="n"/>
      <c r="N104" s="972" t="n"/>
      <c r="O104" s="972" t="n"/>
      <c r="P104" s="972" t="n"/>
      <c r="Q104" s="972" t="n"/>
      <c r="R104" s="972" t="n"/>
      <c r="S104" s="972" t="n"/>
      <c r="T104" s="972" t="n"/>
      <c r="U104" s="972" t="n"/>
      <c r="V104" s="972" t="n"/>
      <c r="W104" s="972" t="n"/>
      <c r="X104" s="972" t="n"/>
      <c r="Y104" s="972" t="n"/>
      <c r="Z104" s="972" t="n"/>
    </row>
    <row r="105">
      <c r="A105" s="972" t="n"/>
      <c r="B105" s="972" t="n"/>
      <c r="C105" s="972" t="n"/>
      <c r="D105" s="972" t="n"/>
      <c r="E105" s="972" t="n"/>
      <c r="F105" s="972" t="n"/>
      <c r="G105" s="972" t="n"/>
      <c r="H105" s="972" t="n"/>
      <c r="I105" s="972" t="n"/>
      <c r="J105" s="972" t="n"/>
      <c r="K105" s="972" t="n"/>
      <c r="L105" s="972" t="n"/>
      <c r="M105" s="972" t="n"/>
      <c r="N105" s="972" t="n"/>
      <c r="O105" s="972" t="n"/>
      <c r="P105" s="972" t="n"/>
      <c r="Q105" s="972" t="n"/>
      <c r="R105" s="972" t="n"/>
      <c r="S105" s="972" t="n"/>
      <c r="T105" s="972" t="n"/>
      <c r="U105" s="972" t="n"/>
      <c r="V105" s="972" t="n"/>
      <c r="W105" s="972" t="n"/>
      <c r="X105" s="972" t="n"/>
      <c r="Y105" s="972" t="n"/>
      <c r="Z105" s="972" t="n"/>
    </row>
    <row r="106">
      <c r="A106" s="972" t="n"/>
      <c r="B106" s="972" t="n"/>
      <c r="C106" s="972" t="n"/>
      <c r="D106" s="972" t="n"/>
      <c r="E106" s="972" t="n"/>
      <c r="F106" s="972" t="n"/>
      <c r="G106" s="972" t="n"/>
      <c r="H106" s="972" t="n"/>
      <c r="I106" s="972" t="n"/>
      <c r="J106" s="972" t="n"/>
      <c r="K106" s="972" t="n"/>
      <c r="L106" s="972" t="n"/>
      <c r="M106" s="972" t="n"/>
      <c r="N106" s="972" t="n"/>
      <c r="O106" s="972" t="n"/>
      <c r="P106" s="972" t="n"/>
      <c r="Q106" s="972" t="n"/>
      <c r="R106" s="972" t="n"/>
      <c r="S106" s="972" t="n"/>
      <c r="T106" s="972" t="n"/>
      <c r="U106" s="972" t="n"/>
      <c r="V106" s="972" t="n"/>
      <c r="W106" s="972" t="n"/>
      <c r="X106" s="972" t="n"/>
      <c r="Y106" s="972" t="n"/>
      <c r="Z106" s="972" t="n"/>
    </row>
    <row r="107">
      <c r="A107" s="972" t="n"/>
      <c r="B107" s="972" t="n"/>
      <c r="C107" s="972" t="n"/>
      <c r="D107" s="972" t="n"/>
      <c r="E107" s="972" t="n"/>
      <c r="F107" s="972" t="n"/>
      <c r="G107" s="972" t="n"/>
      <c r="H107" s="972" t="n"/>
      <c r="I107" s="972" t="n"/>
      <c r="J107" s="972" t="n"/>
      <c r="K107" s="972" t="n"/>
      <c r="L107" s="972" t="n"/>
      <c r="M107" s="972" t="n"/>
      <c r="N107" s="972" t="n"/>
      <c r="O107" s="972" t="n"/>
      <c r="P107" s="972" t="n"/>
      <c r="Q107" s="972" t="n"/>
      <c r="R107" s="972" t="n"/>
      <c r="S107" s="972" t="n"/>
      <c r="T107" s="972" t="n"/>
      <c r="U107" s="972" t="n"/>
      <c r="V107" s="972" t="n"/>
      <c r="W107" s="972" t="n"/>
      <c r="X107" s="972" t="n"/>
      <c r="Y107" s="972" t="n"/>
      <c r="Z107" s="972" t="n"/>
    </row>
    <row r="108">
      <c r="A108" s="972" t="n"/>
      <c r="B108" s="972" t="n"/>
      <c r="C108" s="972" t="n"/>
      <c r="D108" s="972" t="n"/>
      <c r="E108" s="972" t="n"/>
      <c r="F108" s="972" t="n"/>
      <c r="G108" s="972" t="n"/>
      <c r="H108" s="972" t="n"/>
      <c r="I108" s="972" t="n"/>
      <c r="J108" s="972" t="n"/>
      <c r="K108" s="972" t="n"/>
      <c r="L108" s="972" t="n"/>
      <c r="M108" s="972" t="n"/>
      <c r="N108" s="972" t="n"/>
      <c r="O108" s="972" t="n"/>
      <c r="P108" s="972" t="n"/>
      <c r="Q108" s="972" t="n"/>
      <c r="R108" s="972" t="n"/>
      <c r="S108" s="972" t="n"/>
      <c r="T108" s="972" t="n"/>
      <c r="U108" s="972" t="n"/>
      <c r="V108" s="972" t="n"/>
      <c r="W108" s="972" t="n"/>
      <c r="X108" s="972" t="n"/>
      <c r="Y108" s="972" t="n"/>
      <c r="Z108" s="972" t="n"/>
    </row>
    <row r="109">
      <c r="A109" s="972" t="n"/>
      <c r="B109" s="972" t="n"/>
      <c r="C109" s="972" t="n"/>
      <c r="D109" s="972" t="n"/>
      <c r="E109" s="972" t="n"/>
      <c r="F109" s="972" t="n"/>
      <c r="G109" s="972" t="n"/>
      <c r="H109" s="972" t="n"/>
      <c r="I109" s="972" t="n"/>
      <c r="J109" s="972" t="n"/>
      <c r="K109" s="972" t="n"/>
      <c r="L109" s="972" t="n"/>
      <c r="M109" s="972" t="n"/>
      <c r="N109" s="972" t="n"/>
      <c r="O109" s="972" t="n"/>
      <c r="P109" s="972" t="n"/>
      <c r="Q109" s="972" t="n"/>
      <c r="R109" s="972" t="n"/>
      <c r="S109" s="972" t="n"/>
      <c r="T109" s="972" t="n"/>
      <c r="U109" s="972" t="n"/>
      <c r="V109" s="972" t="n"/>
      <c r="W109" s="972" t="n"/>
      <c r="X109" s="972" t="n"/>
      <c r="Y109" s="972" t="n"/>
      <c r="Z109" s="972" t="n"/>
    </row>
    <row r="110">
      <c r="A110" s="972" t="n"/>
      <c r="B110" s="972" t="n"/>
      <c r="C110" s="972" t="n"/>
      <c r="D110" s="972" t="n"/>
      <c r="E110" s="972" t="n"/>
      <c r="F110" s="972" t="n"/>
      <c r="G110" s="972" t="n"/>
      <c r="H110" s="972" t="n"/>
      <c r="I110" s="972" t="n"/>
      <c r="J110" s="972" t="n"/>
      <c r="K110" s="972" t="n"/>
      <c r="L110" s="972" t="n"/>
      <c r="M110" s="972" t="n"/>
      <c r="N110" s="972" t="n"/>
      <c r="O110" s="972" t="n"/>
      <c r="P110" s="972" t="n"/>
      <c r="Q110" s="972" t="n"/>
      <c r="R110" s="972" t="n"/>
      <c r="S110" s="972" t="n"/>
      <c r="T110" s="972" t="n"/>
      <c r="U110" s="972" t="n"/>
      <c r="V110" s="972" t="n"/>
      <c r="W110" s="972" t="n"/>
      <c r="X110" s="972" t="n"/>
      <c r="Y110" s="972" t="n"/>
      <c r="Z110" s="972" t="n"/>
    </row>
    <row r="111">
      <c r="A111" s="972" t="n"/>
      <c r="B111" s="972" t="n"/>
      <c r="C111" s="972" t="n"/>
      <c r="D111" s="972" t="n"/>
      <c r="E111" s="972" t="n"/>
      <c r="F111" s="972" t="n"/>
      <c r="G111" s="972" t="n"/>
      <c r="H111" s="972" t="n"/>
      <c r="I111" s="972" t="n"/>
      <c r="J111" s="972" t="n"/>
      <c r="K111" s="972" t="n"/>
      <c r="L111" s="972" t="n"/>
      <c r="M111" s="972" t="n"/>
      <c r="N111" s="972" t="n"/>
      <c r="O111" s="972" t="n"/>
      <c r="P111" s="972" t="n"/>
      <c r="Q111" s="972" t="n"/>
      <c r="R111" s="972" t="n"/>
      <c r="S111" s="972" t="n"/>
      <c r="T111" s="972" t="n"/>
      <c r="U111" s="972" t="n"/>
      <c r="V111" s="972" t="n"/>
      <c r="W111" s="972" t="n"/>
      <c r="X111" s="972" t="n"/>
      <c r="Y111" s="972" t="n"/>
      <c r="Z111" s="972" t="n"/>
    </row>
    <row r="112">
      <c r="A112" s="972" t="n"/>
      <c r="B112" s="972" t="n"/>
      <c r="C112" s="972" t="n"/>
      <c r="D112" s="972" t="n"/>
      <c r="E112" s="972" t="n"/>
      <c r="F112" s="972" t="n"/>
      <c r="G112" s="972" t="n"/>
      <c r="H112" s="972" t="n"/>
      <c r="I112" s="972" t="n"/>
      <c r="J112" s="972" t="n"/>
      <c r="K112" s="972" t="n"/>
      <c r="L112" s="972" t="n"/>
      <c r="M112" s="972" t="n"/>
      <c r="N112" s="972" t="n"/>
      <c r="O112" s="972" t="n"/>
      <c r="P112" s="972" t="n"/>
      <c r="Q112" s="972" t="n"/>
      <c r="R112" s="972" t="n"/>
      <c r="S112" s="972" t="n"/>
      <c r="T112" s="972" t="n"/>
      <c r="U112" s="972" t="n"/>
      <c r="V112" s="972" t="n"/>
      <c r="W112" s="972" t="n"/>
      <c r="X112" s="972" t="n"/>
      <c r="Y112" s="972" t="n"/>
      <c r="Z112" s="972" t="n"/>
    </row>
    <row r="113">
      <c r="A113" s="972" t="n"/>
      <c r="B113" s="972" t="n"/>
      <c r="C113" s="972" t="n"/>
      <c r="D113" s="972" t="n"/>
      <c r="E113" s="972" t="n"/>
      <c r="F113" s="972" t="n"/>
      <c r="G113" s="972" t="n"/>
      <c r="H113" s="972" t="n"/>
      <c r="I113" s="972" t="n"/>
      <c r="J113" s="972" t="n"/>
      <c r="K113" s="972" t="n"/>
      <c r="L113" s="972" t="n"/>
      <c r="M113" s="972" t="n"/>
      <c r="N113" s="972" t="n"/>
      <c r="O113" s="972" t="n"/>
      <c r="P113" s="972" t="n"/>
      <c r="Q113" s="972" t="n"/>
      <c r="R113" s="972" t="n"/>
      <c r="S113" s="972" t="n"/>
      <c r="T113" s="972" t="n"/>
      <c r="U113" s="972" t="n"/>
      <c r="V113" s="972" t="n"/>
      <c r="W113" s="972" t="n"/>
      <c r="X113" s="972" t="n"/>
      <c r="Y113" s="972" t="n"/>
      <c r="Z113" s="972" t="n"/>
    </row>
    <row r="114">
      <c r="A114" s="972" t="n"/>
      <c r="B114" s="972" t="n"/>
      <c r="C114" s="972" t="n"/>
      <c r="D114" s="972" t="n"/>
      <c r="E114" s="972" t="n"/>
      <c r="F114" s="972" t="n"/>
      <c r="G114" s="972" t="n"/>
      <c r="H114" s="972" t="n"/>
      <c r="I114" s="972" t="n"/>
      <c r="J114" s="972" t="n"/>
      <c r="K114" s="972" t="n"/>
      <c r="L114" s="972" t="n"/>
      <c r="M114" s="972" t="n"/>
      <c r="N114" s="972" t="n"/>
      <c r="O114" s="972" t="n"/>
      <c r="P114" s="972" t="n"/>
      <c r="Q114" s="972" t="n"/>
      <c r="R114" s="972" t="n"/>
      <c r="S114" s="972" t="n"/>
      <c r="T114" s="972" t="n"/>
      <c r="U114" s="972" t="n"/>
      <c r="V114" s="972" t="n"/>
      <c r="W114" s="972" t="n"/>
      <c r="X114" s="972" t="n"/>
      <c r="Y114" s="972" t="n"/>
      <c r="Z114" s="972" t="n"/>
    </row>
    <row r="115">
      <c r="A115" s="972" t="n"/>
      <c r="B115" s="972" t="n"/>
      <c r="C115" s="972" t="n"/>
      <c r="D115" s="972" t="n"/>
      <c r="E115" s="972" t="n"/>
      <c r="F115" s="972" t="n"/>
      <c r="G115" s="972" t="n"/>
      <c r="H115" s="972" t="n"/>
      <c r="I115" s="972" t="n"/>
      <c r="J115" s="972" t="n"/>
      <c r="K115" s="972" t="n"/>
      <c r="L115" s="972" t="n"/>
      <c r="M115" s="972" t="n"/>
      <c r="N115" s="972" t="n"/>
      <c r="O115" s="972" t="n"/>
      <c r="P115" s="972" t="n"/>
      <c r="Q115" s="972" t="n"/>
      <c r="R115" s="972" t="n"/>
      <c r="S115" s="972" t="n"/>
      <c r="T115" s="972" t="n"/>
      <c r="U115" s="972" t="n"/>
      <c r="V115" s="972" t="n"/>
      <c r="W115" s="972" t="n"/>
      <c r="X115" s="972" t="n"/>
      <c r="Y115" s="972" t="n"/>
      <c r="Z115" s="972" t="n"/>
    </row>
    <row r="116">
      <c r="A116" s="972" t="n"/>
      <c r="B116" s="972" t="n"/>
      <c r="C116" s="972" t="n"/>
      <c r="D116" s="972" t="n"/>
      <c r="E116" s="972" t="n"/>
      <c r="F116" s="972" t="n"/>
      <c r="G116" s="972" t="n"/>
      <c r="H116" s="972" t="n"/>
      <c r="I116" s="972" t="n"/>
      <c r="J116" s="972" t="n"/>
      <c r="K116" s="972" t="n"/>
      <c r="L116" s="972" t="n"/>
      <c r="M116" s="972" t="n"/>
      <c r="N116" s="972" t="n"/>
      <c r="O116" s="972" t="n"/>
      <c r="P116" s="972" t="n"/>
      <c r="Q116" s="972" t="n"/>
      <c r="R116" s="972" t="n"/>
      <c r="S116" s="972" t="n"/>
      <c r="T116" s="972" t="n"/>
      <c r="U116" s="972" t="n"/>
      <c r="V116" s="972" t="n"/>
      <c r="W116" s="972" t="n"/>
      <c r="X116" s="972" t="n"/>
      <c r="Y116" s="972" t="n"/>
      <c r="Z116" s="972" t="n"/>
    </row>
    <row r="117">
      <c r="A117" s="972" t="n"/>
      <c r="B117" s="972" t="n"/>
      <c r="C117" s="972" t="n"/>
      <c r="D117" s="972" t="n"/>
      <c r="E117" s="972" t="n"/>
      <c r="F117" s="972" t="n"/>
      <c r="G117" s="972" t="n"/>
      <c r="H117" s="972" t="n"/>
      <c r="I117" s="972" t="n"/>
      <c r="J117" s="972" t="n"/>
      <c r="K117" s="972" t="n"/>
      <c r="L117" s="972" t="n"/>
      <c r="M117" s="972" t="n"/>
      <c r="N117" s="972" t="n"/>
      <c r="O117" s="972" t="n"/>
      <c r="P117" s="972" t="n"/>
      <c r="Q117" s="972" t="n"/>
      <c r="R117" s="972" t="n"/>
      <c r="S117" s="972" t="n"/>
      <c r="T117" s="972" t="n"/>
      <c r="U117" s="972" t="n"/>
      <c r="V117" s="972" t="n"/>
      <c r="W117" s="972" t="n"/>
      <c r="X117" s="972" t="n"/>
      <c r="Y117" s="972" t="n"/>
      <c r="Z117" s="972" t="n"/>
    </row>
    <row r="118">
      <c r="A118" s="972" t="n"/>
      <c r="B118" s="972" t="n"/>
      <c r="C118" s="972" t="n"/>
      <c r="D118" s="972" t="n"/>
      <c r="E118" s="972" t="n"/>
      <c r="F118" s="972" t="n"/>
      <c r="G118" s="972" t="n"/>
      <c r="H118" s="972" t="n"/>
      <c r="I118" s="972" t="n"/>
      <c r="J118" s="972" t="n"/>
      <c r="K118" s="972" t="n"/>
      <c r="L118" s="972" t="n"/>
      <c r="M118" s="972" t="n"/>
      <c r="N118" s="972" t="n"/>
      <c r="O118" s="972" t="n"/>
      <c r="P118" s="972" t="n"/>
      <c r="Q118" s="972" t="n"/>
      <c r="R118" s="972" t="n"/>
      <c r="S118" s="972" t="n"/>
      <c r="T118" s="972" t="n"/>
      <c r="U118" s="972" t="n"/>
      <c r="V118" s="972" t="n"/>
      <c r="W118" s="972" t="n"/>
      <c r="X118" s="972" t="n"/>
      <c r="Y118" s="972" t="n"/>
      <c r="Z118" s="972" t="n"/>
    </row>
    <row r="119">
      <c r="A119" s="972" t="n"/>
      <c r="B119" s="972" t="n"/>
      <c r="C119" s="972" t="n"/>
      <c r="D119" s="972" t="n"/>
      <c r="E119" s="972" t="n"/>
      <c r="F119" s="972" t="n"/>
      <c r="G119" s="972" t="n"/>
      <c r="H119" s="972" t="n"/>
      <c r="I119" s="972" t="n"/>
      <c r="J119" s="972" t="n"/>
      <c r="K119" s="972" t="n"/>
      <c r="L119" s="972" t="n"/>
      <c r="M119" s="972" t="n"/>
      <c r="N119" s="972" t="n"/>
      <c r="O119" s="972" t="n"/>
      <c r="P119" s="972" t="n"/>
      <c r="Q119" s="972" t="n"/>
      <c r="R119" s="972" t="n"/>
      <c r="S119" s="972" t="n"/>
      <c r="T119" s="972" t="n"/>
      <c r="U119" s="972" t="n"/>
      <c r="V119" s="972" t="n"/>
      <c r="W119" s="972" t="n"/>
      <c r="X119" s="972" t="n"/>
      <c r="Y119" s="972" t="n"/>
      <c r="Z119" s="972" t="n"/>
    </row>
    <row r="120">
      <c r="A120" s="972" t="n"/>
      <c r="B120" s="972" t="n"/>
      <c r="C120" s="972" t="n"/>
      <c r="D120" s="972" t="n"/>
      <c r="E120" s="972" t="n"/>
      <c r="F120" s="972" t="n"/>
      <c r="G120" s="972" t="n"/>
      <c r="H120" s="972" t="n"/>
      <c r="I120" s="972" t="n"/>
      <c r="J120" s="972" t="n"/>
      <c r="K120" s="972" t="n"/>
      <c r="L120" s="972" t="n"/>
      <c r="M120" s="972" t="n"/>
      <c r="N120" s="972" t="n"/>
      <c r="O120" s="972" t="n"/>
      <c r="P120" s="972" t="n"/>
      <c r="Q120" s="972" t="n"/>
      <c r="R120" s="972" t="n"/>
      <c r="S120" s="972" t="n"/>
      <c r="T120" s="972" t="n"/>
      <c r="U120" s="972" t="n"/>
      <c r="V120" s="972" t="n"/>
      <c r="W120" s="972" t="n"/>
      <c r="X120" s="972" t="n"/>
      <c r="Y120" s="972" t="n"/>
      <c r="Z120" s="972" t="n"/>
    </row>
    <row r="121">
      <c r="A121" s="972" t="n"/>
      <c r="B121" s="972" t="n"/>
      <c r="C121" s="972" t="n"/>
      <c r="D121" s="972" t="n"/>
      <c r="E121" s="972" t="n"/>
      <c r="F121" s="972" t="n"/>
      <c r="G121" s="972" t="n"/>
      <c r="H121" s="972" t="n"/>
      <c r="I121" s="972" t="n"/>
      <c r="J121" s="972" t="n"/>
      <c r="K121" s="972" t="n"/>
      <c r="L121" s="972" t="n"/>
      <c r="M121" s="972" t="n"/>
      <c r="N121" s="972" t="n"/>
      <c r="O121" s="972" t="n"/>
      <c r="P121" s="972" t="n"/>
      <c r="Q121" s="972" t="n"/>
      <c r="R121" s="972" t="n"/>
      <c r="S121" s="972" t="n"/>
      <c r="T121" s="972" t="n"/>
      <c r="U121" s="972" t="n"/>
      <c r="V121" s="972" t="n"/>
      <c r="W121" s="972" t="n"/>
      <c r="X121" s="972" t="n"/>
      <c r="Y121" s="972" t="n"/>
      <c r="Z121" s="972" t="n"/>
    </row>
    <row r="122">
      <c r="A122" s="972" t="n"/>
      <c r="B122" s="972" t="n"/>
      <c r="C122" s="972" t="n"/>
      <c r="D122" s="972" t="n"/>
      <c r="E122" s="972" t="n"/>
      <c r="F122" s="972" t="n"/>
      <c r="G122" s="972" t="n"/>
      <c r="H122" s="972" t="n"/>
      <c r="I122" s="972" t="n"/>
      <c r="J122" s="972" t="n"/>
      <c r="K122" s="972" t="n"/>
      <c r="L122" s="972" t="n"/>
      <c r="M122" s="972" t="n"/>
      <c r="N122" s="972" t="n"/>
      <c r="O122" s="972" t="n"/>
      <c r="P122" s="972" t="n"/>
      <c r="Q122" s="972" t="n"/>
      <c r="R122" s="972" t="n"/>
      <c r="S122" s="972" t="n"/>
      <c r="T122" s="972" t="n"/>
      <c r="U122" s="972" t="n"/>
      <c r="V122" s="972" t="n"/>
      <c r="W122" s="972" t="n"/>
      <c r="X122" s="972" t="n"/>
      <c r="Y122" s="972" t="n"/>
      <c r="Z122" s="972" t="n"/>
    </row>
    <row r="123">
      <c r="A123" s="972" t="n"/>
      <c r="B123" s="972" t="n"/>
      <c r="C123" s="972" t="n"/>
      <c r="D123" s="972" t="n"/>
      <c r="E123" s="972" t="n"/>
      <c r="F123" s="972" t="n"/>
      <c r="G123" s="972" t="n"/>
      <c r="H123" s="972" t="n"/>
      <c r="I123" s="972" t="n"/>
      <c r="J123" s="972" t="n"/>
      <c r="K123" s="972" t="n"/>
      <c r="L123" s="972" t="n"/>
      <c r="M123" s="972" t="n"/>
      <c r="N123" s="972" t="n"/>
      <c r="O123" s="972" t="n"/>
      <c r="P123" s="972" t="n"/>
      <c r="Q123" s="972" t="n"/>
      <c r="R123" s="972" t="n"/>
      <c r="S123" s="972" t="n"/>
      <c r="T123" s="972" t="n"/>
      <c r="U123" s="972" t="n"/>
      <c r="V123" s="972" t="n"/>
      <c r="W123" s="972" t="n"/>
      <c r="X123" s="972" t="n"/>
      <c r="Y123" s="972" t="n"/>
      <c r="Z123" s="972" t="n"/>
    </row>
    <row r="124">
      <c r="A124" s="972" t="n"/>
      <c r="B124" s="972" t="n"/>
      <c r="C124" s="972" t="n"/>
      <c r="D124" s="972" t="n"/>
      <c r="E124" s="972" t="n"/>
      <c r="F124" s="972" t="n"/>
      <c r="G124" s="972" t="n"/>
      <c r="H124" s="972" t="n"/>
      <c r="I124" s="972" t="n"/>
      <c r="J124" s="972" t="n"/>
      <c r="K124" s="972" t="n"/>
      <c r="L124" s="972" t="n"/>
      <c r="M124" s="972" t="n"/>
      <c r="N124" s="972" t="n"/>
      <c r="O124" s="972" t="n"/>
      <c r="P124" s="972" t="n"/>
      <c r="Q124" s="972" t="n"/>
      <c r="R124" s="972" t="n"/>
      <c r="S124" s="972" t="n"/>
      <c r="T124" s="972" t="n"/>
      <c r="U124" s="972" t="n"/>
      <c r="V124" s="972" t="n"/>
      <c r="W124" s="972" t="n"/>
      <c r="X124" s="972" t="n"/>
      <c r="Y124" s="972" t="n"/>
      <c r="Z124" s="972" t="n"/>
    </row>
    <row r="125">
      <c r="A125" s="972" t="n"/>
      <c r="B125" s="972" t="n"/>
      <c r="C125" s="972" t="n"/>
      <c r="D125" s="972" t="n"/>
      <c r="E125" s="972" t="n"/>
      <c r="F125" s="972" t="n"/>
      <c r="G125" s="972" t="n"/>
      <c r="H125" s="972" t="n"/>
      <c r="I125" s="972" t="n"/>
      <c r="J125" s="972" t="n"/>
      <c r="K125" s="972" t="n"/>
      <c r="L125" s="972" t="n"/>
      <c r="M125" s="972" t="n"/>
      <c r="N125" s="972" t="n"/>
      <c r="O125" s="972" t="n"/>
      <c r="P125" s="972" t="n"/>
      <c r="Q125" s="972" t="n"/>
      <c r="R125" s="972" t="n"/>
      <c r="S125" s="972" t="n"/>
      <c r="T125" s="972" t="n"/>
      <c r="U125" s="972" t="n"/>
      <c r="V125" s="972" t="n"/>
      <c r="W125" s="972" t="n"/>
      <c r="X125" s="972" t="n"/>
      <c r="Y125" s="972" t="n"/>
      <c r="Z125" s="972" t="n"/>
    </row>
    <row r="126">
      <c r="A126" s="972" t="n"/>
      <c r="B126" s="972" t="n"/>
      <c r="C126" s="972" t="n"/>
      <c r="D126" s="972" t="n"/>
      <c r="E126" s="972" t="n"/>
      <c r="F126" s="972" t="n"/>
      <c r="G126" s="972" t="n"/>
      <c r="H126" s="972" t="n"/>
      <c r="I126" s="972" t="n"/>
      <c r="J126" s="972" t="n"/>
      <c r="K126" s="972" t="n"/>
      <c r="L126" s="972" t="n"/>
      <c r="M126" s="972" t="n"/>
      <c r="N126" s="972" t="n"/>
      <c r="O126" s="972" t="n"/>
      <c r="P126" s="972" t="n"/>
      <c r="Q126" s="972" t="n"/>
      <c r="R126" s="972" t="n"/>
      <c r="S126" s="972" t="n"/>
      <c r="T126" s="972" t="n"/>
      <c r="U126" s="972" t="n"/>
      <c r="V126" s="972" t="n"/>
      <c r="W126" s="972" t="n"/>
      <c r="X126" s="972" t="n"/>
      <c r="Y126" s="972" t="n"/>
      <c r="Z126" s="972" t="n"/>
    </row>
    <row r="127">
      <c r="A127" s="972" t="n"/>
      <c r="B127" s="972" t="n"/>
      <c r="C127" s="972" t="n"/>
      <c r="D127" s="972" t="n"/>
      <c r="E127" s="972" t="n"/>
      <c r="F127" s="972" t="n"/>
      <c r="G127" s="972" t="n"/>
      <c r="H127" s="972" t="n"/>
      <c r="I127" s="972" t="n"/>
      <c r="J127" s="972" t="n"/>
      <c r="K127" s="972" t="n"/>
      <c r="L127" s="972" t="n"/>
      <c r="M127" s="972" t="n"/>
      <c r="N127" s="972" t="n"/>
      <c r="O127" s="972" t="n"/>
      <c r="P127" s="972" t="n"/>
      <c r="Q127" s="972" t="n"/>
      <c r="R127" s="972" t="n"/>
      <c r="S127" s="972" t="n"/>
      <c r="T127" s="972" t="n"/>
      <c r="U127" s="972" t="n"/>
      <c r="V127" s="972" t="n"/>
      <c r="W127" s="972" t="n"/>
      <c r="X127" s="972" t="n"/>
      <c r="Y127" s="972" t="n"/>
      <c r="Z127" s="972" t="n"/>
    </row>
    <row r="128">
      <c r="A128" s="972" t="n"/>
      <c r="B128" s="972" t="n"/>
      <c r="C128" s="972" t="n"/>
      <c r="D128" s="972" t="n"/>
      <c r="E128" s="972" t="n"/>
      <c r="F128" s="972" t="n"/>
      <c r="G128" s="972" t="n"/>
      <c r="H128" s="972" t="n"/>
      <c r="I128" s="972" t="n"/>
      <c r="J128" s="972" t="n"/>
      <c r="K128" s="972" t="n"/>
      <c r="L128" s="972" t="n"/>
      <c r="M128" s="972" t="n"/>
      <c r="N128" s="972" t="n"/>
      <c r="O128" s="972" t="n"/>
      <c r="P128" s="972" t="n"/>
      <c r="Q128" s="972" t="n"/>
      <c r="R128" s="972" t="n"/>
      <c r="S128" s="972" t="n"/>
      <c r="T128" s="972" t="n"/>
      <c r="U128" s="972" t="n"/>
      <c r="V128" s="972" t="n"/>
      <c r="W128" s="972" t="n"/>
      <c r="X128" s="972" t="n"/>
      <c r="Y128" s="972" t="n"/>
      <c r="Z128" s="972" t="n"/>
    </row>
    <row r="129">
      <c r="A129" s="972" t="n"/>
      <c r="B129" s="972" t="n"/>
      <c r="C129" s="972" t="n"/>
      <c r="D129" s="972" t="n"/>
      <c r="E129" s="972" t="n"/>
      <c r="F129" s="972" t="n"/>
      <c r="G129" s="972" t="n"/>
      <c r="H129" s="972" t="n"/>
      <c r="I129" s="972" t="n"/>
      <c r="J129" s="972" t="n"/>
      <c r="K129" s="972" t="n"/>
      <c r="L129" s="972" t="n"/>
      <c r="M129" s="972" t="n"/>
      <c r="N129" s="972" t="n"/>
      <c r="O129" s="972" t="n"/>
      <c r="P129" s="972" t="n"/>
      <c r="Q129" s="972" t="n"/>
      <c r="R129" s="972" t="n"/>
      <c r="S129" s="972" t="n"/>
      <c r="T129" s="972" t="n"/>
      <c r="U129" s="972" t="n"/>
      <c r="V129" s="972" t="n"/>
      <c r="W129" s="972" t="n"/>
      <c r="X129" s="972" t="n"/>
      <c r="Y129" s="972" t="n"/>
      <c r="Z129" s="972" t="n"/>
    </row>
    <row r="130">
      <c r="A130" s="972" t="n"/>
      <c r="B130" s="972" t="n"/>
      <c r="C130" s="972" t="n"/>
      <c r="D130" s="972" t="n"/>
      <c r="E130" s="972" t="n"/>
      <c r="F130" s="972" t="n"/>
      <c r="G130" s="972" t="n"/>
      <c r="H130" s="972" t="n"/>
      <c r="I130" s="972" t="n"/>
      <c r="J130" s="972" t="n"/>
      <c r="K130" s="972" t="n"/>
      <c r="L130" s="972" t="n"/>
      <c r="M130" s="972" t="n"/>
      <c r="N130" s="972" t="n"/>
      <c r="O130" s="972" t="n"/>
      <c r="P130" s="972" t="n"/>
      <c r="Q130" s="972" t="n"/>
      <c r="R130" s="972" t="n"/>
      <c r="S130" s="972" t="n"/>
      <c r="T130" s="972" t="n"/>
      <c r="U130" s="972" t="n"/>
      <c r="V130" s="972" t="n"/>
      <c r="W130" s="972" t="n"/>
      <c r="X130" s="972" t="n"/>
      <c r="Y130" s="972" t="n"/>
      <c r="Z130" s="972" t="n"/>
    </row>
    <row r="131">
      <c r="A131" s="972" t="n"/>
      <c r="B131" s="972" t="n"/>
      <c r="C131" s="972" t="n"/>
      <c r="D131" s="972" t="n"/>
      <c r="E131" s="972" t="n"/>
      <c r="F131" s="972" t="n"/>
      <c r="G131" s="972" t="n"/>
      <c r="H131" s="972" t="n"/>
      <c r="I131" s="972" t="n"/>
      <c r="J131" s="972" t="n"/>
      <c r="K131" s="972" t="n"/>
      <c r="L131" s="972" t="n"/>
      <c r="M131" s="972" t="n"/>
      <c r="N131" s="972" t="n"/>
      <c r="O131" s="972" t="n"/>
      <c r="P131" s="972" t="n"/>
      <c r="Q131" s="972" t="n"/>
      <c r="R131" s="972" t="n"/>
      <c r="S131" s="972" t="n"/>
      <c r="T131" s="972" t="n"/>
      <c r="U131" s="972" t="n"/>
      <c r="V131" s="972" t="n"/>
      <c r="W131" s="972" t="n"/>
      <c r="X131" s="972" t="n"/>
      <c r="Y131" s="972" t="n"/>
      <c r="Z131" s="972" t="n"/>
    </row>
    <row r="132">
      <c r="A132" s="972" t="n"/>
      <c r="B132" s="972" t="n"/>
      <c r="C132" s="972" t="n"/>
      <c r="D132" s="972" t="n"/>
      <c r="E132" s="972" t="n"/>
      <c r="F132" s="972" t="n"/>
      <c r="G132" s="972" t="n"/>
      <c r="H132" s="972" t="n"/>
      <c r="I132" s="972" t="n"/>
      <c r="J132" s="972" t="n"/>
      <c r="K132" s="972" t="n"/>
      <c r="L132" s="972" t="n"/>
      <c r="M132" s="972" t="n"/>
      <c r="N132" s="972" t="n"/>
      <c r="O132" s="972" t="n"/>
      <c r="P132" s="972" t="n"/>
      <c r="Q132" s="972" t="n"/>
      <c r="R132" s="972" t="n"/>
      <c r="S132" s="972" t="n"/>
      <c r="T132" s="972" t="n"/>
      <c r="U132" s="972" t="n"/>
      <c r="V132" s="972" t="n"/>
      <c r="W132" s="972" t="n"/>
      <c r="X132" s="972" t="n"/>
      <c r="Y132" s="972" t="n"/>
      <c r="Z132" s="972" t="n"/>
    </row>
    <row r="133">
      <c r="A133" s="972" t="n"/>
      <c r="B133" s="972" t="n"/>
      <c r="C133" s="972" t="n"/>
      <c r="D133" s="972" t="n"/>
      <c r="E133" s="972" t="n"/>
      <c r="F133" s="972" t="n"/>
      <c r="G133" s="972" t="n"/>
      <c r="H133" s="972" t="n"/>
      <c r="I133" s="972" t="n"/>
      <c r="J133" s="972" t="n"/>
      <c r="K133" s="972" t="n"/>
      <c r="L133" s="972" t="n"/>
      <c r="M133" s="972" t="n"/>
      <c r="N133" s="972" t="n"/>
      <c r="O133" s="972" t="n"/>
      <c r="P133" s="972" t="n"/>
      <c r="Q133" s="972" t="n"/>
      <c r="R133" s="972" t="n"/>
      <c r="S133" s="972" t="n"/>
      <c r="T133" s="972" t="n"/>
      <c r="U133" s="972" t="n"/>
      <c r="V133" s="972" t="n"/>
      <c r="W133" s="972" t="n"/>
      <c r="X133" s="972" t="n"/>
      <c r="Y133" s="972" t="n"/>
      <c r="Z133" s="972" t="n"/>
    </row>
    <row r="134">
      <c r="A134" s="972" t="n"/>
      <c r="B134" s="972" t="n"/>
      <c r="C134" s="972" t="n"/>
      <c r="D134" s="972" t="n"/>
      <c r="E134" s="972" t="n"/>
      <c r="F134" s="972" t="n"/>
      <c r="G134" s="972" t="n"/>
      <c r="H134" s="972" t="n"/>
      <c r="I134" s="972" t="n"/>
      <c r="J134" s="972" t="n"/>
      <c r="K134" s="972" t="n"/>
      <c r="L134" s="972" t="n"/>
      <c r="M134" s="972" t="n"/>
      <c r="N134" s="972" t="n"/>
      <c r="O134" s="972" t="n"/>
      <c r="P134" s="972" t="n"/>
      <c r="Q134" s="972" t="n"/>
      <c r="R134" s="972" t="n"/>
      <c r="S134" s="972" t="n"/>
      <c r="T134" s="972" t="n"/>
      <c r="U134" s="972" t="n"/>
      <c r="V134" s="972" t="n"/>
      <c r="W134" s="972" t="n"/>
      <c r="X134" s="972" t="n"/>
      <c r="Y134" s="972" t="n"/>
      <c r="Z134" s="972" t="n"/>
    </row>
    <row r="135">
      <c r="A135" s="972" t="n"/>
      <c r="B135" s="972" t="n"/>
      <c r="C135" s="972" t="n"/>
      <c r="D135" s="972" t="n"/>
      <c r="E135" s="972" t="n"/>
      <c r="F135" s="972" t="n"/>
      <c r="G135" s="972" t="n"/>
      <c r="H135" s="972" t="n"/>
      <c r="I135" s="972" t="n"/>
      <c r="J135" s="972" t="n"/>
      <c r="K135" s="972" t="n"/>
      <c r="L135" s="972" t="n"/>
      <c r="M135" s="972" t="n"/>
      <c r="N135" s="972" t="n"/>
      <c r="O135" s="972" t="n"/>
      <c r="P135" s="972" t="n"/>
      <c r="Q135" s="972" t="n"/>
      <c r="R135" s="972" t="n"/>
      <c r="S135" s="972" t="n"/>
      <c r="T135" s="972" t="n"/>
      <c r="U135" s="972" t="n"/>
      <c r="V135" s="972" t="n"/>
      <c r="W135" s="972" t="n"/>
      <c r="X135" s="972" t="n"/>
      <c r="Y135" s="972" t="n"/>
      <c r="Z135" s="972" t="n"/>
    </row>
    <row r="136">
      <c r="A136" s="972" t="n"/>
      <c r="B136" s="972" t="n"/>
      <c r="C136" s="972" t="n"/>
      <c r="D136" s="972" t="n"/>
      <c r="E136" s="972" t="n"/>
      <c r="F136" s="972" t="n"/>
      <c r="G136" s="972" t="n"/>
      <c r="H136" s="972" t="n"/>
      <c r="I136" s="972" t="n"/>
      <c r="J136" s="972" t="n"/>
      <c r="K136" s="972" t="n"/>
      <c r="L136" s="972" t="n"/>
      <c r="M136" s="972" t="n"/>
      <c r="N136" s="972" t="n"/>
      <c r="O136" s="972" t="n"/>
      <c r="P136" s="972" t="n"/>
      <c r="Q136" s="972" t="n"/>
      <c r="R136" s="972" t="n"/>
      <c r="S136" s="972" t="n"/>
      <c r="T136" s="972" t="n"/>
      <c r="U136" s="972" t="n"/>
      <c r="V136" s="972" t="n"/>
      <c r="W136" s="972" t="n"/>
      <c r="X136" s="972" t="n"/>
      <c r="Y136" s="972" t="n"/>
      <c r="Z136" s="972" t="n"/>
    </row>
    <row r="137">
      <c r="A137" s="972" t="n"/>
      <c r="B137" s="972" t="n"/>
      <c r="C137" s="972" t="n"/>
      <c r="D137" s="972" t="n"/>
      <c r="E137" s="972" t="n"/>
      <c r="F137" s="972" t="n"/>
      <c r="G137" s="972" t="n"/>
      <c r="H137" s="972" t="n"/>
      <c r="I137" s="972" t="n"/>
      <c r="J137" s="972" t="n"/>
      <c r="K137" s="972" t="n"/>
      <c r="L137" s="972" t="n"/>
      <c r="M137" s="972" t="n"/>
      <c r="N137" s="972" t="n"/>
      <c r="O137" s="972" t="n"/>
      <c r="P137" s="972" t="n"/>
      <c r="Q137" s="972" t="n"/>
      <c r="R137" s="972" t="n"/>
      <c r="S137" s="972" t="n"/>
      <c r="T137" s="972" t="n"/>
      <c r="U137" s="972" t="n"/>
      <c r="V137" s="972" t="n"/>
      <c r="W137" s="972" t="n"/>
      <c r="X137" s="972" t="n"/>
      <c r="Y137" s="972" t="n"/>
      <c r="Z137" s="972" t="n"/>
    </row>
    <row r="138">
      <c r="A138" s="972" t="n"/>
      <c r="B138" s="972" t="n"/>
      <c r="C138" s="972" t="n"/>
      <c r="D138" s="972" t="n"/>
      <c r="E138" s="972" t="n"/>
      <c r="F138" s="972" t="n"/>
      <c r="G138" s="972" t="n"/>
      <c r="H138" s="972" t="n"/>
      <c r="I138" s="972" t="n"/>
      <c r="J138" s="972" t="n"/>
      <c r="K138" s="972" t="n"/>
      <c r="L138" s="972" t="n"/>
      <c r="M138" s="972" t="n"/>
      <c r="N138" s="972" t="n"/>
      <c r="O138" s="972" t="n"/>
      <c r="P138" s="972" t="n"/>
      <c r="Q138" s="972" t="n"/>
      <c r="R138" s="972" t="n"/>
      <c r="S138" s="972" t="n"/>
      <c r="T138" s="972" t="n"/>
      <c r="U138" s="972" t="n"/>
      <c r="V138" s="972" t="n"/>
      <c r="W138" s="972" t="n"/>
      <c r="X138" s="972" t="n"/>
      <c r="Y138" s="972" t="n"/>
      <c r="Z138" s="972" t="n"/>
    </row>
    <row r="139">
      <c r="A139" s="972" t="n"/>
      <c r="B139" s="972" t="n"/>
      <c r="C139" s="972" t="n"/>
      <c r="D139" s="972" t="n"/>
      <c r="E139" s="972" t="n"/>
      <c r="F139" s="972" t="n"/>
      <c r="G139" s="972" t="n"/>
      <c r="H139" s="972" t="n"/>
      <c r="I139" s="972" t="n"/>
      <c r="J139" s="972" t="n"/>
      <c r="K139" s="972" t="n"/>
      <c r="L139" s="972" t="n"/>
      <c r="M139" s="972" t="n"/>
      <c r="N139" s="972" t="n"/>
      <c r="O139" s="972" t="n"/>
      <c r="P139" s="972" t="n"/>
      <c r="Q139" s="972" t="n"/>
      <c r="R139" s="972" t="n"/>
      <c r="S139" s="972" t="n"/>
      <c r="T139" s="972" t="n"/>
      <c r="U139" s="972" t="n"/>
      <c r="V139" s="972" t="n"/>
      <c r="W139" s="972" t="n"/>
      <c r="X139" s="972" t="n"/>
      <c r="Y139" s="972" t="n"/>
      <c r="Z139" s="972" t="n"/>
    </row>
    <row r="140">
      <c r="A140" s="972" t="n"/>
      <c r="B140" s="972" t="n"/>
      <c r="C140" s="972" t="n"/>
      <c r="D140" s="972" t="n"/>
      <c r="E140" s="972" t="n"/>
      <c r="F140" s="972" t="n"/>
      <c r="G140" s="972" t="n"/>
      <c r="H140" s="972" t="n"/>
      <c r="I140" s="972" t="n"/>
      <c r="J140" s="972" t="n"/>
      <c r="K140" s="972" t="n"/>
      <c r="L140" s="972" t="n"/>
      <c r="M140" s="972" t="n"/>
      <c r="N140" s="972" t="n"/>
      <c r="O140" s="972" t="n"/>
      <c r="P140" s="972" t="n"/>
      <c r="Q140" s="972" t="n"/>
      <c r="R140" s="972" t="n"/>
      <c r="S140" s="972" t="n"/>
      <c r="T140" s="972" t="n"/>
      <c r="U140" s="972" t="n"/>
      <c r="V140" s="972" t="n"/>
      <c r="W140" s="972" t="n"/>
      <c r="X140" s="972" t="n"/>
      <c r="Y140" s="972" t="n"/>
      <c r="Z140" s="972" t="n"/>
    </row>
    <row r="141">
      <c r="A141" s="972" t="n"/>
      <c r="B141" s="972" t="n"/>
      <c r="C141" s="972" t="n"/>
      <c r="D141" s="972" t="n"/>
      <c r="E141" s="972" t="n"/>
      <c r="F141" s="972" t="n"/>
      <c r="G141" s="972" t="n"/>
      <c r="H141" s="972" t="n"/>
      <c r="I141" s="972" t="n"/>
      <c r="J141" s="972" t="n"/>
      <c r="K141" s="972" t="n"/>
      <c r="L141" s="972" t="n"/>
      <c r="M141" s="972" t="n"/>
      <c r="N141" s="972" t="n"/>
      <c r="O141" s="972" t="n"/>
      <c r="P141" s="972" t="n"/>
      <c r="Q141" s="972" t="n"/>
      <c r="R141" s="972" t="n"/>
      <c r="S141" s="972" t="n"/>
      <c r="T141" s="972" t="n"/>
      <c r="U141" s="972" t="n"/>
      <c r="V141" s="972" t="n"/>
      <c r="W141" s="972" t="n"/>
      <c r="X141" s="972" t="n"/>
      <c r="Y141" s="972" t="n"/>
      <c r="Z141" s="972" t="n"/>
    </row>
    <row r="142">
      <c r="A142" s="972" t="n"/>
      <c r="B142" s="972" t="n"/>
      <c r="C142" s="972" t="n"/>
      <c r="D142" s="972" t="n"/>
      <c r="E142" s="972" t="n"/>
      <c r="F142" s="972" t="n"/>
      <c r="G142" s="972" t="n"/>
      <c r="H142" s="972" t="n"/>
      <c r="I142" s="972" t="n"/>
      <c r="J142" s="972" t="n"/>
      <c r="K142" s="972" t="n"/>
      <c r="L142" s="972" t="n"/>
      <c r="M142" s="972" t="n"/>
      <c r="N142" s="972" t="n"/>
      <c r="O142" s="972" t="n"/>
      <c r="P142" s="972" t="n"/>
      <c r="Q142" s="972" t="n"/>
      <c r="R142" s="972" t="n"/>
      <c r="S142" s="972" t="n"/>
      <c r="T142" s="972" t="n"/>
      <c r="U142" s="972" t="n"/>
      <c r="V142" s="972" t="n"/>
      <c r="W142" s="972" t="n"/>
      <c r="X142" s="972" t="n"/>
      <c r="Y142" s="972" t="n"/>
      <c r="Z142" s="972" t="n"/>
    </row>
    <row r="143">
      <c r="A143" s="972" t="n"/>
      <c r="B143" s="972" t="n"/>
      <c r="C143" s="972" t="n"/>
      <c r="D143" s="972" t="n"/>
      <c r="E143" s="972" t="n"/>
      <c r="F143" s="972" t="n"/>
      <c r="G143" s="972" t="n"/>
      <c r="H143" s="972" t="n"/>
      <c r="I143" s="972" t="n"/>
      <c r="J143" s="972" t="n"/>
      <c r="K143" s="972" t="n"/>
      <c r="L143" s="972" t="n"/>
      <c r="M143" s="972" t="n"/>
      <c r="N143" s="972" t="n"/>
      <c r="O143" s="972" t="n"/>
      <c r="P143" s="972" t="n"/>
      <c r="Q143" s="972" t="n"/>
      <c r="R143" s="972" t="n"/>
      <c r="S143" s="972" t="n"/>
      <c r="T143" s="972" t="n"/>
      <c r="U143" s="972" t="n"/>
      <c r="V143" s="972" t="n"/>
      <c r="W143" s="972" t="n"/>
      <c r="X143" s="972" t="n"/>
      <c r="Y143" s="972" t="n"/>
      <c r="Z143" s="972" t="n"/>
    </row>
    <row r="144">
      <c r="A144" s="972" t="n"/>
      <c r="B144" s="972" t="n"/>
      <c r="C144" s="972" t="n"/>
      <c r="D144" s="972" t="n"/>
      <c r="E144" s="972" t="n"/>
      <c r="F144" s="972" t="n"/>
      <c r="G144" s="972" t="n"/>
      <c r="H144" s="972" t="n"/>
      <c r="I144" s="972" t="n"/>
      <c r="J144" s="972" t="n"/>
      <c r="K144" s="972" t="n"/>
      <c r="L144" s="972" t="n"/>
      <c r="M144" s="972" t="n"/>
      <c r="N144" s="972" t="n"/>
      <c r="O144" s="972" t="n"/>
      <c r="P144" s="972" t="n"/>
      <c r="Q144" s="972" t="n"/>
      <c r="R144" s="972" t="n"/>
      <c r="S144" s="972" t="n"/>
      <c r="T144" s="972" t="n"/>
      <c r="U144" s="972" t="n"/>
      <c r="V144" s="972" t="n"/>
      <c r="W144" s="972" t="n"/>
      <c r="X144" s="972" t="n"/>
      <c r="Y144" s="972" t="n"/>
      <c r="Z144" s="972" t="n"/>
    </row>
    <row r="145">
      <c r="A145" s="972" t="n"/>
      <c r="B145" s="972" t="n"/>
      <c r="C145" s="972" t="n"/>
      <c r="D145" s="972" t="n"/>
      <c r="E145" s="972" t="n"/>
      <c r="F145" s="972" t="n"/>
      <c r="G145" s="972" t="n"/>
      <c r="H145" s="972" t="n"/>
      <c r="I145" s="972" t="n"/>
      <c r="J145" s="972" t="n"/>
      <c r="K145" s="972" t="n"/>
      <c r="L145" s="972" t="n"/>
      <c r="M145" s="972" t="n"/>
      <c r="N145" s="972" t="n"/>
      <c r="O145" s="972" t="n"/>
      <c r="P145" s="972" t="n"/>
      <c r="Q145" s="972" t="n"/>
      <c r="R145" s="972" t="n"/>
      <c r="S145" s="972" t="n"/>
      <c r="T145" s="972" t="n"/>
      <c r="U145" s="972" t="n"/>
      <c r="V145" s="972" t="n"/>
      <c r="W145" s="972" t="n"/>
      <c r="X145" s="972" t="n"/>
      <c r="Y145" s="972" t="n"/>
      <c r="Z145" s="972" t="n"/>
    </row>
    <row r="146">
      <c r="A146" s="972" t="n"/>
      <c r="B146" s="972" t="n"/>
      <c r="C146" s="972" t="n"/>
      <c r="D146" s="972" t="n"/>
      <c r="E146" s="972" t="n"/>
      <c r="F146" s="972" t="n"/>
      <c r="G146" s="972" t="n"/>
      <c r="H146" s="972" t="n"/>
      <c r="I146" s="972" t="n"/>
      <c r="J146" s="972" t="n"/>
      <c r="K146" s="972" t="n"/>
      <c r="L146" s="972" t="n"/>
      <c r="M146" s="972" t="n"/>
      <c r="N146" s="972" t="n"/>
      <c r="O146" s="972" t="n"/>
      <c r="P146" s="972" t="n"/>
      <c r="Q146" s="972" t="n"/>
      <c r="R146" s="972" t="n"/>
      <c r="S146" s="972" t="n"/>
      <c r="T146" s="972" t="n"/>
      <c r="U146" s="972" t="n"/>
      <c r="V146" s="972" t="n"/>
      <c r="W146" s="972" t="n"/>
      <c r="X146" s="972" t="n"/>
      <c r="Y146" s="972" t="n"/>
      <c r="Z146" s="972" t="n"/>
    </row>
    <row r="147">
      <c r="A147" s="972" t="n"/>
      <c r="B147" s="972" t="n"/>
      <c r="C147" s="972" t="n"/>
      <c r="D147" s="972" t="n"/>
      <c r="E147" s="972" t="n"/>
      <c r="F147" s="972" t="n"/>
      <c r="G147" s="972" t="n"/>
      <c r="H147" s="972" t="n"/>
      <c r="I147" s="972" t="n"/>
      <c r="J147" s="972" t="n"/>
      <c r="K147" s="972" t="n"/>
      <c r="L147" s="972" t="n"/>
      <c r="M147" s="972" t="n"/>
      <c r="N147" s="972" t="n"/>
      <c r="O147" s="972" t="n"/>
      <c r="P147" s="972" t="n"/>
      <c r="Q147" s="972" t="n"/>
      <c r="R147" s="972" t="n"/>
      <c r="S147" s="972" t="n"/>
      <c r="T147" s="972" t="n"/>
      <c r="U147" s="972" t="n"/>
      <c r="V147" s="972" t="n"/>
      <c r="W147" s="972" t="n"/>
      <c r="X147" s="972" t="n"/>
      <c r="Y147" s="972" t="n"/>
      <c r="Z147" s="972" t="n"/>
    </row>
    <row r="148">
      <c r="A148" s="972" t="n"/>
      <c r="B148" s="972" t="n"/>
      <c r="C148" s="972" t="n"/>
      <c r="D148" s="972" t="n"/>
      <c r="E148" s="972" t="n"/>
      <c r="F148" s="972" t="n"/>
      <c r="G148" s="972" t="n"/>
      <c r="H148" s="972" t="n"/>
      <c r="I148" s="972" t="n"/>
      <c r="J148" s="972" t="n"/>
      <c r="K148" s="972" t="n"/>
      <c r="L148" s="972" t="n"/>
      <c r="M148" s="972" t="n"/>
      <c r="N148" s="972" t="n"/>
      <c r="O148" s="972" t="n"/>
      <c r="P148" s="972" t="n"/>
      <c r="Q148" s="972" t="n"/>
      <c r="R148" s="972" t="n"/>
      <c r="S148" s="972" t="n"/>
      <c r="T148" s="972" t="n"/>
      <c r="U148" s="972" t="n"/>
      <c r="V148" s="972" t="n"/>
      <c r="W148" s="972" t="n"/>
      <c r="X148" s="972" t="n"/>
      <c r="Y148" s="972" t="n"/>
      <c r="Z148" s="972" t="n"/>
    </row>
    <row r="149">
      <c r="A149" s="972" t="n"/>
      <c r="B149" s="972" t="n"/>
      <c r="C149" s="972" t="n"/>
      <c r="D149" s="972" t="n"/>
      <c r="E149" s="972" t="n"/>
      <c r="F149" s="972" t="n"/>
      <c r="G149" s="972" t="n"/>
      <c r="H149" s="972" t="n"/>
      <c r="I149" s="972" t="n"/>
      <c r="J149" s="972" t="n"/>
      <c r="K149" s="972" t="n"/>
      <c r="L149" s="972" t="n"/>
      <c r="M149" s="972" t="n"/>
      <c r="N149" s="972" t="n"/>
      <c r="O149" s="972" t="n"/>
      <c r="P149" s="972" t="n"/>
      <c r="Q149" s="972" t="n"/>
      <c r="R149" s="972" t="n"/>
      <c r="S149" s="972" t="n"/>
      <c r="T149" s="972" t="n"/>
      <c r="U149" s="972" t="n"/>
      <c r="V149" s="972" t="n"/>
      <c r="W149" s="972" t="n"/>
      <c r="X149" s="972" t="n"/>
      <c r="Y149" s="972" t="n"/>
      <c r="Z149" s="972" t="n"/>
    </row>
    <row r="150">
      <c r="A150" s="972" t="n"/>
      <c r="B150" s="972" t="n"/>
      <c r="C150" s="972" t="n"/>
      <c r="D150" s="972" t="n"/>
      <c r="E150" s="972" t="n"/>
      <c r="F150" s="972" t="n"/>
      <c r="G150" s="972" t="n"/>
      <c r="H150" s="972" t="n"/>
      <c r="I150" s="972" t="n"/>
      <c r="J150" s="972" t="n"/>
      <c r="K150" s="972" t="n"/>
      <c r="L150" s="972" t="n"/>
      <c r="M150" s="972" t="n"/>
      <c r="N150" s="972" t="n"/>
      <c r="O150" s="972" t="n"/>
      <c r="P150" s="972" t="n"/>
      <c r="Q150" s="972" t="n"/>
      <c r="R150" s="972" t="n"/>
      <c r="S150" s="972" t="n"/>
      <c r="T150" s="972" t="n"/>
      <c r="U150" s="972" t="n"/>
      <c r="V150" s="972" t="n"/>
      <c r="W150" s="972" t="n"/>
      <c r="X150" s="972" t="n"/>
      <c r="Y150" s="972" t="n"/>
      <c r="Z150" s="972" t="n"/>
    </row>
    <row r="151">
      <c r="A151" s="972" t="n"/>
      <c r="B151" s="972" t="n"/>
      <c r="C151" s="972" t="n"/>
      <c r="D151" s="972" t="n"/>
      <c r="E151" s="972" t="n"/>
      <c r="F151" s="972" t="n"/>
      <c r="G151" s="972" t="n"/>
      <c r="H151" s="972" t="n"/>
      <c r="I151" s="972" t="n"/>
      <c r="J151" s="972" t="n"/>
      <c r="K151" s="972" t="n"/>
      <c r="L151" s="972" t="n"/>
      <c r="M151" s="972" t="n"/>
      <c r="N151" s="972" t="n"/>
      <c r="O151" s="972" t="n"/>
      <c r="P151" s="972" t="n"/>
      <c r="Q151" s="972" t="n"/>
      <c r="R151" s="972" t="n"/>
      <c r="S151" s="972" t="n"/>
      <c r="T151" s="972" t="n"/>
      <c r="U151" s="972" t="n"/>
      <c r="V151" s="972" t="n"/>
      <c r="W151" s="972" t="n"/>
      <c r="X151" s="972" t="n"/>
      <c r="Y151" s="972" t="n"/>
      <c r="Z151" s="972" t="n"/>
    </row>
    <row r="152">
      <c r="A152" s="972" t="n"/>
      <c r="B152" s="972" t="n"/>
      <c r="C152" s="972" t="n"/>
      <c r="D152" s="972" t="n"/>
      <c r="E152" s="972" t="n"/>
      <c r="F152" s="972" t="n"/>
      <c r="G152" s="972" t="n"/>
      <c r="H152" s="972" t="n"/>
      <c r="I152" s="972" t="n"/>
      <c r="J152" s="972" t="n"/>
      <c r="K152" s="972" t="n"/>
      <c r="L152" s="972" t="n"/>
      <c r="M152" s="972" t="n"/>
      <c r="N152" s="972" t="n"/>
      <c r="O152" s="972" t="n"/>
      <c r="P152" s="972" t="n"/>
      <c r="Q152" s="972" t="n"/>
      <c r="R152" s="972" t="n"/>
      <c r="S152" s="972" t="n"/>
      <c r="T152" s="972" t="n"/>
      <c r="U152" s="972" t="n"/>
      <c r="V152" s="972" t="n"/>
      <c r="W152" s="972" t="n"/>
      <c r="X152" s="972" t="n"/>
      <c r="Y152" s="972" t="n"/>
      <c r="Z152" s="972" t="n"/>
    </row>
    <row r="153">
      <c r="A153" s="972" t="n"/>
      <c r="B153" s="972" t="n"/>
      <c r="C153" s="972" t="n"/>
      <c r="D153" s="972" t="n"/>
      <c r="E153" s="972" t="n"/>
      <c r="F153" s="972" t="n"/>
      <c r="G153" s="972" t="n"/>
      <c r="H153" s="972" t="n"/>
      <c r="I153" s="972" t="n"/>
      <c r="J153" s="972" t="n"/>
      <c r="K153" s="972" t="n"/>
      <c r="L153" s="972" t="n"/>
      <c r="M153" s="972" t="n"/>
      <c r="N153" s="972" t="n"/>
      <c r="O153" s="972" t="n"/>
      <c r="P153" s="972" t="n"/>
      <c r="Q153" s="972" t="n"/>
      <c r="R153" s="972" t="n"/>
      <c r="S153" s="972" t="n"/>
      <c r="T153" s="972" t="n"/>
      <c r="U153" s="972" t="n"/>
      <c r="V153" s="972" t="n"/>
      <c r="W153" s="972" t="n"/>
      <c r="X153" s="972" t="n"/>
      <c r="Y153" s="972" t="n"/>
      <c r="Z153" s="972" t="n"/>
    </row>
    <row r="154">
      <c r="A154" s="972" t="n"/>
      <c r="B154" s="972" t="n"/>
      <c r="C154" s="972" t="n"/>
      <c r="D154" s="972" t="n"/>
      <c r="E154" s="972" t="n"/>
      <c r="F154" s="972" t="n"/>
      <c r="G154" s="972" t="n"/>
      <c r="H154" s="972" t="n"/>
      <c r="I154" s="972" t="n"/>
      <c r="J154" s="972" t="n"/>
      <c r="K154" s="972" t="n"/>
      <c r="L154" s="972" t="n"/>
      <c r="M154" s="972" t="n"/>
      <c r="N154" s="972" t="n"/>
      <c r="O154" s="972" t="n"/>
      <c r="P154" s="972" t="n"/>
      <c r="Q154" s="972" t="n"/>
      <c r="R154" s="972" t="n"/>
      <c r="S154" s="972" t="n"/>
      <c r="T154" s="972" t="n"/>
      <c r="U154" s="972" t="n"/>
      <c r="V154" s="972" t="n"/>
      <c r="W154" s="972" t="n"/>
      <c r="X154" s="972" t="n"/>
      <c r="Y154" s="972" t="n"/>
      <c r="Z154" s="972" t="n"/>
    </row>
    <row r="155">
      <c r="A155" s="972" t="n"/>
      <c r="B155" s="972" t="n"/>
      <c r="C155" s="972" t="n"/>
      <c r="D155" s="972" t="n"/>
      <c r="E155" s="972" t="n"/>
      <c r="F155" s="972" t="n"/>
      <c r="G155" s="972" t="n"/>
      <c r="H155" s="972" t="n"/>
      <c r="I155" s="972" t="n"/>
      <c r="J155" s="972" t="n"/>
      <c r="K155" s="972" t="n"/>
      <c r="L155" s="972" t="n"/>
      <c r="M155" s="972" t="n"/>
      <c r="N155" s="972" t="n"/>
      <c r="O155" s="972" t="n"/>
      <c r="P155" s="972" t="n"/>
      <c r="Q155" s="972" t="n"/>
      <c r="R155" s="972" t="n"/>
      <c r="S155" s="972" t="n"/>
      <c r="T155" s="972" t="n"/>
      <c r="U155" s="972" t="n"/>
      <c r="V155" s="972" t="n"/>
      <c r="W155" s="972" t="n"/>
      <c r="X155" s="972" t="n"/>
      <c r="Y155" s="972" t="n"/>
      <c r="Z155" s="972" t="n"/>
    </row>
    <row r="156">
      <c r="A156" s="972" t="n"/>
      <c r="B156" s="972" t="n"/>
      <c r="C156" s="972" t="n"/>
      <c r="D156" s="972" t="n"/>
      <c r="E156" s="972" t="n"/>
      <c r="F156" s="972" t="n"/>
      <c r="G156" s="972" t="n"/>
      <c r="H156" s="972" t="n"/>
      <c r="I156" s="972" t="n"/>
      <c r="J156" s="972" t="n"/>
      <c r="K156" s="972" t="n"/>
      <c r="L156" s="972" t="n"/>
      <c r="M156" s="972" t="n"/>
      <c r="N156" s="972" t="n"/>
      <c r="O156" s="972" t="n"/>
      <c r="P156" s="972" t="n"/>
      <c r="Q156" s="972" t="n"/>
      <c r="R156" s="972" t="n"/>
      <c r="S156" s="972" t="n"/>
      <c r="T156" s="972" t="n"/>
      <c r="U156" s="972" t="n"/>
      <c r="V156" s="972" t="n"/>
      <c r="W156" s="972" t="n"/>
      <c r="X156" s="972" t="n"/>
      <c r="Y156" s="972" t="n"/>
      <c r="Z156" s="972" t="n"/>
    </row>
    <row r="157">
      <c r="A157" s="972" t="n"/>
      <c r="B157" s="972" t="n"/>
      <c r="C157" s="972" t="n"/>
      <c r="D157" s="972" t="n"/>
      <c r="E157" s="972" t="n"/>
      <c r="F157" s="972" t="n"/>
      <c r="G157" s="972" t="n"/>
      <c r="H157" s="972" t="n"/>
      <c r="I157" s="972" t="n"/>
      <c r="J157" s="972" t="n"/>
      <c r="K157" s="972" t="n"/>
      <c r="L157" s="972" t="n"/>
      <c r="M157" s="972" t="n"/>
      <c r="N157" s="972" t="n"/>
      <c r="O157" s="972" t="n"/>
      <c r="P157" s="972" t="n"/>
      <c r="Q157" s="972" t="n"/>
      <c r="R157" s="972" t="n"/>
      <c r="S157" s="972" t="n"/>
      <c r="T157" s="972" t="n"/>
      <c r="U157" s="972" t="n"/>
      <c r="V157" s="972" t="n"/>
      <c r="W157" s="972" t="n"/>
      <c r="X157" s="972" t="n"/>
      <c r="Y157" s="972" t="n"/>
      <c r="Z157" s="972" t="n"/>
    </row>
    <row r="158">
      <c r="A158" s="972" t="n"/>
      <c r="B158" s="972" t="n"/>
      <c r="C158" s="972" t="n"/>
      <c r="D158" s="972" t="n"/>
      <c r="E158" s="972" t="n"/>
      <c r="F158" s="972" t="n"/>
      <c r="G158" s="972" t="n"/>
      <c r="H158" s="972" t="n"/>
      <c r="I158" s="972" t="n"/>
      <c r="J158" s="972" t="n"/>
      <c r="K158" s="972" t="n"/>
      <c r="L158" s="972" t="n"/>
      <c r="M158" s="972" t="n"/>
      <c r="N158" s="972" t="n"/>
      <c r="O158" s="972" t="n"/>
      <c r="P158" s="972" t="n"/>
      <c r="Q158" s="972" t="n"/>
      <c r="R158" s="972" t="n"/>
      <c r="S158" s="972" t="n"/>
      <c r="T158" s="972" t="n"/>
      <c r="U158" s="972" t="n"/>
      <c r="V158" s="972" t="n"/>
      <c r="W158" s="972" t="n"/>
      <c r="X158" s="972" t="n"/>
      <c r="Y158" s="972" t="n"/>
      <c r="Z158" s="972" t="n"/>
    </row>
    <row r="159">
      <c r="A159" s="972" t="n"/>
      <c r="B159" s="972" t="n"/>
      <c r="C159" s="972" t="n"/>
      <c r="D159" s="972" t="n"/>
      <c r="E159" s="972" t="n"/>
      <c r="F159" s="972" t="n"/>
      <c r="G159" s="972" t="n"/>
      <c r="H159" s="972" t="n"/>
      <c r="I159" s="972" t="n"/>
      <c r="J159" s="972" t="n"/>
      <c r="K159" s="972" t="n"/>
      <c r="L159" s="972" t="n"/>
      <c r="M159" s="972" t="n"/>
      <c r="N159" s="972" t="n"/>
      <c r="O159" s="972" t="n"/>
      <c r="P159" s="972" t="n"/>
      <c r="Q159" s="972" t="n"/>
      <c r="R159" s="972" t="n"/>
      <c r="S159" s="972" t="n"/>
      <c r="T159" s="972" t="n"/>
      <c r="U159" s="972" t="n"/>
      <c r="V159" s="972" t="n"/>
      <c r="W159" s="972" t="n"/>
      <c r="X159" s="972" t="n"/>
      <c r="Y159" s="972" t="n"/>
      <c r="Z159" s="972" t="n"/>
    </row>
    <row r="160">
      <c r="A160" s="972" t="n"/>
      <c r="B160" s="972" t="n"/>
      <c r="C160" s="972" t="n"/>
      <c r="D160" s="972" t="n"/>
      <c r="E160" s="972" t="n"/>
      <c r="F160" s="972" t="n"/>
      <c r="G160" s="972" t="n"/>
      <c r="H160" s="972" t="n"/>
      <c r="I160" s="972" t="n"/>
      <c r="J160" s="972" t="n"/>
      <c r="K160" s="972" t="n"/>
      <c r="L160" s="972" t="n"/>
      <c r="M160" s="972" t="n"/>
      <c r="N160" s="972" t="n"/>
      <c r="O160" s="972" t="n"/>
      <c r="P160" s="972" t="n"/>
      <c r="Q160" s="972" t="n"/>
      <c r="R160" s="972" t="n"/>
      <c r="S160" s="972" t="n"/>
      <c r="T160" s="972" t="n"/>
      <c r="U160" s="972" t="n"/>
      <c r="V160" s="972" t="n"/>
      <c r="W160" s="972" t="n"/>
      <c r="X160" s="972" t="n"/>
      <c r="Y160" s="972" t="n"/>
      <c r="Z160" s="972" t="n"/>
    </row>
    <row r="161">
      <c r="A161" s="972" t="n"/>
      <c r="B161" s="972" t="n"/>
      <c r="C161" s="972" t="n"/>
      <c r="D161" s="972" t="n"/>
      <c r="E161" s="972" t="n"/>
      <c r="F161" s="972" t="n"/>
      <c r="G161" s="972" t="n"/>
      <c r="H161" s="972" t="n"/>
      <c r="I161" s="972" t="n"/>
      <c r="J161" s="972" t="n"/>
      <c r="K161" s="972" t="n"/>
      <c r="L161" s="972" t="n"/>
      <c r="M161" s="972" t="n"/>
      <c r="N161" s="972" t="n"/>
      <c r="O161" s="972" t="n"/>
      <c r="P161" s="972" t="n"/>
      <c r="Q161" s="972" t="n"/>
      <c r="R161" s="972" t="n"/>
      <c r="S161" s="972" t="n"/>
      <c r="T161" s="972" t="n"/>
      <c r="U161" s="972" t="n"/>
      <c r="V161" s="972" t="n"/>
      <c r="W161" s="972" t="n"/>
      <c r="X161" s="972" t="n"/>
      <c r="Y161" s="972" t="n"/>
      <c r="Z161" s="972" t="n"/>
    </row>
    <row r="162">
      <c r="A162" s="972" t="n"/>
      <c r="B162" s="972" t="n"/>
      <c r="C162" s="972" t="n"/>
      <c r="D162" s="972" t="n"/>
      <c r="E162" s="972" t="n"/>
      <c r="F162" s="972" t="n"/>
      <c r="G162" s="972" t="n"/>
      <c r="H162" s="972" t="n"/>
      <c r="I162" s="972" t="n"/>
      <c r="J162" s="972" t="n"/>
      <c r="K162" s="972" t="n"/>
      <c r="L162" s="972" t="n"/>
      <c r="M162" s="972" t="n"/>
      <c r="N162" s="972" t="n"/>
      <c r="O162" s="972" t="n"/>
      <c r="P162" s="972" t="n"/>
      <c r="Q162" s="972" t="n"/>
      <c r="R162" s="972" t="n"/>
      <c r="S162" s="972" t="n"/>
      <c r="T162" s="972" t="n"/>
      <c r="U162" s="972" t="n"/>
      <c r="V162" s="972" t="n"/>
      <c r="W162" s="972" t="n"/>
      <c r="X162" s="972" t="n"/>
      <c r="Y162" s="972" t="n"/>
      <c r="Z162" s="972" t="n"/>
    </row>
    <row r="163">
      <c r="A163" s="972" t="n"/>
      <c r="B163" s="972" t="n"/>
      <c r="C163" s="972" t="n"/>
      <c r="D163" s="972" t="n"/>
      <c r="E163" s="972" t="n"/>
      <c r="F163" s="972" t="n"/>
      <c r="G163" s="972" t="n"/>
      <c r="H163" s="972" t="n"/>
      <c r="I163" s="972" t="n"/>
      <c r="J163" s="972" t="n"/>
      <c r="K163" s="972" t="n"/>
      <c r="L163" s="972" t="n"/>
      <c r="M163" s="972" t="n"/>
      <c r="N163" s="972" t="n"/>
      <c r="O163" s="972" t="n"/>
      <c r="P163" s="972" t="n"/>
      <c r="Q163" s="972" t="n"/>
      <c r="R163" s="972" t="n"/>
      <c r="S163" s="972" t="n"/>
      <c r="T163" s="972" t="n"/>
      <c r="U163" s="972" t="n"/>
      <c r="V163" s="972" t="n"/>
      <c r="W163" s="972" t="n"/>
      <c r="X163" s="972" t="n"/>
      <c r="Y163" s="972" t="n"/>
      <c r="Z163" s="972" t="n"/>
    </row>
    <row r="164">
      <c r="A164" s="972" t="n"/>
      <c r="B164" s="972" t="n"/>
      <c r="C164" s="972" t="n"/>
      <c r="D164" s="972" t="n"/>
      <c r="E164" s="972" t="n"/>
      <c r="F164" s="972" t="n"/>
      <c r="G164" s="972" t="n"/>
      <c r="H164" s="972" t="n"/>
      <c r="I164" s="972" t="n"/>
      <c r="J164" s="972" t="n"/>
      <c r="K164" s="972" t="n"/>
      <c r="L164" s="972" t="n"/>
      <c r="M164" s="972" t="n"/>
      <c r="N164" s="972" t="n"/>
      <c r="O164" s="972" t="n"/>
      <c r="P164" s="972" t="n"/>
      <c r="Q164" s="972" t="n"/>
      <c r="R164" s="972" t="n"/>
      <c r="S164" s="972" t="n"/>
      <c r="T164" s="972" t="n"/>
      <c r="U164" s="972" t="n"/>
      <c r="V164" s="972" t="n"/>
      <c r="W164" s="972" t="n"/>
      <c r="X164" s="972" t="n"/>
      <c r="Y164" s="972" t="n"/>
      <c r="Z164" s="972" t="n"/>
    </row>
    <row r="165">
      <c r="A165" s="972" t="n"/>
      <c r="B165" s="972" t="n"/>
      <c r="C165" s="972" t="n"/>
      <c r="D165" s="972" t="n"/>
      <c r="E165" s="972" t="n"/>
      <c r="F165" s="972" t="n"/>
      <c r="G165" s="972" t="n"/>
      <c r="H165" s="972" t="n"/>
      <c r="I165" s="972" t="n"/>
      <c r="J165" s="972" t="n"/>
      <c r="K165" s="972" t="n"/>
      <c r="L165" s="972" t="n"/>
      <c r="M165" s="972" t="n"/>
      <c r="N165" s="972" t="n"/>
      <c r="O165" s="972" t="n"/>
      <c r="P165" s="972" t="n"/>
      <c r="Q165" s="972" t="n"/>
      <c r="R165" s="972" t="n"/>
      <c r="S165" s="972" t="n"/>
      <c r="T165" s="972" t="n"/>
      <c r="U165" s="972" t="n"/>
      <c r="V165" s="972" t="n"/>
      <c r="W165" s="972" t="n"/>
      <c r="X165" s="972" t="n"/>
      <c r="Y165" s="972" t="n"/>
      <c r="Z165" s="972" t="n"/>
    </row>
    <row r="166">
      <c r="A166" s="972" t="n"/>
      <c r="B166" s="972" t="n"/>
      <c r="C166" s="972" t="n"/>
      <c r="D166" s="972" t="n"/>
      <c r="E166" s="972" t="n"/>
      <c r="F166" s="972" t="n"/>
      <c r="G166" s="972" t="n"/>
      <c r="H166" s="972" t="n"/>
      <c r="I166" s="972" t="n"/>
      <c r="J166" s="972" t="n"/>
      <c r="K166" s="972" t="n"/>
      <c r="L166" s="972" t="n"/>
      <c r="M166" s="972" t="n"/>
      <c r="N166" s="972" t="n"/>
      <c r="O166" s="972" t="n"/>
      <c r="P166" s="972" t="n"/>
      <c r="Q166" s="972" t="n"/>
      <c r="R166" s="972" t="n"/>
      <c r="S166" s="972" t="n"/>
      <c r="T166" s="972" t="n"/>
      <c r="U166" s="972" t="n"/>
      <c r="V166" s="972" t="n"/>
      <c r="W166" s="972" t="n"/>
      <c r="X166" s="972" t="n"/>
      <c r="Y166" s="972" t="n"/>
      <c r="Z166" s="972" t="n"/>
    </row>
    <row r="167">
      <c r="A167" s="972" t="n"/>
      <c r="B167" s="972" t="n"/>
      <c r="C167" s="972" t="n"/>
      <c r="D167" s="972" t="n"/>
      <c r="E167" s="972" t="n"/>
      <c r="F167" s="972" t="n"/>
      <c r="G167" s="972" t="n"/>
      <c r="H167" s="972" t="n"/>
      <c r="I167" s="972" t="n"/>
      <c r="J167" s="972" t="n"/>
      <c r="K167" s="972" t="n"/>
      <c r="L167" s="972" t="n"/>
      <c r="M167" s="972" t="n"/>
      <c r="N167" s="972" t="n"/>
      <c r="O167" s="972" t="n"/>
      <c r="P167" s="972" t="n"/>
      <c r="Q167" s="972" t="n"/>
      <c r="R167" s="972" t="n"/>
      <c r="S167" s="972" t="n"/>
      <c r="T167" s="972" t="n"/>
      <c r="U167" s="972" t="n"/>
      <c r="V167" s="972" t="n"/>
      <c r="W167" s="972" t="n"/>
      <c r="X167" s="972" t="n"/>
      <c r="Y167" s="972" t="n"/>
      <c r="Z167" s="972" t="n"/>
    </row>
    <row r="168">
      <c r="A168" s="972" t="n"/>
      <c r="B168" s="972" t="n"/>
      <c r="C168" s="972" t="n"/>
      <c r="D168" s="972" t="n"/>
      <c r="E168" s="972" t="n"/>
      <c r="F168" s="972" t="n"/>
      <c r="G168" s="972" t="n"/>
      <c r="H168" s="972" t="n"/>
      <c r="I168" s="972" t="n"/>
      <c r="J168" s="972" t="n"/>
      <c r="K168" s="972" t="n"/>
      <c r="L168" s="972" t="n"/>
      <c r="M168" s="972" t="n"/>
      <c r="N168" s="972" t="n"/>
      <c r="O168" s="972" t="n"/>
      <c r="P168" s="972" t="n"/>
      <c r="Q168" s="972" t="n"/>
      <c r="R168" s="972" t="n"/>
      <c r="S168" s="972" t="n"/>
      <c r="T168" s="972" t="n"/>
      <c r="U168" s="972" t="n"/>
      <c r="V168" s="972" t="n"/>
      <c r="W168" s="972" t="n"/>
      <c r="X168" s="972" t="n"/>
      <c r="Y168" s="972" t="n"/>
      <c r="Z168" s="972" t="n"/>
    </row>
    <row r="169">
      <c r="A169" s="972" t="n"/>
      <c r="B169" s="972" t="n"/>
      <c r="C169" s="972" t="n"/>
      <c r="D169" s="972" t="n"/>
      <c r="E169" s="972" t="n"/>
      <c r="F169" s="972" t="n"/>
      <c r="G169" s="972" t="n"/>
      <c r="H169" s="972" t="n"/>
      <c r="I169" s="972" t="n"/>
      <c r="J169" s="972" t="n"/>
      <c r="K169" s="972" t="n"/>
      <c r="L169" s="972" t="n"/>
      <c r="M169" s="972" t="n"/>
      <c r="N169" s="972" t="n"/>
      <c r="O169" s="972" t="n"/>
      <c r="P169" s="972" t="n"/>
      <c r="Q169" s="972" t="n"/>
      <c r="R169" s="972" t="n"/>
      <c r="S169" s="972" t="n"/>
      <c r="T169" s="972" t="n"/>
      <c r="U169" s="972" t="n"/>
      <c r="V169" s="972" t="n"/>
      <c r="W169" s="972" t="n"/>
      <c r="X169" s="972" t="n"/>
      <c r="Y169" s="972" t="n"/>
      <c r="Z169" s="972" t="n"/>
    </row>
    <row r="170">
      <c r="A170" s="972" t="n"/>
      <c r="B170" s="972" t="n"/>
      <c r="C170" s="972" t="n"/>
      <c r="D170" s="972" t="n"/>
      <c r="E170" s="972" t="n"/>
      <c r="F170" s="972" t="n"/>
      <c r="G170" s="972" t="n"/>
      <c r="H170" s="972" t="n"/>
      <c r="I170" s="972" t="n"/>
      <c r="J170" s="972" t="n"/>
      <c r="K170" s="972" t="n"/>
      <c r="L170" s="972" t="n"/>
      <c r="M170" s="972" t="n"/>
      <c r="N170" s="972" t="n"/>
      <c r="O170" s="972" t="n"/>
      <c r="P170" s="972" t="n"/>
      <c r="Q170" s="972" t="n"/>
      <c r="R170" s="972" t="n"/>
      <c r="S170" s="972" t="n"/>
      <c r="T170" s="972" t="n"/>
      <c r="U170" s="972" t="n"/>
      <c r="V170" s="972" t="n"/>
      <c r="W170" s="972" t="n"/>
      <c r="X170" s="972" t="n"/>
      <c r="Y170" s="972" t="n"/>
      <c r="Z170" s="972" t="n"/>
    </row>
    <row r="171">
      <c r="A171" s="972" t="n"/>
      <c r="B171" s="972" t="n"/>
      <c r="C171" s="972" t="n"/>
      <c r="D171" s="972" t="n"/>
      <c r="E171" s="972" t="n"/>
      <c r="F171" s="972" t="n"/>
      <c r="G171" s="972" t="n"/>
      <c r="H171" s="972" t="n"/>
      <c r="I171" s="972" t="n"/>
      <c r="J171" s="972" t="n"/>
      <c r="K171" s="972" t="n"/>
      <c r="L171" s="972" t="n"/>
      <c r="M171" s="972" t="n"/>
      <c r="N171" s="972" t="n"/>
      <c r="O171" s="972" t="n"/>
      <c r="P171" s="972" t="n"/>
      <c r="Q171" s="972" t="n"/>
      <c r="R171" s="972" t="n"/>
      <c r="S171" s="972" t="n"/>
      <c r="T171" s="972" t="n"/>
      <c r="U171" s="972" t="n"/>
      <c r="V171" s="972" t="n"/>
      <c r="W171" s="972" t="n"/>
      <c r="X171" s="972" t="n"/>
      <c r="Y171" s="972" t="n"/>
      <c r="Z171" s="972" t="n"/>
    </row>
    <row r="172">
      <c r="A172" s="972" t="n"/>
      <c r="B172" s="972" t="n"/>
      <c r="C172" s="972" t="n"/>
      <c r="D172" s="972" t="n"/>
      <c r="E172" s="972" t="n"/>
      <c r="F172" s="972" t="n"/>
      <c r="G172" s="972" t="n"/>
      <c r="H172" s="972" t="n"/>
      <c r="I172" s="972" t="n"/>
      <c r="J172" s="972" t="n"/>
      <c r="K172" s="972" t="n"/>
      <c r="L172" s="972" t="n"/>
      <c r="M172" s="972" t="n"/>
      <c r="N172" s="972" t="n"/>
      <c r="O172" s="972" t="n"/>
      <c r="P172" s="972" t="n"/>
      <c r="Q172" s="972" t="n"/>
      <c r="R172" s="972" t="n"/>
      <c r="S172" s="972" t="n"/>
      <c r="T172" s="972" t="n"/>
      <c r="U172" s="972" t="n"/>
      <c r="V172" s="972" t="n"/>
      <c r="W172" s="972" t="n"/>
      <c r="X172" s="972" t="n"/>
      <c r="Y172" s="972" t="n"/>
      <c r="Z172" s="972" t="n"/>
    </row>
    <row r="173">
      <c r="A173" s="972" t="n"/>
      <c r="B173" s="972" t="n"/>
      <c r="C173" s="972" t="n"/>
      <c r="D173" s="972" t="n"/>
      <c r="E173" s="972" t="n"/>
      <c r="F173" s="972" t="n"/>
      <c r="G173" s="972" t="n"/>
      <c r="H173" s="972" t="n"/>
      <c r="I173" s="972" t="n"/>
      <c r="J173" s="972" t="n"/>
      <c r="K173" s="972" t="n"/>
      <c r="L173" s="972" t="n"/>
      <c r="M173" s="972" t="n"/>
      <c r="N173" s="972" t="n"/>
      <c r="O173" s="972" t="n"/>
      <c r="P173" s="972" t="n"/>
      <c r="Q173" s="972" t="n"/>
      <c r="R173" s="972" t="n"/>
      <c r="S173" s="972" t="n"/>
      <c r="T173" s="972" t="n"/>
      <c r="U173" s="972" t="n"/>
      <c r="V173" s="972" t="n"/>
      <c r="W173" s="972" t="n"/>
      <c r="X173" s="972" t="n"/>
      <c r="Y173" s="972" t="n"/>
      <c r="Z173" s="972" t="n"/>
    </row>
    <row r="174">
      <c r="A174" s="972" t="n"/>
      <c r="B174" s="972" t="n"/>
      <c r="C174" s="972" t="n"/>
      <c r="D174" s="972" t="n"/>
      <c r="E174" s="972" t="n"/>
      <c r="F174" s="972" t="n"/>
      <c r="G174" s="972" t="n"/>
      <c r="H174" s="972" t="n"/>
      <c r="I174" s="972" t="n"/>
      <c r="J174" s="972" t="n"/>
      <c r="K174" s="972" t="n"/>
      <c r="L174" s="972" t="n"/>
      <c r="M174" s="972" t="n"/>
      <c r="N174" s="972" t="n"/>
      <c r="O174" s="972" t="n"/>
      <c r="P174" s="972" t="n"/>
      <c r="Q174" s="972" t="n"/>
      <c r="R174" s="972" t="n"/>
      <c r="S174" s="972" t="n"/>
      <c r="T174" s="972" t="n"/>
      <c r="U174" s="972" t="n"/>
      <c r="V174" s="972" t="n"/>
      <c r="W174" s="972" t="n"/>
      <c r="X174" s="972" t="n"/>
      <c r="Y174" s="972" t="n"/>
      <c r="Z174" s="972" t="n"/>
    </row>
    <row r="175">
      <c r="A175" s="972" t="n"/>
      <c r="B175" s="972" t="n"/>
      <c r="C175" s="972" t="n"/>
      <c r="D175" s="972" t="n"/>
      <c r="E175" s="972" t="n"/>
      <c r="F175" s="972" t="n"/>
      <c r="G175" s="972" t="n"/>
      <c r="H175" s="972" t="n"/>
      <c r="I175" s="972" t="n"/>
      <c r="J175" s="972" t="n"/>
      <c r="K175" s="972" t="n"/>
      <c r="L175" s="972" t="n"/>
      <c r="M175" s="972" t="n"/>
      <c r="N175" s="972" t="n"/>
      <c r="O175" s="972" t="n"/>
      <c r="P175" s="972" t="n"/>
      <c r="Q175" s="972" t="n"/>
      <c r="R175" s="972" t="n"/>
      <c r="S175" s="972" t="n"/>
      <c r="T175" s="972" t="n"/>
      <c r="U175" s="972" t="n"/>
      <c r="V175" s="972" t="n"/>
      <c r="W175" s="972" t="n"/>
      <c r="X175" s="972" t="n"/>
      <c r="Y175" s="972" t="n"/>
      <c r="Z175" s="972" t="n"/>
    </row>
    <row r="176">
      <c r="A176" s="972" t="n"/>
      <c r="B176" s="972" t="n"/>
      <c r="C176" s="972" t="n"/>
      <c r="D176" s="972" t="n"/>
      <c r="E176" s="972" t="n"/>
      <c r="F176" s="972" t="n"/>
      <c r="G176" s="972" t="n"/>
      <c r="H176" s="972" t="n"/>
      <c r="I176" s="972" t="n"/>
      <c r="J176" s="972" t="n"/>
      <c r="K176" s="972" t="n"/>
      <c r="L176" s="972" t="n"/>
      <c r="M176" s="972" t="n"/>
      <c r="N176" s="972" t="n"/>
      <c r="O176" s="972" t="n"/>
      <c r="P176" s="972" t="n"/>
      <c r="Q176" s="972" t="n"/>
      <c r="R176" s="972" t="n"/>
      <c r="S176" s="972" t="n"/>
      <c r="T176" s="972" t="n"/>
      <c r="U176" s="972" t="n"/>
      <c r="V176" s="972" t="n"/>
      <c r="W176" s="972" t="n"/>
      <c r="X176" s="972" t="n"/>
      <c r="Y176" s="972" t="n"/>
      <c r="Z176" s="972" t="n"/>
    </row>
    <row r="177">
      <c r="A177" s="972" t="n"/>
      <c r="B177" s="972" t="n"/>
      <c r="C177" s="972" t="n"/>
      <c r="D177" s="972" t="n"/>
      <c r="E177" s="972" t="n"/>
      <c r="F177" s="972" t="n"/>
      <c r="G177" s="972" t="n"/>
      <c r="H177" s="972" t="n"/>
      <c r="I177" s="972" t="n"/>
      <c r="J177" s="972" t="n"/>
      <c r="K177" s="972" t="n"/>
      <c r="L177" s="972" t="n"/>
      <c r="M177" s="972" t="n"/>
      <c r="N177" s="972" t="n"/>
      <c r="O177" s="972" t="n"/>
      <c r="P177" s="972" t="n"/>
      <c r="Q177" s="972" t="n"/>
      <c r="R177" s="972" t="n"/>
      <c r="S177" s="972" t="n"/>
      <c r="T177" s="972" t="n"/>
      <c r="U177" s="972" t="n"/>
      <c r="V177" s="972" t="n"/>
      <c r="W177" s="972" t="n"/>
      <c r="X177" s="972" t="n"/>
      <c r="Y177" s="972" t="n"/>
      <c r="Z177" s="972" t="n"/>
    </row>
    <row r="178">
      <c r="A178" s="972" t="n"/>
      <c r="B178" s="972" t="n"/>
      <c r="C178" s="972" t="n"/>
      <c r="D178" s="972" t="n"/>
      <c r="E178" s="972" t="n"/>
      <c r="F178" s="972" t="n"/>
      <c r="G178" s="972" t="n"/>
      <c r="H178" s="972" t="n"/>
      <c r="I178" s="972" t="n"/>
      <c r="J178" s="972" t="n"/>
      <c r="K178" s="972" t="n"/>
      <c r="L178" s="972" t="n"/>
      <c r="M178" s="972" t="n"/>
      <c r="N178" s="972" t="n"/>
      <c r="O178" s="972" t="n"/>
      <c r="P178" s="972" t="n"/>
      <c r="Q178" s="972" t="n"/>
      <c r="R178" s="972" t="n"/>
      <c r="S178" s="972" t="n"/>
      <c r="T178" s="972" t="n"/>
      <c r="U178" s="972" t="n"/>
      <c r="V178" s="972" t="n"/>
      <c r="W178" s="972" t="n"/>
      <c r="X178" s="972" t="n"/>
      <c r="Y178" s="972" t="n"/>
      <c r="Z178" s="972" t="n"/>
    </row>
    <row r="179">
      <c r="A179" s="972" t="n"/>
      <c r="B179" s="972" t="n"/>
      <c r="C179" s="972" t="n"/>
      <c r="D179" s="972" t="n"/>
      <c r="E179" s="972" t="n"/>
      <c r="F179" s="972" t="n"/>
      <c r="G179" s="972" t="n"/>
      <c r="H179" s="972" t="n"/>
      <c r="I179" s="972" t="n"/>
      <c r="J179" s="972" t="n"/>
      <c r="K179" s="972" t="n"/>
      <c r="L179" s="972" t="n"/>
      <c r="M179" s="972" t="n"/>
      <c r="N179" s="972" t="n"/>
      <c r="O179" s="972" t="n"/>
      <c r="P179" s="972" t="n"/>
      <c r="Q179" s="972" t="n"/>
      <c r="R179" s="972" t="n"/>
      <c r="S179" s="972" t="n"/>
      <c r="T179" s="972" t="n"/>
      <c r="U179" s="972" t="n"/>
      <c r="V179" s="972" t="n"/>
      <c r="W179" s="972" t="n"/>
      <c r="X179" s="972" t="n"/>
      <c r="Y179" s="972" t="n"/>
      <c r="Z179" s="972" t="n"/>
    </row>
    <row r="180">
      <c r="A180" s="972" t="n"/>
      <c r="B180" s="972" t="n"/>
      <c r="C180" s="972" t="n"/>
      <c r="D180" s="972" t="n"/>
      <c r="E180" s="972" t="n"/>
      <c r="F180" s="972" t="n"/>
      <c r="G180" s="972" t="n"/>
      <c r="H180" s="972" t="n"/>
      <c r="I180" s="972" t="n"/>
      <c r="J180" s="972" t="n"/>
      <c r="K180" s="972" t="n"/>
      <c r="L180" s="972" t="n"/>
      <c r="M180" s="972" t="n"/>
      <c r="N180" s="972" t="n"/>
      <c r="O180" s="972" t="n"/>
      <c r="P180" s="972" t="n"/>
      <c r="Q180" s="972" t="n"/>
      <c r="R180" s="972" t="n"/>
      <c r="S180" s="972" t="n"/>
      <c r="T180" s="972" t="n"/>
      <c r="U180" s="972" t="n"/>
      <c r="V180" s="972" t="n"/>
      <c r="W180" s="972" t="n"/>
      <c r="X180" s="972" t="n"/>
      <c r="Y180" s="972" t="n"/>
      <c r="Z180" s="972" t="n"/>
    </row>
    <row r="181">
      <c r="A181" s="972" t="n"/>
      <c r="B181" s="972" t="n"/>
      <c r="C181" s="972" t="n"/>
      <c r="D181" s="972" t="n"/>
      <c r="E181" s="972" t="n"/>
      <c r="F181" s="972" t="n"/>
      <c r="G181" s="972" t="n"/>
      <c r="H181" s="972" t="n"/>
      <c r="I181" s="972" t="n"/>
      <c r="J181" s="972" t="n"/>
      <c r="K181" s="972" t="n"/>
      <c r="L181" s="972" t="n"/>
      <c r="M181" s="972" t="n"/>
      <c r="N181" s="972" t="n"/>
      <c r="O181" s="972" t="n"/>
      <c r="P181" s="972" t="n"/>
      <c r="Q181" s="972" t="n"/>
      <c r="R181" s="972" t="n"/>
      <c r="S181" s="972" t="n"/>
      <c r="T181" s="972" t="n"/>
      <c r="U181" s="972" t="n"/>
      <c r="V181" s="972" t="n"/>
      <c r="W181" s="972" t="n"/>
      <c r="X181" s="972" t="n"/>
      <c r="Y181" s="972" t="n"/>
      <c r="Z181" s="972" t="n"/>
    </row>
    <row r="182">
      <c r="A182" s="972" t="n"/>
      <c r="B182" s="972" t="n"/>
      <c r="C182" s="972" t="n"/>
      <c r="D182" s="972" t="n"/>
      <c r="E182" s="972" t="n"/>
      <c r="F182" s="972" t="n"/>
      <c r="G182" s="972" t="n"/>
      <c r="H182" s="972" t="n"/>
      <c r="I182" s="972" t="n"/>
      <c r="J182" s="972" t="n"/>
      <c r="K182" s="972" t="n"/>
      <c r="L182" s="972" t="n"/>
      <c r="M182" s="972" t="n"/>
      <c r="N182" s="972" t="n"/>
      <c r="O182" s="972" t="n"/>
      <c r="P182" s="972" t="n"/>
      <c r="Q182" s="972" t="n"/>
      <c r="R182" s="972" t="n"/>
      <c r="S182" s="972" t="n"/>
      <c r="T182" s="972" t="n"/>
      <c r="U182" s="972" t="n"/>
      <c r="V182" s="972" t="n"/>
      <c r="W182" s="972" t="n"/>
      <c r="X182" s="972" t="n"/>
      <c r="Y182" s="972" t="n"/>
      <c r="Z182" s="972" t="n"/>
    </row>
    <row r="183">
      <c r="A183" s="972" t="n"/>
      <c r="B183" s="972" t="n"/>
      <c r="C183" s="972" t="n"/>
      <c r="D183" s="972" t="n"/>
      <c r="E183" s="972" t="n"/>
      <c r="F183" s="972" t="n"/>
      <c r="G183" s="972" t="n"/>
      <c r="H183" s="972" t="n"/>
      <c r="I183" s="972" t="n"/>
      <c r="J183" s="972" t="n"/>
      <c r="K183" s="972" t="n"/>
      <c r="L183" s="972" t="n"/>
      <c r="M183" s="972" t="n"/>
      <c r="N183" s="972" t="n"/>
      <c r="O183" s="972" t="n"/>
      <c r="P183" s="972" t="n"/>
      <c r="Q183" s="972" t="n"/>
      <c r="R183" s="972" t="n"/>
      <c r="S183" s="972" t="n"/>
      <c r="T183" s="972" t="n"/>
      <c r="U183" s="972" t="n"/>
      <c r="V183" s="972" t="n"/>
      <c r="W183" s="972" t="n"/>
      <c r="X183" s="972" t="n"/>
      <c r="Y183" s="972" t="n"/>
      <c r="Z183" s="972" t="n"/>
    </row>
    <row r="184">
      <c r="A184" s="972" t="n"/>
      <c r="B184" s="972" t="n"/>
      <c r="C184" s="972" t="n"/>
      <c r="D184" s="972" t="n"/>
      <c r="E184" s="972" t="n"/>
      <c r="F184" s="972" t="n"/>
      <c r="G184" s="972" t="n"/>
      <c r="H184" s="972" t="n"/>
      <c r="I184" s="972" t="n"/>
      <c r="J184" s="972" t="n"/>
      <c r="K184" s="972" t="n"/>
      <c r="L184" s="972" t="n"/>
      <c r="M184" s="972" t="n"/>
      <c r="N184" s="972" t="n"/>
      <c r="O184" s="972" t="n"/>
      <c r="P184" s="972" t="n"/>
      <c r="Q184" s="972" t="n"/>
      <c r="R184" s="972" t="n"/>
      <c r="S184" s="972" t="n"/>
      <c r="T184" s="972" t="n"/>
      <c r="U184" s="972" t="n"/>
      <c r="V184" s="972" t="n"/>
      <c r="W184" s="972" t="n"/>
      <c r="X184" s="972" t="n"/>
      <c r="Y184" s="972" t="n"/>
      <c r="Z184" s="972" t="n"/>
    </row>
    <row r="185">
      <c r="A185" s="972" t="n"/>
      <c r="B185" s="972" t="n"/>
      <c r="C185" s="972" t="n"/>
      <c r="D185" s="972" t="n"/>
      <c r="E185" s="972" t="n"/>
      <c r="F185" s="972" t="n"/>
      <c r="G185" s="972" t="n"/>
      <c r="H185" s="972" t="n"/>
      <c r="I185" s="972" t="n"/>
      <c r="J185" s="972" t="n"/>
      <c r="K185" s="972" t="n"/>
      <c r="L185" s="972" t="n"/>
      <c r="M185" s="972" t="n"/>
      <c r="N185" s="972" t="n"/>
      <c r="O185" s="972" t="n"/>
      <c r="P185" s="972" t="n"/>
      <c r="Q185" s="972" t="n"/>
      <c r="R185" s="972" t="n"/>
      <c r="S185" s="972" t="n"/>
      <c r="T185" s="972" t="n"/>
      <c r="U185" s="972" t="n"/>
      <c r="V185" s="972" t="n"/>
      <c r="W185" s="972" t="n"/>
      <c r="X185" s="972" t="n"/>
      <c r="Y185" s="972" t="n"/>
      <c r="Z185" s="972" t="n"/>
    </row>
    <row r="186">
      <c r="A186" s="972" t="n"/>
      <c r="B186" s="972" t="n"/>
      <c r="C186" s="972" t="n"/>
      <c r="D186" s="972" t="n"/>
      <c r="E186" s="972" t="n"/>
      <c r="F186" s="972" t="n"/>
      <c r="G186" s="972" t="n"/>
      <c r="H186" s="972" t="n"/>
      <c r="I186" s="972" t="n"/>
      <c r="J186" s="972" t="n"/>
      <c r="K186" s="972" t="n"/>
      <c r="L186" s="972" t="n"/>
      <c r="M186" s="972" t="n"/>
      <c r="N186" s="972" t="n"/>
      <c r="O186" s="972" t="n"/>
      <c r="P186" s="972" t="n"/>
      <c r="Q186" s="972" t="n"/>
      <c r="R186" s="972" t="n"/>
      <c r="S186" s="972" t="n"/>
      <c r="T186" s="972" t="n"/>
      <c r="U186" s="972" t="n"/>
      <c r="V186" s="972" t="n"/>
      <c r="W186" s="972" t="n"/>
      <c r="X186" s="972" t="n"/>
      <c r="Y186" s="972" t="n"/>
      <c r="Z186" s="972" t="n"/>
    </row>
    <row r="187">
      <c r="A187" s="972" t="n"/>
      <c r="B187" s="972" t="n"/>
      <c r="C187" s="972" t="n"/>
      <c r="D187" s="972" t="n"/>
      <c r="E187" s="972" t="n"/>
      <c r="F187" s="972" t="n"/>
      <c r="G187" s="972" t="n"/>
      <c r="H187" s="972" t="n"/>
      <c r="I187" s="972" t="n"/>
      <c r="J187" s="972" t="n"/>
      <c r="K187" s="972" t="n"/>
      <c r="L187" s="972" t="n"/>
      <c r="M187" s="972" t="n"/>
      <c r="N187" s="972" t="n"/>
      <c r="O187" s="972" t="n"/>
      <c r="P187" s="972" t="n"/>
      <c r="Q187" s="972" t="n"/>
      <c r="R187" s="972" t="n"/>
      <c r="S187" s="972" t="n"/>
      <c r="T187" s="972" t="n"/>
      <c r="U187" s="972" t="n"/>
      <c r="V187" s="972" t="n"/>
      <c r="W187" s="972" t="n"/>
      <c r="X187" s="972" t="n"/>
      <c r="Y187" s="972" t="n"/>
      <c r="Z187" s="972" t="n"/>
    </row>
    <row r="188">
      <c r="A188" s="972" t="n"/>
      <c r="B188" s="972" t="n"/>
      <c r="C188" s="972" t="n"/>
      <c r="D188" s="972" t="n"/>
      <c r="E188" s="972" t="n"/>
      <c r="F188" s="972" t="n"/>
      <c r="G188" s="972" t="n"/>
      <c r="H188" s="972" t="n"/>
      <c r="I188" s="972" t="n"/>
      <c r="J188" s="972" t="n"/>
      <c r="K188" s="972" t="n"/>
      <c r="L188" s="972" t="n"/>
      <c r="M188" s="972" t="n"/>
      <c r="N188" s="972" t="n"/>
      <c r="O188" s="972" t="n"/>
      <c r="P188" s="972" t="n"/>
      <c r="Q188" s="972" t="n"/>
      <c r="R188" s="972" t="n"/>
      <c r="S188" s="972" t="n"/>
      <c r="T188" s="972" t="n"/>
      <c r="U188" s="972" t="n"/>
      <c r="V188" s="972" t="n"/>
      <c r="W188" s="972" t="n"/>
      <c r="X188" s="972" t="n"/>
      <c r="Y188" s="972" t="n"/>
      <c r="Z188" s="972" t="n"/>
    </row>
    <row r="189">
      <c r="A189" s="972" t="n"/>
      <c r="B189" s="972" t="n"/>
      <c r="C189" s="972" t="n"/>
      <c r="D189" s="972" t="n"/>
      <c r="E189" s="972" t="n"/>
      <c r="F189" s="972" t="n"/>
      <c r="G189" s="972" t="n"/>
      <c r="H189" s="972" t="n"/>
      <c r="I189" s="972" t="n"/>
      <c r="J189" s="972" t="n"/>
      <c r="K189" s="972" t="n"/>
      <c r="L189" s="972" t="n"/>
      <c r="M189" s="972" t="n"/>
      <c r="N189" s="972" t="n"/>
      <c r="O189" s="972" t="n"/>
      <c r="P189" s="972" t="n"/>
      <c r="Q189" s="972" t="n"/>
      <c r="R189" s="972" t="n"/>
      <c r="S189" s="972" t="n"/>
      <c r="T189" s="972" t="n"/>
      <c r="U189" s="972" t="n"/>
      <c r="V189" s="972" t="n"/>
      <c r="W189" s="972" t="n"/>
      <c r="X189" s="972" t="n"/>
      <c r="Y189" s="972" t="n"/>
      <c r="Z189" s="972" t="n"/>
    </row>
    <row r="190">
      <c r="A190" s="972" t="n"/>
      <c r="B190" s="972" t="n"/>
      <c r="C190" s="972" t="n"/>
      <c r="D190" s="972" t="n"/>
      <c r="E190" s="972" t="n"/>
      <c r="F190" s="972" t="n"/>
      <c r="G190" s="972" t="n"/>
      <c r="H190" s="972" t="n"/>
      <c r="I190" s="972" t="n"/>
      <c r="J190" s="972" t="n"/>
      <c r="K190" s="972" t="n"/>
      <c r="L190" s="972" t="n"/>
      <c r="M190" s="972" t="n"/>
      <c r="N190" s="972" t="n"/>
      <c r="O190" s="972" t="n"/>
      <c r="P190" s="972" t="n"/>
      <c r="Q190" s="972" t="n"/>
      <c r="R190" s="972" t="n"/>
      <c r="S190" s="972" t="n"/>
      <c r="T190" s="972" t="n"/>
      <c r="U190" s="972" t="n"/>
      <c r="V190" s="972" t="n"/>
      <c r="W190" s="972" t="n"/>
      <c r="X190" s="972" t="n"/>
      <c r="Y190" s="972" t="n"/>
      <c r="Z190" s="972" t="n"/>
    </row>
    <row r="191">
      <c r="A191" s="972" t="n"/>
      <c r="B191" s="972" t="n"/>
      <c r="C191" s="972" t="n"/>
      <c r="D191" s="972" t="n"/>
      <c r="E191" s="972" t="n"/>
      <c r="F191" s="972" t="n"/>
      <c r="G191" s="972" t="n"/>
      <c r="H191" s="972" t="n"/>
      <c r="I191" s="972" t="n"/>
      <c r="J191" s="972" t="n"/>
      <c r="K191" s="972" t="n"/>
      <c r="L191" s="972" t="n"/>
      <c r="M191" s="972" t="n"/>
      <c r="N191" s="972" t="n"/>
      <c r="O191" s="972" t="n"/>
      <c r="P191" s="972" t="n"/>
      <c r="Q191" s="972" t="n"/>
      <c r="R191" s="972" t="n"/>
      <c r="S191" s="972" t="n"/>
      <c r="T191" s="972" t="n"/>
      <c r="U191" s="972" t="n"/>
      <c r="V191" s="972" t="n"/>
      <c r="W191" s="972" t="n"/>
      <c r="X191" s="972" t="n"/>
      <c r="Y191" s="972" t="n"/>
      <c r="Z191" s="972" t="n"/>
    </row>
    <row r="192">
      <c r="A192" s="972" t="n"/>
      <c r="B192" s="972" t="n"/>
      <c r="C192" s="972" t="n"/>
      <c r="D192" s="972" t="n"/>
      <c r="E192" s="972" t="n"/>
      <c r="F192" s="972" t="n"/>
      <c r="G192" s="972" t="n"/>
      <c r="H192" s="972" t="n"/>
      <c r="I192" s="972" t="n"/>
      <c r="J192" s="972" t="n"/>
      <c r="K192" s="972" t="n"/>
      <c r="L192" s="972" t="n"/>
      <c r="M192" s="972" t="n"/>
      <c r="N192" s="972" t="n"/>
      <c r="O192" s="972" t="n"/>
      <c r="P192" s="972" t="n"/>
      <c r="Q192" s="972" t="n"/>
      <c r="R192" s="972" t="n"/>
      <c r="S192" s="972" t="n"/>
      <c r="T192" s="972" t="n"/>
      <c r="U192" s="972" t="n"/>
      <c r="V192" s="972" t="n"/>
      <c r="W192" s="972" t="n"/>
      <c r="X192" s="972" t="n"/>
      <c r="Y192" s="972" t="n"/>
      <c r="Z192" s="972" t="n"/>
    </row>
    <row r="193">
      <c r="A193" s="972" t="n"/>
      <c r="B193" s="972" t="n"/>
      <c r="C193" s="972" t="n"/>
      <c r="D193" s="972" t="n"/>
      <c r="E193" s="972" t="n"/>
      <c r="F193" s="972" t="n"/>
      <c r="G193" s="972" t="n"/>
      <c r="H193" s="972" t="n"/>
      <c r="I193" s="972" t="n"/>
      <c r="J193" s="972" t="n"/>
      <c r="K193" s="972" t="n"/>
      <c r="L193" s="972" t="n"/>
      <c r="M193" s="972" t="n"/>
      <c r="N193" s="972" t="n"/>
      <c r="O193" s="972" t="n"/>
      <c r="P193" s="972" t="n"/>
      <c r="Q193" s="972" t="n"/>
      <c r="R193" s="972" t="n"/>
      <c r="S193" s="972" t="n"/>
      <c r="T193" s="972" t="n"/>
      <c r="U193" s="972" t="n"/>
      <c r="V193" s="972" t="n"/>
      <c r="W193" s="972" t="n"/>
      <c r="X193" s="972" t="n"/>
      <c r="Y193" s="972" t="n"/>
      <c r="Z193" s="972" t="n"/>
    </row>
    <row r="194">
      <c r="A194" s="972" t="n"/>
      <c r="B194" s="972" t="n"/>
      <c r="C194" s="972" t="n"/>
      <c r="D194" s="972" t="n"/>
      <c r="E194" s="972" t="n"/>
      <c r="F194" s="972" t="n"/>
      <c r="G194" s="972" t="n"/>
      <c r="H194" s="972" t="n"/>
      <c r="I194" s="972" t="n"/>
      <c r="J194" s="972" t="n"/>
      <c r="K194" s="972" t="n"/>
      <c r="L194" s="972" t="n"/>
      <c r="M194" s="972" t="n"/>
      <c r="N194" s="972" t="n"/>
      <c r="O194" s="972" t="n"/>
      <c r="P194" s="972" t="n"/>
      <c r="Q194" s="972" t="n"/>
      <c r="R194" s="972" t="n"/>
      <c r="S194" s="972" t="n"/>
      <c r="T194" s="972" t="n"/>
      <c r="U194" s="972" t="n"/>
      <c r="V194" s="972" t="n"/>
      <c r="W194" s="972" t="n"/>
      <c r="X194" s="972" t="n"/>
      <c r="Y194" s="972" t="n"/>
      <c r="Z194" s="972" t="n"/>
    </row>
    <row r="195">
      <c r="A195" s="972" t="n"/>
      <c r="B195" s="972" t="n"/>
      <c r="C195" s="972" t="n"/>
      <c r="D195" s="972" t="n"/>
      <c r="E195" s="972" t="n"/>
      <c r="F195" s="972" t="n"/>
      <c r="G195" s="972" t="n"/>
      <c r="H195" s="972" t="n"/>
      <c r="I195" s="972" t="n"/>
      <c r="J195" s="972" t="n"/>
      <c r="K195" s="972" t="n"/>
      <c r="L195" s="972" t="n"/>
      <c r="M195" s="972" t="n"/>
      <c r="N195" s="972" t="n"/>
      <c r="O195" s="972" t="n"/>
      <c r="P195" s="972" t="n"/>
      <c r="Q195" s="972" t="n"/>
      <c r="R195" s="972" t="n"/>
      <c r="S195" s="972" t="n"/>
      <c r="T195" s="972" t="n"/>
      <c r="U195" s="972" t="n"/>
      <c r="V195" s="972" t="n"/>
      <c r="W195" s="972" t="n"/>
      <c r="X195" s="972" t="n"/>
      <c r="Y195" s="972" t="n"/>
      <c r="Z195" s="972" t="n"/>
    </row>
    <row r="196">
      <c r="A196" s="972" t="n"/>
      <c r="B196" s="972" t="n"/>
      <c r="C196" s="972" t="n"/>
      <c r="D196" s="972" t="n"/>
      <c r="E196" s="972" t="n"/>
      <c r="F196" s="972" t="n"/>
      <c r="G196" s="972" t="n"/>
      <c r="H196" s="972" t="n"/>
      <c r="I196" s="972" t="n"/>
      <c r="J196" s="972" t="n"/>
      <c r="K196" s="972" t="n"/>
      <c r="L196" s="972" t="n"/>
      <c r="M196" s="972" t="n"/>
      <c r="N196" s="972" t="n"/>
      <c r="O196" s="972" t="n"/>
      <c r="P196" s="972" t="n"/>
      <c r="Q196" s="972" t="n"/>
      <c r="R196" s="972" t="n"/>
      <c r="S196" s="972" t="n"/>
      <c r="T196" s="972" t="n"/>
      <c r="U196" s="972" t="n"/>
      <c r="V196" s="972" t="n"/>
      <c r="W196" s="972" t="n"/>
      <c r="X196" s="972" t="n"/>
      <c r="Y196" s="972" t="n"/>
      <c r="Z196" s="972" t="n"/>
    </row>
    <row r="197">
      <c r="A197" s="972" t="n"/>
      <c r="B197" s="972" t="n"/>
      <c r="C197" s="972" t="n"/>
      <c r="D197" s="972" t="n"/>
      <c r="E197" s="972" t="n"/>
      <c r="F197" s="972" t="n"/>
      <c r="G197" s="972" t="n"/>
      <c r="H197" s="972" t="n"/>
      <c r="I197" s="972" t="n"/>
      <c r="J197" s="972" t="n"/>
      <c r="K197" s="972" t="n"/>
      <c r="L197" s="972" t="n"/>
      <c r="M197" s="972" t="n"/>
      <c r="N197" s="972" t="n"/>
      <c r="O197" s="972" t="n"/>
      <c r="P197" s="972" t="n"/>
      <c r="Q197" s="972" t="n"/>
      <c r="R197" s="972" t="n"/>
      <c r="S197" s="972" t="n"/>
      <c r="T197" s="972" t="n"/>
      <c r="U197" s="972" t="n"/>
      <c r="V197" s="972" t="n"/>
      <c r="W197" s="972" t="n"/>
      <c r="X197" s="972" t="n"/>
      <c r="Y197" s="972" t="n"/>
      <c r="Z197" s="972" t="n"/>
    </row>
    <row r="198">
      <c r="A198" s="972" t="n"/>
      <c r="B198" s="972" t="n"/>
      <c r="C198" s="972" t="n"/>
      <c r="D198" s="972" t="n"/>
      <c r="E198" s="972" t="n"/>
      <c r="F198" s="972" t="n"/>
      <c r="G198" s="972" t="n"/>
      <c r="H198" s="972" t="n"/>
      <c r="I198" s="972" t="n"/>
      <c r="J198" s="972" t="n"/>
      <c r="K198" s="972" t="n"/>
      <c r="L198" s="972" t="n"/>
      <c r="M198" s="972" t="n"/>
      <c r="N198" s="972" t="n"/>
      <c r="O198" s="972" t="n"/>
      <c r="P198" s="972" t="n"/>
      <c r="Q198" s="972" t="n"/>
      <c r="R198" s="972" t="n"/>
      <c r="S198" s="972" t="n"/>
      <c r="T198" s="972" t="n"/>
      <c r="U198" s="972" t="n"/>
      <c r="V198" s="972" t="n"/>
      <c r="W198" s="972" t="n"/>
      <c r="X198" s="972" t="n"/>
      <c r="Y198" s="972" t="n"/>
      <c r="Z198" s="972" t="n"/>
    </row>
    <row r="199">
      <c r="A199" s="972" t="n"/>
      <c r="B199" s="972" t="n"/>
      <c r="C199" s="972" t="n"/>
      <c r="D199" s="972" t="n"/>
      <c r="E199" s="972" t="n"/>
      <c r="F199" s="972" t="n"/>
      <c r="G199" s="972" t="n"/>
      <c r="H199" s="972" t="n"/>
      <c r="I199" s="972" t="n"/>
      <c r="J199" s="972" t="n"/>
      <c r="K199" s="972" t="n"/>
      <c r="L199" s="972" t="n"/>
      <c r="M199" s="972" t="n"/>
      <c r="N199" s="972" t="n"/>
      <c r="O199" s="972" t="n"/>
      <c r="P199" s="972" t="n"/>
      <c r="Q199" s="972" t="n"/>
      <c r="R199" s="972" t="n"/>
      <c r="S199" s="972" t="n"/>
      <c r="T199" s="972" t="n"/>
      <c r="U199" s="972" t="n"/>
      <c r="V199" s="972" t="n"/>
      <c r="W199" s="972" t="n"/>
      <c r="X199" s="972" t="n"/>
      <c r="Y199" s="972" t="n"/>
      <c r="Z199" s="972" t="n"/>
    </row>
    <row r="200">
      <c r="A200" s="972" t="n"/>
      <c r="B200" s="972" t="n"/>
      <c r="C200" s="972" t="n"/>
      <c r="D200" s="972" t="n"/>
      <c r="E200" s="972" t="n"/>
      <c r="F200" s="972" t="n"/>
      <c r="G200" s="972" t="n"/>
      <c r="H200" s="972" t="n"/>
      <c r="I200" s="972" t="n"/>
      <c r="J200" s="972" t="n"/>
      <c r="K200" s="972" t="n"/>
      <c r="L200" s="972" t="n"/>
      <c r="M200" s="972" t="n"/>
      <c r="N200" s="972" t="n"/>
      <c r="O200" s="972" t="n"/>
      <c r="P200" s="972" t="n"/>
      <c r="Q200" s="972" t="n"/>
      <c r="R200" s="972" t="n"/>
      <c r="S200" s="972" t="n"/>
      <c r="T200" s="972" t="n"/>
      <c r="U200" s="972" t="n"/>
      <c r="V200" s="972" t="n"/>
      <c r="W200" s="972" t="n"/>
      <c r="X200" s="972" t="n"/>
      <c r="Y200" s="972" t="n"/>
      <c r="Z200" s="972" t="n"/>
    </row>
    <row r="201">
      <c r="A201" s="972" t="n"/>
      <c r="B201" s="972" t="n"/>
      <c r="C201" s="972" t="n"/>
      <c r="D201" s="972" t="n"/>
      <c r="E201" s="972" t="n"/>
      <c r="F201" s="972" t="n"/>
      <c r="G201" s="972" t="n"/>
      <c r="H201" s="972" t="n"/>
      <c r="I201" s="972" t="n"/>
      <c r="J201" s="972" t="n"/>
      <c r="K201" s="972" t="n"/>
      <c r="L201" s="972" t="n"/>
      <c r="M201" s="972" t="n"/>
      <c r="N201" s="972" t="n"/>
      <c r="O201" s="972" t="n"/>
      <c r="P201" s="972" t="n"/>
      <c r="Q201" s="972" t="n"/>
      <c r="R201" s="972" t="n"/>
      <c r="S201" s="972" t="n"/>
      <c r="T201" s="972" t="n"/>
      <c r="U201" s="972" t="n"/>
      <c r="V201" s="972" t="n"/>
      <c r="W201" s="972" t="n"/>
      <c r="X201" s="972" t="n"/>
      <c r="Y201" s="972" t="n"/>
      <c r="Z201" s="972" t="n"/>
    </row>
    <row r="202">
      <c r="A202" s="972" t="n"/>
      <c r="B202" s="972" t="n"/>
      <c r="C202" s="972" t="n"/>
      <c r="D202" s="972" t="n"/>
      <c r="E202" s="972" t="n"/>
      <c r="F202" s="972" t="n"/>
      <c r="G202" s="972" t="n"/>
      <c r="H202" s="972" t="n"/>
      <c r="I202" s="972" t="n"/>
      <c r="J202" s="972" t="n"/>
      <c r="K202" s="972" t="n"/>
      <c r="L202" s="972" t="n"/>
      <c r="M202" s="972" t="n"/>
      <c r="N202" s="972" t="n"/>
      <c r="O202" s="972" t="n"/>
      <c r="P202" s="972" t="n"/>
      <c r="Q202" s="972" t="n"/>
      <c r="R202" s="972" t="n"/>
      <c r="S202" s="972" t="n"/>
      <c r="T202" s="972" t="n"/>
      <c r="U202" s="972" t="n"/>
      <c r="V202" s="972" t="n"/>
      <c r="W202" s="972" t="n"/>
      <c r="X202" s="972" t="n"/>
      <c r="Y202" s="972" t="n"/>
      <c r="Z202" s="972" t="n"/>
    </row>
    <row r="203">
      <c r="A203" s="972" t="n"/>
      <c r="B203" s="972" t="n"/>
      <c r="C203" s="972" t="n"/>
      <c r="D203" s="972" t="n"/>
      <c r="E203" s="972" t="n"/>
      <c r="F203" s="972" t="n"/>
      <c r="G203" s="972" t="n"/>
      <c r="H203" s="972" t="n"/>
      <c r="I203" s="972" t="n"/>
      <c r="J203" s="972" t="n"/>
      <c r="K203" s="972" t="n"/>
      <c r="L203" s="972" t="n"/>
      <c r="M203" s="972" t="n"/>
      <c r="N203" s="972" t="n"/>
      <c r="O203" s="972" t="n"/>
      <c r="P203" s="972" t="n"/>
      <c r="Q203" s="972" t="n"/>
      <c r="R203" s="972" t="n"/>
      <c r="S203" s="972" t="n"/>
      <c r="T203" s="972" t="n"/>
      <c r="U203" s="972" t="n"/>
      <c r="V203" s="972" t="n"/>
      <c r="W203" s="972" t="n"/>
      <c r="X203" s="972" t="n"/>
      <c r="Y203" s="972" t="n"/>
      <c r="Z203" s="972" t="n"/>
    </row>
    <row r="204">
      <c r="A204" s="972" t="n"/>
      <c r="B204" s="972" t="n"/>
      <c r="C204" s="972" t="n"/>
      <c r="D204" s="972" t="n"/>
      <c r="E204" s="972" t="n"/>
      <c r="F204" s="972" t="n"/>
      <c r="G204" s="972" t="n"/>
      <c r="H204" s="972" t="n"/>
      <c r="I204" s="972" t="n"/>
      <c r="J204" s="972" t="n"/>
      <c r="K204" s="972" t="n"/>
      <c r="L204" s="972" t="n"/>
      <c r="M204" s="972" t="n"/>
      <c r="N204" s="972" t="n"/>
      <c r="O204" s="972" t="n"/>
      <c r="P204" s="972" t="n"/>
      <c r="Q204" s="972" t="n"/>
      <c r="R204" s="972" t="n"/>
      <c r="S204" s="972" t="n"/>
      <c r="T204" s="972" t="n"/>
      <c r="U204" s="972" t="n"/>
      <c r="V204" s="972" t="n"/>
      <c r="W204" s="972" t="n"/>
      <c r="X204" s="972" t="n"/>
      <c r="Y204" s="972" t="n"/>
      <c r="Z204" s="972" t="n"/>
    </row>
    <row r="205">
      <c r="A205" s="972" t="n"/>
      <c r="B205" s="972" t="n"/>
      <c r="C205" s="972" t="n"/>
      <c r="D205" s="972" t="n"/>
      <c r="E205" s="972" t="n"/>
      <c r="F205" s="972" t="n"/>
      <c r="G205" s="972" t="n"/>
      <c r="H205" s="972" t="n"/>
      <c r="I205" s="972" t="n"/>
      <c r="J205" s="972" t="n"/>
      <c r="K205" s="972" t="n"/>
      <c r="L205" s="972" t="n"/>
      <c r="M205" s="972" t="n"/>
      <c r="N205" s="972" t="n"/>
      <c r="O205" s="972" t="n"/>
      <c r="P205" s="972" t="n"/>
      <c r="Q205" s="972" t="n"/>
      <c r="R205" s="972" t="n"/>
      <c r="S205" s="972" t="n"/>
      <c r="T205" s="972" t="n"/>
      <c r="U205" s="972" t="n"/>
      <c r="V205" s="972" t="n"/>
      <c r="W205" s="972" t="n"/>
      <c r="X205" s="972" t="n"/>
      <c r="Y205" s="972" t="n"/>
      <c r="Z205" s="972" t="n"/>
    </row>
    <row r="206">
      <c r="A206" s="972" t="n"/>
      <c r="B206" s="972" t="n"/>
      <c r="C206" s="972" t="n"/>
      <c r="D206" s="972" t="n"/>
      <c r="E206" s="972" t="n"/>
      <c r="F206" s="972" t="n"/>
      <c r="G206" s="972" t="n"/>
      <c r="H206" s="972" t="n"/>
      <c r="I206" s="972" t="n"/>
      <c r="J206" s="972" t="n"/>
      <c r="K206" s="972" t="n"/>
      <c r="L206" s="972" t="n"/>
      <c r="M206" s="972" t="n"/>
      <c r="N206" s="972" t="n"/>
      <c r="O206" s="972" t="n"/>
      <c r="P206" s="972" t="n"/>
      <c r="Q206" s="972" t="n"/>
      <c r="R206" s="972" t="n"/>
      <c r="S206" s="972" t="n"/>
      <c r="T206" s="972" t="n"/>
      <c r="U206" s="972" t="n"/>
      <c r="V206" s="972" t="n"/>
      <c r="W206" s="972" t="n"/>
      <c r="X206" s="972" t="n"/>
      <c r="Y206" s="972" t="n"/>
      <c r="Z206" s="972" t="n"/>
    </row>
    <row r="207">
      <c r="A207" s="972" t="n"/>
      <c r="B207" s="972" t="n"/>
      <c r="C207" s="972" t="n"/>
      <c r="D207" s="972" t="n"/>
      <c r="E207" s="972" t="n"/>
      <c r="F207" s="972" t="n"/>
      <c r="G207" s="972" t="n"/>
      <c r="H207" s="972" t="n"/>
      <c r="I207" s="972" t="n"/>
      <c r="J207" s="972" t="n"/>
      <c r="K207" s="972" t="n"/>
      <c r="L207" s="972" t="n"/>
      <c r="M207" s="972" t="n"/>
      <c r="N207" s="972" t="n"/>
      <c r="O207" s="972" t="n"/>
      <c r="P207" s="972" t="n"/>
      <c r="Q207" s="972" t="n"/>
      <c r="R207" s="972" t="n"/>
      <c r="S207" s="972" t="n"/>
      <c r="T207" s="972" t="n"/>
      <c r="U207" s="972" t="n"/>
      <c r="V207" s="972" t="n"/>
      <c r="W207" s="972" t="n"/>
      <c r="X207" s="972" t="n"/>
      <c r="Y207" s="972" t="n"/>
      <c r="Z207" s="972" t="n"/>
    </row>
    <row r="208">
      <c r="A208" s="972" t="n"/>
      <c r="B208" s="972" t="n"/>
      <c r="C208" s="972" t="n"/>
      <c r="D208" s="972" t="n"/>
      <c r="E208" s="972" t="n"/>
      <c r="F208" s="972" t="n"/>
      <c r="G208" s="972" t="n"/>
      <c r="H208" s="972" t="n"/>
      <c r="I208" s="972" t="n"/>
      <c r="J208" s="972" t="n"/>
      <c r="K208" s="972" t="n"/>
      <c r="L208" s="972" t="n"/>
      <c r="M208" s="972" t="n"/>
      <c r="N208" s="972" t="n"/>
      <c r="O208" s="972" t="n"/>
      <c r="P208" s="972" t="n"/>
      <c r="Q208" s="972" t="n"/>
      <c r="R208" s="972" t="n"/>
      <c r="S208" s="972" t="n"/>
      <c r="T208" s="972" t="n"/>
      <c r="U208" s="972" t="n"/>
      <c r="V208" s="972" t="n"/>
      <c r="W208" s="972" t="n"/>
      <c r="X208" s="972" t="n"/>
      <c r="Y208" s="972" t="n"/>
      <c r="Z208" s="972" t="n"/>
    </row>
    <row r="209">
      <c r="A209" s="972" t="n"/>
      <c r="B209" s="972" t="n"/>
      <c r="C209" s="972" t="n"/>
      <c r="D209" s="972" t="n"/>
      <c r="E209" s="972" t="n"/>
      <c r="F209" s="972" t="n"/>
      <c r="G209" s="972" t="n"/>
      <c r="H209" s="972" t="n"/>
      <c r="I209" s="972" t="n"/>
      <c r="J209" s="972" t="n"/>
      <c r="K209" s="972" t="n"/>
      <c r="L209" s="972" t="n"/>
      <c r="M209" s="972" t="n"/>
      <c r="N209" s="972" t="n"/>
      <c r="O209" s="972" t="n"/>
      <c r="P209" s="972" t="n"/>
      <c r="Q209" s="972" t="n"/>
      <c r="R209" s="972" t="n"/>
      <c r="S209" s="972" t="n"/>
      <c r="T209" s="972" t="n"/>
      <c r="U209" s="972" t="n"/>
      <c r="V209" s="972" t="n"/>
      <c r="W209" s="972" t="n"/>
      <c r="X209" s="972" t="n"/>
      <c r="Y209" s="972" t="n"/>
      <c r="Z209" s="972" t="n"/>
    </row>
    <row r="210">
      <c r="A210" s="972" t="n"/>
      <c r="B210" s="972" t="n"/>
      <c r="C210" s="972" t="n"/>
      <c r="D210" s="972" t="n"/>
      <c r="E210" s="972" t="n"/>
      <c r="F210" s="972" t="n"/>
      <c r="G210" s="972" t="n"/>
      <c r="H210" s="972" t="n"/>
      <c r="I210" s="972" t="n"/>
      <c r="J210" s="972" t="n"/>
      <c r="K210" s="972" t="n"/>
      <c r="L210" s="972" t="n"/>
      <c r="M210" s="972" t="n"/>
      <c r="N210" s="972" t="n"/>
      <c r="O210" s="972" t="n"/>
      <c r="P210" s="972" t="n"/>
      <c r="Q210" s="972" t="n"/>
      <c r="R210" s="972" t="n"/>
      <c r="S210" s="972" t="n"/>
      <c r="T210" s="972" t="n"/>
      <c r="U210" s="972" t="n"/>
      <c r="V210" s="972" t="n"/>
      <c r="W210" s="972" t="n"/>
      <c r="X210" s="972" t="n"/>
      <c r="Y210" s="972" t="n"/>
      <c r="Z210" s="972" t="n"/>
    </row>
    <row r="211">
      <c r="A211" s="972" t="n"/>
      <c r="B211" s="972" t="n"/>
      <c r="C211" s="972" t="n"/>
      <c r="D211" s="972" t="n"/>
      <c r="E211" s="972" t="n"/>
      <c r="F211" s="972" t="n"/>
      <c r="G211" s="972" t="n"/>
      <c r="H211" s="972" t="n"/>
      <c r="I211" s="972" t="n"/>
      <c r="J211" s="972" t="n"/>
      <c r="K211" s="972" t="n"/>
      <c r="L211" s="972" t="n"/>
      <c r="M211" s="972" t="n"/>
      <c r="N211" s="972" t="n"/>
      <c r="O211" s="972" t="n"/>
      <c r="P211" s="972" t="n"/>
      <c r="Q211" s="972" t="n"/>
      <c r="R211" s="972" t="n"/>
      <c r="S211" s="972" t="n"/>
      <c r="T211" s="972" t="n"/>
      <c r="U211" s="972" t="n"/>
      <c r="V211" s="972" t="n"/>
      <c r="W211" s="972" t="n"/>
      <c r="X211" s="972" t="n"/>
      <c r="Y211" s="972" t="n"/>
      <c r="Z211" s="972" t="n"/>
    </row>
    <row r="212">
      <c r="A212" s="972" t="n"/>
      <c r="B212" s="972" t="n"/>
      <c r="C212" s="972" t="n"/>
      <c r="D212" s="972" t="n"/>
      <c r="E212" s="972" t="n"/>
      <c r="F212" s="972" t="n"/>
      <c r="G212" s="972" t="n"/>
      <c r="H212" s="972" t="n"/>
      <c r="I212" s="972" t="n"/>
      <c r="J212" s="972" t="n"/>
      <c r="K212" s="972" t="n"/>
      <c r="L212" s="972" t="n"/>
      <c r="M212" s="972" t="n"/>
      <c r="N212" s="972" t="n"/>
      <c r="O212" s="972" t="n"/>
      <c r="P212" s="972" t="n"/>
      <c r="Q212" s="972" t="n"/>
      <c r="R212" s="972" t="n"/>
      <c r="S212" s="972" t="n"/>
      <c r="T212" s="972" t="n"/>
      <c r="U212" s="972" t="n"/>
      <c r="V212" s="972" t="n"/>
      <c r="W212" s="972" t="n"/>
      <c r="X212" s="972" t="n"/>
      <c r="Y212" s="972" t="n"/>
      <c r="Z212" s="972" t="n"/>
    </row>
    <row r="213">
      <c r="A213" s="972" t="n"/>
      <c r="B213" s="972" t="n"/>
      <c r="C213" s="972" t="n"/>
      <c r="D213" s="972" t="n"/>
      <c r="E213" s="972" t="n"/>
      <c r="F213" s="972" t="n"/>
      <c r="G213" s="972" t="n"/>
      <c r="H213" s="972" t="n"/>
      <c r="I213" s="972" t="n"/>
      <c r="J213" s="972" t="n"/>
      <c r="K213" s="972" t="n"/>
      <c r="L213" s="972" t="n"/>
      <c r="M213" s="972" t="n"/>
      <c r="N213" s="972" t="n"/>
      <c r="O213" s="972" t="n"/>
      <c r="P213" s="972" t="n"/>
      <c r="Q213" s="972" t="n"/>
      <c r="R213" s="972" t="n"/>
      <c r="S213" s="972" t="n"/>
      <c r="T213" s="972" t="n"/>
      <c r="U213" s="972" t="n"/>
      <c r="V213" s="972" t="n"/>
      <c r="W213" s="972" t="n"/>
      <c r="X213" s="972" t="n"/>
      <c r="Y213" s="972" t="n"/>
      <c r="Z213" s="972" t="n"/>
    </row>
    <row r="214">
      <c r="A214" s="972" t="n"/>
      <c r="B214" s="972" t="n"/>
      <c r="C214" s="972" t="n"/>
      <c r="D214" s="972" t="n"/>
      <c r="E214" s="972" t="n"/>
      <c r="F214" s="972" t="n"/>
      <c r="G214" s="972" t="n"/>
      <c r="H214" s="972" t="n"/>
      <c r="I214" s="972" t="n"/>
      <c r="J214" s="972" t="n"/>
      <c r="K214" s="972" t="n"/>
      <c r="L214" s="972" t="n"/>
      <c r="M214" s="972" t="n"/>
      <c r="N214" s="972" t="n"/>
      <c r="O214" s="972" t="n"/>
      <c r="P214" s="972" t="n"/>
      <c r="Q214" s="972" t="n"/>
      <c r="R214" s="972" t="n"/>
      <c r="S214" s="972" t="n"/>
      <c r="T214" s="972" t="n"/>
      <c r="U214" s="972" t="n"/>
      <c r="V214" s="972" t="n"/>
      <c r="W214" s="972" t="n"/>
      <c r="X214" s="972" t="n"/>
      <c r="Y214" s="972" t="n"/>
      <c r="Z214" s="972" t="n"/>
    </row>
    <row r="215">
      <c r="A215" s="972" t="n"/>
      <c r="B215" s="972" t="n"/>
      <c r="C215" s="972" t="n"/>
      <c r="D215" s="972" t="n"/>
      <c r="E215" s="972" t="n"/>
      <c r="F215" s="972" t="n"/>
      <c r="G215" s="972" t="n"/>
      <c r="H215" s="972" t="n"/>
      <c r="I215" s="972" t="n"/>
      <c r="J215" s="972" t="n"/>
      <c r="K215" s="972" t="n"/>
      <c r="L215" s="972" t="n"/>
      <c r="M215" s="972" t="n"/>
      <c r="N215" s="972" t="n"/>
      <c r="O215" s="972" t="n"/>
      <c r="P215" s="972" t="n"/>
      <c r="Q215" s="972" t="n"/>
      <c r="R215" s="972" t="n"/>
      <c r="S215" s="972" t="n"/>
      <c r="T215" s="972" t="n"/>
      <c r="U215" s="972" t="n"/>
      <c r="V215" s="972" t="n"/>
      <c r="W215" s="972" t="n"/>
      <c r="X215" s="972" t="n"/>
      <c r="Y215" s="972" t="n"/>
      <c r="Z215" s="972" t="n"/>
    </row>
    <row r="216">
      <c r="A216" s="972" t="n"/>
      <c r="B216" s="972" t="n"/>
      <c r="C216" s="972" t="n"/>
      <c r="D216" s="972" t="n"/>
      <c r="E216" s="972" t="n"/>
      <c r="F216" s="972" t="n"/>
      <c r="G216" s="972" t="n"/>
      <c r="H216" s="972" t="n"/>
      <c r="I216" s="972" t="n"/>
      <c r="J216" s="972" t="n"/>
      <c r="K216" s="972" t="n"/>
      <c r="L216" s="972" t="n"/>
      <c r="M216" s="972" t="n"/>
      <c r="N216" s="972" t="n"/>
      <c r="O216" s="972" t="n"/>
      <c r="P216" s="972" t="n"/>
      <c r="Q216" s="972" t="n"/>
      <c r="R216" s="972" t="n"/>
      <c r="S216" s="972" t="n"/>
      <c r="T216" s="972" t="n"/>
      <c r="U216" s="972" t="n"/>
      <c r="V216" s="972" t="n"/>
      <c r="W216" s="972" t="n"/>
      <c r="X216" s="972" t="n"/>
      <c r="Y216" s="972" t="n"/>
      <c r="Z216" s="972" t="n"/>
    </row>
    <row r="217">
      <c r="A217" s="972" t="n"/>
      <c r="B217" s="972" t="n"/>
      <c r="C217" s="972" t="n"/>
      <c r="D217" s="972" t="n"/>
      <c r="E217" s="972" t="n"/>
      <c r="F217" s="972" t="n"/>
      <c r="G217" s="972" t="n"/>
      <c r="H217" s="972" t="n"/>
      <c r="I217" s="972" t="n"/>
      <c r="J217" s="972" t="n"/>
      <c r="K217" s="972" t="n"/>
      <c r="L217" s="972" t="n"/>
      <c r="M217" s="972" t="n"/>
      <c r="N217" s="972" t="n"/>
      <c r="O217" s="972" t="n"/>
      <c r="P217" s="972" t="n"/>
      <c r="Q217" s="972" t="n"/>
      <c r="R217" s="972" t="n"/>
      <c r="S217" s="972" t="n"/>
      <c r="T217" s="972" t="n"/>
      <c r="U217" s="972" t="n"/>
      <c r="V217" s="972" t="n"/>
      <c r="W217" s="972" t="n"/>
      <c r="X217" s="972" t="n"/>
      <c r="Y217" s="972" t="n"/>
      <c r="Z217" s="972" t="n"/>
    </row>
    <row r="218">
      <c r="A218" s="972" t="n"/>
      <c r="B218" s="972" t="n"/>
      <c r="C218" s="972" t="n"/>
      <c r="D218" s="972" t="n"/>
      <c r="E218" s="972" t="n"/>
      <c r="F218" s="972" t="n"/>
      <c r="G218" s="972" t="n"/>
      <c r="H218" s="972" t="n"/>
      <c r="I218" s="972" t="n"/>
      <c r="J218" s="972" t="n"/>
      <c r="K218" s="972" t="n"/>
      <c r="L218" s="972" t="n"/>
      <c r="M218" s="972" t="n"/>
      <c r="N218" s="972" t="n"/>
      <c r="O218" s="972" t="n"/>
      <c r="P218" s="972" t="n"/>
      <c r="Q218" s="972" t="n"/>
      <c r="R218" s="972" t="n"/>
      <c r="S218" s="972" t="n"/>
      <c r="T218" s="972" t="n"/>
      <c r="U218" s="972" t="n"/>
      <c r="V218" s="972" t="n"/>
      <c r="W218" s="972" t="n"/>
      <c r="X218" s="972" t="n"/>
      <c r="Y218" s="972" t="n"/>
      <c r="Z218" s="972" t="n"/>
    </row>
    <row r="219">
      <c r="A219" s="972" t="n"/>
      <c r="B219" s="972" t="n"/>
      <c r="C219" s="972" t="n"/>
      <c r="D219" s="972" t="n"/>
      <c r="E219" s="972" t="n"/>
      <c r="F219" s="972" t="n"/>
      <c r="G219" s="972" t="n"/>
      <c r="H219" s="972" t="n"/>
      <c r="I219" s="972" t="n"/>
      <c r="J219" s="972" t="n"/>
      <c r="K219" s="972" t="n"/>
      <c r="L219" s="972" t="n"/>
      <c r="M219" s="972" t="n"/>
      <c r="N219" s="972" t="n"/>
      <c r="O219" s="972" t="n"/>
      <c r="P219" s="972" t="n"/>
      <c r="Q219" s="972" t="n"/>
      <c r="R219" s="972" t="n"/>
      <c r="S219" s="972" t="n"/>
      <c r="T219" s="972" t="n"/>
      <c r="U219" s="972" t="n"/>
      <c r="V219" s="972" t="n"/>
      <c r="W219" s="972" t="n"/>
      <c r="X219" s="972" t="n"/>
      <c r="Y219" s="972" t="n"/>
      <c r="Z219" s="972" t="n"/>
    </row>
    <row r="220">
      <c r="A220" s="972" t="n"/>
      <c r="B220" s="972" t="n"/>
      <c r="C220" s="972" t="n"/>
      <c r="D220" s="972" t="n"/>
      <c r="E220" s="972" t="n"/>
      <c r="F220" s="972" t="n"/>
      <c r="G220" s="972" t="n"/>
      <c r="H220" s="972" t="n"/>
      <c r="I220" s="972" t="n"/>
      <c r="J220" s="972" t="n"/>
      <c r="K220" s="972" t="n"/>
      <c r="L220" s="972" t="n"/>
      <c r="M220" s="972" t="n"/>
      <c r="N220" s="972" t="n"/>
      <c r="O220" s="972" t="n"/>
      <c r="P220" s="972" t="n"/>
      <c r="Q220" s="972" t="n"/>
      <c r="R220" s="972" t="n"/>
      <c r="S220" s="972" t="n"/>
      <c r="T220" s="972" t="n"/>
      <c r="U220" s="972" t="n"/>
      <c r="V220" s="972" t="n"/>
      <c r="W220" s="972" t="n"/>
      <c r="X220" s="972" t="n"/>
      <c r="Y220" s="972" t="n"/>
      <c r="Z220" s="972" t="n"/>
    </row>
    <row r="221">
      <c r="A221" s="972" t="n"/>
      <c r="B221" s="972" t="n"/>
      <c r="C221" s="972" t="n"/>
      <c r="D221" s="972" t="n"/>
      <c r="E221" s="972" t="n"/>
      <c r="F221" s="972" t="n"/>
      <c r="G221" s="972" t="n"/>
      <c r="H221" s="972" t="n"/>
      <c r="I221" s="972" t="n"/>
      <c r="J221" s="972" t="n"/>
      <c r="K221" s="972" t="n"/>
      <c r="L221" s="972" t="n"/>
      <c r="M221" s="972" t="n"/>
      <c r="N221" s="972" t="n"/>
      <c r="O221" s="972" t="n"/>
      <c r="P221" s="972" t="n"/>
      <c r="Q221" s="972" t="n"/>
      <c r="R221" s="972" t="n"/>
      <c r="S221" s="972" t="n"/>
      <c r="T221" s="972" t="n"/>
      <c r="U221" s="972" t="n"/>
      <c r="V221" s="972" t="n"/>
      <c r="W221" s="972" t="n"/>
      <c r="X221" s="972" t="n"/>
      <c r="Y221" s="972" t="n"/>
      <c r="Z221" s="972" t="n"/>
    </row>
    <row r="222">
      <c r="A222" s="972" t="n"/>
      <c r="B222" s="972" t="n"/>
      <c r="C222" s="972" t="n"/>
      <c r="D222" s="972" t="n"/>
      <c r="E222" s="972" t="n"/>
      <c r="F222" s="972" t="n"/>
      <c r="G222" s="972" t="n"/>
      <c r="H222" s="972" t="n"/>
      <c r="I222" s="972" t="n"/>
      <c r="J222" s="972" t="n"/>
      <c r="K222" s="972" t="n"/>
      <c r="L222" s="972" t="n"/>
      <c r="M222" s="972" t="n"/>
      <c r="N222" s="972" t="n"/>
      <c r="O222" s="972" t="n"/>
      <c r="P222" s="972" t="n"/>
      <c r="Q222" s="972" t="n"/>
      <c r="R222" s="972" t="n"/>
      <c r="S222" s="972" t="n"/>
      <c r="T222" s="972" t="n"/>
      <c r="U222" s="972" t="n"/>
      <c r="V222" s="972" t="n"/>
      <c r="W222" s="972" t="n"/>
      <c r="X222" s="972" t="n"/>
      <c r="Y222" s="972" t="n"/>
      <c r="Z222" s="972" t="n"/>
    </row>
    <row r="223">
      <c r="A223" s="972" t="n"/>
      <c r="B223" s="972" t="n"/>
      <c r="C223" s="972" t="n"/>
      <c r="D223" s="972" t="n"/>
      <c r="E223" s="972" t="n"/>
      <c r="F223" s="972" t="n"/>
      <c r="G223" s="972" t="n"/>
      <c r="H223" s="972" t="n"/>
      <c r="I223" s="972" t="n"/>
      <c r="J223" s="972" t="n"/>
      <c r="K223" s="972" t="n"/>
      <c r="L223" s="972" t="n"/>
      <c r="M223" s="972" t="n"/>
      <c r="N223" s="972" t="n"/>
      <c r="O223" s="972" t="n"/>
      <c r="P223" s="972" t="n"/>
      <c r="Q223" s="972" t="n"/>
      <c r="R223" s="972" t="n"/>
      <c r="S223" s="972" t="n"/>
      <c r="T223" s="972" t="n"/>
      <c r="U223" s="972" t="n"/>
      <c r="V223" s="972" t="n"/>
      <c r="W223" s="972" t="n"/>
      <c r="X223" s="972" t="n"/>
      <c r="Y223" s="972" t="n"/>
      <c r="Z223" s="972" t="n"/>
    </row>
    <row r="224">
      <c r="A224" s="972" t="n"/>
      <c r="B224" s="972" t="n"/>
      <c r="C224" s="972" t="n"/>
      <c r="D224" s="972" t="n"/>
      <c r="E224" s="972" t="n"/>
      <c r="F224" s="972" t="n"/>
      <c r="G224" s="972" t="n"/>
      <c r="H224" s="972" t="n"/>
      <c r="I224" s="972" t="n"/>
      <c r="J224" s="972" t="n"/>
      <c r="K224" s="972" t="n"/>
      <c r="L224" s="972" t="n"/>
      <c r="M224" s="972" t="n"/>
      <c r="N224" s="972" t="n"/>
      <c r="O224" s="972" t="n"/>
      <c r="P224" s="972" t="n"/>
      <c r="Q224" s="972" t="n"/>
      <c r="R224" s="972" t="n"/>
      <c r="S224" s="972" t="n"/>
      <c r="T224" s="972" t="n"/>
      <c r="U224" s="972" t="n"/>
      <c r="V224" s="972" t="n"/>
      <c r="W224" s="972" t="n"/>
      <c r="X224" s="972" t="n"/>
      <c r="Y224" s="972" t="n"/>
      <c r="Z224" s="972" t="n"/>
    </row>
    <row r="225">
      <c r="A225" s="972" t="n"/>
      <c r="B225" s="972" t="n"/>
      <c r="C225" s="972" t="n"/>
      <c r="D225" s="972" t="n"/>
      <c r="E225" s="972" t="n"/>
      <c r="F225" s="972" t="n"/>
      <c r="G225" s="972" t="n"/>
      <c r="H225" s="972" t="n"/>
      <c r="I225" s="972" t="n"/>
      <c r="J225" s="972" t="n"/>
      <c r="K225" s="972" t="n"/>
      <c r="L225" s="972" t="n"/>
      <c r="M225" s="972" t="n"/>
      <c r="N225" s="972" t="n"/>
      <c r="O225" s="972" t="n"/>
      <c r="P225" s="972" t="n"/>
      <c r="Q225" s="972" t="n"/>
      <c r="R225" s="972" t="n"/>
      <c r="S225" s="972" t="n"/>
      <c r="T225" s="972" t="n"/>
      <c r="U225" s="972" t="n"/>
      <c r="V225" s="972" t="n"/>
      <c r="W225" s="972" t="n"/>
      <c r="X225" s="972" t="n"/>
      <c r="Y225" s="972" t="n"/>
      <c r="Z225" s="972" t="n"/>
    </row>
    <row r="226">
      <c r="A226" s="972" t="n"/>
      <c r="B226" s="972" t="n"/>
      <c r="C226" s="972" t="n"/>
      <c r="D226" s="972" t="n"/>
      <c r="E226" s="972" t="n"/>
      <c r="F226" s="972" t="n"/>
      <c r="G226" s="972" t="n"/>
      <c r="H226" s="972" t="n"/>
      <c r="I226" s="972" t="n"/>
      <c r="J226" s="972" t="n"/>
      <c r="K226" s="972" t="n"/>
      <c r="L226" s="972" t="n"/>
      <c r="M226" s="972" t="n"/>
      <c r="N226" s="972" t="n"/>
      <c r="O226" s="972" t="n"/>
      <c r="P226" s="972" t="n"/>
      <c r="Q226" s="972" t="n"/>
      <c r="R226" s="972" t="n"/>
      <c r="S226" s="972" t="n"/>
      <c r="T226" s="972" t="n"/>
      <c r="U226" s="972" t="n"/>
      <c r="V226" s="972" t="n"/>
      <c r="W226" s="972" t="n"/>
      <c r="X226" s="972" t="n"/>
      <c r="Y226" s="972" t="n"/>
      <c r="Z226" s="972" t="n"/>
    </row>
    <row r="227">
      <c r="A227" s="972" t="n"/>
      <c r="B227" s="972" t="n"/>
      <c r="C227" s="972" t="n"/>
      <c r="D227" s="972" t="n"/>
      <c r="E227" s="972" t="n"/>
      <c r="F227" s="972" t="n"/>
      <c r="G227" s="972" t="n"/>
      <c r="H227" s="972" t="n"/>
      <c r="I227" s="972" t="n"/>
      <c r="J227" s="972" t="n"/>
      <c r="K227" s="972" t="n"/>
      <c r="L227" s="972" t="n"/>
      <c r="M227" s="972" t="n"/>
      <c r="N227" s="972" t="n"/>
      <c r="O227" s="972" t="n"/>
      <c r="P227" s="972" t="n"/>
      <c r="Q227" s="972" t="n"/>
      <c r="R227" s="972" t="n"/>
      <c r="S227" s="972" t="n"/>
      <c r="T227" s="972" t="n"/>
      <c r="U227" s="972" t="n"/>
      <c r="V227" s="972" t="n"/>
      <c r="W227" s="972" t="n"/>
      <c r="X227" s="972" t="n"/>
      <c r="Y227" s="972" t="n"/>
      <c r="Z227" s="972" t="n"/>
    </row>
    <row r="228">
      <c r="A228" s="972" t="n"/>
      <c r="B228" s="972" t="n"/>
      <c r="C228" s="972" t="n"/>
      <c r="D228" s="972" t="n"/>
      <c r="E228" s="972" t="n"/>
      <c r="F228" s="972" t="n"/>
      <c r="G228" s="972" t="n"/>
      <c r="H228" s="972" t="n"/>
      <c r="I228" s="972" t="n"/>
      <c r="J228" s="972" t="n"/>
      <c r="K228" s="972" t="n"/>
      <c r="L228" s="972" t="n"/>
      <c r="M228" s="972" t="n"/>
      <c r="N228" s="972" t="n"/>
      <c r="O228" s="972" t="n"/>
      <c r="P228" s="972" t="n"/>
      <c r="Q228" s="972" t="n"/>
      <c r="R228" s="972" t="n"/>
      <c r="S228" s="972" t="n"/>
      <c r="T228" s="972" t="n"/>
      <c r="U228" s="972" t="n"/>
      <c r="V228" s="972" t="n"/>
      <c r="W228" s="972" t="n"/>
      <c r="X228" s="972" t="n"/>
      <c r="Y228" s="972" t="n"/>
      <c r="Z228" s="972" t="n"/>
    </row>
    <row r="229">
      <c r="A229" s="972" t="n"/>
      <c r="B229" s="972" t="n"/>
      <c r="C229" s="972" t="n"/>
      <c r="D229" s="972" t="n"/>
      <c r="E229" s="972" t="n"/>
      <c r="F229" s="972" t="n"/>
      <c r="G229" s="972" t="n"/>
      <c r="H229" s="972" t="n"/>
      <c r="I229" s="972" t="n"/>
      <c r="J229" s="972" t="n"/>
      <c r="K229" s="972" t="n"/>
      <c r="L229" s="972" t="n"/>
      <c r="M229" s="972" t="n"/>
      <c r="N229" s="972" t="n"/>
      <c r="O229" s="972" t="n"/>
      <c r="P229" s="972" t="n"/>
      <c r="Q229" s="972" t="n"/>
      <c r="R229" s="972" t="n"/>
      <c r="S229" s="972" t="n"/>
      <c r="T229" s="972" t="n"/>
      <c r="U229" s="972" t="n"/>
      <c r="V229" s="972" t="n"/>
      <c r="W229" s="972" t="n"/>
      <c r="X229" s="972" t="n"/>
      <c r="Y229" s="972" t="n"/>
      <c r="Z229" s="972" t="n"/>
    </row>
    <row r="230">
      <c r="A230" s="972" t="n"/>
      <c r="B230" s="972" t="n"/>
      <c r="C230" s="972" t="n"/>
      <c r="D230" s="972" t="n"/>
      <c r="E230" s="972" t="n"/>
      <c r="F230" s="972" t="n"/>
      <c r="G230" s="972" t="n"/>
      <c r="H230" s="972" t="n"/>
      <c r="I230" s="972" t="n"/>
      <c r="J230" s="972" t="n"/>
      <c r="K230" s="972" t="n"/>
      <c r="L230" s="972" t="n"/>
      <c r="M230" s="972" t="n"/>
      <c r="N230" s="972" t="n"/>
      <c r="O230" s="972" t="n"/>
      <c r="P230" s="972" t="n"/>
      <c r="Q230" s="972" t="n"/>
      <c r="R230" s="972" t="n"/>
      <c r="S230" s="972" t="n"/>
      <c r="T230" s="972" t="n"/>
      <c r="U230" s="972" t="n"/>
      <c r="V230" s="972" t="n"/>
      <c r="W230" s="972" t="n"/>
      <c r="X230" s="972" t="n"/>
      <c r="Y230" s="972" t="n"/>
      <c r="Z230" s="972" t="n"/>
    </row>
    <row r="231">
      <c r="A231" s="972" t="n"/>
      <c r="B231" s="972" t="n"/>
      <c r="C231" s="972" t="n"/>
      <c r="D231" s="972" t="n"/>
      <c r="E231" s="972" t="n"/>
      <c r="F231" s="972" t="n"/>
      <c r="G231" s="972" t="n"/>
      <c r="H231" s="972" t="n"/>
      <c r="I231" s="972" t="n"/>
      <c r="J231" s="972" t="n"/>
      <c r="K231" s="972" t="n"/>
      <c r="L231" s="972" t="n"/>
      <c r="M231" s="972" t="n"/>
      <c r="N231" s="972" t="n"/>
      <c r="O231" s="972" t="n"/>
      <c r="P231" s="972" t="n"/>
      <c r="Q231" s="972" t="n"/>
      <c r="R231" s="972" t="n"/>
      <c r="S231" s="972" t="n"/>
      <c r="T231" s="972" t="n"/>
      <c r="U231" s="972" t="n"/>
      <c r="V231" s="972" t="n"/>
      <c r="W231" s="972" t="n"/>
      <c r="X231" s="972" t="n"/>
      <c r="Y231" s="972" t="n"/>
      <c r="Z231" s="972" t="n"/>
    </row>
    <row r="232">
      <c r="A232" s="972" t="n"/>
      <c r="B232" s="972" t="n"/>
      <c r="C232" s="972" t="n"/>
      <c r="D232" s="972" t="n"/>
      <c r="E232" s="972" t="n"/>
      <c r="F232" s="972" t="n"/>
      <c r="G232" s="972" t="n"/>
      <c r="H232" s="972" t="n"/>
      <c r="I232" s="972" t="n"/>
      <c r="J232" s="972" t="n"/>
      <c r="K232" s="972" t="n"/>
      <c r="L232" s="972" t="n"/>
      <c r="M232" s="972" t="n"/>
      <c r="N232" s="972" t="n"/>
      <c r="O232" s="972" t="n"/>
      <c r="P232" s="972" t="n"/>
      <c r="Q232" s="972" t="n"/>
      <c r="R232" s="972" t="n"/>
      <c r="S232" s="972" t="n"/>
      <c r="T232" s="972" t="n"/>
      <c r="U232" s="972" t="n"/>
      <c r="V232" s="972" t="n"/>
      <c r="W232" s="972" t="n"/>
      <c r="X232" s="972" t="n"/>
      <c r="Y232" s="972" t="n"/>
      <c r="Z232" s="972" t="n"/>
    </row>
  </sheetData>
  <mergeCells count="2">
    <mergeCell ref="B1:F1"/>
    <mergeCell ref="G1:K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2026-04-26T15:13:13Z</dcterms:created>
  <dcterms:modified xmlns:dcterms="http://purl.org/dc/terms/" xmlns:xsi="http://www.w3.org/2001/XMLSchema-instance" xsi:type="dcterms:W3CDTF">2026-04-26T16:35:08Z</dcterms:modified>
</cp:coreProperties>
</file>