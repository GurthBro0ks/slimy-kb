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c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theme="1"/>
      <sz val="12"/>
    </font>
    <font>
      <name val="Calibri"/>
      <color rgb="FF0000FF"/>
      <sz val="12"/>
    </font>
    <font>
      <name val="Arial"/>
      <color theme="1"/>
    </font>
    <font>
      <name val="Verdana"/>
      <color theme="1"/>
      <scheme val="minor"/>
    </font>
    <font>
      <name val="Verdana"/>
      <color theme="1"/>
      <sz val="12"/>
      <scheme val="minor"/>
    </font>
    <font>
      <name val="Calibri"/>
      <color rgb="FF980000"/>
      <sz val="12"/>
    </font>
    <font>
      <name val="Calibri"/>
      <color theme="1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right" vertical="bottom"/>
    </xf>
    <xf numFmtId="0" fontId="1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1" fillId="2" borderId="3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vertical="bottom"/>
    </xf>
    <xf numFmtId="0" fontId="1" fillId="0" borderId="4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4" fillId="0" borderId="1" pivotButton="0" quotePrefix="0" xfId="0"/>
    <xf numFmtId="0" fontId="2" fillId="3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0" fontId="1" fillId="0" borderId="2" pivotButton="0" quotePrefix="0" xfId="0"/>
    <xf numFmtId="0" fontId="1" fillId="0" borderId="2" applyAlignment="1" pivotButton="0" quotePrefix="0" xfId="0">
      <alignment vertical="bottom"/>
    </xf>
    <xf numFmtId="0" fontId="2" fillId="3" borderId="1" applyAlignment="1" pivotButton="0" quotePrefix="0" xfId="0">
      <alignment horizontal="center" vertical="bottom"/>
    </xf>
    <xf numFmtId="0" fontId="0" fillId="0" borderId="8" pivotButton="0" quotePrefix="0" xfId="0"/>
    <xf numFmtId="0" fontId="1" fillId="2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7" fillId="0" borderId="2" pivotButton="0" quotePrefix="0" xfId="0"/>
    <xf numFmtId="0" fontId="7" fillId="0" borderId="2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6.09" customWidth="1" min="1" max="1"/>
    <col width="8" customWidth="1" min="2" max="2"/>
    <col width="8.73" customWidth="1" min="3" max="3"/>
    <col width="10.36" customWidth="1" min="4" max="4"/>
    <col width="8.91" customWidth="1" min="5" max="5"/>
    <col width="13.64" customWidth="1" min="6" max="6"/>
    <col width="6.82" customWidth="1" min="7" max="7"/>
    <col width="10.27" customWidth="1" min="8" max="8"/>
    <col width="13.55" customWidth="1" min="9" max="9"/>
    <col width="12.91" customWidth="1" min="10" max="10"/>
    <col width="12.73" customWidth="1" min="11" max="11"/>
    <col width="14" customWidth="1" min="12" max="12"/>
  </cols>
  <sheetData>
    <row r="1">
      <c r="A1" s="1" t="inlineStr">
        <is>
          <t>Drifter</t>
        </is>
      </c>
      <c r="B1" s="1" t="inlineStr">
        <is>
          <t>Current Level</t>
        </is>
      </c>
      <c r="C1" s="1" t="inlineStr">
        <is>
          <t>Talent per Lvl</t>
        </is>
      </c>
      <c r="D1" s="1" t="inlineStr">
        <is>
          <t>All Drifter Talent</t>
        </is>
      </c>
      <c r="E1" s="1" t="inlineStr">
        <is>
          <t>Female Talent</t>
        </is>
      </c>
      <c r="F1" s="1" t="inlineStr">
        <is>
          <t>Male Talent</t>
        </is>
      </c>
      <c r="G1" s="1" t="inlineStr">
        <is>
          <t>Self Talent</t>
        </is>
      </c>
      <c r="H1" s="1" t="inlineStr">
        <is>
          <t>Against Females</t>
        </is>
      </c>
      <c r="I1" s="1" t="inlineStr">
        <is>
          <t>Sword Dance</t>
        </is>
      </c>
      <c r="J1" s="1" t="inlineStr">
        <is>
          <t>Rating per Drifter Lvl</t>
        </is>
      </c>
      <c r="K1" s="1" t="inlineStr">
        <is>
          <t>Dance Rating (Male)</t>
        </is>
      </c>
      <c r="L1" s="1" t="inlineStr">
        <is>
          <t>Dance Rating (Female)</t>
        </is>
      </c>
    </row>
    <row r="2">
      <c r="A2" s="2" t="inlineStr">
        <is>
          <t>Excalibra</t>
        </is>
      </c>
      <c r="B2" s="3" t="n">
        <v>60</v>
      </c>
      <c r="C2" s="4">
        <f>VLOOKUP(A2,'Drifter Stats'!$A$4:$Q$24,12,FALSE)</f>
        <v/>
      </c>
      <c r="D2" s="4">
        <f>M13</f>
        <v/>
      </c>
      <c r="E2" s="5" t="n"/>
      <c r="F2" s="4">
        <f>M16</f>
        <v/>
      </c>
      <c r="G2" s="4">
        <f>M12</f>
        <v/>
      </c>
      <c r="H2" s="5" t="n"/>
      <c r="I2" s="4">
        <f>M14</f>
        <v/>
      </c>
      <c r="J2" s="4">
        <f>FLOOR(10*(C2*(1+SUM(D2:H2))*3)*(1+I2),1)/10</f>
        <v/>
      </c>
      <c r="K2" s="4">
        <f>B2*FLOOR(10*(C2*(1+SUM(D2:G2))*3)*(1+I2),1)/10</f>
        <v/>
      </c>
      <c r="L2" s="4">
        <f>B2*FLOOR(10*(C2*(1+SUM(D2:H2))*3)*(1+I2),1)/10</f>
        <v/>
      </c>
    </row>
    <row r="3">
      <c r="A3" s="2" t="inlineStr">
        <is>
          <t>Idol boy</t>
        </is>
      </c>
      <c r="B3" s="3" t="n">
        <v>60</v>
      </c>
      <c r="C3" s="4">
        <f>VLOOKUP(A3,'Drifter Stats'!$A$4:$Q$24,12,FALSE)</f>
        <v/>
      </c>
      <c r="D3" s="4">
        <f>M13</f>
        <v/>
      </c>
      <c r="E3" s="5" t="n"/>
      <c r="F3" s="4">
        <f>M16</f>
        <v/>
      </c>
      <c r="G3" s="5" t="n"/>
      <c r="H3" s="4">
        <f>M17</f>
        <v/>
      </c>
      <c r="I3" s="5" t="n"/>
      <c r="J3" s="4">
        <f>(C3*(1+SUM(D3:H3))*3)*(1+I3)</f>
        <v/>
      </c>
      <c r="K3" s="4">
        <f>B3*FLOOR(10*(C3*(1+SUM(D3:G3))*3)*(1+I3),1)/10</f>
        <v/>
      </c>
      <c r="L3" s="4">
        <f>B3*FLOOR(10*(C3*(1+SUM(D3:H3))*3)*(1+I3),1)/10</f>
        <v/>
      </c>
    </row>
    <row r="4">
      <c r="A4" s="2" t="inlineStr">
        <is>
          <t>Dracula</t>
        </is>
      </c>
      <c r="B4" s="3" t="n">
        <v>48</v>
      </c>
      <c r="C4" s="4">
        <f>VLOOKUP(A4,'Drifter Stats'!$A$4:$Q$24,12,FALSE)</f>
        <v/>
      </c>
      <c r="D4" s="4">
        <f>M13</f>
        <v/>
      </c>
      <c r="E4" s="5" t="n"/>
      <c r="F4" s="4">
        <f>M16</f>
        <v/>
      </c>
      <c r="G4" s="5" t="n"/>
      <c r="H4" s="5" t="n"/>
      <c r="I4" s="5" t="n"/>
      <c r="J4" s="4">
        <f>FLOOR(10*(C4*(1+SUM(D4:H4))*3)*(1+I4),1)/10</f>
        <v/>
      </c>
      <c r="K4" s="4">
        <f>B4*FLOOR(10*(C4*(1+SUM(D4:G4))*3)*(1+I4),1)/10</f>
        <v/>
      </c>
      <c r="L4" s="4">
        <f>B4*FLOOR(10*(C4*(1+SUM(D4:H4))*3)*(1+I4),1)/10</f>
        <v/>
      </c>
    </row>
    <row r="5">
      <c r="A5" s="2" t="inlineStr">
        <is>
          <t>Athena</t>
        </is>
      </c>
      <c r="B5" s="3" t="n">
        <v>19</v>
      </c>
      <c r="C5" s="4">
        <f>VLOOKUP(A5,'Drifter Stats'!$A$4:$Q$24,12,FALSE)</f>
        <v/>
      </c>
      <c r="D5" s="4">
        <f>M13</f>
        <v/>
      </c>
      <c r="E5" s="4">
        <f>M15</f>
        <v/>
      </c>
      <c r="F5" s="5" t="n"/>
      <c r="G5" s="5" t="n"/>
      <c r="H5" s="5" t="n"/>
      <c r="I5" s="5" t="n"/>
      <c r="J5" s="4">
        <f>FLOOR(10*(C5*(1+SUM(D5:H5))*3)*(1+I5),1)/10</f>
        <v/>
      </c>
      <c r="K5" s="4">
        <f>B5*FLOOR(10*(C5*(1+SUM(D5:G5))*3)*(1+I5),1)/10</f>
        <v/>
      </c>
      <c r="L5" s="4">
        <f>B5*FLOOR(10*(C5*(1+SUM(D5:H5))*3)*(1+I5),1)/10</f>
        <v/>
      </c>
    </row>
    <row r="6">
      <c r="A6" s="2" t="inlineStr">
        <is>
          <t>Commissioner</t>
        </is>
      </c>
      <c r="B6" s="3" t="n">
        <v>15</v>
      </c>
      <c r="C6" s="4">
        <f>VLOOKUP(A6,'Drifter Stats'!$A$4:$Q$24,12,FALSE)</f>
        <v/>
      </c>
      <c r="D6" s="4">
        <f>M13</f>
        <v/>
      </c>
      <c r="E6" s="4">
        <f>M15</f>
        <v/>
      </c>
      <c r="F6" s="4" t="n"/>
      <c r="G6" s="5" t="n"/>
      <c r="H6" s="5" t="n"/>
      <c r="I6" s="5" t="n"/>
      <c r="J6" s="4">
        <f>FLOOR(10*(C6*(1+SUM(D6:H6))*3)*(1+I6),1)/10</f>
        <v/>
      </c>
      <c r="K6" s="4">
        <f>B6*FLOOR(10*(C6*(1+SUM(D6:G6))*3)*(1+I6),1)/10</f>
        <v/>
      </c>
      <c r="L6" s="4">
        <f>B6*FLOOR(10*(C6*(1+SUM(D6:H6))*3)*(1+I6),1)/10</f>
        <v/>
      </c>
    </row>
    <row r="7">
      <c r="A7" s="2" t="inlineStr">
        <is>
          <t>Amakusa</t>
        </is>
      </c>
      <c r="B7" s="3" t="n">
        <v>60</v>
      </c>
      <c r="C7" s="4">
        <f>VLOOKUP(A7,'Drifter Stats'!$A$4:$Q$24,12,FALSE)</f>
        <v/>
      </c>
      <c r="D7" s="4">
        <f>M13</f>
        <v/>
      </c>
      <c r="E7" s="5" t="n"/>
      <c r="F7" s="4">
        <f>M16</f>
        <v/>
      </c>
      <c r="G7" s="5" t="n"/>
      <c r="H7" s="5" t="n"/>
      <c r="I7" s="5" t="n"/>
      <c r="J7" s="4">
        <f>FLOOR(10*(C7*(1+SUM(D7:H7))*3)*(1+I7),1)/10</f>
        <v/>
      </c>
      <c r="K7" s="4">
        <f>B7*FLOOR(10*(C7*(1+SUM(D7:G7))*3)*(1+I7),1)/10</f>
        <v/>
      </c>
      <c r="L7" s="4">
        <f>B7*FLOOR(10*(C7*(1+SUM(D7:H7))*3)*(1+I7),1)/10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1" t="inlineStr">
        <is>
          <t>Position</t>
        </is>
      </c>
      <c r="B11" s="1" t="inlineStr">
        <is>
          <t>Enemy Score</t>
        </is>
      </c>
      <c r="C11" s="1" t="inlineStr">
        <is>
          <t>Gender</t>
        </is>
      </c>
      <c r="D11" s="1" t="inlineStr">
        <is>
          <t>Drifter</t>
        </is>
      </c>
      <c r="E11" s="1" t="inlineStr">
        <is>
          <t>Player Score</t>
        </is>
      </c>
      <c r="F11" s="1" t="inlineStr">
        <is>
          <t>Effective Enemy Score</t>
        </is>
      </c>
      <c r="G11" s="1" t="inlineStr">
        <is>
          <t>Victory</t>
        </is>
      </c>
      <c r="H11" s="6" t="n"/>
      <c r="I11" s="1" t="inlineStr">
        <is>
          <t>Skill Type</t>
        </is>
      </c>
      <c r="J11" s="7" t="inlineStr">
        <is>
          <t>Owner</t>
        </is>
      </c>
      <c r="K11" s="7" t="inlineStr">
        <is>
          <t>Rating</t>
        </is>
      </c>
      <c r="L11" s="7" t="inlineStr">
        <is>
          <t>Level</t>
        </is>
      </c>
      <c r="M11" s="7" t="inlineStr">
        <is>
          <t>Effect</t>
        </is>
      </c>
    </row>
    <row r="12">
      <c r="A12" s="4" t="n">
        <v>1</v>
      </c>
      <c r="B12" s="4">
        <f>VLOOKUP($B$18,'Rift Anecdotes'!$B$6:$H$27,3,FALSE)</f>
        <v/>
      </c>
      <c r="C12" s="8">
        <f>VLOOKUP($B$18,'Rift Anecdotes'!$X$6:$AC$27,2,FALSE)</f>
        <v/>
      </c>
      <c r="D12" s="9" t="inlineStr">
        <is>
          <t>Excalibra</t>
        </is>
      </c>
      <c r="E12" s="4">
        <f>FLOOR(VLOOKUP(D12,$A$2:$L$7,IF(C12="Male",11,12),false)*(1+ IF(D12="Commissioner", $M$20, 0)) + IF(D12="Dracula", $M$18*3, 0),1)</f>
        <v/>
      </c>
      <c r="F12" s="4">
        <f>IF(AND(D12 = "Athena", C12 = "Male"), 0, (FLOOR(B12*(IF(D12="Amakusa", 1-$M$19, 1)) - 3*(IF(D12="Dracula",$M$18, 0)),1)))</f>
        <v/>
      </c>
      <c r="G12" s="4">
        <f>IF(E12 &gt; F12, 1, 0)</f>
        <v/>
      </c>
      <c r="H12" s="6" t="n"/>
      <c r="I12" s="10" t="inlineStr">
        <is>
          <t>Self Talent</t>
        </is>
      </c>
      <c r="J12" s="11" t="inlineStr">
        <is>
          <t>Excalibra</t>
        </is>
      </c>
      <c r="K12" s="12">
        <f>IF(L10 &gt;= 10, 'Drifter Priority'!D41, 'Drifter Priority'!C41)</f>
        <v/>
      </c>
      <c r="L12" s="13" t="n">
        <v>20</v>
      </c>
      <c r="M12" s="14">
        <f>0.04*L12</f>
        <v/>
      </c>
    </row>
    <row r="13">
      <c r="A13" s="4" t="n">
        <v>2</v>
      </c>
      <c r="B13" s="4">
        <f>VLOOKUP($B$18,'Rift Anecdotes'!$B$6:$H$27,4,FALSE)</f>
        <v/>
      </c>
      <c r="C13" s="8">
        <f>VLOOKUP($B$18,'Rift Anecdotes'!$X$6:$AC$27,3,FALSE)</f>
        <v/>
      </c>
      <c r="D13" s="9" t="inlineStr">
        <is>
          <t>Athena</t>
        </is>
      </c>
      <c r="E13" s="4">
        <f>FLOOR(VLOOKUP(D13,$A$2:$L$7,IF(C13="Male",11,12),false) + IF(D13="Dracula", $M$18*3, 0) + 3*$M$21*SUM(G12),1)</f>
        <v/>
      </c>
      <c r="F13" s="4">
        <f>IF(AND(D13 = "Athena", C13 = "Male"), 0, (FLOOR(B13*(IF(D13="Amakusa", 1-$M$19, 1)) - 3*(IF(D13="Dracula",$M$18, 0)),1)))</f>
        <v/>
      </c>
      <c r="G13" s="4">
        <f>IF(E13 &gt; F13, 1, 0)</f>
        <v/>
      </c>
      <c r="H13" s="6" t="n"/>
      <c r="I13" s="10" t="inlineStr">
        <is>
          <t>All Drifter Talent</t>
        </is>
      </c>
      <c r="J13" s="11" t="inlineStr">
        <is>
          <t>Excalibra</t>
        </is>
      </c>
      <c r="K13" s="12">
        <f>IF(L11 &gt;= 10, 'Drifter Priority'!D42, 'Drifter Priority'!C42)</f>
        <v/>
      </c>
      <c r="L13" s="13" t="n">
        <v>20</v>
      </c>
      <c r="M13" s="14">
        <f>0.02*L13</f>
        <v/>
      </c>
    </row>
    <row r="14">
      <c r="A14" s="4" t="n">
        <v>3</v>
      </c>
      <c r="B14" s="4">
        <f>VLOOKUP($B$18,'Rift Anecdotes'!$B$6:$H$27,5,FALSE)</f>
        <v/>
      </c>
      <c r="C14" s="8">
        <f>VLOOKUP($B$18,'Rift Anecdotes'!$X$6:$AC$27,4,FALSE)</f>
        <v/>
      </c>
      <c r="D14" s="9" t="inlineStr">
        <is>
          <t>Amakusa</t>
        </is>
      </c>
      <c r="E14" s="4">
        <f>FLOOR(VLOOKUP(D14,$A$2:$L$7,IF(C14="Male",11,12),false) + IF(D14="Dracula", $M$18*3, 0) + 3*$M$21*SUM(G12:G13),1)</f>
        <v/>
      </c>
      <c r="F14" s="4">
        <f>IF(AND(D14 = "Athena", C14 = "Male"), 0, (FLOOR(B14*(IF(D14="Amakusa", 1-$M$19, 1)) - 3*(IF(D14="Dracula",$M$18, 0)),1)))</f>
        <v/>
      </c>
      <c r="G14" s="4">
        <f>IF(E14 &gt; F14, 1, 0)</f>
        <v/>
      </c>
      <c r="H14" s="6" t="n"/>
      <c r="I14" s="10" t="inlineStr">
        <is>
          <t>Sword Dance</t>
        </is>
      </c>
      <c r="J14" s="11" t="inlineStr">
        <is>
          <t>Excalibra</t>
        </is>
      </c>
      <c r="K14" s="12">
        <f>IF(L12 &gt;= 10, 'Drifter Priority'!D43, 'Drifter Priority'!C43)</f>
        <v/>
      </c>
      <c r="L14" s="13" t="n">
        <v>20</v>
      </c>
      <c r="M14" s="14">
        <f>0.03*L14</f>
        <v/>
      </c>
    </row>
    <row r="15">
      <c r="A15" s="4" t="n">
        <v>4</v>
      </c>
      <c r="B15" s="4">
        <f>VLOOKUP($B$18,'Rift Anecdotes'!$B$6:$H$27,6,FALSE)</f>
        <v/>
      </c>
      <c r="C15" s="8">
        <f>VLOOKUP($B$18,'Rift Anecdotes'!$X$6:$AC$27,5,FALSE)</f>
        <v/>
      </c>
      <c r="D15" s="9" t="inlineStr">
        <is>
          <t>Idol Boy</t>
        </is>
      </c>
      <c r="E15" s="4">
        <f>FLOOR(VLOOKUP(D15,$A$2:$L$7,IF(C15="Male",11,12),false) + IF(D15="Dracula", $M$18*3, 0) + 3*$M$21*SUM(G12:G14),1)</f>
        <v/>
      </c>
      <c r="F15" s="4">
        <f>IF(AND(D15 = "Athena", C15 = "Male"), 0, (FLOOR(B15*(IF(D15="Amakusa", 1-$M$19, 1)) - 3*(IF(D15="Dracula",$M$18, 0)),1)))</f>
        <v/>
      </c>
      <c r="G15" s="4">
        <f>IF(E15 &gt; F15, 1, 0)</f>
        <v/>
      </c>
      <c r="H15" s="6" t="n"/>
      <c r="I15" s="10" t="inlineStr">
        <is>
          <t>All Female Talent</t>
        </is>
      </c>
      <c r="J15" s="11" t="inlineStr">
        <is>
          <t>Athena</t>
        </is>
      </c>
      <c r="K15" s="12">
        <f>IF(L13 &gt;= 10, 'Drifter Priority'!D123, 'Drifter Priority'!C123)</f>
        <v/>
      </c>
      <c r="L15" s="13" t="n">
        <v>10</v>
      </c>
      <c r="M15" s="14">
        <f>0.03*L15</f>
        <v/>
      </c>
    </row>
    <row r="16">
      <c r="A16" s="4" t="n">
        <v>5</v>
      </c>
      <c r="B16" s="4">
        <f>VLOOKUP($B$18,'Rift Anecdotes'!$B$6:$H$27,7,FALSE)</f>
        <v/>
      </c>
      <c r="C16" s="8">
        <f>VLOOKUP($B$18,'Rift Anecdotes'!$X$6:$AC$27,6,FALSE)</f>
        <v/>
      </c>
      <c r="D16" s="9" t="inlineStr">
        <is>
          <t>Dracula</t>
        </is>
      </c>
      <c r="E16" s="4">
        <f>FLOOR(VLOOKUP(D16,$A$2:$L$7,IF(C16="Male",11,12),false) + IF(D16="Dracula", $M$18*3, 0) + 3*$M$21*SUM(G12:G15),1)</f>
        <v/>
      </c>
      <c r="F16" s="4">
        <f>IF(AND(D16 = "Athena", C16 = "Male"), 0, (FLOOR(B16*(IF(D16="Amakusa", 1-$M$19, 1)) - 3*(IF(D16="Dracula",$M$18, 0)),1)))</f>
        <v/>
      </c>
      <c r="G16" s="4">
        <f>IF(E16 &gt; F16, 1, 0)</f>
        <v/>
      </c>
      <c r="H16" s="6" t="n"/>
      <c r="I16" s="10" t="inlineStr">
        <is>
          <t>All Male Talent</t>
        </is>
      </c>
      <c r="J16" s="11" t="inlineStr">
        <is>
          <t>Idol Boy</t>
        </is>
      </c>
      <c r="K16" s="12">
        <f>IF(L14 &gt;= 10, 'Drifter Priority'!D285, 'Drifter Priority'!C285)</f>
        <v/>
      </c>
      <c r="L16" s="13" t="n">
        <v>20</v>
      </c>
      <c r="M16" s="14">
        <f>0.03*L16</f>
        <v/>
      </c>
    </row>
    <row r="17">
      <c r="A17" s="15" t="n"/>
      <c r="B17" s="15" t="n"/>
      <c r="C17" s="16" t="n"/>
      <c r="D17" s="16" t="n"/>
      <c r="E17" s="16" t="n"/>
      <c r="F17" s="16" t="n"/>
      <c r="G17" s="16" t="n"/>
      <c r="H17" s="6" t="n"/>
      <c r="I17" s="10" t="inlineStr">
        <is>
          <t>Against Female</t>
        </is>
      </c>
      <c r="J17" s="11" t="inlineStr">
        <is>
          <t>Idol Boy</t>
        </is>
      </c>
      <c r="K17" s="12">
        <f>IF(L15 &gt;= 10, 'Drifter Priority'!D286, 'Drifter Priority'!C286)</f>
        <v/>
      </c>
      <c r="L17" s="13" t="n">
        <v>20</v>
      </c>
      <c r="M17" s="14">
        <f>0.05*L17</f>
        <v/>
      </c>
    </row>
    <row r="18">
      <c r="A18" s="1" t="inlineStr">
        <is>
          <t>Anecdote</t>
        </is>
      </c>
      <c r="B18" s="17" t="inlineStr">
        <is>
          <t>Six Dynasty Ritual Dance</t>
        </is>
      </c>
      <c r="C18" s="18" t="n"/>
      <c r="D18" s="16" t="n"/>
      <c r="E18" s="16" t="n"/>
      <c r="F18" s="16" t="n"/>
      <c r="G18" s="16" t="n"/>
      <c r="H18" s="6" t="n"/>
      <c r="I18" s="10" t="inlineStr">
        <is>
          <t>Mourning of the Rose</t>
        </is>
      </c>
      <c r="J18" s="11" t="inlineStr">
        <is>
          <t>Dracula</t>
        </is>
      </c>
      <c r="K18" s="12">
        <f>IF(L16 &gt;= 10, 'Drifter Priority'!D108, 'Drifter Priority'!C108)</f>
        <v/>
      </c>
      <c r="L18" s="13" t="n">
        <v>1</v>
      </c>
      <c r="M18" s="14">
        <f>50*L18</f>
        <v/>
      </c>
    </row>
    <row r="19">
      <c r="A19" s="19" t="inlineStr">
        <is>
          <t>Result</t>
        </is>
      </c>
      <c r="B19" s="20">
        <f>IF(SUM(G12:G16) &gt; 2, "Win", "Lose")</f>
        <v/>
      </c>
      <c r="C19" s="18" t="n"/>
      <c r="D19" s="16" t="n"/>
      <c r="E19" s="16" t="n"/>
      <c r="F19" s="16" t="n"/>
      <c r="G19" s="16" t="n"/>
      <c r="H19" s="6" t="n"/>
      <c r="I19" s="10" t="inlineStr">
        <is>
          <t>Shadow Dance</t>
        </is>
      </c>
      <c r="J19" s="11" t="inlineStr">
        <is>
          <t>Amakusa</t>
        </is>
      </c>
      <c r="K19" s="12">
        <f>IF(L17 &gt;= 10, 'Drifter Priority'!D28, 'Drifter Priority'!C28)</f>
        <v/>
      </c>
      <c r="L19" s="13" t="n">
        <v>20</v>
      </c>
      <c r="M19" s="14">
        <f>0.01*L19</f>
        <v/>
      </c>
    </row>
    <row r="20">
      <c r="A20" s="16" t="n"/>
      <c r="B20" s="16" t="n"/>
      <c r="C20" s="16" t="n"/>
      <c r="D20" s="16" t="n"/>
      <c r="E20" s="16" t="n"/>
      <c r="F20" s="16" t="n"/>
      <c r="G20" s="16" t="n"/>
      <c r="H20" s="6" t="n"/>
      <c r="I20" s="10" t="inlineStr">
        <is>
          <t>Principal Dancer</t>
        </is>
      </c>
      <c r="J20" s="11">
        <f>A6</f>
        <v/>
      </c>
      <c r="K20" s="12">
        <f>IF(L18 &gt;= 10, 'Drifter Priority'!D267, 'Drifter Priority'!C267)</f>
        <v/>
      </c>
      <c r="L20" s="13" t="n">
        <v>1</v>
      </c>
      <c r="M20" s="14">
        <f>0.03*L20</f>
        <v/>
      </c>
    </row>
    <row r="21">
      <c r="A21" s="21" t="n"/>
      <c r="B21" s="21" t="n"/>
      <c r="C21" s="21" t="n"/>
      <c r="D21" s="21" t="n"/>
      <c r="E21" s="21" t="n"/>
      <c r="F21" s="21" t="n"/>
      <c r="I21" s="2" t="inlineStr">
        <is>
          <t>Queens Legacy</t>
        </is>
      </c>
      <c r="J21" s="2" t="inlineStr">
        <is>
          <t>Athena</t>
        </is>
      </c>
      <c r="K21" s="12">
        <f>IF(L19 &gt;= 10, 'Drifter Priority'!D122, 'Drifter Priority'!C122)</f>
        <v/>
      </c>
      <c r="L21" s="3" t="n">
        <v>20</v>
      </c>
      <c r="M21" s="4">
        <f>30*L21</f>
        <v/>
      </c>
    </row>
    <row r="22">
      <c r="A22" s="22" t="inlineStr">
        <is>
          <t>Credit: SYT for base calculator</t>
        </is>
      </c>
      <c r="B22" s="21" t="n"/>
      <c r="C22" s="21" t="n"/>
      <c r="D22" s="21" t="n"/>
      <c r="E22" s="21" t="n"/>
      <c r="F22" s="21" t="n"/>
    </row>
    <row r="23">
      <c r="A23" s="21" t="n"/>
      <c r="B23" s="21" t="n"/>
      <c r="C23" s="21" t="n"/>
      <c r="D23" s="21" t="n"/>
      <c r="E23" s="21" t="n"/>
      <c r="F23" s="21" t="n"/>
    </row>
  </sheetData>
  <mergeCells count="2">
    <mergeCell ref="B18:C18"/>
    <mergeCell ref="B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2026-04-25T21:15:36Z</dcterms:created>
  <dcterms:modified xmlns:dcterms="http://purl.org/dc/terms/" xmlns:xsi="http://www.w3.org/2001/XMLSchema-instance" xsi:type="dcterms:W3CDTF">2026-04-25T21:15:36Z</dcterms:modified>
</cp:coreProperties>
</file>