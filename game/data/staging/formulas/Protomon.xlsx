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m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color theme="1"/>
      <sz val="12"/>
    </font>
    <font>
      <name val="Calibri"/>
      <b val="1"/>
      <color theme="1"/>
      <sz val="12"/>
    </font>
    <font>
      <name val="Verdana"/>
      <b val="1"/>
      <color theme="1"/>
      <scheme val="minor"/>
    </font>
    <font>
      <name val="Verdana"/>
      <color theme="1"/>
      <scheme val="minor"/>
    </font>
    <font>
      <name val="Calibri"/>
      <color rgb="FF0000FF"/>
    </font>
    <font>
      <name val="Calibri"/>
      <color theme="1"/>
    </font>
    <font>
      <name val="Arial"/>
      <color theme="1"/>
    </font>
  </fonts>
  <fills count="8">
    <fill>
      <patternFill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BDBDBD"/>
        <bgColor rgb="FFBDBDBD"/>
      </patternFill>
    </fill>
  </fills>
  <borders count="14">
    <border>
      <left/>
      <right/>
      <top/>
      <bottom/>
      <diagonal/>
    </border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1" pivotButton="0" quotePrefix="0" xfId="0"/>
    <xf numFmtId="0" fontId="2" fillId="0" borderId="2" applyAlignment="1" pivotButton="0" quotePrefix="0" xfId="0">
      <alignment horizontal="center"/>
    </xf>
    <xf numFmtId="0" fontId="1" fillId="0" borderId="3" pivotButton="0" quotePrefix="0" xfId="0"/>
    <xf numFmtId="0" fontId="1" fillId="0" borderId="4" pivotButton="0" quotePrefix="0" xfId="0"/>
    <xf numFmtId="0" fontId="3" fillId="2" borderId="5" pivotButton="0" quotePrefix="0" xfId="0"/>
    <xf numFmtId="0" fontId="4" fillId="2" borderId="6" pivotButton="0" quotePrefix="0" xfId="0"/>
    <xf numFmtId="0" fontId="1" fillId="2" borderId="6" pivotButton="0" quotePrefix="0" xfId="0"/>
    <xf numFmtId="0" fontId="1" fillId="2" borderId="7" pivotButton="0" quotePrefix="0" xfId="0"/>
    <xf numFmtId="0" fontId="2" fillId="3" borderId="8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pivotButton="0" quotePrefix="0" xfId="0"/>
    <xf numFmtId="0" fontId="4" fillId="2" borderId="10" pivotButton="0" quotePrefix="0" xfId="0"/>
    <xf numFmtId="0" fontId="1" fillId="2" borderId="1" pivotButton="0" quotePrefix="0" xfId="0"/>
    <xf numFmtId="0" fontId="1" fillId="2" borderId="9" pivotButton="0" quotePrefix="0" xfId="0"/>
    <xf numFmtId="0" fontId="5" fillId="4" borderId="8" applyAlignment="1" pivotButton="0" quotePrefix="0" xfId="0">
      <alignment horizontal="right" vertical="bottom"/>
    </xf>
    <xf numFmtId="0" fontId="4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10" pivotButton="0" quotePrefix="0" xfId="0"/>
    <xf numFmtId="0" fontId="4" fillId="0" borderId="11" pivotButton="0" quotePrefix="0" xfId="0"/>
    <xf numFmtId="0" fontId="1" fillId="0" borderId="12" pivotButton="0" quotePrefix="0" xfId="0"/>
    <xf numFmtId="0" fontId="1" fillId="0" borderId="13" pivotButton="0" quotePrefix="0" xfId="0"/>
    <xf numFmtId="0" fontId="2" fillId="5" borderId="8" applyAlignment="1" pivotButton="0" quotePrefix="0" xfId="0">
      <alignment horizontal="center"/>
    </xf>
    <xf numFmtId="0" fontId="4" fillId="0" borderId="6" pivotButton="0" quotePrefix="0" xfId="0"/>
    <xf numFmtId="0" fontId="6" fillId="0" borderId="8" applyAlignment="1" pivotButton="0" quotePrefix="0" xfId="0">
      <alignment horizontal="right" vertical="bottom"/>
    </xf>
    <xf numFmtId="0" fontId="1" fillId="3" borderId="8" applyAlignment="1" pivotButton="0" quotePrefix="0" xfId="0">
      <alignment horizontal="center"/>
    </xf>
    <xf numFmtId="0" fontId="1" fillId="0" borderId="8" pivotButton="0" quotePrefix="0" xfId="0"/>
    <xf numFmtId="0" fontId="2" fillId="6" borderId="8" pivotButton="0" quotePrefix="0" xfId="0"/>
    <xf numFmtId="0" fontId="2" fillId="0" borderId="1" pivotButton="0" quotePrefix="0" xfId="0"/>
    <xf numFmtId="0" fontId="2" fillId="0" borderId="8" pivotButton="0" quotePrefix="0" xfId="0"/>
    <xf numFmtId="0" fontId="2" fillId="0" borderId="8" applyAlignment="1" pivotButton="0" quotePrefix="0" xfId="0">
      <alignment horizontal="center"/>
    </xf>
    <xf numFmtId="0" fontId="1" fillId="7" borderId="2" applyAlignment="1" pivotButton="0" quotePrefix="0" xfId="0">
      <alignment vertical="bottom"/>
    </xf>
    <xf numFmtId="0" fontId="1" fillId="7" borderId="3" pivotButton="0" quotePrefix="0" xfId="0"/>
    <xf numFmtId="0" fontId="1" fillId="7" borderId="4" pivotButton="0" quotePrefix="0" xfId="0"/>
    <xf numFmtId="0" fontId="1" fillId="0" borderId="1" applyAlignment="1" pivotButton="0" quotePrefix="0" xfId="0">
      <alignment vertical="bottom"/>
    </xf>
    <xf numFmtId="0" fontId="1" fillId="0" borderId="8" applyAlignment="1" pivotButton="0" quotePrefix="0" xfId="0">
      <alignment vertical="bottom"/>
    </xf>
    <xf numFmtId="0" fontId="1" fillId="0" borderId="8" applyAlignment="1" pivotButton="0" quotePrefix="0" xfId="0">
      <alignment horizontal="center" vertical="bottom"/>
    </xf>
    <xf numFmtId="0" fontId="7" fillId="0" borderId="1" applyAlignment="1" pivotButton="0" quotePrefix="0" xfId="0">
      <alignment vertical="bottom"/>
    </xf>
    <xf numFmtId="0" fontId="1" fillId="0" borderId="8" applyAlignment="1" pivotButton="0" quotePrefix="0" xfId="0">
      <alignment horizontal="right" vertical="bottom"/>
    </xf>
    <xf numFmtId="0" fontId="1" fillId="7" borderId="3" applyAlignment="1" pivotButton="0" quotePrefix="0" xfId="0">
      <alignment vertical="bottom"/>
    </xf>
    <xf numFmtId="0" fontId="1" fillId="7" borderId="4" applyAlignment="1" pivotButton="0" quotePrefix="0" xfId="0">
      <alignment vertical="bottom"/>
    </xf>
    <xf numFmtId="3" fontId="4" fillId="0" borderId="8" pivotButton="0" quotePrefix="0" xfId="0"/>
    <xf numFmtId="3" fontId="1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43"/>
  <sheetViews>
    <sheetView workbookViewId="0">
      <selection activeCell="A1" sqref="A1"/>
    </sheetView>
  </sheetViews>
  <sheetFormatPr baseColWidth="8" defaultRowHeight="15"/>
  <cols>
    <col width="14" customWidth="1" min="1" max="1"/>
    <col width="14.55" customWidth="1" min="2" max="2"/>
    <col width="9.27" customWidth="1" min="3" max="3"/>
    <col width="6.82" customWidth="1" min="4" max="4"/>
    <col width="6.73" customWidth="1" min="5" max="5"/>
    <col width="9.359999999999999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>
      <c r="A2" s="2" t="inlineStr">
        <is>
          <t>Priest</t>
        </is>
      </c>
      <c r="B2" s="3" t="n"/>
      <c r="C2" s="3" t="n"/>
      <c r="D2" s="3" t="n"/>
      <c r="E2" s="3" t="n"/>
      <c r="F2" s="3" t="n"/>
      <c r="G2" s="4" t="n"/>
      <c r="H2" s="1" t="n"/>
      <c r="J2" s="5" t="inlineStr">
        <is>
          <t>Primary Priest Breakpoints</t>
        </is>
      </c>
      <c r="K2" s="6" t="n"/>
      <c r="L2" s="7" t="n"/>
      <c r="M2" s="7" t="n"/>
      <c r="N2" s="8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</row>
    <row r="3">
      <c r="A3" s="9" t="inlineStr">
        <is>
          <t>Sanctum</t>
        </is>
      </c>
      <c r="B3" s="10" t="inlineStr">
        <is>
          <t>Prairie</t>
        </is>
      </c>
      <c r="G3" s="11" t="n"/>
      <c r="H3" s="1" t="n"/>
      <c r="J3" s="12" t="n"/>
      <c r="K3" s="13" t="n"/>
      <c r="L3" s="13" t="n"/>
      <c r="M3" s="13" t="n"/>
      <c r="N3" s="14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</row>
    <row r="4">
      <c r="A4" s="9" t="inlineStr">
        <is>
          <t>Protolith</t>
        </is>
      </c>
      <c r="B4" s="15" t="n">
        <v>3080000</v>
      </c>
      <c r="C4" s="1" t="n"/>
      <c r="D4" s="1" t="n"/>
      <c r="E4" s="1" t="n"/>
      <c r="F4" s="1" t="n"/>
      <c r="G4" s="11" t="n"/>
      <c r="H4" s="1" t="n"/>
      <c r="J4" s="16" t="inlineStr">
        <is>
          <t>3* SS vs. 5* Purple</t>
        </is>
      </c>
      <c r="K4" s="17" t="n"/>
      <c r="L4" s="17" t="n"/>
      <c r="M4" s="17" t="inlineStr">
        <is>
          <t>4* SS vs. 5* Purple</t>
        </is>
      </c>
      <c r="N4" s="18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>
      <c r="A5" s="19" t="n"/>
      <c r="B5" s="1" t="n"/>
      <c r="C5" s="1" t="n"/>
      <c r="D5" s="1" t="n"/>
      <c r="E5" s="1" t="n"/>
      <c r="F5" s="1" t="n"/>
      <c r="G5" s="11" t="n"/>
      <c r="H5" s="1" t="n"/>
      <c r="J5" s="20" t="inlineStr">
        <is>
          <t>SS wins for purple in [33, 104]</t>
        </is>
      </c>
      <c r="K5" s="21" t="n"/>
      <c r="L5" s="21" t="n"/>
      <c r="M5" s="21" t="inlineStr">
        <is>
          <t>SS wins for purple &gt; lvl 23</t>
        </is>
      </c>
      <c r="N5" s="22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</row>
    <row r="6">
      <c r="A6" s="23" t="inlineStr">
        <is>
          <t>Option 1</t>
        </is>
      </c>
      <c r="B6" s="10" t="inlineStr">
        <is>
          <t>Pegasus (SSS)</t>
        </is>
      </c>
      <c r="C6" s="24" t="n"/>
      <c r="D6" s="24" t="n"/>
      <c r="E6" s="17" t="n"/>
      <c r="F6" s="17" t="n"/>
      <c r="G6" s="18" t="n"/>
      <c r="H6" s="1" t="n"/>
      <c r="J6" s="12" t="n"/>
      <c r="K6" s="13" t="n"/>
      <c r="L6" s="13" t="n"/>
      <c r="M6" s="13" t="n"/>
      <c r="N6" s="14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</row>
    <row r="7">
      <c r="A7" s="9" t="inlineStr">
        <is>
          <t>Stars</t>
        </is>
      </c>
      <c r="B7" s="15" t="n">
        <v>3</v>
      </c>
      <c r="C7" s="1" t="n"/>
      <c r="D7" s="1" t="n"/>
      <c r="E7" s="1" t="n"/>
      <c r="F7" s="1" t="n"/>
      <c r="G7" s="11" t="n"/>
      <c r="J7" s="16" t="inlineStr">
        <is>
          <t>3* SSS vs. 5* Purple</t>
        </is>
      </c>
      <c r="K7" s="17" t="n"/>
      <c r="L7" s="17" t="n"/>
      <c r="M7" s="17" t="inlineStr">
        <is>
          <t>4* SSS vs. 5* Purple</t>
        </is>
      </c>
      <c r="N7" s="18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>
      <c r="A8" s="9" t="inlineStr">
        <is>
          <t>Level</t>
        </is>
      </c>
      <c r="B8" s="25">
        <f>MIN(VLOOKUP(B7,$N$61:$P$67,2,TRUE), VLOOKUP($B$4,$K$71:$L$310,2,TRUE))</f>
        <v/>
      </c>
      <c r="C8" s="1" t="n"/>
      <c r="D8" s="1" t="n"/>
      <c r="E8" s="1" t="n"/>
      <c r="F8" s="1" t="n"/>
      <c r="G8" s="11" t="n"/>
      <c r="J8" s="20" t="inlineStr">
        <is>
          <t>SSS wins for purple in [24, 118]</t>
        </is>
      </c>
      <c r="K8" s="21" t="n"/>
      <c r="L8" s="21" t="n"/>
      <c r="M8" s="21" t="inlineStr">
        <is>
          <t>SSS wins for purple &gt; lvl 17</t>
        </is>
      </c>
      <c r="N8" s="22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</row>
    <row r="9">
      <c r="A9" s="26" t="inlineStr">
        <is>
          <t>Biome</t>
        </is>
      </c>
      <c r="B9" s="26" t="inlineStr">
        <is>
          <t>Rarity</t>
        </is>
      </c>
      <c r="C9" s="26" t="inlineStr">
        <is>
          <t>Adaptability</t>
        </is>
      </c>
      <c r="D9" s="26" t="inlineStr">
        <is>
          <t>Level Gain</t>
        </is>
      </c>
      <c r="E9" s="26" t="inlineStr">
        <is>
          <t>Base Glory</t>
        </is>
      </c>
      <c r="F9" s="26" t="inlineStr">
        <is>
          <t>Neutral Glory</t>
        </is>
      </c>
      <c r="G9" s="26" t="inlineStr">
        <is>
          <t>Sanctum Glory</t>
        </is>
      </c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</row>
    <row r="10">
      <c r="A10" s="10">
        <f>VLOOKUP($B6,$B$45:$F$176,2,FALSE)</f>
        <v/>
      </c>
      <c r="B10" s="10">
        <f>VLOOKUP($B6,$B$45:$F$176,3,FALSE)</f>
        <v/>
      </c>
      <c r="C10" s="10">
        <f>VLOOKUP($B6,$B$45:$F$176,5,FALSE)</f>
        <v/>
      </c>
      <c r="D10" s="27">
        <f>VLOOKUP(B10,$I$46:$Q$49,2,FALSE)</f>
        <v/>
      </c>
      <c r="E10" s="27">
        <f>VLOOKUP(B10,$I$46:$Q$49,B7+2,FALSE)</f>
        <v/>
      </c>
      <c r="F10" s="27">
        <f>E10+D10*B8</f>
        <v/>
      </c>
      <c r="G10" s="28">
        <f>FLOOR(F10*(1+IF(A10=$B$3,VLOOKUP(C10,$I$61:$J$65,2,FALSE)/100,0)),1)</f>
        <v/>
      </c>
      <c r="H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</row>
    <row r="11">
      <c r="A11" s="19" t="n"/>
      <c r="B11" s="1" t="n"/>
      <c r="C11" s="1" t="n"/>
      <c r="D11" s="1" t="n"/>
      <c r="E11" s="1" t="n"/>
      <c r="F11" s="1" t="n"/>
      <c r="G11" s="11" t="n"/>
      <c r="H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</row>
    <row r="12">
      <c r="A12" s="23" t="inlineStr">
        <is>
          <t>Option 2</t>
        </is>
      </c>
      <c r="B12" s="10" t="inlineStr">
        <is>
          <t>Pegasus (SS)</t>
        </is>
      </c>
      <c r="C12" s="24" t="n"/>
      <c r="D12" s="24" t="n"/>
      <c r="E12" s="17" t="n"/>
      <c r="F12" s="17" t="n"/>
      <c r="G12" s="18" t="n"/>
      <c r="H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</row>
    <row r="13">
      <c r="A13" s="9" t="inlineStr">
        <is>
          <t>Stars</t>
        </is>
      </c>
      <c r="B13" s="15" t="n">
        <v>4</v>
      </c>
      <c r="C13" s="1" t="n"/>
      <c r="D13" s="1" t="n"/>
      <c r="E13" s="1" t="n"/>
      <c r="F13" s="1" t="n"/>
      <c r="G13" s="11" t="n"/>
      <c r="H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</row>
    <row r="14">
      <c r="A14" s="9" t="inlineStr">
        <is>
          <t>Level</t>
        </is>
      </c>
      <c r="B14" s="25">
        <f>MIN(VLOOKUP(B13,$N$61:$P$67,2,TRUE), VLOOKUP($B$4,$K$71:$L$310,2,TRUE))</f>
        <v/>
      </c>
      <c r="C14" s="1" t="n"/>
      <c r="D14" s="1" t="n"/>
      <c r="E14" s="1" t="n"/>
      <c r="F14" s="1" t="n"/>
      <c r="G14" s="11" t="n"/>
      <c r="H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</row>
    <row r="15">
      <c r="A15" s="26" t="inlineStr">
        <is>
          <t>Biome</t>
        </is>
      </c>
      <c r="B15" s="26" t="inlineStr">
        <is>
          <t>Rarity</t>
        </is>
      </c>
      <c r="C15" s="26" t="inlineStr">
        <is>
          <t>Adaptability</t>
        </is>
      </c>
      <c r="D15" s="26" t="inlineStr">
        <is>
          <t>Level Gain</t>
        </is>
      </c>
      <c r="E15" s="26" t="inlineStr">
        <is>
          <t>Base Glory</t>
        </is>
      </c>
      <c r="F15" s="26" t="inlineStr">
        <is>
          <t>Neutral Glory</t>
        </is>
      </c>
      <c r="G15" s="26" t="inlineStr">
        <is>
          <t>Sanctum Glory</t>
        </is>
      </c>
      <c r="H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</row>
    <row r="16">
      <c r="A16" s="10">
        <f>VLOOKUP($B12,$B$45:$F$176,2,FALSE)</f>
        <v/>
      </c>
      <c r="B16" s="10">
        <f>VLOOKUP($B12,$B$45:$F$176,3,FALSE)</f>
        <v/>
      </c>
      <c r="C16" s="10">
        <f>VLOOKUP($B12,$B$45:$F$176,5,FALSE)</f>
        <v/>
      </c>
      <c r="D16" s="27">
        <f>VLOOKUP(B16,$I$46:$Q$49,2,FALSE)</f>
        <v/>
      </c>
      <c r="E16" s="27">
        <f>VLOOKUP(B16,$I$46:$Q$49,B13+2,FALSE)</f>
        <v/>
      </c>
      <c r="F16" s="27">
        <f>E16+D16*B14</f>
        <v/>
      </c>
      <c r="G16" s="28">
        <f>FLOOR(F16*(1+IF(A16=$B$3,VLOOKUP(C16,$I$61:$J$65,2,FALSE)/100,0)),1)</f>
        <v/>
      </c>
      <c r="H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</row>
    <row r="21">
      <c r="A21" s="2" t="inlineStr">
        <is>
          <t>Devotee</t>
        </is>
      </c>
      <c r="B21" s="3" t="n"/>
      <c r="C21" s="3" t="n"/>
      <c r="D21" s="3" t="n"/>
      <c r="E21" s="3" t="n"/>
      <c r="F21" s="3" t="n"/>
      <c r="G21" s="4" t="n"/>
      <c r="H21" s="1" t="n"/>
      <c r="J21" s="5" t="inlineStr">
        <is>
          <t>Primary Devotee Breakpoints</t>
        </is>
      </c>
      <c r="K21" s="6" t="n"/>
      <c r="L21" s="7" t="n"/>
      <c r="M21" s="7" t="n"/>
      <c r="N21" s="8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</row>
    <row r="22">
      <c r="A22" s="9" t="inlineStr">
        <is>
          <t>Sanctum</t>
        </is>
      </c>
      <c r="B22" s="10" t="inlineStr">
        <is>
          <t>Desert</t>
        </is>
      </c>
      <c r="G22" s="11" t="n"/>
      <c r="H22" s="1" t="n"/>
      <c r="J22" s="12" t="n"/>
      <c r="K22" s="13" t="n"/>
      <c r="L22" s="13" t="n"/>
      <c r="M22" s="13" t="n"/>
      <c r="N22" s="14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</row>
    <row r="23">
      <c r="A23" s="9" t="inlineStr">
        <is>
          <t>Protolith</t>
        </is>
      </c>
      <c r="B23" s="15" t="n">
        <v>100000</v>
      </c>
      <c r="C23" s="1" t="n"/>
      <c r="D23" s="1" t="n"/>
      <c r="E23" s="1" t="n"/>
      <c r="F23" s="1" t="n"/>
      <c r="G23" s="11" t="n"/>
      <c r="H23" s="1" t="n"/>
      <c r="J23" s="16" t="inlineStr">
        <is>
          <t>3* S vs. 5* Purple</t>
        </is>
      </c>
      <c r="K23" s="17" t="n"/>
      <c r="L23" s="17" t="n"/>
      <c r="M23" s="17" t="inlineStr">
        <is>
          <t>4* S vs. 5* Purple</t>
        </is>
      </c>
      <c r="N23" s="18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</row>
    <row r="24">
      <c r="A24" s="19" t="n"/>
      <c r="B24" s="1" t="n"/>
      <c r="C24" s="1" t="n"/>
      <c r="D24" s="1" t="n"/>
      <c r="E24" s="1" t="n"/>
      <c r="F24" s="1" t="n"/>
      <c r="G24" s="11" t="n"/>
      <c r="H24" s="1" t="n"/>
      <c r="J24" s="20" t="inlineStr">
        <is>
          <t>Purple always wins</t>
        </is>
      </c>
      <c r="K24" s="21" t="n"/>
      <c r="L24" s="21" t="n"/>
      <c r="M24" s="21" t="inlineStr">
        <is>
          <t>Purple always wins</t>
        </is>
      </c>
      <c r="N24" s="22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</row>
    <row r="25">
      <c r="A25" s="23" t="inlineStr">
        <is>
          <t>Option 1</t>
        </is>
      </c>
      <c r="B25" s="10" t="inlineStr">
        <is>
          <t>Elkobra</t>
        </is>
      </c>
      <c r="C25" s="24" t="n"/>
      <c r="D25" s="24" t="n"/>
      <c r="E25" s="17" t="n"/>
      <c r="F25" s="17" t="n"/>
      <c r="G25" s="18" t="n"/>
      <c r="H25" s="1" t="n"/>
      <c r="J25" s="12" t="n"/>
      <c r="K25" s="13" t="n"/>
      <c r="L25" s="13" t="n"/>
      <c r="M25" s="13" t="n"/>
      <c r="N25" s="14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</row>
    <row r="26">
      <c r="A26" s="9" t="inlineStr">
        <is>
          <t>Stars</t>
        </is>
      </c>
      <c r="B26" s="15" t="n">
        <v>4</v>
      </c>
      <c r="C26" s="1" t="n"/>
      <c r="D26" s="1" t="n"/>
      <c r="E26" s="1" t="n"/>
      <c r="F26" s="1" t="n"/>
      <c r="G26" s="11" t="n"/>
      <c r="H26" s="1" t="n"/>
      <c r="J26" s="16" t="inlineStr">
        <is>
          <t>3* SS vs. 5* Purple</t>
        </is>
      </c>
      <c r="K26" s="17" t="n"/>
      <c r="L26" s="17" t="n"/>
      <c r="M26" s="17" t="inlineStr">
        <is>
          <t>4* SS vs. 5* Purple</t>
        </is>
      </c>
      <c r="N26" s="18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</row>
    <row r="27">
      <c r="A27" s="9" t="inlineStr">
        <is>
          <t>Level</t>
        </is>
      </c>
      <c r="B27" s="25">
        <f>MIN(VLOOKUP(B26,$N$61:$P$67,3,TRUE), VLOOKUP($B$23,$K$71:$L$310,2,TRUE))</f>
        <v/>
      </c>
      <c r="C27" s="1" t="n"/>
      <c r="D27" s="1" t="n"/>
      <c r="E27" s="1" t="n"/>
      <c r="F27" s="1" t="n"/>
      <c r="G27" s="11" t="n"/>
      <c r="H27" s="1" t="n"/>
      <c r="J27" s="20" t="inlineStr">
        <is>
          <t>Purple always wins</t>
        </is>
      </c>
      <c r="K27" s="21" t="n"/>
      <c r="L27" s="21" t="n"/>
      <c r="M27" s="21" t="inlineStr">
        <is>
          <t>SS wins for purple in [39, 70]</t>
        </is>
      </c>
      <c r="N27" s="22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</row>
    <row r="28">
      <c r="A28" s="26" t="inlineStr">
        <is>
          <t>Biome</t>
        </is>
      </c>
      <c r="B28" s="26" t="inlineStr">
        <is>
          <t>Rarity</t>
        </is>
      </c>
      <c r="C28" s="26" t="inlineStr">
        <is>
          <t>Adaptability</t>
        </is>
      </c>
      <c r="D28" s="26" t="inlineStr">
        <is>
          <t>Level Gain</t>
        </is>
      </c>
      <c r="E28" s="26" t="inlineStr">
        <is>
          <t>Base Glory</t>
        </is>
      </c>
      <c r="F28" s="26" t="inlineStr">
        <is>
          <t>Neutral Glory</t>
        </is>
      </c>
      <c r="G28" s="26" t="inlineStr">
        <is>
          <t>Sanctum Glory</t>
        </is>
      </c>
      <c r="H28" s="1" t="n"/>
      <c r="J28" s="12" t="n"/>
      <c r="K28" s="13" t="n"/>
      <c r="L28" s="13" t="n"/>
      <c r="M28" s="13" t="n"/>
      <c r="N28" s="14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</row>
    <row r="29">
      <c r="A29" s="10">
        <f>VLOOKUP($B25,$B$45:$F$176,2,FALSE)</f>
        <v/>
      </c>
      <c r="B29" s="10">
        <f>VLOOKUP($B25,$B$45:$F$176,3,FALSE)</f>
        <v/>
      </c>
      <c r="C29" s="10">
        <f>VLOOKUP($B25,$B$45:$F$176,5,FALSE)</f>
        <v/>
      </c>
      <c r="D29" s="27">
        <f>VLOOKUP(B29,$I$53:$Q$57,2,FALSE)</f>
        <v/>
      </c>
      <c r="E29" s="27">
        <f>VLOOKUP(B29,$I$53:$Q$57,B26+2,FALSE)</f>
        <v/>
      </c>
      <c r="F29" s="27">
        <f>E29+D29*B27</f>
        <v/>
      </c>
      <c r="G29" s="28">
        <f>FLOOR(F29*(1+IF(A29=$B$22,VLOOKUP(C29,$I$61:$J$65,2,FALSE)/100,0)),1)</f>
        <v/>
      </c>
      <c r="H29" s="1" t="n"/>
      <c r="J29" s="16" t="inlineStr">
        <is>
          <t>3* SS/SSS vs. 5* Purple</t>
        </is>
      </c>
      <c r="K29" s="17" t="n"/>
      <c r="L29" s="17" t="n"/>
      <c r="M29" s="17" t="inlineStr">
        <is>
          <t>4* SS/SSS vs. 5* Purple</t>
        </is>
      </c>
      <c r="N29" s="18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</row>
    <row r="30">
      <c r="A30" s="19" t="n"/>
      <c r="B30" s="1" t="n"/>
      <c r="C30" s="1" t="n"/>
      <c r="D30" s="1" t="n"/>
      <c r="E30" s="1" t="n"/>
      <c r="F30" s="1" t="n"/>
      <c r="G30" s="11" t="n"/>
      <c r="H30" s="1" t="n"/>
      <c r="J30" s="20" t="inlineStr">
        <is>
          <t>SSS wins for purple in [32, 48]</t>
        </is>
      </c>
      <c r="K30" s="21" t="n"/>
      <c r="L30" s="21" t="n"/>
      <c r="M30" s="21" t="inlineStr">
        <is>
          <t>SSS wins for purple &gt; lvl 24</t>
        </is>
      </c>
      <c r="N30" s="22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</row>
    <row r="31">
      <c r="A31" s="23" t="inlineStr">
        <is>
          <t>Option 2</t>
        </is>
      </c>
      <c r="B31" s="10" t="inlineStr">
        <is>
          <t>Cobraking</t>
        </is>
      </c>
      <c r="C31" s="24" t="n"/>
      <c r="D31" s="24" t="n"/>
      <c r="E31" s="17" t="n"/>
      <c r="F31" s="17" t="n"/>
      <c r="G31" s="18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</row>
    <row r="32">
      <c r="A32" s="9" t="inlineStr">
        <is>
          <t>Stars</t>
        </is>
      </c>
      <c r="B32" s="15" t="n">
        <v>5</v>
      </c>
      <c r="C32" s="1" t="n"/>
      <c r="D32" s="1" t="n"/>
      <c r="E32" s="1" t="n"/>
      <c r="F32" s="1" t="n"/>
      <c r="G32" s="1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</row>
    <row r="33">
      <c r="A33" s="9" t="inlineStr">
        <is>
          <t>Level</t>
        </is>
      </c>
      <c r="B33" s="25">
        <f>MIN(VLOOKUP(B32,$N$61:$P$67,3,TRUE), VLOOKUP($B$23,$K$71:$L$310,2,TRUE))</f>
        <v/>
      </c>
      <c r="C33" s="1" t="n"/>
      <c r="D33" s="1" t="n"/>
      <c r="E33" s="1" t="n"/>
      <c r="F33" s="1" t="n"/>
      <c r="G33" s="1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</row>
    <row r="34">
      <c r="A34" s="26" t="inlineStr">
        <is>
          <t>Biome</t>
        </is>
      </c>
      <c r="B34" s="26" t="inlineStr">
        <is>
          <t>Rarity</t>
        </is>
      </c>
      <c r="C34" s="26" t="inlineStr">
        <is>
          <t>Adaptability</t>
        </is>
      </c>
      <c r="D34" s="26" t="inlineStr">
        <is>
          <t>Level Gain</t>
        </is>
      </c>
      <c r="E34" s="26" t="inlineStr">
        <is>
          <t>Base Glory</t>
        </is>
      </c>
      <c r="F34" s="26" t="inlineStr">
        <is>
          <t>Neutral Glory</t>
        </is>
      </c>
      <c r="G34" s="26" t="inlineStr">
        <is>
          <t>Sanctum Glory</t>
        </is>
      </c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</row>
    <row r="35">
      <c r="A35" s="10">
        <f>VLOOKUP($B31,$B$45:$F$176,2,FALSE)</f>
        <v/>
      </c>
      <c r="B35" s="10">
        <f>VLOOKUP($B31,$B$45:$F$176,3,FALSE)</f>
        <v/>
      </c>
      <c r="C35" s="10">
        <f>VLOOKUP($B31,$B$45:$F$176,5,FALSE)</f>
        <v/>
      </c>
      <c r="D35" s="27">
        <f>VLOOKUP(B35,$I$53:$Q$57,2,FALSE)</f>
        <v/>
      </c>
      <c r="E35" s="27">
        <f>VLOOKUP(B35,$I$53:$Q$57,B32+2,FALSE)</f>
        <v/>
      </c>
      <c r="F35" s="27">
        <f>E35+D35*B33</f>
        <v/>
      </c>
      <c r="G35" s="28">
        <f>FLOOR(F35*(1+IF(A35=$B$22,VLOOKUP(C35,$I$61:$J$65,2,FALSE)/100,0)),1)</f>
        <v/>
      </c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29" t="n"/>
      <c r="B44" s="30" t="inlineStr">
        <is>
          <t>Name</t>
        </is>
      </c>
      <c r="C44" s="31" t="inlineStr">
        <is>
          <t>Biome</t>
        </is>
      </c>
      <c r="D44" s="31" t="inlineStr">
        <is>
          <t>Rarity</t>
        </is>
      </c>
      <c r="E44" s="31" t="inlineStr">
        <is>
          <t>Type</t>
        </is>
      </c>
      <c r="F44" s="31" t="inlineStr">
        <is>
          <t>Adaptability</t>
        </is>
      </c>
      <c r="G44" s="1" t="n"/>
      <c r="I44" s="32" t="inlineStr">
        <is>
          <t>Priest</t>
        </is>
      </c>
      <c r="J44" s="33" t="n"/>
      <c r="K44" s="33" t="n"/>
      <c r="L44" s="33" t="n"/>
      <c r="M44" s="33" t="n"/>
      <c r="N44" s="33" t="n"/>
      <c r="O44" s="33" t="n"/>
      <c r="P44" s="33" t="n"/>
      <c r="Q44" s="34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</row>
    <row r="45">
      <c r="A45" s="35" t="n"/>
      <c r="B45" s="36" t="inlineStr">
        <is>
          <t>Brionac (SSS)</t>
        </is>
      </c>
      <c r="C45" s="37" t="inlineStr">
        <is>
          <t>Forest</t>
        </is>
      </c>
      <c r="D45" s="37" t="inlineStr">
        <is>
          <t>SSS</t>
        </is>
      </c>
      <c r="E45" s="37" t="inlineStr">
        <is>
          <t>Priest</t>
        </is>
      </c>
      <c r="F45" s="37" t="inlineStr">
        <is>
          <t>SSS</t>
        </is>
      </c>
      <c r="G45" s="1" t="n"/>
      <c r="H45" s="38" t="n"/>
      <c r="I45" s="36" t="inlineStr">
        <is>
          <t>Rarity</t>
        </is>
      </c>
      <c r="J45" s="36" t="inlineStr">
        <is>
          <t>Level Gain</t>
        </is>
      </c>
      <c r="K45" s="36" t="inlineStr">
        <is>
          <t>1* Base</t>
        </is>
      </c>
      <c r="L45" s="36" t="inlineStr">
        <is>
          <t>2* Base</t>
        </is>
      </c>
      <c r="M45" s="36" t="inlineStr">
        <is>
          <t>3* Base</t>
        </is>
      </c>
      <c r="N45" s="36" t="inlineStr">
        <is>
          <t>4* Base</t>
        </is>
      </c>
      <c r="O45" s="36" t="inlineStr">
        <is>
          <t>5* Base</t>
        </is>
      </c>
      <c r="P45" s="36" t="inlineStr">
        <is>
          <t>6* Base</t>
        </is>
      </c>
      <c r="Q45" s="36" t="inlineStr">
        <is>
          <t>7* Base</t>
        </is>
      </c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</row>
    <row r="46">
      <c r="A46" s="35" t="n"/>
      <c r="B46" s="36" t="inlineStr">
        <is>
          <t>Brionac (SS)</t>
        </is>
      </c>
      <c r="C46" s="37" t="inlineStr">
        <is>
          <t>Forest</t>
        </is>
      </c>
      <c r="D46" s="37" t="inlineStr">
        <is>
          <t>SS</t>
        </is>
      </c>
      <c r="E46" s="37" t="inlineStr">
        <is>
          <t>Priest</t>
        </is>
      </c>
      <c r="F46" s="37" t="inlineStr">
        <is>
          <t>SSS</t>
        </is>
      </c>
      <c r="G46" s="1" t="n"/>
      <c r="H46" s="38" t="n"/>
      <c r="I46" s="36" t="inlineStr">
        <is>
          <t>SSS</t>
        </is>
      </c>
      <c r="J46" s="39" t="n">
        <v>250</v>
      </c>
      <c r="K46" s="39" t="n">
        <v>0</v>
      </c>
      <c r="L46" s="39" t="n">
        <v>25</v>
      </c>
      <c r="M46" s="39" t="n">
        <v>125</v>
      </c>
      <c r="N46" s="39" t="n">
        <v>725</v>
      </c>
      <c r="O46" s="39" t="n">
        <v>2825</v>
      </c>
      <c r="P46" s="39" t="n">
        <v>6125</v>
      </c>
      <c r="Q46" s="39" t="n">
        <v>22925</v>
      </c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</row>
    <row r="47">
      <c r="A47" s="35" t="n"/>
      <c r="B47" s="36" t="inlineStr">
        <is>
          <t>T-Rex (SSS)</t>
        </is>
      </c>
      <c r="C47" s="37" t="inlineStr">
        <is>
          <t>Forest</t>
        </is>
      </c>
      <c r="D47" s="37" t="inlineStr">
        <is>
          <t>SSS</t>
        </is>
      </c>
      <c r="E47" s="37" t="inlineStr">
        <is>
          <t>Priest</t>
        </is>
      </c>
      <c r="F47" s="37" t="inlineStr">
        <is>
          <t>SSS</t>
        </is>
      </c>
      <c r="G47" s="1" t="n"/>
      <c r="H47" s="38" t="n"/>
      <c r="I47" s="36" t="inlineStr">
        <is>
          <t>SS</t>
        </is>
      </c>
      <c r="J47" s="39" t="n">
        <v>225</v>
      </c>
      <c r="K47" s="39" t="n">
        <v>0</v>
      </c>
      <c r="L47" s="39" t="n">
        <v>25</v>
      </c>
      <c r="M47" s="39" t="n">
        <v>125</v>
      </c>
      <c r="N47" s="39" t="n">
        <v>725</v>
      </c>
      <c r="O47" s="39" t="n">
        <v>2825</v>
      </c>
      <c r="P47" s="39" t="n">
        <v>6125</v>
      </c>
      <c r="Q47" s="39" t="n">
        <v>22925</v>
      </c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</row>
    <row r="48">
      <c r="A48" s="35" t="n"/>
      <c r="B48" s="36" t="inlineStr">
        <is>
          <t>T-Rex (SS)</t>
        </is>
      </c>
      <c r="C48" s="37" t="inlineStr">
        <is>
          <t>Forest</t>
        </is>
      </c>
      <c r="D48" s="37" t="inlineStr">
        <is>
          <t>SS</t>
        </is>
      </c>
      <c r="E48" s="37" t="inlineStr">
        <is>
          <t>Priest</t>
        </is>
      </c>
      <c r="F48" s="37" t="inlineStr">
        <is>
          <t>SSS</t>
        </is>
      </c>
      <c r="G48" s="1" t="n"/>
      <c r="H48" s="38" t="n"/>
      <c r="I48" s="36" t="inlineStr">
        <is>
          <t>S</t>
        </is>
      </c>
      <c r="J48" s="39" t="n">
        <v>200</v>
      </c>
      <c r="K48" s="39" t="n">
        <v>0</v>
      </c>
      <c r="L48" s="39" t="n">
        <v>25</v>
      </c>
      <c r="M48" s="39" t="n">
        <v>125</v>
      </c>
      <c r="N48" s="39" t="n">
        <v>725</v>
      </c>
      <c r="O48" s="39" t="n">
        <v>2825</v>
      </c>
      <c r="P48" s="39" t="n">
        <v>6125</v>
      </c>
      <c r="Q48" s="36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</row>
    <row r="49">
      <c r="A49" s="35" t="n"/>
      <c r="B49" s="36" t="inlineStr">
        <is>
          <t>Embergator</t>
        </is>
      </c>
      <c r="C49" s="37" t="inlineStr">
        <is>
          <t>Forest</t>
        </is>
      </c>
      <c r="D49" s="37" t="inlineStr">
        <is>
          <t>S</t>
        </is>
      </c>
      <c r="E49" s="37" t="inlineStr">
        <is>
          <t>Priest</t>
        </is>
      </c>
      <c r="F49" s="37" t="inlineStr">
        <is>
          <t>SS</t>
        </is>
      </c>
      <c r="G49" s="1" t="n"/>
      <c r="H49" s="38" t="n"/>
      <c r="I49" s="36" t="inlineStr">
        <is>
          <t>Purple</t>
        </is>
      </c>
      <c r="J49" s="39" t="n">
        <v>175</v>
      </c>
      <c r="K49" s="39" t="n">
        <v>0</v>
      </c>
      <c r="L49" s="39" t="n">
        <v>25</v>
      </c>
      <c r="M49" s="39" t="n">
        <v>125</v>
      </c>
      <c r="N49" s="39" t="n">
        <v>725</v>
      </c>
      <c r="O49" s="39" t="n">
        <v>2825</v>
      </c>
      <c r="P49" s="36" t="n"/>
      <c r="Q49" s="36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</row>
    <row r="50">
      <c r="A50" s="35" t="n"/>
      <c r="B50" s="36" t="inlineStr">
        <is>
          <t>Pythonwing</t>
        </is>
      </c>
      <c r="C50" s="37" t="inlineStr">
        <is>
          <t>Forest</t>
        </is>
      </c>
      <c r="D50" s="37" t="inlineStr">
        <is>
          <t>Purple</t>
        </is>
      </c>
      <c r="E50" s="37" t="inlineStr">
        <is>
          <t>Priest</t>
        </is>
      </c>
      <c r="F50" s="37" t="inlineStr">
        <is>
          <t>A</t>
        </is>
      </c>
      <c r="G50" s="1" t="n"/>
      <c r="H50" s="38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</row>
    <row r="51">
      <c r="A51" s="35" t="n"/>
      <c r="B51" s="36" t="inlineStr">
        <is>
          <t>Aroundight (SSS)</t>
        </is>
      </c>
      <c r="C51" s="37" t="inlineStr">
        <is>
          <t>Forest</t>
        </is>
      </c>
      <c r="D51" s="37" t="inlineStr">
        <is>
          <t>SSS</t>
        </is>
      </c>
      <c r="E51" s="37" t="inlineStr">
        <is>
          <t>Devotee</t>
        </is>
      </c>
      <c r="F51" s="37" t="inlineStr">
        <is>
          <t>SSS</t>
        </is>
      </c>
      <c r="G51" s="1" t="n"/>
      <c r="I51" s="32" t="inlineStr">
        <is>
          <t>Devotee</t>
        </is>
      </c>
      <c r="J51" s="40" t="n"/>
      <c r="K51" s="40" t="n"/>
      <c r="L51" s="40" t="n"/>
      <c r="M51" s="40" t="n"/>
      <c r="N51" s="40" t="n"/>
      <c r="O51" s="40" t="n"/>
      <c r="P51" s="40" t="n"/>
      <c r="Q51" s="4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</row>
    <row r="52">
      <c r="A52" s="35" t="n"/>
      <c r="B52" s="36" t="inlineStr">
        <is>
          <t>Aroundight (SS)</t>
        </is>
      </c>
      <c r="C52" s="37" t="inlineStr">
        <is>
          <t>Forest</t>
        </is>
      </c>
      <c r="D52" s="37" t="inlineStr">
        <is>
          <t>SS</t>
        </is>
      </c>
      <c r="E52" s="37" t="inlineStr">
        <is>
          <t>Devotee</t>
        </is>
      </c>
      <c r="F52" s="37" t="inlineStr">
        <is>
          <t>SSS</t>
        </is>
      </c>
      <c r="G52" s="1" t="n"/>
      <c r="H52" s="38" t="n"/>
      <c r="I52" s="36" t="inlineStr">
        <is>
          <t>Rarity</t>
        </is>
      </c>
      <c r="J52" s="36" t="inlineStr">
        <is>
          <t>Level Gain</t>
        </is>
      </c>
      <c r="K52" s="36" t="inlineStr">
        <is>
          <t>1* Base</t>
        </is>
      </c>
      <c r="L52" s="36" t="inlineStr">
        <is>
          <t>2* Base</t>
        </is>
      </c>
      <c r="M52" s="36" t="inlineStr">
        <is>
          <t>3* Base</t>
        </is>
      </c>
      <c r="N52" s="36" t="inlineStr">
        <is>
          <t>4* Base</t>
        </is>
      </c>
      <c r="O52" s="36" t="inlineStr">
        <is>
          <t>5* Base</t>
        </is>
      </c>
      <c r="P52" s="36" t="inlineStr">
        <is>
          <t>6* Base</t>
        </is>
      </c>
      <c r="Q52" s="36" t="inlineStr">
        <is>
          <t>7* Base</t>
        </is>
      </c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</row>
    <row r="53">
      <c r="A53" s="35" t="n"/>
      <c r="B53" s="36" t="inlineStr">
        <is>
          <t>Gae Bolg (SSS)</t>
        </is>
      </c>
      <c r="C53" s="37" t="inlineStr">
        <is>
          <t>Forest</t>
        </is>
      </c>
      <c r="D53" s="37" t="inlineStr">
        <is>
          <t>SSS</t>
        </is>
      </c>
      <c r="E53" s="37" t="inlineStr">
        <is>
          <t>Devotee</t>
        </is>
      </c>
      <c r="F53" s="37" t="inlineStr">
        <is>
          <t>SSS</t>
        </is>
      </c>
      <c r="G53" s="1" t="n"/>
      <c r="H53" s="38" t="n"/>
      <c r="I53" s="36" t="inlineStr">
        <is>
          <t>SSS</t>
        </is>
      </c>
      <c r="J53" s="39" t="n">
        <v>50</v>
      </c>
      <c r="K53" s="39" t="n">
        <v>0</v>
      </c>
      <c r="L53" s="39" t="n">
        <v>5</v>
      </c>
      <c r="M53" s="39" t="n">
        <v>25</v>
      </c>
      <c r="N53" s="39" t="n">
        <v>127</v>
      </c>
      <c r="O53" s="39" t="n">
        <v>661</v>
      </c>
      <c r="P53" s="39" t="n">
        <v>1543</v>
      </c>
      <c r="Q53" s="39" t="n">
        <v>4411</v>
      </c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</row>
    <row r="54">
      <c r="A54" s="35" t="n"/>
      <c r="B54" s="36" t="inlineStr">
        <is>
          <t>Gae Bolg (SS)</t>
        </is>
      </c>
      <c r="C54" s="37" t="inlineStr">
        <is>
          <t>Forest</t>
        </is>
      </c>
      <c r="D54" s="37" t="inlineStr">
        <is>
          <t>SS</t>
        </is>
      </c>
      <c r="E54" s="37" t="inlineStr">
        <is>
          <t>Devotee</t>
        </is>
      </c>
      <c r="F54" s="37" t="inlineStr">
        <is>
          <t>SSS</t>
        </is>
      </c>
      <c r="G54" s="1" t="n"/>
      <c r="H54" s="38" t="n"/>
      <c r="I54" s="36" t="inlineStr">
        <is>
          <t>SS</t>
        </is>
      </c>
      <c r="J54" s="39" t="n">
        <v>45</v>
      </c>
      <c r="K54" s="39" t="n">
        <v>0</v>
      </c>
      <c r="L54" s="39" t="n">
        <v>5</v>
      </c>
      <c r="M54" s="39" t="n">
        <v>25</v>
      </c>
      <c r="N54" s="39" t="n">
        <v>127</v>
      </c>
      <c r="O54" s="39" t="n">
        <v>661</v>
      </c>
      <c r="P54" s="39" t="n">
        <v>1543</v>
      </c>
      <c r="Q54" s="39" t="n">
        <v>4411</v>
      </c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</row>
    <row r="55">
      <c r="A55" s="35" t="n"/>
      <c r="B55" s="36" t="inlineStr">
        <is>
          <t>Gjallarhorn (SSS)</t>
        </is>
      </c>
      <c r="C55" s="37" t="inlineStr">
        <is>
          <t>Forest</t>
        </is>
      </c>
      <c r="D55" s="37" t="inlineStr">
        <is>
          <t>SSS</t>
        </is>
      </c>
      <c r="E55" s="37" t="inlineStr">
        <is>
          <t>Devotee</t>
        </is>
      </c>
      <c r="F55" s="37" t="inlineStr">
        <is>
          <t>SSS</t>
        </is>
      </c>
      <c r="G55" s="1" t="n"/>
      <c r="H55" s="38" t="n"/>
      <c r="I55" s="36" t="inlineStr">
        <is>
          <t>S</t>
        </is>
      </c>
      <c r="J55" s="39" t="n">
        <v>40</v>
      </c>
      <c r="K55" s="39" t="n">
        <v>0</v>
      </c>
      <c r="L55" s="39" t="n">
        <v>5</v>
      </c>
      <c r="M55" s="39" t="n">
        <v>25</v>
      </c>
      <c r="N55" s="39" t="n">
        <v>127</v>
      </c>
      <c r="O55" s="39" t="n">
        <v>661</v>
      </c>
      <c r="P55" s="39" t="n">
        <v>1543</v>
      </c>
      <c r="Q55" s="36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</row>
    <row r="56">
      <c r="A56" s="35" t="n"/>
      <c r="B56" s="36" t="inlineStr">
        <is>
          <t>Gjallarhorn (SS)</t>
        </is>
      </c>
      <c r="C56" s="37" t="inlineStr">
        <is>
          <t>Forest</t>
        </is>
      </c>
      <c r="D56" s="37" t="inlineStr">
        <is>
          <t>SS</t>
        </is>
      </c>
      <c r="E56" s="37" t="inlineStr">
        <is>
          <t>Devotee</t>
        </is>
      </c>
      <c r="F56" s="37" t="inlineStr">
        <is>
          <t>SSS</t>
        </is>
      </c>
      <c r="G56" s="1" t="n"/>
      <c r="H56" s="38" t="n"/>
      <c r="I56" s="36" t="inlineStr">
        <is>
          <t>Purple</t>
        </is>
      </c>
      <c r="J56" s="39" t="n">
        <v>35</v>
      </c>
      <c r="K56" s="39" t="n">
        <v>0</v>
      </c>
      <c r="L56" s="39" t="n">
        <v>5</v>
      </c>
      <c r="M56" s="39" t="n">
        <v>25</v>
      </c>
      <c r="N56" s="39" t="n">
        <v>127</v>
      </c>
      <c r="O56" s="39" t="n">
        <v>661</v>
      </c>
      <c r="P56" s="36" t="n"/>
      <c r="Q56" s="36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</row>
    <row r="57">
      <c r="A57" s="35" t="n"/>
      <c r="B57" s="36" t="inlineStr">
        <is>
          <t>Chaomon</t>
        </is>
      </c>
      <c r="C57" s="37" t="inlineStr">
        <is>
          <t>Forest</t>
        </is>
      </c>
      <c r="D57" s="37" t="inlineStr">
        <is>
          <t>SS</t>
        </is>
      </c>
      <c r="E57" s="37" t="inlineStr">
        <is>
          <t>Devotee</t>
        </is>
      </c>
      <c r="F57" s="37" t="inlineStr">
        <is>
          <t>SS</t>
        </is>
      </c>
      <c r="G57" s="1" t="n"/>
      <c r="H57" s="38" t="n"/>
      <c r="I57" s="36" t="inlineStr">
        <is>
          <t>Blue</t>
        </is>
      </c>
      <c r="J57" s="39" t="n">
        <v>30</v>
      </c>
      <c r="K57" s="39" t="n">
        <v>0</v>
      </c>
      <c r="L57" s="39" t="n">
        <v>5</v>
      </c>
      <c r="M57" s="39" t="n">
        <v>25</v>
      </c>
      <c r="N57" s="39" t="n">
        <v>127</v>
      </c>
      <c r="O57" s="36" t="n"/>
      <c r="P57" s="36" t="n"/>
      <c r="Q57" s="36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</row>
    <row r="58">
      <c r="A58" s="35" t="n"/>
      <c r="B58" s="36" t="inlineStr">
        <is>
          <t>Ugarmon</t>
        </is>
      </c>
      <c r="C58" s="37" t="inlineStr">
        <is>
          <t>Forest</t>
        </is>
      </c>
      <c r="D58" s="37" t="inlineStr">
        <is>
          <t>S</t>
        </is>
      </c>
      <c r="E58" s="37" t="inlineStr">
        <is>
          <t>Devotee</t>
        </is>
      </c>
      <c r="F58" s="37" t="inlineStr">
        <is>
          <t>SS</t>
        </is>
      </c>
      <c r="G58" s="1" t="n"/>
      <c r="H58" s="38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</row>
    <row r="59">
      <c r="A59" s="35" t="n"/>
      <c r="B59" s="36" t="inlineStr">
        <is>
          <t>Netherstag</t>
        </is>
      </c>
      <c r="C59" s="37" t="inlineStr">
        <is>
          <t>Forest</t>
        </is>
      </c>
      <c r="D59" s="37" t="inlineStr">
        <is>
          <t>S</t>
        </is>
      </c>
      <c r="E59" s="37" t="inlineStr">
        <is>
          <t>Devotee</t>
        </is>
      </c>
      <c r="F59" s="37" t="inlineStr">
        <is>
          <t>SS</t>
        </is>
      </c>
      <c r="G59" s="1" t="n"/>
      <c r="H59" s="38" t="n"/>
      <c r="I59" s="35" t="n"/>
      <c r="J59" s="35" t="n"/>
      <c r="K59" s="35" t="n"/>
      <c r="L59" s="35" t="n"/>
      <c r="M59" s="35" t="n"/>
      <c r="N59" s="35" t="n"/>
      <c r="O59" s="35" t="n"/>
      <c r="P59" s="35" t="n"/>
      <c r="Q59" s="35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</row>
    <row r="60">
      <c r="A60" s="35" t="n"/>
      <c r="B60" s="36" t="inlineStr">
        <is>
          <t>Tyrannocroc</t>
        </is>
      </c>
      <c r="C60" s="37" t="inlineStr">
        <is>
          <t>Forest</t>
        </is>
      </c>
      <c r="D60" s="37" t="inlineStr">
        <is>
          <t>S</t>
        </is>
      </c>
      <c r="E60" s="37" t="inlineStr">
        <is>
          <t>Devotee</t>
        </is>
      </c>
      <c r="F60" s="37" t="inlineStr">
        <is>
          <t>SS</t>
        </is>
      </c>
      <c r="G60" s="1" t="n"/>
      <c r="H60" s="38" t="n"/>
      <c r="I60" s="36" t="inlineStr">
        <is>
          <t>Adaptability</t>
        </is>
      </c>
      <c r="J60" s="36" t="inlineStr">
        <is>
          <t>% Multiplier</t>
        </is>
      </c>
      <c r="K60" s="35" t="n"/>
      <c r="L60" s="35" t="n"/>
      <c r="M60" s="35" t="n"/>
      <c r="N60" s="37" t="inlineStr">
        <is>
          <t>Star</t>
        </is>
      </c>
      <c r="O60" s="37" t="inlineStr">
        <is>
          <t>Max Priest</t>
        </is>
      </c>
      <c r="P60" s="37" t="inlineStr">
        <is>
          <t>Max Devotee</t>
        </is>
      </c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</row>
    <row r="61">
      <c r="A61" s="35" t="n"/>
      <c r="B61" s="36" t="inlineStr">
        <is>
          <t>Deathbat</t>
        </is>
      </c>
      <c r="C61" s="37" t="inlineStr">
        <is>
          <t>Forest</t>
        </is>
      </c>
      <c r="D61" s="37" t="inlineStr">
        <is>
          <t>S</t>
        </is>
      </c>
      <c r="E61" s="37" t="inlineStr">
        <is>
          <t>Devotee</t>
        </is>
      </c>
      <c r="F61" s="37" t="inlineStr">
        <is>
          <t>S</t>
        </is>
      </c>
      <c r="G61" s="1" t="n"/>
      <c r="H61" s="38" t="n"/>
      <c r="I61" s="36" t="inlineStr">
        <is>
          <t>SSS</t>
        </is>
      </c>
      <c r="J61" s="39" t="n">
        <v>40</v>
      </c>
      <c r="K61" s="35" t="n"/>
      <c r="L61" s="35" t="n"/>
      <c r="M61" s="35" t="n"/>
      <c r="N61" s="36" t="n">
        <v>1</v>
      </c>
      <c r="O61" s="36" t="n">
        <v>20</v>
      </c>
      <c r="P61" s="36" t="n">
        <v>10</v>
      </c>
      <c r="Q61" s="35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</row>
    <row r="62">
      <c r="A62" s="35" t="n"/>
      <c r="B62" s="36" t="inlineStr">
        <is>
          <t>Ladomon</t>
        </is>
      </c>
      <c r="C62" s="37" t="inlineStr">
        <is>
          <t>Forest</t>
        </is>
      </c>
      <c r="D62" s="37" t="inlineStr">
        <is>
          <t>S</t>
        </is>
      </c>
      <c r="E62" s="37" t="inlineStr">
        <is>
          <t>Devotee</t>
        </is>
      </c>
      <c r="F62" s="37" t="inlineStr">
        <is>
          <t>S</t>
        </is>
      </c>
      <c r="G62" s="1" t="n"/>
      <c r="H62" s="38" t="n"/>
      <c r="I62" s="36" t="inlineStr">
        <is>
          <t>SS</t>
        </is>
      </c>
      <c r="J62" s="39" t="n">
        <v>34</v>
      </c>
      <c r="K62" s="35" t="n"/>
      <c r="L62" s="35" t="n"/>
      <c r="M62" s="35" t="n"/>
      <c r="N62" s="36" t="n">
        <v>2</v>
      </c>
      <c r="O62" s="36" t="n">
        <v>40</v>
      </c>
      <c r="P62" s="36" t="n">
        <v>20</v>
      </c>
      <c r="Q62" s="35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</row>
    <row r="63">
      <c r="A63" s="35" t="n"/>
      <c r="B63" s="36" t="inlineStr">
        <is>
          <t>Shorewing</t>
        </is>
      </c>
      <c r="C63" s="37" t="inlineStr">
        <is>
          <t>Forest</t>
        </is>
      </c>
      <c r="D63" s="37" t="inlineStr">
        <is>
          <t>S</t>
        </is>
      </c>
      <c r="E63" s="37" t="inlineStr">
        <is>
          <t>Devotee</t>
        </is>
      </c>
      <c r="F63" s="37" t="inlineStr">
        <is>
          <t>S</t>
        </is>
      </c>
      <c r="G63" s="1" t="n"/>
      <c r="H63" s="38" t="n"/>
      <c r="I63" s="36" t="inlineStr">
        <is>
          <t>S</t>
        </is>
      </c>
      <c r="J63" s="39" t="n">
        <v>28</v>
      </c>
      <c r="K63" s="35" t="n"/>
      <c r="L63" s="35" t="n"/>
      <c r="M63" s="35" t="n"/>
      <c r="N63" s="36" t="n">
        <v>3</v>
      </c>
      <c r="O63" s="36" t="n">
        <v>80</v>
      </c>
      <c r="P63" s="36" t="n">
        <v>40</v>
      </c>
      <c r="Q63" s="35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</row>
    <row r="64">
      <c r="A64" s="35" t="n"/>
      <c r="B64" s="36" t="inlineStr">
        <is>
          <t>Tigergator</t>
        </is>
      </c>
      <c r="C64" s="37" t="inlineStr">
        <is>
          <t>Forest</t>
        </is>
      </c>
      <c r="D64" s="37" t="inlineStr">
        <is>
          <t>S</t>
        </is>
      </c>
      <c r="E64" s="37" t="inlineStr">
        <is>
          <t>Devotee</t>
        </is>
      </c>
      <c r="F64" s="37" t="inlineStr">
        <is>
          <t>S</t>
        </is>
      </c>
      <c r="G64" s="1" t="n"/>
      <c r="H64" s="38" t="n"/>
      <c r="I64" s="36" t="inlineStr">
        <is>
          <t>A</t>
        </is>
      </c>
      <c r="J64" s="39" t="n">
        <v>22</v>
      </c>
      <c r="K64" s="35" t="n"/>
      <c r="L64" s="35" t="n"/>
      <c r="M64" s="35" t="n"/>
      <c r="N64" s="36" t="n">
        <v>4</v>
      </c>
      <c r="O64" s="36" t="n">
        <v>120</v>
      </c>
      <c r="P64" s="36" t="n">
        <v>60</v>
      </c>
      <c r="Q64" s="35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</row>
    <row r="65">
      <c r="A65" s="35" t="n"/>
      <c r="B65" s="36" t="inlineStr">
        <is>
          <t>Goregator</t>
        </is>
      </c>
      <c r="C65" s="37" t="inlineStr">
        <is>
          <t>Forest</t>
        </is>
      </c>
      <c r="D65" s="37" t="inlineStr">
        <is>
          <t>S</t>
        </is>
      </c>
      <c r="E65" s="37" t="inlineStr">
        <is>
          <t>Devotee</t>
        </is>
      </c>
      <c r="F65" s="37" t="inlineStr">
        <is>
          <t>S</t>
        </is>
      </c>
      <c r="G65" s="1" t="n"/>
      <c r="H65" s="1" t="n"/>
      <c r="I65" s="36" t="inlineStr">
        <is>
          <t>B</t>
        </is>
      </c>
      <c r="J65" s="39" t="n">
        <v>16</v>
      </c>
      <c r="K65" s="35" t="n"/>
      <c r="L65" s="35" t="n"/>
      <c r="M65" s="35" t="n"/>
      <c r="N65" s="36" t="n">
        <v>5</v>
      </c>
      <c r="O65" s="36" t="n">
        <v>160</v>
      </c>
      <c r="P65" s="36" t="n">
        <v>80</v>
      </c>
      <c r="Q65" s="35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</row>
    <row r="66">
      <c r="A66" s="35" t="n"/>
      <c r="B66" s="36" t="inlineStr">
        <is>
          <t>Sortisnake</t>
        </is>
      </c>
      <c r="C66" s="37" t="inlineStr">
        <is>
          <t>Forest</t>
        </is>
      </c>
      <c r="D66" s="37" t="inlineStr">
        <is>
          <t>S</t>
        </is>
      </c>
      <c r="E66" s="37" t="inlineStr">
        <is>
          <t>Devotee</t>
        </is>
      </c>
      <c r="F66" s="37" t="inlineStr">
        <is>
          <t>S</t>
        </is>
      </c>
      <c r="G66" s="1" t="n"/>
      <c r="H66" s="1" t="n"/>
      <c r="I66" s="1" t="n"/>
      <c r="J66" s="1" t="n"/>
      <c r="K66" s="1" t="n"/>
      <c r="L66" s="1" t="n"/>
      <c r="M66" s="1" t="n"/>
      <c r="N66" s="27" t="n">
        <v>6</v>
      </c>
      <c r="O66" s="27" t="n">
        <v>200</v>
      </c>
      <c r="P66" s="27" t="n">
        <v>100</v>
      </c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</row>
    <row r="67">
      <c r="A67" s="35" t="n"/>
      <c r="B67" s="36" t="inlineStr">
        <is>
          <t>Antlerfang</t>
        </is>
      </c>
      <c r="C67" s="37" t="inlineStr">
        <is>
          <t>Forest</t>
        </is>
      </c>
      <c r="D67" s="37" t="inlineStr">
        <is>
          <t>S</t>
        </is>
      </c>
      <c r="E67" s="37" t="inlineStr">
        <is>
          <t>Devotee</t>
        </is>
      </c>
      <c r="F67" s="37" t="inlineStr">
        <is>
          <t>S</t>
        </is>
      </c>
      <c r="G67" s="1" t="n"/>
      <c r="H67" s="1" t="n"/>
      <c r="I67" s="1" t="n"/>
      <c r="J67" s="1" t="n"/>
      <c r="K67" s="1" t="n"/>
      <c r="L67" s="1" t="n"/>
      <c r="M67" s="1" t="n"/>
      <c r="N67" s="27" t="n">
        <v>7</v>
      </c>
      <c r="O67" s="27" t="n">
        <v>240</v>
      </c>
      <c r="P67" s="27" t="n">
        <v>120</v>
      </c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</row>
    <row r="68">
      <c r="A68" s="35" t="n"/>
      <c r="B68" s="36" t="inlineStr">
        <is>
          <t>Titanclaw</t>
        </is>
      </c>
      <c r="C68" s="37" t="inlineStr">
        <is>
          <t>Forest</t>
        </is>
      </c>
      <c r="D68" s="37" t="inlineStr">
        <is>
          <t>S</t>
        </is>
      </c>
      <c r="E68" s="37" t="inlineStr">
        <is>
          <t>Devotee</t>
        </is>
      </c>
      <c r="F68" s="37" t="inlineStr">
        <is>
          <t>S</t>
        </is>
      </c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</row>
    <row r="69">
      <c r="A69" s="35" t="n"/>
      <c r="B69" s="36" t="inlineStr">
        <is>
          <t>Demonic Flying Fox</t>
        </is>
      </c>
      <c r="C69" s="37" t="inlineStr">
        <is>
          <t>Forest</t>
        </is>
      </c>
      <c r="D69" s="37" t="inlineStr">
        <is>
          <t>Purple</t>
        </is>
      </c>
      <c r="E69" s="37" t="inlineStr">
        <is>
          <t>Devotee</t>
        </is>
      </c>
      <c r="F69" s="37" t="inlineStr">
        <is>
          <t>A</t>
        </is>
      </c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</row>
    <row r="70">
      <c r="A70" s="35" t="n"/>
      <c r="B70" s="36" t="inlineStr">
        <is>
          <t>Vampire Bat</t>
        </is>
      </c>
      <c r="C70" s="37" t="inlineStr">
        <is>
          <t>Forest</t>
        </is>
      </c>
      <c r="D70" s="37" t="inlineStr">
        <is>
          <t>Blue</t>
        </is>
      </c>
      <c r="E70" s="37" t="inlineStr">
        <is>
          <t>Devotee</t>
        </is>
      </c>
      <c r="F70" s="37" t="inlineStr">
        <is>
          <t>B</t>
        </is>
      </c>
      <c r="G70" s="1" t="n"/>
      <c r="H70" s="1" t="n"/>
      <c r="I70" s="10" t="inlineStr">
        <is>
          <t>Level</t>
        </is>
      </c>
      <c r="J70" s="10" t="inlineStr">
        <is>
          <t>Protolith</t>
        </is>
      </c>
      <c r="K70" s="10" t="inlineStr">
        <is>
          <t>Cumulative</t>
        </is>
      </c>
      <c r="L70" s="10" t="inlineStr">
        <is>
          <t>Level 2</t>
        </is>
      </c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</row>
    <row r="71">
      <c r="A71" s="35" t="n"/>
      <c r="B71" s="36" t="inlineStr">
        <is>
          <t>Avalon (SSS)</t>
        </is>
      </c>
      <c r="C71" s="37" t="inlineStr">
        <is>
          <t>Tundra</t>
        </is>
      </c>
      <c r="D71" s="37" t="inlineStr">
        <is>
          <t>SSS</t>
        </is>
      </c>
      <c r="E71" s="37" t="inlineStr">
        <is>
          <t>Priest</t>
        </is>
      </c>
      <c r="F71" s="37" t="inlineStr">
        <is>
          <t>SSS</t>
        </is>
      </c>
      <c r="G71" s="1" t="n"/>
      <c r="H71" s="1" t="n"/>
      <c r="I71" s="27" t="n">
        <v>1</v>
      </c>
      <c r="J71" s="42" t="n">
        <v>0</v>
      </c>
      <c r="K71" s="43">
        <f>SUM(OFFSET($J$70,1,0,I71))</f>
        <v/>
      </c>
      <c r="L71" s="27" t="n">
        <v>1</v>
      </c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</row>
    <row r="72">
      <c r="A72" s="35" t="n"/>
      <c r="B72" s="36" t="inlineStr">
        <is>
          <t>Avalon (SS)</t>
        </is>
      </c>
      <c r="C72" s="37" t="inlineStr">
        <is>
          <t>Tundra</t>
        </is>
      </c>
      <c r="D72" s="37" t="inlineStr">
        <is>
          <t>SS</t>
        </is>
      </c>
      <c r="E72" s="37" t="inlineStr">
        <is>
          <t>Priest</t>
        </is>
      </c>
      <c r="F72" s="37" t="inlineStr">
        <is>
          <t>SSS</t>
        </is>
      </c>
      <c r="G72" s="1" t="n"/>
      <c r="H72" s="1" t="n"/>
      <c r="I72" s="27" t="n">
        <v>2</v>
      </c>
      <c r="J72" s="43">
        <f>60*(I71+1)</f>
        <v/>
      </c>
      <c r="K72" s="43">
        <f>SUM(OFFSET($J$70,1,0,I72))</f>
        <v/>
      </c>
      <c r="L72" s="27" t="n">
        <v>2</v>
      </c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</row>
    <row r="73">
      <c r="A73" s="35" t="n"/>
      <c r="B73" s="36" t="inlineStr">
        <is>
          <t>Mammoth (SSS)</t>
        </is>
      </c>
      <c r="C73" s="37" t="inlineStr">
        <is>
          <t>Tundra</t>
        </is>
      </c>
      <c r="D73" s="37" t="inlineStr">
        <is>
          <t>SSS</t>
        </is>
      </c>
      <c r="E73" s="37" t="inlineStr">
        <is>
          <t>Priest</t>
        </is>
      </c>
      <c r="F73" s="37" t="inlineStr">
        <is>
          <t>SSS</t>
        </is>
      </c>
      <c r="G73" s="1" t="n"/>
      <c r="H73" s="1" t="n"/>
      <c r="I73" s="27" t="n">
        <v>3</v>
      </c>
      <c r="J73" s="43">
        <f>60*(I72+1)</f>
        <v/>
      </c>
      <c r="K73" s="43">
        <f>SUM(OFFSET($J$70,1,0,I73))</f>
        <v/>
      </c>
      <c r="L73" s="27" t="n">
        <v>3</v>
      </c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</row>
    <row r="74">
      <c r="A74" s="35" t="n"/>
      <c r="B74" s="36" t="inlineStr">
        <is>
          <t>Mammoth (SS)</t>
        </is>
      </c>
      <c r="C74" s="37" t="inlineStr">
        <is>
          <t>Tundra</t>
        </is>
      </c>
      <c r="D74" s="37" t="inlineStr">
        <is>
          <t>SS</t>
        </is>
      </c>
      <c r="E74" s="37" t="inlineStr">
        <is>
          <t>Priest</t>
        </is>
      </c>
      <c r="F74" s="37" t="inlineStr">
        <is>
          <t>SSS</t>
        </is>
      </c>
      <c r="G74" s="1" t="n"/>
      <c r="H74" s="1" t="n"/>
      <c r="I74" s="27" t="n">
        <v>4</v>
      </c>
      <c r="J74" s="43">
        <f>60*(I73+1)</f>
        <v/>
      </c>
      <c r="K74" s="43">
        <f>SUM(OFFSET($J$70,1,0,I74))</f>
        <v/>
      </c>
      <c r="L74" s="27" t="n">
        <v>4</v>
      </c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</row>
    <row r="75">
      <c r="A75" s="35" t="n"/>
      <c r="B75" s="36" t="inlineStr">
        <is>
          <t>Stormander</t>
        </is>
      </c>
      <c r="C75" s="37" t="inlineStr">
        <is>
          <t>Tundra</t>
        </is>
      </c>
      <c r="D75" s="37" t="inlineStr">
        <is>
          <t>S</t>
        </is>
      </c>
      <c r="E75" s="37" t="inlineStr">
        <is>
          <t>Priest</t>
        </is>
      </c>
      <c r="F75" s="37" t="inlineStr">
        <is>
          <t>SS</t>
        </is>
      </c>
      <c r="G75" s="1" t="n"/>
      <c r="H75" s="1" t="n"/>
      <c r="I75" s="27" t="n">
        <v>5</v>
      </c>
      <c r="J75" s="43">
        <f>60*(I74+1)</f>
        <v/>
      </c>
      <c r="K75" s="43">
        <f>SUM(OFFSET($J$70,1,0,I75))</f>
        <v/>
      </c>
      <c r="L75" s="27" t="n">
        <v>5</v>
      </c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</row>
    <row r="76">
      <c r="A76" s="35" t="n"/>
      <c r="B76" s="36" t="inlineStr">
        <is>
          <t>Gullinbursti (SSS)</t>
        </is>
      </c>
      <c r="C76" s="37" t="inlineStr">
        <is>
          <t>Tundra</t>
        </is>
      </c>
      <c r="D76" s="37" t="inlineStr">
        <is>
          <t>SSS</t>
        </is>
      </c>
      <c r="E76" s="37" t="inlineStr">
        <is>
          <t>Devotee</t>
        </is>
      </c>
      <c r="F76" s="37" t="inlineStr">
        <is>
          <t>SSS</t>
        </is>
      </c>
      <c r="G76" s="1" t="n"/>
      <c r="H76" s="1" t="n"/>
      <c r="I76" s="27" t="n">
        <v>6</v>
      </c>
      <c r="J76" s="43">
        <f>60*(I75+1)</f>
        <v/>
      </c>
      <c r="K76" s="43">
        <f>SUM(OFFSET($J$70,1,0,I76))</f>
        <v/>
      </c>
      <c r="L76" s="27" t="n">
        <v>6</v>
      </c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</row>
    <row r="77">
      <c r="A77" s="35" t="n"/>
      <c r="B77" s="36" t="inlineStr">
        <is>
          <t>Gullinbursti (SS)</t>
        </is>
      </c>
      <c r="C77" s="37" t="inlineStr">
        <is>
          <t>Tundra</t>
        </is>
      </c>
      <c r="D77" s="37" t="inlineStr">
        <is>
          <t>SS</t>
        </is>
      </c>
      <c r="E77" s="37" t="inlineStr">
        <is>
          <t>Devotee</t>
        </is>
      </c>
      <c r="F77" s="37" t="inlineStr">
        <is>
          <t>SSS</t>
        </is>
      </c>
      <c r="G77" s="1" t="n"/>
      <c r="H77" s="1" t="n"/>
      <c r="I77" s="27" t="n">
        <v>7</v>
      </c>
      <c r="J77" s="43">
        <f>60*(I76+1)</f>
        <v/>
      </c>
      <c r="K77" s="43">
        <f>SUM(OFFSET($J$70,1,0,I77))</f>
        <v/>
      </c>
      <c r="L77" s="27" t="n">
        <v>7</v>
      </c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</row>
    <row r="78">
      <c r="A78" s="35" t="n"/>
      <c r="B78" s="36" t="inlineStr">
        <is>
          <t>Eljudnir (SSS)</t>
        </is>
      </c>
      <c r="C78" s="37" t="inlineStr">
        <is>
          <t>Tundra</t>
        </is>
      </c>
      <c r="D78" s="37" t="inlineStr">
        <is>
          <t>SSS</t>
        </is>
      </c>
      <c r="E78" s="37" t="inlineStr">
        <is>
          <t>Devotee</t>
        </is>
      </c>
      <c r="F78" s="37" t="inlineStr">
        <is>
          <t>SSS</t>
        </is>
      </c>
      <c r="G78" s="1" t="n"/>
      <c r="H78" s="1" t="n"/>
      <c r="I78" s="27" t="n">
        <v>8</v>
      </c>
      <c r="J78" s="43">
        <f>60*(I77+1)</f>
        <v/>
      </c>
      <c r="K78" s="43">
        <f>SUM(OFFSET($J$70,1,0,I78))</f>
        <v/>
      </c>
      <c r="L78" s="27" t="n">
        <v>8</v>
      </c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</row>
    <row r="79">
      <c r="A79" s="35" t="n"/>
      <c r="B79" s="36" t="inlineStr">
        <is>
          <t>Eljudnir (SS)</t>
        </is>
      </c>
      <c r="C79" s="37" t="inlineStr">
        <is>
          <t>Tundra</t>
        </is>
      </c>
      <c r="D79" s="37" t="inlineStr">
        <is>
          <t>SS</t>
        </is>
      </c>
      <c r="E79" s="37" t="inlineStr">
        <is>
          <t>Devotee</t>
        </is>
      </c>
      <c r="F79" s="37" t="inlineStr">
        <is>
          <t>SSS</t>
        </is>
      </c>
      <c r="G79" s="1" t="n"/>
      <c r="H79" s="1" t="n"/>
      <c r="I79" s="27" t="n">
        <v>9</v>
      </c>
      <c r="J79" s="43">
        <f>60*(I78+1)</f>
        <v/>
      </c>
      <c r="K79" s="43">
        <f>SUM(OFFSET($J$70,1,0,I79))</f>
        <v/>
      </c>
      <c r="L79" s="27" t="n">
        <v>9</v>
      </c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</row>
    <row r="80">
      <c r="A80" s="35" t="n"/>
      <c r="B80" s="36" t="inlineStr">
        <is>
          <t>Fragarach (SSS)</t>
        </is>
      </c>
      <c r="C80" s="37" t="inlineStr">
        <is>
          <t>Tundra</t>
        </is>
      </c>
      <c r="D80" s="37" t="inlineStr">
        <is>
          <t>SSS</t>
        </is>
      </c>
      <c r="E80" s="37" t="inlineStr">
        <is>
          <t>Devotee</t>
        </is>
      </c>
      <c r="F80" s="37" t="inlineStr">
        <is>
          <t>SSS</t>
        </is>
      </c>
      <c r="G80" s="1" t="n"/>
      <c r="H80" s="1" t="n"/>
      <c r="I80" s="27" t="n">
        <v>10</v>
      </c>
      <c r="J80" s="43">
        <f>60*(I79+1)</f>
        <v/>
      </c>
      <c r="K80" s="43">
        <f>SUM(OFFSET($J$70,1,0,I80))</f>
        <v/>
      </c>
      <c r="L80" s="27" t="n">
        <v>10</v>
      </c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</row>
    <row r="81">
      <c r="A81" s="35" t="n"/>
      <c r="B81" s="36" t="inlineStr">
        <is>
          <t>Fragarach (SS)</t>
        </is>
      </c>
      <c r="C81" s="37" t="inlineStr">
        <is>
          <t>Tundra</t>
        </is>
      </c>
      <c r="D81" s="37" t="inlineStr">
        <is>
          <t>SS</t>
        </is>
      </c>
      <c r="E81" s="37" t="inlineStr">
        <is>
          <t>Devotee</t>
        </is>
      </c>
      <c r="F81" s="37" t="inlineStr">
        <is>
          <t>SSS</t>
        </is>
      </c>
      <c r="G81" s="1" t="n"/>
      <c r="H81" s="1" t="n"/>
      <c r="I81" s="27" t="n">
        <v>11</v>
      </c>
      <c r="J81" s="43">
        <f>60*(I80+1)</f>
        <v/>
      </c>
      <c r="K81" s="43">
        <f>SUM(OFFSET($J$70,1,0,I81))</f>
        <v/>
      </c>
      <c r="L81" s="27" t="n">
        <v>11</v>
      </c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</row>
    <row r="82">
      <c r="A82" s="35" t="n"/>
      <c r="B82" s="36" t="inlineStr">
        <is>
          <t>Lunarcalf</t>
        </is>
      </c>
      <c r="C82" s="37" t="inlineStr">
        <is>
          <t>Tundra</t>
        </is>
      </c>
      <c r="D82" s="37" t="inlineStr">
        <is>
          <t>SS</t>
        </is>
      </c>
      <c r="E82" s="37" t="inlineStr">
        <is>
          <t>Devotee</t>
        </is>
      </c>
      <c r="F82" s="37" t="inlineStr">
        <is>
          <t>SS</t>
        </is>
      </c>
      <c r="G82" s="1" t="n"/>
      <c r="H82" s="1" t="n"/>
      <c r="I82" s="27" t="n">
        <v>12</v>
      </c>
      <c r="J82" s="43">
        <f>60*(I81+1)</f>
        <v/>
      </c>
      <c r="K82" s="43">
        <f>SUM(OFFSET($J$70,1,0,I82))</f>
        <v/>
      </c>
      <c r="L82" s="27" t="n">
        <v>12</v>
      </c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</row>
    <row r="83">
      <c r="A83" s="35" t="n"/>
      <c r="B83" s="36" t="inlineStr">
        <is>
          <t>Gloomdart</t>
        </is>
      </c>
      <c r="C83" s="37" t="inlineStr">
        <is>
          <t>Tundra</t>
        </is>
      </c>
      <c r="D83" s="37" t="inlineStr">
        <is>
          <t>S</t>
        </is>
      </c>
      <c r="E83" s="37" t="inlineStr">
        <is>
          <t>Devotee</t>
        </is>
      </c>
      <c r="F83" s="37" t="inlineStr">
        <is>
          <t>SS</t>
        </is>
      </c>
      <c r="G83" s="1" t="n"/>
      <c r="H83" s="1" t="n"/>
      <c r="I83" s="27" t="n">
        <v>13</v>
      </c>
      <c r="J83" s="43">
        <f>60*(I82+1)</f>
        <v/>
      </c>
      <c r="K83" s="43">
        <f>SUM(OFFSET($J$70,1,0,I83))</f>
        <v/>
      </c>
      <c r="L83" s="27" t="n">
        <v>13</v>
      </c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</row>
    <row r="84">
      <c r="A84" s="35" t="n"/>
      <c r="B84" s="36" t="inlineStr">
        <is>
          <t>Snarefang</t>
        </is>
      </c>
      <c r="C84" s="37" t="inlineStr">
        <is>
          <t>Tundra</t>
        </is>
      </c>
      <c r="D84" s="37" t="inlineStr">
        <is>
          <t>S</t>
        </is>
      </c>
      <c r="E84" s="37" t="inlineStr">
        <is>
          <t>Devotee</t>
        </is>
      </c>
      <c r="F84" s="37" t="inlineStr">
        <is>
          <t>SS</t>
        </is>
      </c>
      <c r="G84" s="1" t="n"/>
      <c r="H84" s="1" t="n"/>
      <c r="I84" s="27" t="n">
        <v>14</v>
      </c>
      <c r="J84" s="43">
        <f>60*(I83+1)</f>
        <v/>
      </c>
      <c r="K84" s="43">
        <f>SUM(OFFSET($J$70,1,0,I84))</f>
        <v/>
      </c>
      <c r="L84" s="27" t="n">
        <v>14</v>
      </c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</row>
    <row r="85">
      <c r="A85" s="35" t="n"/>
      <c r="B85" s="36" t="inlineStr">
        <is>
          <t>Direantler</t>
        </is>
      </c>
      <c r="C85" s="37" t="inlineStr">
        <is>
          <t>Tundra</t>
        </is>
      </c>
      <c r="D85" s="37" t="inlineStr">
        <is>
          <t>S</t>
        </is>
      </c>
      <c r="E85" s="37" t="inlineStr">
        <is>
          <t>Devotee</t>
        </is>
      </c>
      <c r="F85" s="37" t="inlineStr">
        <is>
          <t>SS</t>
        </is>
      </c>
      <c r="G85" s="1" t="n"/>
      <c r="H85" s="1" t="n"/>
      <c r="I85" s="27" t="n">
        <v>15</v>
      </c>
      <c r="J85" s="43">
        <f>60*(I84+1)</f>
        <v/>
      </c>
      <c r="K85" s="43">
        <f>SUM(OFFSET($J$70,1,0,I85))</f>
        <v/>
      </c>
      <c r="L85" s="27" t="n">
        <v>15</v>
      </c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</row>
    <row r="86">
      <c r="A86" s="35" t="n"/>
      <c r="B86" s="36" t="inlineStr">
        <is>
          <t>Sabermoose</t>
        </is>
      </c>
      <c r="C86" s="37" t="inlineStr">
        <is>
          <t>Tundra</t>
        </is>
      </c>
      <c r="D86" s="37" t="inlineStr">
        <is>
          <t>S</t>
        </is>
      </c>
      <c r="E86" s="37" t="inlineStr">
        <is>
          <t>Devotee</t>
        </is>
      </c>
      <c r="F86" s="37" t="inlineStr">
        <is>
          <t>S</t>
        </is>
      </c>
      <c r="G86" s="1" t="n"/>
      <c r="H86" s="1" t="n"/>
      <c r="I86" s="27" t="n">
        <v>16</v>
      </c>
      <c r="J86" s="43">
        <f>60*(I85+1)</f>
        <v/>
      </c>
      <c r="K86" s="43">
        <f>SUM(OFFSET($J$70,1,0,I86))</f>
        <v/>
      </c>
      <c r="L86" s="27" t="n">
        <v>16</v>
      </c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</row>
    <row r="87">
      <c r="A87" s="35" t="n"/>
      <c r="B87" s="36" t="inlineStr">
        <is>
          <t>Dreadnose</t>
        </is>
      </c>
      <c r="C87" s="37" t="inlineStr">
        <is>
          <t>Tundra</t>
        </is>
      </c>
      <c r="D87" s="37" t="inlineStr">
        <is>
          <t>S</t>
        </is>
      </c>
      <c r="E87" s="37" t="inlineStr">
        <is>
          <t>Devotee</t>
        </is>
      </c>
      <c r="F87" s="37" t="inlineStr">
        <is>
          <t>S</t>
        </is>
      </c>
      <c r="G87" s="1" t="n"/>
      <c r="H87" s="1" t="n"/>
      <c r="I87" s="27" t="n">
        <v>17</v>
      </c>
      <c r="J87" s="43">
        <f>60*(I86+1)</f>
        <v/>
      </c>
      <c r="K87" s="43">
        <f>SUM(OFFSET($J$70,1,0,I87))</f>
        <v/>
      </c>
      <c r="L87" s="27" t="n">
        <v>17</v>
      </c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</row>
    <row r="88">
      <c r="A88" s="35" t="n"/>
      <c r="B88" s="36" t="inlineStr">
        <is>
          <t>Elkwing</t>
        </is>
      </c>
      <c r="C88" s="37" t="inlineStr">
        <is>
          <t>Tundra</t>
        </is>
      </c>
      <c r="D88" s="37" t="inlineStr">
        <is>
          <t>S</t>
        </is>
      </c>
      <c r="E88" s="37" t="inlineStr">
        <is>
          <t>Devotee</t>
        </is>
      </c>
      <c r="F88" s="37" t="inlineStr">
        <is>
          <t>S</t>
        </is>
      </c>
      <c r="G88" s="1" t="n"/>
      <c r="H88" s="1" t="n"/>
      <c r="I88" s="27" t="n">
        <v>18</v>
      </c>
      <c r="J88" s="43">
        <f>60*(I87+1)</f>
        <v/>
      </c>
      <c r="K88" s="43">
        <f>SUM(OFFSET($J$70,1,0,I88))</f>
        <v/>
      </c>
      <c r="L88" s="27" t="n">
        <v>18</v>
      </c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</row>
    <row r="89">
      <c r="A89" s="35" t="n"/>
      <c r="B89" s="36" t="inlineStr">
        <is>
          <t>Titanimon</t>
        </is>
      </c>
      <c r="C89" s="37" t="inlineStr">
        <is>
          <t>Tundra</t>
        </is>
      </c>
      <c r="D89" s="37" t="inlineStr">
        <is>
          <t>S</t>
        </is>
      </c>
      <c r="E89" s="37" t="inlineStr">
        <is>
          <t>Devotee</t>
        </is>
      </c>
      <c r="F89" s="37" t="inlineStr">
        <is>
          <t>S</t>
        </is>
      </c>
      <c r="G89" s="1" t="n"/>
      <c r="H89" s="1" t="n"/>
      <c r="I89" s="27" t="n">
        <v>19</v>
      </c>
      <c r="J89" s="43">
        <f>60*(I88+1)</f>
        <v/>
      </c>
      <c r="K89" s="43">
        <f>SUM(OFFSET($J$70,1,0,I89))</f>
        <v/>
      </c>
      <c r="L89" s="27" t="n">
        <v>19</v>
      </c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</row>
    <row r="90">
      <c r="A90" s="35" t="n"/>
      <c r="B90" s="36" t="inlineStr">
        <is>
          <t>Hartblinker</t>
        </is>
      </c>
      <c r="C90" s="37" t="inlineStr">
        <is>
          <t>Tundra</t>
        </is>
      </c>
      <c r="D90" s="37" t="inlineStr">
        <is>
          <t>S</t>
        </is>
      </c>
      <c r="E90" s="37" t="inlineStr">
        <is>
          <t>Devotee</t>
        </is>
      </c>
      <c r="F90" s="37" t="inlineStr">
        <is>
          <t>S</t>
        </is>
      </c>
      <c r="G90" s="1" t="n"/>
      <c r="H90" s="1" t="n"/>
      <c r="I90" s="27" t="n">
        <v>20</v>
      </c>
      <c r="J90" s="43">
        <f>60*(I89+1)</f>
        <v/>
      </c>
      <c r="K90" s="43">
        <f>SUM(OFFSET($J$70,1,0,I90))</f>
        <v/>
      </c>
      <c r="L90" s="27" t="n">
        <v>20</v>
      </c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</row>
    <row r="91">
      <c r="A91" s="35" t="n"/>
      <c r="B91" s="36" t="inlineStr">
        <is>
          <t>Snaketaur</t>
        </is>
      </c>
      <c r="C91" s="37" t="inlineStr">
        <is>
          <t>Tundra</t>
        </is>
      </c>
      <c r="D91" s="37" t="inlineStr">
        <is>
          <t>S</t>
        </is>
      </c>
      <c r="E91" s="37" t="inlineStr">
        <is>
          <t>Devotee</t>
        </is>
      </c>
      <c r="F91" s="37" t="inlineStr">
        <is>
          <t>S</t>
        </is>
      </c>
      <c r="G91" s="1" t="n"/>
      <c r="H91" s="1" t="n"/>
      <c r="I91" s="27" t="n">
        <v>21</v>
      </c>
      <c r="J91" s="43">
        <f>60*(I90+1)</f>
        <v/>
      </c>
      <c r="K91" s="43">
        <f>SUM(OFFSET($J$70,1,0,I91))</f>
        <v/>
      </c>
      <c r="L91" s="27" t="n">
        <v>21</v>
      </c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</row>
    <row r="92">
      <c r="A92" s="35" t="n"/>
      <c r="B92" s="36" t="inlineStr">
        <is>
          <t>Darkroc</t>
        </is>
      </c>
      <c r="C92" s="37" t="inlineStr">
        <is>
          <t>Tundra</t>
        </is>
      </c>
      <c r="D92" s="37" t="inlineStr">
        <is>
          <t>S</t>
        </is>
      </c>
      <c r="E92" s="37" t="inlineStr">
        <is>
          <t>Devotee</t>
        </is>
      </c>
      <c r="F92" s="37" t="inlineStr">
        <is>
          <t>S</t>
        </is>
      </c>
      <c r="G92" s="1" t="n"/>
      <c r="H92" s="1" t="n"/>
      <c r="I92" s="27" t="n">
        <v>22</v>
      </c>
      <c r="J92" s="43">
        <f>60*(I91+1)</f>
        <v/>
      </c>
      <c r="K92" s="43">
        <f>SUM(OFFSET($J$70,1,0,I92))</f>
        <v/>
      </c>
      <c r="L92" s="27" t="n">
        <v>22</v>
      </c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</row>
    <row r="93">
      <c r="A93" s="35" t="n"/>
      <c r="B93" s="36" t="inlineStr">
        <is>
          <t>Daz Tingo</t>
        </is>
      </c>
      <c r="C93" s="37" t="inlineStr">
        <is>
          <t>Tundra</t>
        </is>
      </c>
      <c r="D93" s="37" t="inlineStr">
        <is>
          <t>S</t>
        </is>
      </c>
      <c r="E93" s="37" t="inlineStr">
        <is>
          <t>Devotee</t>
        </is>
      </c>
      <c r="F93" s="37" t="inlineStr">
        <is>
          <t>S</t>
        </is>
      </c>
      <c r="G93" s="1" t="n"/>
      <c r="H93" s="1" t="n"/>
      <c r="I93" s="27" t="n">
        <v>23</v>
      </c>
      <c r="J93" s="43">
        <f>60*(I92+1)</f>
        <v/>
      </c>
      <c r="K93" s="43">
        <f>SUM(OFFSET($J$70,1,0,I93))</f>
        <v/>
      </c>
      <c r="L93" s="27" t="n">
        <v>23</v>
      </c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</row>
    <row r="94">
      <c r="A94" s="35" t="n"/>
      <c r="B94" s="36" t="inlineStr">
        <is>
          <t>Crocodeer</t>
        </is>
      </c>
      <c r="C94" s="37" t="inlineStr">
        <is>
          <t>Tundra</t>
        </is>
      </c>
      <c r="D94" s="37" t="inlineStr">
        <is>
          <t>Purple</t>
        </is>
      </c>
      <c r="E94" s="37" t="inlineStr">
        <is>
          <t>Devotee</t>
        </is>
      </c>
      <c r="F94" s="37" t="inlineStr">
        <is>
          <t>A</t>
        </is>
      </c>
      <c r="G94" s="1" t="n"/>
      <c r="H94" s="1" t="n"/>
      <c r="I94" s="27" t="n">
        <v>24</v>
      </c>
      <c r="J94" s="43">
        <f>60*(I93+1)</f>
        <v/>
      </c>
      <c r="K94" s="43">
        <f>SUM(OFFSET($J$70,1,0,I94))</f>
        <v/>
      </c>
      <c r="L94" s="27" t="n">
        <v>24</v>
      </c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</row>
    <row r="95">
      <c r="A95" s="35" t="n"/>
      <c r="B95" s="36" t="inlineStr">
        <is>
          <t>Moose</t>
        </is>
      </c>
      <c r="C95" s="37" t="inlineStr">
        <is>
          <t>Tundra</t>
        </is>
      </c>
      <c r="D95" s="37" t="inlineStr">
        <is>
          <t>Purple</t>
        </is>
      </c>
      <c r="E95" s="37" t="inlineStr">
        <is>
          <t>Devotee</t>
        </is>
      </c>
      <c r="F95" s="37" t="inlineStr">
        <is>
          <t>A</t>
        </is>
      </c>
      <c r="G95" s="1" t="n"/>
      <c r="H95" s="1" t="n"/>
      <c r="I95" s="27" t="n">
        <v>25</v>
      </c>
      <c r="J95" s="43">
        <f>60*(I94+1)</f>
        <v/>
      </c>
      <c r="K95" s="43">
        <f>SUM(OFFSET($J$70,1,0,I95))</f>
        <v/>
      </c>
      <c r="L95" s="27" t="n">
        <v>25</v>
      </c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</row>
    <row r="96">
      <c r="A96" s="35" t="n"/>
      <c r="B96" s="36" t="inlineStr">
        <is>
          <t>Reindeer</t>
        </is>
      </c>
      <c r="C96" s="37" t="inlineStr">
        <is>
          <t>Tundra</t>
        </is>
      </c>
      <c r="D96" s="37" t="inlineStr">
        <is>
          <t>Blue</t>
        </is>
      </c>
      <c r="E96" s="37" t="inlineStr">
        <is>
          <t>Devotee</t>
        </is>
      </c>
      <c r="F96" s="37" t="inlineStr">
        <is>
          <t>B</t>
        </is>
      </c>
      <c r="G96" s="1" t="n"/>
      <c r="H96" s="1" t="n"/>
      <c r="I96" s="27" t="n">
        <v>26</v>
      </c>
      <c r="J96" s="43">
        <f>60*(I95+1)</f>
        <v/>
      </c>
      <c r="K96" s="43">
        <f>SUM(OFFSET($J$70,1,0,I96))</f>
        <v/>
      </c>
      <c r="L96" s="27" t="n">
        <v>26</v>
      </c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</row>
    <row r="97">
      <c r="A97" s="35" t="n"/>
      <c r="B97" s="36" t="inlineStr">
        <is>
          <t>Megingjord (SSS)</t>
        </is>
      </c>
      <c r="C97" s="37" t="inlineStr">
        <is>
          <t>Desert</t>
        </is>
      </c>
      <c r="D97" s="37" t="inlineStr">
        <is>
          <t>SSS</t>
        </is>
      </c>
      <c r="E97" s="37" t="inlineStr">
        <is>
          <t>Priest</t>
        </is>
      </c>
      <c r="F97" s="37" t="inlineStr">
        <is>
          <t>SSS</t>
        </is>
      </c>
      <c r="G97" s="1" t="n"/>
      <c r="H97" s="1" t="n"/>
      <c r="I97" s="27" t="n">
        <v>27</v>
      </c>
      <c r="J97" s="43">
        <f>60*(I96+1)</f>
        <v/>
      </c>
      <c r="K97" s="43">
        <f>SUM(OFFSET($J$70,1,0,I97))</f>
        <v/>
      </c>
      <c r="L97" s="27" t="n">
        <v>27</v>
      </c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</row>
    <row r="98">
      <c r="A98" s="35" t="n"/>
      <c r="B98" s="36" t="inlineStr">
        <is>
          <t>Megingjord (SS)</t>
        </is>
      </c>
      <c r="C98" s="37" t="inlineStr">
        <is>
          <t>Desert</t>
        </is>
      </c>
      <c r="D98" s="37" t="inlineStr">
        <is>
          <t>SS</t>
        </is>
      </c>
      <c r="E98" s="37" t="inlineStr">
        <is>
          <t>Priest</t>
        </is>
      </c>
      <c r="F98" s="37" t="inlineStr">
        <is>
          <t>SSS</t>
        </is>
      </c>
      <c r="G98" s="1" t="n"/>
      <c r="H98" s="1" t="n"/>
      <c r="I98" s="27" t="n">
        <v>28</v>
      </c>
      <c r="J98" s="43">
        <f>60*(I97+1)</f>
        <v/>
      </c>
      <c r="K98" s="43">
        <f>SUM(OFFSET($J$70,1,0,I98))</f>
        <v/>
      </c>
      <c r="L98" s="27" t="n">
        <v>28</v>
      </c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</row>
    <row r="99">
      <c r="A99" s="35" t="n"/>
      <c r="B99" s="36" t="inlineStr">
        <is>
          <t>Harpy (SSS)</t>
        </is>
      </c>
      <c r="C99" s="37" t="inlineStr">
        <is>
          <t>Desert</t>
        </is>
      </c>
      <c r="D99" s="37" t="inlineStr">
        <is>
          <t>SSS</t>
        </is>
      </c>
      <c r="E99" s="37" t="inlineStr">
        <is>
          <t>Priest</t>
        </is>
      </c>
      <c r="F99" s="37" t="inlineStr">
        <is>
          <t>SSS</t>
        </is>
      </c>
      <c r="G99" s="1" t="n"/>
      <c r="H99" s="1" t="n"/>
      <c r="I99" s="27" t="n">
        <v>29</v>
      </c>
      <c r="J99" s="43">
        <f>60*(I98+1)</f>
        <v/>
      </c>
      <c r="K99" s="43">
        <f>SUM(OFFSET($J$70,1,0,I99))</f>
        <v/>
      </c>
      <c r="L99" s="27" t="n">
        <v>29</v>
      </c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</row>
    <row r="100">
      <c r="A100" s="35" t="n"/>
      <c r="B100" s="36" t="inlineStr">
        <is>
          <t>Harpy (SS)</t>
        </is>
      </c>
      <c r="C100" s="37" t="inlineStr">
        <is>
          <t>Desert</t>
        </is>
      </c>
      <c r="D100" s="37" t="inlineStr">
        <is>
          <t>SS</t>
        </is>
      </c>
      <c r="E100" s="37" t="inlineStr">
        <is>
          <t>Priest</t>
        </is>
      </c>
      <c r="F100" s="37" t="inlineStr">
        <is>
          <t>SSS</t>
        </is>
      </c>
      <c r="G100" s="1" t="n"/>
      <c r="H100" s="1" t="n"/>
      <c r="I100" s="27" t="n">
        <v>30</v>
      </c>
      <c r="J100" s="43">
        <f>60*(I99+1)</f>
        <v/>
      </c>
      <c r="K100" s="43">
        <f>SUM(OFFSET($J$70,1,0,I100))</f>
        <v/>
      </c>
      <c r="L100" s="27" t="n">
        <v>30</v>
      </c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</row>
    <row r="101">
      <c r="A101" s="35" t="n"/>
      <c r="B101" s="36" t="inlineStr">
        <is>
          <t>Infernalisk</t>
        </is>
      </c>
      <c r="C101" s="37" t="inlineStr">
        <is>
          <t>Desert</t>
        </is>
      </c>
      <c r="D101" s="37" t="inlineStr">
        <is>
          <t>S</t>
        </is>
      </c>
      <c r="E101" s="37" t="inlineStr">
        <is>
          <t>Priest</t>
        </is>
      </c>
      <c r="F101" s="37" t="inlineStr">
        <is>
          <t>SS</t>
        </is>
      </c>
      <c r="G101" s="1" t="n"/>
      <c r="H101" s="1" t="n"/>
      <c r="I101" s="27" t="n">
        <v>31</v>
      </c>
      <c r="J101" s="43">
        <f>60*(I100+1)</f>
        <v/>
      </c>
      <c r="K101" s="43">
        <f>SUM(OFFSET($J$70,1,0,I101))</f>
        <v/>
      </c>
      <c r="L101" s="27" t="n">
        <v>31</v>
      </c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</row>
    <row r="102">
      <c r="A102" s="35" t="n"/>
      <c r="B102" s="36" t="inlineStr">
        <is>
          <t>Leobat</t>
        </is>
      </c>
      <c r="C102" s="37" t="inlineStr">
        <is>
          <t>Desert</t>
        </is>
      </c>
      <c r="D102" s="37" t="inlineStr">
        <is>
          <t>Purple</t>
        </is>
      </c>
      <c r="E102" s="37" t="inlineStr">
        <is>
          <t>Priest</t>
        </is>
      </c>
      <c r="F102" s="37" t="inlineStr">
        <is>
          <t>A</t>
        </is>
      </c>
      <c r="G102" s="1" t="n"/>
      <c r="H102" s="1" t="n"/>
      <c r="I102" s="27" t="n">
        <v>32</v>
      </c>
      <c r="J102" s="43">
        <f>60*(I101+1)</f>
        <v/>
      </c>
      <c r="K102" s="43">
        <f>SUM(OFFSET($J$70,1,0,I102))</f>
        <v/>
      </c>
      <c r="L102" s="27" t="n">
        <v>32</v>
      </c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</row>
    <row r="103">
      <c r="A103" s="35" t="n"/>
      <c r="B103" s="36" t="inlineStr">
        <is>
          <t>Gandiva (SSS)</t>
        </is>
      </c>
      <c r="C103" s="37" t="inlineStr">
        <is>
          <t>Desert</t>
        </is>
      </c>
      <c r="D103" s="37" t="inlineStr">
        <is>
          <t>SSS</t>
        </is>
      </c>
      <c r="E103" s="37" t="inlineStr">
        <is>
          <t>Devotee</t>
        </is>
      </c>
      <c r="F103" s="37" t="inlineStr">
        <is>
          <t>SSS</t>
        </is>
      </c>
      <c r="G103" s="1" t="n"/>
      <c r="H103" s="1" t="n"/>
      <c r="I103" s="27" t="n">
        <v>33</v>
      </c>
      <c r="J103" s="43">
        <f>60*(I102+1)</f>
        <v/>
      </c>
      <c r="K103" s="43">
        <f>SUM(OFFSET($J$70,1,0,I103))</f>
        <v/>
      </c>
      <c r="L103" s="27" t="n">
        <v>33</v>
      </c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</row>
    <row r="104">
      <c r="A104" s="35" t="n"/>
      <c r="B104" s="36" t="inlineStr">
        <is>
          <t>Gandiva (SS)</t>
        </is>
      </c>
      <c r="C104" s="37" t="inlineStr">
        <is>
          <t>Desert</t>
        </is>
      </c>
      <c r="D104" s="37" t="inlineStr">
        <is>
          <t>SS</t>
        </is>
      </c>
      <c r="E104" s="37" t="inlineStr">
        <is>
          <t>Devotee</t>
        </is>
      </c>
      <c r="F104" s="37" t="inlineStr">
        <is>
          <t>SSS</t>
        </is>
      </c>
      <c r="G104" s="1" t="n"/>
      <c r="H104" s="1" t="n"/>
      <c r="I104" s="27" t="n">
        <v>34</v>
      </c>
      <c r="J104" s="43">
        <f>60*(I103+1)</f>
        <v/>
      </c>
      <c r="K104" s="43">
        <f>SUM(OFFSET($J$70,1,0,I104))</f>
        <v/>
      </c>
      <c r="L104" s="27" t="n">
        <v>34</v>
      </c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</row>
    <row r="105">
      <c r="A105" s="35" t="n"/>
      <c r="B105" s="36" t="inlineStr">
        <is>
          <t>Laevateinn (SSS)</t>
        </is>
      </c>
      <c r="C105" s="37" t="inlineStr">
        <is>
          <t>Desert</t>
        </is>
      </c>
      <c r="D105" s="37" t="inlineStr">
        <is>
          <t>SSS</t>
        </is>
      </c>
      <c r="E105" s="37" t="inlineStr">
        <is>
          <t>Devotee</t>
        </is>
      </c>
      <c r="F105" s="37" t="inlineStr">
        <is>
          <t>SSS</t>
        </is>
      </c>
      <c r="G105" s="1" t="n"/>
      <c r="H105" s="1" t="n"/>
      <c r="I105" s="27" t="n">
        <v>35</v>
      </c>
      <c r="J105" s="43">
        <f>60*(I104+1)</f>
        <v/>
      </c>
      <c r="K105" s="43">
        <f>SUM(OFFSET($J$70,1,0,I105))</f>
        <v/>
      </c>
      <c r="L105" s="27" t="n">
        <v>35</v>
      </c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</row>
    <row r="106">
      <c r="A106" s="35" t="n"/>
      <c r="B106" s="36" t="inlineStr">
        <is>
          <t>Laevateinn (SS)</t>
        </is>
      </c>
      <c r="C106" s="37" t="inlineStr">
        <is>
          <t>Desert</t>
        </is>
      </c>
      <c r="D106" s="37" t="inlineStr">
        <is>
          <t>SS</t>
        </is>
      </c>
      <c r="E106" s="37" t="inlineStr">
        <is>
          <t>Devotee</t>
        </is>
      </c>
      <c r="F106" s="37" t="inlineStr">
        <is>
          <t>SSS</t>
        </is>
      </c>
      <c r="G106" s="1" t="n"/>
      <c r="H106" s="1" t="n"/>
      <c r="I106" s="27" t="n">
        <v>36</v>
      </c>
      <c r="J106" s="43">
        <f>60*(I105+1)</f>
        <v/>
      </c>
      <c r="K106" s="43">
        <f>SUM(OFFSET($J$70,1,0,I106))</f>
        <v/>
      </c>
      <c r="L106" s="27" t="n">
        <v>36</v>
      </c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</row>
    <row r="107">
      <c r="A107" s="35" t="n"/>
      <c r="B107" s="36" t="inlineStr">
        <is>
          <t>Gungnir (SSS)</t>
        </is>
      </c>
      <c r="C107" s="37" t="inlineStr">
        <is>
          <t>Desert</t>
        </is>
      </c>
      <c r="D107" s="37" t="inlineStr">
        <is>
          <t>SSS</t>
        </is>
      </c>
      <c r="E107" s="37" t="inlineStr">
        <is>
          <t>Devotee</t>
        </is>
      </c>
      <c r="F107" s="37" t="inlineStr">
        <is>
          <t>SSS</t>
        </is>
      </c>
      <c r="G107" s="1" t="n"/>
      <c r="H107" s="1" t="n"/>
      <c r="I107" s="27" t="n">
        <v>37</v>
      </c>
      <c r="J107" s="43">
        <f>60*(I106+1)</f>
        <v/>
      </c>
      <c r="K107" s="43">
        <f>SUM(OFFSET($J$70,1,0,I107))</f>
        <v/>
      </c>
      <c r="L107" s="27" t="n">
        <v>37</v>
      </c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</row>
    <row r="108">
      <c r="A108" s="35" t="n"/>
      <c r="B108" s="36" t="inlineStr">
        <is>
          <t>Gungnir (SS)</t>
        </is>
      </c>
      <c r="C108" s="37" t="inlineStr">
        <is>
          <t>Desert</t>
        </is>
      </c>
      <c r="D108" s="37" t="inlineStr">
        <is>
          <t>SS</t>
        </is>
      </c>
      <c r="E108" s="37" t="inlineStr">
        <is>
          <t>Devotee</t>
        </is>
      </c>
      <c r="F108" s="37" t="inlineStr">
        <is>
          <t>SSS</t>
        </is>
      </c>
      <c r="G108" s="1" t="n"/>
      <c r="H108" s="1" t="n"/>
      <c r="I108" s="27" t="n">
        <v>38</v>
      </c>
      <c r="J108" s="43">
        <f>60*(I107+1)</f>
        <v/>
      </c>
      <c r="K108" s="43">
        <f>SUM(OFFSET($J$70,1,0,I108))</f>
        <v/>
      </c>
      <c r="L108" s="27" t="n">
        <v>38</v>
      </c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</row>
    <row r="109">
      <c r="A109" s="35" t="n"/>
      <c r="B109" s="36" t="inlineStr">
        <is>
          <t>Behemoth</t>
        </is>
      </c>
      <c r="C109" s="37" t="inlineStr">
        <is>
          <t>Desert</t>
        </is>
      </c>
      <c r="D109" s="37" t="inlineStr">
        <is>
          <t>SS</t>
        </is>
      </c>
      <c r="E109" s="37" t="inlineStr">
        <is>
          <t>Devotee</t>
        </is>
      </c>
      <c r="F109" s="37" t="inlineStr">
        <is>
          <t>SS</t>
        </is>
      </c>
      <c r="G109" s="1" t="n"/>
      <c r="H109" s="1" t="n"/>
      <c r="I109" s="27" t="n">
        <v>39</v>
      </c>
      <c r="J109" s="43">
        <f>60*(I108+1)</f>
        <v/>
      </c>
      <c r="K109" s="43">
        <f>SUM(OFFSET($J$70,1,0,I109))</f>
        <v/>
      </c>
      <c r="L109" s="27" t="n">
        <v>39</v>
      </c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</row>
    <row r="110">
      <c r="A110" s="35" t="n"/>
      <c r="B110" s="36" t="inlineStr">
        <is>
          <t>Ignilion</t>
        </is>
      </c>
      <c r="C110" s="37" t="inlineStr">
        <is>
          <t>Desert</t>
        </is>
      </c>
      <c r="D110" s="37" t="inlineStr">
        <is>
          <t>S</t>
        </is>
      </c>
      <c r="E110" s="37" t="inlineStr">
        <is>
          <t>Devotee</t>
        </is>
      </c>
      <c r="F110" s="37" t="inlineStr">
        <is>
          <t>SS</t>
        </is>
      </c>
      <c r="G110" s="1" t="n"/>
      <c r="H110" s="1" t="n"/>
      <c r="I110" s="27" t="n">
        <v>40</v>
      </c>
      <c r="J110" s="43">
        <f>60*(I109+1)</f>
        <v/>
      </c>
      <c r="K110" s="43">
        <f>SUM(OFFSET($J$70,1,0,I110))</f>
        <v/>
      </c>
      <c r="L110" s="27" t="n">
        <v>40</v>
      </c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</row>
    <row r="111">
      <c r="A111" s="35" t="n"/>
      <c r="B111" s="36" t="inlineStr">
        <is>
          <t>Blazebuck</t>
        </is>
      </c>
      <c r="C111" s="37" t="inlineStr">
        <is>
          <t>Desert</t>
        </is>
      </c>
      <c r="D111" s="37" t="inlineStr">
        <is>
          <t>S</t>
        </is>
      </c>
      <c r="E111" s="37" t="inlineStr">
        <is>
          <t>Devotee</t>
        </is>
      </c>
      <c r="F111" s="37" t="inlineStr">
        <is>
          <t>SS</t>
        </is>
      </c>
      <c r="G111" s="1" t="n"/>
      <c r="H111" s="1" t="n"/>
      <c r="I111" s="27" t="n">
        <v>41</v>
      </c>
      <c r="J111" s="43">
        <f>60*(I110+1)</f>
        <v/>
      </c>
      <c r="K111" s="43">
        <f>SUM(OFFSET($J$70,1,0,I111))</f>
        <v/>
      </c>
      <c r="L111" s="27" t="n">
        <v>41</v>
      </c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</row>
    <row r="112">
      <c r="A112" s="35" t="n"/>
      <c r="B112" s="36" t="inlineStr">
        <is>
          <t>Batannos</t>
        </is>
      </c>
      <c r="C112" s="37" t="inlineStr">
        <is>
          <t>Desert</t>
        </is>
      </c>
      <c r="D112" s="37" t="inlineStr">
        <is>
          <t>S</t>
        </is>
      </c>
      <c r="E112" s="37" t="inlineStr">
        <is>
          <t>Devotee</t>
        </is>
      </c>
      <c r="F112" s="37" t="inlineStr">
        <is>
          <t>SS</t>
        </is>
      </c>
      <c r="G112" s="1" t="n"/>
      <c r="H112" s="1" t="n"/>
      <c r="I112" s="27" t="n">
        <v>42</v>
      </c>
      <c r="J112" s="43">
        <f>60*(I111+1)</f>
        <v/>
      </c>
      <c r="K112" s="43">
        <f>SUM(OFFSET($J$70,1,0,I112))</f>
        <v/>
      </c>
      <c r="L112" s="27" t="n">
        <v>42</v>
      </c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</row>
    <row r="113">
      <c r="A113" s="35" t="n"/>
      <c r="B113" s="36" t="inlineStr">
        <is>
          <t>Elkobra</t>
        </is>
      </c>
      <c r="C113" s="37" t="inlineStr">
        <is>
          <t>Desert</t>
        </is>
      </c>
      <c r="D113" s="37" t="inlineStr">
        <is>
          <t>S</t>
        </is>
      </c>
      <c r="E113" s="37" t="inlineStr">
        <is>
          <t>Devotee</t>
        </is>
      </c>
      <c r="F113" s="37" t="inlineStr">
        <is>
          <t>S</t>
        </is>
      </c>
      <c r="G113" s="1" t="n"/>
      <c r="H113" s="1" t="n"/>
      <c r="I113" s="27" t="n">
        <v>43</v>
      </c>
      <c r="J113" s="43">
        <f>60*(I112+1)</f>
        <v/>
      </c>
      <c r="K113" s="43">
        <f>SUM(OFFSET($J$70,1,0,I113))</f>
        <v/>
      </c>
      <c r="L113" s="27" t="n">
        <v>43</v>
      </c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</row>
    <row r="114">
      <c r="A114" s="35" t="n"/>
      <c r="B114" s="36" t="inlineStr">
        <is>
          <t>Cardimon</t>
        </is>
      </c>
      <c r="C114" s="37" t="inlineStr">
        <is>
          <t>Desert</t>
        </is>
      </c>
      <c r="D114" s="37" t="inlineStr">
        <is>
          <t>S</t>
        </is>
      </c>
      <c r="E114" s="37" t="inlineStr">
        <is>
          <t>Devotee</t>
        </is>
      </c>
      <c r="F114" s="37" t="inlineStr">
        <is>
          <t>S</t>
        </is>
      </c>
      <c r="G114" s="1" t="n"/>
      <c r="H114" s="1" t="n"/>
      <c r="I114" s="27" t="n">
        <v>44</v>
      </c>
      <c r="J114" s="43">
        <f>60*(I113+1)</f>
        <v/>
      </c>
      <c r="K114" s="43">
        <f>SUM(OFFSET($J$70,1,0,I114))</f>
        <v/>
      </c>
      <c r="L114" s="27" t="n">
        <v>44</v>
      </c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</row>
    <row r="115">
      <c r="A115" s="35" t="n"/>
      <c r="B115" s="36" t="inlineStr">
        <is>
          <t>Gurglethon</t>
        </is>
      </c>
      <c r="C115" s="37" t="inlineStr">
        <is>
          <t>Desert</t>
        </is>
      </c>
      <c r="D115" s="37" t="inlineStr">
        <is>
          <t>S</t>
        </is>
      </c>
      <c r="E115" s="37" t="inlineStr">
        <is>
          <t>Devotee</t>
        </is>
      </c>
      <c r="F115" s="37" t="inlineStr">
        <is>
          <t>S</t>
        </is>
      </c>
      <c r="G115" s="1" t="n"/>
      <c r="H115" s="1" t="n"/>
      <c r="I115" s="27" t="n">
        <v>45</v>
      </c>
      <c r="J115" s="43">
        <f>60*(I114+1)</f>
        <v/>
      </c>
      <c r="K115" s="43">
        <f>SUM(OFFSET($J$70,1,0,I115))</f>
        <v/>
      </c>
      <c r="L115" s="27" t="n">
        <v>45</v>
      </c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</row>
    <row r="116">
      <c r="A116" s="35" t="n"/>
      <c r="B116" s="36" t="inlineStr">
        <is>
          <t>Faramon</t>
        </is>
      </c>
      <c r="C116" s="37" t="inlineStr">
        <is>
          <t>Desert</t>
        </is>
      </c>
      <c r="D116" s="37" t="inlineStr">
        <is>
          <t>S</t>
        </is>
      </c>
      <c r="E116" s="37" t="inlineStr">
        <is>
          <t>Devotee</t>
        </is>
      </c>
      <c r="F116" s="37" t="inlineStr">
        <is>
          <t>S</t>
        </is>
      </c>
      <c r="G116" s="1" t="n"/>
      <c r="H116" s="1" t="n"/>
      <c r="I116" s="27" t="n">
        <v>46</v>
      </c>
      <c r="J116" s="43">
        <f>60*(I115+1)</f>
        <v/>
      </c>
      <c r="K116" s="43">
        <f>SUM(OFFSET($J$70,1,0,I116))</f>
        <v/>
      </c>
      <c r="L116" s="27" t="n">
        <v>46</v>
      </c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</row>
    <row r="117">
      <c r="A117" s="35" t="n"/>
      <c r="B117" s="36" t="inlineStr">
        <is>
          <t>Harmticore</t>
        </is>
      </c>
      <c r="C117" s="37" t="inlineStr">
        <is>
          <t>Desert</t>
        </is>
      </c>
      <c r="D117" s="37" t="inlineStr">
        <is>
          <t>S</t>
        </is>
      </c>
      <c r="E117" s="37" t="inlineStr">
        <is>
          <t>Devotee</t>
        </is>
      </c>
      <c r="F117" s="37" t="inlineStr">
        <is>
          <t>S</t>
        </is>
      </c>
      <c r="G117" s="1" t="n"/>
      <c r="H117" s="1" t="n"/>
      <c r="I117" s="27" t="n">
        <v>47</v>
      </c>
      <c r="J117" s="43">
        <f>60*(I116+1)</f>
        <v/>
      </c>
      <c r="K117" s="43">
        <f>SUM(OFFSET($J$70,1,0,I117))</f>
        <v/>
      </c>
      <c r="L117" s="27" t="n">
        <v>47</v>
      </c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</row>
    <row r="118">
      <c r="A118" s="35" t="n"/>
      <c r="B118" s="36" t="inlineStr">
        <is>
          <t>Rattlescone</t>
        </is>
      </c>
      <c r="C118" s="37" t="inlineStr">
        <is>
          <t>Desert</t>
        </is>
      </c>
      <c r="D118" s="37" t="inlineStr">
        <is>
          <t>S</t>
        </is>
      </c>
      <c r="E118" s="37" t="inlineStr">
        <is>
          <t>Devotee</t>
        </is>
      </c>
      <c r="F118" s="37" t="inlineStr">
        <is>
          <t>S</t>
        </is>
      </c>
      <c r="G118" s="1" t="n"/>
      <c r="H118" s="1" t="n"/>
      <c r="I118" s="27" t="n">
        <v>48</v>
      </c>
      <c r="J118" s="43">
        <f>60*(I117+1)</f>
        <v/>
      </c>
      <c r="K118" s="43">
        <f>SUM(OFFSET($J$70,1,0,I118))</f>
        <v/>
      </c>
      <c r="L118" s="27" t="n">
        <v>48</v>
      </c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</row>
    <row r="119">
      <c r="A119" s="35" t="n"/>
      <c r="B119" s="36" t="inlineStr">
        <is>
          <t>Snakebat</t>
        </is>
      </c>
      <c r="C119" s="37" t="inlineStr">
        <is>
          <t>Desert</t>
        </is>
      </c>
      <c r="D119" s="37" t="inlineStr">
        <is>
          <t>S</t>
        </is>
      </c>
      <c r="E119" s="37" t="inlineStr">
        <is>
          <t>Devotee</t>
        </is>
      </c>
      <c r="F119" s="37" t="inlineStr">
        <is>
          <t>S</t>
        </is>
      </c>
      <c r="G119" s="1" t="n"/>
      <c r="H119" s="1" t="n"/>
      <c r="I119" s="27" t="n">
        <v>49</v>
      </c>
      <c r="J119" s="43">
        <f>60*(I118+1)</f>
        <v/>
      </c>
      <c r="K119" s="43">
        <f>SUM(OFFSET($J$70,1,0,I119))</f>
        <v/>
      </c>
      <c r="L119" s="27" t="n">
        <v>49</v>
      </c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</row>
    <row r="120">
      <c r="A120" s="35" t="n"/>
      <c r="B120" s="36" t="inlineStr">
        <is>
          <t>Flamethorn</t>
        </is>
      </c>
      <c r="C120" s="37" t="inlineStr">
        <is>
          <t>Desert</t>
        </is>
      </c>
      <c r="D120" s="37" t="inlineStr">
        <is>
          <t>S</t>
        </is>
      </c>
      <c r="E120" s="37" t="inlineStr">
        <is>
          <t>Devotee</t>
        </is>
      </c>
      <c r="F120" s="37" t="inlineStr">
        <is>
          <t>S</t>
        </is>
      </c>
      <c r="G120" s="1" t="n"/>
      <c r="H120" s="1" t="n"/>
      <c r="I120" s="27" t="n">
        <v>50</v>
      </c>
      <c r="J120" s="43">
        <f>60*(I119+1)</f>
        <v/>
      </c>
      <c r="K120" s="43">
        <f>SUM(OFFSET($J$70,1,0,I120))</f>
        <v/>
      </c>
      <c r="L120" s="27" t="n">
        <v>50</v>
      </c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</row>
    <row r="121">
      <c r="A121" s="35" t="n"/>
      <c r="B121" s="36" t="inlineStr">
        <is>
          <t>Cobraking</t>
        </is>
      </c>
      <c r="C121" s="37" t="inlineStr">
        <is>
          <t>Desert</t>
        </is>
      </c>
      <c r="D121" s="37" t="inlineStr">
        <is>
          <t>Purple</t>
        </is>
      </c>
      <c r="E121" s="37" t="inlineStr">
        <is>
          <t>Devotee</t>
        </is>
      </c>
      <c r="F121" s="37" t="inlineStr">
        <is>
          <t>A</t>
        </is>
      </c>
      <c r="G121" s="1" t="n"/>
      <c r="H121" s="1" t="n"/>
      <c r="I121" s="27" t="n">
        <v>51</v>
      </c>
      <c r="J121" s="43">
        <f>60*(I120+1)</f>
        <v/>
      </c>
      <c r="K121" s="43">
        <f>SUM(OFFSET($J$70,1,0,I121))</f>
        <v/>
      </c>
      <c r="L121" s="27" t="n">
        <v>51</v>
      </c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</row>
    <row r="122">
      <c r="A122" s="35" t="n"/>
      <c r="B122" s="36" t="inlineStr">
        <is>
          <t>Rattlesnake</t>
        </is>
      </c>
      <c r="C122" s="37" t="inlineStr">
        <is>
          <t>Desert</t>
        </is>
      </c>
      <c r="D122" s="37" t="inlineStr">
        <is>
          <t>Blue</t>
        </is>
      </c>
      <c r="E122" s="37" t="inlineStr">
        <is>
          <t>Devotee</t>
        </is>
      </c>
      <c r="F122" s="37" t="inlineStr">
        <is>
          <t>B</t>
        </is>
      </c>
      <c r="G122" s="1" t="n"/>
      <c r="H122" s="1" t="n"/>
      <c r="I122" s="27" t="n">
        <v>52</v>
      </c>
      <c r="J122" s="43">
        <f>60*(I121+1)</f>
        <v/>
      </c>
      <c r="K122" s="43">
        <f>SUM(OFFSET($J$70,1,0,I122))</f>
        <v/>
      </c>
      <c r="L122" s="27" t="n">
        <v>52</v>
      </c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</row>
    <row r="123">
      <c r="A123" s="35" t="n"/>
      <c r="B123" s="36" t="inlineStr">
        <is>
          <t>Typhon (SSS)</t>
        </is>
      </c>
      <c r="C123" s="37" t="inlineStr">
        <is>
          <t>Swamp</t>
        </is>
      </c>
      <c r="D123" s="37" t="inlineStr">
        <is>
          <t>SSS</t>
        </is>
      </c>
      <c r="E123" s="37" t="inlineStr">
        <is>
          <t>Priest</t>
        </is>
      </c>
      <c r="F123" s="37" t="inlineStr">
        <is>
          <t>SSS</t>
        </is>
      </c>
      <c r="G123" s="1" t="n"/>
      <c r="H123" s="1" t="n"/>
      <c r="I123" s="27" t="n">
        <v>53</v>
      </c>
      <c r="J123" s="43">
        <f>60*(I122+1)</f>
        <v/>
      </c>
      <c r="K123" s="43">
        <f>SUM(OFFSET($J$70,1,0,I123))</f>
        <v/>
      </c>
      <c r="L123" s="27" t="n">
        <v>53</v>
      </c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</row>
    <row r="124">
      <c r="A124" s="35" t="n"/>
      <c r="B124" s="36" t="inlineStr">
        <is>
          <t>Typhon (SS)</t>
        </is>
      </c>
      <c r="C124" s="37" t="inlineStr">
        <is>
          <t>Swamp</t>
        </is>
      </c>
      <c r="D124" s="37" t="inlineStr">
        <is>
          <t>SS</t>
        </is>
      </c>
      <c r="E124" s="37" t="inlineStr">
        <is>
          <t>Priest</t>
        </is>
      </c>
      <c r="F124" s="37" t="inlineStr">
        <is>
          <t>SSS</t>
        </is>
      </c>
      <c r="G124" s="1" t="n"/>
      <c r="H124" s="1" t="n"/>
      <c r="I124" s="27" t="n">
        <v>54</v>
      </c>
      <c r="J124" s="43">
        <f>60*(I123+1)</f>
        <v/>
      </c>
      <c r="K124" s="43">
        <f>SUM(OFFSET($J$70,1,0,I124))</f>
        <v/>
      </c>
      <c r="L124" s="27" t="n">
        <v>54</v>
      </c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</row>
    <row r="125">
      <c r="A125" s="35" t="n"/>
      <c r="B125" s="36" t="inlineStr">
        <is>
          <t>Tyrfing (SSS)</t>
        </is>
      </c>
      <c r="C125" s="37" t="inlineStr">
        <is>
          <t>Swamp</t>
        </is>
      </c>
      <c r="D125" s="37" t="inlineStr">
        <is>
          <t>SSS</t>
        </is>
      </c>
      <c r="E125" s="37" t="inlineStr">
        <is>
          <t>Priest</t>
        </is>
      </c>
      <c r="F125" s="37" t="inlineStr">
        <is>
          <t>SSS</t>
        </is>
      </c>
      <c r="G125" s="1" t="n"/>
      <c r="H125" s="1" t="n"/>
      <c r="I125" s="27" t="n">
        <v>55</v>
      </c>
      <c r="J125" s="43">
        <f>60*(I124+1)</f>
        <v/>
      </c>
      <c r="K125" s="43">
        <f>SUM(OFFSET($J$70,1,0,I125))</f>
        <v/>
      </c>
      <c r="L125" s="27" t="n">
        <v>55</v>
      </c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</row>
    <row r="126">
      <c r="A126" s="35" t="n"/>
      <c r="B126" s="36" t="inlineStr">
        <is>
          <t>Tyrfing (SS)</t>
        </is>
      </c>
      <c r="C126" s="37" t="inlineStr">
        <is>
          <t>Swamp</t>
        </is>
      </c>
      <c r="D126" s="37" t="inlineStr">
        <is>
          <t>SS</t>
        </is>
      </c>
      <c r="E126" s="37" t="inlineStr">
        <is>
          <t>Priest</t>
        </is>
      </c>
      <c r="F126" s="37" t="inlineStr">
        <is>
          <t>SSS</t>
        </is>
      </c>
      <c r="G126" s="1" t="n"/>
      <c r="H126" s="1" t="n"/>
      <c r="I126" s="27" t="n">
        <v>56</v>
      </c>
      <c r="J126" s="43">
        <f>60*(I125+1)</f>
        <v/>
      </c>
      <c r="K126" s="43">
        <f>SUM(OFFSET($J$70,1,0,I126))</f>
        <v/>
      </c>
      <c r="L126" s="27" t="n">
        <v>56</v>
      </c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</row>
    <row r="127">
      <c r="A127" s="35" t="n"/>
      <c r="B127" s="36" t="inlineStr">
        <is>
          <t>Brontoscorpio (SSS)</t>
        </is>
      </c>
      <c r="C127" s="37" t="inlineStr">
        <is>
          <t>Swamp</t>
        </is>
      </c>
      <c r="D127" s="37" t="inlineStr">
        <is>
          <t>SSS</t>
        </is>
      </c>
      <c r="E127" s="37" t="inlineStr">
        <is>
          <t>Priest</t>
        </is>
      </c>
      <c r="F127" s="37" t="inlineStr">
        <is>
          <t>SSS</t>
        </is>
      </c>
      <c r="G127" s="1" t="n"/>
      <c r="H127" s="1" t="n"/>
      <c r="I127" s="27" t="n">
        <v>57</v>
      </c>
      <c r="J127" s="43">
        <f>60*(I126+1)</f>
        <v/>
      </c>
      <c r="K127" s="43">
        <f>SUM(OFFSET($J$70,1,0,I127))</f>
        <v/>
      </c>
      <c r="L127" s="27" t="n">
        <v>57</v>
      </c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</row>
    <row r="128">
      <c r="A128" s="35" t="n"/>
      <c r="B128" s="36" t="inlineStr">
        <is>
          <t>Brontoscorpio (SS)</t>
        </is>
      </c>
      <c r="C128" s="37" t="inlineStr">
        <is>
          <t>Swamp</t>
        </is>
      </c>
      <c r="D128" s="37" t="inlineStr">
        <is>
          <t>SS</t>
        </is>
      </c>
      <c r="E128" s="37" t="inlineStr">
        <is>
          <t>Priest</t>
        </is>
      </c>
      <c r="F128" s="37" t="inlineStr">
        <is>
          <t>SSS</t>
        </is>
      </c>
      <c r="G128" s="1" t="n"/>
      <c r="H128" s="1" t="n"/>
      <c r="I128" s="27" t="n">
        <v>58</v>
      </c>
      <c r="J128" s="43">
        <f>60*(I127+1)</f>
        <v/>
      </c>
      <c r="K128" s="43">
        <f>SUM(OFFSET($J$70,1,0,I128))</f>
        <v/>
      </c>
      <c r="L128" s="27" t="n">
        <v>58</v>
      </c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</row>
    <row r="129">
      <c r="A129" s="35" t="n"/>
      <c r="B129" s="36" t="inlineStr">
        <is>
          <t>Crocochad</t>
        </is>
      </c>
      <c r="C129" s="37" t="inlineStr">
        <is>
          <t>Swamp</t>
        </is>
      </c>
      <c r="D129" s="37" t="inlineStr">
        <is>
          <t>S</t>
        </is>
      </c>
      <c r="E129" s="37" t="inlineStr">
        <is>
          <t>Priest</t>
        </is>
      </c>
      <c r="F129" s="37" t="inlineStr">
        <is>
          <t>SS</t>
        </is>
      </c>
      <c r="G129" s="1" t="n"/>
      <c r="H129" s="1" t="n"/>
      <c r="I129" s="27" t="n">
        <v>59</v>
      </c>
      <c r="J129" s="43">
        <f>60*(I128+1)</f>
        <v/>
      </c>
      <c r="K129" s="43">
        <f>SUM(OFFSET($J$70,1,0,I129))</f>
        <v/>
      </c>
      <c r="L129" s="27" t="n">
        <v>59</v>
      </c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</row>
    <row r="130">
      <c r="A130" s="35" t="n"/>
      <c r="B130" s="36" t="inlineStr">
        <is>
          <t>Mystletainn (SSS)</t>
        </is>
      </c>
      <c r="C130" s="37" t="inlineStr">
        <is>
          <t>Swamp</t>
        </is>
      </c>
      <c r="D130" s="37" t="inlineStr">
        <is>
          <t>SSS</t>
        </is>
      </c>
      <c r="E130" s="37" t="inlineStr">
        <is>
          <t>Devotee</t>
        </is>
      </c>
      <c r="F130" s="37" t="inlineStr">
        <is>
          <t>SSS</t>
        </is>
      </c>
      <c r="G130" s="1" t="n"/>
      <c r="H130" s="1" t="n"/>
      <c r="I130" s="27" t="n">
        <v>60</v>
      </c>
      <c r="J130" s="43">
        <f>60*(I129+1) + 20*MAX(I130-60, 0)</f>
        <v/>
      </c>
      <c r="K130" s="43">
        <f>SUM(OFFSET($J$70,1,0,I130))</f>
        <v/>
      </c>
      <c r="L130" s="27" t="n">
        <v>60</v>
      </c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</row>
    <row r="131">
      <c r="A131" s="35" t="n"/>
      <c r="B131" s="36" t="inlineStr">
        <is>
          <t>Mystletainn (SS)</t>
        </is>
      </c>
      <c r="C131" s="37" t="inlineStr">
        <is>
          <t>Swamp</t>
        </is>
      </c>
      <c r="D131" s="37" t="inlineStr">
        <is>
          <t>SS</t>
        </is>
      </c>
      <c r="E131" s="37" t="inlineStr">
        <is>
          <t>Devotee</t>
        </is>
      </c>
      <c r="F131" s="37" t="inlineStr">
        <is>
          <t>SSS</t>
        </is>
      </c>
      <c r="G131" s="1" t="n"/>
      <c r="H131" s="1" t="n"/>
      <c r="I131" s="27" t="n">
        <v>61</v>
      </c>
      <c r="J131" s="43">
        <f>60*(I130+1) + 20*MAX(I131-60, 0)</f>
        <v/>
      </c>
      <c r="K131" s="43">
        <f>SUM(OFFSET($J$70,1,0,I131))</f>
        <v/>
      </c>
      <c r="L131" s="27" t="n">
        <v>61</v>
      </c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</row>
    <row r="132">
      <c r="A132" s="35" t="n"/>
      <c r="B132" s="36" t="inlineStr">
        <is>
          <t>Joyeuse (SSS)</t>
        </is>
      </c>
      <c r="C132" s="37" t="inlineStr">
        <is>
          <t>Swamp</t>
        </is>
      </c>
      <c r="D132" s="37" t="inlineStr">
        <is>
          <t>SSS</t>
        </is>
      </c>
      <c r="E132" s="37" t="inlineStr">
        <is>
          <t>Devotee</t>
        </is>
      </c>
      <c r="F132" s="37" t="inlineStr">
        <is>
          <t>SSS</t>
        </is>
      </c>
      <c r="G132" s="1" t="n"/>
      <c r="H132" s="1" t="n"/>
      <c r="I132" s="27" t="n">
        <v>62</v>
      </c>
      <c r="J132" s="43">
        <f>60*(I131+1) + 20*MAX(I132-60, 0)</f>
        <v/>
      </c>
      <c r="K132" s="43">
        <f>SUM(OFFSET($J$70,1,0,I132))</f>
        <v/>
      </c>
      <c r="L132" s="27" t="n">
        <v>62</v>
      </c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</row>
    <row r="133">
      <c r="A133" s="35" t="n"/>
      <c r="B133" s="36" t="inlineStr">
        <is>
          <t>Joyeuse (SS)</t>
        </is>
      </c>
      <c r="C133" s="37" t="inlineStr">
        <is>
          <t>Swamp</t>
        </is>
      </c>
      <c r="D133" s="37" t="inlineStr">
        <is>
          <t>SS</t>
        </is>
      </c>
      <c r="E133" s="37" t="inlineStr">
        <is>
          <t>Devotee</t>
        </is>
      </c>
      <c r="F133" s="37" t="inlineStr">
        <is>
          <t>SSS</t>
        </is>
      </c>
      <c r="G133" s="1" t="n"/>
      <c r="H133" s="1" t="n"/>
      <c r="I133" s="27" t="n">
        <v>63</v>
      </c>
      <c r="J133" s="43">
        <f>60*(I132+1) + 20*MAX(I133-60, 0)</f>
        <v/>
      </c>
      <c r="K133" s="43">
        <f>SUM(OFFSET($J$70,1,0,I133))</f>
        <v/>
      </c>
      <c r="L133" s="27" t="n">
        <v>63</v>
      </c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</row>
    <row r="134">
      <c r="A134" s="35" t="n"/>
      <c r="B134" s="36" t="inlineStr">
        <is>
          <t>Durandal (SSS)</t>
        </is>
      </c>
      <c r="C134" s="37" t="inlineStr">
        <is>
          <t>Swamp</t>
        </is>
      </c>
      <c r="D134" s="37" t="inlineStr">
        <is>
          <t>SSS</t>
        </is>
      </c>
      <c r="E134" s="37" t="inlineStr">
        <is>
          <t>Devotee</t>
        </is>
      </c>
      <c r="F134" s="37" t="inlineStr">
        <is>
          <t>SSS</t>
        </is>
      </c>
      <c r="G134" s="1" t="n"/>
      <c r="H134" s="1" t="n"/>
      <c r="I134" s="27" t="n">
        <v>64</v>
      </c>
      <c r="J134" s="43">
        <f>60*(I133+1) + 20*MAX(I134-60, 0)</f>
        <v/>
      </c>
      <c r="K134" s="43">
        <f>SUM(OFFSET($J$70,1,0,I134))</f>
        <v/>
      </c>
      <c r="L134" s="27" t="n">
        <v>64</v>
      </c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</row>
    <row r="135">
      <c r="A135" s="35" t="n"/>
      <c r="B135" s="36" t="inlineStr">
        <is>
          <t>Durandal (SS)</t>
        </is>
      </c>
      <c r="C135" s="37" t="inlineStr">
        <is>
          <t>Swamp</t>
        </is>
      </c>
      <c r="D135" s="37" t="inlineStr">
        <is>
          <t>SS</t>
        </is>
      </c>
      <c r="E135" s="37" t="inlineStr">
        <is>
          <t>Devotee</t>
        </is>
      </c>
      <c r="F135" s="37" t="inlineStr">
        <is>
          <t>SSS</t>
        </is>
      </c>
      <c r="G135" s="1" t="n"/>
      <c r="H135" s="1" t="n"/>
      <c r="I135" s="27" t="n">
        <v>65</v>
      </c>
      <c r="J135" s="43">
        <f>60*(I134+1) + 20*MAX(I135-60, 0)</f>
        <v/>
      </c>
      <c r="K135" s="43">
        <f>SUM(OFFSET($J$70,1,0,I135))</f>
        <v/>
      </c>
      <c r="L135" s="27" t="n">
        <v>65</v>
      </c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</row>
    <row r="136">
      <c r="A136" s="35" t="n"/>
      <c r="B136" s="36" t="inlineStr">
        <is>
          <t>Hydra</t>
        </is>
      </c>
      <c r="C136" s="37" t="inlineStr">
        <is>
          <t>Swamp</t>
        </is>
      </c>
      <c r="D136" s="37" t="inlineStr">
        <is>
          <t>SS</t>
        </is>
      </c>
      <c r="E136" s="37" t="inlineStr">
        <is>
          <t>Devotee</t>
        </is>
      </c>
      <c r="F136" s="37" t="inlineStr">
        <is>
          <t>SS</t>
        </is>
      </c>
      <c r="G136" s="1" t="n"/>
      <c r="H136" s="1" t="n"/>
      <c r="I136" s="27" t="n">
        <v>66</v>
      </c>
      <c r="J136" s="43">
        <f>60*(I135+1) + 20*MAX(I136-60, 0)</f>
        <v/>
      </c>
      <c r="K136" s="43">
        <f>SUM(OFFSET($J$70,1,0,I136))</f>
        <v/>
      </c>
      <c r="L136" s="27" t="n">
        <v>66</v>
      </c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</row>
    <row r="137">
      <c r="A137" s="35" t="n"/>
      <c r="B137" s="36" t="inlineStr">
        <is>
          <t>Wraithwing</t>
        </is>
      </c>
      <c r="C137" s="37" t="inlineStr">
        <is>
          <t>Swamp</t>
        </is>
      </c>
      <c r="D137" s="37" t="inlineStr">
        <is>
          <t>S</t>
        </is>
      </c>
      <c r="E137" s="37" t="inlineStr">
        <is>
          <t>Devotee</t>
        </is>
      </c>
      <c r="F137" s="37" t="inlineStr">
        <is>
          <t>SS</t>
        </is>
      </c>
      <c r="G137" s="1" t="n"/>
      <c r="H137" s="1" t="n"/>
      <c r="I137" s="27" t="n">
        <v>67</v>
      </c>
      <c r="J137" s="43">
        <f>60*(I136+1) + 20*MAX(I137-60, 0)</f>
        <v/>
      </c>
      <c r="K137" s="43">
        <f>SUM(OFFSET($J$70,1,0,I137))</f>
        <v/>
      </c>
      <c r="L137" s="27" t="n">
        <v>67</v>
      </c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</row>
    <row r="138">
      <c r="A138" s="35" t="n"/>
      <c r="B138" s="36" t="inlineStr">
        <is>
          <t>Ironhart</t>
        </is>
      </c>
      <c r="C138" s="37" t="inlineStr">
        <is>
          <t>Swamp</t>
        </is>
      </c>
      <c r="D138" s="37" t="inlineStr">
        <is>
          <t>S</t>
        </is>
      </c>
      <c r="E138" s="37" t="inlineStr">
        <is>
          <t>Devotee</t>
        </is>
      </c>
      <c r="F138" s="37" t="inlineStr">
        <is>
          <t>SS</t>
        </is>
      </c>
      <c r="G138" s="1" t="n"/>
      <c r="H138" s="1" t="n"/>
      <c r="I138" s="27" t="n">
        <v>68</v>
      </c>
      <c r="J138" s="43">
        <f>60*(I137+1) + 20*MAX(I138-60, 0)</f>
        <v/>
      </c>
      <c r="K138" s="43">
        <f>SUM(OFFSET($J$70,1,0,I138))</f>
        <v/>
      </c>
      <c r="L138" s="27" t="n">
        <v>68</v>
      </c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</row>
    <row r="139">
      <c r="A139" s="35" t="n"/>
      <c r="B139" s="36" t="inlineStr">
        <is>
          <t>Venomander</t>
        </is>
      </c>
      <c r="C139" s="37" t="inlineStr">
        <is>
          <t>Swamp</t>
        </is>
      </c>
      <c r="D139" s="37" t="inlineStr">
        <is>
          <t>S</t>
        </is>
      </c>
      <c r="E139" s="37" t="inlineStr">
        <is>
          <t>Devotee</t>
        </is>
      </c>
      <c r="F139" s="37" t="inlineStr">
        <is>
          <t>SS</t>
        </is>
      </c>
      <c r="G139" s="1" t="n"/>
      <c r="H139" s="1" t="n"/>
      <c r="I139" s="27" t="n">
        <v>69</v>
      </c>
      <c r="J139" s="43">
        <f>60*(I138+1) + 20*MAX(I139-60, 0)</f>
        <v/>
      </c>
      <c r="K139" s="43">
        <f>SUM(OFFSET($J$70,1,0,I139))</f>
        <v/>
      </c>
      <c r="L139" s="27" t="n">
        <v>69</v>
      </c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</row>
    <row r="140">
      <c r="A140" s="35" t="n"/>
      <c r="B140" s="36" t="inlineStr">
        <is>
          <t>Elkgator</t>
        </is>
      </c>
      <c r="C140" s="37" t="inlineStr">
        <is>
          <t>Swamp</t>
        </is>
      </c>
      <c r="D140" s="37" t="inlineStr">
        <is>
          <t>S</t>
        </is>
      </c>
      <c r="E140" s="37" t="inlineStr">
        <is>
          <t>Devotee</t>
        </is>
      </c>
      <c r="F140" s="37" t="inlineStr">
        <is>
          <t>S</t>
        </is>
      </c>
      <c r="G140" s="1" t="n"/>
      <c r="H140" s="1" t="n"/>
      <c r="I140" s="27" t="n">
        <v>70</v>
      </c>
      <c r="J140" s="43">
        <f>60*(I139+1) + 20*MAX(I140-60, 0)</f>
        <v/>
      </c>
      <c r="K140" s="43">
        <f>SUM(OFFSET($J$70,1,0,I140))</f>
        <v/>
      </c>
      <c r="L140" s="27" t="n">
        <v>70</v>
      </c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</row>
    <row r="141">
      <c r="A141" s="35" t="n"/>
      <c r="B141" s="36" t="inlineStr">
        <is>
          <t>Cobragator</t>
        </is>
      </c>
      <c r="C141" s="37" t="inlineStr">
        <is>
          <t>Swamp</t>
        </is>
      </c>
      <c r="D141" s="37" t="inlineStr">
        <is>
          <t>S</t>
        </is>
      </c>
      <c r="E141" s="37" t="inlineStr">
        <is>
          <t>Devotee</t>
        </is>
      </c>
      <c r="F141" s="37" t="inlineStr">
        <is>
          <t>S</t>
        </is>
      </c>
      <c r="G141" s="1" t="n"/>
      <c r="H141" s="1" t="n"/>
      <c r="I141" s="27" t="n">
        <v>71</v>
      </c>
      <c r="J141" s="43">
        <f>60*(I140+1) + 20*MAX(I141-60, 0)</f>
        <v/>
      </c>
      <c r="K141" s="43">
        <f>SUM(OFFSET($J$70,1,0,I141))</f>
        <v/>
      </c>
      <c r="L141" s="27" t="n">
        <v>71</v>
      </c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</row>
    <row r="142">
      <c r="A142" s="35" t="n"/>
      <c r="B142" s="36" t="inlineStr">
        <is>
          <t>BretroCroc</t>
        </is>
      </c>
      <c r="C142" s="37" t="inlineStr">
        <is>
          <t>Swamp</t>
        </is>
      </c>
      <c r="D142" s="37" t="inlineStr">
        <is>
          <t>S</t>
        </is>
      </c>
      <c r="E142" s="37" t="inlineStr">
        <is>
          <t>Devotee</t>
        </is>
      </c>
      <c r="F142" s="37" t="inlineStr">
        <is>
          <t>S</t>
        </is>
      </c>
      <c r="G142" s="1" t="n"/>
      <c r="H142" s="1" t="n"/>
      <c r="I142" s="27" t="n">
        <v>72</v>
      </c>
      <c r="J142" s="43">
        <f>60*(I141+1) + 20*MAX(I142-60, 0)</f>
        <v/>
      </c>
      <c r="K142" s="43">
        <f>SUM(OFFSET($J$70,1,0,I142))</f>
        <v/>
      </c>
      <c r="L142" s="27" t="n">
        <v>72</v>
      </c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</row>
    <row r="143">
      <c r="A143" s="35" t="n"/>
      <c r="B143" s="36" t="inlineStr">
        <is>
          <t>Vancedon</t>
        </is>
      </c>
      <c r="C143" s="37" t="inlineStr">
        <is>
          <t>Swamp</t>
        </is>
      </c>
      <c r="D143" s="37" t="inlineStr">
        <is>
          <t>S</t>
        </is>
      </c>
      <c r="E143" s="37" t="inlineStr">
        <is>
          <t>Devotee</t>
        </is>
      </c>
      <c r="F143" s="37" t="inlineStr">
        <is>
          <t>S</t>
        </is>
      </c>
      <c r="G143" s="1" t="n"/>
      <c r="H143" s="1" t="n"/>
      <c r="I143" s="27" t="n">
        <v>73</v>
      </c>
      <c r="J143" s="43">
        <f>60*(I142+1) + 20*MAX(I143-60, 0)</f>
        <v/>
      </c>
      <c r="K143" s="43">
        <f>SUM(OFFSET($J$70,1,0,I143))</f>
        <v/>
      </c>
      <c r="L143" s="27" t="n">
        <v>73</v>
      </c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</row>
    <row r="144">
      <c r="A144" s="35" t="n"/>
      <c r="B144" s="36" t="inlineStr">
        <is>
          <t>Crocthulu</t>
        </is>
      </c>
      <c r="C144" s="37" t="inlineStr">
        <is>
          <t>Swamp</t>
        </is>
      </c>
      <c r="D144" s="37" t="inlineStr">
        <is>
          <t>S</t>
        </is>
      </c>
      <c r="E144" s="37" t="inlineStr">
        <is>
          <t>Devotee</t>
        </is>
      </c>
      <c r="F144" s="37" t="inlineStr">
        <is>
          <t>S</t>
        </is>
      </c>
      <c r="G144" s="1" t="n"/>
      <c r="H144" s="1" t="n"/>
      <c r="I144" s="27" t="n">
        <v>74</v>
      </c>
      <c r="J144" s="43">
        <f>60*(I143+1) + 20*MAX(I144-60, 0)</f>
        <v/>
      </c>
      <c r="K144" s="43">
        <f>SUM(OFFSET($J$70,1,0,I144))</f>
        <v/>
      </c>
      <c r="L144" s="27" t="n">
        <v>74</v>
      </c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</row>
    <row r="145">
      <c r="A145" s="35" t="n"/>
      <c r="B145" s="36" t="inlineStr">
        <is>
          <t>Hyperpaw</t>
        </is>
      </c>
      <c r="C145" s="37" t="inlineStr">
        <is>
          <t>Swamp</t>
        </is>
      </c>
      <c r="D145" s="37" t="inlineStr">
        <is>
          <t>S</t>
        </is>
      </c>
      <c r="E145" s="37" t="inlineStr">
        <is>
          <t>Devotee</t>
        </is>
      </c>
      <c r="F145" s="37" t="inlineStr">
        <is>
          <t>S</t>
        </is>
      </c>
      <c r="G145" s="1" t="n"/>
      <c r="H145" s="1" t="n"/>
      <c r="I145" s="27" t="n">
        <v>75</v>
      </c>
      <c r="J145" s="43">
        <f>60*(I144+1) + 20*MAX(I145-60, 0)</f>
        <v/>
      </c>
      <c r="K145" s="43">
        <f>SUM(OFFSET($J$70,1,0,I145))</f>
        <v/>
      </c>
      <c r="L145" s="27" t="n">
        <v>75</v>
      </c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</row>
    <row r="146">
      <c r="A146" s="35" t="n"/>
      <c r="B146" s="36" t="inlineStr">
        <is>
          <t>Cobradeer</t>
        </is>
      </c>
      <c r="C146" s="37" t="inlineStr">
        <is>
          <t>Swamp</t>
        </is>
      </c>
      <c r="D146" s="37" t="inlineStr">
        <is>
          <t>S</t>
        </is>
      </c>
      <c r="E146" s="37" t="inlineStr">
        <is>
          <t>Devotee</t>
        </is>
      </c>
      <c r="F146" s="37" t="inlineStr">
        <is>
          <t>S</t>
        </is>
      </c>
      <c r="G146" s="1" t="n"/>
      <c r="H146" s="1" t="n"/>
      <c r="I146" s="27" t="n">
        <v>76</v>
      </c>
      <c r="J146" s="43">
        <f>60*(I145+1) + 20*MAX(I146-60, 0)</f>
        <v/>
      </c>
      <c r="K146" s="43">
        <f>SUM(OFFSET($J$70,1,0,I146))</f>
        <v/>
      </c>
      <c r="L146" s="27" t="n">
        <v>76</v>
      </c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</row>
    <row r="147">
      <c r="A147" s="35" t="n"/>
      <c r="B147" s="36" t="inlineStr">
        <is>
          <t>Pyroclad</t>
        </is>
      </c>
      <c r="C147" s="37" t="inlineStr">
        <is>
          <t>Swamp</t>
        </is>
      </c>
      <c r="D147" s="37" t="inlineStr">
        <is>
          <t>S</t>
        </is>
      </c>
      <c r="E147" s="37" t="inlineStr">
        <is>
          <t>Devotee</t>
        </is>
      </c>
      <c r="F147" s="37" t="inlineStr">
        <is>
          <t>S</t>
        </is>
      </c>
      <c r="G147" s="1" t="n"/>
      <c r="H147" s="1" t="n"/>
      <c r="I147" s="27" t="n">
        <v>77</v>
      </c>
      <c r="J147" s="43">
        <f>60*(I146+1) + 20*MAX(I147-60, 0)</f>
        <v/>
      </c>
      <c r="K147" s="43">
        <f>SUM(OFFSET($J$70,1,0,I147))</f>
        <v/>
      </c>
      <c r="L147" s="27" t="n">
        <v>77</v>
      </c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</row>
    <row r="148">
      <c r="A148" s="35" t="n"/>
      <c r="B148" s="36" t="inlineStr">
        <is>
          <t>Antlergator</t>
        </is>
      </c>
      <c r="C148" s="37" t="inlineStr">
        <is>
          <t>Swamp</t>
        </is>
      </c>
      <c r="D148" s="37" t="inlineStr">
        <is>
          <t>Purple</t>
        </is>
      </c>
      <c r="E148" s="37" t="inlineStr">
        <is>
          <t>Devotee</t>
        </is>
      </c>
      <c r="F148" s="37" t="inlineStr">
        <is>
          <t>A</t>
        </is>
      </c>
      <c r="G148" s="1" t="n"/>
      <c r="H148" s="1" t="n"/>
      <c r="I148" s="27" t="n">
        <v>78</v>
      </c>
      <c r="J148" s="43">
        <f>60*(I147+1) + 20*MAX(I148-60, 0)</f>
        <v/>
      </c>
      <c r="K148" s="43">
        <f>SUM(OFFSET($J$70,1,0,I148))</f>
        <v/>
      </c>
      <c r="L148" s="27" t="n">
        <v>78</v>
      </c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</row>
    <row r="149">
      <c r="A149" s="35" t="n"/>
      <c r="B149" s="36" t="inlineStr">
        <is>
          <t>Caiman</t>
        </is>
      </c>
      <c r="C149" s="37" t="inlineStr">
        <is>
          <t>Swamp</t>
        </is>
      </c>
      <c r="D149" s="37" t="inlineStr">
        <is>
          <t>Purple</t>
        </is>
      </c>
      <c r="E149" s="37" t="inlineStr">
        <is>
          <t>Devotee</t>
        </is>
      </c>
      <c r="F149" s="37" t="inlineStr">
        <is>
          <t>A</t>
        </is>
      </c>
      <c r="G149" s="1" t="n"/>
      <c r="H149" s="1" t="n"/>
      <c r="I149" s="27" t="n">
        <v>79</v>
      </c>
      <c r="J149" s="43">
        <f>60*(I148+1) + 20*MAX(I149-60, 0)</f>
        <v/>
      </c>
      <c r="K149" s="43">
        <f>SUM(OFFSET($J$70,1,0,I149))</f>
        <v/>
      </c>
      <c r="L149" s="27" t="n">
        <v>79</v>
      </c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</row>
    <row r="150">
      <c r="A150" s="35" t="n"/>
      <c r="B150" s="36" t="inlineStr">
        <is>
          <t>Yangzigator</t>
        </is>
      </c>
      <c r="C150" s="37" t="inlineStr">
        <is>
          <t>Swamp</t>
        </is>
      </c>
      <c r="D150" s="37" t="inlineStr">
        <is>
          <t>Blue</t>
        </is>
      </c>
      <c r="E150" s="37" t="inlineStr">
        <is>
          <t>Devotee</t>
        </is>
      </c>
      <c r="F150" s="37" t="inlineStr">
        <is>
          <t>B</t>
        </is>
      </c>
      <c r="G150" s="1" t="n"/>
      <c r="H150" s="1" t="n"/>
      <c r="I150" s="27" t="n">
        <v>80</v>
      </c>
      <c r="J150" s="43">
        <f>60*(I149+1) + 20*MAX(I150-60, 0)</f>
        <v/>
      </c>
      <c r="K150" s="43">
        <f>SUM(OFFSET($J$70,1,0,I150))</f>
        <v/>
      </c>
      <c r="L150" s="27" t="n">
        <v>80</v>
      </c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</row>
    <row r="151">
      <c r="A151" s="35" t="n"/>
      <c r="B151" s="36" t="inlineStr">
        <is>
          <t>Aegis (SSS)</t>
        </is>
      </c>
      <c r="C151" s="37" t="inlineStr">
        <is>
          <t>Prairie</t>
        </is>
      </c>
      <c r="D151" s="37" t="inlineStr">
        <is>
          <t>SSS</t>
        </is>
      </c>
      <c r="E151" s="37" t="inlineStr">
        <is>
          <t>Priest</t>
        </is>
      </c>
      <c r="F151" s="37" t="inlineStr">
        <is>
          <t>SSS</t>
        </is>
      </c>
      <c r="G151" s="1" t="n"/>
      <c r="H151" s="1" t="n"/>
      <c r="I151" s="27" t="n">
        <v>81</v>
      </c>
      <c r="J151" s="43">
        <f>60*(I150+1) + 20*MAX(I151-60, 0)</f>
        <v/>
      </c>
      <c r="K151" s="43">
        <f>SUM(OFFSET($J$70,1,0,I151))</f>
        <v/>
      </c>
      <c r="L151" s="27" t="n">
        <v>81</v>
      </c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</row>
    <row r="152">
      <c r="A152" s="35" t="n"/>
      <c r="B152" s="36" t="inlineStr">
        <is>
          <t>Aegis (SS)</t>
        </is>
      </c>
      <c r="C152" s="37" t="inlineStr">
        <is>
          <t>Prairie</t>
        </is>
      </c>
      <c r="D152" s="37" t="inlineStr">
        <is>
          <t>SS</t>
        </is>
      </c>
      <c r="E152" s="37" t="inlineStr">
        <is>
          <t>Priest</t>
        </is>
      </c>
      <c r="F152" s="37" t="inlineStr">
        <is>
          <t>SSS</t>
        </is>
      </c>
      <c r="G152" s="1" t="n"/>
      <c r="H152" s="1" t="n"/>
      <c r="I152" s="27" t="n">
        <v>82</v>
      </c>
      <c r="J152" s="43">
        <f>60*(I151+1) + 20*MAX(I152-60, 0)</f>
        <v/>
      </c>
      <c r="K152" s="43">
        <f>SUM(OFFSET($J$70,1,0,I152))</f>
        <v/>
      </c>
      <c r="L152" s="27" t="n">
        <v>82</v>
      </c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</row>
    <row r="153">
      <c r="A153" s="35" t="n"/>
      <c r="B153" s="36" t="inlineStr">
        <is>
          <t>Pegasus (SSS)</t>
        </is>
      </c>
      <c r="C153" s="37" t="inlineStr">
        <is>
          <t>Prairie</t>
        </is>
      </c>
      <c r="D153" s="37" t="inlineStr">
        <is>
          <t>SSS</t>
        </is>
      </c>
      <c r="E153" s="37" t="inlineStr">
        <is>
          <t>Priest</t>
        </is>
      </c>
      <c r="F153" s="37" t="inlineStr">
        <is>
          <t>SSS</t>
        </is>
      </c>
      <c r="G153" s="1" t="n"/>
      <c r="H153" s="1" t="n"/>
      <c r="I153" s="27" t="n">
        <v>83</v>
      </c>
      <c r="J153" s="43">
        <f>60*(I152+1) + 20*MAX(I153-60, 0)</f>
        <v/>
      </c>
      <c r="K153" s="43">
        <f>SUM(OFFSET($J$70,1,0,I153))</f>
        <v/>
      </c>
      <c r="L153" s="27" t="n">
        <v>83</v>
      </c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</row>
    <row r="154">
      <c r="A154" s="35" t="n"/>
      <c r="B154" s="36" t="inlineStr">
        <is>
          <t>Pegasus (SS)</t>
        </is>
      </c>
      <c r="C154" s="37" t="inlineStr">
        <is>
          <t>Prairie</t>
        </is>
      </c>
      <c r="D154" s="37" t="inlineStr">
        <is>
          <t>SS</t>
        </is>
      </c>
      <c r="E154" s="37" t="inlineStr">
        <is>
          <t>Priest</t>
        </is>
      </c>
      <c r="F154" s="37" t="inlineStr">
        <is>
          <t>SSS</t>
        </is>
      </c>
      <c r="G154" s="1" t="n"/>
      <c r="H154" s="1" t="n"/>
      <c r="I154" s="27" t="n">
        <v>84</v>
      </c>
      <c r="J154" s="43">
        <f>60*(I153+1) + 20*MAX(I154-60, 0)</f>
        <v/>
      </c>
      <c r="K154" s="43">
        <f>SUM(OFFSET($J$70,1,0,I154))</f>
        <v/>
      </c>
      <c r="L154" s="27" t="n">
        <v>84</v>
      </c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</row>
    <row r="155">
      <c r="A155" s="35" t="n"/>
      <c r="B155" s="36" t="inlineStr">
        <is>
          <t>Pyromaw</t>
        </is>
      </c>
      <c r="C155" s="37" t="inlineStr">
        <is>
          <t>Prairie</t>
        </is>
      </c>
      <c r="D155" s="37" t="inlineStr">
        <is>
          <t>S</t>
        </is>
      </c>
      <c r="E155" s="37" t="inlineStr">
        <is>
          <t>Priest</t>
        </is>
      </c>
      <c r="F155" s="37" t="inlineStr">
        <is>
          <t>SS</t>
        </is>
      </c>
      <c r="G155" s="1" t="n"/>
      <c r="H155" s="1" t="n"/>
      <c r="I155" s="27" t="n">
        <v>85</v>
      </c>
      <c r="J155" s="43">
        <f>60*(I154+1) + 20*MAX(I155-60, 0)</f>
        <v/>
      </c>
      <c r="K155" s="43">
        <f>SUM(OFFSET($J$70,1,0,I155))</f>
        <v/>
      </c>
      <c r="L155" s="27" t="n">
        <v>85</v>
      </c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</row>
    <row r="156">
      <c r="A156" s="35" t="n"/>
      <c r="B156" s="36" t="inlineStr">
        <is>
          <t>Gram (SSS)</t>
        </is>
      </c>
      <c r="C156" s="37" t="inlineStr">
        <is>
          <t>Prairie</t>
        </is>
      </c>
      <c r="D156" s="37" t="inlineStr">
        <is>
          <t>SSS</t>
        </is>
      </c>
      <c r="E156" s="37" t="inlineStr">
        <is>
          <t>Devotee</t>
        </is>
      </c>
      <c r="F156" s="37" t="inlineStr">
        <is>
          <t>SSS</t>
        </is>
      </c>
      <c r="G156" s="1" t="n"/>
      <c r="H156" s="1" t="n"/>
      <c r="I156" s="27" t="n">
        <v>86</v>
      </c>
      <c r="J156" s="43">
        <f>60*(I155+1) + 20*MAX(I156-60, 0)</f>
        <v/>
      </c>
      <c r="K156" s="43">
        <f>SUM(OFFSET($J$70,1,0,I156))</f>
        <v/>
      </c>
      <c r="L156" s="27" t="n">
        <v>86</v>
      </c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</row>
    <row r="157">
      <c r="A157" s="35" t="n"/>
      <c r="B157" s="36" t="inlineStr">
        <is>
          <t>Gram (SS)</t>
        </is>
      </c>
      <c r="C157" s="37" t="inlineStr">
        <is>
          <t>Prairie</t>
        </is>
      </c>
      <c r="D157" s="37" t="inlineStr">
        <is>
          <t>SS</t>
        </is>
      </c>
      <c r="E157" s="37" t="inlineStr">
        <is>
          <t>Devotee</t>
        </is>
      </c>
      <c r="F157" s="37" t="inlineStr">
        <is>
          <t>SSS</t>
        </is>
      </c>
      <c r="G157" s="1" t="n"/>
      <c r="H157" s="1" t="n"/>
      <c r="I157" s="27" t="n">
        <v>87</v>
      </c>
      <c r="J157" s="43">
        <f>60*(I156+1) + 20*MAX(I157-60, 0)</f>
        <v/>
      </c>
      <c r="K157" s="43">
        <f>SUM(OFFSET($J$70,1,0,I157))</f>
        <v/>
      </c>
      <c r="L157" s="27" t="n">
        <v>87</v>
      </c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</row>
    <row r="158">
      <c r="A158" s="35" t="n"/>
      <c r="B158" s="36" t="inlineStr">
        <is>
          <t>Balmung (SSS)</t>
        </is>
      </c>
      <c r="C158" s="37" t="inlineStr">
        <is>
          <t>Prairie</t>
        </is>
      </c>
      <c r="D158" s="37" t="inlineStr">
        <is>
          <t>SSS</t>
        </is>
      </c>
      <c r="E158" s="37" t="inlineStr">
        <is>
          <t>Devotee</t>
        </is>
      </c>
      <c r="F158" s="37" t="inlineStr">
        <is>
          <t>SSS</t>
        </is>
      </c>
      <c r="G158" s="1" t="n"/>
      <c r="H158" s="1" t="n"/>
      <c r="I158" s="27" t="n">
        <v>88</v>
      </c>
      <c r="J158" s="43">
        <f>60*(I157+1) + 20*MAX(I158-60, 0)</f>
        <v/>
      </c>
      <c r="K158" s="43">
        <f>SUM(OFFSET($J$70,1,0,I158))</f>
        <v/>
      </c>
      <c r="L158" s="27" t="n">
        <v>88</v>
      </c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</row>
    <row r="159">
      <c r="A159" s="35" t="n"/>
      <c r="B159" s="36" t="inlineStr">
        <is>
          <t>Balmung (SS)</t>
        </is>
      </c>
      <c r="C159" s="37" t="inlineStr">
        <is>
          <t>Prairie</t>
        </is>
      </c>
      <c r="D159" s="37" t="inlineStr">
        <is>
          <t>SS</t>
        </is>
      </c>
      <c r="E159" s="37" t="inlineStr">
        <is>
          <t>Devotee</t>
        </is>
      </c>
      <c r="F159" s="37" t="inlineStr">
        <is>
          <t>SSS</t>
        </is>
      </c>
      <c r="G159" s="1" t="n"/>
      <c r="H159" s="1" t="n"/>
      <c r="I159" s="27" t="n">
        <v>89</v>
      </c>
      <c r="J159" s="43">
        <f>60*(I158+1) + 20*MAX(I159-60, 0)</f>
        <v/>
      </c>
      <c r="K159" s="43">
        <f>SUM(OFFSET($J$70,1,0,I159))</f>
        <v/>
      </c>
      <c r="L159" s="27" t="n">
        <v>89</v>
      </c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</row>
    <row r="160">
      <c r="A160" s="35" t="n"/>
      <c r="B160" s="36" t="inlineStr">
        <is>
          <t>Sleipnir (SSS)</t>
        </is>
      </c>
      <c r="C160" s="37" t="inlineStr">
        <is>
          <t>Prairie</t>
        </is>
      </c>
      <c r="D160" s="37" t="inlineStr">
        <is>
          <t>SSS</t>
        </is>
      </c>
      <c r="E160" s="37" t="inlineStr">
        <is>
          <t>Devotee</t>
        </is>
      </c>
      <c r="F160" s="37" t="inlineStr">
        <is>
          <t>SSS</t>
        </is>
      </c>
      <c r="G160" s="1" t="n"/>
      <c r="H160" s="1" t="n"/>
      <c r="I160" s="27" t="n">
        <v>90</v>
      </c>
      <c r="J160" s="43">
        <f>60*(I159+1) + 20*MAX(I160-60, 0)</f>
        <v/>
      </c>
      <c r="K160" s="43">
        <f>SUM(OFFSET($J$70,1,0,I160))</f>
        <v/>
      </c>
      <c r="L160" s="27" t="n">
        <v>90</v>
      </c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</row>
    <row r="161">
      <c r="A161" s="35" t="n"/>
      <c r="B161" s="36" t="inlineStr">
        <is>
          <t>Sleipnir (SS)</t>
        </is>
      </c>
      <c r="C161" s="37" t="inlineStr">
        <is>
          <t>Prairie</t>
        </is>
      </c>
      <c r="D161" s="37" t="inlineStr">
        <is>
          <t>SS</t>
        </is>
      </c>
      <c r="E161" s="37" t="inlineStr">
        <is>
          <t>Devotee</t>
        </is>
      </c>
      <c r="F161" s="37" t="inlineStr">
        <is>
          <t>SSS</t>
        </is>
      </c>
      <c r="G161" s="1" t="n"/>
      <c r="H161" s="1" t="n"/>
      <c r="I161" s="27" t="n">
        <v>91</v>
      </c>
      <c r="J161" s="43">
        <f>60*(I160+1) + 20*MAX(I161-60, 0)</f>
        <v/>
      </c>
      <c r="K161" s="43">
        <f>SUM(OFFSET($J$70,1,0,I161))</f>
        <v/>
      </c>
      <c r="L161" s="27" t="n">
        <v>91</v>
      </c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</row>
    <row r="162">
      <c r="A162" s="35" t="n"/>
      <c r="B162" s="36" t="inlineStr">
        <is>
          <t>Griffin</t>
        </is>
      </c>
      <c r="C162" s="37" t="inlineStr">
        <is>
          <t>Prairie</t>
        </is>
      </c>
      <c r="D162" s="37" t="inlineStr">
        <is>
          <t>SS</t>
        </is>
      </c>
      <c r="E162" s="37" t="inlineStr">
        <is>
          <t>Devotee</t>
        </is>
      </c>
      <c r="F162" s="37" t="inlineStr">
        <is>
          <t>SS</t>
        </is>
      </c>
      <c r="G162" s="1" t="n"/>
      <c r="H162" s="1" t="n"/>
      <c r="I162" s="27" t="n">
        <v>92</v>
      </c>
      <c r="J162" s="43">
        <f>60*(I161+1) + 20*MAX(I162-60, 0)</f>
        <v/>
      </c>
      <c r="K162" s="43">
        <f>SUM(OFFSET($J$70,1,0,I162))</f>
        <v/>
      </c>
      <c r="L162" s="27" t="n">
        <v>92</v>
      </c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</row>
    <row r="163">
      <c r="A163" s="35" t="n"/>
      <c r="B163" s="36" t="inlineStr">
        <is>
          <t>Hellwing</t>
        </is>
      </c>
      <c r="C163" s="37" t="inlineStr">
        <is>
          <t>Prairie</t>
        </is>
      </c>
      <c r="D163" s="37" t="inlineStr">
        <is>
          <t>S</t>
        </is>
      </c>
      <c r="E163" s="37" t="inlineStr">
        <is>
          <t>Devotee</t>
        </is>
      </c>
      <c r="F163" s="37" t="inlineStr">
        <is>
          <t>SS</t>
        </is>
      </c>
      <c r="G163" s="1" t="n"/>
      <c r="H163" s="1" t="n"/>
      <c r="I163" s="27" t="n">
        <v>93</v>
      </c>
      <c r="J163" s="43">
        <f>60*(I162+1) + 20*MAX(I163-60, 0)</f>
        <v/>
      </c>
      <c r="K163" s="43">
        <f>SUM(OFFSET($J$70,1,0,I163))</f>
        <v/>
      </c>
      <c r="L163" s="27" t="n">
        <v>93</v>
      </c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</row>
    <row r="164">
      <c r="A164" s="35" t="n"/>
      <c r="B164" s="36" t="inlineStr">
        <is>
          <t>Voidrake</t>
        </is>
      </c>
      <c r="C164" s="37" t="inlineStr">
        <is>
          <t>Prairie</t>
        </is>
      </c>
      <c r="D164" s="37" t="inlineStr">
        <is>
          <t>S</t>
        </is>
      </c>
      <c r="E164" s="37" t="inlineStr">
        <is>
          <t>Devotee</t>
        </is>
      </c>
      <c r="F164" s="37" t="inlineStr">
        <is>
          <t>SS</t>
        </is>
      </c>
      <c r="G164" s="1" t="n"/>
      <c r="H164" s="1" t="n"/>
      <c r="I164" s="27" t="n">
        <v>94</v>
      </c>
      <c r="J164" s="43">
        <f>60*(I163+1) + 20*MAX(I164-60, 0)</f>
        <v/>
      </c>
      <c r="K164" s="43">
        <f>SUM(OFFSET($J$70,1,0,I164))</f>
        <v/>
      </c>
      <c r="L164" s="27" t="n">
        <v>94</v>
      </c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</row>
    <row r="165">
      <c r="A165" s="35" t="n"/>
      <c r="B165" s="36" t="inlineStr">
        <is>
          <t>Tartigris</t>
        </is>
      </c>
      <c r="C165" s="37" t="inlineStr">
        <is>
          <t>Prairie</t>
        </is>
      </c>
      <c r="D165" s="37" t="inlineStr">
        <is>
          <t>S</t>
        </is>
      </c>
      <c r="E165" s="37" t="inlineStr">
        <is>
          <t>Devotee</t>
        </is>
      </c>
      <c r="F165" s="37" t="inlineStr">
        <is>
          <t>SS</t>
        </is>
      </c>
      <c r="G165" s="1" t="n"/>
      <c r="H165" s="1" t="n"/>
      <c r="I165" s="27" t="n">
        <v>95</v>
      </c>
      <c r="J165" s="43">
        <f>60*(I164+1) + 20*MAX(I165-60, 0)</f>
        <v/>
      </c>
      <c r="K165" s="43">
        <f>SUM(OFFSET($J$70,1,0,I165))</f>
        <v/>
      </c>
      <c r="L165" s="27" t="n">
        <v>95</v>
      </c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</row>
    <row r="166">
      <c r="A166" s="35" t="n"/>
      <c r="B166" s="36" t="inlineStr">
        <is>
          <t>Tigermoose</t>
        </is>
      </c>
      <c r="C166" s="37" t="inlineStr">
        <is>
          <t>Prairie</t>
        </is>
      </c>
      <c r="D166" s="37" t="inlineStr">
        <is>
          <t>S</t>
        </is>
      </c>
      <c r="E166" s="37" t="inlineStr">
        <is>
          <t>Devotee</t>
        </is>
      </c>
      <c r="F166" s="37" t="inlineStr">
        <is>
          <t>S</t>
        </is>
      </c>
      <c r="G166" s="1" t="n"/>
      <c r="H166" s="1" t="n"/>
      <c r="I166" s="27" t="n">
        <v>96</v>
      </c>
      <c r="J166" s="43">
        <f>60*(I165+1) + 20*MAX(I166-60, 0)</f>
        <v/>
      </c>
      <c r="K166" s="43">
        <f>SUM(OFFSET($J$70,1,0,I166))</f>
        <v/>
      </c>
      <c r="L166" s="27" t="n">
        <v>96</v>
      </c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</row>
    <row r="167">
      <c r="A167" s="35" t="n"/>
      <c r="B167" s="36" t="inlineStr">
        <is>
          <t>Taromon</t>
        </is>
      </c>
      <c r="C167" s="37" t="inlineStr">
        <is>
          <t>Prairie</t>
        </is>
      </c>
      <c r="D167" s="37" t="inlineStr">
        <is>
          <t>S</t>
        </is>
      </c>
      <c r="E167" s="37" t="inlineStr">
        <is>
          <t>Devotee</t>
        </is>
      </c>
      <c r="F167" s="37" t="inlineStr">
        <is>
          <t>S</t>
        </is>
      </c>
      <c r="G167" s="1" t="n"/>
      <c r="H167" s="1" t="n"/>
      <c r="I167" s="27" t="n">
        <v>97</v>
      </c>
      <c r="J167" s="43">
        <f>60*(I166+1) + 20*MAX(I167-60, 0)</f>
        <v/>
      </c>
      <c r="K167" s="43">
        <f>SUM(OFFSET($J$70,1,0,I167))</f>
        <v/>
      </c>
      <c r="L167" s="27" t="n">
        <v>97</v>
      </c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</row>
    <row r="168">
      <c r="A168" s="35" t="n"/>
      <c r="B168" s="36" t="inlineStr">
        <is>
          <t>Mantiger</t>
        </is>
      </c>
      <c r="C168" s="37" t="inlineStr">
        <is>
          <t>Prairie</t>
        </is>
      </c>
      <c r="D168" s="37" t="inlineStr">
        <is>
          <t>S</t>
        </is>
      </c>
      <c r="E168" s="37" t="inlineStr">
        <is>
          <t>Devotee</t>
        </is>
      </c>
      <c r="F168" s="37" t="inlineStr">
        <is>
          <t>S</t>
        </is>
      </c>
      <c r="G168" s="1" t="n"/>
      <c r="H168" s="1" t="n"/>
      <c r="I168" s="27" t="n">
        <v>98</v>
      </c>
      <c r="J168" s="43">
        <f>60*(I167+1) + 20*MAX(I168-60, 0)</f>
        <v/>
      </c>
      <c r="K168" s="43">
        <f>SUM(OFFSET($J$70,1,0,I168))</f>
        <v/>
      </c>
      <c r="L168" s="27" t="n">
        <v>98</v>
      </c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</row>
    <row r="169">
      <c r="A169" s="35" t="n"/>
      <c r="B169" s="36" t="inlineStr">
        <is>
          <t>Seachimera</t>
        </is>
      </c>
      <c r="C169" s="37" t="inlineStr">
        <is>
          <t>Prairie</t>
        </is>
      </c>
      <c r="D169" s="37" t="inlineStr">
        <is>
          <t>S</t>
        </is>
      </c>
      <c r="E169" s="37" t="inlineStr">
        <is>
          <t>Devotee</t>
        </is>
      </c>
      <c r="F169" s="37" t="inlineStr">
        <is>
          <t>S</t>
        </is>
      </c>
      <c r="G169" s="1" t="n"/>
      <c r="H169" s="1" t="n"/>
      <c r="I169" s="27" t="n">
        <v>99</v>
      </c>
      <c r="J169" s="43">
        <f>60*(I168+1) + 20*MAX(I169-60, 0)</f>
        <v/>
      </c>
      <c r="K169" s="43">
        <f>SUM(OFFSET($J$70,1,0,I169))</f>
        <v/>
      </c>
      <c r="L169" s="27" t="n">
        <v>99</v>
      </c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</row>
    <row r="170">
      <c r="A170" s="35" t="n"/>
      <c r="B170" s="36" t="inlineStr">
        <is>
          <t>Smoremon</t>
        </is>
      </c>
      <c r="C170" s="37" t="inlineStr">
        <is>
          <t>Prairie</t>
        </is>
      </c>
      <c r="D170" s="37" t="inlineStr">
        <is>
          <t>S</t>
        </is>
      </c>
      <c r="E170" s="37" t="inlineStr">
        <is>
          <t>Devotee</t>
        </is>
      </c>
      <c r="F170" s="37" t="inlineStr">
        <is>
          <t>S</t>
        </is>
      </c>
      <c r="G170" s="1" t="n"/>
      <c r="H170" s="1" t="n"/>
      <c r="I170" s="27" t="n">
        <v>100</v>
      </c>
      <c r="J170" s="43">
        <f>60*(I169+1) + 20*MAX(I170-60, 0)</f>
        <v/>
      </c>
      <c r="K170" s="43">
        <f>SUM(OFFSET($J$70,1,0,I170))</f>
        <v/>
      </c>
      <c r="L170" s="27" t="n">
        <v>100</v>
      </c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</row>
    <row r="171">
      <c r="A171" s="35" t="n"/>
      <c r="B171" s="36" t="inlineStr">
        <is>
          <t>Mantiharpy</t>
        </is>
      </c>
      <c r="C171" s="37" t="inlineStr">
        <is>
          <t>Prairie</t>
        </is>
      </c>
      <c r="D171" s="37" t="inlineStr">
        <is>
          <t>S</t>
        </is>
      </c>
      <c r="E171" s="37" t="inlineStr">
        <is>
          <t>Devotee</t>
        </is>
      </c>
      <c r="F171" s="37" t="inlineStr">
        <is>
          <t>S</t>
        </is>
      </c>
      <c r="G171" s="1" t="n"/>
      <c r="H171" s="1" t="n"/>
      <c r="I171" s="27" t="n">
        <v>101</v>
      </c>
      <c r="J171" s="43">
        <f>60*(I170+1) + 20*MAX(I171-60, 0)</f>
        <v/>
      </c>
      <c r="K171" s="43">
        <f>SUM(OFFSET($J$70,1,0,I171))</f>
        <v/>
      </c>
      <c r="L171" s="27" t="n">
        <v>101</v>
      </c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</row>
    <row r="172">
      <c r="A172" s="35" t="n"/>
      <c r="B172" s="36" t="inlineStr">
        <is>
          <t>Crocowing</t>
        </is>
      </c>
      <c r="C172" s="37" t="inlineStr">
        <is>
          <t>Prairie</t>
        </is>
      </c>
      <c r="D172" s="37" t="inlineStr">
        <is>
          <t>S</t>
        </is>
      </c>
      <c r="E172" s="37" t="inlineStr">
        <is>
          <t>Devotee</t>
        </is>
      </c>
      <c r="F172" s="37" t="inlineStr">
        <is>
          <t>S</t>
        </is>
      </c>
      <c r="G172" s="1" t="n"/>
      <c r="H172" s="1" t="n"/>
      <c r="I172" s="27" t="n">
        <v>102</v>
      </c>
      <c r="J172" s="43">
        <f>60*(I171+1) + 20*MAX(I172-60, 0)</f>
        <v/>
      </c>
      <c r="K172" s="43">
        <f>SUM(OFFSET($J$70,1,0,I172))</f>
        <v/>
      </c>
      <c r="L172" s="27" t="n">
        <v>102</v>
      </c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</row>
    <row r="173">
      <c r="A173" s="35" t="n"/>
      <c r="B173" s="36" t="inlineStr">
        <is>
          <t>Centiger</t>
        </is>
      </c>
      <c r="C173" s="37" t="inlineStr">
        <is>
          <t>Prairie</t>
        </is>
      </c>
      <c r="D173" s="37" t="inlineStr">
        <is>
          <t>S</t>
        </is>
      </c>
      <c r="E173" s="37" t="inlineStr">
        <is>
          <t>Devotee</t>
        </is>
      </c>
      <c r="F173" s="37" t="inlineStr">
        <is>
          <t>S</t>
        </is>
      </c>
      <c r="G173" s="1" t="n"/>
      <c r="H173" s="1" t="n"/>
      <c r="I173" s="27" t="n">
        <v>103</v>
      </c>
      <c r="J173" s="43">
        <f>60*(I172+1) + 20*MAX(I173-60, 0)</f>
        <v/>
      </c>
      <c r="K173" s="43">
        <f>SUM(OFFSET($J$70,1,0,I173))</f>
        <v/>
      </c>
      <c r="L173" s="27" t="n">
        <v>103</v>
      </c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</row>
    <row r="174">
      <c r="A174" s="35" t="n"/>
      <c r="B174" s="36" t="inlineStr">
        <is>
          <t>Rattlecat</t>
        </is>
      </c>
      <c r="C174" s="37" t="inlineStr">
        <is>
          <t>Prairie</t>
        </is>
      </c>
      <c r="D174" s="37" t="inlineStr">
        <is>
          <t>Purple</t>
        </is>
      </c>
      <c r="E174" s="37" t="inlineStr">
        <is>
          <t>Devotee</t>
        </is>
      </c>
      <c r="F174" s="37" t="inlineStr">
        <is>
          <t>A</t>
        </is>
      </c>
      <c r="G174" s="1" t="n"/>
      <c r="H174" s="1" t="n"/>
      <c r="I174" s="27" t="n">
        <v>104</v>
      </c>
      <c r="J174" s="43">
        <f>60*(I173+1) + 20*MAX(I174-60, 0)</f>
        <v/>
      </c>
      <c r="K174" s="43">
        <f>SUM(OFFSET($J$70,1,0,I174))</f>
        <v/>
      </c>
      <c r="L174" s="27" t="n">
        <v>104</v>
      </c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</row>
    <row r="175">
      <c r="A175" s="35" t="n"/>
      <c r="B175" s="36" t="inlineStr">
        <is>
          <t>Sabertooth</t>
        </is>
      </c>
      <c r="C175" s="37" t="inlineStr">
        <is>
          <t>Prairie</t>
        </is>
      </c>
      <c r="D175" s="37" t="inlineStr">
        <is>
          <t>Purple</t>
        </is>
      </c>
      <c r="E175" s="37" t="inlineStr">
        <is>
          <t>Devotee</t>
        </is>
      </c>
      <c r="F175" s="37" t="inlineStr">
        <is>
          <t>A</t>
        </is>
      </c>
      <c r="G175" s="1" t="n"/>
      <c r="H175" s="1" t="n"/>
      <c r="I175" s="27" t="n">
        <v>105</v>
      </c>
      <c r="J175" s="43">
        <f>60*(I174+1) + 20*MAX(I175-60, 0)</f>
        <v/>
      </c>
      <c r="K175" s="43">
        <f>SUM(OFFSET($J$70,1,0,I175))</f>
        <v/>
      </c>
      <c r="L175" s="27" t="n">
        <v>105</v>
      </c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</row>
    <row r="176">
      <c r="A176" s="35" t="n"/>
      <c r="B176" s="27" t="inlineStr">
        <is>
          <t>Clouded Leopard</t>
        </is>
      </c>
      <c r="C176" s="10" t="inlineStr">
        <is>
          <t>Prairie</t>
        </is>
      </c>
      <c r="D176" s="10" t="inlineStr">
        <is>
          <t>Blue</t>
        </is>
      </c>
      <c r="E176" s="10" t="inlineStr">
        <is>
          <t>Devotee</t>
        </is>
      </c>
      <c r="F176" s="10" t="inlineStr">
        <is>
          <t>B</t>
        </is>
      </c>
      <c r="G176" s="1" t="n"/>
      <c r="H176" s="1" t="n"/>
      <c r="I176" s="27" t="n">
        <v>106</v>
      </c>
      <c r="J176" s="43">
        <f>60*(I175+1) + 20*MAX(I176-60, 0)</f>
        <v/>
      </c>
      <c r="K176" s="43">
        <f>SUM(OFFSET($J$70,1,0,I176))</f>
        <v/>
      </c>
      <c r="L176" s="27" t="n">
        <v>106</v>
      </c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</row>
    <row r="177">
      <c r="A177" s="35" t="n"/>
      <c r="G177" s="1" t="n"/>
      <c r="H177" s="1" t="n"/>
      <c r="I177" s="27" t="n">
        <v>107</v>
      </c>
      <c r="J177" s="43">
        <f>60*(I176+1) + 20*MAX(I177-60, 0)</f>
        <v/>
      </c>
      <c r="K177" s="43">
        <f>SUM(OFFSET($J$70,1,0,I177))</f>
        <v/>
      </c>
      <c r="L177" s="27" t="n">
        <v>107</v>
      </c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</row>
    <row r="178">
      <c r="A178" s="1" t="n"/>
      <c r="G178" s="1" t="n"/>
      <c r="H178" s="1" t="n"/>
      <c r="I178" s="27" t="n">
        <v>108</v>
      </c>
      <c r="J178" s="43">
        <f>60*(I177+1) + 20*MAX(I178-60, 0)</f>
        <v/>
      </c>
      <c r="K178" s="43">
        <f>SUM(OFFSET($J$70,1,0,I178))</f>
        <v/>
      </c>
      <c r="L178" s="27" t="n">
        <v>108</v>
      </c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</row>
    <row r="179">
      <c r="I179" s="27" t="n">
        <v>109</v>
      </c>
      <c r="J179" s="43">
        <f>60*(I178+1) + 20*MAX(I179-60, 0)</f>
        <v/>
      </c>
      <c r="K179" s="43">
        <f>SUM(OFFSET($J$70,1,0,I179))</f>
        <v/>
      </c>
      <c r="L179" s="27" t="n">
        <v>109</v>
      </c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</row>
    <row r="180">
      <c r="I180" s="27" t="n">
        <v>110</v>
      </c>
      <c r="J180" s="43">
        <f>60*(I179+1) + 20*MAX(I180-60, 0)</f>
        <v/>
      </c>
      <c r="K180" s="43">
        <f>SUM(OFFSET($J$70,1,0,I180))</f>
        <v/>
      </c>
      <c r="L180" s="27" t="n">
        <v>110</v>
      </c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</row>
    <row r="181">
      <c r="I181" s="27" t="n">
        <v>111</v>
      </c>
      <c r="J181" s="43">
        <f>60*(I180+1) + 20*MAX(I181-60, 0)</f>
        <v/>
      </c>
      <c r="K181" s="43">
        <f>SUM(OFFSET($J$70,1,0,I181))</f>
        <v/>
      </c>
      <c r="L181" s="27" t="n">
        <v>111</v>
      </c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</row>
    <row r="182">
      <c r="I182" s="27" t="n">
        <v>112</v>
      </c>
      <c r="J182" s="43">
        <f>60*(I181+1) + 20*MAX(I182-60, 0)</f>
        <v/>
      </c>
      <c r="K182" s="43">
        <f>SUM(OFFSET($J$70,1,0,I182))</f>
        <v/>
      </c>
      <c r="L182" s="27" t="n">
        <v>112</v>
      </c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</row>
    <row r="183">
      <c r="I183" s="27" t="n">
        <v>113</v>
      </c>
      <c r="J183" s="43">
        <f>60*(I182+1) + 20*MAX(I183-60, 0)</f>
        <v/>
      </c>
      <c r="K183" s="43">
        <f>SUM(OFFSET($J$70,1,0,I183))</f>
        <v/>
      </c>
      <c r="L183" s="27" t="n">
        <v>113</v>
      </c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</row>
    <row r="184">
      <c r="I184" s="27" t="n">
        <v>114</v>
      </c>
      <c r="J184" s="43">
        <f>60*(I183+1) + 20*MAX(I184-60, 0)</f>
        <v/>
      </c>
      <c r="K184" s="43">
        <f>SUM(OFFSET($J$70,1,0,I184))</f>
        <v/>
      </c>
      <c r="L184" s="27" t="n">
        <v>114</v>
      </c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</row>
    <row r="185">
      <c r="I185" s="27" t="n">
        <v>115</v>
      </c>
      <c r="J185" s="43">
        <f>60*(I184+1) + 20*MAX(I185-60, 0)</f>
        <v/>
      </c>
      <c r="K185" s="43">
        <f>SUM(OFFSET($J$70,1,0,I185))</f>
        <v/>
      </c>
      <c r="L185" s="27" t="n">
        <v>115</v>
      </c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</row>
    <row r="186">
      <c r="I186" s="27" t="n">
        <v>116</v>
      </c>
      <c r="J186" s="43">
        <f>60*(I185+1) + 20*MAX(I186-60, 0)</f>
        <v/>
      </c>
      <c r="K186" s="43">
        <f>SUM(OFFSET($J$70,1,0,I186))</f>
        <v/>
      </c>
      <c r="L186" s="27" t="n">
        <v>116</v>
      </c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</row>
    <row r="187">
      <c r="I187" s="27" t="n">
        <v>117</v>
      </c>
      <c r="J187" s="43">
        <f>60*(I186+1) + 20*MAX(I187-60, 0)</f>
        <v/>
      </c>
      <c r="K187" s="43">
        <f>SUM(OFFSET($J$70,1,0,I187))</f>
        <v/>
      </c>
      <c r="L187" s="27" t="n">
        <v>117</v>
      </c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</row>
    <row r="188">
      <c r="I188" s="27" t="n">
        <v>118</v>
      </c>
      <c r="J188" s="43">
        <f>60*(I187+1) + 20*MAX(I188-60, 0)</f>
        <v/>
      </c>
      <c r="K188" s="43">
        <f>SUM(OFFSET($J$70,1,0,I188))</f>
        <v/>
      </c>
      <c r="L188" s="27" t="n">
        <v>118</v>
      </c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</row>
    <row r="189">
      <c r="I189" s="27" t="n">
        <v>119</v>
      </c>
      <c r="J189" s="43">
        <f>60*(I188+1) + 20*MAX(I189-60, 0)</f>
        <v/>
      </c>
      <c r="K189" s="43">
        <f>SUM(OFFSET($J$70,1,0,I189))</f>
        <v/>
      </c>
      <c r="L189" s="27" t="n">
        <v>119</v>
      </c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</row>
    <row r="190">
      <c r="I190" s="27" t="n">
        <v>120</v>
      </c>
      <c r="J190" s="43">
        <f>60*(I189+1) + 20*MAX(I190-60, 0)</f>
        <v/>
      </c>
      <c r="K190" s="43">
        <f>SUM(OFFSET($J$70,1,0,I190))</f>
        <v/>
      </c>
      <c r="L190" s="27" t="n">
        <v>120</v>
      </c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</row>
    <row r="191">
      <c r="I191" s="27" t="n">
        <v>121</v>
      </c>
      <c r="J191" s="43">
        <f>60*(I190+1) + 20*MAX(I191-60, 0)</f>
        <v/>
      </c>
      <c r="K191" s="43">
        <f>SUM(OFFSET($J$70,1,0,I191))</f>
        <v/>
      </c>
      <c r="L191" s="27" t="n">
        <v>121</v>
      </c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</row>
    <row r="192">
      <c r="I192" s="27" t="n">
        <v>122</v>
      </c>
      <c r="J192" s="43">
        <f>60*(I191+1) + 20*MAX(I192-60, 0)</f>
        <v/>
      </c>
      <c r="K192" s="43">
        <f>SUM(OFFSET($J$70,1,0,I192))</f>
        <v/>
      </c>
      <c r="L192" s="27" t="n">
        <v>122</v>
      </c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</row>
    <row r="193">
      <c r="I193" s="27" t="n">
        <v>123</v>
      </c>
      <c r="J193" s="43">
        <f>60*(I192+1) + 20*MAX(I193-60, 0)</f>
        <v/>
      </c>
      <c r="K193" s="43">
        <f>SUM(OFFSET($J$70,1,0,I193))</f>
        <v/>
      </c>
      <c r="L193" s="27" t="n">
        <v>123</v>
      </c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</row>
    <row r="194">
      <c r="I194" s="27" t="n">
        <v>124</v>
      </c>
      <c r="J194" s="43">
        <f>60*(I193+1) + 20*MAX(I194-60, 0)</f>
        <v/>
      </c>
      <c r="K194" s="43">
        <f>SUM(OFFSET($J$70,1,0,I194))</f>
        <v/>
      </c>
      <c r="L194" s="27" t="n">
        <v>124</v>
      </c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</row>
    <row r="195">
      <c r="I195" s="27" t="n">
        <v>125</v>
      </c>
      <c r="J195" s="43">
        <f>60*(I194+1) + 20*MAX(I195-60, 0)</f>
        <v/>
      </c>
      <c r="K195" s="43">
        <f>SUM(OFFSET($J$70,1,0,I195))</f>
        <v/>
      </c>
      <c r="L195" s="27" t="n">
        <v>125</v>
      </c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</row>
    <row r="196">
      <c r="I196" s="27" t="n">
        <v>126</v>
      </c>
      <c r="J196" s="43">
        <f>60*(I195+1) + 20*MAX(I196-60, 0)</f>
        <v/>
      </c>
      <c r="K196" s="43">
        <f>SUM(OFFSET($J$70,1,0,I196))</f>
        <v/>
      </c>
      <c r="L196" s="27" t="n">
        <v>126</v>
      </c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</row>
    <row r="197">
      <c r="I197" s="27" t="n">
        <v>127</v>
      </c>
      <c r="J197" s="43">
        <f>60*(I196+1) + 20*MAX(I197-60, 0)</f>
        <v/>
      </c>
      <c r="K197" s="43">
        <f>SUM(OFFSET($J$70,1,0,I197))</f>
        <v/>
      </c>
      <c r="L197" s="27" t="n">
        <v>127</v>
      </c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</row>
    <row r="198">
      <c r="I198" s="27" t="n">
        <v>128</v>
      </c>
      <c r="J198" s="43">
        <f>60*(I197+1) + 20*MAX(I198-60, 0)</f>
        <v/>
      </c>
      <c r="K198" s="43">
        <f>SUM(OFFSET($J$70,1,0,I198))</f>
        <v/>
      </c>
      <c r="L198" s="27" t="n">
        <v>128</v>
      </c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</row>
    <row r="199">
      <c r="I199" s="27" t="n">
        <v>129</v>
      </c>
      <c r="J199" s="43">
        <f>60*(I198+1) + 20*MAX(I199-60, 0)</f>
        <v/>
      </c>
      <c r="K199" s="43">
        <f>SUM(OFFSET($J$70,1,0,I199))</f>
        <v/>
      </c>
      <c r="L199" s="27" t="n">
        <v>129</v>
      </c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</row>
    <row r="200">
      <c r="I200" s="27" t="n">
        <v>130</v>
      </c>
      <c r="J200" s="43">
        <f>60*(I199+1) + 20*MAX(I200-60, 0)</f>
        <v/>
      </c>
      <c r="K200" s="43">
        <f>SUM(OFFSET($J$70,1,0,I200))</f>
        <v/>
      </c>
      <c r="L200" s="27" t="n">
        <v>130</v>
      </c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</row>
    <row r="201">
      <c r="I201" s="27" t="n">
        <v>131</v>
      </c>
      <c r="J201" s="43">
        <f>60*(I200+1) + 20*MAX(I201-60, 0)</f>
        <v/>
      </c>
      <c r="K201" s="43">
        <f>SUM(OFFSET($J$70,1,0,I201))</f>
        <v/>
      </c>
      <c r="L201" s="27" t="n">
        <v>131</v>
      </c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</row>
    <row r="202">
      <c r="I202" s="27" t="n">
        <v>132</v>
      </c>
      <c r="J202" s="43">
        <f>60*(I201+1) + 20*MAX(I202-60, 0)</f>
        <v/>
      </c>
      <c r="K202" s="43">
        <f>SUM(OFFSET($J$70,1,0,I202))</f>
        <v/>
      </c>
      <c r="L202" s="27" t="n">
        <v>132</v>
      </c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</row>
    <row r="203">
      <c r="I203" s="27" t="n">
        <v>133</v>
      </c>
      <c r="J203" s="43">
        <f>60*(I202+1) + 20*MAX(I203-60, 0)</f>
        <v/>
      </c>
      <c r="K203" s="43">
        <f>SUM(OFFSET($J$70,1,0,I203))</f>
        <v/>
      </c>
      <c r="L203" s="27" t="n">
        <v>133</v>
      </c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</row>
    <row r="204">
      <c r="I204" s="27" t="n">
        <v>134</v>
      </c>
      <c r="J204" s="43">
        <f>60*(I203+1) + 20*MAX(I204-60, 0)</f>
        <v/>
      </c>
      <c r="K204" s="43">
        <f>SUM(OFFSET($J$70,1,0,I204))</f>
        <v/>
      </c>
      <c r="L204" s="27" t="n">
        <v>134</v>
      </c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</row>
    <row r="205">
      <c r="I205" s="27" t="n">
        <v>135</v>
      </c>
      <c r="J205" s="43">
        <f>60*(I204+1) + 20*MAX(I205-60, 0)</f>
        <v/>
      </c>
      <c r="K205" s="43">
        <f>SUM(OFFSET($J$70,1,0,I205))</f>
        <v/>
      </c>
      <c r="L205" s="27" t="n">
        <v>135</v>
      </c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</row>
    <row r="206">
      <c r="I206" s="27" t="n">
        <v>136</v>
      </c>
      <c r="J206" s="43">
        <f>60*(I205+1) + 20*MAX(I206-60, 0)</f>
        <v/>
      </c>
      <c r="K206" s="43">
        <f>SUM(OFFSET($J$70,1,0,I206))</f>
        <v/>
      </c>
      <c r="L206" s="27" t="n">
        <v>136</v>
      </c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</row>
    <row r="207">
      <c r="I207" s="27" t="n">
        <v>137</v>
      </c>
      <c r="J207" s="43">
        <f>60*(I206+1) + 20*MAX(I207-60, 0)</f>
        <v/>
      </c>
      <c r="K207" s="43">
        <f>SUM(OFFSET($J$70,1,0,I207))</f>
        <v/>
      </c>
      <c r="L207" s="27" t="n">
        <v>137</v>
      </c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</row>
    <row r="208">
      <c r="I208" s="27" t="n">
        <v>138</v>
      </c>
      <c r="J208" s="43">
        <f>60*(I207+1) + 20*MAX(I208-60, 0)</f>
        <v/>
      </c>
      <c r="K208" s="43">
        <f>SUM(OFFSET($J$70,1,0,I208))</f>
        <v/>
      </c>
      <c r="L208" s="27" t="n">
        <v>138</v>
      </c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</row>
    <row r="209">
      <c r="I209" s="27" t="n">
        <v>139</v>
      </c>
      <c r="J209" s="43">
        <f>60*(I208+1) + 20*MAX(I209-60, 0)</f>
        <v/>
      </c>
      <c r="K209" s="43">
        <f>SUM(OFFSET($J$70,1,0,I209))</f>
        <v/>
      </c>
      <c r="L209" s="27" t="n">
        <v>139</v>
      </c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</row>
    <row r="210">
      <c r="I210" s="27" t="n">
        <v>140</v>
      </c>
      <c r="J210" s="43">
        <f>60*(I209+1) + 20*MAX(I210-60, 0)</f>
        <v/>
      </c>
      <c r="K210" s="43">
        <f>SUM(OFFSET($J$70,1,0,I210))</f>
        <v/>
      </c>
      <c r="L210" s="27" t="n">
        <v>140</v>
      </c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</row>
    <row r="211">
      <c r="I211" s="27" t="n">
        <v>141</v>
      </c>
      <c r="J211" s="43">
        <f>60*(I210+1) + 20*MAX(I211-60, 0)</f>
        <v/>
      </c>
      <c r="K211" s="43">
        <f>SUM(OFFSET($J$70,1,0,I211))</f>
        <v/>
      </c>
      <c r="L211" s="27" t="n">
        <v>141</v>
      </c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</row>
    <row r="212">
      <c r="I212" s="27" t="n">
        <v>142</v>
      </c>
      <c r="J212" s="43">
        <f>60*(I211+1) + 20*MAX(I212-60, 0)</f>
        <v/>
      </c>
      <c r="K212" s="43">
        <f>SUM(OFFSET($J$70,1,0,I212))</f>
        <v/>
      </c>
      <c r="L212" s="27" t="n">
        <v>142</v>
      </c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</row>
    <row r="213">
      <c r="I213" s="27" t="n">
        <v>143</v>
      </c>
      <c r="J213" s="43">
        <f>60*(I212+1) + 20*MAX(I213-60, 0)</f>
        <v/>
      </c>
      <c r="K213" s="43">
        <f>SUM(OFFSET($J$70,1,0,I213))</f>
        <v/>
      </c>
      <c r="L213" s="27" t="n">
        <v>143</v>
      </c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</row>
    <row r="214">
      <c r="I214" s="27" t="n">
        <v>144</v>
      </c>
      <c r="J214" s="43">
        <f>60*(I213+1) + 20*MAX(I214-60, 0)</f>
        <v/>
      </c>
      <c r="K214" s="43">
        <f>SUM(OFFSET($J$70,1,0,I214))</f>
        <v/>
      </c>
      <c r="L214" s="27" t="n">
        <v>144</v>
      </c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</row>
    <row r="215">
      <c r="I215" s="27" t="n">
        <v>145</v>
      </c>
      <c r="J215" s="43">
        <f>60*(I214+1) + 20*MAX(I215-60, 0)</f>
        <v/>
      </c>
      <c r="K215" s="43">
        <f>SUM(OFFSET($J$70,1,0,I215))</f>
        <v/>
      </c>
      <c r="L215" s="27" t="n">
        <v>145</v>
      </c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</row>
    <row r="216">
      <c r="I216" s="27" t="n">
        <v>146</v>
      </c>
      <c r="J216" s="43">
        <f>60*(I215+1) + 20*MAX(I216-60, 0)</f>
        <v/>
      </c>
      <c r="K216" s="43">
        <f>SUM(OFFSET($J$70,1,0,I216))</f>
        <v/>
      </c>
      <c r="L216" s="27" t="n">
        <v>146</v>
      </c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</row>
    <row r="217">
      <c r="I217" s="27" t="n">
        <v>147</v>
      </c>
      <c r="J217" s="43">
        <f>60*(I216+1) + 20*MAX(I217-60, 0)</f>
        <v/>
      </c>
      <c r="K217" s="43">
        <f>SUM(OFFSET($J$70,1,0,I217))</f>
        <v/>
      </c>
      <c r="L217" s="27" t="n">
        <v>147</v>
      </c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</row>
    <row r="218">
      <c r="I218" s="27" t="n">
        <v>148</v>
      </c>
      <c r="J218" s="43">
        <f>60*(I217+1) + 20*MAX(I218-60, 0)</f>
        <v/>
      </c>
      <c r="K218" s="43">
        <f>SUM(OFFSET($J$70,1,0,I218))</f>
        <v/>
      </c>
      <c r="L218" s="27" t="n">
        <v>148</v>
      </c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</row>
    <row r="219">
      <c r="I219" s="27" t="n">
        <v>149</v>
      </c>
      <c r="J219" s="43">
        <f>60*(I218+1) + 20*MAX(I219-60, 0)</f>
        <v/>
      </c>
      <c r="K219" s="43">
        <f>SUM(OFFSET($J$70,1,0,I219))</f>
        <v/>
      </c>
      <c r="L219" s="27" t="n">
        <v>149</v>
      </c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</row>
    <row r="220">
      <c r="I220" s="27" t="n">
        <v>150</v>
      </c>
      <c r="J220" s="43">
        <f>60*(I219+1) + 20*MAX(I220-60, 0)</f>
        <v/>
      </c>
      <c r="K220" s="43">
        <f>SUM(OFFSET($J$70,1,0,I220))</f>
        <v/>
      </c>
      <c r="L220" s="27" t="n">
        <v>150</v>
      </c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</row>
    <row r="221">
      <c r="I221" s="27" t="n">
        <v>151</v>
      </c>
      <c r="J221" s="43">
        <f>60*(I220+1) + 20*MAX(I221-60, 0)</f>
        <v/>
      </c>
      <c r="K221" s="43">
        <f>SUM(OFFSET($J$70,1,0,I221))</f>
        <v/>
      </c>
      <c r="L221" s="27" t="n">
        <v>151</v>
      </c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</row>
    <row r="222">
      <c r="I222" s="27" t="n">
        <v>152</v>
      </c>
      <c r="J222" s="43">
        <f>60*(I221+1) + 20*MAX(I222-60, 0)</f>
        <v/>
      </c>
      <c r="K222" s="43">
        <f>SUM(OFFSET($J$70,1,0,I222))</f>
        <v/>
      </c>
      <c r="L222" s="27" t="n">
        <v>152</v>
      </c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</row>
    <row r="223">
      <c r="I223" s="27" t="n">
        <v>153</v>
      </c>
      <c r="J223" s="43">
        <f>60*(I222+1) + 20*MAX(I223-60, 0)</f>
        <v/>
      </c>
      <c r="K223" s="43">
        <f>SUM(OFFSET($J$70,1,0,I223))</f>
        <v/>
      </c>
      <c r="L223" s="27" t="n">
        <v>153</v>
      </c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</row>
    <row r="224">
      <c r="I224" s="27" t="n">
        <v>154</v>
      </c>
      <c r="J224" s="43">
        <f>60*(I223+1) + 20*MAX(I224-60, 0)</f>
        <v/>
      </c>
      <c r="K224" s="43">
        <f>SUM(OFFSET($J$70,1,0,I224))</f>
        <v/>
      </c>
      <c r="L224" s="27" t="n">
        <v>154</v>
      </c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</row>
    <row r="225">
      <c r="I225" s="27" t="n">
        <v>155</v>
      </c>
      <c r="J225" s="43">
        <f>60*(I224+1) + 20*MAX(I225-60, 0)</f>
        <v/>
      </c>
      <c r="K225" s="43">
        <f>SUM(OFFSET($J$70,1,0,I225))</f>
        <v/>
      </c>
      <c r="L225" s="27" t="n">
        <v>155</v>
      </c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</row>
    <row r="226">
      <c r="I226" s="27" t="n">
        <v>156</v>
      </c>
      <c r="J226" s="43">
        <f>60*(I225+1) + 20*MAX(I226-60, 0)</f>
        <v/>
      </c>
      <c r="K226" s="43">
        <f>SUM(OFFSET($J$70,1,0,I226))</f>
        <v/>
      </c>
      <c r="L226" s="27" t="n">
        <v>156</v>
      </c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</row>
    <row r="227">
      <c r="I227" s="27" t="n">
        <v>157</v>
      </c>
      <c r="J227" s="43">
        <f>60*(I226+1) + 20*MAX(I227-60, 0)</f>
        <v/>
      </c>
      <c r="K227" s="43">
        <f>SUM(OFFSET($J$70,1,0,I227))</f>
        <v/>
      </c>
      <c r="L227" s="27" t="n">
        <v>157</v>
      </c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</row>
    <row r="228">
      <c r="I228" s="27" t="n">
        <v>158</v>
      </c>
      <c r="J228" s="43">
        <f>60*(I227+1) + 20*MAX(I228-60, 0)</f>
        <v/>
      </c>
      <c r="K228" s="43">
        <f>SUM(OFFSET($J$70,1,0,I228))</f>
        <v/>
      </c>
      <c r="L228" s="27" t="n">
        <v>158</v>
      </c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</row>
    <row r="229">
      <c r="I229" s="27" t="n">
        <v>159</v>
      </c>
      <c r="J229" s="43">
        <f>60*(I228+1) + 20*MAX(I229-60, 0)</f>
        <v/>
      </c>
      <c r="K229" s="43">
        <f>SUM(OFFSET($J$70,1,0,I229))</f>
        <v/>
      </c>
      <c r="L229" s="27" t="n">
        <v>159</v>
      </c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</row>
    <row r="230">
      <c r="I230" s="27" t="n">
        <v>160</v>
      </c>
      <c r="J230" s="43">
        <f>60*(I229+1) + 20*MAX(I230-60, 0)</f>
        <v/>
      </c>
      <c r="K230" s="43">
        <f>SUM(OFFSET($J$70,1,0,I230))</f>
        <v/>
      </c>
      <c r="L230" s="27" t="n">
        <v>160</v>
      </c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</row>
    <row r="231">
      <c r="I231" s="27" t="n">
        <v>161</v>
      </c>
      <c r="J231" s="43">
        <f>60*(I230+1) + 20*MAX(I231-60, 0)</f>
        <v/>
      </c>
      <c r="K231" s="43">
        <f>SUM(OFFSET($J$70,1,0,I231))</f>
        <v/>
      </c>
      <c r="L231" s="27" t="n">
        <v>161</v>
      </c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</row>
    <row r="232">
      <c r="I232" s="27" t="n">
        <v>162</v>
      </c>
      <c r="J232" s="43">
        <f>60*(I231+1) + 20*MAX(I232-60, 0)</f>
        <v/>
      </c>
      <c r="K232" s="43">
        <f>SUM(OFFSET($J$70,1,0,I232))</f>
        <v/>
      </c>
      <c r="L232" s="27" t="n">
        <v>162</v>
      </c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</row>
    <row r="233">
      <c r="I233" s="27" t="n">
        <v>163</v>
      </c>
      <c r="J233" s="43">
        <f>60*(I232+1) + 20*MAX(I233-60, 0)</f>
        <v/>
      </c>
      <c r="K233" s="43">
        <f>SUM(OFFSET($J$70,1,0,I233))</f>
        <v/>
      </c>
      <c r="L233" s="27" t="n">
        <v>163</v>
      </c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</row>
    <row r="234">
      <c r="I234" s="27" t="n">
        <v>164</v>
      </c>
      <c r="J234" s="43">
        <f>60*(I233+1) + 20*MAX(I234-60, 0)</f>
        <v/>
      </c>
      <c r="K234" s="43">
        <f>SUM(OFFSET($J$70,1,0,I234))</f>
        <v/>
      </c>
      <c r="L234" s="27" t="n">
        <v>164</v>
      </c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</row>
    <row r="235">
      <c r="I235" s="27" t="n">
        <v>165</v>
      </c>
      <c r="J235" s="43">
        <f>60*(I234+1) + 20*MAX(I235-60, 0)</f>
        <v/>
      </c>
      <c r="K235" s="43">
        <f>SUM(OFFSET($J$70,1,0,I235))</f>
        <v/>
      </c>
      <c r="L235" s="27" t="n">
        <v>165</v>
      </c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</row>
    <row r="236">
      <c r="I236" s="27" t="n">
        <v>166</v>
      </c>
      <c r="J236" s="43">
        <f>60*(I235+1) + 20*MAX(I236-60, 0)</f>
        <v/>
      </c>
      <c r="K236" s="43">
        <f>SUM(OFFSET($J$70,1,0,I236))</f>
        <v/>
      </c>
      <c r="L236" s="27" t="n">
        <v>166</v>
      </c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</row>
    <row r="237">
      <c r="I237" s="27" t="n">
        <v>167</v>
      </c>
      <c r="J237" s="43">
        <f>60*(I236+1) + 20*MAX(I237-60, 0)</f>
        <v/>
      </c>
      <c r="K237" s="43">
        <f>SUM(OFFSET($J$70,1,0,I237))</f>
        <v/>
      </c>
      <c r="L237" s="27" t="n">
        <v>167</v>
      </c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</row>
    <row r="238">
      <c r="I238" s="27" t="n">
        <v>168</v>
      </c>
      <c r="J238" s="43">
        <f>60*(I237+1) + 20*MAX(I238-60, 0)</f>
        <v/>
      </c>
      <c r="K238" s="43">
        <f>SUM(OFFSET($J$70,1,0,I238))</f>
        <v/>
      </c>
      <c r="L238" s="27" t="n">
        <v>168</v>
      </c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</row>
    <row r="239">
      <c r="I239" s="27" t="n">
        <v>169</v>
      </c>
      <c r="J239" s="43">
        <f>60*(I238+1) + 20*MAX(I239-60, 0)</f>
        <v/>
      </c>
      <c r="K239" s="43">
        <f>SUM(OFFSET($J$70,1,0,I239))</f>
        <v/>
      </c>
      <c r="L239" s="27" t="n">
        <v>169</v>
      </c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</row>
    <row r="240">
      <c r="I240" s="27" t="n">
        <v>170</v>
      </c>
      <c r="J240" s="43">
        <f>60*(I239+1) + 20*MAX(I240-60, 0)</f>
        <v/>
      </c>
      <c r="K240" s="43">
        <f>SUM(OFFSET($J$70,1,0,I240))</f>
        <v/>
      </c>
      <c r="L240" s="27" t="n">
        <v>170</v>
      </c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</row>
    <row r="241">
      <c r="I241" s="27" t="n">
        <v>171</v>
      </c>
      <c r="J241" s="43">
        <f>60*(I240+1) + 20*MAX(I241-60, 0)</f>
        <v/>
      </c>
      <c r="K241" s="43">
        <f>SUM(OFFSET($J$70,1,0,I241))</f>
        <v/>
      </c>
      <c r="L241" s="27" t="n">
        <v>171</v>
      </c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</row>
    <row r="242">
      <c r="I242" s="27" t="n">
        <v>172</v>
      </c>
      <c r="J242" s="43">
        <f>60*(I241+1) + 20*MAX(I242-60, 0)</f>
        <v/>
      </c>
      <c r="K242" s="43">
        <f>SUM(OFFSET($J$70,1,0,I242))</f>
        <v/>
      </c>
      <c r="L242" s="27" t="n">
        <v>172</v>
      </c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</row>
    <row r="243">
      <c r="I243" s="27" t="n">
        <v>173</v>
      </c>
      <c r="J243" s="43">
        <f>60*(I242+1) + 20*MAX(I243-60, 0)</f>
        <v/>
      </c>
      <c r="K243" s="43">
        <f>SUM(OFFSET($J$70,1,0,I243))</f>
        <v/>
      </c>
      <c r="L243" s="27" t="n">
        <v>173</v>
      </c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</row>
    <row r="244">
      <c r="I244" s="27" t="n">
        <v>174</v>
      </c>
      <c r="J244" s="43">
        <f>60*(I243+1) + 20*MAX(I244-60, 0)</f>
        <v/>
      </c>
      <c r="K244" s="43">
        <f>SUM(OFFSET($J$70,1,0,I244))</f>
        <v/>
      </c>
      <c r="L244" s="27" t="n">
        <v>174</v>
      </c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</row>
    <row r="245">
      <c r="I245" s="27" t="n">
        <v>175</v>
      </c>
      <c r="J245" s="43">
        <f>60*(I244+1) + 20*MAX(I245-60, 0)</f>
        <v/>
      </c>
      <c r="K245" s="43">
        <f>SUM(OFFSET($J$70,1,0,I245))</f>
        <v/>
      </c>
      <c r="L245" s="27" t="n">
        <v>175</v>
      </c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</row>
    <row r="246">
      <c r="I246" s="27" t="n">
        <v>176</v>
      </c>
      <c r="J246" s="43">
        <f>60*(I245+1) + 20*MAX(I246-60, 0)</f>
        <v/>
      </c>
      <c r="K246" s="43">
        <f>SUM(OFFSET($J$70,1,0,I246))</f>
        <v/>
      </c>
      <c r="L246" s="27" t="n">
        <v>176</v>
      </c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</row>
    <row r="247">
      <c r="I247" s="27" t="n">
        <v>177</v>
      </c>
      <c r="J247" s="43">
        <f>60*(I246+1) + 20*MAX(I247-60, 0)</f>
        <v/>
      </c>
      <c r="K247" s="43">
        <f>SUM(OFFSET($J$70,1,0,I247))</f>
        <v/>
      </c>
      <c r="L247" s="27" t="n">
        <v>177</v>
      </c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</row>
    <row r="248">
      <c r="I248" s="27" t="n">
        <v>178</v>
      </c>
      <c r="J248" s="43">
        <f>60*(I247+1) + 20*MAX(I248-60, 0)</f>
        <v/>
      </c>
      <c r="K248" s="43">
        <f>SUM(OFFSET($J$70,1,0,I248))</f>
        <v/>
      </c>
      <c r="L248" s="27" t="n">
        <v>178</v>
      </c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</row>
    <row r="249">
      <c r="I249" s="27" t="n">
        <v>179</v>
      </c>
      <c r="J249" s="43">
        <f>60*(I248+1) + 20*MAX(I249-60, 0)</f>
        <v/>
      </c>
      <c r="K249" s="43">
        <f>SUM(OFFSET($J$70,1,0,I249))</f>
        <v/>
      </c>
      <c r="L249" s="27" t="n">
        <v>179</v>
      </c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</row>
    <row r="250">
      <c r="I250" s="27" t="n">
        <v>180</v>
      </c>
      <c r="J250" s="43">
        <f>60*(I249+1) + 20*MAX(I250-60, 0)</f>
        <v/>
      </c>
      <c r="K250" s="43">
        <f>SUM(OFFSET($J$70,1,0,I250))</f>
        <v/>
      </c>
      <c r="L250" s="27" t="n">
        <v>180</v>
      </c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</row>
    <row r="251">
      <c r="I251" s="27" t="n">
        <v>181</v>
      </c>
      <c r="J251" s="43">
        <f>60*(I250+1) + 20*MAX(I251-60, 0)</f>
        <v/>
      </c>
      <c r="K251" s="43">
        <f>SUM(OFFSET($J$70,1,0,I251))</f>
        <v/>
      </c>
      <c r="L251" s="27" t="n">
        <v>181</v>
      </c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</row>
    <row r="252">
      <c r="I252" s="27" t="n">
        <v>182</v>
      </c>
      <c r="J252" s="43">
        <f>60*(I251+1) + 20*MAX(I252-60, 0)</f>
        <v/>
      </c>
      <c r="K252" s="43">
        <f>SUM(OFFSET($J$70,1,0,I252))</f>
        <v/>
      </c>
      <c r="L252" s="27" t="n">
        <v>182</v>
      </c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</row>
    <row r="253">
      <c r="I253" s="27" t="n">
        <v>183</v>
      </c>
      <c r="J253" s="43">
        <f>60*(I252+1) + 20*MAX(I253-60, 0)</f>
        <v/>
      </c>
      <c r="K253" s="43">
        <f>SUM(OFFSET($J$70,1,0,I253))</f>
        <v/>
      </c>
      <c r="L253" s="27" t="n">
        <v>183</v>
      </c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</row>
    <row r="254">
      <c r="I254" s="27" t="n">
        <v>184</v>
      </c>
      <c r="J254" s="43">
        <f>60*(I253+1) + 20*MAX(I254-60, 0)</f>
        <v/>
      </c>
      <c r="K254" s="43">
        <f>SUM(OFFSET($J$70,1,0,I254))</f>
        <v/>
      </c>
      <c r="L254" s="27" t="n">
        <v>184</v>
      </c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</row>
    <row r="255">
      <c r="I255" s="27" t="n">
        <v>185</v>
      </c>
      <c r="J255" s="43">
        <f>60*(I254+1) + 20*MAX(I255-60, 0)</f>
        <v/>
      </c>
      <c r="K255" s="43">
        <f>SUM(OFFSET($J$70,1,0,I255))</f>
        <v/>
      </c>
      <c r="L255" s="27" t="n">
        <v>185</v>
      </c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</row>
    <row r="256">
      <c r="I256" s="27" t="n">
        <v>186</v>
      </c>
      <c r="J256" s="43">
        <f>60*(I255+1) + 20*MAX(I256-60, 0)</f>
        <v/>
      </c>
      <c r="K256" s="43">
        <f>SUM(OFFSET($J$70,1,0,I256))</f>
        <v/>
      </c>
      <c r="L256" s="27" t="n">
        <v>186</v>
      </c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</row>
    <row r="257">
      <c r="I257" s="27" t="n">
        <v>187</v>
      </c>
      <c r="J257" s="43">
        <f>60*(I256+1) + 20*MAX(I257-60, 0)</f>
        <v/>
      </c>
      <c r="K257" s="43">
        <f>SUM(OFFSET($J$70,1,0,I257))</f>
        <v/>
      </c>
      <c r="L257" s="27" t="n">
        <v>187</v>
      </c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</row>
    <row r="258">
      <c r="I258" s="27" t="n">
        <v>188</v>
      </c>
      <c r="J258" s="43">
        <f>60*(I257+1) + 20*MAX(I258-60, 0)</f>
        <v/>
      </c>
      <c r="K258" s="43">
        <f>SUM(OFFSET($J$70,1,0,I258))</f>
        <v/>
      </c>
      <c r="L258" s="27" t="n">
        <v>188</v>
      </c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</row>
    <row r="259">
      <c r="I259" s="27" t="n">
        <v>189</v>
      </c>
      <c r="J259" s="43">
        <f>60*(I258+1) + 20*MAX(I259-60, 0)</f>
        <v/>
      </c>
      <c r="K259" s="43">
        <f>SUM(OFFSET($J$70,1,0,I259))</f>
        <v/>
      </c>
      <c r="L259" s="27" t="n">
        <v>189</v>
      </c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</row>
    <row r="260">
      <c r="I260" s="27" t="n">
        <v>190</v>
      </c>
      <c r="J260" s="43">
        <f>60*(I259+1) + 20*MAX(I260-60, 0)</f>
        <v/>
      </c>
      <c r="K260" s="43">
        <f>SUM(OFFSET($J$70,1,0,I260))</f>
        <v/>
      </c>
      <c r="L260" s="27" t="n">
        <v>190</v>
      </c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</row>
    <row r="261">
      <c r="I261" s="27" t="n">
        <v>191</v>
      </c>
      <c r="J261" s="43">
        <f>60*(I260+1) + 20*MAX(I261-60, 0)</f>
        <v/>
      </c>
      <c r="K261" s="43">
        <f>SUM(OFFSET($J$70,1,0,I261))</f>
        <v/>
      </c>
      <c r="L261" s="27" t="n">
        <v>191</v>
      </c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</row>
    <row r="262">
      <c r="I262" s="27" t="n">
        <v>192</v>
      </c>
      <c r="J262" s="43">
        <f>60*(I261+1) + 20*MAX(I262-60, 0)</f>
        <v/>
      </c>
      <c r="K262" s="43">
        <f>SUM(OFFSET($J$70,1,0,I262))</f>
        <v/>
      </c>
      <c r="L262" s="27" t="n">
        <v>192</v>
      </c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</row>
    <row r="263">
      <c r="I263" s="27" t="n">
        <v>193</v>
      </c>
      <c r="J263" s="43">
        <f>60*(I262+1) + 20*MAX(I263-60, 0)</f>
        <v/>
      </c>
      <c r="K263" s="43">
        <f>SUM(OFFSET($J$70,1,0,I263))</f>
        <v/>
      </c>
      <c r="L263" s="27" t="n">
        <v>193</v>
      </c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</row>
    <row r="264">
      <c r="I264" s="27" t="n">
        <v>194</v>
      </c>
      <c r="J264" s="43">
        <f>60*(I263+1) + 20*MAX(I264-60, 0)</f>
        <v/>
      </c>
      <c r="K264" s="43">
        <f>SUM(OFFSET($J$70,1,0,I264))</f>
        <v/>
      </c>
      <c r="L264" s="27" t="n">
        <v>194</v>
      </c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</row>
    <row r="265">
      <c r="I265" s="27" t="n">
        <v>195</v>
      </c>
      <c r="J265" s="43">
        <f>60*(I264+1) + 20*MAX(I265-60, 0)</f>
        <v/>
      </c>
      <c r="K265" s="43">
        <f>SUM(OFFSET($J$70,1,0,I265))</f>
        <v/>
      </c>
      <c r="L265" s="27" t="n">
        <v>195</v>
      </c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</row>
    <row r="266">
      <c r="I266" s="27" t="n">
        <v>196</v>
      </c>
      <c r="J266" s="43">
        <f>60*(I265+1) + 20*MAX(I266-60, 0)</f>
        <v/>
      </c>
      <c r="K266" s="43">
        <f>SUM(OFFSET($J$70,1,0,I266))</f>
        <v/>
      </c>
      <c r="L266" s="27" t="n">
        <v>196</v>
      </c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</row>
    <row r="267">
      <c r="I267" s="27" t="n">
        <v>197</v>
      </c>
      <c r="J267" s="43">
        <f>60*(I266+1) + 20*MAX(I267-60, 0)</f>
        <v/>
      </c>
      <c r="K267" s="43">
        <f>SUM(OFFSET($J$70,1,0,I267))</f>
        <v/>
      </c>
      <c r="L267" s="27" t="n">
        <v>197</v>
      </c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</row>
    <row r="268">
      <c r="I268" s="27" t="n">
        <v>198</v>
      </c>
      <c r="J268" s="43">
        <f>60*(I267+1) + 20*MAX(I268-60, 0)</f>
        <v/>
      </c>
      <c r="K268" s="43">
        <f>SUM(OFFSET($J$70,1,0,I268))</f>
        <v/>
      </c>
      <c r="L268" s="27" t="n">
        <v>198</v>
      </c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</row>
    <row r="269">
      <c r="I269" s="27" t="n">
        <v>199</v>
      </c>
      <c r="J269" s="43">
        <f>60*(I268+1) + 20*MAX(I269-60, 0)</f>
        <v/>
      </c>
      <c r="K269" s="43">
        <f>SUM(OFFSET($J$70,1,0,I269))</f>
        <v/>
      </c>
      <c r="L269" s="27" t="n">
        <v>199</v>
      </c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</row>
    <row r="270">
      <c r="I270" s="27" t="n">
        <v>200</v>
      </c>
      <c r="J270" s="43">
        <f>60*(I269+1) + 20*MAX(I270-60, 0)</f>
        <v/>
      </c>
      <c r="K270" s="43">
        <f>SUM(OFFSET($J$70,1,0,I270))</f>
        <v/>
      </c>
      <c r="L270" s="27" t="n">
        <v>200</v>
      </c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</row>
    <row r="271">
      <c r="I271" s="27" t="n">
        <v>201</v>
      </c>
      <c r="J271" s="43">
        <f>60*(I270+1) + 20*MAX(I271-60, 0)</f>
        <v/>
      </c>
      <c r="K271" s="43">
        <f>SUM(OFFSET($J$70,1,0,I271))</f>
        <v/>
      </c>
      <c r="L271" s="27" t="n">
        <v>201</v>
      </c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</row>
    <row r="272">
      <c r="I272" s="27" t="n">
        <v>202</v>
      </c>
      <c r="J272" s="43">
        <f>60*(I271+1) + 20*MAX(I272-60, 0)</f>
        <v/>
      </c>
      <c r="K272" s="43">
        <f>SUM(OFFSET($J$70,1,0,I272))</f>
        <v/>
      </c>
      <c r="L272" s="27" t="n">
        <v>202</v>
      </c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</row>
    <row r="273">
      <c r="I273" s="27" t="n">
        <v>203</v>
      </c>
      <c r="J273" s="43">
        <f>60*(I272+1) + 20*MAX(I273-60, 0)</f>
        <v/>
      </c>
      <c r="K273" s="43">
        <f>SUM(OFFSET($J$70,1,0,I273))</f>
        <v/>
      </c>
      <c r="L273" s="27" t="n">
        <v>203</v>
      </c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</row>
    <row r="274">
      <c r="I274" s="27" t="n">
        <v>204</v>
      </c>
      <c r="J274" s="43">
        <f>60*(I273+1) + 20*MAX(I274-60, 0)</f>
        <v/>
      </c>
      <c r="K274" s="43">
        <f>SUM(OFFSET($J$70,1,0,I274))</f>
        <v/>
      </c>
      <c r="L274" s="27" t="n">
        <v>204</v>
      </c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</row>
    <row r="275">
      <c r="I275" s="27" t="n">
        <v>205</v>
      </c>
      <c r="J275" s="43">
        <f>60*(I274+1) + 20*MAX(I275-60, 0)</f>
        <v/>
      </c>
      <c r="K275" s="43">
        <f>SUM(OFFSET($J$70,1,0,I275))</f>
        <v/>
      </c>
      <c r="L275" s="27" t="n">
        <v>205</v>
      </c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</row>
    <row r="276">
      <c r="I276" s="27" t="n">
        <v>206</v>
      </c>
      <c r="J276" s="43">
        <f>60*(I275+1) + 20*MAX(I276-60, 0)</f>
        <v/>
      </c>
      <c r="K276" s="43">
        <f>SUM(OFFSET($J$70,1,0,I276))</f>
        <v/>
      </c>
      <c r="L276" s="27" t="n">
        <v>206</v>
      </c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</row>
    <row r="277">
      <c r="I277" s="27" t="n">
        <v>207</v>
      </c>
      <c r="J277" s="43">
        <f>60*(I276+1) + 20*MAX(I277-60, 0)</f>
        <v/>
      </c>
      <c r="K277" s="43">
        <f>SUM(OFFSET($J$70,1,0,I277))</f>
        <v/>
      </c>
      <c r="L277" s="27" t="n">
        <v>207</v>
      </c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</row>
    <row r="278">
      <c r="I278" s="27" t="n">
        <v>208</v>
      </c>
      <c r="J278" s="43">
        <f>60*(I277+1) + 20*MAX(I278-60, 0)</f>
        <v/>
      </c>
      <c r="K278" s="43">
        <f>SUM(OFFSET($J$70,1,0,I278))</f>
        <v/>
      </c>
      <c r="L278" s="27" t="n">
        <v>208</v>
      </c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</row>
    <row r="279">
      <c r="I279" s="27" t="n">
        <v>209</v>
      </c>
      <c r="J279" s="43">
        <f>60*(I278+1) + 20*MAX(I279-60, 0)</f>
        <v/>
      </c>
      <c r="K279" s="43">
        <f>SUM(OFFSET($J$70,1,0,I279))</f>
        <v/>
      </c>
      <c r="L279" s="27" t="n">
        <v>209</v>
      </c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</row>
    <row r="280">
      <c r="I280" s="27" t="n">
        <v>210</v>
      </c>
      <c r="J280" s="43">
        <f>60*(I279+1) + 20*MAX(I280-60, 0)</f>
        <v/>
      </c>
      <c r="K280" s="43">
        <f>SUM(OFFSET($J$70,1,0,I280))</f>
        <v/>
      </c>
      <c r="L280" s="27" t="n">
        <v>210</v>
      </c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</row>
    <row r="281">
      <c r="I281" s="27" t="n">
        <v>211</v>
      </c>
      <c r="J281" s="43">
        <f>60*(I280+1) + 20*MAX(I281-60, 0)</f>
        <v/>
      </c>
      <c r="K281" s="43">
        <f>SUM(OFFSET($J$70,1,0,I281))</f>
        <v/>
      </c>
      <c r="L281" s="27" t="n">
        <v>211</v>
      </c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</row>
    <row r="282">
      <c r="I282" s="27" t="n">
        <v>212</v>
      </c>
      <c r="J282" s="43">
        <f>60*(I281+1) + 20*MAX(I282-60, 0)</f>
        <v/>
      </c>
      <c r="K282" s="43">
        <f>SUM(OFFSET($J$70,1,0,I282))</f>
        <v/>
      </c>
      <c r="L282" s="27" t="n">
        <v>212</v>
      </c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</row>
    <row r="283">
      <c r="I283" s="27" t="n">
        <v>213</v>
      </c>
      <c r="J283" s="43">
        <f>60*(I282+1) + 20*MAX(I283-60, 0)</f>
        <v/>
      </c>
      <c r="K283" s="43">
        <f>SUM(OFFSET($J$70,1,0,I283))</f>
        <v/>
      </c>
      <c r="L283" s="27" t="n">
        <v>213</v>
      </c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</row>
    <row r="284">
      <c r="I284" s="27" t="n">
        <v>214</v>
      </c>
      <c r="J284" s="43">
        <f>60*(I283+1) + 20*MAX(I284-60, 0)</f>
        <v/>
      </c>
      <c r="K284" s="43">
        <f>SUM(OFFSET($J$70,1,0,I284))</f>
        <v/>
      </c>
      <c r="L284" s="27" t="n">
        <v>214</v>
      </c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</row>
    <row r="285">
      <c r="I285" s="27" t="n">
        <v>215</v>
      </c>
      <c r="J285" s="43">
        <f>60*(I284+1) + 20*MAX(I285-60, 0)</f>
        <v/>
      </c>
      <c r="K285" s="43">
        <f>SUM(OFFSET($J$70,1,0,I285))</f>
        <v/>
      </c>
      <c r="L285" s="27" t="n">
        <v>215</v>
      </c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</row>
    <row r="286">
      <c r="I286" s="27" t="n">
        <v>216</v>
      </c>
      <c r="J286" s="43">
        <f>60*(I285+1) + 20*MAX(I286-60, 0)</f>
        <v/>
      </c>
      <c r="K286" s="43">
        <f>SUM(OFFSET($J$70,1,0,I286))</f>
        <v/>
      </c>
      <c r="L286" s="27" t="n">
        <v>216</v>
      </c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</row>
    <row r="287">
      <c r="I287" s="27" t="n">
        <v>217</v>
      </c>
      <c r="J287" s="43">
        <f>60*(I286+1) + 20*MAX(I287-60, 0)</f>
        <v/>
      </c>
      <c r="K287" s="43">
        <f>SUM(OFFSET($J$70,1,0,I287))</f>
        <v/>
      </c>
      <c r="L287" s="27" t="n">
        <v>217</v>
      </c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</row>
    <row r="288">
      <c r="I288" s="27" t="n">
        <v>218</v>
      </c>
      <c r="J288" s="43">
        <f>60*(I287+1) + 20*MAX(I288-60, 0)</f>
        <v/>
      </c>
      <c r="K288" s="43">
        <f>SUM(OFFSET($J$70,1,0,I288))</f>
        <v/>
      </c>
      <c r="L288" s="27" t="n">
        <v>218</v>
      </c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</row>
    <row r="289">
      <c r="I289" s="27" t="n">
        <v>219</v>
      </c>
      <c r="J289" s="43">
        <f>60*(I288+1) + 20*MAX(I289-60, 0)</f>
        <v/>
      </c>
      <c r="K289" s="43">
        <f>SUM(OFFSET($J$70,1,0,I289))</f>
        <v/>
      </c>
      <c r="L289" s="27" t="n">
        <v>219</v>
      </c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</row>
    <row r="290">
      <c r="I290" s="27" t="n">
        <v>220</v>
      </c>
      <c r="J290" s="43">
        <f>60*(I289+1) + 20*MAX(I290-60, 0)</f>
        <v/>
      </c>
      <c r="K290" s="43">
        <f>SUM(OFFSET($J$70,1,0,I290))</f>
        <v/>
      </c>
      <c r="L290" s="27" t="n">
        <v>220</v>
      </c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</row>
    <row r="291">
      <c r="I291" s="27" t="n">
        <v>221</v>
      </c>
      <c r="J291" s="43">
        <f>60*(I290+1) + 20*MAX(I291-60, 0)</f>
        <v/>
      </c>
      <c r="K291" s="43">
        <f>SUM(OFFSET($J$70,1,0,I291))</f>
        <v/>
      </c>
      <c r="L291" s="27" t="n">
        <v>221</v>
      </c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</row>
    <row r="292">
      <c r="I292" s="27" t="n">
        <v>222</v>
      </c>
      <c r="J292" s="43">
        <f>60*(I291+1) + 20*MAX(I292-60, 0)</f>
        <v/>
      </c>
      <c r="K292" s="43">
        <f>SUM(OFFSET($J$70,1,0,I292))</f>
        <v/>
      </c>
      <c r="L292" s="27" t="n">
        <v>222</v>
      </c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</row>
    <row r="293">
      <c r="I293" s="27" t="n">
        <v>223</v>
      </c>
      <c r="J293" s="43">
        <f>60*(I292+1) + 20*MAX(I293-60, 0)</f>
        <v/>
      </c>
      <c r="K293" s="43">
        <f>SUM(OFFSET($J$70,1,0,I293))</f>
        <v/>
      </c>
      <c r="L293" s="27" t="n">
        <v>223</v>
      </c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</row>
    <row r="294">
      <c r="I294" s="27" t="n">
        <v>224</v>
      </c>
      <c r="J294" s="43">
        <f>60*(I293+1) + 20*MAX(I294-60, 0)</f>
        <v/>
      </c>
      <c r="K294" s="43">
        <f>SUM(OFFSET($J$70,1,0,I294))</f>
        <v/>
      </c>
      <c r="L294" s="27" t="n">
        <v>224</v>
      </c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</row>
    <row r="295">
      <c r="I295" s="27" t="n">
        <v>225</v>
      </c>
      <c r="J295" s="43">
        <f>60*(I294+1) + 20*MAX(I295-60, 0)</f>
        <v/>
      </c>
      <c r="K295" s="43">
        <f>SUM(OFFSET($J$70,1,0,I295))</f>
        <v/>
      </c>
      <c r="L295" s="27" t="n">
        <v>225</v>
      </c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</row>
    <row r="296">
      <c r="I296" s="27" t="n">
        <v>226</v>
      </c>
      <c r="J296" s="43">
        <f>60*(I295+1) + 20*MAX(I296-60, 0)</f>
        <v/>
      </c>
      <c r="K296" s="43">
        <f>SUM(OFFSET($J$70,1,0,I296))</f>
        <v/>
      </c>
      <c r="L296" s="27" t="n">
        <v>226</v>
      </c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</row>
    <row r="297">
      <c r="I297" s="27" t="n">
        <v>227</v>
      </c>
      <c r="J297" s="43">
        <f>60*(I296+1) + 20*MAX(I297-60, 0)</f>
        <v/>
      </c>
      <c r="K297" s="43">
        <f>SUM(OFFSET($J$70,1,0,I297))</f>
        <v/>
      </c>
      <c r="L297" s="27" t="n">
        <v>227</v>
      </c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</row>
    <row r="298">
      <c r="I298" s="27" t="n">
        <v>228</v>
      </c>
      <c r="J298" s="43">
        <f>60*(I297+1) + 20*MAX(I298-60, 0)</f>
        <v/>
      </c>
      <c r="K298" s="43">
        <f>SUM(OFFSET($J$70,1,0,I298))</f>
        <v/>
      </c>
      <c r="L298" s="27" t="n">
        <v>228</v>
      </c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</row>
    <row r="299">
      <c r="I299" s="27" t="n">
        <v>229</v>
      </c>
      <c r="J299" s="43">
        <f>60*(I298+1) + 20*MAX(I299-60, 0)</f>
        <v/>
      </c>
      <c r="K299" s="43">
        <f>SUM(OFFSET($J$70,1,0,I299))</f>
        <v/>
      </c>
      <c r="L299" s="27" t="n">
        <v>229</v>
      </c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</row>
    <row r="300">
      <c r="I300" s="27" t="n">
        <v>230</v>
      </c>
      <c r="J300" s="43">
        <f>60*(I299+1) + 20*MAX(I300-60, 0)</f>
        <v/>
      </c>
      <c r="K300" s="43">
        <f>SUM(OFFSET($J$70,1,0,I300))</f>
        <v/>
      </c>
      <c r="L300" s="27" t="n">
        <v>230</v>
      </c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</row>
    <row r="301">
      <c r="I301" s="27" t="n">
        <v>231</v>
      </c>
      <c r="J301" s="43">
        <f>60*(I300+1) + 20*MAX(I301-60, 0)</f>
        <v/>
      </c>
      <c r="K301" s="43">
        <f>SUM(OFFSET($J$70,1,0,I301))</f>
        <v/>
      </c>
      <c r="L301" s="27" t="n">
        <v>231</v>
      </c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</row>
    <row r="302">
      <c r="I302" s="27" t="n">
        <v>232</v>
      </c>
      <c r="J302" s="43">
        <f>60*(I301+1) + 20*MAX(I302-60, 0)</f>
        <v/>
      </c>
      <c r="K302" s="43">
        <f>SUM(OFFSET($J$70,1,0,I302))</f>
        <v/>
      </c>
      <c r="L302" s="27" t="n">
        <v>232</v>
      </c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</row>
    <row r="303">
      <c r="I303" s="27" t="n">
        <v>233</v>
      </c>
      <c r="J303" s="43">
        <f>60*(I302+1) + 20*MAX(I303-60, 0)</f>
        <v/>
      </c>
      <c r="K303" s="43">
        <f>SUM(OFFSET($J$70,1,0,I303))</f>
        <v/>
      </c>
      <c r="L303" s="27" t="n">
        <v>233</v>
      </c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</row>
    <row r="304">
      <c r="I304" s="27" t="n">
        <v>234</v>
      </c>
      <c r="J304" s="43">
        <f>60*(I303+1) + 20*MAX(I304-60, 0)</f>
        <v/>
      </c>
      <c r="K304" s="43">
        <f>SUM(OFFSET($J$70,1,0,I304))</f>
        <v/>
      </c>
      <c r="L304" s="27" t="n">
        <v>234</v>
      </c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</row>
    <row r="305">
      <c r="I305" s="27" t="n">
        <v>235</v>
      </c>
      <c r="J305" s="43">
        <f>60*(I304+1) + 20*MAX(I305-60, 0)</f>
        <v/>
      </c>
      <c r="K305" s="43">
        <f>SUM(OFFSET($J$70,1,0,I305))</f>
        <v/>
      </c>
      <c r="L305" s="27" t="n">
        <v>235</v>
      </c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</row>
    <row r="306">
      <c r="I306" s="27" t="n">
        <v>236</v>
      </c>
      <c r="J306" s="43">
        <f>60*(I305+1) + 20*MAX(I306-60, 0)</f>
        <v/>
      </c>
      <c r="K306" s="43">
        <f>SUM(OFFSET($J$70,1,0,I306))</f>
        <v/>
      </c>
      <c r="L306" s="27" t="n">
        <v>236</v>
      </c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</row>
    <row r="307">
      <c r="I307" s="27" t="n">
        <v>237</v>
      </c>
      <c r="J307" s="43">
        <f>60*(I306+1) + 20*MAX(I307-60, 0)</f>
        <v/>
      </c>
      <c r="K307" s="43">
        <f>SUM(OFFSET($J$70,1,0,I307))</f>
        <v/>
      </c>
      <c r="L307" s="27" t="n">
        <v>237</v>
      </c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</row>
    <row r="308">
      <c r="I308" s="27" t="n">
        <v>238</v>
      </c>
      <c r="J308" s="43">
        <f>60*(I307+1) + 20*MAX(I308-60, 0)</f>
        <v/>
      </c>
      <c r="K308" s="43">
        <f>SUM(OFFSET($J$70,1,0,I308))</f>
        <v/>
      </c>
      <c r="L308" s="27" t="n">
        <v>238</v>
      </c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</row>
    <row r="309">
      <c r="I309" s="27" t="n">
        <v>239</v>
      </c>
      <c r="J309" s="43">
        <f>60*(I308+1) + 20*MAX(I309-60, 0)</f>
        <v/>
      </c>
      <c r="K309" s="43">
        <f>SUM(OFFSET($J$70,1,0,I309))</f>
        <v/>
      </c>
      <c r="L309" s="27" t="n">
        <v>239</v>
      </c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</row>
    <row r="310">
      <c r="I310" s="27" t="n">
        <v>240</v>
      </c>
      <c r="J310" s="43">
        <f>60*(I309+1) + 20*MAX(I310-60, 0)</f>
        <v/>
      </c>
      <c r="K310" s="43">
        <f>SUM(OFFSET($J$70,1,0,I310))</f>
        <v/>
      </c>
      <c r="L310" s="27" t="n">
        <v>240</v>
      </c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</row>
    <row r="311"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</row>
    <row r="312"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</row>
    <row r="313"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</row>
    <row r="314"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</row>
    <row r="315"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</row>
    <row r="316"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</row>
    <row r="317"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</row>
    <row r="318"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</row>
    <row r="319"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</row>
    <row r="320"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</row>
    <row r="321"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</row>
    <row r="322"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</row>
    <row r="323"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</row>
    <row r="324"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</row>
    <row r="325"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</row>
    <row r="326"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</row>
    <row r="327"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</row>
    <row r="328"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</row>
    <row r="329"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</row>
    <row r="330"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</row>
    <row r="331"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</row>
    <row r="332"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</row>
    <row r="333"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</row>
    <row r="334"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</row>
    <row r="335"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</row>
    <row r="336"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</row>
    <row r="337"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</row>
    <row r="338"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</row>
    <row r="339"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</row>
    <row r="340"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</row>
    <row r="341"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</row>
    <row r="342"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</row>
    <row r="343"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</row>
    <row r="344"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</row>
    <row r="345"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</row>
    <row r="346"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</row>
    <row r="347"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</row>
    <row r="348"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</row>
    <row r="349"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</row>
    <row r="350"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</row>
    <row r="351"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</row>
    <row r="352"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</row>
    <row r="353"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</row>
    <row r="354"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</row>
    <row r="355"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</row>
    <row r="356"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</row>
    <row r="357"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</row>
    <row r="358"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</row>
    <row r="359"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</row>
    <row r="360"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</row>
    <row r="361"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</row>
    <row r="362"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</row>
    <row r="363"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</row>
    <row r="364"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</row>
    <row r="365"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</row>
    <row r="366"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</row>
    <row r="367"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</row>
    <row r="368"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</row>
    <row r="369"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</row>
    <row r="370"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</row>
    <row r="371"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</row>
    <row r="372"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</row>
    <row r="373"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</row>
    <row r="374"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</row>
    <row r="375"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</row>
    <row r="376"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</row>
    <row r="377"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</row>
    <row r="378"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</row>
    <row r="379"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</row>
    <row r="380"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</row>
    <row r="381"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</row>
    <row r="382"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</row>
    <row r="383"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</row>
    <row r="384"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</row>
    <row r="385"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</row>
    <row r="386"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</row>
    <row r="387"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</row>
    <row r="388"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</row>
    <row r="389"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</row>
    <row r="390"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</row>
    <row r="391"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</row>
    <row r="392"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</row>
    <row r="393"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</row>
    <row r="394"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</row>
    <row r="395"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</row>
    <row r="396"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</row>
    <row r="397"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</row>
    <row r="398"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</row>
    <row r="399"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</row>
    <row r="400"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</row>
    <row r="401"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</row>
    <row r="402"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</row>
    <row r="403"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</row>
    <row r="404"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</row>
    <row r="405"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</row>
    <row r="406"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</row>
    <row r="407"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</row>
    <row r="408"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</row>
    <row r="409"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</row>
    <row r="410"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</row>
    <row r="411"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</row>
    <row r="412"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</row>
    <row r="413"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</row>
    <row r="414"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</row>
    <row r="415"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</row>
    <row r="416"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</row>
    <row r="417"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</row>
    <row r="418"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</row>
    <row r="419"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</row>
    <row r="420"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</row>
    <row r="421"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</row>
    <row r="422"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</row>
    <row r="423"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</row>
    <row r="424"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</row>
    <row r="425"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</row>
    <row r="426"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</row>
    <row r="427"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</row>
    <row r="428"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</row>
    <row r="429"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</row>
    <row r="430"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</row>
    <row r="431"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</row>
    <row r="432"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</row>
    <row r="433"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</row>
    <row r="434"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</row>
    <row r="435"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</row>
    <row r="436"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</row>
    <row r="437"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</row>
    <row r="438"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</row>
    <row r="439"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</row>
    <row r="440"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</row>
    <row r="441"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</row>
    <row r="442"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</row>
    <row r="443"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</row>
    <row r="444"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</row>
    <row r="445"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</row>
    <row r="446"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</row>
    <row r="447"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</row>
    <row r="448"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</row>
    <row r="449"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</row>
    <row r="450"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</row>
    <row r="451"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</row>
    <row r="452"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</row>
    <row r="453"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</row>
    <row r="454"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</row>
    <row r="455"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</row>
    <row r="456"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</row>
    <row r="457"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</row>
    <row r="458"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</row>
    <row r="459"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</row>
    <row r="460"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</row>
    <row r="461"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</row>
    <row r="462"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</row>
    <row r="463"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</row>
    <row r="464"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</row>
    <row r="465"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</row>
    <row r="466"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</row>
    <row r="467"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</row>
    <row r="468"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</row>
    <row r="469"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</row>
    <row r="470"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</row>
    <row r="471"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</row>
    <row r="472"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</row>
    <row r="473"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</row>
    <row r="474"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</row>
    <row r="475"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</row>
    <row r="476"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</row>
    <row r="477"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</row>
    <row r="478"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</row>
    <row r="479"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</row>
    <row r="480"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</row>
    <row r="481"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</row>
    <row r="482"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</row>
    <row r="483"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</row>
    <row r="484"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</row>
    <row r="485"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</row>
    <row r="486"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</row>
    <row r="487"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</row>
    <row r="488"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</row>
    <row r="489"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</row>
    <row r="490"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</row>
    <row r="491"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</row>
    <row r="492"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</row>
    <row r="493"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</row>
    <row r="494"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</row>
    <row r="495"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</row>
    <row r="496"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</row>
    <row r="497"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</row>
    <row r="498"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</row>
    <row r="499"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</row>
    <row r="500"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</row>
    <row r="501"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</row>
    <row r="502"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</row>
    <row r="503"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</row>
    <row r="504"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</row>
    <row r="505"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</row>
    <row r="506"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</row>
    <row r="507"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</row>
    <row r="508"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</row>
    <row r="509"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</row>
    <row r="510"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</row>
    <row r="511"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</row>
    <row r="512"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</row>
    <row r="513"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</row>
    <row r="514"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</row>
    <row r="515"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</row>
    <row r="516"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</row>
    <row r="517"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</row>
    <row r="518"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</row>
    <row r="519"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</row>
    <row r="520"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</row>
    <row r="521"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</row>
    <row r="522"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</row>
    <row r="523"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</row>
    <row r="524"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</row>
    <row r="525"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</row>
    <row r="526"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</row>
    <row r="527"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</row>
    <row r="528"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</row>
    <row r="529"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</row>
    <row r="530"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</row>
    <row r="531"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</row>
    <row r="532"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</row>
    <row r="533"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</row>
    <row r="534"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</row>
    <row r="535"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</row>
    <row r="536"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</row>
    <row r="537"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</row>
    <row r="538"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</row>
    <row r="539"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</row>
    <row r="540"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</row>
    <row r="541"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</row>
    <row r="542"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</row>
    <row r="543"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</row>
    <row r="544"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</row>
    <row r="545"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</row>
    <row r="546"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</row>
    <row r="547"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</row>
    <row r="548"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</row>
    <row r="549"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</row>
    <row r="550"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</row>
    <row r="551"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</row>
    <row r="552"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</row>
    <row r="553"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</row>
    <row r="554"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</row>
    <row r="555"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</row>
    <row r="556"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</row>
    <row r="557"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</row>
    <row r="558"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</row>
    <row r="559"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</row>
    <row r="560"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</row>
    <row r="561"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</row>
    <row r="562"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</row>
    <row r="563"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</row>
    <row r="564"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</row>
    <row r="565"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</row>
    <row r="566"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</row>
    <row r="567"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</row>
    <row r="568"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</row>
    <row r="569"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</row>
    <row r="570"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</row>
    <row r="571"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</row>
    <row r="572"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</row>
    <row r="573"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</row>
    <row r="574"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</row>
    <row r="575"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</row>
    <row r="576"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</row>
    <row r="577"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</row>
    <row r="578"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</row>
    <row r="579"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</row>
    <row r="580"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</row>
    <row r="581"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</row>
    <row r="582"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</row>
    <row r="583"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</row>
    <row r="584"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</row>
    <row r="585"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</row>
    <row r="586"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</row>
    <row r="587"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</row>
    <row r="588"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</row>
    <row r="589"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</row>
    <row r="590"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</row>
    <row r="591"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</row>
    <row r="592"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</row>
    <row r="593"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</row>
    <row r="594"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</row>
    <row r="595"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</row>
    <row r="596"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</row>
    <row r="597"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</row>
    <row r="598"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</row>
    <row r="599"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</row>
    <row r="600"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</row>
    <row r="601"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</row>
    <row r="602"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</row>
    <row r="603"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</row>
    <row r="604"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</row>
    <row r="605"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</row>
    <row r="606"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</row>
    <row r="607"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</row>
    <row r="608"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</row>
    <row r="609"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</row>
    <row r="610"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</row>
    <row r="611"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</row>
    <row r="612"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</row>
    <row r="613"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</row>
    <row r="614"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</row>
    <row r="615"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</row>
    <row r="616"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</row>
    <row r="617"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</row>
    <row r="618"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</row>
    <row r="619"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</row>
    <row r="620"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</row>
    <row r="621"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</row>
    <row r="622"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</row>
    <row r="623"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</row>
    <row r="624"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</row>
    <row r="625"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</row>
    <row r="626"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</row>
    <row r="627"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</row>
    <row r="628"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</row>
    <row r="629"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</row>
    <row r="630"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</row>
    <row r="631"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</row>
    <row r="632"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</row>
    <row r="633"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</row>
    <row r="634"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</row>
    <row r="635"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</row>
    <row r="636"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</row>
    <row r="637"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</row>
    <row r="638"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</row>
    <row r="639"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</row>
    <row r="640"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</row>
    <row r="641"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</row>
    <row r="642"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</row>
    <row r="643"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</row>
    <row r="644"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</row>
    <row r="645"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</row>
    <row r="646"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</row>
    <row r="647"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</row>
    <row r="648"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</row>
    <row r="649"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</row>
    <row r="650"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</row>
    <row r="651"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</row>
    <row r="652"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</row>
    <row r="653"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</row>
    <row r="654"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</row>
    <row r="655"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</row>
    <row r="656"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</row>
    <row r="657"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</row>
    <row r="658"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</row>
    <row r="659"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</row>
    <row r="660"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</row>
    <row r="661"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</row>
    <row r="662"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</row>
    <row r="663"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</row>
    <row r="664"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</row>
    <row r="665"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</row>
    <row r="666"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</row>
    <row r="667"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</row>
    <row r="668"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</row>
    <row r="669"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</row>
    <row r="670"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</row>
    <row r="671"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</row>
    <row r="672"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</row>
    <row r="673"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</row>
    <row r="674"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</row>
    <row r="675"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</row>
    <row r="676"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</row>
    <row r="677"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</row>
    <row r="678"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</row>
    <row r="679"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</row>
    <row r="680"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</row>
    <row r="681"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</row>
    <row r="682"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</row>
    <row r="683"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</row>
    <row r="684"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</row>
    <row r="685"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</row>
    <row r="686"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</row>
    <row r="687"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</row>
    <row r="688"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</row>
    <row r="689"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</row>
    <row r="690"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</row>
    <row r="691"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</row>
    <row r="692"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</row>
    <row r="693"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</row>
    <row r="694"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</row>
    <row r="695"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</row>
    <row r="696"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</row>
    <row r="697"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</row>
    <row r="698"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</row>
    <row r="699"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</row>
    <row r="700"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</row>
    <row r="701"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</row>
    <row r="702"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</row>
    <row r="703"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</row>
    <row r="704"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</row>
    <row r="705"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</row>
    <row r="706"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</row>
    <row r="707"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</row>
    <row r="708"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</row>
    <row r="709"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</row>
    <row r="710"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</row>
    <row r="711"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</row>
    <row r="712"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</row>
    <row r="713"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</row>
    <row r="714"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</row>
    <row r="715"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</row>
    <row r="716"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</row>
    <row r="717"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</row>
    <row r="718"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</row>
    <row r="719"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</row>
    <row r="720"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</row>
    <row r="721"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</row>
    <row r="722"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</row>
    <row r="723"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</row>
    <row r="724"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</row>
    <row r="725"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</row>
    <row r="726"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</row>
    <row r="727"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</row>
    <row r="728"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</row>
    <row r="729"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</row>
    <row r="730"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</row>
    <row r="731"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</row>
    <row r="732"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</row>
    <row r="733"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</row>
    <row r="734"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</row>
    <row r="735"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</row>
    <row r="736"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</row>
    <row r="737"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</row>
    <row r="738"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</row>
    <row r="739"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</row>
    <row r="740"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</row>
    <row r="741"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</row>
    <row r="742"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</row>
    <row r="743"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</row>
    <row r="744"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</row>
    <row r="745"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</row>
    <row r="746"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</row>
    <row r="747"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</row>
    <row r="748"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</row>
    <row r="749"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</row>
    <row r="750"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</row>
    <row r="751"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</row>
    <row r="752"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</row>
    <row r="753"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</row>
    <row r="754"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</row>
    <row r="755"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</row>
    <row r="756"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</row>
    <row r="757"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</row>
    <row r="758"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</row>
    <row r="759"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</row>
    <row r="760"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</row>
    <row r="761"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</row>
    <row r="762"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</row>
    <row r="763"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</row>
    <row r="764"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</row>
    <row r="765"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</row>
    <row r="766"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</row>
    <row r="767"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</row>
    <row r="768"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</row>
    <row r="769"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</row>
    <row r="770"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</row>
    <row r="771"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</row>
    <row r="772"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</row>
    <row r="773"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</row>
    <row r="774"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</row>
    <row r="775"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</row>
    <row r="776"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</row>
    <row r="777"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</row>
    <row r="778"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</row>
    <row r="779"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</row>
    <row r="780"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</row>
    <row r="781"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</row>
    <row r="782"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</row>
    <row r="783"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</row>
    <row r="784"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</row>
    <row r="785"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</row>
    <row r="786"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</row>
    <row r="787"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</row>
    <row r="788"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</row>
    <row r="789"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</row>
    <row r="790"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</row>
    <row r="791"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</row>
    <row r="792"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</row>
    <row r="793"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</row>
    <row r="794"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</row>
    <row r="795"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</row>
    <row r="796"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</row>
    <row r="797"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</row>
    <row r="798"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</row>
    <row r="799"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</row>
    <row r="800"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</row>
    <row r="801"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</row>
    <row r="802"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</row>
    <row r="803"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</row>
    <row r="804"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</row>
    <row r="805"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</row>
    <row r="806"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</row>
    <row r="807"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</row>
    <row r="808"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</row>
    <row r="809"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</row>
    <row r="810"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</row>
    <row r="811"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</row>
    <row r="812"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</row>
    <row r="813"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</row>
    <row r="814"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</row>
    <row r="815"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</row>
    <row r="816"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</row>
    <row r="817"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</row>
    <row r="818"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</row>
    <row r="819"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</row>
    <row r="820"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</row>
    <row r="821"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</row>
    <row r="822"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</row>
    <row r="823"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</row>
    <row r="824"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</row>
    <row r="825"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</row>
    <row r="826"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</row>
    <row r="827"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</row>
    <row r="828"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</row>
    <row r="829"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</row>
    <row r="830"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</row>
    <row r="831"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</row>
    <row r="832"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</row>
    <row r="833"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</row>
    <row r="834"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</row>
    <row r="835"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</row>
    <row r="836"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</row>
    <row r="837"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</row>
    <row r="838"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</row>
    <row r="839"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</row>
    <row r="840"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</row>
    <row r="841"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</row>
    <row r="842"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</row>
    <row r="843"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</row>
    <row r="844"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</row>
    <row r="845"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</row>
    <row r="846"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</row>
    <row r="847"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</row>
    <row r="848"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</row>
    <row r="849"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</row>
    <row r="850"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</row>
    <row r="851"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</row>
    <row r="852"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</row>
    <row r="853"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</row>
    <row r="854"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</row>
    <row r="855"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</row>
    <row r="856"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</row>
    <row r="857"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</row>
    <row r="858"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</row>
    <row r="859"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</row>
    <row r="860"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</row>
    <row r="861"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</row>
    <row r="862"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</row>
    <row r="863"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</row>
    <row r="864"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</row>
    <row r="865"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</row>
    <row r="866"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</row>
    <row r="867"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</row>
    <row r="868"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</row>
    <row r="869"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</row>
    <row r="870"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</row>
    <row r="871"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</row>
    <row r="872"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</row>
    <row r="873"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</row>
    <row r="874"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</row>
    <row r="875"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</row>
    <row r="876"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</row>
    <row r="877"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</row>
    <row r="878"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</row>
    <row r="879"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</row>
    <row r="880"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</row>
    <row r="881"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</row>
    <row r="882"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</row>
    <row r="883"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</row>
    <row r="884"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</row>
    <row r="885"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</row>
    <row r="886"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</row>
    <row r="887"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</row>
    <row r="888"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</row>
    <row r="889"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</row>
    <row r="890"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</row>
    <row r="891"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</row>
    <row r="892"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</row>
    <row r="893"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</row>
    <row r="894"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</row>
    <row r="895"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</row>
    <row r="896"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</row>
    <row r="897"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</row>
    <row r="898"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</row>
    <row r="899"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</row>
    <row r="900"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</row>
    <row r="901"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</row>
    <row r="902"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</row>
    <row r="903"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</row>
    <row r="904"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</row>
    <row r="905"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</row>
    <row r="906"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</row>
    <row r="907"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</row>
    <row r="908"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</row>
    <row r="909"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</row>
    <row r="910"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</row>
    <row r="911"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</row>
    <row r="912"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</row>
    <row r="913"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</row>
    <row r="914"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</row>
    <row r="915"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</row>
    <row r="916"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</row>
    <row r="917"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</row>
    <row r="918"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</row>
    <row r="919"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</row>
    <row r="920"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</row>
    <row r="921"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</row>
    <row r="922"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</row>
    <row r="923"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</row>
    <row r="924"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</row>
    <row r="925"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</row>
    <row r="926"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</row>
    <row r="927"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</row>
    <row r="928"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</row>
    <row r="929"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</row>
    <row r="930"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</row>
    <row r="931"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</row>
    <row r="932"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</row>
    <row r="933"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</row>
    <row r="934"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</row>
    <row r="935"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</row>
    <row r="936"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</row>
    <row r="937"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</row>
    <row r="938"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</row>
    <row r="939"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</row>
    <row r="940"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</row>
    <row r="941"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</row>
    <row r="942"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</row>
    <row r="943"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</row>
    <row r="944"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</row>
    <row r="945"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</row>
    <row r="946"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</row>
    <row r="947"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</row>
    <row r="948"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</row>
    <row r="949"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</row>
    <row r="950"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</row>
    <row r="951"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</row>
    <row r="952"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</row>
    <row r="953"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</row>
    <row r="954"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</row>
    <row r="955"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</row>
    <row r="956"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</row>
    <row r="957"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</row>
    <row r="958"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</row>
    <row r="959"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</row>
    <row r="960"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</row>
    <row r="961"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</row>
    <row r="962"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</row>
    <row r="963"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</row>
    <row r="964"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</row>
    <row r="965"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</row>
    <row r="966"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</row>
    <row r="967"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</row>
    <row r="968"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</row>
    <row r="969"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</row>
    <row r="970"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</row>
    <row r="971"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</row>
    <row r="972"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</row>
    <row r="973"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</row>
    <row r="974"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</row>
    <row r="975"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</row>
    <row r="976"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</row>
    <row r="977"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</row>
    <row r="978"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</row>
    <row r="979"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</row>
    <row r="980"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</row>
    <row r="981"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</row>
    <row r="982"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</row>
    <row r="983"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</row>
    <row r="984"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</row>
    <row r="985"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</row>
    <row r="986"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</row>
    <row r="987"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</row>
    <row r="988"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</row>
    <row r="989"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</row>
    <row r="990"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</row>
    <row r="991"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</row>
    <row r="992"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</row>
    <row r="993"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</row>
    <row r="994"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</row>
    <row r="995"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</row>
    <row r="996"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</row>
    <row r="997"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</row>
    <row r="998"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</row>
    <row r="999"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</row>
    <row r="1000"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</row>
    <row r="1001"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</row>
    <row r="1002"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  <c r="AB1002" s="1" t="n"/>
    </row>
    <row r="1003"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  <c r="AA1003" s="1" t="n"/>
      <c r="AB1003" s="1" t="n"/>
    </row>
    <row r="1004"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  <c r="Z1004" s="1" t="n"/>
      <c r="AA1004" s="1" t="n"/>
      <c r="AB1004" s="1" t="n"/>
    </row>
    <row r="1005"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  <c r="Z1005" s="1" t="n"/>
      <c r="AA1005" s="1" t="n"/>
      <c r="AB1005" s="1" t="n"/>
    </row>
    <row r="1006"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  <c r="Z1006" s="1" t="n"/>
      <c r="AA1006" s="1" t="n"/>
      <c r="AB1006" s="1" t="n"/>
    </row>
    <row r="1007"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  <c r="Z1007" s="1" t="n"/>
      <c r="AA1007" s="1" t="n"/>
      <c r="AB1007" s="1" t="n"/>
    </row>
    <row r="1008">
      <c r="I1008" s="1" t="n"/>
      <c r="J1008" s="1" t="n"/>
      <c r="K1008" s="1" t="n"/>
      <c r="L1008" s="1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s="1" t="n"/>
      <c r="X1008" s="1" t="n"/>
      <c r="Y1008" s="1" t="n"/>
      <c r="Z1008" s="1" t="n"/>
      <c r="AA1008" s="1" t="n"/>
      <c r="AB1008" s="1" t="n"/>
    </row>
    <row r="1009">
      <c r="I1009" s="1" t="n"/>
      <c r="J1009" s="1" t="n"/>
      <c r="K1009" s="1" t="n"/>
      <c r="L1009" s="1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1" t="n"/>
      <c r="X1009" s="1" t="n"/>
      <c r="Y1009" s="1" t="n"/>
      <c r="Z1009" s="1" t="n"/>
      <c r="AA1009" s="1" t="n"/>
      <c r="AB1009" s="1" t="n"/>
    </row>
    <row r="1010">
      <c r="I1010" s="1" t="n"/>
      <c r="J1010" s="1" t="n"/>
      <c r="K1010" s="1" t="n"/>
      <c r="L1010" s="1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1" t="n"/>
      <c r="X1010" s="1" t="n"/>
      <c r="Y1010" s="1" t="n"/>
      <c r="Z1010" s="1" t="n"/>
      <c r="AA1010" s="1" t="n"/>
      <c r="AB1010" s="1" t="n"/>
    </row>
    <row r="1011">
      <c r="I1011" s="1" t="n"/>
      <c r="J1011" s="1" t="n"/>
      <c r="K1011" s="1" t="n"/>
      <c r="L1011" s="1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1" t="n"/>
      <c r="X1011" s="1" t="n"/>
      <c r="Y1011" s="1" t="n"/>
      <c r="Z1011" s="1" t="n"/>
      <c r="AA1011" s="1" t="n"/>
      <c r="AB1011" s="1" t="n"/>
    </row>
    <row r="1012">
      <c r="I1012" s="1" t="n"/>
      <c r="J1012" s="1" t="n"/>
      <c r="K1012" s="1" t="n"/>
      <c r="L1012" s="1" t="n"/>
      <c r="M1012" s="1" t="n"/>
      <c r="N1012" s="1" t="n"/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s="1" t="n"/>
      <c r="X1012" s="1" t="n"/>
      <c r="Y1012" s="1" t="n"/>
      <c r="Z1012" s="1" t="n"/>
      <c r="AA1012" s="1" t="n"/>
      <c r="AB1012" s="1" t="n"/>
    </row>
    <row r="1013">
      <c r="I1013" s="1" t="n"/>
      <c r="J1013" s="1" t="n"/>
      <c r="K1013" s="1" t="n"/>
      <c r="L1013" s="1" t="n"/>
      <c r="M1013" s="1" t="n"/>
      <c r="N1013" s="1" t="n"/>
      <c r="O1013" s="1" t="n"/>
      <c r="P1013" s="1" t="n"/>
      <c r="Q1013" s="1" t="n"/>
      <c r="R1013" s="1" t="n"/>
      <c r="S1013" s="1" t="n"/>
      <c r="T1013" s="1" t="n"/>
      <c r="U1013" s="1" t="n"/>
      <c r="V1013" s="1" t="n"/>
      <c r="W1013" s="1" t="n"/>
      <c r="X1013" s="1" t="n"/>
      <c r="Y1013" s="1" t="n"/>
      <c r="Z1013" s="1" t="n"/>
      <c r="AA1013" s="1" t="n"/>
      <c r="AB1013" s="1" t="n"/>
    </row>
    <row r="1014">
      <c r="I1014" s="1" t="n"/>
      <c r="J1014" s="1" t="n"/>
      <c r="K1014" s="1" t="n"/>
      <c r="L1014" s="1" t="n"/>
      <c r="M1014" s="1" t="n"/>
      <c r="N1014" s="1" t="n"/>
      <c r="O1014" s="1" t="n"/>
      <c r="P1014" s="1" t="n"/>
      <c r="Q1014" s="1" t="n"/>
      <c r="R1014" s="1" t="n"/>
      <c r="S1014" s="1" t="n"/>
      <c r="T1014" s="1" t="n"/>
      <c r="U1014" s="1" t="n"/>
      <c r="V1014" s="1" t="n"/>
      <c r="W1014" s="1" t="n"/>
      <c r="X1014" s="1" t="n"/>
      <c r="Y1014" s="1" t="n"/>
      <c r="Z1014" s="1" t="n"/>
      <c r="AA1014" s="1" t="n"/>
      <c r="AB1014" s="1" t="n"/>
    </row>
    <row r="1015">
      <c r="I1015" s="1" t="n"/>
      <c r="J1015" s="1" t="n"/>
      <c r="K1015" s="1" t="n"/>
      <c r="L1015" s="1" t="n"/>
      <c r="M1015" s="1" t="n"/>
      <c r="N1015" s="1" t="n"/>
      <c r="O1015" s="1" t="n"/>
      <c r="P1015" s="1" t="n"/>
      <c r="Q1015" s="1" t="n"/>
      <c r="R1015" s="1" t="n"/>
      <c r="S1015" s="1" t="n"/>
      <c r="T1015" s="1" t="n"/>
      <c r="U1015" s="1" t="n"/>
      <c r="V1015" s="1" t="n"/>
      <c r="W1015" s="1" t="n"/>
      <c r="X1015" s="1" t="n"/>
      <c r="Y1015" s="1" t="n"/>
      <c r="Z1015" s="1" t="n"/>
      <c r="AA1015" s="1" t="n"/>
      <c r="AB1015" s="1" t="n"/>
    </row>
    <row r="1016">
      <c r="I1016" s="1" t="n"/>
      <c r="J1016" s="1" t="n"/>
      <c r="K1016" s="1" t="n"/>
      <c r="L1016" s="1" t="n"/>
      <c r="M1016" s="1" t="n"/>
      <c r="N1016" s="1" t="n"/>
      <c r="O1016" s="1" t="n"/>
      <c r="P1016" s="1" t="n"/>
      <c r="Q1016" s="1" t="n"/>
      <c r="R1016" s="1" t="n"/>
      <c r="S1016" s="1" t="n"/>
      <c r="T1016" s="1" t="n"/>
      <c r="U1016" s="1" t="n"/>
      <c r="V1016" s="1" t="n"/>
      <c r="W1016" s="1" t="n"/>
      <c r="X1016" s="1" t="n"/>
      <c r="Y1016" s="1" t="n"/>
      <c r="Z1016" s="1" t="n"/>
      <c r="AA1016" s="1" t="n"/>
      <c r="AB1016" s="1" t="n"/>
    </row>
    <row r="1017">
      <c r="I1017" s="1" t="n"/>
      <c r="J1017" s="1" t="n"/>
      <c r="K1017" s="1" t="n"/>
      <c r="L1017" s="1" t="n"/>
      <c r="M1017" s="1" t="n"/>
      <c r="N1017" s="1" t="n"/>
      <c r="O1017" s="1" t="n"/>
      <c r="P1017" s="1" t="n"/>
      <c r="Q1017" s="1" t="n"/>
      <c r="R1017" s="1" t="n"/>
      <c r="S1017" s="1" t="n"/>
      <c r="T1017" s="1" t="n"/>
      <c r="U1017" s="1" t="n"/>
      <c r="V1017" s="1" t="n"/>
      <c r="W1017" s="1" t="n"/>
      <c r="X1017" s="1" t="n"/>
      <c r="Y1017" s="1" t="n"/>
      <c r="Z1017" s="1" t="n"/>
      <c r="AA1017" s="1" t="n"/>
      <c r="AB1017" s="1" t="n"/>
    </row>
    <row r="1018">
      <c r="I1018" s="1" t="n"/>
      <c r="J1018" s="1" t="n"/>
      <c r="K1018" s="1" t="n"/>
      <c r="L1018" s="1" t="n"/>
      <c r="M1018" s="1" t="n"/>
      <c r="N1018" s="1" t="n"/>
      <c r="O1018" s="1" t="n"/>
      <c r="P1018" s="1" t="n"/>
      <c r="Q1018" s="1" t="n"/>
      <c r="R1018" s="1" t="n"/>
      <c r="S1018" s="1" t="n"/>
      <c r="T1018" s="1" t="n"/>
      <c r="U1018" s="1" t="n"/>
      <c r="V1018" s="1" t="n"/>
      <c r="W1018" s="1" t="n"/>
      <c r="X1018" s="1" t="n"/>
      <c r="Y1018" s="1" t="n"/>
      <c r="Z1018" s="1" t="n"/>
      <c r="AA1018" s="1" t="n"/>
      <c r="AB1018" s="1" t="n"/>
    </row>
    <row r="1019">
      <c r="I1019" s="1" t="n"/>
      <c r="J1019" s="1" t="n"/>
      <c r="K1019" s="1" t="n"/>
      <c r="L1019" s="1" t="n"/>
      <c r="M1019" s="1" t="n"/>
      <c r="N1019" s="1" t="n"/>
      <c r="O1019" s="1" t="n"/>
      <c r="P1019" s="1" t="n"/>
      <c r="Q1019" s="1" t="n"/>
      <c r="R1019" s="1" t="n"/>
      <c r="S1019" s="1" t="n"/>
      <c r="T1019" s="1" t="n"/>
      <c r="U1019" s="1" t="n"/>
      <c r="V1019" s="1" t="n"/>
      <c r="W1019" s="1" t="n"/>
      <c r="X1019" s="1" t="n"/>
      <c r="Y1019" s="1" t="n"/>
      <c r="Z1019" s="1" t="n"/>
      <c r="AA1019" s="1" t="n"/>
      <c r="AB1019" s="1" t="n"/>
    </row>
    <row r="1020">
      <c r="I1020" s="1" t="n"/>
      <c r="J1020" s="1" t="n"/>
      <c r="K1020" s="1" t="n"/>
      <c r="L1020" s="1" t="n"/>
      <c r="M1020" s="1" t="n"/>
      <c r="N1020" s="1" t="n"/>
      <c r="O1020" s="1" t="n"/>
      <c r="P1020" s="1" t="n"/>
      <c r="Q1020" s="1" t="n"/>
      <c r="R1020" s="1" t="n"/>
      <c r="S1020" s="1" t="n"/>
      <c r="T1020" s="1" t="n"/>
      <c r="U1020" s="1" t="n"/>
      <c r="V1020" s="1" t="n"/>
      <c r="W1020" s="1" t="n"/>
      <c r="X1020" s="1" t="n"/>
      <c r="Y1020" s="1" t="n"/>
      <c r="Z1020" s="1" t="n"/>
      <c r="AA1020" s="1" t="n"/>
      <c r="AB1020" s="1" t="n"/>
    </row>
    <row r="1021">
      <c r="I1021" s="1" t="n"/>
      <c r="J1021" s="1" t="n"/>
      <c r="K1021" s="1" t="n"/>
      <c r="L1021" s="1" t="n"/>
      <c r="M1021" s="1" t="n"/>
      <c r="N1021" s="1" t="n"/>
      <c r="O1021" s="1" t="n"/>
      <c r="P1021" s="1" t="n"/>
      <c r="Q1021" s="1" t="n"/>
      <c r="R1021" s="1" t="n"/>
      <c r="S1021" s="1" t="n"/>
      <c r="T1021" s="1" t="n"/>
      <c r="U1021" s="1" t="n"/>
      <c r="V1021" s="1" t="n"/>
      <c r="W1021" s="1" t="n"/>
      <c r="X1021" s="1" t="n"/>
      <c r="Y1021" s="1" t="n"/>
      <c r="Z1021" s="1" t="n"/>
      <c r="AA1021" s="1" t="n"/>
      <c r="AB1021" s="1" t="n"/>
    </row>
    <row r="1022">
      <c r="I1022" s="1" t="n"/>
      <c r="J1022" s="1" t="n"/>
      <c r="K1022" s="1" t="n"/>
      <c r="L1022" s="1" t="n"/>
      <c r="M1022" s="1" t="n"/>
      <c r="N1022" s="1" t="n"/>
      <c r="O1022" s="1" t="n"/>
      <c r="P1022" s="1" t="n"/>
      <c r="Q1022" s="1" t="n"/>
      <c r="R1022" s="1" t="n"/>
      <c r="S1022" s="1" t="n"/>
      <c r="T1022" s="1" t="n"/>
      <c r="U1022" s="1" t="n"/>
      <c r="V1022" s="1" t="n"/>
      <c r="W1022" s="1" t="n"/>
      <c r="X1022" s="1" t="n"/>
      <c r="Y1022" s="1" t="n"/>
      <c r="Z1022" s="1" t="n"/>
      <c r="AA1022" s="1" t="n"/>
      <c r="AB1022" s="1" t="n"/>
    </row>
    <row r="1023">
      <c r="I1023" s="1" t="n"/>
      <c r="J1023" s="1" t="n"/>
      <c r="K1023" s="1" t="n"/>
      <c r="L1023" s="1" t="n"/>
      <c r="M1023" s="1" t="n"/>
      <c r="N1023" s="1" t="n"/>
      <c r="O1023" s="1" t="n"/>
      <c r="P1023" s="1" t="n"/>
      <c r="Q1023" s="1" t="n"/>
      <c r="R1023" s="1" t="n"/>
      <c r="S1023" s="1" t="n"/>
      <c r="T1023" s="1" t="n"/>
      <c r="U1023" s="1" t="n"/>
      <c r="V1023" s="1" t="n"/>
      <c r="W1023" s="1" t="n"/>
      <c r="X1023" s="1" t="n"/>
      <c r="Y1023" s="1" t="n"/>
      <c r="Z1023" s="1" t="n"/>
      <c r="AA1023" s="1" t="n"/>
      <c r="AB1023" s="1" t="n"/>
    </row>
    <row r="1024">
      <c r="I1024" s="1" t="n"/>
      <c r="J1024" s="1" t="n"/>
      <c r="K1024" s="1" t="n"/>
      <c r="L1024" s="1" t="n"/>
      <c r="M1024" s="1" t="n"/>
      <c r="N1024" s="1" t="n"/>
      <c r="O1024" s="1" t="n"/>
      <c r="P1024" s="1" t="n"/>
      <c r="Q1024" s="1" t="n"/>
      <c r="R1024" s="1" t="n"/>
      <c r="S1024" s="1" t="n"/>
      <c r="T1024" s="1" t="n"/>
      <c r="U1024" s="1" t="n"/>
      <c r="V1024" s="1" t="n"/>
      <c r="W1024" s="1" t="n"/>
      <c r="X1024" s="1" t="n"/>
      <c r="Y1024" s="1" t="n"/>
      <c r="Z1024" s="1" t="n"/>
      <c r="AA1024" s="1" t="n"/>
      <c r="AB1024" s="1" t="n"/>
    </row>
    <row r="1025">
      <c r="I1025" s="1" t="n"/>
      <c r="J1025" s="1" t="n"/>
      <c r="K1025" s="1" t="n"/>
      <c r="L1025" s="1" t="n"/>
      <c r="M1025" s="1" t="n"/>
      <c r="N1025" s="1" t="n"/>
      <c r="O1025" s="1" t="n"/>
      <c r="P1025" s="1" t="n"/>
      <c r="Q1025" s="1" t="n"/>
      <c r="R1025" s="1" t="n"/>
      <c r="S1025" s="1" t="n"/>
      <c r="T1025" s="1" t="n"/>
      <c r="U1025" s="1" t="n"/>
      <c r="V1025" s="1" t="n"/>
      <c r="W1025" s="1" t="n"/>
      <c r="X1025" s="1" t="n"/>
      <c r="Y1025" s="1" t="n"/>
      <c r="Z1025" s="1" t="n"/>
      <c r="AA1025" s="1" t="n"/>
      <c r="AB1025" s="1" t="n"/>
    </row>
    <row r="1026">
      <c r="I1026" s="1" t="n"/>
      <c r="J1026" s="1" t="n"/>
      <c r="K1026" s="1" t="n"/>
      <c r="L1026" s="1" t="n"/>
      <c r="M1026" s="1" t="n"/>
      <c r="N1026" s="1" t="n"/>
      <c r="O1026" s="1" t="n"/>
      <c r="P1026" s="1" t="n"/>
      <c r="Q1026" s="1" t="n"/>
      <c r="R1026" s="1" t="n"/>
      <c r="S1026" s="1" t="n"/>
      <c r="T1026" s="1" t="n"/>
      <c r="U1026" s="1" t="n"/>
      <c r="V1026" s="1" t="n"/>
      <c r="W1026" s="1" t="n"/>
      <c r="X1026" s="1" t="n"/>
      <c r="Y1026" s="1" t="n"/>
      <c r="Z1026" s="1" t="n"/>
      <c r="AA1026" s="1" t="n"/>
      <c r="AB1026" s="1" t="n"/>
    </row>
    <row r="1027">
      <c r="I1027" s="1" t="n"/>
      <c r="J1027" s="1" t="n"/>
      <c r="K1027" s="1" t="n"/>
      <c r="L1027" s="1" t="n"/>
      <c r="M1027" s="1" t="n"/>
      <c r="N1027" s="1" t="n"/>
      <c r="O1027" s="1" t="n"/>
      <c r="P1027" s="1" t="n"/>
      <c r="Q1027" s="1" t="n"/>
      <c r="R1027" s="1" t="n"/>
      <c r="S1027" s="1" t="n"/>
      <c r="T1027" s="1" t="n"/>
      <c r="U1027" s="1" t="n"/>
      <c r="V1027" s="1" t="n"/>
      <c r="W1027" s="1" t="n"/>
      <c r="X1027" s="1" t="n"/>
      <c r="Y1027" s="1" t="n"/>
      <c r="Z1027" s="1" t="n"/>
      <c r="AA1027" s="1" t="n"/>
      <c r="AB1027" s="1" t="n"/>
    </row>
    <row r="1028">
      <c r="I1028" s="1" t="n"/>
      <c r="J1028" s="1" t="n"/>
      <c r="K1028" s="1" t="n"/>
      <c r="L1028" s="1" t="n"/>
      <c r="M1028" s="1" t="n"/>
      <c r="N1028" s="1" t="n"/>
      <c r="O1028" s="1" t="n"/>
      <c r="P1028" s="1" t="n"/>
      <c r="Q1028" s="1" t="n"/>
      <c r="R1028" s="1" t="n"/>
      <c r="S1028" s="1" t="n"/>
      <c r="T1028" s="1" t="n"/>
      <c r="U1028" s="1" t="n"/>
      <c r="V1028" s="1" t="n"/>
      <c r="W1028" s="1" t="n"/>
      <c r="X1028" s="1" t="n"/>
      <c r="Y1028" s="1" t="n"/>
      <c r="Z1028" s="1" t="n"/>
      <c r="AA1028" s="1" t="n"/>
      <c r="AB1028" s="1" t="n"/>
    </row>
    <row r="1029">
      <c r="I1029" s="1" t="n"/>
      <c r="J1029" s="1" t="n"/>
      <c r="K1029" s="1" t="n"/>
      <c r="L1029" s="1" t="n"/>
      <c r="M1029" s="1" t="n"/>
      <c r="N1029" s="1" t="n"/>
      <c r="O1029" s="1" t="n"/>
      <c r="P1029" s="1" t="n"/>
      <c r="Q1029" s="1" t="n"/>
      <c r="R1029" s="1" t="n"/>
      <c r="S1029" s="1" t="n"/>
      <c r="T1029" s="1" t="n"/>
      <c r="U1029" s="1" t="n"/>
      <c r="V1029" s="1" t="n"/>
      <c r="W1029" s="1" t="n"/>
      <c r="X1029" s="1" t="n"/>
      <c r="Y1029" s="1" t="n"/>
      <c r="Z1029" s="1" t="n"/>
      <c r="AA1029" s="1" t="n"/>
      <c r="AB1029" s="1" t="n"/>
    </row>
    <row r="1030">
      <c r="I1030" s="1" t="n"/>
      <c r="J1030" s="1" t="n"/>
      <c r="K1030" s="1" t="n"/>
      <c r="L1030" s="1" t="n"/>
      <c r="M1030" s="1" t="n"/>
      <c r="N1030" s="1" t="n"/>
      <c r="O1030" s="1" t="n"/>
      <c r="P1030" s="1" t="n"/>
      <c r="Q1030" s="1" t="n"/>
      <c r="R1030" s="1" t="n"/>
      <c r="S1030" s="1" t="n"/>
      <c r="T1030" s="1" t="n"/>
      <c r="U1030" s="1" t="n"/>
      <c r="V1030" s="1" t="n"/>
      <c r="W1030" s="1" t="n"/>
      <c r="X1030" s="1" t="n"/>
      <c r="Y1030" s="1" t="n"/>
      <c r="Z1030" s="1" t="n"/>
      <c r="AA1030" s="1" t="n"/>
      <c r="AB1030" s="1" t="n"/>
    </row>
    <row r="1031">
      <c r="I1031" s="1" t="n"/>
      <c r="J1031" s="1" t="n"/>
      <c r="K1031" s="1" t="n"/>
      <c r="L1031" s="1" t="n"/>
      <c r="M1031" s="1" t="n"/>
      <c r="N1031" s="1" t="n"/>
      <c r="O1031" s="1" t="n"/>
      <c r="P1031" s="1" t="n"/>
      <c r="Q1031" s="1" t="n"/>
      <c r="R1031" s="1" t="n"/>
      <c r="S1031" s="1" t="n"/>
      <c r="T1031" s="1" t="n"/>
      <c r="U1031" s="1" t="n"/>
      <c r="V1031" s="1" t="n"/>
      <c r="W1031" s="1" t="n"/>
      <c r="X1031" s="1" t="n"/>
      <c r="Y1031" s="1" t="n"/>
      <c r="Z1031" s="1" t="n"/>
      <c r="AA1031" s="1" t="n"/>
      <c r="AB1031" s="1" t="n"/>
    </row>
    <row r="1032">
      <c r="I1032" s="1" t="n"/>
      <c r="J1032" s="1" t="n"/>
      <c r="K1032" s="1" t="n"/>
      <c r="L1032" s="1" t="n"/>
      <c r="M1032" s="1" t="n"/>
      <c r="N1032" s="1" t="n"/>
      <c r="O1032" s="1" t="n"/>
      <c r="P1032" s="1" t="n"/>
      <c r="Q1032" s="1" t="n"/>
      <c r="R1032" s="1" t="n"/>
      <c r="S1032" s="1" t="n"/>
      <c r="T1032" s="1" t="n"/>
      <c r="U1032" s="1" t="n"/>
      <c r="V1032" s="1" t="n"/>
      <c r="W1032" s="1" t="n"/>
      <c r="X1032" s="1" t="n"/>
      <c r="Y1032" s="1" t="n"/>
      <c r="Z1032" s="1" t="n"/>
      <c r="AA1032" s="1" t="n"/>
      <c r="AB1032" s="1" t="n"/>
    </row>
    <row r="1033">
      <c r="I1033" s="1" t="n"/>
      <c r="J1033" s="1" t="n"/>
      <c r="K1033" s="1" t="n"/>
      <c r="L1033" s="1" t="n"/>
      <c r="M1033" s="1" t="n"/>
      <c r="N1033" s="1" t="n"/>
      <c r="O1033" s="1" t="n"/>
      <c r="P1033" s="1" t="n"/>
      <c r="Q1033" s="1" t="n"/>
      <c r="R1033" s="1" t="n"/>
      <c r="S1033" s="1" t="n"/>
      <c r="T1033" s="1" t="n"/>
      <c r="U1033" s="1" t="n"/>
      <c r="V1033" s="1" t="n"/>
      <c r="W1033" s="1" t="n"/>
      <c r="X1033" s="1" t="n"/>
      <c r="Y1033" s="1" t="n"/>
      <c r="Z1033" s="1" t="n"/>
      <c r="AA1033" s="1" t="n"/>
      <c r="AB1033" s="1" t="n"/>
    </row>
    <row r="1034">
      <c r="I1034" s="1" t="n"/>
      <c r="J1034" s="1" t="n"/>
      <c r="K1034" s="1" t="n"/>
      <c r="L1034" s="1" t="n"/>
      <c r="M1034" s="1" t="n"/>
      <c r="N1034" s="1" t="n"/>
      <c r="O1034" s="1" t="n"/>
      <c r="P1034" s="1" t="n"/>
      <c r="Q1034" s="1" t="n"/>
      <c r="R1034" s="1" t="n"/>
      <c r="S1034" s="1" t="n"/>
      <c r="T1034" s="1" t="n"/>
      <c r="U1034" s="1" t="n"/>
      <c r="V1034" s="1" t="n"/>
      <c r="W1034" s="1" t="n"/>
      <c r="X1034" s="1" t="n"/>
      <c r="Y1034" s="1" t="n"/>
      <c r="Z1034" s="1" t="n"/>
      <c r="AA1034" s="1" t="n"/>
      <c r="AB1034" s="1" t="n"/>
    </row>
    <row r="1035">
      <c r="I1035" s="1" t="n"/>
      <c r="J1035" s="1" t="n"/>
      <c r="K1035" s="1" t="n"/>
      <c r="L1035" s="1" t="n"/>
      <c r="M1035" s="1" t="n"/>
      <c r="N1035" s="1" t="n"/>
      <c r="O1035" s="1" t="n"/>
      <c r="P1035" s="1" t="n"/>
      <c r="Q1035" s="1" t="n"/>
      <c r="R1035" s="1" t="n"/>
      <c r="S1035" s="1" t="n"/>
      <c r="T1035" s="1" t="n"/>
      <c r="U1035" s="1" t="n"/>
      <c r="V1035" s="1" t="n"/>
      <c r="W1035" s="1" t="n"/>
      <c r="X1035" s="1" t="n"/>
      <c r="Y1035" s="1" t="n"/>
      <c r="Z1035" s="1" t="n"/>
      <c r="AA1035" s="1" t="n"/>
      <c r="AB1035" s="1" t="n"/>
    </row>
    <row r="1036">
      <c r="I1036" s="1" t="n"/>
      <c r="J1036" s="1" t="n"/>
      <c r="K1036" s="1" t="n"/>
      <c r="L1036" s="1" t="n"/>
      <c r="M1036" s="1" t="n"/>
      <c r="N1036" s="1" t="n"/>
      <c r="O1036" s="1" t="n"/>
      <c r="P1036" s="1" t="n"/>
      <c r="Q1036" s="1" t="n"/>
      <c r="R1036" s="1" t="n"/>
      <c r="S1036" s="1" t="n"/>
      <c r="T1036" s="1" t="n"/>
      <c r="U1036" s="1" t="n"/>
      <c r="V1036" s="1" t="n"/>
      <c r="W1036" s="1" t="n"/>
      <c r="X1036" s="1" t="n"/>
      <c r="Y1036" s="1" t="n"/>
      <c r="Z1036" s="1" t="n"/>
      <c r="AA1036" s="1" t="n"/>
      <c r="AB1036" s="1" t="n"/>
    </row>
    <row r="1037">
      <c r="I1037" s="1" t="n"/>
      <c r="J1037" s="1" t="n"/>
      <c r="K1037" s="1" t="n"/>
      <c r="L1037" s="1" t="n"/>
      <c r="M1037" s="1" t="n"/>
      <c r="N1037" s="1" t="n"/>
      <c r="O1037" s="1" t="n"/>
      <c r="P1037" s="1" t="n"/>
      <c r="Q1037" s="1" t="n"/>
      <c r="R1037" s="1" t="n"/>
      <c r="S1037" s="1" t="n"/>
      <c r="T1037" s="1" t="n"/>
      <c r="U1037" s="1" t="n"/>
      <c r="V1037" s="1" t="n"/>
      <c r="W1037" s="1" t="n"/>
      <c r="X1037" s="1" t="n"/>
      <c r="Y1037" s="1" t="n"/>
      <c r="Z1037" s="1" t="n"/>
      <c r="AA1037" s="1" t="n"/>
      <c r="AB1037" s="1" t="n"/>
    </row>
    <row r="1038">
      <c r="I1038" s="1" t="n"/>
      <c r="J1038" s="1" t="n"/>
      <c r="K1038" s="1" t="n"/>
      <c r="L1038" s="1" t="n"/>
      <c r="M1038" s="1" t="n"/>
      <c r="N1038" s="1" t="n"/>
      <c r="O1038" s="1" t="n"/>
      <c r="P1038" s="1" t="n"/>
      <c r="Q1038" s="1" t="n"/>
      <c r="R1038" s="1" t="n"/>
      <c r="S1038" s="1" t="n"/>
      <c r="T1038" s="1" t="n"/>
      <c r="U1038" s="1" t="n"/>
      <c r="V1038" s="1" t="n"/>
      <c r="W1038" s="1" t="n"/>
      <c r="X1038" s="1" t="n"/>
      <c r="Y1038" s="1" t="n"/>
      <c r="Z1038" s="1" t="n"/>
      <c r="AA1038" s="1" t="n"/>
      <c r="AB1038" s="1" t="n"/>
    </row>
    <row r="1039">
      <c r="I1039" s="1" t="n"/>
      <c r="J1039" s="1" t="n"/>
      <c r="K1039" s="1" t="n"/>
      <c r="L1039" s="1" t="n"/>
      <c r="M1039" s="1" t="n"/>
      <c r="N1039" s="1" t="n"/>
      <c r="O1039" s="1" t="n"/>
      <c r="P1039" s="1" t="n"/>
      <c r="Q1039" s="1" t="n"/>
      <c r="R1039" s="1" t="n"/>
      <c r="S1039" s="1" t="n"/>
      <c r="T1039" s="1" t="n"/>
      <c r="U1039" s="1" t="n"/>
      <c r="V1039" s="1" t="n"/>
      <c r="W1039" s="1" t="n"/>
      <c r="X1039" s="1" t="n"/>
      <c r="Y1039" s="1" t="n"/>
      <c r="Z1039" s="1" t="n"/>
      <c r="AA1039" s="1" t="n"/>
      <c r="AB1039" s="1" t="n"/>
    </row>
    <row r="1040">
      <c r="I1040" s="1" t="n"/>
      <c r="J1040" s="1" t="n"/>
      <c r="K1040" s="1" t="n"/>
      <c r="L1040" s="1" t="n"/>
      <c r="M1040" s="1" t="n"/>
      <c r="N1040" s="1" t="n"/>
      <c r="O1040" s="1" t="n"/>
      <c r="P1040" s="1" t="n"/>
      <c r="Q1040" s="1" t="n"/>
      <c r="R1040" s="1" t="n"/>
      <c r="S1040" s="1" t="n"/>
      <c r="T1040" s="1" t="n"/>
      <c r="U1040" s="1" t="n"/>
      <c r="V1040" s="1" t="n"/>
      <c r="W1040" s="1" t="n"/>
      <c r="X1040" s="1" t="n"/>
      <c r="Y1040" s="1" t="n"/>
      <c r="Z1040" s="1" t="n"/>
      <c r="AA1040" s="1" t="n"/>
      <c r="AB1040" s="1" t="n"/>
    </row>
    <row r="1041">
      <c r="I1041" s="1" t="n"/>
      <c r="J1041" s="1" t="n"/>
      <c r="K1041" s="1" t="n"/>
      <c r="L1041" s="1" t="n"/>
      <c r="M1041" s="1" t="n"/>
      <c r="N1041" s="1" t="n"/>
      <c r="O1041" s="1" t="n"/>
      <c r="P1041" s="1" t="n"/>
      <c r="Q1041" s="1" t="n"/>
      <c r="R1041" s="1" t="n"/>
      <c r="S1041" s="1" t="n"/>
      <c r="T1041" s="1" t="n"/>
      <c r="U1041" s="1" t="n"/>
      <c r="V1041" s="1" t="n"/>
      <c r="W1041" s="1" t="n"/>
      <c r="X1041" s="1" t="n"/>
      <c r="Y1041" s="1" t="n"/>
      <c r="Z1041" s="1" t="n"/>
      <c r="AA1041" s="1" t="n"/>
      <c r="AB1041" s="1" t="n"/>
    </row>
    <row r="1042">
      <c r="I1042" s="1" t="n"/>
      <c r="J1042" s="1" t="n"/>
      <c r="K1042" s="1" t="n"/>
      <c r="L1042" s="1" t="n"/>
      <c r="M1042" s="1" t="n"/>
      <c r="N1042" s="1" t="n"/>
      <c r="O1042" s="1" t="n"/>
      <c r="P1042" s="1" t="n"/>
      <c r="Q1042" s="1" t="n"/>
      <c r="R1042" s="1" t="n"/>
      <c r="S1042" s="1" t="n"/>
      <c r="T1042" s="1" t="n"/>
      <c r="U1042" s="1" t="n"/>
      <c r="V1042" s="1" t="n"/>
      <c r="W1042" s="1" t="n"/>
      <c r="X1042" s="1" t="n"/>
      <c r="Y1042" s="1" t="n"/>
      <c r="Z1042" s="1" t="n"/>
      <c r="AA1042" s="1" t="n"/>
      <c r="AB1042" s="1" t="n"/>
    </row>
    <row r="1043">
      <c r="I1043" s="1" t="n"/>
      <c r="J1043" s="1" t="n"/>
      <c r="K1043" s="1" t="n"/>
      <c r="L1043" s="1" t="n"/>
      <c r="M1043" s="1" t="n"/>
      <c r="N1043" s="1" t="n"/>
      <c r="O1043" s="1" t="n"/>
      <c r="P1043" s="1" t="n"/>
      <c r="Q1043" s="1" t="n"/>
      <c r="R1043" s="1" t="n"/>
      <c r="S1043" s="1" t="n"/>
      <c r="T1043" s="1" t="n"/>
      <c r="U1043" s="1" t="n"/>
      <c r="V1043" s="1" t="n"/>
      <c r="W1043" s="1" t="n"/>
      <c r="X1043" s="1" t="n"/>
      <c r="Y1043" s="1" t="n"/>
      <c r="Z1043" s="1" t="n"/>
      <c r="AA1043" s="1" t="n"/>
      <c r="AB104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2026-04-25T21:15:42Z</dcterms:created>
  <dcterms:modified xmlns:dcterms="http://purl.org/dc/terms/" xmlns:xsi="http://www.w3.org/2001/XMLSchema-instance" xsi:type="dcterms:W3CDTF">2026-04-25T21:15:50Z</dcterms:modified>
</cp:coreProperties>
</file>