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</font>
    <font>
      <name val="Calibri"/>
      <color theme="1"/>
      <sz val="12"/>
    </font>
    <font>
      <name val="Calibri"/>
      <color rgb="FF0000FF"/>
      <sz val="12"/>
    </font>
    <font>
      <name val="Calibri"/>
      <color rgb="FF0000FF"/>
    </font>
    <font>
      <name val="Verdana"/>
      <color theme="1"/>
      <scheme val="minor"/>
    </font>
    <font>
      <name val="Calibri"/>
      <color rgb="FF000000"/>
    </font>
    <font>
      <name val="Verdana"/>
      <color theme="1"/>
      <sz val="12"/>
      <scheme val="minor"/>
    </font>
    <font>
      <name val="Calibri"/>
      <color rgb="FF980000"/>
      <sz val="12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/>
    </xf>
    <xf numFmtId="0" fontId="1" fillId="2" borderId="2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2" pivotButton="0" quotePrefix="0" xfId="0"/>
    <xf numFmtId="0" fontId="1" fillId="0" borderId="1" applyAlignment="1" pivotButton="0" quotePrefix="0" xfId="0">
      <alignment horizontal="center" vertical="bottom"/>
    </xf>
    <xf numFmtId="0" fontId="3" fillId="3" borderId="1" applyAlignment="1" pivotButton="0" quotePrefix="0" xfId="0">
      <alignment horizontal="right" vertical="bottom"/>
    </xf>
    <xf numFmtId="0" fontId="1" fillId="0" borderId="1" applyAlignment="1" pivotButton="0" quotePrefix="0" xfId="0">
      <alignment horizontal="right" vertical="bottom"/>
    </xf>
    <xf numFmtId="0" fontId="1" fillId="0" borderId="1" applyAlignment="1" pivotButton="0" quotePrefix="0" xfId="0">
      <alignment vertical="bottom"/>
    </xf>
    <xf numFmtId="0" fontId="1" fillId="0" borderId="1" pivotButton="0" quotePrefix="0" xfId="0"/>
    <xf numFmtId="0" fontId="1" fillId="0" borderId="2" applyAlignment="1" pivotButton="0" quotePrefix="0" xfId="0">
      <alignment horizontal="right" vertical="bottom"/>
    </xf>
    <xf numFmtId="0" fontId="1" fillId="2" borderId="1" applyAlignment="1" pivotButton="0" quotePrefix="0" xfId="0">
      <alignment vertical="bottom"/>
    </xf>
    <xf numFmtId="0" fontId="4" fillId="3" borderId="1" applyAlignment="1" pivotButton="0" quotePrefix="0" xfId="0">
      <alignment horizontal="center" vertical="bottom"/>
    </xf>
    <xf numFmtId="0" fontId="5" fillId="0" borderId="1" pivotButton="0" quotePrefix="0" xfId="0"/>
    <xf numFmtId="0" fontId="4" fillId="3" borderId="1" applyAlignment="1" pivotButton="0" quotePrefix="0" xfId="0">
      <alignment horizontal="right" vertical="bottom"/>
    </xf>
    <xf numFmtId="1" fontId="1" fillId="0" borderId="1" applyAlignment="1" pivotButton="0" quotePrefix="0" xfId="0">
      <alignment vertical="bottom"/>
    </xf>
    <xf numFmtId="0" fontId="6" fillId="0" borderId="1" applyAlignment="1" pivotButton="0" quotePrefix="0" xfId="0">
      <alignment horizontal="center" vertical="bottom"/>
    </xf>
    <xf numFmtId="1" fontId="1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9" pivotButton="0" quotePrefix="0" xfId="0"/>
    <xf numFmtId="1" fontId="1" fillId="4" borderId="1" applyAlignment="1" pivotButton="0" quotePrefix="0" xfId="0">
      <alignment horizontal="right" vertical="bottom"/>
    </xf>
    <xf numFmtId="0" fontId="2" fillId="0" borderId="4" applyAlignment="1" pivotButton="0" quotePrefix="0" xfId="0">
      <alignment vertical="bottom"/>
    </xf>
    <xf numFmtId="0" fontId="8" fillId="5" borderId="1" applyAlignment="1" pivotButton="0" quotePrefix="0" xfId="0">
      <alignment horizontal="center" vertical="bottom"/>
    </xf>
    <xf numFmtId="1" fontId="1" fillId="0" borderId="1" applyAlignment="1" pivotButton="0" quotePrefix="0" xfId="0">
      <alignment horizontal="right" vertical="bottom"/>
    </xf>
    <xf numFmtId="0" fontId="1" fillId="0" borderId="5" applyAlignment="1" pivotButton="0" quotePrefix="0" xfId="0">
      <alignment horizontal="center" vertical="bottom"/>
    </xf>
    <xf numFmtId="0" fontId="4" fillId="3" borderId="5" applyAlignment="1" pivotButton="0" quotePrefix="0" xfId="0">
      <alignment horizontal="right" vertical="bottom"/>
    </xf>
    <xf numFmtId="0" fontId="1" fillId="0" borderId="6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9.73" customWidth="1" min="1" max="1"/>
    <col width="18.09" customWidth="1" min="2" max="2"/>
    <col width="8.550000000000001" customWidth="1" min="3" max="3"/>
    <col width="7.91" customWidth="1" min="4" max="4"/>
    <col width="12.18" customWidth="1" min="5" max="5"/>
    <col width="9.18" customWidth="1" min="6" max="6"/>
    <col width="7.27" customWidth="1" min="7" max="7"/>
    <col width="9.09" customWidth="1" min="8" max="8"/>
    <col width="9.640000000000001" customWidth="1" min="9" max="9"/>
    <col width="4.36" customWidth="1" min="10" max="10"/>
    <col width="4.73" customWidth="1" min="11" max="11"/>
    <col width="3.91" customWidth="1" min="12" max="12"/>
    <col width="9.27" customWidth="1" min="13" max="13"/>
    <col width="14.09" customWidth="1" min="14" max="14"/>
    <col width="11.82" customWidth="1" min="15" max="15"/>
    <col width="3.27" customWidth="1" min="17" max="17"/>
    <col width="2.55" customWidth="1" min="18" max="18"/>
  </cols>
  <sheetData>
    <row r="1">
      <c r="A1" s="1" t="inlineStr">
        <is>
          <t>Drifter</t>
        </is>
      </c>
      <c r="B1" s="1" t="inlineStr">
        <is>
          <t>Current Level</t>
        </is>
      </c>
      <c r="C1" s="2" t="inlineStr">
        <is>
          <t>Talent per Lvl</t>
        </is>
      </c>
      <c r="D1" s="1" t="inlineStr">
        <is>
          <t>All Ally Band</t>
        </is>
      </c>
      <c r="E1" s="1" t="inlineStr">
        <is>
          <t xml:space="preserve">As a Singer </t>
        </is>
      </c>
      <c r="F1" s="1" t="inlineStr">
        <is>
          <t>Ally Singer</t>
        </is>
      </c>
      <c r="G1" s="1" t="inlineStr">
        <is>
          <t>Ally Female</t>
        </is>
      </c>
      <c r="H1" s="1" t="inlineStr">
        <is>
          <t xml:space="preserve">Ally Musician </t>
        </is>
      </c>
      <c r="I1" s="1" t="inlineStr">
        <is>
          <t xml:space="preserve">As a Musician </t>
        </is>
      </c>
      <c r="J1" s="1" t="inlineStr">
        <is>
          <t>Remix</t>
        </is>
      </c>
      <c r="K1" s="1" t="inlineStr">
        <is>
          <t>Samba</t>
        </is>
      </c>
      <c r="L1" s="1" t="inlineStr">
        <is>
          <t>Blues</t>
        </is>
      </c>
      <c r="M1" s="1" t="inlineStr">
        <is>
          <t>Valkeryie Peak</t>
        </is>
      </c>
      <c r="N1" s="1" t="inlineStr">
        <is>
          <t>Rating per Drifter Level</t>
        </is>
      </c>
      <c r="O1" s="3" t="inlineStr">
        <is>
          <t>Score Contribution</t>
        </is>
      </c>
      <c r="P1" s="4" t="n"/>
      <c r="Q1" s="4" t="n"/>
      <c r="R1" s="4" t="n"/>
      <c r="S1" s="5" t="n"/>
      <c r="T1" s="5" t="n"/>
    </row>
    <row r="2">
      <c r="A2" s="6" t="inlineStr">
        <is>
          <t>Dracula</t>
        </is>
      </c>
      <c r="B2" s="7" t="n">
        <v>53</v>
      </c>
      <c r="C2" s="8">
        <f>VLOOKUP(A2,'Drifter Stats'!$A$4:$Q$24,2,FALSE)</f>
        <v/>
      </c>
      <c r="D2" s="8">
        <f>$I$11</f>
        <v/>
      </c>
      <c r="E2" s="8">
        <f>$I$12</f>
        <v/>
      </c>
      <c r="F2" s="8">
        <f>$I$13</f>
        <v/>
      </c>
      <c r="G2" s="9" t="n"/>
      <c r="H2" s="9" t="n"/>
      <c r="I2" s="9" t="n"/>
      <c r="J2" s="8">
        <f>$I$16*IF($B$10 = J1, 1, 0)</f>
        <v/>
      </c>
      <c r="K2" s="9" t="n"/>
      <c r="L2" s="9" t="n"/>
      <c r="M2" s="8">
        <f>$I$9</f>
        <v/>
      </c>
      <c r="N2" s="8">
        <f>ROUND(10*C2*(SUM(D2:L2)+1)*(SUM(1+M2)),0)/10</f>
        <v/>
      </c>
      <c r="O2" s="10">
        <f>FLOOR(B2*N2,1)</f>
        <v/>
      </c>
      <c r="P2" s="4" t="n"/>
      <c r="Q2" s="11" t="n"/>
      <c r="R2" s="11" t="n"/>
      <c r="S2" s="5" t="n"/>
      <c r="T2" s="5" t="n"/>
    </row>
    <row r="3">
      <c r="A3" s="6" t="inlineStr">
        <is>
          <t>Idol Boy</t>
        </is>
      </c>
      <c r="B3" s="7" t="n">
        <v>39</v>
      </c>
      <c r="C3" s="8">
        <f>VLOOKUP(A3,'Drifter Stats'!$A$4:$Q$24,2,FALSE)</f>
        <v/>
      </c>
      <c r="D3" s="8">
        <f>$I$11</f>
        <v/>
      </c>
      <c r="E3" s="9" t="n"/>
      <c r="F3" s="8">
        <f>$I$13</f>
        <v/>
      </c>
      <c r="G3" s="9" t="n"/>
      <c r="H3" s="9" t="n"/>
      <c r="I3" s="9" t="n"/>
      <c r="J3" s="9" t="n"/>
      <c r="K3" s="8">
        <f>$I$17*IF($B$10 = K1, 1, 0)</f>
        <v/>
      </c>
      <c r="L3" s="9" t="n"/>
      <c r="M3" s="8">
        <f>$I$9</f>
        <v/>
      </c>
      <c r="N3" s="8">
        <f>ROUND(10*C3*(SUM(D3:L3)+1)*(SUM(1+M3)),0)/10</f>
        <v/>
      </c>
      <c r="O3" s="10">
        <f>FLOOR(B3*N3,1)</f>
        <v/>
      </c>
      <c r="P3" s="4" t="n"/>
      <c r="Q3" s="11" t="n"/>
      <c r="R3" s="11" t="n"/>
      <c r="S3" s="5" t="n"/>
      <c r="T3" s="5" t="n"/>
    </row>
    <row r="4">
      <c r="A4" s="6" t="inlineStr">
        <is>
          <t>Madam Huang</t>
        </is>
      </c>
      <c r="B4" s="7" t="n">
        <v>41</v>
      </c>
      <c r="C4" s="8">
        <f>VLOOKUP(A4,'Drifter Stats'!$A$4:$Q$24,2,FALSE)</f>
        <v/>
      </c>
      <c r="D4" s="8">
        <f>$I$11</f>
        <v/>
      </c>
      <c r="E4" s="9" t="n"/>
      <c r="F4" s="9" t="n"/>
      <c r="G4" s="8">
        <f>$I$10</f>
        <v/>
      </c>
      <c r="H4" s="8">
        <f>$I$15</f>
        <v/>
      </c>
      <c r="I4" s="9" t="n"/>
      <c r="J4" s="9" t="n"/>
      <c r="K4" s="9" t="n"/>
      <c r="L4" s="9" t="n"/>
      <c r="M4" s="8">
        <f>$I$9</f>
        <v/>
      </c>
      <c r="N4" s="8">
        <f>ROUND(10*C4*(SUM(D4:L4)+1)*(SUM(1+M4)),0)/10</f>
        <v/>
      </c>
      <c r="O4" s="10">
        <f>FLOOR(B4*N4,1)</f>
        <v/>
      </c>
      <c r="P4" s="4" t="n"/>
      <c r="Q4" s="11" t="n"/>
      <c r="R4" s="11" t="n"/>
      <c r="S4" s="5" t="n"/>
      <c r="T4" s="5" t="n"/>
    </row>
    <row r="5">
      <c r="A5" s="6" t="inlineStr">
        <is>
          <t>Athena</t>
        </is>
      </c>
      <c r="B5" s="7" t="n">
        <v>19</v>
      </c>
      <c r="C5" s="8">
        <f>VLOOKUP(A5,'Drifter Stats'!$A$4:$Q$24,2,FALSE)</f>
        <v/>
      </c>
      <c r="D5" s="8">
        <f>$I$11</f>
        <v/>
      </c>
      <c r="E5" s="9" t="n"/>
      <c r="F5" s="9" t="n"/>
      <c r="G5" s="8">
        <f>$I$10</f>
        <v/>
      </c>
      <c r="H5" s="8">
        <f>$I$15</f>
        <v/>
      </c>
      <c r="I5" s="9" t="n"/>
      <c r="J5" s="9" t="n"/>
      <c r="K5" s="9" t="n"/>
      <c r="L5" s="8">
        <f>$I$18*IF($B$10 = L1, 1, 0)</f>
        <v/>
      </c>
      <c r="M5" s="8">
        <f>$I$9</f>
        <v/>
      </c>
      <c r="N5" s="8">
        <f>ROUND(10*C5*(SUM(D5:L5)+1)*(SUM(1+M5)),0)/10</f>
        <v/>
      </c>
      <c r="O5" s="10">
        <f>FLOOR(B5*N5,1)</f>
        <v/>
      </c>
      <c r="P5" s="4" t="n"/>
      <c r="Q5" s="11" t="n"/>
      <c r="R5" s="11" t="n"/>
      <c r="S5" s="5" t="n"/>
      <c r="T5" s="5" t="n"/>
    </row>
    <row r="6">
      <c r="A6" s="6" t="inlineStr">
        <is>
          <t>Commissioner</t>
        </is>
      </c>
      <c r="B6" s="7" t="n">
        <v>41</v>
      </c>
      <c r="C6" s="8">
        <f>VLOOKUP(A6,'Drifter Stats'!$A$4:$Q$24,2,FALSE)</f>
        <v/>
      </c>
      <c r="D6" s="8">
        <f>$I$11</f>
        <v/>
      </c>
      <c r="E6" s="9" t="n"/>
      <c r="F6" s="9" t="n"/>
      <c r="G6" s="8">
        <f>$I$10</f>
        <v/>
      </c>
      <c r="H6" s="8">
        <f>$I$15</f>
        <v/>
      </c>
      <c r="I6" s="8">
        <f>$I$14</f>
        <v/>
      </c>
      <c r="J6" s="9" t="n"/>
      <c r="K6" s="9" t="n"/>
      <c r="L6" s="9" t="n"/>
      <c r="M6" s="8">
        <f>$I$9</f>
        <v/>
      </c>
      <c r="N6" s="8">
        <f>ROUND(10*C6*(SUM(D6:L6)+1)*(SUM(1+M6)),0)/10</f>
        <v/>
      </c>
      <c r="O6" s="10">
        <f>FLOOR(B6*N6,1)</f>
        <v/>
      </c>
      <c r="P6" s="4" t="n"/>
      <c r="Q6" s="11" t="n"/>
      <c r="R6" s="11" t="n"/>
      <c r="S6" s="5" t="n"/>
      <c r="T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5" t="n"/>
      <c r="T7" s="5" t="n"/>
    </row>
    <row r="8">
      <c r="A8" s="4" t="n"/>
      <c r="B8" s="4" t="n"/>
      <c r="C8" s="4" t="n"/>
      <c r="D8" s="4" t="n"/>
      <c r="E8" s="1" t="inlineStr">
        <is>
          <t>Skill Type</t>
        </is>
      </c>
      <c r="F8" s="1" t="inlineStr">
        <is>
          <t>Owner</t>
        </is>
      </c>
      <c r="G8" s="1" t="inlineStr">
        <is>
          <t>Rating</t>
        </is>
      </c>
      <c r="H8" s="1" t="inlineStr">
        <is>
          <t>Level</t>
        </is>
      </c>
      <c r="I8" s="1" t="inlineStr">
        <is>
          <t>Effect</t>
        </is>
      </c>
      <c r="J8" s="12" t="inlineStr">
        <is>
          <t>Score per Level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5" t="n"/>
      <c r="T8" s="5" t="n"/>
    </row>
    <row r="9">
      <c r="A9" s="2" t="inlineStr">
        <is>
          <t>Anecdote</t>
        </is>
      </c>
      <c r="B9" s="13" t="inlineStr">
        <is>
          <t>Canticle</t>
        </is>
      </c>
      <c r="C9" s="4" t="n"/>
      <c r="D9" s="4" t="n"/>
      <c r="E9" s="6" t="inlineStr">
        <is>
          <t>Valyrkie Peak Effect</t>
        </is>
      </c>
      <c r="F9" s="6" t="inlineStr">
        <is>
          <t>Huang</t>
        </is>
      </c>
      <c r="G9" s="14">
        <f>IF(H7 &gt;= 10, 'Drifter Priority'!D237, 'Drifter Priority'!C237)</f>
        <v/>
      </c>
      <c r="H9" s="15" t="n">
        <v>20</v>
      </c>
      <c r="I9" s="8">
        <f>0.02*H9</f>
        <v/>
      </c>
      <c r="J9" s="16">
        <f>IF(H9&lt;20, 1, 0)*(SUM(O2:O6)/(1+I9)*0.02)</f>
        <v/>
      </c>
      <c r="K9" s="4" t="n"/>
      <c r="L9" s="4" t="n"/>
      <c r="M9" s="4" t="n"/>
      <c r="N9" s="4" t="n"/>
      <c r="O9" s="4" t="n"/>
      <c r="P9" s="4" t="n"/>
      <c r="Q9" s="4" t="n"/>
      <c r="R9" s="4" t="n"/>
      <c r="S9" s="5" t="n"/>
      <c r="T9" s="5" t="n"/>
    </row>
    <row r="10">
      <c r="A10" s="1" t="inlineStr">
        <is>
          <t>Song Type</t>
        </is>
      </c>
      <c r="B10" s="17">
        <f>VLOOKUP(B9,'Rift Anecdotes'!B174:G195,5,FALSE)</f>
        <v/>
      </c>
      <c r="C10" s="4" t="n"/>
      <c r="D10" s="4" t="n"/>
      <c r="E10" s="6" t="inlineStr">
        <is>
          <t>Female Band Effect</t>
        </is>
      </c>
      <c r="F10" s="6" t="inlineStr">
        <is>
          <t>Huang</t>
        </is>
      </c>
      <c r="G10" s="14">
        <f>IF(H8 &gt;= 10, 'Drifter Priority'!D236, 'Drifter Priority'!C236)</f>
        <v/>
      </c>
      <c r="H10" s="15" t="n">
        <v>20</v>
      </c>
      <c r="I10" s="8">
        <f>0.03*H10</f>
        <v/>
      </c>
      <c r="J10" s="18">
        <f>IF(H10&lt;20, 1, 0)*((FLOOR(B4*C4,1)+FLOOR(B5*C5,1)+FLOOR(B6*C6,1))*0.03*SUM(1, I9))</f>
        <v/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5" t="n"/>
      <c r="T10" s="5" t="n"/>
    </row>
    <row r="11">
      <c r="A11" s="1" t="inlineStr">
        <is>
          <t>Target Score</t>
        </is>
      </c>
      <c r="B11" s="8">
        <f>VLOOKUP(B9,'Rift Anecdotes'!B174:G195,6,FALSE)</f>
        <v/>
      </c>
      <c r="C11" s="4" t="n"/>
      <c r="D11" s="4" t="n"/>
      <c r="E11" s="6" t="inlineStr">
        <is>
          <t>All Ally Effect</t>
        </is>
      </c>
      <c r="F11" s="6" t="inlineStr">
        <is>
          <t>Dracula</t>
        </is>
      </c>
      <c r="G11" s="14">
        <f>IF(H9 &gt;= 10, 'Drifter Priority'!D107, 'Drifter Priority'!C107)</f>
        <v/>
      </c>
      <c r="H11" s="15" t="n">
        <v>20</v>
      </c>
      <c r="I11" s="8">
        <f>0.02*H11</f>
        <v/>
      </c>
      <c r="J11" s="18">
        <f>IF(H11&lt;20, 1, 0)*((FLOOR(B2*C2,1)+FLOOR(B3*C3,1)+FLOOR(B4*C4,1)+FLOOR(B5*C5,1)+FLOOR(B6*C6,1))*0.02*SUM(1, I9))</f>
        <v/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5" t="n"/>
      <c r="T11" s="5" t="n"/>
    </row>
    <row r="12">
      <c r="A12" s="19" t="inlineStr">
        <is>
          <t>Standard</t>
        </is>
      </c>
      <c r="B12" s="20" t="n"/>
      <c r="C12" s="4" t="n"/>
      <c r="D12" s="4" t="n"/>
      <c r="E12" s="6" t="inlineStr">
        <is>
          <t>As a Singer Effect</t>
        </is>
      </c>
      <c r="F12" s="6" t="inlineStr">
        <is>
          <t>Dracula</t>
        </is>
      </c>
      <c r="G12" s="14">
        <f>IF(H10 &gt;= 10, 'Drifter Priority'!D105, 'Drifter Priority'!C105)</f>
        <v/>
      </c>
      <c r="H12" s="15" t="n">
        <v>20</v>
      </c>
      <c r="I12" s="8">
        <f>0.04*H12</f>
        <v/>
      </c>
      <c r="J12" s="18">
        <f>IF(H12&lt;20, 1, 0)*((FLOOR(B2*C2,1))*0.04*SUM(1, I9))</f>
        <v/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5" t="n"/>
      <c r="T12" s="5" t="n"/>
    </row>
    <row r="13">
      <c r="A13" s="1" t="inlineStr">
        <is>
          <t>Expected Score</t>
        </is>
      </c>
      <c r="B13" s="21">
        <f>SUM(O2:O6)+I19+I20</f>
        <v/>
      </c>
      <c r="C13" s="4" t="n"/>
      <c r="D13" s="4" t="n"/>
      <c r="E13" s="6" t="inlineStr">
        <is>
          <t>Ally Singer Effect</t>
        </is>
      </c>
      <c r="F13" s="6" t="inlineStr">
        <is>
          <t>Idol Boy</t>
        </is>
      </c>
      <c r="G13" s="14">
        <f>IF(H11 &gt;= 10, 'Drifter Priority'!D283, 'Drifter Priority'!C283)</f>
        <v/>
      </c>
      <c r="H13" s="15" t="n">
        <v>20</v>
      </c>
      <c r="I13" s="8">
        <f>0.04*H13</f>
        <v/>
      </c>
      <c r="J13" s="18">
        <f>IF(H13&lt;20, 1, 0)*((FLOOR(B2*C2,1)+FLOOR(B3*C3,1))*0.04*SUM(1, I9))</f>
        <v/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5" t="n"/>
      <c r="T13" s="5" t="n"/>
    </row>
    <row r="14">
      <c r="A14" s="1" t="inlineStr">
        <is>
          <t>Difference</t>
        </is>
      </c>
      <c r="B14" s="16">
        <f>B11-B13</f>
        <v/>
      </c>
      <c r="C14" s="22" t="n"/>
      <c r="D14" s="4" t="n"/>
      <c r="E14" s="6" t="inlineStr">
        <is>
          <t>As Musician Effect</t>
        </is>
      </c>
      <c r="F14" s="6" t="inlineStr">
        <is>
          <t>Commissioner</t>
        </is>
      </c>
      <c r="G14" s="14">
        <f>IF(H12 &gt;= 10, 'Drifter Priority'!D266, 'Drifter Priority'!C266)</f>
        <v/>
      </c>
      <c r="H14" s="15" t="n">
        <v>20</v>
      </c>
      <c r="I14" s="8">
        <f>0.04*H14</f>
        <v/>
      </c>
      <c r="J14" s="18">
        <f>IF(H14&lt;20, 1, 0)*((FLOOR(B6*C6,1))*0.04*SUM(1, I9))</f>
        <v/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5" t="n"/>
      <c r="T14" s="5" t="n"/>
    </row>
    <row r="15">
      <c r="A15" s="2" t="inlineStr">
        <is>
          <t>Result</t>
        </is>
      </c>
      <c r="B15" s="23">
        <f>IF(B13&gt;B11, "Win", "Lose")</f>
        <v/>
      </c>
      <c r="C15" s="4" t="n"/>
      <c r="D15" s="4" t="n"/>
      <c r="E15" s="6" t="inlineStr">
        <is>
          <t>Ally Musician Effect</t>
        </is>
      </c>
      <c r="F15" s="6" t="inlineStr">
        <is>
          <t>Commissioner</t>
        </is>
      </c>
      <c r="G15" s="14">
        <f>IF(H13 &gt;= 10, 'Drifter Priority'!D268, 'Drifter Priority'!C268)</f>
        <v/>
      </c>
      <c r="H15" s="15" t="n">
        <v>20</v>
      </c>
      <c r="I15" s="8">
        <f>0.03*H15</f>
        <v/>
      </c>
      <c r="J15" s="18">
        <f>IF(H15&lt;20, 1, 0)*(FLOOR(B4*C4,1)+FLOOR(B5*C5,1)+FLOOR(B6*C6,1))*0.03*SUM(1, I9)</f>
        <v/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5" t="n"/>
      <c r="T15" s="5" t="n"/>
    </row>
    <row r="16">
      <c r="A16" s="19" t="inlineStr">
        <is>
          <t>With Mysterious Bonus</t>
        </is>
      </c>
      <c r="B16" s="20" t="n"/>
      <c r="C16" s="4" t="n"/>
      <c r="D16" s="4" t="n"/>
      <c r="E16" s="6" t="inlineStr">
        <is>
          <t>Remix Effect</t>
        </is>
      </c>
      <c r="F16" s="6" t="inlineStr">
        <is>
          <t>Dracula</t>
        </is>
      </c>
      <c r="G16" s="14">
        <f>IF(H14 &gt;= 10, 'Drifter Priority'!D106, 'Drifter Priority'!C106)</f>
        <v/>
      </c>
      <c r="H16" s="15" t="n">
        <v>20</v>
      </c>
      <c r="I16" s="8">
        <f>0.05*H16</f>
        <v/>
      </c>
      <c r="J16" s="18">
        <f>IF(H16&lt;20, 1, 0)*((FLOOR(B2*C2,1))*0.05*SUM(1, I9))</f>
        <v/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5" t="n"/>
      <c r="T16" s="5" t="n"/>
    </row>
    <row r="17">
      <c r="A17" s="1" t="inlineStr">
        <is>
          <t>Expected Score</t>
        </is>
      </c>
      <c r="B17" s="21">
        <f>B13+15000</f>
        <v/>
      </c>
      <c r="C17" s="4" t="n"/>
      <c r="D17" s="4" t="n"/>
      <c r="E17" s="6" t="inlineStr">
        <is>
          <t>Samba Effect</t>
        </is>
      </c>
      <c r="F17" s="6" t="inlineStr">
        <is>
          <t>Idol Boy</t>
        </is>
      </c>
      <c r="G17" s="14">
        <f>IF(H15 &gt;= 10, 'Drifter Priority'!D284, 'Drifter Priority'!C284)</f>
        <v/>
      </c>
      <c r="H17" s="15" t="n">
        <v>20</v>
      </c>
      <c r="I17" s="8">
        <f>0.05*H17</f>
        <v/>
      </c>
      <c r="J17" s="18">
        <f>IF(H17&lt;20, 1, 0)*((FLOOR(B3*C3,1))*0.05*SUM(1, I9))</f>
        <v/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5" t="n"/>
      <c r="T17" s="5" t="n"/>
    </row>
    <row r="18">
      <c r="A18" s="1" t="inlineStr">
        <is>
          <t>Difference</t>
        </is>
      </c>
      <c r="B18" s="16">
        <f>B11-B17</f>
        <v/>
      </c>
      <c r="C18" s="4" t="n"/>
      <c r="D18" s="4" t="n"/>
      <c r="E18" s="6" t="inlineStr">
        <is>
          <t>Blues Effect</t>
        </is>
      </c>
      <c r="F18" s="6" t="inlineStr">
        <is>
          <t>Athena</t>
        </is>
      </c>
      <c r="G18" s="14">
        <f>IF(H16 &gt;= 10, 'Drifter Priority'!D125, 'Drifter Priority'!C125)</f>
        <v/>
      </c>
      <c r="H18" s="15" t="n">
        <v>10</v>
      </c>
      <c r="I18" s="8">
        <f>0.05*H18</f>
        <v/>
      </c>
      <c r="J18" s="18">
        <f>IF(H18&lt;20, 1, 0)*((FLOOR(B5*C5,1))*0.05*SUM(1, I9))</f>
        <v/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5" t="n"/>
      <c r="T18" s="5" t="n"/>
    </row>
    <row r="19">
      <c r="A19" s="2" t="inlineStr">
        <is>
          <t>Result</t>
        </is>
      </c>
      <c r="B19" s="23">
        <f>IF(B17&gt;B11, "Win", "Lose")</f>
        <v/>
      </c>
      <c r="C19" s="4" t="n"/>
      <c r="D19" s="4" t="n"/>
      <c r="E19" s="6" t="inlineStr">
        <is>
          <t>Stage Control</t>
        </is>
      </c>
      <c r="F19" s="6" t="inlineStr">
        <is>
          <t>Idol Boy</t>
        </is>
      </c>
      <c r="G19" s="14">
        <f>IF(H17 &gt;= 10, 'Drifter Priority'!D282, 'Drifter Priority'!C282)</f>
        <v/>
      </c>
      <c r="H19" s="15" t="n">
        <v>20</v>
      </c>
      <c r="I19" s="8">
        <f>500*H19</f>
        <v/>
      </c>
      <c r="J19" s="24">
        <f>IF(H19&gt;=0,1,0)*IF(H19&lt;20,1,0)*500</f>
        <v/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5" t="n"/>
      <c r="T19" s="5" t="n"/>
    </row>
    <row r="20">
      <c r="A20" s="4" t="inlineStr">
        <is>
          <t>Credit: SYT for base calculator</t>
        </is>
      </c>
      <c r="B20" s="4" t="n"/>
      <c r="C20" s="4" t="n"/>
      <c r="D20" s="4" t="n"/>
      <c r="E20" s="25" t="inlineStr">
        <is>
          <t>Athena's Delight</t>
        </is>
      </c>
      <c r="F20" s="25" t="inlineStr">
        <is>
          <t>Athena</t>
        </is>
      </c>
      <c r="G20" s="14">
        <f>IF(H18 &gt;= 10, 'Drifter Priority'!D124, 'Drifter Priority'!C124)</f>
        <v/>
      </c>
      <c r="H20" s="26" t="n">
        <v>20</v>
      </c>
      <c r="I20" s="8">
        <f>IF(H20&gt;10,1,0)*(H20-10)*1000</f>
        <v/>
      </c>
      <c r="J20" s="8">
        <f>IF(H20&gt;=10,1,0)*IF(H20&lt;20,1,0)*1000</f>
        <v/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5" t="n"/>
      <c r="T20" s="5" t="n"/>
    </row>
    <row r="21">
      <c r="A21" s="4" t="n"/>
      <c r="B21" s="4" t="n"/>
      <c r="C21" s="4" t="n"/>
      <c r="D21" s="4" t="n"/>
      <c r="E21" s="27" t="n"/>
      <c r="F21" s="27" t="n"/>
      <c r="G21" s="27" t="n"/>
      <c r="H21" s="27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5" t="n"/>
      <c r="T21" s="5" t="n"/>
    </row>
    <row r="22">
      <c r="A22" s="4" t="n"/>
      <c r="B22" s="4" t="n"/>
      <c r="C22" s="4" t="n"/>
      <c r="D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5" t="n"/>
      <c r="T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</sheetData>
  <mergeCells count="2">
    <mergeCell ref="A16:B1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2026-04-25T21:15:36Z</dcterms:created>
  <dcterms:modified xmlns:dcterms="http://purl.org/dc/terms/" xmlns:xsi="http://www.w3.org/2001/XMLSchema-instance" xsi:type="dcterms:W3CDTF">2026-04-25T21:15:36Z</dcterms:modified>
</cp:coreProperties>
</file>