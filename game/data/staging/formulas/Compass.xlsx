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FF000000"/>
      <sz val="12"/>
    </font>
    <font>
      <name val="Calibri"/>
      <color rgb="FF000000"/>
      <sz val="12"/>
    </font>
    <font>
      <name val="Verdana"/>
      <color theme="1"/>
      <scheme val="minor"/>
    </font>
    <font>
      <name val="Verdana"/>
      <color rgb="FFFF0000"/>
      <scheme val="minor"/>
    </font>
    <font>
      <name val="Calibri"/>
      <color theme="1"/>
    </font>
    <font>
      <name val="Calibri"/>
      <color theme="1"/>
      <sz val="12"/>
    </font>
    <font>
      <name val="Calibri"/>
      <color rgb="FFFF0000"/>
      <sz val="12"/>
    </font>
    <font>
      <name val="Verdana"/>
      <color theme="1"/>
      <sz val="12"/>
      <scheme val="minor"/>
    </font>
  </fonts>
  <fills count="23">
    <fill>
      <patternFill/>
    </fill>
    <fill>
      <patternFill patternType="gray125"/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</fills>
  <borders count="21">
    <border>
      <left/>
      <right/>
      <top/>
      <bottom/>
      <diagonal/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0" borderId="2" applyAlignment="1" pivotButton="0" quotePrefix="0" xfId="0">
      <alignment horizontal="center" vertical="bottom"/>
    </xf>
    <xf numFmtId="0" fontId="2" fillId="0" borderId="3" applyAlignment="1" pivotButton="0" quotePrefix="0" xfId="0">
      <alignment horizontal="center" vertical="bottom"/>
    </xf>
    <xf numFmtId="0" fontId="2" fillId="0" borderId="4" applyAlignment="1" pivotButton="0" quotePrefix="0" xfId="0">
      <alignment horizontal="center" vertical="bottom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2" fillId="0" borderId="1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0" borderId="5" applyAlignment="1" pivotButton="0" quotePrefix="0" xfId="0">
      <alignment vertical="bottom"/>
    </xf>
    <xf numFmtId="0" fontId="2" fillId="0" borderId="5" applyAlignment="1" pivotButton="0" quotePrefix="0" xfId="0">
      <alignment horizontal="right" vertical="bottom"/>
    </xf>
    <xf numFmtId="0" fontId="5" fillId="0" borderId="5" pivotButton="0" quotePrefix="0" xfId="0"/>
    <xf numFmtId="0" fontId="6" fillId="0" borderId="7" applyAlignment="1" pivotButton="0" quotePrefix="0" xfId="0">
      <alignment vertical="bottom"/>
    </xf>
    <xf numFmtId="0" fontId="3" fillId="0" borderId="6" pivotButton="0" quotePrefix="0" xfId="0"/>
    <xf numFmtId="0" fontId="2" fillId="0" borderId="8" applyAlignment="1" pivotButton="0" quotePrefix="0" xfId="0">
      <alignment vertical="bottom"/>
    </xf>
    <xf numFmtId="0" fontId="2" fillId="0" borderId="8" applyAlignment="1" pivotButton="0" quotePrefix="0" xfId="0">
      <alignment horizontal="right" vertical="bottom"/>
    </xf>
    <xf numFmtId="0" fontId="3" fillId="0" borderId="8" pivotButton="0" quotePrefix="0" xfId="0"/>
    <xf numFmtId="0" fontId="7" fillId="0" borderId="7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2" borderId="10" applyAlignment="1" pivotButton="0" quotePrefix="0" xfId="0">
      <alignment horizontal="center" vertical="bottom"/>
    </xf>
    <xf numFmtId="0" fontId="3" fillId="2" borderId="11" pivotButton="0" quotePrefix="0" xfId="0"/>
    <xf numFmtId="0" fontId="2" fillId="2" borderId="11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0" fontId="0" fillId="0" borderId="19" pivotButton="0" quotePrefix="0" xfId="0"/>
    <xf numFmtId="0" fontId="1" fillId="3" borderId="10" applyAlignment="1" pivotButton="0" quotePrefix="0" xfId="0">
      <alignment vertical="bottom"/>
    </xf>
    <xf numFmtId="0" fontId="3" fillId="3" borderId="11" pivotButton="0" quotePrefix="0" xfId="0"/>
    <xf numFmtId="0" fontId="2" fillId="3" borderId="11" applyAlignment="1" pivotButton="0" quotePrefix="0" xfId="0">
      <alignment horizontal="center" vertical="bottom"/>
    </xf>
    <xf numFmtId="0" fontId="5" fillId="3" borderId="12" pivotButton="0" quotePrefix="0" xfId="0"/>
    <xf numFmtId="0" fontId="2" fillId="3" borderId="5" applyAlignment="1" pivotButton="0" quotePrefix="0" xfId="0">
      <alignment horizontal="right" vertical="bottom"/>
    </xf>
    <xf numFmtId="0" fontId="2" fillId="3" borderId="5" applyAlignment="1" pivotButton="0" quotePrefix="0" xfId="0">
      <alignment horizontal="center" vertical="bottom"/>
    </xf>
    <xf numFmtId="0" fontId="1" fillId="4" borderId="10" applyAlignment="1" pivotButton="0" quotePrefix="0" xfId="0">
      <alignment vertical="bottom"/>
    </xf>
    <xf numFmtId="0" fontId="3" fillId="4" borderId="11" pivotButton="0" quotePrefix="0" xfId="0"/>
    <xf numFmtId="0" fontId="2" fillId="4" borderId="11" applyAlignment="1" pivotButton="0" quotePrefix="0" xfId="0">
      <alignment horizontal="center" vertical="bottom"/>
    </xf>
    <xf numFmtId="0" fontId="5" fillId="4" borderId="6" pivotButton="0" quotePrefix="0" xfId="0"/>
    <xf numFmtId="0" fontId="2" fillId="4" borderId="5" applyAlignment="1" pivotButton="0" quotePrefix="0" xfId="0">
      <alignment horizontal="right" vertical="bottom"/>
    </xf>
    <xf numFmtId="0" fontId="2" fillId="4" borderId="5" applyAlignment="1" pivotButton="0" quotePrefix="0" xfId="0">
      <alignment horizontal="center" vertical="bottom"/>
    </xf>
    <xf numFmtId="0" fontId="2" fillId="4" borderId="10" applyAlignment="1" pivotButton="0" quotePrefix="0" xfId="0">
      <alignment vertical="bottom"/>
    </xf>
    <xf numFmtId="0" fontId="5" fillId="4" borderId="11" pivotButton="0" quotePrefix="0" xfId="0"/>
    <xf numFmtId="0" fontId="2" fillId="3" borderId="10" applyAlignment="1" pivotButton="0" quotePrefix="0" xfId="0">
      <alignment vertical="bottom"/>
    </xf>
    <xf numFmtId="164" fontId="2" fillId="3" borderId="12" applyAlignment="1" pivotButton="0" quotePrefix="0" xfId="0">
      <alignment horizontal="center" vertical="bottom"/>
    </xf>
    <xf numFmtId="0" fontId="2" fillId="3" borderId="6" applyAlignment="1" pivotButton="0" quotePrefix="0" xfId="0">
      <alignment horizontal="center" vertical="bottom"/>
    </xf>
    <xf numFmtId="0" fontId="5" fillId="3" borderId="6" pivotButton="0" quotePrefix="0" xfId="0"/>
    <xf numFmtId="0" fontId="2" fillId="3" borderId="6" applyAlignment="1" pivotButton="0" quotePrefix="0" xfId="0">
      <alignment horizontal="right" vertical="bottom"/>
    </xf>
    <xf numFmtId="0" fontId="7" fillId="0" borderId="9" applyAlignment="1" pivotButton="0" quotePrefix="0" xfId="0">
      <alignment vertical="bottom"/>
    </xf>
    <xf numFmtId="0" fontId="2" fillId="5" borderId="10" applyAlignment="1" pivotButton="0" quotePrefix="0" xfId="0">
      <alignment horizontal="center" vertical="bottom"/>
    </xf>
    <xf numFmtId="0" fontId="3" fillId="5" borderId="11" pivotButton="0" quotePrefix="0" xfId="0"/>
    <xf numFmtId="0" fontId="2" fillId="5" borderId="11" applyAlignment="1" pivotButton="0" quotePrefix="0" xfId="0">
      <alignment horizontal="center" vertical="bottom"/>
    </xf>
    <xf numFmtId="0" fontId="2" fillId="5" borderId="5" applyAlignment="1" pivotButton="0" quotePrefix="0" xfId="0">
      <alignment horizontal="center" vertical="bottom"/>
    </xf>
    <xf numFmtId="0" fontId="1" fillId="6" borderId="10" applyAlignment="1" pivotButton="0" quotePrefix="0" xfId="0">
      <alignment vertical="bottom"/>
    </xf>
    <xf numFmtId="0" fontId="3" fillId="6" borderId="11" pivotButton="0" quotePrefix="0" xfId="0"/>
    <xf numFmtId="0" fontId="2" fillId="6" borderId="11" applyAlignment="1" pivotButton="0" quotePrefix="0" xfId="0">
      <alignment horizontal="center" vertical="bottom"/>
    </xf>
    <xf numFmtId="0" fontId="5" fillId="6" borderId="6" pivotButton="0" quotePrefix="0" xfId="0"/>
    <xf numFmtId="0" fontId="2" fillId="6" borderId="5" applyAlignment="1" pivotButton="0" quotePrefix="0" xfId="0">
      <alignment horizontal="right" vertical="bottom"/>
    </xf>
    <xf numFmtId="0" fontId="2" fillId="6" borderId="5" applyAlignment="1" pivotButton="0" quotePrefix="0" xfId="0">
      <alignment horizontal="center" vertical="bottom"/>
    </xf>
    <xf numFmtId="0" fontId="2" fillId="6" borderId="10" applyAlignment="1" pivotButton="0" quotePrefix="0" xfId="0">
      <alignment vertical="bottom"/>
    </xf>
    <xf numFmtId="0" fontId="5" fillId="6" borderId="11" pivotButton="0" quotePrefix="0" xfId="0"/>
    <xf numFmtId="0" fontId="2" fillId="6" borderId="6" applyAlignment="1" pivotButton="0" quotePrefix="0" xfId="0">
      <alignment vertical="bottom"/>
    </xf>
    <xf numFmtId="0" fontId="3" fillId="6" borderId="6" pivotButton="0" quotePrefix="0" xfId="0"/>
    <xf numFmtId="0" fontId="2" fillId="6" borderId="6" applyAlignment="1" pivotButton="0" quotePrefix="0" xfId="0">
      <alignment horizontal="center" vertical="bottom"/>
    </xf>
    <xf numFmtId="0" fontId="2" fillId="6" borderId="6" applyAlignment="1" pivotButton="0" quotePrefix="0" xfId="0">
      <alignment horizontal="right" vertical="bottom"/>
    </xf>
    <xf numFmtId="0" fontId="6" fillId="0" borderId="9" applyAlignment="1" pivotButton="0" quotePrefix="0" xfId="0">
      <alignment vertical="bottom"/>
    </xf>
    <xf numFmtId="0" fontId="2" fillId="7" borderId="10" applyAlignment="1" pivotButton="0" quotePrefix="0" xfId="0">
      <alignment horizontal="center" vertical="bottom"/>
    </xf>
    <xf numFmtId="0" fontId="3" fillId="7" borderId="11" pivotButton="0" quotePrefix="0" xfId="0"/>
    <xf numFmtId="0" fontId="2" fillId="7" borderId="11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3" fillId="0" borderId="6" pivotButton="0" quotePrefix="0" xfId="0"/>
    <xf numFmtId="0" fontId="1" fillId="3" borderId="1" applyAlignment="1" pivotButton="0" quotePrefix="0" xfId="0">
      <alignment vertical="bottom"/>
    </xf>
    <xf numFmtId="0" fontId="1" fillId="8" borderId="10" applyAlignment="1" pivotButton="0" quotePrefix="0" xfId="0">
      <alignment vertical="bottom"/>
    </xf>
    <xf numFmtId="0" fontId="3" fillId="8" borderId="11" pivotButton="0" quotePrefix="0" xfId="0"/>
    <xf numFmtId="0" fontId="2" fillId="8" borderId="11" applyAlignment="1" pivotButton="0" quotePrefix="0" xfId="0">
      <alignment horizontal="center" vertical="bottom"/>
    </xf>
    <xf numFmtId="0" fontId="5" fillId="8" borderId="11" pivotButton="0" quotePrefix="0" xfId="0"/>
    <xf numFmtId="0" fontId="2" fillId="8" borderId="5" applyAlignment="1" pivotButton="0" quotePrefix="0" xfId="0">
      <alignment horizontal="right" vertical="bottom"/>
    </xf>
    <xf numFmtId="0" fontId="2" fillId="8" borderId="5" applyAlignment="1" pivotButton="0" quotePrefix="0" xfId="0">
      <alignment horizontal="center" vertical="bottom"/>
    </xf>
    <xf numFmtId="0" fontId="1" fillId="3" borderId="13" applyAlignment="1" pivotButton="0" quotePrefix="0" xfId="0">
      <alignment vertical="bottom"/>
    </xf>
    <xf numFmtId="0" fontId="2" fillId="3" borderId="14" applyAlignment="1" pivotButton="0" quotePrefix="0" xfId="0">
      <alignment horizontal="center" vertical="bottom"/>
    </xf>
    <xf numFmtId="0" fontId="5" fillId="3" borderId="14" pivotButton="0" quotePrefix="0" xfId="0"/>
    <xf numFmtId="0" fontId="2" fillId="8" borderId="10" applyAlignment="1" pivotButton="0" quotePrefix="0" xfId="0">
      <alignment vertical="bottom"/>
    </xf>
    <xf numFmtId="0" fontId="2" fillId="9" borderId="10" applyAlignment="1" pivotButton="0" quotePrefix="0" xfId="0">
      <alignment horizontal="center" vertical="bottom"/>
    </xf>
    <xf numFmtId="0" fontId="3" fillId="9" borderId="11" pivotButton="0" quotePrefix="0" xfId="0"/>
    <xf numFmtId="0" fontId="2" fillId="9" borderId="11" applyAlignment="1" pivotButton="0" quotePrefix="0" xfId="0">
      <alignment horizontal="center" vertical="bottom"/>
    </xf>
    <xf numFmtId="0" fontId="2" fillId="9" borderId="5" applyAlignment="1" pivotButton="0" quotePrefix="0" xfId="0">
      <alignment horizontal="center" vertical="bottom"/>
    </xf>
    <xf numFmtId="0" fontId="1" fillId="10" borderId="10" applyAlignment="1" pivotButton="0" quotePrefix="0" xfId="0">
      <alignment vertical="bottom"/>
    </xf>
    <xf numFmtId="0" fontId="3" fillId="10" borderId="11" pivotButton="0" quotePrefix="0" xfId="0"/>
    <xf numFmtId="0" fontId="2" fillId="10" borderId="11" applyAlignment="1" pivotButton="0" quotePrefix="0" xfId="0">
      <alignment horizontal="center" vertical="bottom"/>
    </xf>
    <xf numFmtId="0" fontId="5" fillId="10" borderId="6" pivotButton="0" quotePrefix="0" xfId="0"/>
    <xf numFmtId="0" fontId="2" fillId="10" borderId="5" applyAlignment="1" pivotButton="0" quotePrefix="0" xfId="0">
      <alignment horizontal="right" vertical="bottom"/>
    </xf>
    <xf numFmtId="0" fontId="2" fillId="10" borderId="5" applyAlignment="1" pivotButton="0" quotePrefix="0" xfId="0">
      <alignment horizontal="center" vertical="bottom"/>
    </xf>
    <xf numFmtId="0" fontId="2" fillId="10" borderId="10" applyAlignment="1" pivotButton="0" quotePrefix="0" xfId="0">
      <alignment vertical="bottom"/>
    </xf>
    <xf numFmtId="0" fontId="5" fillId="10" borderId="11" pivotButton="0" quotePrefix="0" xfId="0"/>
    <xf numFmtId="0" fontId="1" fillId="0" borderId="15" applyAlignment="1" pivotButton="0" quotePrefix="0" xfId="0">
      <alignment vertical="bottom"/>
    </xf>
    <xf numFmtId="0" fontId="2" fillId="11" borderId="10" applyAlignment="1" pivotButton="0" quotePrefix="0" xfId="0">
      <alignment horizontal="center" vertical="bottom"/>
    </xf>
    <xf numFmtId="0" fontId="3" fillId="11" borderId="11" pivotButton="0" quotePrefix="0" xfId="0"/>
    <xf numFmtId="0" fontId="2" fillId="11" borderId="11" applyAlignment="1" pivotButton="0" quotePrefix="0" xfId="0">
      <alignment horizontal="center" vertical="bottom"/>
    </xf>
    <xf numFmtId="0" fontId="2" fillId="11" borderId="5" applyAlignment="1" pivotButton="0" quotePrefix="0" xfId="0">
      <alignment horizontal="center" vertical="bottom"/>
    </xf>
    <xf numFmtId="0" fontId="1" fillId="12" borderId="10" applyAlignment="1" pivotButton="0" quotePrefix="0" xfId="0">
      <alignment vertical="bottom"/>
    </xf>
    <xf numFmtId="0" fontId="3" fillId="12" borderId="11" pivotButton="0" quotePrefix="0" xfId="0"/>
    <xf numFmtId="0" fontId="2" fillId="12" borderId="11" applyAlignment="1" pivotButton="0" quotePrefix="0" xfId="0">
      <alignment horizontal="center" vertical="bottom"/>
    </xf>
    <xf numFmtId="0" fontId="5" fillId="12" borderId="12" pivotButton="0" quotePrefix="0" xfId="0"/>
    <xf numFmtId="0" fontId="2" fillId="12" borderId="5" applyAlignment="1" pivotButton="0" quotePrefix="0" xfId="0">
      <alignment horizontal="right" vertical="bottom"/>
    </xf>
    <xf numFmtId="0" fontId="2" fillId="12" borderId="5" applyAlignment="1" pivotButton="0" quotePrefix="0" xfId="0">
      <alignment horizontal="center" vertical="bottom"/>
    </xf>
    <xf numFmtId="0" fontId="2" fillId="12" borderId="10" applyAlignment="1" pivotButton="0" quotePrefix="0" xfId="0">
      <alignment vertical="bottom"/>
    </xf>
    <xf numFmtId="0" fontId="5" fillId="12" borderId="11" pivotButton="0" quotePrefix="0" xfId="0"/>
    <xf numFmtId="0" fontId="1" fillId="0" borderId="10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0" fontId="2" fillId="0" borderId="11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 vertical="bottom"/>
    </xf>
    <xf numFmtId="0" fontId="2" fillId="13" borderId="10" applyAlignment="1" pivotButton="0" quotePrefix="0" xfId="0">
      <alignment horizontal="center" vertical="bottom"/>
    </xf>
    <xf numFmtId="0" fontId="3" fillId="13" borderId="2" pivotButton="0" quotePrefix="0" xfId="0"/>
    <xf numFmtId="0" fontId="2" fillId="13" borderId="11" applyAlignment="1" pivotButton="0" quotePrefix="0" xfId="0">
      <alignment horizontal="center" vertical="bottom"/>
    </xf>
    <xf numFmtId="0" fontId="5" fillId="13" borderId="11" applyAlignment="1" pivotButton="0" quotePrefix="0" xfId="0">
      <alignment horizontal="center"/>
    </xf>
    <xf numFmtId="0" fontId="2" fillId="13" borderId="5" applyAlignment="1" pivotButton="0" quotePrefix="0" xfId="0">
      <alignment horizontal="center" vertical="bottom"/>
    </xf>
    <xf numFmtId="0" fontId="5" fillId="13" borderId="12" applyAlignment="1" pivotButton="0" quotePrefix="0" xfId="0">
      <alignment horizontal="center"/>
    </xf>
    <xf numFmtId="0" fontId="5" fillId="3" borderId="11" applyAlignment="1" pivotButton="0" quotePrefix="0" xfId="0">
      <alignment horizontal="center"/>
    </xf>
    <xf numFmtId="0" fontId="5" fillId="3" borderId="11" pivotButton="0" quotePrefix="0" xfId="0"/>
    <xf numFmtId="0" fontId="5" fillId="3" borderId="5" pivotButton="0" quotePrefix="0" xfId="0"/>
    <xf numFmtId="0" fontId="5" fillId="3" borderId="12" applyAlignment="1" pivotButton="0" quotePrefix="0" xfId="0">
      <alignment horizontal="center"/>
    </xf>
    <xf numFmtId="0" fontId="2" fillId="14" borderId="1" applyAlignment="1" pivotButton="0" quotePrefix="0" xfId="0">
      <alignment vertical="bottom"/>
    </xf>
    <xf numFmtId="0" fontId="2" fillId="14" borderId="6" applyAlignment="1" pivotButton="0" quotePrefix="0" xfId="0">
      <alignment horizontal="center" vertical="bottom"/>
    </xf>
    <xf numFmtId="0" fontId="5" fillId="14" borderId="6" applyAlignment="1" pivotButton="0" quotePrefix="0" xfId="0">
      <alignment horizontal="center"/>
    </xf>
    <xf numFmtId="0" fontId="5" fillId="14" borderId="6" pivotButton="0" quotePrefix="0" xfId="0"/>
    <xf numFmtId="0" fontId="5" fillId="14" borderId="5" pivotButton="0" quotePrefix="0" xfId="0"/>
    <xf numFmtId="0" fontId="5" fillId="14" borderId="7" applyAlignment="1" pivotButton="0" quotePrefix="0" xfId="0">
      <alignment horizontal="center"/>
    </xf>
    <xf numFmtId="0" fontId="0" fillId="0" borderId="20" pivotButton="0" quotePrefix="0" xfId="0"/>
    <xf numFmtId="0" fontId="2" fillId="14" borderId="10" applyAlignment="1" pivotButton="0" quotePrefix="0" xfId="0">
      <alignment vertical="bottom"/>
    </xf>
    <xf numFmtId="0" fontId="3" fillId="14" borderId="11" pivotButton="0" quotePrefix="0" xfId="0"/>
    <xf numFmtId="0" fontId="2" fillId="14" borderId="11" applyAlignment="1" pivotButton="0" quotePrefix="0" xfId="0">
      <alignment horizontal="center" vertical="bottom"/>
    </xf>
    <xf numFmtId="0" fontId="5" fillId="14" borderId="11" applyAlignment="1" pivotButton="0" quotePrefix="0" xfId="0">
      <alignment horizontal="center"/>
    </xf>
    <xf numFmtId="0" fontId="5" fillId="14" borderId="12" pivotButton="0" quotePrefix="0" xfId="0"/>
    <xf numFmtId="0" fontId="3" fillId="14" borderId="10" pivotButton="0" quotePrefix="0" xfId="0"/>
    <xf numFmtId="0" fontId="2" fillId="14" borderId="12" applyAlignment="1" pivotButton="0" quotePrefix="0" xfId="0">
      <alignment horizontal="center" vertical="bottom"/>
    </xf>
    <xf numFmtId="0" fontId="1" fillId="15" borderId="5" applyAlignment="1" pivotButton="0" quotePrefix="0" xfId="0">
      <alignment vertical="bottom"/>
    </xf>
    <xf numFmtId="0" fontId="2" fillId="15" borderId="5" applyAlignment="1" pivotButton="0" quotePrefix="0" xfId="0">
      <alignment vertical="bottom"/>
    </xf>
    <xf numFmtId="0" fontId="2" fillId="15" borderId="5" applyAlignment="1" pivotButton="0" quotePrefix="0" xfId="0">
      <alignment horizontal="center" vertical="bottom"/>
    </xf>
    <xf numFmtId="0" fontId="0" fillId="0" borderId="18" pivotButton="0" quotePrefix="0" xfId="0"/>
    <xf numFmtId="0" fontId="1" fillId="3" borderId="5" applyAlignment="1" pivotButton="0" quotePrefix="0" xfId="0">
      <alignment vertical="bottom"/>
    </xf>
    <xf numFmtId="0" fontId="2" fillId="3" borderId="5" applyAlignment="1" pivotButton="0" quotePrefix="0" xfId="0">
      <alignment vertical="bottom"/>
    </xf>
    <xf numFmtId="0" fontId="1" fillId="16" borderId="5" applyAlignment="1" pivotButton="0" quotePrefix="0" xfId="0">
      <alignment vertical="bottom"/>
    </xf>
    <xf numFmtId="0" fontId="2" fillId="16" borderId="5" applyAlignment="1" pivotButton="0" quotePrefix="0" xfId="0">
      <alignment vertical="bottom"/>
    </xf>
    <xf numFmtId="0" fontId="2" fillId="16" borderId="5" applyAlignment="1" pivotButton="0" quotePrefix="0" xfId="0">
      <alignment horizontal="right" vertical="bottom"/>
    </xf>
    <xf numFmtId="0" fontId="2" fillId="16" borderId="5" applyAlignment="1" pivotButton="0" quotePrefix="0" xfId="0">
      <alignment horizontal="center" vertical="bottom"/>
    </xf>
    <xf numFmtId="0" fontId="6" fillId="16" borderId="5" applyAlignment="1" pivotButton="0" quotePrefix="0" xfId="0">
      <alignment vertical="bottom"/>
    </xf>
    <xf numFmtId="0" fontId="6" fillId="3" borderId="5" applyAlignment="1" pivotButton="0" quotePrefix="0" xfId="0">
      <alignment vertical="bottom"/>
    </xf>
    <xf numFmtId="0" fontId="7" fillId="16" borderId="5" applyAlignment="1" pivotButton="0" quotePrefix="0" xfId="0">
      <alignment vertical="bottom"/>
    </xf>
    <xf numFmtId="0" fontId="1" fillId="17" borderId="5" applyAlignment="1" pivotButton="0" quotePrefix="0" xfId="0">
      <alignment vertical="bottom"/>
    </xf>
    <xf numFmtId="0" fontId="2" fillId="17" borderId="5" applyAlignment="1" pivotButton="0" quotePrefix="0" xfId="0">
      <alignment vertical="bottom"/>
    </xf>
    <xf numFmtId="0" fontId="2" fillId="17" borderId="5" applyAlignment="1" pivotButton="0" quotePrefix="0" xfId="0">
      <alignment horizontal="center" vertical="bottom"/>
    </xf>
    <xf numFmtId="0" fontId="7" fillId="3" borderId="5" applyAlignment="1" pivotButton="0" quotePrefix="0" xfId="0">
      <alignment vertical="bottom"/>
    </xf>
    <xf numFmtId="0" fontId="2" fillId="18" borderId="5" applyAlignment="1" pivotButton="0" quotePrefix="0" xfId="0">
      <alignment vertical="bottom"/>
    </xf>
    <xf numFmtId="0" fontId="2" fillId="18" borderId="5" applyAlignment="1" pivotButton="0" quotePrefix="0" xfId="0">
      <alignment horizontal="right" vertical="bottom"/>
    </xf>
    <xf numFmtId="0" fontId="7" fillId="18" borderId="5" applyAlignment="1" pivotButton="0" quotePrefix="0" xfId="0">
      <alignment vertical="bottom"/>
    </xf>
    <xf numFmtId="0" fontId="6" fillId="18" borderId="5" applyAlignment="1" pivotButton="0" quotePrefix="0" xfId="0">
      <alignment vertical="bottom"/>
    </xf>
    <xf numFmtId="0" fontId="1" fillId="19" borderId="5" applyAlignment="1" pivotButton="0" quotePrefix="0" xfId="0">
      <alignment vertical="bottom"/>
    </xf>
    <xf numFmtId="0" fontId="2" fillId="19" borderId="5" applyAlignment="1" pivotButton="0" quotePrefix="0" xfId="0">
      <alignment vertical="bottom"/>
    </xf>
    <xf numFmtId="0" fontId="2" fillId="19" borderId="5" applyAlignment="1" pivotButton="0" quotePrefix="0" xfId="0">
      <alignment horizontal="center" vertical="bottom"/>
    </xf>
    <xf numFmtId="0" fontId="2" fillId="20" borderId="5" applyAlignment="1" pivotButton="0" quotePrefix="0" xfId="0">
      <alignment vertical="bottom"/>
    </xf>
    <xf numFmtId="0" fontId="2" fillId="20" borderId="5" applyAlignment="1" pivotButton="0" quotePrefix="0" xfId="0">
      <alignment horizontal="right" vertical="bottom"/>
    </xf>
    <xf numFmtId="0" fontId="6" fillId="20" borderId="5" applyAlignment="1" pivotButton="0" quotePrefix="0" xfId="0">
      <alignment vertical="bottom"/>
    </xf>
    <xf numFmtId="0" fontId="7" fillId="20" borderId="5" applyAlignment="1" pivotButton="0" quotePrefix="0" xfId="0">
      <alignment vertical="bottom"/>
    </xf>
    <xf numFmtId="0" fontId="1" fillId="9" borderId="5" applyAlignment="1" pivotButton="0" quotePrefix="0" xfId="0">
      <alignment vertical="bottom"/>
    </xf>
    <xf numFmtId="0" fontId="2" fillId="9" borderId="5" applyAlignment="1" pivotButton="0" quotePrefix="0" xfId="0">
      <alignment vertical="bottom"/>
    </xf>
    <xf numFmtId="0" fontId="2" fillId="10" borderId="5" applyAlignment="1" pivotButton="0" quotePrefix="0" xfId="0">
      <alignment vertical="bottom"/>
    </xf>
    <xf numFmtId="0" fontId="7" fillId="10" borderId="5" applyAlignment="1" pivotButton="0" quotePrefix="0" xfId="0">
      <alignment vertical="bottom"/>
    </xf>
    <xf numFmtId="0" fontId="6" fillId="10" borderId="5" applyAlignment="1" pivotButton="0" quotePrefix="0" xfId="0">
      <alignment vertical="bottom"/>
    </xf>
    <xf numFmtId="0" fontId="1" fillId="21" borderId="5" applyAlignment="1" pivotButton="0" quotePrefix="0" xfId="0">
      <alignment vertical="bottom"/>
    </xf>
    <xf numFmtId="0" fontId="2" fillId="21" borderId="5" applyAlignment="1" pivotButton="0" quotePrefix="0" xfId="0">
      <alignment vertical="bottom"/>
    </xf>
    <xf numFmtId="0" fontId="2" fillId="21" borderId="5" applyAlignment="1" pivotButton="0" quotePrefix="0" xfId="0">
      <alignment horizontal="center" vertical="bottom"/>
    </xf>
    <xf numFmtId="0" fontId="2" fillId="22" borderId="5" applyAlignment="1" pivotButton="0" quotePrefix="0" xfId="0">
      <alignment vertical="bottom"/>
    </xf>
    <xf numFmtId="0" fontId="2" fillId="22" borderId="5" applyAlignment="1" pivotButton="0" quotePrefix="0" xfId="0">
      <alignment horizontal="right" vertical="bottom"/>
    </xf>
    <xf numFmtId="0" fontId="6" fillId="22" borderId="5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7"/>
  <sheetViews>
    <sheetView workbookViewId="0">
      <selection activeCell="A1" sqref="A1"/>
    </sheetView>
  </sheetViews>
  <sheetFormatPr baseColWidth="8" defaultRowHeight="15"/>
  <cols>
    <col width="19.91" customWidth="1" min="1" max="1"/>
    <col width="7.73" customWidth="1" min="4" max="4"/>
    <col width="11.82" customWidth="1" min="5" max="5"/>
    <col width="11.73" customWidth="1" min="7" max="7"/>
    <col width="4.09" customWidth="1" min="8" max="8"/>
    <col width="3.27" customWidth="1" min="9" max="9"/>
    <col width="4" customWidth="1" min="10" max="10"/>
    <col width="3" customWidth="1" min="11" max="11"/>
    <col width="3.36" customWidth="1" min="12" max="12"/>
    <col width="6.73" customWidth="1" min="13" max="13"/>
    <col width="3.82" customWidth="1" min="14" max="14"/>
    <col width="7.73" customWidth="1" min="15" max="15"/>
    <col width="7" customWidth="1" min="16" max="16"/>
    <col width="7.36" customWidth="1" min="17" max="17"/>
    <col width="4.36" customWidth="1" min="18" max="18"/>
    <col width="7.82" customWidth="1" min="20" max="20"/>
    <col width="5.55" customWidth="1" min="21" max="21"/>
    <col width="8.449999999999999" customWidth="1" min="22" max="22"/>
  </cols>
  <sheetData>
    <row r="1">
      <c r="A1" s="1" t="inlineStr">
        <is>
          <t>Dung Beetle</t>
        </is>
      </c>
      <c r="B1" s="2" t="n"/>
      <c r="C1" s="2" t="n"/>
      <c r="D1" s="3" t="inlineStr">
        <is>
          <t>Main AFFCT</t>
        </is>
      </c>
      <c r="E1" s="3" t="inlineStr">
        <is>
          <t>Stamp 1</t>
        </is>
      </c>
      <c r="F1" s="3" t="inlineStr">
        <is>
          <t>Stamp 2</t>
        </is>
      </c>
      <c r="G1" s="3" t="inlineStr">
        <is>
          <t>Stamp 3</t>
        </is>
      </c>
      <c r="H1" s="4" t="inlineStr">
        <is>
          <t>HP</t>
        </is>
      </c>
      <c r="I1" s="4" t="inlineStr">
        <is>
          <t>ATK</t>
        </is>
      </c>
      <c r="J1" s="4" t="inlineStr">
        <is>
          <t>RUSH</t>
        </is>
      </c>
      <c r="K1" s="4" t="inlineStr">
        <is>
          <t>DEF</t>
        </is>
      </c>
      <c r="L1" s="4" t="inlineStr">
        <is>
          <t>CRIT</t>
        </is>
      </c>
      <c r="M1" s="4" t="inlineStr">
        <is>
          <t>CRIT DMG</t>
        </is>
      </c>
      <c r="N1" s="4" t="inlineStr">
        <is>
          <t>DMG</t>
        </is>
      </c>
      <c r="O1" s="4" t="inlineStr">
        <is>
          <t>DMG Reduc</t>
        </is>
      </c>
      <c r="P1" s="4" t="inlineStr">
        <is>
          <t>Hero DMG</t>
        </is>
      </c>
      <c r="Q1" s="4" t="inlineStr">
        <is>
          <t>ELMT DMG</t>
        </is>
      </c>
      <c r="R1" s="4" t="inlineStr">
        <is>
          <t>AFFCT</t>
        </is>
      </c>
      <c r="S1" s="5" t="inlineStr">
        <is>
          <t>Source</t>
        </is>
      </c>
      <c r="Y1" s="6" t="inlineStr">
        <is>
          <t>AFFCT</t>
        </is>
      </c>
      <c r="Z1" s="6" t="inlineStr">
        <is>
          <t>FAME</t>
        </is>
      </c>
      <c r="AA1" s="6" t="inlineStr">
        <is>
          <t>Non-FAME</t>
        </is>
      </c>
      <c r="AB1" s="7" t="n"/>
    </row>
    <row r="2">
      <c r="A2" s="8" t="inlineStr">
        <is>
          <t>INDIVIDUAL RELICS</t>
        </is>
      </c>
      <c r="B2" s="9" t="n"/>
      <c r="C2" s="9" t="n"/>
      <c r="D2" s="9" t="n"/>
      <c r="E2" s="9" t="n"/>
      <c r="F2" s="9" t="n"/>
      <c r="G2" s="9" t="n"/>
      <c r="S2" s="10" t="n"/>
      <c r="Y2" s="11" t="n">
        <v>49</v>
      </c>
      <c r="Z2" s="12" t="n">
        <v>0.5</v>
      </c>
      <c r="AA2" s="11" t="n">
        <v>2.4</v>
      </c>
      <c r="AB2" s="13" t="n"/>
    </row>
    <row r="3">
      <c r="A3" s="14" t="inlineStr">
        <is>
          <t>Celestial Mechanics</t>
        </is>
      </c>
      <c r="B3" s="14" t="inlineStr">
        <is>
          <t>SSS</t>
        </is>
      </c>
      <c r="C3" s="14" t="inlineStr">
        <is>
          <t>FAME</t>
        </is>
      </c>
      <c r="D3" s="15" t="n">
        <v>109</v>
      </c>
      <c r="E3" s="15" t="inlineStr">
        <is>
          <t>All ELMT DMG +15</t>
        </is>
      </c>
      <c r="F3" s="14" t="inlineStr">
        <is>
          <t>RUSH +9%</t>
        </is>
      </c>
      <c r="G3" s="14" t="inlineStr">
        <is>
          <t>CRIT DMG +9%</t>
        </is>
      </c>
      <c r="H3" s="16" t="n"/>
      <c r="I3" s="16" t="n"/>
      <c r="J3" s="16" t="n">
        <v>9</v>
      </c>
      <c r="K3" s="16" t="n"/>
      <c r="L3" s="16" t="n"/>
      <c r="M3" s="16" t="n">
        <v>9</v>
      </c>
      <c r="N3" s="16" t="n"/>
      <c r="O3" s="16" t="n"/>
      <c r="P3" s="16" t="n"/>
      <c r="Q3" s="16" t="n">
        <v>75</v>
      </c>
      <c r="R3" s="16" t="n"/>
      <c r="S3" s="17" t="inlineStr">
        <is>
          <t>Lottery Machine No. 3 (0.12%)</t>
        </is>
      </c>
      <c r="Y3" s="11" t="n">
        <v>57</v>
      </c>
      <c r="Z3" s="12" t="n">
        <v>0.6</v>
      </c>
      <c r="AA3" s="11" t="n">
        <v>2.8</v>
      </c>
      <c r="AB3" s="13" t="n"/>
    </row>
    <row r="4">
      <c r="A4" s="14" t="inlineStr">
        <is>
          <t>Antarctic Treaty</t>
        </is>
      </c>
      <c r="B4" s="14" t="inlineStr">
        <is>
          <t>SSS</t>
        </is>
      </c>
      <c r="C4" s="14" t="inlineStr">
        <is>
          <t>FAME</t>
        </is>
      </c>
      <c r="D4" s="15" t="n">
        <v>108</v>
      </c>
      <c r="E4" s="15" t="inlineStr">
        <is>
          <t>Water DMG +60</t>
        </is>
      </c>
      <c r="F4" s="15" t="inlineStr">
        <is>
          <t>FAME +15</t>
        </is>
      </c>
      <c r="G4" s="14" t="inlineStr">
        <is>
          <t>CRIT DMG +9%</t>
        </is>
      </c>
      <c r="H4" s="16" t="n"/>
      <c r="I4" s="16" t="n"/>
      <c r="J4" s="16" t="n"/>
      <c r="K4" s="16" t="n"/>
      <c r="L4" s="16" t="n"/>
      <c r="M4" s="16" t="n">
        <v>9</v>
      </c>
      <c r="N4" s="16" t="n"/>
      <c r="O4" s="16" t="n"/>
      <c r="P4" s="16" t="n"/>
      <c r="Q4" s="16" t="n">
        <v>60</v>
      </c>
      <c r="R4" s="16" t="n">
        <v>15</v>
      </c>
      <c r="S4" s="17" t="inlineStr">
        <is>
          <t>Lottery Machine No. 2 (0.11%)</t>
        </is>
      </c>
      <c r="Y4" s="11" t="n">
        <v>66</v>
      </c>
      <c r="Z4" s="12" t="n">
        <v>0.7</v>
      </c>
      <c r="AA4" s="11" t="n">
        <v>3.3</v>
      </c>
      <c r="AB4" s="18" t="n"/>
    </row>
    <row r="5">
      <c r="A5" s="19" t="inlineStr">
        <is>
          <t>The Prince</t>
        </is>
      </c>
      <c r="B5" s="19" t="inlineStr">
        <is>
          <t>SSS</t>
        </is>
      </c>
      <c r="C5" s="19" t="inlineStr">
        <is>
          <t>FAME</t>
        </is>
      </c>
      <c r="D5" s="20" t="n">
        <v>106</v>
      </c>
      <c r="E5" s="20" t="inlineStr">
        <is>
          <t>ATK +6%</t>
        </is>
      </c>
      <c r="F5" s="19" t="inlineStr">
        <is>
          <t>FAME +15</t>
        </is>
      </c>
      <c r="G5" s="19" t="inlineStr">
        <is>
          <t>CRIT DMG +6%</t>
        </is>
      </c>
      <c r="H5" s="21" t="n"/>
      <c r="I5" s="19" t="n">
        <v>6</v>
      </c>
      <c r="J5" s="19" t="n"/>
      <c r="K5" s="19" t="n"/>
      <c r="L5" s="19" t="n"/>
      <c r="M5" s="19" t="n">
        <v>6</v>
      </c>
      <c r="N5" s="19" t="n"/>
      <c r="O5" s="19" t="n"/>
      <c r="P5" s="19" t="n"/>
      <c r="Q5" s="19" t="n"/>
      <c r="R5" s="19" t="n">
        <v>15</v>
      </c>
      <c r="S5" s="17" t="inlineStr">
        <is>
          <t>Lottery Machine No. 2 (0.11%)</t>
        </is>
      </c>
      <c r="Y5" s="11" t="n">
        <v>83</v>
      </c>
      <c r="Z5" s="11" t="n">
        <v>1</v>
      </c>
      <c r="AA5" s="12" t="n">
        <v>4.1</v>
      </c>
      <c r="AB5" s="18" t="n"/>
    </row>
    <row r="6">
      <c r="A6" s="14" t="inlineStr">
        <is>
          <t>Cross of Lorraine</t>
        </is>
      </c>
      <c r="B6" s="14" t="inlineStr">
        <is>
          <t>SS</t>
        </is>
      </c>
      <c r="C6" s="14" t="inlineStr">
        <is>
          <t>FAME</t>
        </is>
      </c>
      <c r="D6" s="15" t="n">
        <v>104</v>
      </c>
      <c r="E6" s="15" t="inlineStr">
        <is>
          <t>FAME +15</t>
        </is>
      </c>
      <c r="F6" s="15" t="inlineStr">
        <is>
          <t>ATK +6%</t>
        </is>
      </c>
      <c r="G6" s="14" t="n"/>
      <c r="H6" s="11" t="n"/>
      <c r="I6" s="14" t="n">
        <v>6</v>
      </c>
      <c r="J6" s="14" t="n"/>
      <c r="K6" s="14" t="n"/>
      <c r="L6" s="14" t="n"/>
      <c r="M6" s="14" t="n"/>
      <c r="N6" s="14" t="n"/>
      <c r="O6" s="14" t="n"/>
      <c r="P6" s="14" t="n"/>
      <c r="Q6" s="14" t="n"/>
      <c r="R6" s="14" t="n">
        <v>15</v>
      </c>
      <c r="S6" s="17" t="inlineStr">
        <is>
          <t>Lottery Machine No. 2 (?%)</t>
        </is>
      </c>
      <c r="Y6" s="11" t="n">
        <v>84</v>
      </c>
      <c r="Z6" s="11" t="n">
        <v>1</v>
      </c>
      <c r="AA6" s="12" t="n">
        <v>4.2</v>
      </c>
      <c r="AB6" s="13" t="n"/>
    </row>
    <row r="7">
      <c r="A7" s="14" t="inlineStr">
        <is>
          <t>Two-headed Serpent</t>
        </is>
      </c>
      <c r="B7" s="14" t="inlineStr">
        <is>
          <t>SSS</t>
        </is>
      </c>
      <c r="C7" s="14" t="inlineStr">
        <is>
          <t>ART</t>
        </is>
      </c>
      <c r="D7" s="15" t="n">
        <v>106</v>
      </c>
      <c r="E7" s="15" t="inlineStr">
        <is>
          <t>Hero DMG +6%</t>
        </is>
      </c>
      <c r="F7" s="14" t="inlineStr">
        <is>
          <t>Wind DMG +30</t>
        </is>
      </c>
      <c r="G7" s="14" t="inlineStr">
        <is>
          <t>ATK +9%</t>
        </is>
      </c>
      <c r="H7" s="16" t="n"/>
      <c r="I7" s="16" t="n">
        <v>9</v>
      </c>
      <c r="J7" s="16" t="n"/>
      <c r="K7" s="16" t="n"/>
      <c r="L7" s="16" t="n"/>
      <c r="M7" s="16" t="n"/>
      <c r="N7" s="16" t="n"/>
      <c r="O7" s="16" t="n"/>
      <c r="P7" s="16" t="n">
        <v>6</v>
      </c>
      <c r="Q7" s="16" t="n">
        <v>30</v>
      </c>
      <c r="R7" s="16" t="n"/>
      <c r="S7" s="17" t="inlineStr">
        <is>
          <t>Lottery Machine No. 2 (0.11%), Relic Forge (120 RF)</t>
        </is>
      </c>
      <c r="Y7" s="11" t="n">
        <v>85</v>
      </c>
      <c r="Z7" s="11" t="n">
        <v>1</v>
      </c>
      <c r="AA7" s="11" t="n">
        <v>4.2</v>
      </c>
      <c r="AB7" s="13" t="n"/>
    </row>
    <row r="8">
      <c r="A8" s="14" t="inlineStr">
        <is>
          <t>Ivan the Terrible</t>
        </is>
      </c>
      <c r="B8" s="14" t="inlineStr">
        <is>
          <t>SSS</t>
        </is>
      </c>
      <c r="C8" s="14" t="inlineStr">
        <is>
          <t>ART</t>
        </is>
      </c>
      <c r="D8" s="15" t="n">
        <v>109</v>
      </c>
      <c r="E8" s="15" t="inlineStr">
        <is>
          <t>Wind DMG +60</t>
        </is>
      </c>
      <c r="F8" s="14" t="inlineStr">
        <is>
          <t>DEF +9%</t>
        </is>
      </c>
      <c r="G8" s="14" t="inlineStr">
        <is>
          <t>RUSH +9%</t>
        </is>
      </c>
      <c r="H8" s="16" t="n"/>
      <c r="I8" s="16" t="n"/>
      <c r="J8" s="16" t="n">
        <v>9</v>
      </c>
      <c r="K8" s="16" t="n">
        <v>9</v>
      </c>
      <c r="L8" s="16" t="n"/>
      <c r="M8" s="16" t="n"/>
      <c r="N8" s="16" t="n"/>
      <c r="O8" s="16" t="n"/>
      <c r="P8" s="16" t="n"/>
      <c r="Q8" s="16" t="n">
        <v>60</v>
      </c>
      <c r="R8" s="16" t="n"/>
      <c r="S8" s="17" t="inlineStr">
        <is>
          <t>Lottery Machine No. 3 (0.12%)</t>
        </is>
      </c>
      <c r="Y8" s="11" t="n">
        <v>86</v>
      </c>
      <c r="Z8" s="11" t="n">
        <v>1</v>
      </c>
      <c r="AA8" s="11" t="n">
        <v>4.3</v>
      </c>
      <c r="AB8" s="13" t="n"/>
    </row>
    <row r="9">
      <c r="A9" s="14" t="inlineStr">
        <is>
          <t>Seated Voltaire</t>
        </is>
      </c>
      <c r="B9" s="14" t="inlineStr">
        <is>
          <t>SSS</t>
        </is>
      </c>
      <c r="C9" s="14" t="inlineStr">
        <is>
          <t>ART</t>
        </is>
      </c>
      <c r="D9" s="15" t="n">
        <v>106</v>
      </c>
      <c r="E9" s="15" t="inlineStr">
        <is>
          <t>DEF +6%</t>
        </is>
      </c>
      <c r="F9" s="14" t="inlineStr">
        <is>
          <t>ART +15</t>
        </is>
      </c>
      <c r="G9" s="14" t="inlineStr">
        <is>
          <t>Wind DMG +30</t>
        </is>
      </c>
      <c r="H9" s="11" t="n"/>
      <c r="I9" s="14" t="n"/>
      <c r="J9" s="14" t="n"/>
      <c r="K9" s="14" t="n">
        <v>6</v>
      </c>
      <c r="L9" s="14" t="n"/>
      <c r="M9" s="14" t="n"/>
      <c r="N9" s="14" t="n"/>
      <c r="O9" s="14" t="n"/>
      <c r="P9" s="14" t="n"/>
      <c r="Q9" s="14" t="n">
        <v>30</v>
      </c>
      <c r="R9" s="14" t="n">
        <v>15</v>
      </c>
      <c r="S9" s="17" t="inlineStr">
        <is>
          <t>Wish Box Relic Album #1</t>
        </is>
      </c>
      <c r="Y9" s="11" t="n">
        <v>87</v>
      </c>
      <c r="Z9" s="11" t="n">
        <v>1</v>
      </c>
      <c r="AA9" s="12" t="n">
        <v>4.3</v>
      </c>
      <c r="AB9" s="18" t="n"/>
    </row>
    <row r="10">
      <c r="A10" s="14" t="inlineStr">
        <is>
          <t>Woman at Her Toilette</t>
        </is>
      </c>
      <c r="B10" s="14" t="inlineStr">
        <is>
          <t>SSS</t>
        </is>
      </c>
      <c r="C10" s="14" t="inlineStr">
        <is>
          <t>ART</t>
        </is>
      </c>
      <c r="D10" s="15" t="n">
        <v>109</v>
      </c>
      <c r="E10" s="15" t="inlineStr">
        <is>
          <t>ATK +6%</t>
        </is>
      </c>
      <c r="F10" s="14" t="inlineStr">
        <is>
          <t>RUSH +6%</t>
        </is>
      </c>
      <c r="G10" s="14" t="inlineStr">
        <is>
          <t>ART +15</t>
        </is>
      </c>
      <c r="H10" s="16" t="n"/>
      <c r="I10" s="16" t="n">
        <v>6</v>
      </c>
      <c r="J10" s="16" t="n">
        <v>6</v>
      </c>
      <c r="K10" s="16" t="n"/>
      <c r="L10" s="16" t="n"/>
      <c r="M10" s="16" t="n"/>
      <c r="N10" s="16" t="n"/>
      <c r="O10" s="16" t="n"/>
      <c r="P10" s="16" t="n"/>
      <c r="Q10" s="16" t="n"/>
      <c r="R10" s="16" t="n">
        <v>15</v>
      </c>
      <c r="S10" s="10" t="inlineStr">
        <is>
          <t>Minion Skin Lottery</t>
        </is>
      </c>
      <c r="Y10" s="11" t="n">
        <v>88</v>
      </c>
      <c r="Z10" s="12" t="n">
        <v>1.1</v>
      </c>
      <c r="AA10" s="12" t="n">
        <v>4.4</v>
      </c>
      <c r="AB10" s="18" t="n"/>
    </row>
    <row r="11">
      <c r="A11" s="14" t="inlineStr">
        <is>
          <t>Vedas</t>
        </is>
      </c>
      <c r="B11" s="14" t="inlineStr">
        <is>
          <t>SSS</t>
        </is>
      </c>
      <c r="C11" s="14" t="inlineStr">
        <is>
          <t>FTH</t>
        </is>
      </c>
      <c r="D11" s="15" t="n">
        <v>108</v>
      </c>
      <c r="E11" s="15" t="inlineStr">
        <is>
          <t>DEF +9%</t>
        </is>
      </c>
      <c r="F11" s="14" t="inlineStr">
        <is>
          <t>FTH +15</t>
        </is>
      </c>
      <c r="G11" s="14" t="inlineStr">
        <is>
          <t>CRIT +9%</t>
        </is>
      </c>
      <c r="H11" s="16" t="n"/>
      <c r="I11" s="16" t="n"/>
      <c r="J11" s="16" t="n"/>
      <c r="K11" s="16" t="n">
        <v>9</v>
      </c>
      <c r="L11" s="16" t="n">
        <v>9</v>
      </c>
      <c r="M11" s="16" t="n"/>
      <c r="N11" s="16" t="n"/>
      <c r="O11" s="16" t="n"/>
      <c r="P11" s="16" t="n"/>
      <c r="Q11" s="16" t="n"/>
      <c r="R11" s="16" t="n">
        <v>15</v>
      </c>
      <c r="S11" s="10" t="inlineStr">
        <is>
          <t>Lottery Machine No. 2 (0.11%)</t>
        </is>
      </c>
      <c r="Y11" s="11" t="n">
        <v>89</v>
      </c>
      <c r="Z11" s="12" t="n">
        <v>1.1</v>
      </c>
      <c r="AA11" s="12" t="n">
        <v>4.4</v>
      </c>
      <c r="AB11" s="18" t="n"/>
    </row>
    <row r="12">
      <c r="A12" s="14" t="inlineStr">
        <is>
          <t>Akashic Records</t>
        </is>
      </c>
      <c r="B12" s="14" t="inlineStr">
        <is>
          <t>SSS</t>
        </is>
      </c>
      <c r="C12" s="14" t="inlineStr">
        <is>
          <t>FTH</t>
        </is>
      </c>
      <c r="D12" s="15" t="n">
        <v>106</v>
      </c>
      <c r="E12" s="15" t="inlineStr">
        <is>
          <t>FTH +15</t>
        </is>
      </c>
      <c r="F12" s="15" t="inlineStr">
        <is>
          <t>HP +9%</t>
        </is>
      </c>
      <c r="G12" s="14" t="inlineStr">
        <is>
          <t>DMG REDUC +6%</t>
        </is>
      </c>
      <c r="H12" s="16" t="n">
        <v>9</v>
      </c>
      <c r="I12" s="16" t="n"/>
      <c r="J12" s="16" t="n"/>
      <c r="K12" s="16" t="n"/>
      <c r="L12" s="16" t="n"/>
      <c r="M12" s="16" t="n"/>
      <c r="N12" s="16" t="n"/>
      <c r="O12" s="16" t="n">
        <v>6</v>
      </c>
      <c r="P12" s="16" t="n"/>
      <c r="Q12" s="16" t="n"/>
      <c r="R12" s="16" t="n">
        <v>15</v>
      </c>
      <c r="S12" s="17" t="inlineStr">
        <is>
          <t>Lottery Machine No. 3 (0.12%)</t>
        </is>
      </c>
      <c r="Y12" s="11" t="n">
        <v>90</v>
      </c>
      <c r="Z12" s="12" t="n">
        <v>1.1</v>
      </c>
      <c r="AA12" s="11" t="n">
        <v>4.5</v>
      </c>
      <c r="AB12" s="18" t="n"/>
    </row>
    <row r="13">
      <c r="A13" s="14" t="inlineStr">
        <is>
          <t>The Myth of Etana</t>
        </is>
      </c>
      <c r="B13" s="14" t="inlineStr">
        <is>
          <t>S</t>
        </is>
      </c>
      <c r="C13" s="14" t="inlineStr">
        <is>
          <t>FTH</t>
        </is>
      </c>
      <c r="D13" s="15" t="n">
        <v>100</v>
      </c>
      <c r="E13" s="15" t="inlineStr">
        <is>
          <t>CRIT +9%</t>
        </is>
      </c>
      <c r="F13" s="15" t="n"/>
      <c r="G13" s="14" t="n"/>
      <c r="H13" s="16" t="n"/>
      <c r="I13" s="16" t="n"/>
      <c r="J13" s="16" t="n"/>
      <c r="K13" s="16" t="n"/>
      <c r="L13" s="16" t="n">
        <v>9</v>
      </c>
      <c r="M13" s="16" t="n"/>
      <c r="N13" s="16" t="n"/>
      <c r="O13" s="16" t="n"/>
      <c r="P13" s="16" t="n"/>
      <c r="Q13" s="16" t="n"/>
      <c r="R13" s="16" t="n"/>
      <c r="S13" s="17" t="inlineStr">
        <is>
          <t>Lottery Machine No. 3 (1.63%)</t>
        </is>
      </c>
      <c r="Y13" s="11" t="n">
        <v>91</v>
      </c>
      <c r="Z13" s="12" t="n">
        <v>1.1</v>
      </c>
      <c r="AA13" s="11" t="n">
        <v>4.5</v>
      </c>
      <c r="AB13" s="18" t="n"/>
    </row>
    <row r="14">
      <c r="A14" s="14" t="inlineStr">
        <is>
          <t>Enuma Elish</t>
        </is>
      </c>
      <c r="B14" s="14" t="inlineStr">
        <is>
          <t>SSS</t>
        </is>
      </c>
      <c r="C14" s="14" t="inlineStr">
        <is>
          <t>FTH</t>
        </is>
      </c>
      <c r="D14" s="15" t="n">
        <v>107</v>
      </c>
      <c r="E14" s="15" t="inlineStr">
        <is>
          <t>FTH +15</t>
        </is>
      </c>
      <c r="F14" s="14" t="inlineStr">
        <is>
          <t>ATK +6%</t>
        </is>
      </c>
      <c r="G14" s="14" t="inlineStr">
        <is>
          <t>RUSH +6%</t>
        </is>
      </c>
      <c r="H14" s="11" t="n"/>
      <c r="I14" s="14" t="n">
        <v>6</v>
      </c>
      <c r="J14" s="14" t="n">
        <v>6</v>
      </c>
      <c r="K14" s="14" t="n"/>
      <c r="L14" s="14" t="n"/>
      <c r="M14" s="14" t="n"/>
      <c r="N14" s="14" t="n"/>
      <c r="O14" s="14" t="n"/>
      <c r="P14" s="14" t="n"/>
      <c r="Q14" s="14" t="n"/>
      <c r="R14" s="14" t="n">
        <v>15</v>
      </c>
      <c r="S14" s="10" t="inlineStr">
        <is>
          <t>Lottery Machine No. 2 (0.11%)</t>
        </is>
      </c>
      <c r="Y14" s="11" t="n">
        <v>92</v>
      </c>
      <c r="Z14" s="11" t="n">
        <v>1.1</v>
      </c>
      <c r="AA14" s="11" t="n">
        <v>4.6</v>
      </c>
      <c r="AB14" s="18" t="n"/>
    </row>
    <row r="15">
      <c r="A15" s="14" t="inlineStr">
        <is>
          <t>Beowulf</t>
        </is>
      </c>
      <c r="B15" s="14" t="inlineStr">
        <is>
          <t>SSS</t>
        </is>
      </c>
      <c r="C15" s="14" t="inlineStr">
        <is>
          <t>CIV</t>
        </is>
      </c>
      <c r="D15" s="15" t="n">
        <v>107</v>
      </c>
      <c r="E15" s="15" t="inlineStr">
        <is>
          <t>CIV +15</t>
        </is>
      </c>
      <c r="F15" s="15" t="inlineStr">
        <is>
          <t>Fire DMG +60</t>
        </is>
      </c>
      <c r="G15" s="14" t="inlineStr">
        <is>
          <t>Fire DMG +30</t>
        </is>
      </c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>
        <v>90</v>
      </c>
      <c r="R15" s="16" t="n">
        <v>15</v>
      </c>
      <c r="S15" s="10" t="inlineStr">
        <is>
          <t>Lottery Machine No. 2 (0.11%)</t>
        </is>
      </c>
      <c r="Y15" s="11" t="n">
        <v>93</v>
      </c>
      <c r="Z15" s="11" t="n">
        <v>1.1</v>
      </c>
      <c r="AA15" s="11" t="n">
        <v>4.6</v>
      </c>
      <c r="AB15" s="18" t="n"/>
    </row>
    <row r="16">
      <c r="A16" s="14" t="inlineStr">
        <is>
          <t>Of Human Bondage</t>
        </is>
      </c>
      <c r="B16" s="14" t="inlineStr">
        <is>
          <t>SSS</t>
        </is>
      </c>
      <c r="C16" s="14" t="inlineStr">
        <is>
          <t>CIV</t>
        </is>
      </c>
      <c r="D16" s="15" t="n">
        <v>109</v>
      </c>
      <c r="E16" s="15" t="inlineStr">
        <is>
          <t>CRIT +9%</t>
        </is>
      </c>
      <c r="F16" s="15" t="inlineStr">
        <is>
          <t>Hero DMG +6%</t>
        </is>
      </c>
      <c r="G16" s="14" t="inlineStr">
        <is>
          <t>Earth RES +60</t>
        </is>
      </c>
      <c r="H16" s="16" t="n"/>
      <c r="I16" s="16" t="n"/>
      <c r="J16" s="16" t="n"/>
      <c r="K16" s="16" t="n"/>
      <c r="L16" s="16" t="n">
        <v>9</v>
      </c>
      <c r="M16" s="16" t="n"/>
      <c r="N16" s="16" t="n"/>
      <c r="O16" s="16" t="n"/>
      <c r="P16" s="16" t="n">
        <v>6</v>
      </c>
      <c r="Q16" s="16" t="n"/>
      <c r="R16" s="16" t="n"/>
      <c r="S16" s="22" t="inlineStr">
        <is>
          <t>Daily Pack #??</t>
        </is>
      </c>
      <c r="Y16" s="11" t="n"/>
      <c r="Z16" s="11" t="n"/>
      <c r="AA16" s="11" t="n"/>
      <c r="AB16" s="18" t="n"/>
    </row>
    <row r="17">
      <c r="A17" s="14" t="inlineStr">
        <is>
          <t>Don Juan</t>
        </is>
      </c>
      <c r="B17" s="14" t="inlineStr">
        <is>
          <t>SSS</t>
        </is>
      </c>
      <c r="C17" s="14" t="inlineStr">
        <is>
          <t>CIV</t>
        </is>
      </c>
      <c r="D17" s="15" t="n">
        <v>106</v>
      </c>
      <c r="E17" s="15" t="inlineStr">
        <is>
          <t>CIV +15</t>
        </is>
      </c>
      <c r="F17" s="15" t="inlineStr">
        <is>
          <t>HP +9%</t>
        </is>
      </c>
      <c r="G17" s="14" t="inlineStr">
        <is>
          <t>ATK +9%</t>
        </is>
      </c>
      <c r="H17" s="16" t="n">
        <v>9</v>
      </c>
      <c r="I17" s="16" t="n">
        <v>9</v>
      </c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>
        <v>15</v>
      </c>
      <c r="S17" s="22" t="inlineStr">
        <is>
          <t>Daily Pack #40</t>
        </is>
      </c>
      <c r="Y17" s="11" t="n">
        <v>94</v>
      </c>
      <c r="Z17" s="11" t="n">
        <v>1.1</v>
      </c>
      <c r="AA17" s="11" t="n">
        <v>4.7</v>
      </c>
      <c r="AB17" s="18" t="n"/>
    </row>
    <row r="18">
      <c r="A18" s="14" t="inlineStr">
        <is>
          <t>Frederick Portrait</t>
        </is>
      </c>
      <c r="B18" s="14" t="inlineStr">
        <is>
          <t>SSS</t>
        </is>
      </c>
      <c r="C18" s="14" t="inlineStr">
        <is>
          <t>CIV</t>
        </is>
      </c>
      <c r="D18" s="15" t="n">
        <v>106</v>
      </c>
      <c r="E18" s="15" t="inlineStr">
        <is>
          <t>HP +9%</t>
        </is>
      </c>
      <c r="F18" s="15" t="inlineStr">
        <is>
          <t>RUSH +9%</t>
        </is>
      </c>
      <c r="G18" s="14" t="inlineStr">
        <is>
          <t>Water DMG +60</t>
        </is>
      </c>
      <c r="H18" s="16" t="n">
        <v>9</v>
      </c>
      <c r="I18" s="16" t="n"/>
      <c r="J18" s="16" t="n">
        <v>9</v>
      </c>
      <c r="K18" s="16" t="n"/>
      <c r="L18" s="16" t="n"/>
      <c r="M18" s="16" t="n"/>
      <c r="N18" s="16" t="n"/>
      <c r="O18" s="16" t="n"/>
      <c r="P18" s="16" t="n"/>
      <c r="Q18" s="16" t="n">
        <v>60</v>
      </c>
      <c r="R18" s="16" t="n"/>
      <c r="S18" s="22" t="inlineStr">
        <is>
          <t>Unknown</t>
        </is>
      </c>
      <c r="Y18" s="11" t="n">
        <v>95</v>
      </c>
      <c r="Z18" s="12" t="n">
        <v>1.1</v>
      </c>
      <c r="AA18" s="11" t="n">
        <v>4.7</v>
      </c>
      <c r="AB18" s="18" t="n"/>
    </row>
    <row r="19">
      <c r="A19" s="14" t="inlineStr">
        <is>
          <t>Harem Wall Painting</t>
        </is>
      </c>
      <c r="B19" s="14" t="inlineStr">
        <is>
          <t>SS</t>
        </is>
      </c>
      <c r="C19" s="14" t="inlineStr">
        <is>
          <t>CIV</t>
        </is>
      </c>
      <c r="D19" s="15" t="n">
        <v>106</v>
      </c>
      <c r="E19" s="15" t="inlineStr">
        <is>
          <t>CIV +15</t>
        </is>
      </c>
      <c r="F19" s="15" t="inlineStr">
        <is>
          <t>RUSH +6%</t>
        </is>
      </c>
      <c r="G19" s="14" t="n"/>
      <c r="H19" s="11" t="n"/>
      <c r="I19" s="14" t="n"/>
      <c r="J19" s="14" t="n">
        <v>6</v>
      </c>
      <c r="K19" s="14" t="n"/>
      <c r="L19" s="14" t="n"/>
      <c r="M19" s="14" t="n"/>
      <c r="N19" s="14" t="n"/>
      <c r="O19" s="14" t="n"/>
      <c r="P19" s="14" t="n"/>
      <c r="Q19" s="14" t="n"/>
      <c r="R19" s="14" t="n">
        <v>15</v>
      </c>
      <c r="S19" s="10" t="inlineStr">
        <is>
          <t>Lottery Machine No. 2 (?%)</t>
        </is>
      </c>
      <c r="Y19" s="11" t="n">
        <v>96</v>
      </c>
      <c r="Z19" s="11" t="n">
        <v>1.2</v>
      </c>
      <c r="AA19" s="11" t="n">
        <v>4.8</v>
      </c>
      <c r="AB19" s="18" t="n"/>
    </row>
    <row r="20">
      <c r="A20" s="14" t="inlineStr">
        <is>
          <t>Volsunga Saga</t>
        </is>
      </c>
      <c r="B20" s="14" t="inlineStr">
        <is>
          <t>SSS</t>
        </is>
      </c>
      <c r="C20" s="14" t="inlineStr">
        <is>
          <t>CIV</t>
        </is>
      </c>
      <c r="D20" s="15" t="n">
        <v>109</v>
      </c>
      <c r="E20" s="15" t="inlineStr">
        <is>
          <t>CIV +15</t>
        </is>
      </c>
      <c r="F20" s="15" t="inlineStr">
        <is>
          <t>ATK +9%</t>
        </is>
      </c>
      <c r="G20" s="14" t="inlineStr">
        <is>
          <t>DEF +9%</t>
        </is>
      </c>
      <c r="H20" s="16" t="n"/>
      <c r="I20" s="16" t="n">
        <v>9</v>
      </c>
      <c r="J20" s="16" t="n"/>
      <c r="K20" s="16" t="n">
        <v>9</v>
      </c>
      <c r="L20" s="16" t="n"/>
      <c r="M20" s="16" t="n"/>
      <c r="N20" s="16" t="n"/>
      <c r="O20" s="16" t="n"/>
      <c r="P20" s="16" t="n"/>
      <c r="Q20" s="16" t="n"/>
      <c r="R20" s="16" t="n">
        <v>15</v>
      </c>
      <c r="S20" s="22" t="inlineStr">
        <is>
          <t>Gold Pack #6</t>
        </is>
      </c>
      <c r="Y20" s="11" t="n">
        <v>97</v>
      </c>
      <c r="Z20" s="11" t="n">
        <v>1.2</v>
      </c>
      <c r="AA20" s="11" t="n">
        <v>4.8</v>
      </c>
      <c r="AB20" s="18" t="n"/>
    </row>
    <row r="21">
      <c r="A21" s="14" t="inlineStr">
        <is>
          <t>The King in Yellow</t>
        </is>
      </c>
      <c r="B21" s="14" t="inlineStr">
        <is>
          <t>SSS</t>
        </is>
      </c>
      <c r="C21" s="14" t="inlineStr">
        <is>
          <t>TECH</t>
        </is>
      </c>
      <c r="D21" s="15" t="n">
        <v>109</v>
      </c>
      <c r="E21" s="15" t="inlineStr">
        <is>
          <t>TECH +15</t>
        </is>
      </c>
      <c r="F21" s="15" t="inlineStr">
        <is>
          <t>CRIT +9%</t>
        </is>
      </c>
      <c r="G21" s="14" t="inlineStr">
        <is>
          <t>CRIT DMG +9%</t>
        </is>
      </c>
      <c r="H21" s="16" t="n"/>
      <c r="I21" s="16" t="n"/>
      <c r="J21" s="16" t="n"/>
      <c r="K21" s="16" t="n"/>
      <c r="L21" s="16" t="n">
        <v>9</v>
      </c>
      <c r="M21" s="16" t="n">
        <v>9</v>
      </c>
      <c r="N21" s="16" t="n"/>
      <c r="O21" s="16" t="n"/>
      <c r="P21" s="16" t="n"/>
      <c r="Q21" s="16" t="n"/>
      <c r="R21" s="16" t="n">
        <v>15</v>
      </c>
      <c r="S21" s="22" t="inlineStr">
        <is>
          <t>Gold Pack #7</t>
        </is>
      </c>
      <c r="Y21" s="11" t="n">
        <v>98</v>
      </c>
      <c r="Z21" s="11" t="n">
        <v>1.2</v>
      </c>
      <c r="AA21" s="11" t="n">
        <v>4.9</v>
      </c>
      <c r="AB21" s="18" t="n"/>
    </row>
    <row r="22">
      <c r="A22" s="14" t="inlineStr">
        <is>
          <t>Goldbach Conjecture</t>
        </is>
      </c>
      <c r="B22" s="14" t="inlineStr">
        <is>
          <t>SSS</t>
        </is>
      </c>
      <c r="C22" s="14" t="inlineStr">
        <is>
          <t>TECH</t>
        </is>
      </c>
      <c r="D22" s="15" t="n">
        <v>108</v>
      </c>
      <c r="E22" s="15" t="inlineStr">
        <is>
          <t>ATK +9%</t>
        </is>
      </c>
      <c r="F22" s="15" t="inlineStr">
        <is>
          <t>DMG REDUC +6%</t>
        </is>
      </c>
      <c r="G22" s="14" t="inlineStr">
        <is>
          <t>TECH +15</t>
        </is>
      </c>
      <c r="H22" s="16" t="n"/>
      <c r="I22" s="16" t="n">
        <v>9</v>
      </c>
      <c r="J22" s="16" t="n"/>
      <c r="K22" s="16" t="n"/>
      <c r="L22" s="16" t="n"/>
      <c r="M22" s="16" t="n"/>
      <c r="N22" s="16" t="n"/>
      <c r="O22" s="16" t="n">
        <v>6</v>
      </c>
      <c r="P22" s="16" t="n"/>
      <c r="Q22" s="16" t="n"/>
      <c r="R22" s="16" t="n">
        <v>15</v>
      </c>
      <c r="S22" s="10" t="inlineStr">
        <is>
          <t>Traveler's Pack #2</t>
        </is>
      </c>
      <c r="Y22" s="11" t="n">
        <v>99</v>
      </c>
      <c r="Z22" s="11" t="n">
        <v>1.2</v>
      </c>
      <c r="AA22" s="11" t="n">
        <v>4.9</v>
      </c>
      <c r="AB22" s="18" t="n"/>
    </row>
    <row r="23">
      <c r="A23" s="14" t="inlineStr">
        <is>
          <t>Superstring Computer</t>
        </is>
      </c>
      <c r="B23" s="14" t="inlineStr">
        <is>
          <t>SSS</t>
        </is>
      </c>
      <c r="C23" s="14" t="inlineStr">
        <is>
          <t>TECH</t>
        </is>
      </c>
      <c r="D23" s="15" t="n">
        <v>109</v>
      </c>
      <c r="E23" s="15" t="inlineStr">
        <is>
          <t>RUSH +9%</t>
        </is>
      </c>
      <c r="F23" s="15" t="inlineStr">
        <is>
          <t>DEF +9%</t>
        </is>
      </c>
      <c r="G23" s="14" t="inlineStr">
        <is>
          <t>Earth DMG +60</t>
        </is>
      </c>
      <c r="H23" s="16" t="n"/>
      <c r="I23" s="16" t="n"/>
      <c r="J23" s="16" t="n">
        <v>9</v>
      </c>
      <c r="K23" s="16" t="n">
        <v>9</v>
      </c>
      <c r="L23" s="16" t="n"/>
      <c r="M23" s="16" t="n"/>
      <c r="N23" s="16" t="n"/>
      <c r="O23" s="16" t="n"/>
      <c r="P23" s="16" t="n"/>
      <c r="Q23" s="16" t="n">
        <v>60</v>
      </c>
      <c r="R23" s="16" t="n"/>
      <c r="S23" s="22" t="inlineStr">
        <is>
          <t>Clover Vendor Reward</t>
        </is>
      </c>
      <c r="Y23" s="11" t="n">
        <v>100</v>
      </c>
      <c r="Z23" s="11" t="n">
        <v>1.2</v>
      </c>
      <c r="AA23" s="11" t="n">
        <v>5</v>
      </c>
      <c r="AB23" s="18" t="n"/>
    </row>
    <row r="24">
      <c r="A24" s="14" t="inlineStr">
        <is>
          <t>TVC Engine</t>
        </is>
      </c>
      <c r="B24" s="14" t="inlineStr">
        <is>
          <t>S</t>
        </is>
      </c>
      <c r="C24" s="14" t="inlineStr">
        <is>
          <t>TECH</t>
        </is>
      </c>
      <c r="D24" s="15" t="n">
        <v>100</v>
      </c>
      <c r="E24" s="15" t="inlineStr">
        <is>
          <t>Earth DMG +60</t>
        </is>
      </c>
      <c r="F24" s="15" t="n"/>
      <c r="G24" s="14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>
        <v>60</v>
      </c>
      <c r="R24" s="16" t="n"/>
      <c r="S24" s="17" t="inlineStr">
        <is>
          <t>Lottery Machine No. 3 (1.63%)</t>
        </is>
      </c>
      <c r="Y24" s="11" t="n">
        <v>101</v>
      </c>
      <c r="Z24" s="11" t="n">
        <v>1.2</v>
      </c>
      <c r="AA24" s="11" t="n">
        <v>5</v>
      </c>
      <c r="AB24" s="18" t="n"/>
    </row>
    <row r="25">
      <c r="A25" s="14" t="inlineStr">
        <is>
          <t>CRISPR</t>
        </is>
      </c>
      <c r="B25" s="14" t="inlineStr">
        <is>
          <t>S</t>
        </is>
      </c>
      <c r="C25" s="14" t="inlineStr">
        <is>
          <t>TECH</t>
        </is>
      </c>
      <c r="D25" s="15" t="n">
        <v>98</v>
      </c>
      <c r="E25" s="15" t="inlineStr">
        <is>
          <t>DEF +9%</t>
        </is>
      </c>
      <c r="F25" s="15" t="n"/>
      <c r="G25" s="14" t="n"/>
      <c r="H25" s="16" t="n"/>
      <c r="I25" s="16" t="n"/>
      <c r="J25" s="16" t="n"/>
      <c r="K25" s="16" t="n">
        <v>9</v>
      </c>
      <c r="L25" s="16" t="n"/>
      <c r="M25" s="16" t="n"/>
      <c r="N25" s="16" t="n"/>
      <c r="O25" s="16" t="n"/>
      <c r="P25" s="16" t="n"/>
      <c r="Q25" s="16" t="n"/>
      <c r="R25" s="16" t="n"/>
      <c r="S25" s="23" t="inlineStr">
        <is>
          <t>Lottery Machine No. 2 (?%)</t>
        </is>
      </c>
      <c r="Y25" s="11" t="n">
        <v>102</v>
      </c>
      <c r="Z25" s="11" t="n">
        <v>1.2</v>
      </c>
      <c r="AA25" s="11" t="n">
        <v>5.1</v>
      </c>
      <c r="AB25" s="18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Y26" s="11" t="n">
        <v>103</v>
      </c>
      <c r="Z26" s="11" t="n">
        <v>1.2</v>
      </c>
      <c r="AA26" s="11" t="n">
        <v>5.1</v>
      </c>
      <c r="AB26" s="18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Y27" s="11" t="n">
        <v>104</v>
      </c>
      <c r="Z27" s="11" t="n">
        <v>1.3</v>
      </c>
      <c r="AA27" s="11" t="n">
        <v>5.2</v>
      </c>
      <c r="AB27" s="18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Y28" s="11" t="n">
        <v>105</v>
      </c>
      <c r="Z28" s="11" t="n">
        <v>1.3</v>
      </c>
      <c r="AA28" s="11" t="n">
        <v>5.2</v>
      </c>
      <c r="AB28" s="18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Y29" s="11" t="n">
        <v>106</v>
      </c>
      <c r="Z29" s="11" t="n">
        <v>1.3</v>
      </c>
      <c r="AA29" s="11" t="n">
        <v>5.3</v>
      </c>
      <c r="AB29" s="18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Y30" s="11" t="n">
        <v>107</v>
      </c>
      <c r="Z30" s="11" t="n">
        <v>1.3</v>
      </c>
      <c r="AA30" s="11" t="n">
        <v>5.3</v>
      </c>
      <c r="AB30" s="18" t="n"/>
    </row>
    <row r="31">
      <c r="C31" s="24" t="inlineStr">
        <is>
          <t>Relic</t>
        </is>
      </c>
      <c r="D31" s="25" t="n"/>
      <c r="E31" s="26" t="inlineStr">
        <is>
          <t>Slot</t>
        </is>
      </c>
      <c r="F31" s="26" t="inlineStr">
        <is>
          <t>Stat</t>
        </is>
      </c>
      <c r="G31" s="26">
        <f>D1</f>
        <v/>
      </c>
      <c r="H31" s="27" t="inlineStr">
        <is>
          <t>HP</t>
        </is>
      </c>
      <c r="I31" s="27" t="inlineStr">
        <is>
          <t>ATK</t>
        </is>
      </c>
      <c r="J31" s="27" t="inlineStr">
        <is>
          <t>RUSH</t>
        </is>
      </c>
      <c r="K31" s="27" t="inlineStr">
        <is>
          <t>DEF</t>
        </is>
      </c>
      <c r="L31" s="27" t="inlineStr">
        <is>
          <t>CRIT</t>
        </is>
      </c>
      <c r="M31" s="27" t="inlineStr">
        <is>
          <t>CRIT DMG</t>
        </is>
      </c>
      <c r="N31" s="27" t="inlineStr">
        <is>
          <t>DMG</t>
        </is>
      </c>
      <c r="O31" s="27" t="inlineStr">
        <is>
          <t>DMG Reduc</t>
        </is>
      </c>
      <c r="P31" s="27" t="inlineStr">
        <is>
          <t>Hero DMG</t>
        </is>
      </c>
      <c r="Q31" s="27" t="inlineStr">
        <is>
          <t>ELMT DMG</t>
        </is>
      </c>
      <c r="R31" s="27" t="inlineStr">
        <is>
          <t>Alternatives</t>
        </is>
      </c>
      <c r="S31" s="28" t="n"/>
      <c r="U31" s="16" t="n"/>
      <c r="V31" s="16" t="inlineStr">
        <is>
          <t>Boosted</t>
        </is>
      </c>
      <c r="W31" s="16" t="inlineStr">
        <is>
          <t>Damage</t>
        </is>
      </c>
      <c r="Y31" s="11" t="n">
        <v>108</v>
      </c>
      <c r="Z31" s="11" t="n">
        <v>1.3</v>
      </c>
      <c r="AA31" s="11" t="n">
        <v>5.4</v>
      </c>
      <c r="AB31" s="18" t="n"/>
    </row>
    <row r="32">
      <c r="C32" s="29">
        <f>A3</f>
        <v/>
      </c>
      <c r="D32" s="30" t="n"/>
      <c r="E32" s="31" t="inlineStr">
        <is>
          <t>FAME</t>
        </is>
      </c>
      <c r="F32" s="31" t="inlineStr">
        <is>
          <t>HARD</t>
        </is>
      </c>
      <c r="G32" s="32">
        <f>VLOOKUP($C32,$A$3:$R$25,4,FALSE)+VLOOKUP($C32,$A$3:$R$25,18,FALSE)</f>
        <v/>
      </c>
      <c r="H32" s="33">
        <f>VLOOKUP($C32,$A$3:$R$25,8,FALSE)+VLOOKUP($G32,$Y$2:$AA$50,2)</f>
        <v/>
      </c>
      <c r="I32" s="33">
        <f>VLOOKUP($C32,$A$3:$R$25,9,FALSE)+VLOOKUP($G32,$Y$2:$AA$50,2)</f>
        <v/>
      </c>
      <c r="J32" s="33">
        <f>VLOOKUP($C32,$A$3:$R$25,10,FALSE)+VLOOKUP($G32,$Y$2:$AA$50,2)</f>
        <v/>
      </c>
      <c r="K32" s="33">
        <f>VLOOKUP($C32,$A$3:$R$25,11,FALSE)+VLOOKUP($G32,$Y$2:$AA$50,2)</f>
        <v/>
      </c>
      <c r="L32" s="33">
        <f>VLOOKUP($C32,$A$3:$R$25,12,FALSE)</f>
        <v/>
      </c>
      <c r="M32" s="33">
        <f>VLOOKUP($C32,$A$3:$R$25,13,FALSE)</f>
        <v/>
      </c>
      <c r="N32" s="33">
        <f>VLOOKUP($C32,$A$3:$R$25,14,FALSE)</f>
        <v/>
      </c>
      <c r="O32" s="33">
        <f>VLOOKUP($C32,$A$3:$R$25,15,FALSE)</f>
        <v/>
      </c>
      <c r="P32" s="33">
        <f>VLOOKUP($C32,$A$3:$R$25,16,FALSE)</f>
        <v/>
      </c>
      <c r="Q32" s="33">
        <f>VLOOKUP($C32,$A$3:$R$25,17,FALSE)</f>
        <v/>
      </c>
      <c r="R32" s="34">
        <f>A5</f>
        <v/>
      </c>
      <c r="S32" s="28" t="n"/>
      <c r="U32" s="16" t="inlineStr">
        <is>
          <t>Troop:</t>
        </is>
      </c>
      <c r="V32" s="16" t="n"/>
      <c r="W32" s="16" t="n"/>
      <c r="Y32" s="11" t="n">
        <v>109</v>
      </c>
      <c r="Z32" s="11" t="n">
        <v>1.3</v>
      </c>
      <c r="AA32" s="11" t="n">
        <v>5.4</v>
      </c>
      <c r="AB32" s="18" t="n"/>
    </row>
    <row r="33">
      <c r="C33" s="35">
        <f>A7</f>
        <v/>
      </c>
      <c r="D33" s="36" t="n"/>
      <c r="E33" s="37" t="inlineStr">
        <is>
          <t>ART</t>
        </is>
      </c>
      <c r="F33" s="37" t="inlineStr">
        <is>
          <t>HP</t>
        </is>
      </c>
      <c r="G33" s="38">
        <f>VLOOKUP($C33,$A$3:$R$25,4,FALSE)+VLOOKUP($C33,$A$3:$R$25,18,FALSE)</f>
        <v/>
      </c>
      <c r="H33" s="39">
        <f>VLOOKUP($C33,$A$3:$R$25,8,FALSE)+VLOOKUP($G33,$Y$2:$AA$50,3)</f>
        <v/>
      </c>
      <c r="I33" s="39">
        <f>VLOOKUP($C33,$A$3:$R$25,9,FALSE)</f>
        <v/>
      </c>
      <c r="J33" s="39">
        <f>VLOOKUP($C33,$A$3:$R$25,10,FALSE)</f>
        <v/>
      </c>
      <c r="K33" s="39">
        <f>VLOOKUP($C33,$A$3:$R$25,11,FALSE)</f>
        <v/>
      </c>
      <c r="L33" s="39">
        <f>VLOOKUP($C33,$A$3:$R$25,12,FALSE)</f>
        <v/>
      </c>
      <c r="M33" s="39">
        <f>VLOOKUP($C33,$A$3:$R$25,13,FALSE)</f>
        <v/>
      </c>
      <c r="N33" s="39">
        <f>VLOOKUP($C33,$A$3:$R$25,14,FALSE)</f>
        <v/>
      </c>
      <c r="O33" s="39">
        <f>VLOOKUP($C33,$A$3:$R$25,15,FALSE)</f>
        <v/>
      </c>
      <c r="P33" s="39">
        <f>VLOOKUP($C33,$A$3:$R$25,16,FALSE)</f>
        <v/>
      </c>
      <c r="Q33" s="39">
        <f>VLOOKUP($C33,$A$3:$R$25,17,FALSE)</f>
        <v/>
      </c>
      <c r="R33" s="40">
        <f>A10</f>
        <v/>
      </c>
      <c r="S33" s="28" t="n"/>
      <c r="U33" s="16" t="inlineStr">
        <is>
          <t>ATK</t>
        </is>
      </c>
      <c r="V33" s="16">
        <f>$Z$66*(1+I37/100)</f>
        <v/>
      </c>
      <c r="W33" s="16">
        <f>((V33-$Z$73)*(V35+P37/100)*((V36/100)*V37 + (1-V36/100)*1)) + LOG(V33,5)*Q37*(V35+P37/100)</f>
        <v/>
      </c>
      <c r="Y33" s="11" t="n">
        <v>110</v>
      </c>
      <c r="Z33" s="12" t="n">
        <v>1.3</v>
      </c>
      <c r="AA33" s="11" t="n">
        <v>5.5</v>
      </c>
      <c r="AB33" s="18" t="n"/>
    </row>
    <row r="34">
      <c r="C34" s="29">
        <f>A14</f>
        <v/>
      </c>
      <c r="D34" s="30" t="n"/>
      <c r="E34" s="31" t="inlineStr">
        <is>
          <t>FTH</t>
        </is>
      </c>
      <c r="F34" s="31" t="inlineStr">
        <is>
          <t>RUSH</t>
        </is>
      </c>
      <c r="G34" s="32">
        <f>VLOOKUP($C34,$A$3:$R$25,4,FALSE)+VLOOKUP($C34,$A$3:$R$25,18,FALSE)</f>
        <v/>
      </c>
      <c r="H34" s="33">
        <f>VLOOKUP($C34,$A$3:$R$25,8,FALSE)</f>
        <v/>
      </c>
      <c r="I34" s="33">
        <f>VLOOKUP($C34,$A$3:$R$25,9,FALSE)</f>
        <v/>
      </c>
      <c r="J34" s="33">
        <f>VLOOKUP($C34,$A$3:$R$25,10,FALSE)+VLOOKUP(G34,$Y$2:$AA$50,3)</f>
        <v/>
      </c>
      <c r="K34" s="33">
        <f>VLOOKUP($C34,$A$3:$R$25,11,FALSE)</f>
        <v/>
      </c>
      <c r="L34" s="33">
        <f>VLOOKUP($C34,$A$3:$R$25,12,FALSE)</f>
        <v/>
      </c>
      <c r="M34" s="33">
        <f>VLOOKUP($C34,$A$3:$R$25,13,FALSE)</f>
        <v/>
      </c>
      <c r="N34" s="33">
        <f>VLOOKUP($C34,$A$3:$R$25,14,FALSE)</f>
        <v/>
      </c>
      <c r="O34" s="33">
        <f>VLOOKUP($C34,$A$3:$R$25,15,FALSE)</f>
        <v/>
      </c>
      <c r="P34" s="33">
        <f>VLOOKUP($C34,$A$3:$R$25,16,FALSE)</f>
        <v/>
      </c>
      <c r="Q34" s="33">
        <f>VLOOKUP($C34,$A$3:$R$25,17,FALSE)</f>
        <v/>
      </c>
      <c r="R34" s="34">
        <f>A11</f>
        <v/>
      </c>
      <c r="S34" s="28" t="n"/>
      <c r="U34" s="16" t="inlineStr">
        <is>
          <t>RUSH</t>
        </is>
      </c>
      <c r="V34" s="16">
        <f>$Z$67*(1+J37/100)</f>
        <v/>
      </c>
      <c r="W34" s="16">
        <f>(V34-$Z$73)*(V35+P37/100)*((V36/100)*V37 + (1-V36/100)*1) + LOG(V34,5)*Q37*(V35+P37/100)</f>
        <v/>
      </c>
      <c r="Y34" s="11" t="n">
        <v>111</v>
      </c>
      <c r="Z34" s="12" t="n">
        <v>1.3</v>
      </c>
      <c r="AA34" s="11" t="n">
        <v>5.5</v>
      </c>
      <c r="AB34" s="18" t="n"/>
    </row>
    <row r="35">
      <c r="C35" s="35">
        <f>A18</f>
        <v/>
      </c>
      <c r="D35" s="36" t="n"/>
      <c r="E35" s="37" t="inlineStr">
        <is>
          <t>CIV</t>
        </is>
      </c>
      <c r="F35" s="37" t="inlineStr">
        <is>
          <t>ATK</t>
        </is>
      </c>
      <c r="G35" s="38">
        <f>VLOOKUP($C35,$A$3:$R$25,4,FALSE)+VLOOKUP($C35,$A$3:$R$25,18,FALSE)</f>
        <v/>
      </c>
      <c r="H35" s="39">
        <f>VLOOKUP($C35,$A$3:$R$25,8,FALSE)</f>
        <v/>
      </c>
      <c r="I35" s="39">
        <f>VLOOKUP($C35,$A$3:$R$25,9,FALSE)+VLOOKUP(G35,$Y$2:$AA$50,3)</f>
        <v/>
      </c>
      <c r="J35" s="39">
        <f>VLOOKUP($C35,$A$3:$R$25,10,FALSE)</f>
        <v/>
      </c>
      <c r="K35" s="39">
        <f>VLOOKUP($C35,$A$3:$R$25,11,FALSE)</f>
        <v/>
      </c>
      <c r="L35" s="39">
        <f>VLOOKUP($C35,$A$3:$R$25,12,FALSE)</f>
        <v/>
      </c>
      <c r="M35" s="39">
        <f>VLOOKUP($C35,$A$3:$R$25,13,FALSE)</f>
        <v/>
      </c>
      <c r="N35" s="39">
        <f>VLOOKUP($C35,$A$3:$R$25,14,FALSE)</f>
        <v/>
      </c>
      <c r="O35" s="39">
        <f>VLOOKUP($C35,$A$3:$R$25,15,FALSE)</f>
        <v/>
      </c>
      <c r="P35" s="39">
        <f>VLOOKUP($C35,$A$3:$R$25,16,FALSE)</f>
        <v/>
      </c>
      <c r="Q35" s="39">
        <f>VLOOKUP($C35,$A$3:$R$25,17,FALSE)</f>
        <v/>
      </c>
      <c r="R35" s="40">
        <f>A19</f>
        <v/>
      </c>
      <c r="S35" s="28" t="n"/>
      <c r="U35" s="16" t="inlineStr">
        <is>
          <t>DMG%</t>
        </is>
      </c>
      <c r="V35" s="16">
        <f>(1+($Z$68+N37)/100)</f>
        <v/>
      </c>
      <c r="W35" s="16" t="n"/>
      <c r="Y35" s="11" t="n">
        <v>112</v>
      </c>
      <c r="Z35" s="12" t="n">
        <v>1.4</v>
      </c>
      <c r="AA35" s="11" t="n">
        <v>5.6</v>
      </c>
      <c r="AB35" s="18" t="n"/>
    </row>
    <row r="36">
      <c r="C36" s="29">
        <f>A22</f>
        <v/>
      </c>
      <c r="D36" s="30" t="n"/>
      <c r="E36" s="31" t="inlineStr">
        <is>
          <t>TECH</t>
        </is>
      </c>
      <c r="F36" s="31" t="inlineStr">
        <is>
          <t>DEF</t>
        </is>
      </c>
      <c r="G36" s="32">
        <f>VLOOKUP($C36,$A$3:$R$25,4,FALSE)+VLOOKUP($C36,$A$3:$R$25,18,FALSE)</f>
        <v/>
      </c>
      <c r="H36" s="33">
        <f>VLOOKUP($C36,$A$3:$R$25,8,FALSE)</f>
        <v/>
      </c>
      <c r="I36" s="33">
        <f>VLOOKUP($C36,$A$3:$R$25,9,FALSE)</f>
        <v/>
      </c>
      <c r="J36" s="33">
        <f>VLOOKUP($C36,$A$3:$R$25,10,FALSE)</f>
        <v/>
      </c>
      <c r="K36" s="33">
        <f>VLOOKUP($C36,$A$3:$R$25,11,FALSE)+VLOOKUP(G36,$Y$2:$AA$50,3)</f>
        <v/>
      </c>
      <c r="L36" s="33">
        <f>VLOOKUP($C36,$A$3:$R$25,12,FALSE)</f>
        <v/>
      </c>
      <c r="M36" s="33">
        <f>VLOOKUP($C36,$A$3:$R$25,13,FALSE)</f>
        <v/>
      </c>
      <c r="N36" s="33">
        <f>VLOOKUP($C36,$A$3:$R$25,14,FALSE)</f>
        <v/>
      </c>
      <c r="O36" s="33">
        <f>VLOOKUP($C36,$A$3:$R$25,15,FALSE)</f>
        <v/>
      </c>
      <c r="P36" s="33">
        <f>VLOOKUP($C36,$A$3:$R$25,16,FALSE)</f>
        <v/>
      </c>
      <c r="Q36" s="33">
        <f>VLOOKUP($C36,$A$3:$R$25,17,FALSE)</f>
        <v/>
      </c>
      <c r="R36" s="34" t="inlineStr">
        <is>
          <t>The Prince</t>
        </is>
      </c>
      <c r="S36" s="28" t="n"/>
      <c r="U36" s="16" t="inlineStr">
        <is>
          <t>CRIT%</t>
        </is>
      </c>
      <c r="V36" s="16">
        <f>$Z$69+L37</f>
        <v/>
      </c>
      <c r="W36" s="16" t="n"/>
      <c r="Y36" s="11" t="n">
        <v>113</v>
      </c>
      <c r="Z36" s="12" t="n">
        <v>1.4</v>
      </c>
      <c r="AA36" s="11" t="n">
        <v>5.6</v>
      </c>
      <c r="AB36" s="18" t="n"/>
    </row>
    <row r="37">
      <c r="C37" s="41" t="inlineStr">
        <is>
          <t>Total</t>
        </is>
      </c>
      <c r="D37" s="36" t="n"/>
      <c r="E37" s="37" t="n"/>
      <c r="F37" s="37" t="n"/>
      <c r="G37" s="42" t="n"/>
      <c r="H37" s="39">
        <f>sum(H32:H36)</f>
        <v/>
      </c>
      <c r="I37" s="39">
        <f>sum(I32:I36)</f>
        <v/>
      </c>
      <c r="J37" s="39">
        <f>sum(J32:J36)</f>
        <v/>
      </c>
      <c r="K37" s="39">
        <f>sum(K32:K36)</f>
        <v/>
      </c>
      <c r="L37" s="39">
        <f>sum(L32:L36)</f>
        <v/>
      </c>
      <c r="M37" s="39">
        <f>sum(M32:M36)</f>
        <v/>
      </c>
      <c r="N37" s="39">
        <f>sum(N32:N36)</f>
        <v/>
      </c>
      <c r="O37" s="39">
        <f>sum(O32:O36)</f>
        <v/>
      </c>
      <c r="P37" s="39">
        <f>sum(P32:P36)</f>
        <v/>
      </c>
      <c r="Q37" s="39">
        <f>sum(Q32:Q36)</f>
        <v/>
      </c>
      <c r="R37" s="40" t="n"/>
      <c r="S37" s="28" t="n"/>
      <c r="U37" s="16" t="inlineStr">
        <is>
          <t>CRIT DMG%</t>
        </is>
      </c>
      <c r="V37" s="16">
        <f>1.5+($Z$70+M37)/100</f>
        <v/>
      </c>
      <c r="W37" s="16" t="n"/>
      <c r="Y37" s="11" t="n">
        <v>114</v>
      </c>
      <c r="Z37" s="11" t="n">
        <v>1.4</v>
      </c>
      <c r="AA37" s="12" t="n">
        <v>5.7</v>
      </c>
      <c r="AB37" s="18" t="n"/>
    </row>
    <row r="38">
      <c r="C38" s="43" t="inlineStr">
        <is>
          <t>Damage Per Round</t>
        </is>
      </c>
      <c r="D38" s="30" t="n"/>
      <c r="E38" s="44">
        <f>W33+W34</f>
        <v/>
      </c>
      <c r="F38" s="45" t="n"/>
      <c r="G38" s="46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Y38" s="11" t="n">
        <v>115</v>
      </c>
      <c r="Z38" s="11" t="n">
        <v>1.4</v>
      </c>
      <c r="AA38" s="12" t="n">
        <v>5.7</v>
      </c>
      <c r="AB38" s="18" t="n"/>
    </row>
    <row r="39">
      <c r="Y39" s="11" t="n">
        <v>116</v>
      </c>
      <c r="Z39" s="11" t="n">
        <v>1.4</v>
      </c>
      <c r="AA39" s="11" t="n">
        <v>5.8</v>
      </c>
      <c r="AB39" s="13" t="n"/>
    </row>
    <row r="40">
      <c r="Y40" s="11" t="n">
        <v>117</v>
      </c>
      <c r="Z40" s="11" t="n">
        <v>1.4</v>
      </c>
      <c r="AA40" s="11" t="n">
        <v>5.8</v>
      </c>
      <c r="AB40" s="13" t="n"/>
    </row>
    <row r="41">
      <c r="A41" s="1" t="inlineStr">
        <is>
          <t>Goldfish</t>
        </is>
      </c>
      <c r="B41" s="2" t="n"/>
      <c r="C41" s="2" t="n"/>
      <c r="D41" s="3" t="inlineStr">
        <is>
          <t>Main AFFCT</t>
        </is>
      </c>
      <c r="E41" s="3" t="inlineStr">
        <is>
          <t>Stamp 1</t>
        </is>
      </c>
      <c r="F41" s="3" t="inlineStr">
        <is>
          <t>Stamp 2</t>
        </is>
      </c>
      <c r="G41" s="3" t="inlineStr">
        <is>
          <t>Stamp 3</t>
        </is>
      </c>
      <c r="H41" s="4" t="inlineStr">
        <is>
          <t>HP</t>
        </is>
      </c>
      <c r="I41" s="4" t="inlineStr">
        <is>
          <t>ATK</t>
        </is>
      </c>
      <c r="J41" s="4" t="inlineStr">
        <is>
          <t>RUSH</t>
        </is>
      </c>
      <c r="K41" s="4" t="inlineStr">
        <is>
          <t>DEF</t>
        </is>
      </c>
      <c r="L41" s="4" t="inlineStr">
        <is>
          <t>CRIT</t>
        </is>
      </c>
      <c r="M41" s="4" t="inlineStr">
        <is>
          <t>CRIT DMG</t>
        </is>
      </c>
      <c r="N41" s="4" t="inlineStr">
        <is>
          <t>DMG</t>
        </is>
      </c>
      <c r="O41" s="4" t="inlineStr">
        <is>
          <t>DMG Reduc</t>
        </is>
      </c>
      <c r="P41" s="4" t="inlineStr">
        <is>
          <t>Hero DMG</t>
        </is>
      </c>
      <c r="Q41" s="4" t="inlineStr">
        <is>
          <t>ELMT DMG</t>
        </is>
      </c>
      <c r="R41" s="4" t="inlineStr">
        <is>
          <t>AFFCT</t>
        </is>
      </c>
      <c r="S41" s="5" t="inlineStr">
        <is>
          <t>Source</t>
        </is>
      </c>
      <c r="Y41" s="11" t="n">
        <v>118</v>
      </c>
      <c r="Z41" s="11" t="n">
        <v>1.4</v>
      </c>
      <c r="AA41" s="12" t="n">
        <v>5.9</v>
      </c>
      <c r="AB41" s="18" t="n"/>
    </row>
    <row r="42">
      <c r="A42" s="8" t="inlineStr">
        <is>
          <t>INDIVIDUAL RELICS</t>
        </is>
      </c>
      <c r="B42" s="9" t="n"/>
      <c r="C42" s="9" t="n"/>
      <c r="D42" s="9" t="n"/>
      <c r="E42" s="9" t="n"/>
      <c r="F42" s="9" t="n"/>
      <c r="G42" s="9" t="n"/>
      <c r="S42" s="10" t="n"/>
      <c r="Y42" s="11" t="n">
        <v>119</v>
      </c>
      <c r="Z42" s="11" t="n">
        <v>1.4</v>
      </c>
      <c r="AA42" s="12" t="n">
        <v>5.9</v>
      </c>
      <c r="AB42" s="18" t="n"/>
    </row>
    <row r="43">
      <c r="A43" s="14" t="inlineStr">
        <is>
          <t>Kanner's Report</t>
        </is>
      </c>
      <c r="B43" s="14" t="inlineStr">
        <is>
          <t>SSS</t>
        </is>
      </c>
      <c r="C43" s="14" t="inlineStr">
        <is>
          <t>FAME</t>
        </is>
      </c>
      <c r="D43" s="15" t="n">
        <v>109</v>
      </c>
      <c r="E43" s="15" t="inlineStr">
        <is>
          <t>FAME +15</t>
        </is>
      </c>
      <c r="F43" s="14" t="inlineStr">
        <is>
          <t>All ELMT DMG +15</t>
        </is>
      </c>
      <c r="G43" s="14" t="inlineStr">
        <is>
          <t>HP +9%</t>
        </is>
      </c>
      <c r="H43" s="16" t="n">
        <v>9</v>
      </c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>
        <v>75</v>
      </c>
      <c r="R43" s="16" t="n">
        <v>15</v>
      </c>
      <c r="S43" s="10" t="inlineStr">
        <is>
          <t>Lottery Machine No. 2 (0.11%)</t>
        </is>
      </c>
      <c r="Y43" s="11" t="n">
        <v>120</v>
      </c>
      <c r="Z43" s="12" t="n">
        <v>1.5</v>
      </c>
      <c r="AA43" s="12" t="n">
        <v>6</v>
      </c>
      <c r="AB43" s="13" t="n"/>
    </row>
    <row r="44">
      <c r="A44" s="14" t="inlineStr">
        <is>
          <t>Science Magazine Vol. 1</t>
        </is>
      </c>
      <c r="B44" s="14" t="inlineStr">
        <is>
          <t>SSS</t>
        </is>
      </c>
      <c r="C44" s="14" t="inlineStr">
        <is>
          <t>FAME</t>
        </is>
      </c>
      <c r="D44" s="15" t="n">
        <v>107</v>
      </c>
      <c r="E44" s="15" t="inlineStr">
        <is>
          <t>AFFCT Check -150</t>
        </is>
      </c>
      <c r="F44" s="14" t="inlineStr">
        <is>
          <t>Hero DMG +6%</t>
        </is>
      </c>
      <c r="G44" s="14" t="inlineStr">
        <is>
          <t>DEF +9%</t>
        </is>
      </c>
      <c r="H44" s="16" t="n"/>
      <c r="I44" s="16" t="n"/>
      <c r="J44" s="16" t="n"/>
      <c r="K44" s="16" t="n">
        <v>9</v>
      </c>
      <c r="L44" s="16" t="n"/>
      <c r="M44" s="16" t="n"/>
      <c r="N44" s="16" t="n"/>
      <c r="O44" s="16" t="n"/>
      <c r="P44" s="16" t="n">
        <v>6</v>
      </c>
      <c r="Q44" s="16" t="n"/>
      <c r="R44" s="16" t="n"/>
      <c r="S44" s="10" t="inlineStr">
        <is>
          <t>Lottery Machine No. 2 (0.11%), Relic Forge (120 RF)</t>
        </is>
      </c>
      <c r="Y44" s="11" t="n">
        <v>121</v>
      </c>
      <c r="Z44" s="12" t="n">
        <v>1.5</v>
      </c>
      <c r="AA44" s="12" t="n">
        <v>6</v>
      </c>
      <c r="AB44" s="13" t="n"/>
    </row>
    <row r="45">
      <c r="A45" s="19" t="inlineStr">
        <is>
          <t>The Prince</t>
        </is>
      </c>
      <c r="B45" s="19" t="inlineStr">
        <is>
          <t>SSS</t>
        </is>
      </c>
      <c r="C45" s="19" t="inlineStr">
        <is>
          <t>FAME</t>
        </is>
      </c>
      <c r="D45" s="20" t="n">
        <v>106</v>
      </c>
      <c r="E45" s="20" t="inlineStr">
        <is>
          <t>ATK +6%</t>
        </is>
      </c>
      <c r="F45" s="19" t="inlineStr">
        <is>
          <t>FAME +15</t>
        </is>
      </c>
      <c r="G45" s="19" t="inlineStr">
        <is>
          <t>CRIT DMG +6%</t>
        </is>
      </c>
      <c r="H45" s="21" t="n"/>
      <c r="I45" s="19" t="n">
        <v>6</v>
      </c>
      <c r="J45" s="19" t="n"/>
      <c r="K45" s="19" t="n"/>
      <c r="L45" s="19" t="n"/>
      <c r="M45" s="19" t="n">
        <v>6</v>
      </c>
      <c r="N45" s="19" t="n"/>
      <c r="O45" s="19" t="n"/>
      <c r="P45" s="19" t="n"/>
      <c r="Q45" s="19" t="n"/>
      <c r="R45" s="19" t="n">
        <v>15</v>
      </c>
      <c r="S45" s="10" t="inlineStr">
        <is>
          <t>Lottery Machine No. 2 (0.11%)</t>
        </is>
      </c>
      <c r="Y45" s="11" t="n">
        <v>122</v>
      </c>
      <c r="Z45" s="11" t="n">
        <v>1.5</v>
      </c>
      <c r="AA45" s="11" t="n">
        <v>6.1</v>
      </c>
      <c r="AB45" s="13" t="n"/>
    </row>
    <row r="46">
      <c r="A46" s="14" t="inlineStr">
        <is>
          <t>Cross of Lorraine</t>
        </is>
      </c>
      <c r="B46" s="14" t="inlineStr">
        <is>
          <t>SS</t>
        </is>
      </c>
      <c r="C46" s="14" t="inlineStr">
        <is>
          <t>FAME</t>
        </is>
      </c>
      <c r="D46" s="15" t="n">
        <v>104</v>
      </c>
      <c r="E46" s="15" t="inlineStr">
        <is>
          <t>FAME +15</t>
        </is>
      </c>
      <c r="F46" s="15" t="inlineStr">
        <is>
          <t>ATK +6%</t>
        </is>
      </c>
      <c r="G46" s="14" t="n"/>
      <c r="H46" s="11" t="n"/>
      <c r="I46" s="14" t="n">
        <v>6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>
        <v>15</v>
      </c>
      <c r="S46" s="10" t="inlineStr">
        <is>
          <t>Lottery Machine No. 2 (?%)</t>
        </is>
      </c>
      <c r="Y46" s="11" t="n">
        <v>123</v>
      </c>
      <c r="Z46" s="12" t="n">
        <v>1.5</v>
      </c>
      <c r="AA46" s="11" t="n">
        <v>6.1</v>
      </c>
      <c r="AB46" s="13" t="n"/>
    </row>
    <row r="47">
      <c r="A47" s="14" t="inlineStr">
        <is>
          <t>The Kiss</t>
        </is>
      </c>
      <c r="B47" s="14" t="inlineStr">
        <is>
          <t>SSS</t>
        </is>
      </c>
      <c r="C47" s="14" t="inlineStr">
        <is>
          <t>ART</t>
        </is>
      </c>
      <c r="D47" s="15" t="n">
        <v>108</v>
      </c>
      <c r="E47" s="15" t="inlineStr">
        <is>
          <t>CRIT +9%</t>
        </is>
      </c>
      <c r="F47" s="14" t="inlineStr">
        <is>
          <t>Hero DMG +6%</t>
        </is>
      </c>
      <c r="G47" s="14" t="inlineStr">
        <is>
          <t>Water RES +60</t>
        </is>
      </c>
      <c r="H47" s="16" t="n"/>
      <c r="I47" s="16" t="n"/>
      <c r="J47" s="16" t="n"/>
      <c r="K47" s="16" t="n"/>
      <c r="L47" s="16" t="n">
        <v>9</v>
      </c>
      <c r="M47" s="16" t="n"/>
      <c r="N47" s="16" t="n"/>
      <c r="O47" s="16" t="n"/>
      <c r="P47" s="16" t="n">
        <v>6</v>
      </c>
      <c r="Q47" s="16" t="n"/>
      <c r="R47" s="16" t="n"/>
      <c r="S47" s="22" t="inlineStr">
        <is>
          <t>Daily Pack #62</t>
        </is>
      </c>
      <c r="Y47" s="11" t="n"/>
      <c r="Z47" s="12" t="n"/>
      <c r="AA47" s="11" t="n"/>
      <c r="AB47" s="18" t="n"/>
    </row>
    <row r="48">
      <c r="A48" s="14" t="inlineStr">
        <is>
          <t>Capitoline Wolf</t>
        </is>
      </c>
      <c r="B48" s="14" t="inlineStr">
        <is>
          <t>SSS</t>
        </is>
      </c>
      <c r="C48" s="14" t="inlineStr">
        <is>
          <t>ART</t>
        </is>
      </c>
      <c r="D48" s="15" t="n">
        <v>108</v>
      </c>
      <c r="E48" s="15" t="inlineStr">
        <is>
          <t>ART +15</t>
        </is>
      </c>
      <c r="F48" s="14" t="inlineStr">
        <is>
          <t>HP +9%</t>
        </is>
      </c>
      <c r="G48" s="14" t="inlineStr">
        <is>
          <t>RUSH +9%</t>
        </is>
      </c>
      <c r="H48" s="16" t="n">
        <v>9</v>
      </c>
      <c r="I48" s="16" t="n"/>
      <c r="J48" s="16" t="n">
        <v>9</v>
      </c>
      <c r="K48" s="16" t="n"/>
      <c r="L48" s="16" t="n"/>
      <c r="M48" s="16" t="n"/>
      <c r="N48" s="16" t="n"/>
      <c r="O48" s="16" t="n"/>
      <c r="P48" s="16" t="n"/>
      <c r="Q48" s="16" t="n"/>
      <c r="R48" s="16" t="n">
        <v>15</v>
      </c>
      <c r="S48" s="10" t="inlineStr">
        <is>
          <t>Lottery Machine No. 2 (0.11%)</t>
        </is>
      </c>
      <c r="Y48" s="11" t="n">
        <v>124</v>
      </c>
      <c r="Z48" s="12" t="n">
        <v>1.5</v>
      </c>
      <c r="AA48" s="11" t="n">
        <v>6.2</v>
      </c>
      <c r="AB48" s="18" t="n"/>
    </row>
    <row r="49">
      <c r="A49" s="14" t="inlineStr">
        <is>
          <t>The Resurrection</t>
        </is>
      </c>
      <c r="B49" s="14" t="inlineStr">
        <is>
          <t>SSS</t>
        </is>
      </c>
      <c r="C49" s="14" t="inlineStr">
        <is>
          <t>ART</t>
        </is>
      </c>
      <c r="D49" s="15" t="n">
        <v>107</v>
      </c>
      <c r="E49" s="15" t="inlineStr">
        <is>
          <t>ART +15</t>
        </is>
      </c>
      <c r="F49" s="14" t="inlineStr">
        <is>
          <t>DEF +9%</t>
        </is>
      </c>
      <c r="G49" s="14" t="inlineStr">
        <is>
          <t>ATK +9%</t>
        </is>
      </c>
      <c r="H49" s="16" t="n"/>
      <c r="I49" s="16" t="n">
        <v>9</v>
      </c>
      <c r="J49" s="16" t="n"/>
      <c r="K49" s="16" t="n">
        <v>9</v>
      </c>
      <c r="L49" s="16" t="n"/>
      <c r="M49" s="16" t="n"/>
      <c r="N49" s="16" t="n"/>
      <c r="O49" s="16" t="n"/>
      <c r="P49" s="16" t="n"/>
      <c r="Q49" s="16" t="n"/>
      <c r="R49" s="16" t="n">
        <v>15</v>
      </c>
      <c r="S49" s="10" t="inlineStr">
        <is>
          <t>Easter Event</t>
        </is>
      </c>
      <c r="Y49" s="11" t="n">
        <v>125</v>
      </c>
      <c r="Z49" s="12" t="n">
        <v>1.5</v>
      </c>
      <c r="AA49" s="11" t="n">
        <v>6.2</v>
      </c>
      <c r="AB49" s="18" t="n"/>
    </row>
    <row r="50">
      <c r="A50" s="14" t="inlineStr">
        <is>
          <t>Woman at Her Toilette</t>
        </is>
      </c>
      <c r="B50" s="14" t="inlineStr">
        <is>
          <t>SSS</t>
        </is>
      </c>
      <c r="C50" s="14" t="inlineStr">
        <is>
          <t>ART</t>
        </is>
      </c>
      <c r="D50" s="15" t="n">
        <v>109</v>
      </c>
      <c r="E50" s="15" t="inlineStr">
        <is>
          <t>ATK +6%</t>
        </is>
      </c>
      <c r="F50" s="14" t="inlineStr">
        <is>
          <t>RUSH +6%</t>
        </is>
      </c>
      <c r="G50" s="14" t="inlineStr">
        <is>
          <t>ART +15</t>
        </is>
      </c>
      <c r="H50" s="16" t="n"/>
      <c r="I50" s="16" t="n">
        <v>6</v>
      </c>
      <c r="J50" s="16" t="n">
        <v>6</v>
      </c>
      <c r="K50" s="16" t="n"/>
      <c r="L50" s="16" t="n"/>
      <c r="M50" s="16" t="n"/>
      <c r="N50" s="16" t="n"/>
      <c r="O50" s="16" t="n"/>
      <c r="P50" s="16" t="n"/>
      <c r="Q50" s="16" t="n"/>
      <c r="R50" s="16" t="n">
        <v>15</v>
      </c>
      <c r="S50" s="10" t="inlineStr">
        <is>
          <t>Minion Skin Lottery</t>
        </is>
      </c>
      <c r="Y50" s="11" t="n">
        <v>125</v>
      </c>
      <c r="Z50" s="12" t="n">
        <v>1.5</v>
      </c>
      <c r="AA50" s="11" t="n">
        <v>6.2</v>
      </c>
      <c r="AB50" s="18" t="n"/>
    </row>
    <row r="51">
      <c r="A51" s="14" t="inlineStr">
        <is>
          <t>Seated Voltaire</t>
        </is>
      </c>
      <c r="B51" s="14" t="inlineStr">
        <is>
          <t>SSS</t>
        </is>
      </c>
      <c r="C51" s="14" t="inlineStr">
        <is>
          <t>ART</t>
        </is>
      </c>
      <c r="D51" s="15" t="n">
        <v>106</v>
      </c>
      <c r="E51" s="15" t="inlineStr">
        <is>
          <t>DEF +6%</t>
        </is>
      </c>
      <c r="F51" s="14" t="inlineStr">
        <is>
          <t>ART +15</t>
        </is>
      </c>
      <c r="G51" s="14" t="inlineStr">
        <is>
          <t>Wind DMG +30</t>
        </is>
      </c>
      <c r="H51" s="11" t="n"/>
      <c r="I51" s="14" t="n"/>
      <c r="J51" s="14" t="n"/>
      <c r="K51" s="14" t="n">
        <v>6</v>
      </c>
      <c r="L51" s="14" t="n"/>
      <c r="M51" s="14" t="n"/>
      <c r="N51" s="14" t="n"/>
      <c r="O51" s="14" t="n"/>
      <c r="P51" s="14" t="n"/>
      <c r="Q51" s="14" t="n">
        <v>30</v>
      </c>
      <c r="R51" s="14" t="n">
        <v>15</v>
      </c>
      <c r="S51" s="10" t="inlineStr">
        <is>
          <t>Wish Box Relic Album #1</t>
        </is>
      </c>
      <c r="AB51" s="18" t="n"/>
    </row>
    <row r="52">
      <c r="A52" s="14" t="inlineStr">
        <is>
          <t>The Silver Key</t>
        </is>
      </c>
      <c r="B52" s="14" t="inlineStr">
        <is>
          <t>SSS</t>
        </is>
      </c>
      <c r="C52" s="14" t="inlineStr">
        <is>
          <t>FTH</t>
        </is>
      </c>
      <c r="D52" s="15" t="n">
        <v>108</v>
      </c>
      <c r="E52" s="15" t="inlineStr">
        <is>
          <t>ATK +9%</t>
        </is>
      </c>
      <c r="F52" s="14" t="inlineStr">
        <is>
          <t>Water RES +30</t>
        </is>
      </c>
      <c r="G52" s="14" t="inlineStr">
        <is>
          <t>Water DMG +60</t>
        </is>
      </c>
      <c r="H52" s="16" t="n"/>
      <c r="I52" s="16" t="n">
        <v>9</v>
      </c>
      <c r="J52" s="16" t="n"/>
      <c r="K52" s="16" t="n"/>
      <c r="L52" s="16" t="n"/>
      <c r="M52" s="16" t="n"/>
      <c r="N52" s="16" t="n"/>
      <c r="O52" s="16" t="n"/>
      <c r="P52" s="16" t="n"/>
      <c r="Q52" s="16" t="n">
        <v>60</v>
      </c>
      <c r="R52" s="16" t="n"/>
      <c r="S52" s="10" t="inlineStr">
        <is>
          <t>Lottery Machine No. 2 (0.11%), Rift Treasure Maps (0.01%)</t>
        </is>
      </c>
      <c r="AB52" s="18" t="n"/>
    </row>
    <row r="53">
      <c r="A53" s="14" t="inlineStr">
        <is>
          <t>Tauroctony</t>
        </is>
      </c>
      <c r="B53" s="14" t="inlineStr">
        <is>
          <t>SSS</t>
        </is>
      </c>
      <c r="C53" s="14" t="inlineStr">
        <is>
          <t>FTH</t>
        </is>
      </c>
      <c r="D53" s="15" t="n">
        <v>109</v>
      </c>
      <c r="E53" s="15" t="inlineStr">
        <is>
          <t>FTH +15</t>
        </is>
      </c>
      <c r="F53" s="15" t="inlineStr">
        <is>
          <t>Hero DMG +6%</t>
        </is>
      </c>
      <c r="G53" s="14" t="inlineStr">
        <is>
          <t>DMG REDUC +6%</t>
        </is>
      </c>
      <c r="H53" s="16" t="n"/>
      <c r="I53" s="16" t="n"/>
      <c r="J53" s="16" t="n"/>
      <c r="K53" s="16" t="n"/>
      <c r="L53" s="16" t="n"/>
      <c r="M53" s="16" t="n"/>
      <c r="N53" s="16" t="n"/>
      <c r="O53" s="16" t="n">
        <v>6</v>
      </c>
      <c r="P53" s="16" t="n">
        <v>6</v>
      </c>
      <c r="Q53" s="16" t="n"/>
      <c r="R53" s="16" t="n">
        <v>15</v>
      </c>
      <c r="S53" s="17" t="inlineStr">
        <is>
          <t>Daily Pack #29</t>
        </is>
      </c>
      <c r="AB53" s="18" t="n"/>
    </row>
    <row r="54">
      <c r="A54" s="14" t="inlineStr">
        <is>
          <t>Ymir's Treasure Chest</t>
        </is>
      </c>
      <c r="B54" s="14" t="inlineStr">
        <is>
          <t>SS</t>
        </is>
      </c>
      <c r="C54" s="14" t="inlineStr">
        <is>
          <t>FTH</t>
        </is>
      </c>
      <c r="D54" s="15" t="n">
        <v>104</v>
      </c>
      <c r="E54" s="15" t="inlineStr">
        <is>
          <t>CRIT DMG +9%</t>
        </is>
      </c>
      <c r="F54" s="15" t="inlineStr">
        <is>
          <t>Fire DMG +60</t>
        </is>
      </c>
      <c r="G54" s="14" t="n"/>
      <c r="H54" s="16" t="n"/>
      <c r="I54" s="16" t="n"/>
      <c r="J54" s="16" t="n"/>
      <c r="K54" s="16" t="n"/>
      <c r="L54" s="16" t="n"/>
      <c r="M54" s="16" t="n">
        <v>9</v>
      </c>
      <c r="N54" s="16" t="n"/>
      <c r="O54" s="16" t="n"/>
      <c r="P54" s="16" t="n"/>
      <c r="Q54" s="16" t="n">
        <v>60</v>
      </c>
      <c r="R54" s="16" t="n"/>
      <c r="S54" s="17" t="inlineStr">
        <is>
          <t>Lottery Machine No. 3 (0.36%)</t>
        </is>
      </c>
      <c r="AB54" s="18" t="n"/>
    </row>
    <row r="55">
      <c r="A55" s="14" t="inlineStr">
        <is>
          <t>Enuma Elish</t>
        </is>
      </c>
      <c r="B55" s="14" t="inlineStr">
        <is>
          <t>SSS</t>
        </is>
      </c>
      <c r="C55" s="14" t="inlineStr">
        <is>
          <t>FTH</t>
        </is>
      </c>
      <c r="D55" s="15" t="n">
        <v>107</v>
      </c>
      <c r="E55" s="15" t="inlineStr">
        <is>
          <t>FTH +15</t>
        </is>
      </c>
      <c r="F55" s="14" t="inlineStr">
        <is>
          <t>ATK +6%</t>
        </is>
      </c>
      <c r="G55" s="14" t="inlineStr">
        <is>
          <t>RUSH +6%</t>
        </is>
      </c>
      <c r="H55" s="11" t="n"/>
      <c r="I55" s="14" t="n">
        <v>6</v>
      </c>
      <c r="J55" s="14" t="n">
        <v>6</v>
      </c>
      <c r="K55" s="14" t="n"/>
      <c r="L55" s="14" t="n"/>
      <c r="M55" s="14" t="n"/>
      <c r="N55" s="14" t="n"/>
      <c r="O55" s="14" t="n"/>
      <c r="P55" s="14" t="n"/>
      <c r="Q55" s="14" t="n"/>
      <c r="R55" s="14" t="n">
        <v>15</v>
      </c>
      <c r="S55" s="10" t="inlineStr">
        <is>
          <t>Lottery Machine No. 2 (0.11%)</t>
        </is>
      </c>
    </row>
    <row r="56">
      <c r="A56" s="14" t="inlineStr">
        <is>
          <t>Bronze Goblet</t>
        </is>
      </c>
      <c r="B56" s="14" t="inlineStr">
        <is>
          <t>SSS</t>
        </is>
      </c>
      <c r="C56" s="14" t="inlineStr">
        <is>
          <t>CIV</t>
        </is>
      </c>
      <c r="D56" s="15" t="n">
        <v>107</v>
      </c>
      <c r="E56" s="15" t="inlineStr">
        <is>
          <t>ATK +9%</t>
        </is>
      </c>
      <c r="F56" s="15" t="inlineStr">
        <is>
          <t>Water DMG +60</t>
        </is>
      </c>
      <c r="G56" s="14" t="inlineStr">
        <is>
          <t>Hero DMG +6%</t>
        </is>
      </c>
      <c r="H56" s="16" t="n"/>
      <c r="I56" s="16" t="n">
        <v>9</v>
      </c>
      <c r="J56" s="16" t="n"/>
      <c r="K56" s="16" t="n"/>
      <c r="L56" s="16" t="n"/>
      <c r="M56" s="16" t="n"/>
      <c r="N56" s="16" t="n"/>
      <c r="O56" s="16" t="n"/>
      <c r="P56" s="16" t="n">
        <v>6</v>
      </c>
      <c r="Q56" s="16" t="n">
        <v>60</v>
      </c>
      <c r="R56" s="16" t="n"/>
      <c r="S56" s="22" t="inlineStr">
        <is>
          <t>Lottery Machine No. 2 (?%)</t>
        </is>
      </c>
    </row>
    <row r="57">
      <c r="A57" s="14" t="inlineStr">
        <is>
          <t>Metaphysics</t>
        </is>
      </c>
      <c r="B57" s="14" t="inlineStr">
        <is>
          <t>SSS</t>
        </is>
      </c>
      <c r="C57" s="14" t="inlineStr">
        <is>
          <t>CIV</t>
        </is>
      </c>
      <c r="D57" s="15" t="n">
        <v>109</v>
      </c>
      <c r="E57" s="15" t="inlineStr">
        <is>
          <t>CIV +15</t>
        </is>
      </c>
      <c r="F57" s="15" t="inlineStr">
        <is>
          <t>DMG REDUC +6%</t>
        </is>
      </c>
      <c r="G57" s="14" t="inlineStr">
        <is>
          <t>HP +9%</t>
        </is>
      </c>
      <c r="H57" s="16" t="n">
        <v>9</v>
      </c>
      <c r="I57" s="16" t="n"/>
      <c r="J57" s="16" t="n"/>
      <c r="K57" s="16" t="n"/>
      <c r="L57" s="16" t="n"/>
      <c r="M57" s="16" t="n"/>
      <c r="N57" s="16" t="n"/>
      <c r="O57" s="16" t="n">
        <v>6</v>
      </c>
      <c r="P57" s="16" t="n"/>
      <c r="Q57" s="16" t="n"/>
      <c r="R57" s="16" t="n">
        <v>15</v>
      </c>
      <c r="S57" s="17" t="inlineStr">
        <is>
          <t>Traveler's Pack #10</t>
        </is>
      </c>
    </row>
    <row r="58">
      <c r="A58" s="14" t="inlineStr">
        <is>
          <t>Harem Wall Painting</t>
        </is>
      </c>
      <c r="B58" s="14" t="inlineStr">
        <is>
          <t>SS</t>
        </is>
      </c>
      <c r="C58" s="14" t="inlineStr">
        <is>
          <t>CIV</t>
        </is>
      </c>
      <c r="D58" s="15" t="n">
        <v>102</v>
      </c>
      <c r="E58" s="15" t="inlineStr">
        <is>
          <t>CIV +15</t>
        </is>
      </c>
      <c r="F58" s="15" t="inlineStr">
        <is>
          <t>RUSH +6%</t>
        </is>
      </c>
      <c r="G58" s="14" t="n"/>
      <c r="H58" s="11" t="n"/>
      <c r="I58" s="14" t="n"/>
      <c r="J58" s="14" t="n">
        <v>6</v>
      </c>
      <c r="K58" s="14" t="n"/>
      <c r="L58" s="14" t="n"/>
      <c r="M58" s="14" t="n"/>
      <c r="N58" s="14" t="n"/>
      <c r="O58" s="14" t="n"/>
      <c r="P58" s="14" t="n"/>
      <c r="Q58" s="14" t="n"/>
      <c r="R58" s="14" t="n">
        <v>15</v>
      </c>
      <c r="S58" s="10" t="inlineStr">
        <is>
          <t>Lottery Machine No. 2 (?%)</t>
        </is>
      </c>
    </row>
    <row r="59">
      <c r="A59" s="14" t="inlineStr">
        <is>
          <t>Volsunga Saga</t>
        </is>
      </c>
      <c r="B59" s="14" t="inlineStr">
        <is>
          <t>SSS</t>
        </is>
      </c>
      <c r="C59" s="14" t="inlineStr">
        <is>
          <t>CIV</t>
        </is>
      </c>
      <c r="D59" s="15" t="n">
        <v>109</v>
      </c>
      <c r="E59" s="15" t="inlineStr">
        <is>
          <t>CIV +15</t>
        </is>
      </c>
      <c r="F59" s="15" t="inlineStr">
        <is>
          <t>ATK +9%</t>
        </is>
      </c>
      <c r="G59" s="14" t="inlineStr">
        <is>
          <t>DEF +9%</t>
        </is>
      </c>
      <c r="H59" s="16" t="n"/>
      <c r="I59" s="16" t="n">
        <v>9</v>
      </c>
      <c r="J59" s="16" t="n"/>
      <c r="K59" s="16" t="n">
        <v>9</v>
      </c>
      <c r="L59" s="16" t="n"/>
      <c r="M59" s="16" t="n"/>
      <c r="N59" s="16" t="n"/>
      <c r="O59" s="16" t="n"/>
      <c r="P59" s="16" t="n"/>
      <c r="Q59" s="16" t="n"/>
      <c r="R59" s="16" t="n">
        <v>15</v>
      </c>
      <c r="S59" s="22" t="inlineStr">
        <is>
          <t>Gold Pack #6</t>
        </is>
      </c>
    </row>
    <row r="60">
      <c r="A60" s="14" t="inlineStr">
        <is>
          <t>The King in Yellow</t>
        </is>
      </c>
      <c r="B60" s="14" t="inlineStr">
        <is>
          <t>SSS</t>
        </is>
      </c>
      <c r="C60" s="14" t="inlineStr">
        <is>
          <t>TECH</t>
        </is>
      </c>
      <c r="D60" s="15" t="n">
        <v>109</v>
      </c>
      <c r="E60" s="15" t="inlineStr">
        <is>
          <t>TECH +15</t>
        </is>
      </c>
      <c r="F60" s="15" t="inlineStr">
        <is>
          <t>CRIT +9%</t>
        </is>
      </c>
      <c r="G60" s="14" t="inlineStr">
        <is>
          <t>CRIT DMG +9%</t>
        </is>
      </c>
      <c r="H60" s="16" t="n"/>
      <c r="I60" s="16" t="n"/>
      <c r="J60" s="16" t="n"/>
      <c r="K60" s="16" t="n"/>
      <c r="L60" s="16" t="n">
        <v>9</v>
      </c>
      <c r="M60" s="16" t="n">
        <v>9</v>
      </c>
      <c r="N60" s="16" t="n"/>
      <c r="O60" s="16" t="n"/>
      <c r="P60" s="16" t="n"/>
      <c r="Q60" s="16" t="n"/>
      <c r="R60" s="16" t="n">
        <v>15</v>
      </c>
      <c r="S60" s="22" t="inlineStr">
        <is>
          <t>Gold Pack #7</t>
        </is>
      </c>
    </row>
    <row r="61">
      <c r="A61" s="14" t="inlineStr">
        <is>
          <t>Antimatter Bomb</t>
        </is>
      </c>
      <c r="B61" s="14" t="inlineStr">
        <is>
          <t>SSS</t>
        </is>
      </c>
      <c r="C61" s="14" t="inlineStr">
        <is>
          <t>TECH</t>
        </is>
      </c>
      <c r="D61" s="15" t="n">
        <v>108</v>
      </c>
      <c r="E61" s="15" t="inlineStr">
        <is>
          <t>RUSH +9%</t>
        </is>
      </c>
      <c r="F61" s="15" t="inlineStr">
        <is>
          <t>Hero DMG +6%</t>
        </is>
      </c>
      <c r="G61" s="14" t="inlineStr">
        <is>
          <t>CRIT +9%</t>
        </is>
      </c>
      <c r="H61" s="16" t="n"/>
      <c r="I61" s="16" t="n"/>
      <c r="J61" s="16" t="n">
        <v>9</v>
      </c>
      <c r="K61" s="16" t="n"/>
      <c r="L61" s="16" t="n">
        <v>9</v>
      </c>
      <c r="M61" s="16" t="n"/>
      <c r="N61" s="16" t="n"/>
      <c r="O61" s="16" t="n">
        <v>6</v>
      </c>
      <c r="P61" s="16" t="n"/>
      <c r="Q61" s="16" t="n"/>
      <c r="R61" s="16" t="n"/>
      <c r="S61" s="17" t="inlineStr">
        <is>
          <t>Daily Silver Pack #4</t>
        </is>
      </c>
    </row>
    <row r="62">
      <c r="A62" s="14" t="inlineStr">
        <is>
          <t>Xuanyuan Compass Chariot</t>
        </is>
      </c>
      <c r="B62" s="14" t="inlineStr">
        <is>
          <t>SSS</t>
        </is>
      </c>
      <c r="C62" s="14" t="inlineStr">
        <is>
          <t>TECH</t>
        </is>
      </c>
      <c r="D62" s="15" t="n">
        <v>107</v>
      </c>
      <c r="E62" s="15" t="inlineStr">
        <is>
          <t>Fire DMG +60</t>
        </is>
      </c>
      <c r="F62" s="15" t="inlineStr">
        <is>
          <t>ATK +9%</t>
        </is>
      </c>
      <c r="G62" s="14" t="inlineStr">
        <is>
          <t>Hero DMG +6%</t>
        </is>
      </c>
      <c r="H62" s="16" t="n"/>
      <c r="I62" s="16" t="n">
        <v>9</v>
      </c>
      <c r="J62" s="16" t="n"/>
      <c r="K62" s="16" t="n"/>
      <c r="L62" s="16" t="n"/>
      <c r="M62" s="16" t="n"/>
      <c r="N62" s="16" t="n"/>
      <c r="O62" s="16" t="n"/>
      <c r="P62" s="16" t="n">
        <v>6</v>
      </c>
      <c r="Q62" s="16" t="n">
        <v>60</v>
      </c>
      <c r="R62" s="16" t="n"/>
      <c r="S62" s="22" t="inlineStr">
        <is>
          <t>Wish Box Relic Album #??</t>
        </is>
      </c>
    </row>
    <row r="63">
      <c r="A63" s="14" t="inlineStr">
        <is>
          <t>Photon Rocket Engine</t>
        </is>
      </c>
      <c r="B63" s="14" t="inlineStr">
        <is>
          <t>SSS</t>
        </is>
      </c>
      <c r="C63" s="14" t="inlineStr">
        <is>
          <t>TECH</t>
        </is>
      </c>
      <c r="D63" s="15" t="n">
        <v>108</v>
      </c>
      <c r="E63" s="15" t="inlineStr">
        <is>
          <t>TECH +15</t>
        </is>
      </c>
      <c r="F63" s="15" t="inlineStr">
        <is>
          <t>CRIT +9%</t>
        </is>
      </c>
      <c r="G63" s="14" t="inlineStr">
        <is>
          <t>DEF +9%</t>
        </is>
      </c>
      <c r="H63" s="16" t="n"/>
      <c r="I63" s="16" t="n"/>
      <c r="J63" s="16" t="n"/>
      <c r="K63" s="16" t="n">
        <v>9</v>
      </c>
      <c r="L63" s="16" t="n">
        <v>9</v>
      </c>
      <c r="M63" s="16" t="n"/>
      <c r="N63" s="16" t="n"/>
      <c r="O63" s="16" t="n"/>
      <c r="P63" s="16" t="n"/>
      <c r="Q63" s="16" t="n"/>
      <c r="R63" s="16" t="n">
        <v>15</v>
      </c>
      <c r="S63" s="48" t="inlineStr">
        <is>
          <t>Lottery Machine No.3 (?%)</t>
        </is>
      </c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Y64" s="11" t="n"/>
      <c r="Z64" s="11" t="inlineStr">
        <is>
          <t>Base</t>
        </is>
      </c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Y65" s="11" t="inlineStr">
        <is>
          <t>Troop:</t>
        </is>
      </c>
      <c r="Z65" s="11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Y66" s="11" t="inlineStr">
        <is>
          <t>ATK</t>
        </is>
      </c>
      <c r="Z66" s="11" t="n">
        <v>977000</v>
      </c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Y67" s="11" t="inlineStr">
        <is>
          <t>RUSH</t>
        </is>
      </c>
      <c r="Z67" s="11" t="n">
        <v>1010000</v>
      </c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Y68" s="11" t="inlineStr">
        <is>
          <t>DMG%</t>
        </is>
      </c>
      <c r="Z68" s="11" t="n">
        <v>13</v>
      </c>
    </row>
    <row r="69">
      <c r="C69" s="49" t="inlineStr">
        <is>
          <t>Relic</t>
        </is>
      </c>
      <c r="D69" s="50" t="n"/>
      <c r="E69" s="51" t="inlineStr">
        <is>
          <t>Slot</t>
        </is>
      </c>
      <c r="F69" s="51" t="inlineStr">
        <is>
          <t>Stat</t>
        </is>
      </c>
      <c r="G69" s="51">
        <f>D41</f>
        <v/>
      </c>
      <c r="H69" s="52" t="inlineStr">
        <is>
          <t>HP</t>
        </is>
      </c>
      <c r="I69" s="52" t="inlineStr">
        <is>
          <t>ATK</t>
        </is>
      </c>
      <c r="J69" s="52" t="inlineStr">
        <is>
          <t>RUSH</t>
        </is>
      </c>
      <c r="K69" s="52" t="inlineStr">
        <is>
          <t>DEF</t>
        </is>
      </c>
      <c r="L69" s="52" t="inlineStr">
        <is>
          <t>CRIT</t>
        </is>
      </c>
      <c r="M69" s="52" t="inlineStr">
        <is>
          <t>CRIT DMG</t>
        </is>
      </c>
      <c r="N69" s="52" t="inlineStr">
        <is>
          <t>DMG</t>
        </is>
      </c>
      <c r="O69" s="52" t="inlineStr">
        <is>
          <t>DMG Reduc</t>
        </is>
      </c>
      <c r="P69" s="52" t="inlineStr">
        <is>
          <t>Hero DMG</t>
        </is>
      </c>
      <c r="Q69" s="52" t="inlineStr">
        <is>
          <t>ELMT DMG</t>
        </is>
      </c>
      <c r="R69" s="52" t="inlineStr">
        <is>
          <t>Alternatives</t>
        </is>
      </c>
      <c r="S69" s="28" t="n"/>
      <c r="U69" s="16" t="n"/>
      <c r="V69" s="16" t="inlineStr">
        <is>
          <t>Boosted</t>
        </is>
      </c>
      <c r="W69" s="16" t="inlineStr">
        <is>
          <t>Damage</t>
        </is>
      </c>
      <c r="Y69" s="11" t="inlineStr">
        <is>
          <t>CRIT%</t>
        </is>
      </c>
      <c r="Z69" s="11" t="n">
        <v>14</v>
      </c>
    </row>
    <row r="70">
      <c r="C70" s="29">
        <f>A44</f>
        <v/>
      </c>
      <c r="D70" s="30" t="n"/>
      <c r="E70" s="31" t="inlineStr">
        <is>
          <t>FAME</t>
        </is>
      </c>
      <c r="F70" s="31" t="inlineStr">
        <is>
          <t>HARD</t>
        </is>
      </c>
      <c r="G70" s="32">
        <f>VLOOKUP($C70,$A$43:$R$63,4,FALSE)+VLOOKUP($C70,$A$43:$R$63,18,FALSE)</f>
        <v/>
      </c>
      <c r="H70" s="33">
        <f>VLOOKUP($C70,$A$43:$R$63,8,FALSE)+VLOOKUP($G70,$Y$2:$AA$50,2)</f>
        <v/>
      </c>
      <c r="I70" s="33">
        <f>VLOOKUP($C70,$A$43:$R$63,9,FALSE)+VLOOKUP($G70,$Y$2:$AA$50,2)</f>
        <v/>
      </c>
      <c r="J70" s="33">
        <f>VLOOKUP($C70,$A$43:$R$63,10,FALSE)+VLOOKUP($G70,$Y$2:$AA$50,2)</f>
        <v/>
      </c>
      <c r="K70" s="33">
        <f>VLOOKUP($C70,$A$43:$R$63,11,FALSE)+VLOOKUP($G70,$Y$2:$AA$50,2)</f>
        <v/>
      </c>
      <c r="L70" s="33">
        <f>VLOOKUP($C70,$A$43:$R$63,12,FALSE)</f>
        <v/>
      </c>
      <c r="M70" s="33">
        <f>VLOOKUP($C70,$A$43:$R$63,13,FALSE)</f>
        <v/>
      </c>
      <c r="N70" s="33">
        <f>VLOOKUP($C70,$A$43:$R$63,14,FALSE)</f>
        <v/>
      </c>
      <c r="O70" s="33">
        <f>VLOOKUP($C70,$A$43:$R$63,15,FALSE)</f>
        <v/>
      </c>
      <c r="P70" s="33">
        <f>VLOOKUP($C70,$A$43:$R$63,16,FALSE)</f>
        <v/>
      </c>
      <c r="Q70" s="33">
        <f>VLOOKUP($C70,$A$43:$R$63,17,FALSE)</f>
        <v/>
      </c>
      <c r="R70" s="34">
        <f>A45</f>
        <v/>
      </c>
      <c r="S70" s="28" t="n"/>
      <c r="U70" s="16" t="inlineStr">
        <is>
          <t>Troop:</t>
        </is>
      </c>
      <c r="V70" s="16" t="n"/>
      <c r="W70" s="16" t="n"/>
      <c r="Y70" s="11" t="inlineStr">
        <is>
          <t>CRIT DMG%</t>
        </is>
      </c>
      <c r="Z70" s="11" t="n">
        <v>0</v>
      </c>
    </row>
    <row r="71">
      <c r="C71" s="53">
        <f>A48</f>
        <v/>
      </c>
      <c r="D71" s="54" t="n"/>
      <c r="E71" s="55" t="inlineStr">
        <is>
          <t>ART</t>
        </is>
      </c>
      <c r="F71" s="55" t="inlineStr">
        <is>
          <t>HP</t>
        </is>
      </c>
      <c r="G71" s="56">
        <f>VLOOKUP($C71,$A$43:$R$63,4,FALSE)+VLOOKUP($C71,$A$43:$R$63,18,FALSE)</f>
        <v/>
      </c>
      <c r="H71" s="57">
        <f>VLOOKUP($C71,$A$43:$R$63,8,FALSE)+VLOOKUP($G71,$Y$2:$AA$50,3)</f>
        <v/>
      </c>
      <c r="I71" s="57">
        <f>VLOOKUP($C71,$A$43:$R$63,9,FALSE)</f>
        <v/>
      </c>
      <c r="J71" s="57">
        <f>VLOOKUP($C71,$A$43:$R$63,10,FALSE)</f>
        <v/>
      </c>
      <c r="K71" s="57">
        <f>VLOOKUP($C71,$A$43:$R$63,11,FALSE)</f>
        <v/>
      </c>
      <c r="L71" s="57">
        <f>VLOOKUP($C71,$A$43:$R$63,12,FALSE)</f>
        <v/>
      </c>
      <c r="M71" s="57">
        <f>VLOOKUP($C71,$A$43:$R$63,13,FALSE)</f>
        <v/>
      </c>
      <c r="N71" s="57">
        <f>VLOOKUP($C71,$A$43:$R$63,14,FALSE)</f>
        <v/>
      </c>
      <c r="O71" s="57">
        <f>VLOOKUP($C71,$A$43:$R$63,15,FALSE)</f>
        <v/>
      </c>
      <c r="P71" s="57">
        <f>VLOOKUP($C71,$A$43:$R$63,16,FALSE)</f>
        <v/>
      </c>
      <c r="Q71" s="57">
        <f>VLOOKUP($C71,$A$43:$R$63,17,FALSE)</f>
        <v/>
      </c>
      <c r="R71" s="58">
        <f>A48</f>
        <v/>
      </c>
      <c r="S71" s="28" t="n"/>
      <c r="U71" s="16" t="inlineStr">
        <is>
          <t>ATK</t>
        </is>
      </c>
      <c r="V71" s="16">
        <f>$Z$66*(1+I75/100)</f>
        <v/>
      </c>
      <c r="W71" s="16">
        <f>((V71-$Z$73)*(V73+P75/100)*((V74/100)*V75 + (1-V74/100)*1)) + LOG(V71,5)*Q75*(V73+P75/100)</f>
        <v/>
      </c>
      <c r="Y71" s="11" t="n"/>
      <c r="Z71" s="11" t="n"/>
    </row>
    <row r="72">
      <c r="C72" s="29">
        <f>A55</f>
        <v/>
      </c>
      <c r="D72" s="30" t="n"/>
      <c r="E72" s="31" t="inlineStr">
        <is>
          <t>FTH</t>
        </is>
      </c>
      <c r="F72" s="31" t="inlineStr">
        <is>
          <t>RUSH</t>
        </is>
      </c>
      <c r="G72" s="32">
        <f>VLOOKUP($C72,$A$43:$R$63,4,FALSE)+VLOOKUP($C72,$A$43:$R$63,18,FALSE)</f>
        <v/>
      </c>
      <c r="H72" s="33">
        <f>VLOOKUP($C72,$A$43:$R$63,8,FALSE)</f>
        <v/>
      </c>
      <c r="I72" s="33">
        <f>VLOOKUP($C72,$A$43:$R$63,9,FALSE)</f>
        <v/>
      </c>
      <c r="J72" s="33">
        <f>VLOOKUP($C72,$A$43:$R$63,10,FALSE)+VLOOKUP(G72,$Y$2:$AA$50,3)</f>
        <v/>
      </c>
      <c r="K72" s="33">
        <f>VLOOKUP($C72,$A$43:$R$63,11,FALSE)</f>
        <v/>
      </c>
      <c r="L72" s="33">
        <f>VLOOKUP($C72,$A$43:$R$63,12,FALSE)</f>
        <v/>
      </c>
      <c r="M72" s="33">
        <f>VLOOKUP($C72,$A$43:$R$63,13,FALSE)</f>
        <v/>
      </c>
      <c r="N72" s="33">
        <f>VLOOKUP($C72,$A$43:$R$63,14,FALSE)</f>
        <v/>
      </c>
      <c r="O72" s="33">
        <f>VLOOKUP($C72,$A$43:$R$63,15,FALSE)</f>
        <v/>
      </c>
      <c r="P72" s="33">
        <f>VLOOKUP($C72,$A$43:$R$63,16,FALSE)</f>
        <v/>
      </c>
      <c r="Q72" s="33">
        <f>VLOOKUP($C72,$A$43:$R$63,17,FALSE)</f>
        <v/>
      </c>
      <c r="R72" s="34">
        <f>A52</f>
        <v/>
      </c>
      <c r="S72" s="28" t="n"/>
      <c r="U72" s="16" t="inlineStr">
        <is>
          <t>RUSH</t>
        </is>
      </c>
      <c r="V72" s="16">
        <f>$Z$67*(1+J75/100)</f>
        <v/>
      </c>
      <c r="W72" s="16">
        <f>(V72-$Z$73)*(V73+P75/100)*((V74/100)*V75 + (1-V74/100)*1) + LOG(V72,5)*Q75*(V73+P75/100)</f>
        <v/>
      </c>
      <c r="Y72" s="11" t="inlineStr">
        <is>
          <t>Enemy:</t>
        </is>
      </c>
      <c r="Z72" s="11" t="n"/>
    </row>
    <row r="73">
      <c r="C73" s="53">
        <f>A56</f>
        <v/>
      </c>
      <c r="D73" s="54" t="n"/>
      <c r="E73" s="55" t="inlineStr">
        <is>
          <t>CIV</t>
        </is>
      </c>
      <c r="F73" s="55" t="inlineStr">
        <is>
          <t>ATK</t>
        </is>
      </c>
      <c r="G73" s="56">
        <f>VLOOKUP($C73,$A$43:$R$63,4,FALSE)+VLOOKUP($C73,$A$43:$R$63,18,FALSE)</f>
        <v/>
      </c>
      <c r="H73" s="57">
        <f>VLOOKUP($C73,$A$43:$R$63,8,FALSE)</f>
        <v/>
      </c>
      <c r="I73" s="57">
        <f>VLOOKUP($C73,$A$43:$R$63,9,FALSE)+VLOOKUP(G73,$Y$2:$AA$50,3)</f>
        <v/>
      </c>
      <c r="J73" s="57">
        <f>VLOOKUP($C73,$A$43:$R$63,10,FALSE)</f>
        <v/>
      </c>
      <c r="K73" s="57">
        <f>VLOOKUP($C73,$A$43:$R$63,11,FALSE)</f>
        <v/>
      </c>
      <c r="L73" s="57">
        <f>VLOOKUP($C73,$A$43:$R$63,12,FALSE)</f>
        <v/>
      </c>
      <c r="M73" s="57">
        <f>VLOOKUP($C73,$A$43:$R$63,13,FALSE)</f>
        <v/>
      </c>
      <c r="N73" s="57">
        <f>VLOOKUP($C73,$A$43:$R$63,14,FALSE)</f>
        <v/>
      </c>
      <c r="O73" s="57">
        <f>VLOOKUP($C73,$A$43:$R$63,15,FALSE)</f>
        <v/>
      </c>
      <c r="P73" s="57">
        <f>VLOOKUP($C73,$A$43:$R$63,16,FALSE)</f>
        <v/>
      </c>
      <c r="Q73" s="57">
        <f>VLOOKUP($C73,$A$43:$R$63,17,FALSE)</f>
        <v/>
      </c>
      <c r="R73" s="58">
        <f>A58</f>
        <v/>
      </c>
      <c r="S73" s="28" t="n"/>
      <c r="U73" s="16" t="inlineStr">
        <is>
          <t>DMG%</t>
        </is>
      </c>
      <c r="V73" s="16">
        <f>(1+($Z$68+N75)/100)</f>
        <v/>
      </c>
      <c r="W73" s="16" t="n"/>
      <c r="Y73" s="11" t="inlineStr">
        <is>
          <t>DEF</t>
        </is>
      </c>
      <c r="Z73" s="11" t="n">
        <v>764000</v>
      </c>
    </row>
    <row r="74">
      <c r="C74" s="29">
        <f>A61</f>
        <v/>
      </c>
      <c r="D74" s="30" t="n"/>
      <c r="E74" s="31" t="inlineStr">
        <is>
          <t>TECH</t>
        </is>
      </c>
      <c r="F74" s="31" t="inlineStr">
        <is>
          <t>DEF</t>
        </is>
      </c>
      <c r="G74" s="32">
        <f>VLOOKUP($C74,$A$43:$R$63,4,FALSE)+VLOOKUP($C74,$A$43:$R$63,18,FALSE)</f>
        <v/>
      </c>
      <c r="H74" s="33">
        <f>VLOOKUP($C74,$A$43:$R$63,8,FALSE)</f>
        <v/>
      </c>
      <c r="I74" s="33">
        <f>VLOOKUP($C74,$A$43:$R$63,9,FALSE)</f>
        <v/>
      </c>
      <c r="J74" s="33">
        <f>VLOOKUP($C74,$A$43:$R$63,10,FALSE)</f>
        <v/>
      </c>
      <c r="K74" s="33">
        <f>VLOOKUP($C74,$A$43:$R$63,11,FALSE)+VLOOKUP(G74,$Y$2:$AA$50,3)</f>
        <v/>
      </c>
      <c r="L74" s="33">
        <f>VLOOKUP($C74,$A$43:$R$63,12,FALSE)</f>
        <v/>
      </c>
      <c r="M74" s="33">
        <f>VLOOKUP($C74,$A$43:$R$63,13,FALSE)</f>
        <v/>
      </c>
      <c r="N74" s="33">
        <f>VLOOKUP($C74,$A$43:$R$63,14,FALSE)</f>
        <v/>
      </c>
      <c r="O74" s="33">
        <f>VLOOKUP($C74,$A$43:$R$63,15,FALSE)</f>
        <v/>
      </c>
      <c r="P74" s="33">
        <f>VLOOKUP($C74,$A$43:$R$63,16,FALSE)</f>
        <v/>
      </c>
      <c r="Q74" s="33">
        <f>VLOOKUP($C74,$A$43:$R$63,17,FALSE)</f>
        <v/>
      </c>
      <c r="R74" s="34" t="inlineStr">
        <is>
          <t>The Prince</t>
        </is>
      </c>
      <c r="S74" s="28" t="n"/>
      <c r="U74" s="16" t="inlineStr">
        <is>
          <t>CRIT%</t>
        </is>
      </c>
      <c r="V74" s="16">
        <f>$Z$69+L75</f>
        <v/>
      </c>
      <c r="W74" s="16" t="n"/>
    </row>
    <row r="75">
      <c r="C75" s="59" t="inlineStr">
        <is>
          <t>Total</t>
        </is>
      </c>
      <c r="D75" s="54" t="n"/>
      <c r="E75" s="55" t="n"/>
      <c r="F75" s="55" t="n"/>
      <c r="G75" s="60" t="n"/>
      <c r="H75" s="57">
        <f>sum(H70:H74)</f>
        <v/>
      </c>
      <c r="I75" s="57">
        <f>sum(I70:I74)</f>
        <v/>
      </c>
      <c r="J75" s="57">
        <f>sum(J70:J74)</f>
        <v/>
      </c>
      <c r="K75" s="57">
        <f>sum(K70:K74)</f>
        <v/>
      </c>
      <c r="L75" s="57">
        <f>sum(L70:L74)</f>
        <v/>
      </c>
      <c r="M75" s="57">
        <f>sum(M70:M74)</f>
        <v/>
      </c>
      <c r="N75" s="57">
        <f>sum(N70:N74)</f>
        <v/>
      </c>
      <c r="O75" s="57">
        <f>sum(O70:O74)</f>
        <v/>
      </c>
      <c r="P75" s="57">
        <f>sum(P70:P74)</f>
        <v/>
      </c>
      <c r="Q75" s="57">
        <f>sum(Q70:Q74)</f>
        <v/>
      </c>
      <c r="R75" s="58" t="n"/>
      <c r="S75" s="28" t="n"/>
      <c r="U75" s="16" t="inlineStr">
        <is>
          <t>CRIT DMG%</t>
        </is>
      </c>
      <c r="V75" s="16">
        <f>1.5+($Z$70+M75)/100</f>
        <v/>
      </c>
      <c r="W75" s="16" t="n"/>
    </row>
    <row r="76">
      <c r="C76" s="43" t="inlineStr">
        <is>
          <t>Damage Per Round</t>
        </is>
      </c>
      <c r="D76" s="30" t="n"/>
      <c r="E76" s="44">
        <f>W71+W72</f>
        <v/>
      </c>
      <c r="F76" s="45" t="n"/>
      <c r="G76" s="46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</row>
    <row r="77">
      <c r="C77" s="61" t="n"/>
      <c r="D77" s="62" t="n"/>
      <c r="E77" s="63" t="n"/>
      <c r="F77" s="63" t="n"/>
      <c r="G77" s="56" t="n"/>
      <c r="H77" s="64" t="n">
        <v>16.4</v>
      </c>
      <c r="I77" s="64" t="n">
        <v>13.3</v>
      </c>
      <c r="J77" s="64" t="n">
        <v>37.4</v>
      </c>
      <c r="K77" s="64" t="n">
        <v>15.7</v>
      </c>
      <c r="L77" s="64" t="n"/>
      <c r="M77" s="64" t="n"/>
      <c r="N77" s="64" t="n"/>
      <c r="O77" s="64" t="n"/>
      <c r="P77" s="64" t="n"/>
      <c r="Q77" s="64" t="n"/>
      <c r="R77" s="64" t="n"/>
      <c r="S77" s="64" t="n"/>
    </row>
    <row r="78"/>
    <row r="79">
      <c r="A79" s="1" t="inlineStr">
        <is>
          <t>Surf Clam</t>
        </is>
      </c>
      <c r="B79" s="2" t="n"/>
      <c r="C79" s="2" t="n"/>
      <c r="D79" s="3" t="inlineStr">
        <is>
          <t>Main AFFCT</t>
        </is>
      </c>
      <c r="E79" s="3" t="inlineStr">
        <is>
          <t>Stamp 1</t>
        </is>
      </c>
      <c r="F79" s="3" t="inlineStr">
        <is>
          <t>Stamp 2</t>
        </is>
      </c>
      <c r="G79" s="3" t="inlineStr">
        <is>
          <t>Stamp 3</t>
        </is>
      </c>
      <c r="H79" s="4" t="inlineStr">
        <is>
          <t>HP</t>
        </is>
      </c>
      <c r="I79" s="4" t="inlineStr">
        <is>
          <t>ATK</t>
        </is>
      </c>
      <c r="J79" s="4" t="inlineStr">
        <is>
          <t>RUSH</t>
        </is>
      </c>
      <c r="K79" s="4" t="inlineStr">
        <is>
          <t>DEF</t>
        </is>
      </c>
      <c r="L79" s="4" t="inlineStr">
        <is>
          <t>CRIT</t>
        </is>
      </c>
      <c r="M79" s="4" t="inlineStr">
        <is>
          <t>CRIT DMG</t>
        </is>
      </c>
      <c r="N79" s="4" t="inlineStr">
        <is>
          <t>DMG</t>
        </is>
      </c>
      <c r="O79" s="4" t="inlineStr">
        <is>
          <t>DMG Reduc</t>
        </is>
      </c>
      <c r="P79" s="4" t="inlineStr">
        <is>
          <t>Hero DMG</t>
        </is>
      </c>
      <c r="Q79" s="4" t="inlineStr">
        <is>
          <t>ELMT DMG</t>
        </is>
      </c>
      <c r="R79" s="4" t="inlineStr">
        <is>
          <t>AFFCT</t>
        </is>
      </c>
      <c r="S79" s="5" t="inlineStr">
        <is>
          <t>Source</t>
        </is>
      </c>
    </row>
    <row r="80">
      <c r="A80" s="8" t="inlineStr">
        <is>
          <t>INDIVIDUAL RELICS</t>
        </is>
      </c>
      <c r="B80" s="9" t="n"/>
      <c r="C80" s="9" t="n"/>
      <c r="D80" s="9" t="n"/>
      <c r="E80" s="9" t="n"/>
      <c r="F80" s="9" t="n"/>
      <c r="G80" s="9" t="n"/>
      <c r="S80" s="10" t="n"/>
    </row>
    <row r="81">
      <c r="A81" s="14" t="inlineStr">
        <is>
          <t>Potsdam Declaration</t>
        </is>
      </c>
      <c r="B81" s="14" t="inlineStr">
        <is>
          <t>SSS</t>
        </is>
      </c>
      <c r="C81" s="14" t="inlineStr">
        <is>
          <t>FAME</t>
        </is>
      </c>
      <c r="D81" s="15" t="n">
        <v>108</v>
      </c>
      <c r="E81" s="15" t="inlineStr">
        <is>
          <t>CRIT +9%</t>
        </is>
      </c>
      <c r="F81" s="14" t="inlineStr">
        <is>
          <t>Crit DMG +9%</t>
        </is>
      </c>
      <c r="G81" s="14" t="inlineStr">
        <is>
          <t>Hero DMG +6%</t>
        </is>
      </c>
      <c r="H81" s="16" t="n"/>
      <c r="I81" s="16" t="n"/>
      <c r="J81" s="16" t="n"/>
      <c r="K81" s="16" t="n"/>
      <c r="L81" s="16" t="n">
        <v>9</v>
      </c>
      <c r="M81" s="16" t="n">
        <v>9</v>
      </c>
      <c r="N81" s="16" t="n"/>
      <c r="O81" s="16" t="n"/>
      <c r="P81" s="16" t="n">
        <v>6</v>
      </c>
      <c r="Q81" s="16" t="n"/>
      <c r="R81" s="16" t="n"/>
      <c r="S81" s="10" t="inlineStr">
        <is>
          <t>Daily Gold Pack #4</t>
        </is>
      </c>
    </row>
    <row r="82">
      <c r="A82" s="19" t="inlineStr">
        <is>
          <t>The Prince</t>
        </is>
      </c>
      <c r="B82" s="19" t="inlineStr">
        <is>
          <t>SSS</t>
        </is>
      </c>
      <c r="C82" s="19" t="inlineStr">
        <is>
          <t>FAME</t>
        </is>
      </c>
      <c r="D82" s="20" t="n">
        <v>106</v>
      </c>
      <c r="E82" s="20" t="inlineStr">
        <is>
          <t>ATK +6%</t>
        </is>
      </c>
      <c r="F82" s="19" t="inlineStr">
        <is>
          <t>FAME +15</t>
        </is>
      </c>
      <c r="G82" s="19" t="inlineStr">
        <is>
          <t>CRIT DMG +6%</t>
        </is>
      </c>
      <c r="H82" s="21" t="n"/>
      <c r="I82" s="19" t="n">
        <v>6</v>
      </c>
      <c r="J82" s="19" t="n"/>
      <c r="K82" s="19" t="n"/>
      <c r="L82" s="19" t="n"/>
      <c r="M82" s="19" t="n">
        <v>6</v>
      </c>
      <c r="N82" s="19" t="n"/>
      <c r="O82" s="19" t="n"/>
      <c r="P82" s="19" t="n"/>
      <c r="Q82" s="19" t="n"/>
      <c r="R82" s="19" t="n">
        <v>15</v>
      </c>
      <c r="S82" s="10" t="inlineStr">
        <is>
          <t>Lottery Machine No. 2 (0.11%)</t>
        </is>
      </c>
    </row>
    <row r="83">
      <c r="A83" s="14" t="inlineStr">
        <is>
          <t>Cross of Lorraine</t>
        </is>
      </c>
      <c r="B83" s="14" t="inlineStr">
        <is>
          <t>SS</t>
        </is>
      </c>
      <c r="C83" s="14" t="inlineStr">
        <is>
          <t>FAME</t>
        </is>
      </c>
      <c r="D83" s="15" t="n">
        <v>104</v>
      </c>
      <c r="E83" s="15" t="inlineStr">
        <is>
          <t>FAME +15</t>
        </is>
      </c>
      <c r="F83" s="15" t="inlineStr">
        <is>
          <t>ATK +6%</t>
        </is>
      </c>
      <c r="G83" s="14" t="n"/>
      <c r="H83" s="11" t="n"/>
      <c r="I83" s="14" t="n">
        <v>6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>
        <v>15</v>
      </c>
      <c r="S83" s="10" t="inlineStr">
        <is>
          <t>Lottery Machine No. 2 (?%)</t>
        </is>
      </c>
    </row>
    <row r="84">
      <c r="A84" s="14" t="inlineStr">
        <is>
          <t>Louis XIV Portrait</t>
        </is>
      </c>
      <c r="B84" s="14" t="inlineStr">
        <is>
          <t>SSS</t>
        </is>
      </c>
      <c r="C84" s="14" t="inlineStr">
        <is>
          <t>ART</t>
        </is>
      </c>
      <c r="D84" s="15" t="n">
        <v>107</v>
      </c>
      <c r="E84" s="15" t="inlineStr">
        <is>
          <t>HP +9%</t>
        </is>
      </c>
      <c r="F84" s="14" t="inlineStr">
        <is>
          <t>CRIT +9%</t>
        </is>
      </c>
      <c r="G84" s="14" t="inlineStr">
        <is>
          <t>ART +15</t>
        </is>
      </c>
      <c r="H84" s="16" t="n">
        <v>9</v>
      </c>
      <c r="I84" s="16" t="n"/>
      <c r="J84" s="16" t="n"/>
      <c r="K84" s="16" t="n"/>
      <c r="L84" s="16" t="n">
        <v>9</v>
      </c>
      <c r="M84" s="16" t="n"/>
      <c r="N84" s="16" t="n"/>
      <c r="O84" s="16" t="n"/>
      <c r="P84" s="16" t="n"/>
      <c r="Q84" s="16" t="n"/>
      <c r="R84" s="16" t="n">
        <v>15</v>
      </c>
      <c r="S84" s="22" t="inlineStr">
        <is>
          <t>Lottery Machine No.2 (?%)</t>
        </is>
      </c>
    </row>
    <row r="85">
      <c r="A85" s="14" t="inlineStr">
        <is>
          <t>Hunter in the Snow</t>
        </is>
      </c>
      <c r="B85" s="14" t="inlineStr">
        <is>
          <t>SSS</t>
        </is>
      </c>
      <c r="C85" s="14" t="inlineStr">
        <is>
          <t>ART</t>
        </is>
      </c>
      <c r="D85" s="15" t="n">
        <v>106</v>
      </c>
      <c r="E85" s="15" t="inlineStr">
        <is>
          <t>ART +15</t>
        </is>
      </c>
      <c r="F85" s="14" t="inlineStr">
        <is>
          <t>HP +9%</t>
        </is>
      </c>
      <c r="G85" s="14" t="inlineStr">
        <is>
          <t>All ELMT DMG +15</t>
        </is>
      </c>
      <c r="H85" s="16" t="n">
        <v>9</v>
      </c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>
        <v>75</v>
      </c>
      <c r="R85" s="16" t="n">
        <v>15</v>
      </c>
      <c r="S85" s="22" t="inlineStr">
        <is>
          <t>Lottery Machine No.3 (?%)</t>
        </is>
      </c>
    </row>
    <row r="86">
      <c r="A86" s="14" t="inlineStr">
        <is>
          <t>Woman at Her Toilette</t>
        </is>
      </c>
      <c r="B86" s="14" t="inlineStr">
        <is>
          <t>SSS</t>
        </is>
      </c>
      <c r="C86" s="14" t="inlineStr">
        <is>
          <t>ART</t>
        </is>
      </c>
      <c r="D86" s="15" t="n">
        <v>109</v>
      </c>
      <c r="E86" s="15" t="inlineStr">
        <is>
          <t>ATK +6%</t>
        </is>
      </c>
      <c r="F86" s="14" t="inlineStr">
        <is>
          <t>RUSH +6%</t>
        </is>
      </c>
      <c r="G86" s="14" t="inlineStr">
        <is>
          <t>ART +15</t>
        </is>
      </c>
      <c r="H86" s="16" t="n"/>
      <c r="I86" s="16" t="n">
        <v>6</v>
      </c>
      <c r="J86" s="16" t="n">
        <v>6</v>
      </c>
      <c r="K86" s="16" t="n"/>
      <c r="L86" s="16" t="n"/>
      <c r="M86" s="16" t="n"/>
      <c r="N86" s="16" t="n"/>
      <c r="O86" s="16" t="n"/>
      <c r="P86" s="16" t="n"/>
      <c r="Q86" s="16" t="n"/>
      <c r="R86" s="16" t="n">
        <v>15</v>
      </c>
      <c r="S86" s="10" t="inlineStr">
        <is>
          <t>Minion Skin Lottery</t>
        </is>
      </c>
    </row>
    <row r="87">
      <c r="A87" s="14" t="inlineStr">
        <is>
          <t>Seated Voltaire</t>
        </is>
      </c>
      <c r="B87" s="14" t="inlineStr">
        <is>
          <t>SSS</t>
        </is>
      </c>
      <c r="C87" s="14" t="inlineStr">
        <is>
          <t>ART</t>
        </is>
      </c>
      <c r="D87" s="15" t="n">
        <v>106</v>
      </c>
      <c r="E87" s="15" t="inlineStr">
        <is>
          <t>DEF +6%</t>
        </is>
      </c>
      <c r="F87" s="14" t="inlineStr">
        <is>
          <t>ART +15</t>
        </is>
      </c>
      <c r="G87" s="14" t="inlineStr">
        <is>
          <t>Wind DMG +30</t>
        </is>
      </c>
      <c r="H87" s="11" t="n"/>
      <c r="I87" s="14" t="n"/>
      <c r="J87" s="14" t="n"/>
      <c r="K87" s="14" t="n">
        <v>6</v>
      </c>
      <c r="L87" s="14" t="n"/>
      <c r="M87" s="14" t="n"/>
      <c r="N87" s="14" t="n"/>
      <c r="O87" s="14" t="n"/>
      <c r="P87" s="14" t="n"/>
      <c r="Q87" s="14" t="n">
        <v>30</v>
      </c>
      <c r="R87" s="14" t="n">
        <v>15</v>
      </c>
      <c r="S87" s="10" t="inlineStr">
        <is>
          <t>Wish Box Relic Album #1</t>
        </is>
      </c>
    </row>
    <row r="88">
      <c r="A88" s="14" t="inlineStr">
        <is>
          <t>Head of Bhairava</t>
        </is>
      </c>
      <c r="B88" s="14" t="inlineStr">
        <is>
          <t>SSS</t>
        </is>
      </c>
      <c r="C88" s="14" t="inlineStr">
        <is>
          <t>FTH</t>
        </is>
      </c>
      <c r="D88" s="15" t="n">
        <v>107</v>
      </c>
      <c r="E88" s="15" t="inlineStr">
        <is>
          <t>FTH +15</t>
        </is>
      </c>
      <c r="F88" s="14" t="inlineStr">
        <is>
          <t>CRIT DMG +9%</t>
        </is>
      </c>
      <c r="G88" s="14" t="inlineStr">
        <is>
          <t>ATK +9%</t>
        </is>
      </c>
      <c r="H88" s="16" t="n"/>
      <c r="I88" s="16" t="n">
        <v>9</v>
      </c>
      <c r="J88" s="16" t="n"/>
      <c r="K88" s="16" t="n"/>
      <c r="L88" s="16" t="n"/>
      <c r="M88" s="16" t="n">
        <v>9</v>
      </c>
      <c r="N88" s="16" t="n"/>
      <c r="O88" s="16" t="n"/>
      <c r="P88" s="16" t="n"/>
      <c r="Q88" s="16" t="n"/>
      <c r="R88" s="16" t="n">
        <v>15</v>
      </c>
      <c r="S88" s="17" t="inlineStr">
        <is>
          <t>Daily Pack #17</t>
        </is>
      </c>
    </row>
    <row r="89">
      <c r="A89" s="14" t="inlineStr">
        <is>
          <t>Washington Portrait</t>
        </is>
      </c>
      <c r="B89" s="14" t="inlineStr">
        <is>
          <t>SSS</t>
        </is>
      </c>
      <c r="C89" s="14" t="inlineStr">
        <is>
          <t>FTH</t>
        </is>
      </c>
      <c r="D89" s="15" t="n">
        <v>108</v>
      </c>
      <c r="E89" s="15" t="inlineStr">
        <is>
          <t>FTH +15</t>
        </is>
      </c>
      <c r="F89" s="14" t="inlineStr">
        <is>
          <t>DMG REDUC +6%</t>
        </is>
      </c>
      <c r="G89" s="14" t="inlineStr">
        <is>
          <t>HP +9%</t>
        </is>
      </c>
      <c r="H89" s="16" t="n">
        <v>9</v>
      </c>
      <c r="I89" s="16" t="n"/>
      <c r="J89" s="16" t="n"/>
      <c r="K89" s="16" t="n"/>
      <c r="L89" s="16" t="n"/>
      <c r="M89" s="16" t="n"/>
      <c r="N89" s="16" t="n"/>
      <c r="O89" s="16" t="n">
        <v>6</v>
      </c>
      <c r="P89" s="16" t="n"/>
      <c r="Q89" s="16" t="n"/>
      <c r="R89" s="16" t="n">
        <v>15</v>
      </c>
      <c r="S89" s="22" t="inlineStr">
        <is>
          <t>Unknown</t>
        </is>
      </c>
    </row>
    <row r="90">
      <c r="A90" s="14" t="inlineStr">
        <is>
          <t>Enuma Elish</t>
        </is>
      </c>
      <c r="B90" s="14" t="inlineStr">
        <is>
          <t>SSS</t>
        </is>
      </c>
      <c r="C90" s="14" t="inlineStr">
        <is>
          <t>FTH</t>
        </is>
      </c>
      <c r="D90" s="15" t="n">
        <v>107</v>
      </c>
      <c r="E90" s="15" t="inlineStr">
        <is>
          <t>FTH +15</t>
        </is>
      </c>
      <c r="F90" s="14" t="inlineStr">
        <is>
          <t>ATK +6%</t>
        </is>
      </c>
      <c r="G90" s="14" t="inlineStr">
        <is>
          <t>RUSH +6%</t>
        </is>
      </c>
      <c r="H90" s="11" t="n"/>
      <c r="I90" s="14" t="n">
        <v>6</v>
      </c>
      <c r="J90" s="14" t="n">
        <v>6</v>
      </c>
      <c r="K90" s="14" t="n"/>
      <c r="L90" s="14" t="n"/>
      <c r="M90" s="14" t="n"/>
      <c r="N90" s="14" t="n"/>
      <c r="O90" s="14" t="n"/>
      <c r="P90" s="14" t="n"/>
      <c r="Q90" s="14" t="n"/>
      <c r="R90" s="14" t="n">
        <v>15</v>
      </c>
      <c r="S90" s="10" t="inlineStr">
        <is>
          <t>Lottery Machine No. 2 (0.11%)</t>
        </is>
      </c>
    </row>
    <row r="91">
      <c r="A91" s="14" t="inlineStr">
        <is>
          <t>Isabella I Portrait</t>
        </is>
      </c>
      <c r="B91" s="14" t="inlineStr">
        <is>
          <t>SSS</t>
        </is>
      </c>
      <c r="C91" s="14" t="inlineStr">
        <is>
          <t>CIV</t>
        </is>
      </c>
      <c r="D91" s="15" t="n">
        <v>107</v>
      </c>
      <c r="E91" s="15" t="inlineStr">
        <is>
          <t>CIV +15</t>
        </is>
      </c>
      <c r="F91" s="15" t="inlineStr">
        <is>
          <t>CRIT +9%</t>
        </is>
      </c>
      <c r="G91" s="14" t="inlineStr">
        <is>
          <t>CRIT DMG +9%</t>
        </is>
      </c>
      <c r="H91" s="16" t="n"/>
      <c r="I91" s="16" t="n"/>
      <c r="J91" s="16" t="n"/>
      <c r="K91" s="16" t="n"/>
      <c r="L91" s="16" t="n">
        <v>9</v>
      </c>
      <c r="M91" s="16" t="n">
        <v>9</v>
      </c>
      <c r="N91" s="16" t="n"/>
      <c r="O91" s="16" t="n"/>
      <c r="P91" s="16" t="n"/>
      <c r="Q91" s="16" t="n"/>
      <c r="R91" s="16" t="n">
        <v>15</v>
      </c>
      <c r="S91" s="22" t="inlineStr">
        <is>
          <t>Unknown</t>
        </is>
      </c>
    </row>
    <row r="92">
      <c r="A92" s="14" t="inlineStr">
        <is>
          <t>Four-goat Square Zun</t>
        </is>
      </c>
      <c r="B92" s="14" t="inlineStr">
        <is>
          <t>SSS</t>
        </is>
      </c>
      <c r="C92" s="14" t="inlineStr">
        <is>
          <t>CIV</t>
        </is>
      </c>
      <c r="D92" s="15" t="n">
        <v>108</v>
      </c>
      <c r="E92" s="15" t="inlineStr">
        <is>
          <t>CIV +15</t>
        </is>
      </c>
      <c r="F92" s="15" t="inlineStr">
        <is>
          <t>ATK +9%</t>
        </is>
      </c>
      <c r="G92" s="14" t="inlineStr">
        <is>
          <t>DEF +9%</t>
        </is>
      </c>
      <c r="H92" s="16" t="n"/>
      <c r="I92" s="16" t="n">
        <v>9</v>
      </c>
      <c r="J92" s="16" t="n"/>
      <c r="K92" s="16" t="n">
        <v>9</v>
      </c>
      <c r="L92" s="16" t="n"/>
      <c r="M92" s="16" t="n"/>
      <c r="N92" s="16" t="n"/>
      <c r="O92" s="16" t="n"/>
      <c r="P92" s="16" t="n"/>
      <c r="Q92" s="16" t="n"/>
      <c r="R92" s="16" t="n">
        <v>15</v>
      </c>
      <c r="S92" s="17" t="inlineStr">
        <is>
          <t>Lottery Machine No.3 (0.12%)</t>
        </is>
      </c>
    </row>
    <row r="93">
      <c r="A93" s="14" t="inlineStr">
        <is>
          <t>Crime and Punishment</t>
        </is>
      </c>
      <c r="B93" s="14" t="inlineStr">
        <is>
          <t>SSS</t>
        </is>
      </c>
      <c r="C93" s="14" t="inlineStr">
        <is>
          <t>CIV</t>
        </is>
      </c>
      <c r="D93" s="15" t="n">
        <v>106</v>
      </c>
      <c r="E93" s="15" t="inlineStr">
        <is>
          <t>ATK +9%</t>
        </is>
      </c>
      <c r="F93" s="15" t="inlineStr">
        <is>
          <t>DEF +9%</t>
        </is>
      </c>
      <c r="G93" s="14" t="inlineStr">
        <is>
          <t>CIV +15</t>
        </is>
      </c>
      <c r="H93" s="16" t="n"/>
      <c r="I93" s="16" t="n">
        <v>9</v>
      </c>
      <c r="J93" s="16" t="n"/>
      <c r="K93" s="16" t="n">
        <v>9</v>
      </c>
      <c r="L93" s="16" t="n"/>
      <c r="M93" s="16" t="n"/>
      <c r="N93" s="16" t="n"/>
      <c r="O93" s="16" t="n"/>
      <c r="P93" s="16" t="n"/>
      <c r="Q93" s="16" t="n"/>
      <c r="R93" s="16" t="n">
        <v>15</v>
      </c>
      <c r="S93" s="10" t="inlineStr">
        <is>
          <t>Lottery Machine No. 2 (0.11%)</t>
        </is>
      </c>
    </row>
    <row r="94">
      <c r="A94" s="14" t="inlineStr">
        <is>
          <t>Harem Wall Painting</t>
        </is>
      </c>
      <c r="B94" s="14" t="inlineStr">
        <is>
          <t>SS</t>
        </is>
      </c>
      <c r="C94" s="14" t="inlineStr">
        <is>
          <t>CIV</t>
        </is>
      </c>
      <c r="D94" s="15" t="n">
        <v>106</v>
      </c>
      <c r="E94" s="15" t="inlineStr">
        <is>
          <t>CIV +15</t>
        </is>
      </c>
      <c r="F94" s="15" t="inlineStr">
        <is>
          <t>RUSH +6%</t>
        </is>
      </c>
      <c r="G94" s="14" t="n"/>
      <c r="H94" s="11" t="n"/>
      <c r="I94" s="14" t="n"/>
      <c r="J94" s="14" t="n">
        <v>6</v>
      </c>
      <c r="K94" s="14" t="n"/>
      <c r="L94" s="14" t="n"/>
      <c r="M94" s="14" t="n"/>
      <c r="N94" s="14" t="n"/>
      <c r="O94" s="14" t="n"/>
      <c r="P94" s="14" t="n"/>
      <c r="Q94" s="14" t="n"/>
      <c r="R94" s="14" t="n">
        <v>15</v>
      </c>
      <c r="S94" s="10" t="inlineStr">
        <is>
          <t>Lottery Machine No. 2 (?%)</t>
        </is>
      </c>
    </row>
    <row r="95">
      <c r="A95" s="14" t="inlineStr">
        <is>
          <t>Volsunga Saga</t>
        </is>
      </c>
      <c r="B95" s="14" t="inlineStr">
        <is>
          <t>SSS</t>
        </is>
      </c>
      <c r="C95" s="14" t="inlineStr">
        <is>
          <t>CIV</t>
        </is>
      </c>
      <c r="D95" s="15" t="n">
        <v>109</v>
      </c>
      <c r="E95" s="15" t="inlineStr">
        <is>
          <t>CIV +15</t>
        </is>
      </c>
      <c r="F95" s="15" t="inlineStr">
        <is>
          <t>ATK +9%</t>
        </is>
      </c>
      <c r="G95" s="14" t="inlineStr">
        <is>
          <t>DEF +9%</t>
        </is>
      </c>
      <c r="H95" s="16" t="n"/>
      <c r="I95" s="16" t="n">
        <v>9</v>
      </c>
      <c r="J95" s="16" t="n"/>
      <c r="K95" s="16" t="n">
        <v>9</v>
      </c>
      <c r="L95" s="16" t="n"/>
      <c r="M95" s="16" t="n"/>
      <c r="N95" s="16" t="n"/>
      <c r="O95" s="16" t="n"/>
      <c r="P95" s="16" t="n"/>
      <c r="Q95" s="16" t="n"/>
      <c r="R95" s="16" t="n">
        <v>15</v>
      </c>
      <c r="S95" s="22" t="inlineStr">
        <is>
          <t>Gold Pack #6</t>
        </is>
      </c>
    </row>
    <row r="96">
      <c r="A96" s="14" t="inlineStr">
        <is>
          <t>The King in Yellow</t>
        </is>
      </c>
      <c r="B96" s="14" t="inlineStr">
        <is>
          <t>SSS</t>
        </is>
      </c>
      <c r="C96" s="14" t="inlineStr">
        <is>
          <t>TECH</t>
        </is>
      </c>
      <c r="D96" s="15" t="n">
        <v>109</v>
      </c>
      <c r="E96" s="15" t="inlineStr">
        <is>
          <t>TECH +15</t>
        </is>
      </c>
      <c r="F96" s="15" t="inlineStr">
        <is>
          <t>CRIT +9%</t>
        </is>
      </c>
      <c r="G96" s="14" t="inlineStr">
        <is>
          <t>CRIT DMG +9%</t>
        </is>
      </c>
      <c r="H96" s="16" t="n"/>
      <c r="I96" s="16" t="n"/>
      <c r="J96" s="16" t="n"/>
      <c r="K96" s="16" t="n"/>
      <c r="L96" s="16" t="n">
        <v>9</v>
      </c>
      <c r="M96" s="16" t="n">
        <v>9</v>
      </c>
      <c r="N96" s="16" t="n"/>
      <c r="O96" s="16" t="n"/>
      <c r="P96" s="16" t="n"/>
      <c r="Q96" s="16" t="n"/>
      <c r="R96" s="16" t="n">
        <v>15</v>
      </c>
      <c r="S96" s="22" t="inlineStr">
        <is>
          <t>Gold Pack #7</t>
        </is>
      </c>
    </row>
    <row r="97">
      <c r="A97" s="14" t="inlineStr">
        <is>
          <t>Black Body</t>
        </is>
      </c>
      <c r="B97" s="14" t="inlineStr">
        <is>
          <t>SSS</t>
        </is>
      </c>
      <c r="C97" s="14" t="inlineStr">
        <is>
          <t>TECH</t>
        </is>
      </c>
      <c r="D97" s="15" t="n">
        <v>108</v>
      </c>
      <c r="E97" s="15" t="inlineStr">
        <is>
          <t>TECH +15</t>
        </is>
      </c>
      <c r="F97" s="15" t="inlineStr">
        <is>
          <t>RUSH +9%</t>
        </is>
      </c>
      <c r="G97" s="14" t="inlineStr">
        <is>
          <t>CRIT DMG +9%</t>
        </is>
      </c>
      <c r="H97" s="16" t="n"/>
      <c r="I97" s="16" t="n"/>
      <c r="J97" s="16" t="n">
        <v>9</v>
      </c>
      <c r="K97" s="16" t="n"/>
      <c r="L97" s="16" t="n"/>
      <c r="M97" s="16" t="n">
        <v>9</v>
      </c>
      <c r="N97" s="16" t="n"/>
      <c r="O97" s="16" t="n"/>
      <c r="P97" s="16" t="n"/>
      <c r="Q97" s="16" t="n"/>
      <c r="R97" s="16" t="n">
        <v>15</v>
      </c>
      <c r="S97" s="10" t="inlineStr">
        <is>
          <t>Lottery Machine No. 2 (0.11%)</t>
        </is>
      </c>
    </row>
    <row r="98">
      <c r="A98" s="14" t="inlineStr">
        <is>
          <t>Talos' Bronze Gears</t>
        </is>
      </c>
      <c r="B98" s="14" t="inlineStr">
        <is>
          <t>SSS</t>
        </is>
      </c>
      <c r="C98" s="14" t="inlineStr">
        <is>
          <t>TECH</t>
        </is>
      </c>
      <c r="D98" s="15" t="n">
        <v>108</v>
      </c>
      <c r="E98" s="15" t="inlineStr">
        <is>
          <t>Wind RES +60</t>
        </is>
      </c>
      <c r="F98" s="15" t="inlineStr">
        <is>
          <t>DEF +9%</t>
        </is>
      </c>
      <c r="G98" s="14" t="inlineStr">
        <is>
          <t>Hero DMG +6%</t>
        </is>
      </c>
      <c r="H98" s="16" t="n"/>
      <c r="I98" s="16" t="n"/>
      <c r="J98" s="16" t="n"/>
      <c r="K98" s="16" t="n">
        <v>9</v>
      </c>
      <c r="L98" s="16" t="n"/>
      <c r="M98" s="16" t="n"/>
      <c r="N98" s="16" t="n"/>
      <c r="O98" s="16" t="n"/>
      <c r="P98" s="16" t="n">
        <v>6</v>
      </c>
      <c r="Q98" s="16" t="n"/>
      <c r="R98" s="16" t="n"/>
      <c r="S98" s="22" t="inlineStr">
        <is>
          <t>Wish Box Relic Album #??</t>
        </is>
      </c>
    </row>
    <row r="99">
      <c r="A99" s="14" t="inlineStr">
        <is>
          <t>Phase-Shift Spatial Gate</t>
        </is>
      </c>
      <c r="B99" s="14" t="inlineStr">
        <is>
          <t>SSS</t>
        </is>
      </c>
      <c r="C99" s="14" t="inlineStr">
        <is>
          <t>TECH</t>
        </is>
      </c>
      <c r="D99" s="15" t="n">
        <v>108</v>
      </c>
      <c r="E99" s="15" t="inlineStr">
        <is>
          <t>Earth DMG +60</t>
        </is>
      </c>
      <c r="F99" s="15" t="inlineStr">
        <is>
          <t>DMG REDUC +6%</t>
        </is>
      </c>
      <c r="G99" s="14" t="inlineStr">
        <is>
          <t>RUSH +9%</t>
        </is>
      </c>
      <c r="H99" s="16" t="n"/>
      <c r="I99" s="16" t="n"/>
      <c r="J99" s="16" t="n">
        <v>9</v>
      </c>
      <c r="K99" s="16" t="n"/>
      <c r="L99" s="16" t="n"/>
      <c r="M99" s="16" t="n"/>
      <c r="N99" s="16" t="n"/>
      <c r="O99" s="16" t="n">
        <v>6</v>
      </c>
      <c r="P99" s="16" t="n"/>
      <c r="Q99" s="16" t="n">
        <v>60</v>
      </c>
      <c r="R99" s="16" t="n"/>
      <c r="S99" s="22" t="inlineStr">
        <is>
          <t>Daily Pack #46</t>
        </is>
      </c>
    </row>
    <row r="100">
      <c r="A100" s="14" t="inlineStr">
        <is>
          <t>Capsian Sea Monster</t>
        </is>
      </c>
      <c r="B100" s="14" t="inlineStr">
        <is>
          <t>SS</t>
        </is>
      </c>
      <c r="C100" s="14" t="inlineStr">
        <is>
          <t>TECH</t>
        </is>
      </c>
      <c r="D100" s="15" t="n">
        <v>105</v>
      </c>
      <c r="E100" s="15" t="inlineStr">
        <is>
          <t>Water DMG +60</t>
        </is>
      </c>
      <c r="F100" s="15" t="inlineStr">
        <is>
          <t>Water RES +60</t>
        </is>
      </c>
      <c r="G100" s="14" t="inlineStr">
        <is>
          <t>RUSH +9%</t>
        </is>
      </c>
      <c r="H100" s="16" t="n"/>
      <c r="I100" s="16" t="n"/>
      <c r="J100" s="16" t="n">
        <v>9</v>
      </c>
      <c r="K100" s="16" t="n"/>
      <c r="L100" s="16" t="n"/>
      <c r="M100" s="16" t="n"/>
      <c r="N100" s="16" t="n"/>
      <c r="O100" s="16" t="n"/>
      <c r="P100" s="16" t="n"/>
      <c r="Q100" s="16" t="n">
        <v>60</v>
      </c>
      <c r="R100" s="16" t="n"/>
      <c r="S100" s="65" t="inlineStr">
        <is>
          <t>Lottery Machine No.3 (0.48%)</t>
        </is>
      </c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>
      <c r="C106" s="66" t="inlineStr">
        <is>
          <t>Relic</t>
        </is>
      </c>
      <c r="D106" s="67" t="n"/>
      <c r="E106" s="68" t="inlineStr">
        <is>
          <t>Slot</t>
        </is>
      </c>
      <c r="F106" s="68" t="inlineStr">
        <is>
          <t>Stat</t>
        </is>
      </c>
      <c r="G106" s="68">
        <f>D79</f>
        <v/>
      </c>
      <c r="H106" s="69" t="inlineStr">
        <is>
          <t>HP</t>
        </is>
      </c>
      <c r="I106" s="69" t="inlineStr">
        <is>
          <t>ATK</t>
        </is>
      </c>
      <c r="J106" s="69" t="inlineStr">
        <is>
          <t>RUSH</t>
        </is>
      </c>
      <c r="K106" s="69" t="inlineStr">
        <is>
          <t>DEF</t>
        </is>
      </c>
      <c r="L106" s="69" t="inlineStr">
        <is>
          <t>CRIT</t>
        </is>
      </c>
      <c r="M106" s="69" t="inlineStr">
        <is>
          <t>CRIT DMG</t>
        </is>
      </c>
      <c r="N106" s="69" t="inlineStr">
        <is>
          <t>DMG</t>
        </is>
      </c>
      <c r="O106" s="69" t="inlineStr">
        <is>
          <t>DMG Reduc</t>
        </is>
      </c>
      <c r="P106" s="69" t="inlineStr">
        <is>
          <t>Hero DMG</t>
        </is>
      </c>
      <c r="Q106" s="69" t="inlineStr">
        <is>
          <t>ELMT DMG</t>
        </is>
      </c>
      <c r="R106" s="69" t="inlineStr">
        <is>
          <t>Alternatives</t>
        </is>
      </c>
      <c r="S106" s="28" t="n"/>
      <c r="U106" s="16" t="n"/>
      <c r="V106" s="16" t="inlineStr">
        <is>
          <t>Boosted</t>
        </is>
      </c>
      <c r="W106" s="16" t="inlineStr">
        <is>
          <t>Damage</t>
        </is>
      </c>
    </row>
    <row r="107">
      <c r="A107" s="70" t="n"/>
      <c r="C107" s="71">
        <f>A81</f>
        <v/>
      </c>
      <c r="E107" s="45" t="inlineStr">
        <is>
          <t>FAME</t>
        </is>
      </c>
      <c r="F107" s="45" t="inlineStr">
        <is>
          <t>HARD</t>
        </is>
      </c>
      <c r="G107" s="46">
        <f>VLOOKUP($C107,$A$80:$R$100,4,FALSE)+VLOOKUP($C107,$A$80:$R$100,18,FALSE)</f>
        <v/>
      </c>
      <c r="H107" s="33">
        <f>VLOOKUP($C107,$A$80:$R$100,8,FALSE)+VLOOKUP(G107,$Y$2:$AA$50,2)</f>
        <v/>
      </c>
      <c r="I107" s="33">
        <f>VLOOKUP($C107,$A$80:$R$100,9,FALSE)+VLOOKUP(G107,$Y$2:$AA$50,2)</f>
        <v/>
      </c>
      <c r="J107" s="33">
        <f>VLOOKUP($C107,$A$80:$R$100,10,FALSE)+VLOOKUP(G107,$Y$2:$AA$50,2)</f>
        <v/>
      </c>
      <c r="K107" s="33">
        <f>VLOOKUP($C107,$A$80:$R$100,11,FALSE)+VLOOKUP(G107,$Y$2:$AA$50,2)</f>
        <v/>
      </c>
      <c r="L107" s="33">
        <f>VLOOKUP($C107,$A$80:$R$100,12,FALSE)</f>
        <v/>
      </c>
      <c r="M107" s="33">
        <f>VLOOKUP($C107,$A$80:$R$100,13,FALSE)</f>
        <v/>
      </c>
      <c r="N107" s="33">
        <f>VLOOKUP($C107,$A$80:$R$100,14,FALSE)</f>
        <v/>
      </c>
      <c r="O107" s="33">
        <f>VLOOKUP($C107,$A$80:$R$100,15,FALSE)</f>
        <v/>
      </c>
      <c r="P107" s="33">
        <f>VLOOKUP($C107,$A$80:$R$100,16,FALSE)</f>
        <v/>
      </c>
      <c r="Q107" s="33">
        <f>VLOOKUP($C107,$A$80:$R$100,17,FALSE)</f>
        <v/>
      </c>
      <c r="R107" s="34">
        <f>A82</f>
        <v/>
      </c>
      <c r="S107" s="28" t="n"/>
      <c r="U107" s="16" t="inlineStr">
        <is>
          <t>Troop:</t>
        </is>
      </c>
      <c r="V107" s="16" t="n"/>
      <c r="W107" s="16" t="n"/>
    </row>
    <row r="108">
      <c r="C108" s="72">
        <f>A86</f>
        <v/>
      </c>
      <c r="D108" s="73" t="n"/>
      <c r="E108" s="74" t="inlineStr">
        <is>
          <t>ART</t>
        </is>
      </c>
      <c r="F108" s="74" t="inlineStr">
        <is>
          <t>HP</t>
        </is>
      </c>
      <c r="G108" s="75">
        <f>VLOOKUP($C108,$A$80:$R$100,4,FALSE)+VLOOKUP($C108,$A$80:$R$100,18,FALSE)</f>
        <v/>
      </c>
      <c r="H108" s="76">
        <f>VLOOKUP($C108,$A$80:$R$100,8,FALSE)+VLOOKUP($G108,$Y$2:$AA$50,3)</f>
        <v/>
      </c>
      <c r="I108" s="76">
        <f>VLOOKUP($C108,$A$80:$R$100,9,FALSE)</f>
        <v/>
      </c>
      <c r="J108" s="76">
        <f>VLOOKUP($C108,$A$80:$R$100,10,FALSE)</f>
        <v/>
      </c>
      <c r="K108" s="76">
        <f>VLOOKUP($C108,$A$80:$R$100,11,FALSE)</f>
        <v/>
      </c>
      <c r="L108" s="76">
        <f>VLOOKUP($C108,$A$80:$R$100,12,FALSE)</f>
        <v/>
      </c>
      <c r="M108" s="76">
        <f>VLOOKUP($C108,$A$80:$R$100,13,FALSE)</f>
        <v/>
      </c>
      <c r="N108" s="76">
        <f>VLOOKUP($C108,$A$80:$R$100,14,FALSE)</f>
        <v/>
      </c>
      <c r="O108" s="76">
        <f>VLOOKUP($C108,$A$80:$R$100,15,FALSE)</f>
        <v/>
      </c>
      <c r="P108" s="76">
        <f>VLOOKUP($C108,$A$80:$R$100,16,FALSE)</f>
        <v/>
      </c>
      <c r="Q108" s="76">
        <f>VLOOKUP($C108,$A$80:$R$100,17,FALSE)</f>
        <v/>
      </c>
      <c r="R108" s="77">
        <f>A84</f>
        <v/>
      </c>
      <c r="S108" s="28" t="n"/>
      <c r="U108" s="16" t="inlineStr">
        <is>
          <t>ATK</t>
        </is>
      </c>
      <c r="V108" s="16">
        <f>$Z$66*(1+I112/100)</f>
        <v/>
      </c>
      <c r="W108" s="16">
        <f>((V108-$Z$73)*(V110+P112/100)*((V111/100)*V112 + (1-V111/100)*1)) + LOG(V108,5)*Q112*(V110+P112/100)</f>
        <v/>
      </c>
    </row>
    <row r="109">
      <c r="C109" s="71">
        <f>A90</f>
        <v/>
      </c>
      <c r="E109" s="45" t="inlineStr">
        <is>
          <t>FTH</t>
        </is>
      </c>
      <c r="F109" s="45" t="inlineStr">
        <is>
          <t>RUSH</t>
        </is>
      </c>
      <c r="G109" s="46" t="n">
        <v>57</v>
      </c>
      <c r="H109" s="33">
        <f>VLOOKUP($C109,$A$80:$R$100,8,FALSE)</f>
        <v/>
      </c>
      <c r="I109" s="33">
        <f>VLOOKUP($C109,$A$80:$R$100,9,FALSE)</f>
        <v/>
      </c>
      <c r="J109" s="33">
        <f>VLOOKUP($C109,$A$80:$R$100,10,FALSE)+VLOOKUP(G109,$Y$2:$AA$50,3)</f>
        <v/>
      </c>
      <c r="K109" s="33">
        <f>VLOOKUP($C109,$A$80:$R$100,11,FALSE)</f>
        <v/>
      </c>
      <c r="L109" s="33">
        <f>VLOOKUP($C109,$A$80:$R$100,12,FALSE)</f>
        <v/>
      </c>
      <c r="M109" s="33">
        <f>VLOOKUP($C109,$A$80:$R$100,13,FALSE)</f>
        <v/>
      </c>
      <c r="N109" s="33">
        <f>VLOOKUP($C109,$A$80:$R$100,14,FALSE)</f>
        <v/>
      </c>
      <c r="O109" s="33">
        <f>VLOOKUP($C109,$A$80:$R$100,15,FALSE)</f>
        <v/>
      </c>
      <c r="P109" s="33">
        <f>VLOOKUP($C109,$A$80:$R$100,16,FALSE)</f>
        <v/>
      </c>
      <c r="Q109" s="33">
        <f>VLOOKUP($C109,$A$80:$R$100,17,FALSE)</f>
        <v/>
      </c>
      <c r="R109" s="34">
        <f>A83</f>
        <v/>
      </c>
      <c r="S109" s="28" t="n"/>
      <c r="U109" s="16" t="inlineStr">
        <is>
          <t>RUSH</t>
        </is>
      </c>
      <c r="V109" s="16">
        <f>$Z$67*(1+J112/100)</f>
        <v/>
      </c>
      <c r="W109" s="16">
        <f>(V109-$Z$73)*(V110+P112/100)*((V111/100)*V112 + (1-V111/100)*1) + LOG(V109,5)*Q112*(V110+P112/100)</f>
        <v/>
      </c>
    </row>
    <row r="110">
      <c r="C110" s="72">
        <f>A91</f>
        <v/>
      </c>
      <c r="D110" s="73" t="n"/>
      <c r="E110" s="74" t="inlineStr">
        <is>
          <t>CIV</t>
        </is>
      </c>
      <c r="F110" s="74" t="inlineStr">
        <is>
          <t>ATK</t>
        </is>
      </c>
      <c r="G110" s="75">
        <f>VLOOKUP($C110,$A$80:$R$100,4,FALSE)+VLOOKUP($C110,$A$80:$R$100,18,FALSE)</f>
        <v/>
      </c>
      <c r="H110" s="76">
        <f>VLOOKUP($C110,$A$80:$R$100,8,FALSE)</f>
        <v/>
      </c>
      <c r="I110" s="76">
        <f>VLOOKUP($C110,$A$80:$R$100,9,FALSE)+VLOOKUP(G110,$Y$2:$AA$50,3)</f>
        <v/>
      </c>
      <c r="J110" s="76">
        <f>VLOOKUP($C110,$A$80:$R$100,10,FALSE)</f>
        <v/>
      </c>
      <c r="K110" s="76">
        <f>VLOOKUP($C110,$A$80:$R$100,11,FALSE)</f>
        <v/>
      </c>
      <c r="L110" s="76">
        <f>VLOOKUP($C110,$A$80:$R$100,12,FALSE)</f>
        <v/>
      </c>
      <c r="M110" s="76">
        <f>VLOOKUP($C110,$A$80:$R$100,13,FALSE)</f>
        <v/>
      </c>
      <c r="N110" s="76">
        <f>VLOOKUP($C110,$A$80:$R$100,14,FALSE)</f>
        <v/>
      </c>
      <c r="O110" s="76">
        <f>VLOOKUP($C110,$A$80:$R$100,15,FALSE)</f>
        <v/>
      </c>
      <c r="P110" s="76">
        <f>VLOOKUP($C110,$A$80:$R$100,16,FALSE)</f>
        <v/>
      </c>
      <c r="Q110" s="76">
        <f>VLOOKUP($C110,$A$80:$R$100,17,FALSE)</f>
        <v/>
      </c>
      <c r="R110" s="77">
        <f>A93</f>
        <v/>
      </c>
      <c r="S110" s="28" t="n"/>
      <c r="U110" s="16" t="inlineStr">
        <is>
          <t>DMG%</t>
        </is>
      </c>
      <c r="V110" s="16">
        <f>(1+($Z$68+N112)/100)</f>
        <v/>
      </c>
      <c r="W110" s="16" t="n"/>
    </row>
    <row r="111">
      <c r="C111" s="78">
        <f>A97</f>
        <v/>
      </c>
      <c r="E111" s="79" t="inlineStr">
        <is>
          <t>TECH</t>
        </is>
      </c>
      <c r="F111" s="79" t="inlineStr">
        <is>
          <t>DEF</t>
        </is>
      </c>
      <c r="G111" s="80">
        <f>VLOOKUP($C111,$A$80:$R$100,4,FALSE)+VLOOKUP($C111,$A$80:$R$100,18,FALSE)</f>
        <v/>
      </c>
      <c r="H111" s="33">
        <f>VLOOKUP($C111,$A$80:$R$100,8,FALSE)</f>
        <v/>
      </c>
      <c r="I111" s="33">
        <f>VLOOKUP($C111,$A$80:$R$100,9,FALSE)</f>
        <v/>
      </c>
      <c r="J111" s="33">
        <f>VLOOKUP($C111,$A$80:$R$100,10,FALSE)</f>
        <v/>
      </c>
      <c r="K111" s="33">
        <f>VLOOKUP($C111,$A$80:$R$100,11,FALSE)+VLOOKUP(G111,$Y$2:$AA$50,3)</f>
        <v/>
      </c>
      <c r="L111" s="33">
        <f>VLOOKUP($C111,$A$80:$R$100,12,FALSE)</f>
        <v/>
      </c>
      <c r="M111" s="33">
        <f>VLOOKUP($C111,$A$80:$R$100,13,FALSE)</f>
        <v/>
      </c>
      <c r="N111" s="33">
        <f>VLOOKUP($C111,$A$80:$R$100,14,FALSE)</f>
        <v/>
      </c>
      <c r="O111" s="33">
        <f>VLOOKUP($C111,$A$80:$R$100,15,FALSE)</f>
        <v/>
      </c>
      <c r="P111" s="33">
        <f>VLOOKUP($C111,$A$80:$R$100,16,FALSE)</f>
        <v/>
      </c>
      <c r="Q111" s="33">
        <f>VLOOKUP($C111,$A$80:$R$100,17,FALSE)</f>
        <v/>
      </c>
      <c r="R111" s="34" t="inlineStr">
        <is>
          <t>The Prince</t>
        </is>
      </c>
      <c r="S111" s="28" t="n"/>
      <c r="U111" s="16" t="inlineStr">
        <is>
          <t>CRIT%</t>
        </is>
      </c>
      <c r="V111" s="16">
        <f>$Z$69+L112</f>
        <v/>
      </c>
      <c r="W111" s="16" t="n"/>
    </row>
    <row r="112">
      <c r="C112" s="81" t="inlineStr">
        <is>
          <t>Total</t>
        </is>
      </c>
      <c r="D112" s="73" t="n"/>
      <c r="E112" s="74" t="n"/>
      <c r="F112" s="74" t="n"/>
      <c r="G112" s="75" t="n"/>
      <c r="H112" s="76">
        <f>sum(H107:H111)</f>
        <v/>
      </c>
      <c r="I112" s="76">
        <f>sum(I107:I111)</f>
        <v/>
      </c>
      <c r="J112" s="76">
        <f>sum(J107:J111)</f>
        <v/>
      </c>
      <c r="K112" s="76">
        <f>sum(K107:K111)</f>
        <v/>
      </c>
      <c r="L112" s="76">
        <f>sum(L107:L111)</f>
        <v/>
      </c>
      <c r="M112" s="76">
        <f>sum(M107:M111)</f>
        <v/>
      </c>
      <c r="N112" s="76">
        <f>sum(N107:N111)</f>
        <v/>
      </c>
      <c r="O112" s="76">
        <f>sum(O107:O111)</f>
        <v/>
      </c>
      <c r="P112" s="76">
        <f>sum(P107:P111)</f>
        <v/>
      </c>
      <c r="Q112" s="76">
        <f>sum(Q107:Q111)</f>
        <v/>
      </c>
      <c r="R112" s="77" t="n"/>
      <c r="S112" s="28" t="n"/>
      <c r="U112" s="16" t="inlineStr">
        <is>
          <t>CRIT DMG%</t>
        </is>
      </c>
      <c r="V112" s="16">
        <f>1.5+($Z$70+M112)/100</f>
        <v/>
      </c>
      <c r="W112" s="16" t="n"/>
    </row>
    <row r="113">
      <c r="C113" s="43" t="inlineStr">
        <is>
          <t>Damage Per Round</t>
        </is>
      </c>
      <c r="D113" s="30" t="n"/>
      <c r="E113" s="44">
        <f>W108+W109</f>
        <v/>
      </c>
      <c r="F113" s="45" t="n"/>
      <c r="G113" s="46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</row>
    <row r="114"/>
    <row r="115"/>
    <row r="116"/>
    <row r="117"/>
    <row r="118"/>
    <row r="119">
      <c r="A119" s="1" t="inlineStr">
        <is>
          <t>Hamster</t>
        </is>
      </c>
      <c r="B119" s="2" t="n"/>
      <c r="C119" s="2" t="n"/>
      <c r="D119" s="3" t="inlineStr">
        <is>
          <t>Main AFFCT</t>
        </is>
      </c>
      <c r="E119" s="3" t="inlineStr">
        <is>
          <t>Stamp 1</t>
        </is>
      </c>
      <c r="F119" s="3" t="inlineStr">
        <is>
          <t>Stamp 2</t>
        </is>
      </c>
      <c r="G119" s="3" t="inlineStr">
        <is>
          <t>Stamp 3</t>
        </is>
      </c>
      <c r="H119" s="4" t="inlineStr">
        <is>
          <t>HP</t>
        </is>
      </c>
      <c r="I119" s="4" t="inlineStr">
        <is>
          <t>ATK</t>
        </is>
      </c>
      <c r="J119" s="4" t="inlineStr">
        <is>
          <t>RUSH</t>
        </is>
      </c>
      <c r="K119" s="4" t="inlineStr">
        <is>
          <t>DEF</t>
        </is>
      </c>
      <c r="L119" s="4" t="inlineStr">
        <is>
          <t>CRIT</t>
        </is>
      </c>
      <c r="M119" s="4" t="inlineStr">
        <is>
          <t>CRIT DMG</t>
        </is>
      </c>
      <c r="N119" s="4" t="inlineStr">
        <is>
          <t>DMG</t>
        </is>
      </c>
      <c r="O119" s="4" t="inlineStr">
        <is>
          <t>DMG Reduc</t>
        </is>
      </c>
      <c r="P119" s="4" t="inlineStr">
        <is>
          <t>Hero DMG</t>
        </is>
      </c>
      <c r="Q119" s="4" t="inlineStr">
        <is>
          <t>ELMT DMG</t>
        </is>
      </c>
      <c r="R119" s="4" t="inlineStr">
        <is>
          <t>AFFCT</t>
        </is>
      </c>
      <c r="S119" s="5" t="inlineStr">
        <is>
          <t>Source</t>
        </is>
      </c>
    </row>
    <row r="120">
      <c r="A120" s="8" t="inlineStr">
        <is>
          <t>INDIVIDUAL RELICS</t>
        </is>
      </c>
      <c r="B120" s="9" t="n"/>
      <c r="C120" s="9" t="n"/>
      <c r="D120" s="9" t="n"/>
      <c r="E120" s="9" t="n"/>
      <c r="F120" s="9" t="n"/>
      <c r="G120" s="9" t="n"/>
      <c r="S120" s="10" t="n"/>
    </row>
    <row r="121">
      <c r="A121" s="14" t="inlineStr">
        <is>
          <t>Book of Five Rings</t>
        </is>
      </c>
      <c r="B121" s="14" t="inlineStr">
        <is>
          <t>SSS</t>
        </is>
      </c>
      <c r="C121" s="14" t="inlineStr">
        <is>
          <t>FAME</t>
        </is>
      </c>
      <c r="D121" s="15" t="n">
        <v>109</v>
      </c>
      <c r="E121" s="15" t="inlineStr">
        <is>
          <t>FAME +15</t>
        </is>
      </c>
      <c r="F121" s="14" t="inlineStr">
        <is>
          <t>Earth DMG +60</t>
        </is>
      </c>
      <c r="G121" s="14" t="inlineStr">
        <is>
          <t>ATK +9%</t>
        </is>
      </c>
      <c r="H121" s="16" t="n"/>
      <c r="I121" s="16" t="n">
        <v>9</v>
      </c>
      <c r="J121" s="16" t="n"/>
      <c r="K121" s="16" t="n"/>
      <c r="L121" s="16" t="n"/>
      <c r="M121" s="16" t="n"/>
      <c r="N121" s="16" t="n"/>
      <c r="O121" s="16" t="n"/>
      <c r="P121" s="16" t="n"/>
      <c r="Q121" s="16" t="n">
        <v>60</v>
      </c>
      <c r="R121" s="16" t="n">
        <v>15</v>
      </c>
      <c r="S121" s="22" t="inlineStr">
        <is>
          <t>Lottery Machine No.3 (?%)</t>
        </is>
      </c>
    </row>
    <row r="122">
      <c r="A122" s="14" t="inlineStr">
        <is>
          <t>Lucy the Ape</t>
        </is>
      </c>
      <c r="B122" s="14" t="inlineStr">
        <is>
          <t>SSS</t>
        </is>
      </c>
      <c r="C122" s="14" t="inlineStr">
        <is>
          <t>FAME</t>
        </is>
      </c>
      <c r="D122" s="15" t="n">
        <v>109</v>
      </c>
      <c r="E122" s="15" t="inlineStr">
        <is>
          <t>FAME +15</t>
        </is>
      </c>
      <c r="F122" s="14" t="inlineStr">
        <is>
          <t>HP +9%</t>
        </is>
      </c>
      <c r="G122" s="14" t="inlineStr">
        <is>
          <t>Earth DMG +60</t>
        </is>
      </c>
      <c r="H122" s="16" t="n">
        <v>9</v>
      </c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>
        <v>60</v>
      </c>
      <c r="R122" s="16" t="n">
        <v>15</v>
      </c>
      <c r="S122" s="17" t="inlineStr">
        <is>
          <t>Lottery Machine No.2 (0.11%), Wish Box #1</t>
        </is>
      </c>
    </row>
    <row r="123">
      <c r="A123" s="14" t="inlineStr">
        <is>
          <t>Grimmy Award</t>
        </is>
      </c>
      <c r="B123" s="14" t="inlineStr">
        <is>
          <t>SS</t>
        </is>
      </c>
      <c r="C123" s="14" t="inlineStr">
        <is>
          <t>FAME</t>
        </is>
      </c>
      <c r="D123" s="15" t="n">
        <v>104</v>
      </c>
      <c r="E123" s="15" t="inlineStr">
        <is>
          <t>AFFCT Checks -150</t>
        </is>
      </c>
      <c r="F123" s="15" t="inlineStr">
        <is>
          <t>HP +9%</t>
        </is>
      </c>
      <c r="G123" s="14" t="n"/>
      <c r="H123" s="16" t="n">
        <v>9</v>
      </c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7" t="inlineStr">
        <is>
          <t>Lottery Machine No.2 (?%)</t>
        </is>
      </c>
    </row>
    <row r="124">
      <c r="A124" s="19" t="inlineStr">
        <is>
          <t>The Prince</t>
        </is>
      </c>
      <c r="B124" s="19" t="inlineStr">
        <is>
          <t>SSS</t>
        </is>
      </c>
      <c r="C124" s="19" t="inlineStr">
        <is>
          <t>FAME</t>
        </is>
      </c>
      <c r="D124" s="20" t="n">
        <v>106</v>
      </c>
      <c r="E124" s="20" t="inlineStr">
        <is>
          <t>ATK +6%</t>
        </is>
      </c>
      <c r="F124" s="19" t="inlineStr">
        <is>
          <t>FAME +15</t>
        </is>
      </c>
      <c r="G124" s="19" t="inlineStr">
        <is>
          <t>CRIT DMG +6%</t>
        </is>
      </c>
      <c r="H124" s="21" t="n"/>
      <c r="I124" s="19" t="n">
        <v>6</v>
      </c>
      <c r="J124" s="19" t="n"/>
      <c r="K124" s="19" t="n"/>
      <c r="L124" s="19" t="n"/>
      <c r="M124" s="19" t="n">
        <v>6</v>
      </c>
      <c r="N124" s="19" t="n"/>
      <c r="O124" s="19" t="n"/>
      <c r="P124" s="19" t="n"/>
      <c r="Q124" s="19" t="n"/>
      <c r="R124" s="19" t="n">
        <v>15</v>
      </c>
      <c r="S124" s="10" t="inlineStr">
        <is>
          <t>Lottery Machine No. 2 (0.11%)</t>
        </is>
      </c>
    </row>
    <row r="125">
      <c r="A125" s="14" t="inlineStr">
        <is>
          <t>Cross of Lorraine</t>
        </is>
      </c>
      <c r="B125" s="14" t="inlineStr">
        <is>
          <t>SS</t>
        </is>
      </c>
      <c r="C125" s="14" t="inlineStr">
        <is>
          <t>FAME</t>
        </is>
      </c>
      <c r="D125" s="15" t="n">
        <v>104</v>
      </c>
      <c r="E125" s="15" t="inlineStr">
        <is>
          <t>FAME +15</t>
        </is>
      </c>
      <c r="F125" s="15" t="inlineStr">
        <is>
          <t>ATK +6%</t>
        </is>
      </c>
      <c r="G125" s="14" t="n"/>
      <c r="H125" s="11" t="n"/>
      <c r="I125" s="14" t="n">
        <v>6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>
        <v>15</v>
      </c>
      <c r="S125" s="10" t="inlineStr">
        <is>
          <t>Lottery Machine No. 2 (?%)</t>
        </is>
      </c>
    </row>
    <row r="126">
      <c r="A126" s="14" t="inlineStr">
        <is>
          <t>Ra-Hotep Couple</t>
        </is>
      </c>
      <c r="B126" s="14" t="inlineStr">
        <is>
          <t>SSS</t>
        </is>
      </c>
      <c r="C126" s="14" t="inlineStr">
        <is>
          <t>ART</t>
        </is>
      </c>
      <c r="D126" s="15" t="n">
        <v>106</v>
      </c>
      <c r="E126" s="15" t="inlineStr">
        <is>
          <t>Wind DMG +60</t>
        </is>
      </c>
      <c r="F126" s="14" t="inlineStr">
        <is>
          <t>CRIT DMG +9%</t>
        </is>
      </c>
      <c r="G126" s="14" t="inlineStr">
        <is>
          <t>Water DMG +60</t>
        </is>
      </c>
      <c r="H126" s="16" t="n"/>
      <c r="I126" s="16" t="n"/>
      <c r="J126" s="16" t="n"/>
      <c r="K126" s="16" t="n"/>
      <c r="L126" s="16" t="n"/>
      <c r="M126" s="16" t="n">
        <v>9</v>
      </c>
      <c r="N126" s="16" t="n"/>
      <c r="O126" s="16" t="n"/>
      <c r="P126" s="16" t="n"/>
      <c r="Q126" s="16" t="n">
        <v>120</v>
      </c>
      <c r="R126" s="16" t="n"/>
      <c r="S126" s="22" t="inlineStr">
        <is>
          <t>Daily Packs #48</t>
        </is>
      </c>
    </row>
    <row r="127">
      <c r="A127" s="14" t="inlineStr">
        <is>
          <t>Oxus Treasure</t>
        </is>
      </c>
      <c r="B127" s="14" t="inlineStr">
        <is>
          <t>SSS</t>
        </is>
      </c>
      <c r="C127" s="14" t="inlineStr">
        <is>
          <t>ART</t>
        </is>
      </c>
      <c r="D127" s="15" t="n">
        <v>108</v>
      </c>
      <c r="E127" s="15" t="inlineStr">
        <is>
          <t>CRIT +9%</t>
        </is>
      </c>
      <c r="F127" s="14" t="inlineStr">
        <is>
          <t>AFFCT Checks -150</t>
        </is>
      </c>
      <c r="G127" s="14" t="inlineStr">
        <is>
          <t>ART +15</t>
        </is>
      </c>
      <c r="H127" s="16" t="n"/>
      <c r="I127" s="16" t="n"/>
      <c r="J127" s="16" t="n"/>
      <c r="K127" s="16" t="n"/>
      <c r="L127" s="16" t="n">
        <v>9</v>
      </c>
      <c r="M127" s="16" t="n"/>
      <c r="N127" s="16" t="n"/>
      <c r="O127" s="16" t="n"/>
      <c r="P127" s="16" t="n"/>
      <c r="Q127" s="16" t="n"/>
      <c r="R127" s="16" t="n">
        <v>15</v>
      </c>
      <c r="S127" s="17" t="inlineStr">
        <is>
          <t>Lottery Machine No.2 (0.11%), Relic Forge (120 RF)</t>
        </is>
      </c>
    </row>
    <row r="128">
      <c r="A128" s="14" t="inlineStr">
        <is>
          <t>Veiled Lady</t>
        </is>
      </c>
      <c r="B128" s="14" t="inlineStr">
        <is>
          <t>SS</t>
        </is>
      </c>
      <c r="C128" s="14" t="inlineStr">
        <is>
          <t>ART</t>
        </is>
      </c>
      <c r="D128" s="15" t="n">
        <v>103</v>
      </c>
      <c r="E128" s="15" t="inlineStr">
        <is>
          <t>RUSH +9%</t>
        </is>
      </c>
      <c r="F128" s="14" t="inlineStr">
        <is>
          <t>ART +15</t>
        </is>
      </c>
      <c r="G128" s="14" t="n"/>
      <c r="H128" s="16" t="n"/>
      <c r="I128" s="16" t="n"/>
      <c r="J128" s="16" t="n">
        <v>9</v>
      </c>
      <c r="K128" s="16" t="n"/>
      <c r="L128" s="16" t="n"/>
      <c r="M128" s="16" t="n"/>
      <c r="N128" s="16" t="n"/>
      <c r="O128" s="16" t="n"/>
      <c r="P128" s="16" t="n"/>
      <c r="Q128" s="16" t="n"/>
      <c r="R128" s="16" t="n">
        <v>15</v>
      </c>
      <c r="S128" s="17" t="inlineStr">
        <is>
          <t>Lottery Machine No.2 (?%)</t>
        </is>
      </c>
    </row>
    <row r="129">
      <c r="A129" s="14" t="inlineStr">
        <is>
          <t>Suger's Eagle</t>
        </is>
      </c>
      <c r="B129" s="14" t="inlineStr">
        <is>
          <t>S</t>
        </is>
      </c>
      <c r="C129" s="14" t="inlineStr">
        <is>
          <t>ART</t>
        </is>
      </c>
      <c r="D129" s="15" t="n">
        <v>99</v>
      </c>
      <c r="E129" s="15" t="inlineStr">
        <is>
          <t>RUSH +9%</t>
        </is>
      </c>
      <c r="F129" s="14" t="n"/>
      <c r="G129" s="14" t="n"/>
      <c r="H129" s="16" t="n"/>
      <c r="I129" s="16" t="n"/>
      <c r="J129" s="16" t="n">
        <v>9</v>
      </c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7" t="inlineStr">
        <is>
          <t>Lottery Machine No.2 (?%)</t>
        </is>
      </c>
    </row>
    <row r="130">
      <c r="A130" s="14" t="inlineStr">
        <is>
          <t>Last Self Portrait</t>
        </is>
      </c>
      <c r="B130" s="14" t="inlineStr">
        <is>
          <t>SSS</t>
        </is>
      </c>
      <c r="C130" s="14" t="inlineStr">
        <is>
          <t>ART</t>
        </is>
      </c>
      <c r="D130" s="15" t="n">
        <v>107</v>
      </c>
      <c r="E130" s="15" t="inlineStr">
        <is>
          <t>ART +15</t>
        </is>
      </c>
      <c r="F130" s="14" t="inlineStr">
        <is>
          <t>Earth DMG +60</t>
        </is>
      </c>
      <c r="G130" s="14" t="inlineStr">
        <is>
          <t>HP +9%</t>
        </is>
      </c>
      <c r="H130" s="16" t="n">
        <v>9</v>
      </c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>
        <v>60</v>
      </c>
      <c r="R130" s="16" t="n">
        <v>15</v>
      </c>
      <c r="S130" s="17" t="inlineStr">
        <is>
          <t>Daily Packs #15</t>
        </is>
      </c>
    </row>
    <row r="131">
      <c r="A131" s="14" t="inlineStr">
        <is>
          <t>Panther Brooch</t>
        </is>
      </c>
      <c r="B131" s="14" t="inlineStr">
        <is>
          <t>SS</t>
        </is>
      </c>
      <c r="C131" s="14" t="inlineStr">
        <is>
          <t>ART</t>
        </is>
      </c>
      <c r="D131" s="15" t="n">
        <v>102</v>
      </c>
      <c r="E131" s="15" t="inlineStr">
        <is>
          <t>AFFCT Checks -150</t>
        </is>
      </c>
      <c r="F131" s="14" t="inlineStr">
        <is>
          <t>Earth DMG +60</t>
        </is>
      </c>
      <c r="G131" s="14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>
        <v>60</v>
      </c>
      <c r="R131" s="16" t="n"/>
      <c r="S131" s="17" t="inlineStr">
        <is>
          <t>Lottery Machine No.2 (?%)</t>
        </is>
      </c>
    </row>
    <row r="132">
      <c r="A132" s="14" t="inlineStr">
        <is>
          <t>Woman at Her Toilette</t>
        </is>
      </c>
      <c r="B132" s="14" t="inlineStr">
        <is>
          <t>SSS</t>
        </is>
      </c>
      <c r="C132" s="14" t="inlineStr">
        <is>
          <t>ART</t>
        </is>
      </c>
      <c r="D132" s="15" t="n">
        <v>109</v>
      </c>
      <c r="E132" s="15" t="inlineStr">
        <is>
          <t>ATK +6%</t>
        </is>
      </c>
      <c r="F132" s="14" t="inlineStr">
        <is>
          <t>RUSH +6%</t>
        </is>
      </c>
      <c r="G132" s="14" t="inlineStr">
        <is>
          <t>ART +15</t>
        </is>
      </c>
      <c r="H132" s="16" t="n"/>
      <c r="I132" s="16" t="n">
        <v>6</v>
      </c>
      <c r="J132" s="16" t="n">
        <v>6</v>
      </c>
      <c r="K132" s="16" t="n"/>
      <c r="L132" s="16" t="n"/>
      <c r="M132" s="16" t="n"/>
      <c r="N132" s="16" t="n"/>
      <c r="O132" s="16" t="n"/>
      <c r="P132" s="16" t="n"/>
      <c r="Q132" s="16" t="n"/>
      <c r="R132" s="16" t="n">
        <v>15</v>
      </c>
      <c r="S132" s="10" t="inlineStr">
        <is>
          <t>Minion Skin Lottery</t>
        </is>
      </c>
    </row>
    <row r="133">
      <c r="A133" s="14" t="inlineStr">
        <is>
          <t>Seated Voltaire</t>
        </is>
      </c>
      <c r="B133" s="14" t="inlineStr">
        <is>
          <t>SSS</t>
        </is>
      </c>
      <c r="C133" s="14" t="inlineStr">
        <is>
          <t>ART</t>
        </is>
      </c>
      <c r="D133" s="15" t="n">
        <v>106</v>
      </c>
      <c r="E133" s="15" t="inlineStr">
        <is>
          <t>DEF +6%</t>
        </is>
      </c>
      <c r="F133" s="14" t="inlineStr">
        <is>
          <t>ART +15</t>
        </is>
      </c>
      <c r="G133" s="14" t="inlineStr">
        <is>
          <t>Wind DMG +30</t>
        </is>
      </c>
      <c r="H133" s="11" t="n"/>
      <c r="I133" s="14" t="n"/>
      <c r="J133" s="14" t="n"/>
      <c r="K133" s="14" t="n">
        <v>6</v>
      </c>
      <c r="L133" s="14" t="n"/>
      <c r="M133" s="14" t="n"/>
      <c r="N133" s="14" t="n"/>
      <c r="O133" s="14" t="n"/>
      <c r="P133" s="14" t="n"/>
      <c r="Q133" s="14" t="n">
        <v>30</v>
      </c>
      <c r="R133" s="14" t="n">
        <v>15</v>
      </c>
      <c r="S133" s="10" t="inlineStr">
        <is>
          <t>Wish Box Relic Album</t>
        </is>
      </c>
    </row>
    <row r="134">
      <c r="A134" s="14" t="inlineStr">
        <is>
          <t>Throne of St. Peter</t>
        </is>
      </c>
      <c r="B134" s="14" t="inlineStr">
        <is>
          <t>SSS</t>
        </is>
      </c>
      <c r="C134" s="14" t="inlineStr">
        <is>
          <t>FTH</t>
        </is>
      </c>
      <c r="D134" s="15" t="n">
        <v>109</v>
      </c>
      <c r="E134" s="15" t="inlineStr">
        <is>
          <t>DEF +9%</t>
        </is>
      </c>
      <c r="F134" s="14" t="inlineStr">
        <is>
          <t>Fire DMG +60</t>
        </is>
      </c>
      <c r="G134" s="14" t="inlineStr">
        <is>
          <t>Wind DMG +60</t>
        </is>
      </c>
      <c r="H134" s="16" t="n"/>
      <c r="I134" s="16" t="n"/>
      <c r="J134" s="16" t="n"/>
      <c r="K134" s="16" t="n">
        <v>9</v>
      </c>
      <c r="L134" s="16" t="n"/>
      <c r="M134" s="16" t="n"/>
      <c r="N134" s="16" t="n"/>
      <c r="O134" s="16" t="n"/>
      <c r="P134" s="16" t="n"/>
      <c r="Q134" s="16" t="n">
        <v>120</v>
      </c>
      <c r="R134" s="16" t="n"/>
      <c r="S134" s="17" t="inlineStr">
        <is>
          <t>Lottery Machine No.3 (0.12%)</t>
        </is>
      </c>
    </row>
    <row r="135">
      <c r="A135" s="14" t="inlineStr">
        <is>
          <t>Orphic Egg</t>
        </is>
      </c>
      <c r="B135" s="14" t="inlineStr">
        <is>
          <t>SSS</t>
        </is>
      </c>
      <c r="C135" s="14" t="inlineStr">
        <is>
          <t>FTH</t>
        </is>
      </c>
      <c r="D135" s="15" t="n">
        <v>107</v>
      </c>
      <c r="E135" s="15" t="inlineStr">
        <is>
          <t>HP +9%</t>
        </is>
      </c>
      <c r="F135" s="14" t="inlineStr">
        <is>
          <t>FTH +15</t>
        </is>
      </c>
      <c r="G135" s="14" t="inlineStr">
        <is>
          <t>DMG REDUC +6%</t>
        </is>
      </c>
      <c r="H135" s="16" t="n">
        <v>9</v>
      </c>
      <c r="I135" s="16" t="n"/>
      <c r="J135" s="16" t="n"/>
      <c r="K135" s="16" t="n"/>
      <c r="L135" s="16" t="n"/>
      <c r="M135" s="16" t="n"/>
      <c r="N135" s="16" t="n"/>
      <c r="O135" s="16" t="n">
        <v>6</v>
      </c>
      <c r="P135" s="16" t="n"/>
      <c r="Q135" s="16" t="n"/>
      <c r="R135" s="16" t="n">
        <v>15</v>
      </c>
      <c r="S135" s="17" t="inlineStr">
        <is>
          <t>Lottery Machine No.2 (0.11%), Relic Forge (120 RF)</t>
        </is>
      </c>
    </row>
    <row r="136">
      <c r="A136" s="14" t="inlineStr">
        <is>
          <t>Silmarils</t>
        </is>
      </c>
      <c r="B136" s="14" t="inlineStr">
        <is>
          <t>SS</t>
        </is>
      </c>
      <c r="C136" s="14" t="inlineStr">
        <is>
          <t>FTH</t>
        </is>
      </c>
      <c r="D136" s="15" t="n">
        <v>101</v>
      </c>
      <c r="E136" s="15" t="inlineStr">
        <is>
          <t>ATK +9%</t>
        </is>
      </c>
      <c r="F136" s="14" t="inlineStr">
        <is>
          <t>FTH +15</t>
        </is>
      </c>
      <c r="G136" s="14" t="n"/>
      <c r="H136" s="16" t="n"/>
      <c r="I136" s="16" t="n">
        <v>9</v>
      </c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>
        <v>15</v>
      </c>
      <c r="S136" s="17" t="inlineStr">
        <is>
          <t>Lottery Machine No.2 (?%)</t>
        </is>
      </c>
    </row>
    <row r="137">
      <c r="A137" s="14" t="inlineStr">
        <is>
          <t>R'lyeh Text</t>
        </is>
      </c>
      <c r="B137" s="14" t="inlineStr">
        <is>
          <t>SS</t>
        </is>
      </c>
      <c r="C137" s="14" t="inlineStr">
        <is>
          <t>FTH</t>
        </is>
      </c>
      <c r="D137" s="15" t="n">
        <v>105</v>
      </c>
      <c r="E137" s="15" t="inlineStr">
        <is>
          <t>Hero DMG +6%</t>
        </is>
      </c>
      <c r="F137" s="14" t="n"/>
      <c r="G137" s="14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>
        <v>6</v>
      </c>
      <c r="Q137" s="16" t="n"/>
      <c r="R137" s="16" t="n"/>
      <c r="S137" s="17" t="inlineStr">
        <is>
          <t>Lottery Machine No.2 (?%)</t>
        </is>
      </c>
    </row>
    <row r="138">
      <c r="A138" s="14" t="inlineStr">
        <is>
          <t>Lamassu Statue</t>
        </is>
      </c>
      <c r="B138" s="14" t="inlineStr">
        <is>
          <t>S</t>
        </is>
      </c>
      <c r="C138" s="14" t="inlineStr">
        <is>
          <t>FTH</t>
        </is>
      </c>
      <c r="D138" s="15" t="n">
        <v>97</v>
      </c>
      <c r="E138" s="15" t="inlineStr">
        <is>
          <t>ATK +9%</t>
        </is>
      </c>
      <c r="F138" s="14" t="n"/>
      <c r="G138" s="14" t="n"/>
      <c r="H138" s="16" t="n"/>
      <c r="I138" s="16" t="n">
        <v>9</v>
      </c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7" t="inlineStr">
        <is>
          <t>Lottery Machine No.2 (?%)</t>
        </is>
      </c>
    </row>
    <row r="139">
      <c r="A139" s="14" t="inlineStr">
        <is>
          <t>Dream Stele</t>
        </is>
      </c>
      <c r="B139" s="14" t="inlineStr">
        <is>
          <t>SS</t>
        </is>
      </c>
      <c r="C139" s="14" t="inlineStr">
        <is>
          <t>FTH</t>
        </is>
      </c>
      <c r="D139" s="15" t="n">
        <v>102</v>
      </c>
      <c r="E139" s="15" t="inlineStr">
        <is>
          <t>Wind DMG +60</t>
        </is>
      </c>
      <c r="F139" s="14" t="n"/>
      <c r="G139" s="14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>
        <v>60</v>
      </c>
      <c r="R139" s="16" t="n"/>
      <c r="S139" s="17" t="inlineStr">
        <is>
          <t>Lottery Machine No.2 (?%)</t>
        </is>
      </c>
    </row>
    <row r="140">
      <c r="A140" s="14" t="inlineStr">
        <is>
          <t>Enuma Elish</t>
        </is>
      </c>
      <c r="B140" s="14" t="inlineStr">
        <is>
          <t>SSS</t>
        </is>
      </c>
      <c r="C140" s="14" t="inlineStr">
        <is>
          <t>FTH</t>
        </is>
      </c>
      <c r="D140" s="15" t="n">
        <v>107</v>
      </c>
      <c r="E140" s="15" t="inlineStr">
        <is>
          <t>FTH +15</t>
        </is>
      </c>
      <c r="F140" s="14" t="inlineStr">
        <is>
          <t>ATK +6%</t>
        </is>
      </c>
      <c r="G140" s="14" t="inlineStr">
        <is>
          <t>RUSH +6%</t>
        </is>
      </c>
      <c r="H140" s="11" t="n"/>
      <c r="I140" s="14" t="n">
        <v>6</v>
      </c>
      <c r="J140" s="14" t="n">
        <v>6</v>
      </c>
      <c r="K140" s="14" t="n"/>
      <c r="L140" s="14" t="n"/>
      <c r="M140" s="14" t="n"/>
      <c r="N140" s="14" t="n"/>
      <c r="O140" s="14" t="n"/>
      <c r="P140" s="14" t="n"/>
      <c r="Q140" s="14" t="n"/>
      <c r="R140" s="14" t="n">
        <v>15</v>
      </c>
      <c r="S140" s="10" t="inlineStr">
        <is>
          <t>Lottery Machine No. 2 (0.11%)</t>
        </is>
      </c>
    </row>
    <row r="141">
      <c r="A141" s="14" t="inlineStr">
        <is>
          <t>Aeneid</t>
        </is>
      </c>
      <c r="B141" s="14" t="inlineStr">
        <is>
          <t>SSS</t>
        </is>
      </c>
      <c r="C141" s="14" t="inlineStr">
        <is>
          <t>CIV</t>
        </is>
      </c>
      <c r="D141" s="15" t="n">
        <v>109</v>
      </c>
      <c r="E141" s="15" t="inlineStr">
        <is>
          <t>Hero DMG +6%</t>
        </is>
      </c>
      <c r="F141" s="15" t="inlineStr">
        <is>
          <t>CIV +15</t>
        </is>
      </c>
      <c r="G141" s="14" t="inlineStr">
        <is>
          <t>CRIT DMG +9%</t>
        </is>
      </c>
      <c r="H141" s="16" t="n"/>
      <c r="I141" s="16" t="n"/>
      <c r="J141" s="16" t="n"/>
      <c r="K141" s="16" t="n"/>
      <c r="L141" s="16" t="n"/>
      <c r="M141" s="16" t="n">
        <v>9</v>
      </c>
      <c r="N141" s="16" t="n"/>
      <c r="O141" s="16" t="n"/>
      <c r="P141" s="16" t="n">
        <v>6</v>
      </c>
      <c r="Q141" s="16" t="n"/>
      <c r="R141" s="16" t="n">
        <v>15</v>
      </c>
      <c r="S141" s="17" t="inlineStr">
        <is>
          <t>Lottery Machine No.2 (0.12%), Relic Forge (120 RF)</t>
        </is>
      </c>
    </row>
    <row r="142">
      <c r="A142" s="14" t="inlineStr">
        <is>
          <t>Epitaph of Sikelos</t>
        </is>
      </c>
      <c r="B142" s="14" t="inlineStr">
        <is>
          <t>SSS</t>
        </is>
      </c>
      <c r="C142" s="14" t="inlineStr">
        <is>
          <t>CIV</t>
        </is>
      </c>
      <c r="D142" s="15" t="n">
        <v>108</v>
      </c>
      <c r="E142" s="15" t="inlineStr">
        <is>
          <t>CIV +15</t>
        </is>
      </c>
      <c r="F142" s="15" t="inlineStr">
        <is>
          <t>ATK +9%</t>
        </is>
      </c>
      <c r="G142" s="14" t="inlineStr">
        <is>
          <t>HP +9%</t>
        </is>
      </c>
      <c r="H142" s="16" t="n">
        <v>9</v>
      </c>
      <c r="I142" s="16" t="n">
        <v>9</v>
      </c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>
        <v>15</v>
      </c>
      <c r="S142" s="22" t="inlineStr">
        <is>
          <t>Lottery Machine No.3 (?%)</t>
        </is>
      </c>
    </row>
    <row r="143">
      <c r="A143" s="14" t="inlineStr">
        <is>
          <t>Eight Proposals</t>
        </is>
      </c>
      <c r="B143" s="14" t="inlineStr">
        <is>
          <t>SS</t>
        </is>
      </c>
      <c r="C143" s="14" t="inlineStr">
        <is>
          <t>CIV</t>
        </is>
      </c>
      <c r="D143" s="15" t="n">
        <v>102</v>
      </c>
      <c r="E143" s="15" t="inlineStr">
        <is>
          <t>AFFCT Checks -150</t>
        </is>
      </c>
      <c r="F143" s="15" t="inlineStr">
        <is>
          <t>HP +9%</t>
        </is>
      </c>
      <c r="G143" s="14" t="n"/>
      <c r="H143" s="16" t="n">
        <v>9</v>
      </c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7" t="inlineStr">
        <is>
          <t>Lottery Machine No.2 (?%)</t>
        </is>
      </c>
    </row>
    <row r="144">
      <c r="A144" s="14" t="inlineStr">
        <is>
          <t>Trajan's Column</t>
        </is>
      </c>
      <c r="B144" s="14" t="inlineStr">
        <is>
          <t>SS</t>
        </is>
      </c>
      <c r="C144" s="14" t="inlineStr">
        <is>
          <t>CIV</t>
        </is>
      </c>
      <c r="D144" s="15" t="n">
        <v>101</v>
      </c>
      <c r="E144" s="15" t="inlineStr">
        <is>
          <t>HP +6%</t>
        </is>
      </c>
      <c r="F144" s="15" t="inlineStr">
        <is>
          <t>HP +9%</t>
        </is>
      </c>
      <c r="G144" s="14" t="n"/>
      <c r="H144" s="16" t="n">
        <v>15</v>
      </c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7" t="inlineStr">
        <is>
          <t>Lottery Machine No.2 (?%)</t>
        </is>
      </c>
    </row>
    <row r="145">
      <c r="A145" s="14" t="inlineStr">
        <is>
          <t>Palermo Stone</t>
        </is>
      </c>
      <c r="B145" s="14" t="inlineStr">
        <is>
          <t>S</t>
        </is>
      </c>
      <c r="C145" s="14" t="inlineStr">
        <is>
          <t>CIV</t>
        </is>
      </c>
      <c r="D145" s="15" t="n">
        <v>96</v>
      </c>
      <c r="E145" s="15" t="inlineStr">
        <is>
          <t>HP +9%</t>
        </is>
      </c>
      <c r="F145" s="15" t="n"/>
      <c r="G145" s="14" t="n"/>
      <c r="H145" s="16" t="n">
        <v>9</v>
      </c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7" t="inlineStr">
        <is>
          <t>Lottery Machine No.2 (?%), Rift Treasure Maps (5%)</t>
        </is>
      </c>
    </row>
    <row r="146">
      <c r="A146" s="14" t="inlineStr">
        <is>
          <t>Harem Wall Painting</t>
        </is>
      </c>
      <c r="B146" s="14" t="inlineStr">
        <is>
          <t>SS</t>
        </is>
      </c>
      <c r="C146" s="14" t="inlineStr">
        <is>
          <t>CIV</t>
        </is>
      </c>
      <c r="D146" s="15" t="n">
        <v>106</v>
      </c>
      <c r="E146" s="15" t="inlineStr">
        <is>
          <t>CIV +15</t>
        </is>
      </c>
      <c r="F146" s="15" t="inlineStr">
        <is>
          <t>RUSH +6%</t>
        </is>
      </c>
      <c r="G146" s="14" t="n"/>
      <c r="H146" s="11" t="n"/>
      <c r="I146" s="14" t="n"/>
      <c r="J146" s="14" t="n">
        <v>6</v>
      </c>
      <c r="K146" s="14" t="n"/>
      <c r="L146" s="14" t="n"/>
      <c r="M146" s="14" t="n"/>
      <c r="N146" s="14" t="n"/>
      <c r="O146" s="14" t="n"/>
      <c r="P146" s="14" t="n"/>
      <c r="Q146" s="14" t="n"/>
      <c r="R146" s="14" t="n">
        <v>15</v>
      </c>
      <c r="S146" s="10" t="inlineStr">
        <is>
          <t>Lottery Machine No. 2 (?%)</t>
        </is>
      </c>
    </row>
    <row r="147">
      <c r="A147" s="14" t="inlineStr">
        <is>
          <t>Volsunga Saga</t>
        </is>
      </c>
      <c r="B147" s="14" t="inlineStr">
        <is>
          <t>SSS</t>
        </is>
      </c>
      <c r="C147" s="14" t="inlineStr">
        <is>
          <t>CIV</t>
        </is>
      </c>
      <c r="D147" s="15" t="n">
        <v>109</v>
      </c>
      <c r="E147" s="15" t="inlineStr">
        <is>
          <t>CIV +15</t>
        </is>
      </c>
      <c r="F147" s="15" t="inlineStr">
        <is>
          <t>ATK +9%</t>
        </is>
      </c>
      <c r="G147" s="14" t="inlineStr">
        <is>
          <t>DEF +9%</t>
        </is>
      </c>
      <c r="H147" s="16" t="n"/>
      <c r="I147" s="16" t="n">
        <v>9</v>
      </c>
      <c r="J147" s="16" t="n"/>
      <c r="K147" s="16" t="n">
        <v>9</v>
      </c>
      <c r="L147" s="16" t="n"/>
      <c r="M147" s="16" t="n"/>
      <c r="N147" s="16" t="n"/>
      <c r="O147" s="16" t="n"/>
      <c r="P147" s="16" t="n"/>
      <c r="Q147" s="16" t="n"/>
      <c r="R147" s="16" t="n">
        <v>15</v>
      </c>
      <c r="S147" s="22" t="inlineStr">
        <is>
          <t>Gold Pack #6</t>
        </is>
      </c>
    </row>
    <row r="148">
      <c r="A148" s="14" t="inlineStr">
        <is>
          <t>The King in Yellow</t>
        </is>
      </c>
      <c r="B148" s="14" t="inlineStr">
        <is>
          <t>SSS</t>
        </is>
      </c>
      <c r="C148" s="14" t="inlineStr">
        <is>
          <t>TECH</t>
        </is>
      </c>
      <c r="D148" s="15" t="n">
        <v>109</v>
      </c>
      <c r="E148" s="15" t="inlineStr">
        <is>
          <t>TECH +15</t>
        </is>
      </c>
      <c r="F148" s="15" t="inlineStr">
        <is>
          <t>CRIT +9%</t>
        </is>
      </c>
      <c r="G148" s="14" t="inlineStr">
        <is>
          <t>CRIT DMG +9%</t>
        </is>
      </c>
      <c r="H148" s="16" t="n"/>
      <c r="I148" s="16" t="n"/>
      <c r="J148" s="16" t="n"/>
      <c r="K148" s="16" t="n"/>
      <c r="L148" s="16" t="n">
        <v>9</v>
      </c>
      <c r="M148" s="16" t="n">
        <v>9</v>
      </c>
      <c r="N148" s="16" t="n"/>
      <c r="O148" s="16" t="n"/>
      <c r="P148" s="16" t="n"/>
      <c r="Q148" s="16" t="n"/>
      <c r="R148" s="16" t="n">
        <v>15</v>
      </c>
      <c r="S148" s="22" t="inlineStr">
        <is>
          <t>Gold Pack #7</t>
        </is>
      </c>
    </row>
    <row r="149">
      <c r="A149" s="14" t="inlineStr">
        <is>
          <t>Wilford's Engine</t>
        </is>
      </c>
      <c r="B149" s="14" t="inlineStr">
        <is>
          <t>SSS</t>
        </is>
      </c>
      <c r="C149" s="14" t="inlineStr">
        <is>
          <t>TECH</t>
        </is>
      </c>
      <c r="D149" s="15" t="n">
        <v>109</v>
      </c>
      <c r="E149" s="15" t="inlineStr">
        <is>
          <t>TECH +15</t>
        </is>
      </c>
      <c r="F149" s="15" t="inlineStr">
        <is>
          <t>Fire DMG +60</t>
        </is>
      </c>
      <c r="G149" s="14" t="inlineStr">
        <is>
          <t>RUSH +9%</t>
        </is>
      </c>
      <c r="H149" s="16" t="n"/>
      <c r="I149" s="16" t="n"/>
      <c r="J149" s="16" t="n">
        <v>9</v>
      </c>
      <c r="K149" s="16" t="n"/>
      <c r="L149" s="16" t="n"/>
      <c r="M149" s="16" t="n"/>
      <c r="N149" s="16" t="n"/>
      <c r="O149" s="16" t="n"/>
      <c r="P149" s="16" t="n"/>
      <c r="Q149" s="16" t="n">
        <v>60</v>
      </c>
      <c r="R149" s="16" t="n">
        <v>15</v>
      </c>
      <c r="S149" s="17" t="inlineStr">
        <is>
          <t>Lottery Machine No.2 (0.11%), Relic Forge (120 RF)</t>
        </is>
      </c>
    </row>
    <row r="150">
      <c r="A150" s="14" t="inlineStr">
        <is>
          <t>Rods from God</t>
        </is>
      </c>
      <c r="B150" s="14" t="inlineStr">
        <is>
          <t>SSS</t>
        </is>
      </c>
      <c r="C150" s="14" t="inlineStr">
        <is>
          <t>TECH</t>
        </is>
      </c>
      <c r="D150" s="15" t="n">
        <v>107</v>
      </c>
      <c r="E150" s="15" t="inlineStr">
        <is>
          <t>TECH +15</t>
        </is>
      </c>
      <c r="F150" s="15" t="inlineStr">
        <is>
          <t>DEF +9%</t>
        </is>
      </c>
      <c r="G150" s="14" t="inlineStr">
        <is>
          <t>DMG REDUC +6%</t>
        </is>
      </c>
      <c r="H150" s="16" t="n"/>
      <c r="I150" s="16" t="n"/>
      <c r="J150" s="16" t="n"/>
      <c r="K150" s="16" t="n">
        <v>9</v>
      </c>
      <c r="L150" s="16" t="n"/>
      <c r="M150" s="16" t="n"/>
      <c r="N150" s="16" t="n"/>
      <c r="O150" s="16" t="n">
        <v>6</v>
      </c>
      <c r="P150" s="16" t="n"/>
      <c r="Q150" s="16" t="n"/>
      <c r="R150" s="16" t="n">
        <v>15</v>
      </c>
      <c r="S150" s="17" t="inlineStr">
        <is>
          <t>Lottery Machine No.3 (0.12%)</t>
        </is>
      </c>
    </row>
    <row r="151">
      <c r="A151" s="14" t="inlineStr">
        <is>
          <t>Ruska's Microscope</t>
        </is>
      </c>
      <c r="B151" s="14" t="inlineStr">
        <is>
          <t>SS</t>
        </is>
      </c>
      <c r="C151" s="14" t="inlineStr">
        <is>
          <t>TECH</t>
        </is>
      </c>
      <c r="D151" s="15" t="n">
        <v>102</v>
      </c>
      <c r="E151" s="15" t="inlineStr">
        <is>
          <t>TECH +15</t>
        </is>
      </c>
      <c r="F151" s="15" t="inlineStr">
        <is>
          <t>DEF +9%</t>
        </is>
      </c>
      <c r="G151" s="14" t="n"/>
      <c r="H151" s="16" t="n"/>
      <c r="I151" s="16" t="n"/>
      <c r="J151" s="16" t="n"/>
      <c r="K151" s="16" t="n">
        <v>9</v>
      </c>
      <c r="L151" s="16" t="n"/>
      <c r="M151" s="16" t="n"/>
      <c r="N151" s="16" t="n"/>
      <c r="O151" s="16" t="n"/>
      <c r="P151" s="16" t="n"/>
      <c r="Q151" s="16" t="n"/>
      <c r="R151" s="16" t="n">
        <v>15</v>
      </c>
      <c r="S151" s="17" t="inlineStr">
        <is>
          <t>Lottery Machine No.2 (?%)</t>
        </is>
      </c>
    </row>
    <row r="152">
      <c r="A152" s="14" t="inlineStr">
        <is>
          <t>DIffraction Device</t>
        </is>
      </c>
      <c r="B152" s="14" t="inlineStr">
        <is>
          <t>S</t>
        </is>
      </c>
      <c r="C152" s="14" t="inlineStr">
        <is>
          <t>TECH</t>
        </is>
      </c>
      <c r="D152" s="15" t="n">
        <v>97</v>
      </c>
      <c r="E152" s="15" t="inlineStr">
        <is>
          <t>DEF +9%</t>
        </is>
      </c>
      <c r="F152" s="15" t="n"/>
      <c r="G152" s="14" t="n"/>
      <c r="H152" s="16" t="n"/>
      <c r="I152" s="16" t="n"/>
      <c r="J152" s="16" t="n"/>
      <c r="K152" s="16" t="n">
        <v>9</v>
      </c>
      <c r="L152" s="16" t="n"/>
      <c r="M152" s="16" t="n"/>
      <c r="N152" s="16" t="n"/>
      <c r="O152" s="16" t="n"/>
      <c r="P152" s="16" t="n"/>
      <c r="Q152" s="16" t="n"/>
      <c r="R152" s="16" t="n"/>
      <c r="S152" s="65" t="inlineStr">
        <is>
          <t>Lottery Machine No.2 (?%)</t>
        </is>
      </c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</row>
    <row r="158">
      <c r="C158" s="82" t="inlineStr">
        <is>
          <t>Relic</t>
        </is>
      </c>
      <c r="D158" s="83" t="n"/>
      <c r="E158" s="84" t="inlineStr">
        <is>
          <t>Slot</t>
        </is>
      </c>
      <c r="F158" s="84" t="inlineStr">
        <is>
          <t>Stat</t>
        </is>
      </c>
      <c r="G158" s="84">
        <f>D119</f>
        <v/>
      </c>
      <c r="H158" s="85" t="inlineStr">
        <is>
          <t>HP</t>
        </is>
      </c>
      <c r="I158" s="85" t="inlineStr">
        <is>
          <t>ATK</t>
        </is>
      </c>
      <c r="J158" s="85" t="inlineStr">
        <is>
          <t>RUSH</t>
        </is>
      </c>
      <c r="K158" s="85" t="inlineStr">
        <is>
          <t>DEF</t>
        </is>
      </c>
      <c r="L158" s="85" t="inlineStr">
        <is>
          <t>CRIT</t>
        </is>
      </c>
      <c r="M158" s="85" t="inlineStr">
        <is>
          <t>CRIT DMG</t>
        </is>
      </c>
      <c r="N158" s="85" t="inlineStr">
        <is>
          <t>DMG</t>
        </is>
      </c>
      <c r="O158" s="85" t="inlineStr">
        <is>
          <t>DMG Reduc</t>
        </is>
      </c>
      <c r="P158" s="85" t="inlineStr">
        <is>
          <t>Hero DMG</t>
        </is>
      </c>
      <c r="Q158" s="85" t="inlineStr">
        <is>
          <t>ELMT DMG</t>
        </is>
      </c>
      <c r="R158" s="85" t="inlineStr">
        <is>
          <t>Alternatives</t>
        </is>
      </c>
      <c r="S158" s="28" t="n"/>
      <c r="U158" s="16" t="n"/>
      <c r="V158" s="16" t="inlineStr">
        <is>
          <t>Boosted</t>
        </is>
      </c>
      <c r="W158" s="16" t="inlineStr">
        <is>
          <t>Damage</t>
        </is>
      </c>
    </row>
    <row r="159">
      <c r="C159" s="29">
        <f>A121</f>
        <v/>
      </c>
      <c r="D159" s="30" t="n"/>
      <c r="E159" s="31" t="inlineStr">
        <is>
          <t>FAME</t>
        </is>
      </c>
      <c r="F159" s="31" t="inlineStr">
        <is>
          <t>HARD</t>
        </is>
      </c>
      <c r="G159" s="32">
        <f>VLOOKUP($C159,$A$121:$R$152,4,FALSE)+VLOOKUP($C159,$A$121:$R$152,18,FALSE)</f>
        <v/>
      </c>
      <c r="H159" s="33">
        <f>VLOOKUP($C159,$A$121:$R$152,8,FALSE)+VLOOKUP($G159,$Y$2:$AA$50,2)</f>
        <v/>
      </c>
      <c r="I159" s="33">
        <f>VLOOKUP($C159,$A$121:$R$152,9,FALSE)+VLOOKUP($G159,$Y$2:$AA$50,2)</f>
        <v/>
      </c>
      <c r="J159" s="33">
        <f>VLOOKUP($C159,$A$121:$R$152,10,FALSE)+VLOOKUP($G159,$Y$2:$AA$50,2)</f>
        <v/>
      </c>
      <c r="K159" s="33">
        <f>VLOOKUP($C159,$A$121:$R$152,11,FALSE)+VLOOKUP($G159,$Y$2:$AA$50,2)</f>
        <v/>
      </c>
      <c r="L159" s="33">
        <f>VLOOKUP($C159,$A$121:$R$152,12,FALSE)</f>
        <v/>
      </c>
      <c r="M159" s="33">
        <f>VLOOKUP($C159,$A$121:$R$152,13,FALSE)</f>
        <v/>
      </c>
      <c r="N159" s="33">
        <f>VLOOKUP($C159,$A$121:$R$152,14,FALSE)</f>
        <v/>
      </c>
      <c r="O159" s="33">
        <f>VLOOKUP($C159,$A$121:$R$152,15,FALSE)</f>
        <v/>
      </c>
      <c r="P159" s="33">
        <f>VLOOKUP($C159,$A$121:$R$152,16,FALSE)</f>
        <v/>
      </c>
      <c r="Q159" s="33">
        <f>VLOOKUP($C159,$A$121:$R$152,17,FALSE)</f>
        <v/>
      </c>
      <c r="R159" s="34">
        <f>A124</f>
        <v/>
      </c>
      <c r="S159" s="28" t="n"/>
      <c r="U159" s="16" t="inlineStr">
        <is>
          <t>Troop:</t>
        </is>
      </c>
      <c r="V159" s="16" t="n"/>
      <c r="W159" s="16" t="n"/>
    </row>
    <row r="160">
      <c r="C160" s="86">
        <f>A132</f>
        <v/>
      </c>
      <c r="D160" s="87" t="n"/>
      <c r="E160" s="88" t="inlineStr">
        <is>
          <t>ART</t>
        </is>
      </c>
      <c r="F160" s="88" t="inlineStr">
        <is>
          <t>HP</t>
        </is>
      </c>
      <c r="G160" s="89">
        <f>VLOOKUP($C160,$A$121:$R$152,4,FALSE)+VLOOKUP($C160,$A$121:$R$152,18,FALSE)</f>
        <v/>
      </c>
      <c r="H160" s="90">
        <f>VLOOKUP($C160,$A$121:$R$152,8,FALSE)+VLOOKUP($G160,$Y$2:$AA$50,3)</f>
        <v/>
      </c>
      <c r="I160" s="90">
        <f>VLOOKUP($C160,$A$121:$R$152,9,FALSE)</f>
        <v/>
      </c>
      <c r="J160" s="90">
        <f>VLOOKUP($C160,$A$121:$R$152,10,FALSE)</f>
        <v/>
      </c>
      <c r="K160" s="90">
        <f>VLOOKUP($C160,$A$121:$R$152,11,FALSE)</f>
        <v/>
      </c>
      <c r="L160" s="90">
        <f>VLOOKUP($C160,$A$121:$R$152,12,FALSE)</f>
        <v/>
      </c>
      <c r="M160" s="90">
        <f>VLOOKUP($C160,$A$121:$R$152,13,FALSE)</f>
        <v/>
      </c>
      <c r="N160" s="90">
        <f>VLOOKUP($C160,$A$121:$R$152,14,FALSE)</f>
        <v/>
      </c>
      <c r="O160" s="90">
        <f>VLOOKUP($C160,$A$121:$R$152,15,FALSE)</f>
        <v/>
      </c>
      <c r="P160" s="90">
        <f>VLOOKUP($C160,$A$121:$R$152,16,FALSE)</f>
        <v/>
      </c>
      <c r="Q160" s="90">
        <f>VLOOKUP($C160,$A$121:$R$152,17,FALSE)</f>
        <v/>
      </c>
      <c r="R160" s="91">
        <f>A128</f>
        <v/>
      </c>
      <c r="S160" s="28" t="n"/>
      <c r="U160" s="16" t="inlineStr">
        <is>
          <t>ATK</t>
        </is>
      </c>
      <c r="V160" s="16">
        <f>$Z$66*(1+I164/100)</f>
        <v/>
      </c>
      <c r="W160" s="16">
        <f>((V160-$Z$73)*(V162+P164/100)*((V163/100)*V164 + (1-V163/100)*1)) + LOG(V160,5)*Q164*(V162+P164/100)</f>
        <v/>
      </c>
    </row>
    <row r="161">
      <c r="C161" s="29">
        <f>A140</f>
        <v/>
      </c>
      <c r="D161" s="30" t="n"/>
      <c r="E161" s="31" t="inlineStr">
        <is>
          <t>FTH</t>
        </is>
      </c>
      <c r="F161" s="31" t="inlineStr">
        <is>
          <t>RUSH</t>
        </is>
      </c>
      <c r="G161" s="32">
        <f>VLOOKUP($C161,$A$121:$R$152,4,FALSE)+VLOOKUP($C161,$A$121:$R$152,18,FALSE)</f>
        <v/>
      </c>
      <c r="H161" s="33">
        <f>VLOOKUP($C161,$A$121:$R$152,8,FALSE)</f>
        <v/>
      </c>
      <c r="I161" s="33">
        <f>VLOOKUP($C161,$A$121:$R$152,9,FALSE)</f>
        <v/>
      </c>
      <c r="J161" s="33">
        <f>VLOOKUP($C161,$A$121:$R$152,10,FALSE)+VLOOKUP(G161,$Y$2:$AA$50,3)</f>
        <v/>
      </c>
      <c r="K161" s="33">
        <f>VLOOKUP($C161,$A$121:$R$152,11,FALSE)</f>
        <v/>
      </c>
      <c r="L161" s="33">
        <f>VLOOKUP($C161,$A$121:$R$152,12,FALSE)</f>
        <v/>
      </c>
      <c r="M161" s="33">
        <f>VLOOKUP($C161,$A$121:$R$152,13,FALSE)</f>
        <v/>
      </c>
      <c r="N161" s="33">
        <f>VLOOKUP($C161,$A$121:$R$152,14,FALSE)</f>
        <v/>
      </c>
      <c r="O161" s="33">
        <f>VLOOKUP($C161,$A$121:$R$152,15,FALSE)</f>
        <v/>
      </c>
      <c r="P161" s="33">
        <f>VLOOKUP($C161,$A$121:$R$152,16,FALSE)</f>
        <v/>
      </c>
      <c r="Q161" s="33">
        <f>VLOOKUP($C161,$A$121:$R$152,17,FALSE)</f>
        <v/>
      </c>
      <c r="R161" s="34">
        <f>A137</f>
        <v/>
      </c>
      <c r="S161" s="28" t="n"/>
      <c r="U161" s="16" t="inlineStr">
        <is>
          <t>RUSH</t>
        </is>
      </c>
      <c r="V161" s="16">
        <f>$Z$67*(1+J164/100)</f>
        <v/>
      </c>
      <c r="W161" s="16">
        <f>(V161-$Z$73)*(V162+P164/100)*((V163/100)*V164 + (1-V163/100)*1) + LOG(V161,5)*Q164*(V162+P164/100)</f>
        <v/>
      </c>
    </row>
    <row r="162">
      <c r="C162" s="86">
        <f>A141</f>
        <v/>
      </c>
      <c r="D162" s="87" t="n"/>
      <c r="E162" s="88" t="inlineStr">
        <is>
          <t>CIV</t>
        </is>
      </c>
      <c r="F162" s="88" t="inlineStr">
        <is>
          <t>ATK</t>
        </is>
      </c>
      <c r="G162" s="89">
        <f>VLOOKUP($C162,$A$121:$R$152,4,FALSE)+VLOOKUP($C162,$A$121:$R$152,18,FALSE)</f>
        <v/>
      </c>
      <c r="H162" s="90">
        <f>VLOOKUP($C162,$A$121:$R$152,8,FALSE)</f>
        <v/>
      </c>
      <c r="I162" s="90">
        <f>VLOOKUP($C162,$A$121:$R$152,9,FALSE)+VLOOKUP(G162,$Y$2:$AA$50,3)</f>
        <v/>
      </c>
      <c r="J162" s="90">
        <f>VLOOKUP($C162,$A$121:$R$152,10,FALSE)</f>
        <v/>
      </c>
      <c r="K162" s="90">
        <f>VLOOKUP($C162,$A$121:$R$152,11,FALSE)</f>
        <v/>
      </c>
      <c r="L162" s="90">
        <f>VLOOKUP($C162,$A$121:$R$152,12,FALSE)</f>
        <v/>
      </c>
      <c r="M162" s="90">
        <f>VLOOKUP($C162,$A$121:$R$152,13,FALSE)</f>
        <v/>
      </c>
      <c r="N162" s="90">
        <f>VLOOKUP($C162,$A$121:$R$152,14,FALSE)</f>
        <v/>
      </c>
      <c r="O162" s="90">
        <f>VLOOKUP($C162,$A$121:$R$152,15,FALSE)</f>
        <v/>
      </c>
      <c r="P162" s="90">
        <f>VLOOKUP($C162,$A$121:$R$152,16,FALSE)</f>
        <v/>
      </c>
      <c r="Q162" s="90">
        <f>VLOOKUP($C162,$A$121:$R$152,17,FALSE)</f>
        <v/>
      </c>
      <c r="R162" s="91">
        <f>A142</f>
        <v/>
      </c>
      <c r="S162" s="28" t="n"/>
      <c r="U162" s="16" t="inlineStr">
        <is>
          <t>DMG%</t>
        </is>
      </c>
      <c r="V162" s="16">
        <f>(1+($Z$68+N164)/100)</f>
        <v/>
      </c>
      <c r="W162" s="16" t="n"/>
    </row>
    <row r="163">
      <c r="C163" s="29">
        <f>A149</f>
        <v/>
      </c>
      <c r="D163" s="30" t="n"/>
      <c r="E163" s="31" t="inlineStr">
        <is>
          <t>TECH</t>
        </is>
      </c>
      <c r="F163" s="31" t="inlineStr">
        <is>
          <t>DEF</t>
        </is>
      </c>
      <c r="G163" s="32">
        <f>VLOOKUP($C163,$A$121:$R$152,4,FALSE)+VLOOKUP($C163,$A$121:$R$152,18,FALSE)</f>
        <v/>
      </c>
      <c r="H163" s="33">
        <f>VLOOKUP($C163,$A$121:$R$152,8,FALSE)</f>
        <v/>
      </c>
      <c r="I163" s="33">
        <f>VLOOKUP($C163,$A$121:$R$152,9,FALSE)</f>
        <v/>
      </c>
      <c r="J163" s="33">
        <f>VLOOKUP($C163,$A$121:$R$152,10,FALSE)</f>
        <v/>
      </c>
      <c r="K163" s="33">
        <f>VLOOKUP($C163,$A$121:$R$152,11,FALSE)+VLOOKUP(G163,$Y$2:$AA$50,3)</f>
        <v/>
      </c>
      <c r="L163" s="33">
        <f>VLOOKUP($C163,$A$121:$R$152,12,FALSE)</f>
        <v/>
      </c>
      <c r="M163" s="33">
        <f>VLOOKUP($C163,$A$121:$R$152,13,FALSE)</f>
        <v/>
      </c>
      <c r="N163" s="33">
        <f>VLOOKUP($C163,$A$121:$R$152,14,FALSE)</f>
        <v/>
      </c>
      <c r="O163" s="33">
        <f>VLOOKUP($C163,$A$121:$R$152,15,FALSE)</f>
        <v/>
      </c>
      <c r="P163" s="33">
        <f>VLOOKUP($C163,$A$121:$R$152,16,FALSE)</f>
        <v/>
      </c>
      <c r="Q163" s="33">
        <f>VLOOKUP($C163,$A$121:$R$152,17,FALSE)</f>
        <v/>
      </c>
      <c r="R163" s="34" t="inlineStr">
        <is>
          <t>The Prince</t>
        </is>
      </c>
      <c r="S163" s="28" t="n"/>
      <c r="U163" s="16" t="inlineStr">
        <is>
          <t>CRIT%</t>
        </is>
      </c>
      <c r="V163" s="16">
        <f>$Z$69+L164</f>
        <v/>
      </c>
      <c r="W163" s="16" t="n"/>
    </row>
    <row r="164">
      <c r="C164" s="92" t="inlineStr">
        <is>
          <t>Total</t>
        </is>
      </c>
      <c r="D164" s="87" t="n"/>
      <c r="E164" s="88" t="n"/>
      <c r="F164" s="88" t="n"/>
      <c r="G164" s="93" t="n"/>
      <c r="H164" s="90">
        <f>sum(H159:H163)</f>
        <v/>
      </c>
      <c r="I164" s="90">
        <f>sum(I159:I163)</f>
        <v/>
      </c>
      <c r="J164" s="90">
        <f>sum(J159:J163)</f>
        <v/>
      </c>
      <c r="K164" s="90">
        <f>sum(K159:K163)</f>
        <v/>
      </c>
      <c r="L164" s="90">
        <f>sum(L159:L163)</f>
        <v/>
      </c>
      <c r="M164" s="90">
        <f>sum(M159:M163)</f>
        <v/>
      </c>
      <c r="N164" s="90">
        <f>sum(N159:N163)</f>
        <v/>
      </c>
      <c r="O164" s="90">
        <f>sum(O159:O163)</f>
        <v/>
      </c>
      <c r="P164" s="90">
        <f>sum(P159:P163)</f>
        <v/>
      </c>
      <c r="Q164" s="90">
        <f>sum(Q159:Q163)</f>
        <v/>
      </c>
      <c r="R164" s="91" t="n"/>
      <c r="S164" s="28" t="n"/>
      <c r="U164" s="16" t="inlineStr">
        <is>
          <t>CRIT DMG%</t>
        </is>
      </c>
      <c r="V164" s="16">
        <f>1.5+($Z$70+M164)/100</f>
        <v/>
      </c>
      <c r="W164" s="16" t="n"/>
    </row>
    <row r="165">
      <c r="C165" s="43" t="inlineStr">
        <is>
          <t>Damage Per Round</t>
        </is>
      </c>
      <c r="D165" s="30" t="n"/>
      <c r="E165" s="44">
        <f>W160+W161</f>
        <v/>
      </c>
      <c r="F165" s="45" t="n"/>
      <c r="G165" s="46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</row>
    <row r="166"/>
    <row r="167"/>
    <row r="168"/>
    <row r="169">
      <c r="A169" s="94" t="inlineStr">
        <is>
          <t>Mantis</t>
        </is>
      </c>
      <c r="B169" s="2" t="n"/>
      <c r="C169" s="2" t="n"/>
      <c r="D169" s="3" t="inlineStr">
        <is>
          <t>Main AFFCT</t>
        </is>
      </c>
      <c r="E169" s="3" t="inlineStr">
        <is>
          <t>Stamp 1</t>
        </is>
      </c>
      <c r="F169" s="3" t="inlineStr">
        <is>
          <t>Stamp 2</t>
        </is>
      </c>
      <c r="G169" s="3" t="inlineStr">
        <is>
          <t>Stamp 3</t>
        </is>
      </c>
      <c r="H169" s="4" t="inlineStr">
        <is>
          <t>HP</t>
        </is>
      </c>
      <c r="I169" s="4" t="inlineStr">
        <is>
          <t>ATK</t>
        </is>
      </c>
      <c r="J169" s="4" t="inlineStr">
        <is>
          <t>RUSH</t>
        </is>
      </c>
      <c r="K169" s="4" t="inlineStr">
        <is>
          <t>DEF</t>
        </is>
      </c>
      <c r="L169" s="4" t="inlineStr">
        <is>
          <t>CRIT</t>
        </is>
      </c>
      <c r="M169" s="4" t="inlineStr">
        <is>
          <t>CRIT DMG</t>
        </is>
      </c>
      <c r="N169" s="4" t="inlineStr">
        <is>
          <t>DMG</t>
        </is>
      </c>
      <c r="O169" s="4" t="inlineStr">
        <is>
          <t>DMG Reduc</t>
        </is>
      </c>
      <c r="P169" s="4" t="inlineStr">
        <is>
          <t>Hero DMG</t>
        </is>
      </c>
      <c r="Q169" s="4" t="inlineStr">
        <is>
          <t>ELMT DMG</t>
        </is>
      </c>
      <c r="R169" s="4" t="inlineStr">
        <is>
          <t>AFFCT</t>
        </is>
      </c>
      <c r="S169" s="5" t="inlineStr">
        <is>
          <t>Source</t>
        </is>
      </c>
    </row>
    <row r="170">
      <c r="A170" s="8" t="inlineStr">
        <is>
          <t>INDIVIDUAL RELICS</t>
        </is>
      </c>
      <c r="B170" s="9" t="n"/>
      <c r="C170" s="9" t="n"/>
      <c r="D170" s="9" t="n"/>
      <c r="E170" s="9" t="n"/>
      <c r="F170" s="9" t="n"/>
      <c r="G170" s="9" t="n"/>
      <c r="S170" s="10" t="n"/>
    </row>
    <row r="171">
      <c r="A171" s="14" t="inlineStr">
        <is>
          <t>Pillars of Creation</t>
        </is>
      </c>
      <c r="B171" s="14" t="inlineStr">
        <is>
          <t>SSS</t>
        </is>
      </c>
      <c r="C171" s="14" t="inlineStr">
        <is>
          <t>FAME</t>
        </is>
      </c>
      <c r="D171" s="15" t="n">
        <v>111</v>
      </c>
      <c r="E171" s="15" t="inlineStr">
        <is>
          <t>FAME +15</t>
        </is>
      </c>
      <c r="F171" s="14" t="inlineStr">
        <is>
          <t>Earth DMG +60</t>
        </is>
      </c>
      <c r="G171" s="14" t="inlineStr">
        <is>
          <t>ATK +9%</t>
        </is>
      </c>
      <c r="H171" s="16" t="n"/>
      <c r="I171" s="16" t="n">
        <v>9</v>
      </c>
      <c r="J171" s="16" t="n"/>
      <c r="K171" s="16" t="n"/>
      <c r="L171" s="16" t="n"/>
      <c r="M171" s="16" t="n"/>
      <c r="N171" s="16" t="n"/>
      <c r="O171" s="16" t="n"/>
      <c r="P171" s="16" t="n"/>
      <c r="Q171" s="16" t="n">
        <v>60</v>
      </c>
      <c r="R171" s="16" t="n">
        <v>15</v>
      </c>
      <c r="S171" s="10" t="inlineStr">
        <is>
          <t>Lottery Machine No. 2 (0.11%)</t>
        </is>
      </c>
    </row>
    <row r="172">
      <c r="A172" s="14" t="inlineStr">
        <is>
          <t>WHC</t>
        </is>
      </c>
      <c r="B172" s="14" t="inlineStr">
        <is>
          <t>SSS</t>
        </is>
      </c>
      <c r="C172" s="14" t="inlineStr">
        <is>
          <t>FAME</t>
        </is>
      </c>
      <c r="D172" s="15" t="n">
        <v>106</v>
      </c>
      <c r="E172" s="15" t="inlineStr">
        <is>
          <t>DEF +9%</t>
        </is>
      </c>
      <c r="F172" s="14" t="inlineStr">
        <is>
          <t>DMG REDUC +6%</t>
        </is>
      </c>
      <c r="G172" s="14" t="inlineStr">
        <is>
          <t>Water DMG +60</t>
        </is>
      </c>
      <c r="H172" s="16" t="n"/>
      <c r="I172" s="16" t="n"/>
      <c r="J172" s="16" t="n"/>
      <c r="K172" s="16" t="n">
        <v>9</v>
      </c>
      <c r="L172" s="16" t="n"/>
      <c r="M172" s="16" t="n"/>
      <c r="N172" s="16" t="n"/>
      <c r="O172" s="16" t="n">
        <v>6</v>
      </c>
      <c r="P172" s="16" t="n"/>
      <c r="Q172" s="16" t="n">
        <v>60</v>
      </c>
      <c r="R172" s="16" t="n"/>
      <c r="S172" s="22" t="inlineStr">
        <is>
          <t>Lottery Machine No. 3 (?%), Museum Operations Value Pack III</t>
        </is>
      </c>
    </row>
    <row r="173">
      <c r="A173" s="19" t="inlineStr">
        <is>
          <t>The Prince</t>
        </is>
      </c>
      <c r="B173" s="19" t="inlineStr">
        <is>
          <t>SSS</t>
        </is>
      </c>
      <c r="C173" s="19" t="inlineStr">
        <is>
          <t>FAME</t>
        </is>
      </c>
      <c r="D173" s="20" t="n">
        <v>106</v>
      </c>
      <c r="E173" s="20" t="inlineStr">
        <is>
          <t>ATK +6%</t>
        </is>
      </c>
      <c r="F173" s="19" t="inlineStr">
        <is>
          <t>FAME +15</t>
        </is>
      </c>
      <c r="G173" s="19" t="inlineStr">
        <is>
          <t>CRIT DMG +6%</t>
        </is>
      </c>
      <c r="H173" s="21" t="n"/>
      <c r="I173" s="19" t="n">
        <v>6</v>
      </c>
      <c r="J173" s="19" t="n"/>
      <c r="K173" s="19" t="n"/>
      <c r="L173" s="19" t="n"/>
      <c r="M173" s="19" t="n">
        <v>6</v>
      </c>
      <c r="N173" s="19" t="n"/>
      <c r="O173" s="19" t="n"/>
      <c r="P173" s="19" t="n"/>
      <c r="Q173" s="19" t="n"/>
      <c r="R173" s="19" t="n">
        <v>15</v>
      </c>
      <c r="S173" s="10" t="inlineStr">
        <is>
          <t>Lottery Machine No. 2 (0.11%)</t>
        </is>
      </c>
    </row>
    <row r="174">
      <c r="A174" s="14" t="inlineStr">
        <is>
          <t>Cross of Lorraine</t>
        </is>
      </c>
      <c r="B174" s="14" t="inlineStr">
        <is>
          <t>SS</t>
        </is>
      </c>
      <c r="C174" s="14" t="inlineStr">
        <is>
          <t>FAME</t>
        </is>
      </c>
      <c r="D174" s="15" t="n">
        <v>104</v>
      </c>
      <c r="E174" s="15" t="inlineStr">
        <is>
          <t>FAME +15</t>
        </is>
      </c>
      <c r="F174" s="15" t="inlineStr">
        <is>
          <t>ATK +6%</t>
        </is>
      </c>
      <c r="G174" s="14" t="n"/>
      <c r="H174" s="11" t="n"/>
      <c r="I174" s="14" t="n">
        <v>6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>
        <v>15</v>
      </c>
      <c r="S174" s="10" t="inlineStr">
        <is>
          <t>Lottery Machine No. 2 (?%)</t>
        </is>
      </c>
    </row>
    <row r="175">
      <c r="A175" s="14" t="inlineStr">
        <is>
          <t>Herma of Pericles</t>
        </is>
      </c>
      <c r="B175" s="14" t="inlineStr">
        <is>
          <t>SSS</t>
        </is>
      </c>
      <c r="C175" s="14" t="inlineStr">
        <is>
          <t>ART</t>
        </is>
      </c>
      <c r="D175" s="15" t="n">
        <v>109</v>
      </c>
      <c r="E175" s="15" t="inlineStr">
        <is>
          <t>CRIT DMG +9%</t>
        </is>
      </c>
      <c r="F175" s="14" t="inlineStr">
        <is>
          <t>Wind DMG +60</t>
        </is>
      </c>
      <c r="G175" s="14" t="inlineStr">
        <is>
          <t>Hero DMG +6%</t>
        </is>
      </c>
      <c r="H175" s="16" t="n"/>
      <c r="I175" s="16" t="n"/>
      <c r="J175" s="16" t="n"/>
      <c r="K175" s="16" t="n"/>
      <c r="L175" s="16" t="n"/>
      <c r="M175" s="16" t="n">
        <v>9</v>
      </c>
      <c r="N175" s="16" t="n"/>
      <c r="O175" s="16" t="n"/>
      <c r="P175" s="16" t="n">
        <v>6</v>
      </c>
      <c r="Q175" s="16" t="n">
        <v>60</v>
      </c>
      <c r="R175" s="16" t="n"/>
      <c r="S175" s="17" t="inlineStr">
        <is>
          <t>Daily Pack #19</t>
        </is>
      </c>
    </row>
    <row r="176">
      <c r="A176" s="14" t="inlineStr">
        <is>
          <t>Arnolfini Portrait</t>
        </is>
      </c>
      <c r="B176" s="14" t="inlineStr">
        <is>
          <t>SSS</t>
        </is>
      </c>
      <c r="C176" s="14" t="inlineStr">
        <is>
          <t>ART</t>
        </is>
      </c>
      <c r="D176" s="15" t="n">
        <v>107</v>
      </c>
      <c r="E176" s="15" t="inlineStr">
        <is>
          <t>Earth DMG +60</t>
        </is>
      </c>
      <c r="F176" s="14" t="inlineStr">
        <is>
          <t>HP +9%</t>
        </is>
      </c>
      <c r="G176" s="14" t="inlineStr">
        <is>
          <t>WInd DMG +60</t>
        </is>
      </c>
      <c r="H176" s="16" t="n">
        <v>9</v>
      </c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>
        <v>120</v>
      </c>
      <c r="R176" s="16" t="n"/>
      <c r="S176" s="22" t="inlineStr">
        <is>
          <t>Daily Packs #53</t>
        </is>
      </c>
    </row>
    <row r="177">
      <c r="A177" s="14" t="inlineStr">
        <is>
          <t>Woman at Her Toilette</t>
        </is>
      </c>
      <c r="B177" s="14" t="inlineStr">
        <is>
          <t>SSS</t>
        </is>
      </c>
      <c r="C177" s="14" t="inlineStr">
        <is>
          <t>ART</t>
        </is>
      </c>
      <c r="D177" s="15" t="n">
        <v>109</v>
      </c>
      <c r="E177" s="15" t="inlineStr">
        <is>
          <t>ATK +6%</t>
        </is>
      </c>
      <c r="F177" s="14" t="inlineStr">
        <is>
          <t>RUSH +6%</t>
        </is>
      </c>
      <c r="G177" s="14" t="inlineStr">
        <is>
          <t>ART +15</t>
        </is>
      </c>
      <c r="H177" s="16" t="n"/>
      <c r="I177" s="16" t="n">
        <v>6</v>
      </c>
      <c r="J177" s="16" t="n">
        <v>6</v>
      </c>
      <c r="K177" s="16" t="n"/>
      <c r="L177" s="16" t="n"/>
      <c r="M177" s="16" t="n"/>
      <c r="N177" s="16" t="n"/>
      <c r="O177" s="16" t="n"/>
      <c r="P177" s="16" t="n"/>
      <c r="Q177" s="16" t="n"/>
      <c r="R177" s="16" t="n">
        <v>15</v>
      </c>
      <c r="S177" s="10" t="inlineStr">
        <is>
          <t>Minion Skin Lottery</t>
        </is>
      </c>
    </row>
    <row r="178">
      <c r="A178" s="14" t="inlineStr">
        <is>
          <t>Seated Voltaire</t>
        </is>
      </c>
      <c r="B178" s="14" t="inlineStr">
        <is>
          <t>SSS</t>
        </is>
      </c>
      <c r="C178" s="14" t="inlineStr">
        <is>
          <t>ART</t>
        </is>
      </c>
      <c r="D178" s="15" t="n">
        <v>106</v>
      </c>
      <c r="E178" s="15" t="inlineStr">
        <is>
          <t>DEF +6%</t>
        </is>
      </c>
      <c r="F178" s="14" t="inlineStr">
        <is>
          <t>ART +15</t>
        </is>
      </c>
      <c r="G178" s="14" t="inlineStr">
        <is>
          <t>Wind DMG +30</t>
        </is>
      </c>
      <c r="H178" s="11" t="n"/>
      <c r="I178" s="14" t="n"/>
      <c r="J178" s="14" t="n"/>
      <c r="K178" s="14" t="n">
        <v>6</v>
      </c>
      <c r="L178" s="14" t="n"/>
      <c r="M178" s="14" t="n"/>
      <c r="N178" s="14" t="n"/>
      <c r="O178" s="14" t="n"/>
      <c r="P178" s="14" t="n"/>
      <c r="Q178" s="14" t="n">
        <v>30</v>
      </c>
      <c r="R178" s="14" t="n">
        <v>15</v>
      </c>
      <c r="S178" s="10" t="inlineStr">
        <is>
          <t>Wish Box Relic Album #1</t>
        </is>
      </c>
    </row>
    <row r="179">
      <c r="A179" s="14" t="inlineStr">
        <is>
          <t>Book of Exodus</t>
        </is>
      </c>
      <c r="B179" s="14" t="inlineStr">
        <is>
          <t>SSS</t>
        </is>
      </c>
      <c r="C179" s="14" t="inlineStr">
        <is>
          <t>FTH</t>
        </is>
      </c>
      <c r="D179" s="15" t="n">
        <v>107</v>
      </c>
      <c r="E179" s="15" t="inlineStr">
        <is>
          <t>ATK +9%</t>
        </is>
      </c>
      <c r="F179" s="14" t="inlineStr">
        <is>
          <t>RUSH +9%</t>
        </is>
      </c>
      <c r="G179" s="14" t="inlineStr">
        <is>
          <t>FTH +15</t>
        </is>
      </c>
      <c r="H179" s="16" t="n"/>
      <c r="I179" s="16" t="n">
        <v>9</v>
      </c>
      <c r="J179" s="16" t="n">
        <v>9</v>
      </c>
      <c r="K179" s="16" t="n"/>
      <c r="L179" s="16" t="n"/>
      <c r="M179" s="16" t="n"/>
      <c r="N179" s="16" t="n"/>
      <c r="O179" s="16" t="n"/>
      <c r="P179" s="16" t="n"/>
      <c r="Q179" s="16" t="n"/>
      <c r="R179" s="16" t="n">
        <v>15</v>
      </c>
      <c r="S179" s="17" t="inlineStr">
        <is>
          <t>Traveler's Pack #7</t>
        </is>
      </c>
    </row>
    <row r="180">
      <c r="A180" s="14" t="inlineStr">
        <is>
          <t>Avesta</t>
        </is>
      </c>
      <c r="B180" s="14" t="inlineStr">
        <is>
          <t>SSS</t>
        </is>
      </c>
      <c r="C180" s="14" t="inlineStr">
        <is>
          <t>FTH</t>
        </is>
      </c>
      <c r="D180" s="15" t="n">
        <v>107</v>
      </c>
      <c r="E180" s="15" t="inlineStr">
        <is>
          <t>FTH +15</t>
        </is>
      </c>
      <c r="F180" s="14" t="inlineStr">
        <is>
          <t>DMG REDUC +6%</t>
        </is>
      </c>
      <c r="G180" s="14" t="inlineStr">
        <is>
          <t>DEF +9%</t>
        </is>
      </c>
      <c r="H180" s="16" t="n"/>
      <c r="I180" s="16" t="n"/>
      <c r="J180" s="16" t="n"/>
      <c r="K180" s="16" t="n">
        <v>9</v>
      </c>
      <c r="L180" s="16" t="n"/>
      <c r="M180" s="16" t="n"/>
      <c r="N180" s="16" t="n"/>
      <c r="O180" s="16" t="n">
        <v>6</v>
      </c>
      <c r="P180" s="16" t="n"/>
      <c r="Q180" s="16" t="n"/>
      <c r="R180" s="16" t="n">
        <v>15</v>
      </c>
      <c r="S180" s="17" t="inlineStr">
        <is>
          <t>Daily Silver Pack #7</t>
        </is>
      </c>
    </row>
    <row r="181">
      <c r="A181" s="14" t="inlineStr">
        <is>
          <t>Enuma Elish</t>
        </is>
      </c>
      <c r="B181" s="14" t="inlineStr">
        <is>
          <t>SSS</t>
        </is>
      </c>
      <c r="C181" s="14" t="inlineStr">
        <is>
          <t>FTH</t>
        </is>
      </c>
      <c r="D181" s="15" t="n">
        <v>107</v>
      </c>
      <c r="E181" s="15" t="inlineStr">
        <is>
          <t>FTH +15</t>
        </is>
      </c>
      <c r="F181" s="14" t="inlineStr">
        <is>
          <t>ATK +6%</t>
        </is>
      </c>
      <c r="G181" s="14" t="inlineStr">
        <is>
          <t>RUSH +6%</t>
        </is>
      </c>
      <c r="H181" s="11" t="n"/>
      <c r="I181" s="14" t="n">
        <v>6</v>
      </c>
      <c r="J181" s="14" t="n">
        <v>6</v>
      </c>
      <c r="K181" s="14" t="n"/>
      <c r="L181" s="14" t="n"/>
      <c r="M181" s="14" t="n"/>
      <c r="N181" s="14" t="n"/>
      <c r="O181" s="14" t="n"/>
      <c r="P181" s="14" t="n"/>
      <c r="Q181" s="14" t="n"/>
      <c r="R181" s="14" t="n">
        <v>15</v>
      </c>
      <c r="S181" s="10" t="inlineStr">
        <is>
          <t>Lottery Machine No. 2 (0.11%)</t>
        </is>
      </c>
    </row>
    <row r="182">
      <c r="A182" s="14" t="inlineStr">
        <is>
          <t>History of Animals</t>
        </is>
      </c>
      <c r="B182" s="14" t="inlineStr">
        <is>
          <t>SSS</t>
        </is>
      </c>
      <c r="C182" s="14" t="inlineStr">
        <is>
          <t>CIV</t>
        </is>
      </c>
      <c r="D182" s="15" t="n">
        <v>108</v>
      </c>
      <c r="E182" s="15" t="inlineStr">
        <is>
          <t>CIV +15</t>
        </is>
      </c>
      <c r="F182" s="15" t="inlineStr">
        <is>
          <t>ATK +9%</t>
        </is>
      </c>
      <c r="G182" s="14" t="inlineStr">
        <is>
          <t>Hero DMG +6%</t>
        </is>
      </c>
      <c r="H182" s="16" t="n"/>
      <c r="I182" s="16" t="n">
        <v>9</v>
      </c>
      <c r="J182" s="16" t="n"/>
      <c r="K182" s="16" t="n"/>
      <c r="L182" s="16" t="n"/>
      <c r="M182" s="16" t="n"/>
      <c r="N182" s="16" t="n"/>
      <c r="O182" s="16" t="n"/>
      <c r="P182" s="16" t="n">
        <v>6</v>
      </c>
      <c r="Q182" s="16" t="n">
        <v>60</v>
      </c>
      <c r="R182" s="16" t="n">
        <v>15</v>
      </c>
      <c r="S182" s="17" t="inlineStr">
        <is>
          <t>Squence Value Pack III</t>
        </is>
      </c>
    </row>
    <row r="183">
      <c r="A183" s="14" t="inlineStr">
        <is>
          <t>Dead Sea Scrolls</t>
        </is>
      </c>
      <c r="B183" s="14" t="inlineStr">
        <is>
          <t>SSS</t>
        </is>
      </c>
      <c r="C183" s="14" t="inlineStr">
        <is>
          <t>CIV</t>
        </is>
      </c>
      <c r="D183" s="15" t="n">
        <v>109</v>
      </c>
      <c r="E183" s="15" t="inlineStr">
        <is>
          <t>Water DMG +60</t>
        </is>
      </c>
      <c r="F183" s="15" t="inlineStr">
        <is>
          <t>RUSH +9%</t>
        </is>
      </c>
      <c r="G183" s="14" t="inlineStr">
        <is>
          <t>CRIT +9%</t>
        </is>
      </c>
      <c r="H183" s="16" t="n"/>
      <c r="I183" s="16" t="n"/>
      <c r="J183" s="16" t="n">
        <v>9</v>
      </c>
      <c r="K183" s="16" t="n"/>
      <c r="L183" s="16" t="n">
        <v>9</v>
      </c>
      <c r="M183" s="16" t="n"/>
      <c r="N183" s="16" t="n"/>
      <c r="O183" s="16" t="n"/>
      <c r="P183" s="16" t="n"/>
      <c r="Q183" s="16" t="n">
        <v>60</v>
      </c>
      <c r="R183" s="16" t="n"/>
      <c r="S183" s="17" t="inlineStr">
        <is>
          <t>Daily Pack #13</t>
        </is>
      </c>
    </row>
    <row r="184">
      <c r="A184" s="14" t="inlineStr">
        <is>
          <t>Qin Bronze Chariot</t>
        </is>
      </c>
      <c r="B184" s="14" t="inlineStr">
        <is>
          <t>SSS</t>
        </is>
      </c>
      <c r="C184" s="14" t="inlineStr">
        <is>
          <t>CIV</t>
        </is>
      </c>
      <c r="D184" s="15" t="n">
        <v>108</v>
      </c>
      <c r="E184" s="15" t="inlineStr">
        <is>
          <t>CIV +15</t>
        </is>
      </c>
      <c r="F184" s="15" t="inlineStr">
        <is>
          <t>Fire DMG +60</t>
        </is>
      </c>
      <c r="G184" s="14" t="inlineStr">
        <is>
          <t>ATK +9%</t>
        </is>
      </c>
      <c r="H184" s="16" t="n"/>
      <c r="I184" s="16" t="n">
        <v>9</v>
      </c>
      <c r="J184" s="16" t="n"/>
      <c r="K184" s="16" t="n"/>
      <c r="L184" s="16" t="n"/>
      <c r="M184" s="16" t="n"/>
      <c r="N184" s="16" t="n"/>
      <c r="O184" s="16" t="n"/>
      <c r="P184" s="16" t="n"/>
      <c r="Q184" s="16" t="n">
        <v>60</v>
      </c>
      <c r="R184" s="16" t="n">
        <v>15</v>
      </c>
      <c r="S184" s="17" t="inlineStr">
        <is>
          <t>Lottery Machine No. 3 (0.12%)</t>
        </is>
      </c>
    </row>
    <row r="185">
      <c r="A185" s="14" t="inlineStr">
        <is>
          <t>Remains of Sipán Lord</t>
        </is>
      </c>
      <c r="B185" s="14" t="inlineStr">
        <is>
          <t>SS</t>
        </is>
      </c>
      <c r="C185" s="14" t="inlineStr">
        <is>
          <t>CIV</t>
        </is>
      </c>
      <c r="D185" s="15" t="n">
        <v>105</v>
      </c>
      <c r="E185" s="15" t="inlineStr">
        <is>
          <t>Earth DMG +60</t>
        </is>
      </c>
      <c r="F185" s="15" t="inlineStr">
        <is>
          <t>ATK +9%</t>
        </is>
      </c>
      <c r="G185" s="14" t="n"/>
      <c r="H185" s="16" t="n"/>
      <c r="I185" s="16" t="n">
        <v>9</v>
      </c>
      <c r="J185" s="16" t="n"/>
      <c r="K185" s="16" t="n"/>
      <c r="L185" s="16" t="n"/>
      <c r="M185" s="16" t="n"/>
      <c r="N185" s="16" t="n"/>
      <c r="O185" s="16" t="n"/>
      <c r="P185" s="16" t="n"/>
      <c r="Q185" s="16" t="n">
        <v>60</v>
      </c>
      <c r="R185" s="16" t="n"/>
      <c r="S185" s="17" t="inlineStr">
        <is>
          <t>Lottery Machine No. 3 (0.24%)</t>
        </is>
      </c>
    </row>
    <row r="186">
      <c r="A186" s="14" t="inlineStr">
        <is>
          <t>Harem Wall Painting</t>
        </is>
      </c>
      <c r="B186" s="14" t="inlineStr">
        <is>
          <t>SS</t>
        </is>
      </c>
      <c r="C186" s="14" t="inlineStr">
        <is>
          <t>CIV</t>
        </is>
      </c>
      <c r="D186" s="15" t="n">
        <v>106</v>
      </c>
      <c r="E186" s="15" t="inlineStr">
        <is>
          <t>CIV +15</t>
        </is>
      </c>
      <c r="F186" s="15" t="inlineStr">
        <is>
          <t>RUSH +6%</t>
        </is>
      </c>
      <c r="G186" s="14" t="n"/>
      <c r="H186" s="11" t="n"/>
      <c r="I186" s="14" t="n"/>
      <c r="J186" s="14" t="n">
        <v>6</v>
      </c>
      <c r="K186" s="14" t="n"/>
      <c r="L186" s="14" t="n"/>
      <c r="M186" s="14" t="n"/>
      <c r="N186" s="14" t="n"/>
      <c r="O186" s="14" t="n"/>
      <c r="P186" s="14" t="n"/>
      <c r="Q186" s="14" t="n"/>
      <c r="R186" s="14" t="n">
        <v>15</v>
      </c>
      <c r="S186" s="10" t="inlineStr">
        <is>
          <t>Lottery Machine No. 2 (?%)</t>
        </is>
      </c>
    </row>
    <row r="187">
      <c r="A187" s="14" t="inlineStr">
        <is>
          <t>Volsunga Saga</t>
        </is>
      </c>
      <c r="B187" s="14" t="inlineStr">
        <is>
          <t>SSS</t>
        </is>
      </c>
      <c r="C187" s="14" t="inlineStr">
        <is>
          <t>CIV</t>
        </is>
      </c>
      <c r="D187" s="15" t="n">
        <v>109</v>
      </c>
      <c r="E187" s="15" t="inlineStr">
        <is>
          <t>CIV +15</t>
        </is>
      </c>
      <c r="F187" s="15" t="inlineStr">
        <is>
          <t>ATK +9%</t>
        </is>
      </c>
      <c r="G187" s="14" t="inlineStr">
        <is>
          <t>DEF +9%</t>
        </is>
      </c>
      <c r="H187" s="16" t="n"/>
      <c r="I187" s="16" t="n">
        <v>9</v>
      </c>
      <c r="J187" s="16" t="n"/>
      <c r="K187" s="16" t="n">
        <v>9</v>
      </c>
      <c r="L187" s="16" t="n"/>
      <c r="M187" s="16" t="n"/>
      <c r="N187" s="16" t="n"/>
      <c r="O187" s="16" t="n"/>
      <c r="P187" s="16" t="n"/>
      <c r="Q187" s="16" t="n"/>
      <c r="R187" s="16" t="n">
        <v>15</v>
      </c>
      <c r="S187" s="22" t="inlineStr">
        <is>
          <t>Gold Pack #6</t>
        </is>
      </c>
    </row>
    <row r="188">
      <c r="A188" s="14" t="inlineStr">
        <is>
          <t>The King in Yellow</t>
        </is>
      </c>
      <c r="B188" s="14" t="inlineStr">
        <is>
          <t>SSS</t>
        </is>
      </c>
      <c r="C188" s="14" t="inlineStr">
        <is>
          <t>TECH</t>
        </is>
      </c>
      <c r="D188" s="15" t="n">
        <v>109</v>
      </c>
      <c r="E188" s="15" t="inlineStr">
        <is>
          <t>TECH +15</t>
        </is>
      </c>
      <c r="F188" s="15" t="inlineStr">
        <is>
          <t>CRIT +9%</t>
        </is>
      </c>
      <c r="G188" s="14" t="inlineStr">
        <is>
          <t>CRIT DMG +9%</t>
        </is>
      </c>
      <c r="H188" s="16" t="n"/>
      <c r="I188" s="16" t="n"/>
      <c r="J188" s="16" t="n"/>
      <c r="K188" s="16" t="n"/>
      <c r="L188" s="16" t="n">
        <v>9</v>
      </c>
      <c r="M188" s="16" t="n">
        <v>9</v>
      </c>
      <c r="N188" s="16" t="n"/>
      <c r="O188" s="16" t="n"/>
      <c r="P188" s="16" t="n"/>
      <c r="Q188" s="16" t="n"/>
      <c r="R188" s="16" t="n">
        <v>15</v>
      </c>
      <c r="S188" s="22" t="inlineStr">
        <is>
          <t>Gold Pack #7</t>
        </is>
      </c>
    </row>
    <row r="189">
      <c r="A189" s="14" t="inlineStr">
        <is>
          <t>Hypercube</t>
        </is>
      </c>
      <c r="B189" s="14" t="inlineStr">
        <is>
          <t>SSS</t>
        </is>
      </c>
      <c r="C189" s="14" t="inlineStr">
        <is>
          <t>TECH</t>
        </is>
      </c>
      <c r="D189" s="15" t="n">
        <v>108</v>
      </c>
      <c r="E189" s="15" t="inlineStr">
        <is>
          <t>Wind DMG +60</t>
        </is>
      </c>
      <c r="F189" s="15" t="inlineStr">
        <is>
          <t>HP +9%</t>
        </is>
      </c>
      <c r="G189" s="14" t="inlineStr">
        <is>
          <t>Hero DMG +6%</t>
        </is>
      </c>
      <c r="H189" s="16" t="n">
        <v>9</v>
      </c>
      <c r="I189" s="16" t="n"/>
      <c r="J189" s="16" t="n"/>
      <c r="K189" s="16" t="n"/>
      <c r="L189" s="16" t="n"/>
      <c r="M189" s="16" t="n"/>
      <c r="N189" s="16" t="n"/>
      <c r="O189" s="16" t="n"/>
      <c r="P189" s="16" t="n">
        <v>6</v>
      </c>
      <c r="Q189" s="16" t="n">
        <v>60</v>
      </c>
      <c r="R189" s="16" t="n"/>
      <c r="S189" s="22" t="inlineStr">
        <is>
          <t>Wish Box Relic Album #11</t>
        </is>
      </c>
    </row>
    <row r="190">
      <c r="A190" s="14" t="inlineStr">
        <is>
          <t>Ebers Papyrus</t>
        </is>
      </c>
      <c r="B190" s="14" t="inlineStr">
        <is>
          <t>SSS</t>
        </is>
      </c>
      <c r="C190" s="14" t="inlineStr">
        <is>
          <t>TECH</t>
        </is>
      </c>
      <c r="D190" s="15" t="n">
        <v>106</v>
      </c>
      <c r="E190" s="15" t="inlineStr">
        <is>
          <t>HP +9%</t>
        </is>
      </c>
      <c r="F190" s="15" t="inlineStr">
        <is>
          <t>DEF +9%</t>
        </is>
      </c>
      <c r="G190" s="14" t="inlineStr">
        <is>
          <t>TECH +15</t>
        </is>
      </c>
      <c r="H190" s="16" t="n">
        <v>9</v>
      </c>
      <c r="I190" s="16" t="n"/>
      <c r="J190" s="16" t="n"/>
      <c r="K190" s="16" t="n">
        <v>9</v>
      </c>
      <c r="L190" s="16" t="n"/>
      <c r="M190" s="16" t="n"/>
      <c r="N190" s="16" t="n"/>
      <c r="O190" s="16" t="n"/>
      <c r="P190" s="16" t="n"/>
      <c r="Q190" s="16" t="n"/>
      <c r="R190" s="16" t="n">
        <v>15</v>
      </c>
      <c r="S190" s="48" t="inlineStr">
        <is>
          <t>Lottery Machine No.2 (?%), Relic Forge (120 RF)</t>
        </is>
      </c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</row>
    <row r="196">
      <c r="C196" s="95" t="inlineStr">
        <is>
          <t>Relic</t>
        </is>
      </c>
      <c r="D196" s="96" t="n"/>
      <c r="E196" s="97" t="inlineStr">
        <is>
          <t>Slot</t>
        </is>
      </c>
      <c r="F196" s="97" t="inlineStr">
        <is>
          <t>Stat</t>
        </is>
      </c>
      <c r="G196" s="97">
        <f>D156</f>
        <v/>
      </c>
      <c r="H196" s="98" t="inlineStr">
        <is>
          <t>HP</t>
        </is>
      </c>
      <c r="I196" s="98" t="inlineStr">
        <is>
          <t>ATK</t>
        </is>
      </c>
      <c r="J196" s="98" t="inlineStr">
        <is>
          <t>RUSH</t>
        </is>
      </c>
      <c r="K196" s="98" t="inlineStr">
        <is>
          <t>DEF</t>
        </is>
      </c>
      <c r="L196" s="98" t="inlineStr">
        <is>
          <t>CRIT</t>
        </is>
      </c>
      <c r="M196" s="98" t="inlineStr">
        <is>
          <t>CRIT DMG</t>
        </is>
      </c>
      <c r="N196" s="98" t="inlineStr">
        <is>
          <t>DMG</t>
        </is>
      </c>
      <c r="O196" s="98" t="inlineStr">
        <is>
          <t>DMG Reduc</t>
        </is>
      </c>
      <c r="P196" s="98" t="inlineStr">
        <is>
          <t>Hero DMG</t>
        </is>
      </c>
      <c r="Q196" s="98" t="inlineStr">
        <is>
          <t>ELMT DMG</t>
        </is>
      </c>
      <c r="R196" s="98" t="inlineStr">
        <is>
          <t>Alternatives</t>
        </is>
      </c>
      <c r="S196" s="28" t="n"/>
      <c r="U196" s="16" t="n"/>
      <c r="V196" s="16" t="inlineStr">
        <is>
          <t>Boosted</t>
        </is>
      </c>
      <c r="W196" s="16" t="inlineStr">
        <is>
          <t>Damage</t>
        </is>
      </c>
    </row>
    <row r="197">
      <c r="C197" s="29">
        <f>A171</f>
        <v/>
      </c>
      <c r="D197" s="30" t="n"/>
      <c r="E197" s="31" t="inlineStr">
        <is>
          <t>FAME</t>
        </is>
      </c>
      <c r="F197" s="31" t="inlineStr">
        <is>
          <t>HARD</t>
        </is>
      </c>
      <c r="G197" s="32">
        <f>VLOOKUP($C197,$A$170:$R$190,4,FALSE)+VLOOKUP($C197,$A$170:$R$190,18,FALSE)</f>
        <v/>
      </c>
      <c r="H197" s="33">
        <f>VLOOKUP($C197,$A$170:$R$190,8,FALSE)+VLOOKUP($G197,$Y$2:$AA$50,2)</f>
        <v/>
      </c>
      <c r="I197" s="33">
        <f>VLOOKUP($C197,$A$170:$R$190,9,FALSE)+VLOOKUP($G197,$Y$2:$AA$50,2)</f>
        <v/>
      </c>
      <c r="J197" s="33">
        <f>VLOOKUP($C197,$A$170:$R$190,10,FALSE)+VLOOKUP($G197,$Y$2:$AA$50,2)</f>
        <v/>
      </c>
      <c r="K197" s="33">
        <f>VLOOKUP($C197,$A$170:$R$190,11,FALSE)+VLOOKUP($G197,$Y$2:$AA$50,2)</f>
        <v/>
      </c>
      <c r="L197" s="33">
        <f>VLOOKUP($C197,$A$170:$R$190,12,FALSE)</f>
        <v/>
      </c>
      <c r="M197" s="33">
        <f>VLOOKUP($C197,$A$170:$R$190,13,FALSE)</f>
        <v/>
      </c>
      <c r="N197" s="33">
        <f>VLOOKUP($C197,$A$170:$R$190,14,FALSE)</f>
        <v/>
      </c>
      <c r="O197" s="33">
        <f>VLOOKUP($C197,$A$170:$R$190,15,FALSE)</f>
        <v/>
      </c>
      <c r="P197" s="33">
        <f>VLOOKUP($C197,$A$170:$R$190,16,FALSE)</f>
        <v/>
      </c>
      <c r="Q197" s="33">
        <f>VLOOKUP($C197,$A$170:$R$190,17,FALSE)</f>
        <v/>
      </c>
      <c r="R197" s="34">
        <f>A173</f>
        <v/>
      </c>
      <c r="S197" s="28" t="n"/>
      <c r="U197" s="16" t="inlineStr">
        <is>
          <t>Troop:</t>
        </is>
      </c>
      <c r="V197" s="16" t="n"/>
      <c r="W197" s="16" t="n"/>
    </row>
    <row r="198">
      <c r="C198" s="99">
        <f>A177</f>
        <v/>
      </c>
      <c r="D198" s="100" t="n"/>
      <c r="E198" s="101" t="inlineStr">
        <is>
          <t>ART</t>
        </is>
      </c>
      <c r="F198" s="101" t="inlineStr">
        <is>
          <t>HP</t>
        </is>
      </c>
      <c r="G198" s="102">
        <f>VLOOKUP($C198,$A$170:$R$190,4,FALSE)+VLOOKUP($C198,$A$170:$R$190,18,FALSE)</f>
        <v/>
      </c>
      <c r="H198" s="103">
        <f>VLOOKUP($C198,$A$170:$R$190,8,FALSE)+VLOOKUP($G198,$Y$2:$AA$50,3)</f>
        <v/>
      </c>
      <c r="I198" s="103">
        <f>VLOOKUP($C198,$A$170:$R$190,9,FALSE)</f>
        <v/>
      </c>
      <c r="J198" s="103">
        <f>VLOOKUP($C198,$A$170:$R$190,10,FALSE)</f>
        <v/>
      </c>
      <c r="K198" s="103">
        <f>VLOOKUP($C198,$A$170:$R$190,11,FALSE)</f>
        <v/>
      </c>
      <c r="L198" s="103">
        <f>VLOOKUP($C198,$A$170:$R$190,12,FALSE)</f>
        <v/>
      </c>
      <c r="M198" s="103">
        <f>VLOOKUP($C198,$A$170:$R$190,13,FALSE)</f>
        <v/>
      </c>
      <c r="N198" s="103">
        <f>VLOOKUP($C198,$A$170:$R$190,14,FALSE)</f>
        <v/>
      </c>
      <c r="O198" s="103">
        <f>VLOOKUP($C198,$A$170:$R$190,15,FALSE)</f>
        <v/>
      </c>
      <c r="P198" s="103">
        <f>VLOOKUP($C198,$A$170:$R$190,16,FALSE)</f>
        <v/>
      </c>
      <c r="Q198" s="103">
        <f>VLOOKUP($C198,$A$170:$R$190,17,FALSE)</f>
        <v/>
      </c>
      <c r="R198" s="104">
        <f>A175</f>
        <v/>
      </c>
      <c r="S198" s="28" t="n"/>
      <c r="U198" s="16" t="inlineStr">
        <is>
          <t>ATK</t>
        </is>
      </c>
      <c r="V198" s="16">
        <f>$Z$66*(1+I202/100)</f>
        <v/>
      </c>
      <c r="W198" s="16">
        <f>((V198-$Z$73)*(V200+P202/100)*((V201/100)*V202 + (1-V201/100)*1)) + LOG(V198,5)*Q202*(V200+P202/100)</f>
        <v/>
      </c>
    </row>
    <row r="199">
      <c r="C199" s="29">
        <f>A179</f>
        <v/>
      </c>
      <c r="D199" s="30" t="n"/>
      <c r="E199" s="31" t="inlineStr">
        <is>
          <t>FTH</t>
        </is>
      </c>
      <c r="F199" s="31" t="inlineStr">
        <is>
          <t>RUSH</t>
        </is>
      </c>
      <c r="G199" s="32">
        <f>VLOOKUP($C199,$A$170:$R$190,4,FALSE)+VLOOKUP($C199,$A$170:$R$190,18,FALSE)</f>
        <v/>
      </c>
      <c r="H199" s="33">
        <f>VLOOKUP($C199,$A$170:$R$190,8,FALSE)</f>
        <v/>
      </c>
      <c r="I199" s="33">
        <f>VLOOKUP($C199,$A$170:$R$190,9,FALSE)</f>
        <v/>
      </c>
      <c r="J199" s="33">
        <f>VLOOKUP($C199,$A$170:$R$190,10,FALSE)+VLOOKUP(G199,$Y$2:$AA$50,3)</f>
        <v/>
      </c>
      <c r="K199" s="33">
        <f>VLOOKUP($C199,$A$170:$R$190,11,FALSE)</f>
        <v/>
      </c>
      <c r="L199" s="33">
        <f>VLOOKUP($C199,$A$170:$R$190,12,FALSE)</f>
        <v/>
      </c>
      <c r="M199" s="33">
        <f>VLOOKUP($C199,$A$170:$R$190,13,FALSE)</f>
        <v/>
      </c>
      <c r="N199" s="33">
        <f>VLOOKUP($C199,$A$170:$R$190,14,FALSE)</f>
        <v/>
      </c>
      <c r="O199" s="33">
        <f>VLOOKUP($C199,$A$170:$R$190,15,FALSE)</f>
        <v/>
      </c>
      <c r="P199" s="33">
        <f>VLOOKUP($C199,$A$170:$R$190,16,FALSE)</f>
        <v/>
      </c>
      <c r="Q199" s="33">
        <f>VLOOKUP($C199,$A$170:$R$190,17,FALSE)</f>
        <v/>
      </c>
      <c r="R199" s="34">
        <f>A181</f>
        <v/>
      </c>
      <c r="S199" s="28" t="n"/>
      <c r="U199" s="16" t="inlineStr">
        <is>
          <t>RUSH</t>
        </is>
      </c>
      <c r="V199" s="16">
        <f>$Z$67*(1+J202/100)</f>
        <v/>
      </c>
      <c r="W199" s="16">
        <f>(V199-$Z$73)*(V200+P202/100)*((V201/100)*V202 + (1-V201/100)*1) + LOG(V199,5)*Q202*(V200+P202/100)</f>
        <v/>
      </c>
    </row>
    <row r="200">
      <c r="C200" s="99">
        <f>A182</f>
        <v/>
      </c>
      <c r="D200" s="100" t="n"/>
      <c r="E200" s="101" t="inlineStr">
        <is>
          <t>CIV</t>
        </is>
      </c>
      <c r="F200" s="101" t="inlineStr">
        <is>
          <t>ATK</t>
        </is>
      </c>
      <c r="G200" s="102">
        <f>VLOOKUP($C200,$A$170:$R$190,4,FALSE)+VLOOKUP($C200,$A$170:$R$190,18,FALSE)</f>
        <v/>
      </c>
      <c r="H200" s="103">
        <f>VLOOKUP($C200,$A$170:$R$190,8,FALSE)</f>
        <v/>
      </c>
      <c r="I200" s="103">
        <f>VLOOKUP($C200,$A$170:$R$190,9,FALSE)+VLOOKUP(G200,$Y$2:$AA$50,3)</f>
        <v/>
      </c>
      <c r="J200" s="103">
        <f>VLOOKUP($C200,$A$170:$R$190,10,FALSE)</f>
        <v/>
      </c>
      <c r="K200" s="103">
        <f>VLOOKUP($C200,$A$170:$R$190,11,FALSE)</f>
        <v/>
      </c>
      <c r="L200" s="103">
        <f>VLOOKUP($C200,$A$170:$R$190,12,FALSE)</f>
        <v/>
      </c>
      <c r="M200" s="103">
        <f>VLOOKUP($C200,$A$170:$R$190,13,FALSE)</f>
        <v/>
      </c>
      <c r="N200" s="103">
        <f>VLOOKUP($C200,$A$170:$R$190,14,FALSE)</f>
        <v/>
      </c>
      <c r="O200" s="103">
        <f>VLOOKUP($C200,$A$170:$R$190,15,FALSE)</f>
        <v/>
      </c>
      <c r="P200" s="103">
        <f>VLOOKUP($C200,$A$170:$R$190,16,FALSE)</f>
        <v/>
      </c>
      <c r="Q200" s="103">
        <f>VLOOKUP($C200,$A$170:$R$190,17,FALSE)</f>
        <v/>
      </c>
      <c r="R200" s="104">
        <f>A183</f>
        <v/>
      </c>
      <c r="S200" s="28" t="n"/>
      <c r="U200" s="16" t="inlineStr">
        <is>
          <t>DMG%</t>
        </is>
      </c>
      <c r="V200" s="16">
        <f>(1+($Z$68+N202)/100)</f>
        <v/>
      </c>
      <c r="W200" s="16" t="n"/>
    </row>
    <row r="201">
      <c r="C201" s="29">
        <f>A181</f>
        <v/>
      </c>
      <c r="D201" s="30" t="n"/>
      <c r="E201" s="31" t="inlineStr">
        <is>
          <t>TECH</t>
        </is>
      </c>
      <c r="F201" s="31" t="inlineStr">
        <is>
          <t>DEF</t>
        </is>
      </c>
      <c r="G201" s="32" t="n">
        <v>72</v>
      </c>
      <c r="H201" s="33">
        <f>VLOOKUP($C201,$A$170:$R$190,8,FALSE)</f>
        <v/>
      </c>
      <c r="I201" s="33">
        <f>VLOOKUP($C201,$A$170:$R$190,9,FALSE)</f>
        <v/>
      </c>
      <c r="J201" s="33">
        <f>VLOOKUP($C201,$A$170:$R$190,10,FALSE)</f>
        <v/>
      </c>
      <c r="K201" s="33">
        <f>VLOOKUP($C201,$A$170:$R$190,11,FALSE)+VLOOKUP(G201,$Y$2:$AA$50,3)</f>
        <v/>
      </c>
      <c r="L201" s="33">
        <f>VLOOKUP($C201,$A$170:$R$190,12,FALSE)</f>
        <v/>
      </c>
      <c r="M201" s="33">
        <f>VLOOKUP($C201,$A$170:$R$190,13,FALSE)</f>
        <v/>
      </c>
      <c r="N201" s="33">
        <f>VLOOKUP($C201,$A$170:$R$190,14,FALSE)</f>
        <v/>
      </c>
      <c r="O201" s="33">
        <f>VLOOKUP($C201,$A$170:$R$190,15,FALSE)</f>
        <v/>
      </c>
      <c r="P201" s="33">
        <f>VLOOKUP($C201,$A$170:$R$190,16,FALSE)</f>
        <v/>
      </c>
      <c r="Q201" s="33">
        <f>VLOOKUP($C201,$A$170:$R$190,17,FALSE)</f>
        <v/>
      </c>
      <c r="R201" s="34">
        <f>A189</f>
        <v/>
      </c>
      <c r="S201" s="28" t="n"/>
      <c r="U201" s="16" t="inlineStr">
        <is>
          <t>CRIT%</t>
        </is>
      </c>
      <c r="V201" s="16">
        <f>$Z$69+L202</f>
        <v/>
      </c>
      <c r="W201" s="16" t="n"/>
    </row>
    <row r="202">
      <c r="C202" s="105" t="inlineStr">
        <is>
          <t>Total</t>
        </is>
      </c>
      <c r="D202" s="100" t="n"/>
      <c r="E202" s="101" t="n"/>
      <c r="F202" s="101" t="n"/>
      <c r="G202" s="106" t="n"/>
      <c r="H202" s="103">
        <f>sum(H197:H201)</f>
        <v/>
      </c>
      <c r="I202" s="103">
        <f>sum(I197:I201)</f>
        <v/>
      </c>
      <c r="J202" s="103">
        <f>sum(J197:J201)</f>
        <v/>
      </c>
      <c r="K202" s="103">
        <f>sum(K197:K201)</f>
        <v/>
      </c>
      <c r="L202" s="103">
        <f>sum(L197:L201)</f>
        <v/>
      </c>
      <c r="M202" s="103">
        <f>sum(M197:M201)</f>
        <v/>
      </c>
      <c r="N202" s="103">
        <f>sum(N197:N201)</f>
        <v/>
      </c>
      <c r="O202" s="103">
        <f>sum(O197:O201)</f>
        <v/>
      </c>
      <c r="P202" s="103">
        <f>sum(P197:P201)</f>
        <v/>
      </c>
      <c r="Q202" s="103">
        <f>sum(Q197:Q201)</f>
        <v/>
      </c>
      <c r="R202" s="104" t="inlineStr"/>
      <c r="S202" s="28" t="n"/>
      <c r="U202" s="16" t="inlineStr">
        <is>
          <t>CRIT DMG%</t>
        </is>
      </c>
      <c r="V202" s="16">
        <f>1.5+($Z$70+M202)/100</f>
        <v/>
      </c>
      <c r="W202" s="16" t="n"/>
    </row>
    <row r="203">
      <c r="C203" s="43" t="inlineStr">
        <is>
          <t>Damage Per Round</t>
        </is>
      </c>
      <c r="D203" s="30" t="n"/>
      <c r="E203" s="44">
        <f>W198+W199</f>
        <v/>
      </c>
      <c r="F203" s="45" t="n"/>
      <c r="G203" s="46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</row>
    <row r="204"/>
    <row r="205"/>
    <row r="206"/>
    <row r="207">
      <c r="A207" s="107" t="inlineStr">
        <is>
          <t>Minion Sim</t>
        </is>
      </c>
      <c r="B207" s="108" t="n"/>
      <c r="C207" s="108" t="n"/>
      <c r="D207" s="109" t="inlineStr">
        <is>
          <t>Main AFFCT</t>
        </is>
      </c>
      <c r="E207" s="109" t="inlineStr">
        <is>
          <t>Stamp 1</t>
        </is>
      </c>
      <c r="F207" s="109" t="inlineStr">
        <is>
          <t>Stamp 2</t>
        </is>
      </c>
      <c r="G207" s="109" t="inlineStr">
        <is>
          <t>Stamp 3</t>
        </is>
      </c>
      <c r="H207" s="109" t="inlineStr">
        <is>
          <t>HP</t>
        </is>
      </c>
      <c r="I207" s="109" t="inlineStr">
        <is>
          <t>ATK</t>
        </is>
      </c>
      <c r="J207" s="109" t="inlineStr">
        <is>
          <t>RUSH</t>
        </is>
      </c>
      <c r="K207" s="109" t="inlineStr">
        <is>
          <t>DEF</t>
        </is>
      </c>
      <c r="L207" s="109" t="inlineStr">
        <is>
          <t>CRIT</t>
        </is>
      </c>
      <c r="M207" s="109" t="inlineStr">
        <is>
          <t>CRIT DMG</t>
        </is>
      </c>
      <c r="N207" s="109" t="inlineStr">
        <is>
          <t>DMG</t>
        </is>
      </c>
      <c r="O207" s="109" t="inlineStr">
        <is>
          <t>DMG Reduc</t>
        </is>
      </c>
      <c r="P207" s="109" t="inlineStr">
        <is>
          <t>Hero DMG</t>
        </is>
      </c>
      <c r="Q207" s="109" t="inlineStr">
        <is>
          <t>ELMT DMG</t>
        </is>
      </c>
      <c r="R207" s="109" t="inlineStr">
        <is>
          <t>AFFCT</t>
        </is>
      </c>
      <c r="S207" s="110" t="inlineStr">
        <is>
          <t>Sub AFFCT</t>
        </is>
      </c>
      <c r="T207" s="111" t="inlineStr">
        <is>
          <t>Source</t>
        </is>
      </c>
    </row>
    <row r="208">
      <c r="A208" s="8" t="inlineStr">
        <is>
          <t>INDIVIDUAL RELICS</t>
        </is>
      </c>
      <c r="B208" s="9" t="n"/>
      <c r="C208" s="9" t="n"/>
      <c r="D208" s="9" t="n"/>
      <c r="E208" s="9" t="n"/>
      <c r="F208" s="9" t="n"/>
      <c r="G208" s="9" t="n"/>
      <c r="T208" s="10" t="n"/>
    </row>
    <row r="209">
      <c r="A209" s="14" t="inlineStr">
        <is>
          <t>Utopia</t>
        </is>
      </c>
      <c r="B209" s="14" t="inlineStr">
        <is>
          <t>SSS</t>
        </is>
      </c>
      <c r="C209" s="14" t="inlineStr">
        <is>
          <t>FAME</t>
        </is>
      </c>
      <c r="D209" s="15" t="n">
        <v>108</v>
      </c>
      <c r="E209" s="15" t="inlineStr">
        <is>
          <t>FAME +15</t>
        </is>
      </c>
      <c r="F209" s="14" t="inlineStr">
        <is>
          <t>HARD +3%</t>
        </is>
      </c>
      <c r="G209" s="14" t="inlineStr">
        <is>
          <t>DMG REDUC +6%</t>
        </is>
      </c>
      <c r="H209" s="16" t="n">
        <v>3</v>
      </c>
      <c r="I209" s="16" t="n">
        <v>3</v>
      </c>
      <c r="J209" s="16" t="n">
        <v>3</v>
      </c>
      <c r="K209" s="16" t="n">
        <v>3</v>
      </c>
      <c r="L209" s="16" t="n"/>
      <c r="M209" s="16" t="n"/>
      <c r="N209" s="16" t="n"/>
      <c r="O209" s="16" t="n">
        <v>6</v>
      </c>
      <c r="P209" s="16" t="n"/>
      <c r="Q209" s="16" t="n"/>
      <c r="R209" s="16" t="n">
        <v>15</v>
      </c>
      <c r="S209" s="16" t="n"/>
      <c r="T209" s="17" t="inlineStr">
        <is>
          <t>Lottery Machine No. 3 (0.12%)</t>
        </is>
      </c>
    </row>
    <row r="210">
      <c r="A210" s="14" t="inlineStr">
        <is>
          <t>L'Art de la Guerre</t>
        </is>
      </c>
      <c r="B210" s="14" t="inlineStr">
        <is>
          <t>SSS</t>
        </is>
      </c>
      <c r="C210" s="14" t="inlineStr">
        <is>
          <t>FAME</t>
        </is>
      </c>
      <c r="D210" s="15" t="n">
        <v>107</v>
      </c>
      <c r="E210" s="15" t="inlineStr">
        <is>
          <t>RUSH +9%</t>
        </is>
      </c>
      <c r="F210" s="14" t="inlineStr">
        <is>
          <t>CRIT +9%</t>
        </is>
      </c>
      <c r="G210" s="14" t="inlineStr">
        <is>
          <t>ATK +9%</t>
        </is>
      </c>
      <c r="H210" s="16" t="n"/>
      <c r="I210" s="16" t="n">
        <v>9</v>
      </c>
      <c r="J210" s="16" t="n">
        <v>9</v>
      </c>
      <c r="K210" s="16" t="n"/>
      <c r="L210" s="16" t="n">
        <v>9</v>
      </c>
      <c r="M210" s="16" t="n"/>
      <c r="N210" s="16" t="n"/>
      <c r="O210" s="16" t="n"/>
      <c r="P210" s="16" t="n"/>
      <c r="Q210" s="16" t="n"/>
      <c r="R210" s="16" t="n"/>
      <c r="S210" s="16" t="n">
        <v>49</v>
      </c>
      <c r="T210" s="17" t="inlineStr">
        <is>
          <t>Star Chart Shop</t>
        </is>
      </c>
    </row>
    <row r="211">
      <c r="A211" s="14" t="inlineStr">
        <is>
          <t>Olympic Torch</t>
        </is>
      </c>
      <c r="B211" s="14" t="inlineStr">
        <is>
          <t>SSS</t>
        </is>
      </c>
      <c r="C211" s="14" t="inlineStr">
        <is>
          <t>FAME</t>
        </is>
      </c>
      <c r="D211" s="15" t="n">
        <v>108</v>
      </c>
      <c r="E211" s="15" t="inlineStr">
        <is>
          <t>HP +9%</t>
        </is>
      </c>
      <c r="F211" s="14" t="inlineStr">
        <is>
          <t>DEF +9%</t>
        </is>
      </c>
      <c r="G211" s="14" t="inlineStr">
        <is>
          <t>FAME +15</t>
        </is>
      </c>
      <c r="H211" s="16" t="n">
        <v>9</v>
      </c>
      <c r="I211" s="16" t="n"/>
      <c r="J211" s="16" t="n"/>
      <c r="K211" s="16" t="n">
        <v>9</v>
      </c>
      <c r="L211" s="16" t="n"/>
      <c r="M211" s="16" t="n"/>
      <c r="N211" s="16" t="n"/>
      <c r="O211" s="16" t="n"/>
      <c r="P211" s="16" t="n"/>
      <c r="Q211" s="16" t="n"/>
      <c r="R211" s="16" t="n">
        <v>15</v>
      </c>
      <c r="S211" s="16" t="n"/>
      <c r="T211" s="17" t="inlineStr">
        <is>
          <t>Wish Box Relic Album #3</t>
        </is>
      </c>
    </row>
    <row r="212">
      <c r="A212" s="14" t="inlineStr">
        <is>
          <t>Locarno Treaties</t>
        </is>
      </c>
      <c r="B212" s="14" t="inlineStr">
        <is>
          <t>SS</t>
        </is>
      </c>
      <c r="C212" s="14" t="inlineStr">
        <is>
          <t>FAME</t>
        </is>
      </c>
      <c r="D212" s="15" t="n">
        <v>103</v>
      </c>
      <c r="E212" s="15" t="inlineStr">
        <is>
          <t>Water DMG +60</t>
        </is>
      </c>
      <c r="F212" s="14" t="n"/>
      <c r="G212" s="14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>
        <v>60</v>
      </c>
      <c r="R212" s="16" t="n"/>
      <c r="S212" s="16" t="n"/>
      <c r="T212" s="17" t="inlineStr">
        <is>
          <t>Lottery Machine No. 3 (0.48%)</t>
        </is>
      </c>
    </row>
    <row r="213">
      <c r="A213" s="14" t="inlineStr">
        <is>
          <t>Bronze Longhu Cup</t>
        </is>
      </c>
      <c r="B213" s="14" t="inlineStr">
        <is>
          <t>SSS</t>
        </is>
      </c>
      <c r="C213" s="14" t="inlineStr">
        <is>
          <t>ART</t>
        </is>
      </c>
      <c r="D213" s="15" t="n">
        <v>109</v>
      </c>
      <c r="E213" s="15" t="inlineStr">
        <is>
          <t>DMG +6%</t>
        </is>
      </c>
      <c r="F213" s="14" t="inlineStr">
        <is>
          <t>CRIT DMG +9%</t>
        </is>
      </c>
      <c r="G213" s="14" t="inlineStr">
        <is>
          <t>RUSH +9%</t>
        </is>
      </c>
      <c r="H213" s="16" t="n"/>
      <c r="I213" s="16" t="n"/>
      <c r="J213" s="16" t="n">
        <v>9</v>
      </c>
      <c r="K213" s="16" t="n"/>
      <c r="L213" s="16" t="n"/>
      <c r="M213" s="16" t="n">
        <v>9</v>
      </c>
      <c r="N213" s="16" t="n">
        <v>6</v>
      </c>
      <c r="O213" s="16" t="n"/>
      <c r="P213" s="16" t="n"/>
      <c r="Q213" s="16" t="n"/>
      <c r="R213" s="16" t="n"/>
      <c r="S213" s="16" t="n"/>
      <c r="T213" s="17" t="inlineStr">
        <is>
          <t>Lottery Machine No. 2 (0.12%), Relic Forge (120 RF)</t>
        </is>
      </c>
    </row>
    <row r="214">
      <c r="A214" s="14" t="inlineStr">
        <is>
          <t>La Marseillaise</t>
        </is>
      </c>
      <c r="B214" s="14" t="inlineStr">
        <is>
          <t>SSS</t>
        </is>
      </c>
      <c r="C214" s="14" t="inlineStr">
        <is>
          <t>ART</t>
        </is>
      </c>
      <c r="D214" s="15" t="n">
        <v>108</v>
      </c>
      <c r="E214" s="15" t="inlineStr">
        <is>
          <t>Fire DMG +60</t>
        </is>
      </c>
      <c r="F214" s="14" t="inlineStr">
        <is>
          <t>ART +15</t>
        </is>
      </c>
      <c r="G214" s="14" t="inlineStr">
        <is>
          <t>Water DMG +60</t>
        </is>
      </c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>
        <v>120</v>
      </c>
      <c r="R214" s="16" t="n">
        <v>15</v>
      </c>
      <c r="S214" s="16" t="n"/>
      <c r="T214" s="17" t="inlineStr">
        <is>
          <t>Star Chart Shop</t>
        </is>
      </c>
    </row>
    <row r="215">
      <c r="A215" s="14" t="inlineStr">
        <is>
          <t>The Persistent Memory</t>
        </is>
      </c>
      <c r="B215" s="14" t="inlineStr">
        <is>
          <t>SS</t>
        </is>
      </c>
      <c r="C215" s="14" t="inlineStr">
        <is>
          <t>ART</t>
        </is>
      </c>
      <c r="D215" s="15" t="n">
        <v>105</v>
      </c>
      <c r="E215" s="15" t="inlineStr">
        <is>
          <t>Water DMG +60</t>
        </is>
      </c>
      <c r="F215" s="14" t="inlineStr">
        <is>
          <t>CRIT +9%</t>
        </is>
      </c>
      <c r="G215" s="14" t="n"/>
      <c r="H215" s="16" t="n"/>
      <c r="I215" s="16" t="n"/>
      <c r="J215" s="16" t="n"/>
      <c r="K215" s="16" t="n"/>
      <c r="L215" s="16" t="n">
        <v>9</v>
      </c>
      <c r="M215" s="16" t="n"/>
      <c r="N215" s="16" t="n"/>
      <c r="O215" s="16" t="n"/>
      <c r="P215" s="16" t="n"/>
      <c r="Q215" s="16" t="n">
        <v>60</v>
      </c>
      <c r="R215" s="16" t="n"/>
      <c r="S215" s="16" t="n"/>
      <c r="T215" s="17" t="inlineStr">
        <is>
          <t>Lottery Machine No. 3 (0.48%)</t>
        </is>
      </c>
    </row>
    <row r="216">
      <c r="A216" s="14" t="inlineStr">
        <is>
          <t>Antigone</t>
        </is>
      </c>
      <c r="B216" s="14" t="inlineStr">
        <is>
          <t>S</t>
        </is>
      </c>
      <c r="C216" s="14" t="inlineStr">
        <is>
          <t>ART</t>
        </is>
      </c>
      <c r="D216" s="15" t="n">
        <v>99</v>
      </c>
      <c r="E216" s="15" t="inlineStr">
        <is>
          <t>Regen +1200</t>
        </is>
      </c>
      <c r="F216" s="14" t="n"/>
      <c r="G216" s="14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7" t="inlineStr">
        <is>
          <t>Lottery Machine No. 3 (1.63%)</t>
        </is>
      </c>
    </row>
    <row r="217">
      <c r="A217" s="14" t="inlineStr">
        <is>
          <t>Arthur's Christmas Crown</t>
        </is>
      </c>
      <c r="B217" s="14" t="inlineStr">
        <is>
          <t>SSS</t>
        </is>
      </c>
      <c r="C217" s="14" t="inlineStr">
        <is>
          <t>FTH</t>
        </is>
      </c>
      <c r="D217" s="15" t="n">
        <v>106</v>
      </c>
      <c r="E217" s="15" t="inlineStr">
        <is>
          <t>FTH +15</t>
        </is>
      </c>
      <c r="F217" s="14" t="inlineStr">
        <is>
          <t>DEF +9%</t>
        </is>
      </c>
      <c r="G217" s="14" t="inlineStr">
        <is>
          <t>HP +9%</t>
        </is>
      </c>
      <c r="H217" s="16" t="n">
        <v>9</v>
      </c>
      <c r="I217" s="16" t="n"/>
      <c r="J217" s="16" t="n"/>
      <c r="K217" s="16" t="n">
        <v>9</v>
      </c>
      <c r="L217" s="16" t="n"/>
      <c r="M217" s="16" t="n"/>
      <c r="N217" s="16" t="n"/>
      <c r="O217" s="16" t="n"/>
      <c r="P217" s="16" t="n"/>
      <c r="Q217" s="16" t="n"/>
      <c r="R217" s="16" t="n">
        <v>15</v>
      </c>
      <c r="S217" s="16" t="n"/>
      <c r="T217" s="17" t="inlineStr">
        <is>
          <t>Christmas 2025 Event</t>
        </is>
      </c>
    </row>
    <row r="218">
      <c r="A218" s="14" t="inlineStr">
        <is>
          <t>Talmud</t>
        </is>
      </c>
      <c r="B218" s="14" t="inlineStr">
        <is>
          <t>SSS</t>
        </is>
      </c>
      <c r="C218" s="14" t="inlineStr">
        <is>
          <t>FTH</t>
        </is>
      </c>
      <c r="D218" s="15" t="n">
        <v>109</v>
      </c>
      <c r="E218" s="15" t="inlineStr">
        <is>
          <t>FTH +15</t>
        </is>
      </c>
      <c r="F218" s="14" t="inlineStr">
        <is>
          <t>ATK +9%</t>
        </is>
      </c>
      <c r="G218" s="14" t="inlineStr">
        <is>
          <t>Fire DMG +60</t>
        </is>
      </c>
      <c r="H218" s="16" t="n"/>
      <c r="I218" s="16" t="n">
        <v>9</v>
      </c>
      <c r="J218" s="16" t="n"/>
      <c r="K218" s="16" t="n"/>
      <c r="L218" s="16" t="n"/>
      <c r="M218" s="16" t="n"/>
      <c r="N218" s="16" t="n"/>
      <c r="O218" s="16" t="n"/>
      <c r="P218" s="16" t="n"/>
      <c r="Q218" s="16" t="n">
        <v>60</v>
      </c>
      <c r="R218" s="16" t="n">
        <v>15</v>
      </c>
      <c r="S218" s="16" t="n"/>
      <c r="T218" s="17" t="inlineStr">
        <is>
          <t>Daily Pack #25</t>
        </is>
      </c>
    </row>
    <row r="219">
      <c r="A219" s="14" t="inlineStr">
        <is>
          <t>Ludovisi Ares</t>
        </is>
      </c>
      <c r="B219" s="14" t="inlineStr">
        <is>
          <t>SSS</t>
        </is>
      </c>
      <c r="C219" s="14" t="inlineStr">
        <is>
          <t>FTH</t>
        </is>
      </c>
      <c r="D219" s="15" t="n">
        <v>109</v>
      </c>
      <c r="E219" s="15" t="inlineStr">
        <is>
          <t>FTH +15</t>
        </is>
      </c>
      <c r="F219" s="14" t="inlineStr">
        <is>
          <t>HP +9%</t>
        </is>
      </c>
      <c r="G219" s="14" t="inlineStr">
        <is>
          <t>Regen +1200</t>
        </is>
      </c>
      <c r="H219" s="16" t="n">
        <v>9</v>
      </c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>
        <v>15</v>
      </c>
      <c r="S219" s="16" t="n"/>
      <c r="T219" s="17" t="inlineStr">
        <is>
          <t>Star Chart Shop</t>
        </is>
      </c>
    </row>
    <row r="220">
      <c r="A220" s="14" t="inlineStr">
        <is>
          <t>Investiture of Gods</t>
        </is>
      </c>
      <c r="B220" s="14" t="inlineStr">
        <is>
          <t>S</t>
        </is>
      </c>
      <c r="C220" s="14" t="inlineStr">
        <is>
          <t>FTH</t>
        </is>
      </c>
      <c r="D220" s="15" t="n">
        <v>97</v>
      </c>
      <c r="E220" s="15" t="inlineStr">
        <is>
          <t>Water DMG +60</t>
        </is>
      </c>
      <c r="F220" s="15" t="n"/>
      <c r="G220" s="14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>
        <v>60</v>
      </c>
      <c r="R220" s="16" t="n"/>
      <c r="S220" s="16" t="n"/>
      <c r="T220" s="17" t="inlineStr">
        <is>
          <t>Lottery Machine No. 3 (1.63%)</t>
        </is>
      </c>
    </row>
    <row r="221">
      <c r="A221" s="14" t="inlineStr">
        <is>
          <t>Maya Mural</t>
        </is>
      </c>
      <c r="B221" s="14" t="inlineStr">
        <is>
          <t>SSS</t>
        </is>
      </c>
      <c r="C221" s="14" t="inlineStr">
        <is>
          <t>CIV</t>
        </is>
      </c>
      <c r="D221" s="15" t="n">
        <v>108</v>
      </c>
      <c r="E221" s="15" t="inlineStr">
        <is>
          <t>DMG +6%</t>
        </is>
      </c>
      <c r="F221" s="15" t="inlineStr">
        <is>
          <t>DEF +9%</t>
        </is>
      </c>
      <c r="G221" s="14" t="inlineStr">
        <is>
          <t>Wind DMG +60</t>
        </is>
      </c>
      <c r="H221" s="16" t="n"/>
      <c r="I221" s="16" t="n"/>
      <c r="J221" s="16" t="n"/>
      <c r="K221" s="16" t="n">
        <v>9</v>
      </c>
      <c r="L221" s="16" t="n"/>
      <c r="M221" s="16" t="n"/>
      <c r="N221" s="16" t="n">
        <v>6</v>
      </c>
      <c r="O221" s="16" t="n"/>
      <c r="P221" s="16" t="n"/>
      <c r="Q221" s="16" t="n">
        <v>60</v>
      </c>
      <c r="R221" s="16" t="n"/>
      <c r="S221" s="16" t="n">
        <v>68</v>
      </c>
      <c r="T221" s="17" t="inlineStr">
        <is>
          <t>Star Chart Shop</t>
        </is>
      </c>
    </row>
    <row r="222">
      <c r="A222" s="14" t="inlineStr">
        <is>
          <t>Golden Key Award</t>
        </is>
      </c>
      <c r="B222" s="14" t="inlineStr">
        <is>
          <t>SSS</t>
        </is>
      </c>
      <c r="C222" s="14" t="inlineStr">
        <is>
          <t>CIV</t>
        </is>
      </c>
      <c r="D222" s="15" t="n">
        <v>108</v>
      </c>
      <c r="E222" s="15" t="inlineStr">
        <is>
          <t>CIV +15</t>
        </is>
      </c>
      <c r="F222" s="15" t="inlineStr">
        <is>
          <t>HP +9%</t>
        </is>
      </c>
      <c r="G222" s="14" t="inlineStr">
        <is>
          <t>HARD +3%</t>
        </is>
      </c>
      <c r="H222" s="16" t="n">
        <v>12</v>
      </c>
      <c r="I222" s="16" t="n">
        <v>3</v>
      </c>
      <c r="J222" s="16" t="n">
        <v>3</v>
      </c>
      <c r="K222" s="16" t="n">
        <v>3</v>
      </c>
      <c r="L222" s="16" t="n"/>
      <c r="M222" s="16" t="n"/>
      <c r="N222" s="16" t="n"/>
      <c r="O222" s="16" t="n"/>
      <c r="P222" s="16" t="n"/>
      <c r="Q222" s="16" t="n"/>
      <c r="R222" s="16" t="n">
        <v>15</v>
      </c>
      <c r="S222" s="16" t="n"/>
      <c r="T222" s="17" t="inlineStr">
        <is>
          <t>Decor Bonus</t>
        </is>
      </c>
    </row>
    <row r="223">
      <c r="A223" s="14" t="inlineStr">
        <is>
          <t>SSB Trophy</t>
        </is>
      </c>
      <c r="B223" s="14" t="inlineStr">
        <is>
          <t>SSS</t>
        </is>
      </c>
      <c r="C223" s="14" t="inlineStr">
        <is>
          <t>CIV</t>
        </is>
      </c>
      <c r="D223" s="15" t="n">
        <v>106</v>
      </c>
      <c r="E223" s="15" t="inlineStr">
        <is>
          <t>HP +9%</t>
        </is>
      </c>
      <c r="F223" s="15" t="inlineStr">
        <is>
          <t>DEF +9%</t>
        </is>
      </c>
      <c r="G223" s="14" t="inlineStr">
        <is>
          <t>CIV +15</t>
        </is>
      </c>
      <c r="H223" s="16" t="n">
        <v>9</v>
      </c>
      <c r="I223" s="16" t="n"/>
      <c r="J223" s="16" t="n"/>
      <c r="K223" s="16" t="n">
        <v>9</v>
      </c>
      <c r="L223" s="16" t="n"/>
      <c r="M223" s="16" t="n"/>
      <c r="N223" s="16" t="n"/>
      <c r="O223" s="16" t="n"/>
      <c r="P223" s="16" t="n"/>
      <c r="Q223" s="16" t="n"/>
      <c r="R223" s="16" t="n">
        <v>15</v>
      </c>
      <c r="S223" s="16" t="n"/>
      <c r="T223" s="17" t="inlineStr">
        <is>
          <t>Lottery Machine No. 2 (0.11%)</t>
        </is>
      </c>
    </row>
    <row r="224">
      <c r="A224" s="14" t="inlineStr">
        <is>
          <t>Riemann Hypothesis</t>
        </is>
      </c>
      <c r="B224" s="14" t="inlineStr">
        <is>
          <t>SSS</t>
        </is>
      </c>
      <c r="C224" s="14" t="inlineStr">
        <is>
          <t>TECH</t>
        </is>
      </c>
      <c r="D224" s="15" t="n">
        <v>107</v>
      </c>
      <c r="E224" s="15" t="inlineStr">
        <is>
          <t>ATK +9%</t>
        </is>
      </c>
      <c r="F224" s="15" t="inlineStr">
        <is>
          <t>RUSH +9%</t>
        </is>
      </c>
      <c r="G224" s="14" t="inlineStr">
        <is>
          <t>Wind DMG +60</t>
        </is>
      </c>
      <c r="H224" s="16" t="n"/>
      <c r="I224" s="16" t="n">
        <v>9</v>
      </c>
      <c r="J224" s="16" t="n">
        <v>9</v>
      </c>
      <c r="K224" s="16" t="n"/>
      <c r="L224" s="16" t="n"/>
      <c r="M224" s="16" t="n"/>
      <c r="N224" s="16" t="n"/>
      <c r="O224" s="16" t="n"/>
      <c r="P224" s="16" t="n"/>
      <c r="Q224" s="16" t="n">
        <v>60</v>
      </c>
      <c r="R224" s="16" t="n"/>
      <c r="S224" s="16" t="n"/>
      <c r="T224" s="22" t="inlineStr">
        <is>
          <t>Lottery Machine No. 2 (?%), Relic Forge (120 RF)</t>
        </is>
      </c>
    </row>
    <row r="225">
      <c r="A225" s="14" t="inlineStr">
        <is>
          <t>Big Bang Theory</t>
        </is>
      </c>
      <c r="B225" s="14" t="inlineStr">
        <is>
          <t>SSS</t>
        </is>
      </c>
      <c r="C225" s="14" t="inlineStr">
        <is>
          <t>TECH</t>
        </is>
      </c>
      <c r="D225" s="15" t="n">
        <v>106</v>
      </c>
      <c r="E225" s="15" t="inlineStr">
        <is>
          <t>TECH +15</t>
        </is>
      </c>
      <c r="F225" s="15" t="inlineStr">
        <is>
          <t>HP +9%</t>
        </is>
      </c>
      <c r="G225" s="14" t="inlineStr">
        <is>
          <t>HP Regen +9%</t>
        </is>
      </c>
      <c r="H225" s="16" t="n">
        <v>9</v>
      </c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>
        <v>15</v>
      </c>
      <c r="S225" s="16" t="n"/>
      <c r="T225" s="17" t="inlineStr">
        <is>
          <t>Daily Pack #28</t>
        </is>
      </c>
    </row>
    <row r="226">
      <c r="A226" s="14" t="inlineStr">
        <is>
          <t>SAGE</t>
        </is>
      </c>
      <c r="B226" s="14" t="inlineStr">
        <is>
          <t>SSS</t>
        </is>
      </c>
      <c r="C226" s="14" t="inlineStr">
        <is>
          <t>TECH</t>
        </is>
      </c>
      <c r="D226" s="15" t="n">
        <v>108</v>
      </c>
      <c r="E226" s="15" t="inlineStr">
        <is>
          <t>Earth DMG +60</t>
        </is>
      </c>
      <c r="F226" s="15" t="inlineStr">
        <is>
          <t>HARD +3%</t>
        </is>
      </c>
      <c r="G226" s="14" t="inlineStr">
        <is>
          <t>TECH +15</t>
        </is>
      </c>
      <c r="H226" s="16" t="n">
        <v>3</v>
      </c>
      <c r="I226" s="16" t="n">
        <v>3</v>
      </c>
      <c r="J226" s="16" t="n">
        <v>3</v>
      </c>
      <c r="K226" s="16" t="n">
        <v>3</v>
      </c>
      <c r="L226" s="16" t="n"/>
      <c r="M226" s="16" t="n"/>
      <c r="N226" s="16" t="n"/>
      <c r="O226" s="16" t="n"/>
      <c r="P226" s="16" t="n"/>
      <c r="Q226" s="16" t="n">
        <v>60</v>
      </c>
      <c r="R226" s="16" t="n">
        <v>15</v>
      </c>
      <c r="S226" s="16" t="n"/>
      <c r="T226" s="65" t="inlineStr">
        <is>
          <t>Star Chart Shop</t>
        </is>
      </c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</row>
    <row r="232">
      <c r="B232" s="112" t="inlineStr">
        <is>
          <t>Relic</t>
        </is>
      </c>
      <c r="C232" s="113" t="n"/>
      <c r="D232" s="114" t="inlineStr">
        <is>
          <t>Slot</t>
        </is>
      </c>
      <c r="E232" s="114" t="inlineStr">
        <is>
          <t>Stat</t>
        </is>
      </c>
      <c r="F232" s="115" t="inlineStr">
        <is>
          <t>Type</t>
        </is>
      </c>
      <c r="G232" s="114" t="inlineStr">
        <is>
          <t>AFFCT</t>
        </is>
      </c>
      <c r="H232" s="116" t="inlineStr">
        <is>
          <t>HP</t>
        </is>
      </c>
      <c r="I232" s="116" t="inlineStr">
        <is>
          <t>ATK</t>
        </is>
      </c>
      <c r="J232" s="116" t="inlineStr">
        <is>
          <t>RUSH</t>
        </is>
      </c>
      <c r="K232" s="116" t="inlineStr">
        <is>
          <t>DEF</t>
        </is>
      </c>
      <c r="L232" s="116" t="inlineStr">
        <is>
          <t>CRIT</t>
        </is>
      </c>
      <c r="M232" s="116" t="inlineStr">
        <is>
          <t>CRIT DMG</t>
        </is>
      </c>
      <c r="N232" s="116" t="inlineStr">
        <is>
          <t>DMG</t>
        </is>
      </c>
      <c r="O232" s="116" t="inlineStr">
        <is>
          <t>DMG Reduc</t>
        </is>
      </c>
      <c r="P232" s="116" t="inlineStr">
        <is>
          <t>Hero DMG</t>
        </is>
      </c>
      <c r="Q232" s="116" t="inlineStr">
        <is>
          <t>ELMT DMG</t>
        </is>
      </c>
      <c r="R232" s="117" t="inlineStr">
        <is>
          <t>Alternatives</t>
        </is>
      </c>
      <c r="S232" s="28" t="n"/>
    </row>
    <row r="233">
      <c r="B233" s="43">
        <f>A209</f>
        <v/>
      </c>
      <c r="C233" s="30" t="n"/>
      <c r="D233" s="31" t="inlineStr">
        <is>
          <t>FAME</t>
        </is>
      </c>
      <c r="E233" s="31" t="inlineStr">
        <is>
          <t>HARD</t>
        </is>
      </c>
      <c r="F233" s="118">
        <f>VLOOKUP($B233,$A$208:$G$226,3,FALSE)</f>
        <v/>
      </c>
      <c r="G233" s="119">
        <f>IF(D233=F233, VLOOKUP($B233,$A$208:$S$226, 4,FALSE) + VLOOKUP($B233,$A$208:$S$226, 18,FALSE), VLOOKUP($B233,$A$208:$S$226, 19,FALSE))</f>
        <v/>
      </c>
      <c r="H233" s="120">
        <f>VLOOKUP($B233,$A$208:$Q$226,8,FALSE)+VLOOKUP($G233,$Y$2:$AA$50,2)</f>
        <v/>
      </c>
      <c r="I233" s="120">
        <f>VLOOKUP($B233,$A$208:$Q$226,9,FALSE)+VLOOKUP($G233,$Y$2:$AA$50,2)</f>
        <v/>
      </c>
      <c r="J233" s="120">
        <f>VLOOKUP($B233,$A$208:$Q$226,10,FALSE)+VLOOKUP($G233,$Y$2:$AA$50,2)</f>
        <v/>
      </c>
      <c r="K233" s="120">
        <f>VLOOKUP($B233,$A$208:$Q$226,11,FALSE)+VLOOKUP($G233,$Y$2:$AA$50,2)</f>
        <v/>
      </c>
      <c r="L233" s="120">
        <f>VLOOKUP($B233,$A$208:$Q$226,12,FALSE)</f>
        <v/>
      </c>
      <c r="M233" s="120">
        <f>VLOOKUP($B233,$A$208:$Q$226,13,FALSE)</f>
        <v/>
      </c>
      <c r="N233" s="120">
        <f>VLOOKUP($B233,$A$208:$Q$226,14,FALSE)</f>
        <v/>
      </c>
      <c r="O233" s="120">
        <f>VLOOKUP($B233,$A$208:$Q$226,15,FALSE)</f>
        <v/>
      </c>
      <c r="P233" s="120">
        <f>VLOOKUP($B233,$A$208:$Q$226,16,FALSE)</f>
        <v/>
      </c>
      <c r="Q233" s="120">
        <f>VLOOKUP($B233,$A$208:$Q$226,17,FALSE)</f>
        <v/>
      </c>
      <c r="R233" s="121">
        <f>A211</f>
        <v/>
      </c>
      <c r="S233" s="28" t="n"/>
    </row>
    <row r="234">
      <c r="B234" s="122">
        <f>A213</f>
        <v/>
      </c>
      <c r="D234" s="123" t="inlineStr">
        <is>
          <t>ART</t>
        </is>
      </c>
      <c r="E234" s="123" t="inlineStr">
        <is>
          <t>HP</t>
        </is>
      </c>
      <c r="F234" s="124">
        <f>VLOOKUP($B234,$A$208:$G$226,3,FALSE)</f>
        <v/>
      </c>
      <c r="G234" s="125">
        <f>IF(D234=F234, VLOOKUP($B234,$A$208:$S$226, 4,FALSE) + VLOOKUP($B234,$A$208:$S$226, 18,FALSE), VLOOKUP($B234,$A$208:$S$226, 19,FALSE))</f>
        <v/>
      </c>
      <c r="H234" s="126">
        <f>VLOOKUP($B234,$A$208:$Q$226,8,FALSE)+VLOOKUP($G234,$Y$2:$AA$50,3)</f>
        <v/>
      </c>
      <c r="I234" s="126">
        <f>VLOOKUP($B234,$A$208:$Q$226,9,FALSE)</f>
        <v/>
      </c>
      <c r="J234" s="126">
        <f>VLOOKUP($B234,$A$208:$Q$226,10,FALSE)</f>
        <v/>
      </c>
      <c r="K234" s="126">
        <f>VLOOKUP($B234,$A$208:$Q$226,11,FALSE)</f>
        <v/>
      </c>
      <c r="L234" s="126">
        <f>VLOOKUP($B234,$A$208:$Q$226,12,FALSE)</f>
        <v/>
      </c>
      <c r="M234" s="126">
        <f>VLOOKUP($B234,$A$208:$Q$226,13,FALSE)</f>
        <v/>
      </c>
      <c r="N234" s="126">
        <f>VLOOKUP($B234,$A$208:$Q$226,14,FALSE)</f>
        <v/>
      </c>
      <c r="O234" s="126">
        <f>VLOOKUP($B234,$A$208:$Q$226,15,FALSE)</f>
        <v/>
      </c>
      <c r="P234" s="126">
        <f>VLOOKUP($B234,$A$208:$Q$226,16,FALSE)</f>
        <v/>
      </c>
      <c r="Q234" s="126">
        <f>VLOOKUP($B234,$A$208:$Q$226,17,FALSE)</f>
        <v/>
      </c>
      <c r="R234" s="127">
        <f>A215</f>
        <v/>
      </c>
      <c r="S234" s="128" t="n"/>
    </row>
    <row r="235">
      <c r="B235" s="43">
        <f>A221</f>
        <v/>
      </c>
      <c r="C235" s="30" t="n"/>
      <c r="D235" s="31" t="inlineStr">
        <is>
          <t>FTH</t>
        </is>
      </c>
      <c r="E235" s="31" t="inlineStr">
        <is>
          <t>RUSH</t>
        </is>
      </c>
      <c r="F235" s="118">
        <f>VLOOKUP($B235,$A$208:$G$226,3,FALSE)</f>
        <v/>
      </c>
      <c r="G235" s="119">
        <f>IF(D235=F235, VLOOKUP($B235,$A$208:$S$226, 4,FALSE) + VLOOKUP($B235,$A$208:$S$226, 18,FALSE), VLOOKUP($B235,$A$208:$S$226, 19,FALSE))</f>
        <v/>
      </c>
      <c r="H235" s="120">
        <f>VLOOKUP($B235,$A$208:$Q$226,8,FALSE)</f>
        <v/>
      </c>
      <c r="I235" s="120">
        <f>VLOOKUP($B235,$A$208:$Q$226,9,FALSE)</f>
        <v/>
      </c>
      <c r="J235" s="120">
        <f>VLOOKUP($B235,$A$208:$Q$226,10,FALSE)+VLOOKUP($G235,$Y$2:$AA$50,3)</f>
        <v/>
      </c>
      <c r="K235" s="120">
        <f>VLOOKUP($B235,$A$208:$Q$226,11,FALSE)</f>
        <v/>
      </c>
      <c r="L235" s="120">
        <f>VLOOKUP($B235,$A$208:$Q$226,12,FALSE)</f>
        <v/>
      </c>
      <c r="M235" s="120">
        <f>VLOOKUP($B235,$A$208:$Q$226,13,FALSE)</f>
        <v/>
      </c>
      <c r="N235" s="120">
        <f>VLOOKUP($B235,$A$208:$Q$226,14,FALSE)</f>
        <v/>
      </c>
      <c r="O235" s="120">
        <f>VLOOKUP($B235,$A$208:$Q$226,15,FALSE)</f>
        <v/>
      </c>
      <c r="P235" s="120">
        <f>VLOOKUP($B235,$A$208:$Q$226,16,FALSE)</f>
        <v/>
      </c>
      <c r="Q235" s="120">
        <f>VLOOKUP($B235,$A$208:$Q$226,17,FALSE)</f>
        <v/>
      </c>
      <c r="R235" s="121">
        <f>A210</f>
        <v/>
      </c>
      <c r="S235" s="28" t="n"/>
    </row>
    <row r="236">
      <c r="B236" s="122">
        <f>A223</f>
        <v/>
      </c>
      <c r="D236" s="123" t="inlineStr">
        <is>
          <t>CIV</t>
        </is>
      </c>
      <c r="E236" s="123" t="inlineStr">
        <is>
          <t>ATK</t>
        </is>
      </c>
      <c r="F236" s="124">
        <f>VLOOKUP($B236,$A$208:$G$226,3,FALSE)</f>
        <v/>
      </c>
      <c r="G236" s="125">
        <f>IF(D236=F236, VLOOKUP($B236,$A$208:$S$226, 4,FALSE) + VLOOKUP($B236,$A$208:$S$226, 18,FALSE), VLOOKUP($B236,$A$208:$S$226, 19,FALSE))</f>
        <v/>
      </c>
      <c r="H236" s="126">
        <f>VLOOKUP($B236,$A$208:$Q$226,8,FALSE)</f>
        <v/>
      </c>
      <c r="I236" s="126">
        <f>VLOOKUP($B236,$A$208:$Q$226,9,FALSE)+VLOOKUP($G236,$Y$2:$AA$50,3)</f>
        <v/>
      </c>
      <c r="J236" s="126">
        <f>VLOOKUP($B236,$A$208:$Q$226,10,FALSE)</f>
        <v/>
      </c>
      <c r="K236" s="126">
        <f>VLOOKUP($B236,$A$208:$Q$226,11,FALSE)</f>
        <v/>
      </c>
      <c r="L236" s="126">
        <f>VLOOKUP($B236,$A$208:$Q$226,12,FALSE)</f>
        <v/>
      </c>
      <c r="M236" s="126">
        <f>VLOOKUP($B236,$A$208:$Q$226,13,FALSE)</f>
        <v/>
      </c>
      <c r="N236" s="126">
        <f>VLOOKUP($B236,$A$208:$Q$226,14,FALSE)</f>
        <v/>
      </c>
      <c r="O236" s="126">
        <f>VLOOKUP($B236,$A$208:$Q$226,15,FALSE)</f>
        <v/>
      </c>
      <c r="P236" s="126">
        <f>VLOOKUP($B236,$A$208:$Q$226,16,FALSE)</f>
        <v/>
      </c>
      <c r="Q236" s="126">
        <f>VLOOKUP($B236,$A$208:$Q$226,17,FALSE)</f>
        <v/>
      </c>
      <c r="R236" s="127">
        <f>A221</f>
        <v/>
      </c>
      <c r="S236" s="128" t="n"/>
    </row>
    <row r="237">
      <c r="B237" s="43">
        <f>A224</f>
        <v/>
      </c>
      <c r="C237" s="30" t="n"/>
      <c r="D237" s="31" t="inlineStr">
        <is>
          <t>TECH</t>
        </is>
      </c>
      <c r="E237" s="31" t="inlineStr">
        <is>
          <t>DEF</t>
        </is>
      </c>
      <c r="F237" s="118">
        <f>VLOOKUP($B237,$A$208:$G$226,3,FALSE)</f>
        <v/>
      </c>
      <c r="G237" s="119">
        <f>IF(D237=F237, VLOOKUP($B237,$A$208:$S$226, 4,FALSE) + VLOOKUP($B237,$A$208:$S$226, 18,FALSE), VLOOKUP($B237,$A$208:$S$226, 19,FALSE))</f>
        <v/>
      </c>
      <c r="H237" s="120">
        <f>VLOOKUP($B237,$A$208:$Q$226,8,FALSE)</f>
        <v/>
      </c>
      <c r="I237" s="120">
        <f>VLOOKUP($B237,$A$208:$Q$226,9,FALSE)</f>
        <v/>
      </c>
      <c r="J237" s="120">
        <f>VLOOKUP($B237,$A$208:$Q$226,10,FALSE)</f>
        <v/>
      </c>
      <c r="K237" s="120">
        <f>VLOOKUP($B237,$A$208:$Q$226,11,FALSE)+VLOOKUP($G237,$Y$2:$AA$50,3)</f>
        <v/>
      </c>
      <c r="L237" s="120">
        <f>VLOOKUP($B237,$A$208:$Q$226,12,FALSE)</f>
        <v/>
      </c>
      <c r="M237" s="120">
        <f>VLOOKUP($B237,$A$208:$Q$226,13,FALSE)</f>
        <v/>
      </c>
      <c r="N237" s="120">
        <f>VLOOKUP($B237,$A$208:$Q$226,14,FALSE)</f>
        <v/>
      </c>
      <c r="O237" s="120">
        <f>VLOOKUP($B237,$A$208:$Q$226,15,FALSE)</f>
        <v/>
      </c>
      <c r="P237" s="120">
        <f>VLOOKUP($B237,$A$208:$Q$226,16,FALSE)</f>
        <v/>
      </c>
      <c r="Q237" s="120">
        <f>VLOOKUP($B237,$A$208:$Q$226,17,FALSE)</f>
        <v/>
      </c>
      <c r="R237" s="121">
        <f>A226</f>
        <v/>
      </c>
      <c r="S237" s="28" t="n"/>
    </row>
    <row r="238">
      <c r="B238" s="129" t="inlineStr">
        <is>
          <t>Total</t>
        </is>
      </c>
      <c r="C238" s="130" t="n"/>
      <c r="D238" s="131" t="n"/>
      <c r="E238" s="131" t="n"/>
      <c r="F238" s="132" t="n"/>
      <c r="G238" s="133" t="n"/>
      <c r="H238" s="126">
        <f>sum(H233:H237)</f>
        <v/>
      </c>
      <c r="I238" s="126">
        <f>sum(I233:I237)</f>
        <v/>
      </c>
      <c r="J238" s="126">
        <f>sum(J233:J237)</f>
        <v/>
      </c>
      <c r="K238" s="126">
        <f>sum(K233:K237)</f>
        <v/>
      </c>
      <c r="L238" s="126">
        <f>sum(L233:L237)</f>
        <v/>
      </c>
      <c r="M238" s="126">
        <f>sum(M233:M237)</f>
        <v/>
      </c>
      <c r="N238" s="126">
        <f>sum(N233:N237)</f>
        <v/>
      </c>
      <c r="O238" s="126">
        <f>sum(O233:O237)</f>
        <v/>
      </c>
      <c r="P238" s="126">
        <f>sum(P233:P237)</f>
        <v/>
      </c>
      <c r="Q238" s="126">
        <f>sum(Q233:Q237)</f>
        <v/>
      </c>
      <c r="R238" s="134" t="n"/>
      <c r="S238" s="135" t="n"/>
    </row>
    <row r="239"/>
    <row r="240"/>
    <row r="241"/>
    <row r="242"/>
    <row r="243">
      <c r="A243" s="136" t="inlineStr">
        <is>
          <t>Exploration Egg</t>
        </is>
      </c>
      <c r="B243" s="137" t="n"/>
      <c r="C243" s="137" t="n"/>
      <c r="D243" s="138" t="inlineStr">
        <is>
          <t>Main AFFCT</t>
        </is>
      </c>
      <c r="E243" s="138" t="inlineStr">
        <is>
          <t>Stamp 1</t>
        </is>
      </c>
      <c r="F243" s="138" t="inlineStr">
        <is>
          <t>Stamp 2</t>
        </is>
      </c>
      <c r="G243" s="138" t="inlineStr">
        <is>
          <t>Stamp 3</t>
        </is>
      </c>
      <c r="H243" s="138" t="inlineStr">
        <is>
          <t>Source</t>
        </is>
      </c>
      <c r="I243" s="139" t="n"/>
      <c r="J243" s="139" t="n"/>
      <c r="K243" s="139" t="n"/>
      <c r="L243" s="28" t="n"/>
    </row>
    <row r="244">
      <c r="A244" s="140" t="inlineStr">
        <is>
          <t>Plants &amp; Birds</t>
        </is>
      </c>
      <c r="B244" s="141" t="inlineStr">
        <is>
          <t>SSS</t>
        </is>
      </c>
      <c r="C244" s="141" t="inlineStr">
        <is>
          <t>ART</t>
        </is>
      </c>
      <c r="D244" s="33" t="n">
        <v>108</v>
      </c>
      <c r="E244" s="34" t="inlineStr">
        <is>
          <t>Efficiency +30%</t>
        </is>
      </c>
      <c r="F244" s="34" t="inlineStr">
        <is>
          <t>ART +15</t>
        </is>
      </c>
      <c r="G244" s="34" t="inlineStr">
        <is>
          <t>Blue -&gt; Purple +6%</t>
        </is>
      </c>
      <c r="H244" s="141" t="inlineStr">
        <is>
          <t>Exploration Egg (0.08%)</t>
        </is>
      </c>
      <c r="I244" s="139" t="n"/>
      <c r="J244" s="139" t="n"/>
      <c r="K244" s="139" t="n"/>
      <c r="L244" s="28" t="n"/>
    </row>
    <row r="245">
      <c r="A245" s="142" t="inlineStr">
        <is>
          <t>St. Matthew's Passion</t>
        </is>
      </c>
      <c r="B245" s="143" t="inlineStr">
        <is>
          <t>SSS</t>
        </is>
      </c>
      <c r="C245" s="143" t="inlineStr">
        <is>
          <t>ART</t>
        </is>
      </c>
      <c r="D245" s="144" t="n">
        <v>108</v>
      </c>
      <c r="E245" s="145" t="inlineStr">
        <is>
          <t>Efficiency +30%</t>
        </is>
      </c>
      <c r="F245" s="145" t="inlineStr">
        <is>
          <t>Green -&gt; Blue 6%</t>
        </is>
      </c>
      <c r="G245" s="145" t="inlineStr">
        <is>
          <t>Purple -&gt; Orange 3%</t>
        </is>
      </c>
      <c r="H245" s="146" t="inlineStr">
        <is>
          <t>Lottery Machine No. 3 (0.12%)</t>
        </is>
      </c>
      <c r="I245" s="139" t="n"/>
      <c r="J245" s="139" t="n"/>
      <c r="K245" s="139" t="n"/>
      <c r="L245" s="28" t="n"/>
    </row>
    <row r="246">
      <c r="A246" s="140" t="inlineStr">
        <is>
          <t>Woman with a Veil</t>
        </is>
      </c>
      <c r="B246" s="141" t="inlineStr">
        <is>
          <t>SSS</t>
        </is>
      </c>
      <c r="C246" s="141" t="inlineStr">
        <is>
          <t>ART</t>
        </is>
      </c>
      <c r="D246" s="33" t="n">
        <v>109</v>
      </c>
      <c r="E246" s="34" t="inlineStr">
        <is>
          <t>ART +15</t>
        </is>
      </c>
      <c r="F246" s="34" t="inlineStr">
        <is>
          <t>Efficiency +30%</t>
        </is>
      </c>
      <c r="G246" s="34" t="inlineStr">
        <is>
          <t>Blue -&gt; Purple +6%</t>
        </is>
      </c>
      <c r="H246" s="147" t="inlineStr">
        <is>
          <t>Lottery Machine No. 3 (0.12%)</t>
        </is>
      </c>
      <c r="I246" s="139" t="n"/>
      <c r="J246" s="139" t="n"/>
      <c r="K246" s="139" t="n"/>
      <c r="L246" s="28" t="n"/>
    </row>
    <row r="247">
      <c r="A247" s="143" t="inlineStr">
        <is>
          <t>Coronation of Napoleon</t>
        </is>
      </c>
      <c r="B247" s="143" t="inlineStr">
        <is>
          <t>SSS</t>
        </is>
      </c>
      <c r="C247" s="143" t="inlineStr">
        <is>
          <t>ART</t>
        </is>
      </c>
      <c r="D247" s="144" t="n">
        <v>109</v>
      </c>
      <c r="E247" s="145" t="inlineStr">
        <is>
          <t>ART +15</t>
        </is>
      </c>
      <c r="F247" s="145" t="inlineStr">
        <is>
          <t>Efficiency +30%</t>
        </is>
      </c>
      <c r="G247" s="145" t="inlineStr">
        <is>
          <t>Green -&gt; Blue +6%</t>
        </is>
      </c>
      <c r="H247" s="146" t="inlineStr">
        <is>
          <t>Lottery Machine No. 3 (0.12%)</t>
        </is>
      </c>
      <c r="I247" s="139" t="n"/>
      <c r="J247" s="139" t="n"/>
      <c r="K247" s="139" t="n"/>
      <c r="L247" s="28" t="n"/>
    </row>
    <row r="248">
      <c r="A248" s="141" t="inlineStr">
        <is>
          <t>The Magic Flute</t>
        </is>
      </c>
      <c r="B248" s="141" t="inlineStr">
        <is>
          <t>SSS</t>
        </is>
      </c>
      <c r="C248" s="141" t="inlineStr">
        <is>
          <t>ART</t>
        </is>
      </c>
      <c r="D248" s="33" t="n">
        <v>109</v>
      </c>
      <c r="E248" s="34" t="inlineStr">
        <is>
          <t>ART +15</t>
        </is>
      </c>
      <c r="F248" s="34" t="inlineStr">
        <is>
          <t>Efficiency +30%</t>
        </is>
      </c>
      <c r="G248" s="34" t="inlineStr">
        <is>
          <t>Green -&gt; Blue +6%</t>
        </is>
      </c>
      <c r="H248" s="147" t="inlineStr">
        <is>
          <t>Lottery Machine No. 3 (0.12%)</t>
        </is>
      </c>
      <c r="I248" s="139" t="n"/>
      <c r="J248" s="139" t="n"/>
      <c r="K248" s="139" t="n"/>
      <c r="L248" s="28" t="n"/>
    </row>
    <row r="249">
      <c r="A249" s="143" t="inlineStr">
        <is>
          <t>Agamemnon Ambassadors</t>
        </is>
      </c>
      <c r="B249" s="143" t="inlineStr">
        <is>
          <t>Blue</t>
        </is>
      </c>
      <c r="C249" s="143" t="inlineStr">
        <is>
          <t>ART</t>
        </is>
      </c>
      <c r="D249" s="144" t="n">
        <v>46</v>
      </c>
      <c r="E249" s="145" t="inlineStr">
        <is>
          <t>Green -&gt; Blue 1%</t>
        </is>
      </c>
      <c r="F249" s="145" t="n"/>
      <c r="G249" s="145" t="n"/>
      <c r="H249" s="146" t="inlineStr">
        <is>
          <t>Lottery Machine No. 3 (?%)</t>
        </is>
      </c>
      <c r="I249" s="139" t="n"/>
      <c r="J249" s="139" t="n"/>
      <c r="K249" s="139" t="n"/>
      <c r="L249" s="28" t="n"/>
    </row>
    <row r="250"/>
    <row r="251"/>
    <row r="252">
      <c r="A252" s="136" t="inlineStr">
        <is>
          <t>Lucky Egg</t>
        </is>
      </c>
      <c r="B252" s="137" t="n"/>
      <c r="C252" s="137" t="n"/>
      <c r="D252" s="138" t="inlineStr">
        <is>
          <t>Main AFFCT</t>
        </is>
      </c>
      <c r="E252" s="138" t="inlineStr">
        <is>
          <t>Stamp 1</t>
        </is>
      </c>
      <c r="F252" s="138" t="inlineStr">
        <is>
          <t>Stamp 2</t>
        </is>
      </c>
      <c r="G252" s="138" t="inlineStr">
        <is>
          <t>Stamp 3</t>
        </is>
      </c>
      <c r="H252" s="138" t="inlineStr">
        <is>
          <t>Source</t>
        </is>
      </c>
      <c r="I252" s="139" t="n"/>
      <c r="J252" s="139" t="n"/>
      <c r="K252" s="139" t="n"/>
      <c r="L252" s="28" t="n"/>
    </row>
    <row r="253">
      <c r="A253" s="140" t="inlineStr">
        <is>
          <t>World Hawk</t>
        </is>
      </c>
      <c r="B253" s="141" t="inlineStr">
        <is>
          <t>SSS</t>
        </is>
      </c>
      <c r="C253" s="141" t="inlineStr">
        <is>
          <t>TECH</t>
        </is>
      </c>
      <c r="D253" s="33" t="n">
        <v>108</v>
      </c>
      <c r="E253" s="34" t="inlineStr">
        <is>
          <t>Efficiency +30%</t>
        </is>
      </c>
      <c r="F253" s="34" t="inlineStr">
        <is>
          <t>Green -&gt; Blue 6%</t>
        </is>
      </c>
      <c r="G253" s="34" t="inlineStr">
        <is>
          <t>Blue -&gt; Purple +6%</t>
        </is>
      </c>
      <c r="H253" s="141" t="inlineStr">
        <is>
          <t>Lucky Egg (0.08%)</t>
        </is>
      </c>
      <c r="I253" s="139" t="n"/>
      <c r="J253" s="139" t="n"/>
      <c r="K253" s="139" t="n"/>
      <c r="L253" s="28" t="n"/>
    </row>
    <row r="254">
      <c r="A254" s="142" t="inlineStr">
        <is>
          <t>Webb Space Telescope</t>
        </is>
      </c>
      <c r="B254" s="143" t="inlineStr">
        <is>
          <t>SSS</t>
        </is>
      </c>
      <c r="C254" s="143" t="inlineStr">
        <is>
          <t>TECH</t>
        </is>
      </c>
      <c r="D254" s="144" t="n">
        <v>109</v>
      </c>
      <c r="E254" s="145" t="inlineStr">
        <is>
          <t>TECH +15</t>
        </is>
      </c>
      <c r="F254" s="145" t="inlineStr">
        <is>
          <t>Efficiency +30%</t>
        </is>
      </c>
      <c r="G254" s="145" t="inlineStr">
        <is>
          <t>Purple -&gt; Orange 3%</t>
        </is>
      </c>
      <c r="H254" s="146" t="inlineStr">
        <is>
          <t>Lottery Machine No. 3 (0.12%)</t>
        </is>
      </c>
      <c r="I254" s="139" t="n"/>
      <c r="J254" s="139" t="n"/>
      <c r="K254" s="139" t="n"/>
      <c r="L254" s="28" t="n"/>
    </row>
    <row r="255">
      <c r="A255" s="141" t="inlineStr">
        <is>
          <t>Die Traumdeutung</t>
        </is>
      </c>
      <c r="B255" s="141" t="inlineStr">
        <is>
          <t>SSS</t>
        </is>
      </c>
      <c r="C255" s="141" t="inlineStr">
        <is>
          <t>TECH</t>
        </is>
      </c>
      <c r="D255" s="33" t="n">
        <v>108</v>
      </c>
      <c r="E255" s="34" t="inlineStr">
        <is>
          <t>TECH +15</t>
        </is>
      </c>
      <c r="F255" s="34" t="inlineStr">
        <is>
          <t>Efficiency +30%</t>
        </is>
      </c>
      <c r="G255" s="34" t="inlineStr">
        <is>
          <t>Blue -&gt; Purple +6%</t>
        </is>
      </c>
      <c r="H255" s="147" t="inlineStr">
        <is>
          <t>Lottery Machine No. 3 (0.12%)</t>
        </is>
      </c>
      <c r="I255" s="139" t="n"/>
      <c r="J255" s="139" t="n"/>
      <c r="K255" s="139" t="n"/>
      <c r="L255" s="28" t="n"/>
    </row>
    <row r="256">
      <c r="A256" s="143" t="inlineStr">
        <is>
          <t>Basic Chemistry</t>
        </is>
      </c>
      <c r="B256" s="143" t="inlineStr">
        <is>
          <t>SSS</t>
        </is>
      </c>
      <c r="C256" s="143" t="inlineStr">
        <is>
          <t>TECH</t>
        </is>
      </c>
      <c r="D256" s="144" t="n">
        <v>109</v>
      </c>
      <c r="E256" s="145" t="inlineStr">
        <is>
          <t>TECH +15</t>
        </is>
      </c>
      <c r="F256" s="145" t="inlineStr">
        <is>
          <t>Efficiency +30%</t>
        </is>
      </c>
      <c r="G256" s="145" t="inlineStr">
        <is>
          <t>Green -&gt; Blue +6%</t>
        </is>
      </c>
      <c r="H256" s="146" t="inlineStr">
        <is>
          <t>Lottery Machine No. 3 (0.12%)</t>
        </is>
      </c>
      <c r="I256" s="139" t="n"/>
      <c r="J256" s="139" t="n"/>
      <c r="K256" s="139" t="n"/>
      <c r="L256" s="28" t="n"/>
    </row>
    <row r="257">
      <c r="A257" s="141" t="inlineStr">
        <is>
          <t>Spirit Phenomenology</t>
        </is>
      </c>
      <c r="B257" s="141" t="inlineStr">
        <is>
          <t>SSS</t>
        </is>
      </c>
      <c r="C257" s="141" t="inlineStr">
        <is>
          <t>TECH</t>
        </is>
      </c>
      <c r="D257" s="33" t="n">
        <v>109</v>
      </c>
      <c r="E257" s="34" t="inlineStr">
        <is>
          <t>TECH +15</t>
        </is>
      </c>
      <c r="F257" s="34" t="inlineStr">
        <is>
          <t>Efficiency +30%</t>
        </is>
      </c>
      <c r="G257" s="34" t="inlineStr">
        <is>
          <t>Green -&gt; Blue +6%</t>
        </is>
      </c>
      <c r="H257" s="147" t="inlineStr">
        <is>
          <t>Lottery Machine No. 3 (0.12%)</t>
        </is>
      </c>
      <c r="I257" s="139" t="n"/>
      <c r="J257" s="139" t="n"/>
      <c r="K257" s="139" t="n"/>
      <c r="L257" s="28" t="n"/>
    </row>
    <row r="258"/>
    <row r="259"/>
    <row r="260">
      <c r="A260" s="136" t="inlineStr">
        <is>
          <t>Wishing Egg</t>
        </is>
      </c>
      <c r="B260" s="137" t="n"/>
      <c r="C260" s="137" t="n"/>
      <c r="D260" s="138" t="inlineStr">
        <is>
          <t>Main AFFCT</t>
        </is>
      </c>
      <c r="E260" s="138" t="inlineStr">
        <is>
          <t>Stamp 1</t>
        </is>
      </c>
      <c r="F260" s="138" t="inlineStr">
        <is>
          <t>Stamp 2</t>
        </is>
      </c>
      <c r="G260" s="138" t="inlineStr">
        <is>
          <t>Stamp 3</t>
        </is>
      </c>
      <c r="H260" s="138" t="inlineStr">
        <is>
          <t>Source</t>
        </is>
      </c>
      <c r="I260" s="139" t="n"/>
      <c r="J260" s="139" t="n"/>
      <c r="K260" s="139" t="n"/>
      <c r="L260" s="28" t="n"/>
    </row>
    <row r="261">
      <c r="A261" s="140" t="inlineStr">
        <is>
          <t>Stray Birds</t>
        </is>
      </c>
      <c r="B261" s="141" t="inlineStr">
        <is>
          <t>SSS</t>
        </is>
      </c>
      <c r="C261" s="141" t="inlineStr">
        <is>
          <t>CIV</t>
        </is>
      </c>
      <c r="D261" s="33" t="n">
        <v>107</v>
      </c>
      <c r="E261" s="34" t="inlineStr">
        <is>
          <t>Efficiency +30%</t>
        </is>
      </c>
      <c r="F261" s="34" t="inlineStr">
        <is>
          <t>Green -&gt; Blue 6%</t>
        </is>
      </c>
      <c r="G261" s="34" t="inlineStr">
        <is>
          <t>Blue -&gt; Purple +6%</t>
        </is>
      </c>
      <c r="H261" s="141" t="inlineStr">
        <is>
          <t>Wishing Egg (0.08%)</t>
        </is>
      </c>
      <c r="I261" s="139" t="n"/>
      <c r="J261" s="139" t="n"/>
      <c r="K261" s="139" t="n"/>
      <c r="L261" s="28" t="n"/>
    </row>
    <row r="262">
      <c r="A262" s="142" t="inlineStr">
        <is>
          <t>Poetics Edda</t>
        </is>
      </c>
      <c r="B262" s="143" t="inlineStr">
        <is>
          <t>SSS</t>
        </is>
      </c>
      <c r="C262" s="143" t="inlineStr">
        <is>
          <t>CIV</t>
        </is>
      </c>
      <c r="D262" s="144" t="n">
        <v>107</v>
      </c>
      <c r="E262" s="145" t="inlineStr">
        <is>
          <t>CIV +15</t>
        </is>
      </c>
      <c r="F262" s="145" t="inlineStr">
        <is>
          <t>Efficiency +30%</t>
        </is>
      </c>
      <c r="G262" s="145" t="inlineStr">
        <is>
          <t>Purple -&gt; Orange 3%</t>
        </is>
      </c>
      <c r="H262" s="146" t="inlineStr">
        <is>
          <t>Lottery Machine No. 3 (0.12%)</t>
        </is>
      </c>
      <c r="I262" s="139" t="n"/>
      <c r="J262" s="139" t="n"/>
      <c r="K262" s="139" t="n"/>
      <c r="L262" s="28" t="n"/>
    </row>
    <row r="263">
      <c r="A263" s="140" t="inlineStr">
        <is>
          <t>Confessiones</t>
        </is>
      </c>
      <c r="B263" s="141" t="inlineStr">
        <is>
          <t>SSS</t>
        </is>
      </c>
      <c r="C263" s="141" t="inlineStr">
        <is>
          <t>CIV</t>
        </is>
      </c>
      <c r="D263" s="33" t="n">
        <v>109</v>
      </c>
      <c r="E263" s="34" t="inlineStr">
        <is>
          <t>CIV +15</t>
        </is>
      </c>
      <c r="F263" s="34" t="inlineStr">
        <is>
          <t>Efficiency +30%</t>
        </is>
      </c>
      <c r="G263" s="34" t="inlineStr">
        <is>
          <t>Blue -&gt; Purple +6%</t>
        </is>
      </c>
      <c r="H263" s="147" t="inlineStr">
        <is>
          <t>Lottery Machine No. 3 (0.12%)</t>
        </is>
      </c>
      <c r="I263" s="139" t="n"/>
      <c r="J263" s="139" t="n"/>
      <c r="K263" s="139" t="n"/>
      <c r="L263" s="28" t="n"/>
    </row>
    <row r="264">
      <c r="A264" s="142" t="inlineStr">
        <is>
          <t>Hamlet</t>
        </is>
      </c>
      <c r="B264" s="143" t="inlineStr">
        <is>
          <t>SSS</t>
        </is>
      </c>
      <c r="C264" s="143" t="inlineStr">
        <is>
          <t>CIV</t>
        </is>
      </c>
      <c r="D264" s="144" t="n">
        <v>108</v>
      </c>
      <c r="E264" s="145" t="inlineStr">
        <is>
          <t>CIV +15</t>
        </is>
      </c>
      <c r="F264" s="145" t="inlineStr">
        <is>
          <t>Efficiency +30%</t>
        </is>
      </c>
      <c r="G264" s="145" t="inlineStr">
        <is>
          <t>Green -&gt; Blue +6%</t>
        </is>
      </c>
      <c r="H264" s="148" t="inlineStr">
        <is>
          <t>Unknown</t>
        </is>
      </c>
      <c r="I264" s="146" t="n"/>
      <c r="J264" s="146" t="n"/>
      <c r="K264" s="146" t="n"/>
      <c r="L264" s="146" t="n"/>
    </row>
    <row r="265">
      <c r="A265" s="140" t="inlineStr">
        <is>
          <t>100 Years of Solitude</t>
        </is>
      </c>
      <c r="B265" s="141" t="inlineStr">
        <is>
          <t>SSS</t>
        </is>
      </c>
      <c r="C265" s="141" t="inlineStr">
        <is>
          <t>CIV</t>
        </is>
      </c>
      <c r="D265" s="33" t="n">
        <v>109</v>
      </c>
      <c r="E265" s="34" t="inlineStr">
        <is>
          <t>CIV +15</t>
        </is>
      </c>
      <c r="F265" s="34" t="inlineStr">
        <is>
          <t>Efficiency +30%</t>
        </is>
      </c>
      <c r="G265" s="34" t="inlineStr">
        <is>
          <t>Green -&gt; Blue +6%</t>
        </is>
      </c>
      <c r="H265" s="147" t="inlineStr">
        <is>
          <t>Lottery Machine No. 3 (0.12%)</t>
        </is>
      </c>
      <c r="I265" s="139" t="n"/>
      <c r="J265" s="139" t="n"/>
      <c r="K265" s="139" t="n"/>
      <c r="L265" s="28" t="n"/>
    </row>
    <row r="266">
      <c r="A266" s="143" t="inlineStr">
        <is>
          <t>Turkic Stone People</t>
        </is>
      </c>
      <c r="B266" s="143" t="inlineStr">
        <is>
          <t>Blue</t>
        </is>
      </c>
      <c r="C266" s="143" t="inlineStr">
        <is>
          <t>CIV</t>
        </is>
      </c>
      <c r="D266" s="144" t="n">
        <v>46</v>
      </c>
      <c r="E266" s="145" t="inlineStr">
        <is>
          <t>Green -&gt; Blue 1%</t>
        </is>
      </c>
      <c r="F266" s="145" t="n"/>
      <c r="G266" s="145" t="n"/>
      <c r="H266" s="146" t="inlineStr">
        <is>
          <t>Lottery Machine No. 3 (?%)</t>
        </is>
      </c>
      <c r="I266" s="139" t="n"/>
      <c r="J266" s="139" t="n"/>
      <c r="K266" s="139" t="n"/>
      <c r="L266" s="28" t="n"/>
    </row>
    <row r="267"/>
    <row r="268"/>
    <row r="269">
      <c r="A269" s="136" t="inlineStr">
        <is>
          <t>Offering Egg</t>
        </is>
      </c>
      <c r="B269" s="137" t="n"/>
      <c r="C269" s="137" t="n"/>
      <c r="D269" s="138" t="inlineStr">
        <is>
          <t>Main AFFCT</t>
        </is>
      </c>
      <c r="E269" s="138" t="inlineStr">
        <is>
          <t>Stamp 1</t>
        </is>
      </c>
      <c r="F269" s="138" t="inlineStr">
        <is>
          <t>Stamp 2</t>
        </is>
      </c>
      <c r="G269" s="138" t="inlineStr">
        <is>
          <t>Stamp 3</t>
        </is>
      </c>
      <c r="H269" s="138" t="inlineStr">
        <is>
          <t>Source</t>
        </is>
      </c>
      <c r="I269" s="139" t="n"/>
      <c r="J269" s="139" t="n"/>
      <c r="K269" s="139" t="n"/>
      <c r="L269" s="28" t="n"/>
    </row>
    <row r="270">
      <c r="A270" s="140" t="inlineStr">
        <is>
          <t>Luan Feather</t>
        </is>
      </c>
      <c r="B270" s="141" t="inlineStr">
        <is>
          <t>SSS</t>
        </is>
      </c>
      <c r="C270" s="141" t="inlineStr">
        <is>
          <t>FTH</t>
        </is>
      </c>
      <c r="D270" s="33" t="n">
        <v>108</v>
      </c>
      <c r="E270" s="34" t="inlineStr">
        <is>
          <t>Efficiency +30%</t>
        </is>
      </c>
      <c r="F270" s="34" t="inlineStr">
        <is>
          <t>FTH +15</t>
        </is>
      </c>
      <c r="G270" s="34" t="inlineStr">
        <is>
          <t>Blue -&gt; Purple +6%</t>
        </is>
      </c>
      <c r="H270" s="141" t="inlineStr">
        <is>
          <t>Offering Egg (0.08%)</t>
        </is>
      </c>
      <c r="I270" s="139" t="n"/>
      <c r="J270" s="139" t="n"/>
      <c r="K270" s="139" t="n"/>
      <c r="L270" s="28" t="n"/>
    </row>
    <row r="271">
      <c r="A271" s="143" t="inlineStr">
        <is>
          <t>Primavera</t>
        </is>
      </c>
      <c r="B271" s="143" t="inlineStr">
        <is>
          <t>SSS</t>
        </is>
      </c>
      <c r="C271" s="143" t="inlineStr">
        <is>
          <t>FTH</t>
        </is>
      </c>
      <c r="D271" s="144" t="n">
        <v>109</v>
      </c>
      <c r="E271" s="145" t="inlineStr">
        <is>
          <t>FTH +15</t>
        </is>
      </c>
      <c r="F271" s="145" t="inlineStr">
        <is>
          <t>Efficiency +30%</t>
        </is>
      </c>
      <c r="G271" s="145" t="inlineStr">
        <is>
          <t>Green -&gt; Blue +6%</t>
        </is>
      </c>
      <c r="H271" s="146" t="inlineStr">
        <is>
          <t>Lottery Machine No. 3 (0.12%)</t>
        </is>
      </c>
      <c r="I271" s="139" t="n"/>
      <c r="J271" s="139" t="n"/>
      <c r="K271" s="139" t="n"/>
      <c r="L271" s="28" t="n"/>
    </row>
    <row r="272">
      <c r="A272" s="141" t="inlineStr">
        <is>
          <t>Bacio di Guida</t>
        </is>
      </c>
      <c r="B272" s="141" t="inlineStr">
        <is>
          <t>SSS</t>
        </is>
      </c>
      <c r="C272" s="141" t="inlineStr">
        <is>
          <t>FTH</t>
        </is>
      </c>
      <c r="D272" s="33" t="n">
        <v>106</v>
      </c>
      <c r="E272" s="34" t="inlineStr">
        <is>
          <t>Efficiency +30%</t>
        </is>
      </c>
      <c r="F272" s="34" t="inlineStr">
        <is>
          <t>Green -&gt; Blue +6%</t>
        </is>
      </c>
      <c r="G272" s="34" t="inlineStr">
        <is>
          <t>Blue -&gt; Purple +6%</t>
        </is>
      </c>
      <c r="H272" s="147" t="inlineStr">
        <is>
          <t>Lottery Machine No. 3 (0.12%)</t>
        </is>
      </c>
      <c r="I272" s="139" t="n"/>
      <c r="J272" s="139" t="n"/>
      <c r="K272" s="139" t="n"/>
      <c r="L272" s="28" t="n"/>
    </row>
    <row r="273">
      <c r="A273" s="143" t="inlineStr">
        <is>
          <t>The Triumph of Bacchus</t>
        </is>
      </c>
      <c r="B273" s="143" t="inlineStr">
        <is>
          <t>SSS</t>
        </is>
      </c>
      <c r="C273" s="143" t="inlineStr">
        <is>
          <t>FTH</t>
        </is>
      </c>
      <c r="D273" s="144" t="n">
        <v>108</v>
      </c>
      <c r="E273" s="145" t="inlineStr">
        <is>
          <t>FTH +15</t>
        </is>
      </c>
      <c r="F273" s="145" t="inlineStr">
        <is>
          <t>Efficiency +30%</t>
        </is>
      </c>
      <c r="G273" s="145" t="inlineStr">
        <is>
          <t>Green -&gt; Blue +6%</t>
        </is>
      </c>
      <c r="H273" s="146" t="inlineStr">
        <is>
          <t>Lottery Machine No. 3 (0.12%)</t>
        </is>
      </c>
      <c r="I273" s="139" t="n"/>
      <c r="J273" s="139" t="n"/>
      <c r="K273" s="139" t="n"/>
      <c r="L273" s="28" t="n"/>
    </row>
    <row r="274">
      <c r="A274" s="140" t="inlineStr">
        <is>
          <t>Tain Bó Cúailnge</t>
        </is>
      </c>
      <c r="B274" s="141" t="inlineStr">
        <is>
          <t>SSS</t>
        </is>
      </c>
      <c r="C274" s="141" t="inlineStr">
        <is>
          <t>FTH</t>
        </is>
      </c>
      <c r="D274" s="33" t="n">
        <v>108</v>
      </c>
      <c r="E274" s="34" t="inlineStr">
        <is>
          <t>FTH +15</t>
        </is>
      </c>
      <c r="F274" s="34" t="inlineStr">
        <is>
          <t>Efficiency +30%</t>
        </is>
      </c>
      <c r="G274" s="34" t="inlineStr">
        <is>
          <t>Purple -&gt; Orange 3%</t>
        </is>
      </c>
      <c r="H274" s="147" t="inlineStr">
        <is>
          <t>Lottery Machine No. 3 (0.12%)</t>
        </is>
      </c>
      <c r="I274" s="139" t="n"/>
      <c r="J274" s="139" t="n"/>
      <c r="K274" s="139" t="n"/>
      <c r="L274" s="28" t="n"/>
    </row>
    <row r="275">
      <c r="A275" s="143" t="inlineStr">
        <is>
          <t>Nicholas's Testament</t>
        </is>
      </c>
      <c r="B275" s="143" t="inlineStr">
        <is>
          <t>Blue</t>
        </is>
      </c>
      <c r="C275" s="143" t="inlineStr">
        <is>
          <t>FTH</t>
        </is>
      </c>
      <c r="D275" s="144" t="n">
        <v>47</v>
      </c>
      <c r="E275" s="145" t="inlineStr">
        <is>
          <t>Green -&gt; Blue 1%</t>
        </is>
      </c>
      <c r="F275" s="145" t="n"/>
      <c r="G275" s="145" t="n"/>
      <c r="H275" s="146" t="inlineStr">
        <is>
          <t>Lottery Machine No. 3 (?%)</t>
        </is>
      </c>
      <c r="I275" s="139" t="n"/>
      <c r="J275" s="139" t="n"/>
      <c r="K275" s="139" t="n"/>
      <c r="L275" s="28" t="n"/>
    </row>
    <row r="276"/>
    <row r="277"/>
    <row r="278"/>
    <row r="279"/>
    <row r="280">
      <c r="A280" s="149" t="inlineStr">
        <is>
          <t>Forest Sanctum</t>
        </is>
      </c>
      <c r="B280" s="150" t="n"/>
      <c r="C280" s="150" t="n"/>
      <c r="D280" s="151" t="inlineStr">
        <is>
          <t>Main AFFCT</t>
        </is>
      </c>
      <c r="E280" s="151" t="inlineStr">
        <is>
          <t>Source</t>
        </is>
      </c>
      <c r="F280" s="139" t="n"/>
      <c r="G280" s="139" t="n"/>
      <c r="H280" s="139" t="n"/>
      <c r="I280" s="28" t="n"/>
    </row>
    <row r="281">
      <c r="A281" s="141" t="inlineStr">
        <is>
          <t>Alfred Statue</t>
        </is>
      </c>
      <c r="B281" s="141" t="inlineStr">
        <is>
          <t>SSS</t>
        </is>
      </c>
      <c r="C281" s="141" t="inlineStr">
        <is>
          <t>FAME</t>
        </is>
      </c>
      <c r="D281" s="33" t="n">
        <v>106</v>
      </c>
      <c r="E281" s="152" t="inlineStr">
        <is>
          <t>Unknown</t>
        </is>
      </c>
      <c r="F281" s="139" t="n"/>
      <c r="G281" s="139" t="n"/>
      <c r="H281" s="139" t="n"/>
      <c r="I281" s="28" t="n"/>
    </row>
    <row r="282">
      <c r="A282" s="153" t="inlineStr">
        <is>
          <t>Three Days to See</t>
        </is>
      </c>
      <c r="B282" s="153" t="inlineStr">
        <is>
          <t>SSS</t>
        </is>
      </c>
      <c r="C282" s="153" t="inlineStr">
        <is>
          <t>FAME</t>
        </is>
      </c>
      <c r="D282" s="154" t="n">
        <v>108</v>
      </c>
      <c r="E282" s="155" t="inlineStr">
        <is>
          <t>Unknown</t>
        </is>
      </c>
      <c r="F282" s="139" t="n"/>
      <c r="G282" s="139" t="n"/>
      <c r="H282" s="139" t="n"/>
      <c r="I282" s="28" t="n"/>
    </row>
    <row r="283">
      <c r="A283" s="141" t="inlineStr">
        <is>
          <t>Boy with a Pipe</t>
        </is>
      </c>
      <c r="B283" s="141" t="inlineStr">
        <is>
          <t>SSS</t>
        </is>
      </c>
      <c r="C283" s="141" t="inlineStr">
        <is>
          <t>ART</t>
        </is>
      </c>
      <c r="D283" s="33" t="n">
        <v>108</v>
      </c>
      <c r="E283" s="147" t="inlineStr">
        <is>
          <t>Lottery Machine No. 3 (0.11%)</t>
        </is>
      </c>
      <c r="F283" s="139" t="n"/>
      <c r="G283" s="139" t="n"/>
      <c r="H283" s="139" t="n"/>
      <c r="I283" s="28" t="n"/>
    </row>
    <row r="284">
      <c r="A284" s="153" t="inlineStr">
        <is>
          <t>Vairocana Statue</t>
        </is>
      </c>
      <c r="B284" s="153" t="inlineStr">
        <is>
          <t>SSS</t>
        </is>
      </c>
      <c r="C284" s="153" t="inlineStr">
        <is>
          <t>FTH</t>
        </is>
      </c>
      <c r="D284" s="154" t="n">
        <v>106</v>
      </c>
      <c r="E284" s="156" t="inlineStr">
        <is>
          <t>Weekly Special Reward #7</t>
        </is>
      </c>
      <c r="F284" s="139" t="n"/>
      <c r="G284" s="139" t="n"/>
      <c r="H284" s="139" t="n"/>
      <c r="I284" s="28" t="n"/>
    </row>
    <row r="285">
      <c r="A285" s="141" t="inlineStr">
        <is>
          <t>Owl Stele</t>
        </is>
      </c>
      <c r="B285" s="141" t="inlineStr">
        <is>
          <t>SSS</t>
        </is>
      </c>
      <c r="C285" s="141" t="inlineStr">
        <is>
          <t>FTH</t>
        </is>
      </c>
      <c r="D285" s="33" t="n">
        <v>107</v>
      </c>
      <c r="E285" s="147" t="inlineStr">
        <is>
          <t>Value Pack, Relic Forge (120 RF)</t>
        </is>
      </c>
      <c r="F285" s="139" t="n"/>
      <c r="G285" s="139" t="n"/>
      <c r="H285" s="139" t="n"/>
      <c r="I285" s="28" t="n"/>
    </row>
    <row r="286">
      <c r="A286" s="153" t="inlineStr">
        <is>
          <t>CEDAW</t>
        </is>
      </c>
      <c r="B286" s="153" t="inlineStr">
        <is>
          <t>SSS</t>
        </is>
      </c>
      <c r="C286" s="153" t="inlineStr">
        <is>
          <t>CIV</t>
        </is>
      </c>
      <c r="D286" s="154" t="n">
        <v>107</v>
      </c>
      <c r="E286" s="155" t="inlineStr">
        <is>
          <t>Unknown</t>
        </is>
      </c>
      <c r="F286" s="139" t="n"/>
      <c r="G286" s="139" t="n"/>
      <c r="H286" s="139" t="n"/>
      <c r="I286" s="28" t="n"/>
    </row>
    <row r="287">
      <c r="A287" s="141" t="inlineStr">
        <is>
          <t>Earth Size Fix</t>
        </is>
      </c>
      <c r="B287" s="141" t="inlineStr">
        <is>
          <t>SSS</t>
        </is>
      </c>
      <c r="C287" s="141" t="inlineStr">
        <is>
          <t>TECH</t>
        </is>
      </c>
      <c r="D287" s="33" t="n">
        <v>108</v>
      </c>
      <c r="E287" s="147" t="inlineStr">
        <is>
          <t>Traveler's Pack #11</t>
        </is>
      </c>
      <c r="F287" s="139" t="n"/>
      <c r="G287" s="139" t="n"/>
      <c r="H287" s="139" t="n"/>
      <c r="I287" s="28" t="n"/>
    </row>
    <row r="288"/>
    <row r="289"/>
    <row r="290">
      <c r="A290" s="157" t="inlineStr">
        <is>
          <t>Frost Sanctum</t>
        </is>
      </c>
      <c r="B290" s="158" t="n"/>
      <c r="C290" s="158" t="n"/>
      <c r="D290" s="159" t="inlineStr">
        <is>
          <t>Main AFFCT</t>
        </is>
      </c>
      <c r="E290" s="159" t="inlineStr">
        <is>
          <t>Source</t>
        </is>
      </c>
      <c r="F290" s="139" t="n"/>
      <c r="G290" s="139" t="n"/>
      <c r="H290" s="139" t="n"/>
      <c r="I290" s="28" t="n"/>
    </row>
    <row r="291">
      <c r="A291" s="141" t="inlineStr">
        <is>
          <t>Head of Hammurabi</t>
        </is>
      </c>
      <c r="B291" s="141" t="inlineStr">
        <is>
          <t>SSS</t>
        </is>
      </c>
      <c r="C291" s="141" t="inlineStr">
        <is>
          <t>FAME</t>
        </is>
      </c>
      <c r="D291" s="33" t="n">
        <v>109</v>
      </c>
      <c r="E291" s="152" t="inlineStr">
        <is>
          <t>Lottery Machine No. 3 (0.11%)</t>
        </is>
      </c>
      <c r="F291" s="139" t="n"/>
      <c r="G291" s="139" t="n"/>
      <c r="H291" s="139" t="n"/>
      <c r="I291" s="28" t="n"/>
    </row>
    <row r="292">
      <c r="A292" s="160" t="inlineStr">
        <is>
          <t>Water Lillies</t>
        </is>
      </c>
      <c r="B292" s="160" t="inlineStr">
        <is>
          <t>SSS</t>
        </is>
      </c>
      <c r="C292" s="160" t="inlineStr">
        <is>
          <t>ART</t>
        </is>
      </c>
      <c r="D292" s="161" t="n">
        <v>109</v>
      </c>
      <c r="E292" s="162" t="inlineStr">
        <is>
          <t>Traveler's Pack #9</t>
        </is>
      </c>
      <c r="F292" s="139" t="n"/>
      <c r="G292" s="139" t="n"/>
      <c r="H292" s="139" t="n"/>
      <c r="I292" s="28" t="n"/>
    </row>
    <row r="293">
      <c r="A293" s="141" t="inlineStr">
        <is>
          <t>Adoration of Shepards</t>
        </is>
      </c>
      <c r="B293" s="141" t="inlineStr">
        <is>
          <t>SSS</t>
        </is>
      </c>
      <c r="C293" s="141" t="inlineStr">
        <is>
          <t>ART</t>
        </is>
      </c>
      <c r="D293" s="33" t="n">
        <v>109</v>
      </c>
      <c r="E293" s="152" t="inlineStr">
        <is>
          <t>Lottery Machine No. 3 (0.11%)</t>
        </is>
      </c>
      <c r="F293" s="139" t="n"/>
      <c r="G293" s="139" t="n"/>
      <c r="H293" s="139" t="n"/>
      <c r="I293" s="28" t="n"/>
    </row>
    <row r="294">
      <c r="A294" s="160" t="inlineStr">
        <is>
          <t>Temple Pediment</t>
        </is>
      </c>
      <c r="B294" s="160" t="inlineStr">
        <is>
          <t>SSS</t>
        </is>
      </c>
      <c r="C294" s="160" t="inlineStr">
        <is>
          <t>FTH</t>
        </is>
      </c>
      <c r="D294" s="161" t="n">
        <v>104</v>
      </c>
      <c r="E294" s="162" t="inlineStr">
        <is>
          <t>Value Pack, Relic Forge (120 RF)</t>
        </is>
      </c>
      <c r="F294" s="139" t="n"/>
      <c r="G294" s="139" t="n"/>
      <c r="H294" s="139" t="n"/>
      <c r="I294" s="28" t="n"/>
    </row>
    <row r="295">
      <c r="A295" s="141" t="inlineStr">
        <is>
          <t>The High Priestess</t>
        </is>
      </c>
      <c r="B295" s="141" t="inlineStr">
        <is>
          <t>SSS</t>
        </is>
      </c>
      <c r="C295" s="141" t="inlineStr">
        <is>
          <t>FTH</t>
        </is>
      </c>
      <c r="D295" s="33" t="n">
        <v>106</v>
      </c>
      <c r="E295" s="147" t="inlineStr">
        <is>
          <t>Weekly Event Pack Privilege Purchase</t>
        </is>
      </c>
      <c r="F295" s="139" t="n"/>
      <c r="G295" s="139" t="n"/>
      <c r="H295" s="139" t="n"/>
      <c r="I295" s="28" t="n"/>
    </row>
    <row r="296">
      <c r="A296" s="160" t="inlineStr">
        <is>
          <t>Treatise on the Great</t>
        </is>
      </c>
      <c r="B296" s="160" t="inlineStr">
        <is>
          <t>SSS</t>
        </is>
      </c>
      <c r="C296" s="160" t="inlineStr">
        <is>
          <t>FTH</t>
        </is>
      </c>
      <c r="D296" s="161" t="n">
        <v>106</v>
      </c>
      <c r="E296" s="162" t="inlineStr">
        <is>
          <t>Daily Silver Pack #10</t>
        </is>
      </c>
      <c r="F296" s="139" t="n"/>
      <c r="G296" s="139" t="n"/>
      <c r="H296" s="139" t="n"/>
      <c r="I296" s="28" t="n"/>
    </row>
    <row r="297">
      <c r="A297" s="141" t="inlineStr">
        <is>
          <t>Euphronios Krater</t>
        </is>
      </c>
      <c r="B297" s="141" t="inlineStr">
        <is>
          <t>SSS</t>
        </is>
      </c>
      <c r="C297" s="141" t="inlineStr">
        <is>
          <t>CIV</t>
        </is>
      </c>
      <c r="D297" s="33" t="n">
        <v>106</v>
      </c>
      <c r="E297" s="147" t="inlineStr">
        <is>
          <t>Kaleido Valley Shop</t>
        </is>
      </c>
      <c r="F297" s="139" t="n"/>
      <c r="G297" s="139" t="n"/>
      <c r="H297" s="139" t="n"/>
      <c r="I297" s="28" t="n"/>
    </row>
    <row r="298">
      <c r="A298" s="160" t="inlineStr">
        <is>
          <t>Johann Wilhelm's Statue</t>
        </is>
      </c>
      <c r="B298" s="160" t="inlineStr">
        <is>
          <t>SSS</t>
        </is>
      </c>
      <c r="C298" s="160" t="inlineStr">
        <is>
          <t>TECH</t>
        </is>
      </c>
      <c r="D298" s="161" t="n">
        <v>108</v>
      </c>
      <c r="E298" s="163" t="inlineStr">
        <is>
          <t>Lottery Machine No. 3 (0.11%)</t>
        </is>
      </c>
      <c r="F298" s="139" t="n"/>
      <c r="G298" s="139" t="n"/>
      <c r="H298" s="139" t="n"/>
      <c r="I298" s="28" t="n"/>
    </row>
    <row r="299">
      <c r="A299" s="141" t="inlineStr">
        <is>
          <t>M-Theory</t>
        </is>
      </c>
      <c r="B299" s="141" t="inlineStr">
        <is>
          <t>SSS</t>
        </is>
      </c>
      <c r="C299" s="141" t="inlineStr">
        <is>
          <t>TECH</t>
        </is>
      </c>
      <c r="D299" s="33" t="n">
        <v>108</v>
      </c>
      <c r="E299" s="147" t="inlineStr">
        <is>
          <t>Clover Vendor Reward</t>
        </is>
      </c>
      <c r="F299" s="139" t="n"/>
      <c r="G299" s="139" t="n"/>
      <c r="H299" s="139" t="n"/>
      <c r="I299" s="28" t="n"/>
    </row>
    <row r="300"/>
    <row r="301"/>
    <row r="302">
      <c r="A302" s="164" t="inlineStr">
        <is>
          <t>Desert Sanctum</t>
        </is>
      </c>
      <c r="B302" s="165" t="n"/>
      <c r="C302" s="165" t="n"/>
      <c r="D302" s="85" t="inlineStr">
        <is>
          <t>Main AFFCT</t>
        </is>
      </c>
      <c r="E302" s="85" t="inlineStr">
        <is>
          <t>Source</t>
        </is>
      </c>
      <c r="F302" s="139" t="n"/>
      <c r="G302" s="139" t="n"/>
      <c r="H302" s="139" t="n"/>
      <c r="I302" s="28" t="n"/>
    </row>
    <row r="303">
      <c r="A303" s="141" t="inlineStr">
        <is>
          <t>Celebrity Biography</t>
        </is>
      </c>
      <c r="B303" s="141" t="inlineStr">
        <is>
          <t>SSS</t>
        </is>
      </c>
      <c r="C303" s="141" t="inlineStr">
        <is>
          <t>FAME</t>
        </is>
      </c>
      <c r="D303" s="33" t="n">
        <v>107</v>
      </c>
      <c r="E303" s="147" t="inlineStr">
        <is>
          <t>Lottery Machine No. 3 (0.11%)</t>
        </is>
      </c>
      <c r="F303" s="139" t="n"/>
      <c r="G303" s="139" t="n"/>
      <c r="H303" s="139" t="n"/>
      <c r="I303" s="28" t="n"/>
    </row>
    <row r="304">
      <c r="A304" s="166" t="inlineStr">
        <is>
          <t>Hans Christian Andersen Award</t>
        </is>
      </c>
      <c r="B304" s="166" t="inlineStr">
        <is>
          <t>SSS</t>
        </is>
      </c>
      <c r="C304" s="166" t="inlineStr">
        <is>
          <t>FAME</t>
        </is>
      </c>
      <c r="D304" s="90" t="n">
        <v>107</v>
      </c>
      <c r="E304" s="167" t="inlineStr">
        <is>
          <t>Daily Pack Relic #60</t>
        </is>
      </c>
      <c r="F304" s="139" t="n"/>
      <c r="G304" s="139" t="n"/>
      <c r="H304" s="139" t="n"/>
      <c r="I304" s="28" t="n"/>
    </row>
    <row r="305">
      <c r="A305" s="141" t="inlineStr">
        <is>
          <t>The Battle of San Romano</t>
        </is>
      </c>
      <c r="B305" s="141" t="inlineStr">
        <is>
          <t>SSS</t>
        </is>
      </c>
      <c r="C305" s="141" t="inlineStr">
        <is>
          <t>ART</t>
        </is>
      </c>
      <c r="D305" s="33" t="n">
        <v>108</v>
      </c>
      <c r="E305" s="147" t="inlineStr">
        <is>
          <t>Lottery Machine No. 3 (0.11%)</t>
        </is>
      </c>
      <c r="F305" s="139" t="n"/>
      <c r="G305" s="139" t="n"/>
      <c r="H305" s="139" t="n"/>
      <c r="I305" s="28" t="n"/>
    </row>
    <row r="306">
      <c r="A306" s="166" t="inlineStr">
        <is>
          <t>Crazy Horse Memorial</t>
        </is>
      </c>
      <c r="B306" s="166" t="inlineStr">
        <is>
          <t>SSS</t>
        </is>
      </c>
      <c r="C306" s="166" t="inlineStr">
        <is>
          <t>FTH</t>
        </is>
      </c>
      <c r="D306" s="90" t="n">
        <v>107</v>
      </c>
      <c r="E306" s="168" t="inlineStr">
        <is>
          <t>Kaleido Valley Fortune Teller Reward</t>
        </is>
      </c>
      <c r="F306" s="139" t="n"/>
      <c r="G306" s="139" t="n"/>
      <c r="H306" s="139" t="n"/>
      <c r="I306" s="28" t="n"/>
    </row>
    <row r="307">
      <c r="A307" s="141" t="inlineStr">
        <is>
          <t>Flying Horse of Gansu</t>
        </is>
      </c>
      <c r="B307" s="141" t="inlineStr">
        <is>
          <t>SSS</t>
        </is>
      </c>
      <c r="C307" s="141" t="inlineStr">
        <is>
          <t>CIV</t>
        </is>
      </c>
      <c r="D307" s="33" t="n">
        <v>106</v>
      </c>
      <c r="E307" s="147" t="inlineStr">
        <is>
          <t>Lottery Machine No. 3 (0.11%)</t>
        </is>
      </c>
      <c r="F307" s="139" t="n"/>
      <c r="G307" s="139" t="n"/>
      <c r="H307" s="139" t="n"/>
      <c r="I307" s="28" t="n"/>
    </row>
    <row r="308">
      <c r="A308" s="166" t="inlineStr">
        <is>
          <t>Poincare Conjecture</t>
        </is>
      </c>
      <c r="B308" s="166" t="inlineStr">
        <is>
          <t>SSS</t>
        </is>
      </c>
      <c r="C308" s="166" t="inlineStr">
        <is>
          <t>TECH</t>
        </is>
      </c>
      <c r="D308" s="90" t="n">
        <v>106</v>
      </c>
      <c r="E308" s="168" t="inlineStr">
        <is>
          <t>Daily Pack Relic #33</t>
        </is>
      </c>
      <c r="F308" s="139" t="n"/>
      <c r="G308" s="139" t="n"/>
      <c r="H308" s="139" t="n"/>
      <c r="I308" s="28" t="n"/>
    </row>
    <row r="309"/>
    <row r="310"/>
    <row r="311">
      <c r="A311" s="169" t="inlineStr">
        <is>
          <t>Swamp Sanctum</t>
        </is>
      </c>
      <c r="B311" s="170" t="n"/>
      <c r="C311" s="170" t="n"/>
      <c r="D311" s="171" t="inlineStr">
        <is>
          <t>Main AFFCT</t>
        </is>
      </c>
      <c r="E311" s="171" t="inlineStr">
        <is>
          <t>Source</t>
        </is>
      </c>
      <c r="F311" s="139" t="n"/>
      <c r="G311" s="139" t="n"/>
      <c r="H311" s="139" t="n"/>
      <c r="I311" s="28" t="n"/>
    </row>
    <row r="312">
      <c r="A312" s="141" t="inlineStr">
        <is>
          <t>Faberge Egg</t>
        </is>
      </c>
      <c r="B312" s="141" t="inlineStr">
        <is>
          <t>SSS</t>
        </is>
      </c>
      <c r="C312" s="141" t="inlineStr">
        <is>
          <t>FAME</t>
        </is>
      </c>
      <c r="D312" s="33" t="n">
        <v>109</v>
      </c>
      <c r="E312" s="147" t="inlineStr">
        <is>
          <t>Lottery Machine No. 3 (0.11%)</t>
        </is>
      </c>
      <c r="F312" s="139" t="n"/>
      <c r="G312" s="139" t="n"/>
      <c r="H312" s="139" t="n"/>
      <c r="I312" s="28" t="n"/>
    </row>
    <row r="313">
      <c r="A313" s="172" t="inlineStr">
        <is>
          <t>The Yellow Christ</t>
        </is>
      </c>
      <c r="B313" s="172" t="inlineStr">
        <is>
          <t>SSS</t>
        </is>
      </c>
      <c r="C313" s="172" t="inlineStr">
        <is>
          <t>ART</t>
        </is>
      </c>
      <c r="D313" s="173" t="n">
        <v>108</v>
      </c>
      <c r="E313" s="174" t="inlineStr">
        <is>
          <t>Traveler's Pack #12</t>
        </is>
      </c>
      <c r="F313" s="139" t="n"/>
      <c r="G313" s="139" t="n"/>
      <c r="H313" s="139" t="n"/>
      <c r="I313" s="28" t="n"/>
    </row>
    <row r="314">
      <c r="A314" s="141" t="inlineStr">
        <is>
          <t>Pnakotic Manuscripts</t>
        </is>
      </c>
      <c r="B314" s="141" t="inlineStr">
        <is>
          <t>SSS</t>
        </is>
      </c>
      <c r="C314" s="141" t="inlineStr">
        <is>
          <t>FTH</t>
        </is>
      </c>
      <c r="D314" s="33" t="n">
        <v>107</v>
      </c>
      <c r="E314" s="147" t="inlineStr">
        <is>
          <t>Lottery Machine No. 3 (0.11%)</t>
        </is>
      </c>
      <c r="F314" s="139" t="n"/>
      <c r="G314" s="139" t="n"/>
      <c r="H314" s="139" t="n"/>
      <c r="I314" s="28" t="n"/>
    </row>
    <row r="315">
      <c r="A315" s="172" t="inlineStr">
        <is>
          <t>Fenian Cycle</t>
        </is>
      </c>
      <c r="B315" s="172" t="inlineStr">
        <is>
          <t>SSS</t>
        </is>
      </c>
      <c r="C315" s="172" t="inlineStr">
        <is>
          <t>CIV</t>
        </is>
      </c>
      <c r="D315" s="173" t="n">
        <v>106</v>
      </c>
      <c r="E315" s="174" t="inlineStr">
        <is>
          <t>Daily Pack Relic #34</t>
        </is>
      </c>
      <c r="F315" s="139" t="n"/>
      <c r="G315" s="139" t="n"/>
      <c r="H315" s="139" t="n"/>
      <c r="I315" s="28" t="n"/>
    </row>
    <row r="316">
      <c r="A316" s="141" t="inlineStr">
        <is>
          <t>Apollo Lunar Module</t>
        </is>
      </c>
      <c r="B316" s="141" t="inlineStr">
        <is>
          <t>SSS</t>
        </is>
      </c>
      <c r="C316" s="141" t="inlineStr">
        <is>
          <t>TECH</t>
        </is>
      </c>
      <c r="D316" s="33" t="n">
        <v>108</v>
      </c>
      <c r="E316" s="147" t="inlineStr">
        <is>
          <t>Weekly Special Reward #6</t>
        </is>
      </c>
      <c r="F316" s="139" t="n"/>
      <c r="G316" s="139" t="n"/>
      <c r="H316" s="139" t="n"/>
      <c r="I316" s="28" t="n"/>
    </row>
    <row r="317"/>
    <row r="318"/>
    <row r="319">
      <c r="A319" s="136" t="inlineStr">
        <is>
          <t>Prairie Sanctum</t>
        </is>
      </c>
      <c r="B319" s="137" t="n"/>
      <c r="C319" s="137" t="n"/>
      <c r="D319" s="138" t="inlineStr">
        <is>
          <t>Main AFFCT</t>
        </is>
      </c>
      <c r="E319" s="138" t="inlineStr">
        <is>
          <t>Source</t>
        </is>
      </c>
      <c r="F319" s="139" t="n"/>
      <c r="G319" s="139" t="n"/>
      <c r="H319" s="139" t="n"/>
      <c r="I319" s="28" t="n"/>
    </row>
    <row r="320">
      <c r="A320" s="141" t="inlineStr">
        <is>
          <t>Guinness World Records</t>
        </is>
      </c>
      <c r="B320" s="141" t="inlineStr">
        <is>
          <t>SSS</t>
        </is>
      </c>
      <c r="C320" s="141" t="inlineStr">
        <is>
          <t>FAME</t>
        </is>
      </c>
      <c r="D320" s="33" t="n">
        <v>107</v>
      </c>
      <c r="E320" s="147" t="inlineStr">
        <is>
          <t>Lottery Machine No. 3 (0.11%)</t>
        </is>
      </c>
      <c r="F320" s="139" t="n"/>
      <c r="G320" s="139" t="n"/>
      <c r="H320" s="139" t="n"/>
      <c r="I320" s="28" t="n"/>
    </row>
    <row r="321">
      <c r="A321" s="143" t="inlineStr">
        <is>
          <t>Guiguzi Descends the Mountain</t>
        </is>
      </c>
      <c r="B321" s="146" t="inlineStr">
        <is>
          <t>SSS</t>
        </is>
      </c>
      <c r="C321" s="146" t="inlineStr">
        <is>
          <t>ART</t>
        </is>
      </c>
      <c r="D321" s="144" t="n">
        <v>107</v>
      </c>
      <c r="E321" s="148" t="inlineStr">
        <is>
          <t>Unknown</t>
        </is>
      </c>
      <c r="F321" s="139" t="n"/>
      <c r="G321" s="139" t="n"/>
      <c r="H321" s="139" t="n"/>
      <c r="I321" s="28" t="n"/>
    </row>
    <row r="322">
      <c r="A322" s="141" t="inlineStr">
        <is>
          <t>Serenade for Strings in G Major</t>
        </is>
      </c>
      <c r="B322" s="141" t="inlineStr">
        <is>
          <t>SSS</t>
        </is>
      </c>
      <c r="C322" s="141" t="inlineStr">
        <is>
          <t>ART</t>
        </is>
      </c>
      <c r="D322" s="33" t="n">
        <v>107</v>
      </c>
      <c r="E322" s="152" t="inlineStr">
        <is>
          <t>Daily Pack Relic #56</t>
        </is>
      </c>
      <c r="F322" s="139" t="n"/>
      <c r="G322" s="139" t="n"/>
      <c r="H322" s="139" t="n"/>
      <c r="I322" s="28" t="n"/>
    </row>
    <row r="323">
      <c r="A323" s="143" t="inlineStr">
        <is>
          <t>Burghers of Calais</t>
        </is>
      </c>
      <c r="B323" s="143" t="inlineStr">
        <is>
          <t>SSS</t>
        </is>
      </c>
      <c r="C323" s="143" t="inlineStr">
        <is>
          <t>ART</t>
        </is>
      </c>
      <c r="D323" s="144" t="n">
        <v>108</v>
      </c>
      <c r="E323" s="148" t="inlineStr">
        <is>
          <t>Lottery Machine No. 3 (0.11%)</t>
        </is>
      </c>
      <c r="F323" s="139" t="n"/>
      <c r="G323" s="139" t="n"/>
      <c r="H323" s="139" t="n"/>
      <c r="I323" s="28" t="n"/>
    </row>
    <row r="324">
      <c r="A324" s="141" t="inlineStr">
        <is>
          <t>The Grand Odalisque</t>
        </is>
      </c>
      <c r="B324" s="141" t="inlineStr">
        <is>
          <t>SSS</t>
        </is>
      </c>
      <c r="C324" s="141" t="inlineStr">
        <is>
          <t>ART</t>
        </is>
      </c>
      <c r="D324" s="33" t="n">
        <v>108</v>
      </c>
      <c r="E324" s="152" t="inlineStr">
        <is>
          <t>Traveler's Pack #?</t>
        </is>
      </c>
      <c r="F324" s="139" t="n"/>
      <c r="G324" s="139" t="n"/>
      <c r="H324" s="139" t="n"/>
      <c r="I324" s="28" t="n"/>
    </row>
    <row r="325">
      <c r="A325" s="143" t="inlineStr">
        <is>
          <t>Crown of Thorns</t>
        </is>
      </c>
      <c r="B325" s="143" t="inlineStr">
        <is>
          <t>SSS</t>
        </is>
      </c>
      <c r="C325" s="143" t="inlineStr">
        <is>
          <t>FTH</t>
        </is>
      </c>
      <c r="D325" s="144" t="n">
        <v>107</v>
      </c>
      <c r="E325" s="146" t="inlineStr">
        <is>
          <t>Kaleido Valley Fortune Teller Reward</t>
        </is>
      </c>
      <c r="F325" s="139" t="n"/>
      <c r="G325" s="139" t="n"/>
      <c r="H325" s="139" t="n"/>
      <c r="I325" s="28" t="n"/>
    </row>
    <row r="326">
      <c r="A326" s="141" t="inlineStr">
        <is>
          <t>Philosophy Meditations</t>
        </is>
      </c>
      <c r="B326" s="141" t="inlineStr">
        <is>
          <t>SSS</t>
        </is>
      </c>
      <c r="C326" s="141" t="inlineStr">
        <is>
          <t>CIV</t>
        </is>
      </c>
      <c r="D326" s="33" t="n">
        <v>106</v>
      </c>
      <c r="E326" s="147" t="inlineStr">
        <is>
          <t>Daily Pack Relic #30</t>
        </is>
      </c>
      <c r="F326" s="139" t="n"/>
      <c r="G326" s="139" t="n"/>
      <c r="H326" s="139" t="n"/>
      <c r="I326" s="28" t="n"/>
    </row>
    <row r="327">
      <c r="A327" s="143" t="inlineStr">
        <is>
          <t>The Principia</t>
        </is>
      </c>
      <c r="B327" s="143" t="inlineStr">
        <is>
          <t>SSS</t>
        </is>
      </c>
      <c r="C327" s="143" t="inlineStr">
        <is>
          <t>TECH</t>
        </is>
      </c>
      <c r="D327" s="144" t="n">
        <v>109</v>
      </c>
      <c r="E327" s="146" t="inlineStr">
        <is>
          <t>Daily Pack Relic #38</t>
        </is>
      </c>
      <c r="F327" s="139" t="n"/>
      <c r="G327" s="139" t="n"/>
      <c r="H327" s="139" t="n"/>
      <c r="I327" s="28" t="n"/>
    </row>
  </sheetData>
  <mergeCells count="107">
    <mergeCell ref="E298:I298"/>
    <mergeCell ref="H275:L275"/>
    <mergeCell ref="R237:S237"/>
    <mergeCell ref="E303:I303"/>
    <mergeCell ref="E312:I312"/>
    <mergeCell ref="R69:S69"/>
    <mergeCell ref="E290:I290"/>
    <mergeCell ref="R196:S196"/>
    <mergeCell ref="H252:L252"/>
    <mergeCell ref="H261:L261"/>
    <mergeCell ref="R158:S158"/>
    <mergeCell ref="E280:I280"/>
    <mergeCell ref="E314:I314"/>
    <mergeCell ref="R198:S198"/>
    <mergeCell ref="R70:S70"/>
    <mergeCell ref="H253:L253"/>
    <mergeCell ref="R235:S235"/>
    <mergeCell ref="R32:S32"/>
    <mergeCell ref="R159:S159"/>
    <mergeCell ref="R112:S112"/>
    <mergeCell ref="H246:L246"/>
    <mergeCell ref="R106:S106"/>
    <mergeCell ref="E315:I315"/>
    <mergeCell ref="R200:S200"/>
    <mergeCell ref="R161:S161"/>
    <mergeCell ref="E305:I305"/>
    <mergeCell ref="H273:L273"/>
    <mergeCell ref="H248:L248"/>
    <mergeCell ref="E292:I292"/>
    <mergeCell ref="R202:S202"/>
    <mergeCell ref="R33:S33"/>
    <mergeCell ref="H263:L263"/>
    <mergeCell ref="R107:S107"/>
    <mergeCell ref="H272:L272"/>
    <mergeCell ref="E307:I307"/>
    <mergeCell ref="R73:S73"/>
    <mergeCell ref="E294:I294"/>
    <mergeCell ref="H265:L265"/>
    <mergeCell ref="H274:L274"/>
    <mergeCell ref="R197:S197"/>
    <mergeCell ref="H255:L255"/>
    <mergeCell ref="E293:I293"/>
    <mergeCell ref="R34:S34"/>
    <mergeCell ref="R108:S108"/>
    <mergeCell ref="R236:S236"/>
    <mergeCell ref="R36:S36"/>
    <mergeCell ref="R110:S110"/>
    <mergeCell ref="E311:I311"/>
    <mergeCell ref="E320:I320"/>
    <mergeCell ref="E304:I304"/>
    <mergeCell ref="R109:S109"/>
    <mergeCell ref="H243:L243"/>
    <mergeCell ref="E306:I306"/>
    <mergeCell ref="R72:S72"/>
    <mergeCell ref="R199:S199"/>
    <mergeCell ref="E283:I283"/>
    <mergeCell ref="R71:S71"/>
    <mergeCell ref="H254:L254"/>
    <mergeCell ref="R111:S111"/>
    <mergeCell ref="E285:I285"/>
    <mergeCell ref="H256:L256"/>
    <mergeCell ref="E322:I322"/>
    <mergeCell ref="R162:S162"/>
    <mergeCell ref="H271:L271"/>
    <mergeCell ref="R233:S233"/>
    <mergeCell ref="E324:I324"/>
    <mergeCell ref="R164:S164"/>
    <mergeCell ref="E308:I308"/>
    <mergeCell ref="R74:S74"/>
    <mergeCell ref="E295:I295"/>
    <mergeCell ref="R35:S35"/>
    <mergeCell ref="R163:S163"/>
    <mergeCell ref="H266:L266"/>
    <mergeCell ref="E319:I319"/>
    <mergeCell ref="E287:I287"/>
    <mergeCell ref="E281:I281"/>
    <mergeCell ref="R75:S75"/>
    <mergeCell ref="H249:L249"/>
    <mergeCell ref="E296:I296"/>
    <mergeCell ref="H245:L245"/>
    <mergeCell ref="E321:I321"/>
    <mergeCell ref="H260:L260"/>
    <mergeCell ref="E326:I326"/>
    <mergeCell ref="H269:L269"/>
    <mergeCell ref="E282:I282"/>
    <mergeCell ref="H244:L244"/>
    <mergeCell ref="E323:I323"/>
    <mergeCell ref="E297:I297"/>
    <mergeCell ref="E313:I313"/>
    <mergeCell ref="E299:I299"/>
    <mergeCell ref="R31:S31"/>
    <mergeCell ref="H270:L270"/>
    <mergeCell ref="R37:S37"/>
    <mergeCell ref="R160:S160"/>
    <mergeCell ref="H247:L247"/>
    <mergeCell ref="E291:I291"/>
    <mergeCell ref="R232:S232"/>
    <mergeCell ref="R201:S201"/>
    <mergeCell ref="H257:L257"/>
    <mergeCell ref="H262:L262"/>
    <mergeCell ref="E284:I284"/>
    <mergeCell ref="E316:I316"/>
    <mergeCell ref="R234:S234"/>
    <mergeCell ref="E325:I325"/>
    <mergeCell ref="E286:I286"/>
    <mergeCell ref="E327:I327"/>
    <mergeCell ref="E302:I3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2026-04-25T21:15:17Z</dcterms:created>
  <dcterms:modified xmlns:dcterms="http://purl.org/dc/terms/" xmlns:xsi="http://www.w3.org/2001/XMLSchema-instance" xsi:type="dcterms:W3CDTF">2026-04-25T21:15:20Z</dcterms:modified>
</cp:coreProperties>
</file>