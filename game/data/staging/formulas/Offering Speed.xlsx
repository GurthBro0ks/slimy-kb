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ing 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</font>
    <font>
      <name val="Calibri"/>
      <b val="1"/>
      <color theme="1"/>
      <sz val="12"/>
    </font>
    <font>
      <name val="Calibri"/>
      <color rgb="FF000000"/>
      <sz val="12"/>
    </font>
    <font>
      <name val="Calibri"/>
      <color rgb="FF1A1A1A"/>
      <sz val="12"/>
    </font>
    <font>
      <name val="Calibri"/>
      <color theme="1"/>
      <sz val="12"/>
    </font>
    <font>
      <name val="Calibri"/>
      <b val="1"/>
      <color theme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4" pivotButton="0" quotePrefix="0" xfId="0"/>
    <xf numFmtId="0" fontId="3" fillId="0" borderId="5" applyAlignment="1" pivotButton="0" quotePrefix="0" xfId="0">
      <alignment vertical="bottom"/>
    </xf>
    <xf numFmtId="0" fontId="4" fillId="0" borderId="6" pivotButton="0" quotePrefix="0" xfId="0"/>
    <xf numFmtId="10" fontId="5" fillId="0" borderId="5" pivotButton="0" quotePrefix="0" xfId="0"/>
    <xf numFmtId="2" fontId="5" fillId="0" borderId="5" pivotButton="0" quotePrefix="0" xfId="0"/>
    <xf numFmtId="10" fontId="5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0" fontId="5" fillId="0" borderId="9" pivotButton="0" quotePrefix="0" xfId="0"/>
    <xf numFmtId="0" fontId="2" fillId="0" borderId="1" pivotButton="0" quotePrefix="0" xfId="0"/>
    <xf numFmtId="10" fontId="5" fillId="0" borderId="3" pivotButton="0" quotePrefix="0" xfId="0"/>
    <xf numFmtId="0" fontId="6" fillId="0" borderId="1" pivotButton="0" quotePrefix="0" xfId="0"/>
    <xf numFmtId="0" fontId="1" fillId="0" borderId="9" pivotButton="0" quotePrefix="0" xfId="0"/>
    <xf numFmtId="0" fontId="6" fillId="0" borderId="4" pivotButton="0" quotePrefix="0" xfId="0"/>
    <xf numFmtId="0" fontId="6" fillId="0" borderId="7" pivotButton="0" quotePrefix="0" xfId="0"/>
    <xf numFmtId="0" fontId="1" fillId="0" borderId="10" pivotButton="0" quotePrefix="0" xfId="0"/>
    <xf numFmtId="0" fontId="1" fillId="0" borderId="11" pivotButton="0" quotePrefix="0" xfId="0"/>
    <xf numFmtId="4" fontId="1" fillId="0" borderId="6" pivotButton="0" quotePrefix="0" xfId="0"/>
    <xf numFmtId="0" fontId="1" fillId="0" borderId="10" applyAlignment="1" pivotButton="0" quotePrefix="0" xfId="0">
      <alignment horizontal="center"/>
    </xf>
    <xf numFmtId="4" fontId="1" fillId="0" borderId="10" applyAlignment="1" pivotButton="0" quotePrefix="0" xfId="0">
      <alignment horizontal="center"/>
    </xf>
    <xf numFmtId="4" fontId="1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0.27" customWidth="1" min="1" max="1"/>
    <col width="8.449999999999999" customWidth="1" min="2" max="2"/>
    <col width="10.36" customWidth="1" min="4" max="4"/>
    <col width="10.91" customWidth="1" min="5" max="5"/>
    <col width="98.55" customWidth="1" min="6" max="6"/>
    <col width="10.36" customWidth="1" min="7" max="7"/>
    <col width="27.36" customWidth="1" min="8" max="8"/>
    <col width="25.73" customWidth="1" min="9" max="9"/>
    <col width="8.73" customWidth="1" min="10" max="10"/>
    <col width="8.640000000000001" customWidth="1" min="11" max="11"/>
  </cols>
  <sheetData>
    <row r="1" ht="15.75" customHeight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Soul Speed</t>
        </is>
      </c>
      <c r="E1" s="2" t="inlineStr">
        <is>
          <t>Awakened Bonus</t>
        </is>
      </c>
      <c r="F1" s="3" t="inlineStr">
        <is>
          <t>Source</t>
        </is>
      </c>
    </row>
    <row r="2" ht="15.75" customHeight="1">
      <c r="A2" s="4" t="inlineStr">
        <is>
          <t>INDIVIDUAL RELICS</t>
        </is>
      </c>
      <c r="B2" s="5" t="n"/>
      <c r="C2" s="5" t="n"/>
      <c r="D2" s="5" t="n"/>
      <c r="E2" s="5" t="n"/>
      <c r="F2" s="6" t="n"/>
    </row>
    <row r="3" ht="15.75" customHeight="1">
      <c r="A3" s="7" t="inlineStr">
        <is>
          <t xml:space="preserve">   Prometheus Torch</t>
        </is>
      </c>
      <c r="B3" s="8" t="inlineStr">
        <is>
          <t>SSS</t>
        </is>
      </c>
      <c r="C3" s="5" t="inlineStr">
        <is>
          <t>FAME</t>
        </is>
      </c>
      <c r="D3" s="5" t="n">
        <v>4.8</v>
      </c>
      <c r="E3" s="5" t="n">
        <v>4</v>
      </c>
      <c r="F3" s="9" t="inlineStr">
        <is>
          <t>Lottery Machine #1 (0.09%), Wishing (0.09%), Hellas Treasure Map, Grandmaster Scrolls (0.81%), Relic Forge (120 Relic RF)</t>
        </is>
      </c>
      <c r="G3" s="10" t="n"/>
      <c r="H3" s="10" t="n"/>
      <c r="J3" s="10" t="n"/>
    </row>
    <row r="4" ht="15.75" customHeight="1">
      <c r="A4" s="7" t="inlineStr">
        <is>
          <t xml:space="preserve">   Houmuwu Ding</t>
        </is>
      </c>
      <c r="B4" s="8" t="inlineStr">
        <is>
          <t>SSS</t>
        </is>
      </c>
      <c r="C4" s="5" t="inlineStr">
        <is>
          <t>CIV</t>
        </is>
      </c>
      <c r="D4" s="5" t="n">
        <v>4.8</v>
      </c>
      <c r="E4" s="5" t="n">
        <v>4</v>
      </c>
      <c r="F4" s="9" t="inlineStr">
        <is>
          <t>Wish Box, Lottery Machine #1 (0.09%), Wishing (0.08%), Cathay Treasure Maps (0.01%), Grandmaster Scrolls (0.81%), Relic Forge (120 Relic RF)</t>
        </is>
      </c>
      <c r="G4" s="10" t="n"/>
      <c r="H4" s="10" t="n"/>
      <c r="J4" s="10" t="n"/>
    </row>
    <row r="5" ht="15.75" customHeight="1">
      <c r="A5" s="7" t="inlineStr">
        <is>
          <t xml:space="preserve">   Crystal Skull</t>
        </is>
      </c>
      <c r="B5" s="8" t="inlineStr">
        <is>
          <t>AAA</t>
        </is>
      </c>
      <c r="C5" s="8" t="inlineStr">
        <is>
          <t>ART</t>
        </is>
      </c>
      <c r="D5" s="5" t="n">
        <v>3.6</v>
      </c>
      <c r="E5" s="5" t="n">
        <v>2.8</v>
      </c>
      <c r="F5" s="9" t="inlineStr">
        <is>
          <t>Fragment Crafting (1.6%), Lottery Machine #1 (0.03%), Wishing (0.14%), Time Chest (1.5%), Relic Forge (Relic RF 80)</t>
        </is>
      </c>
      <c r="G5" s="10" t="n"/>
      <c r="H5" s="10" t="n"/>
      <c r="I5" s="11" t="n"/>
      <c r="J5" s="10" t="n"/>
    </row>
    <row r="6" ht="15.75" customHeight="1">
      <c r="A6" s="7" t="inlineStr">
        <is>
          <t xml:space="preserve">   Buddha Tooth Sarira</t>
        </is>
      </c>
      <c r="B6" s="8" t="inlineStr">
        <is>
          <t>Blue</t>
        </is>
      </c>
      <c r="C6" s="8" t="inlineStr">
        <is>
          <t>FTH</t>
        </is>
      </c>
      <c r="D6" s="5" t="n">
        <v>2</v>
      </c>
      <c r="E6" s="5" t="n">
        <v>2</v>
      </c>
      <c r="F6" s="9" t="inlineStr">
        <is>
          <t>Lottery Machine #1 (0.03%), Wishing (0.85%), Bharata Treasure Maps (%)</t>
        </is>
      </c>
      <c r="G6" s="10" t="n"/>
      <c r="H6" s="10" t="n"/>
      <c r="I6" s="11" t="n"/>
      <c r="J6" s="10" t="n"/>
    </row>
    <row r="7" ht="15.75" customHeight="1">
      <c r="A7" s="7" t="inlineStr">
        <is>
          <t xml:space="preserve">   Death Hallows VII</t>
        </is>
      </c>
      <c r="B7" s="8" t="inlineStr">
        <is>
          <t>Green</t>
        </is>
      </c>
      <c r="C7" s="8" t="inlineStr">
        <is>
          <t>FTH</t>
        </is>
      </c>
      <c r="D7" s="5" t="n">
        <v>1.2</v>
      </c>
      <c r="E7" s="5" t="n"/>
      <c r="F7" s="12" t="inlineStr">
        <is>
          <t>Dumbledore Fight II</t>
        </is>
      </c>
      <c r="G7" s="10" t="n"/>
      <c r="H7" s="10" t="n"/>
      <c r="I7" s="11" t="n"/>
      <c r="J7" s="10" t="n"/>
    </row>
    <row r="8" ht="15.75" customHeight="1">
      <c r="A8" s="7" t="inlineStr">
        <is>
          <t xml:space="preserve">   Crying Boy</t>
        </is>
      </c>
      <c r="B8" s="8" t="inlineStr">
        <is>
          <t>Green</t>
        </is>
      </c>
      <c r="C8" s="5" t="inlineStr">
        <is>
          <t>ART</t>
        </is>
      </c>
      <c r="D8" s="5" t="n">
        <v>1.2</v>
      </c>
      <c r="E8" s="5" t="n"/>
      <c r="F8" s="12" t="inlineStr">
        <is>
          <t>I want your collection! Dragon Wish</t>
        </is>
      </c>
      <c r="G8" s="10" t="n"/>
      <c r="H8" s="10" t="n"/>
      <c r="I8" s="11" t="n"/>
      <c r="J8" s="10" t="n"/>
    </row>
    <row r="9" ht="15.75" customHeight="1">
      <c r="A9" s="13" t="inlineStr">
        <is>
          <t>MAX INDIVIDUAL RELICS</t>
        </is>
      </c>
      <c r="B9" s="14" t="n"/>
      <c r="C9" s="14" t="n"/>
      <c r="D9" s="14">
        <f>SUM(D2:E8)</f>
        <v/>
      </c>
      <c r="E9" s="14" t="n"/>
      <c r="F9" s="15" t="n"/>
      <c r="G9" s="10" t="n"/>
      <c r="H9" s="10" t="n"/>
      <c r="I9" s="11" t="n"/>
      <c r="J9" s="10" t="n"/>
    </row>
    <row r="10" ht="15.75" customHeight="1">
      <c r="A10" s="7" t="n"/>
      <c r="B10" s="5" t="n"/>
      <c r="C10" s="5" t="n"/>
      <c r="D10" s="5" t="n"/>
      <c r="E10" s="5" t="n"/>
      <c r="F10" s="12" t="n"/>
      <c r="G10" s="10" t="n"/>
      <c r="H10" s="10" t="n"/>
      <c r="I10" s="11" t="n"/>
      <c r="J10" s="10" t="n"/>
    </row>
    <row r="11" ht="15.75" customHeight="1">
      <c r="A11" s="16" t="inlineStr">
        <is>
          <t>PARTNERS</t>
        </is>
      </c>
      <c r="B11" s="2" t="n"/>
      <c r="C11" s="2" t="n"/>
      <c r="D11" s="2" t="n"/>
      <c r="E11" s="2" t="n"/>
      <c r="F11" s="17" t="n"/>
      <c r="G11" s="10" t="n"/>
      <c r="H11" s="10" t="n"/>
      <c r="I11" s="11" t="n"/>
      <c r="J11" s="10" t="n"/>
    </row>
    <row r="12" ht="15.75" customHeight="1">
      <c r="A12" s="13" t="inlineStr">
        <is>
          <t xml:space="preserve">   Prince</t>
        </is>
      </c>
      <c r="B12" s="14" t="n"/>
      <c r="C12" s="14" t="n"/>
      <c r="D12" s="14" t="n">
        <v>18</v>
      </c>
      <c r="E12" s="14" t="n"/>
      <c r="F12" s="15" t="inlineStr">
        <is>
          <t>lv30</t>
        </is>
      </c>
      <c r="I12" s="11" t="n"/>
    </row>
    <row r="13" ht="15.75" customHeight="1">
      <c r="A13" s="7" t="n"/>
      <c r="B13" s="5" t="n"/>
      <c r="C13" s="5" t="n"/>
      <c r="D13" s="5" t="n"/>
      <c r="E13" s="5" t="n"/>
      <c r="F13" s="6" t="n"/>
    </row>
    <row r="14" ht="15.75" customHeight="1">
      <c r="A14" s="18" t="inlineStr">
        <is>
          <t>INTEL</t>
        </is>
      </c>
      <c r="B14" s="2" t="n"/>
      <c r="C14" s="2" t="n"/>
      <c r="D14" s="2" t="n"/>
      <c r="E14" s="2" t="n"/>
      <c r="F14" s="3" t="n"/>
    </row>
    <row r="15" ht="15.75" customHeight="1">
      <c r="A15" s="13" t="inlineStr">
        <is>
          <t xml:space="preserve">   Koryeo</t>
        </is>
      </c>
      <c r="B15" s="14" t="n"/>
      <c r="C15" s="14" t="n"/>
      <c r="D15" s="14" t="n">
        <v>5</v>
      </c>
      <c r="E15" s="14" t="n"/>
      <c r="F15" s="19" t="n"/>
    </row>
    <row r="16" ht="15.75" customHeight="1">
      <c r="A16" s="20" t="n"/>
      <c r="B16" s="5" t="n"/>
      <c r="C16" s="5" t="n"/>
      <c r="D16" s="5" t="n"/>
      <c r="E16" s="5" t="n"/>
      <c r="F16" s="6" t="n"/>
    </row>
    <row r="17" ht="15.75" customHeight="1">
      <c r="A17" s="18" t="inlineStr">
        <is>
          <t>COLLECTOR's TALENTS</t>
        </is>
      </c>
      <c r="B17" s="2" t="n"/>
      <c r="C17" s="2" t="n"/>
      <c r="D17" s="2" t="n"/>
      <c r="E17" s="2" t="n"/>
      <c r="F17" s="3" t="n"/>
    </row>
    <row r="18" ht="15.75" customHeight="1">
      <c r="A18" s="7" t="inlineStr">
        <is>
          <t xml:space="preserve">    Offering Speed</t>
        </is>
      </c>
      <c r="B18" s="5" t="n"/>
      <c r="C18" s="5" t="n"/>
      <c r="D18" s="5" t="n">
        <v>10</v>
      </c>
      <c r="E18" s="5" t="n"/>
      <c r="F18" s="6" t="n"/>
    </row>
    <row r="19" ht="15.75" customHeight="1">
      <c r="A19" s="21" t="n"/>
      <c r="B19" s="14" t="n"/>
      <c r="C19" s="14" t="n"/>
      <c r="D19" s="14" t="n"/>
      <c r="E19" s="14" t="n"/>
      <c r="F19" s="19" t="n"/>
    </row>
    <row r="20" ht="15.75" customHeight="1">
      <c r="A20" s="18" t="inlineStr">
        <is>
          <t>ROCKET UPGRADES</t>
        </is>
      </c>
      <c r="B20" s="2" t="n"/>
      <c r="C20" s="2" t="n"/>
      <c r="D20" s="2" t="n"/>
      <c r="E20" s="2" t="n"/>
      <c r="F20" s="3" t="n"/>
    </row>
    <row r="21" ht="15.75" customHeight="1">
      <c r="A21" s="13" t="inlineStr">
        <is>
          <t xml:space="preserve">   Oracle Hall</t>
        </is>
      </c>
      <c r="B21" s="14" t="n"/>
      <c r="C21" s="14" t="n"/>
      <c r="D21" s="14" t="n">
        <v>5</v>
      </c>
      <c r="E21" s="14" t="n"/>
      <c r="F21" s="19" t="n"/>
    </row>
    <row r="22" ht="15.75" customHeight="1">
      <c r="A22" s="7" t="n"/>
      <c r="B22" s="5" t="n"/>
      <c r="C22" s="5" t="n"/>
      <c r="D22" s="5" t="n"/>
      <c r="E22" s="5" t="n"/>
      <c r="F22" s="6" t="n"/>
    </row>
    <row r="23" ht="15.75" customHeight="1">
      <c r="A23" s="16" t="inlineStr">
        <is>
          <t>RESONANCE</t>
        </is>
      </c>
      <c r="B23" s="2" t="n"/>
      <c r="C23" s="2" t="n"/>
      <c r="D23" s="2" t="n"/>
      <c r="E23" s="2" t="n"/>
      <c r="F23" s="3" t="n"/>
    </row>
    <row r="24" ht="15.75" customHeight="1">
      <c r="A24" s="7" t="inlineStr">
        <is>
          <t>BLUE</t>
        </is>
      </c>
      <c r="B24" s="5" t="n"/>
      <c r="C24" s="5" t="n"/>
      <c r="D24" s="5" t="n">
        <v>3.6</v>
      </c>
      <c r="E24" s="5" t="n"/>
      <c r="F24" s="6" t="n"/>
    </row>
    <row r="25" ht="15.75" customHeight="1">
      <c r="A25" s="7" t="inlineStr">
        <is>
          <t xml:space="preserve">   Divergene Meter</t>
        </is>
      </c>
      <c r="B25" s="8" t="inlineStr">
        <is>
          <t>Blue</t>
        </is>
      </c>
      <c r="C25" s="5" t="inlineStr">
        <is>
          <t>TECH</t>
        </is>
      </c>
      <c r="D25" s="5" t="n"/>
      <c r="E25" s="5" t="n"/>
      <c r="F25" s="9" t="inlineStr">
        <is>
          <t>Lottery Machine #1 (0.36%), Wishing (13.2%), Time Chest (2%), Novice Scrolls (5%)</t>
        </is>
      </c>
    </row>
    <row r="26" ht="15.75" customHeight="1">
      <c r="A26" s="7" t="inlineStr">
        <is>
          <t xml:space="preserve">   Guanery's Violin</t>
        </is>
      </c>
      <c r="B26" s="8" t="inlineStr">
        <is>
          <t>Blue</t>
        </is>
      </c>
      <c r="C26" s="8" t="inlineStr">
        <is>
          <t>ART</t>
        </is>
      </c>
      <c r="D26" s="5" t="n"/>
      <c r="E26" s="5" t="n"/>
      <c r="F26" s="9" t="inlineStr">
        <is>
          <t>Lottery Machine #1 (0.03%), Wishing (1.2%), Indigent Nobleman (72K B-tads)</t>
        </is>
      </c>
    </row>
    <row r="27" ht="15.75" customHeight="1">
      <c r="A27" s="7" t="inlineStr">
        <is>
          <t xml:space="preserve">   Tudor Rose</t>
        </is>
      </c>
      <c r="B27" s="8" t="inlineStr">
        <is>
          <t>Blue</t>
        </is>
      </c>
      <c r="C27" s="8" t="inlineStr">
        <is>
          <t>FAME</t>
        </is>
      </c>
      <c r="D27" s="5" t="n"/>
      <c r="E27" s="5" t="n"/>
      <c r="F27" s="6" t="inlineStr">
        <is>
          <t>Lottery Machine #1 (0.03%), Wishing (1.2%)</t>
        </is>
      </c>
    </row>
    <row r="28" ht="15.75" customHeight="1">
      <c r="A28" s="7" t="inlineStr">
        <is>
          <t xml:space="preserve">   Holmes' Pipe</t>
        </is>
      </c>
      <c r="B28" s="8" t="inlineStr">
        <is>
          <t>Blue</t>
        </is>
      </c>
      <c r="C28" s="5" t="inlineStr">
        <is>
          <t>CIV</t>
        </is>
      </c>
      <c r="D28" s="5" t="n"/>
      <c r="E28" s="5" t="n"/>
      <c r="F28" s="6" t="inlineStr">
        <is>
          <t>Lottery Machine  #1 (0.36%), Wishing (10.3%), Trainee Scrolls (5%)</t>
        </is>
      </c>
    </row>
    <row r="29" ht="15.75" customHeight="1">
      <c r="A29" s="7" t="inlineStr">
        <is>
          <t xml:space="preserve">   Dunhuang Painting</t>
        </is>
      </c>
      <c r="B29" s="8" t="inlineStr">
        <is>
          <t>Blue</t>
        </is>
      </c>
      <c r="C29" s="8" t="inlineStr">
        <is>
          <t>FTH</t>
        </is>
      </c>
      <c r="D29" s="5" t="n"/>
      <c r="E29" s="5" t="n"/>
      <c r="F29" s="6" t="inlineStr">
        <is>
          <t>Lottery Machine #1 (0.03%), Wishing (0.85%)</t>
        </is>
      </c>
    </row>
    <row r="30" ht="15.75" customHeight="1">
      <c r="A30" s="7" t="inlineStr">
        <is>
          <t xml:space="preserve">   Our Lady of Kazan</t>
        </is>
      </c>
      <c r="B30" s="8" t="inlineStr">
        <is>
          <t>Blue</t>
        </is>
      </c>
      <c r="C30" s="8" t="inlineStr">
        <is>
          <t>FTH</t>
        </is>
      </c>
      <c r="D30" s="5" t="n"/>
      <c r="E30" s="5" t="n"/>
      <c r="F30" s="6" t="inlineStr">
        <is>
          <t>Lottery Machine #1 (0.36%), Wishing (10.6%), Trainee Scrolls (5%)</t>
        </is>
      </c>
    </row>
    <row r="31" ht="15.75" customHeight="1">
      <c r="A31" s="7" t="inlineStr">
        <is>
          <t>ORANGE</t>
        </is>
      </c>
      <c r="B31" s="5" t="n"/>
      <c r="C31" s="5" t="n"/>
      <c r="D31" s="5" t="n">
        <v>4</v>
      </c>
      <c r="E31" s="5" t="n"/>
      <c r="F31" s="6" t="n"/>
    </row>
    <row r="32" ht="15.75" customHeight="1">
      <c r="A32" s="7" t="inlineStr">
        <is>
          <t xml:space="preserve">   Pandora's Box</t>
        </is>
      </c>
      <c r="B32" s="8" t="inlineStr">
        <is>
          <t>SS</t>
        </is>
      </c>
      <c r="C32" s="8" t="inlineStr">
        <is>
          <t>FAME</t>
        </is>
      </c>
      <c r="D32" s="5" t="n"/>
      <c r="E32" s="5" t="n"/>
      <c r="F32" s="6" t="inlineStr">
        <is>
          <t>Lottery Machine #1 (0.12%), Wishing (0.11%), Soul Chest(1%), Grandmaster Scrolls (1%), Relic Forge (100 Relic RF)</t>
        </is>
      </c>
    </row>
    <row r="33" ht="15.75" customHeight="1">
      <c r="A33" s="7" t="inlineStr">
        <is>
          <t xml:space="preserve">   True Cross</t>
        </is>
      </c>
      <c r="B33" s="8" t="inlineStr">
        <is>
          <t>SSS</t>
        </is>
      </c>
      <c r="C33" s="8" t="inlineStr">
        <is>
          <t>FTH</t>
        </is>
      </c>
      <c r="D33" s="5" t="n"/>
      <c r="E33" s="5" t="n"/>
      <c r="F33" s="6" t="inlineStr">
        <is>
          <t>Oracle Hall (Earth's Will Cabin) Reward</t>
        </is>
      </c>
    </row>
    <row r="34" ht="15.75" customHeight="1">
      <c r="A34" s="7" t="inlineStr">
        <is>
          <t xml:space="preserve">   Arkanrock</t>
        </is>
      </c>
      <c r="B34" s="8" t="inlineStr">
        <is>
          <t>SSS</t>
        </is>
      </c>
      <c r="C34" s="8" t="inlineStr">
        <is>
          <t>FAME</t>
        </is>
      </c>
      <c r="D34" s="5" t="n"/>
      <c r="E34" s="5" t="n"/>
      <c r="F34" s="6" t="inlineStr">
        <is>
          <t>Eternal Hall (Demon God Cabin) Reward</t>
        </is>
      </c>
    </row>
    <row r="35" ht="15.75" customHeight="1">
      <c r="A35" s="7" t="inlineStr">
        <is>
          <t xml:space="preserve">   Maya Slate</t>
        </is>
      </c>
      <c r="B35" s="8" t="inlineStr">
        <is>
          <t>SSS</t>
        </is>
      </c>
      <c r="C35" s="8" t="inlineStr">
        <is>
          <t>FTH</t>
        </is>
      </c>
      <c r="D35" s="5" t="n"/>
      <c r="E35" s="5" t="n"/>
      <c r="F35" s="6" t="inlineStr">
        <is>
          <t>Wish Box, Lottery Machine #1 (0.09%), Wishing (0.06%), Dragon Chest (0.1%), Grandmaster Scrolls (0.81%), Relic Forge (120 Relic RF)</t>
        </is>
      </c>
    </row>
    <row r="36" ht="15.75" customHeight="1">
      <c r="A36" s="7" t="inlineStr">
        <is>
          <t xml:space="preserve">   Royal Celtic Harp</t>
        </is>
      </c>
      <c r="B36" s="8" t="inlineStr">
        <is>
          <t>SSS</t>
        </is>
      </c>
      <c r="C36" s="8" t="inlineStr">
        <is>
          <t>FTH</t>
        </is>
      </c>
      <c r="D36" s="5" t="n"/>
      <c r="E36" s="5" t="n"/>
      <c r="F36" s="6" t="inlineStr">
        <is>
          <t>Lottery Machine #1 (0.09%), Wishing (0.06%), Grandmaster Scrolls (0.76%)</t>
        </is>
      </c>
    </row>
    <row r="37" ht="15.75" customHeight="1">
      <c r="A37" s="13" t="inlineStr">
        <is>
          <t>MAX RESONANCE</t>
        </is>
      </c>
      <c r="B37" s="14" t="n"/>
      <c r="C37" s="14" t="n"/>
      <c r="D37" s="14">
        <f>SUM(D24:E36)</f>
        <v/>
      </c>
      <c r="E37" s="14" t="n"/>
      <c r="F37" s="19" t="n"/>
    </row>
    <row r="38" ht="15.75" customHeight="1">
      <c r="A38" s="5" t="n"/>
      <c r="B38" s="5" t="n"/>
      <c r="C38" s="5" t="n"/>
      <c r="D38" s="5" t="n"/>
      <c r="E38" s="5" t="n"/>
      <c r="F38" s="5" t="n"/>
    </row>
    <row r="39" ht="15.75" customHeight="1">
      <c r="A39" s="5" t="n"/>
      <c r="B39" s="5" t="n"/>
      <c r="C39" s="5" t="n"/>
      <c r="D39" s="5" t="n"/>
      <c r="E39" s="5" t="n"/>
      <c r="F39" s="5" t="n"/>
    </row>
    <row r="40" ht="15.75" customHeight="1">
      <c r="A40" s="22" t="inlineStr">
        <is>
          <t>Total Soul Offering Speed</t>
        </is>
      </c>
      <c r="B40" s="22">
        <f>D9+D12+D37+D21+D15+D18</f>
        <v/>
      </c>
      <c r="C40" s="22" t="n"/>
      <c r="D40" s="5" t="n"/>
      <c r="E40" s="5" t="n"/>
      <c r="F40" s="5" t="n"/>
    </row>
    <row r="41" ht="15.75" customHeight="1">
      <c r="A41" s="23" t="n"/>
      <c r="B41" s="5" t="n"/>
      <c r="C41" s="24" t="n"/>
      <c r="D41" s="5" t="n"/>
      <c r="E41" s="5" t="n"/>
      <c r="F41" s="5" t="n"/>
    </row>
    <row r="42" ht="15.75" customHeight="1">
      <c r="A42" s="22" t="n"/>
      <c r="B42" s="25" t="inlineStr">
        <is>
          <t>Base</t>
        </is>
      </c>
      <c r="C42" s="26" t="inlineStr">
        <is>
          <t>Actual</t>
        </is>
      </c>
      <c r="D42" s="5" t="n"/>
      <c r="E42" s="5" t="n"/>
      <c r="F42" s="5" t="n"/>
    </row>
    <row r="43" ht="15.75" customHeight="1">
      <c r="A43" s="25" t="inlineStr">
        <is>
          <t>Speed Example</t>
        </is>
      </c>
      <c r="B43" s="22" t="n">
        <v>8</v>
      </c>
      <c r="C43" s="22">
        <f>$B43/(1+$B$40/100)</f>
        <v/>
      </c>
      <c r="D43" s="5" t="n"/>
      <c r="E43" s="5" t="n"/>
      <c r="F43" s="5" t="n"/>
    </row>
    <row r="44" ht="15.75" customHeight="1">
      <c r="A44" s="25" t="inlineStr">
        <is>
          <t>One Round Offering</t>
        </is>
      </c>
      <c r="B44" s="22" t="n">
        <v>240</v>
      </c>
      <c r="C44" s="22">
        <f>$B44/(1+$B$40/100)</f>
        <v/>
      </c>
      <c r="D44" s="5" t="n"/>
      <c r="E44" s="5" t="n"/>
      <c r="F44" s="5" t="n"/>
    </row>
    <row r="45" ht="15.75" customHeight="1">
      <c r="A45" s="25" t="n"/>
      <c r="B45" s="22" t="n"/>
      <c r="C45" s="22" t="n"/>
      <c r="D45" s="5" t="n"/>
      <c r="E45" s="5" t="n"/>
      <c r="F45" s="5" t="n"/>
    </row>
    <row r="46" ht="15.75" customHeight="1">
      <c r="A46" s="25" t="inlineStr">
        <is>
          <t>5 Rounds (hours)</t>
        </is>
      </c>
      <c r="B46" s="22" t="n">
        <v>1200</v>
      </c>
      <c r="C46" s="27">
        <f>$B46/(1+$B$40/100)</f>
        <v/>
      </c>
      <c r="D46" s="5" t="n"/>
      <c r="E46" s="5" t="n"/>
      <c r="F46" s="5" t="n"/>
    </row>
    <row r="47" ht="15.75" customHeight="1">
      <c r="A47" s="25" t="inlineStr">
        <is>
          <t>Precooked Offerings (hours)</t>
        </is>
      </c>
      <c r="B47" s="5">
        <f>48*4 + 8*4</f>
        <v/>
      </c>
      <c r="C47" s="27" t="n"/>
      <c r="D47" s="5" t="n"/>
      <c r="E47" s="5" t="n"/>
      <c r="F47" s="5" t="n"/>
    </row>
    <row r="48" ht="15.75" customHeight="1">
      <c r="A48" s="25" t="inlineStr">
        <is>
          <t>Non-precooked Offerings (hours)</t>
        </is>
      </c>
      <c r="B48" s="22">
        <f>B46-B47</f>
        <v/>
      </c>
      <c r="C48" s="27">
        <f>$B48/(1+$B$40/100)</f>
        <v/>
      </c>
      <c r="D48" s="5" t="n"/>
      <c r="E48" s="5" t="n"/>
      <c r="F48" s="5" t="n"/>
    </row>
    <row r="49" ht="15.75" customHeight="1">
      <c r="A49" s="25" t="inlineStr">
        <is>
          <t>(days)</t>
        </is>
      </c>
      <c r="B49" s="22">
        <f>B48/24</f>
        <v/>
      </c>
      <c r="C49" s="27">
        <f>C48/24</f>
        <v/>
      </c>
      <c r="D49" s="5" t="n"/>
      <c r="E49" s="5" t="n"/>
      <c r="F49" s="5" t="n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2026-04-25T21:14:50Z</dcterms:created>
  <dcterms:modified xmlns:dcterms="http://purl.org/dc/terms/" xmlns:xsi="http://www.w3.org/2001/XMLSchema-instance" xsi:type="dcterms:W3CDTF">2026-04-25T21:14:51Z</dcterms:modified>
</cp:coreProperties>
</file>