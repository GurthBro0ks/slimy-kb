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color theme="1"/>
      <sz val="12"/>
    </font>
    <font>
      <name val="Verdana"/>
      <color theme="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4" fillId="0" borderId="6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5" fillId="0" borderId="4" pivotButton="0" quotePrefix="0" xfId="0"/>
    <xf numFmtId="0" fontId="5" fillId="0" borderId="6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4" fillId="0" borderId="1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6.82" customWidth="1" min="1" max="1"/>
    <col width="9.73" customWidth="1" min="4" max="4"/>
    <col width="8.82" customWidth="1" min="5" max="5"/>
    <col width="9" customWidth="1" min="6" max="6"/>
    <col width="10.73" customWidth="1" min="7" max="7"/>
    <col width="38.09" customWidth="1" min="8" max="8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White -&gt; Green</t>
        </is>
      </c>
      <c r="E1" s="2" t="inlineStr">
        <is>
          <t>Green -&gt; Blue</t>
        </is>
      </c>
      <c r="F1" s="2" t="inlineStr">
        <is>
          <t>Blue -&gt; Purple</t>
        </is>
      </c>
      <c r="G1" s="2" t="inlineStr">
        <is>
          <t>Purple -&gt; Orange</t>
        </is>
      </c>
      <c r="H1" s="3" t="inlineStr">
        <is>
          <t>Source</t>
        </is>
      </c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7" t="inlineStr">
        <is>
          <t xml:space="preserve">  Divine Comedy</t>
        </is>
      </c>
      <c r="B3" s="5" t="inlineStr">
        <is>
          <t>SSS</t>
        </is>
      </c>
      <c r="C3" s="8" t="inlineStr">
        <is>
          <t>CIV</t>
        </is>
      </c>
      <c r="D3" s="9" t="n"/>
      <c r="E3" s="5" t="n">
        <v>1</v>
      </c>
      <c r="F3" s="9" t="n">
        <v>2.4</v>
      </c>
      <c r="G3" s="5" t="n"/>
      <c r="H3" s="6" t="inlineStr">
        <is>
          <t>Lottery Machine #1 (0.09%), Wishing (0.08%), Grandmaster Scrolls (0.81%), Relic Forge (120 Relic RF)</t>
        </is>
      </c>
    </row>
    <row r="4">
      <c r="A4" s="7" t="inlineStr">
        <is>
          <t xml:space="preserve">  Lotus Chalice</t>
        </is>
      </c>
      <c r="B4" s="5" t="inlineStr">
        <is>
          <t>SSS</t>
        </is>
      </c>
      <c r="C4" s="5" t="inlineStr">
        <is>
          <t>ART</t>
        </is>
      </c>
      <c r="D4" s="9" t="n"/>
      <c r="E4" s="9" t="n"/>
      <c r="F4" s="9" t="n">
        <v>3.4</v>
      </c>
      <c r="G4" s="5" t="n"/>
      <c r="H4" s="6" t="inlineStr">
        <is>
          <t>Wish Box, Lottery Machine #1 (0.09%), Wishing (0.08%), Kemetic Treasure Chests (0.01%), Grandmaster Scrolls (0.81%), Relic Forge (120 Relic RF)</t>
        </is>
      </c>
    </row>
    <row r="5">
      <c r="A5" s="7" t="inlineStr">
        <is>
          <t xml:space="preserve">  Mahakala Scroll</t>
        </is>
      </c>
      <c r="B5" s="5" t="inlineStr">
        <is>
          <t>SSS</t>
        </is>
      </c>
      <c r="C5" s="5" t="inlineStr">
        <is>
          <t>FTH</t>
        </is>
      </c>
      <c r="D5" s="9" t="n"/>
      <c r="E5" s="9" t="n">
        <v>2.4</v>
      </c>
      <c r="F5" s="9" t="n">
        <v>2.4</v>
      </c>
      <c r="G5" s="5" t="n">
        <v>3.4</v>
      </c>
      <c r="H5" s="6" t="inlineStr">
        <is>
          <t>Jinx Points Bonus Reward</t>
        </is>
      </c>
    </row>
    <row r="6">
      <c r="A6" s="7" t="inlineStr">
        <is>
          <t xml:space="preserve">  Ode to Joy</t>
        </is>
      </c>
      <c r="B6" s="5" t="inlineStr">
        <is>
          <t>SSS</t>
        </is>
      </c>
      <c r="C6" s="5" t="inlineStr">
        <is>
          <t>ART</t>
        </is>
      </c>
      <c r="D6" s="9" t="n"/>
      <c r="E6" s="9" t="n"/>
      <c r="F6" s="5" t="n"/>
      <c r="G6" s="5" t="n">
        <v>2.4</v>
      </c>
      <c r="H6" s="10" t="inlineStr">
        <is>
          <t>Lottery Machine #2 (0.12%)</t>
        </is>
      </c>
    </row>
    <row r="7">
      <c r="A7" s="7" t="inlineStr">
        <is>
          <t xml:space="preserve">  Swan Lake</t>
        </is>
      </c>
      <c r="B7" s="5" t="inlineStr">
        <is>
          <t>SS</t>
        </is>
      </c>
      <c r="C7" s="5" t="inlineStr">
        <is>
          <t>ART</t>
        </is>
      </c>
      <c r="D7" s="9" t="n">
        <v>3.2</v>
      </c>
      <c r="E7" s="5" t="n">
        <v>2.2</v>
      </c>
      <c r="F7" s="5" t="n"/>
      <c r="G7" s="5" t="n"/>
      <c r="H7" s="6" t="inlineStr">
        <is>
          <t>Lottery Machine #1 (0.12%), Wishing (0.1%), Grandmaster Scrolls (1%), Relic Forge (100 Relic RF)</t>
        </is>
      </c>
    </row>
    <row r="8">
      <c r="A8" s="7" t="inlineStr">
        <is>
          <t xml:space="preserve">  Truth Crystal</t>
        </is>
      </c>
      <c r="B8" s="5" t="inlineStr">
        <is>
          <t>AAA</t>
        </is>
      </c>
      <c r="C8" s="5" t="inlineStr">
        <is>
          <t>CIV</t>
        </is>
      </c>
      <c r="D8" s="5" t="n"/>
      <c r="E8" s="5" t="n"/>
      <c r="F8" s="5" t="n">
        <v>2.5</v>
      </c>
      <c r="G8" s="5" t="n"/>
      <c r="H8" s="10" t="inlineStr">
        <is>
          <t>Fragment Crafting (1.5%), Lottery Machine #1 (0.03%), Wishing (0.14%), Relic Forge (80 Relic RF), Nebula Chest (1.5%)</t>
        </is>
      </c>
    </row>
    <row r="9">
      <c r="A9" s="7" t="inlineStr">
        <is>
          <t xml:space="preserve">  Nocturnes</t>
        </is>
      </c>
      <c r="B9" s="5" t="inlineStr">
        <is>
          <t>Blue</t>
        </is>
      </c>
      <c r="C9" s="5" t="inlineStr">
        <is>
          <t>ART</t>
        </is>
      </c>
      <c r="D9" s="9" t="n"/>
      <c r="E9" s="9" t="n">
        <v>1.5</v>
      </c>
      <c r="F9" s="5" t="n"/>
      <c r="G9" s="5" t="n"/>
      <c r="H9" s="6" t="inlineStr">
        <is>
          <t>Lottery Machine #1 (0.03%), Wishing (1.2%)</t>
        </is>
      </c>
    </row>
    <row r="10">
      <c r="A10" s="7" t="inlineStr">
        <is>
          <t xml:space="preserve">  Color Bead No. 6</t>
        </is>
      </c>
      <c r="B10" s="5" t="inlineStr">
        <is>
          <t>Green</t>
        </is>
      </c>
      <c r="C10" s="5" t="inlineStr">
        <is>
          <t>CIV</t>
        </is>
      </c>
      <c r="D10" s="5" t="n"/>
      <c r="E10" s="5" t="n">
        <v>0.6</v>
      </c>
      <c r="F10" s="9" t="n"/>
      <c r="G10" s="9" t="n"/>
      <c r="H10" s="10" t="inlineStr">
        <is>
          <t>It Takes 5 minigame</t>
        </is>
      </c>
    </row>
    <row r="11">
      <c r="A11" s="7" t="inlineStr">
        <is>
          <t xml:space="preserve">  Spirit Bead</t>
        </is>
      </c>
      <c r="B11" s="5" t="inlineStr">
        <is>
          <t>Green</t>
        </is>
      </c>
      <c r="C11" s="5" t="inlineStr">
        <is>
          <t>FTH</t>
        </is>
      </c>
      <c r="D11" s="5" t="n"/>
      <c r="E11" s="5" t="n"/>
      <c r="F11" s="9" t="n">
        <v>0.6</v>
      </c>
      <c r="G11" s="9" t="n"/>
      <c r="H11" s="10" t="inlineStr">
        <is>
          <t>Defeat Deity Taiyi</t>
        </is>
      </c>
    </row>
    <row r="12">
      <c r="A12" s="7" t="inlineStr">
        <is>
          <t xml:space="preserve">  Golden Ball Award</t>
        </is>
      </c>
      <c r="B12" s="5" t="inlineStr">
        <is>
          <t>Green</t>
        </is>
      </c>
      <c r="C12" s="5" t="inlineStr">
        <is>
          <t>CIV</t>
        </is>
      </c>
      <c r="D12" s="5" t="n"/>
      <c r="E12" s="5" t="n"/>
      <c r="F12" s="9" t="n"/>
      <c r="G12" s="9" t="n">
        <v>1.5</v>
      </c>
      <c r="H12" s="10" t="inlineStr">
        <is>
          <t>Domain Avatar Score Reward</t>
        </is>
      </c>
    </row>
    <row r="13">
      <c r="A13" s="7" t="n"/>
      <c r="B13" s="5" t="n"/>
      <c r="C13" s="5" t="n"/>
      <c r="D13" s="9" t="n"/>
      <c r="E13" s="9" t="n"/>
      <c r="F13" s="9" t="n"/>
      <c r="G13" s="5" t="n"/>
      <c r="H13" s="11" t="n"/>
    </row>
    <row r="14">
      <c r="A14" s="7" t="inlineStr">
        <is>
          <t>Resonance: Orange</t>
        </is>
      </c>
      <c r="B14" s="5" t="n"/>
      <c r="C14" s="5" t="n"/>
      <c r="D14" s="9" t="n"/>
      <c r="E14" s="9" t="n"/>
      <c r="F14" s="9" t="n"/>
      <c r="G14" s="5" t="n">
        <v>2.4</v>
      </c>
      <c r="H14" s="11" t="n"/>
    </row>
    <row r="15">
      <c r="A15" s="4" t="inlineStr">
        <is>
          <t xml:space="preserve">  Deep Navy Computer</t>
        </is>
      </c>
      <c r="B15" s="5" t="inlineStr">
        <is>
          <t>SSS</t>
        </is>
      </c>
      <c r="C15" s="5" t="inlineStr">
        <is>
          <t>TECH</t>
        </is>
      </c>
      <c r="D15" s="9" t="n"/>
      <c r="E15" s="9" t="n"/>
      <c r="F15" s="9" t="n"/>
      <c r="G15" s="5" t="n"/>
      <c r="H15" s="10" t="inlineStr">
        <is>
          <t>Lottery Machine #2 (0.12%)</t>
        </is>
      </c>
    </row>
    <row r="16">
      <c r="A16" s="4" t="inlineStr">
        <is>
          <t xml:space="preserve">  Kepler Telescope</t>
        </is>
      </c>
      <c r="B16" s="5" t="inlineStr">
        <is>
          <t>SSS</t>
        </is>
      </c>
      <c r="C16" s="5" t="inlineStr">
        <is>
          <t>TECH</t>
        </is>
      </c>
      <c r="D16" s="9" t="n"/>
      <c r="E16" s="9" t="n"/>
      <c r="F16" s="9" t="n"/>
      <c r="G16" s="5" t="n"/>
      <c r="H16" s="10" t="inlineStr">
        <is>
          <t>Weekly Special Relic #1</t>
        </is>
      </c>
    </row>
    <row r="17">
      <c r="A17" s="4" t="inlineStr">
        <is>
          <t xml:space="preserve">  Nautilus</t>
        </is>
      </c>
      <c r="B17" s="5" t="inlineStr">
        <is>
          <t>SSS</t>
        </is>
      </c>
      <c r="C17" s="5" t="inlineStr">
        <is>
          <t>TECH</t>
        </is>
      </c>
      <c r="D17" s="9" t="n"/>
      <c r="E17" s="9" t="n"/>
      <c r="F17" s="5" t="n"/>
      <c r="G17" s="5" t="n"/>
      <c r="H17" s="10" t="inlineStr">
        <is>
          <t>Daily Pack Relic #8</t>
        </is>
      </c>
    </row>
    <row r="18">
      <c r="A18" s="4" t="inlineStr">
        <is>
          <t xml:space="preserve">  AH602</t>
        </is>
      </c>
      <c r="B18" s="5" t="inlineStr">
        <is>
          <t>SSS</t>
        </is>
      </c>
      <c r="C18" s="5" t="inlineStr">
        <is>
          <t>TECH</t>
        </is>
      </c>
      <c r="D18" s="9" t="n"/>
      <c r="E18" s="9" t="n"/>
      <c r="F18" s="5" t="n"/>
      <c r="G18" s="5" t="n"/>
      <c r="H18" s="10" t="inlineStr">
        <is>
          <t>Lottery Machine #2 (0.12%), Relic Forge (120 RF), 120 Objects Shot Down Reward</t>
        </is>
      </c>
    </row>
    <row r="19">
      <c r="A19" s="4" t="inlineStr">
        <is>
          <t xml:space="preserve">  5th Element</t>
        </is>
      </c>
      <c r="B19" s="5" t="inlineStr">
        <is>
          <t>SS</t>
        </is>
      </c>
      <c r="C19" s="5" t="inlineStr">
        <is>
          <t>TECH</t>
        </is>
      </c>
      <c r="D19" s="9" t="n"/>
      <c r="E19" s="9" t="n"/>
      <c r="F19" s="5" t="n"/>
      <c r="G19" s="5" t="n"/>
      <c r="H19" s="10" t="inlineStr">
        <is>
          <t>Fragment Crafting (5.2%), Lottery Machine #1 (0.24%), Wishing (0.19%), Master Scrolls (1.9%), Grandmaster Scrolls (2.1%), TECH Master Scrolls (9.2%)</t>
        </is>
      </c>
    </row>
    <row r="20">
      <c r="A20" s="4" t="inlineStr">
        <is>
          <t xml:space="preserve">  Dyson Sphere</t>
        </is>
      </c>
      <c r="B20" s="5" t="inlineStr">
        <is>
          <t>SSS</t>
        </is>
      </c>
      <c r="C20" s="5" t="inlineStr">
        <is>
          <t>TECH</t>
        </is>
      </c>
      <c r="D20" s="9" t="n"/>
      <c r="E20" s="9" t="n"/>
      <c r="F20" s="5" t="n"/>
      <c r="G20" s="5" t="n"/>
      <c r="H20" s="10" t="inlineStr">
        <is>
          <t>Lottery Machine #1 (0.09%), Wishing (0.07%), Grandmaster Scrolls (0.81%), Relic Forge (120 Relic RF)</t>
        </is>
      </c>
    </row>
    <row r="21">
      <c r="A21" s="7" t="inlineStr">
        <is>
          <t>Resonance: Purple</t>
        </is>
      </c>
      <c r="B21" s="5" t="n"/>
      <c r="C21" s="5" t="n"/>
      <c r="D21" s="9" t="n"/>
      <c r="E21" s="9" t="n"/>
      <c r="F21" s="9" t="n">
        <v>1.8</v>
      </c>
      <c r="G21" s="5" t="n"/>
      <c r="H21" s="11" t="n"/>
    </row>
    <row r="22">
      <c r="A22" s="4" t="inlineStr">
        <is>
          <t xml:space="preserve">  Tesla Coil</t>
        </is>
      </c>
      <c r="B22" s="5" t="inlineStr">
        <is>
          <t>AAA</t>
        </is>
      </c>
      <c r="C22" s="5" t="inlineStr">
        <is>
          <t>TECH</t>
        </is>
      </c>
      <c r="D22" s="9" t="n"/>
      <c r="E22" s="9" t="n"/>
      <c r="F22" s="9" t="n"/>
      <c r="G22" s="5" t="n"/>
      <c r="H22" s="10" t="inlineStr">
        <is>
          <t>Fragment Crafting (1.6%), Lottery Machine #1 (0.03%), Wishing (0.14%), Tool Chest (1.5%), Relic Forge (80 Relic RF)</t>
        </is>
      </c>
    </row>
    <row r="23">
      <c r="A23" s="4" t="inlineStr">
        <is>
          <t xml:space="preserve">  The Starry Night</t>
        </is>
      </c>
      <c r="B23" s="5" t="inlineStr">
        <is>
          <t>AA</t>
        </is>
      </c>
      <c r="C23" s="5" t="inlineStr">
        <is>
          <t>ART</t>
        </is>
      </c>
      <c r="D23" s="9" t="n"/>
      <c r="E23" s="9" t="n"/>
      <c r="F23" s="9" t="n"/>
      <c r="G23" s="5" t="n"/>
      <c r="H23" s="10" t="inlineStr">
        <is>
          <t>Fragment Crafting (3.9%), Lottery Machine #1 (0.08%), Wishing (0.36%), Expert Scrolls (0.95%), Nebula Chest (1.5%)</t>
        </is>
      </c>
    </row>
    <row r="24">
      <c r="A24" s="4" t="inlineStr">
        <is>
          <t xml:space="preserve">  Voynich Script</t>
        </is>
      </c>
      <c r="B24" s="5" t="inlineStr">
        <is>
          <t>AAA</t>
        </is>
      </c>
      <c r="C24" s="5" t="inlineStr">
        <is>
          <t>CIV</t>
        </is>
      </c>
      <c r="D24" s="9" t="n"/>
      <c r="E24" s="9" t="n"/>
      <c r="F24" s="5" t="n"/>
      <c r="G24" s="5" t="n"/>
      <c r="H24" s="10" t="inlineStr">
        <is>
          <t>Form Evo Pack</t>
        </is>
      </c>
    </row>
    <row r="25">
      <c r="A25" s="4" t="inlineStr">
        <is>
          <t xml:space="preserve">  Corinthian Pillar</t>
        </is>
      </c>
      <c r="B25" s="5" t="inlineStr">
        <is>
          <t>AAA</t>
        </is>
      </c>
      <c r="C25" s="5" t="inlineStr">
        <is>
          <t>FTH</t>
        </is>
      </c>
      <c r="D25" s="9" t="n"/>
      <c r="E25" s="9" t="n"/>
      <c r="F25" s="5" t="n"/>
      <c r="G25" s="5" t="n"/>
      <c r="H25" s="10" t="inlineStr">
        <is>
          <t>Fragment Crafting (1.5%), Lottery Machine #1 (0.03%), Wishing (0.14%), Relic Forge (80 Relic RF)</t>
        </is>
      </c>
    </row>
    <row r="26">
      <c r="A26" s="4" t="inlineStr">
        <is>
          <t xml:space="preserve">  Gordian Knot</t>
        </is>
      </c>
      <c r="B26" s="5" t="inlineStr">
        <is>
          <t>AAA</t>
        </is>
      </c>
      <c r="C26" s="5" t="inlineStr">
        <is>
          <t>FAME</t>
        </is>
      </c>
      <c r="D26" s="9" t="n"/>
      <c r="E26" s="9" t="n"/>
      <c r="F26" s="5" t="n"/>
      <c r="G26" s="5" t="n"/>
      <c r="H26" s="10" t="inlineStr">
        <is>
          <t>Fragment Crafting (1.6%), Lottery Machine #1 (0.03%), Wishing (0.14%), Relic Forge (80 Relic RF)</t>
        </is>
      </c>
    </row>
    <row r="27">
      <c r="A27" s="7" t="inlineStr">
        <is>
          <t>Resonance: Blue</t>
        </is>
      </c>
      <c r="B27" s="5" t="n"/>
      <c r="C27" s="5" t="n"/>
      <c r="D27" s="9" t="n"/>
      <c r="E27" s="9" t="n">
        <v>1.6</v>
      </c>
      <c r="F27" s="9" t="n"/>
      <c r="G27" s="5" t="n"/>
      <c r="H27" s="11" t="n"/>
    </row>
    <row r="28">
      <c r="A28" s="4" t="inlineStr">
        <is>
          <t xml:space="preserve">  Throne of Pope</t>
        </is>
      </c>
      <c r="B28" s="5" t="inlineStr">
        <is>
          <t>Blue</t>
        </is>
      </c>
      <c r="C28" s="5" t="inlineStr">
        <is>
          <t>FTH</t>
        </is>
      </c>
      <c r="D28" s="9" t="n"/>
      <c r="E28" s="9" t="n"/>
      <c r="F28" s="9" t="n"/>
      <c r="G28" s="5" t="n"/>
      <c r="H28" s="10" t="inlineStr">
        <is>
          <t>Lottery Machine #1 (0.36%), Wishing (10.6%), Novice Scrolls (5%)</t>
        </is>
      </c>
    </row>
    <row r="29">
      <c r="A29" s="4" t="inlineStr">
        <is>
          <t xml:space="preserve">  Sleeping Gypsy</t>
        </is>
      </c>
      <c r="B29" s="5" t="inlineStr">
        <is>
          <t>Blue</t>
        </is>
      </c>
      <c r="C29" s="5" t="inlineStr">
        <is>
          <t>ART</t>
        </is>
      </c>
      <c r="D29" s="9" t="n"/>
      <c r="E29" s="9" t="n"/>
      <c r="F29" s="9" t="n"/>
      <c r="G29" s="5" t="n"/>
      <c r="H29" s="10" t="inlineStr">
        <is>
          <t>Lottery Machine #1 (0.03%), Wishing (1.2%)</t>
        </is>
      </c>
    </row>
    <row r="30">
      <c r="A30" s="4" t="inlineStr">
        <is>
          <t xml:space="preserve">  Pumpkin Coach</t>
        </is>
      </c>
      <c r="B30" s="5" t="inlineStr">
        <is>
          <t>Blue</t>
        </is>
      </c>
      <c r="C30" s="5" t="inlineStr">
        <is>
          <t>CIV</t>
        </is>
      </c>
      <c r="D30" s="9" t="n"/>
      <c r="E30" s="9" t="n"/>
      <c r="F30" s="5" t="n"/>
      <c r="G30" s="5" t="n"/>
      <c r="H30" s="10" t="inlineStr">
        <is>
          <t>Lottery Machine #1 (0.07%), Wishing (2.1%), Novice Scrolls (1%)</t>
        </is>
      </c>
    </row>
    <row r="31">
      <c r="A31" s="4" t="inlineStr">
        <is>
          <t xml:space="preserve">  Penicillin Sample</t>
        </is>
      </c>
      <c r="B31" s="5" t="inlineStr">
        <is>
          <t>Blue</t>
        </is>
      </c>
      <c r="C31" s="5" t="inlineStr">
        <is>
          <t>TECH</t>
        </is>
      </c>
      <c r="D31" s="9" t="n"/>
      <c r="E31" s="9" t="n"/>
      <c r="F31" s="5" t="n"/>
      <c r="G31" s="5" t="n"/>
      <c r="H31" s="10" t="inlineStr">
        <is>
          <t>Lottery Machine #1 (0.03%), Wishing (1.1%), Evolution Chest (2%)</t>
        </is>
      </c>
    </row>
    <row r="32">
      <c r="A32" s="4" t="inlineStr">
        <is>
          <t xml:space="preserve">  Faraday's Dynamo</t>
        </is>
      </c>
      <c r="B32" s="5" t="inlineStr">
        <is>
          <t>Blue</t>
        </is>
      </c>
      <c r="C32" s="5" t="inlineStr">
        <is>
          <t>TECH</t>
        </is>
      </c>
      <c r="D32" s="9" t="n"/>
      <c r="E32" s="9" t="n"/>
      <c r="F32" s="5" t="n"/>
      <c r="G32" s="5" t="n"/>
      <c r="H32" s="10" t="inlineStr">
        <is>
          <t>Lottery Machine #1 (0.07%), Wishing (2.6%), Tool Chest (2%), Novice Scrolls (1%)</t>
        </is>
      </c>
    </row>
    <row r="33">
      <c r="A33" s="7" t="inlineStr">
        <is>
          <t>Resonance: Blue</t>
        </is>
      </c>
      <c r="B33" s="5" t="n"/>
      <c r="C33" s="5" t="n"/>
      <c r="D33" s="9" t="n">
        <v>1</v>
      </c>
      <c r="E33" s="9" t="n"/>
      <c r="F33" s="9" t="n"/>
      <c r="G33" s="5" t="n"/>
      <c r="H33" s="11" t="n"/>
    </row>
    <row r="34">
      <c r="A34" s="4" t="inlineStr">
        <is>
          <t xml:space="preserve">  Klein Bottle</t>
        </is>
      </c>
      <c r="B34" s="5" t="inlineStr">
        <is>
          <t>Blue</t>
        </is>
      </c>
      <c r="C34" s="5" t="inlineStr">
        <is>
          <t>TECH</t>
        </is>
      </c>
      <c r="D34" s="9" t="n"/>
      <c r="E34" s="9" t="n"/>
      <c r="F34" s="9" t="n"/>
      <c r="G34" s="5" t="n"/>
      <c r="H34" s="10" t="inlineStr">
        <is>
          <t>Lottery Machine #1 (0.07%), Wishing (2.6%), Novice Scrolls (1%)</t>
        </is>
      </c>
    </row>
    <row r="35">
      <c r="A35" s="4" t="inlineStr">
        <is>
          <t xml:space="preserve">  Spinning Jenny</t>
        </is>
      </c>
      <c r="B35" s="5" t="inlineStr">
        <is>
          <t>Blue</t>
        </is>
      </c>
      <c r="C35" s="5" t="inlineStr">
        <is>
          <t>ART</t>
        </is>
      </c>
      <c r="D35" s="9" t="n"/>
      <c r="E35" s="9" t="n"/>
      <c r="F35" s="9" t="n"/>
      <c r="G35" s="5" t="n"/>
      <c r="H35" s="10" t="inlineStr">
        <is>
          <t>Lottery Machine #1 (0.36%), Wishing (13.2%), Tool Chest (2%), Novice Scroll (5%)</t>
        </is>
      </c>
    </row>
    <row r="36">
      <c r="A36" s="4" t="n"/>
      <c r="B36" s="5" t="n"/>
      <c r="C36" s="5" t="n"/>
      <c r="D36" s="9" t="n"/>
      <c r="E36" s="9" t="n"/>
      <c r="F36" s="5" t="n"/>
      <c r="G36" s="5" t="n"/>
      <c r="H36" s="11" t="n"/>
    </row>
    <row r="37">
      <c r="A37" s="12" t="inlineStr">
        <is>
          <t>MAX INDIVIDUAL RELICS</t>
        </is>
      </c>
      <c r="B37" s="13" t="n"/>
      <c r="C37" s="13" t="n"/>
      <c r="D37" s="14">
        <f>sum(D3:D36)</f>
        <v/>
      </c>
      <c r="E37" s="14">
        <f>sum(E3:E36)</f>
        <v/>
      </c>
      <c r="F37" s="14">
        <f>sum(F3:F36)</f>
        <v/>
      </c>
      <c r="G37" s="14">
        <f>sum(G3:G36)</f>
        <v/>
      </c>
      <c r="H37" s="15" t="n"/>
    </row>
    <row r="38">
      <c r="A38" s="16" t="n"/>
      <c r="H38" s="17" t="n"/>
    </row>
    <row r="39">
      <c r="A39" s="16" t="n"/>
      <c r="H39" s="17" t="n"/>
    </row>
    <row r="40">
      <c r="A40" s="1" t="inlineStr">
        <is>
          <t>PARTNER</t>
        </is>
      </c>
      <c r="B40" s="2" t="n"/>
      <c r="C40" s="2" t="n"/>
      <c r="D40" s="2" t="n"/>
      <c r="E40" s="2" t="n"/>
      <c r="F40" s="2" t="n"/>
      <c r="G40" s="2" t="n"/>
      <c r="H40" s="3" t="n"/>
      <c r="I40" s="4" t="n"/>
    </row>
    <row r="41">
      <c r="A41" s="12" t="inlineStr">
        <is>
          <t xml:space="preserve">  Nito UR</t>
        </is>
      </c>
      <c r="B41" s="13" t="n"/>
      <c r="C41" s="13" t="n"/>
      <c r="D41" s="14" t="n"/>
      <c r="E41" s="13" t="n"/>
      <c r="F41" s="13" t="n">
        <v>9</v>
      </c>
      <c r="G41" s="13" t="n"/>
      <c r="H41" s="15" t="inlineStr">
        <is>
          <t>lv30</t>
        </is>
      </c>
      <c r="I41" s="4" t="n"/>
    </row>
    <row r="42">
      <c r="A42" s="4" t="n"/>
      <c r="B42" s="5" t="n"/>
      <c r="C42" s="5" t="n"/>
      <c r="D42" s="5" t="n"/>
      <c r="E42" s="5" t="n"/>
      <c r="F42" s="5" t="n"/>
      <c r="G42" s="5" t="n"/>
      <c r="H42" s="6" t="n"/>
      <c r="I42" s="5" t="n"/>
    </row>
    <row r="43">
      <c r="A43" s="1" t="inlineStr">
        <is>
          <t>COLLECTORS TALENTS</t>
        </is>
      </c>
      <c r="B43" s="2" t="n"/>
      <c r="C43" s="2" t="n"/>
      <c r="D43" s="2" t="n"/>
      <c r="E43" s="2" t="n"/>
      <c r="F43" s="2" t="n"/>
      <c r="G43" s="2" t="n"/>
      <c r="H43" s="3" t="n"/>
      <c r="I43" s="4" t="n"/>
    </row>
    <row r="44">
      <c r="A44" s="4" t="inlineStr">
        <is>
          <t xml:space="preserve">  Jewelry Expert</t>
        </is>
      </c>
      <c r="B44" s="5" t="n"/>
      <c r="C44" s="5" t="n"/>
      <c r="D44" s="9" t="n"/>
      <c r="E44" s="5" t="n"/>
      <c r="F44" s="9" t="n">
        <v>5</v>
      </c>
      <c r="G44" s="5" t="n"/>
      <c r="H44" s="6" t="inlineStr">
        <is>
          <t>5 Purple Talent Points</t>
        </is>
      </c>
      <c r="I44" s="4" t="n"/>
    </row>
    <row r="45">
      <c r="A45" s="4" t="inlineStr">
        <is>
          <t xml:space="preserve">  Jewelry Master</t>
        </is>
      </c>
      <c r="B45" s="5" t="n"/>
      <c r="C45" s="5" t="n"/>
      <c r="D45" s="9" t="n"/>
      <c r="E45" s="5" t="n"/>
      <c r="F45" s="9" t="n"/>
      <c r="G45" s="5" t="n">
        <v>5</v>
      </c>
      <c r="H45" s="6" t="inlineStr">
        <is>
          <t>5 Orange Talent Points</t>
        </is>
      </c>
      <c r="I45" s="4" t="n"/>
    </row>
    <row r="46">
      <c r="A46" s="12" t="inlineStr">
        <is>
          <t>MAX COLLECTORS TALENTS</t>
        </is>
      </c>
      <c r="B46" s="13" t="n"/>
      <c r="C46" s="13" t="n"/>
      <c r="D46" s="14">
        <f>sum(D44:D45)</f>
        <v/>
      </c>
      <c r="E46" s="14">
        <f>sum(E44:E45)</f>
        <v/>
      </c>
      <c r="F46" s="14">
        <f>sum(F44:F45)</f>
        <v/>
      </c>
      <c r="G46" s="14">
        <f>sum(G44:G45)</f>
        <v/>
      </c>
      <c r="H46" s="15" t="n"/>
      <c r="I46" s="4" t="n"/>
    </row>
    <row r="47">
      <c r="A47" s="4" t="n"/>
      <c r="B47" s="5" t="n"/>
      <c r="C47" s="5" t="n"/>
      <c r="D47" s="5" t="n"/>
      <c r="E47" s="5" t="n"/>
      <c r="F47" s="5" t="n"/>
      <c r="G47" s="5" t="n"/>
      <c r="H47" s="6" t="n"/>
      <c r="I47" s="5" t="n"/>
    </row>
    <row r="48">
      <c r="A48" s="1" t="inlineStr">
        <is>
          <t>ORGAN</t>
        </is>
      </c>
      <c r="B48" s="2" t="n"/>
      <c r="C48" s="2" t="n"/>
      <c r="D48" s="2" t="n"/>
      <c r="E48" s="2" t="n"/>
      <c r="F48" s="2" t="n"/>
      <c r="G48" s="2" t="n"/>
      <c r="H48" s="3" t="n"/>
      <c r="I48" s="4" t="n"/>
    </row>
    <row r="49">
      <c r="A49" s="12" t="inlineStr">
        <is>
          <t xml:space="preserve">  Fire Slug's Eye</t>
        </is>
      </c>
      <c r="B49" s="13" t="n"/>
      <c r="C49" s="13" t="n"/>
      <c r="D49" s="14" t="n">
        <v>10</v>
      </c>
      <c r="E49" s="13" t="n"/>
      <c r="F49" s="14" t="n"/>
      <c r="G49" s="13" t="n"/>
      <c r="H49" s="15" t="n"/>
      <c r="I49" s="4" t="n"/>
    </row>
    <row r="50">
      <c r="A50" s="4" t="n"/>
      <c r="B50" s="5" t="n"/>
      <c r="C50" s="5" t="n"/>
      <c r="D50" s="5" t="n"/>
      <c r="E50" s="5" t="n"/>
      <c r="F50" s="5" t="n"/>
      <c r="G50" s="5" t="n"/>
      <c r="H50" s="6" t="n"/>
      <c r="I50" s="5" t="n"/>
    </row>
    <row r="51">
      <c r="A51" s="18" t="inlineStr">
        <is>
          <t>ROCKET UPGRADES</t>
        </is>
      </c>
      <c r="B51" s="19" t="n"/>
      <c r="C51" s="19" t="n"/>
      <c r="D51" s="19" t="n"/>
      <c r="E51" s="19" t="n"/>
      <c r="F51" s="19" t="n"/>
      <c r="G51" s="19" t="n"/>
      <c r="H51" s="20" t="n"/>
      <c r="I51" s="21" t="n"/>
    </row>
    <row r="52">
      <c r="A52" s="22" t="inlineStr">
        <is>
          <t xml:space="preserve">  Revelation Hall</t>
        </is>
      </c>
      <c r="B52" s="23" t="n"/>
      <c r="C52" s="23" t="n"/>
      <c r="D52" s="23" t="n"/>
      <c r="E52" s="23" t="n"/>
      <c r="F52" s="23" t="n">
        <v>2.5</v>
      </c>
      <c r="G52" s="23" t="n">
        <v>2.5</v>
      </c>
      <c r="H52" s="24" t="inlineStr">
        <is>
          <t>lv5</t>
        </is>
      </c>
      <c r="I52" s="21" t="n"/>
    </row>
    <row r="53"/>
    <row r="54"/>
    <row r="55"/>
    <row r="56"/>
    <row r="57">
      <c r="A57" s="25" t="inlineStr">
        <is>
          <t>Totals</t>
        </is>
      </c>
      <c r="B57" s="26" t="n"/>
    </row>
    <row r="58">
      <c r="A58" s="27" t="inlineStr">
        <is>
          <t>White -&gt; Green</t>
        </is>
      </c>
      <c r="B58" s="28">
        <f>D37+D41+D46+D49+D52</f>
        <v/>
      </c>
    </row>
    <row r="59">
      <c r="A59" s="27" t="inlineStr">
        <is>
          <t>Green -&gt; Blue</t>
        </is>
      </c>
      <c r="B59" s="28">
        <f>E37+E41+E46+E49+E52</f>
        <v/>
      </c>
    </row>
    <row r="60">
      <c r="A60" s="27" t="inlineStr">
        <is>
          <t>Blue -&gt; Purple</t>
        </is>
      </c>
      <c r="B60" s="28">
        <f>F37+F41+F46+F52</f>
        <v/>
      </c>
    </row>
    <row r="61">
      <c r="A61" s="29" t="inlineStr">
        <is>
          <t>Purple -&gt; Orange</t>
        </is>
      </c>
      <c r="B61" s="30">
        <f>G37+G46+G41+G49+G52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2026-04-25T21:15:20Z</dcterms:created>
  <dcterms:modified xmlns:dcterms="http://purl.org/dc/terms/" xmlns:xsi="http://www.w3.org/2001/XMLSchema-instance" xsi:type="dcterms:W3CDTF">2026-04-25T21:15:21Z</dcterms:modified>
</cp:coreProperties>
</file>