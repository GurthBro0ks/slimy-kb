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s Ga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olor rgb="FF000000"/>
      <sz val="12"/>
    </font>
    <font>
      <name val="Calibri"/>
      <b val="1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0E9D7"/>
        <bgColor rgb="FFF0E9D7"/>
      </patternFill>
    </fill>
  </fills>
  <borders count="13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1" fillId="0" borderId="3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0" fontId="1" fillId="0" borderId="5" applyAlignment="1" pivotButton="0" quotePrefix="0" xfId="0">
      <alignment horizontal="right" vertical="bottom"/>
    </xf>
    <xf numFmtId="0" fontId="1" fillId="0" borderId="7" applyAlignment="1" pivotButton="0" quotePrefix="0" xfId="0">
      <alignment vertical="bottom"/>
    </xf>
    <xf numFmtId="0" fontId="1" fillId="0" borderId="8" applyAlignment="1" pivotButton="0" quotePrefix="0" xfId="0">
      <alignment vertical="bottom"/>
    </xf>
    <xf numFmtId="0" fontId="1" fillId="0" borderId="8" applyAlignment="1" pivotButton="0" quotePrefix="0" xfId="0">
      <alignment horizontal="right" vertical="bottom"/>
    </xf>
    <xf numFmtId="0" fontId="1" fillId="0" borderId="9" applyAlignment="1" pivotButton="0" quotePrefix="0" xfId="0">
      <alignment vertical="bottom"/>
    </xf>
    <xf numFmtId="0" fontId="1" fillId="2" borderId="6" applyAlignment="1" pivotButton="0" quotePrefix="0" xfId="0">
      <alignment vertical="bottom"/>
    </xf>
    <xf numFmtId="0" fontId="1" fillId="0" borderId="10" applyAlignment="1" pivotButton="0" quotePrefix="0" xfId="0">
      <alignment vertical="bottom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vertical="bottom"/>
    </xf>
    <xf numFmtId="0" fontId="1" fillId="0" borderId="9" applyAlignment="1" pivotButton="0" quotePrefix="0" xfId="0">
      <alignment horizontal="right" vertical="bottom"/>
    </xf>
    <xf numFmtId="0" fontId="2" fillId="0" borderId="1" applyAlignment="1" pivotButton="0" quotePrefix="0" xfId="0">
      <alignment vertical="bottom"/>
    </xf>
    <xf numFmtId="0" fontId="2" fillId="0" borderId="4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0" fontId="1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cols>
    <col width="18.36" customWidth="1" min="1" max="1"/>
    <col width="7.09" customWidth="1" min="2" max="2"/>
    <col width="7.82" customWidth="1" min="3" max="3"/>
    <col width="8.18" customWidth="1" min="4" max="4"/>
    <col width="15.55" customWidth="1" min="5" max="5"/>
    <col width="8.09" customWidth="1" min="6" max="6"/>
    <col width="15.45" customWidth="1" min="7" max="7"/>
    <col width="7.09" customWidth="1" min="8" max="8"/>
    <col width="14.45" customWidth="1" min="9" max="9"/>
    <col width="8.18" customWidth="1" min="10" max="10"/>
    <col width="15.55" customWidth="1" min="11" max="11"/>
    <col width="7.82" customWidth="1" min="12" max="12"/>
    <col width="15.18" customWidth="1" min="13" max="13"/>
    <col width="115.55" customWidth="1" min="14" max="14"/>
  </cols>
  <sheetData>
    <row r="1">
      <c r="A1" s="1" t="inlineStr">
        <is>
          <t>Name</t>
        </is>
      </c>
      <c r="B1" s="2" t="inlineStr">
        <is>
          <t>Rarity</t>
        </is>
      </c>
      <c r="C1" s="2" t="inlineStr">
        <is>
          <t>Type</t>
        </is>
      </c>
      <c r="D1" s="2" t="inlineStr">
        <is>
          <t>Zombie Cells</t>
        </is>
      </c>
      <c r="E1" s="2" t="inlineStr">
        <is>
          <t>Zombie Cells (Awakened)</t>
        </is>
      </c>
      <c r="F1" s="2" t="inlineStr">
        <is>
          <t>Demon Cells</t>
        </is>
      </c>
      <c r="G1" s="2" t="inlineStr">
        <is>
          <t>Demon Cells (Awakened)</t>
        </is>
      </c>
      <c r="H1" s="2" t="inlineStr">
        <is>
          <t>Angel Cells</t>
        </is>
      </c>
      <c r="I1" s="2" t="inlineStr">
        <is>
          <t>Angel Cells (Awakened)</t>
        </is>
      </c>
      <c r="J1" s="2" t="inlineStr">
        <is>
          <t>Mutant Cells</t>
        </is>
      </c>
      <c r="K1" s="2" t="inlineStr">
        <is>
          <t>Mutant Cells (Awakened)</t>
        </is>
      </c>
      <c r="L1" s="2" t="inlineStr">
        <is>
          <t>Mecha Cells</t>
        </is>
      </c>
      <c r="M1" s="2" t="inlineStr">
        <is>
          <t>Mecha Cells (Awakened)</t>
        </is>
      </c>
      <c r="N1" s="3" t="inlineStr">
        <is>
          <t>Source</t>
        </is>
      </c>
    </row>
    <row r="2">
      <c r="A2" s="4" t="inlineStr">
        <is>
          <t>INDIVIDUAL RELICS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6" t="n"/>
    </row>
    <row r="3">
      <c r="A3" s="4" t="inlineStr">
        <is>
          <t xml:space="preserve">   Shroud of Turin</t>
        </is>
      </c>
      <c r="B3" s="5" t="inlineStr">
        <is>
          <t>S</t>
        </is>
      </c>
      <c r="C3" s="5" t="inlineStr">
        <is>
          <t>FTH</t>
        </is>
      </c>
      <c r="D3" s="7" t="n">
        <v>10</v>
      </c>
      <c r="E3" s="7" t="n">
        <v>10</v>
      </c>
      <c r="F3" s="5" t="n"/>
      <c r="G3" s="5" t="n"/>
      <c r="H3" s="5" t="n"/>
      <c r="I3" s="5" t="n"/>
      <c r="J3" s="5" t="n"/>
      <c r="K3" s="5" t="n"/>
      <c r="L3" s="5" t="n"/>
      <c r="M3" s="5" t="n"/>
      <c r="N3" s="6" t="inlineStr">
        <is>
          <t>Fragment Crafting (15.1%), Lottery Machine #1 (0.81%), Wishing (0.53%), Relic Forge (90 Relic RF)</t>
        </is>
      </c>
    </row>
    <row r="4">
      <c r="A4" s="4" t="inlineStr">
        <is>
          <t xml:space="preserve">   Eye of Akamoddo</t>
        </is>
      </c>
      <c r="B4" s="5" t="inlineStr">
        <is>
          <t>SS</t>
        </is>
      </c>
      <c r="C4" s="5" t="inlineStr">
        <is>
          <t>FTH</t>
        </is>
      </c>
      <c r="D4" s="5" t="n"/>
      <c r="E4" s="5" t="n"/>
      <c r="F4" s="7" t="n">
        <v>11</v>
      </c>
      <c r="G4" s="7" t="n">
        <v>10</v>
      </c>
      <c r="H4" s="5" t="n"/>
      <c r="I4" s="5" t="n"/>
      <c r="J4" s="5" t="n"/>
      <c r="K4" s="5" t="n"/>
      <c r="L4" s="5" t="n"/>
      <c r="M4" s="5" t="n"/>
      <c r="N4" s="6" t="inlineStr">
        <is>
          <t>Fragment Crafting (4.4%), Lottery Machine #1 (0.24%), Wishing (0.16%), Time Chest (1%), Master Scrolls (1.9%), Grandmaster Scrolls (2.1%), FTH Master Scrolls (9.2%)</t>
        </is>
      </c>
    </row>
    <row r="5">
      <c r="A5" s="4" t="inlineStr">
        <is>
          <t xml:space="preserve">   Time-Travel Box</t>
        </is>
      </c>
      <c r="B5" s="5" t="inlineStr">
        <is>
          <t>SS</t>
        </is>
      </c>
      <c r="C5" s="5" t="inlineStr">
        <is>
          <t>FAME</t>
        </is>
      </c>
      <c r="D5" s="5" t="n"/>
      <c r="E5" s="5" t="n"/>
      <c r="F5" s="5" t="n"/>
      <c r="G5" s="5" t="n"/>
      <c r="H5" s="7" t="n">
        <v>11</v>
      </c>
      <c r="I5" s="7" t="n">
        <v>10</v>
      </c>
      <c r="J5" s="5" t="n"/>
      <c r="K5" s="5" t="n"/>
      <c r="L5" s="5" t="n"/>
      <c r="M5" s="5" t="n"/>
      <c r="N5" s="6" t="inlineStr">
        <is>
          <t>Fragment Crafting (4.6%), Lottery Machine #1 (0.18%), Wishing (0.17%), Dragon Chest (5%), Grandmaster Scrolls (1.6%)</t>
        </is>
      </c>
    </row>
    <row r="6">
      <c r="A6" s="4" t="inlineStr">
        <is>
          <t xml:space="preserve">   Element R</t>
        </is>
      </c>
      <c r="B6" s="5" t="inlineStr">
        <is>
          <t>S</t>
        </is>
      </c>
      <c r="C6" s="5" t="inlineStr">
        <is>
          <t>TECH</t>
        </is>
      </c>
      <c r="D6" s="5" t="n"/>
      <c r="E6" s="5" t="n"/>
      <c r="F6" s="5" t="n"/>
      <c r="G6" s="5" t="n"/>
      <c r="H6" s="5" t="n"/>
      <c r="I6" s="5" t="n"/>
      <c r="J6" s="7" t="n">
        <v>10</v>
      </c>
      <c r="K6" s="7" t="n">
        <v>10</v>
      </c>
      <c r="L6" s="5" t="n"/>
      <c r="M6" s="5" t="n"/>
      <c r="N6" s="6" t="inlineStr">
        <is>
          <t>Fragment Crafting (17.8%), Lottery Machine #1 (0.81%), Wishing (0.65%), Relic Forge (90 Relic RF)</t>
        </is>
      </c>
    </row>
    <row r="7">
      <c r="A7" s="4" t="inlineStr">
        <is>
          <t xml:space="preserve">   SkyWeb Hub</t>
        </is>
      </c>
      <c r="B7" s="5" t="inlineStr">
        <is>
          <t>SS</t>
        </is>
      </c>
      <c r="C7" s="5" t="inlineStr">
        <is>
          <t>TECH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7" t="n">
        <v>11</v>
      </c>
      <c r="M7" s="7" t="n">
        <v>10</v>
      </c>
      <c r="N7" s="6" t="inlineStr">
        <is>
          <t>Koryeon Domain, Fragment Crafting (5.2%), Lottery Machine #1 (0.24%), Wishing (0.19%), Super Treasure Maps (5%), Master Scrolls (1.9%), Grandmaster Scrolls (2.1%), TECH Master Scrolls (9.2%)</t>
        </is>
      </c>
    </row>
    <row r="8">
      <c r="A8" s="4" t="inlineStr">
        <is>
          <t xml:space="preserve">   Prehistoric Fossil</t>
        </is>
      </c>
      <c r="B8" s="5" t="inlineStr">
        <is>
          <t>AAA</t>
        </is>
      </c>
      <c r="C8" s="5" t="inlineStr">
        <is>
          <t>CIV</t>
        </is>
      </c>
      <c r="D8" s="7" t="n">
        <v>5.4</v>
      </c>
      <c r="E8" s="5" t="n"/>
      <c r="F8" s="7" t="n">
        <v>5.4</v>
      </c>
      <c r="G8" s="5" t="n"/>
      <c r="H8" s="7" t="n">
        <v>5.4</v>
      </c>
      <c r="I8" s="5" t="n"/>
      <c r="J8" s="7" t="n">
        <v>5.4</v>
      </c>
      <c r="K8" s="5" t="n"/>
      <c r="L8" s="7" t="n">
        <v>5.4</v>
      </c>
      <c r="M8" s="5" t="n"/>
      <c r="N8" s="6" t="inlineStr">
        <is>
          <t>Fragment Crafting (1.5%), Lottery Machine #1 (0.03%), Wishing (0.14%), Time Chest (1.5%), Relic Forge (80 Relic RF)</t>
        </is>
      </c>
    </row>
    <row r="9">
      <c r="A9" s="4" t="inlineStr">
        <is>
          <t xml:space="preserve">   Imperial Lamp</t>
        </is>
      </c>
      <c r="B9" s="5" t="inlineStr">
        <is>
          <t>Blue</t>
        </is>
      </c>
      <c r="C9" s="5" t="inlineStr">
        <is>
          <t>ART</t>
        </is>
      </c>
      <c r="D9" s="7" t="n">
        <v>5</v>
      </c>
      <c r="E9" s="7" t="n">
        <v>5</v>
      </c>
      <c r="F9" s="5" t="n"/>
      <c r="G9" s="5" t="n"/>
      <c r="H9" s="5" t="n"/>
      <c r="I9" s="5" t="n"/>
      <c r="J9" s="5" t="n"/>
      <c r="K9" s="5" t="n"/>
      <c r="L9" s="5" t="n"/>
      <c r="M9" s="5" t="n"/>
      <c r="N9" s="6" t="inlineStr">
        <is>
          <t>Lottery Machine #1 (0.07%), Wishing (3%), Novice Scrolls (1%)</t>
        </is>
      </c>
    </row>
    <row r="10">
      <c r="A10" s="4" t="inlineStr">
        <is>
          <t xml:space="preserve">   Ranjyatai Incense</t>
        </is>
      </c>
      <c r="B10" s="5" t="inlineStr">
        <is>
          <t>Blue</t>
        </is>
      </c>
      <c r="C10" s="5" t="inlineStr">
        <is>
          <t>FTH</t>
        </is>
      </c>
      <c r="D10" s="5" t="n"/>
      <c r="E10" s="5" t="n"/>
      <c r="F10" s="7" t="n">
        <v>5</v>
      </c>
      <c r="G10" s="7" t="n">
        <v>5</v>
      </c>
      <c r="H10" s="5" t="n"/>
      <c r="I10" s="5" t="n"/>
      <c r="J10" s="5" t="n"/>
      <c r="K10" s="5" t="n"/>
      <c r="L10" s="5" t="n"/>
      <c r="M10" s="5" t="n"/>
      <c r="N10" s="6" t="inlineStr">
        <is>
          <t>Lottery Machine #1 (0.07%), Wishing (2.1%), Novice Scrolls (1%)</t>
        </is>
      </c>
    </row>
    <row r="11">
      <c r="A11" s="4" t="inlineStr">
        <is>
          <t xml:space="preserve">   Gone with the Wind</t>
        </is>
      </c>
      <c r="B11" s="5" t="inlineStr">
        <is>
          <t>Blue</t>
        </is>
      </c>
      <c r="C11" s="5" t="inlineStr">
        <is>
          <t>CIV</t>
        </is>
      </c>
      <c r="D11" s="5" t="n"/>
      <c r="E11" s="5" t="n"/>
      <c r="F11" s="5" t="n"/>
      <c r="G11" s="5" t="n"/>
      <c r="H11" s="7" t="n">
        <v>5</v>
      </c>
      <c r="I11" s="7" t="n">
        <v>5</v>
      </c>
      <c r="J11" s="5" t="n"/>
      <c r="K11" s="5" t="n"/>
      <c r="L11" s="5" t="n"/>
      <c r="M11" s="5" t="n"/>
      <c r="N11" s="6" t="inlineStr">
        <is>
          <t>Murikan Treasure Maps (20%)</t>
        </is>
      </c>
    </row>
    <row r="12">
      <c r="A12" s="4" t="inlineStr">
        <is>
          <t xml:space="preserve">   Izu Dancer</t>
        </is>
      </c>
      <c r="B12" s="5" t="inlineStr">
        <is>
          <t>Blue</t>
        </is>
      </c>
      <c r="C12" s="5" t="inlineStr">
        <is>
          <t>CIV</t>
        </is>
      </c>
      <c r="D12" s="5" t="n"/>
      <c r="E12" s="5" t="n"/>
      <c r="F12" s="5" t="n"/>
      <c r="G12" s="5" t="n"/>
      <c r="H12" s="5" t="n"/>
      <c r="I12" s="5" t="n"/>
      <c r="J12" s="7" t="n">
        <v>5</v>
      </c>
      <c r="K12" s="7" t="n">
        <v>5</v>
      </c>
      <c r="L12" s="5" t="n"/>
      <c r="M12" s="5" t="n"/>
      <c r="N12" s="6" t="inlineStr">
        <is>
          <t>Lottery Machine #1 (0.03%), Wishing (0.82%)</t>
        </is>
      </c>
    </row>
    <row r="13">
      <c r="A13" s="4" t="inlineStr">
        <is>
          <t xml:space="preserve">   Euclid's Elements</t>
        </is>
      </c>
      <c r="B13" s="5" t="inlineStr">
        <is>
          <t>Blue</t>
        </is>
      </c>
      <c r="C13" s="5" t="inlineStr">
        <is>
          <t>TECH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7" t="n">
        <v>5</v>
      </c>
      <c r="M13" s="7" t="n">
        <v>5</v>
      </c>
      <c r="N13" s="6" t="inlineStr">
        <is>
          <t>Lottery Machine #1 (0.03%), Wishing (1.1%), Hellenic Treasure Map (%)</t>
        </is>
      </c>
    </row>
    <row r="14">
      <c r="A14" s="8" t="inlineStr">
        <is>
          <t>MAX INDIVIDUAL RELICS</t>
        </is>
      </c>
      <c r="B14" s="9" t="n"/>
      <c r="C14" s="9" t="n"/>
      <c r="D14" s="10">
        <f>sum(D2:E13)</f>
        <v/>
      </c>
      <c r="E14" s="9" t="n"/>
      <c r="F14" s="10">
        <f>sum(F2:G13)</f>
        <v/>
      </c>
      <c r="G14" s="9" t="n"/>
      <c r="H14" s="10">
        <f>sum(H2:I13)</f>
        <v/>
      </c>
      <c r="I14" s="9" t="n"/>
      <c r="J14" s="10">
        <f>sum(J2:K13)</f>
        <v/>
      </c>
      <c r="K14" s="9" t="n"/>
      <c r="L14" s="10">
        <f>sum(L2:M13)</f>
        <v/>
      </c>
      <c r="M14" s="9" t="n"/>
      <c r="N14" s="11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6" t="n"/>
    </row>
    <row r="16">
      <c r="A16" s="1" t="inlineStr">
        <is>
          <t>ORGANS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 t="n"/>
    </row>
    <row r="17">
      <c r="A17" s="4" t="inlineStr">
        <is>
          <t xml:space="preserve">   Evil Pattern</t>
        </is>
      </c>
      <c r="B17" s="5" t="n"/>
      <c r="C17" s="5" t="n"/>
      <c r="D17" s="7" t="n">
        <v>5</v>
      </c>
      <c r="E17" s="5" t="n"/>
      <c r="F17" s="7" t="n">
        <v>5</v>
      </c>
      <c r="G17" s="5" t="n"/>
      <c r="H17" s="7" t="n">
        <v>5</v>
      </c>
      <c r="I17" s="5" t="n"/>
      <c r="J17" s="7" t="n">
        <v>5</v>
      </c>
      <c r="K17" s="5" t="n"/>
      <c r="L17" s="7" t="n">
        <v>5</v>
      </c>
      <c r="M17" s="5" t="n"/>
      <c r="N17" s="6" t="inlineStr">
        <is>
          <t>Tutorial (Evolution)</t>
        </is>
      </c>
    </row>
    <row r="18">
      <c r="A18" s="4" t="inlineStr">
        <is>
          <t xml:space="preserve">   Demon Spine</t>
        </is>
      </c>
      <c r="B18" s="5" t="n"/>
      <c r="C18" s="5" t="n"/>
      <c r="D18" s="7" t="n">
        <v>4</v>
      </c>
      <c r="E18" s="5" t="n"/>
      <c r="F18" s="7" t="n">
        <v>4</v>
      </c>
      <c r="G18" s="5" t="n"/>
      <c r="H18" s="5" t="n"/>
      <c r="I18" s="5" t="n"/>
      <c r="J18" s="5" t="n"/>
      <c r="K18" s="5" t="n"/>
      <c r="L18" s="5" t="n"/>
      <c r="M18" s="5" t="n"/>
      <c r="N18" s="6" t="inlineStr">
        <is>
          <t>Demon God Matrix (Demon God Rocket Cabin) Reward</t>
        </is>
      </c>
    </row>
    <row r="19">
      <c r="A19" s="4" t="inlineStr">
        <is>
          <t xml:space="preserve">   Eden Neuron</t>
        </is>
      </c>
      <c r="B19" s="5" t="n"/>
      <c r="C19" s="5" t="n"/>
      <c r="D19" s="5" t="n"/>
      <c r="E19" s="5" t="n"/>
      <c r="F19" s="5" t="n"/>
      <c r="G19" s="5" t="n"/>
      <c r="H19" s="7" t="n">
        <v>4</v>
      </c>
      <c r="I19" s="5" t="n"/>
      <c r="J19" s="5" t="n"/>
      <c r="K19" s="5" t="n"/>
      <c r="L19" s="7" t="n">
        <v>4</v>
      </c>
      <c r="M19" s="5" t="n"/>
      <c r="N19" s="6" t="inlineStr">
        <is>
          <t>Garden of Eden (Earth's Will Rocket Cabin) Reward</t>
        </is>
      </c>
    </row>
    <row r="20">
      <c r="A20" s="4" t="inlineStr">
        <is>
          <t xml:space="preserve">   Dark Matter's Heart</t>
        </is>
      </c>
      <c r="B20" s="5" t="n"/>
      <c r="C20" s="5" t="n"/>
      <c r="D20" s="7" t="n">
        <v>4</v>
      </c>
      <c r="E20" s="5" t="n"/>
      <c r="F20" s="7" t="n">
        <v>4</v>
      </c>
      <c r="G20" s="5" t="n"/>
      <c r="H20" s="7" t="n">
        <v>4</v>
      </c>
      <c r="I20" s="5" t="n"/>
      <c r="J20" s="7" t="n">
        <v>8</v>
      </c>
      <c r="K20" s="5" t="n"/>
      <c r="L20" s="7" t="n">
        <v>4</v>
      </c>
      <c r="M20" s="5" t="n"/>
      <c r="N20" s="6" t="inlineStr">
        <is>
          <t>Dark Matter Reactor (Rebel Cabin) Reward</t>
        </is>
      </c>
    </row>
    <row r="21">
      <c r="A21" s="4" t="inlineStr">
        <is>
          <t xml:space="preserve">   Alveolus of Gaia</t>
        </is>
      </c>
      <c r="B21" s="5" t="n"/>
      <c r="C21" s="5" t="n"/>
      <c r="D21" s="7" t="n">
        <v>20</v>
      </c>
      <c r="E21" s="5" t="n"/>
      <c r="F21" s="7" t="n">
        <v>20</v>
      </c>
      <c r="G21" s="5" t="n"/>
      <c r="H21" s="7" t="n">
        <v>20</v>
      </c>
      <c r="I21" s="5" t="n"/>
      <c r="J21" s="7" t="n">
        <v>20</v>
      </c>
      <c r="K21" s="5" t="n"/>
      <c r="L21" s="7" t="n">
        <v>20</v>
      </c>
      <c r="M21" s="5" t="n"/>
      <c r="N21" s="6" t="inlineStr">
        <is>
          <t>Feast Rewards</t>
        </is>
      </c>
    </row>
    <row r="22">
      <c r="A22" s="8" t="inlineStr">
        <is>
          <t>MAX ORGANS</t>
        </is>
      </c>
      <c r="B22" s="9" t="n"/>
      <c r="C22" s="9" t="n"/>
      <c r="D22" s="10">
        <f>sum(D17:E21)</f>
        <v/>
      </c>
      <c r="E22" s="9" t="n"/>
      <c r="F22" s="10">
        <f>sum(F17:G21)</f>
        <v/>
      </c>
      <c r="G22" s="9" t="n"/>
      <c r="H22" s="10">
        <f>sum(H17:I21)</f>
        <v/>
      </c>
      <c r="I22" s="9" t="n"/>
      <c r="J22" s="10">
        <f>sum(J17:K21)</f>
        <v/>
      </c>
      <c r="K22" s="9" t="n"/>
      <c r="L22" s="10">
        <f>sum(L17:M21)</f>
        <v/>
      </c>
      <c r="M22" s="9" t="n"/>
      <c r="N22" s="11" t="n"/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6" t="n"/>
    </row>
    <row r="24">
      <c r="A24" s="1" t="inlineStr">
        <is>
          <t>ROCKET CABINS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/>
    </row>
    <row r="25">
      <c r="A25" s="4" t="inlineStr">
        <is>
          <t xml:space="preserve">   Eternal Hall</t>
        </is>
      </c>
      <c r="B25" s="5" t="n"/>
      <c r="C25" s="5" t="n"/>
      <c r="D25" s="7" t="n">
        <v>10</v>
      </c>
      <c r="E25" s="5" t="n"/>
      <c r="F25" s="7" t="n">
        <v>10</v>
      </c>
      <c r="G25" s="5" t="n"/>
      <c r="H25" s="7" t="n">
        <v>10</v>
      </c>
      <c r="I25" s="5" t="n"/>
      <c r="J25" s="7" t="n">
        <v>10</v>
      </c>
      <c r="K25" s="5" t="n"/>
      <c r="L25" s="7" t="n">
        <v>10</v>
      </c>
      <c r="M25" s="5" t="n"/>
      <c r="N25" s="6" t="inlineStr">
        <is>
          <t>Demon God Cabin</t>
        </is>
      </c>
    </row>
    <row r="26">
      <c r="A26" s="4" t="inlineStr">
        <is>
          <t xml:space="preserve">   Silence Hall</t>
        </is>
      </c>
      <c r="B26" s="5" t="n"/>
      <c r="C26" s="5" t="n"/>
      <c r="D26" s="7" t="n">
        <v>10</v>
      </c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6" t="inlineStr">
        <is>
          <t>Rebel Cabin</t>
        </is>
      </c>
    </row>
    <row r="27">
      <c r="A27" s="4" t="inlineStr">
        <is>
          <t xml:space="preserve">   Apocalypse Hall</t>
        </is>
      </c>
      <c r="B27" s="5" t="n"/>
      <c r="C27" s="5" t="n"/>
      <c r="D27" s="5" t="n"/>
      <c r="E27" s="5" t="n"/>
      <c r="F27" s="7" t="n">
        <v>10</v>
      </c>
      <c r="G27" s="5" t="n"/>
      <c r="H27" s="5" t="n"/>
      <c r="I27" s="5" t="n"/>
      <c r="J27" s="5" t="n"/>
      <c r="K27" s="5" t="n"/>
      <c r="L27" s="5" t="n"/>
      <c r="M27" s="5" t="n"/>
      <c r="N27" s="6" t="inlineStr">
        <is>
          <t>Demon God Cabin</t>
        </is>
      </c>
    </row>
    <row r="28">
      <c r="A28" s="4" t="inlineStr">
        <is>
          <t xml:space="preserve">   Oracle Hall</t>
        </is>
      </c>
      <c r="B28" s="5" t="n"/>
      <c r="C28" s="5" t="n"/>
      <c r="D28" s="5" t="n"/>
      <c r="E28" s="5" t="n"/>
      <c r="F28" s="5" t="n"/>
      <c r="G28" s="5" t="n"/>
      <c r="H28" s="7" t="n">
        <v>10</v>
      </c>
      <c r="I28" s="5" t="n"/>
      <c r="J28" s="5" t="n"/>
      <c r="K28" s="5" t="n"/>
      <c r="L28" s="5" t="n"/>
      <c r="M28" s="5" t="n"/>
      <c r="N28" s="6" t="inlineStr">
        <is>
          <t>Earth's Will Cabin</t>
        </is>
      </c>
    </row>
    <row r="29">
      <c r="A29" s="4" t="inlineStr">
        <is>
          <t xml:space="preserve">   Revelation Hall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7" t="n">
        <v>10</v>
      </c>
      <c r="K29" s="5" t="n"/>
      <c r="L29" s="5" t="n"/>
      <c r="M29" s="5" t="n"/>
      <c r="N29" s="6" t="inlineStr">
        <is>
          <t>Earth's Will Cabin</t>
        </is>
      </c>
    </row>
    <row r="30">
      <c r="A30" s="4" t="inlineStr">
        <is>
          <t xml:space="preserve">   Steel Hall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7" t="n">
        <v>10</v>
      </c>
      <c r="M30" s="5" t="n"/>
      <c r="N30" s="6" t="inlineStr">
        <is>
          <t>Rebel Cabin</t>
        </is>
      </c>
    </row>
    <row r="31">
      <c r="A31" s="8" t="inlineStr">
        <is>
          <t>MAX ROCKET CABIN</t>
        </is>
      </c>
      <c r="B31" s="9" t="n"/>
      <c r="C31" s="9" t="n"/>
      <c r="D31" s="10">
        <f>sum(D25:E30)</f>
        <v/>
      </c>
      <c r="E31" s="9" t="n"/>
      <c r="F31" s="10">
        <f>sum(F25:G30)</f>
        <v/>
      </c>
      <c r="G31" s="9" t="n"/>
      <c r="H31" s="10">
        <f>sum(H25:I30)</f>
        <v/>
      </c>
      <c r="I31" s="9" t="n"/>
      <c r="J31" s="10">
        <f>sum(J25:K30)</f>
        <v/>
      </c>
      <c r="K31" s="9" t="n"/>
      <c r="L31" s="10">
        <f>sum(L25:M30)</f>
        <v/>
      </c>
      <c r="M31" s="9" t="n"/>
      <c r="N31" s="11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6" t="n"/>
    </row>
    <row r="33">
      <c r="A33" s="1" t="inlineStr">
        <is>
          <t>RESONANCE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/>
    </row>
    <row r="34">
      <c r="A34" s="4" t="inlineStr">
        <is>
          <t xml:space="preserve">  PURPLE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6" t="n"/>
    </row>
    <row r="35">
      <c r="A35" s="4" t="inlineStr">
        <is>
          <t xml:space="preserve">    Zombie</t>
        </is>
      </c>
      <c r="B35" s="5" t="n"/>
      <c r="C35" s="5" t="n"/>
      <c r="D35" s="7" t="n">
        <v>6</v>
      </c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6" t="n"/>
    </row>
    <row r="36">
      <c r="A36" s="4" t="inlineStr">
        <is>
          <t xml:space="preserve">      Voynich Script</t>
        </is>
      </c>
      <c r="B36" s="5" t="inlineStr">
        <is>
          <t>AAA</t>
        </is>
      </c>
      <c r="C36" s="5" t="inlineStr">
        <is>
          <t>CIV</t>
        </is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6" t="inlineStr">
        <is>
          <t>Form Evo Pack</t>
        </is>
      </c>
    </row>
    <row r="37">
      <c r="A37" s="4" t="inlineStr">
        <is>
          <t xml:space="preserve">      The Nutcracker</t>
        </is>
      </c>
      <c r="B37" s="5" t="inlineStr">
        <is>
          <t>AAA</t>
        </is>
      </c>
      <c r="C37" s="5" t="inlineStr">
        <is>
          <t>ART</t>
        </is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6" t="inlineStr">
        <is>
          <t>Fragment Crafting (1.6%), Lottery Machine #1 (0.03%), Wishing (0.14%), Relic Forge (80 Relic RF)</t>
        </is>
      </c>
    </row>
    <row r="38">
      <c r="A38" s="4" t="inlineStr">
        <is>
          <t xml:space="preserve">    Demon</t>
        </is>
      </c>
      <c r="B38" s="5" t="n"/>
      <c r="C38" s="5" t="n"/>
      <c r="D38" s="5" t="n"/>
      <c r="E38" s="5" t="n"/>
      <c r="F38" s="7" t="n">
        <v>6</v>
      </c>
      <c r="G38" s="5" t="n"/>
      <c r="H38" s="5" t="n"/>
      <c r="I38" s="5" t="n"/>
      <c r="J38" s="5" t="n"/>
      <c r="K38" s="5" t="n"/>
      <c r="L38" s="5" t="n"/>
      <c r="M38" s="5" t="n"/>
      <c r="N38" s="6" t="n"/>
    </row>
    <row r="39">
      <c r="A39" s="4" t="inlineStr">
        <is>
          <t xml:space="preserve">      Andersen's Fairytales</t>
        </is>
      </c>
      <c r="B39" s="5" t="inlineStr">
        <is>
          <t>AAA</t>
        </is>
      </c>
      <c r="C39" s="5" t="inlineStr">
        <is>
          <t>CIV</t>
        </is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6" t="inlineStr">
        <is>
          <t>Fragment Crafting (1.5%), Lottery Machine #1 (0.03%), Wishing (0.14%), Relic Forge (80 Relic RF)</t>
        </is>
      </c>
    </row>
    <row r="40">
      <c r="A40" s="4" t="inlineStr">
        <is>
          <t xml:space="preserve">      Magic Mirror</t>
        </is>
      </c>
      <c r="B40" s="5" t="inlineStr">
        <is>
          <t>AAA</t>
        </is>
      </c>
      <c r="C40" s="5" t="inlineStr">
        <is>
          <t>FTH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6" t="inlineStr">
        <is>
          <t>Fragment Crafting (1.5%), Lottery Machine #1 (0.03%), Wishing (0.14%), Relic Forge (80 Relic RF)</t>
        </is>
      </c>
    </row>
    <row r="41">
      <c r="A41" s="4" t="inlineStr">
        <is>
          <t xml:space="preserve">    Angel</t>
        </is>
      </c>
      <c r="B41" s="5" t="n"/>
      <c r="C41" s="5" t="n"/>
      <c r="D41" s="5" t="n"/>
      <c r="E41" s="5" t="n"/>
      <c r="F41" s="5" t="n"/>
      <c r="G41" s="5" t="n"/>
      <c r="H41" s="7" t="n">
        <v>8</v>
      </c>
      <c r="I41" s="5" t="n"/>
      <c r="J41" s="5" t="n"/>
      <c r="K41" s="5" t="n"/>
      <c r="L41" s="5" t="n"/>
      <c r="M41" s="5" t="n"/>
      <c r="N41" s="6" t="n"/>
    </row>
    <row r="42">
      <c r="A42" s="4" t="inlineStr">
        <is>
          <t xml:space="preserve">      Napoleon Painting</t>
        </is>
      </c>
      <c r="B42" s="5" t="inlineStr">
        <is>
          <t>AAA</t>
        </is>
      </c>
      <c r="C42" s="5" t="inlineStr">
        <is>
          <t>ART</t>
        </is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6" t="inlineStr">
        <is>
          <t>Fragment Crafting (1.6%), Lottery Machine #1 (0.03%), Wishing (0.14%), Relic Forge (Relic RF x80)</t>
        </is>
      </c>
    </row>
    <row r="43">
      <c r="A43" s="4" t="inlineStr">
        <is>
          <t xml:space="preserve">      Phoenician Tablet</t>
        </is>
      </c>
      <c r="B43" s="5" t="inlineStr">
        <is>
          <t>AA</t>
        </is>
      </c>
      <c r="C43" s="5" t="inlineStr">
        <is>
          <t>CIV</t>
        </is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6" t="inlineStr">
        <is>
          <t>Fragment Crafting (3.7%), Lottery Machine #1 (0.8%), Wishing (0.34%), Kemetic Treasure Maps (10%), Expert Scrolls (0.95%)</t>
        </is>
      </c>
    </row>
    <row r="44">
      <c r="A44" s="4" t="inlineStr">
        <is>
          <t xml:space="preserve">      Hawking's Wheelchair</t>
        </is>
      </c>
      <c r="B44" s="5" t="inlineStr">
        <is>
          <t>AAA</t>
        </is>
      </c>
      <c r="C44" s="5" t="inlineStr">
        <is>
          <t>TECH</t>
        </is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6" t="inlineStr">
        <is>
          <t>Fragment Crafting (1.6%), Lottery Machine #1 (0.03%), Wishing (0.35%), Relic Forge (80 Relic RF)</t>
        </is>
      </c>
    </row>
    <row r="45">
      <c r="A45" s="4" t="inlineStr">
        <is>
          <t xml:space="preserve">      Rosetta Stone</t>
        </is>
      </c>
      <c r="B45" s="5" t="inlineStr">
        <is>
          <t>A</t>
        </is>
      </c>
      <c r="C45" s="5" t="inlineStr">
        <is>
          <t>FAME</t>
        </is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12" t="inlineStr">
        <is>
          <t>Fragment Crafting (31%), Lottery Machine #1 (0.66%), Wishing (2.8%), Kemetic Treasure Maps (10%), Expert Scrolls (7.6%)</t>
        </is>
      </c>
    </row>
    <row r="46">
      <c r="A46" s="4" t="inlineStr">
        <is>
          <t xml:space="preserve">    Mutant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7" t="n">
        <v>7</v>
      </c>
      <c r="K46" s="5" t="n"/>
      <c r="L46" s="5" t="n"/>
      <c r="M46" s="5" t="n"/>
      <c r="N46" s="6" t="n"/>
    </row>
    <row r="47">
      <c r="A47" s="4" t="inlineStr">
        <is>
          <t xml:space="preserve">      Sword Throne</t>
        </is>
      </c>
      <c r="B47" s="5" t="inlineStr">
        <is>
          <t>AAA</t>
        </is>
      </c>
      <c r="C47" s="5" t="inlineStr">
        <is>
          <t>FAME</t>
        </is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6" t="inlineStr">
        <is>
          <t>Power Pack</t>
        </is>
      </c>
    </row>
    <row r="48">
      <c r="A48" s="4" t="inlineStr">
        <is>
          <t xml:space="preserve">      Marquis Bell</t>
        </is>
      </c>
      <c r="B48" s="5" t="inlineStr">
        <is>
          <t>AAA</t>
        </is>
      </c>
      <c r="C48" s="5" t="inlineStr">
        <is>
          <t>ART</t>
        </is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6" t="inlineStr">
        <is>
          <t>Fragment Crafting (1.6%), Lottery Machine #1 (0.03%), Wishing (1.4%), Cathay Treasure Maps (10%), Relic Forge (80 Relic RF)</t>
        </is>
      </c>
    </row>
    <row r="49">
      <c r="A49" s="4" t="inlineStr">
        <is>
          <t xml:space="preserve">      Lennon's Guitar</t>
        </is>
      </c>
      <c r="B49" s="5" t="inlineStr">
        <is>
          <t>AAA</t>
        </is>
      </c>
      <c r="C49" s="5" t="inlineStr">
        <is>
          <t>CIV</t>
        </is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6" t="inlineStr">
        <is>
          <t>Fragment Crafting (1.5%), Lottery Machine #1 (0.03%), Wishing (0.14%), Relic Forge (80 Relic RF)</t>
        </is>
      </c>
    </row>
    <row r="50">
      <c r="A50" s="4" t="inlineStr">
        <is>
          <t xml:space="preserve">    Mecha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7" t="n">
        <v>7</v>
      </c>
      <c r="M50" s="5" t="n"/>
      <c r="N50" s="6" t="n"/>
    </row>
    <row r="51">
      <c r="A51" s="4" t="inlineStr">
        <is>
          <t xml:space="preserve">      Dolly Specimen</t>
        </is>
      </c>
      <c r="B51" s="5" t="inlineStr">
        <is>
          <t>A</t>
        </is>
      </c>
      <c r="C51" s="5" t="inlineStr">
        <is>
          <t>TECH</t>
        </is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6" t="inlineStr">
        <is>
          <t>Fragment Crafting (31.5%), Lottery Machine #1 (0.66%), Wishing (2.9%), Expert Scrolls (7.6%)</t>
        </is>
      </c>
    </row>
    <row r="52">
      <c r="A52" s="4" t="inlineStr">
        <is>
          <t xml:space="preserve">      Augustus Medal</t>
        </is>
      </c>
      <c r="B52" s="5" t="inlineStr">
        <is>
          <t>AAA</t>
        </is>
      </c>
      <c r="C52" s="5" t="inlineStr">
        <is>
          <t>FAME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6" t="inlineStr">
        <is>
          <t>Fragment Crafting (1.6%), Lottery Machine #1 (0.03%), Wishing (0.14%), Club Chest (1.5%), Relic Forge (80 Relic RF)</t>
        </is>
      </c>
    </row>
    <row r="53">
      <c r="A53" s="4" t="inlineStr">
        <is>
          <t xml:space="preserve">      Cornucopia</t>
        </is>
      </c>
      <c r="B53" s="5" t="inlineStr">
        <is>
          <t>AAA</t>
        </is>
      </c>
      <c r="C53" s="5" t="inlineStr">
        <is>
          <t>FTH</t>
        </is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6" t="inlineStr">
        <is>
          <t>Fragment Crafting (1.5%), Lottery Machine #1 (0.03%), Wishing (0.14%), Fungus Chest (1.5%), Relic Forge (80 Relic RF)</t>
        </is>
      </c>
    </row>
    <row r="54">
      <c r="A54" s="8" t="inlineStr">
        <is>
          <t>MAX RESONANCE</t>
        </is>
      </c>
      <c r="B54" s="9" t="n"/>
      <c r="C54" s="9" t="n"/>
      <c r="D54" s="10">
        <f>sum(D35:D53)</f>
        <v/>
      </c>
      <c r="E54" s="9" t="n"/>
      <c r="F54" s="10">
        <f>sum(F35:F53)</f>
        <v/>
      </c>
      <c r="G54" s="9" t="n"/>
      <c r="H54" s="10">
        <f>sum(H35:H53)</f>
        <v/>
      </c>
      <c r="I54" s="9" t="n"/>
      <c r="J54" s="10">
        <f>sum(J35:J53)</f>
        <v/>
      </c>
      <c r="K54" s="9" t="n"/>
      <c r="L54" s="10">
        <f>sum(L35:L53)</f>
        <v/>
      </c>
      <c r="M54" s="9" t="n"/>
      <c r="N54" s="11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13" t="n"/>
      <c r="B56" s="14" t="inlineStr">
        <is>
          <t>Zombie</t>
        </is>
      </c>
      <c r="C56" s="14" t="inlineStr">
        <is>
          <t>Demon</t>
        </is>
      </c>
      <c r="D56" s="14" t="inlineStr">
        <is>
          <t>Angel</t>
        </is>
      </c>
      <c r="E56" s="14" t="inlineStr">
        <is>
          <t>Mutant</t>
        </is>
      </c>
      <c r="F56" s="14" t="inlineStr">
        <is>
          <t>Mecha</t>
        </is>
      </c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15" t="inlineStr">
        <is>
          <t>General Cell Gain</t>
        </is>
      </c>
      <c r="B57" s="16">
        <f>D14+D22+D31+D54</f>
        <v/>
      </c>
      <c r="C57" s="16">
        <f>F14+F22+F31+F54</f>
        <v/>
      </c>
      <c r="D57" s="16">
        <f>H14+H22+H31+H54</f>
        <v/>
      </c>
      <c r="E57" s="16">
        <f>J14+J22+J31+J54</f>
        <v/>
      </c>
      <c r="F57" s="16">
        <f>L14+L22+L31+L54</f>
        <v/>
      </c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1" t="inlineStr">
        <is>
          <t>FORM SPECIFIC BONUSES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3" t="n"/>
    </row>
    <row r="61">
      <c r="A61" s="17" t="inlineStr">
        <is>
          <t>ZOMBIE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3" t="n"/>
    </row>
    <row r="62">
      <c r="A62" s="4" t="inlineStr">
        <is>
          <t>INDIVIDUAL RELICS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6" t="n"/>
    </row>
    <row r="63">
      <c r="A63" s="4" t="inlineStr">
        <is>
          <t xml:space="preserve">   Nobel's Will</t>
        </is>
      </c>
      <c r="B63" s="5" t="inlineStr">
        <is>
          <t>SSS</t>
        </is>
      </c>
      <c r="C63" s="5" t="inlineStr">
        <is>
          <t>FAME</t>
        </is>
      </c>
      <c r="D63" s="7" t="n">
        <v>12</v>
      </c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6" t="inlineStr">
        <is>
          <t>Lottery Machine #1 (0.09%), Wishing (0.08%), Grandmaster Scrolls (0.79%), Lottery Event 9/22/2023-9/28/2023</t>
        </is>
      </c>
    </row>
    <row r="64">
      <c r="A64" s="8" t="inlineStr">
        <is>
          <t>MAX INDIVIDUAL RELICS</t>
        </is>
      </c>
      <c r="B64" s="9" t="n"/>
      <c r="C64" s="9" t="n"/>
      <c r="D64" s="10">
        <f>sum(D62:E63)</f>
        <v/>
      </c>
      <c r="E64" s="9" t="n"/>
      <c r="F64" s="10">
        <f>sum(F62:G63)</f>
        <v/>
      </c>
      <c r="G64" s="9" t="n"/>
      <c r="H64" s="10">
        <f>sum(H62:I63)</f>
        <v/>
      </c>
      <c r="I64" s="9" t="n"/>
      <c r="J64" s="10">
        <f>sum(J62:K63)</f>
        <v/>
      </c>
      <c r="K64" s="9" t="n"/>
      <c r="L64" s="10">
        <f>sum(L62:M63)</f>
        <v/>
      </c>
      <c r="M64" s="9" t="n"/>
      <c r="N64" s="11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6" t="n"/>
    </row>
    <row r="66">
      <c r="A66" s="1" t="inlineStr">
        <is>
          <t>ORGANS</t>
        </is>
      </c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3" t="n"/>
    </row>
    <row r="67">
      <c r="A67" s="8" t="inlineStr">
        <is>
          <t xml:space="preserve">   Death Claw</t>
        </is>
      </c>
      <c r="B67" s="9" t="n"/>
      <c r="C67" s="9" t="n"/>
      <c r="D67" s="10" t="n">
        <v>6</v>
      </c>
      <c r="E67" s="9" t="n"/>
      <c r="F67" s="10" t="n">
        <v>6</v>
      </c>
      <c r="G67" s="9" t="n"/>
      <c r="H67" s="10" t="n">
        <v>6</v>
      </c>
      <c r="I67" s="9" t="n"/>
      <c r="J67" s="10" t="n">
        <v>6</v>
      </c>
      <c r="K67" s="9" t="n"/>
      <c r="L67" s="10" t="n">
        <v>6</v>
      </c>
      <c r="M67" s="9" t="n"/>
      <c r="N67" s="11" t="inlineStr">
        <is>
          <t>Organ Chest (3% chance), Koryeo INTEL Exchange "Flesh Modification II"(x4), Wishing Event Value Pack V</t>
        </is>
      </c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6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6" t="n"/>
    </row>
    <row r="70">
      <c r="A70" s="17" t="inlineStr">
        <is>
          <t>DEMON</t>
        </is>
      </c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3" t="n"/>
    </row>
    <row r="71">
      <c r="A71" s="4" t="inlineStr">
        <is>
          <t>INDIVIDUAL RELICS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6" t="n"/>
    </row>
    <row r="72">
      <c r="A72" s="4" t="inlineStr">
        <is>
          <t xml:space="preserve">   St. Louisa Goblet</t>
        </is>
      </c>
      <c r="B72" s="5" t="inlineStr">
        <is>
          <t>SSS</t>
        </is>
      </c>
      <c r="C72" s="5" t="inlineStr">
        <is>
          <t>ART</t>
        </is>
      </c>
      <c r="D72" s="5" t="n"/>
      <c r="E72" s="5" t="n"/>
      <c r="F72" s="7" t="n">
        <v>12</v>
      </c>
      <c r="G72" s="5" t="n"/>
      <c r="H72" s="5" t="n"/>
      <c r="I72" s="5" t="n"/>
      <c r="J72" s="5" t="n"/>
      <c r="K72" s="5" t="n"/>
      <c r="L72" s="5" t="n"/>
      <c r="M72" s="5" t="n"/>
      <c r="N72" s="6" t="inlineStr">
        <is>
          <t>Weekly Special Reward Relic #2</t>
        </is>
      </c>
    </row>
    <row r="73">
      <c r="A73" s="8" t="inlineStr">
        <is>
          <t>MAX INDIVIDUAL RELICS</t>
        </is>
      </c>
      <c r="B73" s="9" t="n"/>
      <c r="C73" s="9" t="n"/>
      <c r="D73" s="10">
        <f>sum(D71:E72)</f>
        <v/>
      </c>
      <c r="E73" s="9" t="n"/>
      <c r="F73" s="10">
        <f>sum(F71:G72)</f>
        <v/>
      </c>
      <c r="G73" s="9" t="n"/>
      <c r="H73" s="10">
        <f>sum(H71:I72)</f>
        <v/>
      </c>
      <c r="I73" s="9" t="n"/>
      <c r="J73" s="10">
        <f>sum(J71:K72)</f>
        <v/>
      </c>
      <c r="K73" s="9" t="n"/>
      <c r="L73" s="10">
        <f>sum(L71:M72)</f>
        <v/>
      </c>
      <c r="M73" s="9" t="n"/>
      <c r="N73" s="11" t="n"/>
    </row>
    <row r="74">
      <c r="A74" s="4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6" t="n"/>
    </row>
    <row r="75">
      <c r="A75" s="1" t="inlineStr">
        <is>
          <t>ORGANS</t>
        </is>
      </c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3" t="n"/>
    </row>
    <row r="76">
      <c r="A76" s="8" t="inlineStr">
        <is>
          <t xml:space="preserve">   Demon Skull</t>
        </is>
      </c>
      <c r="B76" s="9" t="n"/>
      <c r="C76" s="9" t="n"/>
      <c r="D76" s="10" t="n">
        <v>6</v>
      </c>
      <c r="E76" s="9" t="n"/>
      <c r="F76" s="10" t="n">
        <v>6</v>
      </c>
      <c r="G76" s="9" t="n"/>
      <c r="H76" s="10" t="n">
        <v>6</v>
      </c>
      <c r="I76" s="9" t="n"/>
      <c r="J76" s="10" t="n">
        <v>6</v>
      </c>
      <c r="K76" s="9" t="n"/>
      <c r="L76" s="10" t="n">
        <v>6</v>
      </c>
      <c r="M76" s="9" t="n"/>
      <c r="N76" s="11" t="inlineStr">
        <is>
          <t>Organ Chest (3%), Organ Value Pack II ($49.99), Grand Pack Day 2 Reward ($15.00 total anywhere in-game)</t>
        </is>
      </c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6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6" t="n"/>
    </row>
    <row r="79">
      <c r="A79" s="17" t="inlineStr">
        <is>
          <t>ANGEL</t>
        </is>
      </c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3" t="n"/>
    </row>
    <row r="80">
      <c r="A80" s="4" t="inlineStr">
        <is>
          <t>INDIVIDUAL RELICS</t>
        </is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6" t="n"/>
    </row>
    <row r="81">
      <c r="A81" s="4" t="inlineStr">
        <is>
          <t xml:space="preserve">   Creation of Adam</t>
        </is>
      </c>
      <c r="B81" s="5" t="inlineStr">
        <is>
          <t>SSS</t>
        </is>
      </c>
      <c r="C81" s="5" t="inlineStr">
        <is>
          <t>CIV</t>
        </is>
      </c>
      <c r="D81" s="5" t="n"/>
      <c r="E81" s="5" t="n"/>
      <c r="F81" s="5" t="n"/>
      <c r="G81" s="5" t="n"/>
      <c r="H81" s="7" t="n">
        <v>12</v>
      </c>
      <c r="I81" s="5" t="n"/>
      <c r="J81" s="5" t="n"/>
      <c r="K81" s="5" t="n"/>
      <c r="L81" s="5" t="n"/>
      <c r="M81" s="5" t="n"/>
      <c r="N81" s="6" t="inlineStr">
        <is>
          <t>Lottery Machine (0.09%), Wishing (0.08%), Grandmaster Scrolls (0.79%)</t>
        </is>
      </c>
    </row>
    <row r="82">
      <c r="A82" s="8" t="inlineStr">
        <is>
          <t>MAX INDIVIDUAL RELICS</t>
        </is>
      </c>
      <c r="B82" s="9" t="n"/>
      <c r="C82" s="9" t="n"/>
      <c r="D82" s="10">
        <f>sum(D80:E81)</f>
        <v/>
      </c>
      <c r="E82" s="9" t="n"/>
      <c r="F82" s="10">
        <f>sum(F80:G81)</f>
        <v/>
      </c>
      <c r="G82" s="9" t="n"/>
      <c r="H82" s="10">
        <f>sum(H80:I81)</f>
        <v/>
      </c>
      <c r="I82" s="9" t="n"/>
      <c r="J82" s="10">
        <f>sum(J80:K81)</f>
        <v/>
      </c>
      <c r="K82" s="9" t="n"/>
      <c r="L82" s="10">
        <f>sum(L80:M81)</f>
        <v/>
      </c>
      <c r="M82" s="9" t="n"/>
      <c r="N82" s="11" t="n"/>
    </row>
    <row r="83">
      <c r="A83" s="4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6" t="n"/>
    </row>
    <row r="84">
      <c r="A84" s="1" t="inlineStr">
        <is>
          <t>ORGANS</t>
        </is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3" t="n"/>
    </row>
    <row r="85">
      <c r="A85" s="8" t="inlineStr">
        <is>
          <t xml:space="preserve">   Strength Crystal</t>
        </is>
      </c>
      <c r="B85" s="9" t="n"/>
      <c r="C85" s="9" t="n"/>
      <c r="D85" s="10" t="n">
        <v>6</v>
      </c>
      <c r="E85" s="9" t="n"/>
      <c r="F85" s="10" t="n">
        <v>6</v>
      </c>
      <c r="G85" s="9" t="n"/>
      <c r="H85" s="10" t="n">
        <v>6</v>
      </c>
      <c r="I85" s="9" t="n"/>
      <c r="J85" s="10" t="n">
        <v>6</v>
      </c>
      <c r="K85" s="9" t="n"/>
      <c r="L85" s="10" t="n">
        <v>6</v>
      </c>
      <c r="M85" s="9" t="n"/>
      <c r="N85" s="11" t="inlineStr">
        <is>
          <t>Organ Chest (3% chance)</t>
        </is>
      </c>
    </row>
    <row r="86">
      <c r="A86" s="18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6" t="n"/>
    </row>
    <row r="87">
      <c r="A87" s="4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6" t="n"/>
    </row>
    <row r="88">
      <c r="A88" s="17" t="inlineStr">
        <is>
          <t>MUTANT</t>
        </is>
      </c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3" t="n"/>
    </row>
    <row r="89">
      <c r="A89" s="4" t="inlineStr">
        <is>
          <t>INDIVIDUAL RELICS</t>
        </is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6" t="n"/>
    </row>
    <row r="90">
      <c r="A90" s="4" t="inlineStr">
        <is>
          <t xml:space="preserve">   Einstein's Brain</t>
        </is>
      </c>
      <c r="B90" s="5" t="inlineStr">
        <is>
          <t>SSS</t>
        </is>
      </c>
      <c r="C90" s="5" t="inlineStr">
        <is>
          <t>FAME</t>
        </is>
      </c>
      <c r="D90" s="5" t="n"/>
      <c r="E90" s="5" t="n"/>
      <c r="F90" s="5" t="n"/>
      <c r="G90" s="5" t="n"/>
      <c r="H90" s="5" t="n"/>
      <c r="I90" s="5" t="n"/>
      <c r="J90" s="7" t="n">
        <v>12</v>
      </c>
      <c r="K90" s="5" t="n"/>
      <c r="L90" s="5" t="n"/>
      <c r="M90" s="5" t="n"/>
      <c r="N90" s="12" t="inlineStr">
        <is>
          <t>Lottery Machine (0.09%), Wishing (0.08%), Grandmaster Scrolls (0.79%)</t>
        </is>
      </c>
    </row>
    <row r="91">
      <c r="A91" s="8" t="inlineStr">
        <is>
          <t>MAX INDIVIDUAL RELICS</t>
        </is>
      </c>
      <c r="B91" s="9" t="n"/>
      <c r="C91" s="9" t="n"/>
      <c r="D91" s="10">
        <f>sum(D89:E90)</f>
        <v/>
      </c>
      <c r="E91" s="9" t="n"/>
      <c r="F91" s="10">
        <f>sum(F89:G90)</f>
        <v/>
      </c>
      <c r="G91" s="9" t="n"/>
      <c r="H91" s="10">
        <f>sum(H89:I90)</f>
        <v/>
      </c>
      <c r="I91" s="9" t="n"/>
      <c r="J91" s="10">
        <f>sum(J89:K90)</f>
        <v/>
      </c>
      <c r="K91" s="9" t="n"/>
      <c r="L91" s="10">
        <f>sum(L89:M90)</f>
        <v/>
      </c>
      <c r="M91" s="9" t="n"/>
      <c r="N91" s="11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6" t="n"/>
    </row>
    <row r="93">
      <c r="A93" s="1" t="inlineStr">
        <is>
          <t>ORGANS</t>
        </is>
      </c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3" t="n"/>
    </row>
    <row r="94">
      <c r="A94" s="8" t="inlineStr">
        <is>
          <t xml:space="preserve">   Death Claw</t>
        </is>
      </c>
      <c r="B94" s="9" t="n"/>
      <c r="C94" s="9" t="n"/>
      <c r="D94" s="10" t="n">
        <v>6</v>
      </c>
      <c r="E94" s="9" t="n"/>
      <c r="F94" s="10" t="n">
        <v>6</v>
      </c>
      <c r="G94" s="9" t="n"/>
      <c r="H94" s="10" t="n">
        <v>6</v>
      </c>
      <c r="I94" s="9" t="n"/>
      <c r="J94" s="10" t="n">
        <v>6</v>
      </c>
      <c r="K94" s="9" t="n"/>
      <c r="L94" s="10" t="n">
        <v>6</v>
      </c>
      <c r="M94" s="9" t="n"/>
      <c r="N94" s="11" t="inlineStr">
        <is>
          <t>Organ Chest (3% chance), Koryeo INTEL Exchange "Flesh Modification II"(x4), Wishing Event Value Pack V</t>
        </is>
      </c>
    </row>
    <row r="95">
      <c r="A95" s="4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6" t="n"/>
    </row>
    <row r="96">
      <c r="A96" s="4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6" t="n"/>
    </row>
    <row r="97">
      <c r="A97" s="17" t="inlineStr">
        <is>
          <t>MECHA</t>
        </is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3" t="n"/>
    </row>
    <row r="98">
      <c r="A98" s="4" t="inlineStr">
        <is>
          <t>INDIVIDUAL RELICS</t>
        </is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6" t="n"/>
    </row>
    <row r="99">
      <c r="A99" s="4" t="inlineStr">
        <is>
          <t xml:space="preserve">   Kepler Telescope</t>
        </is>
      </c>
      <c r="B99" s="5" t="inlineStr">
        <is>
          <t>SSS</t>
        </is>
      </c>
      <c r="C99" s="5" t="inlineStr">
        <is>
          <t>TECH</t>
        </is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7" t="n">
        <v>12</v>
      </c>
      <c r="M99" s="5" t="n"/>
      <c r="N99" s="6" t="inlineStr">
        <is>
          <t>Ultimate Special Reward Relic #1</t>
        </is>
      </c>
    </row>
    <row r="100">
      <c r="A100" s="8" t="inlineStr">
        <is>
          <t>MAX INDIVIDUAL RELICS</t>
        </is>
      </c>
      <c r="B100" s="9" t="n"/>
      <c r="C100" s="9" t="n"/>
      <c r="D100" s="10">
        <f>sum(D98:E99)</f>
        <v/>
      </c>
      <c r="E100" s="9" t="n"/>
      <c r="F100" s="10">
        <f>sum(F98:G99)</f>
        <v/>
      </c>
      <c r="G100" s="9" t="n"/>
      <c r="H100" s="10">
        <f>sum(H98:I99)</f>
        <v/>
      </c>
      <c r="I100" s="9" t="n"/>
      <c r="J100" s="10">
        <f>sum(J98:K99)</f>
        <v/>
      </c>
      <c r="K100" s="9" t="n"/>
      <c r="L100" s="10">
        <f>sum(L98:M99)</f>
        <v/>
      </c>
      <c r="M100" s="9" t="n"/>
      <c r="N100" s="11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6" t="n"/>
    </row>
    <row r="102">
      <c r="A102" s="1" t="inlineStr">
        <is>
          <t>ORGANS</t>
        </is>
      </c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3" t="n"/>
    </row>
    <row r="103">
      <c r="A103" s="8" t="inlineStr">
        <is>
          <t xml:space="preserve">   Strength Crystal</t>
        </is>
      </c>
      <c r="B103" s="9" t="n"/>
      <c r="C103" s="9" t="n"/>
      <c r="D103" s="10" t="n">
        <v>6</v>
      </c>
      <c r="E103" s="9" t="n"/>
      <c r="F103" s="10" t="n">
        <v>6</v>
      </c>
      <c r="G103" s="9" t="n"/>
      <c r="H103" s="10" t="n">
        <v>6</v>
      </c>
      <c r="I103" s="9" t="n"/>
      <c r="J103" s="10" t="n">
        <v>6</v>
      </c>
      <c r="K103" s="9" t="n"/>
      <c r="L103" s="10" t="n">
        <v>6</v>
      </c>
      <c r="M103" s="9" t="n"/>
      <c r="N103" s="11" t="inlineStr">
        <is>
          <t>Organ Chest (3% chance)</t>
        </is>
      </c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6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6" t="n"/>
    </row>
    <row r="106">
      <c r="A106" s="17" t="inlineStr">
        <is>
          <t>DRAGON</t>
        </is>
      </c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3" t="n"/>
    </row>
    <row r="107">
      <c r="A107" s="4" t="inlineStr">
        <is>
          <t>ORGANS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6" t="n"/>
    </row>
    <row r="108">
      <c r="A108" s="8" t="inlineStr">
        <is>
          <t xml:space="preserve">   Demon Skull</t>
        </is>
      </c>
      <c r="B108" s="9" t="n"/>
      <c r="C108" s="9" t="n"/>
      <c r="D108" s="10" t="n">
        <v>6</v>
      </c>
      <c r="E108" s="9" t="n"/>
      <c r="F108" s="10" t="n">
        <v>6</v>
      </c>
      <c r="G108" s="9" t="n"/>
      <c r="H108" s="10" t="n">
        <v>6</v>
      </c>
      <c r="I108" s="9" t="n"/>
      <c r="J108" s="10" t="n">
        <v>6</v>
      </c>
      <c r="K108" s="9" t="n"/>
      <c r="L108" s="10" t="n">
        <v>6</v>
      </c>
      <c r="M108" s="9" t="n"/>
      <c r="N108" s="11" t="inlineStr">
        <is>
          <t>Organ Chest (3%), Organ Value Pack II ($49.99), Grand Pack Day 2 Reward ($15.00 total anywhere in-game)</t>
        </is>
      </c>
    </row>
    <row r="109">
      <c r="A109" s="19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13" t="n"/>
      <c r="B111" s="14" t="inlineStr">
        <is>
          <t>Zombie</t>
        </is>
      </c>
      <c r="C111" s="14" t="inlineStr">
        <is>
          <t>Demon</t>
        </is>
      </c>
      <c r="D111" s="14" t="inlineStr">
        <is>
          <t>Angel</t>
        </is>
      </c>
      <c r="E111" s="14" t="inlineStr">
        <is>
          <t>Mutant</t>
        </is>
      </c>
      <c r="F111" s="14" t="inlineStr">
        <is>
          <t>Mecha</t>
        </is>
      </c>
      <c r="G111" s="20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15" t="inlineStr">
        <is>
          <t>Cells Collected (Zombie Form)</t>
        </is>
      </c>
      <c r="B112" s="16">
        <f>$B$57+D64+D67</f>
        <v/>
      </c>
      <c r="C112" s="16">
        <f>$C$57+F64+F67</f>
        <v/>
      </c>
      <c r="D112" s="16">
        <f>$D$57+H64+H67</f>
        <v/>
      </c>
      <c r="E112" s="16">
        <f>$D$57+J64+J67</f>
        <v/>
      </c>
      <c r="F112" s="16">
        <f>$D$57+L64+L67</f>
        <v/>
      </c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15" t="inlineStr">
        <is>
          <t>Cells Collected (Demon Form)</t>
        </is>
      </c>
      <c r="B113" s="16">
        <f>$B$57+D73+D76</f>
        <v/>
      </c>
      <c r="C113" s="16">
        <f>$C$57+F73+F76</f>
        <v/>
      </c>
      <c r="D113" s="16">
        <f>$D$57+H73+H76</f>
        <v/>
      </c>
      <c r="E113" s="16">
        <f>$D$57+J73+J76</f>
        <v/>
      </c>
      <c r="F113" s="16">
        <f>$D$57+L73+L76</f>
        <v/>
      </c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15" t="inlineStr">
        <is>
          <t>Cells Collected (Angel Form)</t>
        </is>
      </c>
      <c r="B114" s="16">
        <f>$B$57+D82+D85</f>
        <v/>
      </c>
      <c r="C114" s="16">
        <f>$C$57+F82+F85</f>
        <v/>
      </c>
      <c r="D114" s="16">
        <f>$D$57+H82+H85</f>
        <v/>
      </c>
      <c r="E114" s="16">
        <f>$D$57+J82+J85</f>
        <v/>
      </c>
      <c r="F114" s="16">
        <f>$D$57+L82+L85</f>
        <v/>
      </c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15" t="inlineStr">
        <is>
          <t>Cells Collected (Mutant Form)</t>
        </is>
      </c>
      <c r="B115" s="16">
        <f>$B$57+D91+D94</f>
        <v/>
      </c>
      <c r="C115" s="16">
        <f>$C$57+F91+F94</f>
        <v/>
      </c>
      <c r="D115" s="16">
        <f>$D$57+H91+H94</f>
        <v/>
      </c>
      <c r="E115" s="16">
        <f>$D$57+J91+J94</f>
        <v/>
      </c>
      <c r="F115" s="16">
        <f>$D$57+L91+L94</f>
        <v/>
      </c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15" t="inlineStr">
        <is>
          <t>Cells Collected (Mecha Form)</t>
        </is>
      </c>
      <c r="B116" s="16">
        <f>$B$57+D100+D103</f>
        <v/>
      </c>
      <c r="C116" s="16">
        <f>$C$57+F100+F103</f>
        <v/>
      </c>
      <c r="D116" s="16">
        <f>$D$57+H100+H103</f>
        <v/>
      </c>
      <c r="E116" s="16">
        <f>$D$57+J100+J103</f>
        <v/>
      </c>
      <c r="F116" s="16">
        <f>$D$57+L100+L103</f>
        <v/>
      </c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15" t="inlineStr">
        <is>
          <t>Cells Collected (Dragon Form)</t>
        </is>
      </c>
      <c r="B117" s="16">
        <f>$B$57+D108</f>
        <v/>
      </c>
      <c r="C117" s="16">
        <f>$C$57+F108</f>
        <v/>
      </c>
      <c r="D117" s="16">
        <f>$D$57+H108</f>
        <v/>
      </c>
      <c r="E117" s="16">
        <f>$D$57+J108</f>
        <v/>
      </c>
      <c r="F117" s="16">
        <f>$D$57+L108</f>
        <v/>
      </c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2026-04-25T21:14:52Z</dcterms:created>
  <dcterms:modified xmlns:dcterms="http://purl.org/dc/terms/" xmlns:xsi="http://www.w3.org/2001/XMLSchema-instance" xsi:type="dcterms:W3CDTF">2026-04-25T21:14:53Z</dcterms:modified>
</cp:coreProperties>
</file>